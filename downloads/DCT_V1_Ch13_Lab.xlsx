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clarations" sheetId="2" state="visible" r:id="rId4"/>
    <sheet name="Assemble" sheetId="3" state="visible" r:id="rId5"/>
    <sheet name="Couplings" sheetId="4" state="visible" r:id="rId6"/>
    <sheet name="Wavefront" sheetId="5" state="visible" r:id="rId7"/>
    <sheet name="Ledgers" sheetId="6" state="visible" r:id="rId8"/>
    <sheet name="JointCheck" sheetId="7" state="visible" r:id="rId9"/>
    <sheet name="Repairs" sheetId="8" state="visible" r:id="rId10"/>
    <sheet name="Decide" sheetId="9" state="visible" r:id="rId11"/>
    <sheet name="Reference_Values" sheetId="10" state="visible" r:id="rId12"/>
    <sheet name="Checks" sheetId="11" state="visible" r:id="rId13"/>
  </sheets>
  <definedNames>
    <definedName function="false" hidden="false" name="Appetite" vbProcedure="false">Declarations!$B$16</definedName>
    <definedName function="false" hidden="false" name="Arr_from" vbProcedure="false">Assemble!$D$5:$D$18</definedName>
    <definedName function="false" hidden="false" name="Arr_to" vbProcedure="false">Assemble!$E$5:$E$18</definedName>
    <definedName function="false" hidden="false" name="A_keep" vbProcedure="false">Declarations!$B$23</definedName>
    <definedName function="false" hidden="false" name="Buf_pct" vbProcedure="false">Declarations!$B$13</definedName>
    <definedName function="false" hidden="false" name="Cap_floor" vbProcedure="false">Declarations!$B$19</definedName>
    <definedName function="false" hidden="false" name="Cap_today" vbProcedure="false">Declarations!$B$18</definedName>
    <definedName function="false" hidden="false" name="Comps" vbProcedure="false">Assemble!$A$5:$A$11</definedName>
    <definedName function="false" hidden="false" name="C_pass" vbProcedure="false">Declarations!$B$24</definedName>
    <definedName function="false" hidden="false" name="Delta_q" vbProcedure="false">Declarations!$B$20</definedName>
    <definedName function="false" hidden="false" name="Depth_ph" vbProcedure="false">Declarations!$B$8</definedName>
    <definedName function="false" hidden="false" name="Floor_liq" vbProcedure="false">Declarations!$B$5</definedName>
    <definedName function="false" hidden="false" name="G_scale" vbProcedure="false">Declarations!$B$12</definedName>
    <definedName function="false" hidden="false" name="G_shape" vbProcedure="false">Declarations!$B$11</definedName>
    <definedName function="false" hidden="false" name="J_mean" vbProcedure="false">Declarations!$B$9</definedName>
    <definedName function="false" hidden="false" name="J_sd" vbProcedure="false">Declarations!$B$10</definedName>
    <definedName function="false" hidden="false" name="Line_cover" vbProcedure="false">Declarations!$B$15</definedName>
    <definedName function="false" hidden="false" name="Liq_today" vbProcedure="false">Declarations!$B$4</definedName>
    <definedName function="false" hidden="false" name="Med_pct" vbProcedure="false">Declarations!$B$14</definedName>
    <definedName function="false" hidden="false" name="Per_point" vbProcedure="false">Declarations!$B$7</definedName>
    <definedName function="false" hidden="false" name="Pool_cash" vbProcedure="false">Declarations!$B$6</definedName>
    <definedName function="false" hidden="false" name="Price_pt" vbProcedure="false">Declarations!$B$21</definedName>
    <definedName function="false" hidden="false" name="Ref_layer" vbProcedure="false">Assemble!$A$43:$A$75</definedName>
    <definedName function="false" hidden="false" name="Ref_name" vbProcedure="false">Assemble!$B$43:$B$75</definedName>
    <definedName function="false" hidden="false" name="Ref_ok" vbProcedure="false">Assemble!$D$43:$D$75</definedName>
    <definedName function="false" hidden="false" name="Rent_year" vbProcedure="false">Declarations!$B$22</definedName>
    <definedName function="false" hidden="false" name="Risk_ceiling" vbProcedure="false">Declarations!$B$17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<sst xmlns="http://schemas.openxmlformats.org/spreadsheetml/2006/main" count="962" uniqueCount="577">
  <si>
    <t xml:space="preserve">DCT Laboratory — Vol I, Ch 13: Unified Enterprise Transformation Architecture</t>
  </si>
  <si>
    <t xml:space="preserve">Seed 26113 · Companion to DCT_V1_Ch13_Lab.ipynb and AXIOM Lab 1.13 (module AXIOM-13). Money in $ million.</t>
  </si>
  <si>
    <t xml:space="preserve">Worked Example 13.1, Is the Same Cash Promised Twice?, with the book's declarations, and the five steps of AXIOM Lab 1.13, One Company, Five Ledgers.</t>
  </si>
  <si>
    <t xml:space="preserve">Declarations: the inputs of Worked Example 13.1, Chapter 1's model (Online Appendix 1.B.4), Figure 13.2's cycle.</t>
  </si>
  <si>
    <t xml:space="preserve">Assemble: Meridian's skeleton (Chapter 9), the layers' references, contracts and buffer identity, and the compatibility checks (C1)-(C5) at each attachment in two orders (lab step 1).</t>
  </si>
  <si>
    <t xml:space="preserve">Couplings: Figure 13.2's three-layer cycle quarter by quarter, and an interaction-matrix editor that finds rho(M) and its split by block by power iteration (lab step 2).</t>
  </si>
  <si>
    <t xml:space="preserve">Wavefront: distances on the skeleton by relaxation, the ledger clocks of the digital program and of a demand shock, the feedback core, and the ancestors of a tripwire (lab step 3).</t>
  </si>
  <si>
    <t xml:space="preserve">Ledgers: the program month by month in three ledgers, Figure 13.1 (lab step 5).</t>
  </si>
  <si>
    <t xml:space="preserve">JointCheck: the sign-offs, the joint check and the buffer line, Figure 13.3 (Worked Example 13.1, Steps 1-3; lab step 4).</t>
  </si>
  <si>
    <t xml:space="preserve">Repairs: Table 13.6 (Step 4). Decide: the separated verdicts against the unified one (Step 5; lab step 5).</t>
  </si>
  <si>
    <t xml:space="preserve">Only the breach odds and the average simulated low are the engine's (the book's 100,000 paths, seed 8; a fresh stream with the lab's seed 26113). Reference_Values and Checks: the notebook engine's numbers and a PASS/FAIL comparison with this workbook's formulas.</t>
  </si>
  <si>
    <t xml:space="preserve">LEGEND</t>
  </si>
  <si>
    <t xml:space="preserve">Input: blue on pale gold. A declaration from the book; change it to explore.</t>
  </si>
  <si>
    <t xml:space="preserve">Formula: black. Recalculates from the inputs.</t>
  </si>
  <si>
    <t xml:space="preserve">Engine value: green on pale green. Computed by the notebook's engine (the book's numbers); the Checks sheet compares the workbook's formulas with them.</t>
  </si>
  <si>
    <t xml:space="preserve">Cross-sheet link: green.</t>
  </si>
  <si>
    <t xml:space="preserve">Declarations (Worked Example 13.1, Step 1; Table 13.1). Money in $ million.</t>
  </si>
  <si>
    <t xml:space="preserve">Quantity</t>
  </si>
  <si>
    <t xml:space="preserve">Value</t>
  </si>
  <si>
    <t xml:space="preserve">Source</t>
  </si>
  <si>
    <t xml:space="preserve">Liquidity today ($ million)</t>
  </si>
  <si>
    <t xml:space="preserve">Table 3.1; Worked Example 13.1, Step 1</t>
  </si>
  <si>
    <t xml:space="preserve">The board's liquidity floor ($ million)</t>
  </si>
  <si>
    <t xml:space="preserve">Table 5.4; at treasury (Table 9.3)</t>
  </si>
  <si>
    <t xml:space="preserve">Cash above the floor ($ million)</t>
  </si>
  <si>
    <t xml:space="preserve">Worked Example 13.1: $270 million</t>
  </si>
  <si>
    <t xml:space="preserve">Liquidity per index point ($ million)</t>
  </si>
  <si>
    <t xml:space="preserve">Chapter 1: index 100 = $620 million</t>
  </si>
  <si>
    <t xml:space="preserve">Phased build: trough depth (index points)</t>
  </si>
  <si>
    <t xml:space="preserve">Chapter 8: depth 20 instead of 28</t>
  </si>
  <si>
    <t xml:space="preserve">Closure size: mean ($ million)</t>
  </si>
  <si>
    <t xml:space="preserve">Chapter 8, Worked Example 8.1</t>
  </si>
  <si>
    <t xml:space="preserve">Closure size: standard deviation ($ million)</t>
  </si>
  <si>
    <t xml:space="preserve">Closure law: gamma shape, (mean / sd)^2</t>
  </si>
  <si>
    <t xml:space="preserve">5.76</t>
  </si>
  <si>
    <t xml:space="preserve">Closure law: gamma scale, sd^2 / mean</t>
  </si>
  <si>
    <t xml:space="preserve">20.83</t>
  </si>
  <si>
    <t xml:space="preserve">The risk office's buffer: closure percentile</t>
  </si>
  <si>
    <t xml:space="preserve">Chapter 12: the 90th-percentile closure</t>
  </si>
  <si>
    <t xml:space="preserve">The relaxed buffer: closure percentile</t>
  </si>
  <si>
    <t xml:space="preserve">Worked Example 13.1, Step 4: the median closure</t>
  </si>
  <si>
    <t xml:space="preserve">Standby line: cover of any closure ($ million)</t>
  </si>
  <si>
    <t xml:space="preserve">Chapter 8</t>
  </si>
  <si>
    <t xml:space="preserve">The board's appetite: breach probability at most</t>
  </si>
  <si>
    <t xml:space="preserve">Strategic-risk ceiling</t>
  </si>
  <si>
    <t xml:space="preserve">Table 9.3</t>
  </si>
  <si>
    <t xml:space="preserve">Workforce capability today</t>
  </si>
  <si>
    <t xml:space="preserve">Table 3.1</t>
  </si>
  <si>
    <t xml:space="preserve">Capability floor for the digital build</t>
  </si>
  <si>
    <t xml:space="preserve">Table 9.3 (engineering, Digital)</t>
  </si>
  <si>
    <t xml:space="preserve">Capability lost a quarter</t>
  </si>
  <si>
    <t xml:space="preserve">Chapter 10</t>
  </si>
  <si>
    <t xml:space="preserve">Price of a capability point ($ million)</t>
  </si>
  <si>
    <t xml:space="preserve">Capability rent ($ million a year), delta x 58 x 4 quarters x price</t>
  </si>
  <si>
    <t xml:space="preserve">Table 13.1: $23 million a year</t>
  </si>
  <si>
    <t xml:space="preserve">Cycle: share of a loss each layer keeps a quarter, a</t>
  </si>
  <si>
    <t xml:space="preserve">Figure 13.2</t>
  </si>
  <si>
    <t xml:space="preserve">Cycle: share passed on to the next layer, c</t>
  </si>
  <si>
    <t xml:space="preserve">Figure 13.2: 0.25 (also 0.40)</t>
  </si>
  <si>
    <t xml:space="preserve">Chapter 1 model (Online Appendix 1.B.4)</t>
  </si>
  <si>
    <t xml:space="preserve">Today</t>
  </si>
  <si>
    <t xml:space="preserve">Target</t>
  </si>
  <si>
    <t xml:space="preserve">Speed a year</t>
  </si>
  <si>
    <t xml:space="preserve">Trough (signed)</t>
  </si>
  <si>
    <t xml:space="preserve">Trough time (years)</t>
  </si>
  <si>
    <t xml:space="preserve">Liquidity index (today = 100)</t>
  </si>
  <si>
    <t xml:space="preserve">Technology platform</t>
  </si>
  <si>
    <t xml:space="preserve">Operational efficiency</t>
  </si>
  <si>
    <t xml:space="preserve">Strategic risk</t>
  </si>
  <si>
    <t xml:space="preserve">x(t) = target + (today - target) e^(-speed t) + trough (t / trough time) e^(1 - t / trough time), t in years; technology has no trough. The digital program's paths, as in Chapters 1, 8 and 13.</t>
  </si>
  <si>
    <t xml:space="preserve">Assemble: Meridian's unified architecture on one skeleton (Theorems 13.1 and 13.2(i); Definition 13.4; Table 13.1; AXIOM Lab 1.13, step 1)</t>
  </si>
  <si>
    <t xml:space="preserve">Attach the layers in two orders. Integration adjoins a declaration (Definition 13.3), so the result is the same; only the step at which (C4) fails moves.</t>
  </si>
  <si>
    <t xml:space="preserve">Component (Table 9.1)</t>
  </si>
  <si>
    <t xml:space="preserve">Name</t>
  </si>
  <si>
    <t xml:space="preserve">Arrow from</t>
  </si>
  <si>
    <t xml:space="preserve">to</t>
  </si>
  <si>
    <t xml:space="preserve">Type (Worked Example 9.1)</t>
  </si>
  <si>
    <t xml:space="preserve">Endpoints resolve</t>
  </si>
  <si>
    <t xml:space="preserve">Constraint (Table 9.3)</t>
  </si>
  <si>
    <t xml:space="preserve">Scope</t>
  </si>
  <si>
    <t xml:space="preserve">MKT</t>
  </si>
  <si>
    <t xml:space="preserve">market</t>
  </si>
  <si>
    <t xml:space="preserve">IND</t>
  </si>
  <si>
    <t xml:space="preserve">demand</t>
  </si>
  <si>
    <t xml:space="preserve">Covenant: net leverage at most 4.5x</t>
  </si>
  <si>
    <t xml:space="preserve">TRS</t>
  </si>
  <si>
    <t xml:space="preserve">GOV</t>
  </si>
  <si>
    <t xml:space="preserve">governance</t>
  </si>
  <si>
    <t xml:space="preserve">DIG</t>
  </si>
  <si>
    <t xml:space="preserve">Liquidity floor of $350 million</t>
  </si>
  <si>
    <t xml:space="preserve">MAT</t>
  </si>
  <si>
    <t xml:space="preserve">Advanced Materials</t>
  </si>
  <si>
    <t xml:space="preserve">Plant capacity</t>
  </si>
  <si>
    <t xml:space="preserve">Industrial Systems</t>
  </si>
  <si>
    <t xml:space="preserve">cash</t>
  </si>
  <si>
    <t xml:space="preserve">Strategic-risk ceiling of 75</t>
  </si>
  <si>
    <t xml:space="preserve">IND, DIG, MAT</t>
  </si>
  <si>
    <t xml:space="preserve">Digital Solutions</t>
  </si>
  <si>
    <t xml:space="preserve">Capability of at least 55 for the digital build</t>
  </si>
  <si>
    <t xml:space="preserve">ENG, DIG</t>
  </si>
  <si>
    <t xml:space="preserve">ENG</t>
  </si>
  <si>
    <t xml:space="preserve">shared engineering</t>
  </si>
  <si>
    <t xml:space="preserve">treasury</t>
  </si>
  <si>
    <t xml:space="preserve">funding</t>
  </si>
  <si>
    <t xml:space="preserve">capability</t>
  </si>
  <si>
    <t xml:space="preserve">policy</t>
  </si>
  <si>
    <t xml:space="preserve">Form of capital (Table 10.1)</t>
  </si>
  <si>
    <t xml:space="preserve">Performance dimension (Table 11.2)</t>
  </si>
  <si>
    <t xml:space="preserve">Financial</t>
  </si>
  <si>
    <t xml:space="preserve">Human</t>
  </si>
  <si>
    <t xml:space="preserve">Operational</t>
  </si>
  <si>
    <t xml:space="preserve">Intellectual</t>
  </si>
  <si>
    <t xml:space="preserve">Strategic</t>
  </si>
  <si>
    <t xml:space="preserve">Technological</t>
  </si>
  <si>
    <t xml:space="preserve">Organizational</t>
  </si>
  <si>
    <t xml:space="preserve">Relational</t>
  </si>
  <si>
    <t xml:space="preserve">Innovation</t>
  </si>
  <si>
    <t xml:space="preserve">Governance</t>
  </si>
  <si>
    <t xml:space="preserve">Environmental</t>
  </si>
  <si>
    <t xml:space="preserve">Resilience</t>
  </si>
  <si>
    <t xml:space="preserve">Informational</t>
  </si>
  <si>
    <t xml:space="preserve">Sustainability</t>
  </si>
  <si>
    <t xml:space="preserve">Counts</t>
  </si>
  <si>
    <t xml:space="preserve">Book</t>
  </si>
  <si>
    <t xml:space="preserve">Components</t>
  </si>
  <si>
    <t xml:space="preserve">Table 13.1: seven</t>
  </si>
  <si>
    <t xml:space="preserve">Arrows</t>
  </si>
  <si>
    <t xml:space="preserve">Worked Example 9.1: fourteen</t>
  </si>
  <si>
    <t xml:space="preserve">Arrows whose endpoints resolve</t>
  </si>
  <si>
    <t xml:space="preserve">Forms of capital</t>
  </si>
  <si>
    <t xml:space="preserve">Table 13.1: ten forms</t>
  </si>
  <si>
    <t xml:space="preserve">Performance dimensions</t>
  </si>
  <si>
    <t xml:space="preserve">Table 13.1: ten dimensions</t>
  </si>
  <si>
    <t xml:space="preserve">Capability rent ($ million a year)</t>
  </si>
  <si>
    <t xml:space="preserve">Table 13.1: $23 million</t>
  </si>
  <si>
    <t xml:space="preserve">Layer</t>
  </si>
  <si>
    <t xml:space="preserve">Carrier, support, write set or buffer</t>
  </si>
  <si>
    <t xml:space="preserve">Component</t>
  </si>
  <si>
    <t xml:space="preserve">Resolves (C1)</t>
  </si>
  <si>
    <t xml:space="preserve">References</t>
  </si>
  <si>
    <t xml:space="preserve">Unresolved (C1)</t>
  </si>
  <si>
    <t xml:space="preserve">transformation</t>
  </si>
  <si>
    <t xml:space="preserve">digital build: write set</t>
  </si>
  <si>
    <t xml:space="preserve">capital</t>
  </si>
  <si>
    <t xml:space="preserve">program draw D</t>
  </si>
  <si>
    <t xml:space="preserve">performance</t>
  </si>
  <si>
    <t xml:space="preserve">liquidity</t>
  </si>
  <si>
    <t xml:space="preserve">risk</t>
  </si>
  <si>
    <t xml:space="preserve">net leverage</t>
  </si>
  <si>
    <t xml:space="preserve">workforce capability</t>
  </si>
  <si>
    <t xml:space="preserve">cash above the floor A</t>
  </si>
  <si>
    <t xml:space="preserve">P_F</t>
  </si>
  <si>
    <t xml:space="preserve">P_O</t>
  </si>
  <si>
    <t xml:space="preserve">P_S</t>
  </si>
  <si>
    <t xml:space="preserve">P_T</t>
  </si>
  <si>
    <t xml:space="preserve">P_I</t>
  </si>
  <si>
    <t xml:space="preserve">P_R</t>
  </si>
  <si>
    <t xml:space="preserve">R_F</t>
  </si>
  <si>
    <t xml:space="preserve">R_O</t>
  </si>
  <si>
    <t xml:space="preserve">R_S</t>
  </si>
  <si>
    <t xml:space="preserve">R_T</t>
  </si>
  <si>
    <t xml:space="preserve">R_G</t>
  </si>
  <si>
    <t xml:space="preserve">R_L</t>
  </si>
  <si>
    <t xml:space="preserve">R_E</t>
  </si>
  <si>
    <t xml:space="preserve">strategic-risk ceiling</t>
  </si>
  <si>
    <t xml:space="preserve">closure buffer B</t>
  </si>
  <si>
    <t xml:space="preserve">Indicator</t>
  </si>
  <si>
    <t xml:space="preserve">Contract (Table 5.2)</t>
  </si>
  <si>
    <t xml:space="preserve">Capital reads it with</t>
  </si>
  <si>
    <t xml:space="preserve">Performance reads it with</t>
  </si>
  <si>
    <t xml:space="preserve">Risk reads it with</t>
  </si>
  <si>
    <t xml:space="preserve">One contract (C2)</t>
  </si>
  <si>
    <t xml:space="preserve">treasury systems, +/-1%</t>
  </si>
  <si>
    <t xml:space="preserve">audited accounts, +/-2%</t>
  </si>
  <si>
    <t xml:space="preserve">skills survey, +/-5 points</t>
  </si>
  <si>
    <t xml:space="preserve">technology platform</t>
  </si>
  <si>
    <t xml:space="preserve">architecture audit, +/-4 points</t>
  </si>
  <si>
    <t xml:space="preserve">operational efficiency</t>
  </si>
  <si>
    <t xml:space="preserve">cost benchmarking, +/-3 points</t>
  </si>
  <si>
    <t xml:space="preserve">strategic risk</t>
  </si>
  <si>
    <t xml:space="preserve">risk committee, +/-6 points</t>
  </si>
  <si>
    <t xml:space="preserve">Buffer (risk layer)</t>
  </si>
  <si>
    <t xml:space="preserve">Funding stock it names</t>
  </si>
  <si>
    <t xml:space="preserve">Declared by the capital layer (C3)</t>
  </si>
  <si>
    <t xml:space="preserve">Claims on treasury cash (C4)</t>
  </si>
  <si>
    <t xml:space="preserve">Value ($ million)</t>
  </si>
  <si>
    <t xml:space="preserve">Order 1: transformation, capital, performance, risk</t>
  </si>
  <si>
    <t xml:space="preserve">Step</t>
  </si>
  <si>
    <t xml:space="preserve">Layer attached</t>
  </si>
  <si>
    <t xml:space="preserve">Transformation</t>
  </si>
  <si>
    <t xml:space="preserve">Capital</t>
  </si>
  <si>
    <t xml:space="preserve">Performance</t>
  </si>
  <si>
    <t xml:space="preserve">Risk</t>
  </si>
  <si>
    <t xml:space="preserve">Unresolved references</t>
  </si>
  <si>
    <t xml:space="preserve">C1</t>
  </si>
  <si>
    <t xml:space="preserve">C2</t>
  </si>
  <si>
    <t xml:space="preserve">C3</t>
  </si>
  <si>
    <t xml:space="preserve">Claims on treasury cash</t>
  </si>
  <si>
    <t xml:space="preserve">C4</t>
  </si>
  <si>
    <t xml:space="preserve">C5: the digital build's domain</t>
  </si>
  <si>
    <t xml:space="preserve">C2 helper: liquidity</t>
  </si>
  <si>
    <t xml:space="preserve">C2 helper: net leverage</t>
  </si>
  <si>
    <t xml:space="preserve">C2 helper: workforce capability</t>
  </si>
  <si>
    <t xml:space="preserve">C2 helper: technology platform</t>
  </si>
  <si>
    <t xml:space="preserve">C2 helper: operational efficiency</t>
  </si>
  <si>
    <t xml:space="preserve">C2 helper: strategic risk</t>
  </si>
  <si>
    <t xml:space="preserve">Order 2: capital, risk, performance, transformation</t>
  </si>
  <si>
    <t xml:space="preserve">After the last attachment</t>
  </si>
  <si>
    <t xml:space="preserve">Reading</t>
  </si>
  <si>
    <t xml:space="preserve">Claims on treasury cash, order 1</t>
  </si>
  <si>
    <t xml:space="preserve">$325 million (Worked Example 13.1)</t>
  </si>
  <si>
    <t xml:space="preserve">Claims on treasury cash, order 2</t>
  </si>
  <si>
    <t xml:space="preserve">The same checks in both orders</t>
  </si>
  <si>
    <t xml:space="preserve">Theorem 13.2(i): order does not matter</t>
  </si>
  <si>
    <t xml:space="preserve">Joint check: cash less the claims</t>
  </si>
  <si>
    <t xml:space="preserve">infeasible by $55 million</t>
  </si>
  <si>
    <t xml:space="preserve">Unresolved references, all layers</t>
  </si>
  <si>
    <t xml:space="preserve">(C1) holds</t>
  </si>
  <si>
    <t xml:space="preserve">Wire the couplings: every layer passes, the whole fails (Theorem 13.3(ii); Figure 13.2; Online Appendix 13.B.1; AXIOM Lab 1.13, step 2)</t>
  </si>
  <si>
    <t xml:space="preserve">Losses propagate as l(k+1) = M l(k), rows receiving. The total impact of a unit loss is finite exactly when rho(M) &lt; 1.</t>
  </si>
  <si>
    <t xml:space="preserve">Figure 13.2's cycle: M (rows receive)</t>
  </si>
  <si>
    <t xml:space="preserve">from capital</t>
  </si>
  <si>
    <t xml:space="preserve">from performance</t>
  </si>
  <si>
    <t xml:space="preserve">from risk</t>
  </si>
  <si>
    <t xml:space="preserve">Cross-layer share c</t>
  </si>
  <si>
    <t xml:space="preserve">rho(M) = a + c</t>
  </si>
  <si>
    <t xml:space="preserve">Total impact</t>
  </si>
  <si>
    <t xml:space="preserve">Each layer alone</t>
  </si>
  <si>
    <t xml:space="preserve">to capital</t>
  </si>
  <si>
    <t xml:space="preserve">to performance</t>
  </si>
  <si>
    <t xml:space="preserve">to risk</t>
  </si>
  <si>
    <t xml:space="preserve">Column sums</t>
  </si>
  <si>
    <t xml:space="preserve">Each layer's own radius, a</t>
  </si>
  <si>
    <t xml:space="preserve">every layer passes its own test</t>
  </si>
  <si>
    <t xml:space="preserve">Each layer alone: total impact of a unit shock, 1/(1 - a)</t>
  </si>
  <si>
    <t xml:space="preserve">Figure 13.2: 2</t>
  </si>
  <si>
    <t xml:space="preserve">rho(M): every column sums to a + c</t>
  </si>
  <si>
    <t xml:space="preserve">Online Appendix 13.B.1</t>
  </si>
  <si>
    <t xml:space="preserve">The whole: total impact, 1/(1 - a - c)</t>
  </si>
  <si>
    <t xml:space="preserve">Figure 13.2: 4 at c = 0.25</t>
  </si>
  <si>
    <t xml:space="preserve">Diagonal blocks' part of rho(M)</t>
  </si>
  <si>
    <t xml:space="preserve">uniform Perron vectors: exactly a</t>
  </si>
  <si>
    <t xml:space="preserve">The editor's spectral report</t>
  </si>
  <si>
    <t xml:space="preserve">Cross-layer blocks' part of rho(M)</t>
  </si>
  <si>
    <t xml:space="preserve">exactly c: the whole difference</t>
  </si>
  <si>
    <t xml:space="preserve">rho(M), by power iteration</t>
  </si>
  <si>
    <t xml:space="preserve">Cumulative bill after 200 quarters (table below)</t>
  </si>
  <si>
    <t xml:space="preserve">the series sums to 1/(1 - a - c)</t>
  </si>
  <si>
    <t xml:space="preserve">Layer radii: capital, performance, risk</t>
  </si>
  <si>
    <t xml:space="preserve">Interaction-matrix editor: enter any gains</t>
  </si>
  <si>
    <t xml:space="preserve">Largest layer radius</t>
  </si>
  <si>
    <t xml:space="preserve">Quarter</t>
  </si>
  <si>
    <t xml:space="preserve">Loss at capital</t>
  </si>
  <si>
    <t xml:space="preserve">at performance</t>
  </si>
  <si>
    <t xml:space="preserve">at risk</t>
  </si>
  <si>
    <t xml:space="preserve">This quarter</t>
  </si>
  <si>
    <t xml:space="preserve">Cumulative bill</t>
  </si>
  <si>
    <t xml:space="preserve">Verdict</t>
  </si>
  <si>
    <t xml:space="preserve">Total impact of a unit loss at capital</t>
  </si>
  <si>
    <t xml:space="preserve">Iteration</t>
  </si>
  <si>
    <t xml:space="preserve">v capital</t>
  </si>
  <si>
    <t xml:space="preserve">v performance</t>
  </si>
  <si>
    <t xml:space="preserve">v risk</t>
  </si>
  <si>
    <t xml:space="preserve">rho estimate</t>
  </si>
  <si>
    <t xml:space="preserve">u capital</t>
  </si>
  <si>
    <t xml:space="preserve">u performance</t>
  </si>
  <si>
    <t xml:space="preserve">u risk</t>
  </si>
  <si>
    <t xml:space="preserve">The total impact: column 1 of (I - M)^-1 by cofactors</t>
  </si>
  <si>
    <t xml:space="preserve">det(I - M)</t>
  </si>
  <si>
    <t xml:space="preserve">Cofactor C11 of I - M</t>
  </si>
  <si>
    <t xml:space="preserve">Cofactor C12 of I - M</t>
  </si>
  <si>
    <t xml:space="preserve">Cofactor C13 of I - M</t>
  </si>
  <si>
    <t xml:space="preserve">Power iteration: v' = Mv / sum(Mv) and u' = u'M / sum(u'M), from equal weights. Each block's part is u_l M_ll' v_l' / u'v; the diagonal and the cross-layer parts add up to rho(M).</t>
  </si>
  <si>
    <t xml:space="preserve">Follow the wavefront: the ledger clocks (Proposition 13.2; Theorem 13.4(iii); Online Appendix 13.B.3; AXIOM Lab 1.13, step 3)</t>
  </si>
  <si>
    <t xml:space="preserve">Distances on the skeleton by relaxation: D(u,v) = min(D(u,v), min over arrows w -&gt; v of D(u,w) + 1). 99 means never.</t>
  </si>
  <si>
    <t xml:space="preserve">Arrows (row sends, column receives)</t>
  </si>
  <si>
    <t xml:space="preserve">Arrows into (row receives from column)</t>
  </si>
  <si>
    <t xml:space="preserve">Distance using at most 1 arrows</t>
  </si>
  <si>
    <t xml:space="preserve">Distance using at most 2 arrows</t>
  </si>
  <si>
    <t xml:space="preserve">Distance using at most 3 arrows</t>
  </si>
  <si>
    <t xml:space="preserve">Distance using at most 4 arrows</t>
  </si>
  <si>
    <t xml:space="preserve">Distance using at most 5 arrows</t>
  </si>
  <si>
    <t xml:space="preserve">Distance using at most 6 arrows</t>
  </si>
  <si>
    <t xml:space="preserve">Distance (final): quarters, 99 = never</t>
  </si>
  <si>
    <t xml:space="preserve">Quarters from the digital program (Digital, engineering)</t>
  </si>
  <si>
    <t xml:space="preserve">Quarters from a demand shock (market)</t>
  </si>
  <si>
    <t xml:space="preserve">Program</t>
  </si>
  <si>
    <t xml:space="preserve">Shock</t>
  </si>
  <si>
    <t xml:space="preserve">Ledger clocks</t>
  </si>
  <si>
    <t xml:space="preserve">Quarters</t>
  </si>
  <si>
    <t xml:space="preserve">Program: treasury</t>
  </si>
  <si>
    <t xml:space="preserve">Online Appendix 13.B.3: one quarter</t>
  </si>
  <si>
    <t xml:space="preserve">Program: Industrial Systems</t>
  </si>
  <si>
    <t xml:space="preserve">one quarter</t>
  </si>
  <si>
    <t xml:space="preserve">Program: components never reached</t>
  </si>
  <si>
    <t xml:space="preserve">Materials, the market, governance</t>
  </si>
  <si>
    <t xml:space="preserve">Demand shock: the slowest division</t>
  </si>
  <si>
    <t xml:space="preserve">the divisions after one quarter</t>
  </si>
  <si>
    <t xml:space="preserve">Demand shock: engineering</t>
  </si>
  <si>
    <t xml:space="preserve">two quarters</t>
  </si>
  <si>
    <t xml:space="preserve">Demand shock: treasury</t>
  </si>
  <si>
    <t xml:space="preserve">Digital alone: Industrial Systems</t>
  </si>
  <si>
    <t xml:space="preserve">Table 11.4's floor of 2 for P_T -&gt; P_O</t>
  </si>
  <si>
    <t xml:space="preserve">Ledger</t>
  </si>
  <si>
    <t xml:space="preserve">Readout (Tables 9.1, 9.3, 11.4, 12.2)</t>
  </si>
  <si>
    <t xml:space="preserve">Support 1</t>
  </si>
  <si>
    <t xml:space="preserve">Support 2</t>
  </si>
  <si>
    <t xml:space="preserve">Support 3</t>
  </si>
  <si>
    <t xml:space="preserve">Program clock</t>
  </si>
  <si>
    <t xml:space="preserve">Shock clock</t>
  </si>
  <si>
    <t xml:space="preserve">Engine: program</t>
  </si>
  <si>
    <t xml:space="preserve">Engine: shock</t>
  </si>
  <si>
    <t xml:space="preserve">Match</t>
  </si>
  <si>
    <t xml:space="preserve">liquidity (financial capital)</t>
  </si>
  <si>
    <t xml:space="preserve">net leverage (financial capital)</t>
  </si>
  <si>
    <t xml:space="preserve">workforce capability (human capital)</t>
  </si>
  <si>
    <t xml:space="preserve">P_F financial</t>
  </si>
  <si>
    <t xml:space="preserve">P_O operational</t>
  </si>
  <si>
    <t xml:space="preserve">P_S strategic</t>
  </si>
  <si>
    <t xml:space="preserve">P_T technological</t>
  </si>
  <si>
    <t xml:space="preserve">P_I innovation</t>
  </si>
  <si>
    <t xml:space="preserve">P_R resilience</t>
  </si>
  <si>
    <t xml:space="preserve">R_F financial: floor, covenant</t>
  </si>
  <si>
    <t xml:space="preserve">R_O operational</t>
  </si>
  <si>
    <t xml:space="preserve">R_S strategic</t>
  </si>
  <si>
    <t xml:space="preserve">R_T technological</t>
  </si>
  <si>
    <t xml:space="preserve">R_G governance</t>
  </si>
  <si>
    <t xml:space="preserve">R_L legal and regulatory</t>
  </si>
  <si>
    <t xml:space="preserve">R_E environmental</t>
  </si>
  <si>
    <t xml:space="preserve">Readouts whose two clocks match the engine</t>
  </si>
  <si>
    <t xml:space="preserve">Mutual reach (u, w): both ways</t>
  </si>
  <si>
    <t xml:space="preserve">On a cycle</t>
  </si>
  <si>
    <t xml:space="preserve">Feedback core: components on a cycle</t>
  </si>
  <si>
    <t xml:space="preserve">Table 13.1: a feedback core of four</t>
  </si>
  <si>
    <t xml:space="preserve">Ancestors of treasury: suspects for a tripwire there</t>
  </si>
  <si>
    <t xml:space="preserve">Theorem 13.5(v): every component</t>
  </si>
  <si>
    <t xml:space="preserve">Ancestors of Materials: suspects for a tripwire there</t>
  </si>
  <si>
    <t xml:space="preserve">the market and Materials</t>
  </si>
  <si>
    <t xml:space="preserve">Run the program on one clock: three ledgers month by month (Proposition 13.2; Theorem 13.4; Figure 13.1; AXIOM Lab 1.13, step 5)</t>
  </si>
  <si>
    <t xml:space="preserve">Chapter 1's model (Declarations rows 27-30): capital (liquidity), performance (the CFO's scorecard, (L + T + E - R)/4), risk (strategic risk against the ceiling of 75, measured +/-6).</t>
  </si>
  <si>
    <t xml:space="preserve">Month</t>
  </si>
  <si>
    <t xml:space="preserve">Years</t>
  </si>
  <si>
    <t xml:space="preserve">Liquidity index</t>
  </si>
  <si>
    <t xml:space="preserve">Technology</t>
  </si>
  <si>
    <t xml:space="preserve">Efficiency</t>
  </si>
  <si>
    <t xml:space="preserve">Liquidity ($ million)</t>
  </si>
  <si>
    <t xml:space="preserve">CFO's scorecard</t>
  </si>
  <si>
    <t xml:space="preserve">The three clocks</t>
  </si>
  <si>
    <t xml:space="preserve">Book (Figure 13.1; Online Appendix 13.B.4)</t>
  </si>
  <si>
    <t xml:space="preserve">Scorecard today</t>
  </si>
  <si>
    <t xml:space="preserve">37.0</t>
  </si>
  <si>
    <t xml:space="preserve">Liquidity low ($ million)</t>
  </si>
  <si>
    <t xml:space="preserve">$482 million</t>
  </si>
  <si>
    <t xml:space="preserve">Month of the liquidity low</t>
  </si>
  <si>
    <t xml:space="preserve">month 21</t>
  </si>
  <si>
    <t xml:space="preserve">Scorecard low</t>
  </si>
  <si>
    <t xml:space="preserve">32.1</t>
  </si>
  <si>
    <t xml:space="preserve">Month of the scorecard low</t>
  </si>
  <si>
    <t xml:space="preserve">month 11</t>
  </si>
  <si>
    <t xml:space="preserve">Month the scorecard regains today's level</t>
  </si>
  <si>
    <t xml:space="preserve">month 29</t>
  </si>
  <si>
    <t xml:space="preserve">Scorecard in that month</t>
  </si>
  <si>
    <t xml:space="preserve">37.19</t>
  </si>
  <si>
    <t xml:space="preserve">Strategic-risk peak</t>
  </si>
  <si>
    <t xml:space="preserve">73.55</t>
  </si>
  <si>
    <t xml:space="preserve">Month of the risk peak</t>
  </si>
  <si>
    <t xml:space="preserve">The ceiling's distance at the peak</t>
  </si>
  <si>
    <t xml:space="preserve">1.4 points, inside the +/-6 error</t>
  </si>
  <si>
    <t xml:space="preserve">Month 11: liquidity ($ million)</t>
  </si>
  <si>
    <t xml:space="preserve">a falling but ample cushion</t>
  </si>
  <si>
    <t xml:space="preserve">Month 11: liquidity's change over the month</t>
  </si>
  <si>
    <t xml:space="preserve">falling</t>
  </si>
  <si>
    <t xml:space="preserve">Month 11: scorecard</t>
  </si>
  <si>
    <t xml:space="preserve">a failing program</t>
  </si>
  <si>
    <t xml:space="preserve">Month 11: strategic risk</t>
  </si>
  <si>
    <t xml:space="preserve">the ceiling 1.4 points away</t>
  </si>
  <si>
    <t xml:space="preserve">Read the sign-offs and walk the cycle as one constraint (Worked Example 13.1, Steps 1-3; Theorem 13.5(iii); Figure 13.3; AXIOM Lab 1.13, step 4)</t>
  </si>
  <si>
    <t xml:space="preserve">Chapter 8's plan, quarterly: liquidity = $6.2 million x Chapter 1's index. The phased build's trough is 20 deep instead of 28.</t>
  </si>
  <si>
    <t xml:space="preserve">Plan: index</t>
  </si>
  <si>
    <t xml:space="preserve">Plan: liquidity ($ million)</t>
  </si>
  <si>
    <t xml:space="preserve">Phased: index</t>
  </si>
  <si>
    <t xml:space="preserve">Phased: liquidity ($ million)</t>
  </si>
  <si>
    <t xml:space="preserve">Plan inside the buffer line</t>
  </si>
  <si>
    <t xml:space="preserve">Phased inside the buffer line</t>
  </si>
  <si>
    <t xml:space="preserve">The sign-offs and the joint check</t>
  </si>
  <si>
    <t xml:space="preserve">Cash above the floor, A</t>
  </si>
  <si>
    <t xml:space="preserve">$270 million</t>
  </si>
  <si>
    <t xml:space="preserve">The plan's lowest liquidity</t>
  </si>
  <si>
    <t xml:space="preserve">The program's deepest draw, D</t>
  </si>
  <si>
    <t xml:space="preserve">$138 million</t>
  </si>
  <si>
    <t xml:space="preserve">Quarter of the deepest draw</t>
  </si>
  <si>
    <t xml:space="preserve">quarter 7</t>
  </si>
  <si>
    <t xml:space="preserve">Funding sign-off (CFO, transformation office): D within A</t>
  </si>
  <si>
    <t xml:space="preserve">funded</t>
  </si>
  <si>
    <t xml:space="preserve">Funding sign-off: spare</t>
  </si>
  <si>
    <t xml:space="preserve">$132 million</t>
  </si>
  <si>
    <t xml:space="preserve">Closure: median</t>
  </si>
  <si>
    <t xml:space="preserve">$113 million</t>
  </si>
  <si>
    <t xml:space="preserve">Closure: 90th percentile, the buffer B</t>
  </si>
  <si>
    <t xml:space="preserve">$187 million</t>
  </si>
  <si>
    <t xml:space="preserve">Buffer sign-off (CFO, CRO): B within A</t>
  </si>
  <si>
    <t xml:space="preserve">Buffer sign-off: spare</t>
  </si>
  <si>
    <t xml:space="preserve">$83 million</t>
  </si>
  <si>
    <t xml:space="preserve">Schedule sign-off (transformation office, CRO)</t>
  </si>
  <si>
    <t xml:space="preserve">no constraint on the pair alone: pass</t>
  </si>
  <si>
    <t xml:space="preserve">within appetite, because the buffer is held</t>
  </si>
  <si>
    <t xml:space="preserve">Joint check: D + B</t>
  </si>
  <si>
    <t xml:space="preserve">$325 million</t>
  </si>
  <si>
    <t xml:space="preserve">Joint check: A - (D + B)</t>
  </si>
  <si>
    <t xml:space="preserve">Joint check</t>
  </si>
  <si>
    <t xml:space="preserve">the same cash promised twice</t>
  </si>
  <si>
    <t xml:space="preserve">Buffer line: floor + B</t>
  </si>
  <si>
    <t xml:space="preserve">$537 million</t>
  </si>
  <si>
    <t xml:space="preserve">Plan inside the buffer line: quarters</t>
  </si>
  <si>
    <t xml:space="preserve">quarters 3-12</t>
  </si>
  <si>
    <t xml:space="preserve">Plan inside the buffer line: first quarter</t>
  </si>
  <si>
    <t xml:space="preserve">quarter 3</t>
  </si>
  <si>
    <t xml:space="preserve">Plan inside the buffer line: last quarter</t>
  </si>
  <si>
    <t xml:space="preserve">quarter 12</t>
  </si>
  <si>
    <t xml:space="preserve">Plan inside the buffer line: deepest</t>
  </si>
  <si>
    <t xml:space="preserve">55 deep at quarter 7</t>
  </si>
  <si>
    <t xml:space="preserve">The phased build's lowest liquidity</t>
  </si>
  <si>
    <t xml:space="preserve">$531 million</t>
  </si>
  <si>
    <t xml:space="preserve">Phased inside the buffer line: first quarter</t>
  </si>
  <si>
    <t xml:space="preserve">quarters 5-8</t>
  </si>
  <si>
    <t xml:space="preserve">The phased build's deepest draw</t>
  </si>
  <si>
    <t xml:space="preserve">$89 million</t>
  </si>
  <si>
    <t xml:space="preserve">Phased inside the buffer line: last quarter</t>
  </si>
  <si>
    <t xml:space="preserve">Phased inside the buffer line: deepest</t>
  </si>
  <si>
    <t xml:space="preserve">at most 6</t>
  </si>
  <si>
    <t xml:space="preserve">Constraint graph of D + B &lt;= A: nodes</t>
  </si>
  <si>
    <t xml:space="preserve">draw, buffer, cash (Online Appendix 13.B.2)</t>
  </si>
  <si>
    <t xml:space="preserve">Edges: every pair shares the one scope</t>
  </si>
  <si>
    <t xml:space="preserve">a triangle</t>
  </si>
  <si>
    <t xml:space="preserve">Independent cycles: edges - nodes + 1</t>
  </si>
  <si>
    <t xml:space="preserve">a cycle: bilateral checks cannot certify it</t>
  </si>
  <si>
    <t xml:space="preserve">Repair it three ways: Table 13.6 (Worked Example 13.1, Step 4; Online Appendix 13.B.4)</t>
  </si>
  <si>
    <t xml:space="preserve">The draw is the program's deepest cash draw; the cash buffer is the closure percentile the risk office declares, less the standby line's cover.</t>
  </si>
  <si>
    <t xml:space="preserve">Declaration</t>
  </si>
  <si>
    <t xml:space="preserve">Draw</t>
  </si>
  <si>
    <t xml:space="preserve">Cash buffer</t>
  </si>
  <si>
    <t xml:space="preserve">Total claims</t>
  </si>
  <si>
    <t xml:space="preserve">Spare cash</t>
  </si>
  <si>
    <t xml:space="preserve">Ledger of the repair</t>
  </si>
  <si>
    <t xml:space="preserve">As signed off</t>
  </si>
  <si>
    <t xml:space="preserve">-</t>
  </si>
  <si>
    <t xml:space="preserve">Buffer at the median closure</t>
  </si>
  <si>
    <t xml:space="preserve">Phased build</t>
  </si>
  <si>
    <t xml:space="preserve">Standby line</t>
  </si>
  <si>
    <t xml:space="preserve">Both levers</t>
  </si>
  <si>
    <t xml:space="preserve">transformation + capital</t>
  </si>
  <si>
    <t xml:space="preserve">Relaxing the buffer to the median passes only by lowering the bar: half of all closures would exceed it, and the breach odds stay at 24.6 percent (Decide).</t>
  </si>
  <si>
    <t xml:space="preserve">Decide in one place: the separated verdicts and the unified one (Worked Example 13.1, Step 5; Proposition 13.5; AXIOM Lab 1.13, step 5)</t>
  </si>
  <si>
    <t xml:space="preserve">Breach odds: the engine's simulation of Chapter 8's 100,000 paths with the book's seed 8 (Worked Example 12.1); the fresh stream uses the lab's seed 26113.</t>
  </si>
  <si>
    <t xml:space="preserve">Spare cash (joint check)</t>
  </si>
  <si>
    <t xml:space="preserve">Breach probability (engine, seed 8)</t>
  </si>
  <si>
    <t xml:space="preserve">Standard error (engine)</t>
  </si>
  <si>
    <t xml:space="preserve">Risk ledger: within the appetite</t>
  </si>
  <si>
    <t xml:space="preserve">Every ledger</t>
  </si>
  <si>
    <t xml:space="preserve">Fresh stream (engine, seed 26113)</t>
  </si>
  <si>
    <t xml:space="preserve">Separated choices (one ledger's repair each) that pass every ledger</t>
  </si>
  <si>
    <t xml:space="preserve">none: each repair alone fails a ledger</t>
  </si>
  <si>
    <t xml:space="preserve">Declarations that pass every ledger</t>
  </si>
  <si>
    <t xml:space="preserve">only both levers</t>
  </si>
  <si>
    <t xml:space="preserve">The plan's planned low ($ million)</t>
  </si>
  <si>
    <t xml:space="preserve">Average of the simulated lows ($ million, engine, seed 8)</t>
  </si>
  <si>
    <t xml:space="preserve">$384 million (Worked Example 8.1)</t>
  </si>
  <si>
    <t xml:space="preserve">The flaw of averages: planned low less the average</t>
  </si>
  <si>
    <t xml:space="preserve">Theorem 13.4(iv)</t>
  </si>
  <si>
    <t xml:space="preserve">Proposition 13.5(ii): a separated choice is the unified problem with the other ledgers' repairs ruled out, so it never does better; here it does strictly worse, because no single-ledger repair passes.</t>
  </si>
  <si>
    <t xml:space="preserve">Checkpoint</t>
  </si>
  <si>
    <t xml:space="preserve">Engine value</t>
  </si>
  <si>
    <t xml:space="preserve">Meaning (where in the book)</t>
  </si>
  <si>
    <t xml:space="preserve">Components in the skeleton</t>
  </si>
  <si>
    <t xml:space="preserve">Table 13.1: seven components</t>
  </si>
  <si>
    <t xml:space="preserve">Feedback core: components</t>
  </si>
  <si>
    <t xml:space="preserve">Capability rent, $ million a year</t>
  </si>
  <si>
    <t xml:space="preserve">Unresolved references (C1)</t>
  </si>
  <si>
    <t xml:space="preserve">Definition 13.4: every carrier is a component</t>
  </si>
  <si>
    <t xml:space="preserve">Claims on treasury cash after assembly, order 1</t>
  </si>
  <si>
    <t xml:space="preserve">(C4): $325 million on $270 million</t>
  </si>
  <si>
    <t xml:space="preserve">Claims on treasury cash after assembly, order 2</t>
  </si>
  <si>
    <t xml:space="preserve">Theorem 13.2(i): the same object</t>
  </si>
  <si>
    <t xml:space="preserve">Cash above the floor today</t>
  </si>
  <si>
    <t xml:space="preserve">Worked Example 13.1, Step 1: $270 million</t>
  </si>
  <si>
    <t xml:space="preserve">Each layer alone: total impact</t>
  </si>
  <si>
    <t xml:space="preserve">Total impact, no coupling</t>
  </si>
  <si>
    <t xml:space="preserve">Total impact at c = 0.25</t>
  </si>
  <si>
    <t xml:space="preserve">Figure 13.2: 4</t>
  </si>
  <si>
    <t xml:space="preserve">Total impact at c = 0.40</t>
  </si>
  <si>
    <t xml:space="preserve">Figure 13.2: 10</t>
  </si>
  <si>
    <t xml:space="preserve">rho(M) at c = 0.25, a + c</t>
  </si>
  <si>
    <t xml:space="preserve">Online Appendix 13.B.1: a + c</t>
  </si>
  <si>
    <t xml:space="preserve">rho(M) at c = 0.5</t>
  </si>
  <si>
    <t xml:space="preserve">Figure 13.2: no finite bill from 0.5 on</t>
  </si>
  <si>
    <t xml:space="preserve">Cumulative bill after 200 quarters, c = 0.25</t>
  </si>
  <si>
    <t xml:space="preserve">the quarter-by-quarter series sums to 4</t>
  </si>
  <si>
    <t xml:space="preserve">Cross-layer blocks' part of rho(M), c = 0.25</t>
  </si>
  <si>
    <t xml:space="preserve">Theorem 13.3(ii): the whole difference</t>
  </si>
  <si>
    <t xml:space="preserve">Editor: rho(M) by power iteration</t>
  </si>
  <si>
    <t xml:space="preserve">Figure 13.2's matrix at c = 0.25</t>
  </si>
  <si>
    <t xml:space="preserve">Editor: cross-layer blocks' part</t>
  </si>
  <si>
    <t xml:space="preserve">eigenvalue-sensitivity split</t>
  </si>
  <si>
    <t xml:space="preserve">Editor: total impact of a unit loss</t>
  </si>
  <si>
    <t xml:space="preserve">1'(I - M)^-1 e by cofactors</t>
  </si>
  <si>
    <t xml:space="preserve">Program: quarters to treasury</t>
  </si>
  <si>
    <t xml:space="preserve">Program: quarters to Industrial Systems</t>
  </si>
  <si>
    <t xml:space="preserve">Materials, the market and governance</t>
  </si>
  <si>
    <t xml:space="preserve">Demand shock: quarters to the divisions</t>
  </si>
  <si>
    <t xml:space="preserve">Demand shock: quarters to engineering</t>
  </si>
  <si>
    <t xml:space="preserve">Demand shock: quarters to treasury</t>
  </si>
  <si>
    <t xml:space="preserve">Readouts whose clocks match the engine</t>
  </si>
  <si>
    <t xml:space="preserve">Tables 9.1, 11.4 and 12.2 on the skeleton</t>
  </si>
  <si>
    <t xml:space="preserve">Ancestors of treasury</t>
  </si>
  <si>
    <t xml:space="preserve">Theorem 13.5(v): nothing cleared</t>
  </si>
  <si>
    <t xml:space="preserve">Ancestors of Materials</t>
  </si>
  <si>
    <t xml:space="preserve">Theorem 13.5(v): the market and Materials</t>
  </si>
  <si>
    <t xml:space="preserve">Plan liquidity, quarter 1</t>
  </si>
  <si>
    <t xml:space="preserve">Online Appendix 13.B.4: 574</t>
  </si>
  <si>
    <t xml:space="preserve">Plan liquidity, quarter 12</t>
  </si>
  <si>
    <t xml:space="preserve">510</t>
  </si>
  <si>
    <t xml:space="preserve">Phased liquidity, quarter 1</t>
  </si>
  <si>
    <t xml:space="preserve">589</t>
  </si>
  <si>
    <t xml:space="preserve">Phased liquidity, quarter 12</t>
  </si>
  <si>
    <t xml:space="preserve">556</t>
  </si>
  <si>
    <t xml:space="preserve">Deepest draw</t>
  </si>
  <si>
    <t xml:space="preserve">Step 1: $138 million</t>
  </si>
  <si>
    <t xml:space="preserve">Funding check: spare</t>
  </si>
  <si>
    <t xml:space="preserve">Closure: 90th percentile</t>
  </si>
  <si>
    <t xml:space="preserve">Buffer check: spare</t>
  </si>
  <si>
    <t xml:space="preserve">Joint check: total claims</t>
  </si>
  <si>
    <t xml:space="preserve">Step 3: 325</t>
  </si>
  <si>
    <t xml:space="preserve">Joint check: spare</t>
  </si>
  <si>
    <t xml:space="preserve">Step 3: infeasible by 55</t>
  </si>
  <si>
    <t xml:space="preserve">Constraint graph: independent cycles</t>
  </si>
  <si>
    <t xml:space="preserve">a triangle, a cycle (Step 2)</t>
  </si>
  <si>
    <t xml:space="preserve">Buffer line</t>
  </si>
  <si>
    <t xml:space="preserve">Figure 13.3: 537</t>
  </si>
  <si>
    <t xml:space="preserve">quarter 5</t>
  </si>
  <si>
    <t xml:space="preserve">quarter 8</t>
  </si>
  <si>
    <t xml:space="preserve">Median buffer: total claims</t>
  </si>
  <si>
    <t xml:space="preserve">Table 13.6: 251</t>
  </si>
  <si>
    <t xml:space="preserve">Median buffer: spare</t>
  </si>
  <si>
    <t xml:space="preserve">Table 13.6: +19</t>
  </si>
  <si>
    <t xml:space="preserve">Phased build: draw</t>
  </si>
  <si>
    <t xml:space="preserve">Table 13.6: 89</t>
  </si>
  <si>
    <t xml:space="preserve">Phased build: total claims</t>
  </si>
  <si>
    <t xml:space="preserve">Table 13.6: 276</t>
  </si>
  <si>
    <t xml:space="preserve">Phased build: spare</t>
  </si>
  <si>
    <t xml:space="preserve">Table 13.6: -6</t>
  </si>
  <si>
    <t xml:space="preserve">Standby line: cash buffer</t>
  </si>
  <si>
    <t xml:space="preserve">Table 13.6: 87</t>
  </si>
  <si>
    <t xml:space="preserve">Standby line: total claims</t>
  </si>
  <si>
    <t xml:space="preserve">Table 13.6: 225</t>
  </si>
  <si>
    <t xml:space="preserve">Standby line: spare</t>
  </si>
  <si>
    <t xml:space="preserve">Table 13.6: +45</t>
  </si>
  <si>
    <t xml:space="preserve">Both levers: total claims</t>
  </si>
  <si>
    <t xml:space="preserve">Table 13.6: 176</t>
  </si>
  <si>
    <t xml:space="preserve">Both levers: spare</t>
  </si>
  <si>
    <t xml:space="preserve">Table 13.6: +94</t>
  </si>
  <si>
    <t xml:space="preserve">Figure 13.1: 37.0</t>
  </si>
  <si>
    <t xml:space="preserve">Liquidity low, $ million</t>
  </si>
  <si>
    <t xml:space="preserve">Figure 13.1: $482 million</t>
  </si>
  <si>
    <t xml:space="preserve">Month the scorecard regains 37.0</t>
  </si>
  <si>
    <t xml:space="preserve">Online Appendix 13.B.4: 37.19</t>
  </si>
  <si>
    <t xml:space="preserve">Section 13.1: 1.4 points</t>
  </si>
  <si>
    <t xml:space="preserve">Planned low point, $ million</t>
  </si>
  <si>
    <t xml:space="preserve">Section 13.6: $482 million</t>
  </si>
  <si>
    <t xml:space="preserve">Separated choices passing every ledger</t>
  </si>
  <si>
    <t xml:space="preserve">Step 5: none</t>
  </si>
  <si>
    <t xml:space="preserve">Repairs that pass every ledger</t>
  </si>
  <si>
    <t xml:space="preserve">Step 5: only both levers</t>
  </si>
  <si>
    <t xml:space="preserve">Workbook formula value</t>
  </si>
  <si>
    <t xml:space="preserve">|diff|</t>
  </si>
  <si>
    <t xml:space="preserve">Tolerance</t>
  </si>
  <si>
    <t xml:space="preserve">Status</t>
  </si>
  <si>
    <t xml:space="preserve">All checkpoints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</si>
</sst>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0.00"/>
    <numFmt numFmtId="167" formatCode="0.000"/>
    <numFmt numFmtId="168" formatCode="0%"/>
    <numFmt numFmtId="169" formatCode="0.0"/>
    <numFmt numFmtId="170" formatCode="General"/>
    <numFmt numFmtId="171" formatCode="0.000000"/>
    <numFmt numFmtId="172" formatCode="0.0000"/>
    <numFmt numFmtId="173" formatCode="\+0.0;\-0.0"/>
    <numFmt numFmtId="174" formatCode="0.00%"/>
    <numFmt numFmtId="175" formatCode="0.0E+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8F0EC"/>
      </patternFill>
    </fill>
    <fill>
      <patternFill patternType="solid">
        <fgColor rgb="FFE8F0EC"/>
        <bgColor rgb="FFFFF3D6"/>
      </patternFill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BE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ECE"/>
      <rgbColor rgb="FF808080"/>
      <rgbColor rgb="FF9999FF"/>
      <rgbColor rgb="FF993366"/>
      <rgbColor rgb="FFFFF3D6"/>
      <rgbColor rgb="FFE8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23.8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</row>
    <row r="6" customFormat="false" ht="23.85" hidden="false" customHeight="false" outlineLevel="0" collapsed="false">
      <c r="B6" s="3" t="s">
        <v>4</v>
      </c>
    </row>
    <row r="7" customFormat="false" ht="23.85" hidden="false" customHeight="false" outlineLevel="0" collapsed="false">
      <c r="B7" s="3" t="s">
        <v>5</v>
      </c>
    </row>
    <row r="8" customFormat="false" ht="23.85" hidden="false" customHeight="false" outlineLevel="0" collapsed="false">
      <c r="B8" s="3" t="s">
        <v>6</v>
      </c>
    </row>
    <row r="9" customFormat="false" ht="15" hidden="false" customHeight="false" outlineLevel="0" collapsed="false">
      <c r="B9" s="3" t="s">
        <v>7</v>
      </c>
    </row>
    <row r="10" customFormat="false" ht="15" hidden="false" customHeight="false" outlineLevel="0" collapsed="false">
      <c r="B10" s="3" t="s">
        <v>8</v>
      </c>
    </row>
    <row r="11" customFormat="false" ht="15" hidden="false" customHeight="false" outlineLevel="0" collapsed="false">
      <c r="B11" s="3" t="s">
        <v>9</v>
      </c>
    </row>
    <row r="12" customFormat="false" ht="23.85" hidden="false" customHeight="false" outlineLevel="0" collapsed="false">
      <c r="B12" s="3" t="s">
        <v>10</v>
      </c>
    </row>
    <row r="14" customFormat="false" ht="15" hidden="false" customHeight="false" outlineLevel="0" collapsed="false">
      <c r="B14" s="4" t="s">
        <v>11</v>
      </c>
    </row>
    <row r="15" customFormat="false" ht="15" hidden="false" customHeight="false" outlineLevel="0" collapsed="false">
      <c r="B15" s="5" t="s">
        <v>12</v>
      </c>
    </row>
    <row r="16" customFormat="false" ht="15" hidden="false" customHeight="false" outlineLevel="0" collapsed="false">
      <c r="B16" s="2" t="s">
        <v>13</v>
      </c>
    </row>
    <row r="17" customFormat="false" ht="15" hidden="false" customHeight="false" outlineLevel="0" collapsed="false">
      <c r="B17" s="6" t="s">
        <v>14</v>
      </c>
    </row>
    <row r="18" customFormat="false" ht="15" hidden="false" customHeight="false" outlineLevel="0" collapsed="false">
      <c r="B18" s="7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3" min="3" style="0" width="4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16</v>
      </c>
    </row>
    <row r="3" customFormat="false" ht="15" hidden="false" customHeight="false" outlineLevel="0" collapsed="false">
      <c r="A3" s="8" t="s">
        <v>17</v>
      </c>
      <c r="B3" s="8" t="s">
        <v>18</v>
      </c>
      <c r="C3" s="8" t="s">
        <v>19</v>
      </c>
    </row>
    <row r="4" customFormat="false" ht="15" hidden="false" customHeight="false" outlineLevel="0" collapsed="false">
      <c r="A4" s="2" t="s">
        <v>20</v>
      </c>
      <c r="B4" s="9" t="n">
        <v>620</v>
      </c>
      <c r="C4" s="10" t="s">
        <v>21</v>
      </c>
    </row>
    <row r="5" customFormat="false" ht="15" hidden="false" customHeight="false" outlineLevel="0" collapsed="false">
      <c r="A5" s="2" t="s">
        <v>22</v>
      </c>
      <c r="B5" s="9" t="n">
        <v>350</v>
      </c>
      <c r="C5" s="10" t="s">
        <v>23</v>
      </c>
    </row>
    <row r="6" customFormat="false" ht="15" hidden="false" customHeight="false" outlineLevel="0" collapsed="false">
      <c r="A6" s="2" t="s">
        <v>24</v>
      </c>
      <c r="B6" s="11" t="n">
        <f aca="false">B4-B5</f>
        <v>270</v>
      </c>
      <c r="C6" s="10" t="s">
        <v>25</v>
      </c>
    </row>
    <row r="7" customFormat="false" ht="15" hidden="false" customHeight="false" outlineLevel="0" collapsed="false">
      <c r="A7" s="2" t="s">
        <v>26</v>
      </c>
      <c r="B7" s="12" t="n">
        <f aca="false">B4/100</f>
        <v>6.2</v>
      </c>
      <c r="C7" s="10" t="s">
        <v>27</v>
      </c>
    </row>
    <row r="8" customFormat="false" ht="15" hidden="false" customHeight="false" outlineLevel="0" collapsed="false">
      <c r="A8" s="2" t="s">
        <v>28</v>
      </c>
      <c r="B8" s="9" t="n">
        <v>20</v>
      </c>
      <c r="C8" s="10" t="s">
        <v>29</v>
      </c>
    </row>
    <row r="9" customFormat="false" ht="15" hidden="false" customHeight="false" outlineLevel="0" collapsed="false">
      <c r="A9" s="2" t="s">
        <v>30</v>
      </c>
      <c r="B9" s="9" t="n">
        <v>120</v>
      </c>
      <c r="C9" s="10" t="s">
        <v>31</v>
      </c>
    </row>
    <row r="10" customFormat="false" ht="15" hidden="false" customHeight="false" outlineLevel="0" collapsed="false">
      <c r="A10" s="2" t="s">
        <v>32</v>
      </c>
      <c r="B10" s="9" t="n">
        <v>50</v>
      </c>
      <c r="C10" s="10" t="s">
        <v>31</v>
      </c>
    </row>
    <row r="11" customFormat="false" ht="15" hidden="false" customHeight="false" outlineLevel="0" collapsed="false">
      <c r="A11" s="2" t="s">
        <v>33</v>
      </c>
      <c r="B11" s="12" t="n">
        <f aca="false">(B9/B10)^2</f>
        <v>5.76</v>
      </c>
      <c r="C11" s="10" t="s">
        <v>34</v>
      </c>
    </row>
    <row r="12" customFormat="false" ht="15" hidden="false" customHeight="false" outlineLevel="0" collapsed="false">
      <c r="A12" s="2" t="s">
        <v>35</v>
      </c>
      <c r="B12" s="13" t="n">
        <f aca="false">B10^2/B9</f>
        <v>20.8333333333333</v>
      </c>
      <c r="C12" s="10" t="s">
        <v>36</v>
      </c>
    </row>
    <row r="13" customFormat="false" ht="15" hidden="false" customHeight="false" outlineLevel="0" collapsed="false">
      <c r="A13" s="2" t="s">
        <v>37</v>
      </c>
      <c r="B13" s="14" t="n">
        <v>0.9</v>
      </c>
      <c r="C13" s="10" t="s">
        <v>38</v>
      </c>
    </row>
    <row r="14" customFormat="false" ht="15" hidden="false" customHeight="false" outlineLevel="0" collapsed="false">
      <c r="A14" s="2" t="s">
        <v>39</v>
      </c>
      <c r="B14" s="14" t="n">
        <v>0.5</v>
      </c>
      <c r="C14" s="10" t="s">
        <v>40</v>
      </c>
    </row>
    <row r="15" customFormat="false" ht="15" hidden="false" customHeight="false" outlineLevel="0" collapsed="false">
      <c r="A15" s="2" t="s">
        <v>41</v>
      </c>
      <c r="B15" s="9" t="n">
        <v>100</v>
      </c>
      <c r="C15" s="10" t="s">
        <v>42</v>
      </c>
    </row>
    <row r="16" customFormat="false" ht="15" hidden="false" customHeight="false" outlineLevel="0" collapsed="false">
      <c r="A16" s="2" t="s">
        <v>43</v>
      </c>
      <c r="B16" s="14" t="n">
        <v>0.05</v>
      </c>
      <c r="C16" s="10" t="s">
        <v>42</v>
      </c>
    </row>
    <row r="17" customFormat="false" ht="15" hidden="false" customHeight="false" outlineLevel="0" collapsed="false">
      <c r="A17" s="2" t="s">
        <v>44</v>
      </c>
      <c r="B17" s="9" t="n">
        <v>75</v>
      </c>
      <c r="C17" s="10" t="s">
        <v>45</v>
      </c>
    </row>
    <row r="18" customFormat="false" ht="15" hidden="false" customHeight="false" outlineLevel="0" collapsed="false">
      <c r="A18" s="2" t="s">
        <v>46</v>
      </c>
      <c r="B18" s="9" t="n">
        <v>58</v>
      </c>
      <c r="C18" s="10" t="s">
        <v>47</v>
      </c>
    </row>
    <row r="19" customFormat="false" ht="15" hidden="false" customHeight="false" outlineLevel="0" collapsed="false">
      <c r="A19" s="2" t="s">
        <v>48</v>
      </c>
      <c r="B19" s="9" t="n">
        <v>55</v>
      </c>
      <c r="C19" s="10" t="s">
        <v>49</v>
      </c>
    </row>
    <row r="20" customFormat="false" ht="15" hidden="false" customHeight="false" outlineLevel="0" collapsed="false">
      <c r="A20" s="2" t="s">
        <v>50</v>
      </c>
      <c r="B20" s="15" t="n">
        <v>0.025</v>
      </c>
      <c r="C20" s="10" t="s">
        <v>51</v>
      </c>
    </row>
    <row r="21" customFormat="false" ht="15" hidden="false" customHeight="false" outlineLevel="0" collapsed="false">
      <c r="A21" s="2" t="s">
        <v>52</v>
      </c>
      <c r="B21" s="16" t="n">
        <v>4</v>
      </c>
      <c r="C21" s="10" t="s">
        <v>51</v>
      </c>
    </row>
    <row r="22" customFormat="false" ht="15" hidden="false" customHeight="false" outlineLevel="0" collapsed="false">
      <c r="A22" s="2" t="s">
        <v>53</v>
      </c>
      <c r="B22" s="17" t="n">
        <f aca="false">B20*B18*4*B21</f>
        <v>23.2</v>
      </c>
      <c r="C22" s="10" t="s">
        <v>54</v>
      </c>
    </row>
    <row r="23" customFormat="false" ht="15" hidden="false" customHeight="false" outlineLevel="0" collapsed="false">
      <c r="A23" s="2" t="s">
        <v>55</v>
      </c>
      <c r="B23" s="18" t="n">
        <v>0.5</v>
      </c>
      <c r="C23" s="10" t="s">
        <v>56</v>
      </c>
    </row>
    <row r="24" customFormat="false" ht="15" hidden="false" customHeight="false" outlineLevel="0" collapsed="false">
      <c r="A24" s="2" t="s">
        <v>57</v>
      </c>
      <c r="B24" s="18" t="n">
        <v>0.25</v>
      </c>
      <c r="C24" s="10" t="s">
        <v>58</v>
      </c>
    </row>
    <row r="26" customFormat="false" ht="15" hidden="false" customHeight="false" outlineLevel="0" collapsed="false">
      <c r="A26" s="8" t="s">
        <v>59</v>
      </c>
      <c r="B26" s="8" t="s">
        <v>60</v>
      </c>
      <c r="C26" s="8" t="s">
        <v>61</v>
      </c>
      <c r="D26" s="8" t="s">
        <v>62</v>
      </c>
      <c r="E26" s="8" t="s">
        <v>63</v>
      </c>
      <c r="F26" s="8" t="s">
        <v>64</v>
      </c>
    </row>
    <row r="27" customFormat="false" ht="15" hidden="false" customHeight="false" outlineLevel="0" collapsed="false">
      <c r="A27" s="2" t="s">
        <v>65</v>
      </c>
      <c r="B27" s="18" t="n">
        <v>100</v>
      </c>
      <c r="C27" s="18" t="n">
        <v>112</v>
      </c>
      <c r="D27" s="18" t="n">
        <v>0.35</v>
      </c>
      <c r="E27" s="18" t="n">
        <v>-28</v>
      </c>
      <c r="F27" s="18" t="n">
        <v>2</v>
      </c>
    </row>
    <row r="28" customFormat="false" ht="15" hidden="false" customHeight="false" outlineLevel="0" collapsed="false">
      <c r="A28" s="2" t="s">
        <v>66</v>
      </c>
      <c r="B28" s="18" t="n">
        <v>41</v>
      </c>
      <c r="C28" s="18" t="n">
        <v>78</v>
      </c>
      <c r="D28" s="18" t="n">
        <v>0.55</v>
      </c>
      <c r="E28" s="18" t="n">
        <v>0</v>
      </c>
      <c r="F28" s="18" t="n">
        <v>1</v>
      </c>
    </row>
    <row r="29" customFormat="false" ht="15" hidden="false" customHeight="false" outlineLevel="0" collapsed="false">
      <c r="A29" s="2" t="s">
        <v>67</v>
      </c>
      <c r="B29" s="18" t="n">
        <v>71</v>
      </c>
      <c r="C29" s="18" t="n">
        <v>77</v>
      </c>
      <c r="D29" s="18" t="n">
        <v>0.5</v>
      </c>
      <c r="E29" s="18" t="n">
        <v>-9</v>
      </c>
      <c r="F29" s="18" t="n">
        <v>1.5</v>
      </c>
    </row>
    <row r="30" customFormat="false" ht="15" hidden="false" customHeight="false" outlineLevel="0" collapsed="false">
      <c r="A30" s="2" t="s">
        <v>68</v>
      </c>
      <c r="B30" s="18" t="n">
        <v>64</v>
      </c>
      <c r="C30" s="18" t="n">
        <v>51</v>
      </c>
      <c r="D30" s="18" t="n">
        <v>0.4</v>
      </c>
      <c r="E30" s="18" t="n">
        <v>14</v>
      </c>
      <c r="F30" s="18" t="n">
        <v>1.2</v>
      </c>
    </row>
    <row r="31" customFormat="false" ht="15" hidden="false" customHeight="false" outlineLevel="0" collapsed="false">
      <c r="A31" s="10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6"/>
    <col collapsed="false" customWidth="true" hidden="false" outlineLevel="0" max="4" min="3" style="0" width="24"/>
    <col collapsed="false" customWidth="true" hidden="false" outlineLevel="0" max="6" min="5" style="0" width="22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8"/>
    <col collapsed="false" customWidth="true" hidden="false" outlineLevel="0" max="13" min="13" style="0" width="26"/>
    <col collapsed="false" customWidth="true" hidden="false" outlineLevel="0" max="20" min="15" style="0" width="14"/>
  </cols>
  <sheetData>
    <row r="1" customFormat="false" ht="15" hidden="false" customHeight="false" outlineLevel="0" collapsed="false">
      <c r="A1" s="1" t="s">
        <v>70</v>
      </c>
    </row>
    <row r="2" customFormat="false" ht="15" hidden="false" customHeight="false" outlineLevel="0" collapsed="false">
      <c r="A2" s="10" t="s">
        <v>71</v>
      </c>
    </row>
    <row r="4" customFormat="false" ht="23.85" hidden="false" customHeight="false" outlineLevel="0" collapsed="false">
      <c r="A4" s="8" t="s">
        <v>72</v>
      </c>
      <c r="B4" s="8" t="s">
        <v>73</v>
      </c>
      <c r="D4" s="8" t="s">
        <v>74</v>
      </c>
      <c r="E4" s="8" t="s">
        <v>75</v>
      </c>
      <c r="F4" s="8" t="s">
        <v>76</v>
      </c>
      <c r="G4" s="8" t="s">
        <v>77</v>
      </c>
      <c r="I4" s="8" t="s">
        <v>78</v>
      </c>
      <c r="J4" s="8" t="s">
        <v>79</v>
      </c>
    </row>
    <row r="5" customFormat="false" ht="15" hidden="false" customHeight="false" outlineLevel="0" collapsed="false">
      <c r="A5" s="5" t="s">
        <v>80</v>
      </c>
      <c r="B5" s="2" t="s">
        <v>81</v>
      </c>
      <c r="D5" s="5" t="s">
        <v>80</v>
      </c>
      <c r="E5" s="5" t="s">
        <v>82</v>
      </c>
      <c r="F5" s="5" t="s">
        <v>83</v>
      </c>
      <c r="G5" s="19" t="b">
        <f aca="false">AND(COUNTIF(Comps,D5)=1,COUNTIF(Comps,E5)=1)</f>
        <v>1</v>
      </c>
      <c r="I5" s="2" t="s">
        <v>84</v>
      </c>
      <c r="J5" s="2" t="s">
        <v>85</v>
      </c>
    </row>
    <row r="6" customFormat="false" ht="15" hidden="false" customHeight="false" outlineLevel="0" collapsed="false">
      <c r="A6" s="5" t="s">
        <v>86</v>
      </c>
      <c r="B6" s="2" t="s">
        <v>87</v>
      </c>
      <c r="D6" s="5" t="s">
        <v>80</v>
      </c>
      <c r="E6" s="5" t="s">
        <v>88</v>
      </c>
      <c r="F6" s="5" t="s">
        <v>83</v>
      </c>
      <c r="G6" s="19" t="b">
        <f aca="false">AND(COUNTIF(Comps,D6)=1,COUNTIF(Comps,E6)=1)</f>
        <v>1</v>
      </c>
      <c r="I6" s="2" t="s">
        <v>89</v>
      </c>
      <c r="J6" s="2" t="s">
        <v>85</v>
      </c>
    </row>
    <row r="7" customFormat="false" ht="15" hidden="false" customHeight="false" outlineLevel="0" collapsed="false">
      <c r="A7" s="5" t="s">
        <v>90</v>
      </c>
      <c r="B7" s="2" t="s">
        <v>91</v>
      </c>
      <c r="D7" s="5" t="s">
        <v>80</v>
      </c>
      <c r="E7" s="5" t="s">
        <v>90</v>
      </c>
      <c r="F7" s="5" t="s">
        <v>83</v>
      </c>
      <c r="G7" s="19" t="b">
        <f aca="false">AND(COUNTIF(Comps,D7)=1,COUNTIF(Comps,E7)=1)</f>
        <v>1</v>
      </c>
      <c r="I7" s="2" t="s">
        <v>92</v>
      </c>
      <c r="J7" s="2" t="s">
        <v>82</v>
      </c>
    </row>
    <row r="8" customFormat="false" ht="15" hidden="false" customHeight="false" outlineLevel="0" collapsed="false">
      <c r="A8" s="5" t="s">
        <v>82</v>
      </c>
      <c r="B8" s="2" t="s">
        <v>93</v>
      </c>
      <c r="D8" s="5" t="s">
        <v>82</v>
      </c>
      <c r="E8" s="5" t="s">
        <v>85</v>
      </c>
      <c r="F8" s="5" t="s">
        <v>94</v>
      </c>
      <c r="G8" s="19" t="b">
        <f aca="false">AND(COUNTIF(Comps,D8)=1,COUNTIF(Comps,E8)=1)</f>
        <v>1</v>
      </c>
      <c r="I8" s="2" t="s">
        <v>95</v>
      </c>
      <c r="J8" s="2" t="s">
        <v>96</v>
      </c>
    </row>
    <row r="9" customFormat="false" ht="15" hidden="false" customHeight="false" outlineLevel="0" collapsed="false">
      <c r="A9" s="5" t="s">
        <v>88</v>
      </c>
      <c r="B9" s="2" t="s">
        <v>97</v>
      </c>
      <c r="D9" s="5" t="s">
        <v>88</v>
      </c>
      <c r="E9" s="5" t="s">
        <v>85</v>
      </c>
      <c r="F9" s="5" t="s">
        <v>94</v>
      </c>
      <c r="G9" s="19" t="b">
        <f aca="false">AND(COUNTIF(Comps,D9)=1,COUNTIF(Comps,E9)=1)</f>
        <v>1</v>
      </c>
      <c r="I9" s="2" t="s">
        <v>98</v>
      </c>
      <c r="J9" s="2" t="s">
        <v>99</v>
      </c>
    </row>
    <row r="10" customFormat="false" ht="15" hidden="false" customHeight="false" outlineLevel="0" collapsed="false">
      <c r="A10" s="5" t="s">
        <v>100</v>
      </c>
      <c r="B10" s="2" t="s">
        <v>101</v>
      </c>
      <c r="D10" s="5" t="s">
        <v>90</v>
      </c>
      <c r="E10" s="5" t="s">
        <v>85</v>
      </c>
      <c r="F10" s="5" t="s">
        <v>94</v>
      </c>
      <c r="G10" s="19" t="b">
        <f aca="false">AND(COUNTIF(Comps,D10)=1,COUNTIF(Comps,E10)=1)</f>
        <v>1</v>
      </c>
    </row>
    <row r="11" customFormat="false" ht="15" hidden="false" customHeight="false" outlineLevel="0" collapsed="false">
      <c r="A11" s="5" t="s">
        <v>85</v>
      </c>
      <c r="B11" s="2" t="s">
        <v>102</v>
      </c>
      <c r="D11" s="5" t="s">
        <v>85</v>
      </c>
      <c r="E11" s="5" t="s">
        <v>82</v>
      </c>
      <c r="F11" s="5" t="s">
        <v>103</v>
      </c>
      <c r="G11" s="19" t="b">
        <f aca="false">AND(COUNTIF(Comps,D11)=1,COUNTIF(Comps,E11)=1)</f>
        <v>1</v>
      </c>
    </row>
    <row r="12" customFormat="false" ht="15" hidden="false" customHeight="false" outlineLevel="0" collapsed="false">
      <c r="D12" s="5" t="s">
        <v>85</v>
      </c>
      <c r="E12" s="5" t="s">
        <v>88</v>
      </c>
      <c r="F12" s="5" t="s">
        <v>103</v>
      </c>
      <c r="G12" s="19" t="b">
        <f aca="false">AND(COUNTIF(Comps,D12)=1,COUNTIF(Comps,E12)=1)</f>
        <v>1</v>
      </c>
    </row>
    <row r="13" customFormat="false" ht="15" hidden="false" customHeight="false" outlineLevel="0" collapsed="false">
      <c r="D13" s="5" t="s">
        <v>100</v>
      </c>
      <c r="E13" s="5" t="s">
        <v>82</v>
      </c>
      <c r="F13" s="5" t="s">
        <v>104</v>
      </c>
      <c r="G13" s="19" t="b">
        <f aca="false">AND(COUNTIF(Comps,D13)=1,COUNTIF(Comps,E13)=1)</f>
        <v>1</v>
      </c>
    </row>
    <row r="14" customFormat="false" ht="15" hidden="false" customHeight="false" outlineLevel="0" collapsed="false">
      <c r="D14" s="5" t="s">
        <v>82</v>
      </c>
      <c r="E14" s="5" t="s">
        <v>100</v>
      </c>
      <c r="F14" s="5" t="s">
        <v>104</v>
      </c>
      <c r="G14" s="19" t="b">
        <f aca="false">AND(COUNTIF(Comps,D14)=1,COUNTIF(Comps,E14)=1)</f>
        <v>1</v>
      </c>
    </row>
    <row r="15" customFormat="false" ht="15" hidden="false" customHeight="false" outlineLevel="0" collapsed="false">
      <c r="D15" s="5" t="s">
        <v>100</v>
      </c>
      <c r="E15" s="5" t="s">
        <v>88</v>
      </c>
      <c r="F15" s="5" t="s">
        <v>104</v>
      </c>
      <c r="G15" s="19" t="b">
        <f aca="false">AND(COUNTIF(Comps,D15)=1,COUNTIF(Comps,E15)=1)</f>
        <v>1</v>
      </c>
    </row>
    <row r="16" customFormat="false" ht="15" hidden="false" customHeight="false" outlineLevel="0" collapsed="false">
      <c r="D16" s="5" t="s">
        <v>88</v>
      </c>
      <c r="E16" s="5" t="s">
        <v>100</v>
      </c>
      <c r="F16" s="5" t="s">
        <v>104</v>
      </c>
      <c r="G16" s="19" t="b">
        <f aca="false">AND(COUNTIF(Comps,D16)=1,COUNTIF(Comps,E16)=1)</f>
        <v>1</v>
      </c>
    </row>
    <row r="17" customFormat="false" ht="15" hidden="false" customHeight="false" outlineLevel="0" collapsed="false">
      <c r="D17" s="5" t="s">
        <v>86</v>
      </c>
      <c r="E17" s="5" t="s">
        <v>85</v>
      </c>
      <c r="F17" s="5" t="s">
        <v>105</v>
      </c>
      <c r="G17" s="19" t="b">
        <f aca="false">AND(COUNTIF(Comps,D17)=1,COUNTIF(Comps,E17)=1)</f>
        <v>1</v>
      </c>
    </row>
    <row r="18" customFormat="false" ht="15" hidden="false" customHeight="false" outlineLevel="0" collapsed="false">
      <c r="D18" s="5" t="s">
        <v>86</v>
      </c>
      <c r="E18" s="5" t="s">
        <v>88</v>
      </c>
      <c r="F18" s="5" t="s">
        <v>105</v>
      </c>
      <c r="G18" s="19" t="b">
        <f aca="false">AND(COUNTIF(Comps,D18)=1,COUNTIF(Comps,E18)=1)</f>
        <v>1</v>
      </c>
    </row>
    <row r="21" customFormat="false" ht="23.85" hidden="false" customHeight="false" outlineLevel="0" collapsed="false">
      <c r="A21" s="8" t="s">
        <v>106</v>
      </c>
      <c r="C21" s="8" t="s">
        <v>107</v>
      </c>
    </row>
    <row r="22" customFormat="false" ht="15" hidden="false" customHeight="false" outlineLevel="0" collapsed="false">
      <c r="A22" s="5" t="s">
        <v>108</v>
      </c>
      <c r="C22" s="5" t="s">
        <v>108</v>
      </c>
    </row>
    <row r="23" customFormat="false" ht="15" hidden="false" customHeight="false" outlineLevel="0" collapsed="false">
      <c r="A23" s="5" t="s">
        <v>109</v>
      </c>
      <c r="C23" s="5" t="s">
        <v>110</v>
      </c>
    </row>
    <row r="24" customFormat="false" ht="15" hidden="false" customHeight="false" outlineLevel="0" collapsed="false">
      <c r="A24" s="5" t="s">
        <v>111</v>
      </c>
      <c r="C24" s="5" t="s">
        <v>112</v>
      </c>
    </row>
    <row r="25" customFormat="false" ht="15" hidden="false" customHeight="false" outlineLevel="0" collapsed="false">
      <c r="A25" s="5" t="s">
        <v>113</v>
      </c>
      <c r="C25" s="5" t="s">
        <v>109</v>
      </c>
    </row>
    <row r="26" customFormat="false" ht="15" hidden="false" customHeight="false" outlineLevel="0" collapsed="false">
      <c r="A26" s="5" t="s">
        <v>114</v>
      </c>
      <c r="C26" s="5" t="s">
        <v>113</v>
      </c>
    </row>
    <row r="27" customFormat="false" ht="15" hidden="false" customHeight="false" outlineLevel="0" collapsed="false">
      <c r="A27" s="5" t="s">
        <v>115</v>
      </c>
      <c r="C27" s="5" t="s">
        <v>116</v>
      </c>
    </row>
    <row r="28" customFormat="false" ht="15" hidden="false" customHeight="false" outlineLevel="0" collapsed="false">
      <c r="A28" s="5" t="s">
        <v>112</v>
      </c>
      <c r="C28" s="5" t="s">
        <v>117</v>
      </c>
    </row>
    <row r="29" customFormat="false" ht="15" hidden="false" customHeight="false" outlineLevel="0" collapsed="false">
      <c r="A29" s="5" t="s">
        <v>117</v>
      </c>
      <c r="C29" s="5" t="s">
        <v>118</v>
      </c>
    </row>
    <row r="30" customFormat="false" ht="15" hidden="false" customHeight="false" outlineLevel="0" collapsed="false">
      <c r="A30" s="5" t="s">
        <v>116</v>
      </c>
      <c r="C30" s="5" t="s">
        <v>119</v>
      </c>
    </row>
    <row r="31" customFormat="false" ht="15" hidden="false" customHeight="false" outlineLevel="0" collapsed="false">
      <c r="A31" s="5" t="s">
        <v>120</v>
      </c>
      <c r="C31" s="5" t="s">
        <v>121</v>
      </c>
    </row>
    <row r="33" customFormat="false" ht="15" hidden="false" customHeight="false" outlineLevel="0" collapsed="false">
      <c r="A33" s="8" t="s">
        <v>122</v>
      </c>
      <c r="B33" s="8" t="s">
        <v>18</v>
      </c>
      <c r="C33" s="8" t="s">
        <v>123</v>
      </c>
    </row>
    <row r="34" customFormat="false" ht="15" hidden="false" customHeight="false" outlineLevel="0" collapsed="false">
      <c r="A34" s="2" t="s">
        <v>124</v>
      </c>
      <c r="B34" s="11" t="n">
        <f aca="false">COUNTA(A5:A11)</f>
        <v>7</v>
      </c>
      <c r="C34" s="10" t="s">
        <v>125</v>
      </c>
    </row>
    <row r="35" customFormat="false" ht="15" hidden="false" customHeight="false" outlineLevel="0" collapsed="false">
      <c r="A35" s="2" t="s">
        <v>126</v>
      </c>
      <c r="B35" s="11" t="n">
        <f aca="false">COUNTA(D5:D18)</f>
        <v>14</v>
      </c>
      <c r="C35" s="10" t="s">
        <v>127</v>
      </c>
    </row>
    <row r="36" customFormat="false" ht="15" hidden="false" customHeight="false" outlineLevel="0" collapsed="false">
      <c r="A36" s="2" t="s">
        <v>128</v>
      </c>
      <c r="B36" s="11" t="n">
        <f aca="false">COUNTIF(G5:G18,TRUE())</f>
        <v>14</v>
      </c>
      <c r="C36" s="10"/>
    </row>
    <row r="37" customFormat="false" ht="15" hidden="false" customHeight="false" outlineLevel="0" collapsed="false">
      <c r="A37" s="2" t="s">
        <v>129</v>
      </c>
      <c r="B37" s="11" t="n">
        <f aca="false">COUNTA(A22:A31)</f>
        <v>10</v>
      </c>
      <c r="C37" s="10" t="s">
        <v>130</v>
      </c>
    </row>
    <row r="38" customFormat="false" ht="15" hidden="false" customHeight="false" outlineLevel="0" collapsed="false">
      <c r="A38" s="2" t="s">
        <v>131</v>
      </c>
      <c r="B38" s="11" t="n">
        <f aca="false">COUNTA(C22:C31)</f>
        <v>10</v>
      </c>
      <c r="C38" s="10" t="s">
        <v>132</v>
      </c>
    </row>
    <row r="39" customFormat="false" ht="15" hidden="false" customHeight="false" outlineLevel="0" collapsed="false">
      <c r="A39" s="2" t="s">
        <v>133</v>
      </c>
      <c r="B39" s="20" t="n">
        <f aca="false">Rent_year</f>
        <v>23.2</v>
      </c>
      <c r="C39" s="10" t="s">
        <v>134</v>
      </c>
    </row>
    <row r="42" customFormat="false" ht="15" hidden="false" customHeight="false" outlineLevel="0" collapsed="false">
      <c r="A42" s="8" t="s">
        <v>135</v>
      </c>
      <c r="B42" s="8" t="s">
        <v>136</v>
      </c>
      <c r="C42" s="8" t="s">
        <v>137</v>
      </c>
      <c r="D42" s="8" t="s">
        <v>138</v>
      </c>
      <c r="F42" s="8" t="s">
        <v>135</v>
      </c>
      <c r="G42" s="8" t="s">
        <v>139</v>
      </c>
      <c r="H42" s="8" t="s">
        <v>140</v>
      </c>
    </row>
    <row r="43" customFormat="false" ht="15" hidden="false" customHeight="false" outlineLevel="0" collapsed="false">
      <c r="A43" s="2" t="s">
        <v>141</v>
      </c>
      <c r="B43" s="2" t="s">
        <v>142</v>
      </c>
      <c r="C43" s="5" t="s">
        <v>88</v>
      </c>
      <c r="D43" s="19" t="b">
        <f aca="false">COUNTIF(Comps,C43)=1</f>
        <v>1</v>
      </c>
      <c r="F43" s="2" t="s">
        <v>141</v>
      </c>
      <c r="G43" s="11" t="n">
        <f aca="false">COUNTIF(Ref_layer,"transformation")</f>
        <v>3</v>
      </c>
      <c r="H43" s="11" t="n">
        <f aca="false">COUNTIFS(Ref_layer,"transformation",Ref_ok,FALSE())</f>
        <v>0</v>
      </c>
    </row>
    <row r="44" customFormat="false" ht="15" hidden="false" customHeight="false" outlineLevel="0" collapsed="false">
      <c r="A44" s="2" t="s">
        <v>141</v>
      </c>
      <c r="B44" s="2" t="s">
        <v>142</v>
      </c>
      <c r="C44" s="5" t="s">
        <v>100</v>
      </c>
      <c r="D44" s="19" t="b">
        <f aca="false">COUNTIF(Comps,C44)=1</f>
        <v>1</v>
      </c>
      <c r="F44" s="2" t="s">
        <v>143</v>
      </c>
      <c r="G44" s="11" t="n">
        <f aca="false">COUNTIF(Ref_layer,"capital")</f>
        <v>4</v>
      </c>
      <c r="H44" s="11" t="n">
        <f aca="false">COUNTIFS(Ref_layer,"capital",Ref_ok,FALSE())</f>
        <v>0</v>
      </c>
    </row>
    <row r="45" customFormat="false" ht="15" hidden="false" customHeight="false" outlineLevel="0" collapsed="false">
      <c r="A45" s="2" t="s">
        <v>141</v>
      </c>
      <c r="B45" s="2" t="s">
        <v>144</v>
      </c>
      <c r="C45" s="5" t="s">
        <v>88</v>
      </c>
      <c r="D45" s="19" t="b">
        <f aca="false">COUNTIF(Comps,C45)=1</f>
        <v>1</v>
      </c>
      <c r="F45" s="2" t="s">
        <v>145</v>
      </c>
      <c r="G45" s="11" t="n">
        <f aca="false">COUNTIF(Ref_layer,"performance")</f>
        <v>10</v>
      </c>
      <c r="H45" s="11" t="n">
        <f aca="false">COUNTIFS(Ref_layer,"performance",Ref_ok,FALSE())</f>
        <v>0</v>
      </c>
    </row>
    <row r="46" customFormat="false" ht="15" hidden="false" customHeight="false" outlineLevel="0" collapsed="false">
      <c r="A46" s="2" t="s">
        <v>143</v>
      </c>
      <c r="B46" s="2" t="s">
        <v>146</v>
      </c>
      <c r="C46" s="5" t="s">
        <v>85</v>
      </c>
      <c r="D46" s="19" t="b">
        <f aca="false">COUNTIF(Comps,C46)=1</f>
        <v>1</v>
      </c>
      <c r="F46" s="2" t="s">
        <v>147</v>
      </c>
      <c r="G46" s="11" t="n">
        <f aca="false">COUNTIF(Ref_layer,"risk")</f>
        <v>16</v>
      </c>
      <c r="H46" s="11" t="n">
        <f aca="false">COUNTIFS(Ref_layer,"risk",Ref_ok,FALSE())</f>
        <v>0</v>
      </c>
    </row>
    <row r="47" customFormat="false" ht="15" hidden="false" customHeight="false" outlineLevel="0" collapsed="false">
      <c r="A47" s="2" t="s">
        <v>143</v>
      </c>
      <c r="B47" s="2" t="s">
        <v>148</v>
      </c>
      <c r="C47" s="5" t="s">
        <v>85</v>
      </c>
      <c r="D47" s="19" t="b">
        <f aca="false">COUNTIF(Comps,C47)=1</f>
        <v>1</v>
      </c>
    </row>
    <row r="48" customFormat="false" ht="15" hidden="false" customHeight="false" outlineLevel="0" collapsed="false">
      <c r="A48" s="2" t="s">
        <v>143</v>
      </c>
      <c r="B48" s="2" t="s">
        <v>149</v>
      </c>
      <c r="C48" s="5" t="s">
        <v>100</v>
      </c>
      <c r="D48" s="19" t="b">
        <f aca="false">COUNTIF(Comps,C48)=1</f>
        <v>1</v>
      </c>
    </row>
    <row r="49" customFormat="false" ht="15" hidden="false" customHeight="false" outlineLevel="0" collapsed="false">
      <c r="A49" s="2" t="s">
        <v>143</v>
      </c>
      <c r="B49" s="2" t="s">
        <v>150</v>
      </c>
      <c r="C49" s="5" t="s">
        <v>85</v>
      </c>
      <c r="D49" s="19" t="b">
        <f aca="false">COUNTIF(Comps,C49)=1</f>
        <v>1</v>
      </c>
    </row>
    <row r="50" customFormat="false" ht="15" hidden="false" customHeight="false" outlineLevel="0" collapsed="false">
      <c r="A50" s="2" t="s">
        <v>145</v>
      </c>
      <c r="B50" s="2" t="s">
        <v>151</v>
      </c>
      <c r="C50" s="5" t="s">
        <v>85</v>
      </c>
      <c r="D50" s="19" t="b">
        <f aca="false">COUNTIF(Comps,C50)=1</f>
        <v>1</v>
      </c>
    </row>
    <row r="51" customFormat="false" ht="15" hidden="false" customHeight="false" outlineLevel="0" collapsed="false">
      <c r="A51" s="2" t="s">
        <v>145</v>
      </c>
      <c r="B51" s="2" t="s">
        <v>152</v>
      </c>
      <c r="C51" s="5" t="s">
        <v>82</v>
      </c>
      <c r="D51" s="19" t="b">
        <f aca="false">COUNTIF(Comps,C51)=1</f>
        <v>1</v>
      </c>
    </row>
    <row r="52" customFormat="false" ht="15" hidden="false" customHeight="false" outlineLevel="0" collapsed="false">
      <c r="A52" s="2" t="s">
        <v>145</v>
      </c>
      <c r="B52" s="2" t="s">
        <v>152</v>
      </c>
      <c r="C52" s="5" t="s">
        <v>90</v>
      </c>
      <c r="D52" s="19" t="b">
        <f aca="false">COUNTIF(Comps,C52)=1</f>
        <v>1</v>
      </c>
    </row>
    <row r="53" customFormat="false" ht="15" hidden="false" customHeight="false" outlineLevel="0" collapsed="false">
      <c r="A53" s="2" t="s">
        <v>145</v>
      </c>
      <c r="B53" s="2" t="s">
        <v>153</v>
      </c>
      <c r="C53" s="5" t="s">
        <v>82</v>
      </c>
      <c r="D53" s="19" t="b">
        <f aca="false">COUNTIF(Comps,C53)=1</f>
        <v>1</v>
      </c>
    </row>
    <row r="54" customFormat="false" ht="15" hidden="false" customHeight="false" outlineLevel="0" collapsed="false">
      <c r="A54" s="2" t="s">
        <v>145</v>
      </c>
      <c r="B54" s="2" t="s">
        <v>153</v>
      </c>
      <c r="C54" s="5" t="s">
        <v>88</v>
      </c>
      <c r="D54" s="19" t="b">
        <f aca="false">COUNTIF(Comps,C54)=1</f>
        <v>1</v>
      </c>
    </row>
    <row r="55" customFormat="false" ht="15" hidden="false" customHeight="false" outlineLevel="0" collapsed="false">
      <c r="A55" s="2" t="s">
        <v>145</v>
      </c>
      <c r="B55" s="2" t="s">
        <v>153</v>
      </c>
      <c r="C55" s="5" t="s">
        <v>90</v>
      </c>
      <c r="D55" s="19" t="b">
        <f aca="false">COUNTIF(Comps,C55)=1</f>
        <v>1</v>
      </c>
    </row>
    <row r="56" customFormat="false" ht="15" hidden="false" customHeight="false" outlineLevel="0" collapsed="false">
      <c r="A56" s="2" t="s">
        <v>145</v>
      </c>
      <c r="B56" s="2" t="s">
        <v>154</v>
      </c>
      <c r="C56" s="5" t="s">
        <v>88</v>
      </c>
      <c r="D56" s="19" t="b">
        <f aca="false">COUNTIF(Comps,C56)=1</f>
        <v>1</v>
      </c>
    </row>
    <row r="57" customFormat="false" ht="15" hidden="false" customHeight="false" outlineLevel="0" collapsed="false">
      <c r="A57" s="2" t="s">
        <v>145</v>
      </c>
      <c r="B57" s="2" t="s">
        <v>155</v>
      </c>
      <c r="C57" s="5" t="s">
        <v>88</v>
      </c>
      <c r="D57" s="19" t="b">
        <f aca="false">COUNTIF(Comps,C57)=1</f>
        <v>1</v>
      </c>
    </row>
    <row r="58" customFormat="false" ht="15" hidden="false" customHeight="false" outlineLevel="0" collapsed="false">
      <c r="A58" s="2" t="s">
        <v>145</v>
      </c>
      <c r="B58" s="2" t="s">
        <v>155</v>
      </c>
      <c r="C58" s="5" t="s">
        <v>100</v>
      </c>
      <c r="D58" s="19" t="b">
        <f aca="false">COUNTIF(Comps,C58)=1</f>
        <v>1</v>
      </c>
    </row>
    <row r="59" customFormat="false" ht="15" hidden="false" customHeight="false" outlineLevel="0" collapsed="false">
      <c r="A59" s="2" t="s">
        <v>145</v>
      </c>
      <c r="B59" s="2" t="s">
        <v>156</v>
      </c>
      <c r="C59" s="5" t="s">
        <v>85</v>
      </c>
      <c r="D59" s="19" t="b">
        <f aca="false">COUNTIF(Comps,C59)=1</f>
        <v>1</v>
      </c>
    </row>
    <row r="60" customFormat="false" ht="15" hidden="false" customHeight="false" outlineLevel="0" collapsed="false">
      <c r="A60" s="2" t="s">
        <v>147</v>
      </c>
      <c r="B60" s="2" t="s">
        <v>157</v>
      </c>
      <c r="C60" s="5" t="s">
        <v>85</v>
      </c>
      <c r="D60" s="19" t="b">
        <f aca="false">COUNTIF(Comps,C60)=1</f>
        <v>1</v>
      </c>
    </row>
    <row r="61" customFormat="false" ht="15" hidden="false" customHeight="false" outlineLevel="0" collapsed="false">
      <c r="A61" s="2" t="s">
        <v>147</v>
      </c>
      <c r="B61" s="2" t="s">
        <v>158</v>
      </c>
      <c r="C61" s="5" t="s">
        <v>82</v>
      </c>
      <c r="D61" s="19" t="b">
        <f aca="false">COUNTIF(Comps,C61)=1</f>
        <v>1</v>
      </c>
    </row>
    <row r="62" customFormat="false" ht="15" hidden="false" customHeight="false" outlineLevel="0" collapsed="false">
      <c r="A62" s="2" t="s">
        <v>147</v>
      </c>
      <c r="B62" s="2" t="s">
        <v>158</v>
      </c>
      <c r="C62" s="5" t="s">
        <v>90</v>
      </c>
      <c r="D62" s="19" t="b">
        <f aca="false">COUNTIF(Comps,C62)=1</f>
        <v>1</v>
      </c>
    </row>
    <row r="63" customFormat="false" ht="15" hidden="false" customHeight="false" outlineLevel="0" collapsed="false">
      <c r="A63" s="2" t="s">
        <v>147</v>
      </c>
      <c r="B63" s="2" t="s">
        <v>159</v>
      </c>
      <c r="C63" s="5" t="s">
        <v>80</v>
      </c>
      <c r="D63" s="19" t="b">
        <f aca="false">COUNTIF(Comps,C63)=1</f>
        <v>1</v>
      </c>
    </row>
    <row r="64" customFormat="false" ht="15" hidden="false" customHeight="false" outlineLevel="0" collapsed="false">
      <c r="A64" s="2" t="s">
        <v>147</v>
      </c>
      <c r="B64" s="2" t="s">
        <v>159</v>
      </c>
      <c r="C64" s="5" t="s">
        <v>86</v>
      </c>
      <c r="D64" s="19" t="b">
        <f aca="false">COUNTIF(Comps,C64)=1</f>
        <v>1</v>
      </c>
    </row>
    <row r="65" customFormat="false" ht="15" hidden="false" customHeight="false" outlineLevel="0" collapsed="false">
      <c r="A65" s="2" t="s">
        <v>147</v>
      </c>
      <c r="B65" s="2" t="s">
        <v>160</v>
      </c>
      <c r="C65" s="5" t="s">
        <v>88</v>
      </c>
      <c r="D65" s="19" t="b">
        <f aca="false">COUNTIF(Comps,C65)=1</f>
        <v>1</v>
      </c>
    </row>
    <row r="66" customFormat="false" ht="15" hidden="false" customHeight="false" outlineLevel="0" collapsed="false">
      <c r="A66" s="2" t="s">
        <v>147</v>
      </c>
      <c r="B66" s="2" t="s">
        <v>160</v>
      </c>
      <c r="C66" s="5" t="s">
        <v>100</v>
      </c>
      <c r="D66" s="19" t="b">
        <f aca="false">COUNTIF(Comps,C66)=1</f>
        <v>1</v>
      </c>
    </row>
    <row r="67" customFormat="false" ht="15" hidden="false" customHeight="false" outlineLevel="0" collapsed="false">
      <c r="A67" s="2" t="s">
        <v>147</v>
      </c>
      <c r="B67" s="2" t="s">
        <v>161</v>
      </c>
      <c r="C67" s="5" t="s">
        <v>86</v>
      </c>
      <c r="D67" s="19" t="b">
        <f aca="false">COUNTIF(Comps,C67)=1</f>
        <v>1</v>
      </c>
    </row>
    <row r="68" customFormat="false" ht="15" hidden="false" customHeight="false" outlineLevel="0" collapsed="false">
      <c r="A68" s="2" t="s">
        <v>147</v>
      </c>
      <c r="B68" s="2" t="s">
        <v>162</v>
      </c>
      <c r="C68" s="5" t="s">
        <v>86</v>
      </c>
      <c r="D68" s="19" t="b">
        <f aca="false">COUNTIF(Comps,C68)=1</f>
        <v>1</v>
      </c>
    </row>
    <row r="69" customFormat="false" ht="15" hidden="false" customHeight="false" outlineLevel="0" collapsed="false">
      <c r="A69" s="2" t="s">
        <v>147</v>
      </c>
      <c r="B69" s="2" t="s">
        <v>162</v>
      </c>
      <c r="C69" s="5" t="s">
        <v>85</v>
      </c>
      <c r="D69" s="19" t="b">
        <f aca="false">COUNTIF(Comps,C69)=1</f>
        <v>1</v>
      </c>
    </row>
    <row r="70" customFormat="false" ht="15" hidden="false" customHeight="false" outlineLevel="0" collapsed="false">
      <c r="A70" s="2" t="s">
        <v>147</v>
      </c>
      <c r="B70" s="2" t="s">
        <v>163</v>
      </c>
      <c r="C70" s="5" t="s">
        <v>82</v>
      </c>
      <c r="D70" s="19" t="b">
        <f aca="false">COUNTIF(Comps,C70)=1</f>
        <v>1</v>
      </c>
    </row>
    <row r="71" customFormat="false" ht="15" hidden="false" customHeight="false" outlineLevel="0" collapsed="false">
      <c r="A71" s="2" t="s">
        <v>147</v>
      </c>
      <c r="B71" s="2" t="s">
        <v>163</v>
      </c>
      <c r="C71" s="5" t="s">
        <v>90</v>
      </c>
      <c r="D71" s="19" t="b">
        <f aca="false">COUNTIF(Comps,C71)=1</f>
        <v>1</v>
      </c>
    </row>
    <row r="72" customFormat="false" ht="15" hidden="false" customHeight="false" outlineLevel="0" collapsed="false">
      <c r="A72" s="2" t="s">
        <v>147</v>
      </c>
      <c r="B72" s="2" t="s">
        <v>164</v>
      </c>
      <c r="C72" s="5" t="s">
        <v>82</v>
      </c>
      <c r="D72" s="19" t="b">
        <f aca="false">COUNTIF(Comps,C72)=1</f>
        <v>1</v>
      </c>
    </row>
    <row r="73" customFormat="false" ht="15" hidden="false" customHeight="false" outlineLevel="0" collapsed="false">
      <c r="A73" s="2" t="s">
        <v>147</v>
      </c>
      <c r="B73" s="2" t="s">
        <v>164</v>
      </c>
      <c r="C73" s="5" t="s">
        <v>88</v>
      </c>
      <c r="D73" s="19" t="b">
        <f aca="false">COUNTIF(Comps,C73)=1</f>
        <v>1</v>
      </c>
    </row>
    <row r="74" customFormat="false" ht="15" hidden="false" customHeight="false" outlineLevel="0" collapsed="false">
      <c r="A74" s="2" t="s">
        <v>147</v>
      </c>
      <c r="B74" s="2" t="s">
        <v>164</v>
      </c>
      <c r="C74" s="5" t="s">
        <v>90</v>
      </c>
      <c r="D74" s="19" t="b">
        <f aca="false">COUNTIF(Comps,C74)=1</f>
        <v>1</v>
      </c>
    </row>
    <row r="75" customFormat="false" ht="15" hidden="false" customHeight="false" outlineLevel="0" collapsed="false">
      <c r="A75" s="2" t="s">
        <v>147</v>
      </c>
      <c r="B75" s="2" t="s">
        <v>165</v>
      </c>
      <c r="C75" s="5" t="s">
        <v>85</v>
      </c>
      <c r="D75" s="19" t="b">
        <f aca="false">COUNTIF(Comps,C75)=1</f>
        <v>1</v>
      </c>
    </row>
    <row r="78" customFormat="false" ht="15" hidden="false" customHeight="false" outlineLevel="0" collapsed="false">
      <c r="A78" s="8" t="s">
        <v>166</v>
      </c>
      <c r="B78" s="8" t="s">
        <v>167</v>
      </c>
      <c r="C78" s="8" t="s">
        <v>168</v>
      </c>
      <c r="D78" s="8" t="s">
        <v>169</v>
      </c>
      <c r="E78" s="8" t="s">
        <v>170</v>
      </c>
      <c r="F78" s="8" t="s">
        <v>171</v>
      </c>
    </row>
    <row r="79" customFormat="false" ht="15" hidden="false" customHeight="false" outlineLevel="0" collapsed="false">
      <c r="A79" s="2" t="s">
        <v>146</v>
      </c>
      <c r="B79" s="2" t="s">
        <v>172</v>
      </c>
      <c r="C79" s="5" t="s">
        <v>172</v>
      </c>
      <c r="D79" s="5" t="s">
        <v>172</v>
      </c>
      <c r="E79" s="5" t="s">
        <v>172</v>
      </c>
      <c r="F79" s="2" t="str">
        <f aca="false">IF(AND(OR(C79="",C79=B79),OR(D79="",D79=B79),OR(E79="",E79=B79)),"one contract","CONFLICT")</f>
        <v>one contract</v>
      </c>
    </row>
    <row r="80" customFormat="false" ht="15" hidden="false" customHeight="false" outlineLevel="0" collapsed="false">
      <c r="A80" s="2" t="s">
        <v>148</v>
      </c>
      <c r="B80" s="2" t="s">
        <v>173</v>
      </c>
      <c r="C80" s="5" t="s">
        <v>173</v>
      </c>
      <c r="F80" s="2" t="str">
        <f aca="false">IF(AND(OR(C80="",C80=B80),OR(D80="",D80=B80),OR(E80="",E80=B80)),"one contract","CONFLICT")</f>
        <v>one contract</v>
      </c>
    </row>
    <row r="81" customFormat="false" ht="15" hidden="false" customHeight="false" outlineLevel="0" collapsed="false">
      <c r="A81" s="2" t="s">
        <v>149</v>
      </c>
      <c r="B81" s="2" t="s">
        <v>174</v>
      </c>
      <c r="C81" s="5" t="s">
        <v>174</v>
      </c>
      <c r="F81" s="2" t="str">
        <f aca="false">IF(AND(OR(C81="",C81=B81),OR(D81="",D81=B81),OR(E81="",E81=B81)),"one contract","CONFLICT")</f>
        <v>one contract</v>
      </c>
    </row>
    <row r="82" customFormat="false" ht="15" hidden="false" customHeight="false" outlineLevel="0" collapsed="false">
      <c r="A82" s="2" t="s">
        <v>175</v>
      </c>
      <c r="B82" s="2" t="s">
        <v>176</v>
      </c>
      <c r="D82" s="5" t="s">
        <v>176</v>
      </c>
      <c r="F82" s="2" t="str">
        <f aca="false">IF(AND(OR(C82="",C82=B82),OR(D82="",D82=B82),OR(E82="",E82=B82)),"one contract","CONFLICT")</f>
        <v>one contract</v>
      </c>
    </row>
    <row r="83" customFormat="false" ht="15" hidden="false" customHeight="false" outlineLevel="0" collapsed="false">
      <c r="A83" s="2" t="s">
        <v>177</v>
      </c>
      <c r="B83" s="2" t="s">
        <v>178</v>
      </c>
      <c r="D83" s="5" t="s">
        <v>178</v>
      </c>
      <c r="F83" s="2" t="str">
        <f aca="false">IF(AND(OR(C83="",C83=B83),OR(D83="",D83=B83),OR(E83="",E83=B83)),"one contract","CONFLICT")</f>
        <v>one contract</v>
      </c>
    </row>
    <row r="84" customFormat="false" ht="15" hidden="false" customHeight="false" outlineLevel="0" collapsed="false">
      <c r="A84" s="2" t="s">
        <v>179</v>
      </c>
      <c r="B84" s="2" t="s">
        <v>180</v>
      </c>
      <c r="D84" s="5" t="s">
        <v>180</v>
      </c>
      <c r="E84" s="5" t="s">
        <v>180</v>
      </c>
      <c r="F84" s="2" t="str">
        <f aca="false">IF(AND(OR(C84="",C84=B84),OR(D84="",D84=B84),OR(E84="",E84=B84)),"one contract","CONFLICT")</f>
        <v>one contract</v>
      </c>
    </row>
    <row r="87" customFormat="false" ht="23.85" hidden="false" customHeight="false" outlineLevel="0" collapsed="false">
      <c r="A87" s="8" t="s">
        <v>181</v>
      </c>
      <c r="B87" s="8" t="s">
        <v>182</v>
      </c>
      <c r="C87" s="8" t="s">
        <v>183</v>
      </c>
    </row>
    <row r="88" customFormat="false" ht="15" hidden="false" customHeight="false" outlineLevel="0" collapsed="false">
      <c r="A88" s="2" t="s">
        <v>165</v>
      </c>
      <c r="B88" s="5" t="s">
        <v>150</v>
      </c>
      <c r="C88" s="19" t="b">
        <f aca="false">COUNTIFS(Ref_layer,"capital",Ref_name,B88)&gt;0</f>
        <v>1</v>
      </c>
    </row>
    <row r="91" customFormat="false" ht="15" hidden="false" customHeight="false" outlineLevel="0" collapsed="false">
      <c r="A91" s="8" t="s">
        <v>184</v>
      </c>
      <c r="B91" s="8" t="s">
        <v>135</v>
      </c>
      <c r="C91" s="8" t="s">
        <v>185</v>
      </c>
    </row>
    <row r="92" customFormat="false" ht="15" hidden="false" customHeight="false" outlineLevel="0" collapsed="false">
      <c r="A92" s="2" t="s">
        <v>144</v>
      </c>
      <c r="B92" s="2" t="s">
        <v>141</v>
      </c>
      <c r="C92" s="20" t="n">
        <f aca="false">JointCheck!$K$7</f>
        <v>138.049617642214</v>
      </c>
    </row>
    <row r="93" customFormat="false" ht="15" hidden="false" customHeight="false" outlineLevel="0" collapsed="false">
      <c r="A93" s="2" t="s">
        <v>165</v>
      </c>
      <c r="B93" s="2" t="s">
        <v>147</v>
      </c>
      <c r="C93" s="20" t="n">
        <f aca="false">JointCheck!$K$12</f>
        <v>186.866976370664</v>
      </c>
    </row>
    <row r="94" customFormat="false" ht="15" hidden="false" customHeight="false" outlineLevel="0" collapsed="false">
      <c r="A94" s="2" t="s">
        <v>150</v>
      </c>
      <c r="B94" s="2" t="s">
        <v>143</v>
      </c>
      <c r="C94" s="20" t="n">
        <f aca="false">Pool_cash</f>
        <v>270</v>
      </c>
    </row>
    <row r="96" customFormat="false" ht="15" hidden="false" customHeight="false" outlineLevel="0" collapsed="false">
      <c r="A96" s="4" t="s">
        <v>186</v>
      </c>
    </row>
    <row r="97" customFormat="false" ht="35.05" hidden="false" customHeight="false" outlineLevel="0" collapsed="false">
      <c r="A97" s="8" t="s">
        <v>187</v>
      </c>
      <c r="B97" s="8" t="s">
        <v>188</v>
      </c>
      <c r="C97" s="8" t="s">
        <v>189</v>
      </c>
      <c r="D97" s="8" t="s">
        <v>190</v>
      </c>
      <c r="E97" s="8" t="s">
        <v>191</v>
      </c>
      <c r="F97" s="8" t="s">
        <v>192</v>
      </c>
      <c r="G97" s="8" t="s">
        <v>193</v>
      </c>
      <c r="H97" s="8" t="s">
        <v>194</v>
      </c>
      <c r="I97" s="8" t="s">
        <v>195</v>
      </c>
      <c r="J97" s="8" t="s">
        <v>196</v>
      </c>
      <c r="K97" s="8" t="s">
        <v>197</v>
      </c>
      <c r="L97" s="8" t="s">
        <v>198</v>
      </c>
      <c r="M97" s="8" t="s">
        <v>199</v>
      </c>
      <c r="O97" s="8" t="s">
        <v>200</v>
      </c>
      <c r="P97" s="8" t="s">
        <v>201</v>
      </c>
      <c r="Q97" s="8" t="s">
        <v>202</v>
      </c>
      <c r="R97" s="8" t="s">
        <v>203</v>
      </c>
      <c r="S97" s="8" t="s">
        <v>204</v>
      </c>
      <c r="T97" s="8" t="s">
        <v>205</v>
      </c>
    </row>
    <row r="98" customFormat="false" ht="15" hidden="false" customHeight="false" outlineLevel="0" collapsed="false">
      <c r="A98" s="11" t="n">
        <v>1</v>
      </c>
      <c r="B98" s="5" t="s">
        <v>141</v>
      </c>
      <c r="C98" s="11" t="n">
        <f aca="false">IF(COUNTIF($B$98:B98,"transformation")&gt;0,1,0)</f>
        <v>1</v>
      </c>
      <c r="D98" s="11" t="n">
        <f aca="false">IF(COUNTIF($B$98:B98,"capital")&gt;0,1,0)</f>
        <v>0</v>
      </c>
      <c r="E98" s="11" t="n">
        <f aca="false">IF(COUNTIF($B$98:B98,"performance")&gt;0,1,0)</f>
        <v>0</v>
      </c>
      <c r="F98" s="11" t="n">
        <f aca="false">IF(COUNTIF($B$98:B98,"risk")&gt;0,1,0)</f>
        <v>0</v>
      </c>
      <c r="G98" s="11" t="n">
        <f aca="false">C98*$H$43+D98*$H$44+E98*$H$45+F98*$H$46</f>
        <v>0</v>
      </c>
      <c r="H98" s="2" t="str">
        <f aca="false">IF(G98=0,"pass","FAIL")</f>
        <v>pass</v>
      </c>
      <c r="I98" s="2" t="str">
        <f aca="false">IF(SUM(O98:T98)=0,"pass","FAIL")</f>
        <v>pass</v>
      </c>
      <c r="J98" s="2" t="str">
        <f aca="false">IF(F98=0,"pass",IF(AND(D98=1,$C$88),"pass","FAIL"))</f>
        <v>pass</v>
      </c>
      <c r="K98" s="17" t="n">
        <f aca="false">C98*$C$92+IF(AND(F98=1,D98=1,$C$88),$C$93,0)</f>
        <v>138.049617642214</v>
      </c>
      <c r="L98" s="2" t="str">
        <f aca="false">IF(K98&lt;=$C$94,"pass","FAIL")</f>
        <v>pass</v>
      </c>
      <c r="M98" s="2" t="str">
        <f aca="false">IF(C98=0,"no operator yet",IF(AND(L98="pass",Cap_today&gt;=Cap_floor),"nonempty","empty"))</f>
        <v>nonempty</v>
      </c>
      <c r="O98" s="11" t="n">
        <f aca="false">IF(OR(AND(IF(AND($D98=1,$C$79&lt;&gt;""),$C$79,"")&lt;&gt;"",IF(AND($E98=1,$D$79&lt;&gt;""),$D$79,"")&lt;&gt;"",IF(AND($D98=1,$C$79&lt;&gt;""),$C$79,"")&lt;&gt;IF(AND($E98=1,$D$79&lt;&gt;""),$D$79,"")),AND(IF(AND($D98=1,$C$79&lt;&gt;""),$C$79,"")&lt;&gt;"",IF(AND($F98=1,$E$79&lt;&gt;""),$E$79,"")&lt;&gt;"",IF(AND($D98=1,$C$79&lt;&gt;""),$C$79,"")&lt;&gt;IF(AND($F98=1,$E$79&lt;&gt;""),$E$79,"")),AND(IF(AND($E98=1,$D$79&lt;&gt;""),$D$79,"")&lt;&gt;"",IF(AND($F98=1,$E$79&lt;&gt;""),$E$79,"")&lt;&gt;"",IF(AND($E98=1,$D$79&lt;&gt;""),$D$79,"")&lt;&gt;IF(AND($F98=1,$E$79&lt;&gt;""),$E$79,""))),1,0)</f>
        <v>0</v>
      </c>
      <c r="P98" s="11" t="n">
        <f aca="false">IF(OR(AND(IF(AND($D98=1,$C$80&lt;&gt;""),$C$80,"")&lt;&gt;"",IF(AND($E98=1,$D$80&lt;&gt;""),$D$80,"")&lt;&gt;"",IF(AND($D98=1,$C$80&lt;&gt;""),$C$80,"")&lt;&gt;IF(AND($E98=1,$D$80&lt;&gt;""),$D$80,"")),AND(IF(AND($D98=1,$C$80&lt;&gt;""),$C$80,"")&lt;&gt;"",IF(AND($F98=1,$E$80&lt;&gt;""),$E$80,"")&lt;&gt;"",IF(AND($D98=1,$C$80&lt;&gt;""),$C$80,"")&lt;&gt;IF(AND($F98=1,$E$80&lt;&gt;""),$E$80,"")),AND(IF(AND($E98=1,$D$80&lt;&gt;""),$D$80,"")&lt;&gt;"",IF(AND($F98=1,$E$80&lt;&gt;""),$E$80,"")&lt;&gt;"",IF(AND($E98=1,$D$80&lt;&gt;""),$D$80,"")&lt;&gt;IF(AND($F98=1,$E$80&lt;&gt;""),$E$80,""))),1,0)</f>
        <v>0</v>
      </c>
      <c r="Q98" s="11" t="n">
        <f aca="false">IF(OR(AND(IF(AND($D98=1,$C$81&lt;&gt;""),$C$81,"")&lt;&gt;"",IF(AND($E98=1,$D$81&lt;&gt;""),$D$81,"")&lt;&gt;"",IF(AND($D98=1,$C$81&lt;&gt;""),$C$81,"")&lt;&gt;IF(AND($E98=1,$D$81&lt;&gt;""),$D$81,"")),AND(IF(AND($D98=1,$C$81&lt;&gt;""),$C$81,"")&lt;&gt;"",IF(AND($F98=1,$E$81&lt;&gt;""),$E$81,"")&lt;&gt;"",IF(AND($D98=1,$C$81&lt;&gt;""),$C$81,"")&lt;&gt;IF(AND($F98=1,$E$81&lt;&gt;""),$E$81,"")),AND(IF(AND($E98=1,$D$81&lt;&gt;""),$D$81,"")&lt;&gt;"",IF(AND($F98=1,$E$81&lt;&gt;""),$E$81,"")&lt;&gt;"",IF(AND($E98=1,$D$81&lt;&gt;""),$D$81,"")&lt;&gt;IF(AND($F98=1,$E$81&lt;&gt;""),$E$81,""))),1,0)</f>
        <v>0</v>
      </c>
      <c r="R98" s="11" t="n">
        <f aca="false">IF(OR(AND(IF(AND($D98=1,$C$82&lt;&gt;""),$C$82,"")&lt;&gt;"",IF(AND($E98=1,$D$82&lt;&gt;""),$D$82,"")&lt;&gt;"",IF(AND($D98=1,$C$82&lt;&gt;""),$C$82,"")&lt;&gt;IF(AND($E98=1,$D$82&lt;&gt;""),$D$82,"")),AND(IF(AND($D98=1,$C$82&lt;&gt;""),$C$82,"")&lt;&gt;"",IF(AND($F98=1,$E$82&lt;&gt;""),$E$82,"")&lt;&gt;"",IF(AND($D98=1,$C$82&lt;&gt;""),$C$82,"")&lt;&gt;IF(AND($F98=1,$E$82&lt;&gt;""),$E$82,"")),AND(IF(AND($E98=1,$D$82&lt;&gt;""),$D$82,"")&lt;&gt;"",IF(AND($F98=1,$E$82&lt;&gt;""),$E$82,"")&lt;&gt;"",IF(AND($E98=1,$D$82&lt;&gt;""),$D$82,"")&lt;&gt;IF(AND($F98=1,$E$82&lt;&gt;""),$E$82,""))),1,0)</f>
        <v>0</v>
      </c>
      <c r="S98" s="11" t="n">
        <f aca="false">IF(OR(AND(IF(AND($D98=1,$C$83&lt;&gt;""),$C$83,"")&lt;&gt;"",IF(AND($E98=1,$D$83&lt;&gt;""),$D$83,"")&lt;&gt;"",IF(AND($D98=1,$C$83&lt;&gt;""),$C$83,"")&lt;&gt;IF(AND($E98=1,$D$83&lt;&gt;""),$D$83,"")),AND(IF(AND($D98=1,$C$83&lt;&gt;""),$C$83,"")&lt;&gt;"",IF(AND($F98=1,$E$83&lt;&gt;""),$E$83,"")&lt;&gt;"",IF(AND($D98=1,$C$83&lt;&gt;""),$C$83,"")&lt;&gt;IF(AND($F98=1,$E$83&lt;&gt;""),$E$83,"")),AND(IF(AND($E98=1,$D$83&lt;&gt;""),$D$83,"")&lt;&gt;"",IF(AND($F98=1,$E$83&lt;&gt;""),$E$83,"")&lt;&gt;"",IF(AND($E98=1,$D$83&lt;&gt;""),$D$83,"")&lt;&gt;IF(AND($F98=1,$E$83&lt;&gt;""),$E$83,""))),1,0)</f>
        <v>0</v>
      </c>
      <c r="T98" s="11" t="n">
        <f aca="false">IF(OR(AND(IF(AND($D98=1,$C$84&lt;&gt;""),$C$84,"")&lt;&gt;"",IF(AND($E98=1,$D$84&lt;&gt;""),$D$84,"")&lt;&gt;"",IF(AND($D98=1,$C$84&lt;&gt;""),$C$84,"")&lt;&gt;IF(AND($E98=1,$D$84&lt;&gt;""),$D$84,"")),AND(IF(AND($D98=1,$C$84&lt;&gt;""),$C$84,"")&lt;&gt;"",IF(AND($F98=1,$E$84&lt;&gt;""),$E$84,"")&lt;&gt;"",IF(AND($D98=1,$C$84&lt;&gt;""),$C$84,"")&lt;&gt;IF(AND($F98=1,$E$84&lt;&gt;""),$E$84,"")),AND(IF(AND($E98=1,$D$84&lt;&gt;""),$D$84,"")&lt;&gt;"",IF(AND($F98=1,$E$84&lt;&gt;""),$E$84,"")&lt;&gt;"",IF(AND($E98=1,$D$84&lt;&gt;""),$D$84,"")&lt;&gt;IF(AND($F98=1,$E$84&lt;&gt;""),$E$84,""))),1,0)</f>
        <v>0</v>
      </c>
    </row>
    <row r="99" customFormat="false" ht="15" hidden="false" customHeight="false" outlineLevel="0" collapsed="false">
      <c r="A99" s="11" t="n">
        <v>2</v>
      </c>
      <c r="B99" s="5" t="s">
        <v>143</v>
      </c>
      <c r="C99" s="11" t="n">
        <f aca="false">IF(COUNTIF($B$98:B99,"transformation")&gt;0,1,0)</f>
        <v>1</v>
      </c>
      <c r="D99" s="11" t="n">
        <f aca="false">IF(COUNTIF($B$98:B99,"capital")&gt;0,1,0)</f>
        <v>1</v>
      </c>
      <c r="E99" s="11" t="n">
        <f aca="false">IF(COUNTIF($B$98:B99,"performance")&gt;0,1,0)</f>
        <v>0</v>
      </c>
      <c r="F99" s="11" t="n">
        <f aca="false">IF(COUNTIF($B$98:B99,"risk")&gt;0,1,0)</f>
        <v>0</v>
      </c>
      <c r="G99" s="11" t="n">
        <f aca="false">C99*$H$43+D99*$H$44+E99*$H$45+F99*$H$46</f>
        <v>0</v>
      </c>
      <c r="H99" s="2" t="str">
        <f aca="false">IF(G99=0,"pass","FAIL")</f>
        <v>pass</v>
      </c>
      <c r="I99" s="2" t="str">
        <f aca="false">IF(SUM(O99:T99)=0,"pass","FAIL")</f>
        <v>pass</v>
      </c>
      <c r="J99" s="2" t="str">
        <f aca="false">IF(F99=0,"pass",IF(AND(D99=1,$C$88),"pass","FAIL"))</f>
        <v>pass</v>
      </c>
      <c r="K99" s="17" t="n">
        <f aca="false">C99*$C$92+IF(AND(F99=1,D99=1,$C$88),$C$93,0)</f>
        <v>138.049617642214</v>
      </c>
      <c r="L99" s="2" t="str">
        <f aca="false">IF(K99&lt;=$C$94,"pass","FAIL")</f>
        <v>pass</v>
      </c>
      <c r="M99" s="2" t="str">
        <f aca="false">IF(C99=0,"no operator yet",IF(AND(L99="pass",Cap_today&gt;=Cap_floor),"nonempty","empty"))</f>
        <v>nonempty</v>
      </c>
      <c r="O99" s="11" t="n">
        <f aca="false">IF(OR(AND(IF(AND($D99=1,$C$79&lt;&gt;""),$C$79,"")&lt;&gt;"",IF(AND($E99=1,$D$79&lt;&gt;""),$D$79,"")&lt;&gt;"",IF(AND($D99=1,$C$79&lt;&gt;""),$C$79,"")&lt;&gt;IF(AND($E99=1,$D$79&lt;&gt;""),$D$79,"")),AND(IF(AND($D99=1,$C$79&lt;&gt;""),$C$79,"")&lt;&gt;"",IF(AND($F99=1,$E$79&lt;&gt;""),$E$79,"")&lt;&gt;"",IF(AND($D99=1,$C$79&lt;&gt;""),$C$79,"")&lt;&gt;IF(AND($F99=1,$E$79&lt;&gt;""),$E$79,"")),AND(IF(AND($E99=1,$D$79&lt;&gt;""),$D$79,"")&lt;&gt;"",IF(AND($F99=1,$E$79&lt;&gt;""),$E$79,"")&lt;&gt;"",IF(AND($E99=1,$D$79&lt;&gt;""),$D$79,"")&lt;&gt;IF(AND($F99=1,$E$79&lt;&gt;""),$E$79,""))),1,0)</f>
        <v>0</v>
      </c>
      <c r="P99" s="11" t="n">
        <f aca="false">IF(OR(AND(IF(AND($D99=1,$C$80&lt;&gt;""),$C$80,"")&lt;&gt;"",IF(AND($E99=1,$D$80&lt;&gt;""),$D$80,"")&lt;&gt;"",IF(AND($D99=1,$C$80&lt;&gt;""),$C$80,"")&lt;&gt;IF(AND($E99=1,$D$80&lt;&gt;""),$D$80,"")),AND(IF(AND($D99=1,$C$80&lt;&gt;""),$C$80,"")&lt;&gt;"",IF(AND($F99=1,$E$80&lt;&gt;""),$E$80,"")&lt;&gt;"",IF(AND($D99=1,$C$80&lt;&gt;""),$C$80,"")&lt;&gt;IF(AND($F99=1,$E$80&lt;&gt;""),$E$80,"")),AND(IF(AND($E99=1,$D$80&lt;&gt;""),$D$80,"")&lt;&gt;"",IF(AND($F99=1,$E$80&lt;&gt;""),$E$80,"")&lt;&gt;"",IF(AND($E99=1,$D$80&lt;&gt;""),$D$80,"")&lt;&gt;IF(AND($F99=1,$E$80&lt;&gt;""),$E$80,""))),1,0)</f>
        <v>0</v>
      </c>
      <c r="Q99" s="11" t="n">
        <f aca="false">IF(OR(AND(IF(AND($D99=1,$C$81&lt;&gt;""),$C$81,"")&lt;&gt;"",IF(AND($E99=1,$D$81&lt;&gt;""),$D$81,"")&lt;&gt;"",IF(AND($D99=1,$C$81&lt;&gt;""),$C$81,"")&lt;&gt;IF(AND($E99=1,$D$81&lt;&gt;""),$D$81,"")),AND(IF(AND($D99=1,$C$81&lt;&gt;""),$C$81,"")&lt;&gt;"",IF(AND($F99=1,$E$81&lt;&gt;""),$E$81,"")&lt;&gt;"",IF(AND($D99=1,$C$81&lt;&gt;""),$C$81,"")&lt;&gt;IF(AND($F99=1,$E$81&lt;&gt;""),$E$81,"")),AND(IF(AND($E99=1,$D$81&lt;&gt;""),$D$81,"")&lt;&gt;"",IF(AND($F99=1,$E$81&lt;&gt;""),$E$81,"")&lt;&gt;"",IF(AND($E99=1,$D$81&lt;&gt;""),$D$81,"")&lt;&gt;IF(AND($F99=1,$E$81&lt;&gt;""),$E$81,""))),1,0)</f>
        <v>0</v>
      </c>
      <c r="R99" s="11" t="n">
        <f aca="false">IF(OR(AND(IF(AND($D99=1,$C$82&lt;&gt;""),$C$82,"")&lt;&gt;"",IF(AND($E99=1,$D$82&lt;&gt;""),$D$82,"")&lt;&gt;"",IF(AND($D99=1,$C$82&lt;&gt;""),$C$82,"")&lt;&gt;IF(AND($E99=1,$D$82&lt;&gt;""),$D$82,"")),AND(IF(AND($D99=1,$C$82&lt;&gt;""),$C$82,"")&lt;&gt;"",IF(AND($F99=1,$E$82&lt;&gt;""),$E$82,"")&lt;&gt;"",IF(AND($D99=1,$C$82&lt;&gt;""),$C$82,"")&lt;&gt;IF(AND($F99=1,$E$82&lt;&gt;""),$E$82,"")),AND(IF(AND($E99=1,$D$82&lt;&gt;""),$D$82,"")&lt;&gt;"",IF(AND($F99=1,$E$82&lt;&gt;""),$E$82,"")&lt;&gt;"",IF(AND($E99=1,$D$82&lt;&gt;""),$D$82,"")&lt;&gt;IF(AND($F99=1,$E$82&lt;&gt;""),$E$82,""))),1,0)</f>
        <v>0</v>
      </c>
      <c r="S99" s="11" t="n">
        <f aca="false">IF(OR(AND(IF(AND($D99=1,$C$83&lt;&gt;""),$C$83,"")&lt;&gt;"",IF(AND($E99=1,$D$83&lt;&gt;""),$D$83,"")&lt;&gt;"",IF(AND($D99=1,$C$83&lt;&gt;""),$C$83,"")&lt;&gt;IF(AND($E99=1,$D$83&lt;&gt;""),$D$83,"")),AND(IF(AND($D99=1,$C$83&lt;&gt;""),$C$83,"")&lt;&gt;"",IF(AND($F99=1,$E$83&lt;&gt;""),$E$83,"")&lt;&gt;"",IF(AND($D99=1,$C$83&lt;&gt;""),$C$83,"")&lt;&gt;IF(AND($F99=1,$E$83&lt;&gt;""),$E$83,"")),AND(IF(AND($E99=1,$D$83&lt;&gt;""),$D$83,"")&lt;&gt;"",IF(AND($F99=1,$E$83&lt;&gt;""),$E$83,"")&lt;&gt;"",IF(AND($E99=1,$D$83&lt;&gt;""),$D$83,"")&lt;&gt;IF(AND($F99=1,$E$83&lt;&gt;""),$E$83,""))),1,0)</f>
        <v>0</v>
      </c>
      <c r="T99" s="11" t="n">
        <f aca="false">IF(OR(AND(IF(AND($D99=1,$C$84&lt;&gt;""),$C$84,"")&lt;&gt;"",IF(AND($E99=1,$D$84&lt;&gt;""),$D$84,"")&lt;&gt;"",IF(AND($D99=1,$C$84&lt;&gt;""),$C$84,"")&lt;&gt;IF(AND($E99=1,$D$84&lt;&gt;""),$D$84,"")),AND(IF(AND($D99=1,$C$84&lt;&gt;""),$C$84,"")&lt;&gt;"",IF(AND($F99=1,$E$84&lt;&gt;""),$E$84,"")&lt;&gt;"",IF(AND($D99=1,$C$84&lt;&gt;""),$C$84,"")&lt;&gt;IF(AND($F99=1,$E$84&lt;&gt;""),$E$84,"")),AND(IF(AND($E99=1,$D$84&lt;&gt;""),$D$84,"")&lt;&gt;"",IF(AND($F99=1,$E$84&lt;&gt;""),$E$84,"")&lt;&gt;"",IF(AND($E99=1,$D$84&lt;&gt;""),$D$84,"")&lt;&gt;IF(AND($F99=1,$E$84&lt;&gt;""),$E$84,""))),1,0)</f>
        <v>0</v>
      </c>
    </row>
    <row r="100" customFormat="false" ht="15" hidden="false" customHeight="false" outlineLevel="0" collapsed="false">
      <c r="A100" s="11" t="n">
        <v>3</v>
      </c>
      <c r="B100" s="5" t="s">
        <v>145</v>
      </c>
      <c r="C100" s="11" t="n">
        <f aca="false">IF(COUNTIF($B$98:B100,"transformation")&gt;0,1,0)</f>
        <v>1</v>
      </c>
      <c r="D100" s="11" t="n">
        <f aca="false">IF(COUNTIF($B$98:B100,"capital")&gt;0,1,0)</f>
        <v>1</v>
      </c>
      <c r="E100" s="11" t="n">
        <f aca="false">IF(COUNTIF($B$98:B100,"performance")&gt;0,1,0)</f>
        <v>1</v>
      </c>
      <c r="F100" s="11" t="n">
        <f aca="false">IF(COUNTIF($B$98:B100,"risk")&gt;0,1,0)</f>
        <v>0</v>
      </c>
      <c r="G100" s="11" t="n">
        <f aca="false">C100*$H$43+D100*$H$44+E100*$H$45+F100*$H$46</f>
        <v>0</v>
      </c>
      <c r="H100" s="2" t="str">
        <f aca="false">IF(G100=0,"pass","FAIL")</f>
        <v>pass</v>
      </c>
      <c r="I100" s="2" t="str">
        <f aca="false">IF(SUM(O100:T100)=0,"pass","FAIL")</f>
        <v>pass</v>
      </c>
      <c r="J100" s="2" t="str">
        <f aca="false">IF(F100=0,"pass",IF(AND(D100=1,$C$88),"pass","FAIL"))</f>
        <v>pass</v>
      </c>
      <c r="K100" s="17" t="n">
        <f aca="false">C100*$C$92+IF(AND(F100=1,D100=1,$C$88),$C$93,0)</f>
        <v>138.049617642214</v>
      </c>
      <c r="L100" s="2" t="str">
        <f aca="false">IF(K100&lt;=$C$94,"pass","FAIL")</f>
        <v>pass</v>
      </c>
      <c r="M100" s="2" t="str">
        <f aca="false">IF(C100=0,"no operator yet",IF(AND(L100="pass",Cap_today&gt;=Cap_floor),"nonempty","empty"))</f>
        <v>nonempty</v>
      </c>
      <c r="O100" s="11" t="n">
        <f aca="false">IF(OR(AND(IF(AND($D100=1,$C$79&lt;&gt;""),$C$79,"")&lt;&gt;"",IF(AND($E100=1,$D$79&lt;&gt;""),$D$79,"")&lt;&gt;"",IF(AND($D100=1,$C$79&lt;&gt;""),$C$79,"")&lt;&gt;IF(AND($E100=1,$D$79&lt;&gt;""),$D$79,"")),AND(IF(AND($D100=1,$C$79&lt;&gt;""),$C$79,"")&lt;&gt;"",IF(AND($F100=1,$E$79&lt;&gt;""),$E$79,"")&lt;&gt;"",IF(AND($D100=1,$C$79&lt;&gt;""),$C$79,"")&lt;&gt;IF(AND($F100=1,$E$79&lt;&gt;""),$E$79,"")),AND(IF(AND($E100=1,$D$79&lt;&gt;""),$D$79,"")&lt;&gt;"",IF(AND($F100=1,$E$79&lt;&gt;""),$E$79,"")&lt;&gt;"",IF(AND($E100=1,$D$79&lt;&gt;""),$D$79,"")&lt;&gt;IF(AND($F100=1,$E$79&lt;&gt;""),$E$79,""))),1,0)</f>
        <v>0</v>
      </c>
      <c r="P100" s="11" t="n">
        <f aca="false">IF(OR(AND(IF(AND($D100=1,$C$80&lt;&gt;""),$C$80,"")&lt;&gt;"",IF(AND($E100=1,$D$80&lt;&gt;""),$D$80,"")&lt;&gt;"",IF(AND($D100=1,$C$80&lt;&gt;""),$C$80,"")&lt;&gt;IF(AND($E100=1,$D$80&lt;&gt;""),$D$80,"")),AND(IF(AND($D100=1,$C$80&lt;&gt;""),$C$80,"")&lt;&gt;"",IF(AND($F100=1,$E$80&lt;&gt;""),$E$80,"")&lt;&gt;"",IF(AND($D100=1,$C$80&lt;&gt;""),$C$80,"")&lt;&gt;IF(AND($F100=1,$E$80&lt;&gt;""),$E$80,"")),AND(IF(AND($E100=1,$D$80&lt;&gt;""),$D$80,"")&lt;&gt;"",IF(AND($F100=1,$E$80&lt;&gt;""),$E$80,"")&lt;&gt;"",IF(AND($E100=1,$D$80&lt;&gt;""),$D$80,"")&lt;&gt;IF(AND($F100=1,$E$80&lt;&gt;""),$E$80,""))),1,0)</f>
        <v>0</v>
      </c>
      <c r="Q100" s="11" t="n">
        <f aca="false">IF(OR(AND(IF(AND($D100=1,$C$81&lt;&gt;""),$C$81,"")&lt;&gt;"",IF(AND($E100=1,$D$81&lt;&gt;""),$D$81,"")&lt;&gt;"",IF(AND($D100=1,$C$81&lt;&gt;""),$C$81,"")&lt;&gt;IF(AND($E100=1,$D$81&lt;&gt;""),$D$81,"")),AND(IF(AND($D100=1,$C$81&lt;&gt;""),$C$81,"")&lt;&gt;"",IF(AND($F100=1,$E$81&lt;&gt;""),$E$81,"")&lt;&gt;"",IF(AND($D100=1,$C$81&lt;&gt;""),$C$81,"")&lt;&gt;IF(AND($F100=1,$E$81&lt;&gt;""),$E$81,"")),AND(IF(AND($E100=1,$D$81&lt;&gt;""),$D$81,"")&lt;&gt;"",IF(AND($F100=1,$E$81&lt;&gt;""),$E$81,"")&lt;&gt;"",IF(AND($E100=1,$D$81&lt;&gt;""),$D$81,"")&lt;&gt;IF(AND($F100=1,$E$81&lt;&gt;""),$E$81,""))),1,0)</f>
        <v>0</v>
      </c>
      <c r="R100" s="11" t="n">
        <f aca="false">IF(OR(AND(IF(AND($D100=1,$C$82&lt;&gt;""),$C$82,"")&lt;&gt;"",IF(AND($E100=1,$D$82&lt;&gt;""),$D$82,"")&lt;&gt;"",IF(AND($D100=1,$C$82&lt;&gt;""),$C$82,"")&lt;&gt;IF(AND($E100=1,$D$82&lt;&gt;""),$D$82,"")),AND(IF(AND($D100=1,$C$82&lt;&gt;""),$C$82,"")&lt;&gt;"",IF(AND($F100=1,$E$82&lt;&gt;""),$E$82,"")&lt;&gt;"",IF(AND($D100=1,$C$82&lt;&gt;""),$C$82,"")&lt;&gt;IF(AND($F100=1,$E$82&lt;&gt;""),$E$82,"")),AND(IF(AND($E100=1,$D$82&lt;&gt;""),$D$82,"")&lt;&gt;"",IF(AND($F100=1,$E$82&lt;&gt;""),$E$82,"")&lt;&gt;"",IF(AND($E100=1,$D$82&lt;&gt;""),$D$82,"")&lt;&gt;IF(AND($F100=1,$E$82&lt;&gt;""),$E$82,""))),1,0)</f>
        <v>0</v>
      </c>
      <c r="S100" s="11" t="n">
        <f aca="false">IF(OR(AND(IF(AND($D100=1,$C$83&lt;&gt;""),$C$83,"")&lt;&gt;"",IF(AND($E100=1,$D$83&lt;&gt;""),$D$83,"")&lt;&gt;"",IF(AND($D100=1,$C$83&lt;&gt;""),$C$83,"")&lt;&gt;IF(AND($E100=1,$D$83&lt;&gt;""),$D$83,"")),AND(IF(AND($D100=1,$C$83&lt;&gt;""),$C$83,"")&lt;&gt;"",IF(AND($F100=1,$E$83&lt;&gt;""),$E$83,"")&lt;&gt;"",IF(AND($D100=1,$C$83&lt;&gt;""),$C$83,"")&lt;&gt;IF(AND($F100=1,$E$83&lt;&gt;""),$E$83,"")),AND(IF(AND($E100=1,$D$83&lt;&gt;""),$D$83,"")&lt;&gt;"",IF(AND($F100=1,$E$83&lt;&gt;""),$E$83,"")&lt;&gt;"",IF(AND($E100=1,$D$83&lt;&gt;""),$D$83,"")&lt;&gt;IF(AND($F100=1,$E$83&lt;&gt;""),$E$83,""))),1,0)</f>
        <v>0</v>
      </c>
      <c r="T100" s="11" t="n">
        <f aca="false">IF(OR(AND(IF(AND($D100=1,$C$84&lt;&gt;""),$C$84,"")&lt;&gt;"",IF(AND($E100=1,$D$84&lt;&gt;""),$D$84,"")&lt;&gt;"",IF(AND($D100=1,$C$84&lt;&gt;""),$C$84,"")&lt;&gt;IF(AND($E100=1,$D$84&lt;&gt;""),$D$84,"")),AND(IF(AND($D100=1,$C$84&lt;&gt;""),$C$84,"")&lt;&gt;"",IF(AND($F100=1,$E$84&lt;&gt;""),$E$84,"")&lt;&gt;"",IF(AND($D100=1,$C$84&lt;&gt;""),$C$84,"")&lt;&gt;IF(AND($F100=1,$E$84&lt;&gt;""),$E$84,"")),AND(IF(AND($E100=1,$D$84&lt;&gt;""),$D$84,"")&lt;&gt;"",IF(AND($F100=1,$E$84&lt;&gt;""),$E$84,"")&lt;&gt;"",IF(AND($E100=1,$D$84&lt;&gt;""),$D$84,"")&lt;&gt;IF(AND($F100=1,$E$84&lt;&gt;""),$E$84,""))),1,0)</f>
        <v>0</v>
      </c>
    </row>
    <row r="101" customFormat="false" ht="15" hidden="false" customHeight="false" outlineLevel="0" collapsed="false">
      <c r="A101" s="11" t="n">
        <v>4</v>
      </c>
      <c r="B101" s="5" t="s">
        <v>147</v>
      </c>
      <c r="C101" s="11" t="n">
        <f aca="false">IF(COUNTIF($B$98:B101,"transformation")&gt;0,1,0)</f>
        <v>1</v>
      </c>
      <c r="D101" s="11" t="n">
        <f aca="false">IF(COUNTIF($B$98:B101,"capital")&gt;0,1,0)</f>
        <v>1</v>
      </c>
      <c r="E101" s="11" t="n">
        <f aca="false">IF(COUNTIF($B$98:B101,"performance")&gt;0,1,0)</f>
        <v>1</v>
      </c>
      <c r="F101" s="11" t="n">
        <f aca="false">IF(COUNTIF($B$98:B101,"risk")&gt;0,1,0)</f>
        <v>1</v>
      </c>
      <c r="G101" s="11" t="n">
        <f aca="false">C101*$H$43+D101*$H$44+E101*$H$45+F101*$H$46</f>
        <v>0</v>
      </c>
      <c r="H101" s="2" t="str">
        <f aca="false">IF(G101=0,"pass","FAIL")</f>
        <v>pass</v>
      </c>
      <c r="I101" s="2" t="str">
        <f aca="false">IF(SUM(O101:T101)=0,"pass","FAIL")</f>
        <v>pass</v>
      </c>
      <c r="J101" s="2" t="str">
        <f aca="false">IF(F101=0,"pass",IF(AND(D101=1,$C$88),"pass","FAIL"))</f>
        <v>pass</v>
      </c>
      <c r="K101" s="17" t="n">
        <f aca="false">C101*$C$92+IF(AND(F101=1,D101=1,$C$88),$C$93,0)</f>
        <v>324.916594012879</v>
      </c>
      <c r="L101" s="2" t="str">
        <f aca="false">IF(K101&lt;=$C$94,"pass","FAIL")</f>
        <v>FAIL</v>
      </c>
      <c r="M101" s="2" t="str">
        <f aca="false">IF(C101=0,"no operator yet",IF(AND(L101="pass",Cap_today&gt;=Cap_floor),"nonempty","empty"))</f>
        <v>empty</v>
      </c>
      <c r="O101" s="11" t="n">
        <f aca="false">IF(OR(AND(IF(AND($D101=1,$C$79&lt;&gt;""),$C$79,"")&lt;&gt;"",IF(AND($E101=1,$D$79&lt;&gt;""),$D$79,"")&lt;&gt;"",IF(AND($D101=1,$C$79&lt;&gt;""),$C$79,"")&lt;&gt;IF(AND($E101=1,$D$79&lt;&gt;""),$D$79,"")),AND(IF(AND($D101=1,$C$79&lt;&gt;""),$C$79,"")&lt;&gt;"",IF(AND($F101=1,$E$79&lt;&gt;""),$E$79,"")&lt;&gt;"",IF(AND($D101=1,$C$79&lt;&gt;""),$C$79,"")&lt;&gt;IF(AND($F101=1,$E$79&lt;&gt;""),$E$79,"")),AND(IF(AND($E101=1,$D$79&lt;&gt;""),$D$79,"")&lt;&gt;"",IF(AND($F101=1,$E$79&lt;&gt;""),$E$79,"")&lt;&gt;"",IF(AND($E101=1,$D$79&lt;&gt;""),$D$79,"")&lt;&gt;IF(AND($F101=1,$E$79&lt;&gt;""),$E$79,""))),1,0)</f>
        <v>0</v>
      </c>
      <c r="P101" s="11" t="n">
        <f aca="false">IF(OR(AND(IF(AND($D101=1,$C$80&lt;&gt;""),$C$80,"")&lt;&gt;"",IF(AND($E101=1,$D$80&lt;&gt;""),$D$80,"")&lt;&gt;"",IF(AND($D101=1,$C$80&lt;&gt;""),$C$80,"")&lt;&gt;IF(AND($E101=1,$D$80&lt;&gt;""),$D$80,"")),AND(IF(AND($D101=1,$C$80&lt;&gt;""),$C$80,"")&lt;&gt;"",IF(AND($F101=1,$E$80&lt;&gt;""),$E$80,"")&lt;&gt;"",IF(AND($D101=1,$C$80&lt;&gt;""),$C$80,"")&lt;&gt;IF(AND($F101=1,$E$80&lt;&gt;""),$E$80,"")),AND(IF(AND($E101=1,$D$80&lt;&gt;""),$D$80,"")&lt;&gt;"",IF(AND($F101=1,$E$80&lt;&gt;""),$E$80,"")&lt;&gt;"",IF(AND($E101=1,$D$80&lt;&gt;""),$D$80,"")&lt;&gt;IF(AND($F101=1,$E$80&lt;&gt;""),$E$80,""))),1,0)</f>
        <v>0</v>
      </c>
      <c r="Q101" s="11" t="n">
        <f aca="false">IF(OR(AND(IF(AND($D101=1,$C$81&lt;&gt;""),$C$81,"")&lt;&gt;"",IF(AND($E101=1,$D$81&lt;&gt;""),$D$81,"")&lt;&gt;"",IF(AND($D101=1,$C$81&lt;&gt;""),$C$81,"")&lt;&gt;IF(AND($E101=1,$D$81&lt;&gt;""),$D$81,"")),AND(IF(AND($D101=1,$C$81&lt;&gt;""),$C$81,"")&lt;&gt;"",IF(AND($F101=1,$E$81&lt;&gt;""),$E$81,"")&lt;&gt;"",IF(AND($D101=1,$C$81&lt;&gt;""),$C$81,"")&lt;&gt;IF(AND($F101=1,$E$81&lt;&gt;""),$E$81,"")),AND(IF(AND($E101=1,$D$81&lt;&gt;""),$D$81,"")&lt;&gt;"",IF(AND($F101=1,$E$81&lt;&gt;""),$E$81,"")&lt;&gt;"",IF(AND($E101=1,$D$81&lt;&gt;""),$D$81,"")&lt;&gt;IF(AND($F101=1,$E$81&lt;&gt;""),$E$81,""))),1,0)</f>
        <v>0</v>
      </c>
      <c r="R101" s="11" t="n">
        <f aca="false">IF(OR(AND(IF(AND($D101=1,$C$82&lt;&gt;""),$C$82,"")&lt;&gt;"",IF(AND($E101=1,$D$82&lt;&gt;""),$D$82,"")&lt;&gt;"",IF(AND($D101=1,$C$82&lt;&gt;""),$C$82,"")&lt;&gt;IF(AND($E101=1,$D$82&lt;&gt;""),$D$82,"")),AND(IF(AND($D101=1,$C$82&lt;&gt;""),$C$82,"")&lt;&gt;"",IF(AND($F101=1,$E$82&lt;&gt;""),$E$82,"")&lt;&gt;"",IF(AND($D101=1,$C$82&lt;&gt;""),$C$82,"")&lt;&gt;IF(AND($F101=1,$E$82&lt;&gt;""),$E$82,"")),AND(IF(AND($E101=1,$D$82&lt;&gt;""),$D$82,"")&lt;&gt;"",IF(AND($F101=1,$E$82&lt;&gt;""),$E$82,"")&lt;&gt;"",IF(AND($E101=1,$D$82&lt;&gt;""),$D$82,"")&lt;&gt;IF(AND($F101=1,$E$82&lt;&gt;""),$E$82,""))),1,0)</f>
        <v>0</v>
      </c>
      <c r="S101" s="11" t="n">
        <f aca="false">IF(OR(AND(IF(AND($D101=1,$C$83&lt;&gt;""),$C$83,"")&lt;&gt;"",IF(AND($E101=1,$D$83&lt;&gt;""),$D$83,"")&lt;&gt;"",IF(AND($D101=1,$C$83&lt;&gt;""),$C$83,"")&lt;&gt;IF(AND($E101=1,$D$83&lt;&gt;""),$D$83,"")),AND(IF(AND($D101=1,$C$83&lt;&gt;""),$C$83,"")&lt;&gt;"",IF(AND($F101=1,$E$83&lt;&gt;""),$E$83,"")&lt;&gt;"",IF(AND($D101=1,$C$83&lt;&gt;""),$C$83,"")&lt;&gt;IF(AND($F101=1,$E$83&lt;&gt;""),$E$83,"")),AND(IF(AND($E101=1,$D$83&lt;&gt;""),$D$83,"")&lt;&gt;"",IF(AND($F101=1,$E$83&lt;&gt;""),$E$83,"")&lt;&gt;"",IF(AND($E101=1,$D$83&lt;&gt;""),$D$83,"")&lt;&gt;IF(AND($F101=1,$E$83&lt;&gt;""),$E$83,""))),1,0)</f>
        <v>0</v>
      </c>
      <c r="T101" s="11" t="n">
        <f aca="false">IF(OR(AND(IF(AND($D101=1,$C$84&lt;&gt;""),$C$84,"")&lt;&gt;"",IF(AND($E101=1,$D$84&lt;&gt;""),$D$84,"")&lt;&gt;"",IF(AND($D101=1,$C$84&lt;&gt;""),$C$84,"")&lt;&gt;IF(AND($E101=1,$D$84&lt;&gt;""),$D$84,"")),AND(IF(AND($D101=1,$C$84&lt;&gt;""),$C$84,"")&lt;&gt;"",IF(AND($F101=1,$E$84&lt;&gt;""),$E$84,"")&lt;&gt;"",IF(AND($D101=1,$C$84&lt;&gt;""),$C$84,"")&lt;&gt;IF(AND($F101=1,$E$84&lt;&gt;""),$E$84,"")),AND(IF(AND($E101=1,$D$84&lt;&gt;""),$D$84,"")&lt;&gt;"",IF(AND($F101=1,$E$84&lt;&gt;""),$E$84,"")&lt;&gt;"",IF(AND($E101=1,$D$84&lt;&gt;""),$D$84,"")&lt;&gt;IF(AND($F101=1,$E$84&lt;&gt;""),$E$84,""))),1,0)</f>
        <v>0</v>
      </c>
    </row>
    <row r="104" customFormat="false" ht="15" hidden="false" customHeight="false" outlineLevel="0" collapsed="false">
      <c r="A104" s="4" t="s">
        <v>206</v>
      </c>
    </row>
    <row r="105" customFormat="false" ht="35.05" hidden="false" customHeight="false" outlineLevel="0" collapsed="false">
      <c r="A105" s="8" t="s">
        <v>187</v>
      </c>
      <c r="B105" s="8" t="s">
        <v>188</v>
      </c>
      <c r="C105" s="8" t="s">
        <v>189</v>
      </c>
      <c r="D105" s="8" t="s">
        <v>190</v>
      </c>
      <c r="E105" s="8" t="s">
        <v>191</v>
      </c>
      <c r="F105" s="8" t="s">
        <v>192</v>
      </c>
      <c r="G105" s="8" t="s">
        <v>193</v>
      </c>
      <c r="H105" s="8" t="s">
        <v>194</v>
      </c>
      <c r="I105" s="8" t="s">
        <v>195</v>
      </c>
      <c r="J105" s="8" t="s">
        <v>196</v>
      </c>
      <c r="K105" s="8" t="s">
        <v>197</v>
      </c>
      <c r="L105" s="8" t="s">
        <v>198</v>
      </c>
      <c r="M105" s="8" t="s">
        <v>199</v>
      </c>
      <c r="O105" s="8" t="s">
        <v>200</v>
      </c>
      <c r="P105" s="8" t="s">
        <v>201</v>
      </c>
      <c r="Q105" s="8" t="s">
        <v>202</v>
      </c>
      <c r="R105" s="8" t="s">
        <v>203</v>
      </c>
      <c r="S105" s="8" t="s">
        <v>204</v>
      </c>
      <c r="T105" s="8" t="s">
        <v>205</v>
      </c>
    </row>
    <row r="106" customFormat="false" ht="15" hidden="false" customHeight="false" outlineLevel="0" collapsed="false">
      <c r="A106" s="11" t="n">
        <v>1</v>
      </c>
      <c r="B106" s="5" t="s">
        <v>143</v>
      </c>
      <c r="C106" s="11" t="n">
        <f aca="false">IF(COUNTIF($B$106:B106,"transformation")&gt;0,1,0)</f>
        <v>0</v>
      </c>
      <c r="D106" s="11" t="n">
        <f aca="false">IF(COUNTIF($B$106:B106,"capital")&gt;0,1,0)</f>
        <v>1</v>
      </c>
      <c r="E106" s="11" t="n">
        <f aca="false">IF(COUNTIF($B$106:B106,"performance")&gt;0,1,0)</f>
        <v>0</v>
      </c>
      <c r="F106" s="11" t="n">
        <f aca="false">IF(COUNTIF($B$106:B106,"risk")&gt;0,1,0)</f>
        <v>0</v>
      </c>
      <c r="G106" s="11" t="n">
        <f aca="false">C106*$H$43+D106*$H$44+E106*$H$45+F106*$H$46</f>
        <v>0</v>
      </c>
      <c r="H106" s="2" t="str">
        <f aca="false">IF(G106=0,"pass","FAIL")</f>
        <v>pass</v>
      </c>
      <c r="I106" s="2" t="str">
        <f aca="false">IF(SUM(O106:T106)=0,"pass","FAIL")</f>
        <v>pass</v>
      </c>
      <c r="J106" s="2" t="str">
        <f aca="false">IF(F106=0,"pass",IF(AND(D106=1,$C$88),"pass","FAIL"))</f>
        <v>pass</v>
      </c>
      <c r="K106" s="17" t="n">
        <f aca="false">C106*$C$92+IF(AND(F106=1,D106=1,$C$88),$C$93,0)</f>
        <v>0</v>
      </c>
      <c r="L106" s="2" t="str">
        <f aca="false">IF(K106&lt;=$C$94,"pass","FAIL")</f>
        <v>pass</v>
      </c>
      <c r="M106" s="2" t="str">
        <f aca="false">IF(C106=0,"no operator yet",IF(AND(L106="pass",Cap_today&gt;=Cap_floor),"nonempty","empty"))</f>
        <v>no operator yet</v>
      </c>
      <c r="O106" s="11" t="n">
        <f aca="false">IF(OR(AND(IF(AND($D106=1,$C$79&lt;&gt;""),$C$79,"")&lt;&gt;"",IF(AND($E106=1,$D$79&lt;&gt;""),$D$79,"")&lt;&gt;"",IF(AND($D106=1,$C$79&lt;&gt;""),$C$79,"")&lt;&gt;IF(AND($E106=1,$D$79&lt;&gt;""),$D$79,"")),AND(IF(AND($D106=1,$C$79&lt;&gt;""),$C$79,"")&lt;&gt;"",IF(AND($F106=1,$E$79&lt;&gt;""),$E$79,"")&lt;&gt;"",IF(AND($D106=1,$C$79&lt;&gt;""),$C$79,"")&lt;&gt;IF(AND($F106=1,$E$79&lt;&gt;""),$E$79,"")),AND(IF(AND($E106=1,$D$79&lt;&gt;""),$D$79,"")&lt;&gt;"",IF(AND($F106=1,$E$79&lt;&gt;""),$E$79,"")&lt;&gt;"",IF(AND($E106=1,$D$79&lt;&gt;""),$D$79,"")&lt;&gt;IF(AND($F106=1,$E$79&lt;&gt;""),$E$79,""))),1,0)</f>
        <v>0</v>
      </c>
      <c r="P106" s="11" t="n">
        <f aca="false">IF(OR(AND(IF(AND($D106=1,$C$80&lt;&gt;""),$C$80,"")&lt;&gt;"",IF(AND($E106=1,$D$80&lt;&gt;""),$D$80,"")&lt;&gt;"",IF(AND($D106=1,$C$80&lt;&gt;""),$C$80,"")&lt;&gt;IF(AND($E106=1,$D$80&lt;&gt;""),$D$80,"")),AND(IF(AND($D106=1,$C$80&lt;&gt;""),$C$80,"")&lt;&gt;"",IF(AND($F106=1,$E$80&lt;&gt;""),$E$80,"")&lt;&gt;"",IF(AND($D106=1,$C$80&lt;&gt;""),$C$80,"")&lt;&gt;IF(AND($F106=1,$E$80&lt;&gt;""),$E$80,"")),AND(IF(AND($E106=1,$D$80&lt;&gt;""),$D$80,"")&lt;&gt;"",IF(AND($F106=1,$E$80&lt;&gt;""),$E$80,"")&lt;&gt;"",IF(AND($E106=1,$D$80&lt;&gt;""),$D$80,"")&lt;&gt;IF(AND($F106=1,$E$80&lt;&gt;""),$E$80,""))),1,0)</f>
        <v>0</v>
      </c>
      <c r="Q106" s="11" t="n">
        <f aca="false">IF(OR(AND(IF(AND($D106=1,$C$81&lt;&gt;""),$C$81,"")&lt;&gt;"",IF(AND($E106=1,$D$81&lt;&gt;""),$D$81,"")&lt;&gt;"",IF(AND($D106=1,$C$81&lt;&gt;""),$C$81,"")&lt;&gt;IF(AND($E106=1,$D$81&lt;&gt;""),$D$81,"")),AND(IF(AND($D106=1,$C$81&lt;&gt;""),$C$81,"")&lt;&gt;"",IF(AND($F106=1,$E$81&lt;&gt;""),$E$81,"")&lt;&gt;"",IF(AND($D106=1,$C$81&lt;&gt;""),$C$81,"")&lt;&gt;IF(AND($F106=1,$E$81&lt;&gt;""),$E$81,"")),AND(IF(AND($E106=1,$D$81&lt;&gt;""),$D$81,"")&lt;&gt;"",IF(AND($F106=1,$E$81&lt;&gt;""),$E$81,"")&lt;&gt;"",IF(AND($E106=1,$D$81&lt;&gt;""),$D$81,"")&lt;&gt;IF(AND($F106=1,$E$81&lt;&gt;""),$E$81,""))),1,0)</f>
        <v>0</v>
      </c>
      <c r="R106" s="11" t="n">
        <f aca="false">IF(OR(AND(IF(AND($D106=1,$C$82&lt;&gt;""),$C$82,"")&lt;&gt;"",IF(AND($E106=1,$D$82&lt;&gt;""),$D$82,"")&lt;&gt;"",IF(AND($D106=1,$C$82&lt;&gt;""),$C$82,"")&lt;&gt;IF(AND($E106=1,$D$82&lt;&gt;""),$D$82,"")),AND(IF(AND($D106=1,$C$82&lt;&gt;""),$C$82,"")&lt;&gt;"",IF(AND($F106=1,$E$82&lt;&gt;""),$E$82,"")&lt;&gt;"",IF(AND($D106=1,$C$82&lt;&gt;""),$C$82,"")&lt;&gt;IF(AND($F106=1,$E$82&lt;&gt;""),$E$82,"")),AND(IF(AND($E106=1,$D$82&lt;&gt;""),$D$82,"")&lt;&gt;"",IF(AND($F106=1,$E$82&lt;&gt;""),$E$82,"")&lt;&gt;"",IF(AND($E106=1,$D$82&lt;&gt;""),$D$82,"")&lt;&gt;IF(AND($F106=1,$E$82&lt;&gt;""),$E$82,""))),1,0)</f>
        <v>0</v>
      </c>
      <c r="S106" s="11" t="n">
        <f aca="false">IF(OR(AND(IF(AND($D106=1,$C$83&lt;&gt;""),$C$83,"")&lt;&gt;"",IF(AND($E106=1,$D$83&lt;&gt;""),$D$83,"")&lt;&gt;"",IF(AND($D106=1,$C$83&lt;&gt;""),$C$83,"")&lt;&gt;IF(AND($E106=1,$D$83&lt;&gt;""),$D$83,"")),AND(IF(AND($D106=1,$C$83&lt;&gt;""),$C$83,"")&lt;&gt;"",IF(AND($F106=1,$E$83&lt;&gt;""),$E$83,"")&lt;&gt;"",IF(AND($D106=1,$C$83&lt;&gt;""),$C$83,"")&lt;&gt;IF(AND($F106=1,$E$83&lt;&gt;""),$E$83,"")),AND(IF(AND($E106=1,$D$83&lt;&gt;""),$D$83,"")&lt;&gt;"",IF(AND($F106=1,$E$83&lt;&gt;""),$E$83,"")&lt;&gt;"",IF(AND($E106=1,$D$83&lt;&gt;""),$D$83,"")&lt;&gt;IF(AND($F106=1,$E$83&lt;&gt;""),$E$83,""))),1,0)</f>
        <v>0</v>
      </c>
      <c r="T106" s="11" t="n">
        <f aca="false">IF(OR(AND(IF(AND($D106=1,$C$84&lt;&gt;""),$C$84,"")&lt;&gt;"",IF(AND($E106=1,$D$84&lt;&gt;""),$D$84,"")&lt;&gt;"",IF(AND($D106=1,$C$84&lt;&gt;""),$C$84,"")&lt;&gt;IF(AND($E106=1,$D$84&lt;&gt;""),$D$84,"")),AND(IF(AND($D106=1,$C$84&lt;&gt;""),$C$84,"")&lt;&gt;"",IF(AND($F106=1,$E$84&lt;&gt;""),$E$84,"")&lt;&gt;"",IF(AND($D106=1,$C$84&lt;&gt;""),$C$84,"")&lt;&gt;IF(AND($F106=1,$E$84&lt;&gt;""),$E$84,"")),AND(IF(AND($E106=1,$D$84&lt;&gt;""),$D$84,"")&lt;&gt;"",IF(AND($F106=1,$E$84&lt;&gt;""),$E$84,"")&lt;&gt;"",IF(AND($E106=1,$D$84&lt;&gt;""),$D$84,"")&lt;&gt;IF(AND($F106=1,$E$84&lt;&gt;""),$E$84,""))),1,0)</f>
        <v>0</v>
      </c>
    </row>
    <row r="107" customFormat="false" ht="15" hidden="false" customHeight="false" outlineLevel="0" collapsed="false">
      <c r="A107" s="11" t="n">
        <v>2</v>
      </c>
      <c r="B107" s="5" t="s">
        <v>147</v>
      </c>
      <c r="C107" s="11" t="n">
        <f aca="false">IF(COUNTIF($B$106:B107,"transformation")&gt;0,1,0)</f>
        <v>0</v>
      </c>
      <c r="D107" s="11" t="n">
        <f aca="false">IF(COUNTIF($B$106:B107,"capital")&gt;0,1,0)</f>
        <v>1</v>
      </c>
      <c r="E107" s="11" t="n">
        <f aca="false">IF(COUNTIF($B$106:B107,"performance")&gt;0,1,0)</f>
        <v>0</v>
      </c>
      <c r="F107" s="11" t="n">
        <f aca="false">IF(COUNTIF($B$106:B107,"risk")&gt;0,1,0)</f>
        <v>1</v>
      </c>
      <c r="G107" s="11" t="n">
        <f aca="false">C107*$H$43+D107*$H$44+E107*$H$45+F107*$H$46</f>
        <v>0</v>
      </c>
      <c r="H107" s="2" t="str">
        <f aca="false">IF(G107=0,"pass","FAIL")</f>
        <v>pass</v>
      </c>
      <c r="I107" s="2" t="str">
        <f aca="false">IF(SUM(O107:T107)=0,"pass","FAIL")</f>
        <v>pass</v>
      </c>
      <c r="J107" s="2" t="str">
        <f aca="false">IF(F107=0,"pass",IF(AND(D107=1,$C$88),"pass","FAIL"))</f>
        <v>pass</v>
      </c>
      <c r="K107" s="17" t="n">
        <f aca="false">C107*$C$92+IF(AND(F107=1,D107=1,$C$88),$C$93,0)</f>
        <v>186.866976370664</v>
      </c>
      <c r="L107" s="2" t="str">
        <f aca="false">IF(K107&lt;=$C$94,"pass","FAIL")</f>
        <v>pass</v>
      </c>
      <c r="M107" s="2" t="str">
        <f aca="false">IF(C107=0,"no operator yet",IF(AND(L107="pass",Cap_today&gt;=Cap_floor),"nonempty","empty"))</f>
        <v>no operator yet</v>
      </c>
      <c r="O107" s="11" t="n">
        <f aca="false">IF(OR(AND(IF(AND($D107=1,$C$79&lt;&gt;""),$C$79,"")&lt;&gt;"",IF(AND($E107=1,$D$79&lt;&gt;""),$D$79,"")&lt;&gt;"",IF(AND($D107=1,$C$79&lt;&gt;""),$C$79,"")&lt;&gt;IF(AND($E107=1,$D$79&lt;&gt;""),$D$79,"")),AND(IF(AND($D107=1,$C$79&lt;&gt;""),$C$79,"")&lt;&gt;"",IF(AND($F107=1,$E$79&lt;&gt;""),$E$79,"")&lt;&gt;"",IF(AND($D107=1,$C$79&lt;&gt;""),$C$79,"")&lt;&gt;IF(AND($F107=1,$E$79&lt;&gt;""),$E$79,"")),AND(IF(AND($E107=1,$D$79&lt;&gt;""),$D$79,"")&lt;&gt;"",IF(AND($F107=1,$E$79&lt;&gt;""),$E$79,"")&lt;&gt;"",IF(AND($E107=1,$D$79&lt;&gt;""),$D$79,"")&lt;&gt;IF(AND($F107=1,$E$79&lt;&gt;""),$E$79,""))),1,0)</f>
        <v>0</v>
      </c>
      <c r="P107" s="11" t="n">
        <f aca="false">IF(OR(AND(IF(AND($D107=1,$C$80&lt;&gt;""),$C$80,"")&lt;&gt;"",IF(AND($E107=1,$D$80&lt;&gt;""),$D$80,"")&lt;&gt;"",IF(AND($D107=1,$C$80&lt;&gt;""),$C$80,"")&lt;&gt;IF(AND($E107=1,$D$80&lt;&gt;""),$D$80,"")),AND(IF(AND($D107=1,$C$80&lt;&gt;""),$C$80,"")&lt;&gt;"",IF(AND($F107=1,$E$80&lt;&gt;""),$E$80,"")&lt;&gt;"",IF(AND($D107=1,$C$80&lt;&gt;""),$C$80,"")&lt;&gt;IF(AND($F107=1,$E$80&lt;&gt;""),$E$80,"")),AND(IF(AND($E107=1,$D$80&lt;&gt;""),$D$80,"")&lt;&gt;"",IF(AND($F107=1,$E$80&lt;&gt;""),$E$80,"")&lt;&gt;"",IF(AND($E107=1,$D$80&lt;&gt;""),$D$80,"")&lt;&gt;IF(AND($F107=1,$E$80&lt;&gt;""),$E$80,""))),1,0)</f>
        <v>0</v>
      </c>
      <c r="Q107" s="11" t="n">
        <f aca="false">IF(OR(AND(IF(AND($D107=1,$C$81&lt;&gt;""),$C$81,"")&lt;&gt;"",IF(AND($E107=1,$D$81&lt;&gt;""),$D$81,"")&lt;&gt;"",IF(AND($D107=1,$C$81&lt;&gt;""),$C$81,"")&lt;&gt;IF(AND($E107=1,$D$81&lt;&gt;""),$D$81,"")),AND(IF(AND($D107=1,$C$81&lt;&gt;""),$C$81,"")&lt;&gt;"",IF(AND($F107=1,$E$81&lt;&gt;""),$E$81,"")&lt;&gt;"",IF(AND($D107=1,$C$81&lt;&gt;""),$C$81,"")&lt;&gt;IF(AND($F107=1,$E$81&lt;&gt;""),$E$81,"")),AND(IF(AND($E107=1,$D$81&lt;&gt;""),$D$81,"")&lt;&gt;"",IF(AND($F107=1,$E$81&lt;&gt;""),$E$81,"")&lt;&gt;"",IF(AND($E107=1,$D$81&lt;&gt;""),$D$81,"")&lt;&gt;IF(AND($F107=1,$E$81&lt;&gt;""),$E$81,""))),1,0)</f>
        <v>0</v>
      </c>
      <c r="R107" s="11" t="n">
        <f aca="false">IF(OR(AND(IF(AND($D107=1,$C$82&lt;&gt;""),$C$82,"")&lt;&gt;"",IF(AND($E107=1,$D$82&lt;&gt;""),$D$82,"")&lt;&gt;"",IF(AND($D107=1,$C$82&lt;&gt;""),$C$82,"")&lt;&gt;IF(AND($E107=1,$D$82&lt;&gt;""),$D$82,"")),AND(IF(AND($D107=1,$C$82&lt;&gt;""),$C$82,"")&lt;&gt;"",IF(AND($F107=1,$E$82&lt;&gt;""),$E$82,"")&lt;&gt;"",IF(AND($D107=1,$C$82&lt;&gt;""),$C$82,"")&lt;&gt;IF(AND($F107=1,$E$82&lt;&gt;""),$E$82,"")),AND(IF(AND($E107=1,$D$82&lt;&gt;""),$D$82,"")&lt;&gt;"",IF(AND($F107=1,$E$82&lt;&gt;""),$E$82,"")&lt;&gt;"",IF(AND($E107=1,$D$82&lt;&gt;""),$D$82,"")&lt;&gt;IF(AND($F107=1,$E$82&lt;&gt;""),$E$82,""))),1,0)</f>
        <v>0</v>
      </c>
      <c r="S107" s="11" t="n">
        <f aca="false">IF(OR(AND(IF(AND($D107=1,$C$83&lt;&gt;""),$C$83,"")&lt;&gt;"",IF(AND($E107=1,$D$83&lt;&gt;""),$D$83,"")&lt;&gt;"",IF(AND($D107=1,$C$83&lt;&gt;""),$C$83,"")&lt;&gt;IF(AND($E107=1,$D$83&lt;&gt;""),$D$83,"")),AND(IF(AND($D107=1,$C$83&lt;&gt;""),$C$83,"")&lt;&gt;"",IF(AND($F107=1,$E$83&lt;&gt;""),$E$83,"")&lt;&gt;"",IF(AND($D107=1,$C$83&lt;&gt;""),$C$83,"")&lt;&gt;IF(AND($F107=1,$E$83&lt;&gt;""),$E$83,"")),AND(IF(AND($E107=1,$D$83&lt;&gt;""),$D$83,"")&lt;&gt;"",IF(AND($F107=1,$E$83&lt;&gt;""),$E$83,"")&lt;&gt;"",IF(AND($E107=1,$D$83&lt;&gt;""),$D$83,"")&lt;&gt;IF(AND($F107=1,$E$83&lt;&gt;""),$E$83,""))),1,0)</f>
        <v>0</v>
      </c>
      <c r="T107" s="11" t="n">
        <f aca="false">IF(OR(AND(IF(AND($D107=1,$C$84&lt;&gt;""),$C$84,"")&lt;&gt;"",IF(AND($E107=1,$D$84&lt;&gt;""),$D$84,"")&lt;&gt;"",IF(AND($D107=1,$C$84&lt;&gt;""),$C$84,"")&lt;&gt;IF(AND($E107=1,$D$84&lt;&gt;""),$D$84,"")),AND(IF(AND($D107=1,$C$84&lt;&gt;""),$C$84,"")&lt;&gt;"",IF(AND($F107=1,$E$84&lt;&gt;""),$E$84,"")&lt;&gt;"",IF(AND($D107=1,$C$84&lt;&gt;""),$C$84,"")&lt;&gt;IF(AND($F107=1,$E$84&lt;&gt;""),$E$84,"")),AND(IF(AND($E107=1,$D$84&lt;&gt;""),$D$84,"")&lt;&gt;"",IF(AND($F107=1,$E$84&lt;&gt;""),$E$84,"")&lt;&gt;"",IF(AND($E107=1,$D$84&lt;&gt;""),$D$84,"")&lt;&gt;IF(AND($F107=1,$E$84&lt;&gt;""),$E$84,""))),1,0)</f>
        <v>0</v>
      </c>
    </row>
    <row r="108" customFormat="false" ht="15" hidden="false" customHeight="false" outlineLevel="0" collapsed="false">
      <c r="A108" s="11" t="n">
        <v>3</v>
      </c>
      <c r="B108" s="5" t="s">
        <v>145</v>
      </c>
      <c r="C108" s="11" t="n">
        <f aca="false">IF(COUNTIF($B$106:B108,"transformation")&gt;0,1,0)</f>
        <v>0</v>
      </c>
      <c r="D108" s="11" t="n">
        <f aca="false">IF(COUNTIF($B$106:B108,"capital")&gt;0,1,0)</f>
        <v>1</v>
      </c>
      <c r="E108" s="11" t="n">
        <f aca="false">IF(COUNTIF($B$106:B108,"performance")&gt;0,1,0)</f>
        <v>1</v>
      </c>
      <c r="F108" s="11" t="n">
        <f aca="false">IF(COUNTIF($B$106:B108,"risk")&gt;0,1,0)</f>
        <v>1</v>
      </c>
      <c r="G108" s="11" t="n">
        <f aca="false">C108*$H$43+D108*$H$44+E108*$H$45+F108*$H$46</f>
        <v>0</v>
      </c>
      <c r="H108" s="2" t="str">
        <f aca="false">IF(G108=0,"pass","FAIL")</f>
        <v>pass</v>
      </c>
      <c r="I108" s="2" t="str">
        <f aca="false">IF(SUM(O108:T108)=0,"pass","FAIL")</f>
        <v>pass</v>
      </c>
      <c r="J108" s="2" t="str">
        <f aca="false">IF(F108=0,"pass",IF(AND(D108=1,$C$88),"pass","FAIL"))</f>
        <v>pass</v>
      </c>
      <c r="K108" s="17" t="n">
        <f aca="false">C108*$C$92+IF(AND(F108=1,D108=1,$C$88),$C$93,0)</f>
        <v>186.866976370664</v>
      </c>
      <c r="L108" s="2" t="str">
        <f aca="false">IF(K108&lt;=$C$94,"pass","FAIL")</f>
        <v>pass</v>
      </c>
      <c r="M108" s="2" t="str">
        <f aca="false">IF(C108=0,"no operator yet",IF(AND(L108="pass",Cap_today&gt;=Cap_floor),"nonempty","empty"))</f>
        <v>no operator yet</v>
      </c>
      <c r="O108" s="11" t="n">
        <f aca="false">IF(OR(AND(IF(AND($D108=1,$C$79&lt;&gt;""),$C$79,"")&lt;&gt;"",IF(AND($E108=1,$D$79&lt;&gt;""),$D$79,"")&lt;&gt;"",IF(AND($D108=1,$C$79&lt;&gt;""),$C$79,"")&lt;&gt;IF(AND($E108=1,$D$79&lt;&gt;""),$D$79,"")),AND(IF(AND($D108=1,$C$79&lt;&gt;""),$C$79,"")&lt;&gt;"",IF(AND($F108=1,$E$79&lt;&gt;""),$E$79,"")&lt;&gt;"",IF(AND($D108=1,$C$79&lt;&gt;""),$C$79,"")&lt;&gt;IF(AND($F108=1,$E$79&lt;&gt;""),$E$79,"")),AND(IF(AND($E108=1,$D$79&lt;&gt;""),$D$79,"")&lt;&gt;"",IF(AND($F108=1,$E$79&lt;&gt;""),$E$79,"")&lt;&gt;"",IF(AND($E108=1,$D$79&lt;&gt;""),$D$79,"")&lt;&gt;IF(AND($F108=1,$E$79&lt;&gt;""),$E$79,""))),1,0)</f>
        <v>0</v>
      </c>
      <c r="P108" s="11" t="n">
        <f aca="false">IF(OR(AND(IF(AND($D108=1,$C$80&lt;&gt;""),$C$80,"")&lt;&gt;"",IF(AND($E108=1,$D$80&lt;&gt;""),$D$80,"")&lt;&gt;"",IF(AND($D108=1,$C$80&lt;&gt;""),$C$80,"")&lt;&gt;IF(AND($E108=1,$D$80&lt;&gt;""),$D$80,"")),AND(IF(AND($D108=1,$C$80&lt;&gt;""),$C$80,"")&lt;&gt;"",IF(AND($F108=1,$E$80&lt;&gt;""),$E$80,"")&lt;&gt;"",IF(AND($D108=1,$C$80&lt;&gt;""),$C$80,"")&lt;&gt;IF(AND($F108=1,$E$80&lt;&gt;""),$E$80,"")),AND(IF(AND($E108=1,$D$80&lt;&gt;""),$D$80,"")&lt;&gt;"",IF(AND($F108=1,$E$80&lt;&gt;""),$E$80,"")&lt;&gt;"",IF(AND($E108=1,$D$80&lt;&gt;""),$D$80,"")&lt;&gt;IF(AND($F108=1,$E$80&lt;&gt;""),$E$80,""))),1,0)</f>
        <v>0</v>
      </c>
      <c r="Q108" s="11" t="n">
        <f aca="false">IF(OR(AND(IF(AND($D108=1,$C$81&lt;&gt;""),$C$81,"")&lt;&gt;"",IF(AND($E108=1,$D$81&lt;&gt;""),$D$81,"")&lt;&gt;"",IF(AND($D108=1,$C$81&lt;&gt;""),$C$81,"")&lt;&gt;IF(AND($E108=1,$D$81&lt;&gt;""),$D$81,"")),AND(IF(AND($D108=1,$C$81&lt;&gt;""),$C$81,"")&lt;&gt;"",IF(AND($F108=1,$E$81&lt;&gt;""),$E$81,"")&lt;&gt;"",IF(AND($D108=1,$C$81&lt;&gt;""),$C$81,"")&lt;&gt;IF(AND($F108=1,$E$81&lt;&gt;""),$E$81,"")),AND(IF(AND($E108=1,$D$81&lt;&gt;""),$D$81,"")&lt;&gt;"",IF(AND($F108=1,$E$81&lt;&gt;""),$E$81,"")&lt;&gt;"",IF(AND($E108=1,$D$81&lt;&gt;""),$D$81,"")&lt;&gt;IF(AND($F108=1,$E$81&lt;&gt;""),$E$81,""))),1,0)</f>
        <v>0</v>
      </c>
      <c r="R108" s="11" t="n">
        <f aca="false">IF(OR(AND(IF(AND($D108=1,$C$82&lt;&gt;""),$C$82,"")&lt;&gt;"",IF(AND($E108=1,$D$82&lt;&gt;""),$D$82,"")&lt;&gt;"",IF(AND($D108=1,$C$82&lt;&gt;""),$C$82,"")&lt;&gt;IF(AND($E108=1,$D$82&lt;&gt;""),$D$82,"")),AND(IF(AND($D108=1,$C$82&lt;&gt;""),$C$82,"")&lt;&gt;"",IF(AND($F108=1,$E$82&lt;&gt;""),$E$82,"")&lt;&gt;"",IF(AND($D108=1,$C$82&lt;&gt;""),$C$82,"")&lt;&gt;IF(AND($F108=1,$E$82&lt;&gt;""),$E$82,"")),AND(IF(AND($E108=1,$D$82&lt;&gt;""),$D$82,"")&lt;&gt;"",IF(AND($F108=1,$E$82&lt;&gt;""),$E$82,"")&lt;&gt;"",IF(AND($E108=1,$D$82&lt;&gt;""),$D$82,"")&lt;&gt;IF(AND($F108=1,$E$82&lt;&gt;""),$E$82,""))),1,0)</f>
        <v>0</v>
      </c>
      <c r="S108" s="11" t="n">
        <f aca="false">IF(OR(AND(IF(AND($D108=1,$C$83&lt;&gt;""),$C$83,"")&lt;&gt;"",IF(AND($E108=1,$D$83&lt;&gt;""),$D$83,"")&lt;&gt;"",IF(AND($D108=1,$C$83&lt;&gt;""),$C$83,"")&lt;&gt;IF(AND($E108=1,$D$83&lt;&gt;""),$D$83,"")),AND(IF(AND($D108=1,$C$83&lt;&gt;""),$C$83,"")&lt;&gt;"",IF(AND($F108=1,$E$83&lt;&gt;""),$E$83,"")&lt;&gt;"",IF(AND($D108=1,$C$83&lt;&gt;""),$C$83,"")&lt;&gt;IF(AND($F108=1,$E$83&lt;&gt;""),$E$83,"")),AND(IF(AND($E108=1,$D$83&lt;&gt;""),$D$83,"")&lt;&gt;"",IF(AND($F108=1,$E$83&lt;&gt;""),$E$83,"")&lt;&gt;"",IF(AND($E108=1,$D$83&lt;&gt;""),$D$83,"")&lt;&gt;IF(AND($F108=1,$E$83&lt;&gt;""),$E$83,""))),1,0)</f>
        <v>0</v>
      </c>
      <c r="T108" s="11" t="n">
        <f aca="false">IF(OR(AND(IF(AND($D108=1,$C$84&lt;&gt;""),$C$84,"")&lt;&gt;"",IF(AND($E108=1,$D$84&lt;&gt;""),$D$84,"")&lt;&gt;"",IF(AND($D108=1,$C$84&lt;&gt;""),$C$84,"")&lt;&gt;IF(AND($E108=1,$D$84&lt;&gt;""),$D$84,"")),AND(IF(AND($D108=1,$C$84&lt;&gt;""),$C$84,"")&lt;&gt;"",IF(AND($F108=1,$E$84&lt;&gt;""),$E$84,"")&lt;&gt;"",IF(AND($D108=1,$C$84&lt;&gt;""),$C$84,"")&lt;&gt;IF(AND($F108=1,$E$84&lt;&gt;""),$E$84,"")),AND(IF(AND($E108=1,$D$84&lt;&gt;""),$D$84,"")&lt;&gt;"",IF(AND($F108=1,$E$84&lt;&gt;""),$E$84,"")&lt;&gt;"",IF(AND($E108=1,$D$84&lt;&gt;""),$D$84,"")&lt;&gt;IF(AND($F108=1,$E$84&lt;&gt;""),$E$84,""))),1,0)</f>
        <v>0</v>
      </c>
    </row>
    <row r="109" customFormat="false" ht="15" hidden="false" customHeight="false" outlineLevel="0" collapsed="false">
      <c r="A109" s="11" t="n">
        <v>4</v>
      </c>
      <c r="B109" s="5" t="s">
        <v>141</v>
      </c>
      <c r="C109" s="11" t="n">
        <f aca="false">IF(COUNTIF($B$106:B109,"transformation")&gt;0,1,0)</f>
        <v>1</v>
      </c>
      <c r="D109" s="11" t="n">
        <f aca="false">IF(COUNTIF($B$106:B109,"capital")&gt;0,1,0)</f>
        <v>1</v>
      </c>
      <c r="E109" s="11" t="n">
        <f aca="false">IF(COUNTIF($B$106:B109,"performance")&gt;0,1,0)</f>
        <v>1</v>
      </c>
      <c r="F109" s="11" t="n">
        <f aca="false">IF(COUNTIF($B$106:B109,"risk")&gt;0,1,0)</f>
        <v>1</v>
      </c>
      <c r="G109" s="11" t="n">
        <f aca="false">C109*$H$43+D109*$H$44+E109*$H$45+F109*$H$46</f>
        <v>0</v>
      </c>
      <c r="H109" s="2" t="str">
        <f aca="false">IF(G109=0,"pass","FAIL")</f>
        <v>pass</v>
      </c>
      <c r="I109" s="2" t="str">
        <f aca="false">IF(SUM(O109:T109)=0,"pass","FAIL")</f>
        <v>pass</v>
      </c>
      <c r="J109" s="2" t="str">
        <f aca="false">IF(F109=0,"pass",IF(AND(D109=1,$C$88),"pass","FAIL"))</f>
        <v>pass</v>
      </c>
      <c r="K109" s="17" t="n">
        <f aca="false">C109*$C$92+IF(AND(F109=1,D109=1,$C$88),$C$93,0)</f>
        <v>324.916594012879</v>
      </c>
      <c r="L109" s="2" t="str">
        <f aca="false">IF(K109&lt;=$C$94,"pass","FAIL")</f>
        <v>FAIL</v>
      </c>
      <c r="M109" s="2" t="str">
        <f aca="false">IF(C109=0,"no operator yet",IF(AND(L109="pass",Cap_today&gt;=Cap_floor),"nonempty","empty"))</f>
        <v>empty</v>
      </c>
      <c r="O109" s="11" t="n">
        <f aca="false">IF(OR(AND(IF(AND($D109=1,$C$79&lt;&gt;""),$C$79,"")&lt;&gt;"",IF(AND($E109=1,$D$79&lt;&gt;""),$D$79,"")&lt;&gt;"",IF(AND($D109=1,$C$79&lt;&gt;""),$C$79,"")&lt;&gt;IF(AND($E109=1,$D$79&lt;&gt;""),$D$79,"")),AND(IF(AND($D109=1,$C$79&lt;&gt;""),$C$79,"")&lt;&gt;"",IF(AND($F109=1,$E$79&lt;&gt;""),$E$79,"")&lt;&gt;"",IF(AND($D109=1,$C$79&lt;&gt;""),$C$79,"")&lt;&gt;IF(AND($F109=1,$E$79&lt;&gt;""),$E$79,"")),AND(IF(AND($E109=1,$D$79&lt;&gt;""),$D$79,"")&lt;&gt;"",IF(AND($F109=1,$E$79&lt;&gt;""),$E$79,"")&lt;&gt;"",IF(AND($E109=1,$D$79&lt;&gt;""),$D$79,"")&lt;&gt;IF(AND($F109=1,$E$79&lt;&gt;""),$E$79,""))),1,0)</f>
        <v>0</v>
      </c>
      <c r="P109" s="11" t="n">
        <f aca="false">IF(OR(AND(IF(AND($D109=1,$C$80&lt;&gt;""),$C$80,"")&lt;&gt;"",IF(AND($E109=1,$D$80&lt;&gt;""),$D$80,"")&lt;&gt;"",IF(AND($D109=1,$C$80&lt;&gt;""),$C$80,"")&lt;&gt;IF(AND($E109=1,$D$80&lt;&gt;""),$D$80,"")),AND(IF(AND($D109=1,$C$80&lt;&gt;""),$C$80,"")&lt;&gt;"",IF(AND($F109=1,$E$80&lt;&gt;""),$E$80,"")&lt;&gt;"",IF(AND($D109=1,$C$80&lt;&gt;""),$C$80,"")&lt;&gt;IF(AND($F109=1,$E$80&lt;&gt;""),$E$80,"")),AND(IF(AND($E109=1,$D$80&lt;&gt;""),$D$80,"")&lt;&gt;"",IF(AND($F109=1,$E$80&lt;&gt;""),$E$80,"")&lt;&gt;"",IF(AND($E109=1,$D$80&lt;&gt;""),$D$80,"")&lt;&gt;IF(AND($F109=1,$E$80&lt;&gt;""),$E$80,""))),1,0)</f>
        <v>0</v>
      </c>
      <c r="Q109" s="11" t="n">
        <f aca="false">IF(OR(AND(IF(AND($D109=1,$C$81&lt;&gt;""),$C$81,"")&lt;&gt;"",IF(AND($E109=1,$D$81&lt;&gt;""),$D$81,"")&lt;&gt;"",IF(AND($D109=1,$C$81&lt;&gt;""),$C$81,"")&lt;&gt;IF(AND($E109=1,$D$81&lt;&gt;""),$D$81,"")),AND(IF(AND($D109=1,$C$81&lt;&gt;""),$C$81,"")&lt;&gt;"",IF(AND($F109=1,$E$81&lt;&gt;""),$E$81,"")&lt;&gt;"",IF(AND($D109=1,$C$81&lt;&gt;""),$C$81,"")&lt;&gt;IF(AND($F109=1,$E$81&lt;&gt;""),$E$81,"")),AND(IF(AND($E109=1,$D$81&lt;&gt;""),$D$81,"")&lt;&gt;"",IF(AND($F109=1,$E$81&lt;&gt;""),$E$81,"")&lt;&gt;"",IF(AND($E109=1,$D$81&lt;&gt;""),$D$81,"")&lt;&gt;IF(AND($F109=1,$E$81&lt;&gt;""),$E$81,""))),1,0)</f>
        <v>0</v>
      </c>
      <c r="R109" s="11" t="n">
        <f aca="false">IF(OR(AND(IF(AND($D109=1,$C$82&lt;&gt;""),$C$82,"")&lt;&gt;"",IF(AND($E109=1,$D$82&lt;&gt;""),$D$82,"")&lt;&gt;"",IF(AND($D109=1,$C$82&lt;&gt;""),$C$82,"")&lt;&gt;IF(AND($E109=1,$D$82&lt;&gt;""),$D$82,"")),AND(IF(AND($D109=1,$C$82&lt;&gt;""),$C$82,"")&lt;&gt;"",IF(AND($F109=1,$E$82&lt;&gt;""),$E$82,"")&lt;&gt;"",IF(AND($D109=1,$C$82&lt;&gt;""),$C$82,"")&lt;&gt;IF(AND($F109=1,$E$82&lt;&gt;""),$E$82,"")),AND(IF(AND($E109=1,$D$82&lt;&gt;""),$D$82,"")&lt;&gt;"",IF(AND($F109=1,$E$82&lt;&gt;""),$E$82,"")&lt;&gt;"",IF(AND($E109=1,$D$82&lt;&gt;""),$D$82,"")&lt;&gt;IF(AND($F109=1,$E$82&lt;&gt;""),$E$82,""))),1,0)</f>
        <v>0</v>
      </c>
      <c r="S109" s="11" t="n">
        <f aca="false">IF(OR(AND(IF(AND($D109=1,$C$83&lt;&gt;""),$C$83,"")&lt;&gt;"",IF(AND($E109=1,$D$83&lt;&gt;""),$D$83,"")&lt;&gt;"",IF(AND($D109=1,$C$83&lt;&gt;""),$C$83,"")&lt;&gt;IF(AND($E109=1,$D$83&lt;&gt;""),$D$83,"")),AND(IF(AND($D109=1,$C$83&lt;&gt;""),$C$83,"")&lt;&gt;"",IF(AND($F109=1,$E$83&lt;&gt;""),$E$83,"")&lt;&gt;"",IF(AND($D109=1,$C$83&lt;&gt;""),$C$83,"")&lt;&gt;IF(AND($F109=1,$E$83&lt;&gt;""),$E$83,"")),AND(IF(AND($E109=1,$D$83&lt;&gt;""),$D$83,"")&lt;&gt;"",IF(AND($F109=1,$E$83&lt;&gt;""),$E$83,"")&lt;&gt;"",IF(AND($E109=1,$D$83&lt;&gt;""),$D$83,"")&lt;&gt;IF(AND($F109=1,$E$83&lt;&gt;""),$E$83,""))),1,0)</f>
        <v>0</v>
      </c>
      <c r="T109" s="11" t="n">
        <f aca="false">IF(OR(AND(IF(AND($D109=1,$C$84&lt;&gt;""),$C$84,"")&lt;&gt;"",IF(AND($E109=1,$D$84&lt;&gt;""),$D$84,"")&lt;&gt;"",IF(AND($D109=1,$C$84&lt;&gt;""),$C$84,"")&lt;&gt;IF(AND($E109=1,$D$84&lt;&gt;""),$D$84,"")),AND(IF(AND($D109=1,$C$84&lt;&gt;""),$C$84,"")&lt;&gt;"",IF(AND($F109=1,$E$84&lt;&gt;""),$E$84,"")&lt;&gt;"",IF(AND($D109=1,$C$84&lt;&gt;""),$C$84,"")&lt;&gt;IF(AND($F109=1,$E$84&lt;&gt;""),$E$84,"")),AND(IF(AND($E109=1,$D$84&lt;&gt;""),$D$84,"")&lt;&gt;"",IF(AND($F109=1,$E$84&lt;&gt;""),$E$84,"")&lt;&gt;"",IF(AND($E109=1,$D$84&lt;&gt;""),$D$84,"")&lt;&gt;IF(AND($F109=1,$E$84&lt;&gt;""),$E$84,""))),1,0)</f>
        <v>0</v>
      </c>
    </row>
    <row r="113" customFormat="false" ht="15" hidden="false" customHeight="false" outlineLevel="0" collapsed="false">
      <c r="A113" s="8" t="s">
        <v>207</v>
      </c>
      <c r="B113" s="8" t="s">
        <v>18</v>
      </c>
      <c r="C113" s="8" t="s">
        <v>208</v>
      </c>
    </row>
    <row r="114" customFormat="false" ht="15" hidden="false" customHeight="false" outlineLevel="0" collapsed="false">
      <c r="A114" s="2" t="s">
        <v>209</v>
      </c>
      <c r="B114" s="17" t="n">
        <f aca="false">K101</f>
        <v>324.916594012879</v>
      </c>
      <c r="C114" s="10" t="s">
        <v>210</v>
      </c>
    </row>
    <row r="115" customFormat="false" ht="15" hidden="false" customHeight="false" outlineLevel="0" collapsed="false">
      <c r="A115" s="2" t="s">
        <v>211</v>
      </c>
      <c r="B115" s="17" t="n">
        <f aca="false">K109</f>
        <v>324.916594012879</v>
      </c>
      <c r="C115" s="10"/>
    </row>
    <row r="116" customFormat="false" ht="15" hidden="false" customHeight="false" outlineLevel="0" collapsed="false">
      <c r="A116" s="2" t="s">
        <v>212</v>
      </c>
      <c r="B116" s="19" t="b">
        <f aca="false">AND(H101=H109,I101=I109,J101=J109,K101=K109,L101=L109,M101=M109)</f>
        <v>1</v>
      </c>
      <c r="C116" s="10" t="s">
        <v>213</v>
      </c>
    </row>
    <row r="117" customFormat="false" ht="15" hidden="false" customHeight="false" outlineLevel="0" collapsed="false">
      <c r="A117" s="2" t="s">
        <v>214</v>
      </c>
      <c r="B117" s="17" t="n">
        <f aca="false">$C$94-K101</f>
        <v>-54.9165940128788</v>
      </c>
      <c r="C117" s="10" t="s">
        <v>215</v>
      </c>
    </row>
    <row r="118" customFormat="false" ht="15" hidden="false" customHeight="false" outlineLevel="0" collapsed="false">
      <c r="A118" s="2" t="s">
        <v>216</v>
      </c>
      <c r="B118" s="11" t="n">
        <f aca="false">SUM(H43:H46)</f>
        <v>0</v>
      </c>
      <c r="C118" s="10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3"/>
    <col collapsed="false" customWidth="true" hidden="false" outlineLevel="0" max="8" min="8" style="0" width="40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44"/>
    <col collapsed="false" customWidth="true" hidden="false" outlineLevel="0" max="17" min="17" style="0" width="34"/>
  </cols>
  <sheetData>
    <row r="1" customFormat="false" ht="15" hidden="false" customHeight="false" outlineLevel="0" collapsed="false">
      <c r="A1" s="1" t="s">
        <v>218</v>
      </c>
    </row>
    <row r="2" customFormat="false" ht="15" hidden="false" customHeight="false" outlineLevel="0" collapsed="false">
      <c r="A2" s="10" t="s">
        <v>219</v>
      </c>
    </row>
    <row r="4" customFormat="false" ht="23.85" hidden="false" customHeight="false" outlineLevel="0" collapsed="false">
      <c r="A4" s="8" t="s">
        <v>220</v>
      </c>
      <c r="B4" s="8" t="s">
        <v>221</v>
      </c>
      <c r="C4" s="8" t="s">
        <v>222</v>
      </c>
      <c r="D4" s="8" t="s">
        <v>223</v>
      </c>
      <c r="H4" s="8" t="s">
        <v>224</v>
      </c>
      <c r="I4" s="8" t="s">
        <v>225</v>
      </c>
      <c r="J4" s="8" t="s">
        <v>226</v>
      </c>
      <c r="K4" s="8" t="s">
        <v>227</v>
      </c>
    </row>
    <row r="5" customFormat="false" ht="15" hidden="false" customHeight="false" outlineLevel="0" collapsed="false">
      <c r="A5" s="2" t="s">
        <v>228</v>
      </c>
      <c r="B5" s="12" t="n">
        <f aca="false">A_keep</f>
        <v>0.5</v>
      </c>
      <c r="C5" s="12" t="n">
        <v>0</v>
      </c>
      <c r="D5" s="12" t="n">
        <f aca="false">C_pass</f>
        <v>0.25</v>
      </c>
      <c r="H5" s="18" t="n">
        <v>0</v>
      </c>
      <c r="I5" s="12" t="n">
        <f aca="false">A_keep+H5</f>
        <v>0.5</v>
      </c>
      <c r="J5" s="12" t="n">
        <f aca="false">IF(I5&lt;1,1/(1-I5),"no finite bill")</f>
        <v>2</v>
      </c>
      <c r="K5" s="12" t="n">
        <f aca="false">1/(1-A_keep)</f>
        <v>2</v>
      </c>
    </row>
    <row r="6" customFormat="false" ht="15" hidden="false" customHeight="false" outlineLevel="0" collapsed="false">
      <c r="A6" s="2" t="s">
        <v>229</v>
      </c>
      <c r="B6" s="12" t="n">
        <f aca="false">C_pass</f>
        <v>0.25</v>
      </c>
      <c r="C6" s="12" t="n">
        <f aca="false">A_keep</f>
        <v>0.5</v>
      </c>
      <c r="D6" s="12" t="n">
        <v>0</v>
      </c>
      <c r="H6" s="18" t="n">
        <v>0.1</v>
      </c>
      <c r="I6" s="12" t="n">
        <f aca="false">A_keep+H6</f>
        <v>0.6</v>
      </c>
      <c r="J6" s="12" t="n">
        <f aca="false">IF(I6&lt;1,1/(1-I6),"no finite bill")</f>
        <v>2.5</v>
      </c>
      <c r="K6" s="12" t="n">
        <f aca="false">1/(1-A_keep)</f>
        <v>2</v>
      </c>
    </row>
    <row r="7" customFormat="false" ht="15" hidden="false" customHeight="false" outlineLevel="0" collapsed="false">
      <c r="A7" s="2" t="s">
        <v>230</v>
      </c>
      <c r="B7" s="12" t="n">
        <v>0</v>
      </c>
      <c r="C7" s="12" t="n">
        <f aca="false">C_pass</f>
        <v>0.25</v>
      </c>
      <c r="D7" s="12" t="n">
        <f aca="false">A_keep</f>
        <v>0.5</v>
      </c>
      <c r="H7" s="18" t="n">
        <v>0.2</v>
      </c>
      <c r="I7" s="12" t="n">
        <f aca="false">A_keep+H7</f>
        <v>0.7</v>
      </c>
      <c r="J7" s="12" t="n">
        <f aca="false">IF(I7&lt;1,1/(1-I7),"no finite bill")</f>
        <v>3.33333333333333</v>
      </c>
      <c r="K7" s="12" t="n">
        <f aca="false">1/(1-A_keep)</f>
        <v>2</v>
      </c>
    </row>
    <row r="8" customFormat="false" ht="15" hidden="false" customHeight="false" outlineLevel="0" collapsed="false">
      <c r="A8" s="2" t="s">
        <v>231</v>
      </c>
      <c r="B8" s="12" t="n">
        <f aca="false">SUM(B5:B7)</f>
        <v>0.75</v>
      </c>
      <c r="C8" s="12" t="n">
        <f aca="false">SUM(C5:C7)</f>
        <v>0.75</v>
      </c>
      <c r="D8" s="12" t="n">
        <f aca="false">SUM(D5:D7)</f>
        <v>0.75</v>
      </c>
      <c r="H8" s="18" t="n">
        <v>0.25</v>
      </c>
      <c r="I8" s="12" t="n">
        <f aca="false">A_keep+H8</f>
        <v>0.75</v>
      </c>
      <c r="J8" s="12" t="n">
        <f aca="false">IF(I8&lt;1,1/(1-I8),"no finite bill")</f>
        <v>4</v>
      </c>
      <c r="K8" s="12" t="n">
        <f aca="false">1/(1-A_keep)</f>
        <v>2</v>
      </c>
    </row>
    <row r="9" customFormat="false" ht="15" hidden="false" customHeight="false" outlineLevel="0" collapsed="false">
      <c r="H9" s="18" t="n">
        <v>0.3</v>
      </c>
      <c r="I9" s="12" t="n">
        <f aca="false">A_keep+H9</f>
        <v>0.8</v>
      </c>
      <c r="J9" s="12" t="n">
        <f aca="false">IF(I9&lt;1,1/(1-I9),"no finite bill")</f>
        <v>5</v>
      </c>
      <c r="K9" s="12" t="n">
        <f aca="false">1/(1-A_keep)</f>
        <v>2</v>
      </c>
    </row>
    <row r="10" customFormat="false" ht="15" hidden="false" customHeight="false" outlineLevel="0" collapsed="false">
      <c r="A10" s="2" t="s">
        <v>232</v>
      </c>
      <c r="B10" s="12" t="n">
        <f aca="false">A_keep</f>
        <v>0.5</v>
      </c>
      <c r="C10" s="10" t="s">
        <v>233</v>
      </c>
      <c r="H10" s="18" t="n">
        <v>0.4</v>
      </c>
      <c r="I10" s="12" t="n">
        <f aca="false">A_keep+H10</f>
        <v>0.9</v>
      </c>
      <c r="J10" s="12" t="n">
        <f aca="false">IF(I10&lt;1,1/(1-I10),"no finite bill")</f>
        <v>10</v>
      </c>
      <c r="K10" s="12" t="n">
        <f aca="false">1/(1-A_keep)</f>
        <v>2</v>
      </c>
    </row>
    <row r="11" customFormat="false" ht="15" hidden="false" customHeight="false" outlineLevel="0" collapsed="false">
      <c r="A11" s="2" t="s">
        <v>234</v>
      </c>
      <c r="B11" s="12" t="n">
        <f aca="false">1/(1-A_keep)</f>
        <v>2</v>
      </c>
      <c r="C11" s="10" t="s">
        <v>235</v>
      </c>
      <c r="H11" s="18" t="n">
        <v>0.45</v>
      </c>
      <c r="I11" s="12" t="n">
        <f aca="false">A_keep+H11</f>
        <v>0.95</v>
      </c>
      <c r="J11" s="12" t="n">
        <f aca="false">IF(I11&lt;1,1/(1-I11),"no finite bill")</f>
        <v>20</v>
      </c>
      <c r="K11" s="12" t="n">
        <f aca="false">1/(1-A_keep)</f>
        <v>2</v>
      </c>
    </row>
    <row r="12" customFormat="false" ht="15" hidden="false" customHeight="false" outlineLevel="0" collapsed="false">
      <c r="A12" s="2" t="s">
        <v>236</v>
      </c>
      <c r="B12" s="12" t="n">
        <f aca="false">IF(MAX(B8:D8)-MIN(B8:D8)&lt;0.000000000001,B8,-1)</f>
        <v>0.75</v>
      </c>
      <c r="C12" s="10" t="s">
        <v>237</v>
      </c>
      <c r="H12" s="18" t="n">
        <v>0.5</v>
      </c>
      <c r="I12" s="12" t="n">
        <f aca="false">A_keep+H12</f>
        <v>1</v>
      </c>
      <c r="J12" s="12" t="str">
        <f aca="false">IF(I12&lt;1,1/(1-I12),"no finite bill")</f>
        <v>no finite bill</v>
      </c>
      <c r="K12" s="12" t="n">
        <f aca="false">1/(1-A_keep)</f>
        <v>2</v>
      </c>
    </row>
    <row r="13" customFormat="false" ht="15" hidden="false" customHeight="false" outlineLevel="0" collapsed="false">
      <c r="A13" s="2" t="s">
        <v>238</v>
      </c>
      <c r="B13" s="12" t="n">
        <f aca="false">IF(B12&lt;1,1/(1-B12),"no finite bill")</f>
        <v>4</v>
      </c>
      <c r="C13" s="10" t="s">
        <v>239</v>
      </c>
      <c r="H13" s="18" t="n">
        <v>0.6</v>
      </c>
      <c r="I13" s="12" t="n">
        <f aca="false">A_keep+H13</f>
        <v>1.1</v>
      </c>
      <c r="J13" s="12" t="str">
        <f aca="false">IF(I13&lt;1,1/(1-I13),"no finite bill")</f>
        <v>no finite bill</v>
      </c>
      <c r="K13" s="12" t="n">
        <f aca="false">1/(1-A_keep)</f>
        <v>2</v>
      </c>
    </row>
    <row r="14" customFormat="false" ht="15" hidden="false" customHeight="false" outlineLevel="0" collapsed="false">
      <c r="A14" s="2" t="s">
        <v>240</v>
      </c>
      <c r="B14" s="12" t="n">
        <f aca="false">(B5+C6+D7)/3</f>
        <v>0.5</v>
      </c>
      <c r="C14" s="10" t="s">
        <v>241</v>
      </c>
      <c r="P14" s="8" t="s">
        <v>242</v>
      </c>
      <c r="Q14" s="8" t="s">
        <v>18</v>
      </c>
    </row>
    <row r="15" customFormat="false" ht="15" hidden="false" customHeight="false" outlineLevel="0" collapsed="false">
      <c r="A15" s="2" t="s">
        <v>243</v>
      </c>
      <c r="B15" s="12" t="n">
        <f aca="false">(SUM(B5:D7)-(B5+C6+D7))/3</f>
        <v>0.25</v>
      </c>
      <c r="C15" s="10" t="s">
        <v>244</v>
      </c>
      <c r="P15" s="2" t="s">
        <v>245</v>
      </c>
      <c r="Q15" s="21" t="n">
        <f aca="false">L103</f>
        <v>0.75</v>
      </c>
    </row>
    <row r="16" customFormat="false" ht="15" hidden="false" customHeight="false" outlineLevel="0" collapsed="false">
      <c r="A16" s="2" t="s">
        <v>246</v>
      </c>
      <c r="B16" s="21" t="n">
        <f aca="false">F220</f>
        <v>4</v>
      </c>
      <c r="C16" s="10" t="s">
        <v>247</v>
      </c>
      <c r="P16" s="2" t="s">
        <v>248</v>
      </c>
      <c r="Q16" s="2" t="str">
        <f aca="false">TEXT($I$18,"0.00")&amp;", "&amp;TEXT($J$19,"0.00")&amp;", "&amp;TEXT($K$20,"0.00")</f>
        <v>0.50, 0.50, 0.50</v>
      </c>
    </row>
    <row r="17" customFormat="false" ht="15" hidden="false" customHeight="false" outlineLevel="0" collapsed="false">
      <c r="H17" s="8" t="s">
        <v>249</v>
      </c>
      <c r="I17" s="8" t="s">
        <v>221</v>
      </c>
      <c r="J17" s="8" t="s">
        <v>222</v>
      </c>
      <c r="K17" s="8" t="s">
        <v>223</v>
      </c>
      <c r="P17" s="2" t="s">
        <v>250</v>
      </c>
      <c r="Q17" s="12" t="n">
        <f aca="false">MAX($I$18,$J$19,$K$20)</f>
        <v>0.5</v>
      </c>
    </row>
    <row r="18" customFormat="false" ht="15" hidden="false" customHeight="false" outlineLevel="0" collapsed="false">
      <c r="H18" s="2" t="s">
        <v>228</v>
      </c>
      <c r="I18" s="18" t="n">
        <v>0.5</v>
      </c>
      <c r="J18" s="18" t="n">
        <v>0</v>
      </c>
      <c r="K18" s="18" t="n">
        <v>0.25</v>
      </c>
      <c r="P18" s="2" t="s">
        <v>240</v>
      </c>
      <c r="Q18" s="21" t="n">
        <f aca="false">(M103*$I$18*I103+N103*$J$19*J103+O103*$K$20*K103)/(M103*I103+N103*J103+O103*K103)</f>
        <v>0.5</v>
      </c>
    </row>
    <row r="19" customFormat="false" ht="15" hidden="false" customHeight="false" outlineLevel="0" collapsed="false">
      <c r="A19" s="8" t="s">
        <v>251</v>
      </c>
      <c r="B19" s="8" t="s">
        <v>252</v>
      </c>
      <c r="C19" s="8" t="s">
        <v>253</v>
      </c>
      <c r="D19" s="8" t="s">
        <v>254</v>
      </c>
      <c r="E19" s="8" t="s">
        <v>255</v>
      </c>
      <c r="F19" s="8" t="s">
        <v>256</v>
      </c>
      <c r="H19" s="2" t="s">
        <v>229</v>
      </c>
      <c r="I19" s="18" t="n">
        <v>0.25</v>
      </c>
      <c r="J19" s="18" t="n">
        <v>0.5</v>
      </c>
      <c r="K19" s="18" t="n">
        <v>0</v>
      </c>
      <c r="P19" s="2" t="s">
        <v>243</v>
      </c>
      <c r="Q19" s="21" t="n">
        <f aca="false">Q15-Q18</f>
        <v>0.25</v>
      </c>
    </row>
    <row r="20" customFormat="false" ht="15" hidden="false" customHeight="false" outlineLevel="0" collapsed="false">
      <c r="A20" s="11" t="n">
        <v>0</v>
      </c>
      <c r="B20" s="22" t="n">
        <v>1</v>
      </c>
      <c r="C20" s="22" t="n">
        <v>0</v>
      </c>
      <c r="D20" s="22" t="n">
        <v>0</v>
      </c>
      <c r="E20" s="23" t="n">
        <f aca="false">SUM(B20:D20)</f>
        <v>1</v>
      </c>
      <c r="F20" s="23" t="n">
        <f aca="false">E20</f>
        <v>1</v>
      </c>
      <c r="H20" s="2" t="s">
        <v>230</v>
      </c>
      <c r="I20" s="18" t="n">
        <v>0</v>
      </c>
      <c r="J20" s="18" t="n">
        <v>0.25</v>
      </c>
      <c r="K20" s="18" t="n">
        <v>0.5</v>
      </c>
      <c r="P20" s="2" t="s">
        <v>257</v>
      </c>
      <c r="Q20" s="2" t="str">
        <f aca="false">IF(AND(Q17&lt;1,Q15&lt;1),"every layer stable, the whole stable",IF(Q17&lt;1,"every layer stable, the whole NOT","a layer fails its own test"))</f>
        <v>every layer stable, the whole stable</v>
      </c>
    </row>
    <row r="21" customFormat="false" ht="15" hidden="false" customHeight="false" outlineLevel="0" collapsed="false">
      <c r="A21" s="11" t="n">
        <v>1</v>
      </c>
      <c r="B21" s="23" t="n">
        <f aca="false">A_keep*B20+C_pass*D20</f>
        <v>0.5</v>
      </c>
      <c r="C21" s="23" t="n">
        <f aca="false">C_pass*B20+A_keep*C20</f>
        <v>0.25</v>
      </c>
      <c r="D21" s="23" t="n">
        <f aca="false">C_pass*C20+A_keep*D20</f>
        <v>0</v>
      </c>
      <c r="E21" s="23" t="n">
        <f aca="false">SUM(B21:D21)</f>
        <v>0.75</v>
      </c>
      <c r="F21" s="23" t="n">
        <f aca="false">F20+E21</f>
        <v>1.75</v>
      </c>
      <c r="P21" s="2" t="s">
        <v>258</v>
      </c>
      <c r="Q21" s="23" t="n">
        <f aca="false">IF(Q15&lt;1,(Q25+Q26+Q27)/Q24,"no finite bill")</f>
        <v>4</v>
      </c>
    </row>
    <row r="22" customFormat="false" ht="15" hidden="false" customHeight="false" outlineLevel="0" collapsed="false">
      <c r="A22" s="11" t="n">
        <v>2</v>
      </c>
      <c r="B22" s="23" t="n">
        <f aca="false">A_keep*B21+C_pass*D21</f>
        <v>0.25</v>
      </c>
      <c r="C22" s="23" t="n">
        <f aca="false">C_pass*B21+A_keep*C21</f>
        <v>0.25</v>
      </c>
      <c r="D22" s="23" t="n">
        <f aca="false">C_pass*C21+A_keep*D21</f>
        <v>0.0625</v>
      </c>
      <c r="E22" s="23" t="n">
        <f aca="false">SUM(B22:D22)</f>
        <v>0.5625</v>
      </c>
      <c r="F22" s="23" t="n">
        <f aca="false">F21+E22</f>
        <v>2.3125</v>
      </c>
      <c r="H22" s="8" t="s">
        <v>259</v>
      </c>
      <c r="I22" s="8" t="s">
        <v>260</v>
      </c>
      <c r="J22" s="8" t="s">
        <v>261</v>
      </c>
      <c r="K22" s="8" t="s">
        <v>262</v>
      </c>
      <c r="L22" s="8" t="s">
        <v>263</v>
      </c>
      <c r="M22" s="8" t="s">
        <v>264</v>
      </c>
      <c r="N22" s="8" t="s">
        <v>265</v>
      </c>
      <c r="O22" s="8" t="s">
        <v>266</v>
      </c>
    </row>
    <row r="23" customFormat="false" ht="15" hidden="false" customHeight="false" outlineLevel="0" collapsed="false">
      <c r="A23" s="11" t="n">
        <v>3</v>
      </c>
      <c r="B23" s="23" t="n">
        <f aca="false">A_keep*B22+C_pass*D22</f>
        <v>0.140625</v>
      </c>
      <c r="C23" s="23" t="n">
        <f aca="false">C_pass*B22+A_keep*C22</f>
        <v>0.1875</v>
      </c>
      <c r="D23" s="23" t="n">
        <f aca="false">C_pass*C22+A_keep*D22</f>
        <v>0.09375</v>
      </c>
      <c r="E23" s="23" t="n">
        <f aca="false">SUM(B23:D23)</f>
        <v>0.421875</v>
      </c>
      <c r="F23" s="23" t="n">
        <f aca="false">F22+E23</f>
        <v>2.734375</v>
      </c>
      <c r="H23" s="11" t="n">
        <v>0</v>
      </c>
      <c r="I23" s="21" t="n">
        <v>0.333333333333333</v>
      </c>
      <c r="J23" s="21" t="n">
        <v>0.333333333333333</v>
      </c>
      <c r="K23" s="21" t="n">
        <v>0.333333333333333</v>
      </c>
      <c r="L23" s="21" t="n">
        <f aca="false">($I$18+$I$19+$I$20)*I23+($J$18+$J$19+$J$20)*J23+($K$18+$K$19+$K$20)*K23</f>
        <v>0.75</v>
      </c>
      <c r="M23" s="21" t="n">
        <v>0.333333333333333</v>
      </c>
      <c r="N23" s="21" t="n">
        <v>0.333333333333333</v>
      </c>
      <c r="O23" s="21" t="n">
        <v>0.333333333333333</v>
      </c>
      <c r="P23" s="4" t="s">
        <v>267</v>
      </c>
    </row>
    <row r="24" customFormat="false" ht="15" hidden="false" customHeight="false" outlineLevel="0" collapsed="false">
      <c r="A24" s="11" t="n">
        <v>4</v>
      </c>
      <c r="B24" s="23" t="n">
        <f aca="false">A_keep*B23+C_pass*D23</f>
        <v>0.09375</v>
      </c>
      <c r="C24" s="23" t="n">
        <f aca="false">C_pass*B23+A_keep*C23</f>
        <v>0.12890625</v>
      </c>
      <c r="D24" s="23" t="n">
        <f aca="false">C_pass*C23+A_keep*D23</f>
        <v>0.09375</v>
      </c>
      <c r="E24" s="23" t="n">
        <f aca="false">SUM(B24:D24)</f>
        <v>0.31640625</v>
      </c>
      <c r="F24" s="23" t="n">
        <f aca="false">F23+E24</f>
        <v>3.05078125</v>
      </c>
      <c r="H24" s="11" t="n">
        <v>1</v>
      </c>
      <c r="I24" s="21" t="n">
        <f aca="false">($I$18*I23+$J$18*J23+$K$18*K23)/(($I$18+$I$19+$I$20)*I23+($J$18+$J$19+$J$20)*J23+($K$18+$K$19+$K$20)*K23)</f>
        <v>0.333333333333333</v>
      </c>
      <c r="J24" s="21" t="n">
        <f aca="false">($I$19*I23+$J$19*J23+$K$19*K23)/(($I$18+$I$19+$I$20)*I23+($J$18+$J$19+$J$20)*J23+($K$18+$K$19+$K$20)*K23)</f>
        <v>0.333333333333333</v>
      </c>
      <c r="K24" s="21" t="n">
        <f aca="false">($I$20*I23+$J$20*J23+$K$20*K23)/(($I$18+$I$19+$I$20)*I23+($J$18+$J$19+$J$20)*J23+($K$18+$K$19+$K$20)*K23)</f>
        <v>0.333333333333333</v>
      </c>
      <c r="L24" s="21" t="n">
        <f aca="false">($I$18+$I$19+$I$20)*I24+($J$18+$J$19+$J$20)*J24+($K$18+$K$19+$K$20)*K24</f>
        <v>0.75</v>
      </c>
      <c r="M24" s="21" t="n">
        <f aca="false">(M23*$I$18+N23*$I$19+O23*$I$20)/(($I$18+$J$18+$K$18)*M23+($I$19+$J$19+$K$19)*N23+($I$20+$J$20+$K$20)*O23)</f>
        <v>0.333333333333333</v>
      </c>
      <c r="N24" s="21" t="n">
        <f aca="false">(M23*$J$18+N23*$J$19+O23*$J$20)/(($I$18+$J$18+$K$18)*M23+($I$19+$J$19+$K$19)*N23+($I$20+$J$20+$K$20)*O23)</f>
        <v>0.333333333333333</v>
      </c>
      <c r="O24" s="21" t="n">
        <f aca="false">(M23*$K$18+N23*$K$19+O23*$K$20)/(($I$18+$J$18+$K$18)*M23+($I$19+$J$19+$K$19)*N23+($I$20+$J$20+$K$20)*O23)</f>
        <v>0.333333333333333</v>
      </c>
      <c r="P24" s="2" t="s">
        <v>268</v>
      </c>
      <c r="Q24" s="21" t="n">
        <f aca="false">(1-$I$18)*((1-$J$19)*(1-$K$20)-(0-$K$19)*(0-$J$20))-(0-$J$18)*((0-$I$19)*(1-$K$20)-(0-$K$19)*(0-$I$20))+(0-$K$18)*((0-$I$19)*(0-$J$20)-(1-$J$19)*(0-$I$20))</f>
        <v>0.109375</v>
      </c>
    </row>
    <row r="25" customFormat="false" ht="15" hidden="false" customHeight="false" outlineLevel="0" collapsed="false">
      <c r="A25" s="11" t="n">
        <v>5</v>
      </c>
      <c r="B25" s="23" t="n">
        <f aca="false">A_keep*B24+C_pass*D24</f>
        <v>0.0703125</v>
      </c>
      <c r="C25" s="23" t="n">
        <f aca="false">C_pass*B24+A_keep*C24</f>
        <v>0.087890625</v>
      </c>
      <c r="D25" s="23" t="n">
        <f aca="false">C_pass*C24+A_keep*D24</f>
        <v>0.0791015625</v>
      </c>
      <c r="E25" s="23" t="n">
        <f aca="false">SUM(B25:D25)</f>
        <v>0.2373046875</v>
      </c>
      <c r="F25" s="23" t="n">
        <f aca="false">F24+E25</f>
        <v>3.2880859375</v>
      </c>
      <c r="H25" s="11" t="n">
        <v>2</v>
      </c>
      <c r="I25" s="21" t="n">
        <f aca="false">($I$18*I24+$J$18*J24+$K$18*K24)/(($I$18+$I$19+$I$20)*I24+($J$18+$J$19+$J$20)*J24+($K$18+$K$19+$K$20)*K24)</f>
        <v>0.333333333333333</v>
      </c>
      <c r="J25" s="21" t="n">
        <f aca="false">($I$19*I24+$J$19*J24+$K$19*K24)/(($I$18+$I$19+$I$20)*I24+($J$18+$J$19+$J$20)*J24+($K$18+$K$19+$K$20)*K24)</f>
        <v>0.333333333333333</v>
      </c>
      <c r="K25" s="21" t="n">
        <f aca="false">($I$20*I24+$J$20*J24+$K$20*K24)/(($I$18+$I$19+$I$20)*I24+($J$18+$J$19+$J$20)*J24+($K$18+$K$19+$K$20)*K24)</f>
        <v>0.333333333333333</v>
      </c>
      <c r="L25" s="21" t="n">
        <f aca="false">($I$18+$I$19+$I$20)*I25+($J$18+$J$19+$J$20)*J25+($K$18+$K$19+$K$20)*K25</f>
        <v>0.75</v>
      </c>
      <c r="M25" s="21" t="n">
        <f aca="false">(M24*$I$18+N24*$I$19+O24*$I$20)/(($I$18+$J$18+$K$18)*M24+($I$19+$J$19+$K$19)*N24+($I$20+$J$20+$K$20)*O24)</f>
        <v>0.333333333333333</v>
      </c>
      <c r="N25" s="21" t="n">
        <f aca="false">(M24*$J$18+N24*$J$19+O24*$J$20)/(($I$18+$J$18+$K$18)*M24+($I$19+$J$19+$K$19)*N24+($I$20+$J$20+$K$20)*O24)</f>
        <v>0.333333333333333</v>
      </c>
      <c r="O25" s="21" t="n">
        <f aca="false">(M24*$K$18+N24*$K$19+O24*$K$20)/(($I$18+$J$18+$K$18)*M24+($I$19+$J$19+$K$19)*N24+($I$20+$J$20+$K$20)*O24)</f>
        <v>0.333333333333333</v>
      </c>
      <c r="P25" s="2" t="s">
        <v>269</v>
      </c>
      <c r="Q25" s="21" t="n">
        <f aca="false">(1-$J$19)*(1-$K$20)-(0-$K$19)*(0-$J$20)</f>
        <v>0.25</v>
      </c>
    </row>
    <row r="26" customFormat="false" ht="15" hidden="false" customHeight="false" outlineLevel="0" collapsed="false">
      <c r="A26" s="11" t="n">
        <v>6</v>
      </c>
      <c r="B26" s="23" t="n">
        <f aca="false">A_keep*B25+C_pass*D25</f>
        <v>0.054931640625</v>
      </c>
      <c r="C26" s="23" t="n">
        <f aca="false">C_pass*B25+A_keep*C25</f>
        <v>0.0615234375</v>
      </c>
      <c r="D26" s="23" t="n">
        <f aca="false">C_pass*C25+A_keep*D25</f>
        <v>0.0615234375</v>
      </c>
      <c r="E26" s="23" t="n">
        <f aca="false">SUM(B26:D26)</f>
        <v>0.177978515625</v>
      </c>
      <c r="F26" s="23" t="n">
        <f aca="false">F25+E26</f>
        <v>3.466064453125</v>
      </c>
      <c r="H26" s="11" t="n">
        <v>3</v>
      </c>
      <c r="I26" s="21" t="n">
        <f aca="false">($I$18*I25+$J$18*J25+$K$18*K25)/(($I$18+$I$19+$I$20)*I25+($J$18+$J$19+$J$20)*J25+($K$18+$K$19+$K$20)*K25)</f>
        <v>0.333333333333333</v>
      </c>
      <c r="J26" s="21" t="n">
        <f aca="false">($I$19*I25+$J$19*J25+$K$19*K25)/(($I$18+$I$19+$I$20)*I25+($J$18+$J$19+$J$20)*J25+($K$18+$K$19+$K$20)*K25)</f>
        <v>0.333333333333333</v>
      </c>
      <c r="K26" s="21" t="n">
        <f aca="false">($I$20*I25+$J$20*J25+$K$20*K25)/(($I$18+$I$19+$I$20)*I25+($J$18+$J$19+$J$20)*J25+($K$18+$K$19+$K$20)*K25)</f>
        <v>0.333333333333333</v>
      </c>
      <c r="L26" s="21" t="n">
        <f aca="false">($I$18+$I$19+$I$20)*I26+($J$18+$J$19+$J$20)*J26+($K$18+$K$19+$K$20)*K26</f>
        <v>0.75</v>
      </c>
      <c r="M26" s="21" t="n">
        <f aca="false">(M25*$I$18+N25*$I$19+O25*$I$20)/(($I$18+$J$18+$K$18)*M25+($I$19+$J$19+$K$19)*N25+($I$20+$J$20+$K$20)*O25)</f>
        <v>0.333333333333333</v>
      </c>
      <c r="N26" s="21" t="n">
        <f aca="false">(M25*$J$18+N25*$J$19+O25*$J$20)/(($I$18+$J$18+$K$18)*M25+($I$19+$J$19+$K$19)*N25+($I$20+$J$20+$K$20)*O25)</f>
        <v>0.333333333333333</v>
      </c>
      <c r="O26" s="21" t="n">
        <f aca="false">(M25*$K$18+N25*$K$19+O25*$K$20)/(($I$18+$J$18+$K$18)*M25+($I$19+$J$19+$K$19)*N25+($I$20+$J$20+$K$20)*O25)</f>
        <v>0.333333333333333</v>
      </c>
      <c r="P26" s="2" t="s">
        <v>270</v>
      </c>
      <c r="Q26" s="21" t="n">
        <f aca="false">-((0-$I$19)*(1-$K$20)-(0-$K$19)*(0-$I$20))</f>
        <v>0.125</v>
      </c>
    </row>
    <row r="27" customFormat="false" ht="15" hidden="false" customHeight="false" outlineLevel="0" collapsed="false">
      <c r="A27" s="11" t="n">
        <v>7</v>
      </c>
      <c r="B27" s="23" t="n">
        <f aca="false">A_keep*B26+C_pass*D26</f>
        <v>0.0428466796875</v>
      </c>
      <c r="C27" s="23" t="n">
        <f aca="false">C_pass*B26+A_keep*C26</f>
        <v>0.04449462890625</v>
      </c>
      <c r="D27" s="23" t="n">
        <f aca="false">C_pass*C26+A_keep*D26</f>
        <v>0.046142578125</v>
      </c>
      <c r="E27" s="23" t="n">
        <f aca="false">SUM(B27:D27)</f>
        <v>0.13348388671875</v>
      </c>
      <c r="F27" s="23" t="n">
        <f aca="false">F26+E27</f>
        <v>3.59954833984375</v>
      </c>
      <c r="H27" s="11" t="n">
        <v>4</v>
      </c>
      <c r="I27" s="21" t="n">
        <f aca="false">($I$18*I26+$J$18*J26+$K$18*K26)/(($I$18+$I$19+$I$20)*I26+($J$18+$J$19+$J$20)*J26+($K$18+$K$19+$K$20)*K26)</f>
        <v>0.333333333333333</v>
      </c>
      <c r="J27" s="21" t="n">
        <f aca="false">($I$19*I26+$J$19*J26+$K$19*K26)/(($I$18+$I$19+$I$20)*I26+($J$18+$J$19+$J$20)*J26+($K$18+$K$19+$K$20)*K26)</f>
        <v>0.333333333333333</v>
      </c>
      <c r="K27" s="21" t="n">
        <f aca="false">($I$20*I26+$J$20*J26+$K$20*K26)/(($I$18+$I$19+$I$20)*I26+($J$18+$J$19+$J$20)*J26+($K$18+$K$19+$K$20)*K26)</f>
        <v>0.333333333333333</v>
      </c>
      <c r="L27" s="21" t="n">
        <f aca="false">($I$18+$I$19+$I$20)*I27+($J$18+$J$19+$J$20)*J27+($K$18+$K$19+$K$20)*K27</f>
        <v>0.75</v>
      </c>
      <c r="M27" s="21" t="n">
        <f aca="false">(M26*$I$18+N26*$I$19+O26*$I$20)/(($I$18+$J$18+$K$18)*M26+($I$19+$J$19+$K$19)*N26+($I$20+$J$20+$K$20)*O26)</f>
        <v>0.333333333333333</v>
      </c>
      <c r="N27" s="21" t="n">
        <f aca="false">(M26*$J$18+N26*$J$19+O26*$J$20)/(($I$18+$J$18+$K$18)*M26+($I$19+$J$19+$K$19)*N26+($I$20+$J$20+$K$20)*O26)</f>
        <v>0.333333333333333</v>
      </c>
      <c r="O27" s="21" t="n">
        <f aca="false">(M26*$K$18+N26*$K$19+O26*$K$20)/(($I$18+$J$18+$K$18)*M26+($I$19+$J$19+$K$19)*N26+($I$20+$J$20+$K$20)*O26)</f>
        <v>0.333333333333333</v>
      </c>
      <c r="P27" s="2" t="s">
        <v>271</v>
      </c>
      <c r="Q27" s="21" t="n">
        <f aca="false">(0-$I$19)*(0-$J$20)-(1-$J$19)*(0-$I$20)</f>
        <v>0.0625</v>
      </c>
    </row>
    <row r="28" customFormat="false" ht="15" hidden="false" customHeight="false" outlineLevel="0" collapsed="false">
      <c r="A28" s="11" t="n">
        <v>8</v>
      </c>
      <c r="B28" s="23" t="n">
        <f aca="false">A_keep*B27+C_pass*D27</f>
        <v>0.032958984375</v>
      </c>
      <c r="C28" s="23" t="n">
        <f aca="false">C_pass*B27+A_keep*C27</f>
        <v>0.032958984375</v>
      </c>
      <c r="D28" s="23" t="n">
        <f aca="false">C_pass*C27+A_keep*D27</f>
        <v>0.0341949462890625</v>
      </c>
      <c r="E28" s="23" t="n">
        <f aca="false">SUM(B28:D28)</f>
        <v>0.100112915039063</v>
      </c>
      <c r="F28" s="23" t="n">
        <f aca="false">F27+E28</f>
        <v>3.69966125488281</v>
      </c>
      <c r="H28" s="11" t="n">
        <v>5</v>
      </c>
      <c r="I28" s="21" t="n">
        <f aca="false">($I$18*I27+$J$18*J27+$K$18*K27)/(($I$18+$I$19+$I$20)*I27+($J$18+$J$19+$J$20)*J27+($K$18+$K$19+$K$20)*K27)</f>
        <v>0.333333333333333</v>
      </c>
      <c r="J28" s="21" t="n">
        <f aca="false">($I$19*I27+$J$19*J27+$K$19*K27)/(($I$18+$I$19+$I$20)*I27+($J$18+$J$19+$J$20)*J27+($K$18+$K$19+$K$20)*K27)</f>
        <v>0.333333333333333</v>
      </c>
      <c r="K28" s="21" t="n">
        <f aca="false">($I$20*I27+$J$20*J27+$K$20*K27)/(($I$18+$I$19+$I$20)*I27+($J$18+$J$19+$J$20)*J27+($K$18+$K$19+$K$20)*K27)</f>
        <v>0.333333333333333</v>
      </c>
      <c r="L28" s="21" t="n">
        <f aca="false">($I$18+$I$19+$I$20)*I28+($J$18+$J$19+$J$20)*J28+($K$18+$K$19+$K$20)*K28</f>
        <v>0.75</v>
      </c>
      <c r="M28" s="21" t="n">
        <f aca="false">(M27*$I$18+N27*$I$19+O27*$I$20)/(($I$18+$J$18+$K$18)*M27+($I$19+$J$19+$K$19)*N27+($I$20+$J$20+$K$20)*O27)</f>
        <v>0.333333333333333</v>
      </c>
      <c r="N28" s="21" t="n">
        <f aca="false">(M27*$J$18+N27*$J$19+O27*$J$20)/(($I$18+$J$18+$K$18)*M27+($I$19+$J$19+$K$19)*N27+($I$20+$J$20+$K$20)*O27)</f>
        <v>0.333333333333333</v>
      </c>
      <c r="O28" s="21" t="n">
        <f aca="false">(M27*$K$18+N27*$K$19+O27*$K$20)/(($I$18+$J$18+$K$18)*M27+($I$19+$J$19+$K$19)*N27+($I$20+$J$20+$K$20)*O27)</f>
        <v>0.333333333333333</v>
      </c>
    </row>
    <row r="29" customFormat="false" ht="15" hidden="false" customHeight="false" outlineLevel="0" collapsed="false">
      <c r="A29" s="11" t="n">
        <v>9</v>
      </c>
      <c r="B29" s="23" t="n">
        <f aca="false">A_keep*B28+C_pass*D28</f>
        <v>0.0250282287597656</v>
      </c>
      <c r="C29" s="23" t="n">
        <f aca="false">C_pass*B28+A_keep*C28</f>
        <v>0.02471923828125</v>
      </c>
      <c r="D29" s="23" t="n">
        <f aca="false">C_pass*C28+A_keep*D28</f>
        <v>0.0253372192382813</v>
      </c>
      <c r="E29" s="23" t="n">
        <f aca="false">SUM(B29:D29)</f>
        <v>0.0750846862792969</v>
      </c>
      <c r="F29" s="23" t="n">
        <f aca="false">F28+E29</f>
        <v>3.77474594116211</v>
      </c>
      <c r="H29" s="11" t="n">
        <v>6</v>
      </c>
      <c r="I29" s="21" t="n">
        <f aca="false">($I$18*I28+$J$18*J28+$K$18*K28)/(($I$18+$I$19+$I$20)*I28+($J$18+$J$19+$J$20)*J28+($K$18+$K$19+$K$20)*K28)</f>
        <v>0.333333333333333</v>
      </c>
      <c r="J29" s="21" t="n">
        <f aca="false">($I$19*I28+$J$19*J28+$K$19*K28)/(($I$18+$I$19+$I$20)*I28+($J$18+$J$19+$J$20)*J28+($K$18+$K$19+$K$20)*K28)</f>
        <v>0.333333333333333</v>
      </c>
      <c r="K29" s="21" t="n">
        <f aca="false">($I$20*I28+$J$20*J28+$K$20*K28)/(($I$18+$I$19+$I$20)*I28+($J$18+$J$19+$J$20)*J28+($K$18+$K$19+$K$20)*K28)</f>
        <v>0.333333333333333</v>
      </c>
      <c r="L29" s="21" t="n">
        <f aca="false">($I$18+$I$19+$I$20)*I29+($J$18+$J$19+$J$20)*J29+($K$18+$K$19+$K$20)*K29</f>
        <v>0.75</v>
      </c>
      <c r="M29" s="21" t="n">
        <f aca="false">(M28*$I$18+N28*$I$19+O28*$I$20)/(($I$18+$J$18+$K$18)*M28+($I$19+$J$19+$K$19)*N28+($I$20+$J$20+$K$20)*O28)</f>
        <v>0.333333333333333</v>
      </c>
      <c r="N29" s="21" t="n">
        <f aca="false">(M28*$J$18+N28*$J$19+O28*$J$20)/(($I$18+$J$18+$K$18)*M28+($I$19+$J$19+$K$19)*N28+($I$20+$J$20+$K$20)*O28)</f>
        <v>0.333333333333333</v>
      </c>
      <c r="O29" s="21" t="n">
        <f aca="false">(M28*$K$18+N28*$K$19+O28*$K$20)/(($I$18+$J$18+$K$18)*M28+($I$19+$J$19+$K$19)*N28+($I$20+$J$20+$K$20)*O28)</f>
        <v>0.333333333333333</v>
      </c>
      <c r="P29" s="10" t="s">
        <v>272</v>
      </c>
    </row>
    <row r="30" customFormat="false" ht="15" hidden="false" customHeight="false" outlineLevel="0" collapsed="false">
      <c r="A30" s="11" t="n">
        <v>10</v>
      </c>
      <c r="B30" s="23" t="n">
        <f aca="false">A_keep*B29+C_pass*D29</f>
        <v>0.0188484191894531</v>
      </c>
      <c r="C30" s="23" t="n">
        <f aca="false">C_pass*B29+A_keep*C29</f>
        <v>0.0186166763305664</v>
      </c>
      <c r="D30" s="23" t="n">
        <f aca="false">C_pass*C29+A_keep*D29</f>
        <v>0.0188484191894531</v>
      </c>
      <c r="E30" s="23" t="n">
        <f aca="false">SUM(B30:D30)</f>
        <v>0.0563135147094727</v>
      </c>
      <c r="F30" s="23" t="n">
        <f aca="false">F29+E30</f>
        <v>3.83105945587158</v>
      </c>
      <c r="H30" s="11" t="n">
        <v>7</v>
      </c>
      <c r="I30" s="21" t="n">
        <f aca="false">($I$18*I29+$J$18*J29+$K$18*K29)/(($I$18+$I$19+$I$20)*I29+($J$18+$J$19+$J$20)*J29+($K$18+$K$19+$K$20)*K29)</f>
        <v>0.333333333333333</v>
      </c>
      <c r="J30" s="21" t="n">
        <f aca="false">($I$19*I29+$J$19*J29+$K$19*K29)/(($I$18+$I$19+$I$20)*I29+($J$18+$J$19+$J$20)*J29+($K$18+$K$19+$K$20)*K29)</f>
        <v>0.333333333333333</v>
      </c>
      <c r="K30" s="21" t="n">
        <f aca="false">($I$20*I29+$J$20*J29+$K$20*K29)/(($I$18+$I$19+$I$20)*I29+($J$18+$J$19+$J$20)*J29+($K$18+$K$19+$K$20)*K29)</f>
        <v>0.333333333333333</v>
      </c>
      <c r="L30" s="21" t="n">
        <f aca="false">($I$18+$I$19+$I$20)*I30+($J$18+$J$19+$J$20)*J30+($K$18+$K$19+$K$20)*K30</f>
        <v>0.75</v>
      </c>
      <c r="M30" s="21" t="n">
        <f aca="false">(M29*$I$18+N29*$I$19+O29*$I$20)/(($I$18+$J$18+$K$18)*M29+($I$19+$J$19+$K$19)*N29+($I$20+$J$20+$K$20)*O29)</f>
        <v>0.333333333333333</v>
      </c>
      <c r="N30" s="21" t="n">
        <f aca="false">(M29*$J$18+N29*$J$19+O29*$J$20)/(($I$18+$J$18+$K$18)*M29+($I$19+$J$19+$K$19)*N29+($I$20+$J$20+$K$20)*O29)</f>
        <v>0.333333333333333</v>
      </c>
      <c r="O30" s="21" t="n">
        <f aca="false">(M29*$K$18+N29*$K$19+O29*$K$20)/(($I$18+$J$18+$K$18)*M29+($I$19+$J$19+$K$19)*N29+($I$20+$J$20+$K$20)*O29)</f>
        <v>0.333333333333333</v>
      </c>
    </row>
    <row r="31" customFormat="false" ht="15" hidden="false" customHeight="false" outlineLevel="0" collapsed="false">
      <c r="A31" s="11" t="n">
        <v>11</v>
      </c>
      <c r="B31" s="23" t="n">
        <f aca="false">A_keep*B30+C_pass*D30</f>
        <v>0.0141363143920898</v>
      </c>
      <c r="C31" s="23" t="n">
        <f aca="false">C_pass*B30+A_keep*C30</f>
        <v>0.0140204429626465</v>
      </c>
      <c r="D31" s="23" t="n">
        <f aca="false">C_pass*C30+A_keep*D30</f>
        <v>0.0140783786773682</v>
      </c>
      <c r="E31" s="23" t="n">
        <f aca="false">SUM(B31:D31)</f>
        <v>0.0422351360321045</v>
      </c>
      <c r="F31" s="23" t="n">
        <f aca="false">F30+E31</f>
        <v>3.87329459190369</v>
      </c>
      <c r="H31" s="11" t="n">
        <v>8</v>
      </c>
      <c r="I31" s="21" t="n">
        <f aca="false">($I$18*I30+$J$18*J30+$K$18*K30)/(($I$18+$I$19+$I$20)*I30+($J$18+$J$19+$J$20)*J30+($K$18+$K$19+$K$20)*K30)</f>
        <v>0.333333333333333</v>
      </c>
      <c r="J31" s="21" t="n">
        <f aca="false">($I$19*I30+$J$19*J30+$K$19*K30)/(($I$18+$I$19+$I$20)*I30+($J$18+$J$19+$J$20)*J30+($K$18+$K$19+$K$20)*K30)</f>
        <v>0.333333333333333</v>
      </c>
      <c r="K31" s="21" t="n">
        <f aca="false">($I$20*I30+$J$20*J30+$K$20*K30)/(($I$18+$I$19+$I$20)*I30+($J$18+$J$19+$J$20)*J30+($K$18+$K$19+$K$20)*K30)</f>
        <v>0.333333333333333</v>
      </c>
      <c r="L31" s="21" t="n">
        <f aca="false">($I$18+$I$19+$I$20)*I31+($J$18+$J$19+$J$20)*J31+($K$18+$K$19+$K$20)*K31</f>
        <v>0.75</v>
      </c>
      <c r="M31" s="21" t="n">
        <f aca="false">(M30*$I$18+N30*$I$19+O30*$I$20)/(($I$18+$J$18+$K$18)*M30+($I$19+$J$19+$K$19)*N30+($I$20+$J$20+$K$20)*O30)</f>
        <v>0.333333333333333</v>
      </c>
      <c r="N31" s="21" t="n">
        <f aca="false">(M30*$J$18+N30*$J$19+O30*$J$20)/(($I$18+$J$18+$K$18)*M30+($I$19+$J$19+$K$19)*N30+($I$20+$J$20+$K$20)*O30)</f>
        <v>0.333333333333333</v>
      </c>
      <c r="O31" s="21" t="n">
        <f aca="false">(M30*$K$18+N30*$K$19+O30*$K$20)/(($I$18+$J$18+$K$18)*M30+($I$19+$J$19+$K$19)*N30+($I$20+$J$20+$K$20)*O30)</f>
        <v>0.333333333333333</v>
      </c>
    </row>
    <row r="32" customFormat="false" ht="15" hidden="false" customHeight="false" outlineLevel="0" collapsed="false">
      <c r="A32" s="11" t="n">
        <v>12</v>
      </c>
      <c r="B32" s="23" t="n">
        <f aca="false">A_keep*B31+C_pass*D31</f>
        <v>0.010587751865387</v>
      </c>
      <c r="C32" s="23" t="n">
        <f aca="false">C_pass*B31+A_keep*C31</f>
        <v>0.0105443000793457</v>
      </c>
      <c r="D32" s="23" t="n">
        <f aca="false">C_pass*C31+A_keep*D31</f>
        <v>0.0105443000793457</v>
      </c>
      <c r="E32" s="23" t="n">
        <f aca="false">SUM(B32:D32)</f>
        <v>0.0316763520240784</v>
      </c>
      <c r="F32" s="23" t="n">
        <f aca="false">F31+E32</f>
        <v>3.90497094392777</v>
      </c>
      <c r="H32" s="11" t="n">
        <v>9</v>
      </c>
      <c r="I32" s="21" t="n">
        <f aca="false">($I$18*I31+$J$18*J31+$K$18*K31)/(($I$18+$I$19+$I$20)*I31+($J$18+$J$19+$J$20)*J31+($K$18+$K$19+$K$20)*K31)</f>
        <v>0.333333333333333</v>
      </c>
      <c r="J32" s="21" t="n">
        <f aca="false">($I$19*I31+$J$19*J31+$K$19*K31)/(($I$18+$I$19+$I$20)*I31+($J$18+$J$19+$J$20)*J31+($K$18+$K$19+$K$20)*K31)</f>
        <v>0.333333333333333</v>
      </c>
      <c r="K32" s="21" t="n">
        <f aca="false">($I$20*I31+$J$20*J31+$K$20*K31)/(($I$18+$I$19+$I$20)*I31+($J$18+$J$19+$J$20)*J31+($K$18+$K$19+$K$20)*K31)</f>
        <v>0.333333333333333</v>
      </c>
      <c r="L32" s="21" t="n">
        <f aca="false">($I$18+$I$19+$I$20)*I32+($J$18+$J$19+$J$20)*J32+($K$18+$K$19+$K$20)*K32</f>
        <v>0.75</v>
      </c>
      <c r="M32" s="21" t="n">
        <f aca="false">(M31*$I$18+N31*$I$19+O31*$I$20)/(($I$18+$J$18+$K$18)*M31+($I$19+$J$19+$K$19)*N31+($I$20+$J$20+$K$20)*O31)</f>
        <v>0.333333333333333</v>
      </c>
      <c r="N32" s="21" t="n">
        <f aca="false">(M31*$J$18+N31*$J$19+O31*$J$20)/(($I$18+$J$18+$K$18)*M31+($I$19+$J$19+$K$19)*N31+($I$20+$J$20+$K$20)*O31)</f>
        <v>0.333333333333333</v>
      </c>
      <c r="O32" s="21" t="n">
        <f aca="false">(M31*$K$18+N31*$K$19+O31*$K$20)/(($I$18+$J$18+$K$18)*M31+($I$19+$J$19+$K$19)*N31+($I$20+$J$20+$K$20)*O31)</f>
        <v>0.333333333333333</v>
      </c>
    </row>
    <row r="33" customFormat="false" ht="15" hidden="false" customHeight="false" outlineLevel="0" collapsed="false">
      <c r="A33" s="11" t="n">
        <v>13</v>
      </c>
      <c r="B33" s="23" t="n">
        <f aca="false">A_keep*B32+C_pass*D32</f>
        <v>0.00792995095252991</v>
      </c>
      <c r="C33" s="23" t="n">
        <f aca="false">C_pass*B32+A_keep*C32</f>
        <v>0.00791908800601959</v>
      </c>
      <c r="D33" s="23" t="n">
        <f aca="false">C_pass*C32+A_keep*D32</f>
        <v>0.00790822505950928</v>
      </c>
      <c r="E33" s="23" t="n">
        <f aca="false">SUM(B33:D33)</f>
        <v>0.0237572640180588</v>
      </c>
      <c r="F33" s="23" t="n">
        <f aca="false">F32+E33</f>
        <v>3.92872820794582</v>
      </c>
      <c r="H33" s="11" t="n">
        <v>10</v>
      </c>
      <c r="I33" s="21" t="n">
        <f aca="false">($I$18*I32+$J$18*J32+$K$18*K32)/(($I$18+$I$19+$I$20)*I32+($J$18+$J$19+$J$20)*J32+($K$18+$K$19+$K$20)*K32)</f>
        <v>0.333333333333333</v>
      </c>
      <c r="J33" s="21" t="n">
        <f aca="false">($I$19*I32+$J$19*J32+$K$19*K32)/(($I$18+$I$19+$I$20)*I32+($J$18+$J$19+$J$20)*J32+($K$18+$K$19+$K$20)*K32)</f>
        <v>0.333333333333333</v>
      </c>
      <c r="K33" s="21" t="n">
        <f aca="false">($I$20*I32+$J$20*J32+$K$20*K32)/(($I$18+$I$19+$I$20)*I32+($J$18+$J$19+$J$20)*J32+($K$18+$K$19+$K$20)*K32)</f>
        <v>0.333333333333333</v>
      </c>
      <c r="L33" s="21" t="n">
        <f aca="false">($I$18+$I$19+$I$20)*I33+($J$18+$J$19+$J$20)*J33+($K$18+$K$19+$K$20)*K33</f>
        <v>0.75</v>
      </c>
      <c r="M33" s="21" t="n">
        <f aca="false">(M32*$I$18+N32*$I$19+O32*$I$20)/(($I$18+$J$18+$K$18)*M32+($I$19+$J$19+$K$19)*N32+($I$20+$J$20+$K$20)*O32)</f>
        <v>0.333333333333333</v>
      </c>
      <c r="N33" s="21" t="n">
        <f aca="false">(M32*$J$18+N32*$J$19+O32*$J$20)/(($I$18+$J$18+$K$18)*M32+($I$19+$J$19+$K$19)*N32+($I$20+$J$20+$K$20)*O32)</f>
        <v>0.333333333333333</v>
      </c>
      <c r="O33" s="21" t="n">
        <f aca="false">(M32*$K$18+N32*$K$19+O32*$K$20)/(($I$18+$J$18+$K$18)*M32+($I$19+$J$19+$K$19)*N32+($I$20+$J$20+$K$20)*O32)</f>
        <v>0.333333333333333</v>
      </c>
    </row>
    <row r="34" customFormat="false" ht="15" hidden="false" customHeight="false" outlineLevel="0" collapsed="false">
      <c r="A34" s="11" t="n">
        <v>14</v>
      </c>
      <c r="B34" s="23" t="n">
        <f aca="false">A_keep*B33+C_pass*D33</f>
        <v>0.00594203174114227</v>
      </c>
      <c r="C34" s="23" t="n">
        <f aca="false">C_pass*B33+A_keep*C33</f>
        <v>0.00594203174114227</v>
      </c>
      <c r="D34" s="23" t="n">
        <f aca="false">C_pass*C33+A_keep*D33</f>
        <v>0.00593388453125954</v>
      </c>
      <c r="E34" s="23" t="n">
        <f aca="false">SUM(B34:D34)</f>
        <v>0.0178179480135441</v>
      </c>
      <c r="F34" s="23" t="n">
        <f aca="false">F33+E34</f>
        <v>3.94654615595937</v>
      </c>
      <c r="H34" s="11" t="n">
        <v>11</v>
      </c>
      <c r="I34" s="21" t="n">
        <f aca="false">($I$18*I33+$J$18*J33+$K$18*K33)/(($I$18+$I$19+$I$20)*I33+($J$18+$J$19+$J$20)*J33+($K$18+$K$19+$K$20)*K33)</f>
        <v>0.333333333333333</v>
      </c>
      <c r="J34" s="21" t="n">
        <f aca="false">($I$19*I33+$J$19*J33+$K$19*K33)/(($I$18+$I$19+$I$20)*I33+($J$18+$J$19+$J$20)*J33+($K$18+$K$19+$K$20)*K33)</f>
        <v>0.333333333333333</v>
      </c>
      <c r="K34" s="21" t="n">
        <f aca="false">($I$20*I33+$J$20*J33+$K$20*K33)/(($I$18+$I$19+$I$20)*I33+($J$18+$J$19+$J$20)*J33+($K$18+$K$19+$K$20)*K33)</f>
        <v>0.333333333333333</v>
      </c>
      <c r="L34" s="21" t="n">
        <f aca="false">($I$18+$I$19+$I$20)*I34+($J$18+$J$19+$J$20)*J34+($K$18+$K$19+$K$20)*K34</f>
        <v>0.75</v>
      </c>
      <c r="M34" s="21" t="n">
        <f aca="false">(M33*$I$18+N33*$I$19+O33*$I$20)/(($I$18+$J$18+$K$18)*M33+($I$19+$J$19+$K$19)*N33+($I$20+$J$20+$K$20)*O33)</f>
        <v>0.333333333333333</v>
      </c>
      <c r="N34" s="21" t="n">
        <f aca="false">(M33*$J$18+N33*$J$19+O33*$J$20)/(($I$18+$J$18+$K$18)*M33+($I$19+$J$19+$K$19)*N33+($I$20+$J$20+$K$20)*O33)</f>
        <v>0.333333333333333</v>
      </c>
      <c r="O34" s="21" t="n">
        <f aca="false">(M33*$K$18+N33*$K$19+O33*$K$20)/(($I$18+$J$18+$K$18)*M33+($I$19+$J$19+$K$19)*N33+($I$20+$J$20+$K$20)*O33)</f>
        <v>0.333333333333333</v>
      </c>
    </row>
    <row r="35" customFormat="false" ht="15" hidden="false" customHeight="false" outlineLevel="0" collapsed="false">
      <c r="A35" s="11" t="n">
        <v>15</v>
      </c>
      <c r="B35" s="23" t="n">
        <f aca="false">A_keep*B34+C_pass*D34</f>
        <v>0.00445448700338602</v>
      </c>
      <c r="C35" s="23" t="n">
        <f aca="false">C_pass*B34+A_keep*C34</f>
        <v>0.00445652380585671</v>
      </c>
      <c r="D35" s="23" t="n">
        <f aca="false">C_pass*C34+A_keep*D34</f>
        <v>0.00445245020091534</v>
      </c>
      <c r="E35" s="23" t="n">
        <f aca="false">SUM(B35:D35)</f>
        <v>0.0133634610101581</v>
      </c>
      <c r="F35" s="23" t="n">
        <f aca="false">F34+E35</f>
        <v>3.95990961696953</v>
      </c>
      <c r="H35" s="11" t="n">
        <v>12</v>
      </c>
      <c r="I35" s="21" t="n">
        <f aca="false">($I$18*I34+$J$18*J34+$K$18*K34)/(($I$18+$I$19+$I$20)*I34+($J$18+$J$19+$J$20)*J34+($K$18+$K$19+$K$20)*K34)</f>
        <v>0.333333333333333</v>
      </c>
      <c r="J35" s="21" t="n">
        <f aca="false">($I$19*I34+$J$19*J34+$K$19*K34)/(($I$18+$I$19+$I$20)*I34+($J$18+$J$19+$J$20)*J34+($K$18+$K$19+$K$20)*K34)</f>
        <v>0.333333333333333</v>
      </c>
      <c r="K35" s="21" t="n">
        <f aca="false">($I$20*I34+$J$20*J34+$K$20*K34)/(($I$18+$I$19+$I$20)*I34+($J$18+$J$19+$J$20)*J34+($K$18+$K$19+$K$20)*K34)</f>
        <v>0.333333333333333</v>
      </c>
      <c r="L35" s="21" t="n">
        <f aca="false">($I$18+$I$19+$I$20)*I35+($J$18+$J$19+$J$20)*J35+($K$18+$K$19+$K$20)*K35</f>
        <v>0.75</v>
      </c>
      <c r="M35" s="21" t="n">
        <f aca="false">(M34*$I$18+N34*$I$19+O34*$I$20)/(($I$18+$J$18+$K$18)*M34+($I$19+$J$19+$K$19)*N34+($I$20+$J$20+$K$20)*O34)</f>
        <v>0.333333333333333</v>
      </c>
      <c r="N35" s="21" t="n">
        <f aca="false">(M34*$J$18+N34*$J$19+O34*$J$20)/(($I$18+$J$18+$K$18)*M34+($I$19+$J$19+$K$19)*N34+($I$20+$J$20+$K$20)*O34)</f>
        <v>0.333333333333333</v>
      </c>
      <c r="O35" s="21" t="n">
        <f aca="false">(M34*$K$18+N34*$K$19+O34*$K$20)/(($I$18+$J$18+$K$18)*M34+($I$19+$J$19+$K$19)*N34+($I$20+$J$20+$K$20)*O34)</f>
        <v>0.333333333333333</v>
      </c>
    </row>
    <row r="36" customFormat="false" ht="15" hidden="false" customHeight="false" outlineLevel="0" collapsed="false">
      <c r="A36" s="11" t="n">
        <v>16</v>
      </c>
      <c r="B36" s="23" t="n">
        <f aca="false">A_keep*B35+C_pass*D35</f>
        <v>0.00334035605192184</v>
      </c>
      <c r="C36" s="23" t="n">
        <f aca="false">C_pass*B35+A_keep*C35</f>
        <v>0.00334188365377486</v>
      </c>
      <c r="D36" s="23" t="n">
        <f aca="false">C_pass*C35+A_keep*D35</f>
        <v>0.00334035605192184</v>
      </c>
      <c r="E36" s="23" t="n">
        <f aca="false">SUM(B36:D36)</f>
        <v>0.0100225957576185</v>
      </c>
      <c r="F36" s="23" t="n">
        <f aca="false">F35+E36</f>
        <v>3.96993221272714</v>
      </c>
      <c r="H36" s="11" t="n">
        <v>13</v>
      </c>
      <c r="I36" s="21" t="n">
        <f aca="false">($I$18*I35+$J$18*J35+$K$18*K35)/(($I$18+$I$19+$I$20)*I35+($J$18+$J$19+$J$20)*J35+($K$18+$K$19+$K$20)*K35)</f>
        <v>0.333333333333333</v>
      </c>
      <c r="J36" s="21" t="n">
        <f aca="false">($I$19*I35+$J$19*J35+$K$19*K35)/(($I$18+$I$19+$I$20)*I35+($J$18+$J$19+$J$20)*J35+($K$18+$K$19+$K$20)*K35)</f>
        <v>0.333333333333333</v>
      </c>
      <c r="K36" s="21" t="n">
        <f aca="false">($I$20*I35+$J$20*J35+$K$20*K35)/(($I$18+$I$19+$I$20)*I35+($J$18+$J$19+$J$20)*J35+($K$18+$K$19+$K$20)*K35)</f>
        <v>0.333333333333333</v>
      </c>
      <c r="L36" s="21" t="n">
        <f aca="false">($I$18+$I$19+$I$20)*I36+($J$18+$J$19+$J$20)*J36+($K$18+$K$19+$K$20)*K36</f>
        <v>0.75</v>
      </c>
      <c r="M36" s="21" t="n">
        <f aca="false">(M35*$I$18+N35*$I$19+O35*$I$20)/(($I$18+$J$18+$K$18)*M35+($I$19+$J$19+$K$19)*N35+($I$20+$J$20+$K$20)*O35)</f>
        <v>0.333333333333333</v>
      </c>
      <c r="N36" s="21" t="n">
        <f aca="false">(M35*$J$18+N35*$J$19+O35*$J$20)/(($I$18+$J$18+$K$18)*M35+($I$19+$J$19+$K$19)*N35+($I$20+$J$20+$K$20)*O35)</f>
        <v>0.333333333333333</v>
      </c>
      <c r="O36" s="21" t="n">
        <f aca="false">(M35*$K$18+N35*$K$19+O35*$K$20)/(($I$18+$J$18+$K$18)*M35+($I$19+$J$19+$K$19)*N35+($I$20+$J$20+$K$20)*O35)</f>
        <v>0.333333333333333</v>
      </c>
    </row>
    <row r="37" customFormat="false" ht="15" hidden="false" customHeight="false" outlineLevel="0" collapsed="false">
      <c r="A37" s="11" t="n">
        <v>17</v>
      </c>
      <c r="B37" s="23" t="n">
        <f aca="false">A_keep*B36+C_pass*D36</f>
        <v>0.00250526703894138</v>
      </c>
      <c r="C37" s="23" t="n">
        <f aca="false">C_pass*B36+A_keep*C36</f>
        <v>0.00250603083986789</v>
      </c>
      <c r="D37" s="23" t="n">
        <f aca="false">C_pass*C36+A_keep*D36</f>
        <v>0.00250564893940464</v>
      </c>
      <c r="E37" s="23" t="n">
        <f aca="false">SUM(B37:D37)</f>
        <v>0.00751694681821391</v>
      </c>
      <c r="F37" s="23" t="n">
        <f aca="false">F36+E37</f>
        <v>3.97744915954536</v>
      </c>
      <c r="H37" s="11" t="n">
        <v>14</v>
      </c>
      <c r="I37" s="21" t="n">
        <f aca="false">($I$18*I36+$J$18*J36+$K$18*K36)/(($I$18+$I$19+$I$20)*I36+($J$18+$J$19+$J$20)*J36+($K$18+$K$19+$K$20)*K36)</f>
        <v>0.333333333333333</v>
      </c>
      <c r="J37" s="21" t="n">
        <f aca="false">($I$19*I36+$J$19*J36+$K$19*K36)/(($I$18+$I$19+$I$20)*I36+($J$18+$J$19+$J$20)*J36+($K$18+$K$19+$K$20)*K36)</f>
        <v>0.333333333333333</v>
      </c>
      <c r="K37" s="21" t="n">
        <f aca="false">($I$20*I36+$J$20*J36+$K$20*K36)/(($I$18+$I$19+$I$20)*I36+($J$18+$J$19+$J$20)*J36+($K$18+$K$19+$K$20)*K36)</f>
        <v>0.333333333333333</v>
      </c>
      <c r="L37" s="21" t="n">
        <f aca="false">($I$18+$I$19+$I$20)*I37+($J$18+$J$19+$J$20)*J37+($K$18+$K$19+$K$20)*K37</f>
        <v>0.75</v>
      </c>
      <c r="M37" s="21" t="n">
        <f aca="false">(M36*$I$18+N36*$I$19+O36*$I$20)/(($I$18+$J$18+$K$18)*M36+($I$19+$J$19+$K$19)*N36+($I$20+$J$20+$K$20)*O36)</f>
        <v>0.333333333333333</v>
      </c>
      <c r="N37" s="21" t="n">
        <f aca="false">(M36*$J$18+N36*$J$19+O36*$J$20)/(($I$18+$J$18+$K$18)*M36+($I$19+$J$19+$K$19)*N36+($I$20+$J$20+$K$20)*O36)</f>
        <v>0.333333333333333</v>
      </c>
      <c r="O37" s="21" t="n">
        <f aca="false">(M36*$K$18+N36*$K$19+O36*$K$20)/(($I$18+$J$18+$K$18)*M36+($I$19+$J$19+$K$19)*N36+($I$20+$J$20+$K$20)*O36)</f>
        <v>0.333333333333333</v>
      </c>
    </row>
    <row r="38" customFormat="false" ht="15" hidden="false" customHeight="false" outlineLevel="0" collapsed="false">
      <c r="A38" s="11" t="n">
        <v>18</v>
      </c>
      <c r="B38" s="23" t="n">
        <f aca="false">A_keep*B37+C_pass*D37</f>
        <v>0.00187904575432185</v>
      </c>
      <c r="C38" s="23" t="n">
        <f aca="false">C_pass*B37+A_keep*C37</f>
        <v>0.00187933217966929</v>
      </c>
      <c r="D38" s="23" t="n">
        <f aca="false">C_pass*C37+A_keep*D37</f>
        <v>0.00187933217966929</v>
      </c>
      <c r="E38" s="23" t="n">
        <f aca="false">SUM(B38:D38)</f>
        <v>0.00563771011366043</v>
      </c>
      <c r="F38" s="23" t="n">
        <f aca="false">F37+E38</f>
        <v>3.98308686965902</v>
      </c>
      <c r="H38" s="11" t="n">
        <v>15</v>
      </c>
      <c r="I38" s="21" t="n">
        <f aca="false">($I$18*I37+$J$18*J37+$K$18*K37)/(($I$18+$I$19+$I$20)*I37+($J$18+$J$19+$J$20)*J37+($K$18+$K$19+$K$20)*K37)</f>
        <v>0.333333333333333</v>
      </c>
      <c r="J38" s="21" t="n">
        <f aca="false">($I$19*I37+$J$19*J37+$K$19*K37)/(($I$18+$I$19+$I$20)*I37+($J$18+$J$19+$J$20)*J37+($K$18+$K$19+$K$20)*K37)</f>
        <v>0.333333333333333</v>
      </c>
      <c r="K38" s="21" t="n">
        <f aca="false">($I$20*I37+$J$20*J37+$K$20*K37)/(($I$18+$I$19+$I$20)*I37+($J$18+$J$19+$J$20)*J37+($K$18+$K$19+$K$20)*K37)</f>
        <v>0.333333333333333</v>
      </c>
      <c r="L38" s="21" t="n">
        <f aca="false">($I$18+$I$19+$I$20)*I38+($J$18+$J$19+$J$20)*J38+($K$18+$K$19+$K$20)*K38</f>
        <v>0.75</v>
      </c>
      <c r="M38" s="21" t="n">
        <f aca="false">(M37*$I$18+N37*$I$19+O37*$I$20)/(($I$18+$J$18+$K$18)*M37+($I$19+$J$19+$K$19)*N37+($I$20+$J$20+$K$20)*O37)</f>
        <v>0.333333333333333</v>
      </c>
      <c r="N38" s="21" t="n">
        <f aca="false">(M37*$J$18+N37*$J$19+O37*$J$20)/(($I$18+$J$18+$K$18)*M37+($I$19+$J$19+$K$19)*N37+($I$20+$J$20+$K$20)*O37)</f>
        <v>0.333333333333333</v>
      </c>
      <c r="O38" s="21" t="n">
        <f aca="false">(M37*$K$18+N37*$K$19+O37*$K$20)/(($I$18+$J$18+$K$18)*M37+($I$19+$J$19+$K$19)*N37+($I$20+$J$20+$K$20)*O37)</f>
        <v>0.333333333333333</v>
      </c>
    </row>
    <row r="39" customFormat="false" ht="15" hidden="false" customHeight="false" outlineLevel="0" collapsed="false">
      <c r="A39" s="11" t="n">
        <v>19</v>
      </c>
      <c r="B39" s="23" t="n">
        <f aca="false">A_keep*B38+C_pass*D38</f>
        <v>0.00140935592207825</v>
      </c>
      <c r="C39" s="23" t="n">
        <f aca="false">C_pass*B38+A_keep*C38</f>
        <v>0.00140942752841511</v>
      </c>
      <c r="D39" s="23" t="n">
        <f aca="false">C_pass*C38+A_keep*D38</f>
        <v>0.00140949913475197</v>
      </c>
      <c r="E39" s="23" t="n">
        <f aca="false">SUM(B39:D39)</f>
        <v>0.00422828258524532</v>
      </c>
      <c r="F39" s="23" t="n">
        <f aca="false">F38+E39</f>
        <v>3.98731515224426</v>
      </c>
      <c r="H39" s="11" t="n">
        <v>16</v>
      </c>
      <c r="I39" s="21" t="n">
        <f aca="false">($I$18*I38+$J$18*J38+$K$18*K38)/(($I$18+$I$19+$I$20)*I38+($J$18+$J$19+$J$20)*J38+($K$18+$K$19+$K$20)*K38)</f>
        <v>0.333333333333333</v>
      </c>
      <c r="J39" s="21" t="n">
        <f aca="false">($I$19*I38+$J$19*J38+$K$19*K38)/(($I$18+$I$19+$I$20)*I38+($J$18+$J$19+$J$20)*J38+($K$18+$K$19+$K$20)*K38)</f>
        <v>0.333333333333333</v>
      </c>
      <c r="K39" s="21" t="n">
        <f aca="false">($I$20*I38+$J$20*J38+$K$20*K38)/(($I$18+$I$19+$I$20)*I38+($J$18+$J$19+$J$20)*J38+($K$18+$K$19+$K$20)*K38)</f>
        <v>0.333333333333333</v>
      </c>
      <c r="L39" s="21" t="n">
        <f aca="false">($I$18+$I$19+$I$20)*I39+($J$18+$J$19+$J$20)*J39+($K$18+$K$19+$K$20)*K39</f>
        <v>0.75</v>
      </c>
      <c r="M39" s="21" t="n">
        <f aca="false">(M38*$I$18+N38*$I$19+O38*$I$20)/(($I$18+$J$18+$K$18)*M38+($I$19+$J$19+$K$19)*N38+($I$20+$J$20+$K$20)*O38)</f>
        <v>0.333333333333333</v>
      </c>
      <c r="N39" s="21" t="n">
        <f aca="false">(M38*$J$18+N38*$J$19+O38*$J$20)/(($I$18+$J$18+$K$18)*M38+($I$19+$J$19+$K$19)*N38+($I$20+$J$20+$K$20)*O38)</f>
        <v>0.333333333333333</v>
      </c>
      <c r="O39" s="21" t="n">
        <f aca="false">(M38*$K$18+N38*$K$19+O38*$K$20)/(($I$18+$J$18+$K$18)*M38+($I$19+$J$19+$K$19)*N38+($I$20+$J$20+$K$20)*O38)</f>
        <v>0.333333333333333</v>
      </c>
    </row>
    <row r="40" customFormat="false" ht="15" hidden="false" customHeight="false" outlineLevel="0" collapsed="false">
      <c r="A40" s="11" t="n">
        <v>20</v>
      </c>
      <c r="B40" s="23" t="n">
        <f aca="false">A_keep*B39+C_pass*D39</f>
        <v>0.00105705274472712</v>
      </c>
      <c r="C40" s="23" t="n">
        <f aca="false">C_pass*B39+A_keep*C39</f>
        <v>0.00105705274472712</v>
      </c>
      <c r="D40" s="23" t="n">
        <f aca="false">C_pass*C39+A_keep*D39</f>
        <v>0.00105710644947976</v>
      </c>
      <c r="E40" s="23" t="n">
        <f aca="false">SUM(B40:D40)</f>
        <v>0.00317121193893399</v>
      </c>
      <c r="F40" s="23" t="n">
        <f aca="false">F39+E40</f>
        <v>3.9904863641832</v>
      </c>
      <c r="H40" s="11" t="n">
        <v>17</v>
      </c>
      <c r="I40" s="21" t="n">
        <f aca="false">($I$18*I39+$J$18*J39+$K$18*K39)/(($I$18+$I$19+$I$20)*I39+($J$18+$J$19+$J$20)*J39+($K$18+$K$19+$K$20)*K39)</f>
        <v>0.333333333333333</v>
      </c>
      <c r="J40" s="21" t="n">
        <f aca="false">($I$19*I39+$J$19*J39+$K$19*K39)/(($I$18+$I$19+$I$20)*I39+($J$18+$J$19+$J$20)*J39+($K$18+$K$19+$K$20)*K39)</f>
        <v>0.333333333333333</v>
      </c>
      <c r="K40" s="21" t="n">
        <f aca="false">($I$20*I39+$J$20*J39+$K$20*K39)/(($I$18+$I$19+$I$20)*I39+($J$18+$J$19+$J$20)*J39+($K$18+$K$19+$K$20)*K39)</f>
        <v>0.333333333333333</v>
      </c>
      <c r="L40" s="21" t="n">
        <f aca="false">($I$18+$I$19+$I$20)*I40+($J$18+$J$19+$J$20)*J40+($K$18+$K$19+$K$20)*K40</f>
        <v>0.75</v>
      </c>
      <c r="M40" s="21" t="n">
        <f aca="false">(M39*$I$18+N39*$I$19+O39*$I$20)/(($I$18+$J$18+$K$18)*M39+($I$19+$J$19+$K$19)*N39+($I$20+$J$20+$K$20)*O39)</f>
        <v>0.333333333333333</v>
      </c>
      <c r="N40" s="21" t="n">
        <f aca="false">(M39*$J$18+N39*$J$19+O39*$J$20)/(($I$18+$J$18+$K$18)*M39+($I$19+$J$19+$K$19)*N39+($I$20+$J$20+$K$20)*O39)</f>
        <v>0.333333333333333</v>
      </c>
      <c r="O40" s="21" t="n">
        <f aca="false">(M39*$K$18+N39*$K$19+O39*$K$20)/(($I$18+$J$18+$K$18)*M39+($I$19+$J$19+$K$19)*N39+($I$20+$J$20+$K$20)*O39)</f>
        <v>0.333333333333333</v>
      </c>
    </row>
    <row r="41" customFormat="false" ht="15" hidden="false" customHeight="false" outlineLevel="0" collapsed="false">
      <c r="A41" s="11" t="n">
        <v>21</v>
      </c>
      <c r="B41" s="23" t="n">
        <f aca="false">A_keep*B40+C_pass*D40</f>
        <v>0.000792802984733498</v>
      </c>
      <c r="C41" s="23" t="n">
        <f aca="false">C_pass*B40+A_keep*C40</f>
        <v>0.000792789558545337</v>
      </c>
      <c r="D41" s="23" t="n">
        <f aca="false">C_pass*C40+A_keep*D40</f>
        <v>0.00079281641092166</v>
      </c>
      <c r="E41" s="23" t="n">
        <f aca="false">SUM(B41:D41)</f>
        <v>0.0023784089542005</v>
      </c>
      <c r="F41" s="23" t="n">
        <f aca="false">F40+E41</f>
        <v>3.9928647731374</v>
      </c>
      <c r="H41" s="11" t="n">
        <v>18</v>
      </c>
      <c r="I41" s="21" t="n">
        <f aca="false">($I$18*I40+$J$18*J40+$K$18*K40)/(($I$18+$I$19+$I$20)*I40+($J$18+$J$19+$J$20)*J40+($K$18+$K$19+$K$20)*K40)</f>
        <v>0.333333333333333</v>
      </c>
      <c r="J41" s="21" t="n">
        <f aca="false">($I$19*I40+$J$19*J40+$K$19*K40)/(($I$18+$I$19+$I$20)*I40+($J$18+$J$19+$J$20)*J40+($K$18+$K$19+$K$20)*K40)</f>
        <v>0.333333333333333</v>
      </c>
      <c r="K41" s="21" t="n">
        <f aca="false">($I$20*I40+$J$20*J40+$K$20*K40)/(($I$18+$I$19+$I$20)*I40+($J$18+$J$19+$J$20)*J40+($K$18+$K$19+$K$20)*K40)</f>
        <v>0.333333333333333</v>
      </c>
      <c r="L41" s="21" t="n">
        <f aca="false">($I$18+$I$19+$I$20)*I41+($J$18+$J$19+$J$20)*J41+($K$18+$K$19+$K$20)*K41</f>
        <v>0.75</v>
      </c>
      <c r="M41" s="21" t="n">
        <f aca="false">(M40*$I$18+N40*$I$19+O40*$I$20)/(($I$18+$J$18+$K$18)*M40+($I$19+$J$19+$K$19)*N40+($I$20+$J$20+$K$20)*O40)</f>
        <v>0.333333333333333</v>
      </c>
      <c r="N41" s="21" t="n">
        <f aca="false">(M40*$J$18+N40*$J$19+O40*$J$20)/(($I$18+$J$18+$K$18)*M40+($I$19+$J$19+$K$19)*N40+($I$20+$J$20+$K$20)*O40)</f>
        <v>0.333333333333333</v>
      </c>
      <c r="O41" s="21" t="n">
        <f aca="false">(M40*$K$18+N40*$K$19+O40*$K$20)/(($I$18+$J$18+$K$18)*M40+($I$19+$J$19+$K$19)*N40+($I$20+$J$20+$K$20)*O40)</f>
        <v>0.333333333333333</v>
      </c>
    </row>
    <row r="42" customFormat="false" ht="15" hidden="false" customHeight="false" outlineLevel="0" collapsed="false">
      <c r="A42" s="11" t="n">
        <v>22</v>
      </c>
      <c r="B42" s="23" t="n">
        <f aca="false">A_keep*B41+C_pass*D41</f>
        <v>0.000594605595097164</v>
      </c>
      <c r="C42" s="23" t="n">
        <f aca="false">C_pass*B41+A_keep*C41</f>
        <v>0.000594595525456043</v>
      </c>
      <c r="D42" s="23" t="n">
        <f aca="false">C_pass*C41+A_keep*D41</f>
        <v>0.000594605595097164</v>
      </c>
      <c r="E42" s="23" t="n">
        <f aca="false">SUM(B42:D42)</f>
        <v>0.00178380671565037</v>
      </c>
      <c r="F42" s="23" t="n">
        <f aca="false">F41+E42</f>
        <v>3.99464857985305</v>
      </c>
      <c r="H42" s="11" t="n">
        <v>19</v>
      </c>
      <c r="I42" s="21" t="n">
        <f aca="false">($I$18*I41+$J$18*J41+$K$18*K41)/(($I$18+$I$19+$I$20)*I41+($J$18+$J$19+$J$20)*J41+($K$18+$K$19+$K$20)*K41)</f>
        <v>0.333333333333333</v>
      </c>
      <c r="J42" s="21" t="n">
        <f aca="false">($I$19*I41+$J$19*J41+$K$19*K41)/(($I$18+$I$19+$I$20)*I41+($J$18+$J$19+$J$20)*J41+($K$18+$K$19+$K$20)*K41)</f>
        <v>0.333333333333333</v>
      </c>
      <c r="K42" s="21" t="n">
        <f aca="false">($I$20*I41+$J$20*J41+$K$20*K41)/(($I$18+$I$19+$I$20)*I41+($J$18+$J$19+$J$20)*J41+($K$18+$K$19+$K$20)*K41)</f>
        <v>0.333333333333333</v>
      </c>
      <c r="L42" s="21" t="n">
        <f aca="false">($I$18+$I$19+$I$20)*I42+($J$18+$J$19+$J$20)*J42+($K$18+$K$19+$K$20)*K42</f>
        <v>0.75</v>
      </c>
      <c r="M42" s="21" t="n">
        <f aca="false">(M41*$I$18+N41*$I$19+O41*$I$20)/(($I$18+$J$18+$K$18)*M41+($I$19+$J$19+$K$19)*N41+($I$20+$J$20+$K$20)*O41)</f>
        <v>0.333333333333333</v>
      </c>
      <c r="N42" s="21" t="n">
        <f aca="false">(M41*$J$18+N41*$J$19+O41*$J$20)/(($I$18+$J$18+$K$18)*M41+($I$19+$J$19+$K$19)*N41+($I$20+$J$20+$K$20)*O41)</f>
        <v>0.333333333333333</v>
      </c>
      <c r="O42" s="21" t="n">
        <f aca="false">(M41*$K$18+N41*$K$19+O41*$K$20)/(($I$18+$J$18+$K$18)*M41+($I$19+$J$19+$K$19)*N41+($I$20+$J$20+$K$20)*O41)</f>
        <v>0.333333333333333</v>
      </c>
    </row>
    <row r="43" customFormat="false" ht="15" hidden="false" customHeight="false" outlineLevel="0" collapsed="false">
      <c r="A43" s="11" t="n">
        <v>23</v>
      </c>
      <c r="B43" s="23" t="n">
        <f aca="false">A_keep*B42+C_pass*D42</f>
        <v>0.000445954196322873</v>
      </c>
      <c r="C43" s="23" t="n">
        <f aca="false">C_pass*B42+A_keep*C42</f>
        <v>0.000445949161502313</v>
      </c>
      <c r="D43" s="23" t="n">
        <f aca="false">C_pass*C42+A_keep*D42</f>
        <v>0.000445951678912593</v>
      </c>
      <c r="E43" s="23" t="n">
        <f aca="false">SUM(B43:D43)</f>
        <v>0.00133785503673778</v>
      </c>
      <c r="F43" s="23" t="n">
        <f aca="false">F42+E43</f>
        <v>3.99598643488979</v>
      </c>
      <c r="H43" s="11" t="n">
        <v>20</v>
      </c>
      <c r="I43" s="21" t="n">
        <f aca="false">($I$18*I42+$J$18*J42+$K$18*K42)/(($I$18+$I$19+$I$20)*I42+($J$18+$J$19+$J$20)*J42+($K$18+$K$19+$K$20)*K42)</f>
        <v>0.333333333333333</v>
      </c>
      <c r="J43" s="21" t="n">
        <f aca="false">($I$19*I42+$J$19*J42+$K$19*K42)/(($I$18+$I$19+$I$20)*I42+($J$18+$J$19+$J$20)*J42+($K$18+$K$19+$K$20)*K42)</f>
        <v>0.333333333333333</v>
      </c>
      <c r="K43" s="21" t="n">
        <f aca="false">($I$20*I42+$J$20*J42+$K$20*K42)/(($I$18+$I$19+$I$20)*I42+($J$18+$J$19+$J$20)*J42+($K$18+$K$19+$K$20)*K42)</f>
        <v>0.333333333333333</v>
      </c>
      <c r="L43" s="21" t="n">
        <f aca="false">($I$18+$I$19+$I$20)*I43+($J$18+$J$19+$J$20)*J43+($K$18+$K$19+$K$20)*K43</f>
        <v>0.75</v>
      </c>
      <c r="M43" s="21" t="n">
        <f aca="false">(M42*$I$18+N42*$I$19+O42*$I$20)/(($I$18+$J$18+$K$18)*M42+($I$19+$J$19+$K$19)*N42+($I$20+$J$20+$K$20)*O42)</f>
        <v>0.333333333333333</v>
      </c>
      <c r="N43" s="21" t="n">
        <f aca="false">(M42*$J$18+N42*$J$19+O42*$J$20)/(($I$18+$J$18+$K$18)*M42+($I$19+$J$19+$K$19)*N42+($I$20+$J$20+$K$20)*O42)</f>
        <v>0.333333333333333</v>
      </c>
      <c r="O43" s="21" t="n">
        <f aca="false">(M42*$K$18+N42*$K$19+O42*$K$20)/(($I$18+$J$18+$K$18)*M42+($I$19+$J$19+$K$19)*N42+($I$20+$J$20+$K$20)*O42)</f>
        <v>0.333333333333333</v>
      </c>
    </row>
    <row r="44" customFormat="false" ht="15" hidden="false" customHeight="false" outlineLevel="0" collapsed="false">
      <c r="A44" s="11" t="n">
        <v>24</v>
      </c>
      <c r="B44" s="23" t="n">
        <f aca="false">A_keep*B43+C_pass*D43</f>
        <v>0.000334465017889585</v>
      </c>
      <c r="C44" s="23" t="n">
        <f aca="false">C_pass*B43+A_keep*C43</f>
        <v>0.000334463129831875</v>
      </c>
      <c r="D44" s="23" t="n">
        <f aca="false">C_pass*C43+A_keep*D43</f>
        <v>0.000334463129831875</v>
      </c>
      <c r="E44" s="23" t="n">
        <f aca="false">SUM(B44:D44)</f>
        <v>0.00100339127755333</v>
      </c>
      <c r="F44" s="23" t="n">
        <f aca="false">F43+E44</f>
        <v>3.99698982616734</v>
      </c>
      <c r="H44" s="11" t="n">
        <v>21</v>
      </c>
      <c r="I44" s="21" t="n">
        <f aca="false">($I$18*I43+$J$18*J43+$K$18*K43)/(($I$18+$I$19+$I$20)*I43+($J$18+$J$19+$J$20)*J43+($K$18+$K$19+$K$20)*K43)</f>
        <v>0.333333333333333</v>
      </c>
      <c r="J44" s="21" t="n">
        <f aca="false">($I$19*I43+$J$19*J43+$K$19*K43)/(($I$18+$I$19+$I$20)*I43+($J$18+$J$19+$J$20)*J43+($K$18+$K$19+$K$20)*K43)</f>
        <v>0.333333333333333</v>
      </c>
      <c r="K44" s="21" t="n">
        <f aca="false">($I$20*I43+$J$20*J43+$K$20*K43)/(($I$18+$I$19+$I$20)*I43+($J$18+$J$19+$J$20)*J43+($K$18+$K$19+$K$20)*K43)</f>
        <v>0.333333333333333</v>
      </c>
      <c r="L44" s="21" t="n">
        <f aca="false">($I$18+$I$19+$I$20)*I44+($J$18+$J$19+$J$20)*J44+($K$18+$K$19+$K$20)*K44</f>
        <v>0.75</v>
      </c>
      <c r="M44" s="21" t="n">
        <f aca="false">(M43*$I$18+N43*$I$19+O43*$I$20)/(($I$18+$J$18+$K$18)*M43+($I$19+$J$19+$K$19)*N43+($I$20+$J$20+$K$20)*O43)</f>
        <v>0.333333333333333</v>
      </c>
      <c r="N44" s="21" t="n">
        <f aca="false">(M43*$J$18+N43*$J$19+O43*$J$20)/(($I$18+$J$18+$K$18)*M43+($I$19+$J$19+$K$19)*N43+($I$20+$J$20+$K$20)*O43)</f>
        <v>0.333333333333333</v>
      </c>
      <c r="O44" s="21" t="n">
        <f aca="false">(M43*$K$18+N43*$K$19+O43*$K$20)/(($I$18+$J$18+$K$18)*M43+($I$19+$J$19+$K$19)*N43+($I$20+$J$20+$K$20)*O43)</f>
        <v>0.333333333333333</v>
      </c>
    </row>
    <row r="45" customFormat="false" ht="15" hidden="false" customHeight="false" outlineLevel="0" collapsed="false">
      <c r="A45" s="11" t="n">
        <v>25</v>
      </c>
      <c r="B45" s="23" t="n">
        <f aca="false">A_keep*B44+C_pass*D44</f>
        <v>0.000250848291402761</v>
      </c>
      <c r="C45" s="23" t="n">
        <f aca="false">C_pass*B44+A_keep*C44</f>
        <v>0.000250847819388333</v>
      </c>
      <c r="D45" s="23" t="n">
        <f aca="false">C_pass*C44+A_keep*D44</f>
        <v>0.000250847347373906</v>
      </c>
      <c r="E45" s="23" t="n">
        <f aca="false">SUM(B45:D45)</f>
        <v>0.000752543458165</v>
      </c>
      <c r="F45" s="23" t="n">
        <f aca="false">F44+E45</f>
        <v>3.99774236962551</v>
      </c>
      <c r="H45" s="11" t="n">
        <v>22</v>
      </c>
      <c r="I45" s="21" t="n">
        <f aca="false">($I$18*I44+$J$18*J44+$K$18*K44)/(($I$18+$I$19+$I$20)*I44+($J$18+$J$19+$J$20)*J44+($K$18+$K$19+$K$20)*K44)</f>
        <v>0.333333333333333</v>
      </c>
      <c r="J45" s="21" t="n">
        <f aca="false">($I$19*I44+$J$19*J44+$K$19*K44)/(($I$18+$I$19+$I$20)*I44+($J$18+$J$19+$J$20)*J44+($K$18+$K$19+$K$20)*K44)</f>
        <v>0.333333333333333</v>
      </c>
      <c r="K45" s="21" t="n">
        <f aca="false">($I$20*I44+$J$20*J44+$K$20*K44)/(($I$18+$I$19+$I$20)*I44+($J$18+$J$19+$J$20)*J44+($K$18+$K$19+$K$20)*K44)</f>
        <v>0.333333333333333</v>
      </c>
      <c r="L45" s="21" t="n">
        <f aca="false">($I$18+$I$19+$I$20)*I45+($J$18+$J$19+$J$20)*J45+($K$18+$K$19+$K$20)*K45</f>
        <v>0.75</v>
      </c>
      <c r="M45" s="21" t="n">
        <f aca="false">(M44*$I$18+N44*$I$19+O44*$I$20)/(($I$18+$J$18+$K$18)*M44+($I$19+$J$19+$K$19)*N44+($I$20+$J$20+$K$20)*O44)</f>
        <v>0.333333333333333</v>
      </c>
      <c r="N45" s="21" t="n">
        <f aca="false">(M44*$J$18+N44*$J$19+O44*$J$20)/(($I$18+$J$18+$K$18)*M44+($I$19+$J$19+$K$19)*N44+($I$20+$J$20+$K$20)*O44)</f>
        <v>0.333333333333333</v>
      </c>
      <c r="O45" s="21" t="n">
        <f aca="false">(M44*$K$18+N44*$K$19+O44*$K$20)/(($I$18+$J$18+$K$18)*M44+($I$19+$J$19+$K$19)*N44+($I$20+$J$20+$K$20)*O44)</f>
        <v>0.333333333333333</v>
      </c>
    </row>
    <row r="46" customFormat="false" ht="15" hidden="false" customHeight="false" outlineLevel="0" collapsed="false">
      <c r="A46" s="11" t="n">
        <v>26</v>
      </c>
      <c r="B46" s="23" t="n">
        <f aca="false">A_keep*B45+C_pass*D45</f>
        <v>0.000188135982544857</v>
      </c>
      <c r="C46" s="23" t="n">
        <f aca="false">C_pass*B45+A_keep*C45</f>
        <v>0.000188135982544857</v>
      </c>
      <c r="D46" s="23" t="n">
        <f aca="false">C_pass*C45+A_keep*D45</f>
        <v>0.000188135628534036</v>
      </c>
      <c r="E46" s="23" t="n">
        <f aca="false">SUM(B46:D46)</f>
        <v>0.00056440759362375</v>
      </c>
      <c r="F46" s="23" t="n">
        <f aca="false">F45+E46</f>
        <v>3.99830677721913</v>
      </c>
      <c r="H46" s="11" t="n">
        <v>23</v>
      </c>
      <c r="I46" s="21" t="n">
        <f aca="false">($I$18*I45+$J$18*J45+$K$18*K45)/(($I$18+$I$19+$I$20)*I45+($J$18+$J$19+$J$20)*J45+($K$18+$K$19+$K$20)*K45)</f>
        <v>0.333333333333333</v>
      </c>
      <c r="J46" s="21" t="n">
        <f aca="false">($I$19*I45+$J$19*J45+$K$19*K45)/(($I$18+$I$19+$I$20)*I45+($J$18+$J$19+$J$20)*J45+($K$18+$K$19+$K$20)*K45)</f>
        <v>0.333333333333333</v>
      </c>
      <c r="K46" s="21" t="n">
        <f aca="false">($I$20*I45+$J$20*J45+$K$20*K45)/(($I$18+$I$19+$I$20)*I45+($J$18+$J$19+$J$20)*J45+($K$18+$K$19+$K$20)*K45)</f>
        <v>0.333333333333333</v>
      </c>
      <c r="L46" s="21" t="n">
        <f aca="false">($I$18+$I$19+$I$20)*I46+($J$18+$J$19+$J$20)*J46+($K$18+$K$19+$K$20)*K46</f>
        <v>0.75</v>
      </c>
      <c r="M46" s="21" t="n">
        <f aca="false">(M45*$I$18+N45*$I$19+O45*$I$20)/(($I$18+$J$18+$K$18)*M45+($I$19+$J$19+$K$19)*N45+($I$20+$J$20+$K$20)*O45)</f>
        <v>0.333333333333333</v>
      </c>
      <c r="N46" s="21" t="n">
        <f aca="false">(M45*$J$18+N45*$J$19+O45*$J$20)/(($I$18+$J$18+$K$18)*M45+($I$19+$J$19+$K$19)*N45+($I$20+$J$20+$K$20)*O45)</f>
        <v>0.333333333333333</v>
      </c>
      <c r="O46" s="21" t="n">
        <f aca="false">(M45*$K$18+N45*$K$19+O45*$K$20)/(($I$18+$J$18+$K$18)*M45+($I$19+$J$19+$K$19)*N45+($I$20+$J$20+$K$20)*O45)</f>
        <v>0.333333333333333</v>
      </c>
    </row>
    <row r="47" customFormat="false" ht="15" hidden="false" customHeight="false" outlineLevel="0" collapsed="false">
      <c r="A47" s="11" t="n">
        <v>27</v>
      </c>
      <c r="B47" s="23" t="n">
        <f aca="false">A_keep*B46+C_pass*D46</f>
        <v>0.000141101898405938</v>
      </c>
      <c r="C47" s="23" t="n">
        <f aca="false">C_pass*B46+A_keep*C46</f>
        <v>0.000141101986908643</v>
      </c>
      <c r="D47" s="23" t="n">
        <f aca="false">C_pass*C46+A_keep*D46</f>
        <v>0.000141101809903232</v>
      </c>
      <c r="E47" s="23" t="n">
        <f aca="false">SUM(B47:D47)</f>
        <v>0.000423305695217813</v>
      </c>
      <c r="F47" s="23" t="n">
        <f aca="false">F46+E47</f>
        <v>3.99873008291435</v>
      </c>
      <c r="H47" s="11" t="n">
        <v>24</v>
      </c>
      <c r="I47" s="21" t="n">
        <f aca="false">($I$18*I46+$J$18*J46+$K$18*K46)/(($I$18+$I$19+$I$20)*I46+($J$18+$J$19+$J$20)*J46+($K$18+$K$19+$K$20)*K46)</f>
        <v>0.333333333333333</v>
      </c>
      <c r="J47" s="21" t="n">
        <f aca="false">($I$19*I46+$J$19*J46+$K$19*K46)/(($I$18+$I$19+$I$20)*I46+($J$18+$J$19+$J$20)*J46+($K$18+$K$19+$K$20)*K46)</f>
        <v>0.333333333333333</v>
      </c>
      <c r="K47" s="21" t="n">
        <f aca="false">($I$20*I46+$J$20*J46+$K$20*K46)/(($I$18+$I$19+$I$20)*I46+($J$18+$J$19+$J$20)*J46+($K$18+$K$19+$K$20)*K46)</f>
        <v>0.333333333333333</v>
      </c>
      <c r="L47" s="21" t="n">
        <f aca="false">($I$18+$I$19+$I$20)*I47+($J$18+$J$19+$J$20)*J47+($K$18+$K$19+$K$20)*K47</f>
        <v>0.75</v>
      </c>
      <c r="M47" s="21" t="n">
        <f aca="false">(M46*$I$18+N46*$I$19+O46*$I$20)/(($I$18+$J$18+$K$18)*M46+($I$19+$J$19+$K$19)*N46+($I$20+$J$20+$K$20)*O46)</f>
        <v>0.333333333333333</v>
      </c>
      <c r="N47" s="21" t="n">
        <f aca="false">(M46*$J$18+N46*$J$19+O46*$J$20)/(($I$18+$J$18+$K$18)*M46+($I$19+$J$19+$K$19)*N46+($I$20+$J$20+$K$20)*O46)</f>
        <v>0.333333333333333</v>
      </c>
      <c r="O47" s="21" t="n">
        <f aca="false">(M46*$K$18+N46*$K$19+O46*$K$20)/(($I$18+$J$18+$K$18)*M46+($I$19+$J$19+$K$19)*N46+($I$20+$J$20+$K$20)*O46)</f>
        <v>0.333333333333333</v>
      </c>
    </row>
    <row r="48" customFormat="false" ht="15" hidden="false" customHeight="false" outlineLevel="0" collapsed="false">
      <c r="A48" s="11" t="n">
        <v>28</v>
      </c>
      <c r="B48" s="23" t="n">
        <f aca="false">A_keep*B47+C_pass*D47</f>
        <v>0.000105826401678777</v>
      </c>
      <c r="C48" s="23" t="n">
        <f aca="false">C_pass*B47+A_keep*C47</f>
        <v>0.000105826468055806</v>
      </c>
      <c r="D48" s="23" t="n">
        <f aca="false">C_pass*C47+A_keep*D47</f>
        <v>0.000105826401678777</v>
      </c>
      <c r="E48" s="23" t="n">
        <f aca="false">SUM(B48:D48)</f>
        <v>0.00031747927141336</v>
      </c>
      <c r="F48" s="23" t="n">
        <f aca="false">F47+E48</f>
        <v>3.99904756218576</v>
      </c>
      <c r="H48" s="11" t="n">
        <v>25</v>
      </c>
      <c r="I48" s="21" t="n">
        <f aca="false">($I$18*I47+$J$18*J47+$K$18*K47)/(($I$18+$I$19+$I$20)*I47+($J$18+$J$19+$J$20)*J47+($K$18+$K$19+$K$20)*K47)</f>
        <v>0.333333333333333</v>
      </c>
      <c r="J48" s="21" t="n">
        <f aca="false">($I$19*I47+$J$19*J47+$K$19*K47)/(($I$18+$I$19+$I$20)*I47+($J$18+$J$19+$J$20)*J47+($K$18+$K$19+$K$20)*K47)</f>
        <v>0.333333333333333</v>
      </c>
      <c r="K48" s="21" t="n">
        <f aca="false">($I$20*I47+$J$20*J47+$K$20*K47)/(($I$18+$I$19+$I$20)*I47+($J$18+$J$19+$J$20)*J47+($K$18+$K$19+$K$20)*K47)</f>
        <v>0.333333333333333</v>
      </c>
      <c r="L48" s="21" t="n">
        <f aca="false">($I$18+$I$19+$I$20)*I48+($J$18+$J$19+$J$20)*J48+($K$18+$K$19+$K$20)*K48</f>
        <v>0.75</v>
      </c>
      <c r="M48" s="21" t="n">
        <f aca="false">(M47*$I$18+N47*$I$19+O47*$I$20)/(($I$18+$J$18+$K$18)*M47+($I$19+$J$19+$K$19)*N47+($I$20+$J$20+$K$20)*O47)</f>
        <v>0.333333333333333</v>
      </c>
      <c r="N48" s="21" t="n">
        <f aca="false">(M47*$J$18+N47*$J$19+O47*$J$20)/(($I$18+$J$18+$K$18)*M47+($I$19+$J$19+$K$19)*N47+($I$20+$J$20+$K$20)*O47)</f>
        <v>0.333333333333333</v>
      </c>
      <c r="O48" s="21" t="n">
        <f aca="false">(M47*$K$18+N47*$K$19+O47*$K$20)/(($I$18+$J$18+$K$18)*M47+($I$19+$J$19+$K$19)*N47+($I$20+$J$20+$K$20)*O47)</f>
        <v>0.333333333333333</v>
      </c>
    </row>
    <row r="49" customFormat="false" ht="15" hidden="false" customHeight="false" outlineLevel="0" collapsed="false">
      <c r="A49" s="11" t="n">
        <v>29</v>
      </c>
      <c r="B49" s="23" t="n">
        <f aca="false">A_keep*B48+C_pass*D48</f>
        <v>7.93698012590827E-005</v>
      </c>
      <c r="C49" s="23" t="n">
        <f aca="false">C_pass*B48+A_keep*C48</f>
        <v>7.93698344475971E-005</v>
      </c>
      <c r="D49" s="23" t="n">
        <f aca="false">C_pass*C48+A_keep*D48</f>
        <v>7.93698178533399E-005</v>
      </c>
      <c r="E49" s="23" t="n">
        <f aca="false">SUM(B49:D49)</f>
        <v>0.00023810945356002</v>
      </c>
      <c r="F49" s="23" t="n">
        <f aca="false">F48+E49</f>
        <v>3.99928567163932</v>
      </c>
      <c r="H49" s="11" t="n">
        <v>26</v>
      </c>
      <c r="I49" s="21" t="n">
        <f aca="false">($I$18*I48+$J$18*J48+$K$18*K48)/(($I$18+$I$19+$I$20)*I48+($J$18+$J$19+$J$20)*J48+($K$18+$K$19+$K$20)*K48)</f>
        <v>0.333333333333333</v>
      </c>
      <c r="J49" s="21" t="n">
        <f aca="false">($I$19*I48+$J$19*J48+$K$19*K48)/(($I$18+$I$19+$I$20)*I48+($J$18+$J$19+$J$20)*J48+($K$18+$K$19+$K$20)*K48)</f>
        <v>0.333333333333333</v>
      </c>
      <c r="K49" s="21" t="n">
        <f aca="false">($I$20*I48+$J$20*J48+$K$20*K48)/(($I$18+$I$19+$I$20)*I48+($J$18+$J$19+$J$20)*J48+($K$18+$K$19+$K$20)*K48)</f>
        <v>0.333333333333333</v>
      </c>
      <c r="L49" s="21" t="n">
        <f aca="false">($I$18+$I$19+$I$20)*I49+($J$18+$J$19+$J$20)*J49+($K$18+$K$19+$K$20)*K49</f>
        <v>0.75</v>
      </c>
      <c r="M49" s="21" t="n">
        <f aca="false">(M48*$I$18+N48*$I$19+O48*$I$20)/(($I$18+$J$18+$K$18)*M48+($I$19+$J$19+$K$19)*N48+($I$20+$J$20+$K$20)*O48)</f>
        <v>0.333333333333333</v>
      </c>
      <c r="N49" s="21" t="n">
        <f aca="false">(M48*$J$18+N48*$J$19+O48*$J$20)/(($I$18+$J$18+$K$18)*M48+($I$19+$J$19+$K$19)*N48+($I$20+$J$20+$K$20)*O48)</f>
        <v>0.333333333333333</v>
      </c>
      <c r="O49" s="21" t="n">
        <f aca="false">(M48*$K$18+N48*$K$19+O48*$K$20)/(($I$18+$J$18+$K$18)*M48+($I$19+$J$19+$K$19)*N48+($I$20+$J$20+$K$20)*O48)</f>
        <v>0.333333333333333</v>
      </c>
    </row>
    <row r="50" customFormat="false" ht="15" hidden="false" customHeight="false" outlineLevel="0" collapsed="false">
      <c r="A50" s="11" t="n">
        <v>30</v>
      </c>
      <c r="B50" s="23" t="n">
        <f aca="false">A_keep*B49+C_pass*D49</f>
        <v>5.95273550928763E-005</v>
      </c>
      <c r="C50" s="23" t="n">
        <f aca="false">C_pass*B49+A_keep*C49</f>
        <v>5.95273675385692E-005</v>
      </c>
      <c r="D50" s="23" t="n">
        <f aca="false">C_pass*C49+A_keep*D49</f>
        <v>5.95273675385692E-005</v>
      </c>
      <c r="E50" s="23" t="n">
        <f aca="false">SUM(B50:D50)</f>
        <v>0.000178582090170015</v>
      </c>
      <c r="F50" s="23" t="n">
        <f aca="false">F49+E50</f>
        <v>3.99946425372949</v>
      </c>
      <c r="H50" s="11" t="n">
        <v>27</v>
      </c>
      <c r="I50" s="21" t="n">
        <f aca="false">($I$18*I49+$J$18*J49+$K$18*K49)/(($I$18+$I$19+$I$20)*I49+($J$18+$J$19+$J$20)*J49+($K$18+$K$19+$K$20)*K49)</f>
        <v>0.333333333333333</v>
      </c>
      <c r="J50" s="21" t="n">
        <f aca="false">($I$19*I49+$J$19*J49+$K$19*K49)/(($I$18+$I$19+$I$20)*I49+($J$18+$J$19+$J$20)*J49+($K$18+$K$19+$K$20)*K49)</f>
        <v>0.333333333333333</v>
      </c>
      <c r="K50" s="21" t="n">
        <f aca="false">($I$20*I49+$J$20*J49+$K$20*K49)/(($I$18+$I$19+$I$20)*I49+($J$18+$J$19+$J$20)*J49+($K$18+$K$19+$K$20)*K49)</f>
        <v>0.333333333333333</v>
      </c>
      <c r="L50" s="21" t="n">
        <f aca="false">($I$18+$I$19+$I$20)*I50+($J$18+$J$19+$J$20)*J50+($K$18+$K$19+$K$20)*K50</f>
        <v>0.75</v>
      </c>
      <c r="M50" s="21" t="n">
        <f aca="false">(M49*$I$18+N49*$I$19+O49*$I$20)/(($I$18+$J$18+$K$18)*M49+($I$19+$J$19+$K$19)*N49+($I$20+$J$20+$K$20)*O49)</f>
        <v>0.333333333333333</v>
      </c>
      <c r="N50" s="21" t="n">
        <f aca="false">(M49*$J$18+N49*$J$19+O49*$J$20)/(($I$18+$J$18+$K$18)*M49+($I$19+$J$19+$K$19)*N49+($I$20+$J$20+$K$20)*O49)</f>
        <v>0.333333333333333</v>
      </c>
      <c r="O50" s="21" t="n">
        <f aca="false">(M49*$K$18+N49*$K$19+O49*$K$20)/(($I$18+$J$18+$K$18)*M49+($I$19+$J$19+$K$19)*N49+($I$20+$J$20+$K$20)*O49)</f>
        <v>0.333333333333333</v>
      </c>
    </row>
    <row r="51" customFormat="false" ht="15" hidden="false" customHeight="false" outlineLevel="0" collapsed="false">
      <c r="A51" s="11" t="n">
        <v>31</v>
      </c>
      <c r="B51" s="23" t="n">
        <f aca="false">A_keep*B50+C_pass*D50</f>
        <v>4.46455194310805E-005</v>
      </c>
      <c r="C51" s="23" t="n">
        <f aca="false">C_pass*B50+A_keep*C50</f>
        <v>4.46455225425037E-005</v>
      </c>
      <c r="D51" s="23" t="n">
        <f aca="false">C_pass*C50+A_keep*D50</f>
        <v>4.46455256539269E-005</v>
      </c>
      <c r="E51" s="23" t="n">
        <f aca="false">SUM(B51:D51)</f>
        <v>0.000133936567627511</v>
      </c>
      <c r="F51" s="23" t="n">
        <f aca="false">F50+E51</f>
        <v>3.99959819029712</v>
      </c>
      <c r="H51" s="11" t="n">
        <v>28</v>
      </c>
      <c r="I51" s="21" t="n">
        <f aca="false">($I$18*I50+$J$18*J50+$K$18*K50)/(($I$18+$I$19+$I$20)*I50+($J$18+$J$19+$J$20)*J50+($K$18+$K$19+$K$20)*K50)</f>
        <v>0.333333333333333</v>
      </c>
      <c r="J51" s="21" t="n">
        <f aca="false">($I$19*I50+$J$19*J50+$K$19*K50)/(($I$18+$I$19+$I$20)*I50+($J$18+$J$19+$J$20)*J50+($K$18+$K$19+$K$20)*K50)</f>
        <v>0.333333333333333</v>
      </c>
      <c r="K51" s="21" t="n">
        <f aca="false">($I$20*I50+$J$20*J50+$K$20*K50)/(($I$18+$I$19+$I$20)*I50+($J$18+$J$19+$J$20)*J50+($K$18+$K$19+$K$20)*K50)</f>
        <v>0.333333333333333</v>
      </c>
      <c r="L51" s="21" t="n">
        <f aca="false">($I$18+$I$19+$I$20)*I51+($J$18+$J$19+$J$20)*J51+($K$18+$K$19+$K$20)*K51</f>
        <v>0.75</v>
      </c>
      <c r="M51" s="21" t="n">
        <f aca="false">(M50*$I$18+N50*$I$19+O50*$I$20)/(($I$18+$J$18+$K$18)*M50+($I$19+$J$19+$K$19)*N50+($I$20+$J$20+$K$20)*O50)</f>
        <v>0.333333333333333</v>
      </c>
      <c r="N51" s="21" t="n">
        <f aca="false">(M50*$J$18+N50*$J$19+O50*$J$20)/(($I$18+$J$18+$K$18)*M50+($I$19+$J$19+$K$19)*N50+($I$20+$J$20+$K$20)*O50)</f>
        <v>0.333333333333333</v>
      </c>
      <c r="O51" s="21" t="n">
        <f aca="false">(M50*$K$18+N50*$K$19+O50*$K$20)/(($I$18+$J$18+$K$18)*M50+($I$19+$J$19+$K$19)*N50+($I$20+$J$20+$K$20)*O50)</f>
        <v>0.333333333333333</v>
      </c>
    </row>
    <row r="52" customFormat="false" ht="15" hidden="false" customHeight="false" outlineLevel="0" collapsed="false">
      <c r="A52" s="11" t="n">
        <v>32</v>
      </c>
      <c r="B52" s="23" t="n">
        <f aca="false">A_keep*B51+C_pass*D51</f>
        <v>3.3484141129022E-005</v>
      </c>
      <c r="C52" s="23" t="n">
        <f aca="false">C_pass*B51+A_keep*C51</f>
        <v>3.3484141129022E-005</v>
      </c>
      <c r="D52" s="23" t="n">
        <f aca="false">C_pass*C51+A_keep*D51</f>
        <v>3.34841434625894E-005</v>
      </c>
      <c r="E52" s="23" t="n">
        <f aca="false">SUM(B52:D52)</f>
        <v>0.000100452425720633</v>
      </c>
      <c r="F52" s="23" t="n">
        <f aca="false">F51+E52</f>
        <v>3.99969864272284</v>
      </c>
      <c r="H52" s="11" t="n">
        <v>29</v>
      </c>
      <c r="I52" s="21" t="n">
        <f aca="false">($I$18*I51+$J$18*J51+$K$18*K51)/(($I$18+$I$19+$I$20)*I51+($J$18+$J$19+$J$20)*J51+($K$18+$K$19+$K$20)*K51)</f>
        <v>0.333333333333333</v>
      </c>
      <c r="J52" s="21" t="n">
        <f aca="false">($I$19*I51+$J$19*J51+$K$19*K51)/(($I$18+$I$19+$I$20)*I51+($J$18+$J$19+$J$20)*J51+($K$18+$K$19+$K$20)*K51)</f>
        <v>0.333333333333333</v>
      </c>
      <c r="K52" s="21" t="n">
        <f aca="false">($I$20*I51+$J$20*J51+$K$20*K51)/(($I$18+$I$19+$I$20)*I51+($J$18+$J$19+$J$20)*J51+($K$18+$K$19+$K$20)*K51)</f>
        <v>0.333333333333333</v>
      </c>
      <c r="L52" s="21" t="n">
        <f aca="false">($I$18+$I$19+$I$20)*I52+($J$18+$J$19+$J$20)*J52+($K$18+$K$19+$K$20)*K52</f>
        <v>0.75</v>
      </c>
      <c r="M52" s="21" t="n">
        <f aca="false">(M51*$I$18+N51*$I$19+O51*$I$20)/(($I$18+$J$18+$K$18)*M51+($I$19+$J$19+$K$19)*N51+($I$20+$J$20+$K$20)*O51)</f>
        <v>0.333333333333333</v>
      </c>
      <c r="N52" s="21" t="n">
        <f aca="false">(M51*$J$18+N51*$J$19+O51*$J$20)/(($I$18+$J$18+$K$18)*M51+($I$19+$J$19+$K$19)*N51+($I$20+$J$20+$K$20)*O51)</f>
        <v>0.333333333333333</v>
      </c>
      <c r="O52" s="21" t="n">
        <f aca="false">(M51*$K$18+N51*$K$19+O51*$K$20)/(($I$18+$J$18+$K$18)*M51+($I$19+$J$19+$K$19)*N51+($I$20+$J$20+$K$20)*O51)</f>
        <v>0.333333333333333</v>
      </c>
    </row>
    <row r="53" customFormat="false" ht="15" hidden="false" customHeight="false" outlineLevel="0" collapsed="false">
      <c r="A53" s="11" t="n">
        <v>33</v>
      </c>
      <c r="B53" s="23" t="n">
        <f aca="false">A_keep*B52+C_pass*D52</f>
        <v>2.51131064301583E-005</v>
      </c>
      <c r="C53" s="23" t="n">
        <f aca="false">C_pass*B52+A_keep*C52</f>
        <v>2.51131058467665E-005</v>
      </c>
      <c r="D53" s="23" t="n">
        <f aca="false">C_pass*C52+A_keep*D52</f>
        <v>2.51131070135502E-005</v>
      </c>
      <c r="E53" s="23" t="n">
        <f aca="false">SUM(B53:D53)</f>
        <v>7.5339319290475E-005</v>
      </c>
      <c r="F53" s="23" t="n">
        <f aca="false">F52+E53</f>
        <v>3.99977398204213</v>
      </c>
      <c r="H53" s="11" t="n">
        <v>30</v>
      </c>
      <c r="I53" s="21" t="n">
        <f aca="false">($I$18*I52+$J$18*J52+$K$18*K52)/(($I$18+$I$19+$I$20)*I52+($J$18+$J$19+$J$20)*J52+($K$18+$K$19+$K$20)*K52)</f>
        <v>0.333333333333333</v>
      </c>
      <c r="J53" s="21" t="n">
        <f aca="false">($I$19*I52+$J$19*J52+$K$19*K52)/(($I$18+$I$19+$I$20)*I52+($J$18+$J$19+$J$20)*J52+($K$18+$K$19+$K$20)*K52)</f>
        <v>0.333333333333333</v>
      </c>
      <c r="K53" s="21" t="n">
        <f aca="false">($I$20*I52+$J$20*J52+$K$20*K52)/(($I$18+$I$19+$I$20)*I52+($J$18+$J$19+$J$20)*J52+($K$18+$K$19+$K$20)*K52)</f>
        <v>0.333333333333333</v>
      </c>
      <c r="L53" s="21" t="n">
        <f aca="false">($I$18+$I$19+$I$20)*I53+($J$18+$J$19+$J$20)*J53+($K$18+$K$19+$K$20)*K53</f>
        <v>0.75</v>
      </c>
      <c r="M53" s="21" t="n">
        <f aca="false">(M52*$I$18+N52*$I$19+O52*$I$20)/(($I$18+$J$18+$K$18)*M52+($I$19+$J$19+$K$19)*N52+($I$20+$J$20+$K$20)*O52)</f>
        <v>0.333333333333333</v>
      </c>
      <c r="N53" s="21" t="n">
        <f aca="false">(M52*$J$18+N52*$J$19+O52*$J$20)/(($I$18+$J$18+$K$18)*M52+($I$19+$J$19+$K$19)*N52+($I$20+$J$20+$K$20)*O52)</f>
        <v>0.333333333333333</v>
      </c>
      <c r="O53" s="21" t="n">
        <f aca="false">(M52*$K$18+N52*$K$19+O52*$K$20)/(($I$18+$J$18+$K$18)*M52+($I$19+$J$19+$K$19)*N52+($I$20+$J$20+$K$20)*O52)</f>
        <v>0.333333333333333</v>
      </c>
    </row>
    <row r="54" customFormat="false" ht="15" hidden="false" customHeight="false" outlineLevel="0" collapsed="false">
      <c r="A54" s="11" t="n">
        <v>34</v>
      </c>
      <c r="B54" s="23" t="n">
        <f aca="false">A_keep*B53+C_pass*D53</f>
        <v>1.88348299684667E-005</v>
      </c>
      <c r="C54" s="23" t="n">
        <f aca="false">C_pass*B53+A_keep*C53</f>
        <v>1.88348295309228E-005</v>
      </c>
      <c r="D54" s="23" t="n">
        <f aca="false">C_pass*C53+A_keep*D53</f>
        <v>1.88348299684667E-005</v>
      </c>
      <c r="E54" s="23" t="n">
        <f aca="false">SUM(B54:D54)</f>
        <v>5.65044894678562E-005</v>
      </c>
      <c r="F54" s="23" t="n">
        <f aca="false">F53+E54</f>
        <v>3.9998304865316</v>
      </c>
      <c r="H54" s="11" t="n">
        <v>31</v>
      </c>
      <c r="I54" s="21" t="n">
        <f aca="false">($I$18*I53+$J$18*J53+$K$18*K53)/(($I$18+$I$19+$I$20)*I53+($J$18+$J$19+$J$20)*J53+($K$18+$K$19+$K$20)*K53)</f>
        <v>0.333333333333333</v>
      </c>
      <c r="J54" s="21" t="n">
        <f aca="false">($I$19*I53+$J$19*J53+$K$19*K53)/(($I$18+$I$19+$I$20)*I53+($J$18+$J$19+$J$20)*J53+($K$18+$K$19+$K$20)*K53)</f>
        <v>0.333333333333333</v>
      </c>
      <c r="K54" s="21" t="n">
        <f aca="false">($I$20*I53+$J$20*J53+$K$20*K53)/(($I$18+$I$19+$I$20)*I53+($J$18+$J$19+$J$20)*J53+($K$18+$K$19+$K$20)*K53)</f>
        <v>0.333333333333333</v>
      </c>
      <c r="L54" s="21" t="n">
        <f aca="false">($I$18+$I$19+$I$20)*I54+($J$18+$J$19+$J$20)*J54+($K$18+$K$19+$K$20)*K54</f>
        <v>0.75</v>
      </c>
      <c r="M54" s="21" t="n">
        <f aca="false">(M53*$I$18+N53*$I$19+O53*$I$20)/(($I$18+$J$18+$K$18)*M53+($I$19+$J$19+$K$19)*N53+($I$20+$J$20+$K$20)*O53)</f>
        <v>0.333333333333333</v>
      </c>
      <c r="N54" s="21" t="n">
        <f aca="false">(M53*$J$18+N53*$J$19+O53*$J$20)/(($I$18+$J$18+$K$18)*M53+($I$19+$J$19+$K$19)*N53+($I$20+$J$20+$K$20)*O53)</f>
        <v>0.333333333333333</v>
      </c>
      <c r="O54" s="21" t="n">
        <f aca="false">(M53*$K$18+N53*$K$19+O53*$K$20)/(($I$18+$J$18+$K$18)*M53+($I$19+$J$19+$K$19)*N53+($I$20+$J$20+$K$20)*O53)</f>
        <v>0.333333333333333</v>
      </c>
    </row>
    <row r="55" customFormat="false" ht="15" hidden="false" customHeight="false" outlineLevel="0" collapsed="false">
      <c r="A55" s="11" t="n">
        <v>35</v>
      </c>
      <c r="B55" s="23" t="n">
        <f aca="false">A_keep*B54+C_pass*D54</f>
        <v>1.412612247635E-005</v>
      </c>
      <c r="C55" s="23" t="n">
        <f aca="false">C_pass*B54+A_keep*C54</f>
        <v>1.41261222575781E-005</v>
      </c>
      <c r="D55" s="23" t="n">
        <f aca="false">C_pass*C54+A_keep*D54</f>
        <v>1.41261223669641E-005</v>
      </c>
      <c r="E55" s="23" t="n">
        <f aca="false">SUM(B55:D55)</f>
        <v>4.23783671008922E-005</v>
      </c>
      <c r="F55" s="23" t="n">
        <f aca="false">F54+E55</f>
        <v>3.9998728648987</v>
      </c>
      <c r="H55" s="11" t="n">
        <v>32</v>
      </c>
      <c r="I55" s="21" t="n">
        <f aca="false">($I$18*I54+$J$18*J54+$K$18*K54)/(($I$18+$I$19+$I$20)*I54+($J$18+$J$19+$J$20)*J54+($K$18+$K$19+$K$20)*K54)</f>
        <v>0.333333333333333</v>
      </c>
      <c r="J55" s="21" t="n">
        <f aca="false">($I$19*I54+$J$19*J54+$K$19*K54)/(($I$18+$I$19+$I$20)*I54+($J$18+$J$19+$J$20)*J54+($K$18+$K$19+$K$20)*K54)</f>
        <v>0.333333333333333</v>
      </c>
      <c r="K55" s="21" t="n">
        <f aca="false">($I$20*I54+$J$20*J54+$K$20*K54)/(($I$18+$I$19+$I$20)*I54+($J$18+$J$19+$J$20)*J54+($K$18+$K$19+$K$20)*K54)</f>
        <v>0.333333333333333</v>
      </c>
      <c r="L55" s="21" t="n">
        <f aca="false">($I$18+$I$19+$I$20)*I55+($J$18+$J$19+$J$20)*J55+($K$18+$K$19+$K$20)*K55</f>
        <v>0.75</v>
      </c>
      <c r="M55" s="21" t="n">
        <f aca="false">(M54*$I$18+N54*$I$19+O54*$I$20)/(($I$18+$J$18+$K$18)*M54+($I$19+$J$19+$K$19)*N54+($I$20+$J$20+$K$20)*O54)</f>
        <v>0.333333333333333</v>
      </c>
      <c r="N55" s="21" t="n">
        <f aca="false">(M54*$J$18+N54*$J$19+O54*$J$20)/(($I$18+$J$18+$K$18)*M54+($I$19+$J$19+$K$19)*N54+($I$20+$J$20+$K$20)*O54)</f>
        <v>0.333333333333333</v>
      </c>
      <c r="O55" s="21" t="n">
        <f aca="false">(M54*$K$18+N54*$K$19+O54*$K$20)/(($I$18+$J$18+$K$18)*M54+($I$19+$J$19+$K$19)*N54+($I$20+$J$20+$K$20)*O54)</f>
        <v>0.333333333333333</v>
      </c>
    </row>
    <row r="56" customFormat="false" ht="15" hidden="false" customHeight="false" outlineLevel="0" collapsed="false">
      <c r="A56" s="11" t="n">
        <v>36</v>
      </c>
      <c r="B56" s="23" t="n">
        <f aca="false">A_keep*B55+C_pass*D55</f>
        <v>1.0594591829916E-005</v>
      </c>
      <c r="C56" s="23" t="n">
        <f aca="false">C_pass*B55+A_keep*C55</f>
        <v>1.05945917478765E-005</v>
      </c>
      <c r="D56" s="23" t="n">
        <f aca="false">C_pass*C55+A_keep*D55</f>
        <v>1.05945917478765E-005</v>
      </c>
      <c r="E56" s="23" t="n">
        <f aca="false">SUM(B56:D56)</f>
        <v>3.17837753256691E-005</v>
      </c>
      <c r="F56" s="23" t="n">
        <f aca="false">F55+E56</f>
        <v>3.99990464867402</v>
      </c>
      <c r="H56" s="11" t="n">
        <v>33</v>
      </c>
      <c r="I56" s="21" t="n">
        <f aca="false">($I$18*I55+$J$18*J55+$K$18*K55)/(($I$18+$I$19+$I$20)*I55+($J$18+$J$19+$J$20)*J55+($K$18+$K$19+$K$20)*K55)</f>
        <v>0.333333333333333</v>
      </c>
      <c r="J56" s="21" t="n">
        <f aca="false">($I$19*I55+$J$19*J55+$K$19*K55)/(($I$18+$I$19+$I$20)*I55+($J$18+$J$19+$J$20)*J55+($K$18+$K$19+$K$20)*K55)</f>
        <v>0.333333333333333</v>
      </c>
      <c r="K56" s="21" t="n">
        <f aca="false">($I$20*I55+$J$20*J55+$K$20*K55)/(($I$18+$I$19+$I$20)*I55+($J$18+$J$19+$J$20)*J55+($K$18+$K$19+$K$20)*K55)</f>
        <v>0.333333333333333</v>
      </c>
      <c r="L56" s="21" t="n">
        <f aca="false">($I$18+$I$19+$I$20)*I56+($J$18+$J$19+$J$20)*J56+($K$18+$K$19+$K$20)*K56</f>
        <v>0.75</v>
      </c>
      <c r="M56" s="21" t="n">
        <f aca="false">(M55*$I$18+N55*$I$19+O55*$I$20)/(($I$18+$J$18+$K$18)*M55+($I$19+$J$19+$K$19)*N55+($I$20+$J$20+$K$20)*O55)</f>
        <v>0.333333333333333</v>
      </c>
      <c r="N56" s="21" t="n">
        <f aca="false">(M55*$J$18+N55*$J$19+O55*$J$20)/(($I$18+$J$18+$K$18)*M55+($I$19+$J$19+$K$19)*N55+($I$20+$J$20+$K$20)*O55)</f>
        <v>0.333333333333333</v>
      </c>
      <c r="O56" s="21" t="n">
        <f aca="false">(M55*$K$18+N55*$K$19+O55*$K$20)/(($I$18+$J$18+$K$18)*M55+($I$19+$J$19+$K$19)*N55+($I$20+$J$20+$K$20)*O55)</f>
        <v>0.333333333333333</v>
      </c>
    </row>
    <row r="57" customFormat="false" ht="15" hidden="false" customHeight="false" outlineLevel="0" collapsed="false">
      <c r="A57" s="11" t="n">
        <v>37</v>
      </c>
      <c r="B57" s="23" t="n">
        <f aca="false">A_keep*B56+C_pass*D56</f>
        <v>7.94594385192715E-006</v>
      </c>
      <c r="C57" s="23" t="n">
        <f aca="false">C_pass*B56+A_keep*C56</f>
        <v>7.94594383141728E-006</v>
      </c>
      <c r="D57" s="23" t="n">
        <f aca="false">C_pass*C56+A_keep*D56</f>
        <v>7.94594381090741E-006</v>
      </c>
      <c r="E57" s="23" t="n">
        <f aca="false">SUM(B57:D57)</f>
        <v>2.38378314942518E-005</v>
      </c>
      <c r="F57" s="23" t="n">
        <f aca="false">F56+E57</f>
        <v>3.99992848650552</v>
      </c>
      <c r="H57" s="11" t="n">
        <v>34</v>
      </c>
      <c r="I57" s="21" t="n">
        <f aca="false">($I$18*I56+$J$18*J56+$K$18*K56)/(($I$18+$I$19+$I$20)*I56+($J$18+$J$19+$J$20)*J56+($K$18+$K$19+$K$20)*K56)</f>
        <v>0.333333333333333</v>
      </c>
      <c r="J57" s="21" t="n">
        <f aca="false">($I$19*I56+$J$19*J56+$K$19*K56)/(($I$18+$I$19+$I$20)*I56+($J$18+$J$19+$J$20)*J56+($K$18+$K$19+$K$20)*K56)</f>
        <v>0.333333333333333</v>
      </c>
      <c r="K57" s="21" t="n">
        <f aca="false">($I$20*I56+$J$20*J56+$K$20*K56)/(($I$18+$I$19+$I$20)*I56+($J$18+$J$19+$J$20)*J56+($K$18+$K$19+$K$20)*K56)</f>
        <v>0.333333333333333</v>
      </c>
      <c r="L57" s="21" t="n">
        <f aca="false">($I$18+$I$19+$I$20)*I57+($J$18+$J$19+$J$20)*J57+($K$18+$K$19+$K$20)*K57</f>
        <v>0.75</v>
      </c>
      <c r="M57" s="21" t="n">
        <f aca="false">(M56*$I$18+N56*$I$19+O56*$I$20)/(($I$18+$J$18+$K$18)*M56+($I$19+$J$19+$K$19)*N56+($I$20+$J$20+$K$20)*O56)</f>
        <v>0.333333333333333</v>
      </c>
      <c r="N57" s="21" t="n">
        <f aca="false">(M56*$J$18+N56*$J$19+O56*$J$20)/(($I$18+$J$18+$K$18)*M56+($I$19+$J$19+$K$19)*N56+($I$20+$J$20+$K$20)*O56)</f>
        <v>0.333333333333333</v>
      </c>
      <c r="O57" s="21" t="n">
        <f aca="false">(M56*$K$18+N56*$K$19+O56*$K$20)/(($I$18+$J$18+$K$18)*M56+($I$19+$J$19+$K$19)*N56+($I$20+$J$20+$K$20)*O56)</f>
        <v>0.333333333333333</v>
      </c>
    </row>
    <row r="58" customFormat="false" ht="15" hidden="false" customHeight="false" outlineLevel="0" collapsed="false">
      <c r="A58" s="11" t="n">
        <v>38</v>
      </c>
      <c r="B58" s="23" t="n">
        <f aca="false">A_keep*B57+C_pass*D57</f>
        <v>5.95945787869043E-006</v>
      </c>
      <c r="C58" s="23" t="n">
        <f aca="false">C_pass*B57+A_keep*C57</f>
        <v>5.95945787869043E-006</v>
      </c>
      <c r="D58" s="23" t="n">
        <f aca="false">C_pass*C57+A_keep*D57</f>
        <v>5.95945786330803E-006</v>
      </c>
      <c r="E58" s="23" t="n">
        <f aca="false">SUM(B58:D58)</f>
        <v>1.78783736206889E-005</v>
      </c>
      <c r="F58" s="23" t="n">
        <f aca="false">F57+E58</f>
        <v>3.99994636487914</v>
      </c>
      <c r="H58" s="11" t="n">
        <v>35</v>
      </c>
      <c r="I58" s="21" t="n">
        <f aca="false">($I$18*I57+$J$18*J57+$K$18*K57)/(($I$18+$I$19+$I$20)*I57+($J$18+$J$19+$J$20)*J57+($K$18+$K$19+$K$20)*K57)</f>
        <v>0.333333333333333</v>
      </c>
      <c r="J58" s="21" t="n">
        <f aca="false">($I$19*I57+$J$19*J57+$K$19*K57)/(($I$18+$I$19+$I$20)*I57+($J$18+$J$19+$J$20)*J57+($K$18+$K$19+$K$20)*K57)</f>
        <v>0.333333333333333</v>
      </c>
      <c r="K58" s="21" t="n">
        <f aca="false">($I$20*I57+$J$20*J57+$K$20*K57)/(($I$18+$I$19+$I$20)*I57+($J$18+$J$19+$J$20)*J57+($K$18+$K$19+$K$20)*K57)</f>
        <v>0.333333333333333</v>
      </c>
      <c r="L58" s="21" t="n">
        <f aca="false">($I$18+$I$19+$I$20)*I58+($J$18+$J$19+$J$20)*J58+($K$18+$K$19+$K$20)*K58</f>
        <v>0.75</v>
      </c>
      <c r="M58" s="21" t="n">
        <f aca="false">(M57*$I$18+N57*$I$19+O57*$I$20)/(($I$18+$J$18+$K$18)*M57+($I$19+$J$19+$K$19)*N57+($I$20+$J$20+$K$20)*O57)</f>
        <v>0.333333333333333</v>
      </c>
      <c r="N58" s="21" t="n">
        <f aca="false">(M57*$J$18+N57*$J$19+O57*$J$20)/(($I$18+$J$18+$K$18)*M57+($I$19+$J$19+$K$19)*N57+($I$20+$J$20+$K$20)*O57)</f>
        <v>0.333333333333333</v>
      </c>
      <c r="O58" s="21" t="n">
        <f aca="false">(M57*$K$18+N57*$K$19+O57*$K$20)/(($I$18+$J$18+$K$18)*M57+($I$19+$J$19+$K$19)*N57+($I$20+$J$20+$K$20)*O57)</f>
        <v>0.333333333333333</v>
      </c>
    </row>
    <row r="59" customFormat="false" ht="15" hidden="false" customHeight="false" outlineLevel="0" collapsed="false">
      <c r="A59" s="11" t="n">
        <v>39</v>
      </c>
      <c r="B59" s="23" t="n">
        <f aca="false">A_keep*B58+C_pass*D58</f>
        <v>4.46959340517222E-006</v>
      </c>
      <c r="C59" s="23" t="n">
        <f aca="false">C_pass*B58+A_keep*C58</f>
        <v>4.46959340901782E-006</v>
      </c>
      <c r="D59" s="23" t="n">
        <f aca="false">C_pass*C58+A_keep*D58</f>
        <v>4.46959340132662E-006</v>
      </c>
      <c r="E59" s="23" t="n">
        <f aca="false">SUM(B59:D59)</f>
        <v>1.34087802155167E-005</v>
      </c>
      <c r="F59" s="23" t="n">
        <f aca="false">F58+E59</f>
        <v>3.99995977365935</v>
      </c>
      <c r="H59" s="11" t="n">
        <v>36</v>
      </c>
      <c r="I59" s="21" t="n">
        <f aca="false">($I$18*I58+$J$18*J58+$K$18*K58)/(($I$18+$I$19+$I$20)*I58+($J$18+$J$19+$J$20)*J58+($K$18+$K$19+$K$20)*K58)</f>
        <v>0.333333333333333</v>
      </c>
      <c r="J59" s="21" t="n">
        <f aca="false">($I$19*I58+$J$19*J58+$K$19*K58)/(($I$18+$I$19+$I$20)*I58+($J$18+$J$19+$J$20)*J58+($K$18+$K$19+$K$20)*K58)</f>
        <v>0.333333333333333</v>
      </c>
      <c r="K59" s="21" t="n">
        <f aca="false">($I$20*I58+$J$20*J58+$K$20*K58)/(($I$18+$I$19+$I$20)*I58+($J$18+$J$19+$J$20)*J58+($K$18+$K$19+$K$20)*K58)</f>
        <v>0.333333333333333</v>
      </c>
      <c r="L59" s="21" t="n">
        <f aca="false">($I$18+$I$19+$I$20)*I59+($J$18+$J$19+$J$20)*J59+($K$18+$K$19+$K$20)*K59</f>
        <v>0.75</v>
      </c>
      <c r="M59" s="21" t="n">
        <f aca="false">(M58*$I$18+N58*$I$19+O58*$I$20)/(($I$18+$J$18+$K$18)*M58+($I$19+$J$19+$K$19)*N58+($I$20+$J$20+$K$20)*O58)</f>
        <v>0.333333333333333</v>
      </c>
      <c r="N59" s="21" t="n">
        <f aca="false">(M58*$J$18+N58*$J$19+O58*$J$20)/(($I$18+$J$18+$K$18)*M58+($I$19+$J$19+$K$19)*N58+($I$20+$J$20+$K$20)*O58)</f>
        <v>0.333333333333333</v>
      </c>
      <c r="O59" s="21" t="n">
        <f aca="false">(M58*$K$18+N58*$K$19+O58*$K$20)/(($I$18+$J$18+$K$18)*M58+($I$19+$J$19+$K$19)*N58+($I$20+$J$20+$K$20)*O58)</f>
        <v>0.333333333333333</v>
      </c>
    </row>
    <row r="60" customFormat="false" ht="15" hidden="false" customHeight="false" outlineLevel="0" collapsed="false">
      <c r="A60" s="11" t="n">
        <v>40</v>
      </c>
      <c r="B60" s="23" t="n">
        <f aca="false">A_keep*B59+C_pass*D59</f>
        <v>3.35219505291777E-006</v>
      </c>
      <c r="C60" s="23" t="n">
        <f aca="false">C_pass*B59+A_keep*C59</f>
        <v>3.35219505580197E-006</v>
      </c>
      <c r="D60" s="23" t="n">
        <f aca="false">C_pass*C59+A_keep*D59</f>
        <v>3.35219505291777E-006</v>
      </c>
      <c r="E60" s="23" t="n">
        <f aca="false">SUM(B60:D60)</f>
        <v>1.00565851616375E-005</v>
      </c>
      <c r="F60" s="23" t="n">
        <f aca="false">F59+E60</f>
        <v>3.99996983024451</v>
      </c>
      <c r="H60" s="11" t="n">
        <v>37</v>
      </c>
      <c r="I60" s="21" t="n">
        <f aca="false">($I$18*I59+$J$18*J59+$K$18*K59)/(($I$18+$I$19+$I$20)*I59+($J$18+$J$19+$J$20)*J59+($K$18+$K$19+$K$20)*K59)</f>
        <v>0.333333333333333</v>
      </c>
      <c r="J60" s="21" t="n">
        <f aca="false">($I$19*I59+$J$19*J59+$K$19*K59)/(($I$18+$I$19+$I$20)*I59+($J$18+$J$19+$J$20)*J59+($K$18+$K$19+$K$20)*K59)</f>
        <v>0.333333333333333</v>
      </c>
      <c r="K60" s="21" t="n">
        <f aca="false">($I$20*I59+$J$20*J59+$K$20*K59)/(($I$18+$I$19+$I$20)*I59+($J$18+$J$19+$J$20)*J59+($K$18+$K$19+$K$20)*K59)</f>
        <v>0.333333333333333</v>
      </c>
      <c r="L60" s="21" t="n">
        <f aca="false">($I$18+$I$19+$I$20)*I60+($J$18+$J$19+$J$20)*J60+($K$18+$K$19+$K$20)*K60</f>
        <v>0.75</v>
      </c>
      <c r="M60" s="21" t="n">
        <f aca="false">(M59*$I$18+N59*$I$19+O59*$I$20)/(($I$18+$J$18+$K$18)*M59+($I$19+$J$19+$K$19)*N59+($I$20+$J$20+$K$20)*O59)</f>
        <v>0.333333333333333</v>
      </c>
      <c r="N60" s="21" t="n">
        <f aca="false">(M59*$J$18+N59*$J$19+O59*$J$20)/(($I$18+$J$18+$K$18)*M59+($I$19+$J$19+$K$19)*N59+($I$20+$J$20+$K$20)*O59)</f>
        <v>0.333333333333333</v>
      </c>
      <c r="O60" s="21" t="n">
        <f aca="false">(M59*$K$18+N59*$K$19+O59*$K$20)/(($I$18+$J$18+$K$18)*M59+($I$19+$J$19+$K$19)*N59+($I$20+$J$20+$K$20)*O59)</f>
        <v>0.333333333333333</v>
      </c>
    </row>
    <row r="61" customFormat="false" ht="15" hidden="false" customHeight="false" outlineLevel="0" collapsed="false">
      <c r="A61" s="11" t="n">
        <v>41</v>
      </c>
      <c r="B61" s="23" t="n">
        <f aca="false">A_keep*B60+C_pass*D60</f>
        <v>2.51414628968832E-006</v>
      </c>
      <c r="C61" s="23" t="n">
        <f aca="false">C_pass*B60+A_keep*C60</f>
        <v>2.51414629113042E-006</v>
      </c>
      <c r="D61" s="23" t="n">
        <f aca="false">C_pass*C60+A_keep*D60</f>
        <v>2.51414629040937E-006</v>
      </c>
      <c r="E61" s="23" t="n">
        <f aca="false">SUM(B61:D61)</f>
        <v>7.54243887122812E-006</v>
      </c>
      <c r="F61" s="23" t="n">
        <f aca="false">F60+E61</f>
        <v>3.99997737268339</v>
      </c>
      <c r="H61" s="11" t="n">
        <v>38</v>
      </c>
      <c r="I61" s="21" t="n">
        <f aca="false">($I$18*I60+$J$18*J60+$K$18*K60)/(($I$18+$I$19+$I$20)*I60+($J$18+$J$19+$J$20)*J60+($K$18+$K$19+$K$20)*K60)</f>
        <v>0.333333333333333</v>
      </c>
      <c r="J61" s="21" t="n">
        <f aca="false">($I$19*I60+$J$19*J60+$K$19*K60)/(($I$18+$I$19+$I$20)*I60+($J$18+$J$19+$J$20)*J60+($K$18+$K$19+$K$20)*K60)</f>
        <v>0.333333333333333</v>
      </c>
      <c r="K61" s="21" t="n">
        <f aca="false">($I$20*I60+$J$20*J60+$K$20*K60)/(($I$18+$I$19+$I$20)*I60+($J$18+$J$19+$J$20)*J60+($K$18+$K$19+$K$20)*K60)</f>
        <v>0.333333333333333</v>
      </c>
      <c r="L61" s="21" t="n">
        <f aca="false">($I$18+$I$19+$I$20)*I61+($J$18+$J$19+$J$20)*J61+($K$18+$K$19+$K$20)*K61</f>
        <v>0.75</v>
      </c>
      <c r="M61" s="21" t="n">
        <f aca="false">(M60*$I$18+N60*$I$19+O60*$I$20)/(($I$18+$J$18+$K$18)*M60+($I$19+$J$19+$K$19)*N60+($I$20+$J$20+$K$20)*O60)</f>
        <v>0.333333333333333</v>
      </c>
      <c r="N61" s="21" t="n">
        <f aca="false">(M60*$J$18+N60*$J$19+O60*$J$20)/(($I$18+$J$18+$K$18)*M60+($I$19+$J$19+$K$19)*N60+($I$20+$J$20+$K$20)*O60)</f>
        <v>0.333333333333333</v>
      </c>
      <c r="O61" s="21" t="n">
        <f aca="false">(M60*$K$18+N60*$K$19+O60*$K$20)/(($I$18+$J$18+$K$18)*M60+($I$19+$J$19+$K$19)*N60+($I$20+$J$20+$K$20)*O60)</f>
        <v>0.333333333333333</v>
      </c>
    </row>
    <row r="62" customFormat="false" ht="15" hidden="false" customHeight="false" outlineLevel="0" collapsed="false">
      <c r="A62" s="11" t="n">
        <v>42</v>
      </c>
      <c r="B62" s="23" t="n">
        <f aca="false">A_keep*B61+C_pass*D61</f>
        <v>1.88560971744651E-006</v>
      </c>
      <c r="C62" s="23" t="n">
        <f aca="false">C_pass*B61+A_keep*C61</f>
        <v>1.88560971798729E-006</v>
      </c>
      <c r="D62" s="23" t="n">
        <f aca="false">C_pass*C61+A_keep*D61</f>
        <v>1.88560971798729E-006</v>
      </c>
      <c r="E62" s="23" t="n">
        <f aca="false">SUM(B62:D62)</f>
        <v>5.65682915342109E-006</v>
      </c>
      <c r="F62" s="23" t="n">
        <f aca="false">F61+E62</f>
        <v>3.99998302951254</v>
      </c>
      <c r="H62" s="11" t="n">
        <v>39</v>
      </c>
      <c r="I62" s="21" t="n">
        <f aca="false">($I$18*I61+$J$18*J61+$K$18*K61)/(($I$18+$I$19+$I$20)*I61+($J$18+$J$19+$J$20)*J61+($K$18+$K$19+$K$20)*K61)</f>
        <v>0.333333333333333</v>
      </c>
      <c r="J62" s="21" t="n">
        <f aca="false">($I$19*I61+$J$19*J61+$K$19*K61)/(($I$18+$I$19+$I$20)*I61+($J$18+$J$19+$J$20)*J61+($K$18+$K$19+$K$20)*K61)</f>
        <v>0.333333333333333</v>
      </c>
      <c r="K62" s="21" t="n">
        <f aca="false">($I$20*I61+$J$20*J61+$K$20*K61)/(($I$18+$I$19+$I$20)*I61+($J$18+$J$19+$J$20)*J61+($K$18+$K$19+$K$20)*K61)</f>
        <v>0.333333333333333</v>
      </c>
      <c r="L62" s="21" t="n">
        <f aca="false">($I$18+$I$19+$I$20)*I62+($J$18+$J$19+$J$20)*J62+($K$18+$K$19+$K$20)*K62</f>
        <v>0.75</v>
      </c>
      <c r="M62" s="21" t="n">
        <f aca="false">(M61*$I$18+N61*$I$19+O61*$I$20)/(($I$18+$J$18+$K$18)*M61+($I$19+$J$19+$K$19)*N61+($I$20+$J$20+$K$20)*O61)</f>
        <v>0.333333333333333</v>
      </c>
      <c r="N62" s="21" t="n">
        <f aca="false">(M61*$J$18+N61*$J$19+O61*$J$20)/(($I$18+$J$18+$K$18)*M61+($I$19+$J$19+$K$19)*N61+($I$20+$J$20+$K$20)*O61)</f>
        <v>0.333333333333333</v>
      </c>
      <c r="O62" s="21" t="n">
        <f aca="false">(M61*$K$18+N61*$K$19+O61*$K$20)/(($I$18+$J$18+$K$18)*M61+($I$19+$J$19+$K$19)*N61+($I$20+$J$20+$K$20)*O61)</f>
        <v>0.333333333333333</v>
      </c>
    </row>
    <row r="63" customFormat="false" ht="15" hidden="false" customHeight="false" outlineLevel="0" collapsed="false">
      <c r="A63" s="11" t="n">
        <v>43</v>
      </c>
      <c r="B63" s="23" t="n">
        <f aca="false">A_keep*B62+C_pass*D62</f>
        <v>1.41420728822008E-006</v>
      </c>
      <c r="C63" s="23" t="n">
        <f aca="false">C_pass*B62+A_keep*C62</f>
        <v>1.41420728835527E-006</v>
      </c>
      <c r="D63" s="23" t="n">
        <f aca="false">C_pass*C62+A_keep*D62</f>
        <v>1.41420728849047E-006</v>
      </c>
      <c r="E63" s="23" t="n">
        <f aca="false">SUM(B63:D63)</f>
        <v>4.24262186506582E-006</v>
      </c>
      <c r="F63" s="23" t="n">
        <f aca="false">F62+E63</f>
        <v>3.9999872721344</v>
      </c>
      <c r="H63" s="11" t="n">
        <v>40</v>
      </c>
      <c r="I63" s="21" t="n">
        <f aca="false">($I$18*I62+$J$18*J62+$K$18*K62)/(($I$18+$I$19+$I$20)*I62+($J$18+$J$19+$J$20)*J62+($K$18+$K$19+$K$20)*K62)</f>
        <v>0.333333333333333</v>
      </c>
      <c r="J63" s="21" t="n">
        <f aca="false">($I$19*I62+$J$19*J62+$K$19*K62)/(($I$18+$I$19+$I$20)*I62+($J$18+$J$19+$J$20)*J62+($K$18+$K$19+$K$20)*K62)</f>
        <v>0.333333333333333</v>
      </c>
      <c r="K63" s="21" t="n">
        <f aca="false">($I$20*I62+$J$20*J62+$K$20*K62)/(($I$18+$I$19+$I$20)*I62+($J$18+$J$19+$J$20)*J62+($K$18+$K$19+$K$20)*K62)</f>
        <v>0.333333333333333</v>
      </c>
      <c r="L63" s="21" t="n">
        <f aca="false">($I$18+$I$19+$I$20)*I63+($J$18+$J$19+$J$20)*J63+($K$18+$K$19+$K$20)*K63</f>
        <v>0.75</v>
      </c>
      <c r="M63" s="21" t="n">
        <f aca="false">(M62*$I$18+N62*$I$19+O62*$I$20)/(($I$18+$J$18+$K$18)*M62+($I$19+$J$19+$K$19)*N62+($I$20+$J$20+$K$20)*O62)</f>
        <v>0.333333333333333</v>
      </c>
      <c r="N63" s="21" t="n">
        <f aca="false">(M62*$J$18+N62*$J$19+O62*$J$20)/(($I$18+$J$18+$K$18)*M62+($I$19+$J$19+$K$19)*N62+($I$20+$J$20+$K$20)*O62)</f>
        <v>0.333333333333333</v>
      </c>
      <c r="O63" s="21" t="n">
        <f aca="false">(M62*$K$18+N62*$K$19+O62*$K$20)/(($I$18+$J$18+$K$18)*M62+($I$19+$J$19+$K$19)*N62+($I$20+$J$20+$K$20)*O62)</f>
        <v>0.333333333333333</v>
      </c>
    </row>
    <row r="64" customFormat="false" ht="15" hidden="false" customHeight="false" outlineLevel="0" collapsed="false">
      <c r="A64" s="11" t="n">
        <v>44</v>
      </c>
      <c r="B64" s="23" t="n">
        <f aca="false">A_keep*B63+C_pass*D63</f>
        <v>1.06065546623266E-006</v>
      </c>
      <c r="C64" s="23" t="n">
        <f aca="false">C_pass*B63+A_keep*C63</f>
        <v>1.06065546623266E-006</v>
      </c>
      <c r="D64" s="23" t="n">
        <f aca="false">C_pass*C63+A_keep*D63</f>
        <v>1.06065546633405E-006</v>
      </c>
      <c r="E64" s="23" t="n">
        <f aca="false">SUM(B64:D64)</f>
        <v>3.18196639879936E-006</v>
      </c>
      <c r="F64" s="23" t="n">
        <f aca="false">F63+E64</f>
        <v>3.9999904541008</v>
      </c>
      <c r="H64" s="11" t="n">
        <v>41</v>
      </c>
      <c r="I64" s="21" t="n">
        <f aca="false">($I$18*I63+$J$18*J63+$K$18*K63)/(($I$18+$I$19+$I$20)*I63+($J$18+$J$19+$J$20)*J63+($K$18+$K$19+$K$20)*K63)</f>
        <v>0.333333333333333</v>
      </c>
      <c r="J64" s="21" t="n">
        <f aca="false">($I$19*I63+$J$19*J63+$K$19*K63)/(($I$18+$I$19+$I$20)*I63+($J$18+$J$19+$J$20)*J63+($K$18+$K$19+$K$20)*K63)</f>
        <v>0.333333333333333</v>
      </c>
      <c r="K64" s="21" t="n">
        <f aca="false">($I$20*I63+$J$20*J63+$K$20*K63)/(($I$18+$I$19+$I$20)*I63+($J$18+$J$19+$J$20)*J63+($K$18+$K$19+$K$20)*K63)</f>
        <v>0.333333333333333</v>
      </c>
      <c r="L64" s="21" t="n">
        <f aca="false">($I$18+$I$19+$I$20)*I64+($J$18+$J$19+$J$20)*J64+($K$18+$K$19+$K$20)*K64</f>
        <v>0.75</v>
      </c>
      <c r="M64" s="21" t="n">
        <f aca="false">(M63*$I$18+N63*$I$19+O63*$I$20)/(($I$18+$J$18+$K$18)*M63+($I$19+$J$19+$K$19)*N63+($I$20+$J$20+$K$20)*O63)</f>
        <v>0.333333333333333</v>
      </c>
      <c r="N64" s="21" t="n">
        <f aca="false">(M63*$J$18+N63*$J$19+O63*$J$20)/(($I$18+$J$18+$K$18)*M63+($I$19+$J$19+$K$19)*N63+($I$20+$J$20+$K$20)*O63)</f>
        <v>0.333333333333333</v>
      </c>
      <c r="O64" s="21" t="n">
        <f aca="false">(M63*$K$18+N63*$K$19+O63*$K$20)/(($I$18+$J$18+$K$18)*M63+($I$19+$J$19+$K$19)*N63+($I$20+$J$20+$K$20)*O63)</f>
        <v>0.333333333333333</v>
      </c>
    </row>
    <row r="65" customFormat="false" ht="15" hidden="false" customHeight="false" outlineLevel="0" collapsed="false">
      <c r="A65" s="11" t="n">
        <v>45</v>
      </c>
      <c r="B65" s="23" t="n">
        <f aca="false">A_keep*B64+C_pass*D64</f>
        <v>7.95491599699841E-007</v>
      </c>
      <c r="C65" s="23" t="n">
        <f aca="false">C_pass*B64+A_keep*C64</f>
        <v>7.95491599674492E-007</v>
      </c>
      <c r="D65" s="23" t="n">
        <f aca="false">C_pass*C64+A_keep*D64</f>
        <v>7.9549159972519E-007</v>
      </c>
      <c r="E65" s="23" t="n">
        <f aca="false">SUM(B65:D65)</f>
        <v>2.38647479909952E-006</v>
      </c>
      <c r="F65" s="23" t="n">
        <f aca="false">F64+E65</f>
        <v>3.9999928405756</v>
      </c>
      <c r="H65" s="11" t="n">
        <v>42</v>
      </c>
      <c r="I65" s="21" t="n">
        <f aca="false">($I$18*I64+$J$18*J64+$K$18*K64)/(($I$18+$I$19+$I$20)*I64+($J$18+$J$19+$J$20)*J64+($K$18+$K$19+$K$20)*K64)</f>
        <v>0.333333333333333</v>
      </c>
      <c r="J65" s="21" t="n">
        <f aca="false">($I$19*I64+$J$19*J64+$K$19*K64)/(($I$18+$I$19+$I$20)*I64+($J$18+$J$19+$J$20)*J64+($K$18+$K$19+$K$20)*K64)</f>
        <v>0.333333333333333</v>
      </c>
      <c r="K65" s="21" t="n">
        <f aca="false">($I$20*I64+$J$20*J64+$K$20*K64)/(($I$18+$I$19+$I$20)*I64+($J$18+$J$19+$J$20)*J64+($K$18+$K$19+$K$20)*K64)</f>
        <v>0.333333333333333</v>
      </c>
      <c r="L65" s="21" t="n">
        <f aca="false">($I$18+$I$19+$I$20)*I65+($J$18+$J$19+$J$20)*J65+($K$18+$K$19+$K$20)*K65</f>
        <v>0.75</v>
      </c>
      <c r="M65" s="21" t="n">
        <f aca="false">(M64*$I$18+N64*$I$19+O64*$I$20)/(($I$18+$J$18+$K$18)*M64+($I$19+$J$19+$K$19)*N64+($I$20+$J$20+$K$20)*O64)</f>
        <v>0.333333333333333</v>
      </c>
      <c r="N65" s="21" t="n">
        <f aca="false">(M64*$J$18+N64*$J$19+O64*$J$20)/(($I$18+$J$18+$K$18)*M64+($I$19+$J$19+$K$19)*N64+($I$20+$J$20+$K$20)*O64)</f>
        <v>0.333333333333333</v>
      </c>
      <c r="O65" s="21" t="n">
        <f aca="false">(M64*$K$18+N64*$K$19+O64*$K$20)/(($I$18+$J$18+$K$18)*M64+($I$19+$J$19+$K$19)*N64+($I$20+$J$20+$K$20)*O64)</f>
        <v>0.333333333333333</v>
      </c>
    </row>
    <row r="66" customFormat="false" ht="15" hidden="false" customHeight="false" outlineLevel="0" collapsed="false">
      <c r="A66" s="11" t="n">
        <v>46</v>
      </c>
      <c r="B66" s="23" t="n">
        <f aca="false">A_keep*B65+C_pass*D65</f>
        <v>5.96618699781218E-007</v>
      </c>
      <c r="C66" s="23" t="n">
        <f aca="false">C_pass*B65+A_keep*C65</f>
        <v>5.96618699762206E-007</v>
      </c>
      <c r="D66" s="23" t="n">
        <f aca="false">C_pass*C65+A_keep*D65</f>
        <v>5.96618699781218E-007</v>
      </c>
      <c r="E66" s="23" t="n">
        <f aca="false">SUM(B66:D66)</f>
        <v>1.78985609932464E-006</v>
      </c>
      <c r="F66" s="23" t="n">
        <f aca="false">F65+E66</f>
        <v>3.9999946304317</v>
      </c>
      <c r="H66" s="11" t="n">
        <v>43</v>
      </c>
      <c r="I66" s="21" t="n">
        <f aca="false">($I$18*I65+$J$18*J65+$K$18*K65)/(($I$18+$I$19+$I$20)*I65+($J$18+$J$19+$J$20)*J65+($K$18+$K$19+$K$20)*K65)</f>
        <v>0.333333333333333</v>
      </c>
      <c r="J66" s="21" t="n">
        <f aca="false">($I$19*I65+$J$19*J65+$K$19*K65)/(($I$18+$I$19+$I$20)*I65+($J$18+$J$19+$J$20)*J65+($K$18+$K$19+$K$20)*K65)</f>
        <v>0.333333333333333</v>
      </c>
      <c r="K66" s="21" t="n">
        <f aca="false">($I$20*I65+$J$20*J65+$K$20*K65)/(($I$18+$I$19+$I$20)*I65+($J$18+$J$19+$J$20)*J65+($K$18+$K$19+$K$20)*K65)</f>
        <v>0.333333333333333</v>
      </c>
      <c r="L66" s="21" t="n">
        <f aca="false">($I$18+$I$19+$I$20)*I66+($J$18+$J$19+$J$20)*J66+($K$18+$K$19+$K$20)*K66</f>
        <v>0.75</v>
      </c>
      <c r="M66" s="21" t="n">
        <f aca="false">(M65*$I$18+N65*$I$19+O65*$I$20)/(($I$18+$J$18+$K$18)*M65+($I$19+$J$19+$K$19)*N65+($I$20+$J$20+$K$20)*O65)</f>
        <v>0.333333333333333</v>
      </c>
      <c r="N66" s="21" t="n">
        <f aca="false">(M65*$J$18+N65*$J$19+O65*$J$20)/(($I$18+$J$18+$K$18)*M65+($I$19+$J$19+$K$19)*N65+($I$20+$J$20+$K$20)*O65)</f>
        <v>0.333333333333333</v>
      </c>
      <c r="O66" s="21" t="n">
        <f aca="false">(M65*$K$18+N65*$K$19+O65*$K$20)/(($I$18+$J$18+$K$18)*M65+($I$19+$J$19+$K$19)*N65+($I$20+$J$20+$K$20)*O65)</f>
        <v>0.333333333333333</v>
      </c>
    </row>
    <row r="67" customFormat="false" ht="15" hidden="false" customHeight="false" outlineLevel="0" collapsed="false">
      <c r="A67" s="11" t="n">
        <v>47</v>
      </c>
      <c r="B67" s="23" t="n">
        <f aca="false">A_keep*B66+C_pass*D66</f>
        <v>4.47464024835914E-007</v>
      </c>
      <c r="C67" s="23" t="n">
        <f aca="false">C_pass*B66+A_keep*C66</f>
        <v>4.47464024826408E-007</v>
      </c>
      <c r="D67" s="23" t="n">
        <f aca="false">C_pass*C66+A_keep*D66</f>
        <v>4.47464024831161E-007</v>
      </c>
      <c r="E67" s="23" t="n">
        <f aca="false">SUM(B67:D67)</f>
        <v>1.34239207449348E-006</v>
      </c>
      <c r="F67" s="23" t="n">
        <f aca="false">F66+E67</f>
        <v>3.99999597282378</v>
      </c>
      <c r="H67" s="11" t="n">
        <v>44</v>
      </c>
      <c r="I67" s="21" t="n">
        <f aca="false">($I$18*I66+$J$18*J66+$K$18*K66)/(($I$18+$I$19+$I$20)*I66+($J$18+$J$19+$J$20)*J66+($K$18+$K$19+$K$20)*K66)</f>
        <v>0.333333333333333</v>
      </c>
      <c r="J67" s="21" t="n">
        <f aca="false">($I$19*I66+$J$19*J66+$K$19*K66)/(($I$18+$I$19+$I$20)*I66+($J$18+$J$19+$J$20)*J66+($K$18+$K$19+$K$20)*K66)</f>
        <v>0.333333333333333</v>
      </c>
      <c r="K67" s="21" t="n">
        <f aca="false">($I$20*I66+$J$20*J66+$K$20*K66)/(($I$18+$I$19+$I$20)*I66+($J$18+$J$19+$J$20)*J66+($K$18+$K$19+$K$20)*K66)</f>
        <v>0.333333333333333</v>
      </c>
      <c r="L67" s="21" t="n">
        <f aca="false">($I$18+$I$19+$I$20)*I67+($J$18+$J$19+$J$20)*J67+($K$18+$K$19+$K$20)*K67</f>
        <v>0.75</v>
      </c>
      <c r="M67" s="21" t="n">
        <f aca="false">(M66*$I$18+N66*$I$19+O66*$I$20)/(($I$18+$J$18+$K$18)*M66+($I$19+$J$19+$K$19)*N66+($I$20+$J$20+$K$20)*O66)</f>
        <v>0.333333333333333</v>
      </c>
      <c r="N67" s="21" t="n">
        <f aca="false">(M66*$J$18+N66*$J$19+O66*$J$20)/(($I$18+$J$18+$K$18)*M66+($I$19+$J$19+$K$19)*N66+($I$20+$J$20+$K$20)*O66)</f>
        <v>0.333333333333333</v>
      </c>
      <c r="O67" s="21" t="n">
        <f aca="false">(M66*$K$18+N66*$K$19+O66*$K$20)/(($I$18+$J$18+$K$18)*M66+($I$19+$J$19+$K$19)*N66+($I$20+$J$20+$K$20)*O66)</f>
        <v>0.333333333333333</v>
      </c>
    </row>
    <row r="68" customFormat="false" ht="15" hidden="false" customHeight="false" outlineLevel="0" collapsed="false">
      <c r="A68" s="11" t="n">
        <v>48</v>
      </c>
      <c r="B68" s="23" t="n">
        <f aca="false">A_keep*B67+C_pass*D67</f>
        <v>3.35598018625747E-007</v>
      </c>
      <c r="C68" s="23" t="n">
        <f aca="false">C_pass*B67+A_keep*C67</f>
        <v>3.35598018622182E-007</v>
      </c>
      <c r="D68" s="23" t="n">
        <f aca="false">C_pass*C67+A_keep*D67</f>
        <v>3.35598018622182E-007</v>
      </c>
      <c r="E68" s="23" t="n">
        <f aca="false">SUM(B68:D68)</f>
        <v>1.00679405587011E-006</v>
      </c>
      <c r="F68" s="23" t="n">
        <f aca="false">F67+E68</f>
        <v>3.99999697961783</v>
      </c>
      <c r="H68" s="11" t="n">
        <v>45</v>
      </c>
      <c r="I68" s="21" t="n">
        <f aca="false">($I$18*I67+$J$18*J67+$K$18*K67)/(($I$18+$I$19+$I$20)*I67+($J$18+$J$19+$J$20)*J67+($K$18+$K$19+$K$20)*K67)</f>
        <v>0.333333333333333</v>
      </c>
      <c r="J68" s="21" t="n">
        <f aca="false">($I$19*I67+$J$19*J67+$K$19*K67)/(($I$18+$I$19+$I$20)*I67+($J$18+$J$19+$J$20)*J67+($K$18+$K$19+$K$20)*K67)</f>
        <v>0.333333333333333</v>
      </c>
      <c r="K68" s="21" t="n">
        <f aca="false">($I$20*I67+$J$20*J67+$K$20*K67)/(($I$18+$I$19+$I$20)*I67+($J$18+$J$19+$J$20)*J67+($K$18+$K$19+$K$20)*K67)</f>
        <v>0.333333333333333</v>
      </c>
      <c r="L68" s="21" t="n">
        <f aca="false">($I$18+$I$19+$I$20)*I68+($J$18+$J$19+$J$20)*J68+($K$18+$K$19+$K$20)*K68</f>
        <v>0.75</v>
      </c>
      <c r="M68" s="21" t="n">
        <f aca="false">(M67*$I$18+N67*$I$19+O67*$I$20)/(($I$18+$J$18+$K$18)*M67+($I$19+$J$19+$K$19)*N67+($I$20+$J$20+$K$20)*O67)</f>
        <v>0.333333333333333</v>
      </c>
      <c r="N68" s="21" t="n">
        <f aca="false">(M67*$J$18+N67*$J$19+O67*$J$20)/(($I$18+$J$18+$K$18)*M67+($I$19+$J$19+$K$19)*N67+($I$20+$J$20+$K$20)*O67)</f>
        <v>0.333333333333333</v>
      </c>
      <c r="O68" s="21" t="n">
        <f aca="false">(M67*$K$18+N67*$K$19+O67*$K$20)/(($I$18+$J$18+$K$18)*M67+($I$19+$J$19+$K$19)*N67+($I$20+$J$20+$K$20)*O67)</f>
        <v>0.333333333333333</v>
      </c>
    </row>
    <row r="69" customFormat="false" ht="15" hidden="false" customHeight="false" outlineLevel="0" collapsed="false">
      <c r="A69" s="11" t="n">
        <v>49</v>
      </c>
      <c r="B69" s="23" t="n">
        <f aca="false">A_keep*B68+C_pass*D68</f>
        <v>2.51698513968419E-007</v>
      </c>
      <c r="C69" s="23" t="n">
        <f aca="false">C_pass*B68+A_keep*C68</f>
        <v>2.51698513967528E-007</v>
      </c>
      <c r="D69" s="23" t="n">
        <f aca="false">C_pass*C68+A_keep*D68</f>
        <v>2.51698513966637E-007</v>
      </c>
      <c r="E69" s="23" t="n">
        <f aca="false">SUM(B69:D69)</f>
        <v>7.55095541902584E-007</v>
      </c>
      <c r="F69" s="23" t="n">
        <f aca="false">F68+E69</f>
        <v>3.99999773471337</v>
      </c>
      <c r="H69" s="11" t="n">
        <v>46</v>
      </c>
      <c r="I69" s="21" t="n">
        <f aca="false">($I$18*I68+$J$18*J68+$K$18*K68)/(($I$18+$I$19+$I$20)*I68+($J$18+$J$19+$J$20)*J68+($K$18+$K$19+$K$20)*K68)</f>
        <v>0.333333333333333</v>
      </c>
      <c r="J69" s="21" t="n">
        <f aca="false">($I$19*I68+$J$19*J68+$K$19*K68)/(($I$18+$I$19+$I$20)*I68+($J$18+$J$19+$J$20)*J68+($K$18+$K$19+$K$20)*K68)</f>
        <v>0.333333333333333</v>
      </c>
      <c r="K69" s="21" t="n">
        <f aca="false">($I$20*I68+$J$20*J68+$K$20*K68)/(($I$18+$I$19+$I$20)*I68+($J$18+$J$19+$J$20)*J68+($K$18+$K$19+$K$20)*K68)</f>
        <v>0.333333333333333</v>
      </c>
      <c r="L69" s="21" t="n">
        <f aca="false">($I$18+$I$19+$I$20)*I69+($J$18+$J$19+$J$20)*J69+($K$18+$K$19+$K$20)*K69</f>
        <v>0.75</v>
      </c>
      <c r="M69" s="21" t="n">
        <f aca="false">(M68*$I$18+N68*$I$19+O68*$I$20)/(($I$18+$J$18+$K$18)*M68+($I$19+$J$19+$K$19)*N68+($I$20+$J$20+$K$20)*O68)</f>
        <v>0.333333333333333</v>
      </c>
      <c r="N69" s="21" t="n">
        <f aca="false">(M68*$J$18+N68*$J$19+O68*$J$20)/(($I$18+$J$18+$K$18)*M68+($I$19+$J$19+$K$19)*N68+($I$20+$J$20+$K$20)*O68)</f>
        <v>0.333333333333333</v>
      </c>
      <c r="O69" s="21" t="n">
        <f aca="false">(M68*$K$18+N68*$K$19+O68*$K$20)/(($I$18+$J$18+$K$18)*M68+($I$19+$J$19+$K$19)*N68+($I$20+$J$20+$K$20)*O68)</f>
        <v>0.333333333333333</v>
      </c>
    </row>
    <row r="70" customFormat="false" ht="15" hidden="false" customHeight="false" outlineLevel="0" collapsed="false">
      <c r="A70" s="11" t="n">
        <v>50</v>
      </c>
      <c r="B70" s="23" t="n">
        <f aca="false">A_keep*B69+C_pass*D69</f>
        <v>1.88773885475869E-007</v>
      </c>
      <c r="C70" s="23" t="n">
        <f aca="false">C_pass*B69+A_keep*C69</f>
        <v>1.88773885475869E-007</v>
      </c>
      <c r="D70" s="23" t="n">
        <f aca="false">C_pass*C69+A_keep*D69</f>
        <v>1.887738854752E-007</v>
      </c>
      <c r="E70" s="23" t="n">
        <f aca="false">SUM(B70:D70)</f>
        <v>5.66321656426938E-007</v>
      </c>
      <c r="F70" s="23" t="n">
        <f aca="false">F69+E70</f>
        <v>3.99999830103503</v>
      </c>
      <c r="H70" s="11" t="n">
        <v>47</v>
      </c>
      <c r="I70" s="21" t="n">
        <f aca="false">($I$18*I69+$J$18*J69+$K$18*K69)/(($I$18+$I$19+$I$20)*I69+($J$18+$J$19+$J$20)*J69+($K$18+$K$19+$K$20)*K69)</f>
        <v>0.333333333333333</v>
      </c>
      <c r="J70" s="21" t="n">
        <f aca="false">($I$19*I69+$J$19*J69+$K$19*K69)/(($I$18+$I$19+$I$20)*I69+($J$18+$J$19+$J$20)*J69+($K$18+$K$19+$K$20)*K69)</f>
        <v>0.333333333333333</v>
      </c>
      <c r="K70" s="21" t="n">
        <f aca="false">($I$20*I69+$J$20*J69+$K$20*K69)/(($I$18+$I$19+$I$20)*I69+($J$18+$J$19+$J$20)*J69+($K$18+$K$19+$K$20)*K69)</f>
        <v>0.333333333333333</v>
      </c>
      <c r="L70" s="21" t="n">
        <f aca="false">($I$18+$I$19+$I$20)*I70+($J$18+$J$19+$J$20)*J70+($K$18+$K$19+$K$20)*K70</f>
        <v>0.75</v>
      </c>
      <c r="M70" s="21" t="n">
        <f aca="false">(M69*$I$18+N69*$I$19+O69*$I$20)/(($I$18+$J$18+$K$18)*M69+($I$19+$J$19+$K$19)*N69+($I$20+$J$20+$K$20)*O69)</f>
        <v>0.333333333333333</v>
      </c>
      <c r="N70" s="21" t="n">
        <f aca="false">(M69*$J$18+N69*$J$19+O69*$J$20)/(($I$18+$J$18+$K$18)*M69+($I$19+$J$19+$K$19)*N69+($I$20+$J$20+$K$20)*O69)</f>
        <v>0.333333333333333</v>
      </c>
      <c r="O70" s="21" t="n">
        <f aca="false">(M69*$K$18+N69*$K$19+O69*$K$20)/(($I$18+$J$18+$K$18)*M69+($I$19+$J$19+$K$19)*N69+($I$20+$J$20+$K$20)*O69)</f>
        <v>0.333333333333333</v>
      </c>
    </row>
    <row r="71" customFormat="false" ht="15" hidden="false" customHeight="false" outlineLevel="0" collapsed="false">
      <c r="A71" s="11" t="n">
        <v>51</v>
      </c>
      <c r="B71" s="23" t="n">
        <f aca="false">A_keep*B70+C_pass*D70</f>
        <v>1.41580414106734E-007</v>
      </c>
      <c r="C71" s="23" t="n">
        <f aca="false">C_pass*B70+A_keep*C70</f>
        <v>1.41580414106902E-007</v>
      </c>
      <c r="D71" s="23" t="n">
        <f aca="false">C_pass*C70+A_keep*D70</f>
        <v>1.41580414106567E-007</v>
      </c>
      <c r="E71" s="23" t="n">
        <f aca="false">SUM(B71:D71)</f>
        <v>4.24741242320203E-007</v>
      </c>
      <c r="F71" s="23" t="n">
        <f aca="false">F70+E71</f>
        <v>3.99999872577627</v>
      </c>
      <c r="H71" s="11" t="n">
        <v>48</v>
      </c>
      <c r="I71" s="21" t="n">
        <f aca="false">($I$18*I70+$J$18*J70+$K$18*K70)/(($I$18+$I$19+$I$20)*I70+($J$18+$J$19+$J$20)*J70+($K$18+$K$19+$K$20)*K70)</f>
        <v>0.333333333333333</v>
      </c>
      <c r="J71" s="21" t="n">
        <f aca="false">($I$19*I70+$J$19*J70+$K$19*K70)/(($I$18+$I$19+$I$20)*I70+($J$18+$J$19+$J$20)*J70+($K$18+$K$19+$K$20)*K70)</f>
        <v>0.333333333333333</v>
      </c>
      <c r="K71" s="21" t="n">
        <f aca="false">($I$20*I70+$J$20*J70+$K$20*K70)/(($I$18+$I$19+$I$20)*I70+($J$18+$J$19+$J$20)*J70+($K$18+$K$19+$K$20)*K70)</f>
        <v>0.333333333333333</v>
      </c>
      <c r="L71" s="21" t="n">
        <f aca="false">($I$18+$I$19+$I$20)*I71+($J$18+$J$19+$J$20)*J71+($K$18+$K$19+$K$20)*K71</f>
        <v>0.75</v>
      </c>
      <c r="M71" s="21" t="n">
        <f aca="false">(M70*$I$18+N70*$I$19+O70*$I$20)/(($I$18+$J$18+$K$18)*M70+($I$19+$J$19+$K$19)*N70+($I$20+$J$20+$K$20)*O70)</f>
        <v>0.333333333333333</v>
      </c>
      <c r="N71" s="21" t="n">
        <f aca="false">(M70*$J$18+N70*$J$19+O70*$J$20)/(($I$18+$J$18+$K$18)*M70+($I$19+$J$19+$K$19)*N70+($I$20+$J$20+$K$20)*O70)</f>
        <v>0.333333333333333</v>
      </c>
      <c r="O71" s="21" t="n">
        <f aca="false">(M70*$K$18+N70*$K$19+O70*$K$20)/(($I$18+$J$18+$K$18)*M70+($I$19+$J$19+$K$19)*N70+($I$20+$J$20+$K$20)*O70)</f>
        <v>0.333333333333333</v>
      </c>
    </row>
    <row r="72" customFormat="false" ht="15" hidden="false" customHeight="false" outlineLevel="0" collapsed="false">
      <c r="A72" s="11" t="n">
        <v>52</v>
      </c>
      <c r="B72" s="23" t="n">
        <f aca="false">A_keep*B71+C_pass*D71</f>
        <v>1.06185310580009E-007</v>
      </c>
      <c r="C72" s="23" t="n">
        <f aca="false">C_pass*B71+A_keep*C71</f>
        <v>1.06185310580134E-007</v>
      </c>
      <c r="D72" s="23" t="n">
        <f aca="false">C_pass*C71+A_keep*D71</f>
        <v>1.06185310580009E-007</v>
      </c>
      <c r="E72" s="23" t="n">
        <f aca="false">SUM(B72:D72)</f>
        <v>3.18555931740152E-007</v>
      </c>
      <c r="F72" s="23" t="n">
        <f aca="false">F71+E72</f>
        <v>3.9999990443322</v>
      </c>
      <c r="H72" s="11" t="n">
        <v>49</v>
      </c>
      <c r="I72" s="21" t="n">
        <f aca="false">($I$18*I71+$J$18*J71+$K$18*K71)/(($I$18+$I$19+$I$20)*I71+($J$18+$J$19+$J$20)*J71+($K$18+$K$19+$K$20)*K71)</f>
        <v>0.333333333333333</v>
      </c>
      <c r="J72" s="21" t="n">
        <f aca="false">($I$19*I71+$J$19*J71+$K$19*K71)/(($I$18+$I$19+$I$20)*I71+($J$18+$J$19+$J$20)*J71+($K$18+$K$19+$K$20)*K71)</f>
        <v>0.333333333333333</v>
      </c>
      <c r="K72" s="21" t="n">
        <f aca="false">($I$20*I71+$J$20*J71+$K$20*K71)/(($I$18+$I$19+$I$20)*I71+($J$18+$J$19+$J$20)*J71+($K$18+$K$19+$K$20)*K71)</f>
        <v>0.333333333333333</v>
      </c>
      <c r="L72" s="21" t="n">
        <f aca="false">($I$18+$I$19+$I$20)*I72+($J$18+$J$19+$J$20)*J72+($K$18+$K$19+$K$20)*K72</f>
        <v>0.75</v>
      </c>
      <c r="M72" s="21" t="n">
        <f aca="false">(M71*$I$18+N71*$I$19+O71*$I$20)/(($I$18+$J$18+$K$18)*M71+($I$19+$J$19+$K$19)*N71+($I$20+$J$20+$K$20)*O71)</f>
        <v>0.333333333333333</v>
      </c>
      <c r="N72" s="21" t="n">
        <f aca="false">(M71*$J$18+N71*$J$19+O71*$J$20)/(($I$18+$J$18+$K$18)*M71+($I$19+$J$19+$K$19)*N71+($I$20+$J$20+$K$20)*O71)</f>
        <v>0.333333333333333</v>
      </c>
      <c r="O72" s="21" t="n">
        <f aca="false">(M71*$K$18+N71*$K$19+O71*$K$20)/(($I$18+$J$18+$K$18)*M71+($I$19+$J$19+$K$19)*N71+($I$20+$J$20+$K$20)*O71)</f>
        <v>0.333333333333333</v>
      </c>
    </row>
    <row r="73" customFormat="false" ht="15" hidden="false" customHeight="false" outlineLevel="0" collapsed="false">
      <c r="A73" s="11" t="n">
        <v>53</v>
      </c>
      <c r="B73" s="23" t="n">
        <f aca="false">A_keep*B72+C_pass*D72</f>
        <v>7.96389829350068E-008</v>
      </c>
      <c r="C73" s="23" t="n">
        <f aca="false">C_pass*B72+A_keep*C72</f>
        <v>7.96389829350694E-008</v>
      </c>
      <c r="D73" s="23" t="n">
        <f aca="false">C_pass*C72+A_keep*D72</f>
        <v>7.96389829350381E-008</v>
      </c>
      <c r="E73" s="23" t="n">
        <f aca="false">SUM(B73:D73)</f>
        <v>2.38916948805114E-007</v>
      </c>
      <c r="F73" s="23" t="n">
        <f aca="false">F72+E73</f>
        <v>3.99999928324915</v>
      </c>
      <c r="H73" s="11" t="n">
        <v>50</v>
      </c>
      <c r="I73" s="21" t="n">
        <f aca="false">($I$18*I72+$J$18*J72+$K$18*K72)/(($I$18+$I$19+$I$20)*I72+($J$18+$J$19+$J$20)*J72+($K$18+$K$19+$K$20)*K72)</f>
        <v>0.333333333333333</v>
      </c>
      <c r="J73" s="21" t="n">
        <f aca="false">($I$19*I72+$J$19*J72+$K$19*K72)/(($I$18+$I$19+$I$20)*I72+($J$18+$J$19+$J$20)*J72+($K$18+$K$19+$K$20)*K72)</f>
        <v>0.333333333333333</v>
      </c>
      <c r="K73" s="21" t="n">
        <f aca="false">($I$20*I72+$J$20*J72+$K$20*K72)/(($I$18+$I$19+$I$20)*I72+($J$18+$J$19+$J$20)*J72+($K$18+$K$19+$K$20)*K72)</f>
        <v>0.333333333333333</v>
      </c>
      <c r="L73" s="21" t="n">
        <f aca="false">($I$18+$I$19+$I$20)*I73+($J$18+$J$19+$J$20)*J73+($K$18+$K$19+$K$20)*K73</f>
        <v>0.75</v>
      </c>
      <c r="M73" s="21" t="n">
        <f aca="false">(M72*$I$18+N72*$I$19+O72*$I$20)/(($I$18+$J$18+$K$18)*M72+($I$19+$J$19+$K$19)*N72+($I$20+$J$20+$K$20)*O72)</f>
        <v>0.333333333333333</v>
      </c>
      <c r="N73" s="21" t="n">
        <f aca="false">(M72*$J$18+N72*$J$19+O72*$J$20)/(($I$18+$J$18+$K$18)*M72+($I$19+$J$19+$K$19)*N72+($I$20+$J$20+$K$20)*O72)</f>
        <v>0.333333333333333</v>
      </c>
      <c r="O73" s="21" t="n">
        <f aca="false">(M72*$K$18+N72*$K$19+O72*$K$20)/(($I$18+$J$18+$K$18)*M72+($I$19+$J$19+$K$19)*N72+($I$20+$J$20+$K$20)*O72)</f>
        <v>0.333333333333333</v>
      </c>
    </row>
    <row r="74" customFormat="false" ht="15" hidden="false" customHeight="false" outlineLevel="0" collapsed="false">
      <c r="A74" s="11" t="n">
        <v>54</v>
      </c>
      <c r="B74" s="23" t="n">
        <f aca="false">A_keep*B73+C_pass*D73</f>
        <v>5.97292372012629E-008</v>
      </c>
      <c r="C74" s="23" t="n">
        <f aca="false">C_pass*B73+A_keep*C73</f>
        <v>5.97292372012864E-008</v>
      </c>
      <c r="D74" s="23" t="n">
        <f aca="false">C_pass*C73+A_keep*D73</f>
        <v>5.97292372012864E-008</v>
      </c>
      <c r="E74" s="23" t="n">
        <f aca="false">SUM(B74:D74)</f>
        <v>1.79187711603836E-007</v>
      </c>
      <c r="F74" s="23" t="n">
        <f aca="false">F73+E74</f>
        <v>3.99999946243686</v>
      </c>
      <c r="H74" s="11" t="n">
        <v>51</v>
      </c>
      <c r="I74" s="21" t="n">
        <f aca="false">($I$18*I73+$J$18*J73+$K$18*K73)/(($I$18+$I$19+$I$20)*I73+($J$18+$J$19+$J$20)*J73+($K$18+$K$19+$K$20)*K73)</f>
        <v>0.333333333333333</v>
      </c>
      <c r="J74" s="21" t="n">
        <f aca="false">($I$19*I73+$J$19*J73+$K$19*K73)/(($I$18+$I$19+$I$20)*I73+($J$18+$J$19+$J$20)*J73+($K$18+$K$19+$K$20)*K73)</f>
        <v>0.333333333333333</v>
      </c>
      <c r="K74" s="21" t="n">
        <f aca="false">($I$20*I73+$J$20*J73+$K$20*K73)/(($I$18+$I$19+$I$20)*I73+($J$18+$J$19+$J$20)*J73+($K$18+$K$19+$K$20)*K73)</f>
        <v>0.333333333333333</v>
      </c>
      <c r="L74" s="21" t="n">
        <f aca="false">($I$18+$I$19+$I$20)*I74+($J$18+$J$19+$J$20)*J74+($K$18+$K$19+$K$20)*K74</f>
        <v>0.75</v>
      </c>
      <c r="M74" s="21" t="n">
        <f aca="false">(M73*$I$18+N73*$I$19+O73*$I$20)/(($I$18+$J$18+$K$18)*M73+($I$19+$J$19+$K$19)*N73+($I$20+$J$20+$K$20)*O73)</f>
        <v>0.333333333333333</v>
      </c>
      <c r="N74" s="21" t="n">
        <f aca="false">(M73*$J$18+N73*$J$19+O73*$J$20)/(($I$18+$J$18+$K$18)*M73+($I$19+$J$19+$K$19)*N73+($I$20+$J$20+$K$20)*O73)</f>
        <v>0.333333333333333</v>
      </c>
      <c r="O74" s="21" t="n">
        <f aca="false">(M73*$K$18+N73*$K$19+O73*$K$20)/(($I$18+$J$18+$K$18)*M73+($I$19+$J$19+$K$19)*N73+($I$20+$J$20+$K$20)*O73)</f>
        <v>0.333333333333333</v>
      </c>
    </row>
    <row r="75" customFormat="false" ht="15" hidden="false" customHeight="false" outlineLevel="0" collapsed="false">
      <c r="A75" s="11" t="n">
        <v>55</v>
      </c>
      <c r="B75" s="23" t="n">
        <f aca="false">A_keep*B74+C_pass*D74</f>
        <v>4.47969279009531E-008</v>
      </c>
      <c r="C75" s="23" t="n">
        <f aca="false">C_pass*B74+A_keep*C74</f>
        <v>4.47969279009589E-008</v>
      </c>
      <c r="D75" s="23" t="n">
        <f aca="false">C_pass*C74+A_keep*D74</f>
        <v>4.47969279009648E-008</v>
      </c>
      <c r="E75" s="23" t="n">
        <f aca="false">SUM(B75:D75)</f>
        <v>1.34390783702877E-007</v>
      </c>
      <c r="F75" s="23" t="n">
        <f aca="false">F74+E75</f>
        <v>3.99999959682765</v>
      </c>
      <c r="H75" s="11" t="n">
        <v>52</v>
      </c>
      <c r="I75" s="21" t="n">
        <f aca="false">($I$18*I74+$J$18*J74+$K$18*K74)/(($I$18+$I$19+$I$20)*I74+($J$18+$J$19+$J$20)*J74+($K$18+$K$19+$K$20)*K74)</f>
        <v>0.333333333333333</v>
      </c>
      <c r="J75" s="21" t="n">
        <f aca="false">($I$19*I74+$J$19*J74+$K$19*K74)/(($I$18+$I$19+$I$20)*I74+($J$18+$J$19+$J$20)*J74+($K$18+$K$19+$K$20)*K74)</f>
        <v>0.333333333333333</v>
      </c>
      <c r="K75" s="21" t="n">
        <f aca="false">($I$20*I74+$J$20*J74+$K$20*K74)/(($I$18+$I$19+$I$20)*I74+($J$18+$J$19+$J$20)*J74+($K$18+$K$19+$K$20)*K74)</f>
        <v>0.333333333333333</v>
      </c>
      <c r="L75" s="21" t="n">
        <f aca="false">($I$18+$I$19+$I$20)*I75+($J$18+$J$19+$J$20)*J75+($K$18+$K$19+$K$20)*K75</f>
        <v>0.75</v>
      </c>
      <c r="M75" s="21" t="n">
        <f aca="false">(M74*$I$18+N74*$I$19+O74*$I$20)/(($I$18+$J$18+$K$18)*M74+($I$19+$J$19+$K$19)*N74+($I$20+$J$20+$K$20)*O74)</f>
        <v>0.333333333333333</v>
      </c>
      <c r="N75" s="21" t="n">
        <f aca="false">(M74*$J$18+N74*$J$19+O74*$J$20)/(($I$18+$J$18+$K$18)*M74+($I$19+$J$19+$K$19)*N74+($I$20+$J$20+$K$20)*O74)</f>
        <v>0.333333333333333</v>
      </c>
      <c r="O75" s="21" t="n">
        <f aca="false">(M74*$K$18+N74*$K$19+O74*$K$20)/(($I$18+$J$18+$K$18)*M74+($I$19+$J$19+$K$19)*N74+($I$20+$J$20+$K$20)*O74)</f>
        <v>0.333333333333333</v>
      </c>
    </row>
    <row r="76" customFormat="false" ht="15" hidden="false" customHeight="false" outlineLevel="0" collapsed="false">
      <c r="A76" s="11" t="n">
        <v>56</v>
      </c>
      <c r="B76" s="23" t="n">
        <f aca="false">A_keep*B75+C_pass*D75</f>
        <v>3.35976959257177E-008</v>
      </c>
      <c r="C76" s="23" t="n">
        <f aca="false">C_pass*B75+A_keep*C75</f>
        <v>3.35976959257177E-008</v>
      </c>
      <c r="D76" s="23" t="n">
        <f aca="false">C_pass*C75+A_keep*D75</f>
        <v>3.35976959257221E-008</v>
      </c>
      <c r="E76" s="23" t="n">
        <f aca="false">SUM(B76:D76)</f>
        <v>1.00793087777158E-007</v>
      </c>
      <c r="F76" s="23" t="n">
        <f aca="false">F75+E76</f>
        <v>3.99999969762074</v>
      </c>
      <c r="H76" s="11" t="n">
        <v>53</v>
      </c>
      <c r="I76" s="21" t="n">
        <f aca="false">($I$18*I75+$J$18*J75+$K$18*K75)/(($I$18+$I$19+$I$20)*I75+($J$18+$J$19+$J$20)*J75+($K$18+$K$19+$K$20)*K75)</f>
        <v>0.333333333333333</v>
      </c>
      <c r="J76" s="21" t="n">
        <f aca="false">($I$19*I75+$J$19*J75+$K$19*K75)/(($I$18+$I$19+$I$20)*I75+($J$18+$J$19+$J$20)*J75+($K$18+$K$19+$K$20)*K75)</f>
        <v>0.333333333333333</v>
      </c>
      <c r="K76" s="21" t="n">
        <f aca="false">($I$20*I75+$J$20*J75+$K$20*K75)/(($I$18+$I$19+$I$20)*I75+($J$18+$J$19+$J$20)*J75+($K$18+$K$19+$K$20)*K75)</f>
        <v>0.333333333333333</v>
      </c>
      <c r="L76" s="21" t="n">
        <f aca="false">($I$18+$I$19+$I$20)*I76+($J$18+$J$19+$J$20)*J76+($K$18+$K$19+$K$20)*K76</f>
        <v>0.75</v>
      </c>
      <c r="M76" s="21" t="n">
        <f aca="false">(M75*$I$18+N75*$I$19+O75*$I$20)/(($I$18+$J$18+$K$18)*M75+($I$19+$J$19+$K$19)*N75+($I$20+$J$20+$K$20)*O75)</f>
        <v>0.333333333333333</v>
      </c>
      <c r="N76" s="21" t="n">
        <f aca="false">(M75*$J$18+N75*$J$19+O75*$J$20)/(($I$18+$J$18+$K$18)*M75+($I$19+$J$19+$K$19)*N75+($I$20+$J$20+$K$20)*O75)</f>
        <v>0.333333333333333</v>
      </c>
      <c r="O76" s="21" t="n">
        <f aca="false">(M75*$K$18+N75*$K$19+O75*$K$20)/(($I$18+$J$18+$K$18)*M75+($I$19+$J$19+$K$19)*N75+($I$20+$J$20+$K$20)*O75)</f>
        <v>0.333333333333333</v>
      </c>
    </row>
    <row r="77" customFormat="false" ht="15" hidden="false" customHeight="false" outlineLevel="0" collapsed="false">
      <c r="A77" s="11" t="n">
        <v>57</v>
      </c>
      <c r="B77" s="23" t="n">
        <f aca="false">A_keep*B76+C_pass*D76</f>
        <v>2.51982719442894E-008</v>
      </c>
      <c r="C77" s="23" t="n">
        <f aca="false">C_pass*B76+A_keep*C76</f>
        <v>2.51982719442883E-008</v>
      </c>
      <c r="D77" s="23" t="n">
        <f aca="false">C_pass*C76+A_keep*D76</f>
        <v>2.51982719442905E-008</v>
      </c>
      <c r="E77" s="23" t="n">
        <f aca="false">SUM(B77:D77)</f>
        <v>7.55948158328682E-008</v>
      </c>
      <c r="F77" s="23" t="n">
        <f aca="false">F76+E77</f>
        <v>3.99999977321555</v>
      </c>
      <c r="H77" s="11" t="n">
        <v>54</v>
      </c>
      <c r="I77" s="21" t="n">
        <f aca="false">($I$18*I76+$J$18*J76+$K$18*K76)/(($I$18+$I$19+$I$20)*I76+($J$18+$J$19+$J$20)*J76+($K$18+$K$19+$K$20)*K76)</f>
        <v>0.333333333333333</v>
      </c>
      <c r="J77" s="21" t="n">
        <f aca="false">($I$19*I76+$J$19*J76+$K$19*K76)/(($I$18+$I$19+$I$20)*I76+($J$18+$J$19+$J$20)*J76+($K$18+$K$19+$K$20)*K76)</f>
        <v>0.333333333333333</v>
      </c>
      <c r="K77" s="21" t="n">
        <f aca="false">($I$20*I76+$J$20*J76+$K$20*K76)/(($I$18+$I$19+$I$20)*I76+($J$18+$J$19+$J$20)*J76+($K$18+$K$19+$K$20)*K76)</f>
        <v>0.333333333333333</v>
      </c>
      <c r="L77" s="21" t="n">
        <f aca="false">($I$18+$I$19+$I$20)*I77+($J$18+$J$19+$J$20)*J77+($K$18+$K$19+$K$20)*K77</f>
        <v>0.75</v>
      </c>
      <c r="M77" s="21" t="n">
        <f aca="false">(M76*$I$18+N76*$I$19+O76*$I$20)/(($I$18+$J$18+$K$18)*M76+($I$19+$J$19+$K$19)*N76+($I$20+$J$20+$K$20)*O76)</f>
        <v>0.333333333333333</v>
      </c>
      <c r="N77" s="21" t="n">
        <f aca="false">(M76*$J$18+N76*$J$19+O76*$J$20)/(($I$18+$J$18+$K$18)*M76+($I$19+$J$19+$K$19)*N76+($I$20+$J$20+$K$20)*O76)</f>
        <v>0.333333333333333</v>
      </c>
      <c r="O77" s="21" t="n">
        <f aca="false">(M76*$K$18+N76*$K$19+O76*$K$20)/(($I$18+$J$18+$K$18)*M76+($I$19+$J$19+$K$19)*N76+($I$20+$J$20+$K$20)*O76)</f>
        <v>0.333333333333333</v>
      </c>
    </row>
    <row r="78" customFormat="false" ht="15" hidden="false" customHeight="false" outlineLevel="0" collapsed="false">
      <c r="A78" s="11" t="n">
        <v>58</v>
      </c>
      <c r="B78" s="23" t="n">
        <f aca="false">A_keep*B77+C_pass*D77</f>
        <v>1.88987039582173E-008</v>
      </c>
      <c r="C78" s="23" t="n">
        <f aca="false">C_pass*B77+A_keep*C77</f>
        <v>1.88987039582165E-008</v>
      </c>
      <c r="D78" s="23" t="n">
        <f aca="false">C_pass*C77+A_keep*D77</f>
        <v>1.88987039582173E-008</v>
      </c>
      <c r="E78" s="23" t="n">
        <f aca="false">SUM(B78:D78)</f>
        <v>5.66961118746512E-008</v>
      </c>
      <c r="F78" s="23" t="n">
        <f aca="false">F77+E78</f>
        <v>3.99999982991166</v>
      </c>
      <c r="H78" s="11" t="n">
        <v>55</v>
      </c>
      <c r="I78" s="21" t="n">
        <f aca="false">($I$18*I77+$J$18*J77+$K$18*K77)/(($I$18+$I$19+$I$20)*I77+($J$18+$J$19+$J$20)*J77+($K$18+$K$19+$K$20)*K77)</f>
        <v>0.333333333333333</v>
      </c>
      <c r="J78" s="21" t="n">
        <f aca="false">($I$19*I77+$J$19*J77+$K$19*K77)/(($I$18+$I$19+$I$20)*I77+($J$18+$J$19+$J$20)*J77+($K$18+$K$19+$K$20)*K77)</f>
        <v>0.333333333333333</v>
      </c>
      <c r="K78" s="21" t="n">
        <f aca="false">($I$20*I77+$J$20*J77+$K$20*K77)/(($I$18+$I$19+$I$20)*I77+($J$18+$J$19+$J$20)*J77+($K$18+$K$19+$K$20)*K77)</f>
        <v>0.333333333333333</v>
      </c>
      <c r="L78" s="21" t="n">
        <f aca="false">($I$18+$I$19+$I$20)*I78+($J$18+$J$19+$J$20)*J78+($K$18+$K$19+$K$20)*K78</f>
        <v>0.75</v>
      </c>
      <c r="M78" s="21" t="n">
        <f aca="false">(M77*$I$18+N77*$I$19+O77*$I$20)/(($I$18+$J$18+$K$18)*M77+($I$19+$J$19+$K$19)*N77+($I$20+$J$20+$K$20)*O77)</f>
        <v>0.333333333333333</v>
      </c>
      <c r="N78" s="21" t="n">
        <f aca="false">(M77*$J$18+N77*$J$19+O77*$J$20)/(($I$18+$J$18+$K$18)*M77+($I$19+$J$19+$K$19)*N77+($I$20+$J$20+$K$20)*O77)</f>
        <v>0.333333333333333</v>
      </c>
      <c r="O78" s="21" t="n">
        <f aca="false">(M77*$K$18+N77*$K$19+O77*$K$20)/(($I$18+$J$18+$K$18)*M77+($I$19+$J$19+$K$19)*N77+($I$20+$J$20+$K$20)*O77)</f>
        <v>0.333333333333333</v>
      </c>
    </row>
    <row r="79" customFormat="false" ht="15" hidden="false" customHeight="false" outlineLevel="0" collapsed="false">
      <c r="A79" s="11" t="n">
        <v>59</v>
      </c>
      <c r="B79" s="23" t="n">
        <f aca="false">A_keep*B78+C_pass*D78</f>
        <v>1.4174027968663E-008</v>
      </c>
      <c r="C79" s="23" t="n">
        <f aca="false">C_pass*B78+A_keep*C78</f>
        <v>1.41740279686626E-008</v>
      </c>
      <c r="D79" s="23" t="n">
        <f aca="false">C_pass*C78+A_keep*D78</f>
        <v>1.41740279686628E-008</v>
      </c>
      <c r="E79" s="23" t="n">
        <f aca="false">SUM(B79:D79)</f>
        <v>4.25220839059884E-008</v>
      </c>
      <c r="F79" s="23" t="n">
        <f aca="false">F78+E79</f>
        <v>3.99999987243375</v>
      </c>
      <c r="H79" s="11" t="n">
        <v>56</v>
      </c>
      <c r="I79" s="21" t="n">
        <f aca="false">($I$18*I78+$J$18*J78+$K$18*K78)/(($I$18+$I$19+$I$20)*I78+($J$18+$J$19+$J$20)*J78+($K$18+$K$19+$K$20)*K78)</f>
        <v>0.333333333333333</v>
      </c>
      <c r="J79" s="21" t="n">
        <f aca="false">($I$19*I78+$J$19*J78+$K$19*K78)/(($I$18+$I$19+$I$20)*I78+($J$18+$J$19+$J$20)*J78+($K$18+$K$19+$K$20)*K78)</f>
        <v>0.333333333333333</v>
      </c>
      <c r="K79" s="21" t="n">
        <f aca="false">($I$20*I78+$J$20*J78+$K$20*K78)/(($I$18+$I$19+$I$20)*I78+($J$18+$J$19+$J$20)*J78+($K$18+$K$19+$K$20)*K78)</f>
        <v>0.333333333333333</v>
      </c>
      <c r="L79" s="21" t="n">
        <f aca="false">($I$18+$I$19+$I$20)*I79+($J$18+$J$19+$J$20)*J79+($K$18+$K$19+$K$20)*K79</f>
        <v>0.75</v>
      </c>
      <c r="M79" s="21" t="n">
        <f aca="false">(M78*$I$18+N78*$I$19+O78*$I$20)/(($I$18+$J$18+$K$18)*M78+($I$19+$J$19+$K$19)*N78+($I$20+$J$20+$K$20)*O78)</f>
        <v>0.333333333333333</v>
      </c>
      <c r="N79" s="21" t="n">
        <f aca="false">(M78*$J$18+N78*$J$19+O78*$J$20)/(($I$18+$J$18+$K$18)*M78+($I$19+$J$19+$K$19)*N78+($I$20+$J$20+$K$20)*O78)</f>
        <v>0.333333333333333</v>
      </c>
      <c r="O79" s="21" t="n">
        <f aca="false">(M78*$K$18+N78*$K$19+O78*$K$20)/(($I$18+$J$18+$K$18)*M78+($I$19+$J$19+$K$19)*N78+($I$20+$J$20+$K$20)*O78)</f>
        <v>0.333333333333333</v>
      </c>
    </row>
    <row r="80" customFormat="false" ht="15" hidden="false" customHeight="false" outlineLevel="0" collapsed="false">
      <c r="A80" s="11" t="n">
        <v>60</v>
      </c>
      <c r="B80" s="23" t="n">
        <f aca="false">A_keep*B79+C_pass*D79</f>
        <v>1.06305209764972E-008</v>
      </c>
      <c r="C80" s="23" t="n">
        <f aca="false">C_pass*B79+A_keep*C79</f>
        <v>1.0630520976497E-008</v>
      </c>
      <c r="D80" s="23" t="n">
        <f aca="false">C_pass*C79+A_keep*D79</f>
        <v>1.0630520976497E-008</v>
      </c>
      <c r="E80" s="23" t="n">
        <f aca="false">SUM(B80:D80)</f>
        <v>3.18915629294913E-008</v>
      </c>
      <c r="F80" s="23" t="n">
        <f aca="false">F79+E80</f>
        <v>3.99999990432531</v>
      </c>
      <c r="H80" s="11" t="n">
        <v>57</v>
      </c>
      <c r="I80" s="21" t="n">
        <f aca="false">($I$18*I79+$J$18*J79+$K$18*K79)/(($I$18+$I$19+$I$20)*I79+($J$18+$J$19+$J$20)*J79+($K$18+$K$19+$K$20)*K79)</f>
        <v>0.333333333333333</v>
      </c>
      <c r="J80" s="21" t="n">
        <f aca="false">($I$19*I79+$J$19*J79+$K$19*K79)/(($I$18+$I$19+$I$20)*I79+($J$18+$J$19+$J$20)*J79+($K$18+$K$19+$K$20)*K79)</f>
        <v>0.333333333333333</v>
      </c>
      <c r="K80" s="21" t="n">
        <f aca="false">($I$20*I79+$J$20*J79+$K$20*K79)/(($I$18+$I$19+$I$20)*I79+($J$18+$J$19+$J$20)*J79+($K$18+$K$19+$K$20)*K79)</f>
        <v>0.333333333333333</v>
      </c>
      <c r="L80" s="21" t="n">
        <f aca="false">($I$18+$I$19+$I$20)*I80+($J$18+$J$19+$J$20)*J80+($K$18+$K$19+$K$20)*K80</f>
        <v>0.75</v>
      </c>
      <c r="M80" s="21" t="n">
        <f aca="false">(M79*$I$18+N79*$I$19+O79*$I$20)/(($I$18+$J$18+$K$18)*M79+($I$19+$J$19+$K$19)*N79+($I$20+$J$20+$K$20)*O79)</f>
        <v>0.333333333333333</v>
      </c>
      <c r="N80" s="21" t="n">
        <f aca="false">(M79*$J$18+N79*$J$19+O79*$J$20)/(($I$18+$J$18+$K$18)*M79+($I$19+$J$19+$K$19)*N79+($I$20+$J$20+$K$20)*O79)</f>
        <v>0.333333333333333</v>
      </c>
      <c r="O80" s="21" t="n">
        <f aca="false">(M79*$K$18+N79*$K$19+O79*$K$20)/(($I$18+$J$18+$K$18)*M79+($I$19+$J$19+$K$19)*N79+($I$20+$J$20+$K$20)*O79)</f>
        <v>0.333333333333333</v>
      </c>
    </row>
    <row r="81" customFormat="false" ht="15" hidden="false" customHeight="false" outlineLevel="0" collapsed="false">
      <c r="A81" s="11" t="n">
        <v>61</v>
      </c>
      <c r="B81" s="23" t="n">
        <f aca="false">A_keep*B80+C_pass*D80</f>
        <v>7.97289073237286E-009</v>
      </c>
      <c r="C81" s="23" t="n">
        <f aca="false">C_pass*B80+A_keep*C80</f>
        <v>7.97289073237282E-009</v>
      </c>
      <c r="D81" s="23" t="n">
        <f aca="false">C_pass*C80+A_keep*D80</f>
        <v>7.97289073237278E-009</v>
      </c>
      <c r="E81" s="23" t="n">
        <f aca="false">SUM(B81:D81)</f>
        <v>2.39186721971185E-008</v>
      </c>
      <c r="F81" s="23" t="n">
        <f aca="false">F80+E81</f>
        <v>3.99999992824398</v>
      </c>
      <c r="H81" s="11" t="n">
        <v>58</v>
      </c>
      <c r="I81" s="21" t="n">
        <f aca="false">($I$18*I80+$J$18*J80+$K$18*K80)/(($I$18+$I$19+$I$20)*I80+($J$18+$J$19+$J$20)*J80+($K$18+$K$19+$K$20)*K80)</f>
        <v>0.333333333333333</v>
      </c>
      <c r="J81" s="21" t="n">
        <f aca="false">($I$19*I80+$J$19*J80+$K$19*K80)/(($I$18+$I$19+$I$20)*I80+($J$18+$J$19+$J$20)*J80+($K$18+$K$19+$K$20)*K80)</f>
        <v>0.333333333333333</v>
      </c>
      <c r="K81" s="21" t="n">
        <f aca="false">($I$20*I80+$J$20*J80+$K$20*K80)/(($I$18+$I$19+$I$20)*I80+($J$18+$J$19+$J$20)*J80+($K$18+$K$19+$K$20)*K80)</f>
        <v>0.333333333333333</v>
      </c>
      <c r="L81" s="21" t="n">
        <f aca="false">($I$18+$I$19+$I$20)*I81+($J$18+$J$19+$J$20)*J81+($K$18+$K$19+$K$20)*K81</f>
        <v>0.75</v>
      </c>
      <c r="M81" s="21" t="n">
        <f aca="false">(M80*$I$18+N80*$I$19+O80*$I$20)/(($I$18+$J$18+$K$18)*M80+($I$19+$J$19+$K$19)*N80+($I$20+$J$20+$K$20)*O80)</f>
        <v>0.333333333333333</v>
      </c>
      <c r="N81" s="21" t="n">
        <f aca="false">(M80*$J$18+N80*$J$19+O80*$J$20)/(($I$18+$J$18+$K$18)*M80+($I$19+$J$19+$K$19)*N80+($I$20+$J$20+$K$20)*O80)</f>
        <v>0.333333333333333</v>
      </c>
      <c r="O81" s="21" t="n">
        <f aca="false">(M80*$K$18+N80*$K$19+O80*$K$20)/(($I$18+$J$18+$K$18)*M80+($I$19+$J$19+$K$19)*N80+($I$20+$J$20+$K$20)*O80)</f>
        <v>0.333333333333333</v>
      </c>
    </row>
    <row r="82" customFormat="false" ht="15" hidden="false" customHeight="false" outlineLevel="0" collapsed="false">
      <c r="A82" s="11" t="n">
        <v>62</v>
      </c>
      <c r="B82" s="23" t="n">
        <f aca="false">A_keep*B81+C_pass*D81</f>
        <v>5.97966804927962E-009</v>
      </c>
      <c r="C82" s="23" t="n">
        <f aca="false">C_pass*B81+A_keep*C81</f>
        <v>5.97966804927962E-009</v>
      </c>
      <c r="D82" s="23" t="n">
        <f aca="false">C_pass*C81+A_keep*D81</f>
        <v>5.9796680492796E-009</v>
      </c>
      <c r="E82" s="23" t="n">
        <f aca="false">SUM(B82:D82)</f>
        <v>1.79390041478388E-008</v>
      </c>
      <c r="F82" s="23" t="n">
        <f aca="false">F81+E82</f>
        <v>3.99999994618299</v>
      </c>
      <c r="H82" s="11" t="n">
        <v>59</v>
      </c>
      <c r="I82" s="21" t="n">
        <f aca="false">($I$18*I81+$J$18*J81+$K$18*K81)/(($I$18+$I$19+$I$20)*I81+($J$18+$J$19+$J$20)*J81+($K$18+$K$19+$K$20)*K81)</f>
        <v>0.333333333333333</v>
      </c>
      <c r="J82" s="21" t="n">
        <f aca="false">($I$19*I81+$J$19*J81+$K$19*K81)/(($I$18+$I$19+$I$20)*I81+($J$18+$J$19+$J$20)*J81+($K$18+$K$19+$K$20)*K81)</f>
        <v>0.333333333333333</v>
      </c>
      <c r="K82" s="21" t="n">
        <f aca="false">($I$20*I81+$J$20*J81+$K$20*K81)/(($I$18+$I$19+$I$20)*I81+($J$18+$J$19+$J$20)*J81+($K$18+$K$19+$K$20)*K81)</f>
        <v>0.333333333333333</v>
      </c>
      <c r="L82" s="21" t="n">
        <f aca="false">($I$18+$I$19+$I$20)*I82+($J$18+$J$19+$J$20)*J82+($K$18+$K$19+$K$20)*K82</f>
        <v>0.75</v>
      </c>
      <c r="M82" s="21" t="n">
        <f aca="false">(M81*$I$18+N81*$I$19+O81*$I$20)/(($I$18+$J$18+$K$18)*M81+($I$19+$J$19+$K$19)*N81+($I$20+$J$20+$K$20)*O81)</f>
        <v>0.333333333333333</v>
      </c>
      <c r="N82" s="21" t="n">
        <f aca="false">(M81*$J$18+N81*$J$19+O81*$J$20)/(($I$18+$J$18+$K$18)*M81+($I$19+$J$19+$K$19)*N81+($I$20+$J$20+$K$20)*O81)</f>
        <v>0.333333333333333</v>
      </c>
      <c r="O82" s="21" t="n">
        <f aca="false">(M81*$K$18+N81*$K$19+O81*$K$20)/(($I$18+$J$18+$K$18)*M81+($I$19+$J$19+$K$19)*N81+($I$20+$J$20+$K$20)*O81)</f>
        <v>0.333333333333333</v>
      </c>
    </row>
    <row r="83" customFormat="false" ht="15" hidden="false" customHeight="false" outlineLevel="0" collapsed="false">
      <c r="A83" s="11" t="n">
        <v>63</v>
      </c>
      <c r="B83" s="23" t="n">
        <f aca="false">A_keep*B82+C_pass*D82</f>
        <v>4.48475103695971E-009</v>
      </c>
      <c r="C83" s="23" t="n">
        <f aca="false">C_pass*B82+A_keep*C82</f>
        <v>4.48475103695972E-009</v>
      </c>
      <c r="D83" s="23" t="n">
        <f aca="false">C_pass*C82+A_keep*D82</f>
        <v>4.4847510369597E-009</v>
      </c>
      <c r="E83" s="23" t="n">
        <f aca="false">SUM(B83:D83)</f>
        <v>1.34542531108791E-008</v>
      </c>
      <c r="F83" s="23" t="n">
        <f aca="false">F82+E83</f>
        <v>3.99999995963724</v>
      </c>
      <c r="H83" s="11" t="n">
        <v>60</v>
      </c>
      <c r="I83" s="21" t="n">
        <f aca="false">($I$18*I82+$J$18*J82+$K$18*K82)/(($I$18+$I$19+$I$20)*I82+($J$18+$J$19+$J$20)*J82+($K$18+$K$19+$K$20)*K82)</f>
        <v>0.333333333333333</v>
      </c>
      <c r="J83" s="21" t="n">
        <f aca="false">($I$19*I82+$J$19*J82+$K$19*K82)/(($I$18+$I$19+$I$20)*I82+($J$18+$J$19+$J$20)*J82+($K$18+$K$19+$K$20)*K82)</f>
        <v>0.333333333333333</v>
      </c>
      <c r="K83" s="21" t="n">
        <f aca="false">($I$20*I82+$J$20*J82+$K$20*K82)/(($I$18+$I$19+$I$20)*I82+($J$18+$J$19+$J$20)*J82+($K$18+$K$19+$K$20)*K82)</f>
        <v>0.333333333333333</v>
      </c>
      <c r="L83" s="21" t="n">
        <f aca="false">($I$18+$I$19+$I$20)*I83+($J$18+$J$19+$J$20)*J83+($K$18+$K$19+$K$20)*K83</f>
        <v>0.75</v>
      </c>
      <c r="M83" s="21" t="n">
        <f aca="false">(M82*$I$18+N82*$I$19+O82*$I$20)/(($I$18+$J$18+$K$18)*M82+($I$19+$J$19+$K$19)*N82+($I$20+$J$20+$K$20)*O82)</f>
        <v>0.333333333333333</v>
      </c>
      <c r="N83" s="21" t="n">
        <f aca="false">(M82*$J$18+N82*$J$19+O82*$J$20)/(($I$18+$J$18+$K$18)*M82+($I$19+$J$19+$K$19)*N82+($I$20+$J$20+$K$20)*O82)</f>
        <v>0.333333333333333</v>
      </c>
      <c r="O83" s="21" t="n">
        <f aca="false">(M82*$K$18+N82*$K$19+O82*$K$20)/(($I$18+$J$18+$K$18)*M82+($I$19+$J$19+$K$19)*N82+($I$20+$J$20+$K$20)*O82)</f>
        <v>0.333333333333333</v>
      </c>
    </row>
    <row r="84" customFormat="false" ht="15" hidden="false" customHeight="false" outlineLevel="0" collapsed="false">
      <c r="A84" s="11" t="n">
        <v>64</v>
      </c>
      <c r="B84" s="23" t="n">
        <f aca="false">A_keep*B83+C_pass*D83</f>
        <v>3.36356327771978E-009</v>
      </c>
      <c r="C84" s="23" t="n">
        <f aca="false">C_pass*B83+A_keep*C83</f>
        <v>3.36356327771979E-009</v>
      </c>
      <c r="D84" s="23" t="n">
        <f aca="false">C_pass*C83+A_keep*D83</f>
        <v>3.36356327771978E-009</v>
      </c>
      <c r="E84" s="23" t="n">
        <f aca="false">SUM(B84:D84)</f>
        <v>1.00906898331594E-008</v>
      </c>
      <c r="F84" s="23" t="n">
        <f aca="false">F83+E84</f>
        <v>3.99999996972793</v>
      </c>
      <c r="H84" s="11" t="n">
        <v>61</v>
      </c>
      <c r="I84" s="21" t="n">
        <f aca="false">($I$18*I83+$J$18*J83+$K$18*K83)/(($I$18+$I$19+$I$20)*I83+($J$18+$J$19+$J$20)*J83+($K$18+$K$19+$K$20)*K83)</f>
        <v>0.333333333333333</v>
      </c>
      <c r="J84" s="21" t="n">
        <f aca="false">($I$19*I83+$J$19*J83+$K$19*K83)/(($I$18+$I$19+$I$20)*I83+($J$18+$J$19+$J$20)*J83+($K$18+$K$19+$K$20)*K83)</f>
        <v>0.333333333333333</v>
      </c>
      <c r="K84" s="21" t="n">
        <f aca="false">($I$20*I83+$J$20*J83+$K$20*K83)/(($I$18+$I$19+$I$20)*I83+($J$18+$J$19+$J$20)*J83+($K$18+$K$19+$K$20)*K83)</f>
        <v>0.333333333333333</v>
      </c>
      <c r="L84" s="21" t="n">
        <f aca="false">($I$18+$I$19+$I$20)*I84+($J$18+$J$19+$J$20)*J84+($K$18+$K$19+$K$20)*K84</f>
        <v>0.75</v>
      </c>
      <c r="M84" s="21" t="n">
        <f aca="false">(M83*$I$18+N83*$I$19+O83*$I$20)/(($I$18+$J$18+$K$18)*M83+($I$19+$J$19+$K$19)*N83+($I$20+$J$20+$K$20)*O83)</f>
        <v>0.333333333333333</v>
      </c>
      <c r="N84" s="21" t="n">
        <f aca="false">(M83*$J$18+N83*$J$19+O83*$J$20)/(($I$18+$J$18+$K$18)*M83+($I$19+$J$19+$K$19)*N83+($I$20+$J$20+$K$20)*O83)</f>
        <v>0.333333333333333</v>
      </c>
      <c r="O84" s="21" t="n">
        <f aca="false">(M83*$K$18+N83*$K$19+O83*$K$20)/(($I$18+$J$18+$K$18)*M83+($I$19+$J$19+$K$19)*N83+($I$20+$J$20+$K$20)*O83)</f>
        <v>0.333333333333333</v>
      </c>
    </row>
    <row r="85" customFormat="false" ht="15" hidden="false" customHeight="false" outlineLevel="0" collapsed="false">
      <c r="A85" s="11" t="n">
        <v>65</v>
      </c>
      <c r="B85" s="23" t="n">
        <f aca="false">A_keep*B84+C_pass*D84</f>
        <v>2.52267245828984E-009</v>
      </c>
      <c r="C85" s="23" t="n">
        <f aca="false">C_pass*B84+A_keep*C84</f>
        <v>2.52267245828984E-009</v>
      </c>
      <c r="D85" s="23" t="n">
        <f aca="false">C_pass*C84+A_keep*D84</f>
        <v>2.52267245828984E-009</v>
      </c>
      <c r="E85" s="23" t="n">
        <f aca="false">SUM(B85:D85)</f>
        <v>7.56801737486951E-009</v>
      </c>
      <c r="F85" s="23" t="n">
        <f aca="false">F84+E85</f>
        <v>3.99999997729595</v>
      </c>
      <c r="H85" s="11" t="n">
        <v>62</v>
      </c>
      <c r="I85" s="21" t="n">
        <f aca="false">($I$18*I84+$J$18*J84+$K$18*K84)/(($I$18+$I$19+$I$20)*I84+($J$18+$J$19+$J$20)*J84+($K$18+$K$19+$K$20)*K84)</f>
        <v>0.333333333333333</v>
      </c>
      <c r="J85" s="21" t="n">
        <f aca="false">($I$19*I84+$J$19*J84+$K$19*K84)/(($I$18+$I$19+$I$20)*I84+($J$18+$J$19+$J$20)*J84+($K$18+$K$19+$K$20)*K84)</f>
        <v>0.333333333333333</v>
      </c>
      <c r="K85" s="21" t="n">
        <f aca="false">($I$20*I84+$J$20*J84+$K$20*K84)/(($I$18+$I$19+$I$20)*I84+($J$18+$J$19+$J$20)*J84+($K$18+$K$19+$K$20)*K84)</f>
        <v>0.333333333333333</v>
      </c>
      <c r="L85" s="21" t="n">
        <f aca="false">($I$18+$I$19+$I$20)*I85+($J$18+$J$19+$J$20)*J85+($K$18+$K$19+$K$20)*K85</f>
        <v>0.75</v>
      </c>
      <c r="M85" s="21" t="n">
        <f aca="false">(M84*$I$18+N84*$I$19+O84*$I$20)/(($I$18+$J$18+$K$18)*M84+($I$19+$J$19+$K$19)*N84+($I$20+$J$20+$K$20)*O84)</f>
        <v>0.333333333333333</v>
      </c>
      <c r="N85" s="21" t="n">
        <f aca="false">(M84*$J$18+N84*$J$19+O84*$J$20)/(($I$18+$J$18+$K$18)*M84+($I$19+$J$19+$K$19)*N84+($I$20+$J$20+$K$20)*O84)</f>
        <v>0.333333333333333</v>
      </c>
      <c r="O85" s="21" t="n">
        <f aca="false">(M84*$K$18+N84*$K$19+O84*$K$20)/(($I$18+$J$18+$K$18)*M84+($I$19+$J$19+$K$19)*N84+($I$20+$J$20+$K$20)*O84)</f>
        <v>0.333333333333333</v>
      </c>
    </row>
    <row r="86" customFormat="false" ht="15" hidden="false" customHeight="false" outlineLevel="0" collapsed="false">
      <c r="A86" s="11" t="n">
        <v>66</v>
      </c>
      <c r="B86" s="23" t="n">
        <f aca="false">A_keep*B85+C_pass*D85</f>
        <v>1.89200434371738E-009</v>
      </c>
      <c r="C86" s="23" t="n">
        <f aca="false">C_pass*B85+A_keep*C85</f>
        <v>1.89200434371738E-009</v>
      </c>
      <c r="D86" s="23" t="n">
        <f aca="false">C_pass*C85+A_keep*D85</f>
        <v>1.89200434371738E-009</v>
      </c>
      <c r="E86" s="23" t="n">
        <f aca="false">SUM(B86:D86)</f>
        <v>5.67601303115213E-009</v>
      </c>
      <c r="F86" s="23" t="n">
        <f aca="false">F85+E86</f>
        <v>3.99999998297196</v>
      </c>
      <c r="H86" s="11" t="n">
        <v>63</v>
      </c>
      <c r="I86" s="21" t="n">
        <f aca="false">($I$18*I85+$J$18*J85+$K$18*K85)/(($I$18+$I$19+$I$20)*I85+($J$18+$J$19+$J$20)*J85+($K$18+$K$19+$K$20)*K85)</f>
        <v>0.333333333333333</v>
      </c>
      <c r="J86" s="21" t="n">
        <f aca="false">($I$19*I85+$J$19*J85+$K$19*K85)/(($I$18+$I$19+$I$20)*I85+($J$18+$J$19+$J$20)*J85+($K$18+$K$19+$K$20)*K85)</f>
        <v>0.333333333333333</v>
      </c>
      <c r="K86" s="21" t="n">
        <f aca="false">($I$20*I85+$J$20*J85+$K$20*K85)/(($I$18+$I$19+$I$20)*I85+($J$18+$J$19+$J$20)*J85+($K$18+$K$19+$K$20)*K85)</f>
        <v>0.333333333333333</v>
      </c>
      <c r="L86" s="21" t="n">
        <f aca="false">($I$18+$I$19+$I$20)*I86+($J$18+$J$19+$J$20)*J86+($K$18+$K$19+$K$20)*K86</f>
        <v>0.75</v>
      </c>
      <c r="M86" s="21" t="n">
        <f aca="false">(M85*$I$18+N85*$I$19+O85*$I$20)/(($I$18+$J$18+$K$18)*M85+($I$19+$J$19+$K$19)*N85+($I$20+$J$20+$K$20)*O85)</f>
        <v>0.333333333333333</v>
      </c>
      <c r="N86" s="21" t="n">
        <f aca="false">(M85*$J$18+N85*$J$19+O85*$J$20)/(($I$18+$J$18+$K$18)*M85+($I$19+$J$19+$K$19)*N85+($I$20+$J$20+$K$20)*O85)</f>
        <v>0.333333333333333</v>
      </c>
      <c r="O86" s="21" t="n">
        <f aca="false">(M85*$K$18+N85*$K$19+O85*$K$20)/(($I$18+$J$18+$K$18)*M85+($I$19+$J$19+$K$19)*N85+($I$20+$J$20+$K$20)*O85)</f>
        <v>0.333333333333333</v>
      </c>
    </row>
    <row r="87" customFormat="false" ht="15" hidden="false" customHeight="false" outlineLevel="0" collapsed="false">
      <c r="A87" s="11" t="n">
        <v>67</v>
      </c>
      <c r="B87" s="23" t="n">
        <f aca="false">A_keep*B86+C_pass*D86</f>
        <v>1.41900325778803E-009</v>
      </c>
      <c r="C87" s="23" t="n">
        <f aca="false">C_pass*B86+A_keep*C86</f>
        <v>1.41900325778803E-009</v>
      </c>
      <c r="D87" s="23" t="n">
        <f aca="false">C_pass*C86+A_keep*D86</f>
        <v>1.41900325778803E-009</v>
      </c>
      <c r="E87" s="23" t="n">
        <f aca="false">SUM(B87:D87)</f>
        <v>4.2570097733641E-009</v>
      </c>
      <c r="F87" s="23" t="n">
        <f aca="false">F86+E87</f>
        <v>3.99999998722897</v>
      </c>
      <c r="H87" s="11" t="n">
        <v>64</v>
      </c>
      <c r="I87" s="21" t="n">
        <f aca="false">($I$18*I86+$J$18*J86+$K$18*K86)/(($I$18+$I$19+$I$20)*I86+($J$18+$J$19+$J$20)*J86+($K$18+$K$19+$K$20)*K86)</f>
        <v>0.333333333333333</v>
      </c>
      <c r="J87" s="21" t="n">
        <f aca="false">($I$19*I86+$J$19*J86+$K$19*K86)/(($I$18+$I$19+$I$20)*I86+($J$18+$J$19+$J$20)*J86+($K$18+$K$19+$K$20)*K86)</f>
        <v>0.333333333333333</v>
      </c>
      <c r="K87" s="21" t="n">
        <f aca="false">($I$20*I86+$J$20*J86+$K$20*K86)/(($I$18+$I$19+$I$20)*I86+($J$18+$J$19+$J$20)*J86+($K$18+$K$19+$K$20)*K86)</f>
        <v>0.333333333333333</v>
      </c>
      <c r="L87" s="21" t="n">
        <f aca="false">($I$18+$I$19+$I$20)*I87+($J$18+$J$19+$J$20)*J87+($K$18+$K$19+$K$20)*K87</f>
        <v>0.75</v>
      </c>
      <c r="M87" s="21" t="n">
        <f aca="false">(M86*$I$18+N86*$I$19+O86*$I$20)/(($I$18+$J$18+$K$18)*M86+($I$19+$J$19+$K$19)*N86+($I$20+$J$20+$K$20)*O86)</f>
        <v>0.333333333333333</v>
      </c>
      <c r="N87" s="21" t="n">
        <f aca="false">(M86*$J$18+N86*$J$19+O86*$J$20)/(($I$18+$J$18+$K$18)*M86+($I$19+$J$19+$K$19)*N86+($I$20+$J$20+$K$20)*O86)</f>
        <v>0.333333333333333</v>
      </c>
      <c r="O87" s="21" t="n">
        <f aca="false">(M86*$K$18+N86*$K$19+O86*$K$20)/(($I$18+$J$18+$K$18)*M86+($I$19+$J$19+$K$19)*N86+($I$20+$J$20+$K$20)*O86)</f>
        <v>0.333333333333333</v>
      </c>
    </row>
    <row r="88" customFormat="false" ht="15" hidden="false" customHeight="false" outlineLevel="0" collapsed="false">
      <c r="A88" s="11" t="n">
        <v>68</v>
      </c>
      <c r="B88" s="23" t="n">
        <f aca="false">A_keep*B87+C_pass*D87</f>
        <v>1.06425244334103E-009</v>
      </c>
      <c r="C88" s="23" t="n">
        <f aca="false">C_pass*B87+A_keep*C87</f>
        <v>1.06425244334103E-009</v>
      </c>
      <c r="D88" s="23" t="n">
        <f aca="false">C_pass*C87+A_keep*D87</f>
        <v>1.06425244334103E-009</v>
      </c>
      <c r="E88" s="23" t="n">
        <f aca="false">SUM(B88:D88)</f>
        <v>3.19275733002308E-009</v>
      </c>
      <c r="F88" s="23" t="n">
        <f aca="false">F87+E88</f>
        <v>3.99999999042173</v>
      </c>
      <c r="H88" s="11" t="n">
        <v>65</v>
      </c>
      <c r="I88" s="21" t="n">
        <f aca="false">($I$18*I87+$J$18*J87+$K$18*K87)/(($I$18+$I$19+$I$20)*I87+($J$18+$J$19+$J$20)*J87+($K$18+$K$19+$K$20)*K87)</f>
        <v>0.333333333333333</v>
      </c>
      <c r="J88" s="21" t="n">
        <f aca="false">($I$19*I87+$J$19*J87+$K$19*K87)/(($I$18+$I$19+$I$20)*I87+($J$18+$J$19+$J$20)*J87+($K$18+$K$19+$K$20)*K87)</f>
        <v>0.333333333333333</v>
      </c>
      <c r="K88" s="21" t="n">
        <f aca="false">($I$20*I87+$J$20*J87+$K$20*K87)/(($I$18+$I$19+$I$20)*I87+($J$18+$J$19+$J$20)*J87+($K$18+$K$19+$K$20)*K87)</f>
        <v>0.333333333333333</v>
      </c>
      <c r="L88" s="21" t="n">
        <f aca="false">($I$18+$I$19+$I$20)*I88+($J$18+$J$19+$J$20)*J88+($K$18+$K$19+$K$20)*K88</f>
        <v>0.75</v>
      </c>
      <c r="M88" s="21" t="n">
        <f aca="false">(M87*$I$18+N87*$I$19+O87*$I$20)/(($I$18+$J$18+$K$18)*M87+($I$19+$J$19+$K$19)*N87+($I$20+$J$20+$K$20)*O87)</f>
        <v>0.333333333333333</v>
      </c>
      <c r="N88" s="21" t="n">
        <f aca="false">(M87*$J$18+N87*$J$19+O87*$J$20)/(($I$18+$J$18+$K$18)*M87+($I$19+$J$19+$K$19)*N87+($I$20+$J$20+$K$20)*O87)</f>
        <v>0.333333333333333</v>
      </c>
      <c r="O88" s="21" t="n">
        <f aca="false">(M87*$K$18+N87*$K$19+O87*$K$20)/(($I$18+$J$18+$K$18)*M87+($I$19+$J$19+$K$19)*N87+($I$20+$J$20+$K$20)*O87)</f>
        <v>0.333333333333333</v>
      </c>
    </row>
    <row r="89" customFormat="false" ht="15" hidden="false" customHeight="false" outlineLevel="0" collapsed="false">
      <c r="A89" s="11" t="n">
        <v>69</v>
      </c>
      <c r="B89" s="23" t="n">
        <f aca="false">A_keep*B88+C_pass*D88</f>
        <v>7.98189332505769E-010</v>
      </c>
      <c r="C89" s="23" t="n">
        <f aca="false">C_pass*B88+A_keep*C88</f>
        <v>7.98189332505769E-010</v>
      </c>
      <c r="D89" s="23" t="n">
        <f aca="false">C_pass*C88+A_keep*D88</f>
        <v>7.98189332505769E-010</v>
      </c>
      <c r="E89" s="23" t="n">
        <f aca="false">SUM(B89:D89)</f>
        <v>2.39456799751731E-009</v>
      </c>
      <c r="F89" s="23" t="n">
        <f aca="false">F88+E89</f>
        <v>3.9999999928163</v>
      </c>
      <c r="H89" s="11" t="n">
        <v>66</v>
      </c>
      <c r="I89" s="21" t="n">
        <f aca="false">($I$18*I88+$J$18*J88+$K$18*K88)/(($I$18+$I$19+$I$20)*I88+($J$18+$J$19+$J$20)*J88+($K$18+$K$19+$K$20)*K88)</f>
        <v>0.333333333333333</v>
      </c>
      <c r="J89" s="21" t="n">
        <f aca="false">($I$19*I88+$J$19*J88+$K$19*K88)/(($I$18+$I$19+$I$20)*I88+($J$18+$J$19+$J$20)*J88+($K$18+$K$19+$K$20)*K88)</f>
        <v>0.333333333333333</v>
      </c>
      <c r="K89" s="21" t="n">
        <f aca="false">($I$20*I88+$J$20*J88+$K$20*K88)/(($I$18+$I$19+$I$20)*I88+($J$18+$J$19+$J$20)*J88+($K$18+$K$19+$K$20)*K88)</f>
        <v>0.333333333333333</v>
      </c>
      <c r="L89" s="21" t="n">
        <f aca="false">($I$18+$I$19+$I$20)*I89+($J$18+$J$19+$J$20)*J89+($K$18+$K$19+$K$20)*K89</f>
        <v>0.75</v>
      </c>
      <c r="M89" s="21" t="n">
        <f aca="false">(M88*$I$18+N88*$I$19+O88*$I$20)/(($I$18+$J$18+$K$18)*M88+($I$19+$J$19+$K$19)*N88+($I$20+$J$20+$K$20)*O88)</f>
        <v>0.333333333333333</v>
      </c>
      <c r="N89" s="21" t="n">
        <f aca="false">(M88*$J$18+N88*$J$19+O88*$J$20)/(($I$18+$J$18+$K$18)*M88+($I$19+$J$19+$K$19)*N88+($I$20+$J$20+$K$20)*O88)</f>
        <v>0.333333333333333</v>
      </c>
      <c r="O89" s="21" t="n">
        <f aca="false">(M88*$K$18+N88*$K$19+O88*$K$20)/(($I$18+$J$18+$K$18)*M88+($I$19+$J$19+$K$19)*N88+($I$20+$J$20+$K$20)*O88)</f>
        <v>0.333333333333333</v>
      </c>
    </row>
    <row r="90" customFormat="false" ht="15" hidden="false" customHeight="false" outlineLevel="0" collapsed="false">
      <c r="A90" s="11" t="n">
        <v>70</v>
      </c>
      <c r="B90" s="23" t="n">
        <f aca="false">A_keep*B89+C_pass*D89</f>
        <v>5.98641999379327E-010</v>
      </c>
      <c r="C90" s="23" t="n">
        <f aca="false">C_pass*B89+A_keep*C89</f>
        <v>5.98641999379327E-010</v>
      </c>
      <c r="D90" s="23" t="n">
        <f aca="false">C_pass*C89+A_keep*D89</f>
        <v>5.98641999379327E-010</v>
      </c>
      <c r="E90" s="23" t="n">
        <f aca="false">SUM(B90:D90)</f>
        <v>1.79592599813798E-009</v>
      </c>
      <c r="F90" s="23" t="n">
        <f aca="false">F89+E90</f>
        <v>3.99999999461222</v>
      </c>
      <c r="H90" s="11" t="n">
        <v>67</v>
      </c>
      <c r="I90" s="21" t="n">
        <f aca="false">($I$18*I89+$J$18*J89+$K$18*K89)/(($I$18+$I$19+$I$20)*I89+($J$18+$J$19+$J$20)*J89+($K$18+$K$19+$K$20)*K89)</f>
        <v>0.333333333333333</v>
      </c>
      <c r="J90" s="21" t="n">
        <f aca="false">($I$19*I89+$J$19*J89+$K$19*K89)/(($I$18+$I$19+$I$20)*I89+($J$18+$J$19+$J$20)*J89+($K$18+$K$19+$K$20)*K89)</f>
        <v>0.333333333333333</v>
      </c>
      <c r="K90" s="21" t="n">
        <f aca="false">($I$20*I89+$J$20*J89+$K$20*K89)/(($I$18+$I$19+$I$20)*I89+($J$18+$J$19+$J$20)*J89+($K$18+$K$19+$K$20)*K89)</f>
        <v>0.333333333333333</v>
      </c>
      <c r="L90" s="21" t="n">
        <f aca="false">($I$18+$I$19+$I$20)*I90+($J$18+$J$19+$J$20)*J90+($K$18+$K$19+$K$20)*K90</f>
        <v>0.75</v>
      </c>
      <c r="M90" s="21" t="n">
        <f aca="false">(M89*$I$18+N89*$I$19+O89*$I$20)/(($I$18+$J$18+$K$18)*M89+($I$19+$J$19+$K$19)*N89+($I$20+$J$20+$K$20)*O89)</f>
        <v>0.333333333333333</v>
      </c>
      <c r="N90" s="21" t="n">
        <f aca="false">(M89*$J$18+N89*$J$19+O89*$J$20)/(($I$18+$J$18+$K$18)*M89+($I$19+$J$19+$K$19)*N89+($I$20+$J$20+$K$20)*O89)</f>
        <v>0.333333333333333</v>
      </c>
      <c r="O90" s="21" t="n">
        <f aca="false">(M89*$K$18+N89*$K$19+O89*$K$20)/(($I$18+$J$18+$K$18)*M89+($I$19+$J$19+$K$19)*N89+($I$20+$J$20+$K$20)*O89)</f>
        <v>0.333333333333333</v>
      </c>
    </row>
    <row r="91" customFormat="false" ht="15" hidden="false" customHeight="false" outlineLevel="0" collapsed="false">
      <c r="A91" s="11" t="n">
        <v>71</v>
      </c>
      <c r="B91" s="23" t="n">
        <f aca="false">A_keep*B90+C_pass*D90</f>
        <v>4.48981499534495E-010</v>
      </c>
      <c r="C91" s="23" t="n">
        <f aca="false">C_pass*B90+A_keep*C90</f>
        <v>4.48981499534495E-010</v>
      </c>
      <c r="D91" s="23" t="n">
        <f aca="false">C_pass*C90+A_keep*D90</f>
        <v>4.48981499534495E-010</v>
      </c>
      <c r="E91" s="23" t="n">
        <f aca="false">SUM(B91:D91)</f>
        <v>1.34694449860349E-009</v>
      </c>
      <c r="F91" s="23" t="n">
        <f aca="false">F90+E91</f>
        <v>3.99999999595917</v>
      </c>
      <c r="H91" s="11" t="n">
        <v>68</v>
      </c>
      <c r="I91" s="21" t="n">
        <f aca="false">($I$18*I90+$J$18*J90+$K$18*K90)/(($I$18+$I$19+$I$20)*I90+($J$18+$J$19+$J$20)*J90+($K$18+$K$19+$K$20)*K90)</f>
        <v>0.333333333333333</v>
      </c>
      <c r="J91" s="21" t="n">
        <f aca="false">($I$19*I90+$J$19*J90+$K$19*K90)/(($I$18+$I$19+$I$20)*I90+($J$18+$J$19+$J$20)*J90+($K$18+$K$19+$K$20)*K90)</f>
        <v>0.333333333333333</v>
      </c>
      <c r="K91" s="21" t="n">
        <f aca="false">($I$20*I90+$J$20*J90+$K$20*K90)/(($I$18+$I$19+$I$20)*I90+($J$18+$J$19+$J$20)*J90+($K$18+$K$19+$K$20)*K90)</f>
        <v>0.333333333333333</v>
      </c>
      <c r="L91" s="21" t="n">
        <f aca="false">($I$18+$I$19+$I$20)*I91+($J$18+$J$19+$J$20)*J91+($K$18+$K$19+$K$20)*K91</f>
        <v>0.75</v>
      </c>
      <c r="M91" s="21" t="n">
        <f aca="false">(M90*$I$18+N90*$I$19+O90*$I$20)/(($I$18+$J$18+$K$18)*M90+($I$19+$J$19+$K$19)*N90+($I$20+$J$20+$K$20)*O90)</f>
        <v>0.333333333333333</v>
      </c>
      <c r="N91" s="21" t="n">
        <f aca="false">(M90*$J$18+N90*$J$19+O90*$J$20)/(($I$18+$J$18+$K$18)*M90+($I$19+$J$19+$K$19)*N90+($I$20+$J$20+$K$20)*O90)</f>
        <v>0.333333333333333</v>
      </c>
      <c r="O91" s="21" t="n">
        <f aca="false">(M90*$K$18+N90*$K$19+O90*$K$20)/(($I$18+$J$18+$K$18)*M90+($I$19+$J$19+$K$19)*N90+($I$20+$J$20+$K$20)*O90)</f>
        <v>0.333333333333333</v>
      </c>
    </row>
    <row r="92" customFormat="false" ht="15" hidden="false" customHeight="false" outlineLevel="0" collapsed="false">
      <c r="A92" s="11" t="n">
        <v>72</v>
      </c>
      <c r="B92" s="23" t="n">
        <f aca="false">A_keep*B91+C_pass*D91</f>
        <v>3.36736124650871E-010</v>
      </c>
      <c r="C92" s="23" t="n">
        <f aca="false">C_pass*B91+A_keep*C91</f>
        <v>3.36736124650871E-010</v>
      </c>
      <c r="D92" s="23" t="n">
        <f aca="false">C_pass*C91+A_keep*D91</f>
        <v>3.36736124650871E-010</v>
      </c>
      <c r="E92" s="23" t="n">
        <f aca="false">SUM(B92:D92)</f>
        <v>1.01020837395261E-009</v>
      </c>
      <c r="F92" s="23" t="n">
        <f aca="false">F91+E92</f>
        <v>3.99999999696937</v>
      </c>
      <c r="H92" s="11" t="n">
        <v>69</v>
      </c>
      <c r="I92" s="21" t="n">
        <f aca="false">($I$18*I91+$J$18*J91+$K$18*K91)/(($I$18+$I$19+$I$20)*I91+($J$18+$J$19+$J$20)*J91+($K$18+$K$19+$K$20)*K91)</f>
        <v>0.333333333333333</v>
      </c>
      <c r="J92" s="21" t="n">
        <f aca="false">($I$19*I91+$J$19*J91+$K$19*K91)/(($I$18+$I$19+$I$20)*I91+($J$18+$J$19+$J$20)*J91+($K$18+$K$19+$K$20)*K91)</f>
        <v>0.333333333333333</v>
      </c>
      <c r="K92" s="21" t="n">
        <f aca="false">($I$20*I91+$J$20*J91+$K$20*K91)/(($I$18+$I$19+$I$20)*I91+($J$18+$J$19+$J$20)*J91+($K$18+$K$19+$K$20)*K91)</f>
        <v>0.333333333333333</v>
      </c>
      <c r="L92" s="21" t="n">
        <f aca="false">($I$18+$I$19+$I$20)*I92+($J$18+$J$19+$J$20)*J92+($K$18+$K$19+$K$20)*K92</f>
        <v>0.75</v>
      </c>
      <c r="M92" s="21" t="n">
        <f aca="false">(M91*$I$18+N91*$I$19+O91*$I$20)/(($I$18+$J$18+$K$18)*M91+($I$19+$J$19+$K$19)*N91+($I$20+$J$20+$K$20)*O91)</f>
        <v>0.333333333333333</v>
      </c>
      <c r="N92" s="21" t="n">
        <f aca="false">(M91*$J$18+N91*$J$19+O91*$J$20)/(($I$18+$J$18+$K$18)*M91+($I$19+$J$19+$K$19)*N91+($I$20+$J$20+$K$20)*O91)</f>
        <v>0.333333333333333</v>
      </c>
      <c r="O92" s="21" t="n">
        <f aca="false">(M91*$K$18+N91*$K$19+O91*$K$20)/(($I$18+$J$18+$K$18)*M91+($I$19+$J$19+$K$19)*N91+($I$20+$J$20+$K$20)*O91)</f>
        <v>0.333333333333333</v>
      </c>
    </row>
    <row r="93" customFormat="false" ht="15" hidden="false" customHeight="false" outlineLevel="0" collapsed="false">
      <c r="A93" s="11" t="n">
        <v>73</v>
      </c>
      <c r="B93" s="23" t="n">
        <f aca="false">A_keep*B92+C_pass*D92</f>
        <v>2.52552093488153E-010</v>
      </c>
      <c r="C93" s="23" t="n">
        <f aca="false">C_pass*B92+A_keep*C92</f>
        <v>2.52552093488153E-010</v>
      </c>
      <c r="D93" s="23" t="n">
        <f aca="false">C_pass*C92+A_keep*D92</f>
        <v>2.52552093488153E-010</v>
      </c>
      <c r="E93" s="23" t="n">
        <f aca="false">SUM(B93:D93)</f>
        <v>7.5765628046446E-010</v>
      </c>
      <c r="F93" s="23" t="n">
        <f aca="false">F92+E93</f>
        <v>3.99999999772703</v>
      </c>
      <c r="H93" s="11" t="n">
        <v>70</v>
      </c>
      <c r="I93" s="21" t="n">
        <f aca="false">($I$18*I92+$J$18*J92+$K$18*K92)/(($I$18+$I$19+$I$20)*I92+($J$18+$J$19+$J$20)*J92+($K$18+$K$19+$K$20)*K92)</f>
        <v>0.333333333333333</v>
      </c>
      <c r="J93" s="21" t="n">
        <f aca="false">($I$19*I92+$J$19*J92+$K$19*K92)/(($I$18+$I$19+$I$20)*I92+($J$18+$J$19+$J$20)*J92+($K$18+$K$19+$K$20)*K92)</f>
        <v>0.333333333333333</v>
      </c>
      <c r="K93" s="21" t="n">
        <f aca="false">($I$20*I92+$J$20*J92+$K$20*K92)/(($I$18+$I$19+$I$20)*I92+($J$18+$J$19+$J$20)*J92+($K$18+$K$19+$K$20)*K92)</f>
        <v>0.333333333333333</v>
      </c>
      <c r="L93" s="21" t="n">
        <f aca="false">($I$18+$I$19+$I$20)*I93+($J$18+$J$19+$J$20)*J93+($K$18+$K$19+$K$20)*K93</f>
        <v>0.75</v>
      </c>
      <c r="M93" s="21" t="n">
        <f aca="false">(M92*$I$18+N92*$I$19+O92*$I$20)/(($I$18+$J$18+$K$18)*M92+($I$19+$J$19+$K$19)*N92+($I$20+$J$20+$K$20)*O92)</f>
        <v>0.333333333333333</v>
      </c>
      <c r="N93" s="21" t="n">
        <f aca="false">(M92*$J$18+N92*$J$19+O92*$J$20)/(($I$18+$J$18+$K$18)*M92+($I$19+$J$19+$K$19)*N92+($I$20+$J$20+$K$20)*O92)</f>
        <v>0.333333333333333</v>
      </c>
      <c r="O93" s="21" t="n">
        <f aca="false">(M92*$K$18+N92*$K$19+O92*$K$20)/(($I$18+$J$18+$K$18)*M92+($I$19+$J$19+$K$19)*N92+($I$20+$J$20+$K$20)*O92)</f>
        <v>0.333333333333333</v>
      </c>
    </row>
    <row r="94" customFormat="false" ht="15" hidden="false" customHeight="false" outlineLevel="0" collapsed="false">
      <c r="A94" s="11" t="n">
        <v>74</v>
      </c>
      <c r="B94" s="23" t="n">
        <f aca="false">A_keep*B93+C_pass*D93</f>
        <v>1.89414070116115E-010</v>
      </c>
      <c r="C94" s="23" t="n">
        <f aca="false">C_pass*B93+A_keep*C93</f>
        <v>1.89414070116115E-010</v>
      </c>
      <c r="D94" s="23" t="n">
        <f aca="false">C_pass*C93+A_keep*D93</f>
        <v>1.89414070116115E-010</v>
      </c>
      <c r="E94" s="23" t="n">
        <f aca="false">SUM(B94:D94)</f>
        <v>5.68242210348345E-010</v>
      </c>
      <c r="F94" s="23" t="n">
        <f aca="false">F93+E94</f>
        <v>3.99999999829527</v>
      </c>
      <c r="H94" s="11" t="n">
        <v>71</v>
      </c>
      <c r="I94" s="21" t="n">
        <f aca="false">($I$18*I93+$J$18*J93+$K$18*K93)/(($I$18+$I$19+$I$20)*I93+($J$18+$J$19+$J$20)*J93+($K$18+$K$19+$K$20)*K93)</f>
        <v>0.333333333333333</v>
      </c>
      <c r="J94" s="21" t="n">
        <f aca="false">($I$19*I93+$J$19*J93+$K$19*K93)/(($I$18+$I$19+$I$20)*I93+($J$18+$J$19+$J$20)*J93+($K$18+$K$19+$K$20)*K93)</f>
        <v>0.333333333333333</v>
      </c>
      <c r="K94" s="21" t="n">
        <f aca="false">($I$20*I93+$J$20*J93+$K$20*K93)/(($I$18+$I$19+$I$20)*I93+($J$18+$J$19+$J$20)*J93+($K$18+$K$19+$K$20)*K93)</f>
        <v>0.333333333333333</v>
      </c>
      <c r="L94" s="21" t="n">
        <f aca="false">($I$18+$I$19+$I$20)*I94+($J$18+$J$19+$J$20)*J94+($K$18+$K$19+$K$20)*K94</f>
        <v>0.75</v>
      </c>
      <c r="M94" s="21" t="n">
        <f aca="false">(M93*$I$18+N93*$I$19+O93*$I$20)/(($I$18+$J$18+$K$18)*M93+($I$19+$J$19+$K$19)*N93+($I$20+$J$20+$K$20)*O93)</f>
        <v>0.333333333333333</v>
      </c>
      <c r="N94" s="21" t="n">
        <f aca="false">(M93*$J$18+N93*$J$19+O93*$J$20)/(($I$18+$J$18+$K$18)*M93+($I$19+$J$19+$K$19)*N93+($I$20+$J$20+$K$20)*O93)</f>
        <v>0.333333333333333</v>
      </c>
      <c r="O94" s="21" t="n">
        <f aca="false">(M93*$K$18+N93*$K$19+O93*$K$20)/(($I$18+$J$18+$K$18)*M93+($I$19+$J$19+$K$19)*N93+($I$20+$J$20+$K$20)*O93)</f>
        <v>0.333333333333333</v>
      </c>
    </row>
    <row r="95" customFormat="false" ht="15" hidden="false" customHeight="false" outlineLevel="0" collapsed="false">
      <c r="A95" s="11" t="n">
        <v>75</v>
      </c>
      <c r="B95" s="23" t="n">
        <f aca="false">A_keep*B94+C_pass*D94</f>
        <v>1.42060552587086E-010</v>
      </c>
      <c r="C95" s="23" t="n">
        <f aca="false">C_pass*B94+A_keep*C94</f>
        <v>1.42060552587086E-010</v>
      </c>
      <c r="D95" s="23" t="n">
        <f aca="false">C_pass*C94+A_keep*D94</f>
        <v>1.42060552587086E-010</v>
      </c>
      <c r="E95" s="23" t="n">
        <f aca="false">SUM(B95:D95)</f>
        <v>4.26181657761259E-010</v>
      </c>
      <c r="F95" s="23" t="n">
        <f aca="false">F94+E95</f>
        <v>3.99999999872145</v>
      </c>
      <c r="H95" s="11" t="n">
        <v>72</v>
      </c>
      <c r="I95" s="21" t="n">
        <f aca="false">($I$18*I94+$J$18*J94+$K$18*K94)/(($I$18+$I$19+$I$20)*I94+($J$18+$J$19+$J$20)*J94+($K$18+$K$19+$K$20)*K94)</f>
        <v>0.333333333333333</v>
      </c>
      <c r="J95" s="21" t="n">
        <f aca="false">($I$19*I94+$J$19*J94+$K$19*K94)/(($I$18+$I$19+$I$20)*I94+($J$18+$J$19+$J$20)*J94+($K$18+$K$19+$K$20)*K94)</f>
        <v>0.333333333333333</v>
      </c>
      <c r="K95" s="21" t="n">
        <f aca="false">($I$20*I94+$J$20*J94+$K$20*K94)/(($I$18+$I$19+$I$20)*I94+($J$18+$J$19+$J$20)*J94+($K$18+$K$19+$K$20)*K94)</f>
        <v>0.333333333333333</v>
      </c>
      <c r="L95" s="21" t="n">
        <f aca="false">($I$18+$I$19+$I$20)*I95+($J$18+$J$19+$J$20)*J95+($K$18+$K$19+$K$20)*K95</f>
        <v>0.75</v>
      </c>
      <c r="M95" s="21" t="n">
        <f aca="false">(M94*$I$18+N94*$I$19+O94*$I$20)/(($I$18+$J$18+$K$18)*M94+($I$19+$J$19+$K$19)*N94+($I$20+$J$20+$K$20)*O94)</f>
        <v>0.333333333333333</v>
      </c>
      <c r="N95" s="21" t="n">
        <f aca="false">(M94*$J$18+N94*$J$19+O94*$J$20)/(($I$18+$J$18+$K$18)*M94+($I$19+$J$19+$K$19)*N94+($I$20+$J$20+$K$20)*O94)</f>
        <v>0.333333333333333</v>
      </c>
      <c r="O95" s="21" t="n">
        <f aca="false">(M94*$K$18+N94*$K$19+O94*$K$20)/(($I$18+$J$18+$K$18)*M94+($I$19+$J$19+$K$19)*N94+($I$20+$J$20+$K$20)*O94)</f>
        <v>0.333333333333333</v>
      </c>
    </row>
    <row r="96" customFormat="false" ht="15" hidden="false" customHeight="false" outlineLevel="0" collapsed="false">
      <c r="A96" s="11" t="n">
        <v>76</v>
      </c>
      <c r="B96" s="23" t="n">
        <f aca="false">A_keep*B95+C_pass*D95</f>
        <v>1.06545414440315E-010</v>
      </c>
      <c r="C96" s="23" t="n">
        <f aca="false">C_pass*B95+A_keep*C95</f>
        <v>1.06545414440315E-010</v>
      </c>
      <c r="D96" s="23" t="n">
        <f aca="false">C_pass*C95+A_keep*D95</f>
        <v>1.06545414440315E-010</v>
      </c>
      <c r="E96" s="23" t="n">
        <f aca="false">SUM(B96:D96)</f>
        <v>3.19636243320944E-010</v>
      </c>
      <c r="F96" s="23" t="n">
        <f aca="false">F95+E96</f>
        <v>3.99999999904109</v>
      </c>
      <c r="H96" s="11" t="n">
        <v>73</v>
      </c>
      <c r="I96" s="21" t="n">
        <f aca="false">($I$18*I95+$J$18*J95+$K$18*K95)/(($I$18+$I$19+$I$20)*I95+($J$18+$J$19+$J$20)*J95+($K$18+$K$19+$K$20)*K95)</f>
        <v>0.333333333333333</v>
      </c>
      <c r="J96" s="21" t="n">
        <f aca="false">($I$19*I95+$J$19*J95+$K$19*K95)/(($I$18+$I$19+$I$20)*I95+($J$18+$J$19+$J$20)*J95+($K$18+$K$19+$K$20)*K95)</f>
        <v>0.333333333333333</v>
      </c>
      <c r="K96" s="21" t="n">
        <f aca="false">($I$20*I95+$J$20*J95+$K$20*K95)/(($I$18+$I$19+$I$20)*I95+($J$18+$J$19+$J$20)*J95+($K$18+$K$19+$K$20)*K95)</f>
        <v>0.333333333333333</v>
      </c>
      <c r="L96" s="21" t="n">
        <f aca="false">($I$18+$I$19+$I$20)*I96+($J$18+$J$19+$J$20)*J96+($K$18+$K$19+$K$20)*K96</f>
        <v>0.75</v>
      </c>
      <c r="M96" s="21" t="n">
        <f aca="false">(M95*$I$18+N95*$I$19+O95*$I$20)/(($I$18+$J$18+$K$18)*M95+($I$19+$J$19+$K$19)*N95+($I$20+$J$20+$K$20)*O95)</f>
        <v>0.333333333333333</v>
      </c>
      <c r="N96" s="21" t="n">
        <f aca="false">(M95*$J$18+N95*$J$19+O95*$J$20)/(($I$18+$J$18+$K$18)*M95+($I$19+$J$19+$K$19)*N95+($I$20+$J$20+$K$20)*O95)</f>
        <v>0.333333333333333</v>
      </c>
      <c r="O96" s="21" t="n">
        <f aca="false">(M95*$K$18+N95*$K$19+O95*$K$20)/(($I$18+$J$18+$K$18)*M95+($I$19+$J$19+$K$19)*N95+($I$20+$J$20+$K$20)*O95)</f>
        <v>0.333333333333333</v>
      </c>
    </row>
    <row r="97" customFormat="false" ht="15" hidden="false" customHeight="false" outlineLevel="0" collapsed="false">
      <c r="A97" s="11" t="n">
        <v>77</v>
      </c>
      <c r="B97" s="23" t="n">
        <f aca="false">A_keep*B96+C_pass*D96</f>
        <v>7.99090608302361E-011</v>
      </c>
      <c r="C97" s="23" t="n">
        <f aca="false">C_pass*B96+A_keep*C96</f>
        <v>7.99090608302361E-011</v>
      </c>
      <c r="D97" s="23" t="n">
        <f aca="false">C_pass*C96+A_keep*D96</f>
        <v>7.99090608302361E-011</v>
      </c>
      <c r="E97" s="23" t="n">
        <f aca="false">SUM(B97:D97)</f>
        <v>2.39727182490708E-010</v>
      </c>
      <c r="F97" s="23" t="n">
        <f aca="false">F96+E97</f>
        <v>3.99999999928082</v>
      </c>
      <c r="H97" s="11" t="n">
        <v>74</v>
      </c>
      <c r="I97" s="21" t="n">
        <f aca="false">($I$18*I96+$J$18*J96+$K$18*K96)/(($I$18+$I$19+$I$20)*I96+($J$18+$J$19+$J$20)*J96+($K$18+$K$19+$K$20)*K96)</f>
        <v>0.333333333333333</v>
      </c>
      <c r="J97" s="21" t="n">
        <f aca="false">($I$19*I96+$J$19*J96+$K$19*K96)/(($I$18+$I$19+$I$20)*I96+($J$18+$J$19+$J$20)*J96+($K$18+$K$19+$K$20)*K96)</f>
        <v>0.333333333333333</v>
      </c>
      <c r="K97" s="21" t="n">
        <f aca="false">($I$20*I96+$J$20*J96+$K$20*K96)/(($I$18+$I$19+$I$20)*I96+($J$18+$J$19+$J$20)*J96+($K$18+$K$19+$K$20)*K96)</f>
        <v>0.333333333333333</v>
      </c>
      <c r="L97" s="21" t="n">
        <f aca="false">($I$18+$I$19+$I$20)*I97+($J$18+$J$19+$J$20)*J97+($K$18+$K$19+$K$20)*K97</f>
        <v>0.75</v>
      </c>
      <c r="M97" s="21" t="n">
        <f aca="false">(M96*$I$18+N96*$I$19+O96*$I$20)/(($I$18+$J$18+$K$18)*M96+($I$19+$J$19+$K$19)*N96+($I$20+$J$20+$K$20)*O96)</f>
        <v>0.333333333333333</v>
      </c>
      <c r="N97" s="21" t="n">
        <f aca="false">(M96*$J$18+N96*$J$19+O96*$J$20)/(($I$18+$J$18+$K$18)*M96+($I$19+$J$19+$K$19)*N96+($I$20+$J$20+$K$20)*O96)</f>
        <v>0.333333333333333</v>
      </c>
      <c r="O97" s="21" t="n">
        <f aca="false">(M96*$K$18+N96*$K$19+O96*$K$20)/(($I$18+$J$18+$K$18)*M96+($I$19+$J$19+$K$19)*N96+($I$20+$J$20+$K$20)*O96)</f>
        <v>0.333333333333333</v>
      </c>
    </row>
    <row r="98" customFormat="false" ht="15" hidden="false" customHeight="false" outlineLevel="0" collapsed="false">
      <c r="A98" s="11" t="n">
        <v>78</v>
      </c>
      <c r="B98" s="23" t="n">
        <f aca="false">A_keep*B97+C_pass*D97</f>
        <v>5.9931795622677E-011</v>
      </c>
      <c r="C98" s="23" t="n">
        <f aca="false">C_pass*B97+A_keep*C97</f>
        <v>5.9931795622677E-011</v>
      </c>
      <c r="D98" s="23" t="n">
        <f aca="false">C_pass*C97+A_keep*D97</f>
        <v>5.9931795622677E-011</v>
      </c>
      <c r="E98" s="23" t="n">
        <f aca="false">SUM(B98:D98)</f>
        <v>1.79795386868031E-010</v>
      </c>
      <c r="F98" s="23" t="n">
        <f aca="false">F97+E98</f>
        <v>3.99999999946061</v>
      </c>
      <c r="H98" s="11" t="n">
        <v>75</v>
      </c>
      <c r="I98" s="21" t="n">
        <f aca="false">($I$18*I97+$J$18*J97+$K$18*K97)/(($I$18+$I$19+$I$20)*I97+($J$18+$J$19+$J$20)*J97+($K$18+$K$19+$K$20)*K97)</f>
        <v>0.333333333333333</v>
      </c>
      <c r="J98" s="21" t="n">
        <f aca="false">($I$19*I97+$J$19*J97+$K$19*K97)/(($I$18+$I$19+$I$20)*I97+($J$18+$J$19+$J$20)*J97+($K$18+$K$19+$K$20)*K97)</f>
        <v>0.333333333333333</v>
      </c>
      <c r="K98" s="21" t="n">
        <f aca="false">($I$20*I97+$J$20*J97+$K$20*K97)/(($I$18+$I$19+$I$20)*I97+($J$18+$J$19+$J$20)*J97+($K$18+$K$19+$K$20)*K97)</f>
        <v>0.333333333333333</v>
      </c>
      <c r="L98" s="21" t="n">
        <f aca="false">($I$18+$I$19+$I$20)*I98+($J$18+$J$19+$J$20)*J98+($K$18+$K$19+$K$20)*K98</f>
        <v>0.75</v>
      </c>
      <c r="M98" s="21" t="n">
        <f aca="false">(M97*$I$18+N97*$I$19+O97*$I$20)/(($I$18+$J$18+$K$18)*M97+($I$19+$J$19+$K$19)*N97+($I$20+$J$20+$K$20)*O97)</f>
        <v>0.333333333333333</v>
      </c>
      <c r="N98" s="21" t="n">
        <f aca="false">(M97*$J$18+N97*$J$19+O97*$J$20)/(($I$18+$J$18+$K$18)*M97+($I$19+$J$19+$K$19)*N97+($I$20+$J$20+$K$20)*O97)</f>
        <v>0.333333333333333</v>
      </c>
      <c r="O98" s="21" t="n">
        <f aca="false">(M97*$K$18+N97*$K$19+O97*$K$20)/(($I$18+$J$18+$K$18)*M97+($I$19+$J$19+$K$19)*N97+($I$20+$J$20+$K$20)*O97)</f>
        <v>0.333333333333333</v>
      </c>
    </row>
    <row r="99" customFormat="false" ht="15" hidden="false" customHeight="false" outlineLevel="0" collapsed="false">
      <c r="A99" s="11" t="n">
        <v>79</v>
      </c>
      <c r="B99" s="23" t="n">
        <f aca="false">A_keep*B98+C_pass*D98</f>
        <v>4.49488467170078E-011</v>
      </c>
      <c r="C99" s="23" t="n">
        <f aca="false">C_pass*B98+A_keep*C98</f>
        <v>4.49488467170078E-011</v>
      </c>
      <c r="D99" s="23" t="n">
        <f aca="false">C_pass*C98+A_keep*D98</f>
        <v>4.49488467170078E-011</v>
      </c>
      <c r="E99" s="23" t="n">
        <f aca="false">SUM(B99:D99)</f>
        <v>1.34846540151023E-010</v>
      </c>
      <c r="F99" s="23" t="n">
        <f aca="false">F98+E99</f>
        <v>3.99999999959546</v>
      </c>
      <c r="H99" s="11" t="n">
        <v>76</v>
      </c>
      <c r="I99" s="21" t="n">
        <f aca="false">($I$18*I98+$J$18*J98+$K$18*K98)/(($I$18+$I$19+$I$20)*I98+($J$18+$J$19+$J$20)*J98+($K$18+$K$19+$K$20)*K98)</f>
        <v>0.333333333333333</v>
      </c>
      <c r="J99" s="21" t="n">
        <f aca="false">($I$19*I98+$J$19*J98+$K$19*K98)/(($I$18+$I$19+$I$20)*I98+($J$18+$J$19+$J$20)*J98+($K$18+$K$19+$K$20)*K98)</f>
        <v>0.333333333333333</v>
      </c>
      <c r="K99" s="21" t="n">
        <f aca="false">($I$20*I98+$J$20*J98+$K$20*K98)/(($I$18+$I$19+$I$20)*I98+($J$18+$J$19+$J$20)*J98+($K$18+$K$19+$K$20)*K98)</f>
        <v>0.333333333333333</v>
      </c>
      <c r="L99" s="21" t="n">
        <f aca="false">($I$18+$I$19+$I$20)*I99+($J$18+$J$19+$J$20)*J99+($K$18+$K$19+$K$20)*K99</f>
        <v>0.75</v>
      </c>
      <c r="M99" s="21" t="n">
        <f aca="false">(M98*$I$18+N98*$I$19+O98*$I$20)/(($I$18+$J$18+$K$18)*M98+($I$19+$J$19+$K$19)*N98+($I$20+$J$20+$K$20)*O98)</f>
        <v>0.333333333333333</v>
      </c>
      <c r="N99" s="21" t="n">
        <f aca="false">(M98*$J$18+N98*$J$19+O98*$J$20)/(($I$18+$J$18+$K$18)*M98+($I$19+$J$19+$K$19)*N98+($I$20+$J$20+$K$20)*O98)</f>
        <v>0.333333333333333</v>
      </c>
      <c r="O99" s="21" t="n">
        <f aca="false">(M98*$K$18+N98*$K$19+O98*$K$20)/(($I$18+$J$18+$K$18)*M98+($I$19+$J$19+$K$19)*N98+($I$20+$J$20+$K$20)*O98)</f>
        <v>0.333333333333333</v>
      </c>
    </row>
    <row r="100" customFormat="false" ht="15" hidden="false" customHeight="false" outlineLevel="0" collapsed="false">
      <c r="A100" s="11" t="n">
        <v>80</v>
      </c>
      <c r="B100" s="23" t="n">
        <f aca="false">A_keep*B99+C_pass*D99</f>
        <v>3.37116350377558E-011</v>
      </c>
      <c r="C100" s="23" t="n">
        <f aca="false">C_pass*B99+A_keep*C99</f>
        <v>3.37116350377558E-011</v>
      </c>
      <c r="D100" s="23" t="n">
        <f aca="false">C_pass*C99+A_keep*D99</f>
        <v>3.37116350377558E-011</v>
      </c>
      <c r="E100" s="23" t="n">
        <f aca="false">SUM(B100:D100)</f>
        <v>1.01134905113268E-010</v>
      </c>
      <c r="F100" s="23" t="n">
        <f aca="false">F99+E100</f>
        <v>3.99999999969659</v>
      </c>
      <c r="H100" s="11" t="n">
        <v>77</v>
      </c>
      <c r="I100" s="21" t="n">
        <f aca="false">($I$18*I99+$J$18*J99+$K$18*K99)/(($I$18+$I$19+$I$20)*I99+($J$18+$J$19+$J$20)*J99+($K$18+$K$19+$K$20)*K99)</f>
        <v>0.333333333333333</v>
      </c>
      <c r="J100" s="21" t="n">
        <f aca="false">($I$19*I99+$J$19*J99+$K$19*K99)/(($I$18+$I$19+$I$20)*I99+($J$18+$J$19+$J$20)*J99+($K$18+$K$19+$K$20)*K99)</f>
        <v>0.333333333333333</v>
      </c>
      <c r="K100" s="21" t="n">
        <f aca="false">($I$20*I99+$J$20*J99+$K$20*K99)/(($I$18+$I$19+$I$20)*I99+($J$18+$J$19+$J$20)*J99+($K$18+$K$19+$K$20)*K99)</f>
        <v>0.333333333333333</v>
      </c>
      <c r="L100" s="21" t="n">
        <f aca="false">($I$18+$I$19+$I$20)*I100+($J$18+$J$19+$J$20)*J100+($K$18+$K$19+$K$20)*K100</f>
        <v>0.75</v>
      </c>
      <c r="M100" s="21" t="n">
        <f aca="false">(M99*$I$18+N99*$I$19+O99*$I$20)/(($I$18+$J$18+$K$18)*M99+($I$19+$J$19+$K$19)*N99+($I$20+$J$20+$K$20)*O99)</f>
        <v>0.333333333333333</v>
      </c>
      <c r="N100" s="21" t="n">
        <f aca="false">(M99*$J$18+N99*$J$19+O99*$J$20)/(($I$18+$J$18+$K$18)*M99+($I$19+$J$19+$K$19)*N99+($I$20+$J$20+$K$20)*O99)</f>
        <v>0.333333333333333</v>
      </c>
      <c r="O100" s="21" t="n">
        <f aca="false">(M99*$K$18+N99*$K$19+O99*$K$20)/(($I$18+$J$18+$K$18)*M99+($I$19+$J$19+$K$19)*N99+($I$20+$J$20+$K$20)*O99)</f>
        <v>0.333333333333333</v>
      </c>
    </row>
    <row r="101" customFormat="false" ht="15" hidden="false" customHeight="false" outlineLevel="0" collapsed="false">
      <c r="A101" s="11" t="n">
        <v>81</v>
      </c>
      <c r="B101" s="23" t="n">
        <f aca="false">A_keep*B100+C_pass*D100</f>
        <v>2.52837262783169E-011</v>
      </c>
      <c r="C101" s="23" t="n">
        <f aca="false">C_pass*B100+A_keep*C100</f>
        <v>2.52837262783169E-011</v>
      </c>
      <c r="D101" s="23" t="n">
        <f aca="false">C_pass*C100+A_keep*D100</f>
        <v>2.52837262783169E-011</v>
      </c>
      <c r="E101" s="23" t="n">
        <f aca="false">SUM(B101:D101)</f>
        <v>7.58511788349506E-011</v>
      </c>
      <c r="F101" s="23" t="n">
        <f aca="false">F100+E101</f>
        <v>3.99999999977245</v>
      </c>
      <c r="H101" s="11" t="n">
        <v>78</v>
      </c>
      <c r="I101" s="21" t="n">
        <f aca="false">($I$18*I100+$J$18*J100+$K$18*K100)/(($I$18+$I$19+$I$20)*I100+($J$18+$J$19+$J$20)*J100+($K$18+$K$19+$K$20)*K100)</f>
        <v>0.333333333333333</v>
      </c>
      <c r="J101" s="21" t="n">
        <f aca="false">($I$19*I100+$J$19*J100+$K$19*K100)/(($I$18+$I$19+$I$20)*I100+($J$18+$J$19+$J$20)*J100+($K$18+$K$19+$K$20)*K100)</f>
        <v>0.333333333333333</v>
      </c>
      <c r="K101" s="21" t="n">
        <f aca="false">($I$20*I100+$J$20*J100+$K$20*K100)/(($I$18+$I$19+$I$20)*I100+($J$18+$J$19+$J$20)*J100+($K$18+$K$19+$K$20)*K100)</f>
        <v>0.333333333333333</v>
      </c>
      <c r="L101" s="21" t="n">
        <f aca="false">($I$18+$I$19+$I$20)*I101+($J$18+$J$19+$J$20)*J101+($K$18+$K$19+$K$20)*K101</f>
        <v>0.75</v>
      </c>
      <c r="M101" s="21" t="n">
        <f aca="false">(M100*$I$18+N100*$I$19+O100*$I$20)/(($I$18+$J$18+$K$18)*M100+($I$19+$J$19+$K$19)*N100+($I$20+$J$20+$K$20)*O100)</f>
        <v>0.333333333333333</v>
      </c>
      <c r="N101" s="21" t="n">
        <f aca="false">(M100*$J$18+N100*$J$19+O100*$J$20)/(($I$18+$J$18+$K$18)*M100+($I$19+$J$19+$K$19)*N100+($I$20+$J$20+$K$20)*O100)</f>
        <v>0.333333333333333</v>
      </c>
      <c r="O101" s="21" t="n">
        <f aca="false">(M100*$K$18+N100*$K$19+O100*$K$20)/(($I$18+$J$18+$K$18)*M100+($I$19+$J$19+$K$19)*N100+($I$20+$J$20+$K$20)*O100)</f>
        <v>0.333333333333333</v>
      </c>
    </row>
    <row r="102" customFormat="false" ht="15" hidden="false" customHeight="false" outlineLevel="0" collapsed="false">
      <c r="A102" s="11" t="n">
        <v>82</v>
      </c>
      <c r="B102" s="23" t="n">
        <f aca="false">A_keep*B101+C_pass*D101</f>
        <v>1.89627947087377E-011</v>
      </c>
      <c r="C102" s="23" t="n">
        <f aca="false">C_pass*B101+A_keep*C101</f>
        <v>1.89627947087377E-011</v>
      </c>
      <c r="D102" s="23" t="n">
        <f aca="false">C_pass*C101+A_keep*D101</f>
        <v>1.89627947087377E-011</v>
      </c>
      <c r="E102" s="23" t="n">
        <f aca="false">SUM(B102:D102)</f>
        <v>5.6888384126213E-011</v>
      </c>
      <c r="F102" s="23" t="n">
        <f aca="false">F101+E102</f>
        <v>3.99999999982933</v>
      </c>
      <c r="H102" s="11" t="n">
        <v>79</v>
      </c>
      <c r="I102" s="21" t="n">
        <f aca="false">($I$18*I101+$J$18*J101+$K$18*K101)/(($I$18+$I$19+$I$20)*I101+($J$18+$J$19+$J$20)*J101+($K$18+$K$19+$K$20)*K101)</f>
        <v>0.333333333333333</v>
      </c>
      <c r="J102" s="21" t="n">
        <f aca="false">($I$19*I101+$J$19*J101+$K$19*K101)/(($I$18+$I$19+$I$20)*I101+($J$18+$J$19+$J$20)*J101+($K$18+$K$19+$K$20)*K101)</f>
        <v>0.333333333333333</v>
      </c>
      <c r="K102" s="21" t="n">
        <f aca="false">($I$20*I101+$J$20*J101+$K$20*K101)/(($I$18+$I$19+$I$20)*I101+($J$18+$J$19+$J$20)*J101+($K$18+$K$19+$K$20)*K101)</f>
        <v>0.333333333333333</v>
      </c>
      <c r="L102" s="21" t="n">
        <f aca="false">($I$18+$I$19+$I$20)*I102+($J$18+$J$19+$J$20)*J102+($K$18+$K$19+$K$20)*K102</f>
        <v>0.75</v>
      </c>
      <c r="M102" s="21" t="n">
        <f aca="false">(M101*$I$18+N101*$I$19+O101*$I$20)/(($I$18+$J$18+$K$18)*M101+($I$19+$J$19+$K$19)*N101+($I$20+$J$20+$K$20)*O101)</f>
        <v>0.333333333333333</v>
      </c>
      <c r="N102" s="21" t="n">
        <f aca="false">(M101*$J$18+N101*$J$19+O101*$J$20)/(($I$18+$J$18+$K$18)*M101+($I$19+$J$19+$K$19)*N101+($I$20+$J$20+$K$20)*O101)</f>
        <v>0.333333333333333</v>
      </c>
      <c r="O102" s="21" t="n">
        <f aca="false">(M101*$K$18+N101*$K$19+O101*$K$20)/(($I$18+$J$18+$K$18)*M101+($I$19+$J$19+$K$19)*N101+($I$20+$J$20+$K$20)*O101)</f>
        <v>0.333333333333333</v>
      </c>
    </row>
    <row r="103" customFormat="false" ht="15" hidden="false" customHeight="false" outlineLevel="0" collapsed="false">
      <c r="A103" s="11" t="n">
        <v>83</v>
      </c>
      <c r="B103" s="23" t="n">
        <f aca="false">A_keep*B102+C_pass*D102</f>
        <v>1.42220960315532E-011</v>
      </c>
      <c r="C103" s="23" t="n">
        <f aca="false">C_pass*B102+A_keep*C102</f>
        <v>1.42220960315532E-011</v>
      </c>
      <c r="D103" s="23" t="n">
        <f aca="false">C_pass*C102+A_keep*D102</f>
        <v>1.42220960315532E-011</v>
      </c>
      <c r="E103" s="23" t="n">
        <f aca="false">SUM(B103:D103)</f>
        <v>4.26662880946597E-011</v>
      </c>
      <c r="F103" s="23" t="n">
        <f aca="false">F102+E103</f>
        <v>3.999999999872</v>
      </c>
      <c r="H103" s="11" t="n">
        <v>80</v>
      </c>
      <c r="I103" s="21" t="n">
        <f aca="false">($I$18*I102+$J$18*J102+$K$18*K102)/(($I$18+$I$19+$I$20)*I102+($J$18+$J$19+$J$20)*J102+($K$18+$K$19+$K$20)*K102)</f>
        <v>0.333333333333333</v>
      </c>
      <c r="J103" s="21" t="n">
        <f aca="false">($I$19*I102+$J$19*J102+$K$19*K102)/(($I$18+$I$19+$I$20)*I102+($J$18+$J$19+$J$20)*J102+($K$18+$K$19+$K$20)*K102)</f>
        <v>0.333333333333333</v>
      </c>
      <c r="K103" s="21" t="n">
        <f aca="false">($I$20*I102+$J$20*J102+$K$20*K102)/(($I$18+$I$19+$I$20)*I102+($J$18+$J$19+$J$20)*J102+($K$18+$K$19+$K$20)*K102)</f>
        <v>0.333333333333333</v>
      </c>
      <c r="L103" s="21" t="n">
        <f aca="false">($I$18+$I$19+$I$20)*I103+($J$18+$J$19+$J$20)*J103+($K$18+$K$19+$K$20)*K103</f>
        <v>0.75</v>
      </c>
      <c r="M103" s="21" t="n">
        <f aca="false">(M102*$I$18+N102*$I$19+O102*$I$20)/(($I$18+$J$18+$K$18)*M102+($I$19+$J$19+$K$19)*N102+($I$20+$J$20+$K$20)*O102)</f>
        <v>0.333333333333333</v>
      </c>
      <c r="N103" s="21" t="n">
        <f aca="false">(M102*$J$18+N102*$J$19+O102*$J$20)/(($I$18+$J$18+$K$18)*M102+($I$19+$J$19+$K$19)*N102+($I$20+$J$20+$K$20)*O102)</f>
        <v>0.333333333333333</v>
      </c>
      <c r="O103" s="21" t="n">
        <f aca="false">(M102*$K$18+N102*$K$19+O102*$K$20)/(($I$18+$J$18+$K$18)*M102+($I$19+$J$19+$K$19)*N102+($I$20+$J$20+$K$20)*O102)</f>
        <v>0.333333333333333</v>
      </c>
    </row>
    <row r="104" customFormat="false" ht="15" hidden="false" customHeight="false" outlineLevel="0" collapsed="false">
      <c r="A104" s="11" t="n">
        <v>84</v>
      </c>
      <c r="B104" s="23" t="n">
        <f aca="false">A_keep*B103+C_pass*D103</f>
        <v>1.06665720236649E-011</v>
      </c>
      <c r="C104" s="23" t="n">
        <f aca="false">C_pass*B103+A_keep*C103</f>
        <v>1.06665720236649E-011</v>
      </c>
      <c r="D104" s="23" t="n">
        <f aca="false">C_pass*C103+A_keep*D103</f>
        <v>1.06665720236649E-011</v>
      </c>
      <c r="E104" s="23" t="n">
        <f aca="false">SUM(B104:D104)</f>
        <v>3.19997160709948E-011</v>
      </c>
      <c r="F104" s="23" t="n">
        <f aca="false">F103+E104</f>
        <v>3.999999999904</v>
      </c>
    </row>
    <row r="105" customFormat="false" ht="15" hidden="false" customHeight="false" outlineLevel="0" collapsed="false">
      <c r="A105" s="11" t="n">
        <v>85</v>
      </c>
      <c r="B105" s="23" t="n">
        <f aca="false">A_keep*B104+C_pass*D104</f>
        <v>7.9999290177487E-012</v>
      </c>
      <c r="C105" s="23" t="n">
        <f aca="false">C_pass*B104+A_keep*C104</f>
        <v>7.9999290177487E-012</v>
      </c>
      <c r="D105" s="23" t="n">
        <f aca="false">C_pass*C104+A_keep*D104</f>
        <v>7.9999290177487E-012</v>
      </c>
      <c r="E105" s="23" t="n">
        <f aca="false">SUM(B105:D105)</f>
        <v>2.39997870532461E-011</v>
      </c>
      <c r="F105" s="23" t="n">
        <f aca="false">F104+E105</f>
        <v>3.999999999928</v>
      </c>
    </row>
    <row r="106" customFormat="false" ht="15" hidden="false" customHeight="false" outlineLevel="0" collapsed="false">
      <c r="A106" s="11" t="n">
        <v>86</v>
      </c>
      <c r="B106" s="23" t="n">
        <f aca="false">A_keep*B105+C_pass*D105</f>
        <v>5.99994676331152E-012</v>
      </c>
      <c r="C106" s="23" t="n">
        <f aca="false">C_pass*B105+A_keep*C105</f>
        <v>5.99994676331152E-012</v>
      </c>
      <c r="D106" s="23" t="n">
        <f aca="false">C_pass*C105+A_keep*D105</f>
        <v>5.99994676331152E-012</v>
      </c>
      <c r="E106" s="23" t="n">
        <f aca="false">SUM(B106:D106)</f>
        <v>1.79998402899346E-011</v>
      </c>
      <c r="F106" s="23" t="n">
        <f aca="false">F105+E106</f>
        <v>3.999999999946</v>
      </c>
    </row>
    <row r="107" customFormat="false" ht="15" hidden="false" customHeight="false" outlineLevel="0" collapsed="false">
      <c r="A107" s="11" t="n">
        <v>87</v>
      </c>
      <c r="B107" s="23" t="n">
        <f aca="false">A_keep*B106+C_pass*D106</f>
        <v>4.49996007248364E-012</v>
      </c>
      <c r="C107" s="23" t="n">
        <f aca="false">C_pass*B106+A_keep*C106</f>
        <v>4.49996007248364E-012</v>
      </c>
      <c r="D107" s="23" t="n">
        <f aca="false">C_pass*C106+A_keep*D106</f>
        <v>4.49996007248364E-012</v>
      </c>
      <c r="E107" s="23" t="n">
        <f aca="false">SUM(B107:D107)</f>
        <v>1.34998802174509E-011</v>
      </c>
      <c r="F107" s="23" t="n">
        <f aca="false">F106+E107</f>
        <v>3.9999999999595</v>
      </c>
    </row>
    <row r="108" customFormat="false" ht="15" hidden="false" customHeight="false" outlineLevel="0" collapsed="false">
      <c r="A108" s="11" t="n">
        <v>88</v>
      </c>
      <c r="B108" s="23" t="n">
        <f aca="false">A_keep*B107+C_pass*D107</f>
        <v>3.37497005436273E-012</v>
      </c>
      <c r="C108" s="23" t="n">
        <f aca="false">C_pass*B107+A_keep*C107</f>
        <v>3.37497005436273E-012</v>
      </c>
      <c r="D108" s="23" t="n">
        <f aca="false">C_pass*C107+A_keep*D107</f>
        <v>3.37497005436273E-012</v>
      </c>
      <c r="E108" s="23" t="n">
        <f aca="false">SUM(B108:D108)</f>
        <v>1.01249101630882E-011</v>
      </c>
      <c r="F108" s="23" t="n">
        <f aca="false">F107+E108</f>
        <v>3.99999999996962</v>
      </c>
    </row>
    <row r="109" customFormat="false" ht="15" hidden="false" customHeight="false" outlineLevel="0" collapsed="false">
      <c r="A109" s="11" t="n">
        <v>89</v>
      </c>
      <c r="B109" s="23" t="n">
        <f aca="false">A_keep*B108+C_pass*D108</f>
        <v>2.53122754077205E-012</v>
      </c>
      <c r="C109" s="23" t="n">
        <f aca="false">C_pass*B108+A_keep*C108</f>
        <v>2.53122754077205E-012</v>
      </c>
      <c r="D109" s="23" t="n">
        <f aca="false">C_pass*C108+A_keep*D108</f>
        <v>2.53122754077205E-012</v>
      </c>
      <c r="E109" s="23" t="n">
        <f aca="false">SUM(B109:D109)</f>
        <v>7.59368262231615E-012</v>
      </c>
      <c r="F109" s="23" t="n">
        <f aca="false">F108+E109</f>
        <v>3.99999999997722</v>
      </c>
    </row>
    <row r="110" customFormat="false" ht="15" hidden="false" customHeight="false" outlineLevel="0" collapsed="false">
      <c r="A110" s="11" t="n">
        <v>90</v>
      </c>
      <c r="B110" s="23" t="n">
        <f aca="false">A_keep*B109+C_pass*D109</f>
        <v>1.89842065557904E-012</v>
      </c>
      <c r="C110" s="23" t="n">
        <f aca="false">C_pass*B109+A_keep*C109</f>
        <v>1.89842065557904E-012</v>
      </c>
      <c r="D110" s="23" t="n">
        <f aca="false">C_pass*C109+A_keep*D109</f>
        <v>1.89842065557904E-012</v>
      </c>
      <c r="E110" s="23" t="n">
        <f aca="false">SUM(B110:D110)</f>
        <v>5.69526196673711E-012</v>
      </c>
      <c r="F110" s="23" t="n">
        <f aca="false">F109+E110</f>
        <v>3.99999999998291</v>
      </c>
    </row>
    <row r="111" customFormat="false" ht="15" hidden="false" customHeight="false" outlineLevel="0" collapsed="false">
      <c r="A111" s="11" t="n">
        <v>91</v>
      </c>
      <c r="B111" s="23" t="n">
        <f aca="false">A_keep*B110+C_pass*D110</f>
        <v>1.42381549168428E-012</v>
      </c>
      <c r="C111" s="23" t="n">
        <f aca="false">C_pass*B110+A_keep*C110</f>
        <v>1.42381549168428E-012</v>
      </c>
      <c r="D111" s="23" t="n">
        <f aca="false">C_pass*C110+A_keep*D110</f>
        <v>1.42381549168428E-012</v>
      </c>
      <c r="E111" s="23" t="n">
        <f aca="false">SUM(B111:D111)</f>
        <v>4.27144647505283E-012</v>
      </c>
      <c r="F111" s="23" t="n">
        <f aca="false">F110+E111</f>
        <v>3.99999999998718</v>
      </c>
    </row>
    <row r="112" customFormat="false" ht="15" hidden="false" customHeight="false" outlineLevel="0" collapsed="false">
      <c r="A112" s="11" t="n">
        <v>92</v>
      </c>
      <c r="B112" s="23" t="n">
        <f aca="false">A_keep*B111+C_pass*D111</f>
        <v>1.06786161876321E-012</v>
      </c>
      <c r="C112" s="23" t="n">
        <f aca="false">C_pass*B111+A_keep*C111</f>
        <v>1.06786161876321E-012</v>
      </c>
      <c r="D112" s="23" t="n">
        <f aca="false">C_pass*C111+A_keep*D111</f>
        <v>1.06786161876321E-012</v>
      </c>
      <c r="E112" s="23" t="n">
        <f aca="false">SUM(B112:D112)</f>
        <v>3.20358485628962E-012</v>
      </c>
      <c r="F112" s="23" t="n">
        <f aca="false">F111+E112</f>
        <v>3.99999999999039</v>
      </c>
    </row>
    <row r="113" customFormat="false" ht="15" hidden="false" customHeight="false" outlineLevel="0" collapsed="false">
      <c r="A113" s="11" t="n">
        <v>93</v>
      </c>
      <c r="B113" s="23" t="n">
        <f aca="false">A_keep*B112+C_pass*D112</f>
        <v>8.00896214072406E-013</v>
      </c>
      <c r="C113" s="23" t="n">
        <f aca="false">C_pass*B112+A_keep*C112</f>
        <v>8.00896214072406E-013</v>
      </c>
      <c r="D113" s="23" t="n">
        <f aca="false">C_pass*C112+A_keep*D112</f>
        <v>8.00896214072406E-013</v>
      </c>
      <c r="E113" s="23" t="n">
        <f aca="false">SUM(B113:D113)</f>
        <v>2.40268864221722E-012</v>
      </c>
      <c r="F113" s="23" t="n">
        <f aca="false">F112+E113</f>
        <v>3.99999999999279</v>
      </c>
    </row>
    <row r="114" customFormat="false" ht="15" hidden="false" customHeight="false" outlineLevel="0" collapsed="false">
      <c r="A114" s="11" t="n">
        <v>94</v>
      </c>
      <c r="B114" s="23" t="n">
        <f aca="false">A_keep*B113+C_pass*D113</f>
        <v>6.00672160554305E-013</v>
      </c>
      <c r="C114" s="23" t="n">
        <f aca="false">C_pass*B113+A_keep*C113</f>
        <v>6.00672160554305E-013</v>
      </c>
      <c r="D114" s="23" t="n">
        <f aca="false">C_pass*C113+A_keep*D113</f>
        <v>6.00672160554305E-013</v>
      </c>
      <c r="E114" s="23" t="n">
        <f aca="false">SUM(B114:D114)</f>
        <v>1.80201648166291E-012</v>
      </c>
      <c r="F114" s="23" t="n">
        <f aca="false">F113+E114</f>
        <v>3.99999999999459</v>
      </c>
    </row>
    <row r="115" customFormat="false" ht="15" hidden="false" customHeight="false" outlineLevel="0" collapsed="false">
      <c r="A115" s="11" t="n">
        <v>95</v>
      </c>
      <c r="B115" s="23" t="n">
        <f aca="false">A_keep*B114+C_pass*D114</f>
        <v>4.50504120415728E-013</v>
      </c>
      <c r="C115" s="23" t="n">
        <f aca="false">C_pass*B114+A_keep*C114</f>
        <v>4.50504120415728E-013</v>
      </c>
      <c r="D115" s="23" t="n">
        <f aca="false">C_pass*C114+A_keep*D114</f>
        <v>4.50504120415728E-013</v>
      </c>
      <c r="E115" s="23" t="n">
        <f aca="false">SUM(B115:D115)</f>
        <v>1.35151236124719E-012</v>
      </c>
      <c r="F115" s="23" t="n">
        <f aca="false">F114+E115</f>
        <v>3.99999999999594</v>
      </c>
    </row>
    <row r="116" customFormat="false" ht="15" hidden="false" customHeight="false" outlineLevel="0" collapsed="false">
      <c r="A116" s="11" t="n">
        <v>96</v>
      </c>
      <c r="B116" s="23" t="n">
        <f aca="false">A_keep*B115+C_pass*D115</f>
        <v>3.37878090311796E-013</v>
      </c>
      <c r="C116" s="23" t="n">
        <f aca="false">C_pass*B115+A_keep*C115</f>
        <v>3.37878090311796E-013</v>
      </c>
      <c r="D116" s="23" t="n">
        <f aca="false">C_pass*C115+A_keep*D115</f>
        <v>3.37878090311796E-013</v>
      </c>
      <c r="E116" s="23" t="n">
        <f aca="false">SUM(B116:D116)</f>
        <v>1.01363427093539E-012</v>
      </c>
      <c r="F116" s="23" t="n">
        <f aca="false">F115+E116</f>
        <v>3.99999999999696</v>
      </c>
    </row>
    <row r="117" customFormat="false" ht="15" hidden="false" customHeight="false" outlineLevel="0" collapsed="false">
      <c r="A117" s="11" t="n">
        <v>97</v>
      </c>
      <c r="B117" s="23" t="n">
        <f aca="false">A_keep*B116+C_pass*D116</f>
        <v>2.53408567733847E-013</v>
      </c>
      <c r="C117" s="23" t="n">
        <f aca="false">C_pass*B116+A_keep*C116</f>
        <v>2.53408567733847E-013</v>
      </c>
      <c r="D117" s="23" t="n">
        <f aca="false">C_pass*C116+A_keep*D116</f>
        <v>2.53408567733847E-013</v>
      </c>
      <c r="E117" s="23" t="n">
        <f aca="false">SUM(B117:D117)</f>
        <v>7.60225703201542E-013</v>
      </c>
      <c r="F117" s="23" t="n">
        <f aca="false">F116+E117</f>
        <v>3.99999999999772</v>
      </c>
    </row>
    <row r="118" customFormat="false" ht="15" hidden="false" customHeight="false" outlineLevel="0" collapsed="false">
      <c r="A118" s="11" t="n">
        <v>98</v>
      </c>
      <c r="B118" s="23" t="n">
        <f aca="false">A_keep*B117+C_pass*D117</f>
        <v>1.90056425800385E-013</v>
      </c>
      <c r="C118" s="23" t="n">
        <f aca="false">C_pass*B117+A_keep*C117</f>
        <v>1.90056425800385E-013</v>
      </c>
      <c r="D118" s="23" t="n">
        <f aca="false">C_pass*C117+A_keep*D117</f>
        <v>1.90056425800385E-013</v>
      </c>
      <c r="E118" s="23" t="n">
        <f aca="false">SUM(B118:D118)</f>
        <v>5.70169277401156E-013</v>
      </c>
      <c r="F118" s="23" t="n">
        <f aca="false">F117+E118</f>
        <v>3.99999999999829</v>
      </c>
    </row>
    <row r="119" customFormat="false" ht="15" hidden="false" customHeight="false" outlineLevel="0" collapsed="false">
      <c r="A119" s="11" t="n">
        <v>99</v>
      </c>
      <c r="B119" s="23" t="n">
        <f aca="false">A_keep*B118+C_pass*D118</f>
        <v>1.42542319350289E-013</v>
      </c>
      <c r="C119" s="23" t="n">
        <f aca="false">C_pass*B118+A_keep*C118</f>
        <v>1.42542319350289E-013</v>
      </c>
      <c r="D119" s="23" t="n">
        <f aca="false">C_pass*C118+A_keep*D118</f>
        <v>1.42542319350289E-013</v>
      </c>
      <c r="E119" s="23" t="n">
        <f aca="false">SUM(B119:D119)</f>
        <v>4.27626958050867E-013</v>
      </c>
      <c r="F119" s="23" t="n">
        <f aca="false">F118+E119</f>
        <v>3.99999999999872</v>
      </c>
    </row>
    <row r="120" customFormat="false" ht="15" hidden="false" customHeight="false" outlineLevel="0" collapsed="false">
      <c r="A120" s="11" t="n">
        <v>100</v>
      </c>
      <c r="B120" s="23" t="n">
        <f aca="false">A_keep*B119+C_pass*D119</f>
        <v>1.06906739512717E-013</v>
      </c>
      <c r="C120" s="23" t="n">
        <f aca="false">C_pass*B119+A_keep*C119</f>
        <v>1.06906739512717E-013</v>
      </c>
      <c r="D120" s="23" t="n">
        <f aca="false">C_pass*C119+A_keep*D119</f>
        <v>1.06906739512717E-013</v>
      </c>
      <c r="E120" s="23" t="n">
        <f aca="false">SUM(B120:D120)</f>
        <v>3.2072021853815E-013</v>
      </c>
      <c r="F120" s="23" t="n">
        <f aca="false">F119+E120</f>
        <v>3.99999999999904</v>
      </c>
    </row>
    <row r="121" customFormat="false" ht="15" hidden="false" customHeight="false" outlineLevel="0" collapsed="false">
      <c r="A121" s="11" t="n">
        <v>101</v>
      </c>
      <c r="B121" s="23" t="n">
        <f aca="false">A_keep*B120+C_pass*D120</f>
        <v>8.01800546345376E-014</v>
      </c>
      <c r="C121" s="23" t="n">
        <f aca="false">C_pass*B120+A_keep*C120</f>
        <v>8.01800546345376E-014</v>
      </c>
      <c r="D121" s="23" t="n">
        <f aca="false">C_pass*C120+A_keep*D120</f>
        <v>8.01800546345376E-014</v>
      </c>
      <c r="E121" s="23" t="n">
        <f aca="false">SUM(B121:D121)</f>
        <v>2.40540163903613E-013</v>
      </c>
      <c r="F121" s="23" t="n">
        <f aca="false">F120+E121</f>
        <v>3.99999999999928</v>
      </c>
    </row>
    <row r="122" customFormat="false" ht="15" hidden="false" customHeight="false" outlineLevel="0" collapsed="false">
      <c r="A122" s="11" t="n">
        <v>102</v>
      </c>
      <c r="B122" s="23" t="n">
        <f aca="false">A_keep*B121+C_pass*D121</f>
        <v>6.01350409759032E-014</v>
      </c>
      <c r="C122" s="23" t="n">
        <f aca="false">C_pass*B121+A_keep*C121</f>
        <v>6.01350409759032E-014</v>
      </c>
      <c r="D122" s="23" t="n">
        <f aca="false">C_pass*C121+A_keep*D121</f>
        <v>6.01350409759032E-014</v>
      </c>
      <c r="E122" s="23" t="n">
        <f aca="false">SUM(B122:D122)</f>
        <v>1.8040512292771E-013</v>
      </c>
      <c r="F122" s="23" t="n">
        <f aca="false">F121+E122</f>
        <v>3.99999999999946</v>
      </c>
    </row>
    <row r="123" customFormat="false" ht="15" hidden="false" customHeight="false" outlineLevel="0" collapsed="false">
      <c r="A123" s="11" t="n">
        <v>103</v>
      </c>
      <c r="B123" s="23" t="n">
        <f aca="false">A_keep*B122+C_pass*D122</f>
        <v>4.51012807319274E-014</v>
      </c>
      <c r="C123" s="23" t="n">
        <f aca="false">C_pass*B122+A_keep*C122</f>
        <v>4.51012807319274E-014</v>
      </c>
      <c r="D123" s="23" t="n">
        <f aca="false">C_pass*C122+A_keep*D122</f>
        <v>4.51012807319274E-014</v>
      </c>
      <c r="E123" s="23" t="n">
        <f aca="false">SUM(B123:D123)</f>
        <v>1.35303842195782E-013</v>
      </c>
      <c r="F123" s="23" t="n">
        <f aca="false">F122+E123</f>
        <v>3.99999999999959</v>
      </c>
    </row>
    <row r="124" customFormat="false" ht="15" hidden="false" customHeight="false" outlineLevel="0" collapsed="false">
      <c r="A124" s="11" t="n">
        <v>104</v>
      </c>
      <c r="B124" s="23" t="n">
        <f aca="false">A_keep*B123+C_pass*D123</f>
        <v>3.38259605489456E-014</v>
      </c>
      <c r="C124" s="23" t="n">
        <f aca="false">C_pass*B123+A_keep*C123</f>
        <v>3.38259605489456E-014</v>
      </c>
      <c r="D124" s="23" t="n">
        <f aca="false">C_pass*C123+A_keep*D123</f>
        <v>3.38259605489456E-014</v>
      </c>
      <c r="E124" s="23" t="n">
        <f aca="false">SUM(B124:D124)</f>
        <v>1.01477881646837E-013</v>
      </c>
      <c r="F124" s="23" t="n">
        <f aca="false">F123+E124</f>
        <v>3.9999999999997</v>
      </c>
    </row>
    <row r="125" customFormat="false" ht="15" hidden="false" customHeight="false" outlineLevel="0" collapsed="false">
      <c r="A125" s="11" t="n">
        <v>105</v>
      </c>
      <c r="B125" s="23" t="n">
        <f aca="false">A_keep*B124+C_pass*D124</f>
        <v>2.53694704117092E-014</v>
      </c>
      <c r="C125" s="23" t="n">
        <f aca="false">C_pass*B124+A_keep*C124</f>
        <v>2.53694704117092E-014</v>
      </c>
      <c r="D125" s="23" t="n">
        <f aca="false">C_pass*C124+A_keep*D124</f>
        <v>2.53694704117092E-014</v>
      </c>
      <c r="E125" s="23" t="n">
        <f aca="false">SUM(B125:D125)</f>
        <v>7.61084112351275E-014</v>
      </c>
      <c r="F125" s="23" t="n">
        <f aca="false">F124+E125</f>
        <v>3.99999999999977</v>
      </c>
    </row>
    <row r="126" customFormat="false" ht="15" hidden="false" customHeight="false" outlineLevel="0" collapsed="false">
      <c r="A126" s="11" t="n">
        <v>106</v>
      </c>
      <c r="B126" s="23" t="n">
        <f aca="false">A_keep*B125+C_pass*D125</f>
        <v>1.90271028087819E-014</v>
      </c>
      <c r="C126" s="23" t="n">
        <f aca="false">C_pass*B125+A_keep*C125</f>
        <v>1.90271028087819E-014</v>
      </c>
      <c r="D126" s="23" t="n">
        <f aca="false">C_pass*C125+A_keep*D125</f>
        <v>1.90271028087819E-014</v>
      </c>
      <c r="E126" s="23" t="n">
        <f aca="false">SUM(B126:D126)</f>
        <v>5.70813084263456E-014</v>
      </c>
      <c r="F126" s="23" t="n">
        <f aca="false">F125+E126</f>
        <v>3.99999999999983</v>
      </c>
    </row>
    <row r="127" customFormat="false" ht="15" hidden="false" customHeight="false" outlineLevel="0" collapsed="false">
      <c r="A127" s="11" t="n">
        <v>107</v>
      </c>
      <c r="B127" s="23" t="n">
        <f aca="false">A_keep*B126+C_pass*D126</f>
        <v>1.42703271065864E-014</v>
      </c>
      <c r="C127" s="23" t="n">
        <f aca="false">C_pass*B126+A_keep*C126</f>
        <v>1.42703271065864E-014</v>
      </c>
      <c r="D127" s="23" t="n">
        <f aca="false">C_pass*C126+A_keep*D126</f>
        <v>1.42703271065864E-014</v>
      </c>
      <c r="E127" s="23" t="n">
        <f aca="false">SUM(B127:D127)</f>
        <v>4.28109813197592E-014</v>
      </c>
      <c r="F127" s="23" t="n">
        <f aca="false">F126+E127</f>
        <v>3.99999999999987</v>
      </c>
    </row>
    <row r="128" customFormat="false" ht="15" hidden="false" customHeight="false" outlineLevel="0" collapsed="false">
      <c r="A128" s="11" t="n">
        <v>108</v>
      </c>
      <c r="B128" s="23" t="n">
        <f aca="false">A_keep*B127+C_pass*D127</f>
        <v>1.07027453299398E-014</v>
      </c>
      <c r="C128" s="23" t="n">
        <f aca="false">C_pass*B127+A_keep*C127</f>
        <v>1.07027453299398E-014</v>
      </c>
      <c r="D128" s="23" t="n">
        <f aca="false">C_pass*C127+A_keep*D127</f>
        <v>1.07027453299398E-014</v>
      </c>
      <c r="E128" s="23" t="n">
        <f aca="false">SUM(B128:D128)</f>
        <v>3.21082359898194E-014</v>
      </c>
      <c r="F128" s="23" t="n">
        <f aca="false">F127+E128</f>
        <v>3.9999999999999</v>
      </c>
    </row>
    <row r="129" customFormat="false" ht="15" hidden="false" customHeight="false" outlineLevel="0" collapsed="false">
      <c r="A129" s="11" t="n">
        <v>109</v>
      </c>
      <c r="B129" s="23" t="n">
        <f aca="false">A_keep*B128+C_pass*D128</f>
        <v>8.02705899745485E-015</v>
      </c>
      <c r="C129" s="23" t="n">
        <f aca="false">C_pass*B128+A_keep*C128</f>
        <v>8.02705899745485E-015</v>
      </c>
      <c r="D129" s="23" t="n">
        <f aca="false">C_pass*C128+A_keep*D128</f>
        <v>8.02705899745485E-015</v>
      </c>
      <c r="E129" s="23" t="n">
        <f aca="false">SUM(B129:D129)</f>
        <v>2.40811769923646E-014</v>
      </c>
      <c r="F129" s="23" t="n">
        <f aca="false">F128+E129</f>
        <v>3.99999999999993</v>
      </c>
    </row>
    <row r="130" customFormat="false" ht="15" hidden="false" customHeight="false" outlineLevel="0" collapsed="false">
      <c r="A130" s="11" t="n">
        <v>110</v>
      </c>
      <c r="B130" s="23" t="n">
        <f aca="false">A_keep*B129+C_pass*D129</f>
        <v>6.02029424809114E-015</v>
      </c>
      <c r="C130" s="23" t="n">
        <f aca="false">C_pass*B129+A_keep*C129</f>
        <v>6.02029424809114E-015</v>
      </c>
      <c r="D130" s="23" t="n">
        <f aca="false">C_pass*C129+A_keep*D129</f>
        <v>6.02029424809114E-015</v>
      </c>
      <c r="E130" s="23" t="n">
        <f aca="false">SUM(B130:D130)</f>
        <v>1.80608827442734E-014</v>
      </c>
      <c r="F130" s="23" t="n">
        <f aca="false">F129+E130</f>
        <v>3.99999999999995</v>
      </c>
    </row>
    <row r="131" customFormat="false" ht="15" hidden="false" customHeight="false" outlineLevel="0" collapsed="false">
      <c r="A131" s="11" t="n">
        <v>111</v>
      </c>
      <c r="B131" s="23" t="n">
        <f aca="false">A_keep*B130+C_pass*D130</f>
        <v>4.51522068606835E-015</v>
      </c>
      <c r="C131" s="23" t="n">
        <f aca="false">C_pass*B130+A_keep*C130</f>
        <v>4.51522068606835E-015</v>
      </c>
      <c r="D131" s="23" t="n">
        <f aca="false">C_pass*C130+A_keep*D130</f>
        <v>4.51522068606835E-015</v>
      </c>
      <c r="E131" s="23" t="n">
        <f aca="false">SUM(B131:D131)</f>
        <v>1.35456620582051E-014</v>
      </c>
      <c r="F131" s="23" t="n">
        <f aca="false">F130+E131</f>
        <v>3.99999999999996</v>
      </c>
    </row>
    <row r="132" customFormat="false" ht="15" hidden="false" customHeight="false" outlineLevel="0" collapsed="false">
      <c r="A132" s="11" t="n">
        <v>112</v>
      </c>
      <c r="B132" s="23" t="n">
        <f aca="false">A_keep*B131+C_pass*D131</f>
        <v>3.38641551455127E-015</v>
      </c>
      <c r="C132" s="23" t="n">
        <f aca="false">C_pass*B131+A_keep*C131</f>
        <v>3.38641551455127E-015</v>
      </c>
      <c r="D132" s="23" t="n">
        <f aca="false">C_pass*C131+A_keep*D131</f>
        <v>3.38641551455127E-015</v>
      </c>
      <c r="E132" s="23" t="n">
        <f aca="false">SUM(B132:D132)</f>
        <v>1.01592465436538E-014</v>
      </c>
      <c r="F132" s="23" t="n">
        <f aca="false">F131+E132</f>
        <v>3.99999999999997</v>
      </c>
    </row>
    <row r="133" customFormat="false" ht="15" hidden="false" customHeight="false" outlineLevel="0" collapsed="false">
      <c r="A133" s="11" t="n">
        <v>113</v>
      </c>
      <c r="B133" s="23" t="n">
        <f aca="false">A_keep*B132+C_pass*D132</f>
        <v>2.53981163591345E-015</v>
      </c>
      <c r="C133" s="23" t="n">
        <f aca="false">C_pass*B132+A_keep*C132</f>
        <v>2.53981163591345E-015</v>
      </c>
      <c r="D133" s="23" t="n">
        <f aca="false">C_pass*C132+A_keep*D132</f>
        <v>2.53981163591345E-015</v>
      </c>
      <c r="E133" s="23" t="n">
        <f aca="false">SUM(B133:D133)</f>
        <v>7.61943490774035E-015</v>
      </c>
      <c r="F133" s="23" t="n">
        <f aca="false">F132+E133</f>
        <v>3.99999999999998</v>
      </c>
    </row>
    <row r="134" customFormat="false" ht="15" hidden="false" customHeight="false" outlineLevel="0" collapsed="false">
      <c r="A134" s="11" t="n">
        <v>114</v>
      </c>
      <c r="B134" s="23" t="n">
        <f aca="false">A_keep*B133+C_pass*D133</f>
        <v>1.90485872693509E-015</v>
      </c>
      <c r="C134" s="23" t="n">
        <f aca="false">C_pass*B133+A_keep*C133</f>
        <v>1.90485872693509E-015</v>
      </c>
      <c r="D134" s="23" t="n">
        <f aca="false">C_pass*C133+A_keep*D133</f>
        <v>1.90485872693509E-015</v>
      </c>
      <c r="E134" s="23" t="n">
        <f aca="false">SUM(B134:D134)</f>
        <v>5.71457618080526E-015</v>
      </c>
      <c r="F134" s="23" t="n">
        <f aca="false">F133+E134</f>
        <v>3.99999999999998</v>
      </c>
    </row>
    <row r="135" customFormat="false" ht="15" hidden="false" customHeight="false" outlineLevel="0" collapsed="false">
      <c r="A135" s="11" t="n">
        <v>115</v>
      </c>
      <c r="B135" s="23" t="n">
        <f aca="false">A_keep*B134+C_pass*D134</f>
        <v>1.42864404520132E-015</v>
      </c>
      <c r="C135" s="23" t="n">
        <f aca="false">C_pass*B134+A_keep*C134</f>
        <v>1.42864404520132E-015</v>
      </c>
      <c r="D135" s="23" t="n">
        <f aca="false">C_pass*C134+A_keep*D134</f>
        <v>1.42864404520132E-015</v>
      </c>
      <c r="E135" s="23" t="n">
        <f aca="false">SUM(B135:D135)</f>
        <v>4.28593213560395E-015</v>
      </c>
      <c r="F135" s="23" t="n">
        <f aca="false">F134+E135</f>
        <v>3.99999999999999</v>
      </c>
    </row>
    <row r="136" customFormat="false" ht="15" hidden="false" customHeight="false" outlineLevel="0" collapsed="false">
      <c r="A136" s="11" t="n">
        <v>116</v>
      </c>
      <c r="B136" s="23" t="n">
        <f aca="false">A_keep*B135+C_pass*D135</f>
        <v>1.07148303390099E-015</v>
      </c>
      <c r="C136" s="23" t="n">
        <f aca="false">C_pass*B135+A_keep*C135</f>
        <v>1.07148303390099E-015</v>
      </c>
      <c r="D136" s="23" t="n">
        <f aca="false">C_pass*C135+A_keep*D135</f>
        <v>1.07148303390099E-015</v>
      </c>
      <c r="E136" s="23" t="n">
        <f aca="false">SUM(B136:D136)</f>
        <v>3.21444910170296E-015</v>
      </c>
      <c r="F136" s="23" t="n">
        <f aca="false">F135+E136</f>
        <v>3.99999999999999</v>
      </c>
    </row>
    <row r="137" customFormat="false" ht="15" hidden="false" customHeight="false" outlineLevel="0" collapsed="false">
      <c r="A137" s="11" t="n">
        <v>117</v>
      </c>
      <c r="B137" s="23" t="n">
        <f aca="false">A_keep*B136+C_pass*D136</f>
        <v>8.0361227542574E-016</v>
      </c>
      <c r="C137" s="23" t="n">
        <f aca="false">C_pass*B136+A_keep*C136</f>
        <v>8.0361227542574E-016</v>
      </c>
      <c r="D137" s="23" t="n">
        <f aca="false">C_pass*C136+A_keep*D136</f>
        <v>8.0361227542574E-016</v>
      </c>
      <c r="E137" s="23" t="n">
        <f aca="false">SUM(B137:D137)</f>
        <v>2.41083682627722E-015</v>
      </c>
      <c r="F137" s="23" t="n">
        <f aca="false">F136+E137</f>
        <v>3.99999999999999</v>
      </c>
    </row>
    <row r="138" customFormat="false" ht="15" hidden="false" customHeight="false" outlineLevel="0" collapsed="false">
      <c r="A138" s="11" t="n">
        <v>118</v>
      </c>
      <c r="B138" s="23" t="n">
        <f aca="false">A_keep*B137+C_pass*D137</f>
        <v>6.02709206569305E-016</v>
      </c>
      <c r="C138" s="23" t="n">
        <f aca="false">C_pass*B137+A_keep*C137</f>
        <v>6.02709206569305E-016</v>
      </c>
      <c r="D138" s="23" t="n">
        <f aca="false">C_pass*C137+A_keep*D137</f>
        <v>6.02709206569305E-016</v>
      </c>
      <c r="E138" s="23" t="n">
        <f aca="false">SUM(B138:D138)</f>
        <v>1.80812761970792E-015</v>
      </c>
      <c r="F138" s="23" t="n">
        <f aca="false">F137+E138</f>
        <v>3.99999999999999</v>
      </c>
    </row>
    <row r="139" customFormat="false" ht="15" hidden="false" customHeight="false" outlineLevel="0" collapsed="false">
      <c r="A139" s="11" t="n">
        <v>119</v>
      </c>
      <c r="B139" s="23" t="n">
        <f aca="false">A_keep*B138+C_pass*D138</f>
        <v>4.52031904926979E-016</v>
      </c>
      <c r="C139" s="23" t="n">
        <f aca="false">C_pass*B138+A_keep*C138</f>
        <v>4.52031904926979E-016</v>
      </c>
      <c r="D139" s="23" t="n">
        <f aca="false">C_pass*C138+A_keep*D138</f>
        <v>4.52031904926979E-016</v>
      </c>
      <c r="E139" s="23" t="n">
        <f aca="false">SUM(B139:D139)</f>
        <v>1.35609571478094E-015</v>
      </c>
      <c r="F139" s="23" t="n">
        <f aca="false">F138+E139</f>
        <v>4</v>
      </c>
    </row>
    <row r="140" customFormat="false" ht="15" hidden="false" customHeight="false" outlineLevel="0" collapsed="false">
      <c r="A140" s="11" t="n">
        <v>120</v>
      </c>
      <c r="B140" s="23" t="n">
        <f aca="false">A_keep*B139+C_pass*D139</f>
        <v>3.39023928695234E-016</v>
      </c>
      <c r="C140" s="23" t="n">
        <f aca="false">C_pass*B139+A_keep*C139</f>
        <v>3.39023928695234E-016</v>
      </c>
      <c r="D140" s="23" t="n">
        <f aca="false">C_pass*C139+A_keep*D139</f>
        <v>3.39023928695234E-016</v>
      </c>
      <c r="E140" s="23" t="n">
        <f aca="false">SUM(B140:D140)</f>
        <v>1.0170717860857E-015</v>
      </c>
      <c r="F140" s="23" t="n">
        <f aca="false">F139+E140</f>
        <v>4</v>
      </c>
    </row>
    <row r="141" customFormat="false" ht="15" hidden="false" customHeight="false" outlineLevel="0" collapsed="false">
      <c r="A141" s="11" t="n">
        <v>121</v>
      </c>
      <c r="B141" s="23" t="n">
        <f aca="false">A_keep*B140+C_pass*D140</f>
        <v>2.54267946521426E-016</v>
      </c>
      <c r="C141" s="23" t="n">
        <f aca="false">C_pass*B140+A_keep*C140</f>
        <v>2.54267946521426E-016</v>
      </c>
      <c r="D141" s="23" t="n">
        <f aca="false">C_pass*C140+A_keep*D140</f>
        <v>2.54267946521426E-016</v>
      </c>
      <c r="E141" s="23" t="n">
        <f aca="false">SUM(B141:D141)</f>
        <v>7.62803839564277E-016</v>
      </c>
      <c r="F141" s="23" t="n">
        <f aca="false">F140+E141</f>
        <v>4</v>
      </c>
    </row>
    <row r="142" customFormat="false" ht="15" hidden="false" customHeight="false" outlineLevel="0" collapsed="false">
      <c r="A142" s="11" t="n">
        <v>122</v>
      </c>
      <c r="B142" s="23" t="n">
        <f aca="false">A_keep*B141+C_pass*D141</f>
        <v>1.90700959891069E-016</v>
      </c>
      <c r="C142" s="23" t="n">
        <f aca="false">C_pass*B141+A_keep*C141</f>
        <v>1.90700959891069E-016</v>
      </c>
      <c r="D142" s="23" t="n">
        <f aca="false">C_pass*C141+A_keep*D141</f>
        <v>1.90700959891069E-016</v>
      </c>
      <c r="E142" s="23" t="n">
        <f aca="false">SUM(B142:D142)</f>
        <v>5.72102879673207E-016</v>
      </c>
      <c r="F142" s="23" t="n">
        <f aca="false">F141+E142</f>
        <v>4</v>
      </c>
    </row>
    <row r="143" customFormat="false" ht="15" hidden="false" customHeight="false" outlineLevel="0" collapsed="false">
      <c r="A143" s="11" t="n">
        <v>123</v>
      </c>
      <c r="B143" s="23" t="n">
        <f aca="false">A_keep*B142+C_pass*D142</f>
        <v>1.43025719918302E-016</v>
      </c>
      <c r="C143" s="23" t="n">
        <f aca="false">C_pass*B142+A_keep*C142</f>
        <v>1.43025719918302E-016</v>
      </c>
      <c r="D143" s="23" t="n">
        <f aca="false">C_pass*C142+A_keep*D142</f>
        <v>1.43025719918302E-016</v>
      </c>
      <c r="E143" s="23" t="n">
        <f aca="false">SUM(B143:D143)</f>
        <v>4.29077159754906E-016</v>
      </c>
      <c r="F143" s="23" t="n">
        <f aca="false">F142+E143</f>
        <v>4</v>
      </c>
    </row>
    <row r="144" customFormat="false" ht="15" hidden="false" customHeight="false" outlineLevel="0" collapsed="false">
      <c r="A144" s="11" t="n">
        <v>124</v>
      </c>
      <c r="B144" s="23" t="n">
        <f aca="false">A_keep*B143+C_pass*D143</f>
        <v>1.07269289938726E-016</v>
      </c>
      <c r="C144" s="23" t="n">
        <f aca="false">C_pass*B143+A_keep*C143</f>
        <v>1.07269289938726E-016</v>
      </c>
      <c r="D144" s="23" t="n">
        <f aca="false">C_pass*C143+A_keep*D143</f>
        <v>1.07269289938726E-016</v>
      </c>
      <c r="E144" s="23" t="n">
        <f aca="false">SUM(B144:D144)</f>
        <v>3.21807869816179E-016</v>
      </c>
      <c r="F144" s="23" t="n">
        <f aca="false">F143+E144</f>
        <v>4</v>
      </c>
    </row>
    <row r="145" customFormat="false" ht="15" hidden="false" customHeight="false" outlineLevel="0" collapsed="false">
      <c r="A145" s="11" t="n">
        <v>125</v>
      </c>
      <c r="B145" s="23" t="n">
        <f aca="false">A_keep*B144+C_pass*D144</f>
        <v>8.04519674540448E-017</v>
      </c>
      <c r="C145" s="23" t="n">
        <f aca="false">C_pass*B144+A_keep*C144</f>
        <v>8.04519674540448E-017</v>
      </c>
      <c r="D145" s="23" t="n">
        <f aca="false">C_pass*C144+A_keep*D144</f>
        <v>8.04519674540448E-017</v>
      </c>
      <c r="E145" s="23" t="n">
        <f aca="false">SUM(B145:D145)</f>
        <v>2.41355902362134E-016</v>
      </c>
      <c r="F145" s="23" t="n">
        <f aca="false">F144+E145</f>
        <v>4</v>
      </c>
    </row>
    <row r="146" customFormat="false" ht="15" hidden="false" customHeight="false" outlineLevel="0" collapsed="false">
      <c r="A146" s="11" t="n">
        <v>126</v>
      </c>
      <c r="B146" s="23" t="n">
        <f aca="false">A_keep*B145+C_pass*D145</f>
        <v>6.03389755905336E-017</v>
      </c>
      <c r="C146" s="23" t="n">
        <f aca="false">C_pass*B145+A_keep*C145</f>
        <v>6.03389755905336E-017</v>
      </c>
      <c r="D146" s="23" t="n">
        <f aca="false">C_pass*C145+A_keep*D145</f>
        <v>6.03389755905336E-017</v>
      </c>
      <c r="E146" s="23" t="n">
        <f aca="false">SUM(B146:D146)</f>
        <v>1.81016926771601E-016</v>
      </c>
      <c r="F146" s="23" t="n">
        <f aca="false">F145+E146</f>
        <v>4</v>
      </c>
    </row>
    <row r="147" customFormat="false" ht="15" hidden="false" customHeight="false" outlineLevel="0" collapsed="false">
      <c r="A147" s="11" t="n">
        <v>127</v>
      </c>
      <c r="B147" s="23" t="n">
        <f aca="false">A_keep*B146+C_pass*D146</f>
        <v>4.52542316929002E-017</v>
      </c>
      <c r="C147" s="23" t="n">
        <f aca="false">C_pass*B146+A_keep*C146</f>
        <v>4.52542316929002E-017</v>
      </c>
      <c r="D147" s="23" t="n">
        <f aca="false">C_pass*C146+A_keep*D146</f>
        <v>4.52542316929002E-017</v>
      </c>
      <c r="E147" s="23" t="n">
        <f aca="false">SUM(B147:D147)</f>
        <v>1.35762695078701E-016</v>
      </c>
      <c r="F147" s="23" t="n">
        <f aca="false">F146+E147</f>
        <v>4</v>
      </c>
    </row>
    <row r="148" customFormat="false" ht="15" hidden="false" customHeight="false" outlineLevel="0" collapsed="false">
      <c r="A148" s="11" t="n">
        <v>128</v>
      </c>
      <c r="B148" s="23" t="n">
        <f aca="false">A_keep*B147+C_pass*D147</f>
        <v>3.39406737696751E-017</v>
      </c>
      <c r="C148" s="23" t="n">
        <f aca="false">C_pass*B147+A_keep*C147</f>
        <v>3.39406737696751E-017</v>
      </c>
      <c r="D148" s="23" t="n">
        <f aca="false">C_pass*C147+A_keep*D147</f>
        <v>3.39406737696751E-017</v>
      </c>
      <c r="E148" s="23" t="n">
        <f aca="false">SUM(B148:D148)</f>
        <v>1.01822021309025E-016</v>
      </c>
      <c r="F148" s="23" t="n">
        <f aca="false">F147+E148</f>
        <v>4</v>
      </c>
    </row>
    <row r="149" customFormat="false" ht="15" hidden="false" customHeight="false" outlineLevel="0" collapsed="false">
      <c r="A149" s="11" t="n">
        <v>129</v>
      </c>
      <c r="B149" s="23" t="n">
        <f aca="false">A_keep*B148+C_pass*D148</f>
        <v>2.54555053272564E-017</v>
      </c>
      <c r="C149" s="23" t="n">
        <f aca="false">C_pass*B148+A_keep*C148</f>
        <v>2.54555053272564E-017</v>
      </c>
      <c r="D149" s="23" t="n">
        <f aca="false">C_pass*C148+A_keep*D148</f>
        <v>2.54555053272564E-017</v>
      </c>
      <c r="E149" s="23" t="n">
        <f aca="false">SUM(B149:D149)</f>
        <v>7.63665159817691E-017</v>
      </c>
      <c r="F149" s="23" t="n">
        <f aca="false">F148+E149</f>
        <v>4</v>
      </c>
    </row>
    <row r="150" customFormat="false" ht="15" hidden="false" customHeight="false" outlineLevel="0" collapsed="false">
      <c r="A150" s="11" t="n">
        <v>130</v>
      </c>
      <c r="B150" s="23" t="n">
        <f aca="false">A_keep*B149+C_pass*D149</f>
        <v>1.90916289954423E-017</v>
      </c>
      <c r="C150" s="23" t="n">
        <f aca="false">C_pass*B149+A_keep*C149</f>
        <v>1.90916289954423E-017</v>
      </c>
      <c r="D150" s="23" t="n">
        <f aca="false">C_pass*C149+A_keep*D149</f>
        <v>1.90916289954423E-017</v>
      </c>
      <c r="E150" s="23" t="n">
        <f aca="false">SUM(B150:D150)</f>
        <v>5.72748869863268E-017</v>
      </c>
      <c r="F150" s="23" t="n">
        <f aca="false">F149+E150</f>
        <v>4</v>
      </c>
    </row>
    <row r="151" customFormat="false" ht="15" hidden="false" customHeight="false" outlineLevel="0" collapsed="false">
      <c r="A151" s="11" t="n">
        <v>131</v>
      </c>
      <c r="B151" s="23" t="n">
        <f aca="false">A_keep*B150+C_pass*D150</f>
        <v>1.43187217465817E-017</v>
      </c>
      <c r="C151" s="23" t="n">
        <f aca="false">C_pass*B150+A_keep*C150</f>
        <v>1.43187217465817E-017</v>
      </c>
      <c r="D151" s="23" t="n">
        <f aca="false">C_pass*C150+A_keep*D150</f>
        <v>1.43187217465817E-017</v>
      </c>
      <c r="E151" s="23" t="n">
        <f aca="false">SUM(B151:D151)</f>
        <v>4.29561652397451E-017</v>
      </c>
      <c r="F151" s="23" t="n">
        <f aca="false">F150+E151</f>
        <v>4</v>
      </c>
    </row>
    <row r="152" customFormat="false" ht="15" hidden="false" customHeight="false" outlineLevel="0" collapsed="false">
      <c r="A152" s="11" t="n">
        <v>132</v>
      </c>
      <c r="B152" s="23" t="n">
        <f aca="false">A_keep*B151+C_pass*D151</f>
        <v>1.07390413099363E-017</v>
      </c>
      <c r="C152" s="23" t="n">
        <f aca="false">C_pass*B151+A_keep*C151</f>
        <v>1.07390413099363E-017</v>
      </c>
      <c r="D152" s="23" t="n">
        <f aca="false">C_pass*C151+A_keep*D151</f>
        <v>1.07390413099363E-017</v>
      </c>
      <c r="E152" s="23" t="n">
        <f aca="false">SUM(B152:D152)</f>
        <v>3.22171239298088E-017</v>
      </c>
      <c r="F152" s="23" t="n">
        <f aca="false">F151+E152</f>
        <v>4</v>
      </c>
    </row>
    <row r="153" customFormat="false" ht="15" hidden="false" customHeight="false" outlineLevel="0" collapsed="false">
      <c r="A153" s="11" t="n">
        <v>133</v>
      </c>
      <c r="B153" s="23" t="n">
        <f aca="false">A_keep*B152+C_pass*D152</f>
        <v>8.0542809824522E-018</v>
      </c>
      <c r="C153" s="23" t="n">
        <f aca="false">C_pass*B152+A_keep*C152</f>
        <v>8.0542809824522E-018</v>
      </c>
      <c r="D153" s="23" t="n">
        <f aca="false">C_pass*C152+A_keep*D152</f>
        <v>8.0542809824522E-018</v>
      </c>
      <c r="E153" s="23" t="n">
        <f aca="false">SUM(B153:D153)</f>
        <v>2.41628429473566E-017</v>
      </c>
      <c r="F153" s="23" t="n">
        <f aca="false">F152+E153</f>
        <v>4</v>
      </c>
    </row>
    <row r="154" customFormat="false" ht="15" hidden="false" customHeight="false" outlineLevel="0" collapsed="false">
      <c r="A154" s="11" t="n">
        <v>134</v>
      </c>
      <c r="B154" s="23" t="n">
        <f aca="false">A_keep*B153+C_pass*D153</f>
        <v>6.04071073683915E-018</v>
      </c>
      <c r="C154" s="23" t="n">
        <f aca="false">C_pass*B153+A_keep*C153</f>
        <v>6.04071073683915E-018</v>
      </c>
      <c r="D154" s="23" t="n">
        <f aca="false">C_pass*C153+A_keep*D153</f>
        <v>6.04071073683915E-018</v>
      </c>
      <c r="E154" s="23" t="n">
        <f aca="false">SUM(B154:D154)</f>
        <v>1.81221322105175E-017</v>
      </c>
      <c r="F154" s="23" t="n">
        <f aca="false">F153+E154</f>
        <v>4</v>
      </c>
    </row>
    <row r="155" customFormat="false" ht="15" hidden="false" customHeight="false" outlineLevel="0" collapsed="false">
      <c r="A155" s="11" t="n">
        <v>135</v>
      </c>
      <c r="B155" s="23" t="n">
        <f aca="false">A_keep*B154+C_pass*D154</f>
        <v>4.53053305262936E-018</v>
      </c>
      <c r="C155" s="23" t="n">
        <f aca="false">C_pass*B154+A_keep*C154</f>
        <v>4.53053305262936E-018</v>
      </c>
      <c r="D155" s="23" t="n">
        <f aca="false">C_pass*C154+A_keep*D154</f>
        <v>4.53053305262936E-018</v>
      </c>
      <c r="E155" s="23" t="n">
        <f aca="false">SUM(B155:D155)</f>
        <v>1.35915991578881E-017</v>
      </c>
      <c r="F155" s="23" t="n">
        <f aca="false">F154+E155</f>
        <v>4</v>
      </c>
    </row>
    <row r="156" customFormat="false" ht="15" hidden="false" customHeight="false" outlineLevel="0" collapsed="false">
      <c r="A156" s="11" t="n">
        <v>136</v>
      </c>
      <c r="B156" s="23" t="n">
        <f aca="false">A_keep*B155+C_pass*D155</f>
        <v>3.39789978947202E-018</v>
      </c>
      <c r="C156" s="23" t="n">
        <f aca="false">C_pass*B155+A_keep*C155</f>
        <v>3.39789978947202E-018</v>
      </c>
      <c r="D156" s="23" t="n">
        <f aca="false">C_pass*C155+A_keep*D155</f>
        <v>3.39789978947202E-018</v>
      </c>
      <c r="E156" s="23" t="n">
        <f aca="false">SUM(B156:D156)</f>
        <v>1.01936993684161E-017</v>
      </c>
      <c r="F156" s="23" t="n">
        <f aca="false">F155+E156</f>
        <v>4</v>
      </c>
    </row>
    <row r="157" customFormat="false" ht="15" hidden="false" customHeight="false" outlineLevel="0" collapsed="false">
      <c r="A157" s="11" t="n">
        <v>137</v>
      </c>
      <c r="B157" s="23" t="n">
        <f aca="false">A_keep*B156+C_pass*D156</f>
        <v>2.54842484210402E-018</v>
      </c>
      <c r="C157" s="23" t="n">
        <f aca="false">C_pass*B156+A_keep*C156</f>
        <v>2.54842484210402E-018</v>
      </c>
      <c r="D157" s="23" t="n">
        <f aca="false">C_pass*C156+A_keep*D156</f>
        <v>2.54842484210402E-018</v>
      </c>
      <c r="E157" s="23" t="n">
        <f aca="false">SUM(B157:D157)</f>
        <v>7.64527452631205E-018</v>
      </c>
      <c r="F157" s="23" t="n">
        <f aca="false">F156+E157</f>
        <v>4</v>
      </c>
    </row>
    <row r="158" customFormat="false" ht="15" hidden="false" customHeight="false" outlineLevel="0" collapsed="false">
      <c r="A158" s="11" t="n">
        <v>138</v>
      </c>
      <c r="B158" s="23" t="n">
        <f aca="false">A_keep*B157+C_pass*D157</f>
        <v>1.91131863157801E-018</v>
      </c>
      <c r="C158" s="23" t="n">
        <f aca="false">C_pass*B157+A_keep*C157</f>
        <v>1.91131863157801E-018</v>
      </c>
      <c r="D158" s="23" t="n">
        <f aca="false">C_pass*C157+A_keep*D157</f>
        <v>1.91131863157801E-018</v>
      </c>
      <c r="E158" s="23" t="n">
        <f aca="false">SUM(B158:D158)</f>
        <v>5.73395589473404E-018</v>
      </c>
      <c r="F158" s="23" t="n">
        <f aca="false">F157+E158</f>
        <v>4</v>
      </c>
    </row>
    <row r="159" customFormat="false" ht="15" hidden="false" customHeight="false" outlineLevel="0" collapsed="false">
      <c r="A159" s="11" t="n">
        <v>139</v>
      </c>
      <c r="B159" s="23" t="n">
        <f aca="false">A_keep*B158+C_pass*D158</f>
        <v>1.43348897368351E-018</v>
      </c>
      <c r="C159" s="23" t="n">
        <f aca="false">C_pass*B158+A_keep*C158</f>
        <v>1.43348897368351E-018</v>
      </c>
      <c r="D159" s="23" t="n">
        <f aca="false">C_pass*C158+A_keep*D158</f>
        <v>1.43348897368351E-018</v>
      </c>
      <c r="E159" s="23" t="n">
        <f aca="false">SUM(B159:D159)</f>
        <v>4.30046692105053E-018</v>
      </c>
      <c r="F159" s="23" t="n">
        <f aca="false">F158+E159</f>
        <v>4</v>
      </c>
    </row>
    <row r="160" customFormat="false" ht="15" hidden="false" customHeight="false" outlineLevel="0" collapsed="false">
      <c r="A160" s="11" t="n">
        <v>140</v>
      </c>
      <c r="B160" s="23" t="n">
        <f aca="false">A_keep*B159+C_pass*D159</f>
        <v>1.07511673026263E-018</v>
      </c>
      <c r="C160" s="23" t="n">
        <f aca="false">C_pass*B159+A_keep*C159</f>
        <v>1.07511673026263E-018</v>
      </c>
      <c r="D160" s="23" t="n">
        <f aca="false">C_pass*C159+A_keep*D159</f>
        <v>1.07511673026263E-018</v>
      </c>
      <c r="E160" s="23" t="n">
        <f aca="false">SUM(B160:D160)</f>
        <v>3.2253501907879E-018</v>
      </c>
      <c r="F160" s="23" t="n">
        <f aca="false">F159+E160</f>
        <v>4</v>
      </c>
    </row>
    <row r="161" customFormat="false" ht="15" hidden="false" customHeight="false" outlineLevel="0" collapsed="false">
      <c r="A161" s="11" t="n">
        <v>141</v>
      </c>
      <c r="B161" s="23" t="n">
        <f aca="false">A_keep*B160+C_pass*D160</f>
        <v>8.06337547696974E-019</v>
      </c>
      <c r="C161" s="23" t="n">
        <f aca="false">C_pass*B160+A_keep*C160</f>
        <v>8.06337547696974E-019</v>
      </c>
      <c r="D161" s="23" t="n">
        <f aca="false">C_pass*C160+A_keep*D160</f>
        <v>8.06337547696974E-019</v>
      </c>
      <c r="E161" s="23" t="n">
        <f aca="false">SUM(B161:D161)</f>
        <v>2.41901264309092E-018</v>
      </c>
      <c r="F161" s="23" t="n">
        <f aca="false">F160+E161</f>
        <v>4</v>
      </c>
    </row>
    <row r="162" customFormat="false" ht="15" hidden="false" customHeight="false" outlineLevel="0" collapsed="false">
      <c r="A162" s="11" t="n">
        <v>142</v>
      </c>
      <c r="B162" s="23" t="n">
        <f aca="false">A_keep*B161+C_pass*D161</f>
        <v>6.04753160772731E-019</v>
      </c>
      <c r="C162" s="23" t="n">
        <f aca="false">C_pass*B161+A_keep*C161</f>
        <v>6.04753160772731E-019</v>
      </c>
      <c r="D162" s="23" t="n">
        <f aca="false">C_pass*C161+A_keep*D161</f>
        <v>6.04753160772731E-019</v>
      </c>
      <c r="E162" s="23" t="n">
        <f aca="false">SUM(B162:D162)</f>
        <v>1.81425948231819E-018</v>
      </c>
      <c r="F162" s="23" t="n">
        <f aca="false">F161+E162</f>
        <v>4</v>
      </c>
    </row>
    <row r="163" customFormat="false" ht="15" hidden="false" customHeight="false" outlineLevel="0" collapsed="false">
      <c r="A163" s="11" t="n">
        <v>143</v>
      </c>
      <c r="B163" s="23" t="n">
        <f aca="false">A_keep*B162+C_pass*D162</f>
        <v>4.53564870579548E-019</v>
      </c>
      <c r="C163" s="23" t="n">
        <f aca="false">C_pass*B162+A_keep*C162</f>
        <v>4.53564870579548E-019</v>
      </c>
      <c r="D163" s="23" t="n">
        <f aca="false">C_pass*C162+A_keep*D162</f>
        <v>4.53564870579548E-019</v>
      </c>
      <c r="E163" s="23" t="n">
        <f aca="false">SUM(B163:D163)</f>
        <v>1.36069461173864E-018</v>
      </c>
      <c r="F163" s="23" t="n">
        <f aca="false">F162+E163</f>
        <v>4</v>
      </c>
    </row>
    <row r="164" customFormat="false" ht="15" hidden="false" customHeight="false" outlineLevel="0" collapsed="false">
      <c r="A164" s="11" t="n">
        <v>144</v>
      </c>
      <c r="B164" s="23" t="n">
        <f aca="false">A_keep*B163+C_pass*D163</f>
        <v>3.40173652934661E-019</v>
      </c>
      <c r="C164" s="23" t="n">
        <f aca="false">C_pass*B163+A_keep*C163</f>
        <v>3.40173652934661E-019</v>
      </c>
      <c r="D164" s="23" t="n">
        <f aca="false">C_pass*C163+A_keep*D163</f>
        <v>3.40173652934661E-019</v>
      </c>
      <c r="E164" s="23" t="n">
        <f aca="false">SUM(B164:D164)</f>
        <v>1.02052095880398E-018</v>
      </c>
      <c r="F164" s="23" t="n">
        <f aca="false">F163+E164</f>
        <v>4</v>
      </c>
    </row>
    <row r="165" customFormat="false" ht="15" hidden="false" customHeight="false" outlineLevel="0" collapsed="false">
      <c r="A165" s="11" t="n">
        <v>145</v>
      </c>
      <c r="B165" s="23" t="n">
        <f aca="false">A_keep*B164+C_pass*D164</f>
        <v>2.55130239700996E-019</v>
      </c>
      <c r="C165" s="23" t="n">
        <f aca="false">C_pass*B164+A_keep*C164</f>
        <v>2.55130239700996E-019</v>
      </c>
      <c r="D165" s="23" t="n">
        <f aca="false">C_pass*C164+A_keep*D164</f>
        <v>2.55130239700996E-019</v>
      </c>
      <c r="E165" s="23" t="n">
        <f aca="false">SUM(B165:D165)</f>
        <v>7.65390719102987E-019</v>
      </c>
      <c r="F165" s="23" t="n">
        <f aca="false">F164+E165</f>
        <v>4</v>
      </c>
    </row>
    <row r="166" customFormat="false" ht="15" hidden="false" customHeight="false" outlineLevel="0" collapsed="false">
      <c r="A166" s="11" t="n">
        <v>146</v>
      </c>
      <c r="B166" s="23" t="n">
        <f aca="false">A_keep*B165+C_pass*D165</f>
        <v>1.91347679775747E-019</v>
      </c>
      <c r="C166" s="23" t="n">
        <f aca="false">C_pass*B165+A_keep*C165</f>
        <v>1.91347679775747E-019</v>
      </c>
      <c r="D166" s="23" t="n">
        <f aca="false">C_pass*C165+A_keep*D165</f>
        <v>1.91347679775747E-019</v>
      </c>
      <c r="E166" s="23" t="n">
        <f aca="false">SUM(B166:D166)</f>
        <v>5.74043039327241E-019</v>
      </c>
      <c r="F166" s="23" t="n">
        <f aca="false">F165+E166</f>
        <v>4</v>
      </c>
    </row>
    <row r="167" customFormat="false" ht="15" hidden="false" customHeight="false" outlineLevel="0" collapsed="false">
      <c r="A167" s="11" t="n">
        <v>147</v>
      </c>
      <c r="B167" s="23" t="n">
        <f aca="false">A_keep*B166+C_pass*D166</f>
        <v>1.4351075983181E-019</v>
      </c>
      <c r="C167" s="23" t="n">
        <f aca="false">C_pass*B166+A_keep*C166</f>
        <v>1.4351075983181E-019</v>
      </c>
      <c r="D167" s="23" t="n">
        <f aca="false">C_pass*C166+A_keep*D166</f>
        <v>1.4351075983181E-019</v>
      </c>
      <c r="E167" s="23" t="n">
        <f aca="false">SUM(B167:D167)</f>
        <v>4.3053227949543E-019</v>
      </c>
      <c r="F167" s="23" t="n">
        <f aca="false">F166+E167</f>
        <v>4</v>
      </c>
    </row>
    <row r="168" customFormat="false" ht="15" hidden="false" customHeight="false" outlineLevel="0" collapsed="false">
      <c r="A168" s="11" t="n">
        <v>148</v>
      </c>
      <c r="B168" s="23" t="n">
        <f aca="false">A_keep*B167+C_pass*D167</f>
        <v>1.07633069873858E-019</v>
      </c>
      <c r="C168" s="23" t="n">
        <f aca="false">C_pass*B167+A_keep*C167</f>
        <v>1.07633069873858E-019</v>
      </c>
      <c r="D168" s="23" t="n">
        <f aca="false">C_pass*C167+A_keep*D167</f>
        <v>1.07633069873858E-019</v>
      </c>
      <c r="E168" s="23" t="n">
        <f aca="false">SUM(B168:D168)</f>
        <v>3.22899209621573E-019</v>
      </c>
      <c r="F168" s="23" t="n">
        <f aca="false">F167+E168</f>
        <v>4</v>
      </c>
    </row>
    <row r="169" customFormat="false" ht="15" hidden="false" customHeight="false" outlineLevel="0" collapsed="false">
      <c r="A169" s="11" t="n">
        <v>149</v>
      </c>
      <c r="B169" s="23" t="n">
        <f aca="false">A_keep*B168+C_pass*D168</f>
        <v>8.07248024053932E-020</v>
      </c>
      <c r="C169" s="23" t="n">
        <f aca="false">C_pass*B168+A_keep*C168</f>
        <v>8.07248024053932E-020</v>
      </c>
      <c r="D169" s="23" t="n">
        <f aca="false">C_pass*C168+A_keep*D168</f>
        <v>8.07248024053932E-020</v>
      </c>
      <c r="E169" s="23" t="n">
        <f aca="false">SUM(B169:D169)</f>
        <v>2.4217440721618E-019</v>
      </c>
      <c r="F169" s="23" t="n">
        <f aca="false">F168+E169</f>
        <v>4</v>
      </c>
    </row>
    <row r="170" customFormat="false" ht="15" hidden="false" customHeight="false" outlineLevel="0" collapsed="false">
      <c r="A170" s="11" t="n">
        <v>150</v>
      </c>
      <c r="B170" s="23" t="n">
        <f aca="false">A_keep*B169+C_pass*D169</f>
        <v>6.05436018040449E-020</v>
      </c>
      <c r="C170" s="23" t="n">
        <f aca="false">C_pass*B169+A_keep*C169</f>
        <v>6.05436018040449E-020</v>
      </c>
      <c r="D170" s="23" t="n">
        <f aca="false">C_pass*C169+A_keep*D169</f>
        <v>6.05436018040449E-020</v>
      </c>
      <c r="E170" s="23" t="n">
        <f aca="false">SUM(B170:D170)</f>
        <v>1.81630805412135E-019</v>
      </c>
      <c r="F170" s="23" t="n">
        <f aca="false">F169+E170</f>
        <v>4</v>
      </c>
    </row>
    <row r="171" customFormat="false" ht="15" hidden="false" customHeight="false" outlineLevel="0" collapsed="false">
      <c r="A171" s="11" t="n">
        <v>151</v>
      </c>
      <c r="B171" s="23" t="n">
        <f aca="false">A_keep*B170+C_pass*D170</f>
        <v>4.54077013530337E-020</v>
      </c>
      <c r="C171" s="23" t="n">
        <f aca="false">C_pass*B170+A_keep*C170</f>
        <v>4.54077013530337E-020</v>
      </c>
      <c r="D171" s="23" t="n">
        <f aca="false">C_pass*C170+A_keep*D170</f>
        <v>4.54077013530337E-020</v>
      </c>
      <c r="E171" s="23" t="n">
        <f aca="false">SUM(B171:D171)</f>
        <v>1.36223104059101E-019</v>
      </c>
      <c r="F171" s="23" t="n">
        <f aca="false">F170+E171</f>
        <v>4</v>
      </c>
    </row>
    <row r="172" customFormat="false" ht="15" hidden="false" customHeight="false" outlineLevel="0" collapsed="false">
      <c r="A172" s="11" t="n">
        <v>152</v>
      </c>
      <c r="B172" s="23" t="n">
        <f aca="false">A_keep*B171+C_pass*D171</f>
        <v>3.40557760147753E-020</v>
      </c>
      <c r="C172" s="23" t="n">
        <f aca="false">C_pass*B171+A_keep*C171</f>
        <v>3.40557760147753E-020</v>
      </c>
      <c r="D172" s="23" t="n">
        <f aca="false">C_pass*C171+A_keep*D171</f>
        <v>3.40557760147753E-020</v>
      </c>
      <c r="E172" s="23" t="n">
        <f aca="false">SUM(B172:D172)</f>
        <v>1.02167328044326E-019</v>
      </c>
      <c r="F172" s="23" t="n">
        <f aca="false">F171+E172</f>
        <v>4</v>
      </c>
    </row>
    <row r="173" customFormat="false" ht="15" hidden="false" customHeight="false" outlineLevel="0" collapsed="false">
      <c r="A173" s="11" t="n">
        <v>153</v>
      </c>
      <c r="B173" s="23" t="n">
        <f aca="false">A_keep*B172+C_pass*D172</f>
        <v>2.55418320110814E-020</v>
      </c>
      <c r="C173" s="23" t="n">
        <f aca="false">C_pass*B172+A_keep*C172</f>
        <v>2.55418320110814E-020</v>
      </c>
      <c r="D173" s="23" t="n">
        <f aca="false">C_pass*C172+A_keep*D172</f>
        <v>2.55418320110814E-020</v>
      </c>
      <c r="E173" s="23" t="n">
        <f aca="false">SUM(B173:D173)</f>
        <v>7.66254960332443E-020</v>
      </c>
      <c r="F173" s="23" t="n">
        <f aca="false">F172+E173</f>
        <v>4</v>
      </c>
    </row>
    <row r="174" customFormat="false" ht="15" hidden="false" customHeight="false" outlineLevel="0" collapsed="false">
      <c r="A174" s="11" t="n">
        <v>154</v>
      </c>
      <c r="B174" s="23" t="n">
        <f aca="false">A_keep*B173+C_pass*D173</f>
        <v>1.91563740083111E-020</v>
      </c>
      <c r="C174" s="23" t="n">
        <f aca="false">C_pass*B173+A_keep*C173</f>
        <v>1.91563740083111E-020</v>
      </c>
      <c r="D174" s="23" t="n">
        <f aca="false">C_pass*C173+A_keep*D173</f>
        <v>1.91563740083111E-020</v>
      </c>
      <c r="E174" s="23" t="n">
        <f aca="false">SUM(B174:D174)</f>
        <v>5.74691220249332E-020</v>
      </c>
      <c r="F174" s="23" t="n">
        <f aca="false">F173+E174</f>
        <v>4</v>
      </c>
    </row>
    <row r="175" customFormat="false" ht="15" hidden="false" customHeight="false" outlineLevel="0" collapsed="false">
      <c r="A175" s="11" t="n">
        <v>155</v>
      </c>
      <c r="B175" s="23" t="n">
        <f aca="false">A_keep*B174+C_pass*D174</f>
        <v>1.43672805062333E-020</v>
      </c>
      <c r="C175" s="23" t="n">
        <f aca="false">C_pass*B174+A_keep*C174</f>
        <v>1.43672805062333E-020</v>
      </c>
      <c r="D175" s="23" t="n">
        <f aca="false">C_pass*C174+A_keep*D174</f>
        <v>1.43672805062333E-020</v>
      </c>
      <c r="E175" s="23" t="n">
        <f aca="false">SUM(B175:D175)</f>
        <v>4.31018415186999E-020</v>
      </c>
      <c r="F175" s="23" t="n">
        <f aca="false">F174+E175</f>
        <v>4</v>
      </c>
    </row>
    <row r="176" customFormat="false" ht="15" hidden="false" customHeight="false" outlineLevel="0" collapsed="false">
      <c r="A176" s="11" t="n">
        <v>156</v>
      </c>
      <c r="B176" s="23" t="n">
        <f aca="false">A_keep*B175+C_pass*D175</f>
        <v>1.0775460379675E-020</v>
      </c>
      <c r="C176" s="23" t="n">
        <f aca="false">C_pass*B175+A_keep*C175</f>
        <v>1.0775460379675E-020</v>
      </c>
      <c r="D176" s="23" t="n">
        <f aca="false">C_pass*C175+A_keep*D175</f>
        <v>1.0775460379675E-020</v>
      </c>
      <c r="E176" s="23" t="n">
        <f aca="false">SUM(B176:D176)</f>
        <v>3.23263811390249E-020</v>
      </c>
      <c r="F176" s="23" t="n">
        <f aca="false">F175+E176</f>
        <v>4</v>
      </c>
    </row>
    <row r="177" customFormat="false" ht="15" hidden="false" customHeight="false" outlineLevel="0" collapsed="false">
      <c r="A177" s="11" t="n">
        <v>157</v>
      </c>
      <c r="B177" s="23" t="n">
        <f aca="false">A_keep*B176+C_pass*D176</f>
        <v>8.08159528475624E-021</v>
      </c>
      <c r="C177" s="23" t="n">
        <f aca="false">C_pass*B176+A_keep*C176</f>
        <v>8.08159528475624E-021</v>
      </c>
      <c r="D177" s="23" t="n">
        <f aca="false">C_pass*C176+A_keep*D176</f>
        <v>8.08159528475624E-021</v>
      </c>
      <c r="E177" s="23" t="n">
        <f aca="false">SUM(B177:D177)</f>
        <v>2.42447858542687E-020</v>
      </c>
      <c r="F177" s="23" t="n">
        <f aca="false">F176+E177</f>
        <v>4</v>
      </c>
    </row>
    <row r="178" customFormat="false" ht="15" hidden="false" customHeight="false" outlineLevel="0" collapsed="false">
      <c r="A178" s="11" t="n">
        <v>158</v>
      </c>
      <c r="B178" s="23" t="n">
        <f aca="false">A_keep*B177+C_pass*D177</f>
        <v>6.06119646356718E-021</v>
      </c>
      <c r="C178" s="23" t="n">
        <f aca="false">C_pass*B177+A_keep*C177</f>
        <v>6.06119646356718E-021</v>
      </c>
      <c r="D178" s="23" t="n">
        <f aca="false">C_pass*C177+A_keep*D177</f>
        <v>6.06119646356718E-021</v>
      </c>
      <c r="E178" s="23" t="n">
        <f aca="false">SUM(B178:D178)</f>
        <v>1.81835893907015E-020</v>
      </c>
      <c r="F178" s="23" t="n">
        <f aca="false">F177+E178</f>
        <v>4</v>
      </c>
    </row>
    <row r="179" customFormat="false" ht="15" hidden="false" customHeight="false" outlineLevel="0" collapsed="false">
      <c r="A179" s="11" t="n">
        <v>159</v>
      </c>
      <c r="B179" s="23" t="n">
        <f aca="false">A_keep*B178+C_pass*D178</f>
        <v>4.54589734767538E-021</v>
      </c>
      <c r="C179" s="23" t="n">
        <f aca="false">C_pass*B178+A_keep*C178</f>
        <v>4.54589734767538E-021</v>
      </c>
      <c r="D179" s="23" t="n">
        <f aca="false">C_pass*C178+A_keep*D178</f>
        <v>4.54589734767538E-021</v>
      </c>
      <c r="E179" s="23" t="n">
        <f aca="false">SUM(B179:D179)</f>
        <v>1.36376920430262E-020</v>
      </c>
      <c r="F179" s="23" t="n">
        <f aca="false">F178+E179</f>
        <v>4</v>
      </c>
    </row>
    <row r="180" customFormat="false" ht="15" hidden="false" customHeight="false" outlineLevel="0" collapsed="false">
      <c r="A180" s="11" t="n">
        <v>160</v>
      </c>
      <c r="B180" s="23" t="n">
        <f aca="false">A_keep*B179+C_pass*D179</f>
        <v>3.40942301075654E-021</v>
      </c>
      <c r="C180" s="23" t="n">
        <f aca="false">C_pass*B179+A_keep*C179</f>
        <v>3.40942301075654E-021</v>
      </c>
      <c r="D180" s="23" t="n">
        <f aca="false">C_pass*C179+A_keep*D179</f>
        <v>3.40942301075654E-021</v>
      </c>
      <c r="E180" s="23" t="n">
        <f aca="false">SUM(B180:D180)</f>
        <v>1.02282690322696E-020</v>
      </c>
      <c r="F180" s="23" t="n">
        <f aca="false">F179+E180</f>
        <v>4</v>
      </c>
    </row>
    <row r="181" customFormat="false" ht="15" hidden="false" customHeight="false" outlineLevel="0" collapsed="false">
      <c r="A181" s="11" t="n">
        <v>161</v>
      </c>
      <c r="B181" s="23" t="n">
        <f aca="false">A_keep*B180+C_pass*D180</f>
        <v>2.5570672580674E-021</v>
      </c>
      <c r="C181" s="23" t="n">
        <f aca="false">C_pass*B180+A_keep*C180</f>
        <v>2.5570672580674E-021</v>
      </c>
      <c r="D181" s="23" t="n">
        <f aca="false">C_pass*C180+A_keep*D180</f>
        <v>2.5570672580674E-021</v>
      </c>
      <c r="E181" s="23" t="n">
        <f aca="false">SUM(B181:D181)</f>
        <v>7.67120177420221E-021</v>
      </c>
      <c r="F181" s="23" t="n">
        <f aca="false">F180+E181</f>
        <v>4</v>
      </c>
    </row>
    <row r="182" customFormat="false" ht="15" hidden="false" customHeight="false" outlineLevel="0" collapsed="false">
      <c r="A182" s="11" t="n">
        <v>162</v>
      </c>
      <c r="B182" s="23" t="n">
        <f aca="false">A_keep*B181+C_pass*D181</f>
        <v>1.91780044355055E-021</v>
      </c>
      <c r="C182" s="23" t="n">
        <f aca="false">C_pass*B181+A_keep*C181</f>
        <v>1.91780044355055E-021</v>
      </c>
      <c r="D182" s="23" t="n">
        <f aca="false">C_pass*C181+A_keep*D181</f>
        <v>1.91780044355055E-021</v>
      </c>
      <c r="E182" s="23" t="n">
        <f aca="false">SUM(B182:D182)</f>
        <v>5.75340133065166E-021</v>
      </c>
      <c r="F182" s="23" t="n">
        <f aca="false">F181+E182</f>
        <v>4</v>
      </c>
    </row>
    <row r="183" customFormat="false" ht="15" hidden="false" customHeight="false" outlineLevel="0" collapsed="false">
      <c r="A183" s="11" t="n">
        <v>163</v>
      </c>
      <c r="B183" s="23" t="n">
        <f aca="false">A_keep*B182+C_pass*D182</f>
        <v>1.43835033266291E-021</v>
      </c>
      <c r="C183" s="23" t="n">
        <f aca="false">C_pass*B182+A_keep*C182</f>
        <v>1.43835033266291E-021</v>
      </c>
      <c r="D183" s="23" t="n">
        <f aca="false">C_pass*C182+A_keep*D182</f>
        <v>1.43835033266291E-021</v>
      </c>
      <c r="E183" s="23" t="n">
        <f aca="false">SUM(B183:D183)</f>
        <v>4.31505099798874E-021</v>
      </c>
      <c r="F183" s="23" t="n">
        <f aca="false">F182+E183</f>
        <v>4</v>
      </c>
    </row>
    <row r="184" customFormat="false" ht="15" hidden="false" customHeight="false" outlineLevel="0" collapsed="false">
      <c r="A184" s="11" t="n">
        <v>164</v>
      </c>
      <c r="B184" s="23" t="n">
        <f aca="false">A_keep*B183+C_pass*D183</f>
        <v>1.07876274949719E-021</v>
      </c>
      <c r="C184" s="23" t="n">
        <f aca="false">C_pass*B183+A_keep*C183</f>
        <v>1.07876274949719E-021</v>
      </c>
      <c r="D184" s="23" t="n">
        <f aca="false">C_pass*C183+A_keep*D183</f>
        <v>1.07876274949719E-021</v>
      </c>
      <c r="E184" s="23" t="n">
        <f aca="false">SUM(B184:D184)</f>
        <v>3.23628824849156E-021</v>
      </c>
      <c r="F184" s="23" t="n">
        <f aca="false">F183+E184</f>
        <v>4</v>
      </c>
    </row>
    <row r="185" customFormat="false" ht="15" hidden="false" customHeight="false" outlineLevel="0" collapsed="false">
      <c r="A185" s="11" t="n">
        <v>165</v>
      </c>
      <c r="B185" s="23" t="n">
        <f aca="false">A_keep*B184+C_pass*D184</f>
        <v>8.09072062122889E-022</v>
      </c>
      <c r="C185" s="23" t="n">
        <f aca="false">C_pass*B184+A_keep*C184</f>
        <v>8.09072062122889E-022</v>
      </c>
      <c r="D185" s="23" t="n">
        <f aca="false">C_pass*C184+A_keep*D184</f>
        <v>8.09072062122889E-022</v>
      </c>
      <c r="E185" s="23" t="n">
        <f aca="false">SUM(B185:D185)</f>
        <v>2.42721618636867E-021</v>
      </c>
      <c r="F185" s="23" t="n">
        <f aca="false">F184+E185</f>
        <v>4</v>
      </c>
    </row>
    <row r="186" customFormat="false" ht="15" hidden="false" customHeight="false" outlineLevel="0" collapsed="false">
      <c r="A186" s="11" t="n">
        <v>166</v>
      </c>
      <c r="B186" s="23" t="n">
        <f aca="false">A_keep*B185+C_pass*D185</f>
        <v>6.06804046592167E-022</v>
      </c>
      <c r="C186" s="23" t="n">
        <f aca="false">C_pass*B185+A_keep*C185</f>
        <v>6.06804046592167E-022</v>
      </c>
      <c r="D186" s="23" t="n">
        <f aca="false">C_pass*C185+A_keep*D185</f>
        <v>6.06804046592167E-022</v>
      </c>
      <c r="E186" s="23" t="n">
        <f aca="false">SUM(B186:D186)</f>
        <v>1.8204121397765E-021</v>
      </c>
      <c r="F186" s="23" t="n">
        <f aca="false">F185+E186</f>
        <v>4</v>
      </c>
    </row>
    <row r="187" customFormat="false" ht="15" hidden="false" customHeight="false" outlineLevel="0" collapsed="false">
      <c r="A187" s="11" t="n">
        <v>167</v>
      </c>
      <c r="B187" s="23" t="n">
        <f aca="false">A_keep*B186+C_pass*D186</f>
        <v>4.55103034944125E-022</v>
      </c>
      <c r="C187" s="23" t="n">
        <f aca="false">C_pass*B186+A_keep*C186</f>
        <v>4.55103034944125E-022</v>
      </c>
      <c r="D187" s="23" t="n">
        <f aca="false">C_pass*C186+A_keep*D186</f>
        <v>4.55103034944125E-022</v>
      </c>
      <c r="E187" s="23" t="n">
        <f aca="false">SUM(B187:D187)</f>
        <v>1.36530910483238E-021</v>
      </c>
      <c r="F187" s="23" t="n">
        <f aca="false">F186+E187</f>
        <v>4</v>
      </c>
    </row>
    <row r="188" customFormat="false" ht="15" hidden="false" customHeight="false" outlineLevel="0" collapsed="false">
      <c r="A188" s="11" t="n">
        <v>168</v>
      </c>
      <c r="B188" s="23" t="n">
        <f aca="false">A_keep*B187+C_pass*D187</f>
        <v>3.41327276208094E-022</v>
      </c>
      <c r="C188" s="23" t="n">
        <f aca="false">C_pass*B187+A_keep*C187</f>
        <v>3.41327276208094E-022</v>
      </c>
      <c r="D188" s="23" t="n">
        <f aca="false">C_pass*C187+A_keep*D187</f>
        <v>3.41327276208094E-022</v>
      </c>
      <c r="E188" s="23" t="n">
        <f aca="false">SUM(B188:D188)</f>
        <v>1.02398182862428E-021</v>
      </c>
      <c r="F188" s="23" t="n">
        <f aca="false">F187+E188</f>
        <v>4</v>
      </c>
    </row>
    <row r="189" customFormat="false" ht="15" hidden="false" customHeight="false" outlineLevel="0" collapsed="false">
      <c r="A189" s="11" t="n">
        <v>169</v>
      </c>
      <c r="B189" s="23" t="n">
        <f aca="false">A_keep*B188+C_pass*D188</f>
        <v>2.55995457156071E-022</v>
      </c>
      <c r="C189" s="23" t="n">
        <f aca="false">C_pass*B188+A_keep*C188</f>
        <v>2.55995457156071E-022</v>
      </c>
      <c r="D189" s="23" t="n">
        <f aca="false">C_pass*C188+A_keep*D188</f>
        <v>2.55995457156071E-022</v>
      </c>
      <c r="E189" s="23" t="n">
        <f aca="false">SUM(B189:D189)</f>
        <v>7.67986371468212E-022</v>
      </c>
      <c r="F189" s="23" t="n">
        <f aca="false">F188+E189</f>
        <v>4</v>
      </c>
    </row>
    <row r="190" customFormat="false" ht="15" hidden="false" customHeight="false" outlineLevel="0" collapsed="false">
      <c r="A190" s="11" t="n">
        <v>170</v>
      </c>
      <c r="B190" s="23" t="n">
        <f aca="false">A_keep*B189+C_pass*D189</f>
        <v>1.91996592867053E-022</v>
      </c>
      <c r="C190" s="23" t="n">
        <f aca="false">C_pass*B189+A_keep*C189</f>
        <v>1.91996592867053E-022</v>
      </c>
      <c r="D190" s="23" t="n">
        <f aca="false">C_pass*C189+A_keep*D189</f>
        <v>1.91996592867053E-022</v>
      </c>
      <c r="E190" s="23" t="n">
        <f aca="false">SUM(B190:D190)</f>
        <v>5.75989778601159E-022</v>
      </c>
      <c r="F190" s="23" t="n">
        <f aca="false">F189+E190</f>
        <v>4</v>
      </c>
    </row>
    <row r="191" customFormat="false" ht="15" hidden="false" customHeight="false" outlineLevel="0" collapsed="false">
      <c r="A191" s="11" t="n">
        <v>171</v>
      </c>
      <c r="B191" s="23" t="n">
        <f aca="false">A_keep*B190+C_pass*D190</f>
        <v>1.4399744465029E-022</v>
      </c>
      <c r="C191" s="23" t="n">
        <f aca="false">C_pass*B190+A_keep*C190</f>
        <v>1.4399744465029E-022</v>
      </c>
      <c r="D191" s="23" t="n">
        <f aca="false">C_pass*C190+A_keep*D190</f>
        <v>1.4399744465029E-022</v>
      </c>
      <c r="E191" s="23" t="n">
        <f aca="false">SUM(B191:D191)</f>
        <v>4.31992333950869E-022</v>
      </c>
      <c r="F191" s="23" t="n">
        <f aca="false">F190+E191</f>
        <v>4</v>
      </c>
    </row>
    <row r="192" customFormat="false" ht="15" hidden="false" customHeight="false" outlineLevel="0" collapsed="false">
      <c r="A192" s="11" t="n">
        <v>172</v>
      </c>
      <c r="B192" s="23" t="n">
        <f aca="false">A_keep*B191+C_pass*D191</f>
        <v>1.07998083487717E-022</v>
      </c>
      <c r="C192" s="23" t="n">
        <f aca="false">C_pass*B191+A_keep*C191</f>
        <v>1.07998083487717E-022</v>
      </c>
      <c r="D192" s="23" t="n">
        <f aca="false">C_pass*C191+A_keep*D191</f>
        <v>1.07998083487717E-022</v>
      </c>
      <c r="E192" s="23" t="n">
        <f aca="false">SUM(B192:D192)</f>
        <v>3.23994250463152E-022</v>
      </c>
      <c r="F192" s="23" t="n">
        <f aca="false">F191+E192</f>
        <v>4</v>
      </c>
    </row>
    <row r="193" customFormat="false" ht="15" hidden="false" customHeight="false" outlineLevel="0" collapsed="false">
      <c r="A193" s="11" t="n">
        <v>173</v>
      </c>
      <c r="B193" s="23" t="n">
        <f aca="false">A_keep*B192+C_pass*D192</f>
        <v>8.09985626157879E-023</v>
      </c>
      <c r="C193" s="23" t="n">
        <f aca="false">C_pass*B192+A_keep*C192</f>
        <v>8.09985626157879E-023</v>
      </c>
      <c r="D193" s="23" t="n">
        <f aca="false">C_pass*C192+A_keep*D192</f>
        <v>8.09985626157879E-023</v>
      </c>
      <c r="E193" s="23" t="n">
        <f aca="false">SUM(B193:D193)</f>
        <v>2.42995687847364E-022</v>
      </c>
      <c r="F193" s="23" t="n">
        <f aca="false">F192+E193</f>
        <v>4</v>
      </c>
    </row>
    <row r="194" customFormat="false" ht="15" hidden="false" customHeight="false" outlineLevel="0" collapsed="false">
      <c r="A194" s="11" t="n">
        <v>174</v>
      </c>
      <c r="B194" s="23" t="n">
        <f aca="false">A_keep*B193+C_pass*D193</f>
        <v>6.0748921961841E-023</v>
      </c>
      <c r="C194" s="23" t="n">
        <f aca="false">C_pass*B193+A_keep*C193</f>
        <v>6.0748921961841E-023</v>
      </c>
      <c r="D194" s="23" t="n">
        <f aca="false">C_pass*C193+A_keep*D193</f>
        <v>6.0748921961841E-023</v>
      </c>
      <c r="E194" s="23" t="n">
        <f aca="false">SUM(B194:D194)</f>
        <v>1.82246765885523E-022</v>
      </c>
      <c r="F194" s="23" t="n">
        <f aca="false">F193+E194</f>
        <v>4</v>
      </c>
    </row>
    <row r="195" customFormat="false" ht="15" hidden="false" customHeight="false" outlineLevel="0" collapsed="false">
      <c r="A195" s="11" t="n">
        <v>175</v>
      </c>
      <c r="B195" s="23" t="n">
        <f aca="false">A_keep*B194+C_pass*D194</f>
        <v>4.55616914713807E-023</v>
      </c>
      <c r="C195" s="23" t="n">
        <f aca="false">C_pass*B194+A_keep*C194</f>
        <v>4.55616914713807E-023</v>
      </c>
      <c r="D195" s="23" t="n">
        <f aca="false">C_pass*C194+A_keep*D194</f>
        <v>4.55616914713807E-023</v>
      </c>
      <c r="E195" s="23" t="n">
        <f aca="false">SUM(B195:D195)</f>
        <v>1.36685074414142E-022</v>
      </c>
      <c r="F195" s="23" t="n">
        <f aca="false">F194+E195</f>
        <v>4</v>
      </c>
    </row>
    <row r="196" customFormat="false" ht="15" hidden="false" customHeight="false" outlineLevel="0" collapsed="false">
      <c r="A196" s="11" t="n">
        <v>176</v>
      </c>
      <c r="B196" s="23" t="n">
        <f aca="false">A_keep*B195+C_pass*D195</f>
        <v>3.41712686035355E-023</v>
      </c>
      <c r="C196" s="23" t="n">
        <f aca="false">C_pass*B195+A_keep*C195</f>
        <v>3.41712686035355E-023</v>
      </c>
      <c r="D196" s="23" t="n">
        <f aca="false">C_pass*C195+A_keep*D195</f>
        <v>3.41712686035355E-023</v>
      </c>
      <c r="E196" s="23" t="n">
        <f aca="false">SUM(B196:D196)</f>
        <v>1.02513805810607E-022</v>
      </c>
      <c r="F196" s="23" t="n">
        <f aca="false">F195+E196</f>
        <v>4</v>
      </c>
    </row>
    <row r="197" customFormat="false" ht="15" hidden="false" customHeight="false" outlineLevel="0" collapsed="false">
      <c r="A197" s="11" t="n">
        <v>177</v>
      </c>
      <c r="B197" s="23" t="n">
        <f aca="false">A_keep*B196+C_pass*D196</f>
        <v>2.56284514526517E-023</v>
      </c>
      <c r="C197" s="23" t="n">
        <f aca="false">C_pass*B196+A_keep*C196</f>
        <v>2.56284514526517E-023</v>
      </c>
      <c r="D197" s="23" t="n">
        <f aca="false">C_pass*C196+A_keep*D196</f>
        <v>2.56284514526517E-023</v>
      </c>
      <c r="E197" s="23" t="n">
        <f aca="false">SUM(B197:D197)</f>
        <v>7.6885354357955E-023</v>
      </c>
      <c r="F197" s="23" t="n">
        <f aca="false">F196+E197</f>
        <v>4</v>
      </c>
    </row>
    <row r="198" customFormat="false" ht="15" hidden="false" customHeight="false" outlineLevel="0" collapsed="false">
      <c r="A198" s="11" t="n">
        <v>178</v>
      </c>
      <c r="B198" s="23" t="n">
        <f aca="false">A_keep*B197+C_pass*D197</f>
        <v>1.92213385894887E-023</v>
      </c>
      <c r="C198" s="23" t="n">
        <f aca="false">C_pass*B197+A_keep*C197</f>
        <v>1.92213385894887E-023</v>
      </c>
      <c r="D198" s="23" t="n">
        <f aca="false">C_pass*C197+A_keep*D197</f>
        <v>1.92213385894887E-023</v>
      </c>
      <c r="E198" s="23" t="n">
        <f aca="false">SUM(B198:D198)</f>
        <v>5.76640157684662E-023</v>
      </c>
      <c r="F198" s="23" t="n">
        <f aca="false">F197+E198</f>
        <v>4</v>
      </c>
    </row>
    <row r="199" customFormat="false" ht="15" hidden="false" customHeight="false" outlineLevel="0" collapsed="false">
      <c r="A199" s="11" t="n">
        <v>179</v>
      </c>
      <c r="B199" s="23" t="n">
        <f aca="false">A_keep*B198+C_pass*D198</f>
        <v>1.44160039421166E-023</v>
      </c>
      <c r="C199" s="23" t="n">
        <f aca="false">C_pass*B198+A_keep*C198</f>
        <v>1.44160039421166E-023</v>
      </c>
      <c r="D199" s="23" t="n">
        <f aca="false">C_pass*C198+A_keep*D198</f>
        <v>1.44160039421166E-023</v>
      </c>
      <c r="E199" s="23" t="n">
        <f aca="false">SUM(B199:D199)</f>
        <v>4.32480118263497E-023</v>
      </c>
      <c r="F199" s="23" t="n">
        <f aca="false">F198+E199</f>
        <v>4</v>
      </c>
    </row>
    <row r="200" customFormat="false" ht="15" hidden="false" customHeight="false" outlineLevel="0" collapsed="false">
      <c r="A200" s="11" t="n">
        <v>180</v>
      </c>
      <c r="B200" s="23" t="n">
        <f aca="false">A_keep*B199+C_pass*D199</f>
        <v>1.08120029565874E-023</v>
      </c>
      <c r="C200" s="23" t="n">
        <f aca="false">C_pass*B199+A_keep*C199</f>
        <v>1.08120029565874E-023</v>
      </c>
      <c r="D200" s="23" t="n">
        <f aca="false">C_pass*C199+A_keep*D199</f>
        <v>1.08120029565874E-023</v>
      </c>
      <c r="E200" s="23" t="n">
        <f aca="false">SUM(B200:D200)</f>
        <v>3.24360088697623E-023</v>
      </c>
      <c r="F200" s="23" t="n">
        <f aca="false">F199+E200</f>
        <v>4</v>
      </c>
    </row>
    <row r="201" customFormat="false" ht="15" hidden="false" customHeight="false" outlineLevel="0" collapsed="false">
      <c r="A201" s="11" t="n">
        <v>181</v>
      </c>
      <c r="B201" s="23" t="n">
        <f aca="false">A_keep*B200+C_pass*D200</f>
        <v>8.10900221744056E-024</v>
      </c>
      <c r="C201" s="23" t="n">
        <f aca="false">C_pass*B200+A_keep*C200</f>
        <v>8.10900221744056E-024</v>
      </c>
      <c r="D201" s="23" t="n">
        <f aca="false">C_pass*C200+A_keep*D200</f>
        <v>8.10900221744056E-024</v>
      </c>
      <c r="E201" s="23" t="n">
        <f aca="false">SUM(B201:D201)</f>
        <v>2.43270066523217E-023</v>
      </c>
      <c r="F201" s="23" t="n">
        <f aca="false">F200+E201</f>
        <v>4</v>
      </c>
    </row>
    <row r="202" customFormat="false" ht="15" hidden="false" customHeight="false" outlineLevel="0" collapsed="false">
      <c r="A202" s="11" t="n">
        <v>182</v>
      </c>
      <c r="B202" s="23" t="n">
        <f aca="false">A_keep*B201+C_pass*D201</f>
        <v>6.08175166308042E-024</v>
      </c>
      <c r="C202" s="23" t="n">
        <f aca="false">C_pass*B201+A_keep*C201</f>
        <v>6.08175166308042E-024</v>
      </c>
      <c r="D202" s="23" t="n">
        <f aca="false">C_pass*C201+A_keep*D201</f>
        <v>6.08175166308042E-024</v>
      </c>
      <c r="E202" s="23" t="n">
        <f aca="false">SUM(B202:D202)</f>
        <v>1.82452549892413E-023</v>
      </c>
      <c r="F202" s="23" t="n">
        <f aca="false">F201+E202</f>
        <v>4</v>
      </c>
    </row>
    <row r="203" customFormat="false" ht="15" hidden="false" customHeight="false" outlineLevel="0" collapsed="false">
      <c r="A203" s="11" t="n">
        <v>183</v>
      </c>
      <c r="B203" s="23" t="n">
        <f aca="false">A_keep*B202+C_pass*D202</f>
        <v>4.56131374731032E-024</v>
      </c>
      <c r="C203" s="23" t="n">
        <f aca="false">C_pass*B202+A_keep*C202</f>
        <v>4.56131374731032E-024</v>
      </c>
      <c r="D203" s="23" t="n">
        <f aca="false">C_pass*C202+A_keep*D202</f>
        <v>4.56131374731032E-024</v>
      </c>
      <c r="E203" s="23" t="n">
        <f aca="false">SUM(B203:D203)</f>
        <v>1.36839412419309E-023</v>
      </c>
      <c r="F203" s="23" t="n">
        <f aca="false">F202+E203</f>
        <v>4</v>
      </c>
    </row>
    <row r="204" customFormat="false" ht="15" hidden="false" customHeight="false" outlineLevel="0" collapsed="false">
      <c r="A204" s="11" t="n">
        <v>184</v>
      </c>
      <c r="B204" s="23" t="n">
        <f aca="false">A_keep*B203+C_pass*D203</f>
        <v>3.42098531048274E-024</v>
      </c>
      <c r="C204" s="23" t="n">
        <f aca="false">C_pass*B203+A_keep*C203</f>
        <v>3.42098531048274E-024</v>
      </c>
      <c r="D204" s="23" t="n">
        <f aca="false">C_pass*C203+A_keep*D203</f>
        <v>3.42098531048274E-024</v>
      </c>
      <c r="E204" s="23" t="n">
        <f aca="false">SUM(B204:D204)</f>
        <v>1.02629559314482E-023</v>
      </c>
      <c r="F204" s="23" t="n">
        <f aca="false">F203+E204</f>
        <v>4</v>
      </c>
    </row>
    <row r="205" customFormat="false" ht="15" hidden="false" customHeight="false" outlineLevel="0" collapsed="false">
      <c r="A205" s="11" t="n">
        <v>185</v>
      </c>
      <c r="B205" s="23" t="n">
        <f aca="false">A_keep*B204+C_pass*D204</f>
        <v>2.56573898286205E-024</v>
      </c>
      <c r="C205" s="23" t="n">
        <f aca="false">C_pass*B204+A_keep*C204</f>
        <v>2.56573898286205E-024</v>
      </c>
      <c r="D205" s="23" t="n">
        <f aca="false">C_pass*C204+A_keep*D204</f>
        <v>2.56573898286205E-024</v>
      </c>
      <c r="E205" s="23" t="n">
        <f aca="false">SUM(B205:D205)</f>
        <v>7.69721694858616E-024</v>
      </c>
      <c r="F205" s="23" t="n">
        <f aca="false">F204+E205</f>
        <v>4</v>
      </c>
    </row>
    <row r="206" customFormat="false" ht="15" hidden="false" customHeight="false" outlineLevel="0" collapsed="false">
      <c r="A206" s="11" t="n">
        <v>186</v>
      </c>
      <c r="B206" s="23" t="n">
        <f aca="false">A_keep*B205+C_pass*D205</f>
        <v>1.92430423714654E-024</v>
      </c>
      <c r="C206" s="23" t="n">
        <f aca="false">C_pass*B205+A_keep*C205</f>
        <v>1.92430423714654E-024</v>
      </c>
      <c r="D206" s="23" t="n">
        <f aca="false">C_pass*C205+A_keep*D205</f>
        <v>1.92430423714654E-024</v>
      </c>
      <c r="E206" s="23" t="n">
        <f aca="false">SUM(B206:D206)</f>
        <v>5.77291271143962E-024</v>
      </c>
      <c r="F206" s="23" t="n">
        <f aca="false">F205+E206</f>
        <v>4</v>
      </c>
    </row>
    <row r="207" customFormat="false" ht="15" hidden="false" customHeight="false" outlineLevel="0" collapsed="false">
      <c r="A207" s="11" t="n">
        <v>187</v>
      </c>
      <c r="B207" s="23" t="n">
        <f aca="false">A_keep*B206+C_pass*D206</f>
        <v>1.4432281778599E-024</v>
      </c>
      <c r="C207" s="23" t="n">
        <f aca="false">C_pass*B206+A_keep*C206</f>
        <v>1.4432281778599E-024</v>
      </c>
      <c r="D207" s="23" t="n">
        <f aca="false">C_pass*C206+A_keep*D206</f>
        <v>1.4432281778599E-024</v>
      </c>
      <c r="E207" s="23" t="n">
        <f aca="false">SUM(B207:D207)</f>
        <v>4.32968453357971E-024</v>
      </c>
      <c r="F207" s="23" t="n">
        <f aca="false">F206+E207</f>
        <v>4</v>
      </c>
    </row>
    <row r="208" customFormat="false" ht="15" hidden="false" customHeight="false" outlineLevel="0" collapsed="false">
      <c r="A208" s="11" t="n">
        <v>188</v>
      </c>
      <c r="B208" s="23" t="n">
        <f aca="false">A_keep*B207+C_pass*D207</f>
        <v>1.08242113339493E-024</v>
      </c>
      <c r="C208" s="23" t="n">
        <f aca="false">C_pass*B207+A_keep*C207</f>
        <v>1.08242113339493E-024</v>
      </c>
      <c r="D208" s="23" t="n">
        <f aca="false">C_pass*C207+A_keep*D207</f>
        <v>1.08242113339493E-024</v>
      </c>
      <c r="E208" s="23" t="n">
        <f aca="false">SUM(B208:D208)</f>
        <v>3.24726340018479E-024</v>
      </c>
      <c r="F208" s="23" t="n">
        <f aca="false">F207+E208</f>
        <v>4</v>
      </c>
    </row>
    <row r="209" customFormat="false" ht="15" hidden="false" customHeight="false" outlineLevel="0" collapsed="false">
      <c r="A209" s="11" t="n">
        <v>189</v>
      </c>
      <c r="B209" s="23" t="n">
        <f aca="false">A_keep*B208+C_pass*D208</f>
        <v>8.11815850046196E-025</v>
      </c>
      <c r="C209" s="23" t="n">
        <f aca="false">C_pass*B208+A_keep*C208</f>
        <v>8.11815850046196E-025</v>
      </c>
      <c r="D209" s="23" t="n">
        <f aca="false">C_pass*C208+A_keep*D208</f>
        <v>8.11815850046196E-025</v>
      </c>
      <c r="E209" s="23" t="n">
        <f aca="false">SUM(B209:D209)</f>
        <v>2.43544755013859E-024</v>
      </c>
      <c r="F209" s="23" t="n">
        <f aca="false">F208+E209</f>
        <v>4</v>
      </c>
    </row>
    <row r="210" customFormat="false" ht="15" hidden="false" customHeight="false" outlineLevel="0" collapsed="false">
      <c r="A210" s="11" t="n">
        <v>190</v>
      </c>
      <c r="B210" s="23" t="n">
        <f aca="false">A_keep*B209+C_pass*D209</f>
        <v>6.08861887534647E-025</v>
      </c>
      <c r="C210" s="23" t="n">
        <f aca="false">C_pass*B209+A_keep*C209</f>
        <v>6.08861887534647E-025</v>
      </c>
      <c r="D210" s="23" t="n">
        <f aca="false">C_pass*C209+A_keep*D209</f>
        <v>6.08861887534647E-025</v>
      </c>
      <c r="E210" s="23" t="n">
        <f aca="false">SUM(B210:D210)</f>
        <v>1.82658566260394E-024</v>
      </c>
      <c r="F210" s="23" t="n">
        <f aca="false">F209+E210</f>
        <v>4</v>
      </c>
    </row>
    <row r="211" customFormat="false" ht="15" hidden="false" customHeight="false" outlineLevel="0" collapsed="false">
      <c r="A211" s="11" t="n">
        <v>191</v>
      </c>
      <c r="B211" s="23" t="n">
        <f aca="false">A_keep*B210+C_pass*D210</f>
        <v>4.56646415650985E-025</v>
      </c>
      <c r="C211" s="23" t="n">
        <f aca="false">C_pass*B210+A_keep*C210</f>
        <v>4.56646415650985E-025</v>
      </c>
      <c r="D211" s="23" t="n">
        <f aca="false">C_pass*C210+A_keep*D210</f>
        <v>4.56646415650985E-025</v>
      </c>
      <c r="E211" s="23" t="n">
        <f aca="false">SUM(B211:D211)</f>
        <v>1.36993924695296E-024</v>
      </c>
      <c r="F211" s="23" t="n">
        <f aca="false">F210+E211</f>
        <v>4</v>
      </c>
    </row>
    <row r="212" customFormat="false" ht="15" hidden="false" customHeight="false" outlineLevel="0" collapsed="false">
      <c r="A212" s="11" t="n">
        <v>192</v>
      </c>
      <c r="B212" s="23" t="n">
        <f aca="false">A_keep*B211+C_pass*D211</f>
        <v>3.42484811738239E-025</v>
      </c>
      <c r="C212" s="23" t="n">
        <f aca="false">C_pass*B211+A_keep*C211</f>
        <v>3.42484811738239E-025</v>
      </c>
      <c r="D212" s="23" t="n">
        <f aca="false">C_pass*C211+A_keep*D211</f>
        <v>3.42484811738239E-025</v>
      </c>
      <c r="E212" s="23" t="n">
        <f aca="false">SUM(B212:D212)</f>
        <v>1.02745443521472E-024</v>
      </c>
      <c r="F212" s="23" t="n">
        <f aca="false">F211+E212</f>
        <v>4</v>
      </c>
    </row>
    <row r="213" customFormat="false" ht="15" hidden="false" customHeight="false" outlineLevel="0" collapsed="false">
      <c r="A213" s="11" t="n">
        <v>193</v>
      </c>
      <c r="B213" s="23" t="n">
        <f aca="false">A_keep*B212+C_pass*D212</f>
        <v>2.56863608803679E-025</v>
      </c>
      <c r="C213" s="23" t="n">
        <f aca="false">C_pass*B212+A_keep*C212</f>
        <v>2.56863608803679E-025</v>
      </c>
      <c r="D213" s="23" t="n">
        <f aca="false">C_pass*C212+A_keep*D212</f>
        <v>2.56863608803679E-025</v>
      </c>
      <c r="E213" s="23" t="n">
        <f aca="false">SUM(B213:D213)</f>
        <v>7.70590826411038E-025</v>
      </c>
      <c r="F213" s="23" t="n">
        <f aca="false">F212+E213</f>
        <v>4</v>
      </c>
    </row>
    <row r="214" customFormat="false" ht="15" hidden="false" customHeight="false" outlineLevel="0" collapsed="false">
      <c r="A214" s="11" t="n">
        <v>194</v>
      </c>
      <c r="B214" s="23" t="n">
        <f aca="false">A_keep*B213+C_pass*D213</f>
        <v>1.92647706602759E-025</v>
      </c>
      <c r="C214" s="23" t="n">
        <f aca="false">C_pass*B213+A_keep*C213</f>
        <v>1.92647706602759E-025</v>
      </c>
      <c r="D214" s="23" t="n">
        <f aca="false">C_pass*C213+A_keep*D213</f>
        <v>1.92647706602759E-025</v>
      </c>
      <c r="E214" s="23" t="n">
        <f aca="false">SUM(B214:D214)</f>
        <v>5.77943119808278E-025</v>
      </c>
      <c r="F214" s="23" t="n">
        <f aca="false">F213+E214</f>
        <v>4</v>
      </c>
    </row>
    <row r="215" customFormat="false" ht="15" hidden="false" customHeight="false" outlineLevel="0" collapsed="false">
      <c r="A215" s="11" t="n">
        <v>195</v>
      </c>
      <c r="B215" s="23" t="n">
        <f aca="false">A_keep*B214+C_pass*D214</f>
        <v>1.4448577995207E-025</v>
      </c>
      <c r="C215" s="23" t="n">
        <f aca="false">C_pass*B214+A_keep*C214</f>
        <v>1.4448577995207E-025</v>
      </c>
      <c r="D215" s="23" t="n">
        <f aca="false">C_pass*C214+A_keep*D214</f>
        <v>1.4448577995207E-025</v>
      </c>
      <c r="E215" s="23" t="n">
        <f aca="false">SUM(B215:D215)</f>
        <v>4.33457339856209E-025</v>
      </c>
      <c r="F215" s="23" t="n">
        <f aca="false">F214+E215</f>
        <v>4</v>
      </c>
    </row>
    <row r="216" customFormat="false" ht="15" hidden="false" customHeight="false" outlineLevel="0" collapsed="false">
      <c r="A216" s="11" t="n">
        <v>196</v>
      </c>
      <c r="B216" s="23" t="n">
        <f aca="false">A_keep*B215+C_pass*D215</f>
        <v>1.08364334964052E-025</v>
      </c>
      <c r="C216" s="23" t="n">
        <f aca="false">C_pass*B215+A_keep*C215</f>
        <v>1.08364334964052E-025</v>
      </c>
      <c r="D216" s="23" t="n">
        <f aca="false">C_pass*C215+A_keep*D215</f>
        <v>1.08364334964052E-025</v>
      </c>
      <c r="E216" s="23" t="n">
        <f aca="false">SUM(B216:D216)</f>
        <v>3.25093004892157E-025</v>
      </c>
      <c r="F216" s="23" t="n">
        <f aca="false">F215+E216</f>
        <v>4</v>
      </c>
    </row>
    <row r="217" customFormat="false" ht="15" hidden="false" customHeight="false" outlineLevel="0" collapsed="false">
      <c r="A217" s="11" t="n">
        <v>197</v>
      </c>
      <c r="B217" s="23" t="n">
        <f aca="false">A_keep*B216+C_pass*D216</f>
        <v>8.12732512230392E-026</v>
      </c>
      <c r="C217" s="23" t="n">
        <f aca="false">C_pass*B216+A_keep*C216</f>
        <v>8.12732512230392E-026</v>
      </c>
      <c r="D217" s="23" t="n">
        <f aca="false">C_pass*C216+A_keep*D216</f>
        <v>8.12732512230392E-026</v>
      </c>
      <c r="E217" s="23" t="n">
        <f aca="false">SUM(B217:D217)</f>
        <v>2.43819753669118E-025</v>
      </c>
      <c r="F217" s="23" t="n">
        <f aca="false">F216+E217</f>
        <v>4</v>
      </c>
    </row>
    <row r="218" customFormat="false" ht="15" hidden="false" customHeight="false" outlineLevel="0" collapsed="false">
      <c r="A218" s="11" t="n">
        <v>198</v>
      </c>
      <c r="B218" s="23" t="n">
        <f aca="false">A_keep*B217+C_pass*D217</f>
        <v>6.09549384172794E-026</v>
      </c>
      <c r="C218" s="23" t="n">
        <f aca="false">C_pass*B217+A_keep*C217</f>
        <v>6.09549384172794E-026</v>
      </c>
      <c r="D218" s="23" t="n">
        <f aca="false">C_pass*C217+A_keep*D217</f>
        <v>6.09549384172794E-026</v>
      </c>
      <c r="E218" s="23" t="n">
        <f aca="false">SUM(B218:D218)</f>
        <v>1.82864815251838E-025</v>
      </c>
      <c r="F218" s="23" t="n">
        <f aca="false">F217+E218</f>
        <v>4</v>
      </c>
    </row>
    <row r="219" customFormat="false" ht="15" hidden="false" customHeight="false" outlineLevel="0" collapsed="false">
      <c r="A219" s="11" t="n">
        <v>199</v>
      </c>
      <c r="B219" s="23" t="n">
        <f aca="false">A_keep*B218+C_pass*D218</f>
        <v>4.57162038129595E-026</v>
      </c>
      <c r="C219" s="23" t="n">
        <f aca="false">C_pass*B218+A_keep*C218</f>
        <v>4.57162038129595E-026</v>
      </c>
      <c r="D219" s="23" t="n">
        <f aca="false">C_pass*C218+A_keep*D218</f>
        <v>4.57162038129595E-026</v>
      </c>
      <c r="E219" s="23" t="n">
        <f aca="false">SUM(B219:D219)</f>
        <v>1.37148611438879E-025</v>
      </c>
      <c r="F219" s="23" t="n">
        <f aca="false">F218+E219</f>
        <v>4</v>
      </c>
    </row>
    <row r="220" customFormat="false" ht="15" hidden="false" customHeight="false" outlineLevel="0" collapsed="false">
      <c r="A220" s="11" t="n">
        <v>200</v>
      </c>
      <c r="B220" s="23" t="n">
        <f aca="false">A_keep*B219+C_pass*D219</f>
        <v>3.42871528597197E-026</v>
      </c>
      <c r="C220" s="23" t="n">
        <f aca="false">C_pass*B219+A_keep*C219</f>
        <v>3.42871528597197E-026</v>
      </c>
      <c r="D220" s="23" t="n">
        <f aca="false">C_pass*C219+A_keep*D219</f>
        <v>3.42871528597197E-026</v>
      </c>
      <c r="E220" s="23" t="n">
        <f aca="false">SUM(B220:D220)</f>
        <v>1.02861458579159E-025</v>
      </c>
      <c r="F220" s="23" t="n">
        <f aca="false">F219+E220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5" min="4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10"/>
    <col collapsed="false" customWidth="true" hidden="false" outlineLevel="0" max="10" min="10" style="0" width="36"/>
    <col collapsed="false" customWidth="true" hidden="false" outlineLevel="0" max="11" min="11" style="0" width="13"/>
    <col collapsed="false" customWidth="true" hidden="false" outlineLevel="0" max="17" min="12" style="0" width="8"/>
  </cols>
  <sheetData>
    <row r="1" customFormat="false" ht="15" hidden="false" customHeight="false" outlineLevel="0" collapsed="false">
      <c r="A1" s="1" t="s">
        <v>273</v>
      </c>
    </row>
    <row r="2" customFormat="false" ht="15" hidden="false" customHeight="false" outlineLevel="0" collapsed="false">
      <c r="A2" s="10" t="s">
        <v>274</v>
      </c>
    </row>
    <row r="4" customFormat="false" ht="15" hidden="false" customHeight="false" outlineLevel="0" collapsed="false">
      <c r="A4" s="8" t="s">
        <v>275</v>
      </c>
      <c r="B4" s="24" t="str">
        <f aca="false">INDEX(Comps,1)</f>
        <v>MKT</v>
      </c>
      <c r="C4" s="24" t="str">
        <f aca="false">INDEX(Comps,2)</f>
        <v>GOV</v>
      </c>
      <c r="D4" s="24" t="str">
        <f aca="false">INDEX(Comps,3)</f>
        <v>MAT</v>
      </c>
      <c r="E4" s="24" t="str">
        <f aca="false">INDEX(Comps,4)</f>
        <v>IND</v>
      </c>
      <c r="F4" s="24" t="str">
        <f aca="false">INDEX(Comps,5)</f>
        <v>DIG</v>
      </c>
      <c r="G4" s="24" t="str">
        <f aca="false">INDEX(Comps,6)</f>
        <v>ENG</v>
      </c>
      <c r="H4" s="24" t="str">
        <f aca="false">INDEX(Comps,7)</f>
        <v>TRS</v>
      </c>
      <c r="J4" s="8" t="s">
        <v>276</v>
      </c>
      <c r="K4" s="24" t="str">
        <f aca="false">INDEX(Comps,1)</f>
        <v>MKT</v>
      </c>
      <c r="L4" s="24" t="str">
        <f aca="false">INDEX(Comps,2)</f>
        <v>GOV</v>
      </c>
      <c r="M4" s="24" t="str">
        <f aca="false">INDEX(Comps,3)</f>
        <v>MAT</v>
      </c>
      <c r="N4" s="24" t="str">
        <f aca="false">INDEX(Comps,4)</f>
        <v>IND</v>
      </c>
      <c r="O4" s="24" t="str">
        <f aca="false">INDEX(Comps,5)</f>
        <v>DIG</v>
      </c>
      <c r="P4" s="24" t="str">
        <f aca="false">INDEX(Comps,6)</f>
        <v>ENG</v>
      </c>
      <c r="Q4" s="24" t="str">
        <f aca="false">INDEX(Comps,7)</f>
        <v>TRS</v>
      </c>
    </row>
    <row r="5" customFormat="false" ht="15" hidden="false" customHeight="false" outlineLevel="0" collapsed="false">
      <c r="A5" s="7" t="str">
        <f aca="false">INDEX(Comps,1)</f>
        <v>MKT</v>
      </c>
      <c r="B5" s="11" t="n">
        <f aca="false">COUNTIFS(Arr_from,$A5,Arr_to,B$4)</f>
        <v>0</v>
      </c>
      <c r="C5" s="11" t="n">
        <f aca="false">COUNTIFS(Arr_from,$A5,Arr_to,C$4)</f>
        <v>0</v>
      </c>
      <c r="D5" s="11" t="n">
        <f aca="false">COUNTIFS(Arr_from,$A5,Arr_to,D$4)</f>
        <v>1</v>
      </c>
      <c r="E5" s="11" t="n">
        <f aca="false">COUNTIFS(Arr_from,$A5,Arr_to,E$4)</f>
        <v>1</v>
      </c>
      <c r="F5" s="11" t="n">
        <f aca="false">COUNTIFS(Arr_from,$A5,Arr_to,F$4)</f>
        <v>1</v>
      </c>
      <c r="G5" s="11" t="n">
        <f aca="false">COUNTIFS(Arr_from,$A5,Arr_to,G$4)</f>
        <v>0</v>
      </c>
      <c r="H5" s="11" t="n">
        <f aca="false">COUNTIFS(Arr_from,$A5,Arr_to,H$4)</f>
        <v>0</v>
      </c>
      <c r="J5" s="7" t="str">
        <f aca="false">INDEX(Comps,1)</f>
        <v>MKT</v>
      </c>
      <c r="K5" s="11" t="n">
        <f aca="false">INDEX($B$5:$H$11,1,1)</f>
        <v>0</v>
      </c>
      <c r="L5" s="11" t="n">
        <f aca="false">INDEX($B$5:$H$11,2,1)</f>
        <v>0</v>
      </c>
      <c r="M5" s="11" t="n">
        <f aca="false">INDEX($B$5:$H$11,3,1)</f>
        <v>0</v>
      </c>
      <c r="N5" s="11" t="n">
        <f aca="false">INDEX($B$5:$H$11,4,1)</f>
        <v>0</v>
      </c>
      <c r="O5" s="11" t="n">
        <f aca="false">INDEX($B$5:$H$11,5,1)</f>
        <v>0</v>
      </c>
      <c r="P5" s="11" t="n">
        <f aca="false">INDEX($B$5:$H$11,6,1)</f>
        <v>0</v>
      </c>
      <c r="Q5" s="11" t="n">
        <f aca="false">INDEX($B$5:$H$11,7,1)</f>
        <v>0</v>
      </c>
    </row>
    <row r="6" customFormat="false" ht="15" hidden="false" customHeight="false" outlineLevel="0" collapsed="false">
      <c r="A6" s="7" t="str">
        <f aca="false">INDEX(Comps,2)</f>
        <v>GOV</v>
      </c>
      <c r="B6" s="11" t="n">
        <f aca="false">COUNTIFS(Arr_from,$A6,Arr_to,B$4)</f>
        <v>0</v>
      </c>
      <c r="C6" s="11" t="n">
        <f aca="false">COUNTIFS(Arr_from,$A6,Arr_to,C$4)</f>
        <v>0</v>
      </c>
      <c r="D6" s="11" t="n">
        <f aca="false">COUNTIFS(Arr_from,$A6,Arr_to,D$4)</f>
        <v>0</v>
      </c>
      <c r="E6" s="11" t="n">
        <f aca="false">COUNTIFS(Arr_from,$A6,Arr_to,E$4)</f>
        <v>0</v>
      </c>
      <c r="F6" s="11" t="n">
        <f aca="false">COUNTIFS(Arr_from,$A6,Arr_to,F$4)</f>
        <v>1</v>
      </c>
      <c r="G6" s="11" t="n">
        <f aca="false">COUNTIFS(Arr_from,$A6,Arr_to,G$4)</f>
        <v>0</v>
      </c>
      <c r="H6" s="11" t="n">
        <f aca="false">COUNTIFS(Arr_from,$A6,Arr_to,H$4)</f>
        <v>1</v>
      </c>
      <c r="J6" s="7" t="str">
        <f aca="false">INDEX(Comps,2)</f>
        <v>GOV</v>
      </c>
      <c r="K6" s="11" t="n">
        <f aca="false">INDEX($B$5:$H$11,1,2)</f>
        <v>0</v>
      </c>
      <c r="L6" s="11" t="n">
        <f aca="false">INDEX($B$5:$H$11,2,2)</f>
        <v>0</v>
      </c>
      <c r="M6" s="11" t="n">
        <f aca="false">INDEX($B$5:$H$11,3,2)</f>
        <v>0</v>
      </c>
      <c r="N6" s="11" t="n">
        <f aca="false">INDEX($B$5:$H$11,4,2)</f>
        <v>0</v>
      </c>
      <c r="O6" s="11" t="n">
        <f aca="false">INDEX($B$5:$H$11,5,2)</f>
        <v>0</v>
      </c>
      <c r="P6" s="11" t="n">
        <f aca="false">INDEX($B$5:$H$11,6,2)</f>
        <v>0</v>
      </c>
      <c r="Q6" s="11" t="n">
        <f aca="false">INDEX($B$5:$H$11,7,2)</f>
        <v>0</v>
      </c>
    </row>
    <row r="7" customFormat="false" ht="15" hidden="false" customHeight="false" outlineLevel="0" collapsed="false">
      <c r="A7" s="7" t="str">
        <f aca="false">INDEX(Comps,3)</f>
        <v>MAT</v>
      </c>
      <c r="B7" s="11" t="n">
        <f aca="false">COUNTIFS(Arr_from,$A7,Arr_to,B$4)</f>
        <v>0</v>
      </c>
      <c r="C7" s="11" t="n">
        <f aca="false">COUNTIFS(Arr_from,$A7,Arr_to,C$4)</f>
        <v>0</v>
      </c>
      <c r="D7" s="11" t="n">
        <f aca="false">COUNTIFS(Arr_from,$A7,Arr_to,D$4)</f>
        <v>0</v>
      </c>
      <c r="E7" s="11" t="n">
        <f aca="false">COUNTIFS(Arr_from,$A7,Arr_to,E$4)</f>
        <v>0</v>
      </c>
      <c r="F7" s="11" t="n">
        <f aca="false">COUNTIFS(Arr_from,$A7,Arr_to,F$4)</f>
        <v>0</v>
      </c>
      <c r="G7" s="11" t="n">
        <f aca="false">COUNTIFS(Arr_from,$A7,Arr_to,G$4)</f>
        <v>0</v>
      </c>
      <c r="H7" s="11" t="n">
        <f aca="false">COUNTIFS(Arr_from,$A7,Arr_to,H$4)</f>
        <v>1</v>
      </c>
      <c r="J7" s="7" t="str">
        <f aca="false">INDEX(Comps,3)</f>
        <v>MAT</v>
      </c>
      <c r="K7" s="11" t="n">
        <f aca="false">INDEX($B$5:$H$11,1,3)</f>
        <v>1</v>
      </c>
      <c r="L7" s="11" t="n">
        <f aca="false">INDEX($B$5:$H$11,2,3)</f>
        <v>0</v>
      </c>
      <c r="M7" s="11" t="n">
        <f aca="false">INDEX($B$5:$H$11,3,3)</f>
        <v>0</v>
      </c>
      <c r="N7" s="11" t="n">
        <f aca="false">INDEX($B$5:$H$11,4,3)</f>
        <v>0</v>
      </c>
      <c r="O7" s="11" t="n">
        <f aca="false">INDEX($B$5:$H$11,5,3)</f>
        <v>0</v>
      </c>
      <c r="P7" s="11" t="n">
        <f aca="false">INDEX($B$5:$H$11,6,3)</f>
        <v>0</v>
      </c>
      <c r="Q7" s="11" t="n">
        <f aca="false">INDEX($B$5:$H$11,7,3)</f>
        <v>0</v>
      </c>
    </row>
    <row r="8" customFormat="false" ht="15" hidden="false" customHeight="false" outlineLevel="0" collapsed="false">
      <c r="A8" s="7" t="str">
        <f aca="false">INDEX(Comps,4)</f>
        <v>IND</v>
      </c>
      <c r="B8" s="11" t="n">
        <f aca="false">COUNTIFS(Arr_from,$A8,Arr_to,B$4)</f>
        <v>0</v>
      </c>
      <c r="C8" s="11" t="n">
        <f aca="false">COUNTIFS(Arr_from,$A8,Arr_to,C$4)</f>
        <v>0</v>
      </c>
      <c r="D8" s="11" t="n">
        <f aca="false">COUNTIFS(Arr_from,$A8,Arr_to,D$4)</f>
        <v>0</v>
      </c>
      <c r="E8" s="11" t="n">
        <f aca="false">COUNTIFS(Arr_from,$A8,Arr_to,E$4)</f>
        <v>0</v>
      </c>
      <c r="F8" s="11" t="n">
        <f aca="false">COUNTIFS(Arr_from,$A8,Arr_to,F$4)</f>
        <v>0</v>
      </c>
      <c r="G8" s="11" t="n">
        <f aca="false">COUNTIFS(Arr_from,$A8,Arr_to,G$4)</f>
        <v>1</v>
      </c>
      <c r="H8" s="11" t="n">
        <f aca="false">COUNTIFS(Arr_from,$A8,Arr_to,H$4)</f>
        <v>1</v>
      </c>
      <c r="J8" s="7" t="str">
        <f aca="false">INDEX(Comps,4)</f>
        <v>IND</v>
      </c>
      <c r="K8" s="11" t="n">
        <f aca="false">INDEX($B$5:$H$11,1,4)</f>
        <v>1</v>
      </c>
      <c r="L8" s="11" t="n">
        <f aca="false">INDEX($B$5:$H$11,2,4)</f>
        <v>0</v>
      </c>
      <c r="M8" s="11" t="n">
        <f aca="false">INDEX($B$5:$H$11,3,4)</f>
        <v>0</v>
      </c>
      <c r="N8" s="11" t="n">
        <f aca="false">INDEX($B$5:$H$11,4,4)</f>
        <v>0</v>
      </c>
      <c r="O8" s="11" t="n">
        <f aca="false">INDEX($B$5:$H$11,5,4)</f>
        <v>0</v>
      </c>
      <c r="P8" s="11" t="n">
        <f aca="false">INDEX($B$5:$H$11,6,4)</f>
        <v>1</v>
      </c>
      <c r="Q8" s="11" t="n">
        <f aca="false">INDEX($B$5:$H$11,7,4)</f>
        <v>1</v>
      </c>
    </row>
    <row r="9" customFormat="false" ht="15" hidden="false" customHeight="false" outlineLevel="0" collapsed="false">
      <c r="A9" s="7" t="str">
        <f aca="false">INDEX(Comps,5)</f>
        <v>DIG</v>
      </c>
      <c r="B9" s="11" t="n">
        <f aca="false">COUNTIFS(Arr_from,$A9,Arr_to,B$4)</f>
        <v>0</v>
      </c>
      <c r="C9" s="11" t="n">
        <f aca="false">COUNTIFS(Arr_from,$A9,Arr_to,C$4)</f>
        <v>0</v>
      </c>
      <c r="D9" s="11" t="n">
        <f aca="false">COUNTIFS(Arr_from,$A9,Arr_to,D$4)</f>
        <v>0</v>
      </c>
      <c r="E9" s="11" t="n">
        <f aca="false">COUNTIFS(Arr_from,$A9,Arr_to,E$4)</f>
        <v>0</v>
      </c>
      <c r="F9" s="11" t="n">
        <f aca="false">COUNTIFS(Arr_from,$A9,Arr_to,F$4)</f>
        <v>0</v>
      </c>
      <c r="G9" s="11" t="n">
        <f aca="false">COUNTIFS(Arr_from,$A9,Arr_to,G$4)</f>
        <v>1</v>
      </c>
      <c r="H9" s="11" t="n">
        <f aca="false">COUNTIFS(Arr_from,$A9,Arr_to,H$4)</f>
        <v>1</v>
      </c>
      <c r="J9" s="7" t="str">
        <f aca="false">INDEX(Comps,5)</f>
        <v>DIG</v>
      </c>
      <c r="K9" s="11" t="n">
        <f aca="false">INDEX($B$5:$H$11,1,5)</f>
        <v>1</v>
      </c>
      <c r="L9" s="11" t="n">
        <f aca="false">INDEX($B$5:$H$11,2,5)</f>
        <v>1</v>
      </c>
      <c r="M9" s="11" t="n">
        <f aca="false">INDEX($B$5:$H$11,3,5)</f>
        <v>0</v>
      </c>
      <c r="N9" s="11" t="n">
        <f aca="false">INDEX($B$5:$H$11,4,5)</f>
        <v>0</v>
      </c>
      <c r="O9" s="11" t="n">
        <f aca="false">INDEX($B$5:$H$11,5,5)</f>
        <v>0</v>
      </c>
      <c r="P9" s="11" t="n">
        <f aca="false">INDEX($B$5:$H$11,6,5)</f>
        <v>1</v>
      </c>
      <c r="Q9" s="11" t="n">
        <f aca="false">INDEX($B$5:$H$11,7,5)</f>
        <v>1</v>
      </c>
    </row>
    <row r="10" customFormat="false" ht="15" hidden="false" customHeight="false" outlineLevel="0" collapsed="false">
      <c r="A10" s="7" t="str">
        <f aca="false">INDEX(Comps,6)</f>
        <v>ENG</v>
      </c>
      <c r="B10" s="11" t="n">
        <f aca="false">COUNTIFS(Arr_from,$A10,Arr_to,B$4)</f>
        <v>0</v>
      </c>
      <c r="C10" s="11" t="n">
        <f aca="false">COUNTIFS(Arr_from,$A10,Arr_to,C$4)</f>
        <v>0</v>
      </c>
      <c r="D10" s="11" t="n">
        <f aca="false">COUNTIFS(Arr_from,$A10,Arr_to,D$4)</f>
        <v>0</v>
      </c>
      <c r="E10" s="11" t="n">
        <f aca="false">COUNTIFS(Arr_from,$A10,Arr_to,E$4)</f>
        <v>1</v>
      </c>
      <c r="F10" s="11" t="n">
        <f aca="false">COUNTIFS(Arr_from,$A10,Arr_to,F$4)</f>
        <v>1</v>
      </c>
      <c r="G10" s="11" t="n">
        <f aca="false">COUNTIFS(Arr_from,$A10,Arr_to,G$4)</f>
        <v>0</v>
      </c>
      <c r="H10" s="11" t="n">
        <f aca="false">COUNTIFS(Arr_from,$A10,Arr_to,H$4)</f>
        <v>0</v>
      </c>
      <c r="J10" s="7" t="str">
        <f aca="false">INDEX(Comps,6)</f>
        <v>ENG</v>
      </c>
      <c r="K10" s="11" t="n">
        <f aca="false">INDEX($B$5:$H$11,1,6)</f>
        <v>0</v>
      </c>
      <c r="L10" s="11" t="n">
        <f aca="false">INDEX($B$5:$H$11,2,6)</f>
        <v>0</v>
      </c>
      <c r="M10" s="11" t="n">
        <f aca="false">INDEX($B$5:$H$11,3,6)</f>
        <v>0</v>
      </c>
      <c r="N10" s="11" t="n">
        <f aca="false">INDEX($B$5:$H$11,4,6)</f>
        <v>1</v>
      </c>
      <c r="O10" s="11" t="n">
        <f aca="false">INDEX($B$5:$H$11,5,6)</f>
        <v>1</v>
      </c>
      <c r="P10" s="11" t="n">
        <f aca="false">INDEX($B$5:$H$11,6,6)</f>
        <v>0</v>
      </c>
      <c r="Q10" s="11" t="n">
        <f aca="false">INDEX($B$5:$H$11,7,6)</f>
        <v>0</v>
      </c>
    </row>
    <row r="11" customFormat="false" ht="15" hidden="false" customHeight="false" outlineLevel="0" collapsed="false">
      <c r="A11" s="7" t="str">
        <f aca="false">INDEX(Comps,7)</f>
        <v>TRS</v>
      </c>
      <c r="B11" s="11" t="n">
        <f aca="false">COUNTIFS(Arr_from,$A11,Arr_to,B$4)</f>
        <v>0</v>
      </c>
      <c r="C11" s="11" t="n">
        <f aca="false">COUNTIFS(Arr_from,$A11,Arr_to,C$4)</f>
        <v>0</v>
      </c>
      <c r="D11" s="11" t="n">
        <f aca="false">COUNTIFS(Arr_from,$A11,Arr_to,D$4)</f>
        <v>0</v>
      </c>
      <c r="E11" s="11" t="n">
        <f aca="false">COUNTIFS(Arr_from,$A11,Arr_to,E$4)</f>
        <v>1</v>
      </c>
      <c r="F11" s="11" t="n">
        <f aca="false">COUNTIFS(Arr_from,$A11,Arr_to,F$4)</f>
        <v>1</v>
      </c>
      <c r="G11" s="11" t="n">
        <f aca="false">COUNTIFS(Arr_from,$A11,Arr_to,G$4)</f>
        <v>0</v>
      </c>
      <c r="H11" s="11" t="n">
        <f aca="false">COUNTIFS(Arr_from,$A11,Arr_to,H$4)</f>
        <v>0</v>
      </c>
      <c r="J11" s="7" t="str">
        <f aca="false">INDEX(Comps,7)</f>
        <v>TRS</v>
      </c>
      <c r="K11" s="11" t="n">
        <f aca="false">INDEX($B$5:$H$11,1,7)</f>
        <v>0</v>
      </c>
      <c r="L11" s="11" t="n">
        <f aca="false">INDEX($B$5:$H$11,2,7)</f>
        <v>1</v>
      </c>
      <c r="M11" s="11" t="n">
        <f aca="false">INDEX($B$5:$H$11,3,7)</f>
        <v>1</v>
      </c>
      <c r="N11" s="11" t="n">
        <f aca="false">INDEX($B$5:$H$11,4,7)</f>
        <v>1</v>
      </c>
      <c r="O11" s="11" t="n">
        <f aca="false">INDEX($B$5:$H$11,5,7)</f>
        <v>1</v>
      </c>
      <c r="P11" s="11" t="n">
        <f aca="false">INDEX($B$5:$H$11,6,7)</f>
        <v>0</v>
      </c>
      <c r="Q11" s="11" t="n">
        <f aca="false">INDEX($B$5:$H$11,7,7)</f>
        <v>0</v>
      </c>
    </row>
    <row r="14" customFormat="false" ht="15" hidden="false" customHeight="false" outlineLevel="0" collapsed="false">
      <c r="A14" s="8" t="s">
        <v>277</v>
      </c>
      <c r="B14" s="24" t="str">
        <f aca="false">INDEX(Comps,1)</f>
        <v>MKT</v>
      </c>
      <c r="C14" s="24" t="str">
        <f aca="false">INDEX(Comps,2)</f>
        <v>GOV</v>
      </c>
      <c r="D14" s="24" t="str">
        <f aca="false">INDEX(Comps,3)</f>
        <v>MAT</v>
      </c>
      <c r="E14" s="24" t="str">
        <f aca="false">INDEX(Comps,4)</f>
        <v>IND</v>
      </c>
      <c r="F14" s="24" t="str">
        <f aca="false">INDEX(Comps,5)</f>
        <v>DIG</v>
      </c>
      <c r="G14" s="24" t="str">
        <f aca="false">INDEX(Comps,6)</f>
        <v>ENG</v>
      </c>
      <c r="H14" s="24" t="str">
        <f aca="false">INDEX(Comps,7)</f>
        <v>TRS</v>
      </c>
    </row>
    <row r="15" customFormat="false" ht="15" hidden="false" customHeight="false" outlineLevel="0" collapsed="false">
      <c r="A15" s="7" t="str">
        <f aca="false">INDEX(Comps,1)</f>
        <v>MKT</v>
      </c>
      <c r="B15" s="11" t="n">
        <f aca="false">IF($A15=B$14,0,IF(B5&gt;0,1,99))</f>
        <v>0</v>
      </c>
      <c r="C15" s="11" t="n">
        <f aca="false">IF($A15=C$14,0,IF(C5&gt;0,1,99))</f>
        <v>99</v>
      </c>
      <c r="D15" s="11" t="n">
        <f aca="false">IF($A15=D$14,0,IF(D5&gt;0,1,99))</f>
        <v>1</v>
      </c>
      <c r="E15" s="11" t="n">
        <f aca="false">IF($A15=E$14,0,IF(E5&gt;0,1,99))</f>
        <v>1</v>
      </c>
      <c r="F15" s="11" t="n">
        <f aca="false">IF($A15=F$14,0,IF(F5&gt;0,1,99))</f>
        <v>1</v>
      </c>
      <c r="G15" s="11" t="n">
        <f aca="false">IF($A15=G$14,0,IF(G5&gt;0,1,99))</f>
        <v>99</v>
      </c>
      <c r="H15" s="11" t="n">
        <f aca="false">IF($A15=H$14,0,IF(H5&gt;0,1,99))</f>
        <v>99</v>
      </c>
    </row>
    <row r="16" customFormat="false" ht="15" hidden="false" customHeight="false" outlineLevel="0" collapsed="false">
      <c r="A16" s="7" t="str">
        <f aca="false">INDEX(Comps,2)</f>
        <v>GOV</v>
      </c>
      <c r="B16" s="11" t="n">
        <f aca="false">IF($A16=B$14,0,IF(B6&gt;0,1,99))</f>
        <v>99</v>
      </c>
      <c r="C16" s="11" t="n">
        <f aca="false">IF($A16=C$14,0,IF(C6&gt;0,1,99))</f>
        <v>0</v>
      </c>
      <c r="D16" s="11" t="n">
        <f aca="false">IF($A16=D$14,0,IF(D6&gt;0,1,99))</f>
        <v>99</v>
      </c>
      <c r="E16" s="11" t="n">
        <f aca="false">IF($A16=E$14,0,IF(E6&gt;0,1,99))</f>
        <v>99</v>
      </c>
      <c r="F16" s="11" t="n">
        <f aca="false">IF($A16=F$14,0,IF(F6&gt;0,1,99))</f>
        <v>1</v>
      </c>
      <c r="G16" s="11" t="n">
        <f aca="false">IF($A16=G$14,0,IF(G6&gt;0,1,99))</f>
        <v>99</v>
      </c>
      <c r="H16" s="11" t="n">
        <f aca="false">IF($A16=H$14,0,IF(H6&gt;0,1,99))</f>
        <v>1</v>
      </c>
    </row>
    <row r="17" customFormat="false" ht="15" hidden="false" customHeight="false" outlineLevel="0" collapsed="false">
      <c r="A17" s="7" t="str">
        <f aca="false">INDEX(Comps,3)</f>
        <v>MAT</v>
      </c>
      <c r="B17" s="11" t="n">
        <f aca="false">IF($A17=B$14,0,IF(B7&gt;0,1,99))</f>
        <v>99</v>
      </c>
      <c r="C17" s="11" t="n">
        <f aca="false">IF($A17=C$14,0,IF(C7&gt;0,1,99))</f>
        <v>99</v>
      </c>
      <c r="D17" s="11" t="n">
        <f aca="false">IF($A17=D$14,0,IF(D7&gt;0,1,99))</f>
        <v>0</v>
      </c>
      <c r="E17" s="11" t="n">
        <f aca="false">IF($A17=E$14,0,IF(E7&gt;0,1,99))</f>
        <v>99</v>
      </c>
      <c r="F17" s="11" t="n">
        <f aca="false">IF($A17=F$14,0,IF(F7&gt;0,1,99))</f>
        <v>99</v>
      </c>
      <c r="G17" s="11" t="n">
        <f aca="false">IF($A17=G$14,0,IF(G7&gt;0,1,99))</f>
        <v>99</v>
      </c>
      <c r="H17" s="11" t="n">
        <f aca="false">IF($A17=H$14,0,IF(H7&gt;0,1,99))</f>
        <v>1</v>
      </c>
    </row>
    <row r="18" customFormat="false" ht="15" hidden="false" customHeight="false" outlineLevel="0" collapsed="false">
      <c r="A18" s="7" t="str">
        <f aca="false">INDEX(Comps,4)</f>
        <v>IND</v>
      </c>
      <c r="B18" s="11" t="n">
        <f aca="false">IF($A18=B$14,0,IF(B8&gt;0,1,99))</f>
        <v>99</v>
      </c>
      <c r="C18" s="11" t="n">
        <f aca="false">IF($A18=C$14,0,IF(C8&gt;0,1,99))</f>
        <v>99</v>
      </c>
      <c r="D18" s="11" t="n">
        <f aca="false">IF($A18=D$14,0,IF(D8&gt;0,1,99))</f>
        <v>99</v>
      </c>
      <c r="E18" s="11" t="n">
        <f aca="false">IF($A18=E$14,0,IF(E8&gt;0,1,99))</f>
        <v>0</v>
      </c>
      <c r="F18" s="11" t="n">
        <f aca="false">IF($A18=F$14,0,IF(F8&gt;0,1,99))</f>
        <v>99</v>
      </c>
      <c r="G18" s="11" t="n">
        <f aca="false">IF($A18=G$14,0,IF(G8&gt;0,1,99))</f>
        <v>1</v>
      </c>
      <c r="H18" s="11" t="n">
        <f aca="false">IF($A18=H$14,0,IF(H8&gt;0,1,99))</f>
        <v>1</v>
      </c>
    </row>
    <row r="19" customFormat="false" ht="15" hidden="false" customHeight="false" outlineLevel="0" collapsed="false">
      <c r="A19" s="7" t="str">
        <f aca="false">INDEX(Comps,5)</f>
        <v>DIG</v>
      </c>
      <c r="B19" s="11" t="n">
        <f aca="false">IF($A19=B$14,0,IF(B9&gt;0,1,99))</f>
        <v>99</v>
      </c>
      <c r="C19" s="11" t="n">
        <f aca="false">IF($A19=C$14,0,IF(C9&gt;0,1,99))</f>
        <v>99</v>
      </c>
      <c r="D19" s="11" t="n">
        <f aca="false">IF($A19=D$14,0,IF(D9&gt;0,1,99))</f>
        <v>99</v>
      </c>
      <c r="E19" s="11" t="n">
        <f aca="false">IF($A19=E$14,0,IF(E9&gt;0,1,99))</f>
        <v>99</v>
      </c>
      <c r="F19" s="11" t="n">
        <f aca="false">IF($A19=F$14,0,IF(F9&gt;0,1,99))</f>
        <v>0</v>
      </c>
      <c r="G19" s="11" t="n">
        <f aca="false">IF($A19=G$14,0,IF(G9&gt;0,1,99))</f>
        <v>1</v>
      </c>
      <c r="H19" s="11" t="n">
        <f aca="false">IF($A19=H$14,0,IF(H9&gt;0,1,99))</f>
        <v>1</v>
      </c>
    </row>
    <row r="20" customFormat="false" ht="15" hidden="false" customHeight="false" outlineLevel="0" collapsed="false">
      <c r="A20" s="7" t="str">
        <f aca="false">INDEX(Comps,6)</f>
        <v>ENG</v>
      </c>
      <c r="B20" s="11" t="n">
        <f aca="false">IF($A20=B$14,0,IF(B10&gt;0,1,99))</f>
        <v>99</v>
      </c>
      <c r="C20" s="11" t="n">
        <f aca="false">IF($A20=C$14,0,IF(C10&gt;0,1,99))</f>
        <v>99</v>
      </c>
      <c r="D20" s="11" t="n">
        <f aca="false">IF($A20=D$14,0,IF(D10&gt;0,1,99))</f>
        <v>99</v>
      </c>
      <c r="E20" s="11" t="n">
        <f aca="false">IF($A20=E$14,0,IF(E10&gt;0,1,99))</f>
        <v>1</v>
      </c>
      <c r="F20" s="11" t="n">
        <f aca="false">IF($A20=F$14,0,IF(F10&gt;0,1,99))</f>
        <v>1</v>
      </c>
      <c r="G20" s="11" t="n">
        <f aca="false">IF($A20=G$14,0,IF(G10&gt;0,1,99))</f>
        <v>0</v>
      </c>
      <c r="H20" s="11" t="n">
        <f aca="false">IF($A20=H$14,0,IF(H10&gt;0,1,99))</f>
        <v>99</v>
      </c>
    </row>
    <row r="21" customFormat="false" ht="15" hidden="false" customHeight="false" outlineLevel="0" collapsed="false">
      <c r="A21" s="7" t="str">
        <f aca="false">INDEX(Comps,7)</f>
        <v>TRS</v>
      </c>
      <c r="B21" s="11" t="n">
        <f aca="false">IF($A21=B$14,0,IF(B11&gt;0,1,99))</f>
        <v>99</v>
      </c>
      <c r="C21" s="11" t="n">
        <f aca="false">IF($A21=C$14,0,IF(C11&gt;0,1,99))</f>
        <v>99</v>
      </c>
      <c r="D21" s="11" t="n">
        <f aca="false">IF($A21=D$14,0,IF(D11&gt;0,1,99))</f>
        <v>99</v>
      </c>
      <c r="E21" s="11" t="n">
        <f aca="false">IF($A21=E$14,0,IF(E11&gt;0,1,99))</f>
        <v>1</v>
      </c>
      <c r="F21" s="11" t="n">
        <f aca="false">IF($A21=F$14,0,IF(F11&gt;0,1,99))</f>
        <v>1</v>
      </c>
      <c r="G21" s="11" t="n">
        <f aca="false">IF($A21=G$14,0,IF(G11&gt;0,1,99))</f>
        <v>99</v>
      </c>
      <c r="H21" s="11" t="n">
        <f aca="false">IF($A21=H$14,0,IF(H11&gt;0,1,99))</f>
        <v>0</v>
      </c>
    </row>
    <row r="23" customFormat="false" ht="15" hidden="false" customHeight="false" outlineLevel="0" collapsed="false">
      <c r="A23" s="8" t="s">
        <v>278</v>
      </c>
      <c r="B23" s="24" t="str">
        <f aca="false">INDEX(Comps,1)</f>
        <v>MKT</v>
      </c>
      <c r="C23" s="24" t="str">
        <f aca="false">INDEX(Comps,2)</f>
        <v>GOV</v>
      </c>
      <c r="D23" s="24" t="str">
        <f aca="false">INDEX(Comps,3)</f>
        <v>MAT</v>
      </c>
      <c r="E23" s="24" t="str">
        <f aca="false">INDEX(Comps,4)</f>
        <v>IND</v>
      </c>
      <c r="F23" s="24" t="str">
        <f aca="false">INDEX(Comps,5)</f>
        <v>DIG</v>
      </c>
      <c r="G23" s="24" t="str">
        <f aca="false">INDEX(Comps,6)</f>
        <v>ENG</v>
      </c>
      <c r="H23" s="24" t="str">
        <f aca="false">INDEX(Comps,7)</f>
        <v>TRS</v>
      </c>
    </row>
    <row r="24" customFormat="false" ht="15" hidden="false" customHeight="false" outlineLevel="0" collapsed="false">
      <c r="A24" s="7" t="str">
        <f aca="false">INDEX(Comps,1)</f>
        <v>MKT</v>
      </c>
      <c r="B24" s="11" t="n">
        <f aca="false">MIN(B15,IF(COUNTIF($K$5:$Q$5,"&gt;0")=0,99,_xlfn.MINIFS($B$15:$H$15,$K$5:$Q$5,"&gt;0")+1))</f>
        <v>0</v>
      </c>
      <c r="C24" s="11" t="n">
        <f aca="false">MIN(C15,IF(COUNTIF($K$6:$Q$6,"&gt;0")=0,99,_xlfn.MINIFS($B$15:$H$15,$K$6:$Q$6,"&gt;0")+1))</f>
        <v>99</v>
      </c>
      <c r="D24" s="11" t="n">
        <f aca="false">MIN(D15,IF(COUNTIF($K$7:$Q$7,"&gt;0")=0,99,_xlfn.MINIFS($B$15:$H$15,$K$7:$Q$7,"&gt;0")+1))</f>
        <v>1</v>
      </c>
      <c r="E24" s="11" t="n">
        <f aca="false">MIN(E15,IF(COUNTIF($K$8:$Q$8,"&gt;0")=0,99,_xlfn.MINIFS($B$15:$H$15,$K$8:$Q$8,"&gt;0")+1))</f>
        <v>1</v>
      </c>
      <c r="F24" s="11" t="n">
        <f aca="false">MIN(F15,IF(COUNTIF($K$9:$Q$9,"&gt;0")=0,99,_xlfn.MINIFS($B$15:$H$15,$K$9:$Q$9,"&gt;0")+1))</f>
        <v>1</v>
      </c>
      <c r="G24" s="11" t="n">
        <f aca="false">MIN(G15,IF(COUNTIF($K$10:$Q$10,"&gt;0")=0,99,_xlfn.MINIFS($B$15:$H$15,$K$10:$Q$10,"&gt;0")+1))</f>
        <v>2</v>
      </c>
      <c r="H24" s="11" t="n">
        <f aca="false">MIN(H15,IF(COUNTIF($K$11:$Q$11,"&gt;0")=0,99,_xlfn.MINIFS($B$15:$H$15,$K$11:$Q$11,"&gt;0")+1))</f>
        <v>2</v>
      </c>
    </row>
    <row r="25" customFormat="false" ht="15" hidden="false" customHeight="false" outlineLevel="0" collapsed="false">
      <c r="A25" s="7" t="str">
        <f aca="false">INDEX(Comps,2)</f>
        <v>GOV</v>
      </c>
      <c r="B25" s="11" t="n">
        <f aca="false">MIN(B16,IF(COUNTIF($K$5:$Q$5,"&gt;0")=0,99,_xlfn.MINIFS($B$16:$H$16,$K$5:$Q$5,"&gt;0")+1))</f>
        <v>99</v>
      </c>
      <c r="C25" s="11" t="n">
        <f aca="false">MIN(C16,IF(COUNTIF($K$6:$Q$6,"&gt;0")=0,99,_xlfn.MINIFS($B$16:$H$16,$K$6:$Q$6,"&gt;0")+1))</f>
        <v>0</v>
      </c>
      <c r="D25" s="11" t="n">
        <f aca="false">MIN(D16,IF(COUNTIF($K$7:$Q$7,"&gt;0")=0,99,_xlfn.MINIFS($B$16:$H$16,$K$7:$Q$7,"&gt;0")+1))</f>
        <v>99</v>
      </c>
      <c r="E25" s="11" t="n">
        <f aca="false">MIN(E16,IF(COUNTIF($K$8:$Q$8,"&gt;0")=0,99,_xlfn.MINIFS($B$16:$H$16,$K$8:$Q$8,"&gt;0")+1))</f>
        <v>2</v>
      </c>
      <c r="F25" s="11" t="n">
        <f aca="false">MIN(F16,IF(COUNTIF($K$9:$Q$9,"&gt;0")=0,99,_xlfn.MINIFS($B$16:$H$16,$K$9:$Q$9,"&gt;0")+1))</f>
        <v>1</v>
      </c>
      <c r="G25" s="11" t="n">
        <f aca="false">MIN(G16,IF(COUNTIF($K$10:$Q$10,"&gt;0")=0,99,_xlfn.MINIFS($B$16:$H$16,$K$10:$Q$10,"&gt;0")+1))</f>
        <v>2</v>
      </c>
      <c r="H25" s="11" t="n">
        <f aca="false">MIN(H16,IF(COUNTIF($K$11:$Q$11,"&gt;0")=0,99,_xlfn.MINIFS($B$16:$H$16,$K$11:$Q$11,"&gt;0")+1))</f>
        <v>1</v>
      </c>
    </row>
    <row r="26" customFormat="false" ht="15" hidden="false" customHeight="false" outlineLevel="0" collapsed="false">
      <c r="A26" s="7" t="str">
        <f aca="false">INDEX(Comps,3)</f>
        <v>MAT</v>
      </c>
      <c r="B26" s="11" t="n">
        <f aca="false">MIN(B17,IF(COUNTIF($K$5:$Q$5,"&gt;0")=0,99,_xlfn.MINIFS($B$17:$H$17,$K$5:$Q$5,"&gt;0")+1))</f>
        <v>99</v>
      </c>
      <c r="C26" s="11" t="n">
        <f aca="false">MIN(C17,IF(COUNTIF($K$6:$Q$6,"&gt;0")=0,99,_xlfn.MINIFS($B$17:$H$17,$K$6:$Q$6,"&gt;0")+1))</f>
        <v>99</v>
      </c>
      <c r="D26" s="11" t="n">
        <f aca="false">MIN(D17,IF(COUNTIF($K$7:$Q$7,"&gt;0")=0,99,_xlfn.MINIFS($B$17:$H$17,$K$7:$Q$7,"&gt;0")+1))</f>
        <v>0</v>
      </c>
      <c r="E26" s="11" t="n">
        <f aca="false">MIN(E17,IF(COUNTIF($K$8:$Q$8,"&gt;0")=0,99,_xlfn.MINIFS($B$17:$H$17,$K$8:$Q$8,"&gt;0")+1))</f>
        <v>2</v>
      </c>
      <c r="F26" s="11" t="n">
        <f aca="false">MIN(F17,IF(COUNTIF($K$9:$Q$9,"&gt;0")=0,99,_xlfn.MINIFS($B$17:$H$17,$K$9:$Q$9,"&gt;0")+1))</f>
        <v>2</v>
      </c>
      <c r="G26" s="11" t="n">
        <f aca="false">MIN(G17,IF(COUNTIF($K$10:$Q$10,"&gt;0")=0,99,_xlfn.MINIFS($B$17:$H$17,$K$10:$Q$10,"&gt;0")+1))</f>
        <v>99</v>
      </c>
      <c r="H26" s="11" t="n">
        <f aca="false">MIN(H17,IF(COUNTIF($K$11:$Q$11,"&gt;0")=0,99,_xlfn.MINIFS($B$17:$H$17,$K$11:$Q$11,"&gt;0")+1))</f>
        <v>1</v>
      </c>
    </row>
    <row r="27" customFormat="false" ht="15" hidden="false" customHeight="false" outlineLevel="0" collapsed="false">
      <c r="A27" s="7" t="str">
        <f aca="false">INDEX(Comps,4)</f>
        <v>IND</v>
      </c>
      <c r="B27" s="11" t="n">
        <f aca="false">MIN(B18,IF(COUNTIF($K$5:$Q$5,"&gt;0")=0,99,_xlfn.MINIFS($B$18:$H$18,$K$5:$Q$5,"&gt;0")+1))</f>
        <v>99</v>
      </c>
      <c r="C27" s="11" t="n">
        <f aca="false">MIN(C18,IF(COUNTIF($K$6:$Q$6,"&gt;0")=0,99,_xlfn.MINIFS($B$18:$H$18,$K$6:$Q$6,"&gt;0")+1))</f>
        <v>99</v>
      </c>
      <c r="D27" s="11" t="n">
        <f aca="false">MIN(D18,IF(COUNTIF($K$7:$Q$7,"&gt;0")=0,99,_xlfn.MINIFS($B$18:$H$18,$K$7:$Q$7,"&gt;0")+1))</f>
        <v>99</v>
      </c>
      <c r="E27" s="11" t="n">
        <f aca="false">MIN(E18,IF(COUNTIF($K$8:$Q$8,"&gt;0")=0,99,_xlfn.MINIFS($B$18:$H$18,$K$8:$Q$8,"&gt;0")+1))</f>
        <v>0</v>
      </c>
      <c r="F27" s="11" t="n">
        <f aca="false">MIN(F18,IF(COUNTIF($K$9:$Q$9,"&gt;0")=0,99,_xlfn.MINIFS($B$18:$H$18,$K$9:$Q$9,"&gt;0")+1))</f>
        <v>2</v>
      </c>
      <c r="G27" s="11" t="n">
        <f aca="false">MIN(G18,IF(COUNTIF($K$10:$Q$10,"&gt;0")=0,99,_xlfn.MINIFS($B$18:$H$18,$K$10:$Q$10,"&gt;0")+1))</f>
        <v>1</v>
      </c>
      <c r="H27" s="11" t="n">
        <f aca="false">MIN(H18,IF(COUNTIF($K$11:$Q$11,"&gt;0")=0,99,_xlfn.MINIFS($B$18:$H$18,$K$11:$Q$11,"&gt;0")+1))</f>
        <v>1</v>
      </c>
    </row>
    <row r="28" customFormat="false" ht="15" hidden="false" customHeight="false" outlineLevel="0" collapsed="false">
      <c r="A28" s="7" t="str">
        <f aca="false">INDEX(Comps,5)</f>
        <v>DIG</v>
      </c>
      <c r="B28" s="11" t="n">
        <f aca="false">MIN(B19,IF(COUNTIF($K$5:$Q$5,"&gt;0")=0,99,_xlfn.MINIFS($B$19:$H$19,$K$5:$Q$5,"&gt;0")+1))</f>
        <v>99</v>
      </c>
      <c r="C28" s="11" t="n">
        <f aca="false">MIN(C19,IF(COUNTIF($K$6:$Q$6,"&gt;0")=0,99,_xlfn.MINIFS($B$19:$H$19,$K$6:$Q$6,"&gt;0")+1))</f>
        <v>99</v>
      </c>
      <c r="D28" s="11" t="n">
        <f aca="false">MIN(D19,IF(COUNTIF($K$7:$Q$7,"&gt;0")=0,99,_xlfn.MINIFS($B$19:$H$19,$K$7:$Q$7,"&gt;0")+1))</f>
        <v>99</v>
      </c>
      <c r="E28" s="11" t="n">
        <f aca="false">MIN(E19,IF(COUNTIF($K$8:$Q$8,"&gt;0")=0,99,_xlfn.MINIFS($B$19:$H$19,$K$8:$Q$8,"&gt;0")+1))</f>
        <v>2</v>
      </c>
      <c r="F28" s="11" t="n">
        <f aca="false">MIN(F19,IF(COUNTIF($K$9:$Q$9,"&gt;0")=0,99,_xlfn.MINIFS($B$19:$H$19,$K$9:$Q$9,"&gt;0")+1))</f>
        <v>0</v>
      </c>
      <c r="G28" s="11" t="n">
        <f aca="false">MIN(G19,IF(COUNTIF($K$10:$Q$10,"&gt;0")=0,99,_xlfn.MINIFS($B$19:$H$19,$K$10:$Q$10,"&gt;0")+1))</f>
        <v>1</v>
      </c>
      <c r="H28" s="11" t="n">
        <f aca="false">MIN(H19,IF(COUNTIF($K$11:$Q$11,"&gt;0")=0,99,_xlfn.MINIFS($B$19:$H$19,$K$11:$Q$11,"&gt;0")+1))</f>
        <v>1</v>
      </c>
    </row>
    <row r="29" customFormat="false" ht="15" hidden="false" customHeight="false" outlineLevel="0" collapsed="false">
      <c r="A29" s="7" t="str">
        <f aca="false">INDEX(Comps,6)</f>
        <v>ENG</v>
      </c>
      <c r="B29" s="11" t="n">
        <f aca="false">MIN(B20,IF(COUNTIF($K$5:$Q$5,"&gt;0")=0,99,_xlfn.MINIFS($B$20:$H$20,$K$5:$Q$5,"&gt;0")+1))</f>
        <v>99</v>
      </c>
      <c r="C29" s="11" t="n">
        <f aca="false">MIN(C20,IF(COUNTIF($K$6:$Q$6,"&gt;0")=0,99,_xlfn.MINIFS($B$20:$H$20,$K$6:$Q$6,"&gt;0")+1))</f>
        <v>99</v>
      </c>
      <c r="D29" s="11" t="n">
        <f aca="false">MIN(D20,IF(COUNTIF($K$7:$Q$7,"&gt;0")=0,99,_xlfn.MINIFS($B$20:$H$20,$K$7:$Q$7,"&gt;0")+1))</f>
        <v>99</v>
      </c>
      <c r="E29" s="11" t="n">
        <f aca="false">MIN(E20,IF(COUNTIF($K$8:$Q$8,"&gt;0")=0,99,_xlfn.MINIFS($B$20:$H$20,$K$8:$Q$8,"&gt;0")+1))</f>
        <v>1</v>
      </c>
      <c r="F29" s="11" t="n">
        <f aca="false">MIN(F20,IF(COUNTIF($K$9:$Q$9,"&gt;0")=0,99,_xlfn.MINIFS($B$20:$H$20,$K$9:$Q$9,"&gt;0")+1))</f>
        <v>1</v>
      </c>
      <c r="G29" s="11" t="n">
        <f aca="false">MIN(G20,IF(COUNTIF($K$10:$Q$10,"&gt;0")=0,99,_xlfn.MINIFS($B$20:$H$20,$K$10:$Q$10,"&gt;0")+1))</f>
        <v>0</v>
      </c>
      <c r="H29" s="11" t="n">
        <f aca="false">MIN(H20,IF(COUNTIF($K$11:$Q$11,"&gt;0")=0,99,_xlfn.MINIFS($B$20:$H$20,$K$11:$Q$11,"&gt;0")+1))</f>
        <v>2</v>
      </c>
    </row>
    <row r="30" customFormat="false" ht="15" hidden="false" customHeight="false" outlineLevel="0" collapsed="false">
      <c r="A30" s="7" t="str">
        <f aca="false">INDEX(Comps,7)</f>
        <v>TRS</v>
      </c>
      <c r="B30" s="11" t="n">
        <f aca="false">MIN(B21,IF(COUNTIF($K$5:$Q$5,"&gt;0")=0,99,_xlfn.MINIFS($B$21:$H$21,$K$5:$Q$5,"&gt;0")+1))</f>
        <v>99</v>
      </c>
      <c r="C30" s="11" t="n">
        <f aca="false">MIN(C21,IF(COUNTIF($K$6:$Q$6,"&gt;0")=0,99,_xlfn.MINIFS($B$21:$H$21,$K$6:$Q$6,"&gt;0")+1))</f>
        <v>99</v>
      </c>
      <c r="D30" s="11" t="n">
        <f aca="false">MIN(D21,IF(COUNTIF($K$7:$Q$7,"&gt;0")=0,99,_xlfn.MINIFS($B$21:$H$21,$K$7:$Q$7,"&gt;0")+1))</f>
        <v>99</v>
      </c>
      <c r="E30" s="11" t="n">
        <f aca="false">MIN(E21,IF(COUNTIF($K$8:$Q$8,"&gt;0")=0,99,_xlfn.MINIFS($B$21:$H$21,$K$8:$Q$8,"&gt;0")+1))</f>
        <v>1</v>
      </c>
      <c r="F30" s="11" t="n">
        <f aca="false">MIN(F21,IF(COUNTIF($K$9:$Q$9,"&gt;0")=0,99,_xlfn.MINIFS($B$21:$H$21,$K$9:$Q$9,"&gt;0")+1))</f>
        <v>1</v>
      </c>
      <c r="G30" s="11" t="n">
        <f aca="false">MIN(G21,IF(COUNTIF($K$10:$Q$10,"&gt;0")=0,99,_xlfn.MINIFS($B$21:$H$21,$K$10:$Q$10,"&gt;0")+1))</f>
        <v>2</v>
      </c>
      <c r="H30" s="11" t="n">
        <f aca="false">MIN(H21,IF(COUNTIF($K$11:$Q$11,"&gt;0")=0,99,_xlfn.MINIFS($B$21:$H$21,$K$11:$Q$11,"&gt;0")+1))</f>
        <v>0</v>
      </c>
    </row>
    <row r="32" customFormat="false" ht="15" hidden="false" customHeight="false" outlineLevel="0" collapsed="false">
      <c r="A32" s="8" t="s">
        <v>279</v>
      </c>
      <c r="B32" s="24" t="str">
        <f aca="false">INDEX(Comps,1)</f>
        <v>MKT</v>
      </c>
      <c r="C32" s="24" t="str">
        <f aca="false">INDEX(Comps,2)</f>
        <v>GOV</v>
      </c>
      <c r="D32" s="24" t="str">
        <f aca="false">INDEX(Comps,3)</f>
        <v>MAT</v>
      </c>
      <c r="E32" s="24" t="str">
        <f aca="false">INDEX(Comps,4)</f>
        <v>IND</v>
      </c>
      <c r="F32" s="24" t="str">
        <f aca="false">INDEX(Comps,5)</f>
        <v>DIG</v>
      </c>
      <c r="G32" s="24" t="str">
        <f aca="false">INDEX(Comps,6)</f>
        <v>ENG</v>
      </c>
      <c r="H32" s="24" t="str">
        <f aca="false">INDEX(Comps,7)</f>
        <v>TRS</v>
      </c>
    </row>
    <row r="33" customFormat="false" ht="15" hidden="false" customHeight="false" outlineLevel="0" collapsed="false">
      <c r="A33" s="7" t="str">
        <f aca="false">INDEX(Comps,1)</f>
        <v>MKT</v>
      </c>
      <c r="B33" s="11" t="n">
        <f aca="false">MIN(B24,IF(COUNTIF($K$5:$Q$5,"&gt;0")=0,99,_xlfn.MINIFS($B$24:$H$24,$K$5:$Q$5,"&gt;0")+1))</f>
        <v>0</v>
      </c>
      <c r="C33" s="11" t="n">
        <f aca="false">MIN(C24,IF(COUNTIF($K$6:$Q$6,"&gt;0")=0,99,_xlfn.MINIFS($B$24:$H$24,$K$6:$Q$6,"&gt;0")+1))</f>
        <v>99</v>
      </c>
      <c r="D33" s="11" t="n">
        <f aca="false">MIN(D24,IF(COUNTIF($K$7:$Q$7,"&gt;0")=0,99,_xlfn.MINIFS($B$24:$H$24,$K$7:$Q$7,"&gt;0")+1))</f>
        <v>1</v>
      </c>
      <c r="E33" s="11" t="n">
        <f aca="false">MIN(E24,IF(COUNTIF($K$8:$Q$8,"&gt;0")=0,99,_xlfn.MINIFS($B$24:$H$24,$K$8:$Q$8,"&gt;0")+1))</f>
        <v>1</v>
      </c>
      <c r="F33" s="11" t="n">
        <f aca="false">MIN(F24,IF(COUNTIF($K$9:$Q$9,"&gt;0")=0,99,_xlfn.MINIFS($B$24:$H$24,$K$9:$Q$9,"&gt;0")+1))</f>
        <v>1</v>
      </c>
      <c r="G33" s="11" t="n">
        <f aca="false">MIN(G24,IF(COUNTIF($K$10:$Q$10,"&gt;0")=0,99,_xlfn.MINIFS($B$24:$H$24,$K$10:$Q$10,"&gt;0")+1))</f>
        <v>2</v>
      </c>
      <c r="H33" s="11" t="n">
        <f aca="false">MIN(H24,IF(COUNTIF($K$11:$Q$11,"&gt;0")=0,99,_xlfn.MINIFS($B$24:$H$24,$K$11:$Q$11,"&gt;0")+1))</f>
        <v>2</v>
      </c>
    </row>
    <row r="34" customFormat="false" ht="15" hidden="false" customHeight="false" outlineLevel="0" collapsed="false">
      <c r="A34" s="7" t="str">
        <f aca="false">INDEX(Comps,2)</f>
        <v>GOV</v>
      </c>
      <c r="B34" s="11" t="n">
        <f aca="false">MIN(B25,IF(COUNTIF($K$5:$Q$5,"&gt;0")=0,99,_xlfn.MINIFS($B$25:$H$25,$K$5:$Q$5,"&gt;0")+1))</f>
        <v>99</v>
      </c>
      <c r="C34" s="11" t="n">
        <f aca="false">MIN(C25,IF(COUNTIF($K$6:$Q$6,"&gt;0")=0,99,_xlfn.MINIFS($B$25:$H$25,$K$6:$Q$6,"&gt;0")+1))</f>
        <v>0</v>
      </c>
      <c r="D34" s="11" t="n">
        <f aca="false">MIN(D25,IF(COUNTIF($K$7:$Q$7,"&gt;0")=0,99,_xlfn.MINIFS($B$25:$H$25,$K$7:$Q$7,"&gt;0")+1))</f>
        <v>99</v>
      </c>
      <c r="E34" s="11" t="n">
        <f aca="false">MIN(E25,IF(COUNTIF($K$8:$Q$8,"&gt;0")=0,99,_xlfn.MINIFS($B$25:$H$25,$K$8:$Q$8,"&gt;0")+1))</f>
        <v>2</v>
      </c>
      <c r="F34" s="11" t="n">
        <f aca="false">MIN(F25,IF(COUNTIF($K$9:$Q$9,"&gt;0")=0,99,_xlfn.MINIFS($B$25:$H$25,$K$9:$Q$9,"&gt;0")+1))</f>
        <v>1</v>
      </c>
      <c r="G34" s="11" t="n">
        <f aca="false">MIN(G25,IF(COUNTIF($K$10:$Q$10,"&gt;0")=0,99,_xlfn.MINIFS($B$25:$H$25,$K$10:$Q$10,"&gt;0")+1))</f>
        <v>2</v>
      </c>
      <c r="H34" s="11" t="n">
        <f aca="false">MIN(H25,IF(COUNTIF($K$11:$Q$11,"&gt;0")=0,99,_xlfn.MINIFS($B$25:$H$25,$K$11:$Q$11,"&gt;0")+1))</f>
        <v>1</v>
      </c>
    </row>
    <row r="35" customFormat="false" ht="15" hidden="false" customHeight="false" outlineLevel="0" collapsed="false">
      <c r="A35" s="7" t="str">
        <f aca="false">INDEX(Comps,3)</f>
        <v>MAT</v>
      </c>
      <c r="B35" s="11" t="n">
        <f aca="false">MIN(B26,IF(COUNTIF($K$5:$Q$5,"&gt;0")=0,99,_xlfn.MINIFS($B$26:$H$26,$K$5:$Q$5,"&gt;0")+1))</f>
        <v>99</v>
      </c>
      <c r="C35" s="11" t="n">
        <f aca="false">MIN(C26,IF(COUNTIF($K$6:$Q$6,"&gt;0")=0,99,_xlfn.MINIFS($B$26:$H$26,$K$6:$Q$6,"&gt;0")+1))</f>
        <v>99</v>
      </c>
      <c r="D35" s="11" t="n">
        <f aca="false">MIN(D26,IF(COUNTIF($K$7:$Q$7,"&gt;0")=0,99,_xlfn.MINIFS($B$26:$H$26,$K$7:$Q$7,"&gt;0")+1))</f>
        <v>0</v>
      </c>
      <c r="E35" s="11" t="n">
        <f aca="false">MIN(E26,IF(COUNTIF($K$8:$Q$8,"&gt;0")=0,99,_xlfn.MINIFS($B$26:$H$26,$K$8:$Q$8,"&gt;0")+1))</f>
        <v>2</v>
      </c>
      <c r="F35" s="11" t="n">
        <f aca="false">MIN(F26,IF(COUNTIF($K$9:$Q$9,"&gt;0")=0,99,_xlfn.MINIFS($B$26:$H$26,$K$9:$Q$9,"&gt;0")+1))</f>
        <v>2</v>
      </c>
      <c r="G35" s="11" t="n">
        <f aca="false">MIN(G26,IF(COUNTIF($K$10:$Q$10,"&gt;0")=0,99,_xlfn.MINIFS($B$26:$H$26,$K$10:$Q$10,"&gt;0")+1))</f>
        <v>3</v>
      </c>
      <c r="H35" s="11" t="n">
        <f aca="false">MIN(H26,IF(COUNTIF($K$11:$Q$11,"&gt;0")=0,99,_xlfn.MINIFS($B$26:$H$26,$K$11:$Q$11,"&gt;0")+1))</f>
        <v>1</v>
      </c>
    </row>
    <row r="36" customFormat="false" ht="15" hidden="false" customHeight="false" outlineLevel="0" collapsed="false">
      <c r="A36" s="7" t="str">
        <f aca="false">INDEX(Comps,4)</f>
        <v>IND</v>
      </c>
      <c r="B36" s="11" t="n">
        <f aca="false">MIN(B27,IF(COUNTIF($K$5:$Q$5,"&gt;0")=0,99,_xlfn.MINIFS($B$27:$H$27,$K$5:$Q$5,"&gt;0")+1))</f>
        <v>99</v>
      </c>
      <c r="C36" s="11" t="n">
        <f aca="false">MIN(C27,IF(COUNTIF($K$6:$Q$6,"&gt;0")=0,99,_xlfn.MINIFS($B$27:$H$27,$K$6:$Q$6,"&gt;0")+1))</f>
        <v>99</v>
      </c>
      <c r="D36" s="11" t="n">
        <f aca="false">MIN(D27,IF(COUNTIF($K$7:$Q$7,"&gt;0")=0,99,_xlfn.MINIFS($B$27:$H$27,$K$7:$Q$7,"&gt;0")+1))</f>
        <v>99</v>
      </c>
      <c r="E36" s="11" t="n">
        <f aca="false">MIN(E27,IF(COUNTIF($K$8:$Q$8,"&gt;0")=0,99,_xlfn.MINIFS($B$27:$H$27,$K$8:$Q$8,"&gt;0")+1))</f>
        <v>0</v>
      </c>
      <c r="F36" s="11" t="n">
        <f aca="false">MIN(F27,IF(COUNTIF($K$9:$Q$9,"&gt;0")=0,99,_xlfn.MINIFS($B$27:$H$27,$K$9:$Q$9,"&gt;0")+1))</f>
        <v>2</v>
      </c>
      <c r="G36" s="11" t="n">
        <f aca="false">MIN(G27,IF(COUNTIF($K$10:$Q$10,"&gt;0")=0,99,_xlfn.MINIFS($B$27:$H$27,$K$10:$Q$10,"&gt;0")+1))</f>
        <v>1</v>
      </c>
      <c r="H36" s="11" t="n">
        <f aca="false">MIN(H27,IF(COUNTIF($K$11:$Q$11,"&gt;0")=0,99,_xlfn.MINIFS($B$27:$H$27,$K$11:$Q$11,"&gt;0")+1))</f>
        <v>1</v>
      </c>
    </row>
    <row r="37" customFormat="false" ht="15" hidden="false" customHeight="false" outlineLevel="0" collapsed="false">
      <c r="A37" s="7" t="str">
        <f aca="false">INDEX(Comps,5)</f>
        <v>DIG</v>
      </c>
      <c r="B37" s="11" t="n">
        <f aca="false">MIN(B28,IF(COUNTIF($K$5:$Q$5,"&gt;0")=0,99,_xlfn.MINIFS($B$28:$H$28,$K$5:$Q$5,"&gt;0")+1))</f>
        <v>99</v>
      </c>
      <c r="C37" s="11" t="n">
        <f aca="false">MIN(C28,IF(COUNTIF($K$6:$Q$6,"&gt;0")=0,99,_xlfn.MINIFS($B$28:$H$28,$K$6:$Q$6,"&gt;0")+1))</f>
        <v>99</v>
      </c>
      <c r="D37" s="11" t="n">
        <f aca="false">MIN(D28,IF(COUNTIF($K$7:$Q$7,"&gt;0")=0,99,_xlfn.MINIFS($B$28:$H$28,$K$7:$Q$7,"&gt;0")+1))</f>
        <v>99</v>
      </c>
      <c r="E37" s="11" t="n">
        <f aca="false">MIN(E28,IF(COUNTIF($K$8:$Q$8,"&gt;0")=0,99,_xlfn.MINIFS($B$28:$H$28,$K$8:$Q$8,"&gt;0")+1))</f>
        <v>2</v>
      </c>
      <c r="F37" s="11" t="n">
        <f aca="false">MIN(F28,IF(COUNTIF($K$9:$Q$9,"&gt;0")=0,99,_xlfn.MINIFS($B$28:$H$28,$K$9:$Q$9,"&gt;0")+1))</f>
        <v>0</v>
      </c>
      <c r="G37" s="11" t="n">
        <f aca="false">MIN(G28,IF(COUNTIF($K$10:$Q$10,"&gt;0")=0,99,_xlfn.MINIFS($B$28:$H$28,$K$10:$Q$10,"&gt;0")+1))</f>
        <v>1</v>
      </c>
      <c r="H37" s="11" t="n">
        <f aca="false">MIN(H28,IF(COUNTIF($K$11:$Q$11,"&gt;0")=0,99,_xlfn.MINIFS($B$28:$H$28,$K$11:$Q$11,"&gt;0")+1))</f>
        <v>1</v>
      </c>
    </row>
    <row r="38" customFormat="false" ht="15" hidden="false" customHeight="false" outlineLevel="0" collapsed="false">
      <c r="A38" s="7" t="str">
        <f aca="false">INDEX(Comps,6)</f>
        <v>ENG</v>
      </c>
      <c r="B38" s="11" t="n">
        <f aca="false">MIN(B29,IF(COUNTIF($K$5:$Q$5,"&gt;0")=0,99,_xlfn.MINIFS($B$29:$H$29,$K$5:$Q$5,"&gt;0")+1))</f>
        <v>99</v>
      </c>
      <c r="C38" s="11" t="n">
        <f aca="false">MIN(C29,IF(COUNTIF($K$6:$Q$6,"&gt;0")=0,99,_xlfn.MINIFS($B$29:$H$29,$K$6:$Q$6,"&gt;0")+1))</f>
        <v>99</v>
      </c>
      <c r="D38" s="11" t="n">
        <f aca="false">MIN(D29,IF(COUNTIF($K$7:$Q$7,"&gt;0")=0,99,_xlfn.MINIFS($B$29:$H$29,$K$7:$Q$7,"&gt;0")+1))</f>
        <v>99</v>
      </c>
      <c r="E38" s="11" t="n">
        <f aca="false">MIN(E29,IF(COUNTIF($K$8:$Q$8,"&gt;0")=0,99,_xlfn.MINIFS($B$29:$H$29,$K$8:$Q$8,"&gt;0")+1))</f>
        <v>1</v>
      </c>
      <c r="F38" s="11" t="n">
        <f aca="false">MIN(F29,IF(COUNTIF($K$9:$Q$9,"&gt;0")=0,99,_xlfn.MINIFS($B$29:$H$29,$K$9:$Q$9,"&gt;0")+1))</f>
        <v>1</v>
      </c>
      <c r="G38" s="11" t="n">
        <f aca="false">MIN(G29,IF(COUNTIF($K$10:$Q$10,"&gt;0")=0,99,_xlfn.MINIFS($B$29:$H$29,$K$10:$Q$10,"&gt;0")+1))</f>
        <v>0</v>
      </c>
      <c r="H38" s="11" t="n">
        <f aca="false">MIN(H29,IF(COUNTIF($K$11:$Q$11,"&gt;0")=0,99,_xlfn.MINIFS($B$29:$H$29,$K$11:$Q$11,"&gt;0")+1))</f>
        <v>2</v>
      </c>
    </row>
    <row r="39" customFormat="false" ht="15" hidden="false" customHeight="false" outlineLevel="0" collapsed="false">
      <c r="A39" s="7" t="str">
        <f aca="false">INDEX(Comps,7)</f>
        <v>TRS</v>
      </c>
      <c r="B39" s="11" t="n">
        <f aca="false">MIN(B30,IF(COUNTIF($K$5:$Q$5,"&gt;0")=0,99,_xlfn.MINIFS($B$30:$H$30,$K$5:$Q$5,"&gt;0")+1))</f>
        <v>99</v>
      </c>
      <c r="C39" s="11" t="n">
        <f aca="false">MIN(C30,IF(COUNTIF($K$6:$Q$6,"&gt;0")=0,99,_xlfn.MINIFS($B$30:$H$30,$K$6:$Q$6,"&gt;0")+1))</f>
        <v>99</v>
      </c>
      <c r="D39" s="11" t="n">
        <f aca="false">MIN(D30,IF(COUNTIF($K$7:$Q$7,"&gt;0")=0,99,_xlfn.MINIFS($B$30:$H$30,$K$7:$Q$7,"&gt;0")+1))</f>
        <v>99</v>
      </c>
      <c r="E39" s="11" t="n">
        <f aca="false">MIN(E30,IF(COUNTIF($K$8:$Q$8,"&gt;0")=0,99,_xlfn.MINIFS($B$30:$H$30,$K$8:$Q$8,"&gt;0")+1))</f>
        <v>1</v>
      </c>
      <c r="F39" s="11" t="n">
        <f aca="false">MIN(F30,IF(COUNTIF($K$9:$Q$9,"&gt;0")=0,99,_xlfn.MINIFS($B$30:$H$30,$K$9:$Q$9,"&gt;0")+1))</f>
        <v>1</v>
      </c>
      <c r="G39" s="11" t="n">
        <f aca="false">MIN(G30,IF(COUNTIF($K$10:$Q$10,"&gt;0")=0,99,_xlfn.MINIFS($B$30:$H$30,$K$10:$Q$10,"&gt;0")+1))</f>
        <v>2</v>
      </c>
      <c r="H39" s="11" t="n">
        <f aca="false">MIN(H30,IF(COUNTIF($K$11:$Q$11,"&gt;0")=0,99,_xlfn.MINIFS($B$30:$H$30,$K$11:$Q$11,"&gt;0")+1))</f>
        <v>0</v>
      </c>
    </row>
    <row r="41" customFormat="false" ht="15" hidden="false" customHeight="false" outlineLevel="0" collapsed="false">
      <c r="A41" s="8" t="s">
        <v>280</v>
      </c>
      <c r="B41" s="24" t="str">
        <f aca="false">INDEX(Comps,1)</f>
        <v>MKT</v>
      </c>
      <c r="C41" s="24" t="str">
        <f aca="false">INDEX(Comps,2)</f>
        <v>GOV</v>
      </c>
      <c r="D41" s="24" t="str">
        <f aca="false">INDEX(Comps,3)</f>
        <v>MAT</v>
      </c>
      <c r="E41" s="24" t="str">
        <f aca="false">INDEX(Comps,4)</f>
        <v>IND</v>
      </c>
      <c r="F41" s="24" t="str">
        <f aca="false">INDEX(Comps,5)</f>
        <v>DIG</v>
      </c>
      <c r="G41" s="24" t="str">
        <f aca="false">INDEX(Comps,6)</f>
        <v>ENG</v>
      </c>
      <c r="H41" s="24" t="str">
        <f aca="false">INDEX(Comps,7)</f>
        <v>TRS</v>
      </c>
    </row>
    <row r="42" customFormat="false" ht="15" hidden="false" customHeight="false" outlineLevel="0" collapsed="false">
      <c r="A42" s="7" t="str">
        <f aca="false">INDEX(Comps,1)</f>
        <v>MKT</v>
      </c>
      <c r="B42" s="11" t="n">
        <f aca="false">MIN(B33,IF(COUNTIF($K$5:$Q$5,"&gt;0")=0,99,_xlfn.MINIFS($B$33:$H$33,$K$5:$Q$5,"&gt;0")+1))</f>
        <v>0</v>
      </c>
      <c r="C42" s="11" t="n">
        <f aca="false">MIN(C33,IF(COUNTIF($K$6:$Q$6,"&gt;0")=0,99,_xlfn.MINIFS($B$33:$H$33,$K$6:$Q$6,"&gt;0")+1))</f>
        <v>99</v>
      </c>
      <c r="D42" s="11" t="n">
        <f aca="false">MIN(D33,IF(COUNTIF($K$7:$Q$7,"&gt;0")=0,99,_xlfn.MINIFS($B$33:$H$33,$K$7:$Q$7,"&gt;0")+1))</f>
        <v>1</v>
      </c>
      <c r="E42" s="11" t="n">
        <f aca="false">MIN(E33,IF(COUNTIF($K$8:$Q$8,"&gt;0")=0,99,_xlfn.MINIFS($B$33:$H$33,$K$8:$Q$8,"&gt;0")+1))</f>
        <v>1</v>
      </c>
      <c r="F42" s="11" t="n">
        <f aca="false">MIN(F33,IF(COUNTIF($K$9:$Q$9,"&gt;0")=0,99,_xlfn.MINIFS($B$33:$H$33,$K$9:$Q$9,"&gt;0")+1))</f>
        <v>1</v>
      </c>
      <c r="G42" s="11" t="n">
        <f aca="false">MIN(G33,IF(COUNTIF($K$10:$Q$10,"&gt;0")=0,99,_xlfn.MINIFS($B$33:$H$33,$K$10:$Q$10,"&gt;0")+1))</f>
        <v>2</v>
      </c>
      <c r="H42" s="11" t="n">
        <f aca="false">MIN(H33,IF(COUNTIF($K$11:$Q$11,"&gt;0")=0,99,_xlfn.MINIFS($B$33:$H$33,$K$11:$Q$11,"&gt;0")+1))</f>
        <v>2</v>
      </c>
    </row>
    <row r="43" customFormat="false" ht="15" hidden="false" customHeight="false" outlineLevel="0" collapsed="false">
      <c r="A43" s="7" t="str">
        <f aca="false">INDEX(Comps,2)</f>
        <v>GOV</v>
      </c>
      <c r="B43" s="11" t="n">
        <f aca="false">MIN(B34,IF(COUNTIF($K$5:$Q$5,"&gt;0")=0,99,_xlfn.MINIFS($B$34:$H$34,$K$5:$Q$5,"&gt;0")+1))</f>
        <v>99</v>
      </c>
      <c r="C43" s="11" t="n">
        <f aca="false">MIN(C34,IF(COUNTIF($K$6:$Q$6,"&gt;0")=0,99,_xlfn.MINIFS($B$34:$H$34,$K$6:$Q$6,"&gt;0")+1))</f>
        <v>0</v>
      </c>
      <c r="D43" s="11" t="n">
        <f aca="false">MIN(D34,IF(COUNTIF($K$7:$Q$7,"&gt;0")=0,99,_xlfn.MINIFS($B$34:$H$34,$K$7:$Q$7,"&gt;0")+1))</f>
        <v>99</v>
      </c>
      <c r="E43" s="11" t="n">
        <f aca="false">MIN(E34,IF(COUNTIF($K$8:$Q$8,"&gt;0")=0,99,_xlfn.MINIFS($B$34:$H$34,$K$8:$Q$8,"&gt;0")+1))</f>
        <v>2</v>
      </c>
      <c r="F43" s="11" t="n">
        <f aca="false">MIN(F34,IF(COUNTIF($K$9:$Q$9,"&gt;0")=0,99,_xlfn.MINIFS($B$34:$H$34,$K$9:$Q$9,"&gt;0")+1))</f>
        <v>1</v>
      </c>
      <c r="G43" s="11" t="n">
        <f aca="false">MIN(G34,IF(COUNTIF($K$10:$Q$10,"&gt;0")=0,99,_xlfn.MINIFS($B$34:$H$34,$K$10:$Q$10,"&gt;0")+1))</f>
        <v>2</v>
      </c>
      <c r="H43" s="11" t="n">
        <f aca="false">MIN(H34,IF(COUNTIF($K$11:$Q$11,"&gt;0")=0,99,_xlfn.MINIFS($B$34:$H$34,$K$11:$Q$11,"&gt;0")+1))</f>
        <v>1</v>
      </c>
    </row>
    <row r="44" customFormat="false" ht="15" hidden="false" customHeight="false" outlineLevel="0" collapsed="false">
      <c r="A44" s="7" t="str">
        <f aca="false">INDEX(Comps,3)</f>
        <v>MAT</v>
      </c>
      <c r="B44" s="11" t="n">
        <f aca="false">MIN(B35,IF(COUNTIF($K$5:$Q$5,"&gt;0")=0,99,_xlfn.MINIFS($B$35:$H$35,$K$5:$Q$5,"&gt;0")+1))</f>
        <v>99</v>
      </c>
      <c r="C44" s="11" t="n">
        <f aca="false">MIN(C35,IF(COUNTIF($K$6:$Q$6,"&gt;0")=0,99,_xlfn.MINIFS($B$35:$H$35,$K$6:$Q$6,"&gt;0")+1))</f>
        <v>99</v>
      </c>
      <c r="D44" s="11" t="n">
        <f aca="false">MIN(D35,IF(COUNTIF($K$7:$Q$7,"&gt;0")=0,99,_xlfn.MINIFS($B$35:$H$35,$K$7:$Q$7,"&gt;0")+1))</f>
        <v>0</v>
      </c>
      <c r="E44" s="11" t="n">
        <f aca="false">MIN(E35,IF(COUNTIF($K$8:$Q$8,"&gt;0")=0,99,_xlfn.MINIFS($B$35:$H$35,$K$8:$Q$8,"&gt;0")+1))</f>
        <v>2</v>
      </c>
      <c r="F44" s="11" t="n">
        <f aca="false">MIN(F35,IF(COUNTIF($K$9:$Q$9,"&gt;0")=0,99,_xlfn.MINIFS($B$35:$H$35,$K$9:$Q$9,"&gt;0")+1))</f>
        <v>2</v>
      </c>
      <c r="G44" s="11" t="n">
        <f aca="false">MIN(G35,IF(COUNTIF($K$10:$Q$10,"&gt;0")=0,99,_xlfn.MINIFS($B$35:$H$35,$K$10:$Q$10,"&gt;0")+1))</f>
        <v>3</v>
      </c>
      <c r="H44" s="11" t="n">
        <f aca="false">MIN(H35,IF(COUNTIF($K$11:$Q$11,"&gt;0")=0,99,_xlfn.MINIFS($B$35:$H$35,$K$11:$Q$11,"&gt;0")+1))</f>
        <v>1</v>
      </c>
    </row>
    <row r="45" customFormat="false" ht="15" hidden="false" customHeight="false" outlineLevel="0" collapsed="false">
      <c r="A45" s="7" t="str">
        <f aca="false">INDEX(Comps,4)</f>
        <v>IND</v>
      </c>
      <c r="B45" s="11" t="n">
        <f aca="false">MIN(B36,IF(COUNTIF($K$5:$Q$5,"&gt;0")=0,99,_xlfn.MINIFS($B$36:$H$36,$K$5:$Q$5,"&gt;0")+1))</f>
        <v>99</v>
      </c>
      <c r="C45" s="11" t="n">
        <f aca="false">MIN(C36,IF(COUNTIF($K$6:$Q$6,"&gt;0")=0,99,_xlfn.MINIFS($B$36:$H$36,$K$6:$Q$6,"&gt;0")+1))</f>
        <v>99</v>
      </c>
      <c r="D45" s="11" t="n">
        <f aca="false">MIN(D36,IF(COUNTIF($K$7:$Q$7,"&gt;0")=0,99,_xlfn.MINIFS($B$36:$H$36,$K$7:$Q$7,"&gt;0")+1))</f>
        <v>99</v>
      </c>
      <c r="E45" s="11" t="n">
        <f aca="false">MIN(E36,IF(COUNTIF($K$8:$Q$8,"&gt;0")=0,99,_xlfn.MINIFS($B$36:$H$36,$K$8:$Q$8,"&gt;0")+1))</f>
        <v>0</v>
      </c>
      <c r="F45" s="11" t="n">
        <f aca="false">MIN(F36,IF(COUNTIF($K$9:$Q$9,"&gt;0")=0,99,_xlfn.MINIFS($B$36:$H$36,$K$9:$Q$9,"&gt;0")+1))</f>
        <v>2</v>
      </c>
      <c r="G45" s="11" t="n">
        <f aca="false">MIN(G36,IF(COUNTIF($K$10:$Q$10,"&gt;0")=0,99,_xlfn.MINIFS($B$36:$H$36,$K$10:$Q$10,"&gt;0")+1))</f>
        <v>1</v>
      </c>
      <c r="H45" s="11" t="n">
        <f aca="false">MIN(H36,IF(COUNTIF($K$11:$Q$11,"&gt;0")=0,99,_xlfn.MINIFS($B$36:$H$36,$K$11:$Q$11,"&gt;0")+1))</f>
        <v>1</v>
      </c>
    </row>
    <row r="46" customFormat="false" ht="15" hidden="false" customHeight="false" outlineLevel="0" collapsed="false">
      <c r="A46" s="7" t="str">
        <f aca="false">INDEX(Comps,5)</f>
        <v>DIG</v>
      </c>
      <c r="B46" s="11" t="n">
        <f aca="false">MIN(B37,IF(COUNTIF($K$5:$Q$5,"&gt;0")=0,99,_xlfn.MINIFS($B$37:$H$37,$K$5:$Q$5,"&gt;0")+1))</f>
        <v>99</v>
      </c>
      <c r="C46" s="11" t="n">
        <f aca="false">MIN(C37,IF(COUNTIF($K$6:$Q$6,"&gt;0")=0,99,_xlfn.MINIFS($B$37:$H$37,$K$6:$Q$6,"&gt;0")+1))</f>
        <v>99</v>
      </c>
      <c r="D46" s="11" t="n">
        <f aca="false">MIN(D37,IF(COUNTIF($K$7:$Q$7,"&gt;0")=0,99,_xlfn.MINIFS($B$37:$H$37,$K$7:$Q$7,"&gt;0")+1))</f>
        <v>99</v>
      </c>
      <c r="E46" s="11" t="n">
        <f aca="false">MIN(E37,IF(COUNTIF($K$8:$Q$8,"&gt;0")=0,99,_xlfn.MINIFS($B$37:$H$37,$K$8:$Q$8,"&gt;0")+1))</f>
        <v>2</v>
      </c>
      <c r="F46" s="11" t="n">
        <f aca="false">MIN(F37,IF(COUNTIF($K$9:$Q$9,"&gt;0")=0,99,_xlfn.MINIFS($B$37:$H$37,$K$9:$Q$9,"&gt;0")+1))</f>
        <v>0</v>
      </c>
      <c r="G46" s="11" t="n">
        <f aca="false">MIN(G37,IF(COUNTIF($K$10:$Q$10,"&gt;0")=0,99,_xlfn.MINIFS($B$37:$H$37,$K$10:$Q$10,"&gt;0")+1))</f>
        <v>1</v>
      </c>
      <c r="H46" s="11" t="n">
        <f aca="false">MIN(H37,IF(COUNTIF($K$11:$Q$11,"&gt;0")=0,99,_xlfn.MINIFS($B$37:$H$37,$K$11:$Q$11,"&gt;0")+1))</f>
        <v>1</v>
      </c>
    </row>
    <row r="47" customFormat="false" ht="15" hidden="false" customHeight="false" outlineLevel="0" collapsed="false">
      <c r="A47" s="7" t="str">
        <f aca="false">INDEX(Comps,6)</f>
        <v>ENG</v>
      </c>
      <c r="B47" s="11" t="n">
        <f aca="false">MIN(B38,IF(COUNTIF($K$5:$Q$5,"&gt;0")=0,99,_xlfn.MINIFS($B$38:$H$38,$K$5:$Q$5,"&gt;0")+1))</f>
        <v>99</v>
      </c>
      <c r="C47" s="11" t="n">
        <f aca="false">MIN(C38,IF(COUNTIF($K$6:$Q$6,"&gt;0")=0,99,_xlfn.MINIFS($B$38:$H$38,$K$6:$Q$6,"&gt;0")+1))</f>
        <v>99</v>
      </c>
      <c r="D47" s="11" t="n">
        <f aca="false">MIN(D38,IF(COUNTIF($K$7:$Q$7,"&gt;0")=0,99,_xlfn.MINIFS($B$38:$H$38,$K$7:$Q$7,"&gt;0")+1))</f>
        <v>99</v>
      </c>
      <c r="E47" s="11" t="n">
        <f aca="false">MIN(E38,IF(COUNTIF($K$8:$Q$8,"&gt;0")=0,99,_xlfn.MINIFS($B$38:$H$38,$K$8:$Q$8,"&gt;0")+1))</f>
        <v>1</v>
      </c>
      <c r="F47" s="11" t="n">
        <f aca="false">MIN(F38,IF(COUNTIF($K$9:$Q$9,"&gt;0")=0,99,_xlfn.MINIFS($B$38:$H$38,$K$9:$Q$9,"&gt;0")+1))</f>
        <v>1</v>
      </c>
      <c r="G47" s="11" t="n">
        <f aca="false">MIN(G38,IF(COUNTIF($K$10:$Q$10,"&gt;0")=0,99,_xlfn.MINIFS($B$38:$H$38,$K$10:$Q$10,"&gt;0")+1))</f>
        <v>0</v>
      </c>
      <c r="H47" s="11" t="n">
        <f aca="false">MIN(H38,IF(COUNTIF($K$11:$Q$11,"&gt;0")=0,99,_xlfn.MINIFS($B$38:$H$38,$K$11:$Q$11,"&gt;0")+1))</f>
        <v>2</v>
      </c>
    </row>
    <row r="48" customFormat="false" ht="15" hidden="false" customHeight="false" outlineLevel="0" collapsed="false">
      <c r="A48" s="7" t="str">
        <f aca="false">INDEX(Comps,7)</f>
        <v>TRS</v>
      </c>
      <c r="B48" s="11" t="n">
        <f aca="false">MIN(B39,IF(COUNTIF($K$5:$Q$5,"&gt;0")=0,99,_xlfn.MINIFS($B$39:$H$39,$K$5:$Q$5,"&gt;0")+1))</f>
        <v>99</v>
      </c>
      <c r="C48" s="11" t="n">
        <f aca="false">MIN(C39,IF(COUNTIF($K$6:$Q$6,"&gt;0")=0,99,_xlfn.MINIFS($B$39:$H$39,$K$6:$Q$6,"&gt;0")+1))</f>
        <v>99</v>
      </c>
      <c r="D48" s="11" t="n">
        <f aca="false">MIN(D39,IF(COUNTIF($K$7:$Q$7,"&gt;0")=0,99,_xlfn.MINIFS($B$39:$H$39,$K$7:$Q$7,"&gt;0")+1))</f>
        <v>99</v>
      </c>
      <c r="E48" s="11" t="n">
        <f aca="false">MIN(E39,IF(COUNTIF($K$8:$Q$8,"&gt;0")=0,99,_xlfn.MINIFS($B$39:$H$39,$K$8:$Q$8,"&gt;0")+1))</f>
        <v>1</v>
      </c>
      <c r="F48" s="11" t="n">
        <f aca="false">MIN(F39,IF(COUNTIF($K$9:$Q$9,"&gt;0")=0,99,_xlfn.MINIFS($B$39:$H$39,$K$9:$Q$9,"&gt;0")+1))</f>
        <v>1</v>
      </c>
      <c r="G48" s="11" t="n">
        <f aca="false">MIN(G39,IF(COUNTIF($K$10:$Q$10,"&gt;0")=0,99,_xlfn.MINIFS($B$39:$H$39,$K$10:$Q$10,"&gt;0")+1))</f>
        <v>2</v>
      </c>
      <c r="H48" s="11" t="n">
        <f aca="false">MIN(H39,IF(COUNTIF($K$11:$Q$11,"&gt;0")=0,99,_xlfn.MINIFS($B$39:$H$39,$K$11:$Q$11,"&gt;0")+1))</f>
        <v>0</v>
      </c>
    </row>
    <row r="50" customFormat="false" ht="15" hidden="false" customHeight="false" outlineLevel="0" collapsed="false">
      <c r="A50" s="8" t="s">
        <v>281</v>
      </c>
      <c r="B50" s="24" t="str">
        <f aca="false">INDEX(Comps,1)</f>
        <v>MKT</v>
      </c>
      <c r="C50" s="24" t="str">
        <f aca="false">INDEX(Comps,2)</f>
        <v>GOV</v>
      </c>
      <c r="D50" s="24" t="str">
        <f aca="false">INDEX(Comps,3)</f>
        <v>MAT</v>
      </c>
      <c r="E50" s="24" t="str">
        <f aca="false">INDEX(Comps,4)</f>
        <v>IND</v>
      </c>
      <c r="F50" s="24" t="str">
        <f aca="false">INDEX(Comps,5)</f>
        <v>DIG</v>
      </c>
      <c r="G50" s="24" t="str">
        <f aca="false">INDEX(Comps,6)</f>
        <v>ENG</v>
      </c>
      <c r="H50" s="24" t="str">
        <f aca="false">INDEX(Comps,7)</f>
        <v>TRS</v>
      </c>
    </row>
    <row r="51" customFormat="false" ht="15" hidden="false" customHeight="false" outlineLevel="0" collapsed="false">
      <c r="A51" s="7" t="str">
        <f aca="false">INDEX(Comps,1)</f>
        <v>MKT</v>
      </c>
      <c r="B51" s="11" t="n">
        <f aca="false">MIN(B42,IF(COUNTIF($K$5:$Q$5,"&gt;0")=0,99,_xlfn.MINIFS($B$42:$H$42,$K$5:$Q$5,"&gt;0")+1))</f>
        <v>0</v>
      </c>
      <c r="C51" s="11" t="n">
        <f aca="false">MIN(C42,IF(COUNTIF($K$6:$Q$6,"&gt;0")=0,99,_xlfn.MINIFS($B$42:$H$42,$K$6:$Q$6,"&gt;0")+1))</f>
        <v>99</v>
      </c>
      <c r="D51" s="11" t="n">
        <f aca="false">MIN(D42,IF(COUNTIF($K$7:$Q$7,"&gt;0")=0,99,_xlfn.MINIFS($B$42:$H$42,$K$7:$Q$7,"&gt;0")+1))</f>
        <v>1</v>
      </c>
      <c r="E51" s="11" t="n">
        <f aca="false">MIN(E42,IF(COUNTIF($K$8:$Q$8,"&gt;0")=0,99,_xlfn.MINIFS($B$42:$H$42,$K$8:$Q$8,"&gt;0")+1))</f>
        <v>1</v>
      </c>
      <c r="F51" s="11" t="n">
        <f aca="false">MIN(F42,IF(COUNTIF($K$9:$Q$9,"&gt;0")=0,99,_xlfn.MINIFS($B$42:$H$42,$K$9:$Q$9,"&gt;0")+1))</f>
        <v>1</v>
      </c>
      <c r="G51" s="11" t="n">
        <f aca="false">MIN(G42,IF(COUNTIF($K$10:$Q$10,"&gt;0")=0,99,_xlfn.MINIFS($B$42:$H$42,$K$10:$Q$10,"&gt;0")+1))</f>
        <v>2</v>
      </c>
      <c r="H51" s="11" t="n">
        <f aca="false">MIN(H42,IF(COUNTIF($K$11:$Q$11,"&gt;0")=0,99,_xlfn.MINIFS($B$42:$H$42,$K$11:$Q$11,"&gt;0")+1))</f>
        <v>2</v>
      </c>
    </row>
    <row r="52" customFormat="false" ht="15" hidden="false" customHeight="false" outlineLevel="0" collapsed="false">
      <c r="A52" s="7" t="str">
        <f aca="false">INDEX(Comps,2)</f>
        <v>GOV</v>
      </c>
      <c r="B52" s="11" t="n">
        <f aca="false">MIN(B43,IF(COUNTIF($K$5:$Q$5,"&gt;0")=0,99,_xlfn.MINIFS($B$43:$H$43,$K$5:$Q$5,"&gt;0")+1))</f>
        <v>99</v>
      </c>
      <c r="C52" s="11" t="n">
        <f aca="false">MIN(C43,IF(COUNTIF($K$6:$Q$6,"&gt;0")=0,99,_xlfn.MINIFS($B$43:$H$43,$K$6:$Q$6,"&gt;0")+1))</f>
        <v>0</v>
      </c>
      <c r="D52" s="11" t="n">
        <f aca="false">MIN(D43,IF(COUNTIF($K$7:$Q$7,"&gt;0")=0,99,_xlfn.MINIFS($B$43:$H$43,$K$7:$Q$7,"&gt;0")+1))</f>
        <v>99</v>
      </c>
      <c r="E52" s="11" t="n">
        <f aca="false">MIN(E43,IF(COUNTIF($K$8:$Q$8,"&gt;0")=0,99,_xlfn.MINIFS($B$43:$H$43,$K$8:$Q$8,"&gt;0")+1))</f>
        <v>2</v>
      </c>
      <c r="F52" s="11" t="n">
        <f aca="false">MIN(F43,IF(COUNTIF($K$9:$Q$9,"&gt;0")=0,99,_xlfn.MINIFS($B$43:$H$43,$K$9:$Q$9,"&gt;0")+1))</f>
        <v>1</v>
      </c>
      <c r="G52" s="11" t="n">
        <f aca="false">MIN(G43,IF(COUNTIF($K$10:$Q$10,"&gt;0")=0,99,_xlfn.MINIFS($B$43:$H$43,$K$10:$Q$10,"&gt;0")+1))</f>
        <v>2</v>
      </c>
      <c r="H52" s="11" t="n">
        <f aca="false">MIN(H43,IF(COUNTIF($K$11:$Q$11,"&gt;0")=0,99,_xlfn.MINIFS($B$43:$H$43,$K$11:$Q$11,"&gt;0")+1))</f>
        <v>1</v>
      </c>
    </row>
    <row r="53" customFormat="false" ht="15" hidden="false" customHeight="false" outlineLevel="0" collapsed="false">
      <c r="A53" s="7" t="str">
        <f aca="false">INDEX(Comps,3)</f>
        <v>MAT</v>
      </c>
      <c r="B53" s="11" t="n">
        <f aca="false">MIN(B44,IF(COUNTIF($K$5:$Q$5,"&gt;0")=0,99,_xlfn.MINIFS($B$44:$H$44,$K$5:$Q$5,"&gt;0")+1))</f>
        <v>99</v>
      </c>
      <c r="C53" s="11" t="n">
        <f aca="false">MIN(C44,IF(COUNTIF($K$6:$Q$6,"&gt;0")=0,99,_xlfn.MINIFS($B$44:$H$44,$K$6:$Q$6,"&gt;0")+1))</f>
        <v>99</v>
      </c>
      <c r="D53" s="11" t="n">
        <f aca="false">MIN(D44,IF(COUNTIF($K$7:$Q$7,"&gt;0")=0,99,_xlfn.MINIFS($B$44:$H$44,$K$7:$Q$7,"&gt;0")+1))</f>
        <v>0</v>
      </c>
      <c r="E53" s="11" t="n">
        <f aca="false">MIN(E44,IF(COUNTIF($K$8:$Q$8,"&gt;0")=0,99,_xlfn.MINIFS($B$44:$H$44,$K$8:$Q$8,"&gt;0")+1))</f>
        <v>2</v>
      </c>
      <c r="F53" s="11" t="n">
        <f aca="false">MIN(F44,IF(COUNTIF($K$9:$Q$9,"&gt;0")=0,99,_xlfn.MINIFS($B$44:$H$44,$K$9:$Q$9,"&gt;0")+1))</f>
        <v>2</v>
      </c>
      <c r="G53" s="11" t="n">
        <f aca="false">MIN(G44,IF(COUNTIF($K$10:$Q$10,"&gt;0")=0,99,_xlfn.MINIFS($B$44:$H$44,$K$10:$Q$10,"&gt;0")+1))</f>
        <v>3</v>
      </c>
      <c r="H53" s="11" t="n">
        <f aca="false">MIN(H44,IF(COUNTIF($K$11:$Q$11,"&gt;0")=0,99,_xlfn.MINIFS($B$44:$H$44,$K$11:$Q$11,"&gt;0")+1))</f>
        <v>1</v>
      </c>
    </row>
    <row r="54" customFormat="false" ht="15" hidden="false" customHeight="false" outlineLevel="0" collapsed="false">
      <c r="A54" s="7" t="str">
        <f aca="false">INDEX(Comps,4)</f>
        <v>IND</v>
      </c>
      <c r="B54" s="11" t="n">
        <f aca="false">MIN(B45,IF(COUNTIF($K$5:$Q$5,"&gt;0")=0,99,_xlfn.MINIFS($B$45:$H$45,$K$5:$Q$5,"&gt;0")+1))</f>
        <v>99</v>
      </c>
      <c r="C54" s="11" t="n">
        <f aca="false">MIN(C45,IF(COUNTIF($K$6:$Q$6,"&gt;0")=0,99,_xlfn.MINIFS($B$45:$H$45,$K$6:$Q$6,"&gt;0")+1))</f>
        <v>99</v>
      </c>
      <c r="D54" s="11" t="n">
        <f aca="false">MIN(D45,IF(COUNTIF($K$7:$Q$7,"&gt;0")=0,99,_xlfn.MINIFS($B$45:$H$45,$K$7:$Q$7,"&gt;0")+1))</f>
        <v>99</v>
      </c>
      <c r="E54" s="11" t="n">
        <f aca="false">MIN(E45,IF(COUNTIF($K$8:$Q$8,"&gt;0")=0,99,_xlfn.MINIFS($B$45:$H$45,$K$8:$Q$8,"&gt;0")+1))</f>
        <v>0</v>
      </c>
      <c r="F54" s="11" t="n">
        <f aca="false">MIN(F45,IF(COUNTIF($K$9:$Q$9,"&gt;0")=0,99,_xlfn.MINIFS($B$45:$H$45,$K$9:$Q$9,"&gt;0")+1))</f>
        <v>2</v>
      </c>
      <c r="G54" s="11" t="n">
        <f aca="false">MIN(G45,IF(COUNTIF($K$10:$Q$10,"&gt;0")=0,99,_xlfn.MINIFS($B$45:$H$45,$K$10:$Q$10,"&gt;0")+1))</f>
        <v>1</v>
      </c>
      <c r="H54" s="11" t="n">
        <f aca="false">MIN(H45,IF(COUNTIF($K$11:$Q$11,"&gt;0")=0,99,_xlfn.MINIFS($B$45:$H$45,$K$11:$Q$11,"&gt;0")+1))</f>
        <v>1</v>
      </c>
    </row>
    <row r="55" customFormat="false" ht="15" hidden="false" customHeight="false" outlineLevel="0" collapsed="false">
      <c r="A55" s="7" t="str">
        <f aca="false">INDEX(Comps,5)</f>
        <v>DIG</v>
      </c>
      <c r="B55" s="11" t="n">
        <f aca="false">MIN(B46,IF(COUNTIF($K$5:$Q$5,"&gt;0")=0,99,_xlfn.MINIFS($B$46:$H$46,$K$5:$Q$5,"&gt;0")+1))</f>
        <v>99</v>
      </c>
      <c r="C55" s="11" t="n">
        <f aca="false">MIN(C46,IF(COUNTIF($K$6:$Q$6,"&gt;0")=0,99,_xlfn.MINIFS($B$46:$H$46,$K$6:$Q$6,"&gt;0")+1))</f>
        <v>99</v>
      </c>
      <c r="D55" s="11" t="n">
        <f aca="false">MIN(D46,IF(COUNTIF($K$7:$Q$7,"&gt;0")=0,99,_xlfn.MINIFS($B$46:$H$46,$K$7:$Q$7,"&gt;0")+1))</f>
        <v>99</v>
      </c>
      <c r="E55" s="11" t="n">
        <f aca="false">MIN(E46,IF(COUNTIF($K$8:$Q$8,"&gt;0")=0,99,_xlfn.MINIFS($B$46:$H$46,$K$8:$Q$8,"&gt;0")+1))</f>
        <v>2</v>
      </c>
      <c r="F55" s="11" t="n">
        <f aca="false">MIN(F46,IF(COUNTIF($K$9:$Q$9,"&gt;0")=0,99,_xlfn.MINIFS($B$46:$H$46,$K$9:$Q$9,"&gt;0")+1))</f>
        <v>0</v>
      </c>
      <c r="G55" s="11" t="n">
        <f aca="false">MIN(G46,IF(COUNTIF($K$10:$Q$10,"&gt;0")=0,99,_xlfn.MINIFS($B$46:$H$46,$K$10:$Q$10,"&gt;0")+1))</f>
        <v>1</v>
      </c>
      <c r="H55" s="11" t="n">
        <f aca="false">MIN(H46,IF(COUNTIF($K$11:$Q$11,"&gt;0")=0,99,_xlfn.MINIFS($B$46:$H$46,$K$11:$Q$11,"&gt;0")+1))</f>
        <v>1</v>
      </c>
    </row>
    <row r="56" customFormat="false" ht="15" hidden="false" customHeight="false" outlineLevel="0" collapsed="false">
      <c r="A56" s="7" t="str">
        <f aca="false">INDEX(Comps,6)</f>
        <v>ENG</v>
      </c>
      <c r="B56" s="11" t="n">
        <f aca="false">MIN(B47,IF(COUNTIF($K$5:$Q$5,"&gt;0")=0,99,_xlfn.MINIFS($B$47:$H$47,$K$5:$Q$5,"&gt;0")+1))</f>
        <v>99</v>
      </c>
      <c r="C56" s="11" t="n">
        <f aca="false">MIN(C47,IF(COUNTIF($K$6:$Q$6,"&gt;0")=0,99,_xlfn.MINIFS($B$47:$H$47,$K$6:$Q$6,"&gt;0")+1))</f>
        <v>99</v>
      </c>
      <c r="D56" s="11" t="n">
        <f aca="false">MIN(D47,IF(COUNTIF($K$7:$Q$7,"&gt;0")=0,99,_xlfn.MINIFS($B$47:$H$47,$K$7:$Q$7,"&gt;0")+1))</f>
        <v>99</v>
      </c>
      <c r="E56" s="11" t="n">
        <f aca="false">MIN(E47,IF(COUNTIF($K$8:$Q$8,"&gt;0")=0,99,_xlfn.MINIFS($B$47:$H$47,$K$8:$Q$8,"&gt;0")+1))</f>
        <v>1</v>
      </c>
      <c r="F56" s="11" t="n">
        <f aca="false">MIN(F47,IF(COUNTIF($K$9:$Q$9,"&gt;0")=0,99,_xlfn.MINIFS($B$47:$H$47,$K$9:$Q$9,"&gt;0")+1))</f>
        <v>1</v>
      </c>
      <c r="G56" s="11" t="n">
        <f aca="false">MIN(G47,IF(COUNTIF($K$10:$Q$10,"&gt;0")=0,99,_xlfn.MINIFS($B$47:$H$47,$K$10:$Q$10,"&gt;0")+1))</f>
        <v>0</v>
      </c>
      <c r="H56" s="11" t="n">
        <f aca="false">MIN(H47,IF(COUNTIF($K$11:$Q$11,"&gt;0")=0,99,_xlfn.MINIFS($B$47:$H$47,$K$11:$Q$11,"&gt;0")+1))</f>
        <v>2</v>
      </c>
    </row>
    <row r="57" customFormat="false" ht="15" hidden="false" customHeight="false" outlineLevel="0" collapsed="false">
      <c r="A57" s="7" t="str">
        <f aca="false">INDEX(Comps,7)</f>
        <v>TRS</v>
      </c>
      <c r="B57" s="11" t="n">
        <f aca="false">MIN(B48,IF(COUNTIF($K$5:$Q$5,"&gt;0")=0,99,_xlfn.MINIFS($B$48:$H$48,$K$5:$Q$5,"&gt;0")+1))</f>
        <v>99</v>
      </c>
      <c r="C57" s="11" t="n">
        <f aca="false">MIN(C48,IF(COUNTIF($K$6:$Q$6,"&gt;0")=0,99,_xlfn.MINIFS($B$48:$H$48,$K$6:$Q$6,"&gt;0")+1))</f>
        <v>99</v>
      </c>
      <c r="D57" s="11" t="n">
        <f aca="false">MIN(D48,IF(COUNTIF($K$7:$Q$7,"&gt;0")=0,99,_xlfn.MINIFS($B$48:$H$48,$K$7:$Q$7,"&gt;0")+1))</f>
        <v>99</v>
      </c>
      <c r="E57" s="11" t="n">
        <f aca="false">MIN(E48,IF(COUNTIF($K$8:$Q$8,"&gt;0")=0,99,_xlfn.MINIFS($B$48:$H$48,$K$8:$Q$8,"&gt;0")+1))</f>
        <v>1</v>
      </c>
      <c r="F57" s="11" t="n">
        <f aca="false">MIN(F48,IF(COUNTIF($K$9:$Q$9,"&gt;0")=0,99,_xlfn.MINIFS($B$48:$H$48,$K$9:$Q$9,"&gt;0")+1))</f>
        <v>1</v>
      </c>
      <c r="G57" s="11" t="n">
        <f aca="false">MIN(G48,IF(COUNTIF($K$10:$Q$10,"&gt;0")=0,99,_xlfn.MINIFS($B$48:$H$48,$K$10:$Q$10,"&gt;0")+1))</f>
        <v>2</v>
      </c>
      <c r="H57" s="11" t="n">
        <f aca="false">MIN(H48,IF(COUNTIF($K$11:$Q$11,"&gt;0")=0,99,_xlfn.MINIFS($B$48:$H$48,$K$11:$Q$11,"&gt;0")+1))</f>
        <v>0</v>
      </c>
    </row>
    <row r="59" customFormat="false" ht="15" hidden="false" customHeight="false" outlineLevel="0" collapsed="false">
      <c r="A59" s="8" t="s">
        <v>282</v>
      </c>
      <c r="B59" s="24" t="str">
        <f aca="false">INDEX(Comps,1)</f>
        <v>MKT</v>
      </c>
      <c r="C59" s="24" t="str">
        <f aca="false">INDEX(Comps,2)</f>
        <v>GOV</v>
      </c>
      <c r="D59" s="24" t="str">
        <f aca="false">INDEX(Comps,3)</f>
        <v>MAT</v>
      </c>
      <c r="E59" s="24" t="str">
        <f aca="false">INDEX(Comps,4)</f>
        <v>IND</v>
      </c>
      <c r="F59" s="24" t="str">
        <f aca="false">INDEX(Comps,5)</f>
        <v>DIG</v>
      </c>
      <c r="G59" s="24" t="str">
        <f aca="false">INDEX(Comps,6)</f>
        <v>ENG</v>
      </c>
      <c r="H59" s="24" t="str">
        <f aca="false">INDEX(Comps,7)</f>
        <v>TRS</v>
      </c>
    </row>
    <row r="60" customFormat="false" ht="15" hidden="false" customHeight="false" outlineLevel="0" collapsed="false">
      <c r="A60" s="7" t="str">
        <f aca="false">INDEX(Comps,1)</f>
        <v>MKT</v>
      </c>
      <c r="B60" s="11" t="n">
        <f aca="false">MIN(B51,IF(COUNTIF($K$5:$Q$5,"&gt;0")=0,99,_xlfn.MINIFS($B$51:$H$51,$K$5:$Q$5,"&gt;0")+1))</f>
        <v>0</v>
      </c>
      <c r="C60" s="11" t="n">
        <f aca="false">MIN(C51,IF(COUNTIF($K$6:$Q$6,"&gt;0")=0,99,_xlfn.MINIFS($B$51:$H$51,$K$6:$Q$6,"&gt;0")+1))</f>
        <v>99</v>
      </c>
      <c r="D60" s="11" t="n">
        <f aca="false">MIN(D51,IF(COUNTIF($K$7:$Q$7,"&gt;0")=0,99,_xlfn.MINIFS($B$51:$H$51,$K$7:$Q$7,"&gt;0")+1))</f>
        <v>1</v>
      </c>
      <c r="E60" s="11" t="n">
        <f aca="false">MIN(E51,IF(COUNTIF($K$8:$Q$8,"&gt;0")=0,99,_xlfn.MINIFS($B$51:$H$51,$K$8:$Q$8,"&gt;0")+1))</f>
        <v>1</v>
      </c>
      <c r="F60" s="11" t="n">
        <f aca="false">MIN(F51,IF(COUNTIF($K$9:$Q$9,"&gt;0")=0,99,_xlfn.MINIFS($B$51:$H$51,$K$9:$Q$9,"&gt;0")+1))</f>
        <v>1</v>
      </c>
      <c r="G60" s="11" t="n">
        <f aca="false">MIN(G51,IF(COUNTIF($K$10:$Q$10,"&gt;0")=0,99,_xlfn.MINIFS($B$51:$H$51,$K$10:$Q$10,"&gt;0")+1))</f>
        <v>2</v>
      </c>
      <c r="H60" s="11" t="n">
        <f aca="false">MIN(H51,IF(COUNTIF($K$11:$Q$11,"&gt;0")=0,99,_xlfn.MINIFS($B$51:$H$51,$K$11:$Q$11,"&gt;0")+1))</f>
        <v>2</v>
      </c>
    </row>
    <row r="61" customFormat="false" ht="15" hidden="false" customHeight="false" outlineLevel="0" collapsed="false">
      <c r="A61" s="7" t="str">
        <f aca="false">INDEX(Comps,2)</f>
        <v>GOV</v>
      </c>
      <c r="B61" s="11" t="n">
        <f aca="false">MIN(B52,IF(COUNTIF($K$5:$Q$5,"&gt;0")=0,99,_xlfn.MINIFS($B$52:$H$52,$K$5:$Q$5,"&gt;0")+1))</f>
        <v>99</v>
      </c>
      <c r="C61" s="11" t="n">
        <f aca="false">MIN(C52,IF(COUNTIF($K$6:$Q$6,"&gt;0")=0,99,_xlfn.MINIFS($B$52:$H$52,$K$6:$Q$6,"&gt;0")+1))</f>
        <v>0</v>
      </c>
      <c r="D61" s="11" t="n">
        <f aca="false">MIN(D52,IF(COUNTIF($K$7:$Q$7,"&gt;0")=0,99,_xlfn.MINIFS($B$52:$H$52,$K$7:$Q$7,"&gt;0")+1))</f>
        <v>99</v>
      </c>
      <c r="E61" s="11" t="n">
        <f aca="false">MIN(E52,IF(COUNTIF($K$8:$Q$8,"&gt;0")=0,99,_xlfn.MINIFS($B$52:$H$52,$K$8:$Q$8,"&gt;0")+1))</f>
        <v>2</v>
      </c>
      <c r="F61" s="11" t="n">
        <f aca="false">MIN(F52,IF(COUNTIF($K$9:$Q$9,"&gt;0")=0,99,_xlfn.MINIFS($B$52:$H$52,$K$9:$Q$9,"&gt;0")+1))</f>
        <v>1</v>
      </c>
      <c r="G61" s="11" t="n">
        <f aca="false">MIN(G52,IF(COUNTIF($K$10:$Q$10,"&gt;0")=0,99,_xlfn.MINIFS($B$52:$H$52,$K$10:$Q$10,"&gt;0")+1))</f>
        <v>2</v>
      </c>
      <c r="H61" s="11" t="n">
        <f aca="false">MIN(H52,IF(COUNTIF($K$11:$Q$11,"&gt;0")=0,99,_xlfn.MINIFS($B$52:$H$52,$K$11:$Q$11,"&gt;0")+1))</f>
        <v>1</v>
      </c>
    </row>
    <row r="62" customFormat="false" ht="15" hidden="false" customHeight="false" outlineLevel="0" collapsed="false">
      <c r="A62" s="7" t="str">
        <f aca="false">INDEX(Comps,3)</f>
        <v>MAT</v>
      </c>
      <c r="B62" s="11" t="n">
        <f aca="false">MIN(B53,IF(COUNTIF($K$5:$Q$5,"&gt;0")=0,99,_xlfn.MINIFS($B$53:$H$53,$K$5:$Q$5,"&gt;0")+1))</f>
        <v>99</v>
      </c>
      <c r="C62" s="11" t="n">
        <f aca="false">MIN(C53,IF(COUNTIF($K$6:$Q$6,"&gt;0")=0,99,_xlfn.MINIFS($B$53:$H$53,$K$6:$Q$6,"&gt;0")+1))</f>
        <v>99</v>
      </c>
      <c r="D62" s="11" t="n">
        <f aca="false">MIN(D53,IF(COUNTIF($K$7:$Q$7,"&gt;0")=0,99,_xlfn.MINIFS($B$53:$H$53,$K$7:$Q$7,"&gt;0")+1))</f>
        <v>0</v>
      </c>
      <c r="E62" s="11" t="n">
        <f aca="false">MIN(E53,IF(COUNTIF($K$8:$Q$8,"&gt;0")=0,99,_xlfn.MINIFS($B$53:$H$53,$K$8:$Q$8,"&gt;0")+1))</f>
        <v>2</v>
      </c>
      <c r="F62" s="11" t="n">
        <f aca="false">MIN(F53,IF(COUNTIF($K$9:$Q$9,"&gt;0")=0,99,_xlfn.MINIFS($B$53:$H$53,$K$9:$Q$9,"&gt;0")+1))</f>
        <v>2</v>
      </c>
      <c r="G62" s="11" t="n">
        <f aca="false">MIN(G53,IF(COUNTIF($K$10:$Q$10,"&gt;0")=0,99,_xlfn.MINIFS($B$53:$H$53,$K$10:$Q$10,"&gt;0")+1))</f>
        <v>3</v>
      </c>
      <c r="H62" s="11" t="n">
        <f aca="false">MIN(H53,IF(COUNTIF($K$11:$Q$11,"&gt;0")=0,99,_xlfn.MINIFS($B$53:$H$53,$K$11:$Q$11,"&gt;0")+1))</f>
        <v>1</v>
      </c>
    </row>
    <row r="63" customFormat="false" ht="15" hidden="false" customHeight="false" outlineLevel="0" collapsed="false">
      <c r="A63" s="7" t="str">
        <f aca="false">INDEX(Comps,4)</f>
        <v>IND</v>
      </c>
      <c r="B63" s="11" t="n">
        <f aca="false">MIN(B54,IF(COUNTIF($K$5:$Q$5,"&gt;0")=0,99,_xlfn.MINIFS($B$54:$H$54,$K$5:$Q$5,"&gt;0")+1))</f>
        <v>99</v>
      </c>
      <c r="C63" s="11" t="n">
        <f aca="false">MIN(C54,IF(COUNTIF($K$6:$Q$6,"&gt;0")=0,99,_xlfn.MINIFS($B$54:$H$54,$K$6:$Q$6,"&gt;0")+1))</f>
        <v>99</v>
      </c>
      <c r="D63" s="11" t="n">
        <f aca="false">MIN(D54,IF(COUNTIF($K$7:$Q$7,"&gt;0")=0,99,_xlfn.MINIFS($B$54:$H$54,$K$7:$Q$7,"&gt;0")+1))</f>
        <v>99</v>
      </c>
      <c r="E63" s="11" t="n">
        <f aca="false">MIN(E54,IF(COUNTIF($K$8:$Q$8,"&gt;0")=0,99,_xlfn.MINIFS($B$54:$H$54,$K$8:$Q$8,"&gt;0")+1))</f>
        <v>0</v>
      </c>
      <c r="F63" s="11" t="n">
        <f aca="false">MIN(F54,IF(COUNTIF($K$9:$Q$9,"&gt;0")=0,99,_xlfn.MINIFS($B$54:$H$54,$K$9:$Q$9,"&gt;0")+1))</f>
        <v>2</v>
      </c>
      <c r="G63" s="11" t="n">
        <f aca="false">MIN(G54,IF(COUNTIF($K$10:$Q$10,"&gt;0")=0,99,_xlfn.MINIFS($B$54:$H$54,$K$10:$Q$10,"&gt;0")+1))</f>
        <v>1</v>
      </c>
      <c r="H63" s="11" t="n">
        <f aca="false">MIN(H54,IF(COUNTIF($K$11:$Q$11,"&gt;0")=0,99,_xlfn.MINIFS($B$54:$H$54,$K$11:$Q$11,"&gt;0")+1))</f>
        <v>1</v>
      </c>
    </row>
    <row r="64" customFormat="false" ht="15" hidden="false" customHeight="false" outlineLevel="0" collapsed="false">
      <c r="A64" s="7" t="str">
        <f aca="false">INDEX(Comps,5)</f>
        <v>DIG</v>
      </c>
      <c r="B64" s="11" t="n">
        <f aca="false">MIN(B55,IF(COUNTIF($K$5:$Q$5,"&gt;0")=0,99,_xlfn.MINIFS($B$55:$H$55,$K$5:$Q$5,"&gt;0")+1))</f>
        <v>99</v>
      </c>
      <c r="C64" s="11" t="n">
        <f aca="false">MIN(C55,IF(COUNTIF($K$6:$Q$6,"&gt;0")=0,99,_xlfn.MINIFS($B$55:$H$55,$K$6:$Q$6,"&gt;0")+1))</f>
        <v>99</v>
      </c>
      <c r="D64" s="11" t="n">
        <f aca="false">MIN(D55,IF(COUNTIF($K$7:$Q$7,"&gt;0")=0,99,_xlfn.MINIFS($B$55:$H$55,$K$7:$Q$7,"&gt;0")+1))</f>
        <v>99</v>
      </c>
      <c r="E64" s="11" t="n">
        <f aca="false">MIN(E55,IF(COUNTIF($K$8:$Q$8,"&gt;0")=0,99,_xlfn.MINIFS($B$55:$H$55,$K$8:$Q$8,"&gt;0")+1))</f>
        <v>2</v>
      </c>
      <c r="F64" s="11" t="n">
        <f aca="false">MIN(F55,IF(COUNTIF($K$9:$Q$9,"&gt;0")=0,99,_xlfn.MINIFS($B$55:$H$55,$K$9:$Q$9,"&gt;0")+1))</f>
        <v>0</v>
      </c>
      <c r="G64" s="11" t="n">
        <f aca="false">MIN(G55,IF(COUNTIF($K$10:$Q$10,"&gt;0")=0,99,_xlfn.MINIFS($B$55:$H$55,$K$10:$Q$10,"&gt;0")+1))</f>
        <v>1</v>
      </c>
      <c r="H64" s="11" t="n">
        <f aca="false">MIN(H55,IF(COUNTIF($K$11:$Q$11,"&gt;0")=0,99,_xlfn.MINIFS($B$55:$H$55,$K$11:$Q$11,"&gt;0")+1))</f>
        <v>1</v>
      </c>
    </row>
    <row r="65" customFormat="false" ht="15" hidden="false" customHeight="false" outlineLevel="0" collapsed="false">
      <c r="A65" s="7" t="str">
        <f aca="false">INDEX(Comps,6)</f>
        <v>ENG</v>
      </c>
      <c r="B65" s="11" t="n">
        <f aca="false">MIN(B56,IF(COUNTIF($K$5:$Q$5,"&gt;0")=0,99,_xlfn.MINIFS($B$56:$H$56,$K$5:$Q$5,"&gt;0")+1))</f>
        <v>99</v>
      </c>
      <c r="C65" s="11" t="n">
        <f aca="false">MIN(C56,IF(COUNTIF($K$6:$Q$6,"&gt;0")=0,99,_xlfn.MINIFS($B$56:$H$56,$K$6:$Q$6,"&gt;0")+1))</f>
        <v>99</v>
      </c>
      <c r="D65" s="11" t="n">
        <f aca="false">MIN(D56,IF(COUNTIF($K$7:$Q$7,"&gt;0")=0,99,_xlfn.MINIFS($B$56:$H$56,$K$7:$Q$7,"&gt;0")+1))</f>
        <v>99</v>
      </c>
      <c r="E65" s="11" t="n">
        <f aca="false">MIN(E56,IF(COUNTIF($K$8:$Q$8,"&gt;0")=0,99,_xlfn.MINIFS($B$56:$H$56,$K$8:$Q$8,"&gt;0")+1))</f>
        <v>1</v>
      </c>
      <c r="F65" s="11" t="n">
        <f aca="false">MIN(F56,IF(COUNTIF($K$9:$Q$9,"&gt;0")=0,99,_xlfn.MINIFS($B$56:$H$56,$K$9:$Q$9,"&gt;0")+1))</f>
        <v>1</v>
      </c>
      <c r="G65" s="11" t="n">
        <f aca="false">MIN(G56,IF(COUNTIF($K$10:$Q$10,"&gt;0")=0,99,_xlfn.MINIFS($B$56:$H$56,$K$10:$Q$10,"&gt;0")+1))</f>
        <v>0</v>
      </c>
      <c r="H65" s="11" t="n">
        <f aca="false">MIN(H56,IF(COUNTIF($K$11:$Q$11,"&gt;0")=0,99,_xlfn.MINIFS($B$56:$H$56,$K$11:$Q$11,"&gt;0")+1))</f>
        <v>2</v>
      </c>
    </row>
    <row r="66" customFormat="false" ht="15" hidden="false" customHeight="false" outlineLevel="0" collapsed="false">
      <c r="A66" s="7" t="str">
        <f aca="false">INDEX(Comps,7)</f>
        <v>TRS</v>
      </c>
      <c r="B66" s="11" t="n">
        <f aca="false">MIN(B57,IF(COUNTIF($K$5:$Q$5,"&gt;0")=0,99,_xlfn.MINIFS($B$57:$H$57,$K$5:$Q$5,"&gt;0")+1))</f>
        <v>99</v>
      </c>
      <c r="C66" s="11" t="n">
        <f aca="false">MIN(C57,IF(COUNTIF($K$6:$Q$6,"&gt;0")=0,99,_xlfn.MINIFS($B$57:$H$57,$K$6:$Q$6,"&gt;0")+1))</f>
        <v>99</v>
      </c>
      <c r="D66" s="11" t="n">
        <f aca="false">MIN(D57,IF(COUNTIF($K$7:$Q$7,"&gt;0")=0,99,_xlfn.MINIFS($B$57:$H$57,$K$7:$Q$7,"&gt;0")+1))</f>
        <v>99</v>
      </c>
      <c r="E66" s="11" t="n">
        <f aca="false">MIN(E57,IF(COUNTIF($K$8:$Q$8,"&gt;0")=0,99,_xlfn.MINIFS($B$57:$H$57,$K$8:$Q$8,"&gt;0")+1))</f>
        <v>1</v>
      </c>
      <c r="F66" s="11" t="n">
        <f aca="false">MIN(F57,IF(COUNTIF($K$9:$Q$9,"&gt;0")=0,99,_xlfn.MINIFS($B$57:$H$57,$K$9:$Q$9,"&gt;0")+1))</f>
        <v>1</v>
      </c>
      <c r="G66" s="11" t="n">
        <f aca="false">MIN(G57,IF(COUNTIF($K$10:$Q$10,"&gt;0")=0,99,_xlfn.MINIFS($B$57:$H$57,$K$10:$Q$10,"&gt;0")+1))</f>
        <v>2</v>
      </c>
      <c r="H66" s="11" t="n">
        <f aca="false">MIN(H57,IF(COUNTIF($K$11:$Q$11,"&gt;0")=0,99,_xlfn.MINIFS($B$57:$H$57,$K$11:$Q$11,"&gt;0")+1))</f>
        <v>0</v>
      </c>
    </row>
    <row r="68" customFormat="false" ht="15" hidden="false" customHeight="false" outlineLevel="0" collapsed="false">
      <c r="A68" s="8" t="s">
        <v>283</v>
      </c>
      <c r="B68" s="24" t="str">
        <f aca="false">INDEX(Comps,1)</f>
        <v>MKT</v>
      </c>
      <c r="C68" s="24" t="str">
        <f aca="false">INDEX(Comps,2)</f>
        <v>GOV</v>
      </c>
      <c r="D68" s="24" t="str">
        <f aca="false">INDEX(Comps,3)</f>
        <v>MAT</v>
      </c>
      <c r="E68" s="24" t="str">
        <f aca="false">INDEX(Comps,4)</f>
        <v>IND</v>
      </c>
      <c r="F68" s="24" t="str">
        <f aca="false">INDEX(Comps,5)</f>
        <v>DIG</v>
      </c>
      <c r="G68" s="24" t="str">
        <f aca="false">INDEX(Comps,6)</f>
        <v>ENG</v>
      </c>
      <c r="H68" s="24" t="str">
        <f aca="false">INDEX(Comps,7)</f>
        <v>TRS</v>
      </c>
    </row>
    <row r="69" customFormat="false" ht="15" hidden="false" customHeight="false" outlineLevel="0" collapsed="false">
      <c r="A69" s="7" t="str">
        <f aca="false">INDEX(Comps,1)</f>
        <v>MKT</v>
      </c>
      <c r="B69" s="11" t="n">
        <f aca="false">MIN(B60,IF(COUNTIF($K$5:$Q$5,"&gt;0")=0,99,_xlfn.MINIFS($B$60:$H$60,$K$5:$Q$5,"&gt;0")+1))</f>
        <v>0</v>
      </c>
      <c r="C69" s="11" t="n">
        <f aca="false">MIN(C60,IF(COUNTIF($K$6:$Q$6,"&gt;0")=0,99,_xlfn.MINIFS($B$60:$H$60,$K$6:$Q$6,"&gt;0")+1))</f>
        <v>99</v>
      </c>
      <c r="D69" s="11" t="n">
        <f aca="false">MIN(D60,IF(COUNTIF($K$7:$Q$7,"&gt;0")=0,99,_xlfn.MINIFS($B$60:$H$60,$K$7:$Q$7,"&gt;0")+1))</f>
        <v>1</v>
      </c>
      <c r="E69" s="11" t="n">
        <f aca="false">MIN(E60,IF(COUNTIF($K$8:$Q$8,"&gt;0")=0,99,_xlfn.MINIFS($B$60:$H$60,$K$8:$Q$8,"&gt;0")+1))</f>
        <v>1</v>
      </c>
      <c r="F69" s="11" t="n">
        <f aca="false">MIN(F60,IF(COUNTIF($K$9:$Q$9,"&gt;0")=0,99,_xlfn.MINIFS($B$60:$H$60,$K$9:$Q$9,"&gt;0")+1))</f>
        <v>1</v>
      </c>
      <c r="G69" s="11" t="n">
        <f aca="false">MIN(G60,IF(COUNTIF($K$10:$Q$10,"&gt;0")=0,99,_xlfn.MINIFS($B$60:$H$60,$K$10:$Q$10,"&gt;0")+1))</f>
        <v>2</v>
      </c>
      <c r="H69" s="11" t="n">
        <f aca="false">MIN(H60,IF(COUNTIF($K$11:$Q$11,"&gt;0")=0,99,_xlfn.MINIFS($B$60:$H$60,$K$11:$Q$11,"&gt;0")+1))</f>
        <v>2</v>
      </c>
    </row>
    <row r="70" customFormat="false" ht="15" hidden="false" customHeight="false" outlineLevel="0" collapsed="false">
      <c r="A70" s="7" t="str">
        <f aca="false">INDEX(Comps,2)</f>
        <v>GOV</v>
      </c>
      <c r="B70" s="11" t="n">
        <f aca="false">MIN(B61,IF(COUNTIF($K$5:$Q$5,"&gt;0")=0,99,_xlfn.MINIFS($B$61:$H$61,$K$5:$Q$5,"&gt;0")+1))</f>
        <v>99</v>
      </c>
      <c r="C70" s="11" t="n">
        <f aca="false">MIN(C61,IF(COUNTIF($K$6:$Q$6,"&gt;0")=0,99,_xlfn.MINIFS($B$61:$H$61,$K$6:$Q$6,"&gt;0")+1))</f>
        <v>0</v>
      </c>
      <c r="D70" s="11" t="n">
        <f aca="false">MIN(D61,IF(COUNTIF($K$7:$Q$7,"&gt;0")=0,99,_xlfn.MINIFS($B$61:$H$61,$K$7:$Q$7,"&gt;0")+1))</f>
        <v>99</v>
      </c>
      <c r="E70" s="11" t="n">
        <f aca="false">MIN(E61,IF(COUNTIF($K$8:$Q$8,"&gt;0")=0,99,_xlfn.MINIFS($B$61:$H$61,$K$8:$Q$8,"&gt;0")+1))</f>
        <v>2</v>
      </c>
      <c r="F70" s="11" t="n">
        <f aca="false">MIN(F61,IF(COUNTIF($K$9:$Q$9,"&gt;0")=0,99,_xlfn.MINIFS($B$61:$H$61,$K$9:$Q$9,"&gt;0")+1))</f>
        <v>1</v>
      </c>
      <c r="G70" s="11" t="n">
        <f aca="false">MIN(G61,IF(COUNTIF($K$10:$Q$10,"&gt;0")=0,99,_xlfn.MINIFS($B$61:$H$61,$K$10:$Q$10,"&gt;0")+1))</f>
        <v>2</v>
      </c>
      <c r="H70" s="11" t="n">
        <f aca="false">MIN(H61,IF(COUNTIF($K$11:$Q$11,"&gt;0")=0,99,_xlfn.MINIFS($B$61:$H$61,$K$11:$Q$11,"&gt;0")+1))</f>
        <v>1</v>
      </c>
    </row>
    <row r="71" customFormat="false" ht="15" hidden="false" customHeight="false" outlineLevel="0" collapsed="false">
      <c r="A71" s="7" t="str">
        <f aca="false">INDEX(Comps,3)</f>
        <v>MAT</v>
      </c>
      <c r="B71" s="11" t="n">
        <f aca="false">MIN(B62,IF(COUNTIF($K$5:$Q$5,"&gt;0")=0,99,_xlfn.MINIFS($B$62:$H$62,$K$5:$Q$5,"&gt;0")+1))</f>
        <v>99</v>
      </c>
      <c r="C71" s="11" t="n">
        <f aca="false">MIN(C62,IF(COUNTIF($K$6:$Q$6,"&gt;0")=0,99,_xlfn.MINIFS($B$62:$H$62,$K$6:$Q$6,"&gt;0")+1))</f>
        <v>99</v>
      </c>
      <c r="D71" s="11" t="n">
        <f aca="false">MIN(D62,IF(COUNTIF($K$7:$Q$7,"&gt;0")=0,99,_xlfn.MINIFS($B$62:$H$62,$K$7:$Q$7,"&gt;0")+1))</f>
        <v>0</v>
      </c>
      <c r="E71" s="11" t="n">
        <f aca="false">MIN(E62,IF(COUNTIF($K$8:$Q$8,"&gt;0")=0,99,_xlfn.MINIFS($B$62:$H$62,$K$8:$Q$8,"&gt;0")+1))</f>
        <v>2</v>
      </c>
      <c r="F71" s="11" t="n">
        <f aca="false">MIN(F62,IF(COUNTIF($K$9:$Q$9,"&gt;0")=0,99,_xlfn.MINIFS($B$62:$H$62,$K$9:$Q$9,"&gt;0")+1))</f>
        <v>2</v>
      </c>
      <c r="G71" s="11" t="n">
        <f aca="false">MIN(G62,IF(COUNTIF($K$10:$Q$10,"&gt;0")=0,99,_xlfn.MINIFS($B$62:$H$62,$K$10:$Q$10,"&gt;0")+1))</f>
        <v>3</v>
      </c>
      <c r="H71" s="11" t="n">
        <f aca="false">MIN(H62,IF(COUNTIF($K$11:$Q$11,"&gt;0")=0,99,_xlfn.MINIFS($B$62:$H$62,$K$11:$Q$11,"&gt;0")+1))</f>
        <v>1</v>
      </c>
    </row>
    <row r="72" customFormat="false" ht="15" hidden="false" customHeight="false" outlineLevel="0" collapsed="false">
      <c r="A72" s="7" t="str">
        <f aca="false">INDEX(Comps,4)</f>
        <v>IND</v>
      </c>
      <c r="B72" s="11" t="n">
        <f aca="false">MIN(B63,IF(COUNTIF($K$5:$Q$5,"&gt;0")=0,99,_xlfn.MINIFS($B$63:$H$63,$K$5:$Q$5,"&gt;0")+1))</f>
        <v>99</v>
      </c>
      <c r="C72" s="11" t="n">
        <f aca="false">MIN(C63,IF(COUNTIF($K$6:$Q$6,"&gt;0")=0,99,_xlfn.MINIFS($B$63:$H$63,$K$6:$Q$6,"&gt;0")+1))</f>
        <v>99</v>
      </c>
      <c r="D72" s="11" t="n">
        <f aca="false">MIN(D63,IF(COUNTIF($K$7:$Q$7,"&gt;0")=0,99,_xlfn.MINIFS($B$63:$H$63,$K$7:$Q$7,"&gt;0")+1))</f>
        <v>99</v>
      </c>
      <c r="E72" s="11" t="n">
        <f aca="false">MIN(E63,IF(COUNTIF($K$8:$Q$8,"&gt;0")=0,99,_xlfn.MINIFS($B$63:$H$63,$K$8:$Q$8,"&gt;0")+1))</f>
        <v>0</v>
      </c>
      <c r="F72" s="11" t="n">
        <f aca="false">MIN(F63,IF(COUNTIF($K$9:$Q$9,"&gt;0")=0,99,_xlfn.MINIFS($B$63:$H$63,$K$9:$Q$9,"&gt;0")+1))</f>
        <v>2</v>
      </c>
      <c r="G72" s="11" t="n">
        <f aca="false">MIN(G63,IF(COUNTIF($K$10:$Q$10,"&gt;0")=0,99,_xlfn.MINIFS($B$63:$H$63,$K$10:$Q$10,"&gt;0")+1))</f>
        <v>1</v>
      </c>
      <c r="H72" s="11" t="n">
        <f aca="false">MIN(H63,IF(COUNTIF($K$11:$Q$11,"&gt;0")=0,99,_xlfn.MINIFS($B$63:$H$63,$K$11:$Q$11,"&gt;0")+1))</f>
        <v>1</v>
      </c>
    </row>
    <row r="73" customFormat="false" ht="15" hidden="false" customHeight="false" outlineLevel="0" collapsed="false">
      <c r="A73" s="7" t="str">
        <f aca="false">INDEX(Comps,5)</f>
        <v>DIG</v>
      </c>
      <c r="B73" s="11" t="n">
        <f aca="false">MIN(B64,IF(COUNTIF($K$5:$Q$5,"&gt;0")=0,99,_xlfn.MINIFS($B$64:$H$64,$K$5:$Q$5,"&gt;0")+1))</f>
        <v>99</v>
      </c>
      <c r="C73" s="11" t="n">
        <f aca="false">MIN(C64,IF(COUNTIF($K$6:$Q$6,"&gt;0")=0,99,_xlfn.MINIFS($B$64:$H$64,$K$6:$Q$6,"&gt;0")+1))</f>
        <v>99</v>
      </c>
      <c r="D73" s="11" t="n">
        <f aca="false">MIN(D64,IF(COUNTIF($K$7:$Q$7,"&gt;0")=0,99,_xlfn.MINIFS($B$64:$H$64,$K$7:$Q$7,"&gt;0")+1))</f>
        <v>99</v>
      </c>
      <c r="E73" s="11" t="n">
        <f aca="false">MIN(E64,IF(COUNTIF($K$8:$Q$8,"&gt;0")=0,99,_xlfn.MINIFS($B$64:$H$64,$K$8:$Q$8,"&gt;0")+1))</f>
        <v>2</v>
      </c>
      <c r="F73" s="11" t="n">
        <f aca="false">MIN(F64,IF(COUNTIF($K$9:$Q$9,"&gt;0")=0,99,_xlfn.MINIFS($B$64:$H$64,$K$9:$Q$9,"&gt;0")+1))</f>
        <v>0</v>
      </c>
      <c r="G73" s="11" t="n">
        <f aca="false">MIN(G64,IF(COUNTIF($K$10:$Q$10,"&gt;0")=0,99,_xlfn.MINIFS($B$64:$H$64,$K$10:$Q$10,"&gt;0")+1))</f>
        <v>1</v>
      </c>
      <c r="H73" s="11" t="n">
        <f aca="false">MIN(H64,IF(COUNTIF($K$11:$Q$11,"&gt;0")=0,99,_xlfn.MINIFS($B$64:$H$64,$K$11:$Q$11,"&gt;0")+1))</f>
        <v>1</v>
      </c>
    </row>
    <row r="74" customFormat="false" ht="15" hidden="false" customHeight="false" outlineLevel="0" collapsed="false">
      <c r="A74" s="7" t="str">
        <f aca="false">INDEX(Comps,6)</f>
        <v>ENG</v>
      </c>
      <c r="B74" s="11" t="n">
        <f aca="false">MIN(B65,IF(COUNTIF($K$5:$Q$5,"&gt;0")=0,99,_xlfn.MINIFS($B$65:$H$65,$K$5:$Q$5,"&gt;0")+1))</f>
        <v>99</v>
      </c>
      <c r="C74" s="11" t="n">
        <f aca="false">MIN(C65,IF(COUNTIF($K$6:$Q$6,"&gt;0")=0,99,_xlfn.MINIFS($B$65:$H$65,$K$6:$Q$6,"&gt;0")+1))</f>
        <v>99</v>
      </c>
      <c r="D74" s="11" t="n">
        <f aca="false">MIN(D65,IF(COUNTIF($K$7:$Q$7,"&gt;0")=0,99,_xlfn.MINIFS($B$65:$H$65,$K$7:$Q$7,"&gt;0")+1))</f>
        <v>99</v>
      </c>
      <c r="E74" s="11" t="n">
        <f aca="false">MIN(E65,IF(COUNTIF($K$8:$Q$8,"&gt;0")=0,99,_xlfn.MINIFS($B$65:$H$65,$K$8:$Q$8,"&gt;0")+1))</f>
        <v>1</v>
      </c>
      <c r="F74" s="11" t="n">
        <f aca="false">MIN(F65,IF(COUNTIF($K$9:$Q$9,"&gt;0")=0,99,_xlfn.MINIFS($B$65:$H$65,$K$9:$Q$9,"&gt;0")+1))</f>
        <v>1</v>
      </c>
      <c r="G74" s="11" t="n">
        <f aca="false">MIN(G65,IF(COUNTIF($K$10:$Q$10,"&gt;0")=0,99,_xlfn.MINIFS($B$65:$H$65,$K$10:$Q$10,"&gt;0")+1))</f>
        <v>0</v>
      </c>
      <c r="H74" s="11" t="n">
        <f aca="false">MIN(H65,IF(COUNTIF($K$11:$Q$11,"&gt;0")=0,99,_xlfn.MINIFS($B$65:$H$65,$K$11:$Q$11,"&gt;0")+1))</f>
        <v>2</v>
      </c>
    </row>
    <row r="75" customFormat="false" ht="15" hidden="false" customHeight="false" outlineLevel="0" collapsed="false">
      <c r="A75" s="7" t="str">
        <f aca="false">INDEX(Comps,7)</f>
        <v>TRS</v>
      </c>
      <c r="B75" s="11" t="n">
        <f aca="false">MIN(B66,IF(COUNTIF($K$5:$Q$5,"&gt;0")=0,99,_xlfn.MINIFS($B$66:$H$66,$K$5:$Q$5,"&gt;0")+1))</f>
        <v>99</v>
      </c>
      <c r="C75" s="11" t="n">
        <f aca="false">MIN(C66,IF(COUNTIF($K$6:$Q$6,"&gt;0")=0,99,_xlfn.MINIFS($B$66:$H$66,$K$6:$Q$6,"&gt;0")+1))</f>
        <v>99</v>
      </c>
      <c r="D75" s="11" t="n">
        <f aca="false">MIN(D66,IF(COUNTIF($K$7:$Q$7,"&gt;0")=0,99,_xlfn.MINIFS($B$66:$H$66,$K$7:$Q$7,"&gt;0")+1))</f>
        <v>99</v>
      </c>
      <c r="E75" s="11" t="n">
        <f aca="false">MIN(E66,IF(COUNTIF($K$8:$Q$8,"&gt;0")=0,99,_xlfn.MINIFS($B$66:$H$66,$K$8:$Q$8,"&gt;0")+1))</f>
        <v>1</v>
      </c>
      <c r="F75" s="11" t="n">
        <f aca="false">MIN(F66,IF(COUNTIF($K$9:$Q$9,"&gt;0")=0,99,_xlfn.MINIFS($B$66:$H$66,$K$9:$Q$9,"&gt;0")+1))</f>
        <v>1</v>
      </c>
      <c r="G75" s="11" t="n">
        <f aca="false">MIN(G66,IF(COUNTIF($K$10:$Q$10,"&gt;0")=0,99,_xlfn.MINIFS($B$66:$H$66,$K$10:$Q$10,"&gt;0")+1))</f>
        <v>2</v>
      </c>
      <c r="H75" s="11" t="n">
        <f aca="false">MIN(H66,IF(COUNTIF($K$11:$Q$11,"&gt;0")=0,99,_xlfn.MINIFS($B$66:$H$66,$K$11:$Q$11,"&gt;0")+1))</f>
        <v>0</v>
      </c>
    </row>
    <row r="78" customFormat="false" ht="23.85" hidden="false" customHeight="false" outlineLevel="0" collapsed="false">
      <c r="A78" s="8" t="s">
        <v>137</v>
      </c>
      <c r="B78" s="8" t="s">
        <v>284</v>
      </c>
      <c r="C78" s="8" t="s">
        <v>285</v>
      </c>
      <c r="D78" s="8" t="s">
        <v>286</v>
      </c>
      <c r="E78" s="8" t="s">
        <v>287</v>
      </c>
      <c r="H78" s="8" t="s">
        <v>288</v>
      </c>
      <c r="I78" s="8" t="s">
        <v>289</v>
      </c>
      <c r="J78" s="8" t="s">
        <v>123</v>
      </c>
    </row>
    <row r="79" customFormat="false" ht="15" hidden="false" customHeight="false" outlineLevel="0" collapsed="false">
      <c r="A79" s="7" t="str">
        <f aca="false">INDEX(Comps,1)</f>
        <v>MKT</v>
      </c>
      <c r="B79" s="11" t="n">
        <f aca="false">MIN(B73,B74)</f>
        <v>99</v>
      </c>
      <c r="C79" s="11" t="n">
        <f aca="false">B69</f>
        <v>0</v>
      </c>
      <c r="D79" s="2" t="str">
        <f aca="false">IF(B79&gt;=99,"never",B79)</f>
        <v>never</v>
      </c>
      <c r="E79" s="11" t="n">
        <f aca="false">IF(C79&gt;=99,"never",C79)</f>
        <v>0</v>
      </c>
      <c r="H79" s="2" t="s">
        <v>290</v>
      </c>
      <c r="I79" s="11" t="n">
        <f aca="false">INDEX($B$79:$B$85,MATCH("TRS",$A$79:$A$85,0))</f>
        <v>1</v>
      </c>
      <c r="J79" s="10" t="s">
        <v>291</v>
      </c>
    </row>
    <row r="80" customFormat="false" ht="15" hidden="false" customHeight="false" outlineLevel="0" collapsed="false">
      <c r="A80" s="7" t="str">
        <f aca="false">INDEX(Comps,2)</f>
        <v>GOV</v>
      </c>
      <c r="B80" s="11" t="n">
        <f aca="false">MIN(C73,C74)</f>
        <v>99</v>
      </c>
      <c r="C80" s="11" t="n">
        <f aca="false">C69</f>
        <v>99</v>
      </c>
      <c r="D80" s="2" t="str">
        <f aca="false">IF(B80&gt;=99,"never",B80)</f>
        <v>never</v>
      </c>
      <c r="E80" s="2" t="str">
        <f aca="false">IF(C80&gt;=99,"never",C80)</f>
        <v>never</v>
      </c>
      <c r="H80" s="2" t="s">
        <v>292</v>
      </c>
      <c r="I80" s="11" t="n">
        <f aca="false">INDEX($B$79:$B$85,MATCH("IND",$A$79:$A$85,0))</f>
        <v>1</v>
      </c>
      <c r="J80" s="10" t="s">
        <v>293</v>
      </c>
    </row>
    <row r="81" customFormat="false" ht="15" hidden="false" customHeight="false" outlineLevel="0" collapsed="false">
      <c r="A81" s="7" t="str">
        <f aca="false">INDEX(Comps,3)</f>
        <v>MAT</v>
      </c>
      <c r="B81" s="11" t="n">
        <f aca="false">MIN(D73,D74)</f>
        <v>99</v>
      </c>
      <c r="C81" s="11" t="n">
        <f aca="false">D69</f>
        <v>1</v>
      </c>
      <c r="D81" s="2" t="str">
        <f aca="false">IF(B81&gt;=99,"never",B81)</f>
        <v>never</v>
      </c>
      <c r="E81" s="11" t="n">
        <f aca="false">IF(C81&gt;=99,"never",C81)</f>
        <v>1</v>
      </c>
      <c r="H81" s="2" t="s">
        <v>294</v>
      </c>
      <c r="I81" s="11" t="n">
        <f aca="false">COUNTIF($B$79:$B$85,"&gt;=99")</f>
        <v>3</v>
      </c>
      <c r="J81" s="10" t="s">
        <v>295</v>
      </c>
    </row>
    <row r="82" customFormat="false" ht="15" hidden="false" customHeight="false" outlineLevel="0" collapsed="false">
      <c r="A82" s="7" t="str">
        <f aca="false">INDEX(Comps,4)</f>
        <v>IND</v>
      </c>
      <c r="B82" s="11" t="n">
        <f aca="false">MIN(E73,E74)</f>
        <v>1</v>
      </c>
      <c r="C82" s="11" t="n">
        <f aca="false">E69</f>
        <v>1</v>
      </c>
      <c r="D82" s="11" t="n">
        <f aca="false">IF(B82&gt;=99,"never",B82)</f>
        <v>1</v>
      </c>
      <c r="E82" s="11" t="n">
        <f aca="false">IF(C82&gt;=99,"never",C82)</f>
        <v>1</v>
      </c>
      <c r="H82" s="2" t="s">
        <v>296</v>
      </c>
      <c r="I82" s="11" t="n">
        <f aca="false">MAX(INDEX($C$79:$C$85,MATCH("IND",$A$79:$A$85,0)),INDEX($C$79:$C$85,MATCH("DIG",$A$79:$A$85,0)),INDEX($C$79:$C$85,MATCH("MAT",$A$79:$A$85,0)))</f>
        <v>1</v>
      </c>
      <c r="J82" s="10" t="s">
        <v>297</v>
      </c>
    </row>
    <row r="83" customFormat="false" ht="15" hidden="false" customHeight="false" outlineLevel="0" collapsed="false">
      <c r="A83" s="7" t="str">
        <f aca="false">INDEX(Comps,5)</f>
        <v>DIG</v>
      </c>
      <c r="B83" s="11" t="n">
        <f aca="false">MIN(F73,F74)</f>
        <v>0</v>
      </c>
      <c r="C83" s="11" t="n">
        <f aca="false">F69</f>
        <v>1</v>
      </c>
      <c r="D83" s="11" t="n">
        <f aca="false">IF(B83&gt;=99,"never",B83)</f>
        <v>0</v>
      </c>
      <c r="E83" s="11" t="n">
        <f aca="false">IF(C83&gt;=99,"never",C83)</f>
        <v>1</v>
      </c>
      <c r="H83" s="2" t="s">
        <v>298</v>
      </c>
      <c r="I83" s="11" t="n">
        <f aca="false">INDEX($C$79:$C$85,MATCH("ENG",$A$79:$A$85,0))</f>
        <v>2</v>
      </c>
      <c r="J83" s="10" t="s">
        <v>299</v>
      </c>
    </row>
    <row r="84" customFormat="false" ht="15" hidden="false" customHeight="false" outlineLevel="0" collapsed="false">
      <c r="A84" s="7" t="str">
        <f aca="false">INDEX(Comps,6)</f>
        <v>ENG</v>
      </c>
      <c r="B84" s="11" t="n">
        <f aca="false">MIN(G73,G74)</f>
        <v>0</v>
      </c>
      <c r="C84" s="11" t="n">
        <f aca="false">G69</f>
        <v>2</v>
      </c>
      <c r="D84" s="11" t="n">
        <f aca="false">IF(B84&gt;=99,"never",B84)</f>
        <v>0</v>
      </c>
      <c r="E84" s="11" t="n">
        <f aca="false">IF(C84&gt;=99,"never",C84)</f>
        <v>2</v>
      </c>
      <c r="H84" s="2" t="s">
        <v>300</v>
      </c>
      <c r="I84" s="11" t="n">
        <f aca="false">INDEX($C$79:$C$85,MATCH("TRS",$A$79:$A$85,0))</f>
        <v>2</v>
      </c>
      <c r="J84" s="10" t="s">
        <v>299</v>
      </c>
    </row>
    <row r="85" customFormat="false" ht="15" hidden="false" customHeight="false" outlineLevel="0" collapsed="false">
      <c r="A85" s="7" t="str">
        <f aca="false">INDEX(Comps,7)</f>
        <v>TRS</v>
      </c>
      <c r="B85" s="11" t="n">
        <f aca="false">MIN(H73,H74)</f>
        <v>1</v>
      </c>
      <c r="C85" s="11" t="n">
        <f aca="false">H69</f>
        <v>2</v>
      </c>
      <c r="D85" s="11" t="n">
        <f aca="false">IF(B85&gt;=99,"never",B85)</f>
        <v>1</v>
      </c>
      <c r="E85" s="11" t="n">
        <f aca="false">IF(C85&gt;=99,"never",C85)</f>
        <v>2</v>
      </c>
      <c r="H85" s="2" t="s">
        <v>301</v>
      </c>
      <c r="I85" s="11" t="n">
        <f aca="false">E73</f>
        <v>2</v>
      </c>
      <c r="J85" s="10" t="s">
        <v>302</v>
      </c>
    </row>
    <row r="88" customFormat="false" ht="23.85" hidden="false" customHeight="false" outlineLevel="0" collapsed="false">
      <c r="A88" s="8" t="s">
        <v>303</v>
      </c>
      <c r="B88" s="8" t="s">
        <v>304</v>
      </c>
      <c r="C88" s="8" t="s">
        <v>305</v>
      </c>
      <c r="D88" s="8" t="s">
        <v>306</v>
      </c>
      <c r="E88" s="8" t="s">
        <v>307</v>
      </c>
      <c r="F88" s="8" t="s">
        <v>308</v>
      </c>
      <c r="G88" s="8" t="s">
        <v>309</v>
      </c>
      <c r="H88" s="8" t="s">
        <v>286</v>
      </c>
      <c r="I88" s="8" t="s">
        <v>287</v>
      </c>
      <c r="J88" s="8" t="s">
        <v>310</v>
      </c>
      <c r="K88" s="8" t="s">
        <v>311</v>
      </c>
      <c r="L88" s="8" t="s">
        <v>312</v>
      </c>
    </row>
    <row r="89" customFormat="false" ht="15" hidden="false" customHeight="false" outlineLevel="0" collapsed="false">
      <c r="A89" s="2" t="s">
        <v>143</v>
      </c>
      <c r="B89" s="2" t="s">
        <v>313</v>
      </c>
      <c r="C89" s="5" t="s">
        <v>85</v>
      </c>
      <c r="F89" s="11" t="n">
        <f aca="false">MIN(IF(C89="",99,INDEX($B$79:$B$85,MATCH(C89,$A$79:$A$85,0))),IF(D89="",99,INDEX($B$79:$B$85,MATCH(D89,$A$79:$A$85,0))),IF(E89="",99,INDEX($B$79:$B$85,MATCH(E89,$A$79:$A$85,0))))</f>
        <v>1</v>
      </c>
      <c r="G89" s="11" t="n">
        <f aca="false">MIN(IF(C89="",99,INDEX($C$79:$C$85,MATCH(C89,$A$79:$A$85,0))),IF(D89="",99,INDEX($C$79:$C$85,MATCH(D89,$A$79:$A$85,0))),IF(E89="",99,INDEX($C$79:$C$85,MATCH(E89,$A$79:$A$85,0))))</f>
        <v>2</v>
      </c>
      <c r="H89" s="11" t="n">
        <f aca="false">IF(F89&gt;=99,"never",F89)</f>
        <v>1</v>
      </c>
      <c r="I89" s="11" t="n">
        <f aca="false">IF(G89&gt;=99,"never",G89)</f>
        <v>2</v>
      </c>
      <c r="J89" s="25" t="n">
        <v>1</v>
      </c>
      <c r="K89" s="25" t="n">
        <v>2</v>
      </c>
      <c r="L89" s="11" t="n">
        <f aca="false">IF(AND(F89=J89,G89=K89),1,0)</f>
        <v>1</v>
      </c>
    </row>
    <row r="90" customFormat="false" ht="15" hidden="false" customHeight="false" outlineLevel="0" collapsed="false">
      <c r="A90" s="2" t="s">
        <v>143</v>
      </c>
      <c r="B90" s="2" t="s">
        <v>314</v>
      </c>
      <c r="C90" s="5" t="s">
        <v>85</v>
      </c>
      <c r="F90" s="11" t="n">
        <f aca="false">MIN(IF(C90="",99,INDEX($B$79:$B$85,MATCH(C90,$A$79:$A$85,0))),IF(D90="",99,INDEX($B$79:$B$85,MATCH(D90,$A$79:$A$85,0))),IF(E90="",99,INDEX($B$79:$B$85,MATCH(E90,$A$79:$A$85,0))))</f>
        <v>1</v>
      </c>
      <c r="G90" s="11" t="n">
        <f aca="false">MIN(IF(C90="",99,INDEX($C$79:$C$85,MATCH(C90,$A$79:$A$85,0))),IF(D90="",99,INDEX($C$79:$C$85,MATCH(D90,$A$79:$A$85,0))),IF(E90="",99,INDEX($C$79:$C$85,MATCH(E90,$A$79:$A$85,0))))</f>
        <v>2</v>
      </c>
      <c r="H90" s="11" t="n">
        <f aca="false">IF(F90&gt;=99,"never",F90)</f>
        <v>1</v>
      </c>
      <c r="I90" s="11" t="n">
        <f aca="false">IF(G90&gt;=99,"never",G90)</f>
        <v>2</v>
      </c>
      <c r="J90" s="25" t="n">
        <v>1</v>
      </c>
      <c r="K90" s="25" t="n">
        <v>2</v>
      </c>
      <c r="L90" s="11" t="n">
        <f aca="false">IF(AND(F90=J90,G90=K90),1,0)</f>
        <v>1</v>
      </c>
    </row>
    <row r="91" customFormat="false" ht="15" hidden="false" customHeight="false" outlineLevel="0" collapsed="false">
      <c r="A91" s="2" t="s">
        <v>143</v>
      </c>
      <c r="B91" s="2" t="s">
        <v>315</v>
      </c>
      <c r="C91" s="5" t="s">
        <v>100</v>
      </c>
      <c r="F91" s="11" t="n">
        <f aca="false">MIN(IF(C91="",99,INDEX($B$79:$B$85,MATCH(C91,$A$79:$A$85,0))),IF(D91="",99,INDEX($B$79:$B$85,MATCH(D91,$A$79:$A$85,0))),IF(E91="",99,INDEX($B$79:$B$85,MATCH(E91,$A$79:$A$85,0))))</f>
        <v>0</v>
      </c>
      <c r="G91" s="11" t="n">
        <f aca="false">MIN(IF(C91="",99,INDEX($C$79:$C$85,MATCH(C91,$A$79:$A$85,0))),IF(D91="",99,INDEX($C$79:$C$85,MATCH(D91,$A$79:$A$85,0))),IF(E91="",99,INDEX($C$79:$C$85,MATCH(E91,$A$79:$A$85,0))))</f>
        <v>2</v>
      </c>
      <c r="H91" s="11" t="n">
        <f aca="false">IF(F91&gt;=99,"never",F91)</f>
        <v>0</v>
      </c>
      <c r="I91" s="11" t="n">
        <f aca="false">IF(G91&gt;=99,"never",G91)</f>
        <v>2</v>
      </c>
      <c r="J91" s="25" t="n">
        <v>0</v>
      </c>
      <c r="K91" s="25" t="n">
        <v>2</v>
      </c>
      <c r="L91" s="11" t="n">
        <f aca="false">IF(AND(F91=J91,G91=K91),1,0)</f>
        <v>1</v>
      </c>
    </row>
    <row r="92" customFormat="false" ht="15" hidden="false" customHeight="false" outlineLevel="0" collapsed="false">
      <c r="A92" s="2" t="s">
        <v>145</v>
      </c>
      <c r="B92" s="2" t="s">
        <v>316</v>
      </c>
      <c r="C92" s="5" t="s">
        <v>85</v>
      </c>
      <c r="F92" s="11" t="n">
        <f aca="false">MIN(IF(C92="",99,INDEX($B$79:$B$85,MATCH(C92,$A$79:$A$85,0))),IF(D92="",99,INDEX($B$79:$B$85,MATCH(D92,$A$79:$A$85,0))),IF(E92="",99,INDEX($B$79:$B$85,MATCH(E92,$A$79:$A$85,0))))</f>
        <v>1</v>
      </c>
      <c r="G92" s="11" t="n">
        <f aca="false">MIN(IF(C92="",99,INDEX($C$79:$C$85,MATCH(C92,$A$79:$A$85,0))),IF(D92="",99,INDEX($C$79:$C$85,MATCH(D92,$A$79:$A$85,0))),IF(E92="",99,INDEX($C$79:$C$85,MATCH(E92,$A$79:$A$85,0))))</f>
        <v>2</v>
      </c>
      <c r="H92" s="11" t="n">
        <f aca="false">IF(F92&gt;=99,"never",F92)</f>
        <v>1</v>
      </c>
      <c r="I92" s="11" t="n">
        <f aca="false">IF(G92&gt;=99,"never",G92)</f>
        <v>2</v>
      </c>
      <c r="J92" s="25" t="n">
        <v>1</v>
      </c>
      <c r="K92" s="25" t="n">
        <v>2</v>
      </c>
      <c r="L92" s="11" t="n">
        <f aca="false">IF(AND(F92=J92,G92=K92),1,0)</f>
        <v>1</v>
      </c>
    </row>
    <row r="93" customFormat="false" ht="15" hidden="false" customHeight="false" outlineLevel="0" collapsed="false">
      <c r="A93" s="2" t="s">
        <v>145</v>
      </c>
      <c r="B93" s="2" t="s">
        <v>317</v>
      </c>
      <c r="C93" s="5" t="s">
        <v>82</v>
      </c>
      <c r="D93" s="5" t="s">
        <v>90</v>
      </c>
      <c r="F93" s="11" t="n">
        <f aca="false">MIN(IF(C93="",99,INDEX($B$79:$B$85,MATCH(C93,$A$79:$A$85,0))),IF(D93="",99,INDEX($B$79:$B$85,MATCH(D93,$A$79:$A$85,0))),IF(E93="",99,INDEX($B$79:$B$85,MATCH(E93,$A$79:$A$85,0))))</f>
        <v>1</v>
      </c>
      <c r="G93" s="11" t="n">
        <f aca="false">MIN(IF(C93="",99,INDEX($C$79:$C$85,MATCH(C93,$A$79:$A$85,0))),IF(D93="",99,INDEX($C$79:$C$85,MATCH(D93,$A$79:$A$85,0))),IF(E93="",99,INDEX($C$79:$C$85,MATCH(E93,$A$79:$A$85,0))))</f>
        <v>1</v>
      </c>
      <c r="H93" s="11" t="n">
        <f aca="false">IF(F93&gt;=99,"never",F93)</f>
        <v>1</v>
      </c>
      <c r="I93" s="11" t="n">
        <f aca="false">IF(G93&gt;=99,"never",G93)</f>
        <v>1</v>
      </c>
      <c r="J93" s="25" t="n">
        <v>1</v>
      </c>
      <c r="K93" s="25" t="n">
        <v>1</v>
      </c>
      <c r="L93" s="11" t="n">
        <f aca="false">IF(AND(F93=J93,G93=K93),1,0)</f>
        <v>1</v>
      </c>
    </row>
    <row r="94" customFormat="false" ht="15" hidden="false" customHeight="false" outlineLevel="0" collapsed="false">
      <c r="A94" s="2" t="s">
        <v>145</v>
      </c>
      <c r="B94" s="2" t="s">
        <v>318</v>
      </c>
      <c r="C94" s="5" t="s">
        <v>82</v>
      </c>
      <c r="D94" s="5" t="s">
        <v>88</v>
      </c>
      <c r="E94" s="5" t="s">
        <v>90</v>
      </c>
      <c r="F94" s="11" t="n">
        <f aca="false">MIN(IF(C94="",99,INDEX($B$79:$B$85,MATCH(C94,$A$79:$A$85,0))),IF(D94="",99,INDEX($B$79:$B$85,MATCH(D94,$A$79:$A$85,0))),IF(E94="",99,INDEX($B$79:$B$85,MATCH(E94,$A$79:$A$85,0))))</f>
        <v>0</v>
      </c>
      <c r="G94" s="11" t="n">
        <f aca="false">MIN(IF(C94="",99,INDEX($C$79:$C$85,MATCH(C94,$A$79:$A$85,0))),IF(D94="",99,INDEX($C$79:$C$85,MATCH(D94,$A$79:$A$85,0))),IF(E94="",99,INDEX($C$79:$C$85,MATCH(E94,$A$79:$A$85,0))))</f>
        <v>1</v>
      </c>
      <c r="H94" s="11" t="n">
        <f aca="false">IF(F94&gt;=99,"never",F94)</f>
        <v>0</v>
      </c>
      <c r="I94" s="11" t="n">
        <f aca="false">IF(G94&gt;=99,"never",G94)</f>
        <v>1</v>
      </c>
      <c r="J94" s="25" t="n">
        <v>0</v>
      </c>
      <c r="K94" s="25" t="n">
        <v>1</v>
      </c>
      <c r="L94" s="11" t="n">
        <f aca="false">IF(AND(F94=J94,G94=K94),1,0)</f>
        <v>1</v>
      </c>
    </row>
    <row r="95" customFormat="false" ht="15" hidden="false" customHeight="false" outlineLevel="0" collapsed="false">
      <c r="A95" s="2" t="s">
        <v>145</v>
      </c>
      <c r="B95" s="2" t="s">
        <v>319</v>
      </c>
      <c r="C95" s="5" t="s">
        <v>88</v>
      </c>
      <c r="F95" s="11" t="n">
        <f aca="false">MIN(IF(C95="",99,INDEX($B$79:$B$85,MATCH(C95,$A$79:$A$85,0))),IF(D95="",99,INDEX($B$79:$B$85,MATCH(D95,$A$79:$A$85,0))),IF(E95="",99,INDEX($B$79:$B$85,MATCH(E95,$A$79:$A$85,0))))</f>
        <v>0</v>
      </c>
      <c r="G95" s="11" t="n">
        <f aca="false">MIN(IF(C95="",99,INDEX($C$79:$C$85,MATCH(C95,$A$79:$A$85,0))),IF(D95="",99,INDEX($C$79:$C$85,MATCH(D95,$A$79:$A$85,0))),IF(E95="",99,INDEX($C$79:$C$85,MATCH(E95,$A$79:$A$85,0))))</f>
        <v>1</v>
      </c>
      <c r="H95" s="11" t="n">
        <f aca="false">IF(F95&gt;=99,"never",F95)</f>
        <v>0</v>
      </c>
      <c r="I95" s="11" t="n">
        <f aca="false">IF(G95&gt;=99,"never",G95)</f>
        <v>1</v>
      </c>
      <c r="J95" s="25" t="n">
        <v>0</v>
      </c>
      <c r="K95" s="25" t="n">
        <v>1</v>
      </c>
      <c r="L95" s="11" t="n">
        <f aca="false">IF(AND(F95=J95,G95=K95),1,0)</f>
        <v>1</v>
      </c>
    </row>
    <row r="96" customFormat="false" ht="15" hidden="false" customHeight="false" outlineLevel="0" collapsed="false">
      <c r="A96" s="2" t="s">
        <v>145</v>
      </c>
      <c r="B96" s="2" t="s">
        <v>320</v>
      </c>
      <c r="C96" s="5" t="s">
        <v>88</v>
      </c>
      <c r="D96" s="5" t="s">
        <v>100</v>
      </c>
      <c r="F96" s="11" t="n">
        <f aca="false">MIN(IF(C96="",99,INDEX($B$79:$B$85,MATCH(C96,$A$79:$A$85,0))),IF(D96="",99,INDEX($B$79:$B$85,MATCH(D96,$A$79:$A$85,0))),IF(E96="",99,INDEX($B$79:$B$85,MATCH(E96,$A$79:$A$85,0))))</f>
        <v>0</v>
      </c>
      <c r="G96" s="11" t="n">
        <f aca="false">MIN(IF(C96="",99,INDEX($C$79:$C$85,MATCH(C96,$A$79:$A$85,0))),IF(D96="",99,INDEX($C$79:$C$85,MATCH(D96,$A$79:$A$85,0))),IF(E96="",99,INDEX($C$79:$C$85,MATCH(E96,$A$79:$A$85,0))))</f>
        <v>1</v>
      </c>
      <c r="H96" s="11" t="n">
        <f aca="false">IF(F96&gt;=99,"never",F96)</f>
        <v>0</v>
      </c>
      <c r="I96" s="11" t="n">
        <f aca="false">IF(G96&gt;=99,"never",G96)</f>
        <v>1</v>
      </c>
      <c r="J96" s="25" t="n">
        <v>0</v>
      </c>
      <c r="K96" s="25" t="n">
        <v>1</v>
      </c>
      <c r="L96" s="11" t="n">
        <f aca="false">IF(AND(F96=J96,G96=K96),1,0)</f>
        <v>1</v>
      </c>
    </row>
    <row r="97" customFormat="false" ht="15" hidden="false" customHeight="false" outlineLevel="0" collapsed="false">
      <c r="A97" s="2" t="s">
        <v>145</v>
      </c>
      <c r="B97" s="2" t="s">
        <v>321</v>
      </c>
      <c r="C97" s="5" t="s">
        <v>85</v>
      </c>
      <c r="F97" s="11" t="n">
        <f aca="false">MIN(IF(C97="",99,INDEX($B$79:$B$85,MATCH(C97,$A$79:$A$85,0))),IF(D97="",99,INDEX($B$79:$B$85,MATCH(D97,$A$79:$A$85,0))),IF(E97="",99,INDEX($B$79:$B$85,MATCH(E97,$A$79:$A$85,0))))</f>
        <v>1</v>
      </c>
      <c r="G97" s="11" t="n">
        <f aca="false">MIN(IF(C97="",99,INDEX($C$79:$C$85,MATCH(C97,$A$79:$A$85,0))),IF(D97="",99,INDEX($C$79:$C$85,MATCH(D97,$A$79:$A$85,0))),IF(E97="",99,INDEX($C$79:$C$85,MATCH(E97,$A$79:$A$85,0))))</f>
        <v>2</v>
      </c>
      <c r="H97" s="11" t="n">
        <f aca="false">IF(F97&gt;=99,"never",F97)</f>
        <v>1</v>
      </c>
      <c r="I97" s="11" t="n">
        <f aca="false">IF(G97&gt;=99,"never",G97)</f>
        <v>2</v>
      </c>
      <c r="J97" s="25" t="n">
        <v>1</v>
      </c>
      <c r="K97" s="25" t="n">
        <v>2</v>
      </c>
      <c r="L97" s="11" t="n">
        <f aca="false">IF(AND(F97=J97,G97=K97),1,0)</f>
        <v>1</v>
      </c>
    </row>
    <row r="98" customFormat="false" ht="15" hidden="false" customHeight="false" outlineLevel="0" collapsed="false">
      <c r="A98" s="2" t="s">
        <v>147</v>
      </c>
      <c r="B98" s="2" t="s">
        <v>322</v>
      </c>
      <c r="C98" s="5" t="s">
        <v>85</v>
      </c>
      <c r="F98" s="11" t="n">
        <f aca="false">MIN(IF(C98="",99,INDEX($B$79:$B$85,MATCH(C98,$A$79:$A$85,0))),IF(D98="",99,INDEX($B$79:$B$85,MATCH(D98,$A$79:$A$85,0))),IF(E98="",99,INDEX($B$79:$B$85,MATCH(E98,$A$79:$A$85,0))))</f>
        <v>1</v>
      </c>
      <c r="G98" s="11" t="n">
        <f aca="false">MIN(IF(C98="",99,INDEX($C$79:$C$85,MATCH(C98,$A$79:$A$85,0))),IF(D98="",99,INDEX($C$79:$C$85,MATCH(D98,$A$79:$A$85,0))),IF(E98="",99,INDEX($C$79:$C$85,MATCH(E98,$A$79:$A$85,0))))</f>
        <v>2</v>
      </c>
      <c r="H98" s="11" t="n">
        <f aca="false">IF(F98&gt;=99,"never",F98)</f>
        <v>1</v>
      </c>
      <c r="I98" s="11" t="n">
        <f aca="false">IF(G98&gt;=99,"never",G98)</f>
        <v>2</v>
      </c>
      <c r="J98" s="25" t="n">
        <v>1</v>
      </c>
      <c r="K98" s="25" t="n">
        <v>2</v>
      </c>
      <c r="L98" s="11" t="n">
        <f aca="false">IF(AND(F98=J98,G98=K98),1,0)</f>
        <v>1</v>
      </c>
    </row>
    <row r="99" customFormat="false" ht="15" hidden="false" customHeight="false" outlineLevel="0" collapsed="false">
      <c r="A99" s="2" t="s">
        <v>147</v>
      </c>
      <c r="B99" s="2" t="s">
        <v>323</v>
      </c>
      <c r="C99" s="5" t="s">
        <v>82</v>
      </c>
      <c r="D99" s="5" t="s">
        <v>90</v>
      </c>
      <c r="F99" s="11" t="n">
        <f aca="false">MIN(IF(C99="",99,INDEX($B$79:$B$85,MATCH(C99,$A$79:$A$85,0))),IF(D99="",99,INDEX($B$79:$B$85,MATCH(D99,$A$79:$A$85,0))),IF(E99="",99,INDEX($B$79:$B$85,MATCH(E99,$A$79:$A$85,0))))</f>
        <v>1</v>
      </c>
      <c r="G99" s="11" t="n">
        <f aca="false">MIN(IF(C99="",99,INDEX($C$79:$C$85,MATCH(C99,$A$79:$A$85,0))),IF(D99="",99,INDEX($C$79:$C$85,MATCH(D99,$A$79:$A$85,0))),IF(E99="",99,INDEX($C$79:$C$85,MATCH(E99,$A$79:$A$85,0))))</f>
        <v>1</v>
      </c>
      <c r="H99" s="11" t="n">
        <f aca="false">IF(F99&gt;=99,"never",F99)</f>
        <v>1</v>
      </c>
      <c r="I99" s="11" t="n">
        <f aca="false">IF(G99&gt;=99,"never",G99)</f>
        <v>1</v>
      </c>
      <c r="J99" s="25" t="n">
        <v>1</v>
      </c>
      <c r="K99" s="25" t="n">
        <v>1</v>
      </c>
      <c r="L99" s="11" t="n">
        <f aca="false">IF(AND(F99=J99,G99=K99),1,0)</f>
        <v>1</v>
      </c>
    </row>
    <row r="100" customFormat="false" ht="15" hidden="false" customHeight="false" outlineLevel="0" collapsed="false">
      <c r="A100" s="2" t="s">
        <v>147</v>
      </c>
      <c r="B100" s="2" t="s">
        <v>324</v>
      </c>
      <c r="C100" s="5" t="s">
        <v>80</v>
      </c>
      <c r="D100" s="5" t="s">
        <v>86</v>
      </c>
      <c r="F100" s="11" t="n">
        <f aca="false">MIN(IF(C100="",99,INDEX($B$79:$B$85,MATCH(C100,$A$79:$A$85,0))),IF(D100="",99,INDEX($B$79:$B$85,MATCH(D100,$A$79:$A$85,0))),IF(E100="",99,INDEX($B$79:$B$85,MATCH(E100,$A$79:$A$85,0))))</f>
        <v>99</v>
      </c>
      <c r="G100" s="11" t="n">
        <f aca="false">MIN(IF(C100="",99,INDEX($C$79:$C$85,MATCH(C100,$A$79:$A$85,0))),IF(D100="",99,INDEX($C$79:$C$85,MATCH(D100,$A$79:$A$85,0))),IF(E100="",99,INDEX($C$79:$C$85,MATCH(E100,$A$79:$A$85,0))))</f>
        <v>0</v>
      </c>
      <c r="H100" s="2" t="str">
        <f aca="false">IF(F100&gt;=99,"never",F100)</f>
        <v>never</v>
      </c>
      <c r="I100" s="11" t="n">
        <f aca="false">IF(G100&gt;=99,"never",G100)</f>
        <v>0</v>
      </c>
      <c r="J100" s="25" t="n">
        <v>99</v>
      </c>
      <c r="K100" s="25" t="n">
        <v>0</v>
      </c>
      <c r="L100" s="11" t="n">
        <f aca="false">IF(AND(F100=J100,G100=K100),1,0)</f>
        <v>1</v>
      </c>
    </row>
    <row r="101" customFormat="false" ht="15" hidden="false" customHeight="false" outlineLevel="0" collapsed="false">
      <c r="A101" s="2" t="s">
        <v>147</v>
      </c>
      <c r="B101" s="2" t="s">
        <v>325</v>
      </c>
      <c r="C101" s="5" t="s">
        <v>88</v>
      </c>
      <c r="D101" s="5" t="s">
        <v>100</v>
      </c>
      <c r="F101" s="11" t="n">
        <f aca="false">MIN(IF(C101="",99,INDEX($B$79:$B$85,MATCH(C101,$A$79:$A$85,0))),IF(D101="",99,INDEX($B$79:$B$85,MATCH(D101,$A$79:$A$85,0))),IF(E101="",99,INDEX($B$79:$B$85,MATCH(E101,$A$79:$A$85,0))))</f>
        <v>0</v>
      </c>
      <c r="G101" s="11" t="n">
        <f aca="false">MIN(IF(C101="",99,INDEX($C$79:$C$85,MATCH(C101,$A$79:$A$85,0))),IF(D101="",99,INDEX($C$79:$C$85,MATCH(D101,$A$79:$A$85,0))),IF(E101="",99,INDEX($C$79:$C$85,MATCH(E101,$A$79:$A$85,0))))</f>
        <v>1</v>
      </c>
      <c r="H101" s="11" t="n">
        <f aca="false">IF(F101&gt;=99,"never",F101)</f>
        <v>0</v>
      </c>
      <c r="I101" s="11" t="n">
        <f aca="false">IF(G101&gt;=99,"never",G101)</f>
        <v>1</v>
      </c>
      <c r="J101" s="25" t="n">
        <v>0</v>
      </c>
      <c r="K101" s="25" t="n">
        <v>1</v>
      </c>
      <c r="L101" s="11" t="n">
        <f aca="false">IF(AND(F101=J101,G101=K101),1,0)</f>
        <v>1</v>
      </c>
    </row>
    <row r="102" customFormat="false" ht="15" hidden="false" customHeight="false" outlineLevel="0" collapsed="false">
      <c r="A102" s="2" t="s">
        <v>147</v>
      </c>
      <c r="B102" s="2" t="s">
        <v>326</v>
      </c>
      <c r="C102" s="5" t="s">
        <v>86</v>
      </c>
      <c r="F102" s="11" t="n">
        <f aca="false">MIN(IF(C102="",99,INDEX($B$79:$B$85,MATCH(C102,$A$79:$A$85,0))),IF(D102="",99,INDEX($B$79:$B$85,MATCH(D102,$A$79:$A$85,0))),IF(E102="",99,INDEX($B$79:$B$85,MATCH(E102,$A$79:$A$85,0))))</f>
        <v>99</v>
      </c>
      <c r="G102" s="11" t="n">
        <f aca="false">MIN(IF(C102="",99,INDEX($C$79:$C$85,MATCH(C102,$A$79:$A$85,0))),IF(D102="",99,INDEX($C$79:$C$85,MATCH(D102,$A$79:$A$85,0))),IF(E102="",99,INDEX($C$79:$C$85,MATCH(E102,$A$79:$A$85,0))))</f>
        <v>99</v>
      </c>
      <c r="H102" s="2" t="str">
        <f aca="false">IF(F102&gt;=99,"never",F102)</f>
        <v>never</v>
      </c>
      <c r="I102" s="2" t="str">
        <f aca="false">IF(G102&gt;=99,"never",G102)</f>
        <v>never</v>
      </c>
      <c r="J102" s="25" t="n">
        <v>99</v>
      </c>
      <c r="K102" s="25" t="n">
        <v>99</v>
      </c>
      <c r="L102" s="11" t="n">
        <f aca="false">IF(AND(F102=J102,G102=K102),1,0)</f>
        <v>1</v>
      </c>
    </row>
    <row r="103" customFormat="false" ht="15" hidden="false" customHeight="false" outlineLevel="0" collapsed="false">
      <c r="A103" s="2" t="s">
        <v>147</v>
      </c>
      <c r="B103" s="2" t="s">
        <v>327</v>
      </c>
      <c r="C103" s="5" t="s">
        <v>86</v>
      </c>
      <c r="D103" s="5" t="s">
        <v>85</v>
      </c>
      <c r="F103" s="11" t="n">
        <f aca="false">MIN(IF(C103="",99,INDEX($B$79:$B$85,MATCH(C103,$A$79:$A$85,0))),IF(D103="",99,INDEX($B$79:$B$85,MATCH(D103,$A$79:$A$85,0))),IF(E103="",99,INDEX($B$79:$B$85,MATCH(E103,$A$79:$A$85,0))))</f>
        <v>1</v>
      </c>
      <c r="G103" s="11" t="n">
        <f aca="false">MIN(IF(C103="",99,INDEX($C$79:$C$85,MATCH(C103,$A$79:$A$85,0))),IF(D103="",99,INDEX($C$79:$C$85,MATCH(D103,$A$79:$A$85,0))),IF(E103="",99,INDEX($C$79:$C$85,MATCH(E103,$A$79:$A$85,0))))</f>
        <v>2</v>
      </c>
      <c r="H103" s="11" t="n">
        <f aca="false">IF(F103&gt;=99,"never",F103)</f>
        <v>1</v>
      </c>
      <c r="I103" s="11" t="n">
        <f aca="false">IF(G103&gt;=99,"never",G103)</f>
        <v>2</v>
      </c>
      <c r="J103" s="25" t="n">
        <v>1</v>
      </c>
      <c r="K103" s="25" t="n">
        <v>2</v>
      </c>
      <c r="L103" s="11" t="n">
        <f aca="false">IF(AND(F103=J103,G103=K103),1,0)</f>
        <v>1</v>
      </c>
    </row>
    <row r="104" customFormat="false" ht="15" hidden="false" customHeight="false" outlineLevel="0" collapsed="false">
      <c r="A104" s="2" t="s">
        <v>147</v>
      </c>
      <c r="B104" s="2" t="s">
        <v>328</v>
      </c>
      <c r="C104" s="5" t="s">
        <v>82</v>
      </c>
      <c r="D104" s="5" t="s">
        <v>90</v>
      </c>
      <c r="F104" s="11" t="n">
        <f aca="false">MIN(IF(C104="",99,INDEX($B$79:$B$85,MATCH(C104,$A$79:$A$85,0))),IF(D104="",99,INDEX($B$79:$B$85,MATCH(D104,$A$79:$A$85,0))),IF(E104="",99,INDEX($B$79:$B$85,MATCH(E104,$A$79:$A$85,0))))</f>
        <v>1</v>
      </c>
      <c r="G104" s="11" t="n">
        <f aca="false">MIN(IF(C104="",99,INDEX($C$79:$C$85,MATCH(C104,$A$79:$A$85,0))),IF(D104="",99,INDEX($C$79:$C$85,MATCH(D104,$A$79:$A$85,0))),IF(E104="",99,INDEX($C$79:$C$85,MATCH(E104,$A$79:$A$85,0))))</f>
        <v>1</v>
      </c>
      <c r="H104" s="11" t="n">
        <f aca="false">IF(F104&gt;=99,"never",F104)</f>
        <v>1</v>
      </c>
      <c r="I104" s="11" t="n">
        <f aca="false">IF(G104&gt;=99,"never",G104)</f>
        <v>1</v>
      </c>
      <c r="J104" s="25" t="n">
        <v>1</v>
      </c>
      <c r="K104" s="25" t="n">
        <v>1</v>
      </c>
      <c r="L104" s="11" t="n">
        <f aca="false">IF(AND(F104=J104,G104=K104),1,0)</f>
        <v>1</v>
      </c>
    </row>
    <row r="105" customFormat="false" ht="15" hidden="false" customHeight="false" outlineLevel="0" collapsed="false">
      <c r="A105" s="2" t="s">
        <v>147</v>
      </c>
      <c r="B105" s="2" t="s">
        <v>164</v>
      </c>
      <c r="C105" s="5" t="s">
        <v>82</v>
      </c>
      <c r="D105" s="5" t="s">
        <v>88</v>
      </c>
      <c r="E105" s="5" t="s">
        <v>90</v>
      </c>
      <c r="F105" s="11" t="n">
        <f aca="false">MIN(IF(C105="",99,INDEX($B$79:$B$85,MATCH(C105,$A$79:$A$85,0))),IF(D105="",99,INDEX($B$79:$B$85,MATCH(D105,$A$79:$A$85,0))),IF(E105="",99,INDEX($B$79:$B$85,MATCH(E105,$A$79:$A$85,0))))</f>
        <v>0</v>
      </c>
      <c r="G105" s="11" t="n">
        <f aca="false">MIN(IF(C105="",99,INDEX($C$79:$C$85,MATCH(C105,$A$79:$A$85,0))),IF(D105="",99,INDEX($C$79:$C$85,MATCH(D105,$A$79:$A$85,0))),IF(E105="",99,INDEX($C$79:$C$85,MATCH(E105,$A$79:$A$85,0))))</f>
        <v>1</v>
      </c>
      <c r="H105" s="11" t="n">
        <f aca="false">IF(F105&gt;=99,"never",F105)</f>
        <v>0</v>
      </c>
      <c r="I105" s="11" t="n">
        <f aca="false">IF(G105&gt;=99,"never",G105)</f>
        <v>1</v>
      </c>
      <c r="J105" s="25" t="n">
        <v>0</v>
      </c>
      <c r="K105" s="25" t="n">
        <v>1</v>
      </c>
      <c r="L105" s="11" t="n">
        <f aca="false">IF(AND(F105=J105,G105=K105),1,0)</f>
        <v>1</v>
      </c>
    </row>
    <row r="106" customFormat="false" ht="15" hidden="false" customHeight="false" outlineLevel="0" collapsed="false">
      <c r="A106" s="4" t="s">
        <v>329</v>
      </c>
      <c r="L106" s="11" t="n">
        <f aca="false">SUM(L89:L105)</f>
        <v>17</v>
      </c>
    </row>
    <row r="109" customFormat="false" ht="15" hidden="false" customHeight="false" outlineLevel="0" collapsed="false">
      <c r="A109" s="8" t="s">
        <v>330</v>
      </c>
      <c r="B109" s="24" t="str">
        <f aca="false">INDEX(Comps,1)</f>
        <v>MKT</v>
      </c>
      <c r="C109" s="24" t="str">
        <f aca="false">INDEX(Comps,2)</f>
        <v>GOV</v>
      </c>
      <c r="D109" s="24" t="str">
        <f aca="false">INDEX(Comps,3)</f>
        <v>MAT</v>
      </c>
      <c r="E109" s="24" t="str">
        <f aca="false">INDEX(Comps,4)</f>
        <v>IND</v>
      </c>
      <c r="F109" s="24" t="str">
        <f aca="false">INDEX(Comps,5)</f>
        <v>DIG</v>
      </c>
      <c r="G109" s="24" t="str">
        <f aca="false">INDEX(Comps,6)</f>
        <v>ENG</v>
      </c>
      <c r="H109" s="24" t="str">
        <f aca="false">INDEX(Comps,7)</f>
        <v>TRS</v>
      </c>
      <c r="I109" s="8" t="s">
        <v>331</v>
      </c>
    </row>
    <row r="110" customFormat="false" ht="15" hidden="false" customHeight="false" outlineLevel="0" collapsed="false">
      <c r="A110" s="7" t="str">
        <f aca="false">INDEX(Comps,1)</f>
        <v>MKT</v>
      </c>
      <c r="B110" s="11" t="n">
        <f aca="false">IF(AND(0&lt;&gt;0,B69&lt;99,B69&lt;99),1,0)</f>
        <v>0</v>
      </c>
      <c r="C110" s="11" t="n">
        <f aca="false">IF(AND(0&lt;&gt;1,C69&lt;99,B70&lt;99),1,0)</f>
        <v>0</v>
      </c>
      <c r="D110" s="11" t="n">
        <f aca="false">IF(AND(0&lt;&gt;2,D69&lt;99,B71&lt;99),1,0)</f>
        <v>0</v>
      </c>
      <c r="E110" s="11" t="n">
        <f aca="false">IF(AND(0&lt;&gt;3,E69&lt;99,B72&lt;99),1,0)</f>
        <v>0</v>
      </c>
      <c r="F110" s="11" t="n">
        <f aca="false">IF(AND(0&lt;&gt;4,F69&lt;99,B73&lt;99),1,0)</f>
        <v>0</v>
      </c>
      <c r="G110" s="11" t="n">
        <f aca="false">IF(AND(0&lt;&gt;5,G69&lt;99,B74&lt;99),1,0)</f>
        <v>0</v>
      </c>
      <c r="H110" s="11" t="n">
        <f aca="false">IF(AND(0&lt;&gt;6,H69&lt;99,B75&lt;99),1,0)</f>
        <v>0</v>
      </c>
      <c r="I110" s="11" t="n">
        <f aca="false">IF(SUM(B110:H110)&gt;0,1,0)</f>
        <v>0</v>
      </c>
    </row>
    <row r="111" customFormat="false" ht="15" hidden="false" customHeight="false" outlineLevel="0" collapsed="false">
      <c r="A111" s="7" t="str">
        <f aca="false">INDEX(Comps,2)</f>
        <v>GOV</v>
      </c>
      <c r="B111" s="11" t="n">
        <f aca="false">IF(AND(1&lt;&gt;0,B70&lt;99,C69&lt;99),1,0)</f>
        <v>0</v>
      </c>
      <c r="C111" s="11" t="n">
        <f aca="false">IF(AND(1&lt;&gt;1,C70&lt;99,C70&lt;99),1,0)</f>
        <v>0</v>
      </c>
      <c r="D111" s="11" t="n">
        <f aca="false">IF(AND(1&lt;&gt;2,D70&lt;99,C71&lt;99),1,0)</f>
        <v>0</v>
      </c>
      <c r="E111" s="11" t="n">
        <f aca="false">IF(AND(1&lt;&gt;3,E70&lt;99,C72&lt;99),1,0)</f>
        <v>0</v>
      </c>
      <c r="F111" s="11" t="n">
        <f aca="false">IF(AND(1&lt;&gt;4,F70&lt;99,C73&lt;99),1,0)</f>
        <v>0</v>
      </c>
      <c r="G111" s="11" t="n">
        <f aca="false">IF(AND(1&lt;&gt;5,G70&lt;99,C74&lt;99),1,0)</f>
        <v>0</v>
      </c>
      <c r="H111" s="11" t="n">
        <f aca="false">IF(AND(1&lt;&gt;6,H70&lt;99,C75&lt;99),1,0)</f>
        <v>0</v>
      </c>
      <c r="I111" s="11" t="n">
        <f aca="false">IF(SUM(B111:H111)&gt;0,1,0)</f>
        <v>0</v>
      </c>
    </row>
    <row r="112" customFormat="false" ht="15" hidden="false" customHeight="false" outlineLevel="0" collapsed="false">
      <c r="A112" s="7" t="str">
        <f aca="false">INDEX(Comps,3)</f>
        <v>MAT</v>
      </c>
      <c r="B112" s="11" t="n">
        <f aca="false">IF(AND(2&lt;&gt;0,B71&lt;99,D69&lt;99),1,0)</f>
        <v>0</v>
      </c>
      <c r="C112" s="11" t="n">
        <f aca="false">IF(AND(2&lt;&gt;1,C71&lt;99,D70&lt;99),1,0)</f>
        <v>0</v>
      </c>
      <c r="D112" s="11" t="n">
        <f aca="false">IF(AND(2&lt;&gt;2,D71&lt;99,D71&lt;99),1,0)</f>
        <v>0</v>
      </c>
      <c r="E112" s="11" t="n">
        <f aca="false">IF(AND(2&lt;&gt;3,E71&lt;99,D72&lt;99),1,0)</f>
        <v>0</v>
      </c>
      <c r="F112" s="11" t="n">
        <f aca="false">IF(AND(2&lt;&gt;4,F71&lt;99,D73&lt;99),1,0)</f>
        <v>0</v>
      </c>
      <c r="G112" s="11" t="n">
        <f aca="false">IF(AND(2&lt;&gt;5,G71&lt;99,D74&lt;99),1,0)</f>
        <v>0</v>
      </c>
      <c r="H112" s="11" t="n">
        <f aca="false">IF(AND(2&lt;&gt;6,H71&lt;99,D75&lt;99),1,0)</f>
        <v>0</v>
      </c>
      <c r="I112" s="11" t="n">
        <f aca="false">IF(SUM(B112:H112)&gt;0,1,0)</f>
        <v>0</v>
      </c>
    </row>
    <row r="113" customFormat="false" ht="15" hidden="false" customHeight="false" outlineLevel="0" collapsed="false">
      <c r="A113" s="7" t="str">
        <f aca="false">INDEX(Comps,4)</f>
        <v>IND</v>
      </c>
      <c r="B113" s="11" t="n">
        <f aca="false">IF(AND(3&lt;&gt;0,B72&lt;99,E69&lt;99),1,0)</f>
        <v>0</v>
      </c>
      <c r="C113" s="11" t="n">
        <f aca="false">IF(AND(3&lt;&gt;1,C72&lt;99,E70&lt;99),1,0)</f>
        <v>0</v>
      </c>
      <c r="D113" s="11" t="n">
        <f aca="false">IF(AND(3&lt;&gt;2,D72&lt;99,E71&lt;99),1,0)</f>
        <v>0</v>
      </c>
      <c r="E113" s="11" t="n">
        <f aca="false">IF(AND(3&lt;&gt;3,E72&lt;99,E72&lt;99),1,0)</f>
        <v>0</v>
      </c>
      <c r="F113" s="11" t="n">
        <f aca="false">IF(AND(3&lt;&gt;4,F72&lt;99,E73&lt;99),1,0)</f>
        <v>1</v>
      </c>
      <c r="G113" s="11" t="n">
        <f aca="false">IF(AND(3&lt;&gt;5,G72&lt;99,E74&lt;99),1,0)</f>
        <v>1</v>
      </c>
      <c r="H113" s="11" t="n">
        <f aca="false">IF(AND(3&lt;&gt;6,H72&lt;99,E75&lt;99),1,0)</f>
        <v>1</v>
      </c>
      <c r="I113" s="11" t="n">
        <f aca="false">IF(SUM(B113:H113)&gt;0,1,0)</f>
        <v>1</v>
      </c>
    </row>
    <row r="114" customFormat="false" ht="15" hidden="false" customHeight="false" outlineLevel="0" collapsed="false">
      <c r="A114" s="7" t="str">
        <f aca="false">INDEX(Comps,5)</f>
        <v>DIG</v>
      </c>
      <c r="B114" s="11" t="n">
        <f aca="false">IF(AND(4&lt;&gt;0,B73&lt;99,F69&lt;99),1,0)</f>
        <v>0</v>
      </c>
      <c r="C114" s="11" t="n">
        <f aca="false">IF(AND(4&lt;&gt;1,C73&lt;99,F70&lt;99),1,0)</f>
        <v>0</v>
      </c>
      <c r="D114" s="11" t="n">
        <f aca="false">IF(AND(4&lt;&gt;2,D73&lt;99,F71&lt;99),1,0)</f>
        <v>0</v>
      </c>
      <c r="E114" s="11" t="n">
        <f aca="false">IF(AND(4&lt;&gt;3,E73&lt;99,F72&lt;99),1,0)</f>
        <v>1</v>
      </c>
      <c r="F114" s="11" t="n">
        <f aca="false">IF(AND(4&lt;&gt;4,F73&lt;99,F73&lt;99),1,0)</f>
        <v>0</v>
      </c>
      <c r="G114" s="11" t="n">
        <f aca="false">IF(AND(4&lt;&gt;5,G73&lt;99,F74&lt;99),1,0)</f>
        <v>1</v>
      </c>
      <c r="H114" s="11" t="n">
        <f aca="false">IF(AND(4&lt;&gt;6,H73&lt;99,F75&lt;99),1,0)</f>
        <v>1</v>
      </c>
      <c r="I114" s="11" t="n">
        <f aca="false">IF(SUM(B114:H114)&gt;0,1,0)</f>
        <v>1</v>
      </c>
    </row>
    <row r="115" customFormat="false" ht="15" hidden="false" customHeight="false" outlineLevel="0" collapsed="false">
      <c r="A115" s="7" t="str">
        <f aca="false">INDEX(Comps,6)</f>
        <v>ENG</v>
      </c>
      <c r="B115" s="11" t="n">
        <f aca="false">IF(AND(5&lt;&gt;0,B74&lt;99,G69&lt;99),1,0)</f>
        <v>0</v>
      </c>
      <c r="C115" s="11" t="n">
        <f aca="false">IF(AND(5&lt;&gt;1,C74&lt;99,G70&lt;99),1,0)</f>
        <v>0</v>
      </c>
      <c r="D115" s="11" t="n">
        <f aca="false">IF(AND(5&lt;&gt;2,D74&lt;99,G71&lt;99),1,0)</f>
        <v>0</v>
      </c>
      <c r="E115" s="11" t="n">
        <f aca="false">IF(AND(5&lt;&gt;3,E74&lt;99,G72&lt;99),1,0)</f>
        <v>1</v>
      </c>
      <c r="F115" s="11" t="n">
        <f aca="false">IF(AND(5&lt;&gt;4,F74&lt;99,G73&lt;99),1,0)</f>
        <v>1</v>
      </c>
      <c r="G115" s="11" t="n">
        <f aca="false">IF(AND(5&lt;&gt;5,G74&lt;99,G74&lt;99),1,0)</f>
        <v>0</v>
      </c>
      <c r="H115" s="11" t="n">
        <f aca="false">IF(AND(5&lt;&gt;6,H74&lt;99,G75&lt;99),1,0)</f>
        <v>1</v>
      </c>
      <c r="I115" s="11" t="n">
        <f aca="false">IF(SUM(B115:H115)&gt;0,1,0)</f>
        <v>1</v>
      </c>
    </row>
    <row r="116" customFormat="false" ht="15" hidden="false" customHeight="false" outlineLevel="0" collapsed="false">
      <c r="A116" s="7" t="str">
        <f aca="false">INDEX(Comps,7)</f>
        <v>TRS</v>
      </c>
      <c r="B116" s="11" t="n">
        <f aca="false">IF(AND(6&lt;&gt;0,B75&lt;99,H69&lt;99),1,0)</f>
        <v>0</v>
      </c>
      <c r="C116" s="11" t="n">
        <f aca="false">IF(AND(6&lt;&gt;1,C75&lt;99,H70&lt;99),1,0)</f>
        <v>0</v>
      </c>
      <c r="D116" s="11" t="n">
        <f aca="false">IF(AND(6&lt;&gt;2,D75&lt;99,H71&lt;99),1,0)</f>
        <v>0</v>
      </c>
      <c r="E116" s="11" t="n">
        <f aca="false">IF(AND(6&lt;&gt;3,E75&lt;99,H72&lt;99),1,0)</f>
        <v>1</v>
      </c>
      <c r="F116" s="11" t="n">
        <f aca="false">IF(AND(6&lt;&gt;4,F75&lt;99,H73&lt;99),1,0)</f>
        <v>1</v>
      </c>
      <c r="G116" s="11" t="n">
        <f aca="false">IF(AND(6&lt;&gt;5,G75&lt;99,H74&lt;99),1,0)</f>
        <v>1</v>
      </c>
      <c r="H116" s="11" t="n">
        <f aca="false">IF(AND(6&lt;&gt;6,H75&lt;99,H75&lt;99),1,0)</f>
        <v>0</v>
      </c>
      <c r="I116" s="11" t="n">
        <f aca="false">IF(SUM(B116:H116)&gt;0,1,0)</f>
        <v>1</v>
      </c>
    </row>
    <row r="118" customFormat="false" ht="15" hidden="false" customHeight="false" outlineLevel="0" collapsed="false">
      <c r="A118" s="2" t="s">
        <v>332</v>
      </c>
      <c r="B118" s="11" t="n">
        <f aca="false">SUM(I110:I116)</f>
        <v>4</v>
      </c>
      <c r="C118" s="10" t="s">
        <v>333</v>
      </c>
    </row>
    <row r="119" customFormat="false" ht="15" hidden="false" customHeight="false" outlineLevel="0" collapsed="false">
      <c r="A119" s="2" t="s">
        <v>334</v>
      </c>
      <c r="B119" s="11" t="n">
        <f aca="false">COUNTIF(H69:H75,"&lt;99")</f>
        <v>7</v>
      </c>
      <c r="C119" s="10" t="s">
        <v>335</v>
      </c>
    </row>
    <row r="120" customFormat="false" ht="15" hidden="false" customHeight="false" outlineLevel="0" collapsed="false">
      <c r="A120" s="2" t="s">
        <v>336</v>
      </c>
      <c r="B120" s="11" t="n">
        <f aca="false">COUNTIF(D69:D75,"&lt;99")</f>
        <v>2</v>
      </c>
      <c r="C120" s="10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3"/>
    <col collapsed="false" customWidth="true" hidden="false" outlineLevel="0" max="10" min="10" style="0" width="44"/>
    <col collapsed="false" customWidth="true" hidden="false" outlineLevel="0" max="11" min="11" style="0" width="12"/>
    <col collapsed="false" customWidth="true" hidden="false" outlineLevel="0" max="12" min="12" style="0" width="44"/>
  </cols>
  <sheetData>
    <row r="1" customFormat="false" ht="15" hidden="false" customHeight="false" outlineLevel="0" collapsed="false">
      <c r="A1" s="1" t="s">
        <v>338</v>
      </c>
    </row>
    <row r="2" customFormat="false" ht="15" hidden="false" customHeight="false" outlineLevel="0" collapsed="false">
      <c r="A2" s="10" t="s">
        <v>339</v>
      </c>
    </row>
    <row r="4" customFormat="false" ht="15" hidden="false" customHeight="false" outlineLevel="0" collapsed="false">
      <c r="A4" s="8" t="s">
        <v>340</v>
      </c>
      <c r="B4" s="8" t="s">
        <v>341</v>
      </c>
      <c r="C4" s="8" t="s">
        <v>342</v>
      </c>
      <c r="D4" s="8" t="s">
        <v>343</v>
      </c>
      <c r="E4" s="8" t="s">
        <v>344</v>
      </c>
      <c r="F4" s="8" t="s">
        <v>68</v>
      </c>
      <c r="G4" s="8" t="s">
        <v>345</v>
      </c>
      <c r="H4" s="8" t="s">
        <v>346</v>
      </c>
      <c r="J4" s="8" t="s">
        <v>347</v>
      </c>
      <c r="K4" s="8" t="s">
        <v>18</v>
      </c>
      <c r="L4" s="8" t="s">
        <v>348</v>
      </c>
    </row>
    <row r="5" customFormat="false" ht="15" hidden="false" customHeight="false" outlineLevel="0" collapsed="false">
      <c r="A5" s="11" t="n">
        <v>0</v>
      </c>
      <c r="B5" s="13" t="n">
        <f aca="false">A5/12</f>
        <v>0</v>
      </c>
      <c r="C5" s="12" t="n">
        <f aca="false">Declarations!$C$27+(Declarations!$B$27-Declarations!$C$27)*EXP(-Declarations!$D$27*$B5)+Declarations!$E$27*($B5/Declarations!$F$27)*EXP(1-$B5/Declarations!$F$27)</f>
        <v>100</v>
      </c>
      <c r="D5" s="12" t="n">
        <f aca="false">Declarations!$C$28+(Declarations!$B$28-Declarations!$C$28)*EXP(-Declarations!$D$28*$B5)+Declarations!$E$28*($B5/Declarations!$F$28)*EXP(1-$B5/Declarations!$F$28)</f>
        <v>41</v>
      </c>
      <c r="E5" s="12" t="n">
        <f aca="false">Declarations!$C$29+(Declarations!$B$29-Declarations!$C$29)*EXP(-Declarations!$D$29*$B5)+Declarations!$E$29*($B5/Declarations!$F$29)*EXP(1-$B5/Declarations!$F$29)</f>
        <v>71</v>
      </c>
      <c r="F5" s="12" t="n">
        <f aca="false">Declarations!$C$30+(Declarations!$B$30-Declarations!$C$30)*EXP(-Declarations!$D$30*$B5)+Declarations!$E$30*($B5/Declarations!$F$30)*EXP(1-$B5/Declarations!$F$30)</f>
        <v>64</v>
      </c>
      <c r="G5" s="17" t="n">
        <f aca="false">Per_point*C5</f>
        <v>620</v>
      </c>
      <c r="H5" s="12" t="n">
        <f aca="false">(C5+D5+E5-F5)/4</f>
        <v>37</v>
      </c>
      <c r="J5" s="2" t="s">
        <v>349</v>
      </c>
      <c r="K5" s="12" t="n">
        <f aca="false">H5</f>
        <v>37</v>
      </c>
      <c r="L5" s="10" t="s">
        <v>350</v>
      </c>
    </row>
    <row r="6" customFormat="false" ht="15" hidden="false" customHeight="false" outlineLevel="0" collapsed="false">
      <c r="A6" s="11" t="n">
        <v>1</v>
      </c>
      <c r="B6" s="13" t="n">
        <f aca="false">A6/12</f>
        <v>0.0833333333333333</v>
      </c>
      <c r="C6" s="12" t="n">
        <f aca="false">Declarations!$C$27+(Declarations!$B$27-Declarations!$C$27)*EXP(-Declarations!$D$27*$B6)+Declarations!$E$27*($B6/Declarations!$F$27)*EXP(1-$B6/Declarations!$F$27)</f>
        <v>97.3030399475751</v>
      </c>
      <c r="D6" s="12" t="n">
        <f aca="false">Declarations!$C$28+(Declarations!$B$28-Declarations!$C$28)*EXP(-Declarations!$D$28*$B6)+Declarations!$E$28*($B6/Declarations!$F$28)*EXP(1-$B6/Declarations!$F$28)</f>
        <v>42.6575574826973</v>
      </c>
      <c r="E6" s="12" t="n">
        <f aca="false">Declarations!$C$29+(Declarations!$B$29-Declarations!$C$29)*EXP(-Declarations!$D$29*$B6)+Declarations!$E$29*($B6/Declarations!$F$29)*EXP(1-$B6/Declarations!$F$29)</f>
        <v>69.9591710399512</v>
      </c>
      <c r="F6" s="12" t="n">
        <f aca="false">Declarations!$C$30+(Declarations!$B$30-Declarations!$C$30)*EXP(-Declarations!$D$30*$B6)+Declarations!$E$30*($B6/Declarations!$F$30)*EXP(1-$B6/Declarations!$F$30)</f>
        <v>66.0392847793643</v>
      </c>
      <c r="G6" s="17" t="n">
        <f aca="false">Per_point*C6</f>
        <v>603.278847674966</v>
      </c>
      <c r="H6" s="12" t="n">
        <f aca="false">(C6+D6+E6-F6)/4</f>
        <v>35.9701209227148</v>
      </c>
      <c r="J6" s="2" t="s">
        <v>351</v>
      </c>
      <c r="K6" s="12" t="n">
        <f aca="false">MIN($G$5:$G$65)</f>
        <v>481.950382357786</v>
      </c>
      <c r="L6" s="10" t="s">
        <v>352</v>
      </c>
    </row>
    <row r="7" customFormat="false" ht="15" hidden="false" customHeight="false" outlineLevel="0" collapsed="false">
      <c r="A7" s="11" t="n">
        <v>2</v>
      </c>
      <c r="B7" s="13" t="n">
        <f aca="false">A7/12</f>
        <v>0.166666666666667</v>
      </c>
      <c r="C7" s="12" t="n">
        <f aca="false">Declarations!$C$27+(Declarations!$B$27-Declarations!$C$27)*EXP(-Declarations!$D$27*$B7)+Declarations!$E$27*($B7/Declarations!$F$27)*EXP(1-$B7/Declarations!$F$27)</f>
        <v>94.8444479029731</v>
      </c>
      <c r="D7" s="12" t="n">
        <f aca="false">Declarations!$C$28+(Declarations!$B$28-Declarations!$C$28)*EXP(-Declarations!$D$28*$B7)+Declarations!$E$28*($B7/Declarations!$F$28)*EXP(1-$B7/Declarations!$F$28)</f>
        <v>44.2408582948961</v>
      </c>
      <c r="E7" s="12" t="n">
        <f aca="false">Declarations!$C$29+(Declarations!$B$29-Declarations!$C$29)*EXP(-Declarations!$D$29*$B7)+Declarations!$E$29*($B7/Declarations!$F$29)*EXP(1-$B7/Declarations!$F$29)</f>
        <v>69.0473080579369</v>
      </c>
      <c r="F7" s="12" t="n">
        <f aca="false">Declarations!$C$30+(Declarations!$B$30-Declarations!$C$30)*EXP(-Declarations!$D$30*$B7)+Declarations!$E$30*($B7/Declarations!$F$30)*EXP(1-$B7/Declarations!$F$30)</f>
        <v>67.7617339192001</v>
      </c>
      <c r="G7" s="17" t="n">
        <f aca="false">Per_point*C7</f>
        <v>588.035576998433</v>
      </c>
      <c r="H7" s="12" t="n">
        <f aca="false">(C7+D7+E7-F7)/4</f>
        <v>35.0927200841515</v>
      </c>
      <c r="J7" s="2" t="s">
        <v>353</v>
      </c>
      <c r="K7" s="11" t="n">
        <f aca="false">INDEX($A$5:$A$65,MATCH(K6,$G$5:$G$65,0))</f>
        <v>21</v>
      </c>
      <c r="L7" s="10" t="s">
        <v>354</v>
      </c>
    </row>
    <row r="8" customFormat="false" ht="15" hidden="false" customHeight="false" outlineLevel="0" collapsed="false">
      <c r="A8" s="11" t="n">
        <v>3</v>
      </c>
      <c r="B8" s="13" t="n">
        <f aca="false">A8/12</f>
        <v>0.25</v>
      </c>
      <c r="C8" s="12" t="n">
        <f aca="false">Declarations!$C$27+(Declarations!$B$27-Declarations!$C$27)*EXP(-Declarations!$D$27*$B8)+Declarations!$E$27*($B8/Declarations!$F$27)*EXP(1-$B8/Declarations!$F$27)</f>
        <v>92.6093100113046</v>
      </c>
      <c r="D8" s="12" t="n">
        <f aca="false">Declarations!$C$28+(Declarations!$B$28-Declarations!$C$28)*EXP(-Declarations!$D$28*$B8)+Declarations!$E$28*($B8/Declarations!$F$28)*EXP(1-$B8/Declarations!$F$28)</f>
        <v>45.7532290501052</v>
      </c>
      <c r="E8" s="12" t="n">
        <f aca="false">Declarations!$C$29+(Declarations!$B$29-Declarations!$C$29)*EXP(-Declarations!$D$29*$B8)+Declarations!$E$29*($B8/Declarations!$F$29)*EXP(1-$B8/Declarations!$F$29)</f>
        <v>68.2535547481532</v>
      </c>
      <c r="F8" s="12" t="n">
        <f aca="false">Declarations!$C$30+(Declarations!$B$30-Declarations!$C$30)*EXP(-Declarations!$D$30*$B8)+Declarations!$E$30*($B8/Declarations!$F$30)*EXP(1-$B8/Declarations!$F$30)</f>
        <v>69.200179229987</v>
      </c>
      <c r="G8" s="17" t="n">
        <f aca="false">Per_point*C8</f>
        <v>574.177722070089</v>
      </c>
      <c r="H8" s="12" t="n">
        <f aca="false">(C8+D8+E8-F8)/4</f>
        <v>34.353978644894</v>
      </c>
      <c r="J8" s="2" t="s">
        <v>355</v>
      </c>
      <c r="K8" s="13" t="n">
        <f aca="false">MIN($H$5:$H$65)</f>
        <v>32.1064672146718</v>
      </c>
      <c r="L8" s="10" t="s">
        <v>356</v>
      </c>
    </row>
    <row r="9" customFormat="false" ht="15" hidden="false" customHeight="false" outlineLevel="0" collapsed="false">
      <c r="A9" s="11" t="n">
        <v>4</v>
      </c>
      <c r="B9" s="13" t="n">
        <f aca="false">A9/12</f>
        <v>0.333333333333333</v>
      </c>
      <c r="C9" s="12" t="n">
        <f aca="false">Declarations!$C$27+(Declarations!$B$27-Declarations!$C$27)*EXP(-Declarations!$D$27*$B9)+Declarations!$E$27*($B9/Declarations!$F$27)*EXP(1-$B9/Declarations!$F$27)</f>
        <v>90.5835312573105</v>
      </c>
      <c r="D9" s="12" t="n">
        <f aca="false">Declarations!$C$28+(Declarations!$B$28-Declarations!$C$28)*EXP(-Declarations!$D$28*$B9)+Declarations!$E$28*($B9/Declarations!$F$28)*EXP(1-$B9/Declarations!$F$28)</f>
        <v>47.1978473333707</v>
      </c>
      <c r="E9" s="12" t="n">
        <f aca="false">Declarations!$C$29+(Declarations!$B$29-Declarations!$C$29)*EXP(-Declarations!$D$29*$B9)+Declarations!$E$29*($B9/Declarations!$F$29)*EXP(1-$B9/Declarations!$F$29)</f>
        <v>67.5678497872238</v>
      </c>
      <c r="F9" s="12" t="n">
        <f aca="false">Declarations!$C$30+(Declarations!$B$30-Declarations!$C$30)*EXP(-Declarations!$D$30*$B9)+Declarations!$E$30*($B9/Declarations!$F$30)*EXP(1-$B9/Declarations!$F$30)</f>
        <v>70.3844897361639</v>
      </c>
      <c r="G9" s="17" t="n">
        <f aca="false">Per_point*C9</f>
        <v>561.617893795325</v>
      </c>
      <c r="H9" s="12" t="n">
        <f aca="false">(C9+D9+E9-F9)/4</f>
        <v>33.7411846604353</v>
      </c>
      <c r="J9" s="2" t="s">
        <v>357</v>
      </c>
      <c r="K9" s="11" t="n">
        <f aca="false">INDEX($A$5:$A$65,MATCH(K8,$H$5:$H$65,0))</f>
        <v>11</v>
      </c>
      <c r="L9" s="10" t="s">
        <v>358</v>
      </c>
    </row>
    <row r="10" customFormat="false" ht="15" hidden="false" customHeight="false" outlineLevel="0" collapsed="false">
      <c r="A10" s="11" t="n">
        <v>5</v>
      </c>
      <c r="B10" s="13" t="n">
        <f aca="false">A10/12</f>
        <v>0.416666666666667</v>
      </c>
      <c r="C10" s="12" t="n">
        <f aca="false">Declarations!$C$27+(Declarations!$B$27-Declarations!$C$27)*EXP(-Declarations!$D$27*$B10)+Declarations!$E$27*($B10/Declarations!$F$27)*EXP(1-$B10/Declarations!$F$27)</f>
        <v>88.7537935113045</v>
      </c>
      <c r="D10" s="12" t="n">
        <f aca="false">Declarations!$C$28+(Declarations!$B$28-Declarations!$C$28)*EXP(-Declarations!$D$28*$B10)+Declarations!$E$28*($B10/Declarations!$F$28)*EXP(1-$B10/Declarations!$F$28)</f>
        <v>48.5777483775804</v>
      </c>
      <c r="E10" s="12" t="n">
        <f aca="false">Declarations!$C$29+(Declarations!$B$29-Declarations!$C$29)*EXP(-Declarations!$D$29*$B10)+Declarations!$E$29*($B10/Declarations!$F$29)*EXP(1-$B10/Declarations!$F$29)</f>
        <v>66.980872687564</v>
      </c>
      <c r="F10" s="12" t="n">
        <f aca="false">Declarations!$C$30+(Declarations!$B$30-Declarations!$C$30)*EXP(-Declarations!$D$30*$B10)+Declarations!$E$30*($B10/Declarations!$F$30)*EXP(1-$B10/Declarations!$F$30)</f>
        <v>71.3418209025277</v>
      </c>
      <c r="G10" s="17" t="n">
        <f aca="false">Per_point*C10</f>
        <v>550.273519770088</v>
      </c>
      <c r="H10" s="12" t="n">
        <f aca="false">(C10+D10+E10-F10)/4</f>
        <v>33.2426484184803</v>
      </c>
      <c r="J10" s="2" t="s">
        <v>359</v>
      </c>
      <c r="K10" s="11" t="n">
        <f aca="false">_xlfn.MINIFS($A$5:$A$65,$H$5:$H$65,"&gt;="&amp;K5,$A$5:$A$65,"&gt;"&amp;K9)</f>
        <v>29</v>
      </c>
      <c r="L10" s="10" t="s">
        <v>360</v>
      </c>
    </row>
    <row r="11" customFormat="false" ht="15" hidden="false" customHeight="false" outlineLevel="0" collapsed="false">
      <c r="A11" s="11" t="n">
        <v>6</v>
      </c>
      <c r="B11" s="13" t="n">
        <f aca="false">A11/12</f>
        <v>0.5</v>
      </c>
      <c r="C11" s="12" t="n">
        <f aca="false">Declarations!$C$27+(Declarations!$B$27-Declarations!$C$27)*EXP(-Declarations!$D$27*$B11)+Declarations!$E$27*($B11/Declarations!$F$27)*EXP(1-$B11/Declarations!$F$27)</f>
        <v>87.1075156344808</v>
      </c>
      <c r="D11" s="12" t="n">
        <f aca="false">Declarations!$C$28+(Declarations!$B$28-Declarations!$C$28)*EXP(-Declarations!$D$28*$B11)+Declarations!$E$28*($B11/Declarations!$F$28)*EXP(1-$B11/Declarations!$F$28)</f>
        <v>49.8958314406762</v>
      </c>
      <c r="E11" s="12" t="n">
        <f aca="false">Declarations!$C$29+(Declarations!$B$29-Declarations!$C$29)*EXP(-Declarations!$D$29*$B11)+Declarations!$E$29*($B11/Declarations!$F$29)*EXP(1-$B11/Declarations!$F$29)</f>
        <v>66.4839931784075</v>
      </c>
      <c r="F11" s="12" t="n">
        <f aca="false">Declarations!$C$30+(Declarations!$B$30-Declarations!$C$30)*EXP(-Declarations!$D$30*$B11)+Declarations!$E$30*($B11/Declarations!$F$30)*EXP(1-$B11/Declarations!$F$30)</f>
        <v>72.0968437730057</v>
      </c>
      <c r="G11" s="17" t="n">
        <f aca="false">Per_point*C11</f>
        <v>540.066596933781</v>
      </c>
      <c r="H11" s="12" t="n">
        <f aca="false">(C11+D11+E11-F11)/4</f>
        <v>32.8476241201397</v>
      </c>
      <c r="J11" s="2" t="s">
        <v>361</v>
      </c>
      <c r="K11" s="13" t="n">
        <f aca="false">INDEX($H$5:$H$65,K10+1)</f>
        <v>37.1874101717979</v>
      </c>
      <c r="L11" s="10" t="s">
        <v>362</v>
      </c>
    </row>
    <row r="12" customFormat="false" ht="15" hidden="false" customHeight="false" outlineLevel="0" collapsed="false">
      <c r="A12" s="11" t="n">
        <v>7</v>
      </c>
      <c r="B12" s="13" t="n">
        <f aca="false">A12/12</f>
        <v>0.583333333333333</v>
      </c>
      <c r="C12" s="12" t="n">
        <f aca="false">Declarations!$C$27+(Declarations!$B$27-Declarations!$C$27)*EXP(-Declarations!$D$27*$B12)+Declarations!$E$27*($B12/Declarations!$F$27)*EXP(1-$B12/Declarations!$F$27)</f>
        <v>85.6328155454083</v>
      </c>
      <c r="D12" s="12" t="n">
        <f aca="false">Declarations!$C$28+(Declarations!$B$28-Declarations!$C$28)*EXP(-Declarations!$D$28*$B12)+Declarations!$E$28*($B12/Declarations!$F$28)*EXP(1-$B12/Declarations!$F$28)</f>
        <v>51.154865897176</v>
      </c>
      <c r="E12" s="12" t="n">
        <f aca="false">Declarations!$C$29+(Declarations!$B$29-Declarations!$C$29)*EXP(-Declarations!$D$29*$B12)+Declarations!$E$29*($B12/Declarations!$F$29)*EXP(1-$B12/Declarations!$F$29)</f>
        <v>66.0692238914704</v>
      </c>
      <c r="F12" s="12" t="n">
        <f aca="false">Declarations!$C$30+(Declarations!$B$30-Declarations!$C$30)*EXP(-Declarations!$D$30*$B12)+Declarations!$E$30*($B12/Declarations!$F$30)*EXP(1-$B12/Declarations!$F$30)</f>
        <v>72.6719555947814</v>
      </c>
      <c r="G12" s="17" t="n">
        <f aca="false">Per_point*C12</f>
        <v>530.923456381531</v>
      </c>
      <c r="H12" s="12" t="n">
        <f aca="false">(C12+D12+E12-F12)/4</f>
        <v>32.5462374348183</v>
      </c>
      <c r="J12" s="2" t="s">
        <v>363</v>
      </c>
      <c r="K12" s="13" t="n">
        <f aca="false">MAX($F$5:$F$65)</f>
        <v>73.5520635207556</v>
      </c>
      <c r="L12" s="10" t="s">
        <v>364</v>
      </c>
    </row>
    <row r="13" customFormat="false" ht="15" hidden="false" customHeight="false" outlineLevel="0" collapsed="false">
      <c r="A13" s="11" t="n">
        <v>8</v>
      </c>
      <c r="B13" s="13" t="n">
        <f aca="false">A13/12</f>
        <v>0.666666666666667</v>
      </c>
      <c r="C13" s="12" t="n">
        <f aca="false">Declarations!$C$27+(Declarations!$B$27-Declarations!$C$27)*EXP(-Declarations!$D$27*$B13)+Declarations!$E$27*($B13/Declarations!$F$27)*EXP(1-$B13/Declarations!$F$27)</f>
        <v>84.318474154115</v>
      </c>
      <c r="D13" s="12" t="n">
        <f aca="false">Declarations!$C$28+(Declarations!$B$28-Declarations!$C$28)*EXP(-Declarations!$D$28*$B13)+Declarations!$E$28*($B13/Declarations!$F$28)*EXP(1-$B13/Declarations!$F$28)</f>
        <v>52.3574970568017</v>
      </c>
      <c r="E13" s="12" t="n">
        <f aca="false">Declarations!$C$29+(Declarations!$B$29-Declarations!$C$29)*EXP(-Declarations!$D$29*$B13)+Declarations!$E$29*($B13/Declarations!$F$29)*EXP(1-$B13/Declarations!$F$29)</f>
        <v>65.7291761420234</v>
      </c>
      <c r="F13" s="12" t="n">
        <f aca="false">Declarations!$C$30+(Declarations!$B$30-Declarations!$C$30)*EXP(-Declarations!$D$30*$B13)+Declarations!$E$30*($B13/Declarations!$F$30)*EXP(1-$B13/Declarations!$F$30)</f>
        <v>73.0874733801265</v>
      </c>
      <c r="G13" s="17" t="n">
        <f aca="false">Per_point*C13</f>
        <v>522.774539755513</v>
      </c>
      <c r="H13" s="12" t="n">
        <f aca="false">(C13+D13+E13-F13)/4</f>
        <v>32.3294184932034</v>
      </c>
      <c r="J13" s="2" t="s">
        <v>365</v>
      </c>
      <c r="K13" s="11" t="n">
        <f aca="false">INDEX($A$5:$A$65,MATCH(K12,$F$5:$F$65,0))</f>
        <v>11</v>
      </c>
      <c r="L13" s="10" t="s">
        <v>358</v>
      </c>
    </row>
    <row r="14" customFormat="false" ht="15" hidden="false" customHeight="false" outlineLevel="0" collapsed="false">
      <c r="A14" s="11" t="n">
        <v>9</v>
      </c>
      <c r="B14" s="13" t="n">
        <f aca="false">A14/12</f>
        <v>0.75</v>
      </c>
      <c r="C14" s="12" t="n">
        <f aca="false">Declarations!$C$27+(Declarations!$B$27-Declarations!$C$27)*EXP(-Declarations!$D$27*$B14)+Declarations!$E$27*($B14/Declarations!$F$27)*EXP(1-$B14/Declarations!$F$27)</f>
        <v>83.1539010745388</v>
      </c>
      <c r="D14" s="12" t="n">
        <f aca="false">Declarations!$C$28+(Declarations!$B$28-Declarations!$C$28)*EXP(-Declarations!$D$28*$B14)+Declarations!$E$28*($B14/Declarations!$F$28)*EXP(1-$B14/Declarations!$F$28)</f>
        <v>53.5062517224391</v>
      </c>
      <c r="E14" s="12" t="n">
        <f aca="false">Declarations!$C$29+(Declarations!$B$29-Declarations!$C$29)*EXP(-Declarations!$D$29*$B14)+Declarations!$E$29*($B14/Declarations!$F$29)*EXP(1-$B14/Declarations!$F$29)</f>
        <v>65.4570186091036</v>
      </c>
      <c r="F14" s="12" t="n">
        <f aca="false">Declarations!$C$30+(Declarations!$B$30-Declarations!$C$30)*EXP(-Declarations!$D$30*$B14)+Declarations!$E$30*($B14/Declarations!$F$30)*EXP(1-$B14/Declarations!$F$30)</f>
        <v>73.3618117467716</v>
      </c>
      <c r="G14" s="17" t="n">
        <f aca="false">Per_point*C14</f>
        <v>515.554186662141</v>
      </c>
      <c r="H14" s="12" t="n">
        <f aca="false">(C14+D14+E14-F14)/4</f>
        <v>32.1888399148275</v>
      </c>
      <c r="J14" s="2" t="s">
        <v>366</v>
      </c>
      <c r="K14" s="12" t="n">
        <f aca="false">Risk_ceiling-K12</f>
        <v>1.44793647924442</v>
      </c>
      <c r="L14" s="10" t="s">
        <v>367</v>
      </c>
    </row>
    <row r="15" customFormat="false" ht="15" hidden="false" customHeight="false" outlineLevel="0" collapsed="false">
      <c r="A15" s="11" t="n">
        <v>10</v>
      </c>
      <c r="B15" s="13" t="n">
        <f aca="false">A15/12</f>
        <v>0.833333333333333</v>
      </c>
      <c r="C15" s="12" t="n">
        <f aca="false">Declarations!$C$27+(Declarations!$B$27-Declarations!$C$27)*EXP(-Declarations!$D$27*$B15)+Declarations!$E$27*($B15/Declarations!$F$27)*EXP(1-$B15/Declarations!$F$27)</f>
        <v>82.129102030291</v>
      </c>
      <c r="D15" s="12" t="n">
        <f aca="false">Declarations!$C$28+(Declarations!$B$28-Declarations!$C$28)*EXP(-Declarations!$D$28*$B15)+Declarations!$E$28*($B15/Declarations!$F$28)*EXP(1-$B15/Declarations!$F$28)</f>
        <v>54.6035434991088</v>
      </c>
      <c r="E15" s="12" t="n">
        <f aca="false">Declarations!$C$29+(Declarations!$B$29-Declarations!$C$29)*EXP(-Declarations!$D$29*$B15)+Declarations!$E$29*($B15/Declarations!$F$29)*EXP(1-$B15/Declarations!$F$29)</f>
        <v>65.2464387307634</v>
      </c>
      <c r="F15" s="12" t="n">
        <f aca="false">Declarations!$C$30+(Declarations!$B$30-Declarations!$C$30)*EXP(-Declarations!$D$30*$B15)+Declarations!$E$30*($B15/Declarations!$F$30)*EXP(1-$B15/Declarations!$F$30)</f>
        <v>73.5116462745503</v>
      </c>
      <c r="G15" s="17" t="n">
        <f aca="false">Per_point*C15</f>
        <v>509.200432587804</v>
      </c>
      <c r="H15" s="12" t="n">
        <f aca="false">(C15+D15+E15-F15)/4</f>
        <v>32.1168594964032</v>
      </c>
    </row>
    <row r="16" customFormat="false" ht="15" hidden="false" customHeight="false" outlineLevel="0" collapsed="false">
      <c r="A16" s="11" t="n">
        <v>11</v>
      </c>
      <c r="B16" s="13" t="n">
        <f aca="false">A16/12</f>
        <v>0.916666666666667</v>
      </c>
      <c r="C16" s="12" t="n">
        <f aca="false">Declarations!$C$27+(Declarations!$B$27-Declarations!$C$27)*EXP(-Declarations!$D$27*$B16)+Declarations!$E$27*($B16/Declarations!$F$27)*EXP(1-$B16/Declarations!$F$27)</f>
        <v>81.2346478726594</v>
      </c>
      <c r="D16" s="12" t="n">
        <f aca="false">Declarations!$C$28+(Declarations!$B$28-Declarations!$C$28)*EXP(-Declarations!$D$28*$B16)+Declarations!$E$28*($B16/Declarations!$F$28)*EXP(1-$B16/Declarations!$F$28)</f>
        <v>55.6516778650994</v>
      </c>
      <c r="E16" s="12" t="n">
        <f aca="false">Declarations!$C$29+(Declarations!$B$29-Declarations!$C$29)*EXP(-Declarations!$D$29*$B16)+Declarations!$E$29*($B16/Declarations!$F$29)*EXP(1-$B16/Declarations!$F$29)</f>
        <v>65.0916066416841</v>
      </c>
      <c r="F16" s="12" t="n">
        <f aca="false">Declarations!$C$30+(Declarations!$B$30-Declarations!$C$30)*EXP(-Declarations!$D$30*$B16)+Declarations!$E$30*($B16/Declarations!$F$30)*EXP(1-$B16/Declarations!$F$30)</f>
        <v>73.5520635207556</v>
      </c>
      <c r="G16" s="17" t="n">
        <f aca="false">Per_point*C16</f>
        <v>503.654816810488</v>
      </c>
      <c r="H16" s="12" t="n">
        <f aca="false">(C16+D16+E16-F16)/4</f>
        <v>32.1064672146718</v>
      </c>
      <c r="J16" s="2" t="s">
        <v>368</v>
      </c>
      <c r="K16" s="17" t="n">
        <f aca="false">INDEX($G$5:$G$65,12)</f>
        <v>503.654816810488</v>
      </c>
      <c r="L16" s="10" t="s">
        <v>369</v>
      </c>
    </row>
    <row r="17" customFormat="false" ht="15" hidden="false" customHeight="false" outlineLevel="0" collapsed="false">
      <c r="A17" s="11" t="n">
        <v>12</v>
      </c>
      <c r="B17" s="13" t="n">
        <f aca="false">A17/12</f>
        <v>1</v>
      </c>
      <c r="C17" s="12" t="n">
        <f aca="false">Declarations!$C$27+(Declarations!$B$27-Declarations!$C$27)*EXP(-Declarations!$D$27*$B17)+Declarations!$E$27*($B17/Declarations!$F$27)*EXP(1-$B17/Declarations!$F$27)</f>
        <v>80.4616451335736</v>
      </c>
      <c r="D17" s="12" t="n">
        <f aca="false">Declarations!$C$28+(Declarations!$B$28-Declarations!$C$28)*EXP(-Declarations!$D$28*$B17)+Declarations!$E$28*($B17/Declarations!$F$28)*EXP(1-$B17/Declarations!$F$28)</f>
        <v>56.652857015922</v>
      </c>
      <c r="E17" s="12" t="n">
        <f aca="false">Declarations!$C$29+(Declarations!$B$29-Declarations!$C$29)*EXP(-Declarations!$D$29*$B17)+Declarations!$E$29*($B17/Declarations!$F$29)*EXP(1-$B17/Declarations!$F$29)</f>
        <v>64.9871414912077</v>
      </c>
      <c r="F17" s="12" t="n">
        <f aca="false">Declarations!$C$30+(Declarations!$B$30-Declarations!$C$30)*EXP(-Declarations!$D$30*$B17)+Declarations!$E$30*($B17/Declarations!$F$30)*EXP(1-$B17/Declarations!$F$30)</f>
        <v>73.4966987485625</v>
      </c>
      <c r="G17" s="17" t="n">
        <f aca="false">Per_point*C17</f>
        <v>498.862199828157</v>
      </c>
      <c r="H17" s="12" t="n">
        <f aca="false">(C17+D17+E17-F17)/4</f>
        <v>32.1512362230352</v>
      </c>
      <c r="J17" s="2" t="s">
        <v>370</v>
      </c>
      <c r="K17" s="17" t="n">
        <f aca="false">INDEX($G$5:$G$65,12)-INDEX($G$5:$G$65,11)</f>
        <v>-5.54561577731619</v>
      </c>
      <c r="L17" s="10" t="s">
        <v>371</v>
      </c>
    </row>
    <row r="18" customFormat="false" ht="15" hidden="false" customHeight="false" outlineLevel="0" collapsed="false">
      <c r="A18" s="11" t="n">
        <v>13</v>
      </c>
      <c r="B18" s="13" t="n">
        <f aca="false">A18/12</f>
        <v>1.08333333333333</v>
      </c>
      <c r="C18" s="12" t="n">
        <f aca="false">Declarations!$C$27+(Declarations!$B$27-Declarations!$C$27)*EXP(-Declarations!$D$27*$B18)+Declarations!$E$27*($B18/Declarations!$F$27)*EXP(1-$B18/Declarations!$F$27)</f>
        <v>79.801708039877</v>
      </c>
      <c r="D18" s="12" t="n">
        <f aca="false">Declarations!$C$28+(Declarations!$B$28-Declarations!$C$28)*EXP(-Declarations!$D$28*$B18)+Declarations!$E$28*($B18/Declarations!$F$28)*EXP(1-$B18/Declarations!$F$28)</f>
        <v>57.609184491259</v>
      </c>
      <c r="E18" s="12" t="n">
        <f aca="false">Declarations!$C$29+(Declarations!$B$29-Declarations!$C$29)*EXP(-Declarations!$D$29*$B18)+Declarations!$E$29*($B18/Declarations!$F$29)*EXP(1-$B18/Declarations!$F$29)</f>
        <v>64.9280799899194</v>
      </c>
      <c r="F18" s="12" t="n">
        <f aca="false">Declarations!$C$30+(Declarations!$B$30-Declarations!$C$30)*EXP(-Declarations!$D$30*$B18)+Declarations!$E$30*($B18/Declarations!$F$30)*EXP(1-$B18/Declarations!$F$30)</f>
        <v>73.357862341466</v>
      </c>
      <c r="G18" s="17" t="n">
        <f aca="false">Per_point*C18</f>
        <v>494.770589847238</v>
      </c>
      <c r="H18" s="12" t="n">
        <f aca="false">(C18+D18+E18-F18)/4</f>
        <v>32.2452775448974</v>
      </c>
      <c r="J18" s="2" t="s">
        <v>372</v>
      </c>
      <c r="K18" s="12" t="n">
        <f aca="false">INDEX($H$5:$H$65,12)</f>
        <v>32.1064672146718</v>
      </c>
      <c r="L18" s="10" t="s">
        <v>373</v>
      </c>
    </row>
    <row r="19" customFormat="false" ht="15" hidden="false" customHeight="false" outlineLevel="0" collapsed="false">
      <c r="A19" s="11" t="n">
        <v>14</v>
      </c>
      <c r="B19" s="13" t="n">
        <f aca="false">A19/12</f>
        <v>1.16666666666667</v>
      </c>
      <c r="C19" s="12" t="n">
        <f aca="false">Declarations!$C$27+(Declarations!$B$27-Declarations!$C$27)*EXP(-Declarations!$D$27*$B19)+Declarations!$E$27*($B19/Declarations!$F$27)*EXP(1-$B19/Declarations!$F$27)</f>
        <v>79.2469319187023</v>
      </c>
      <c r="D19" s="12" t="n">
        <f aca="false">Declarations!$C$28+(Declarations!$B$28-Declarations!$C$28)*EXP(-Declarations!$D$28*$B19)+Declarations!$E$28*($B19/Declarations!$F$28)*EXP(1-$B19/Declarations!$F$28)</f>
        <v>58.5226695946323</v>
      </c>
      <c r="E19" s="12" t="n">
        <f aca="false">Declarations!$C$29+(Declarations!$B$29-Declarations!$C$29)*EXP(-Declarations!$D$29*$B19)+Declarations!$E$29*($B19/Declarations!$F$29)*EXP(1-$B19/Declarations!$F$29)</f>
        <v>64.9098470423679</v>
      </c>
      <c r="F19" s="12" t="n">
        <f aca="false">Declarations!$C$30+(Declarations!$B$30-Declarations!$C$30)*EXP(-Declarations!$D$30*$B19)+Declarations!$E$30*($B19/Declarations!$F$30)*EXP(1-$B19/Declarations!$F$30)</f>
        <v>73.146655801452</v>
      </c>
      <c r="G19" s="17" t="n">
        <f aca="false">Per_point*C19</f>
        <v>491.330977895954</v>
      </c>
      <c r="H19" s="12" t="n">
        <f aca="false">(C19+D19+E19-F19)/4</f>
        <v>32.3831981885627</v>
      </c>
      <c r="J19" s="2" t="s">
        <v>374</v>
      </c>
      <c r="K19" s="12" t="n">
        <f aca="false">INDEX($F$5:$F$65,12)</f>
        <v>73.5520635207556</v>
      </c>
      <c r="L19" s="10" t="s">
        <v>375</v>
      </c>
    </row>
    <row r="20" customFormat="false" ht="15" hidden="false" customHeight="false" outlineLevel="0" collapsed="false">
      <c r="A20" s="11" t="n">
        <v>15</v>
      </c>
      <c r="B20" s="13" t="n">
        <f aca="false">A20/12</f>
        <v>1.25</v>
      </c>
      <c r="C20" s="12" t="n">
        <f aca="false">Declarations!$C$27+(Declarations!$B$27-Declarations!$C$27)*EXP(-Declarations!$D$27*$B20)+Declarations!$E$27*($B20/Declarations!$F$27)*EXP(1-$B20/Declarations!$F$27)</f>
        <v>78.7898679270468</v>
      </c>
      <c r="D20" s="12" t="n">
        <f aca="false">Declarations!$C$28+(Declarations!$B$28-Declarations!$C$28)*EXP(-Declarations!$D$28*$B20)+Declarations!$E$28*($B20/Declarations!$F$28)*EXP(1-$B20/Declarations!$F$28)</f>
        <v>59.3952316150752</v>
      </c>
      <c r="E20" s="12" t="n">
        <f aca="false">Declarations!$C$29+(Declarations!$B$29-Declarations!$C$29)*EXP(-Declarations!$D$29*$B20)+Declarations!$E$29*($B20/Declarations!$F$29)*EXP(1-$B20/Declarations!$F$29)</f>
        <v>64.9282283323937</v>
      </c>
      <c r="F20" s="12" t="n">
        <f aca="false">Declarations!$C$30+(Declarations!$B$30-Declarations!$C$30)*EXP(-Declarations!$D$30*$B20)+Declarations!$E$30*($B20/Declarations!$F$30)*EXP(1-$B20/Declarations!$F$30)</f>
        <v>72.8730781591058</v>
      </c>
      <c r="G20" s="17" t="n">
        <f aca="false">Per_point*C20</f>
        <v>488.49718114769</v>
      </c>
      <c r="H20" s="12" t="n">
        <f aca="false">(C20+D20+E20-F20)/4</f>
        <v>32.5600624288525</v>
      </c>
    </row>
    <row r="21" customFormat="false" ht="15" hidden="false" customHeight="false" outlineLevel="0" collapsed="false">
      <c r="A21" s="11" t="n">
        <v>16</v>
      </c>
      <c r="B21" s="13" t="n">
        <f aca="false">A21/12</f>
        <v>1.33333333333333</v>
      </c>
      <c r="C21" s="12" t="n">
        <f aca="false">Declarations!$C$27+(Declarations!$B$27-Declarations!$C$27)*EXP(-Declarations!$D$27*$B21)+Declarations!$E$27*($B21/Declarations!$F$27)*EXP(1-$B21/Declarations!$F$27)</f>
        <v>78.423499041783</v>
      </c>
      <c r="D21" s="12" t="n">
        <f aca="false">Declarations!$C$28+(Declarations!$B$28-Declarations!$C$28)*EXP(-Declarations!$D$28*$B21)+Declarations!$E$28*($B21/Declarations!$F$28)*EXP(1-$B21/Declarations!$F$28)</f>
        <v>60.2287038596774</v>
      </c>
      <c r="E21" s="12" t="n">
        <f aca="false">Declarations!$C$29+(Declarations!$B$29-Declarations!$C$29)*EXP(-Declarations!$D$29*$B21)+Declarations!$E$29*($B21/Declarations!$F$29)*EXP(1-$B21/Declarations!$F$29)</f>
        <v>64.9793447358696</v>
      </c>
      <c r="F21" s="12" t="n">
        <f aca="false">Declarations!$C$30+(Declarations!$B$30-Declarations!$C$30)*EXP(-Declarations!$D$30*$B21)+Declarations!$E$30*($B21/Declarations!$F$30)*EXP(1-$B21/Declarations!$F$30)</f>
        <v>72.5461235596317</v>
      </c>
      <c r="G21" s="17" t="n">
        <f aca="false">Per_point*C21</f>
        <v>486.225694059055</v>
      </c>
      <c r="H21" s="12" t="n">
        <f aca="false">(C21+D21+E21-F21)/4</f>
        <v>32.7713560194246</v>
      </c>
    </row>
    <row r="22" customFormat="false" ht="15" hidden="false" customHeight="false" outlineLevel="0" collapsed="false">
      <c r="A22" s="11" t="n">
        <v>17</v>
      </c>
      <c r="B22" s="13" t="n">
        <f aca="false">A22/12</f>
        <v>1.41666666666667</v>
      </c>
      <c r="C22" s="12" t="n">
        <f aca="false">Declarations!$C$27+(Declarations!$B$27-Declarations!$C$27)*EXP(-Declarations!$D$27*$B22)+Declarations!$E$27*($B22/Declarations!$F$27)*EXP(1-$B22/Declarations!$F$27)</f>
        <v>78.1412172493408</v>
      </c>
      <c r="D22" s="12" t="n">
        <f aca="false">Declarations!$C$28+(Declarations!$B$28-Declarations!$C$28)*EXP(-Declarations!$D$28*$B22)+Declarations!$E$28*($B22/Declarations!$F$28)*EXP(1-$B22/Declarations!$F$28)</f>
        <v>61.024837505478</v>
      </c>
      <c r="E22" s="12" t="n">
        <f aca="false">Declarations!$C$29+(Declarations!$B$29-Declarations!$C$29)*EXP(-Declarations!$D$29*$B22)+Declarations!$E$29*($B22/Declarations!$F$29)*EXP(1-$B22/Declarations!$F$29)</f>
        <v>65.0596284434855</v>
      </c>
      <c r="F22" s="12" t="n">
        <f aca="false">Declarations!$C$30+(Declarations!$B$30-Declarations!$C$30)*EXP(-Declarations!$D$30*$B22)+Declarations!$E$30*($B22/Declarations!$F$30)*EXP(1-$B22/Declarations!$F$30)</f>
        <v>72.1738707294185</v>
      </c>
      <c r="G22" s="17" t="n">
        <f aca="false">Per_point*C22</f>
        <v>484.475546945913</v>
      </c>
      <c r="H22" s="12" t="n">
        <f aca="false">(C22+D22+E22-F22)/4</f>
        <v>33.0129531172215</v>
      </c>
    </row>
    <row r="23" customFormat="false" ht="15" hidden="false" customHeight="false" outlineLevel="0" collapsed="false">
      <c r="A23" s="11" t="n">
        <v>18</v>
      </c>
      <c r="B23" s="13" t="n">
        <f aca="false">A23/12</f>
        <v>1.5</v>
      </c>
      <c r="C23" s="12" t="n">
        <f aca="false">Declarations!$C$27+(Declarations!$B$27-Declarations!$C$27)*EXP(-Declarations!$D$27*$B23)+Declarations!$E$27*($B23/Declarations!$F$27)*EXP(1-$B23/Declarations!$F$27)</f>
        <v>77.9368018771557</v>
      </c>
      <c r="D23" s="12" t="n">
        <f aca="false">Declarations!$C$28+(Declarations!$B$28-Declarations!$C$28)*EXP(-Declarations!$D$28*$B23)+Declarations!$E$28*($B23/Declarations!$F$28)*EXP(1-$B23/Declarations!$F$28)</f>
        <v>61.7853052787969</v>
      </c>
      <c r="E23" s="12" t="n">
        <f aca="false">Declarations!$C$29+(Declarations!$B$29-Declarations!$C$29)*EXP(-Declarations!$D$29*$B23)+Declarations!$E$29*($B23/Declarations!$F$29)*EXP(1-$B23/Declarations!$F$29)</f>
        <v>65.1658006835539</v>
      </c>
      <c r="F23" s="12" t="n">
        <f aca="false">Declarations!$C$30+(Declarations!$B$30-Declarations!$C$30)*EXP(-Declarations!$D$30*$B23)+Declarations!$E$30*($B23/Declarations!$F$30)*EXP(1-$B23/Declarations!$F$30)</f>
        <v>71.7635649729719</v>
      </c>
      <c r="G23" s="17" t="n">
        <f aca="false">Per_point*C23</f>
        <v>483.208171638365</v>
      </c>
      <c r="H23" s="12" t="n">
        <f aca="false">(C23+D23+E23-F23)/4</f>
        <v>33.2810857166336</v>
      </c>
    </row>
    <row r="24" customFormat="false" ht="15" hidden="false" customHeight="false" outlineLevel="0" collapsed="false">
      <c r="A24" s="11" t="n">
        <v>19</v>
      </c>
      <c r="B24" s="13" t="n">
        <f aca="false">A24/12</f>
        <v>1.58333333333333</v>
      </c>
      <c r="C24" s="12" t="n">
        <f aca="false">Declarations!$C$27+(Declarations!$B$27-Declarations!$C$27)*EXP(-Declarations!$D$27*$B24)+Declarations!$E$27*($B24/Declarations!$F$27)*EXP(1-$B24/Declarations!$F$27)</f>
        <v>77.8043990117055</v>
      </c>
      <c r="D24" s="12" t="n">
        <f aca="false">Declarations!$C$28+(Declarations!$B$28-Declarations!$C$28)*EXP(-Declarations!$D$28*$B24)+Declarations!$E$28*($B24/Declarations!$F$28)*EXP(1-$B24/Declarations!$F$28)</f>
        <v>62.511704969737</v>
      </c>
      <c r="E24" s="12" t="n">
        <f aca="false">Declarations!$C$29+(Declarations!$B$29-Declarations!$C$29)*EXP(-Declarations!$D$29*$B24)+Declarations!$E$29*($B24/Declarations!$F$29)*EXP(1-$B24/Declarations!$F$29)</f>
        <v>65.2948509417047</v>
      </c>
      <c r="F24" s="12" t="n">
        <f aca="false">Declarations!$C$30+(Declarations!$B$30-Declarations!$C$30)*EXP(-Declarations!$D$30*$B24)+Declarations!$E$30*($B24/Declarations!$F$30)*EXP(1-$B24/Declarations!$F$30)</f>
        <v>71.3216932993983</v>
      </c>
      <c r="G24" s="17" t="n">
        <f aca="false">Per_point*C24</f>
        <v>482.387273872574</v>
      </c>
      <c r="H24" s="12" t="n">
        <f aca="false">(C24+D24+E24-F24)/4</f>
        <v>33.5723154059372</v>
      </c>
    </row>
    <row r="25" customFormat="false" ht="15" hidden="false" customHeight="false" outlineLevel="0" collapsed="false">
      <c r="A25" s="11" t="n">
        <v>20</v>
      </c>
      <c r="B25" s="13" t="n">
        <f aca="false">A25/12</f>
        <v>1.66666666666667</v>
      </c>
      <c r="C25" s="12" t="n">
        <f aca="false">Declarations!$C$27+(Declarations!$B$27-Declarations!$C$27)*EXP(-Declarations!$D$27*$B25)+Declarations!$E$27*($B25/Declarations!$F$27)*EXP(1-$B25/Declarations!$F$27)</f>
        <v>77.738501950561</v>
      </c>
      <c r="D25" s="12" t="n">
        <f aca="false">Declarations!$C$28+(Declarations!$B$28-Declarations!$C$28)*EXP(-Declarations!$D$28*$B25)+Declarations!$E$28*($B25/Declarations!$F$28)*EXP(1-$B25/Declarations!$F$28)</f>
        <v>63.2055627892406</v>
      </c>
      <c r="E25" s="12" t="n">
        <f aca="false">Declarations!$C$29+(Declarations!$B$29-Declarations!$C$29)*EXP(-Declarations!$D$29*$B25)+Declarations!$E$29*($B25/Declarations!$F$29)*EXP(1-$B25/Declarations!$F$29)</f>
        <v>65.4440175808138</v>
      </c>
      <c r="F25" s="12" t="n">
        <f aca="false">Declarations!$C$30+(Declarations!$B$30-Declarations!$C$30)*EXP(-Declarations!$D$30*$B25)+Declarations!$E$30*($B25/Declarations!$F$30)*EXP(1-$B25/Declarations!$F$30)</f>
        <v>70.854053230863</v>
      </c>
      <c r="G25" s="17" t="n">
        <f aca="false">Per_point*C25</f>
        <v>481.978712093478</v>
      </c>
      <c r="H25" s="12" t="n">
        <f aca="false">(C25+D25+E25-F25)/4</f>
        <v>33.8835072724381</v>
      </c>
    </row>
    <row r="26" customFormat="false" ht="15" hidden="false" customHeight="false" outlineLevel="0" collapsed="false">
      <c r="A26" s="11" t="n">
        <v>21</v>
      </c>
      <c r="B26" s="13" t="n">
        <f aca="false">A26/12</f>
        <v>1.75</v>
      </c>
      <c r="C26" s="12" t="n">
        <f aca="false">Declarations!$C$27+(Declarations!$B$27-Declarations!$C$27)*EXP(-Declarations!$D$27*$B26)+Declarations!$E$27*($B26/Declarations!$F$27)*EXP(1-$B26/Declarations!$F$27)</f>
        <v>77.7339326383525</v>
      </c>
      <c r="D26" s="12" t="n">
        <f aca="false">Declarations!$C$28+(Declarations!$B$28-Declarations!$C$28)*EXP(-Declarations!$D$28*$B26)+Declarations!$E$28*($B26/Declarations!$F$28)*EXP(1-$B26/Declarations!$F$28)</f>
        <v>63.8683365757539</v>
      </c>
      <c r="E26" s="12" t="n">
        <f aca="false">Declarations!$C$29+(Declarations!$B$29-Declarations!$C$29)*EXP(-Declarations!$D$29*$B26)+Declarations!$E$29*($B26/Declarations!$F$29)*EXP(1-$B26/Declarations!$F$29)</f>
        <v>65.6107697705775</v>
      </c>
      <c r="F26" s="12" t="n">
        <f aca="false">Declarations!$C$30+(Declarations!$B$30-Declarations!$C$30)*EXP(-Declarations!$D$30*$B26)+Declarations!$E$30*($B26/Declarations!$F$30)*EXP(1-$B26/Declarations!$F$30)</f>
        <v>70.3658158022576</v>
      </c>
      <c r="G26" s="17" t="n">
        <f aca="false">Per_point*C26</f>
        <v>481.950382357786</v>
      </c>
      <c r="H26" s="12" t="n">
        <f aca="false">(C26+D26+E26-F26)/4</f>
        <v>34.2118057956066</v>
      </c>
    </row>
    <row r="27" customFormat="false" ht="15" hidden="false" customHeight="false" outlineLevel="0" collapsed="false">
      <c r="A27" s="11" t="n">
        <v>22</v>
      </c>
      <c r="B27" s="13" t="n">
        <f aca="false">A27/12</f>
        <v>1.83333333333333</v>
      </c>
      <c r="C27" s="12" t="n">
        <f aca="false">Declarations!$C$27+(Declarations!$B$27-Declarations!$C$27)*EXP(-Declarations!$D$27*$B27)+Declarations!$E$27*($B27/Declarations!$F$27)*EXP(1-$B27/Declarations!$F$27)</f>
        <v>77.785824038926</v>
      </c>
      <c r="D27" s="12" t="n">
        <f aca="false">Declarations!$C$28+(Declarations!$B$28-Declarations!$C$28)*EXP(-Declarations!$D$28*$B27)+Declarations!$E$28*($B27/Declarations!$F$28)*EXP(1-$B27/Declarations!$F$28)</f>
        <v>64.5014188582355</v>
      </c>
      <c r="E27" s="12" t="n">
        <f aca="false">Declarations!$C$29+(Declarations!$B$29-Declarations!$C$29)*EXP(-Declarations!$D$29*$B27)+Declarations!$E$29*($B27/Declarations!$F$29)*EXP(1-$B27/Declarations!$F$29)</f>
        <v>65.792790641846</v>
      </c>
      <c r="F27" s="12" t="n">
        <f aca="false">Declarations!$C$30+(Declarations!$B$30-Declarations!$C$30)*EXP(-Declarations!$D$30*$B27)+Declarations!$E$30*($B27/Declarations!$F$30)*EXP(1-$B27/Declarations!$F$30)</f>
        <v>69.861583221432</v>
      </c>
      <c r="G27" s="17" t="n">
        <f aca="false">Per_point*C27</f>
        <v>482.272109041341</v>
      </c>
      <c r="H27" s="12" t="n">
        <f aca="false">(C27+D27+E27-F27)/4</f>
        <v>34.5546125793939</v>
      </c>
    </row>
    <row r="28" customFormat="false" ht="15" hidden="false" customHeight="false" outlineLevel="0" collapsed="false">
      <c r="A28" s="11" t="n">
        <v>23</v>
      </c>
      <c r="B28" s="13" t="n">
        <f aca="false">A28/12</f>
        <v>1.91666666666667</v>
      </c>
      <c r="C28" s="12" t="n">
        <f aca="false">Declarations!$C$27+(Declarations!$B$27-Declarations!$C$27)*EXP(-Declarations!$D$27*$B28)+Declarations!$E$27*($B28/Declarations!$F$27)*EXP(1-$B28/Declarations!$F$27)</f>
        <v>77.8896033982143</v>
      </c>
      <c r="D28" s="12" t="n">
        <f aca="false">Declarations!$C$28+(Declarations!$B$28-Declarations!$C$28)*EXP(-Declarations!$D$28*$B28)+Declarations!$E$28*($B28/Declarations!$F$28)*EXP(1-$B28/Declarations!$F$28)</f>
        <v>65.1061397819471</v>
      </c>
      <c r="E28" s="12" t="n">
        <f aca="false">Declarations!$C$29+(Declarations!$B$29-Declarations!$C$29)*EXP(-Declarations!$D$29*$B28)+Declarations!$E$29*($B28/Declarations!$F$29)*EXP(1-$B28/Declarations!$F$29)</f>
        <v>65.987961586177</v>
      </c>
      <c r="F28" s="12" t="n">
        <f aca="false">Declarations!$C$30+(Declarations!$B$30-Declarations!$C$30)*EXP(-Declarations!$D$30*$B28)+Declarations!$E$30*($B28/Declarations!$F$30)*EXP(1-$B28/Declarations!$F$30)</f>
        <v>69.3454416225273</v>
      </c>
      <c r="G28" s="17" t="n">
        <f aca="false">Per_point*C28</f>
        <v>482.915541068929</v>
      </c>
      <c r="H28" s="12" t="n">
        <f aca="false">(C28+D28+E28-F28)/4</f>
        <v>34.9095657859528</v>
      </c>
    </row>
    <row r="29" customFormat="false" ht="15" hidden="false" customHeight="false" outlineLevel="0" collapsed="false">
      <c r="A29" s="11" t="n">
        <v>24</v>
      </c>
      <c r="B29" s="13" t="n">
        <f aca="false">A29/12</f>
        <v>2</v>
      </c>
      <c r="C29" s="12" t="n">
        <f aca="false">Declarations!$C$27+(Declarations!$B$27-Declarations!$C$27)*EXP(-Declarations!$D$27*$B29)+Declarations!$E$27*($B29/Declarations!$F$27)*EXP(1-$B29/Declarations!$F$27)</f>
        <v>78.0409763545031</v>
      </c>
      <c r="D29" s="12" t="n">
        <f aca="false">Declarations!$C$28+(Declarations!$B$28-Declarations!$C$28)*EXP(-Declarations!$D$28*$B29)+Declarations!$E$28*($B29/Declarations!$F$28)*EXP(1-$B29/Declarations!$F$28)</f>
        <v>65.6837699031711</v>
      </c>
      <c r="E29" s="12" t="n">
        <f aca="false">Declarations!$C$29+(Declarations!$B$29-Declarations!$C$29)*EXP(-Declarations!$D$29*$B29)+Declarations!$E$29*($B29/Declarations!$F$29)*EXP(1-$B29/Declarations!$F$29)</f>
        <v>66.1943476260859</v>
      </c>
      <c r="F29" s="12" t="n">
        <f aca="false">Declarations!$C$30+(Declarations!$B$30-Declarations!$C$30)*EXP(-Declarations!$D$30*$B29)+Declarations!$E$30*($B29/Declarations!$F$30)*EXP(1-$B29/Declarations!$F$30)</f>
        <v>68.821009310951</v>
      </c>
      <c r="G29" s="17" t="n">
        <f aca="false">Per_point*C29</f>
        <v>483.854053397919</v>
      </c>
      <c r="H29" s="12" t="n">
        <f aca="false">(C29+D29+E29-F29)/4</f>
        <v>35.2745211432023</v>
      </c>
    </row>
    <row r="30" customFormat="false" ht="15" hidden="false" customHeight="false" outlineLevel="0" collapsed="false">
      <c r="A30" s="11" t="n">
        <v>25</v>
      </c>
      <c r="B30" s="13" t="n">
        <f aca="false">A30/12</f>
        <v>2.08333333333333</v>
      </c>
      <c r="C30" s="12" t="n">
        <f aca="false">Declarations!$C$27+(Declarations!$B$27-Declarations!$C$27)*EXP(-Declarations!$D$27*$B30)+Declarations!$E$27*($B30/Declarations!$F$27)*EXP(1-$B30/Declarations!$F$27)</f>
        <v>78.2359118548215</v>
      </c>
      <c r="D30" s="12" t="n">
        <f aca="false">Declarations!$C$28+(Declarations!$B$28-Declarations!$C$28)*EXP(-Declarations!$D$28*$B30)+Declarations!$E$28*($B30/Declarations!$F$28)*EXP(1-$B30/Declarations!$F$28)</f>
        <v>66.2355228587284</v>
      </c>
      <c r="E30" s="12" t="n">
        <f aca="false">Declarations!$C$29+(Declarations!$B$29-Declarations!$C$29)*EXP(-Declarations!$D$29*$B30)+Declarations!$E$29*($B30/Declarations!$F$29)*EXP(1-$B30/Declarations!$F$29)</f>
        <v>66.4101837861788</v>
      </c>
      <c r="F30" s="12" t="n">
        <f aca="false">Declarations!$C$30+(Declarations!$B$30-Declarations!$C$30)*EXP(-Declarations!$D$30*$B30)+Declarations!$E$30*($B30/Declarations!$F$30)*EXP(1-$B30/Declarations!$F$30)</f>
        <v>68.2914808671584</v>
      </c>
      <c r="G30" s="17" t="n">
        <f aca="false">Per_point*C30</f>
        <v>485.062653499893</v>
      </c>
      <c r="H30" s="12" t="n">
        <f aca="false">(C30+D30+E30-F30)/4</f>
        <v>35.6475344081426</v>
      </c>
    </row>
    <row r="31" customFormat="false" ht="15" hidden="false" customHeight="false" outlineLevel="0" collapsed="false">
      <c r="A31" s="11" t="n">
        <v>26</v>
      </c>
      <c r="B31" s="13" t="n">
        <f aca="false">A31/12</f>
        <v>2.16666666666667</v>
      </c>
      <c r="C31" s="12" t="n">
        <f aca="false">Declarations!$C$27+(Declarations!$B$27-Declarations!$C$27)*EXP(-Declarations!$D$27*$B31)+Declarations!$E$27*($B31/Declarations!$F$27)*EXP(1-$B31/Declarations!$F$27)</f>
        <v>78.4706278381456</v>
      </c>
      <c r="D31" s="12" t="n">
        <f aca="false">Declarations!$C$28+(Declarations!$B$28-Declarations!$C$28)*EXP(-Declarations!$D$28*$B31)+Declarations!$E$28*($B31/Declarations!$F$28)*EXP(1-$B31/Declarations!$F$28)</f>
        <v>66.762557915905</v>
      </c>
      <c r="E31" s="12" t="n">
        <f aca="false">Declarations!$C$29+(Declarations!$B$29-Declarations!$C$29)*EXP(-Declarations!$D$29*$B31)+Declarations!$E$29*($B31/Declarations!$F$29)*EXP(1-$B31/Declarations!$F$29)</f>
        <v>66.6338623997701</v>
      </c>
      <c r="F31" s="12" t="n">
        <f aca="false">Declarations!$C$30+(Declarations!$B$30-Declarations!$C$30)*EXP(-Declarations!$D$30*$B31)+Declarations!$E$30*($B31/Declarations!$F$30)*EXP(1-$B31/Declarations!$F$30)</f>
        <v>67.7596674474404</v>
      </c>
      <c r="G31" s="17" t="n">
        <f aca="false">Per_point*C31</f>
        <v>486.517892596503</v>
      </c>
      <c r="H31" s="12" t="n">
        <f aca="false">(C31+D31+E31-F31)/4</f>
        <v>36.0268451765951</v>
      </c>
    </row>
    <row r="32" customFormat="false" ht="15" hidden="false" customHeight="false" outlineLevel="0" collapsed="false">
      <c r="A32" s="11" t="n">
        <v>27</v>
      </c>
      <c r="B32" s="13" t="n">
        <f aca="false">A32/12</f>
        <v>2.25</v>
      </c>
      <c r="C32" s="12" t="n">
        <f aca="false">Declarations!$C$27+(Declarations!$B$27-Declarations!$C$27)*EXP(-Declarations!$D$27*$B32)+Declarations!$E$27*($B32/Declarations!$F$27)*EXP(1-$B32/Declarations!$F$27)</f>
        <v>78.7415776479672</v>
      </c>
      <c r="D32" s="12" t="n">
        <f aca="false">Declarations!$C$28+(Declarations!$B$28-Declarations!$C$28)*EXP(-Declarations!$D$28*$B32)+Declarations!$E$28*($B32/Declarations!$F$28)*EXP(1-$B32/Declarations!$F$28)</f>
        <v>67.2659824081448</v>
      </c>
      <c r="E32" s="12" t="n">
        <f aca="false">Declarations!$C$29+(Declarations!$B$29-Declarations!$C$29)*EXP(-Declarations!$D$29*$B32)+Declarations!$E$29*($B32/Declarations!$F$29)*EXP(1-$B32/Declarations!$F$29)</f>
        <v>66.8639212897294</v>
      </c>
      <c r="F32" s="12" t="n">
        <f aca="false">Declarations!$C$30+(Declarations!$B$30-Declarations!$C$30)*EXP(-Declarations!$D$30*$B32)+Declarations!$E$30*($B32/Declarations!$F$30)*EXP(1-$B32/Declarations!$F$30)</f>
        <v>67.2280335931886</v>
      </c>
      <c r="G32" s="17" t="n">
        <f aca="false">Per_point*C32</f>
        <v>488.197781417396</v>
      </c>
      <c r="H32" s="12" t="n">
        <f aca="false">(C32+D32+E32-F32)/4</f>
        <v>36.4108619381632</v>
      </c>
    </row>
    <row r="33" customFormat="false" ht="15" hidden="false" customHeight="false" outlineLevel="0" collapsed="false">
      <c r="A33" s="11" t="n">
        <v>28</v>
      </c>
      <c r="B33" s="13" t="n">
        <f aca="false">A33/12</f>
        <v>2.33333333333333</v>
      </c>
      <c r="C33" s="12" t="n">
        <f aca="false">Declarations!$C$27+(Declarations!$B$27-Declarations!$C$27)*EXP(-Declarations!$D$27*$B33)+Declarations!$E$27*($B33/Declarations!$F$27)*EXP(1-$B33/Declarations!$F$27)</f>
        <v>79.045437138559</v>
      </c>
      <c r="D33" s="12" t="n">
        <f aca="false">Declarations!$C$28+(Declarations!$B$28-Declarations!$C$28)*EXP(-Declarations!$D$28*$B33)+Declarations!$E$28*($B33/Declarations!$F$28)*EXP(1-$B33/Declarations!$F$28)</f>
        <v>67.7468540616254</v>
      </c>
      <c r="E33" s="12" t="n">
        <f aca="false">Declarations!$C$29+(Declarations!$B$29-Declarations!$C$29)*EXP(-Declarations!$D$29*$B33)+Declarations!$E$29*($B33/Declarations!$F$29)*EXP(1-$B33/Declarations!$F$29)</f>
        <v>67.0990327661884</v>
      </c>
      <c r="F33" s="12" t="n">
        <f aca="false">Declarations!$C$30+(Declarations!$B$30-Declarations!$C$30)*EXP(-Declarations!$D$30*$B33)+Declarations!$E$30*($B33/Declarations!$F$30)*EXP(1-$B33/Declarations!$F$30)</f>
        <v>66.6987308354428</v>
      </c>
      <c r="G33" s="17" t="n">
        <f aca="false">Per_point*C33</f>
        <v>490.081710259066</v>
      </c>
      <c r="H33" s="12" t="n">
        <f aca="false">(C33+D33+E33-F33)/4</f>
        <v>36.7981482827325</v>
      </c>
    </row>
    <row r="34" customFormat="false" ht="15" hidden="false" customHeight="false" outlineLevel="0" collapsed="false">
      <c r="A34" s="11" t="n">
        <v>29</v>
      </c>
      <c r="B34" s="13" t="n">
        <f aca="false">A34/12</f>
        <v>2.41666666666667</v>
      </c>
      <c r="C34" s="12" t="n">
        <f aca="false">Declarations!$C$27+(Declarations!$B$27-Declarations!$C$27)*EXP(-Declarations!$D$27*$B34)+Declarations!$E$27*($B34/Declarations!$F$27)*EXP(1-$B34/Declarations!$F$27)</f>
        <v>79.3790924409648</v>
      </c>
      <c r="D34" s="12" t="n">
        <f aca="false">Declarations!$C$28+(Declarations!$B$28-Declarations!$C$28)*EXP(-Declarations!$D$28*$B34)+Declarations!$E$28*($B34/Declarations!$F$28)*EXP(1-$B34/Declarations!$F$28)</f>
        <v>68.2061832176076</v>
      </c>
      <c r="E34" s="12" t="n">
        <f aca="false">Declarations!$C$29+(Declarations!$B$29-Declarations!$C$29)*EXP(-Declarations!$D$29*$B34)+Declarations!$E$29*($B34/Declarations!$F$29)*EXP(1-$B34/Declarations!$F$29)</f>
        <v>67.3379933873867</v>
      </c>
      <c r="F34" s="12" t="n">
        <f aca="false">Declarations!$C$30+(Declarations!$B$30-Declarations!$C$30)*EXP(-Declarations!$D$30*$B34)+Declarations!$E$30*($B34/Declarations!$F$30)*EXP(1-$B34/Declarations!$F$30)</f>
        <v>66.1736283587675</v>
      </c>
      <c r="G34" s="17" t="n">
        <f aca="false">Per_point*C34</f>
        <v>492.150373133982</v>
      </c>
      <c r="H34" s="12" t="n">
        <f aca="false">(C34+D34+E34-F34)/4</f>
        <v>37.1874101717979</v>
      </c>
    </row>
    <row r="35" customFormat="false" ht="15" hidden="false" customHeight="false" outlineLevel="0" collapsed="false">
      <c r="A35" s="11" t="n">
        <v>30</v>
      </c>
      <c r="B35" s="13" t="n">
        <f aca="false">A35/12</f>
        <v>2.5</v>
      </c>
      <c r="C35" s="12" t="n">
        <f aca="false">Declarations!$C$27+(Declarations!$B$27-Declarations!$C$27)*EXP(-Declarations!$D$27*$B35)+Declarations!$E$27*($B35/Declarations!$F$27)*EXP(1-$B35/Declarations!$F$27)</f>
        <v>79.7396283563587</v>
      </c>
      <c r="D35" s="12" t="n">
        <f aca="false">Declarations!$C$28+(Declarations!$B$28-Declarations!$C$28)*EXP(-Declarations!$D$28*$B35)+Declarations!$E$28*($B35/Declarations!$F$28)*EXP(1-$B35/Declarations!$F$28)</f>
        <v>68.6449349552244</v>
      </c>
      <c r="E35" s="12" t="n">
        <f aca="false">Declarations!$C$29+(Declarations!$B$29-Declarations!$C$29)*EXP(-Declarations!$D$29*$B35)+Declarations!$E$29*($B35/Declarations!$F$29)*EXP(1-$B35/Declarations!$F$29)</f>
        <v>67.57971443335</v>
      </c>
      <c r="F35" s="12" t="n">
        <f aca="false">Declarations!$C$30+(Declarations!$B$30-Declarations!$C$30)*EXP(-Declarations!$D$30*$B35)+Declarations!$E$30*($B35/Declarations!$F$30)*EXP(1-$B35/Declarations!$F$30)</f>
        <v>65.6543409675087</v>
      </c>
      <c r="G35" s="17" t="n">
        <f aca="false">Per_point*C35</f>
        <v>494.385695809424</v>
      </c>
      <c r="H35" s="12" t="n">
        <f aca="false">(C35+D35+E35-F35)/4</f>
        <v>37.5774841943561</v>
      </c>
    </row>
    <row r="36" customFormat="false" ht="15" hidden="false" customHeight="false" outlineLevel="0" collapsed="false">
      <c r="A36" s="11" t="n">
        <v>31</v>
      </c>
      <c r="B36" s="13" t="n">
        <f aca="false">A36/12</f>
        <v>2.58333333333333</v>
      </c>
      <c r="C36" s="12" t="n">
        <f aca="false">Declarations!$C$27+(Declarations!$B$27-Declarations!$C$27)*EXP(-Declarations!$D$27*$B36)+Declarations!$E$27*($B36/Declarations!$F$27)*EXP(1-$B36/Declarations!$F$27)</f>
        <v>80.1243173459593</v>
      </c>
      <c r="D36" s="12" t="n">
        <f aca="false">Declarations!$C$28+(Declarations!$B$28-Declarations!$C$28)*EXP(-Declarations!$D$28*$B36)+Declarations!$E$28*($B36/Declarations!$F$28)*EXP(1-$B36/Declarations!$F$28)</f>
        <v>69.0640311191727</v>
      </c>
      <c r="E36" s="12" t="n">
        <f aca="false">Declarations!$C$29+(Declarations!$B$29-Declarations!$C$29)*EXP(-Declarations!$D$29*$B36)+Declarations!$E$29*($B36/Declarations!$F$29)*EXP(1-$B36/Declarations!$F$29)</f>
        <v>67.8232130453035</v>
      </c>
      <c r="F36" s="12" t="n">
        <f aca="false">Declarations!$C$30+(Declarations!$B$30-Declarations!$C$30)*EXP(-Declarations!$D$30*$B36)+Declarations!$E$30*($B36/Declarations!$F$30)*EXP(1-$B36/Declarations!$F$30)</f>
        <v>65.1422545781151</v>
      </c>
      <c r="G36" s="17" t="n">
        <f aca="false">Per_point*C36</f>
        <v>496.770767544947</v>
      </c>
      <c r="H36" s="12" t="n">
        <f aca="false">(C36+D36+E36-F36)/4</f>
        <v>37.9673267330801</v>
      </c>
    </row>
    <row r="37" customFormat="false" ht="15" hidden="false" customHeight="false" outlineLevel="0" collapsed="false">
      <c r="A37" s="11" t="n">
        <v>32</v>
      </c>
      <c r="B37" s="13" t="n">
        <f aca="false">A37/12</f>
        <v>2.66666666666667</v>
      </c>
      <c r="C37" s="12" t="n">
        <f aca="false">Declarations!$C$27+(Declarations!$B$27-Declarations!$C$27)*EXP(-Declarations!$D$27*$B37)+Declarations!$E$27*($B37/Declarations!$F$27)*EXP(1-$B37/Declarations!$F$27)</f>
        <v>80.5306090881554</v>
      </c>
      <c r="D37" s="12" t="n">
        <f aca="false">Declarations!$C$28+(Declarations!$B$28-Declarations!$C$28)*EXP(-Declarations!$D$28*$B37)+Declarations!$E$28*($B37/Declarations!$F$28)*EXP(1-$B37/Declarations!$F$28)</f>
        <v>69.4643522565664</v>
      </c>
      <c r="E37" s="12" t="n">
        <f aca="false">Declarations!$C$29+(Declarations!$B$29-Declarations!$C$29)*EXP(-Declarations!$D$29*$B37)+Declarations!$E$29*($B37/Declarations!$F$29)*EXP(1-$B37/Declarations!$F$29)</f>
        <v>68.0676039867308</v>
      </c>
      <c r="F37" s="12" t="n">
        <f aca="false">Declarations!$C$30+(Declarations!$B$30-Declarations!$C$30)*EXP(-Declarations!$D$30*$B37)+Declarations!$E$30*($B37/Declarations!$F$30)*EXP(1-$B37/Declarations!$F$30)</f>
        <v>64.6385494433426</v>
      </c>
      <c r="G37" s="17" t="n">
        <f aca="false">Per_point*C37</f>
        <v>499.289776346563</v>
      </c>
      <c r="H37" s="12" t="n">
        <f aca="false">(C37+D37+E37-F37)/4</f>
        <v>38.3560039720275</v>
      </c>
    </row>
    <row r="38" customFormat="false" ht="15" hidden="false" customHeight="false" outlineLevel="0" collapsed="false">
      <c r="A38" s="11" t="n">
        <v>33</v>
      </c>
      <c r="B38" s="13" t="n">
        <f aca="false">A38/12</f>
        <v>2.75</v>
      </c>
      <c r="C38" s="12" t="n">
        <f aca="false">Declarations!$C$27+(Declarations!$B$27-Declarations!$C$27)*EXP(-Declarations!$D$27*$B38)+Declarations!$E$27*($B38/Declarations!$F$27)*EXP(1-$B38/Declarations!$F$27)</f>
        <v>80.9561205749002</v>
      </c>
      <c r="D38" s="12" t="n">
        <f aca="false">Declarations!$C$28+(Declarations!$B$28-Declarations!$C$28)*EXP(-Declarations!$D$28*$B38)+Declarations!$E$28*($B38/Declarations!$F$28)*EXP(1-$B38/Declarations!$F$28)</f>
        <v>69.8467394670203</v>
      </c>
      <c r="E38" s="12" t="n">
        <f aca="false">Declarations!$C$29+(Declarations!$B$29-Declarations!$C$29)*EXP(-Declarations!$D$29*$B38)+Declarations!$E$29*($B38/Declarations!$F$29)*EXP(1-$B38/Declarations!$F$29)</f>
        <v>68.3120919848047</v>
      </c>
      <c r="F38" s="12" t="n">
        <f aca="false">Declarations!$C$30+(Declarations!$B$30-Declarations!$C$30)*EXP(-Declarations!$D$30*$B38)+Declarations!$E$30*($B38/Declarations!$F$30)*EXP(1-$B38/Declarations!$F$30)</f>
        <v>64.144221297692</v>
      </c>
      <c r="G38" s="17" t="n">
        <f aca="false">Per_point*C38</f>
        <v>501.927947564381</v>
      </c>
      <c r="H38" s="12" t="n">
        <f aca="false">(C38+D38+E38-F38)/4</f>
        <v>38.7426826822583</v>
      </c>
    </row>
    <row r="39" customFormat="false" ht="15" hidden="false" customHeight="false" outlineLevel="0" collapsed="false">
      <c r="A39" s="11" t="n">
        <v>34</v>
      </c>
      <c r="B39" s="13" t="n">
        <f aca="false">A39/12</f>
        <v>2.83333333333333</v>
      </c>
      <c r="C39" s="12" t="n">
        <f aca="false">Declarations!$C$27+(Declarations!$B$27-Declarations!$C$27)*EXP(-Declarations!$D$27*$B39)+Declarations!$E$27*($B39/Declarations!$F$27)*EXP(1-$B39/Declarations!$F$27)</f>
        <v>81.3986267207659</v>
      </c>
      <c r="D39" s="12" t="n">
        <f aca="false">Declarations!$C$28+(Declarations!$B$28-Declarations!$C$28)*EXP(-Declarations!$D$28*$B39)+Declarations!$E$28*($B39/Declarations!$F$28)*EXP(1-$B39/Declarations!$F$28)</f>
        <v>70.2119961698534</v>
      </c>
      <c r="E39" s="12" t="n">
        <f aca="false">Declarations!$C$29+(Declarations!$B$29-Declarations!$C$29)*EXP(-Declarations!$D$29*$B39)+Declarations!$E$29*($B39/Declarations!$F$29)*EXP(1-$B39/Declarations!$F$29)</f>
        <v>68.5559646135639</v>
      </c>
      <c r="F39" s="12" t="n">
        <f aca="false">Declarations!$C$30+(Declarations!$B$30-Declarations!$C$30)*EXP(-Declarations!$D$30*$B39)+Declarations!$E$30*($B39/Declarations!$F$30)*EXP(1-$B39/Declarations!$F$30)</f>
        <v>63.6601005982351</v>
      </c>
      <c r="G39" s="17" t="n">
        <f aca="false">Per_point*C39</f>
        <v>504.671485668748</v>
      </c>
      <c r="H39" s="12" t="n">
        <f aca="false">(C39+D39+E39-F39)/4</f>
        <v>39.126621726487</v>
      </c>
    </row>
    <row r="40" customFormat="false" ht="15" hidden="false" customHeight="false" outlineLevel="0" collapsed="false">
      <c r="A40" s="11" t="n">
        <v>35</v>
      </c>
      <c r="B40" s="13" t="n">
        <f aca="false">A40/12</f>
        <v>2.91666666666667</v>
      </c>
      <c r="C40" s="12" t="n">
        <f aca="false">Declarations!$C$27+(Declarations!$B$27-Declarations!$C$27)*EXP(-Declarations!$D$27*$B40)+Declarations!$E$27*($B40/Declarations!$F$27)*EXP(1-$B40/Declarations!$F$27)</f>
        <v>81.8560514593246</v>
      </c>
      <c r="D40" s="12" t="n">
        <f aca="false">Declarations!$C$28+(Declarations!$B$28-Declarations!$C$28)*EXP(-Declarations!$D$28*$B40)+Declarations!$E$28*($B40/Declarations!$F$28)*EXP(1-$B40/Declarations!$F$28)</f>
        <v>70.5608897921219</v>
      </c>
      <c r="E40" s="12" t="n">
        <f aca="false">Declarations!$C$29+(Declarations!$B$29-Declarations!$C$29)*EXP(-Declarations!$D$29*$B40)+Declarations!$E$29*($B40/Declarations!$F$29)*EXP(1-$B40/Declarations!$F$29)</f>
        <v>68.7985856826848</v>
      </c>
      <c r="F40" s="12" t="n">
        <f aca="false">Declarations!$C$30+(Declarations!$B$30-Declarations!$C$30)*EXP(-Declarations!$D$30*$B40)+Declarations!$E$30*($B40/Declarations!$F$30)*EXP(1-$B40/Declarations!$F$30)</f>
        <v>63.1868700209848</v>
      </c>
      <c r="G40" s="17" t="n">
        <f aca="false">Per_point*C40</f>
        <v>507.507519047813</v>
      </c>
      <c r="H40" s="12" t="n">
        <f aca="false">(C40+D40+E40-F40)/4</f>
        <v>39.5071642282866</v>
      </c>
    </row>
    <row r="41" customFormat="false" ht="15" hidden="false" customHeight="false" outlineLevel="0" collapsed="false">
      <c r="A41" s="11" t="n">
        <v>36</v>
      </c>
      <c r="B41" s="13" t="n">
        <f aca="false">A41/12</f>
        <v>3</v>
      </c>
      <c r="C41" s="12" t="n">
        <f aca="false">Declarations!$C$27+(Declarations!$B$27-Declarations!$C$27)*EXP(-Declarations!$D$27*$B41)+Declarations!$E$27*($B41/Declarations!$F$27)*EXP(1-$B41/Declarations!$F$27)</f>
        <v>82.3264593027355</v>
      </c>
      <c r="D41" s="12" t="n">
        <f aca="false">Declarations!$C$28+(Declarations!$B$28-Declarations!$C$28)*EXP(-Declarations!$D$28*$B41)+Declarations!$E$28*($B41/Declarations!$F$28)*EXP(1-$B41/Declarations!$F$28)</f>
        <v>70.8941533810321</v>
      </c>
      <c r="E41" s="12" t="n">
        <f aca="false">Declarations!$C$29+(Declarations!$B$29-Declarations!$C$29)*EXP(-Declarations!$D$29*$B41)+Declarations!$E$29*($B41/Declarations!$F$29)*EXP(1-$B41/Declarations!$F$29)</f>
        <v>69.0393890980235</v>
      </c>
      <c r="F41" s="12" t="n">
        <f aca="false">Declarations!$C$30+(Declarations!$B$30-Declarations!$C$30)*EXP(-Declarations!$D$30*$B41)+Declarations!$E$30*($B41/Declarations!$F$30)*EXP(1-$B41/Declarations!$F$30)</f>
        <v>62.7250803600537</v>
      </c>
      <c r="G41" s="17" t="n">
        <f aca="false">Per_point*C41</f>
        <v>510.42404767696</v>
      </c>
      <c r="H41" s="12" t="n">
        <f aca="false">(C41+D41+E41-F41)/4</f>
        <v>39.8837303554344</v>
      </c>
    </row>
    <row r="42" customFormat="false" ht="15" hidden="false" customHeight="false" outlineLevel="0" collapsed="false">
      <c r="A42" s="11" t="n">
        <v>37</v>
      </c>
      <c r="B42" s="13" t="n">
        <f aca="false">A42/12</f>
        <v>3.08333333333333</v>
      </c>
      <c r="C42" s="12" t="n">
        <f aca="false">Declarations!$C$27+(Declarations!$B$27-Declarations!$C$27)*EXP(-Declarations!$D$27*$B42)+Declarations!$E$27*($B42/Declarations!$F$27)*EXP(1-$B42/Declarations!$F$27)</f>
        <v>82.8080473415731</v>
      </c>
      <c r="D42" s="12" t="n">
        <f aca="false">Declarations!$C$28+(Declarations!$B$28-Declarations!$C$28)*EXP(-Declarations!$D$28*$B42)+Declarations!$E$28*($B42/Declarations!$F$28)*EXP(1-$B42/Declarations!$F$28)</f>
        <v>71.2124871441178</v>
      </c>
      <c r="E42" s="12" t="n">
        <f aca="false">Declarations!$C$29+(Declarations!$B$29-Declarations!$C$29)*EXP(-Declarations!$D$29*$B42)+Declarations!$E$29*($B42/Declarations!$F$29)*EXP(1-$B42/Declarations!$F$29)</f>
        <v>69.2778731622786</v>
      </c>
      <c r="F42" s="12" t="n">
        <f aca="false">Declarations!$C$30+(Declarations!$B$30-Declarations!$C$30)*EXP(-Declarations!$D$30*$B42)+Declarations!$E$30*($B42/Declarations!$F$30)*EXP(1-$B42/Declarations!$F$30)</f>
        <v>62.2751649649466</v>
      </c>
      <c r="G42" s="17" t="n">
        <f aca="false">Per_point*C42</f>
        <v>513.409893517753</v>
      </c>
      <c r="H42" s="12" t="n">
        <f aca="false">(C42+D42+E42-F42)/4</f>
        <v>40.2558106707557</v>
      </c>
    </row>
    <row r="43" customFormat="false" ht="15" hidden="false" customHeight="false" outlineLevel="0" collapsed="false">
      <c r="A43" s="11" t="n">
        <v>38</v>
      </c>
      <c r="B43" s="13" t="n">
        <f aca="false">A43/12</f>
        <v>3.16666666666667</v>
      </c>
      <c r="C43" s="12" t="n">
        <f aca="false">Declarations!$C$27+(Declarations!$B$27-Declarations!$C$27)*EXP(-Declarations!$D$27*$B43)+Declarations!$E$27*($B43/Declarations!$F$27)*EXP(1-$B43/Declarations!$F$27)</f>
        <v>83.2991376630354</v>
      </c>
      <c r="D43" s="12" t="n">
        <f aca="false">Declarations!$C$28+(Declarations!$B$28-Declarations!$C$28)*EXP(-Declarations!$D$28*$B43)+Declarations!$E$28*($B43/Declarations!$F$28)*EXP(1-$B43/Declarations!$F$28)</f>
        <v>71.5165599204197</v>
      </c>
      <c r="E43" s="12" t="n">
        <f aca="false">Declarations!$C$29+(Declarations!$B$29-Declarations!$C$29)*EXP(-Declarations!$D$29*$B43)+Declarations!$E$29*($B43/Declarations!$F$29)*EXP(1-$B43/Declarations!$F$29)</f>
        <v>69.5135952861703</v>
      </c>
      <c r="F43" s="12" t="n">
        <f aca="false">Declarations!$C$30+(Declarations!$B$30-Declarations!$C$30)*EXP(-Declarations!$D$30*$B43)+Declarations!$E$30*($B43/Declarations!$F$30)*EXP(1-$B43/Declarations!$F$30)</f>
        <v>61.8374528403716</v>
      </c>
      <c r="G43" s="17" t="n">
        <f aca="false">Per_point*C43</f>
        <v>516.454653510819</v>
      </c>
      <c r="H43" s="12" t="n">
        <f aca="false">(C43+D43+E43-F43)/4</f>
        <v>40.6229600073135</v>
      </c>
    </row>
    <row r="44" customFormat="false" ht="15" hidden="false" customHeight="false" outlineLevel="0" collapsed="false">
      <c r="A44" s="11" t="n">
        <v>39</v>
      </c>
      <c r="B44" s="13" t="n">
        <f aca="false">A44/12</f>
        <v>3.25</v>
      </c>
      <c r="C44" s="12" t="n">
        <f aca="false">Declarations!$C$27+(Declarations!$B$27-Declarations!$C$27)*EXP(-Declarations!$D$27*$B44)+Declarations!$E$27*($B44/Declarations!$F$27)*EXP(1-$B44/Declarations!$F$27)</f>
        <v>83.7981701667219</v>
      </c>
      <c r="D44" s="12" t="n">
        <f aca="false">Declarations!$C$28+(Declarations!$B$28-Declarations!$C$28)*EXP(-Declarations!$D$28*$B44)+Declarations!$E$28*($B44/Declarations!$F$28)*EXP(1-$B44/Declarations!$F$28)</f>
        <v>71.8070105857583</v>
      </c>
      <c r="E44" s="12" t="n">
        <f aca="false">Declarations!$C$29+(Declarations!$B$29-Declarations!$C$29)*EXP(-Declarations!$D$29*$B44)+Declarations!$E$29*($B44/Declarations!$F$29)*EXP(1-$B44/Declarations!$F$29)</f>
        <v>69.7461670824402</v>
      </c>
      <c r="F44" s="12" t="n">
        <f aca="false">Declarations!$C$30+(Declarations!$B$30-Declarations!$C$30)*EXP(-Declarations!$D$30*$B44)+Declarations!$E$30*($B44/Declarations!$F$30)*EXP(1-$B44/Declarations!$F$30)</f>
        <v>61.4121805228463</v>
      </c>
      <c r="G44" s="17" t="n">
        <f aca="false">Per_point*C44</f>
        <v>519.548655033676</v>
      </c>
      <c r="H44" s="12" t="n">
        <f aca="false">(C44+D44+E44-F44)/4</f>
        <v>40.9847918280185</v>
      </c>
    </row>
    <row r="45" customFormat="false" ht="15" hidden="false" customHeight="false" outlineLevel="0" collapsed="false">
      <c r="A45" s="11" t="n">
        <v>40</v>
      </c>
      <c r="B45" s="13" t="n">
        <f aca="false">A45/12</f>
        <v>3.33333333333333</v>
      </c>
      <c r="C45" s="12" t="n">
        <f aca="false">Declarations!$C$27+(Declarations!$B$27-Declarations!$C$27)*EXP(-Declarations!$D$27*$B45)+Declarations!$E$27*($B45/Declarations!$F$27)*EXP(1-$B45/Declarations!$F$27)</f>
        <v>84.3036957581705</v>
      </c>
      <c r="D45" s="12" t="n">
        <f aca="false">Declarations!$C$28+(Declarations!$B$28-Declarations!$C$28)*EXP(-Declarations!$D$28*$B45)+Declarations!$E$28*($B45/Declarations!$F$28)*EXP(1-$B45/Declarations!$F$28)</f>
        <v>72.0844493950513</v>
      </c>
      <c r="E45" s="12" t="n">
        <f aca="false">Declarations!$C$29+(Declarations!$B$29-Declarations!$C$29)*EXP(-Declarations!$D$29*$B45)+Declarations!$E$29*($B45/Declarations!$F$29)*EXP(1-$B45/Declarations!$F$29)</f>
        <v>69.9752498167725</v>
      </c>
      <c r="F45" s="12" t="n">
        <f aca="false">Declarations!$C$30+(Declarations!$B$30-Declarations!$C$30)*EXP(-Declarations!$D$30*$B45)+Declarations!$E$30*($B45/Declarations!$F$30)*EXP(1-$B45/Declarations!$F$30)</f>
        <v>60.9995028390737</v>
      </c>
      <c r="G45" s="17" t="n">
        <f aca="false">Per_point*C45</f>
        <v>522.682913700657</v>
      </c>
      <c r="H45" s="12" t="n">
        <f aca="false">(C45+D45+E45-F45)/4</f>
        <v>41.3409730327302</v>
      </c>
    </row>
    <row r="46" customFormat="false" ht="15" hidden="false" customHeight="false" outlineLevel="0" collapsed="false">
      <c r="A46" s="11" t="n">
        <v>41</v>
      </c>
      <c r="B46" s="13" t="n">
        <f aca="false">A46/12</f>
        <v>3.41666666666667</v>
      </c>
      <c r="C46" s="12" t="n">
        <f aca="false">Declarations!$C$27+(Declarations!$B$27-Declarations!$C$27)*EXP(-Declarations!$D$27*$B46)+Declarations!$E$27*($B46/Declarations!$F$27)*EXP(1-$B46/Declarations!$F$27)</f>
        <v>84.8143699012995</v>
      </c>
      <c r="D46" s="12" t="n">
        <f aca="false">Declarations!$C$28+(Declarations!$B$28-Declarations!$C$28)*EXP(-Declarations!$D$28*$B46)+Declarations!$E$28*($B46/Declarations!$F$28)*EXP(1-$B46/Declarations!$F$28)</f>
        <v>72.3494592644975</v>
      </c>
      <c r="E46" s="12" t="n">
        <f aca="false">Declarations!$C$29+(Declarations!$B$29-Declarations!$C$29)*EXP(-Declarations!$D$29*$B46)+Declarations!$E$29*($B46/Declarations!$F$29)*EXP(1-$B46/Declarations!$F$29)</f>
        <v>70.2005501914171</v>
      </c>
      <c r="F46" s="12" t="n">
        <f aca="false">Declarations!$C$30+(Declarations!$B$30-Declarations!$C$30)*EXP(-Declarations!$D$30*$B46)+Declarations!$E$30*($B46/Declarations!$F$30)*EXP(1-$B46/Declarations!$F$30)</f>
        <v>60.5995026424849</v>
      </c>
      <c r="G46" s="17" t="n">
        <f aca="false">Per_point*C46</f>
        <v>525.849093388057</v>
      </c>
      <c r="H46" s="12" t="n">
        <f aca="false">(C46+D46+E46-F46)/4</f>
        <v>41.6912191786823</v>
      </c>
    </row>
    <row r="47" customFormat="false" ht="15" hidden="false" customHeight="false" outlineLevel="0" collapsed="false">
      <c r="A47" s="11" t="n">
        <v>42</v>
      </c>
      <c r="B47" s="13" t="n">
        <f aca="false">A47/12</f>
        <v>3.5</v>
      </c>
      <c r="C47" s="12" t="n">
        <f aca="false">Declarations!$C$27+(Declarations!$B$27-Declarations!$C$27)*EXP(-Declarations!$D$27*$B47)+Declarations!$E$27*($B47/Declarations!$F$27)*EXP(1-$B47/Declarations!$F$27)</f>
        <v>85.3289465118079</v>
      </c>
      <c r="D47" s="12" t="n">
        <f aca="false">Declarations!$C$28+(Declarations!$B$28-Declarations!$C$28)*EXP(-Declarations!$D$28*$B47)+Declarations!$E$28*($B47/Declarations!$F$28)*EXP(1-$B47/Declarations!$F$28)</f>
        <v>72.6025969963196</v>
      </c>
      <c r="E47" s="12" t="n">
        <f aca="false">Declarations!$C$29+(Declarations!$B$29-Declarations!$C$29)*EXP(-Declarations!$D$29*$B47)+Declarations!$E$29*($B47/Declarations!$F$29)*EXP(1-$B47/Declarations!$F$29)</f>
        <v>70.4218164388671</v>
      </c>
      <c r="F47" s="12" t="n">
        <f aca="false">Declarations!$C$30+(Declarations!$B$30-Declarations!$C$30)*EXP(-Declarations!$D$30*$B47)+Declarations!$E$30*($B47/Declarations!$F$30)*EXP(1-$B47/Declarations!$F$30)</f>
        <v>60.2121996164541</v>
      </c>
      <c r="G47" s="17" t="n">
        <f aca="false">Per_point*C47</f>
        <v>529.039468373209</v>
      </c>
      <c r="H47" s="12" t="n">
        <f aca="false">(C47+D47+E47-F47)/4</f>
        <v>42.0352900826351</v>
      </c>
    </row>
    <row r="48" customFormat="false" ht="15" hidden="false" customHeight="false" outlineLevel="0" collapsed="false">
      <c r="A48" s="11" t="n">
        <v>43</v>
      </c>
      <c r="B48" s="13" t="n">
        <f aca="false">A48/12</f>
        <v>3.58333333333333</v>
      </c>
      <c r="C48" s="12" t="n">
        <f aca="false">Declarations!$C$27+(Declarations!$B$27-Declarations!$C$27)*EXP(-Declarations!$D$27*$B48)+Declarations!$E$27*($B48/Declarations!$F$27)*EXP(1-$B48/Declarations!$F$27)</f>
        <v>85.8462721744564</v>
      </c>
      <c r="D48" s="12" t="n">
        <f aca="false">Declarations!$C$28+(Declarations!$B$28-Declarations!$C$28)*EXP(-Declarations!$D$28*$B48)+Declarations!$E$28*($B48/Declarations!$F$28)*EXP(1-$B48/Declarations!$F$28)</f>
        <v>72.8443944486408</v>
      </c>
      <c r="E48" s="12" t="n">
        <f aca="false">Declarations!$C$29+(Declarations!$B$29-Declarations!$C$29)*EXP(-Declarations!$D$29*$B48)+Declarations!$E$29*($B48/Declarations!$F$29)*EXP(1-$B48/Declarations!$F$29)</f>
        <v>70.6388347044205</v>
      </c>
      <c r="F48" s="12" t="n">
        <f aca="false">Declarations!$C$30+(Declarations!$B$30-Declarations!$C$30)*EXP(-Declarations!$D$30*$B48)+Declarations!$E$30*($B48/Declarations!$F$30)*EXP(1-$B48/Declarations!$F$30)</f>
        <v>59.8375582254175</v>
      </c>
      <c r="G48" s="17" t="n">
        <f aca="false">Per_point*C48</f>
        <v>532.24688748163</v>
      </c>
      <c r="H48" s="12" t="n">
        <f aca="false">(C48+D48+E48-F48)/4</f>
        <v>42.372985775525</v>
      </c>
    </row>
    <row r="49" customFormat="false" ht="15" hidden="false" customHeight="false" outlineLevel="0" collapsed="false">
      <c r="A49" s="11" t="n">
        <v>44</v>
      </c>
      <c r="B49" s="13" t="n">
        <f aca="false">A49/12</f>
        <v>3.66666666666667</v>
      </c>
      <c r="C49" s="12" t="n">
        <f aca="false">Declarations!$C$27+(Declarations!$B$27-Declarations!$C$27)*EXP(-Declarations!$D$27*$B49)+Declarations!$E$27*($B49/Declarations!$F$27)*EXP(1-$B49/Declarations!$F$27)</f>
        <v>86.3652806679746</v>
      </c>
      <c r="D49" s="12" t="n">
        <f aca="false">Declarations!$C$28+(Declarations!$B$28-Declarations!$C$28)*EXP(-Declarations!$D$28*$B49)+Declarations!$E$28*($B49/Declarations!$F$28)*EXP(1-$B49/Declarations!$F$28)</f>
        <v>73.0753596529513</v>
      </c>
      <c r="E49" s="12" t="n">
        <f aca="false">Declarations!$C$29+(Declarations!$B$29-Declarations!$C$29)*EXP(-Declarations!$D$29*$B49)+Declarations!$E$29*($B49/Declarations!$F$29)*EXP(1-$B49/Declarations!$F$29)</f>
        <v>70.8514256978364</v>
      </c>
      <c r="F49" s="12" t="n">
        <f aca="false">Declarations!$C$30+(Declarations!$B$30-Declarations!$C$30)*EXP(-Declarations!$D$30*$B49)+Declarations!$E$30*($B49/Declarations!$F$30)*EXP(1-$B49/Declarations!$F$30)</f>
        <v>59.4754948884388</v>
      </c>
      <c r="G49" s="17" t="n">
        <f aca="false">Per_point*C49</f>
        <v>535.464740141443</v>
      </c>
      <c r="H49" s="12" t="n">
        <f aca="false">(C49+D49+E49-F49)/4</f>
        <v>42.7041427825809</v>
      </c>
    </row>
    <row r="50" customFormat="false" ht="15" hidden="false" customHeight="false" outlineLevel="0" collapsed="false">
      <c r="A50" s="11" t="n">
        <v>45</v>
      </c>
      <c r="B50" s="13" t="n">
        <f aca="false">A50/12</f>
        <v>3.75</v>
      </c>
      <c r="C50" s="12" t="n">
        <f aca="false">Declarations!$C$27+(Declarations!$B$27-Declarations!$C$27)*EXP(-Declarations!$D$27*$B50)+Declarations!$E$27*($B50/Declarations!$F$27)*EXP(1-$B50/Declarations!$F$27)</f>
        <v>86.8849877821281</v>
      </c>
      <c r="D50" s="12" t="n">
        <f aca="false">Declarations!$C$28+(Declarations!$B$28-Declarations!$C$28)*EXP(-Declarations!$D$28*$B50)+Declarations!$E$28*($B50/Declarations!$F$28)*EXP(1-$B50/Declarations!$F$28)</f>
        <v>73.2959778815147</v>
      </c>
      <c r="E50" s="12" t="n">
        <f aca="false">Declarations!$C$29+(Declarations!$B$29-Declarations!$C$29)*EXP(-Declarations!$D$29*$B50)+Declarations!$E$29*($B50/Declarations!$F$29)*EXP(1-$B50/Declarations!$F$29)</f>
        <v>71.0594415955908</v>
      </c>
      <c r="F50" s="12" t="n">
        <f aca="false">Declarations!$C$30+(Declarations!$B$30-Declarations!$C$30)*EXP(-Declarations!$D$30*$B50)+Declarations!$E$30*($B50/Declarations!$F$30)*EXP(1-$B50/Declarations!$F$30)</f>
        <v>59.1258844435986</v>
      </c>
      <c r="G50" s="17" t="n">
        <f aca="false">Per_point*C50</f>
        <v>538.686924249194</v>
      </c>
      <c r="H50" s="12" t="n">
        <f aca="false">(C50+D50+E50-F50)/4</f>
        <v>43.0286307039087</v>
      </c>
    </row>
    <row r="51" customFormat="false" ht="15" hidden="false" customHeight="false" outlineLevel="0" collapsed="false">
      <c r="A51" s="11" t="n">
        <v>46</v>
      </c>
      <c r="B51" s="13" t="n">
        <f aca="false">A51/12</f>
        <v>3.83333333333333</v>
      </c>
      <c r="C51" s="12" t="n">
        <f aca="false">Declarations!$C$27+(Declarations!$B$27-Declarations!$C$27)*EXP(-Declarations!$D$27*$B51)+Declarations!$E$27*($B51/Declarations!$F$27)*EXP(1-$B51/Declarations!$F$27)</f>
        <v>87.4044864122299</v>
      </c>
      <c r="D51" s="12" t="n">
        <f aca="false">Declarations!$C$28+(Declarations!$B$28-Declarations!$C$28)*EXP(-Declarations!$D$28*$B51)+Declarations!$E$28*($B51/Declarations!$F$28)*EXP(1-$B51/Declarations!$F$28)</f>
        <v>73.5067126669544</v>
      </c>
      <c r="E51" s="12" t="n">
        <f aca="false">Declarations!$C$29+(Declarations!$B$29-Declarations!$C$29)*EXP(-Declarations!$D$29*$B51)+Declarations!$E$29*($B51/Declarations!$F$29)*EXP(1-$B51/Declarations!$F$29)</f>
        <v>71.2627631764471</v>
      </c>
      <c r="F51" s="12" t="n">
        <f aca="false">Declarations!$C$30+(Declarations!$B$30-Declarations!$C$30)*EXP(-Declarations!$D$30*$B51)+Declarations!$E$30*($B51/Declarations!$F$30)*EXP(1-$B51/Declarations!$F$30)</f>
        <v>58.7885659659192</v>
      </c>
      <c r="G51" s="17" t="n">
        <f aca="false">Per_point*C51</f>
        <v>541.907815755825</v>
      </c>
      <c r="H51" s="12" t="n">
        <f aca="false">(C51+D51+E51-F51)/4</f>
        <v>43.346349072428</v>
      </c>
    </row>
    <row r="52" customFormat="false" ht="15" hidden="false" customHeight="false" outlineLevel="0" collapsed="false">
      <c r="A52" s="11" t="n">
        <v>47</v>
      </c>
      <c r="B52" s="13" t="n">
        <f aca="false">A52/12</f>
        <v>3.91666666666667</v>
      </c>
      <c r="C52" s="12" t="n">
        <f aca="false">Declarations!$C$27+(Declarations!$B$27-Declarations!$C$27)*EXP(-Declarations!$D$27*$B52)+Declarations!$E$27*($B52/Declarations!$F$27)*EXP(1-$B52/Declarations!$F$27)</f>
        <v>87.9229419170926</v>
      </c>
      <c r="D52" s="12" t="n">
        <f aca="false">Declarations!$C$28+(Declarations!$B$28-Declarations!$C$28)*EXP(-Declarations!$D$28*$B52)+Declarations!$E$28*($B52/Declarations!$F$28)*EXP(1-$B52/Declarations!$F$28)</f>
        <v>73.7080067761652</v>
      </c>
      <c r="E52" s="12" t="n">
        <f aca="false">Declarations!$C$29+(Declarations!$B$29-Declarations!$C$29)*EXP(-Declarations!$D$29*$B52)+Declarations!$E$29*($B52/Declarations!$F$29)*EXP(1-$B52/Declarations!$F$29)</f>
        <v>71.4612971741963</v>
      </c>
      <c r="F52" s="12" t="n">
        <f aca="false">Declarations!$C$30+(Declarations!$B$30-Declarations!$C$30)*EXP(-Declarations!$D$30*$B52)+Declarations!$E$30*($B52/Declarations!$F$30)*EXP(1-$B52/Declarations!$F$30)</f>
        <v>58.463347996316</v>
      </c>
      <c r="G52" s="17" t="n">
        <f aca="false">Per_point*C52</f>
        <v>545.122239885974</v>
      </c>
      <c r="H52" s="12" t="n">
        <f aca="false">(C52+D52+E52-F52)/4</f>
        <v>43.6572244677845</v>
      </c>
    </row>
    <row r="53" customFormat="false" ht="15" hidden="false" customHeight="false" outlineLevel="0" collapsed="false">
      <c r="A53" s="11" t="n">
        <v>48</v>
      </c>
      <c r="B53" s="13" t="n">
        <f aca="false">A53/12</f>
        <v>4</v>
      </c>
      <c r="C53" s="12" t="n">
        <f aca="false">Declarations!$C$27+(Declarations!$B$27-Declarations!$C$27)*EXP(-Declarations!$D$27*$B53)+Declarations!$E$27*($B53/Declarations!$F$27)*EXP(1-$B53/Declarations!$F$27)</f>
        <v>88.4395877271</v>
      </c>
      <c r="D53" s="12" t="n">
        <f aca="false">Declarations!$C$28+(Declarations!$B$28-Declarations!$C$28)*EXP(-Declarations!$D$28*$B53)+Declarations!$E$28*($B53/Declarations!$F$28)*EXP(1-$B53/Declarations!$F$28)</f>
        <v>73.9002831405936</v>
      </c>
      <c r="E53" s="12" t="n">
        <f aca="false">Declarations!$C$29+(Declarations!$B$29-Declarations!$C$29)*EXP(-Declarations!$D$29*$B53)+Declarations!$E$29*($B53/Declarations!$F$29)*EXP(1-$B53/Declarations!$F$29)</f>
        <v>71.6549738324788</v>
      </c>
      <c r="F53" s="12" t="n">
        <f aca="false">Declarations!$C$30+(Declarations!$B$30-Declarations!$C$30)*EXP(-Declarations!$D$30*$B53)+Declarations!$E$30*($B53/Declarations!$F$30)*EXP(1-$B53/Declarations!$F$30)</f>
        <v>58.1500132342694</v>
      </c>
      <c r="G53" s="17" t="n">
        <f aca="false">Per_point*C53</f>
        <v>548.32544390802</v>
      </c>
      <c r="H53" s="12" t="n">
        <f aca="false">(C53+D53+E53-F53)/4</f>
        <v>43.9612078664758</v>
      </c>
    </row>
    <row r="54" customFormat="false" ht="15" hidden="false" customHeight="false" outlineLevel="0" collapsed="false">
      <c r="A54" s="11" t="n">
        <v>49</v>
      </c>
      <c r="B54" s="13" t="n">
        <f aca="false">A54/12</f>
        <v>4.08333333333333</v>
      </c>
      <c r="C54" s="12" t="n">
        <f aca="false">Declarations!$C$27+(Declarations!$B$27-Declarations!$C$27)*EXP(-Declarations!$D$27*$B54)+Declarations!$E$27*($B54/Declarations!$F$27)*EXP(1-$B54/Declarations!$F$27)</f>
        <v>88.9537211897241</v>
      </c>
      <c r="D54" s="12" t="n">
        <f aca="false">Declarations!$C$28+(Declarations!$B$28-Declarations!$C$28)*EXP(-Declarations!$D$28*$B54)+Declarations!$E$28*($B54/Declarations!$F$28)*EXP(1-$B54/Declarations!$F$28)</f>
        <v>74.0839457448436</v>
      </c>
      <c r="E54" s="12" t="n">
        <f aca="false">Declarations!$C$29+(Declarations!$B$29-Declarations!$C$29)*EXP(-Declarations!$D$29*$B54)+Declarations!$E$29*($B54/Declarations!$F$29)*EXP(1-$B54/Declarations!$F$29)</f>
        <v>71.8437446476006</v>
      </c>
      <c r="F54" s="12" t="n">
        <f aca="false">Declarations!$C$30+(Declarations!$B$30-Declarations!$C$30)*EXP(-Declarations!$D$30*$B54)+Declarations!$E$30*($B54/Declarations!$F$30)*EXP(1-$B54/Declarations!$F$30)</f>
        <v>57.8483227424948</v>
      </c>
      <c r="G54" s="17" t="n">
        <f aca="false">Per_point*C54</f>
        <v>551.513071376289</v>
      </c>
      <c r="H54" s="12" t="n">
        <f aca="false">(C54+D54+E54-F54)/4</f>
        <v>44.2582722099184</v>
      </c>
    </row>
    <row r="55" customFormat="false" ht="15" hidden="false" customHeight="false" outlineLevel="0" collapsed="false">
      <c r="A55" s="11" t="n">
        <v>50</v>
      </c>
      <c r="B55" s="13" t="n">
        <f aca="false">A55/12</f>
        <v>4.16666666666667</v>
      </c>
      <c r="C55" s="12" t="n">
        <f aca="false">Declarations!$C$27+(Declarations!$B$27-Declarations!$C$27)*EXP(-Declarations!$D$27*$B55)+Declarations!$E$27*($B55/Declarations!$F$27)*EXP(1-$B55/Declarations!$F$27)</f>
        <v>89.4646996404325</v>
      </c>
      <c r="D55" s="12" t="n">
        <f aca="false">Declarations!$C$28+(Declarations!$B$28-Declarations!$C$28)*EXP(-Declarations!$D$28*$B55)+Declarations!$E$28*($B55/Declarations!$F$28)*EXP(1-$B55/Declarations!$F$28)</f>
        <v>74.2593804754729</v>
      </c>
      <c r="E55" s="12" t="n">
        <f aca="false">Declarations!$C$29+(Declarations!$B$29-Declarations!$C$29)*EXP(-Declarations!$D$29*$B55)+Declarations!$E$29*($B55/Declarations!$F$29)*EXP(1-$B55/Declarations!$F$29)</f>
        <v>72.0275802861836</v>
      </c>
      <c r="F55" s="12" t="n">
        <f aca="false">Declarations!$C$30+(Declarations!$B$30-Declarations!$C$30)*EXP(-Declarations!$D$30*$B55)+Declarations!$E$30*($B55/Declarations!$F$30)*EXP(1-$B55/Declarations!$F$30)</f>
        <v>57.5580197078313</v>
      </c>
      <c r="G55" s="17" t="n">
        <f aca="false">Per_point*C55</f>
        <v>554.681137770682</v>
      </c>
      <c r="H55" s="12" t="n">
        <f aca="false">(C55+D55+E55-F55)/4</f>
        <v>44.5484101735645</v>
      </c>
    </row>
    <row r="56" customFormat="false" ht="15" hidden="false" customHeight="false" outlineLevel="0" collapsed="false">
      <c r="A56" s="11" t="n">
        <v>51</v>
      </c>
      <c r="B56" s="13" t="n">
        <f aca="false">A56/12</f>
        <v>4.25</v>
      </c>
      <c r="C56" s="12" t="n">
        <f aca="false">Declarations!$C$27+(Declarations!$B$27-Declarations!$C$27)*EXP(-Declarations!$D$27*$B56)+Declarations!$E$27*($B56/Declarations!$F$27)*EXP(1-$B56/Declarations!$F$27)</f>
        <v>89.9719366875169</v>
      </c>
      <c r="D56" s="12" t="n">
        <f aca="false">Declarations!$C$28+(Declarations!$B$28-Declarations!$C$28)*EXP(-Declarations!$D$28*$B56)+Declarations!$E$28*($B56/Declarations!$F$28)*EXP(1-$B56/Declarations!$F$28)</f>
        <v>74.4269559317649</v>
      </c>
      <c r="E56" s="12" t="n">
        <f aca="false">Declarations!$C$29+(Declarations!$B$29-Declarations!$C$29)*EXP(-Declarations!$D$29*$B56)+Declarations!$E$29*($B56/Declarations!$F$29)*EXP(1-$B56/Declarations!$F$29)</f>
        <v>72.2064686653675</v>
      </c>
      <c r="F56" s="12" t="n">
        <f aca="false">Declarations!$C$30+(Declarations!$B$30-Declarations!$C$30)*EXP(-Declarations!$D$30*$B56)+Declarations!$E$30*($B56/Declarations!$F$30)*EXP(1-$B56/Declarations!$F$30)</f>
        <v>57.2788327988341</v>
      </c>
      <c r="G56" s="17" t="n">
        <f aca="false">Per_point*C56</f>
        <v>557.826007462605</v>
      </c>
      <c r="H56" s="12" t="n">
        <f aca="false">(C56+D56+E56-F56)/4</f>
        <v>44.8316321214538</v>
      </c>
    </row>
    <row r="57" customFormat="false" ht="15" hidden="false" customHeight="false" outlineLevel="0" collapsed="false">
      <c r="A57" s="11" t="n">
        <v>52</v>
      </c>
      <c r="B57" s="13" t="n">
        <f aca="false">A57/12</f>
        <v>4.33333333333333</v>
      </c>
      <c r="C57" s="12" t="n">
        <f aca="false">Declarations!$C$27+(Declarations!$B$27-Declarations!$C$27)*EXP(-Declarations!$D$27*$B57)+Declarations!$E$27*($B57/Declarations!$F$27)*EXP(1-$B57/Declarations!$F$27)</f>
        <v>90.4748986999362</v>
      </c>
      <c r="D57" s="12" t="n">
        <f aca="false">Declarations!$C$28+(Declarations!$B$28-Declarations!$C$28)*EXP(-Declarations!$D$28*$B57)+Declarations!$E$28*($B57/Declarations!$F$28)*EXP(1-$B57/Declarations!$F$28)</f>
        <v>74.5870242001787</v>
      </c>
      <c r="E57" s="12" t="n">
        <f aca="false">Declarations!$C$29+(Declarations!$B$29-Declarations!$C$29)*EXP(-Declarations!$D$29*$B57)+Declarations!$E$29*($B57/Declarations!$F$29)*EXP(1-$B57/Declarations!$F$29)</f>
        <v>72.380413184091</v>
      </c>
      <c r="F57" s="12" t="n">
        <f aca="false">Declarations!$C$30+(Declarations!$B$30-Declarations!$C$30)*EXP(-Declarations!$D$30*$B57)+Declarations!$E$30*($B57/Declarations!$F$30)*EXP(1-$B57/Declarations!$F$30)</f>
        <v>57.0104791571291</v>
      </c>
      <c r="G57" s="17" t="n">
        <f aca="false">Per_point*C57</f>
        <v>560.944371939605</v>
      </c>
      <c r="H57" s="12" t="n">
        <f aca="false">(C57+D57+E57-F57)/4</f>
        <v>45.1079642317692</v>
      </c>
    </row>
    <row r="58" customFormat="false" ht="15" hidden="false" customHeight="false" outlineLevel="0" collapsed="false">
      <c r="A58" s="11" t="n">
        <v>53</v>
      </c>
      <c r="B58" s="13" t="n">
        <f aca="false">A58/12</f>
        <v>4.41666666666667</v>
      </c>
      <c r="C58" s="12" t="n">
        <f aca="false">Declarations!$C$27+(Declarations!$B$27-Declarations!$C$27)*EXP(-Declarations!$D$27*$B58)+Declarations!$E$27*($B58/Declarations!$F$27)*EXP(1-$B58/Declarations!$F$27)</f>
        <v>90.9731014878013</v>
      </c>
      <c r="D58" s="12" t="n">
        <f aca="false">Declarations!$C$28+(Declarations!$B$28-Declarations!$C$28)*EXP(-Declarations!$D$28*$B58)+Declarations!$E$28*($B58/Declarations!$F$28)*EXP(1-$B58/Declarations!$F$28)</f>
        <v>74.7399215941046</v>
      </c>
      <c r="E58" s="12" t="n">
        <f aca="false">Declarations!$C$29+(Declarations!$B$29-Declarations!$C$29)*EXP(-Declarations!$D$29*$B58)+Declarations!$E$29*($B58/Declarations!$F$29)*EXP(1-$B58/Declarations!$F$29)</f>
        <v>72.5494310947498</v>
      </c>
      <c r="F58" s="12" t="n">
        <f aca="false">Declarations!$C$30+(Declarations!$B$30-Declarations!$C$30)*EXP(-Declarations!$D$30*$B58)+Declarations!$E$30*($B58/Declarations!$F$30)*EXP(1-$B58/Declarations!$F$30)</f>
        <v>56.7526670564307</v>
      </c>
      <c r="G58" s="17" t="n">
        <f aca="false">Per_point*C58</f>
        <v>564.033229224368</v>
      </c>
      <c r="H58" s="12" t="n">
        <f aca="false">(C58+D58+E58-F58)/4</f>
        <v>45.3774467800563</v>
      </c>
    </row>
    <row r="59" customFormat="false" ht="15" hidden="false" customHeight="false" outlineLevel="0" collapsed="false">
      <c r="A59" s="11" t="n">
        <v>54</v>
      </c>
      <c r="B59" s="13" t="n">
        <f aca="false">A59/12</f>
        <v>4.5</v>
      </c>
      <c r="C59" s="12" t="n">
        <f aca="false">Declarations!$C$27+(Declarations!$B$27-Declarations!$C$27)*EXP(-Declarations!$D$27*$B59)+Declarations!$E$27*($B59/Declarations!$F$27)*EXP(1-$B59/Declarations!$F$27)</f>
        <v>91.4661071656342</v>
      </c>
      <c r="D59" s="12" t="n">
        <f aca="false">Declarations!$C$28+(Declarations!$B$28-Declarations!$C$28)*EXP(-Declarations!$D$28*$B59)+Declarations!$E$28*($B59/Declarations!$F$28)*EXP(1-$B59/Declarations!$F$28)</f>
        <v>74.8859693604795</v>
      </c>
      <c r="E59" s="12" t="n">
        <f aca="false">Declarations!$C$29+(Declarations!$B$29-Declarations!$C$29)*EXP(-Declarations!$D$29*$B59)+Declarations!$E$29*($B59/Declarations!$F$29)*EXP(1-$B59/Declarations!$F$29)</f>
        <v>72.7135520052403</v>
      </c>
      <c r="F59" s="12" t="n">
        <f aca="false">Declarations!$C$30+(Declarations!$B$30-Declarations!$C$30)*EXP(-Declarations!$D$30*$B59)+Declarations!$E$30*($B59/Declarations!$F$30)*EXP(1-$B59/Declarations!$F$30)</f>
        <v>56.5050982602328</v>
      </c>
      <c r="G59" s="17" t="n">
        <f aca="false">Per_point*C59</f>
        <v>567.089864426932</v>
      </c>
      <c r="H59" s="12" t="n">
        <f aca="false">(C59+D59+E59-F59)/4</f>
        <v>45.6401325677803</v>
      </c>
    </row>
    <row r="60" customFormat="false" ht="15" hidden="false" customHeight="false" outlineLevel="0" collapsed="false">
      <c r="A60" s="11" t="n">
        <v>55</v>
      </c>
      <c r="B60" s="13" t="n">
        <f aca="false">A60/12</f>
        <v>4.58333333333333</v>
      </c>
      <c r="C60" s="12" t="n">
        <f aca="false">Declarations!$C$27+(Declarations!$B$27-Declarations!$C$27)*EXP(-Declarations!$D$27*$B60)+Declarations!$E$27*($B60/Declarations!$F$27)*EXP(1-$B60/Declarations!$F$27)</f>
        <v>91.9535211890218</v>
      </c>
      <c r="D60" s="12" t="n">
        <f aca="false">Declarations!$C$28+(Declarations!$B$28-Declarations!$C$28)*EXP(-Declarations!$D$28*$B60)+Declarations!$E$28*($B60/Declarations!$F$28)*EXP(1-$B60/Declarations!$F$28)</f>
        <v>75.0254743547467</v>
      </c>
      <c r="E60" s="12" t="n">
        <f aca="false">Declarations!$C$29+(Declarations!$B$29-Declarations!$C$29)*EXP(-Declarations!$D$29*$B60)+Declarations!$E$29*($B60/Declarations!$F$29)*EXP(1-$B60/Declarations!$F$29)</f>
        <v>72.8728165020682</v>
      </c>
      <c r="F60" s="12" t="n">
        <f aca="false">Declarations!$C$30+(Declarations!$B$30-Declarations!$C$30)*EXP(-Declarations!$D$30*$B60)+Declarations!$E$30*($B60/Declarations!$F$30)*EXP(1-$B60/Declarations!$F$30)</f>
        <v>56.2674701065162</v>
      </c>
      <c r="G60" s="17" t="n">
        <f aca="false">Per_point*C60</f>
        <v>570.111831371935</v>
      </c>
      <c r="H60" s="12" t="n">
        <f aca="false">(C60+D60+E60-F60)/4</f>
        <v>45.8960854848301</v>
      </c>
    </row>
    <row r="61" customFormat="false" ht="15" hidden="false" customHeight="false" outlineLevel="0" collapsed="false">
      <c r="A61" s="11" t="n">
        <v>56</v>
      </c>
      <c r="B61" s="13" t="n">
        <f aca="false">A61/12</f>
        <v>4.66666666666667</v>
      </c>
      <c r="C61" s="12" t="n">
        <f aca="false">Declarations!$C$27+(Declarations!$B$27-Declarations!$C$27)*EXP(-Declarations!$D$27*$B61)+Declarations!$E$27*($B61/Declarations!$F$27)*EXP(1-$B61/Declarations!$F$27)</f>
        <v>92.4349895557443</v>
      </c>
      <c r="D61" s="12" t="n">
        <f aca="false">Declarations!$C$28+(Declarations!$B$28-Declarations!$C$28)*EXP(-Declarations!$D$28*$B61)+Declarations!$E$28*($B61/Declarations!$F$28)*EXP(1-$B61/Declarations!$F$28)</f>
        <v>75.1587296855782</v>
      </c>
      <c r="E61" s="12" t="n">
        <f aca="false">Declarations!$C$29+(Declarations!$B$29-Declarations!$C$29)*EXP(-Declarations!$D$29*$B61)+Declarations!$E$29*($B61/Declarations!$F$29)*EXP(1-$B61/Declarations!$F$29)</f>
        <v>73.0272748858283</v>
      </c>
      <c r="F61" s="12" t="n">
        <f aca="false">Declarations!$C$30+(Declarations!$B$30-Declarations!$C$30)*EXP(-Declarations!$D$30*$B61)+Declarations!$E$30*($B61/Declarations!$F$30)*EXP(1-$B61/Declarations!$F$30)</f>
        <v>56.0394773453784</v>
      </c>
      <c r="G61" s="17" t="n">
        <f aca="false">Per_point*C61</f>
        <v>573.096935245615</v>
      </c>
      <c r="H61" s="12" t="n">
        <f aca="false">(C61+D61+E61-F61)/4</f>
        <v>46.1453791954431</v>
      </c>
    </row>
    <row r="62" customFormat="false" ht="15" hidden="false" customHeight="false" outlineLevel="0" collapsed="false">
      <c r="A62" s="11" t="n">
        <v>57</v>
      </c>
      <c r="B62" s="13" t="n">
        <f aca="false">A62/12</f>
        <v>4.75</v>
      </c>
      <c r="C62" s="12" t="n">
        <f aca="false">Declarations!$C$27+(Declarations!$B$27-Declarations!$C$27)*EXP(-Declarations!$D$27*$B62)+Declarations!$E$27*($B62/Declarations!$F$27)*EXP(1-$B62/Declarations!$F$27)</f>
        <v>92.9101961628956</v>
      </c>
      <c r="D62" s="12" t="n">
        <f aca="false">Declarations!$C$28+(Declarations!$B$28-Declarations!$C$28)*EXP(-Declarations!$D$28*$B62)+Declarations!$E$28*($B62/Declarations!$F$28)*EXP(1-$B62/Declarations!$F$28)</f>
        <v>75.2860153307143</v>
      </c>
      <c r="E62" s="12" t="n">
        <f aca="false">Declarations!$C$29+(Declarations!$B$29-Declarations!$C$29)*EXP(-Declarations!$D$29*$B62)+Declarations!$E$29*($B62/Declarations!$F$29)*EXP(1-$B62/Declarations!$F$29)</f>
        <v>73.1769860109444</v>
      </c>
      <c r="F62" s="12" t="n">
        <f aca="false">Declarations!$C$30+(Declarations!$B$30-Declarations!$C$30)*EXP(-Declarations!$D$30*$B62)+Declarations!$E$30*($B62/Declarations!$F$30)*EXP(1-$B62/Declarations!$F$30)</f>
        <v>55.8208137532435</v>
      </c>
      <c r="G62" s="17" t="n">
        <f aca="false">Per_point*C62</f>
        <v>576.043216209952</v>
      </c>
      <c r="H62" s="12" t="n">
        <f aca="false">(C62+D62+E62-F62)/4</f>
        <v>46.3880959378277</v>
      </c>
    </row>
    <row r="63" customFormat="false" ht="15" hidden="false" customHeight="false" outlineLevel="0" collapsed="false">
      <c r="A63" s="11" t="n">
        <v>58</v>
      </c>
      <c r="B63" s="13" t="n">
        <f aca="false">A63/12</f>
        <v>4.83333333333333</v>
      </c>
      <c r="C63" s="12" t="n">
        <f aca="false">Declarations!$C$27+(Declarations!$B$27-Declarations!$C$27)*EXP(-Declarations!$D$27*$B63)+Declarations!$E$27*($B63/Declarations!$F$27)*EXP(1-$B63/Declarations!$F$27)</f>
        <v>93.3788603119342</v>
      </c>
      <c r="D63" s="12" t="n">
        <f aca="false">Declarations!$C$28+(Declarations!$B$28-Declarations!$C$28)*EXP(-Declarations!$D$28*$B63)+Declarations!$E$28*($B63/Declarations!$F$28)*EXP(1-$B63/Declarations!$F$28)</f>
        <v>75.4075987252143</v>
      </c>
      <c r="E63" s="12" t="n">
        <f aca="false">Declarations!$C$29+(Declarations!$B$29-Declarations!$C$29)*EXP(-Declarations!$D$29*$B63)+Declarations!$E$29*($B63/Declarations!$F$29)*EXP(1-$B63/Declarations!$F$29)</f>
        <v>73.3220162221095</v>
      </c>
      <c r="F63" s="12" t="n">
        <f aca="false">Declarations!$C$30+(Declarations!$B$30-Declarations!$C$30)*EXP(-Declarations!$D$30*$B63)+Declarations!$E$30*($B63/Declarations!$F$30)*EXP(1-$B63/Declarations!$F$30)</f>
        <v>55.6111735452535</v>
      </c>
      <c r="G63" s="17" t="n">
        <f aca="false">Per_point*C63</f>
        <v>578.948933933992</v>
      </c>
      <c r="H63" s="12" t="n">
        <f aca="false">(C63+D63+E63-F63)/4</f>
        <v>46.6243254285011</v>
      </c>
    </row>
    <row r="64" customFormat="false" ht="15" hidden="false" customHeight="false" outlineLevel="0" collapsed="false">
      <c r="A64" s="11" t="n">
        <v>59</v>
      </c>
      <c r="B64" s="13" t="n">
        <f aca="false">A64/12</f>
        <v>4.91666666666667</v>
      </c>
      <c r="C64" s="12" t="n">
        <f aca="false">Declarations!$C$27+(Declarations!$B$27-Declarations!$C$27)*EXP(-Declarations!$D$27*$B64)+Declarations!$E$27*($B64/Declarations!$F$27)*EXP(1-$B64/Declarations!$F$27)</f>
        <v>93.8407343539992</v>
      </c>
      <c r="D64" s="12" t="n">
        <f aca="false">Declarations!$C$28+(Declarations!$B$28-Declarations!$C$28)*EXP(-Declarations!$D$28*$B64)+Declarations!$E$28*($B64/Declarations!$F$28)*EXP(1-$B64/Declarations!$F$28)</f>
        <v>75.5237353233542</v>
      </c>
      <c r="E64" s="12" t="n">
        <f aca="false">Declarations!$C$29+(Declarations!$B$29-Declarations!$C$29)*EXP(-Declarations!$D$29*$B64)+Declarations!$E$29*($B64/Declarations!$F$29)*EXP(1-$B64/Declarations!$F$29)</f>
        <v>73.4624383803757</v>
      </c>
      <c r="F64" s="12" t="n">
        <f aca="false">Declarations!$C$30+(Declarations!$B$30-Declarations!$C$30)*EXP(-Declarations!$D$30*$B64)+Declarations!$E$30*($B64/Declarations!$F$30)*EXP(1-$B64/Declarations!$F$30)</f>
        <v>55.4102526055541</v>
      </c>
      <c r="G64" s="17" t="n">
        <f aca="false">Per_point*C64</f>
        <v>581.812552994795</v>
      </c>
      <c r="H64" s="12" t="n">
        <f aca="false">(C64+D64+E64-F64)/4</f>
        <v>46.8541638630438</v>
      </c>
    </row>
    <row r="65" customFormat="false" ht="15" hidden="false" customHeight="false" outlineLevel="0" collapsed="false">
      <c r="A65" s="11" t="n">
        <v>60</v>
      </c>
      <c r="B65" s="13" t="n">
        <f aca="false">A65/12</f>
        <v>5</v>
      </c>
      <c r="C65" s="12" t="n">
        <f aca="false">Declarations!$C$27+(Declarations!$B$27-Declarations!$C$27)*EXP(-Declarations!$D$27*$B65)+Declarations!$E$27*($B65/Declarations!$F$27)*EXP(1-$B65/Declarations!$F$27)</f>
        <v>94.2956014682046</v>
      </c>
      <c r="D65" s="12" t="n">
        <f aca="false">Declarations!$C$28+(Declarations!$B$28-Declarations!$C$28)*EXP(-Declarations!$D$28*$B65)+Declarations!$E$28*($B65/Declarations!$F$28)*EXP(1-$B65/Declarations!$F$28)</f>
        <v>75.6346691353518</v>
      </c>
      <c r="E65" s="12" t="n">
        <f aca="false">Declarations!$C$29+(Declarations!$B$29-Declarations!$C$29)*EXP(-Declarations!$D$29*$B65)+Declarations!$E$29*($B65/Declarations!$F$29)*EXP(1-$B65/Declarations!$F$29)</f>
        <v>73.5983309723245</v>
      </c>
      <c r="F65" s="12" t="n">
        <f aca="false">Declarations!$C$30+(Declarations!$B$30-Declarations!$C$30)*EXP(-Declarations!$D$30*$B65)+Declarations!$E$30*($B65/Declarations!$F$30)*EXP(1-$B65/Declarations!$F$30)</f>
        <v>55.2177495534504</v>
      </c>
      <c r="G65" s="17" t="n">
        <f aca="false">Per_point*C65</f>
        <v>584.632729102868</v>
      </c>
      <c r="H65" s="12" t="n">
        <f aca="false">(C65+D65+E65-F65)/4</f>
        <v>47.0777130056076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3"/>
    <col collapsed="false" customWidth="true" hidden="false" outlineLevel="0" max="10" min="10" style="0" width="54"/>
    <col collapsed="false" customWidth="true" hidden="false" outlineLevel="0" max="11" min="11" style="0" width="34"/>
    <col collapsed="false" customWidth="true" hidden="false" outlineLevel="0" max="12" min="12" style="0" width="44"/>
  </cols>
  <sheetData>
    <row r="1" customFormat="false" ht="15" hidden="false" customHeight="false" outlineLevel="0" collapsed="false">
      <c r="A1" s="1" t="s">
        <v>376</v>
      </c>
    </row>
    <row r="2" customFormat="false" ht="15" hidden="false" customHeight="false" outlineLevel="0" collapsed="false">
      <c r="A2" s="10" t="s">
        <v>377</v>
      </c>
    </row>
    <row r="4" customFormat="false" ht="23.85" hidden="false" customHeight="false" outlineLevel="0" collapsed="false">
      <c r="A4" s="8" t="s">
        <v>251</v>
      </c>
      <c r="B4" s="8" t="s">
        <v>341</v>
      </c>
      <c r="C4" s="8" t="s">
        <v>378</v>
      </c>
      <c r="D4" s="8" t="s">
        <v>379</v>
      </c>
      <c r="E4" s="8" t="s">
        <v>380</v>
      </c>
      <c r="F4" s="8" t="s">
        <v>381</v>
      </c>
      <c r="G4" s="8" t="s">
        <v>382</v>
      </c>
      <c r="H4" s="8" t="s">
        <v>383</v>
      </c>
      <c r="J4" s="8" t="s">
        <v>384</v>
      </c>
      <c r="K4" s="8" t="s">
        <v>18</v>
      </c>
      <c r="L4" s="8" t="s">
        <v>123</v>
      </c>
    </row>
    <row r="5" customFormat="false" ht="15" hidden="false" customHeight="false" outlineLevel="0" collapsed="false">
      <c r="A5" s="11" t="n">
        <v>0</v>
      </c>
      <c r="B5" s="12" t="n">
        <f aca="false">A5/4</f>
        <v>0</v>
      </c>
      <c r="C5" s="13" t="n">
        <f aca="false">Declarations!$C$27+(Declarations!$B$27-Declarations!$C$27)*EXP(-Declarations!$D$27*$B5)+Declarations!$E$27*($B5/Declarations!$F$27)*EXP(1-$B5/Declarations!$F$27)</f>
        <v>100</v>
      </c>
      <c r="D5" s="17" t="n">
        <f aca="false">Per_point*C5</f>
        <v>620</v>
      </c>
      <c r="E5" s="13" t="n">
        <f aca="false">Declarations!$C$27+(Declarations!$B$27-Declarations!$C$27)*EXP(-Declarations!$D$27*$B5)+(-Depth_ph)*($B5/Declarations!$F$27)*EXP(1-$B5/Declarations!$F$27)</f>
        <v>100</v>
      </c>
      <c r="F5" s="17" t="n">
        <f aca="false">Per_point*E5</f>
        <v>620</v>
      </c>
      <c r="G5" s="11" t="n">
        <f aca="false">IF(D5&lt;$K$19,1,0)</f>
        <v>0</v>
      </c>
      <c r="H5" s="11" t="n">
        <f aca="false">IF(F5&lt;$K$19,1,0)</f>
        <v>0</v>
      </c>
      <c r="J5" s="2" t="s">
        <v>385</v>
      </c>
      <c r="K5" s="17" t="n">
        <f aca="false">Pool_cash</f>
        <v>270</v>
      </c>
      <c r="L5" s="10" t="s">
        <v>386</v>
      </c>
    </row>
    <row r="6" customFormat="false" ht="15" hidden="false" customHeight="false" outlineLevel="0" collapsed="false">
      <c r="A6" s="11" t="n">
        <v>1</v>
      </c>
      <c r="B6" s="12" t="n">
        <f aca="false">A6/4</f>
        <v>0.25</v>
      </c>
      <c r="C6" s="13" t="n">
        <f aca="false">Declarations!$C$27+(Declarations!$B$27-Declarations!$C$27)*EXP(-Declarations!$D$27*$B6)+Declarations!$E$27*($B6/Declarations!$F$27)*EXP(1-$B6/Declarations!$F$27)</f>
        <v>92.6093100113046</v>
      </c>
      <c r="D6" s="17" t="n">
        <f aca="false">Per_point*C6</f>
        <v>574.177722070089</v>
      </c>
      <c r="E6" s="13" t="n">
        <f aca="false">Declarations!$C$27+(Declarations!$B$27-Declarations!$C$27)*EXP(-Declarations!$D$27*$B6)+(-Depth_ph)*($B6/Declarations!$F$27)*EXP(1-$B6/Declarations!$F$27)</f>
        <v>95.0081853052717</v>
      </c>
      <c r="F6" s="17" t="n">
        <f aca="false">Per_point*E6</f>
        <v>589.050748892685</v>
      </c>
      <c r="G6" s="11" t="n">
        <f aca="false">IF(D6&lt;$K$19,1,0)</f>
        <v>0</v>
      </c>
      <c r="H6" s="11" t="n">
        <f aca="false">IF(F6&lt;$K$19,1,0)</f>
        <v>0</v>
      </c>
      <c r="J6" s="2" t="s">
        <v>387</v>
      </c>
      <c r="K6" s="17" t="n">
        <f aca="false">MIN($D$5:$D$17)</f>
        <v>481.950382357786</v>
      </c>
      <c r="L6" s="10" t="s">
        <v>352</v>
      </c>
    </row>
    <row r="7" customFormat="false" ht="15" hidden="false" customHeight="false" outlineLevel="0" collapsed="false">
      <c r="A7" s="11" t="n">
        <v>2</v>
      </c>
      <c r="B7" s="12" t="n">
        <f aca="false">A7/4</f>
        <v>0.5</v>
      </c>
      <c r="C7" s="13" t="n">
        <f aca="false">Declarations!$C$27+(Declarations!$B$27-Declarations!$C$27)*EXP(-Declarations!$D$27*$B7)+Declarations!$E$27*($B7/Declarations!$F$27)*EXP(1-$B7/Declarations!$F$27)</f>
        <v>87.1075156344808</v>
      </c>
      <c r="D7" s="17" t="n">
        <f aca="false">Per_point*C7</f>
        <v>540.066596933781</v>
      </c>
      <c r="E7" s="13" t="n">
        <f aca="false">Declarations!$C$27+(Declarations!$B$27-Declarations!$C$27)*EXP(-Declarations!$D$27*$B7)+(-Depth_ph)*($B7/Declarations!$F$27)*EXP(1-$B7/Declarations!$F$27)</f>
        <v>91.3415156677061</v>
      </c>
      <c r="F7" s="17" t="n">
        <f aca="false">Per_point*E7</f>
        <v>566.317397139778</v>
      </c>
      <c r="G7" s="11" t="n">
        <f aca="false">IF(D7&lt;$K$19,1,0)</f>
        <v>0</v>
      </c>
      <c r="H7" s="11" t="n">
        <f aca="false">IF(F7&lt;$K$19,1,0)</f>
        <v>0</v>
      </c>
      <c r="J7" s="2" t="s">
        <v>388</v>
      </c>
      <c r="K7" s="17" t="n">
        <f aca="false">Liq_today-K6</f>
        <v>138.049617642214</v>
      </c>
      <c r="L7" s="10" t="s">
        <v>389</v>
      </c>
    </row>
    <row r="8" customFormat="false" ht="15" hidden="false" customHeight="false" outlineLevel="0" collapsed="false">
      <c r="A8" s="11" t="n">
        <v>3</v>
      </c>
      <c r="B8" s="12" t="n">
        <f aca="false">A8/4</f>
        <v>0.75</v>
      </c>
      <c r="C8" s="13" t="n">
        <f aca="false">Declarations!$C$27+(Declarations!$B$27-Declarations!$C$27)*EXP(-Declarations!$D$27*$B8)+Declarations!$E$27*($B8/Declarations!$F$27)*EXP(1-$B8/Declarations!$F$27)</f>
        <v>83.1539010745388</v>
      </c>
      <c r="D8" s="17" t="n">
        <f aca="false">Per_point*C8</f>
        <v>515.554186662141</v>
      </c>
      <c r="E8" s="13" t="n">
        <f aca="false">Declarations!$C$27+(Declarations!$B$27-Declarations!$C$27)*EXP(-Declarations!$D$27*$B8)+(-Depth_ph)*($B8/Declarations!$F$27)*EXP(1-$B8/Declarations!$F$27)</f>
        <v>88.7586389468355</v>
      </c>
      <c r="F8" s="17" t="n">
        <f aca="false">Per_point*E8</f>
        <v>550.30356147038</v>
      </c>
      <c r="G8" s="11" t="n">
        <f aca="false">IF(D8&lt;$K$19,1,0)</f>
        <v>1</v>
      </c>
      <c r="H8" s="11" t="n">
        <f aca="false">IF(F8&lt;$K$19,1,0)</f>
        <v>0</v>
      </c>
      <c r="J8" s="2" t="s">
        <v>390</v>
      </c>
      <c r="K8" s="11" t="n">
        <f aca="false">INDEX($A$5:$A$17,MATCH(K6,$D$5:$D$17,0))</f>
        <v>7</v>
      </c>
      <c r="L8" s="10" t="s">
        <v>391</v>
      </c>
    </row>
    <row r="9" customFormat="false" ht="15" hidden="false" customHeight="false" outlineLevel="0" collapsed="false">
      <c r="A9" s="11" t="n">
        <v>4</v>
      </c>
      <c r="B9" s="12" t="n">
        <f aca="false">A9/4</f>
        <v>1</v>
      </c>
      <c r="C9" s="13" t="n">
        <f aca="false">Declarations!$C$27+(Declarations!$B$27-Declarations!$C$27)*EXP(-Declarations!$D$27*$B9)+Declarations!$E$27*($B9/Declarations!$F$27)*EXP(1-$B9/Declarations!$F$27)</f>
        <v>80.4616451335736</v>
      </c>
      <c r="D9" s="17" t="n">
        <f aca="false">Per_point*C9</f>
        <v>498.862199828157</v>
      </c>
      <c r="E9" s="13" t="n">
        <f aca="false">Declarations!$C$27+(Declarations!$B$27-Declarations!$C$27)*EXP(-Declarations!$D$27*$B9)+(-Depth_ph)*($B9/Declarations!$F$27)*EXP(1-$B9/Declarations!$F$27)</f>
        <v>87.0565302163741</v>
      </c>
      <c r="F9" s="17" t="n">
        <f aca="false">Per_point*E9</f>
        <v>539.75048734152</v>
      </c>
      <c r="G9" s="11" t="n">
        <f aca="false">IF(D9&lt;$K$19,1,0)</f>
        <v>1</v>
      </c>
      <c r="H9" s="11" t="n">
        <f aca="false">IF(F9&lt;$K$19,1,0)</f>
        <v>0</v>
      </c>
      <c r="J9" s="2" t="s">
        <v>392</v>
      </c>
      <c r="K9" s="2" t="str">
        <f aca="false">IF(K7&lt;=K5,"pass","fail")</f>
        <v>pass</v>
      </c>
      <c r="L9" s="10" t="s">
        <v>393</v>
      </c>
    </row>
    <row r="10" customFormat="false" ht="15" hidden="false" customHeight="false" outlineLevel="0" collapsed="false">
      <c r="A10" s="11" t="n">
        <v>5</v>
      </c>
      <c r="B10" s="12" t="n">
        <f aca="false">A10/4</f>
        <v>1.25</v>
      </c>
      <c r="C10" s="13" t="n">
        <f aca="false">Declarations!$C$27+(Declarations!$B$27-Declarations!$C$27)*EXP(-Declarations!$D$27*$B10)+Declarations!$E$27*($B10/Declarations!$F$27)*EXP(1-$B10/Declarations!$F$27)</f>
        <v>78.7898679270468</v>
      </c>
      <c r="D10" s="17" t="n">
        <f aca="false">Per_point*C10</f>
        <v>488.49718114769</v>
      </c>
      <c r="E10" s="13" t="n">
        <f aca="false">Declarations!$C$27+(Declarations!$B$27-Declarations!$C$27)*EXP(-Declarations!$D$27*$B10)+(-Depth_ph)*($B10/Declarations!$F$27)*EXP(1-$B10/Declarations!$F$27)</f>
        <v>86.0648250001378</v>
      </c>
      <c r="F10" s="17" t="n">
        <f aca="false">Per_point*E10</f>
        <v>533.601915000854</v>
      </c>
      <c r="G10" s="11" t="n">
        <f aca="false">IF(D10&lt;$K$19,1,0)</f>
        <v>1</v>
      </c>
      <c r="H10" s="11" t="n">
        <f aca="false">IF(F10&lt;$K$19,1,0)</f>
        <v>1</v>
      </c>
      <c r="J10" s="2" t="s">
        <v>394</v>
      </c>
      <c r="K10" s="17" t="n">
        <f aca="false">K5-K7</f>
        <v>131.950382357786</v>
      </c>
      <c r="L10" s="10" t="s">
        <v>395</v>
      </c>
    </row>
    <row r="11" customFormat="false" ht="15" hidden="false" customHeight="false" outlineLevel="0" collapsed="false">
      <c r="A11" s="11" t="n">
        <v>6</v>
      </c>
      <c r="B11" s="12" t="n">
        <f aca="false">A11/4</f>
        <v>1.5</v>
      </c>
      <c r="C11" s="13" t="n">
        <f aca="false">Declarations!$C$27+(Declarations!$B$27-Declarations!$C$27)*EXP(-Declarations!$D$27*$B11)+Declarations!$E$27*($B11/Declarations!$F$27)*EXP(1-$B11/Declarations!$F$27)</f>
        <v>77.9368018771557</v>
      </c>
      <c r="D11" s="17" t="n">
        <f aca="false">Per_point*C11</f>
        <v>483.208171638365</v>
      </c>
      <c r="E11" s="13" t="n">
        <f aca="false">Declarations!$C$27+(Declarations!$B$27-Declarations!$C$27)*EXP(-Declarations!$D$27*$B11)+(-Depth_ph)*($B11/Declarations!$F$27)*EXP(1-$B11/Declarations!$F$27)</f>
        <v>85.6409543772821</v>
      </c>
      <c r="F11" s="17" t="n">
        <f aca="false">Per_point*E11</f>
        <v>530.973917139149</v>
      </c>
      <c r="G11" s="11" t="n">
        <f aca="false">IF(D11&lt;$K$19,1,0)</f>
        <v>1</v>
      </c>
      <c r="H11" s="11" t="n">
        <f aca="false">IF(F11&lt;$K$19,1,0)</f>
        <v>1</v>
      </c>
      <c r="J11" s="2" t="s">
        <v>396</v>
      </c>
      <c r="K11" s="17" t="n">
        <f aca="false">GAMMAINV(Med_pct,G_shape,G_scale)</f>
        <v>113.13157539847</v>
      </c>
      <c r="L11" s="10" t="s">
        <v>397</v>
      </c>
    </row>
    <row r="12" customFormat="false" ht="15" hidden="false" customHeight="false" outlineLevel="0" collapsed="false">
      <c r="A12" s="11" t="n">
        <v>7</v>
      </c>
      <c r="B12" s="12" t="n">
        <f aca="false">A12/4</f>
        <v>1.75</v>
      </c>
      <c r="C12" s="13" t="n">
        <f aca="false">Declarations!$C$27+(Declarations!$B$27-Declarations!$C$27)*EXP(-Declarations!$D$27*$B12)+Declarations!$E$27*($B12/Declarations!$F$27)*EXP(1-$B12/Declarations!$F$27)</f>
        <v>77.7339326383525</v>
      </c>
      <c r="D12" s="17" t="n">
        <f aca="false">Per_point*C12</f>
        <v>481.950382357786</v>
      </c>
      <c r="E12" s="13" t="n">
        <f aca="false">Declarations!$C$27+(Declarations!$B$27-Declarations!$C$27)*EXP(-Declarations!$D$27*$B12)+(-Depth_ph)*($B12/Declarations!$F$27)*EXP(1-$B12/Declarations!$F$27)</f>
        <v>85.6659718098203</v>
      </c>
      <c r="F12" s="17" t="n">
        <f aca="false">Per_point*E12</f>
        <v>531.129025220886</v>
      </c>
      <c r="G12" s="11" t="n">
        <f aca="false">IF(D12&lt;$K$19,1,0)</f>
        <v>1</v>
      </c>
      <c r="H12" s="11" t="n">
        <f aca="false">IF(F12&lt;$K$19,1,0)</f>
        <v>1</v>
      </c>
      <c r="J12" s="2" t="s">
        <v>398</v>
      </c>
      <c r="K12" s="17" t="n">
        <f aca="false">GAMMAINV(Buf_pct,G_shape,G_scale)</f>
        <v>186.866976370664</v>
      </c>
      <c r="L12" s="10" t="s">
        <v>399</v>
      </c>
    </row>
    <row r="13" customFormat="false" ht="15" hidden="false" customHeight="false" outlineLevel="0" collapsed="false">
      <c r="A13" s="11" t="n">
        <v>8</v>
      </c>
      <c r="B13" s="12" t="n">
        <f aca="false">A13/4</f>
        <v>2</v>
      </c>
      <c r="C13" s="13" t="n">
        <f aca="false">Declarations!$C$27+(Declarations!$B$27-Declarations!$C$27)*EXP(-Declarations!$D$27*$B13)+Declarations!$E$27*($B13/Declarations!$F$27)*EXP(1-$B13/Declarations!$F$27)</f>
        <v>78.0409763545031</v>
      </c>
      <c r="D13" s="17" t="n">
        <f aca="false">Per_point*C13</f>
        <v>483.854053397919</v>
      </c>
      <c r="E13" s="13" t="n">
        <f aca="false">Declarations!$C$27+(Declarations!$B$27-Declarations!$C$27)*EXP(-Declarations!$D$27*$B13)+(-Depth_ph)*($B13/Declarations!$F$27)*EXP(1-$B13/Declarations!$F$27)</f>
        <v>86.0409763545031</v>
      </c>
      <c r="F13" s="17" t="n">
        <f aca="false">Per_point*E13</f>
        <v>533.454053397919</v>
      </c>
      <c r="G13" s="11" t="n">
        <f aca="false">IF(D13&lt;$K$19,1,0)</f>
        <v>1</v>
      </c>
      <c r="H13" s="11" t="n">
        <f aca="false">IF(F13&lt;$K$19,1,0)</f>
        <v>1</v>
      </c>
      <c r="J13" s="2" t="s">
        <v>400</v>
      </c>
      <c r="K13" s="2" t="str">
        <f aca="false">IF(K12&lt;=K5,"pass","fail")</f>
        <v>pass</v>
      </c>
      <c r="L13" s="10" t="s">
        <v>393</v>
      </c>
    </row>
    <row r="14" customFormat="false" ht="15" hidden="false" customHeight="false" outlineLevel="0" collapsed="false">
      <c r="A14" s="11" t="n">
        <v>9</v>
      </c>
      <c r="B14" s="12" t="n">
        <f aca="false">A14/4</f>
        <v>2.25</v>
      </c>
      <c r="C14" s="13" t="n">
        <f aca="false">Declarations!$C$27+(Declarations!$B$27-Declarations!$C$27)*EXP(-Declarations!$D$27*$B14)+Declarations!$E$27*($B14/Declarations!$F$27)*EXP(1-$B14/Declarations!$F$27)</f>
        <v>78.7415776479672</v>
      </c>
      <c r="D14" s="17" t="n">
        <f aca="false">Per_point*C14</f>
        <v>488.197781417396</v>
      </c>
      <c r="E14" s="13" t="n">
        <f aca="false">Declarations!$C$27+(Declarations!$B$27-Declarations!$C$27)*EXP(-Declarations!$D$27*$B14)+(-Depth_ph)*($B14/Declarations!$F$27)*EXP(1-$B14/Declarations!$F$27)</f>
        <v>86.6840497712285</v>
      </c>
      <c r="F14" s="17" t="n">
        <f aca="false">Per_point*E14</f>
        <v>537.441108581617</v>
      </c>
      <c r="G14" s="11" t="n">
        <f aca="false">IF(D14&lt;$K$19,1,0)</f>
        <v>1</v>
      </c>
      <c r="H14" s="11" t="n">
        <f aca="false">IF(F14&lt;$K$19,1,0)</f>
        <v>0</v>
      </c>
      <c r="J14" s="2" t="s">
        <v>401</v>
      </c>
      <c r="K14" s="17" t="n">
        <f aca="false">K5-K12</f>
        <v>83.1330236293356</v>
      </c>
      <c r="L14" s="10" t="s">
        <v>402</v>
      </c>
    </row>
    <row r="15" customFormat="false" ht="15" hidden="false" customHeight="false" outlineLevel="0" collapsed="false">
      <c r="A15" s="11" t="n">
        <v>10</v>
      </c>
      <c r="B15" s="12" t="n">
        <f aca="false">A15/4</f>
        <v>2.5</v>
      </c>
      <c r="C15" s="13" t="n">
        <f aca="false">Declarations!$C$27+(Declarations!$B$27-Declarations!$C$27)*EXP(-Declarations!$D$27*$B15)+Declarations!$E$27*($B15/Declarations!$F$27)*EXP(1-$B15/Declarations!$F$27)</f>
        <v>79.7396283563587</v>
      </c>
      <c r="D15" s="17" t="n">
        <f aca="false">Per_point*C15</f>
        <v>494.385695809424</v>
      </c>
      <c r="E15" s="13" t="n">
        <f aca="false">Declarations!$C$27+(Declarations!$B$27-Declarations!$C$27)*EXP(-Declarations!$D$27*$B15)+(-Depth_ph)*($B15/Declarations!$F$27)*EXP(1-$B15/Declarations!$F$27)</f>
        <v>87.5276361870728</v>
      </c>
      <c r="F15" s="17" t="n">
        <f aca="false">Per_point*E15</f>
        <v>542.671344359851</v>
      </c>
      <c r="G15" s="11" t="n">
        <f aca="false">IF(D15&lt;$K$19,1,0)</f>
        <v>1</v>
      </c>
      <c r="H15" s="11" t="n">
        <f aca="false">IF(F15&lt;$K$19,1,0)</f>
        <v>0</v>
      </c>
      <c r="J15" s="2" t="s">
        <v>403</v>
      </c>
      <c r="K15" s="2" t="s">
        <v>404</v>
      </c>
      <c r="L15" s="10" t="s">
        <v>405</v>
      </c>
    </row>
    <row r="16" customFormat="false" ht="15" hidden="false" customHeight="false" outlineLevel="0" collapsed="false">
      <c r="A16" s="11" t="n">
        <v>11</v>
      </c>
      <c r="B16" s="12" t="n">
        <f aca="false">A16/4</f>
        <v>2.75</v>
      </c>
      <c r="C16" s="13" t="n">
        <f aca="false">Declarations!$C$27+(Declarations!$B$27-Declarations!$C$27)*EXP(-Declarations!$D$27*$B16)+Declarations!$E$27*($B16/Declarations!$F$27)*EXP(1-$B16/Declarations!$F$27)</f>
        <v>80.9561205749002</v>
      </c>
      <c r="D16" s="17" t="n">
        <f aca="false">Per_point*C16</f>
        <v>501.927947564381</v>
      </c>
      <c r="E16" s="13" t="n">
        <f aca="false">Declarations!$C$27+(Declarations!$B$27-Declarations!$C$27)*EXP(-Declarations!$D$27*$B16)+(-Depth_ph)*($B16/Declarations!$F$27)*EXP(1-$B16/Declarations!$F$27)</f>
        <v>88.5163026416009</v>
      </c>
      <c r="F16" s="17" t="n">
        <f aca="false">Per_point*E16</f>
        <v>548.801076377926</v>
      </c>
      <c r="G16" s="11" t="n">
        <f aca="false">IF(D16&lt;$K$19,1,0)</f>
        <v>1</v>
      </c>
      <c r="H16" s="11" t="n">
        <f aca="false">IF(F16&lt;$K$19,1,0)</f>
        <v>0</v>
      </c>
      <c r="J16" s="2" t="s">
        <v>406</v>
      </c>
      <c r="K16" s="17" t="n">
        <f aca="false">K7+K12</f>
        <v>324.916594012879</v>
      </c>
      <c r="L16" s="10" t="s">
        <v>407</v>
      </c>
    </row>
    <row r="17" customFormat="false" ht="15" hidden="false" customHeight="false" outlineLevel="0" collapsed="false">
      <c r="A17" s="11" t="n">
        <v>12</v>
      </c>
      <c r="B17" s="12" t="n">
        <f aca="false">A17/4</f>
        <v>3</v>
      </c>
      <c r="C17" s="13" t="n">
        <f aca="false">Declarations!$C$27+(Declarations!$B$27-Declarations!$C$27)*EXP(-Declarations!$D$27*$B17)+Declarations!$E$27*($B17/Declarations!$F$27)*EXP(1-$B17/Declarations!$F$27)</f>
        <v>82.3264593027355</v>
      </c>
      <c r="D17" s="17" t="n">
        <f aca="false">Per_point*C17</f>
        <v>510.42404767696</v>
      </c>
      <c r="E17" s="13" t="n">
        <f aca="false">Declarations!$C$27+(Declarations!$B$27-Declarations!$C$27)*EXP(-Declarations!$D$27*$B17)+(-Depth_ph)*($B17/Declarations!$F$27)*EXP(1-$B17/Declarations!$F$27)</f>
        <v>89.6048272192871</v>
      </c>
      <c r="F17" s="17" t="n">
        <f aca="false">Per_point*E17</f>
        <v>555.54992875958</v>
      </c>
      <c r="G17" s="11" t="n">
        <f aca="false">IF(D17&lt;$K$19,1,0)</f>
        <v>1</v>
      </c>
      <c r="H17" s="11" t="n">
        <f aca="false">IF(F17&lt;$K$19,1,0)</f>
        <v>0</v>
      </c>
      <c r="J17" s="2" t="s">
        <v>408</v>
      </c>
      <c r="K17" s="17" t="n">
        <f aca="false">K5-K16</f>
        <v>-54.9165940128788</v>
      </c>
      <c r="L17" s="10" t="s">
        <v>215</v>
      </c>
    </row>
    <row r="18" customFormat="false" ht="15" hidden="false" customHeight="false" outlineLevel="0" collapsed="false">
      <c r="J18" s="2" t="s">
        <v>409</v>
      </c>
      <c r="K18" s="2" t="str">
        <f aca="false">IF(K17&gt;=0,"feasible","infeasible")</f>
        <v>infeasible</v>
      </c>
      <c r="L18" s="10" t="s">
        <v>410</v>
      </c>
    </row>
    <row r="19" customFormat="false" ht="15" hidden="false" customHeight="false" outlineLevel="0" collapsed="false">
      <c r="J19" s="2" t="s">
        <v>411</v>
      </c>
      <c r="K19" s="17" t="n">
        <f aca="false">Floor_liq+K12</f>
        <v>536.866976370664</v>
      </c>
      <c r="L19" s="10" t="s">
        <v>412</v>
      </c>
    </row>
    <row r="20" customFormat="false" ht="15" hidden="false" customHeight="false" outlineLevel="0" collapsed="false">
      <c r="J20" s="2" t="s">
        <v>413</v>
      </c>
      <c r="K20" s="11" t="n">
        <f aca="false">SUM($G$5:$G$17)</f>
        <v>10</v>
      </c>
      <c r="L20" s="10" t="s">
        <v>414</v>
      </c>
    </row>
    <row r="21" customFormat="false" ht="15" hidden="false" customHeight="false" outlineLevel="0" collapsed="false">
      <c r="J21" s="2" t="s">
        <v>415</v>
      </c>
      <c r="K21" s="11" t="n">
        <f aca="false">_xlfn.MINIFS($A$5:$A$17,$G$5:$G$17,1)</f>
        <v>3</v>
      </c>
      <c r="L21" s="10" t="s">
        <v>416</v>
      </c>
    </row>
    <row r="22" customFormat="false" ht="15" hidden="false" customHeight="false" outlineLevel="0" collapsed="false">
      <c r="J22" s="2" t="s">
        <v>417</v>
      </c>
      <c r="K22" s="11" t="n">
        <f aca="false">_xlfn.MAXIFS($A$5:$A$17,$G$5:$G$17,1)</f>
        <v>12</v>
      </c>
      <c r="L22" s="10" t="s">
        <v>418</v>
      </c>
    </row>
    <row r="23" customFormat="false" ht="15" hidden="false" customHeight="false" outlineLevel="0" collapsed="false">
      <c r="J23" s="2" t="s">
        <v>419</v>
      </c>
      <c r="K23" s="17" t="n">
        <f aca="false">K19-K6</f>
        <v>54.9165940128788</v>
      </c>
      <c r="L23" s="10" t="s">
        <v>420</v>
      </c>
    </row>
    <row r="24" customFormat="false" ht="15" hidden="false" customHeight="false" outlineLevel="0" collapsed="false">
      <c r="J24" s="2" t="s">
        <v>421</v>
      </c>
      <c r="K24" s="17" t="n">
        <f aca="false">MIN($F$5:$F$17)</f>
        <v>530.973917139149</v>
      </c>
      <c r="L24" s="10" t="s">
        <v>422</v>
      </c>
    </row>
    <row r="25" customFormat="false" ht="15" hidden="false" customHeight="false" outlineLevel="0" collapsed="false">
      <c r="J25" s="2" t="s">
        <v>423</v>
      </c>
      <c r="K25" s="11" t="n">
        <f aca="false">_xlfn.MINIFS($A$5:$A$17,$H$5:$H$17,1)</f>
        <v>5</v>
      </c>
      <c r="L25" s="10" t="s">
        <v>424</v>
      </c>
    </row>
    <row r="26" customFormat="false" ht="15" hidden="false" customHeight="false" outlineLevel="0" collapsed="false">
      <c r="J26" s="2" t="s">
        <v>425</v>
      </c>
      <c r="K26" s="17" t="n">
        <f aca="false">Liq_today-K24</f>
        <v>89.0260828608509</v>
      </c>
      <c r="L26" s="10" t="s">
        <v>426</v>
      </c>
    </row>
    <row r="27" customFormat="false" ht="15" hidden="false" customHeight="false" outlineLevel="0" collapsed="false">
      <c r="J27" s="2" t="s">
        <v>427</v>
      </c>
      <c r="K27" s="11" t="n">
        <f aca="false">_xlfn.MAXIFS($A$5:$A$17,$H$5:$H$17,1)</f>
        <v>8</v>
      </c>
      <c r="L27" s="10"/>
    </row>
    <row r="28" customFormat="false" ht="15" hidden="false" customHeight="false" outlineLevel="0" collapsed="false">
      <c r="J28" s="2" t="s">
        <v>428</v>
      </c>
      <c r="K28" s="17" t="n">
        <f aca="false">K19-K24</f>
        <v>5.89305923151528</v>
      </c>
      <c r="L28" s="10" t="s">
        <v>429</v>
      </c>
    </row>
    <row r="30" customFormat="false" ht="15" hidden="false" customHeight="false" outlineLevel="0" collapsed="false">
      <c r="J30" s="2" t="s">
        <v>430</v>
      </c>
      <c r="K30" s="9" t="n">
        <v>3</v>
      </c>
      <c r="L30" s="10" t="s">
        <v>431</v>
      </c>
    </row>
    <row r="31" customFormat="false" ht="15" hidden="false" customHeight="false" outlineLevel="0" collapsed="false">
      <c r="J31" s="2" t="s">
        <v>432</v>
      </c>
      <c r="K31" s="11" t="n">
        <f aca="false">K30*(K30-1)/2</f>
        <v>3</v>
      </c>
      <c r="L31" s="10" t="s">
        <v>433</v>
      </c>
    </row>
    <row r="32" customFormat="false" ht="15" hidden="false" customHeight="false" outlineLevel="0" collapsed="false">
      <c r="J32" s="2" t="s">
        <v>434</v>
      </c>
      <c r="K32" s="11" t="n">
        <f aca="false">K31-K30+1</f>
        <v>1</v>
      </c>
      <c r="L32" s="10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24"/>
  </cols>
  <sheetData>
    <row r="1" customFormat="false" ht="15" hidden="false" customHeight="false" outlineLevel="0" collapsed="false">
      <c r="A1" s="1" t="s">
        <v>436</v>
      </c>
    </row>
    <row r="2" customFormat="false" ht="15" hidden="false" customHeight="false" outlineLevel="0" collapsed="false">
      <c r="A2" s="10" t="s">
        <v>437</v>
      </c>
    </row>
    <row r="4" customFormat="false" ht="15" hidden="false" customHeight="false" outlineLevel="0" collapsed="false">
      <c r="A4" s="8" t="s">
        <v>438</v>
      </c>
      <c r="B4" s="8" t="s">
        <v>439</v>
      </c>
      <c r="C4" s="8" t="s">
        <v>440</v>
      </c>
      <c r="D4" s="8" t="s">
        <v>441</v>
      </c>
      <c r="E4" s="8" t="s">
        <v>442</v>
      </c>
      <c r="F4" s="8" t="s">
        <v>409</v>
      </c>
      <c r="G4" s="8" t="s">
        <v>443</v>
      </c>
    </row>
    <row r="5" customFormat="false" ht="15" hidden="false" customHeight="false" outlineLevel="0" collapsed="false">
      <c r="A5" s="2" t="s">
        <v>444</v>
      </c>
      <c r="B5" s="20" t="n">
        <f aca="false">JointCheck!$K$7</f>
        <v>138.049617642214</v>
      </c>
      <c r="C5" s="20" t="n">
        <f aca="false">JointCheck!$K$12</f>
        <v>186.866976370664</v>
      </c>
      <c r="D5" s="17" t="n">
        <f aca="false">B5+C5</f>
        <v>324.916594012879</v>
      </c>
      <c r="E5" s="26" t="n">
        <f aca="false">Pool_cash-D5</f>
        <v>-54.9165940128788</v>
      </c>
      <c r="F5" s="2" t="str">
        <f aca="false">IF(E5&gt;=0,"passes","fails")</f>
        <v>fails</v>
      </c>
      <c r="G5" s="2" t="s">
        <v>445</v>
      </c>
    </row>
    <row r="6" customFormat="false" ht="15" hidden="false" customHeight="false" outlineLevel="0" collapsed="false">
      <c r="A6" s="2" t="s">
        <v>446</v>
      </c>
      <c r="B6" s="20" t="n">
        <f aca="false">JointCheck!$K$7</f>
        <v>138.049617642214</v>
      </c>
      <c r="C6" s="20" t="n">
        <f aca="false">JointCheck!$K$11</f>
        <v>113.13157539847</v>
      </c>
      <c r="D6" s="17" t="n">
        <f aca="false">B6+C6</f>
        <v>251.181193040685</v>
      </c>
      <c r="E6" s="26" t="n">
        <f aca="false">Pool_cash-D6</f>
        <v>18.8188069593155</v>
      </c>
      <c r="F6" s="2" t="str">
        <f aca="false">IF(E6&gt;=0,"passes","fails")</f>
        <v>passes</v>
      </c>
      <c r="G6" s="2" t="s">
        <v>147</v>
      </c>
    </row>
    <row r="7" customFormat="false" ht="15" hidden="false" customHeight="false" outlineLevel="0" collapsed="false">
      <c r="A7" s="2" t="s">
        <v>447</v>
      </c>
      <c r="B7" s="20" t="n">
        <f aca="false">JointCheck!$K$26</f>
        <v>89.0260828608509</v>
      </c>
      <c r="C7" s="20" t="n">
        <f aca="false">JointCheck!$K$12</f>
        <v>186.866976370664</v>
      </c>
      <c r="D7" s="17" t="n">
        <f aca="false">B7+C7</f>
        <v>275.893059231515</v>
      </c>
      <c r="E7" s="26" t="n">
        <f aca="false">Pool_cash-D7</f>
        <v>-5.89305923151528</v>
      </c>
      <c r="F7" s="2" t="str">
        <f aca="false">IF(E7&gt;=0,"passes","fails")</f>
        <v>fails</v>
      </c>
      <c r="G7" s="2" t="s">
        <v>141</v>
      </c>
    </row>
    <row r="8" customFormat="false" ht="15" hidden="false" customHeight="false" outlineLevel="0" collapsed="false">
      <c r="A8" s="2" t="s">
        <v>448</v>
      </c>
      <c r="B8" s="20" t="n">
        <f aca="false">JointCheck!$K$7</f>
        <v>138.049617642214</v>
      </c>
      <c r="C8" s="17" t="n">
        <f aca="false">MAX(JointCheck!$K$12-Line_cover,0)</f>
        <v>86.8669763706644</v>
      </c>
      <c r="D8" s="17" t="n">
        <f aca="false">B8+C8</f>
        <v>224.916594012879</v>
      </c>
      <c r="E8" s="26" t="n">
        <f aca="false">Pool_cash-D8</f>
        <v>45.0834059871212</v>
      </c>
      <c r="F8" s="2" t="str">
        <f aca="false">IF(E8&gt;=0,"passes","fails")</f>
        <v>passes</v>
      </c>
      <c r="G8" s="2" t="s">
        <v>143</v>
      </c>
    </row>
    <row r="9" customFormat="false" ht="15" hidden="false" customHeight="false" outlineLevel="0" collapsed="false">
      <c r="A9" s="2" t="s">
        <v>449</v>
      </c>
      <c r="B9" s="20" t="n">
        <f aca="false">JointCheck!$K$26</f>
        <v>89.0260828608509</v>
      </c>
      <c r="C9" s="17" t="n">
        <f aca="false">MAX(JointCheck!$K$12-Line_cover,0)</f>
        <v>86.8669763706644</v>
      </c>
      <c r="D9" s="17" t="n">
        <f aca="false">B9+C9</f>
        <v>175.893059231515</v>
      </c>
      <c r="E9" s="26" t="n">
        <f aca="false">Pool_cash-D9</f>
        <v>94.1069407684847</v>
      </c>
      <c r="F9" s="2" t="str">
        <f aca="false">IF(E9&gt;=0,"passes","fails")</f>
        <v>passes</v>
      </c>
      <c r="G9" s="2" t="s">
        <v>450</v>
      </c>
    </row>
    <row r="11" customFormat="false" ht="15" hidden="false" customHeight="false" outlineLevel="0" collapsed="false">
      <c r="A11" s="10" t="s">
        <v>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22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" t="s">
        <v>452</v>
      </c>
    </row>
    <row r="2" customFormat="false" ht="15" hidden="false" customHeight="false" outlineLevel="0" collapsed="false">
      <c r="A2" s="10" t="s">
        <v>453</v>
      </c>
    </row>
    <row r="4" customFormat="false" ht="23.85" hidden="false" customHeight="false" outlineLevel="0" collapsed="false">
      <c r="A4" s="8" t="s">
        <v>438</v>
      </c>
      <c r="B4" s="8" t="s">
        <v>443</v>
      </c>
      <c r="C4" s="8" t="s">
        <v>454</v>
      </c>
      <c r="D4" s="8" t="s">
        <v>409</v>
      </c>
      <c r="E4" s="8" t="s">
        <v>455</v>
      </c>
      <c r="F4" s="8" t="s">
        <v>456</v>
      </c>
      <c r="G4" s="8" t="s">
        <v>457</v>
      </c>
      <c r="H4" s="8" t="s">
        <v>458</v>
      </c>
      <c r="I4" s="8" t="s">
        <v>459</v>
      </c>
    </row>
    <row r="5" customFormat="false" ht="15" hidden="false" customHeight="false" outlineLevel="0" collapsed="false">
      <c r="A5" s="2" t="s">
        <v>444</v>
      </c>
      <c r="B5" s="2" t="s">
        <v>445</v>
      </c>
      <c r="C5" s="27" t="n">
        <f aca="false">Repairs!E5</f>
        <v>-54.9165940128788</v>
      </c>
      <c r="D5" s="2" t="str">
        <f aca="false">IF(C5&gt;=0,"pass","fail")</f>
        <v>fail</v>
      </c>
      <c r="E5" s="28" t="n">
        <v>0.24622</v>
      </c>
      <c r="F5" s="28" t="n">
        <v>0.00136233517021326</v>
      </c>
      <c r="G5" s="2" t="str">
        <f aca="false">IF(E5&lt;=Appetite,"pass","fail")</f>
        <v>fail</v>
      </c>
      <c r="H5" s="2" t="str">
        <f aca="false">IF(AND(D5="pass",G5="pass"),"yes","no")</f>
        <v>no</v>
      </c>
      <c r="I5" s="28" t="n">
        <v>0.24538</v>
      </c>
    </row>
    <row r="6" customFormat="false" ht="15" hidden="false" customHeight="false" outlineLevel="0" collapsed="false">
      <c r="A6" s="2" t="s">
        <v>446</v>
      </c>
      <c r="B6" s="2" t="s">
        <v>147</v>
      </c>
      <c r="C6" s="27" t="n">
        <f aca="false">Repairs!E6</f>
        <v>18.8188069593155</v>
      </c>
      <c r="D6" s="2" t="str">
        <f aca="false">IF(C6&gt;=0,"pass","fail")</f>
        <v>pass</v>
      </c>
      <c r="E6" s="28" t="n">
        <v>0.24622</v>
      </c>
      <c r="F6" s="28" t="n">
        <v>0.00136233517021326</v>
      </c>
      <c r="G6" s="2" t="str">
        <f aca="false">IF(E6&lt;=Appetite,"pass","fail")</f>
        <v>fail</v>
      </c>
      <c r="H6" s="2" t="str">
        <f aca="false">IF(AND(D6="pass",G6="pass"),"yes","no")</f>
        <v>no</v>
      </c>
      <c r="I6" s="28" t="n">
        <v>0.24538</v>
      </c>
    </row>
    <row r="7" customFormat="false" ht="15" hidden="false" customHeight="false" outlineLevel="0" collapsed="false">
      <c r="A7" s="2" t="s">
        <v>447</v>
      </c>
      <c r="B7" s="2" t="s">
        <v>141</v>
      </c>
      <c r="C7" s="27" t="n">
        <f aca="false">Repairs!E7</f>
        <v>-5.89305923151528</v>
      </c>
      <c r="D7" s="2" t="str">
        <f aca="false">IF(C7&gt;=0,"pass","fail")</f>
        <v>fail</v>
      </c>
      <c r="E7" s="28" t="n">
        <v>0.13068</v>
      </c>
      <c r="F7" s="28" t="n">
        <v>0.00106584585001772</v>
      </c>
      <c r="G7" s="2" t="str">
        <f aca="false">IF(E7&lt;=Appetite,"pass","fail")</f>
        <v>fail</v>
      </c>
      <c r="H7" s="2" t="str">
        <f aca="false">IF(AND(D7="pass",G7="pass"),"yes","no")</f>
        <v>no</v>
      </c>
      <c r="I7" s="28" t="n">
        <v>0.1313</v>
      </c>
    </row>
    <row r="8" customFormat="false" ht="15" hidden="false" customHeight="false" outlineLevel="0" collapsed="false">
      <c r="A8" s="2" t="s">
        <v>448</v>
      </c>
      <c r="B8" s="2" t="s">
        <v>143</v>
      </c>
      <c r="C8" s="27" t="n">
        <f aca="false">Repairs!E8</f>
        <v>45.0834059871212</v>
      </c>
      <c r="D8" s="2" t="str">
        <f aca="false">IF(C8&gt;=0,"pass","fail")</f>
        <v>pass</v>
      </c>
      <c r="E8" s="28" t="n">
        <v>0.12374</v>
      </c>
      <c r="F8" s="28" t="n">
        <v>0.00104128964462344</v>
      </c>
      <c r="G8" s="2" t="str">
        <f aca="false">IF(E8&lt;=Appetite,"pass","fail")</f>
        <v>fail</v>
      </c>
      <c r="H8" s="2" t="str">
        <f aca="false">IF(AND(D8="pass",G8="pass"),"yes","no")</f>
        <v>no</v>
      </c>
      <c r="I8" s="28" t="n">
        <v>0.12313</v>
      </c>
    </row>
    <row r="9" customFormat="false" ht="15" hidden="false" customHeight="false" outlineLevel="0" collapsed="false">
      <c r="A9" s="2" t="s">
        <v>449</v>
      </c>
      <c r="B9" s="2" t="s">
        <v>450</v>
      </c>
      <c r="C9" s="27" t="n">
        <f aca="false">Repairs!E9</f>
        <v>94.1069407684847</v>
      </c>
      <c r="D9" s="2" t="str">
        <f aca="false">IF(C9&gt;=0,"pass","fail")</f>
        <v>pass</v>
      </c>
      <c r="E9" s="28" t="n">
        <v>0.03003</v>
      </c>
      <c r="F9" s="28" t="n">
        <v>0.000539705466898382</v>
      </c>
      <c r="G9" s="2" t="str">
        <f aca="false">IF(E9&lt;=Appetite,"pass","fail")</f>
        <v>pass</v>
      </c>
      <c r="H9" s="2" t="str">
        <f aca="false">IF(AND(D9="pass",G9="pass"),"yes","no")</f>
        <v>yes</v>
      </c>
      <c r="I9" s="28" t="n">
        <v>0.03025</v>
      </c>
    </row>
    <row r="11" customFormat="false" ht="15" hidden="false" customHeight="false" outlineLevel="0" collapsed="false">
      <c r="A11" s="2" t="s">
        <v>460</v>
      </c>
      <c r="B11" s="11" t="n">
        <f aca="false">COUNTIF(H6:H8,"yes")</f>
        <v>0</v>
      </c>
      <c r="C11" s="10" t="s">
        <v>461</v>
      </c>
    </row>
    <row r="12" customFormat="false" ht="15" hidden="false" customHeight="false" outlineLevel="0" collapsed="false">
      <c r="A12" s="2" t="s">
        <v>462</v>
      </c>
      <c r="B12" s="11" t="n">
        <f aca="false">COUNTIF(H5:H9,"yes")</f>
        <v>1</v>
      </c>
      <c r="C12" s="10" t="s">
        <v>463</v>
      </c>
    </row>
    <row r="13" customFormat="false" ht="15" hidden="false" customHeight="false" outlineLevel="0" collapsed="false">
      <c r="A13" s="2" t="s">
        <v>464</v>
      </c>
      <c r="B13" s="17" t="n">
        <f aca="false">JointCheck!K6</f>
        <v>481.950382357786</v>
      </c>
      <c r="C13" s="10" t="s">
        <v>352</v>
      </c>
    </row>
    <row r="14" customFormat="false" ht="15" hidden="false" customHeight="false" outlineLevel="0" collapsed="false">
      <c r="A14" s="2" t="s">
        <v>465</v>
      </c>
      <c r="B14" s="29" t="n">
        <v>383.831512005111</v>
      </c>
      <c r="C14" s="10" t="s">
        <v>466</v>
      </c>
    </row>
    <row r="15" customFormat="false" ht="15" hidden="false" customHeight="false" outlineLevel="0" collapsed="false">
      <c r="A15" s="2" t="s">
        <v>467</v>
      </c>
      <c r="B15" s="17" t="n">
        <f aca="false">B13-B14</f>
        <v>98.1188703526749</v>
      </c>
      <c r="C15" s="10" t="s">
        <v>468</v>
      </c>
    </row>
    <row r="17" customFormat="false" ht="15" hidden="false" customHeight="false" outlineLevel="0" collapsed="false">
      <c r="A17" s="10" t="s">
        <v>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" t="s">
        <v>470</v>
      </c>
      <c r="B1" s="8" t="s">
        <v>471</v>
      </c>
      <c r="C1" s="8" t="s">
        <v>472</v>
      </c>
    </row>
    <row r="2" customFormat="false" ht="15" hidden="false" customHeight="false" outlineLevel="0" collapsed="false">
      <c r="A2" s="2" t="s">
        <v>473</v>
      </c>
      <c r="B2" s="30" t="n">
        <v>7</v>
      </c>
      <c r="C2" s="2" t="s">
        <v>474</v>
      </c>
    </row>
    <row r="3" customFormat="false" ht="15" hidden="false" customHeight="false" outlineLevel="0" collapsed="false">
      <c r="A3" s="2" t="s">
        <v>475</v>
      </c>
      <c r="B3" s="30" t="n">
        <v>4</v>
      </c>
      <c r="C3" s="2" t="s">
        <v>333</v>
      </c>
    </row>
    <row r="4" customFormat="false" ht="15" hidden="false" customHeight="false" outlineLevel="0" collapsed="false">
      <c r="A4" s="2" t="s">
        <v>129</v>
      </c>
      <c r="B4" s="30" t="n">
        <v>10</v>
      </c>
      <c r="C4" s="2" t="s">
        <v>130</v>
      </c>
    </row>
    <row r="5" customFormat="false" ht="15" hidden="false" customHeight="false" outlineLevel="0" collapsed="false">
      <c r="A5" s="2" t="s">
        <v>131</v>
      </c>
      <c r="B5" s="30" t="n">
        <v>10</v>
      </c>
      <c r="C5" s="2" t="s">
        <v>132</v>
      </c>
    </row>
    <row r="6" customFormat="false" ht="15" hidden="false" customHeight="false" outlineLevel="0" collapsed="false">
      <c r="A6" s="2" t="s">
        <v>476</v>
      </c>
      <c r="B6" s="30" t="n">
        <v>23.2</v>
      </c>
      <c r="C6" s="2" t="s">
        <v>54</v>
      </c>
    </row>
    <row r="7" customFormat="false" ht="15" hidden="false" customHeight="false" outlineLevel="0" collapsed="false">
      <c r="A7" s="2" t="s">
        <v>477</v>
      </c>
      <c r="B7" s="30" t="n">
        <v>0</v>
      </c>
      <c r="C7" s="2" t="s">
        <v>478</v>
      </c>
    </row>
    <row r="8" customFormat="false" ht="15" hidden="false" customHeight="false" outlineLevel="0" collapsed="false">
      <c r="A8" s="2" t="s">
        <v>479</v>
      </c>
      <c r="B8" s="30" t="n">
        <v>324.916594012879</v>
      </c>
      <c r="C8" s="2" t="s">
        <v>480</v>
      </c>
    </row>
    <row r="9" customFormat="false" ht="15" hidden="false" customHeight="false" outlineLevel="0" collapsed="false">
      <c r="A9" s="2" t="s">
        <v>481</v>
      </c>
      <c r="B9" s="30" t="n">
        <v>324.916594012879</v>
      </c>
      <c r="C9" s="2" t="s">
        <v>482</v>
      </c>
    </row>
    <row r="10" customFormat="false" ht="15" hidden="false" customHeight="false" outlineLevel="0" collapsed="false">
      <c r="A10" s="2" t="s">
        <v>483</v>
      </c>
      <c r="B10" s="30" t="n">
        <v>270</v>
      </c>
      <c r="C10" s="2" t="s">
        <v>484</v>
      </c>
    </row>
    <row r="11" customFormat="false" ht="15" hidden="false" customHeight="false" outlineLevel="0" collapsed="false">
      <c r="A11" s="2" t="s">
        <v>485</v>
      </c>
      <c r="B11" s="30" t="n">
        <v>2</v>
      </c>
      <c r="C11" s="2" t="s">
        <v>235</v>
      </c>
    </row>
    <row r="12" customFormat="false" ht="15" hidden="false" customHeight="false" outlineLevel="0" collapsed="false">
      <c r="A12" s="2" t="s">
        <v>486</v>
      </c>
      <c r="B12" s="30" t="n">
        <v>2</v>
      </c>
      <c r="C12" s="2" t="s">
        <v>235</v>
      </c>
    </row>
    <row r="13" customFormat="false" ht="15" hidden="false" customHeight="false" outlineLevel="0" collapsed="false">
      <c r="A13" s="2" t="s">
        <v>487</v>
      </c>
      <c r="B13" s="30" t="n">
        <v>4</v>
      </c>
      <c r="C13" s="2" t="s">
        <v>488</v>
      </c>
    </row>
    <row r="14" customFormat="false" ht="15" hidden="false" customHeight="false" outlineLevel="0" collapsed="false">
      <c r="A14" s="2" t="s">
        <v>489</v>
      </c>
      <c r="B14" s="30" t="n">
        <v>10</v>
      </c>
      <c r="C14" s="2" t="s">
        <v>490</v>
      </c>
    </row>
    <row r="15" customFormat="false" ht="15" hidden="false" customHeight="false" outlineLevel="0" collapsed="false">
      <c r="A15" s="2" t="s">
        <v>491</v>
      </c>
      <c r="B15" s="30" t="n">
        <v>0.75</v>
      </c>
      <c r="C15" s="2" t="s">
        <v>492</v>
      </c>
    </row>
    <row r="16" customFormat="false" ht="15" hidden="false" customHeight="false" outlineLevel="0" collapsed="false">
      <c r="A16" s="2" t="s">
        <v>493</v>
      </c>
      <c r="B16" s="30" t="n">
        <v>1</v>
      </c>
      <c r="C16" s="2" t="s">
        <v>494</v>
      </c>
    </row>
    <row r="17" customFormat="false" ht="15" hidden="false" customHeight="false" outlineLevel="0" collapsed="false">
      <c r="A17" s="2" t="s">
        <v>495</v>
      </c>
      <c r="B17" s="30" t="n">
        <v>4</v>
      </c>
      <c r="C17" s="2" t="s">
        <v>496</v>
      </c>
    </row>
    <row r="18" customFormat="false" ht="15" hidden="false" customHeight="false" outlineLevel="0" collapsed="false">
      <c r="A18" s="2" t="s">
        <v>497</v>
      </c>
      <c r="B18" s="30" t="n">
        <v>0.25</v>
      </c>
      <c r="C18" s="2" t="s">
        <v>498</v>
      </c>
    </row>
    <row r="19" customFormat="false" ht="15" hidden="false" customHeight="false" outlineLevel="0" collapsed="false">
      <c r="A19" s="2" t="s">
        <v>499</v>
      </c>
      <c r="B19" s="30" t="n">
        <v>0.75</v>
      </c>
      <c r="C19" s="2" t="s">
        <v>500</v>
      </c>
    </row>
    <row r="20" customFormat="false" ht="15" hidden="false" customHeight="false" outlineLevel="0" collapsed="false">
      <c r="A20" s="2" t="s">
        <v>501</v>
      </c>
      <c r="B20" s="30" t="n">
        <v>0.25</v>
      </c>
      <c r="C20" s="2" t="s">
        <v>502</v>
      </c>
    </row>
    <row r="21" customFormat="false" ht="15" hidden="false" customHeight="false" outlineLevel="0" collapsed="false">
      <c r="A21" s="2" t="s">
        <v>503</v>
      </c>
      <c r="B21" s="30" t="n">
        <v>4</v>
      </c>
      <c r="C21" s="2" t="s">
        <v>504</v>
      </c>
    </row>
    <row r="22" customFormat="false" ht="15" hidden="false" customHeight="false" outlineLevel="0" collapsed="false">
      <c r="A22" s="2" t="s">
        <v>505</v>
      </c>
      <c r="B22" s="30" t="n">
        <v>1</v>
      </c>
      <c r="C22" s="2" t="s">
        <v>291</v>
      </c>
    </row>
    <row r="23" customFormat="false" ht="15" hidden="false" customHeight="false" outlineLevel="0" collapsed="false">
      <c r="A23" s="2" t="s">
        <v>506</v>
      </c>
      <c r="B23" s="30" t="n">
        <v>1</v>
      </c>
      <c r="C23" s="2" t="s">
        <v>291</v>
      </c>
    </row>
    <row r="24" customFormat="false" ht="15" hidden="false" customHeight="false" outlineLevel="0" collapsed="false">
      <c r="A24" s="2" t="s">
        <v>294</v>
      </c>
      <c r="B24" s="30" t="n">
        <v>3</v>
      </c>
      <c r="C24" s="2" t="s">
        <v>507</v>
      </c>
    </row>
    <row r="25" customFormat="false" ht="15" hidden="false" customHeight="false" outlineLevel="0" collapsed="false">
      <c r="A25" s="2" t="s">
        <v>508</v>
      </c>
      <c r="B25" s="30" t="n">
        <v>1</v>
      </c>
      <c r="C25" s="2" t="s">
        <v>291</v>
      </c>
    </row>
    <row r="26" customFormat="false" ht="15" hidden="false" customHeight="false" outlineLevel="0" collapsed="false">
      <c r="A26" s="2" t="s">
        <v>509</v>
      </c>
      <c r="B26" s="30" t="n">
        <v>2</v>
      </c>
      <c r="C26" s="2" t="s">
        <v>299</v>
      </c>
    </row>
    <row r="27" customFormat="false" ht="15" hidden="false" customHeight="false" outlineLevel="0" collapsed="false">
      <c r="A27" s="2" t="s">
        <v>510</v>
      </c>
      <c r="B27" s="30" t="n">
        <v>2</v>
      </c>
      <c r="C27" s="2" t="s">
        <v>299</v>
      </c>
    </row>
    <row r="28" customFormat="false" ht="15" hidden="false" customHeight="false" outlineLevel="0" collapsed="false">
      <c r="A28" s="2" t="s">
        <v>511</v>
      </c>
      <c r="B28" s="30" t="n">
        <v>17</v>
      </c>
      <c r="C28" s="2" t="s">
        <v>512</v>
      </c>
    </row>
    <row r="29" customFormat="false" ht="15" hidden="false" customHeight="false" outlineLevel="0" collapsed="false">
      <c r="A29" s="2" t="s">
        <v>513</v>
      </c>
      <c r="B29" s="30" t="n">
        <v>7</v>
      </c>
      <c r="C29" s="2" t="s">
        <v>514</v>
      </c>
    </row>
    <row r="30" customFormat="false" ht="15" hidden="false" customHeight="false" outlineLevel="0" collapsed="false">
      <c r="A30" s="2" t="s">
        <v>515</v>
      </c>
      <c r="B30" s="30" t="n">
        <v>2</v>
      </c>
      <c r="C30" s="2" t="s">
        <v>516</v>
      </c>
    </row>
    <row r="31" customFormat="false" ht="15" hidden="false" customHeight="false" outlineLevel="0" collapsed="false">
      <c r="A31" s="2" t="s">
        <v>517</v>
      </c>
      <c r="B31" s="30" t="n">
        <v>574.177722070089</v>
      </c>
      <c r="C31" s="2" t="s">
        <v>518</v>
      </c>
    </row>
    <row r="32" customFormat="false" ht="15" hidden="false" customHeight="false" outlineLevel="0" collapsed="false">
      <c r="A32" s="2" t="s">
        <v>519</v>
      </c>
      <c r="B32" s="30" t="n">
        <v>510.42404767696</v>
      </c>
      <c r="C32" s="2" t="s">
        <v>520</v>
      </c>
    </row>
    <row r="33" customFormat="false" ht="15" hidden="false" customHeight="false" outlineLevel="0" collapsed="false">
      <c r="A33" s="2" t="s">
        <v>521</v>
      </c>
      <c r="B33" s="30" t="n">
        <v>589.050748892685</v>
      </c>
      <c r="C33" s="2" t="s">
        <v>522</v>
      </c>
    </row>
    <row r="34" customFormat="false" ht="15" hidden="false" customHeight="false" outlineLevel="0" collapsed="false">
      <c r="A34" s="2" t="s">
        <v>523</v>
      </c>
      <c r="B34" s="30" t="n">
        <v>555.54992875958</v>
      </c>
      <c r="C34" s="2" t="s">
        <v>524</v>
      </c>
    </row>
    <row r="35" customFormat="false" ht="15" hidden="false" customHeight="false" outlineLevel="0" collapsed="false">
      <c r="A35" s="2" t="s">
        <v>525</v>
      </c>
      <c r="B35" s="30" t="n">
        <v>138.049617642214</v>
      </c>
      <c r="C35" s="2" t="s">
        <v>526</v>
      </c>
    </row>
    <row r="36" customFormat="false" ht="15" hidden="false" customHeight="false" outlineLevel="0" collapsed="false">
      <c r="A36" s="2" t="s">
        <v>390</v>
      </c>
      <c r="B36" s="30" t="n">
        <v>7</v>
      </c>
      <c r="C36" s="2" t="s">
        <v>391</v>
      </c>
    </row>
    <row r="37" customFormat="false" ht="15" hidden="false" customHeight="false" outlineLevel="0" collapsed="false">
      <c r="A37" s="2" t="s">
        <v>527</v>
      </c>
      <c r="B37" s="30" t="n">
        <v>131.950382357786</v>
      </c>
      <c r="C37" s="2" t="s">
        <v>395</v>
      </c>
    </row>
    <row r="38" customFormat="false" ht="15" hidden="false" customHeight="false" outlineLevel="0" collapsed="false">
      <c r="A38" s="2" t="s">
        <v>528</v>
      </c>
      <c r="B38" s="30" t="n">
        <v>186.866976370664</v>
      </c>
      <c r="C38" s="2" t="s">
        <v>399</v>
      </c>
    </row>
    <row r="39" customFormat="false" ht="15" hidden="false" customHeight="false" outlineLevel="0" collapsed="false">
      <c r="A39" s="2" t="s">
        <v>529</v>
      </c>
      <c r="B39" s="30" t="n">
        <v>83.1330236293357</v>
      </c>
      <c r="C39" s="2" t="s">
        <v>402</v>
      </c>
    </row>
    <row r="40" customFormat="false" ht="15" hidden="false" customHeight="false" outlineLevel="0" collapsed="false">
      <c r="A40" s="2" t="s">
        <v>396</v>
      </c>
      <c r="B40" s="30" t="n">
        <v>113.13157539847</v>
      </c>
      <c r="C40" s="2" t="s">
        <v>397</v>
      </c>
    </row>
    <row r="41" customFormat="false" ht="15" hidden="false" customHeight="false" outlineLevel="0" collapsed="false">
      <c r="A41" s="2" t="s">
        <v>530</v>
      </c>
      <c r="B41" s="30" t="n">
        <v>324.916594012879</v>
      </c>
      <c r="C41" s="2" t="s">
        <v>531</v>
      </c>
    </row>
    <row r="42" customFormat="false" ht="15" hidden="false" customHeight="false" outlineLevel="0" collapsed="false">
      <c r="A42" s="2" t="s">
        <v>532</v>
      </c>
      <c r="B42" s="30" t="n">
        <v>-54.9165940128787</v>
      </c>
      <c r="C42" s="2" t="s">
        <v>533</v>
      </c>
    </row>
    <row r="43" customFormat="false" ht="15" hidden="false" customHeight="false" outlineLevel="0" collapsed="false">
      <c r="A43" s="2" t="s">
        <v>534</v>
      </c>
      <c r="B43" s="30" t="n">
        <v>1</v>
      </c>
      <c r="C43" s="2" t="s">
        <v>535</v>
      </c>
    </row>
    <row r="44" customFormat="false" ht="15" hidden="false" customHeight="false" outlineLevel="0" collapsed="false">
      <c r="A44" s="2" t="s">
        <v>536</v>
      </c>
      <c r="B44" s="30" t="n">
        <v>536.866976370664</v>
      </c>
      <c r="C44" s="2" t="s">
        <v>537</v>
      </c>
    </row>
    <row r="45" customFormat="false" ht="15" hidden="false" customHeight="false" outlineLevel="0" collapsed="false">
      <c r="A45" s="2" t="s">
        <v>415</v>
      </c>
      <c r="B45" s="30" t="n">
        <v>3</v>
      </c>
      <c r="C45" s="2" t="s">
        <v>416</v>
      </c>
    </row>
    <row r="46" customFormat="false" ht="15" hidden="false" customHeight="false" outlineLevel="0" collapsed="false">
      <c r="A46" s="2" t="s">
        <v>417</v>
      </c>
      <c r="B46" s="30" t="n">
        <v>12</v>
      </c>
      <c r="C46" s="2" t="s">
        <v>418</v>
      </c>
    </row>
    <row r="47" customFormat="false" ht="15" hidden="false" customHeight="false" outlineLevel="0" collapsed="false">
      <c r="A47" s="2" t="s">
        <v>419</v>
      </c>
      <c r="B47" s="30" t="n">
        <v>54.9165940128787</v>
      </c>
      <c r="C47" s="2" t="s">
        <v>420</v>
      </c>
    </row>
    <row r="48" customFormat="false" ht="15" hidden="false" customHeight="false" outlineLevel="0" collapsed="false">
      <c r="A48" s="2" t="s">
        <v>423</v>
      </c>
      <c r="B48" s="30" t="n">
        <v>5</v>
      </c>
      <c r="C48" s="2" t="s">
        <v>538</v>
      </c>
    </row>
    <row r="49" customFormat="false" ht="15" hidden="false" customHeight="false" outlineLevel="0" collapsed="false">
      <c r="A49" s="2" t="s">
        <v>427</v>
      </c>
      <c r="B49" s="30" t="n">
        <v>8</v>
      </c>
      <c r="C49" s="2" t="s">
        <v>539</v>
      </c>
    </row>
    <row r="50" customFormat="false" ht="15" hidden="false" customHeight="false" outlineLevel="0" collapsed="false">
      <c r="A50" s="2" t="s">
        <v>428</v>
      </c>
      <c r="B50" s="30" t="n">
        <v>5.89305923151517</v>
      </c>
      <c r="C50" s="2" t="s">
        <v>429</v>
      </c>
    </row>
    <row r="51" customFormat="false" ht="15" hidden="false" customHeight="false" outlineLevel="0" collapsed="false">
      <c r="A51" s="2" t="s">
        <v>540</v>
      </c>
      <c r="B51" s="30" t="n">
        <v>251.181193040684</v>
      </c>
      <c r="C51" s="2" t="s">
        <v>541</v>
      </c>
    </row>
    <row r="52" customFormat="false" ht="15" hidden="false" customHeight="false" outlineLevel="0" collapsed="false">
      <c r="A52" s="2" t="s">
        <v>542</v>
      </c>
      <c r="B52" s="30" t="n">
        <v>18.8188069593156</v>
      </c>
      <c r="C52" s="2" t="s">
        <v>543</v>
      </c>
    </row>
    <row r="53" customFormat="false" ht="15" hidden="false" customHeight="false" outlineLevel="0" collapsed="false">
      <c r="A53" s="2" t="s">
        <v>544</v>
      </c>
      <c r="B53" s="30" t="n">
        <v>89.0260828608509</v>
      </c>
      <c r="C53" s="2" t="s">
        <v>545</v>
      </c>
    </row>
    <row r="54" customFormat="false" ht="15" hidden="false" customHeight="false" outlineLevel="0" collapsed="false">
      <c r="A54" s="2" t="s">
        <v>546</v>
      </c>
      <c r="B54" s="30" t="n">
        <v>275.893059231515</v>
      </c>
      <c r="C54" s="2" t="s">
        <v>547</v>
      </c>
    </row>
    <row r="55" customFormat="false" ht="15" hidden="false" customHeight="false" outlineLevel="0" collapsed="false">
      <c r="A55" s="2" t="s">
        <v>548</v>
      </c>
      <c r="B55" s="30" t="n">
        <v>-5.8930592315152</v>
      </c>
      <c r="C55" s="2" t="s">
        <v>549</v>
      </c>
    </row>
    <row r="56" customFormat="false" ht="15" hidden="false" customHeight="false" outlineLevel="0" collapsed="false">
      <c r="A56" s="2" t="s">
        <v>550</v>
      </c>
      <c r="B56" s="30" t="n">
        <v>86.8669763706643</v>
      </c>
      <c r="C56" s="2" t="s">
        <v>551</v>
      </c>
    </row>
    <row r="57" customFormat="false" ht="15" hidden="false" customHeight="false" outlineLevel="0" collapsed="false">
      <c r="A57" s="2" t="s">
        <v>552</v>
      </c>
      <c r="B57" s="30" t="n">
        <v>224.916594012879</v>
      </c>
      <c r="C57" s="2" t="s">
        <v>553</v>
      </c>
    </row>
    <row r="58" customFormat="false" ht="15" hidden="false" customHeight="false" outlineLevel="0" collapsed="false">
      <c r="A58" s="2" t="s">
        <v>554</v>
      </c>
      <c r="B58" s="30" t="n">
        <v>45.0834059871213</v>
      </c>
      <c r="C58" s="2" t="s">
        <v>555</v>
      </c>
    </row>
    <row r="59" customFormat="false" ht="15" hidden="false" customHeight="false" outlineLevel="0" collapsed="false">
      <c r="A59" s="2" t="s">
        <v>556</v>
      </c>
      <c r="B59" s="30" t="n">
        <v>175.893059231515</v>
      </c>
      <c r="C59" s="2" t="s">
        <v>557</v>
      </c>
    </row>
    <row r="60" customFormat="false" ht="15" hidden="false" customHeight="false" outlineLevel="0" collapsed="false">
      <c r="A60" s="2" t="s">
        <v>558</v>
      </c>
      <c r="B60" s="30" t="n">
        <v>94.1069407684848</v>
      </c>
      <c r="C60" s="2" t="s">
        <v>559</v>
      </c>
    </row>
    <row r="61" customFormat="false" ht="15" hidden="false" customHeight="false" outlineLevel="0" collapsed="false">
      <c r="A61" s="2" t="s">
        <v>349</v>
      </c>
      <c r="B61" s="30" t="n">
        <v>37</v>
      </c>
      <c r="C61" s="2" t="s">
        <v>560</v>
      </c>
    </row>
    <row r="62" customFormat="false" ht="15" hidden="false" customHeight="false" outlineLevel="0" collapsed="false">
      <c r="A62" s="2" t="s">
        <v>561</v>
      </c>
      <c r="B62" s="30" t="n">
        <v>481.950382357786</v>
      </c>
      <c r="C62" s="2" t="s">
        <v>562</v>
      </c>
    </row>
    <row r="63" customFormat="false" ht="15" hidden="false" customHeight="false" outlineLevel="0" collapsed="false">
      <c r="A63" s="2" t="s">
        <v>353</v>
      </c>
      <c r="B63" s="30" t="n">
        <v>21</v>
      </c>
      <c r="C63" s="2" t="s">
        <v>354</v>
      </c>
    </row>
    <row r="64" customFormat="false" ht="15" hidden="false" customHeight="false" outlineLevel="0" collapsed="false">
      <c r="A64" s="2" t="s">
        <v>355</v>
      </c>
      <c r="B64" s="30" t="n">
        <v>32.1064672146718</v>
      </c>
      <c r="C64" s="2" t="s">
        <v>356</v>
      </c>
    </row>
    <row r="65" customFormat="false" ht="15" hidden="false" customHeight="false" outlineLevel="0" collapsed="false">
      <c r="A65" s="2" t="s">
        <v>357</v>
      </c>
      <c r="B65" s="30" t="n">
        <v>11</v>
      </c>
      <c r="C65" s="2" t="s">
        <v>358</v>
      </c>
    </row>
    <row r="66" customFormat="false" ht="15" hidden="false" customHeight="false" outlineLevel="0" collapsed="false">
      <c r="A66" s="2" t="s">
        <v>563</v>
      </c>
      <c r="B66" s="30" t="n">
        <v>29</v>
      </c>
      <c r="C66" s="2" t="s">
        <v>360</v>
      </c>
    </row>
    <row r="67" customFormat="false" ht="15" hidden="false" customHeight="false" outlineLevel="0" collapsed="false">
      <c r="A67" s="2" t="s">
        <v>361</v>
      </c>
      <c r="B67" s="30" t="n">
        <v>37.1874101717979</v>
      </c>
      <c r="C67" s="2" t="s">
        <v>564</v>
      </c>
    </row>
    <row r="68" customFormat="false" ht="15" hidden="false" customHeight="false" outlineLevel="0" collapsed="false">
      <c r="A68" s="2" t="s">
        <v>363</v>
      </c>
      <c r="B68" s="30" t="n">
        <v>73.5520635207556</v>
      </c>
      <c r="C68" s="2" t="s">
        <v>364</v>
      </c>
    </row>
    <row r="69" customFormat="false" ht="15" hidden="false" customHeight="false" outlineLevel="0" collapsed="false">
      <c r="A69" s="2" t="s">
        <v>365</v>
      </c>
      <c r="B69" s="30" t="n">
        <v>11</v>
      </c>
      <c r="C69" s="2" t="s">
        <v>358</v>
      </c>
    </row>
    <row r="70" customFormat="false" ht="15" hidden="false" customHeight="false" outlineLevel="0" collapsed="false">
      <c r="A70" s="2" t="s">
        <v>366</v>
      </c>
      <c r="B70" s="30" t="n">
        <v>1.44793647924442</v>
      </c>
      <c r="C70" s="2" t="s">
        <v>565</v>
      </c>
    </row>
    <row r="71" customFormat="false" ht="15" hidden="false" customHeight="false" outlineLevel="0" collapsed="false">
      <c r="A71" s="2" t="s">
        <v>566</v>
      </c>
      <c r="B71" s="30" t="n">
        <v>481.950382357786</v>
      </c>
      <c r="C71" s="2" t="s">
        <v>567</v>
      </c>
    </row>
    <row r="72" customFormat="false" ht="15" hidden="false" customHeight="false" outlineLevel="0" collapsed="false">
      <c r="A72" s="2" t="s">
        <v>568</v>
      </c>
      <c r="B72" s="30" t="n">
        <v>0</v>
      </c>
      <c r="C72" s="2" t="s">
        <v>569</v>
      </c>
    </row>
    <row r="73" customFormat="false" ht="15" hidden="false" customHeight="false" outlineLevel="0" collapsed="false">
      <c r="A73" s="2" t="s">
        <v>570</v>
      </c>
      <c r="B73" s="30" t="n">
        <v>1</v>
      </c>
      <c r="C73" s="2" t="s">
        <v>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8" t="s">
        <v>470</v>
      </c>
      <c r="B1" s="8" t="s">
        <v>572</v>
      </c>
      <c r="C1" s="8" t="s">
        <v>471</v>
      </c>
      <c r="D1" s="8" t="s">
        <v>573</v>
      </c>
      <c r="E1" s="8" t="s">
        <v>574</v>
      </c>
      <c r="F1" s="8" t="s">
        <v>575</v>
      </c>
    </row>
    <row r="2" customFormat="false" ht="15" hidden="false" customHeight="false" outlineLevel="0" collapsed="false">
      <c r="A2" s="2" t="s">
        <v>473</v>
      </c>
      <c r="B2" s="21" t="n">
        <f aca="false">Assemble!B34</f>
        <v>7</v>
      </c>
      <c r="C2" s="31" t="n">
        <f aca="false">Reference_Values!B2</f>
        <v>7</v>
      </c>
      <c r="D2" s="32" t="n">
        <f aca="false">ABS(B2-C2)</f>
        <v>0</v>
      </c>
      <c r="E2" s="33" t="n">
        <v>0</v>
      </c>
      <c r="F2" s="4" t="str">
        <f aca="false">IF(D2&lt;=E2,"PASS","FAIL")</f>
        <v>PASS</v>
      </c>
    </row>
    <row r="3" customFormat="false" ht="15" hidden="false" customHeight="false" outlineLevel="0" collapsed="false">
      <c r="A3" s="2" t="s">
        <v>475</v>
      </c>
      <c r="B3" s="21" t="n">
        <f aca="false">Wavefront!B118</f>
        <v>4</v>
      </c>
      <c r="C3" s="31" t="n">
        <f aca="false">Reference_Values!B3</f>
        <v>4</v>
      </c>
      <c r="D3" s="32" t="n">
        <f aca="false">ABS(B3-C3)</f>
        <v>0</v>
      </c>
      <c r="E3" s="33" t="n">
        <v>0</v>
      </c>
      <c r="F3" s="4" t="str">
        <f aca="false">IF(D3&lt;=E3,"PASS","FAIL")</f>
        <v>PASS</v>
      </c>
    </row>
    <row r="4" customFormat="false" ht="15" hidden="false" customHeight="false" outlineLevel="0" collapsed="false">
      <c r="A4" s="2" t="s">
        <v>129</v>
      </c>
      <c r="B4" s="21" t="n">
        <f aca="false">Assemble!B37</f>
        <v>10</v>
      </c>
      <c r="C4" s="31" t="n">
        <f aca="false">Reference_Values!B4</f>
        <v>10</v>
      </c>
      <c r="D4" s="32" t="n">
        <f aca="false">ABS(B4-C4)</f>
        <v>0</v>
      </c>
      <c r="E4" s="33" t="n">
        <v>0</v>
      </c>
      <c r="F4" s="4" t="str">
        <f aca="false">IF(D4&lt;=E4,"PASS","FAIL")</f>
        <v>PASS</v>
      </c>
    </row>
    <row r="5" customFormat="false" ht="15" hidden="false" customHeight="false" outlineLevel="0" collapsed="false">
      <c r="A5" s="2" t="s">
        <v>131</v>
      </c>
      <c r="B5" s="21" t="n">
        <f aca="false">Assemble!B38</f>
        <v>10</v>
      </c>
      <c r="C5" s="31" t="n">
        <f aca="false">Reference_Values!B5</f>
        <v>10</v>
      </c>
      <c r="D5" s="32" t="n">
        <f aca="false">ABS(B5-C5)</f>
        <v>0</v>
      </c>
      <c r="E5" s="33" t="n">
        <v>0</v>
      </c>
      <c r="F5" s="4" t="str">
        <f aca="false">IF(D5&lt;=E5,"PASS","FAIL")</f>
        <v>PASS</v>
      </c>
    </row>
    <row r="6" customFormat="false" ht="15" hidden="false" customHeight="false" outlineLevel="0" collapsed="false">
      <c r="A6" s="2" t="s">
        <v>476</v>
      </c>
      <c r="B6" s="21" t="n">
        <f aca="false">Assemble!B39</f>
        <v>23.2</v>
      </c>
      <c r="C6" s="31" t="n">
        <f aca="false">Reference_Values!B6</f>
        <v>23.2</v>
      </c>
      <c r="D6" s="32" t="n">
        <f aca="false">ABS(B6-C6)</f>
        <v>0</v>
      </c>
      <c r="E6" s="33" t="n">
        <v>1E-009</v>
      </c>
      <c r="F6" s="4" t="str">
        <f aca="false">IF(D6&lt;=E6,"PASS","FAIL")</f>
        <v>PASS</v>
      </c>
    </row>
    <row r="7" customFormat="false" ht="15" hidden="false" customHeight="false" outlineLevel="0" collapsed="false">
      <c r="A7" s="2" t="s">
        <v>477</v>
      </c>
      <c r="B7" s="21" t="n">
        <f aca="false">Assemble!B118</f>
        <v>0</v>
      </c>
      <c r="C7" s="31" t="n">
        <f aca="false">Reference_Values!B7</f>
        <v>0</v>
      </c>
      <c r="D7" s="32" t="n">
        <f aca="false">ABS(B7-C7)</f>
        <v>0</v>
      </c>
      <c r="E7" s="33" t="n">
        <v>0</v>
      </c>
      <c r="F7" s="4" t="str">
        <f aca="false">IF(D7&lt;=E7,"PASS","FAIL")</f>
        <v>PASS</v>
      </c>
    </row>
    <row r="8" customFormat="false" ht="15" hidden="false" customHeight="false" outlineLevel="0" collapsed="false">
      <c r="A8" s="2" t="s">
        <v>479</v>
      </c>
      <c r="B8" s="21" t="n">
        <f aca="false">Assemble!B114</f>
        <v>324.916594012879</v>
      </c>
      <c r="C8" s="31" t="n">
        <f aca="false">Reference_Values!B8</f>
        <v>324.916594012879</v>
      </c>
      <c r="D8" s="32" t="n">
        <f aca="false">ABS(B8-C8)</f>
        <v>0</v>
      </c>
      <c r="E8" s="33" t="n">
        <v>1E-009</v>
      </c>
      <c r="F8" s="4" t="str">
        <f aca="false">IF(D8&lt;=E8,"PASS","FAIL")</f>
        <v>PASS</v>
      </c>
    </row>
    <row r="9" customFormat="false" ht="15" hidden="false" customHeight="false" outlineLevel="0" collapsed="false">
      <c r="A9" s="2" t="s">
        <v>481</v>
      </c>
      <c r="B9" s="21" t="n">
        <f aca="false">Assemble!B115</f>
        <v>324.916594012879</v>
      </c>
      <c r="C9" s="31" t="n">
        <f aca="false">Reference_Values!B9</f>
        <v>324.916594012879</v>
      </c>
      <c r="D9" s="32" t="n">
        <f aca="false">ABS(B9-C9)</f>
        <v>0</v>
      </c>
      <c r="E9" s="33" t="n">
        <v>1E-009</v>
      </c>
      <c r="F9" s="4" t="str">
        <f aca="false">IF(D9&lt;=E9,"PASS","FAIL")</f>
        <v>PASS</v>
      </c>
    </row>
    <row r="10" customFormat="false" ht="15" hidden="false" customHeight="false" outlineLevel="0" collapsed="false">
      <c r="A10" s="2" t="s">
        <v>483</v>
      </c>
      <c r="B10" s="21" t="n">
        <f aca="false">JointCheck!K5</f>
        <v>270</v>
      </c>
      <c r="C10" s="31" t="n">
        <f aca="false">Reference_Values!B10</f>
        <v>270</v>
      </c>
      <c r="D10" s="32" t="n">
        <f aca="false">ABS(B10-C10)</f>
        <v>0</v>
      </c>
      <c r="E10" s="33" t="n">
        <v>1E-009</v>
      </c>
      <c r="F10" s="4" t="str">
        <f aca="false">IF(D10&lt;=E10,"PASS","FAIL")</f>
        <v>PASS</v>
      </c>
    </row>
    <row r="11" customFormat="false" ht="15" hidden="false" customHeight="false" outlineLevel="0" collapsed="false">
      <c r="A11" s="2" t="s">
        <v>485</v>
      </c>
      <c r="B11" s="21" t="n">
        <f aca="false">Couplings!B11</f>
        <v>2</v>
      </c>
      <c r="C11" s="31" t="n">
        <f aca="false">Reference_Values!B11</f>
        <v>2</v>
      </c>
      <c r="D11" s="32" t="n">
        <f aca="false">ABS(B11-C11)</f>
        <v>0</v>
      </c>
      <c r="E11" s="33" t="n">
        <v>1E-009</v>
      </c>
      <c r="F11" s="4" t="str">
        <f aca="false">IF(D11&lt;=E11,"PASS","FAIL")</f>
        <v>PASS</v>
      </c>
    </row>
    <row r="12" customFormat="false" ht="15" hidden="false" customHeight="false" outlineLevel="0" collapsed="false">
      <c r="A12" s="2" t="s">
        <v>486</v>
      </c>
      <c r="B12" s="21" t="n">
        <f aca="false">IF(ISNUMBER(Couplings!J5),Couplings!J5,-1)</f>
        <v>2</v>
      </c>
      <c r="C12" s="31" t="n">
        <f aca="false">Reference_Values!B12</f>
        <v>2</v>
      </c>
      <c r="D12" s="32" t="n">
        <f aca="false">ABS(B12-C12)</f>
        <v>0</v>
      </c>
      <c r="E12" s="33" t="n">
        <v>1E-009</v>
      </c>
      <c r="F12" s="4" t="str">
        <f aca="false">IF(D12&lt;=E12,"PASS","FAIL")</f>
        <v>PASS</v>
      </c>
    </row>
    <row r="13" customFormat="false" ht="15" hidden="false" customHeight="false" outlineLevel="0" collapsed="false">
      <c r="A13" s="2" t="s">
        <v>487</v>
      </c>
      <c r="B13" s="21" t="n">
        <f aca="false">IF(ISNUMBER(Couplings!J8),Couplings!J8,-1)</f>
        <v>4</v>
      </c>
      <c r="C13" s="31" t="n">
        <f aca="false">Reference_Values!B13</f>
        <v>4</v>
      </c>
      <c r="D13" s="32" t="n">
        <f aca="false">ABS(B13-C13)</f>
        <v>0</v>
      </c>
      <c r="E13" s="33" t="n">
        <v>1E-009</v>
      </c>
      <c r="F13" s="4" t="str">
        <f aca="false">IF(D13&lt;=E13,"PASS","FAIL")</f>
        <v>PASS</v>
      </c>
    </row>
    <row r="14" customFormat="false" ht="15" hidden="false" customHeight="false" outlineLevel="0" collapsed="false">
      <c r="A14" s="2" t="s">
        <v>489</v>
      </c>
      <c r="B14" s="21" t="n">
        <f aca="false">IF(ISNUMBER(Couplings!J10),Couplings!J10,-1)</f>
        <v>10</v>
      </c>
      <c r="C14" s="31" t="n">
        <f aca="false">Reference_Values!B14</f>
        <v>10</v>
      </c>
      <c r="D14" s="32" t="n">
        <f aca="false">ABS(B14-C14)</f>
        <v>0</v>
      </c>
      <c r="E14" s="33" t="n">
        <v>1E-009</v>
      </c>
      <c r="F14" s="4" t="str">
        <f aca="false">IF(D14&lt;=E14,"PASS","FAIL")</f>
        <v>PASS</v>
      </c>
    </row>
    <row r="15" customFormat="false" ht="15" hidden="false" customHeight="false" outlineLevel="0" collapsed="false">
      <c r="A15" s="2" t="s">
        <v>491</v>
      </c>
      <c r="B15" s="21" t="n">
        <f aca="false">Couplings!B12</f>
        <v>0.75</v>
      </c>
      <c r="C15" s="31" t="n">
        <f aca="false">Reference_Values!B15</f>
        <v>0.75</v>
      </c>
      <c r="D15" s="32" t="n">
        <f aca="false">ABS(B15-C15)</f>
        <v>0</v>
      </c>
      <c r="E15" s="33" t="n">
        <v>1E-009</v>
      </c>
      <c r="F15" s="4" t="str">
        <f aca="false">IF(D15&lt;=E15,"PASS","FAIL")</f>
        <v>PASS</v>
      </c>
    </row>
    <row r="16" customFormat="false" ht="15" hidden="false" customHeight="false" outlineLevel="0" collapsed="false">
      <c r="A16" s="2" t="s">
        <v>493</v>
      </c>
      <c r="B16" s="21" t="n">
        <f aca="false">Couplings!I12</f>
        <v>1</v>
      </c>
      <c r="C16" s="31" t="n">
        <f aca="false">Reference_Values!B16</f>
        <v>1</v>
      </c>
      <c r="D16" s="32" t="n">
        <f aca="false">ABS(B16-C16)</f>
        <v>0</v>
      </c>
      <c r="E16" s="33" t="n">
        <v>1E-009</v>
      </c>
      <c r="F16" s="4" t="str">
        <f aca="false">IF(D16&lt;=E16,"PASS","FAIL")</f>
        <v>PASS</v>
      </c>
    </row>
    <row r="17" customFormat="false" ht="15" hidden="false" customHeight="false" outlineLevel="0" collapsed="false">
      <c r="A17" s="2" t="s">
        <v>495</v>
      </c>
      <c r="B17" s="21" t="n">
        <f aca="false">Couplings!B16</f>
        <v>4</v>
      </c>
      <c r="C17" s="31" t="n">
        <f aca="false">Reference_Values!B17</f>
        <v>4</v>
      </c>
      <c r="D17" s="32" t="n">
        <f aca="false">ABS(B17-C17)</f>
        <v>0</v>
      </c>
      <c r="E17" s="33" t="n">
        <v>1E-009</v>
      </c>
      <c r="F17" s="4" t="str">
        <f aca="false">IF(D17&lt;=E17,"PASS","FAIL")</f>
        <v>PASS</v>
      </c>
    </row>
    <row r="18" customFormat="false" ht="15" hidden="false" customHeight="false" outlineLevel="0" collapsed="false">
      <c r="A18" s="2" t="s">
        <v>497</v>
      </c>
      <c r="B18" s="21" t="n">
        <f aca="false">Couplings!B15</f>
        <v>0.25</v>
      </c>
      <c r="C18" s="31" t="n">
        <f aca="false">Reference_Values!B18</f>
        <v>0.25</v>
      </c>
      <c r="D18" s="32" t="n">
        <f aca="false">ABS(B18-C18)</f>
        <v>0</v>
      </c>
      <c r="E18" s="33" t="n">
        <v>1E-009</v>
      </c>
      <c r="F18" s="4" t="str">
        <f aca="false">IF(D18&lt;=E18,"PASS","FAIL")</f>
        <v>PASS</v>
      </c>
    </row>
    <row r="19" customFormat="false" ht="15" hidden="false" customHeight="false" outlineLevel="0" collapsed="false">
      <c r="A19" s="2" t="s">
        <v>499</v>
      </c>
      <c r="B19" s="21" t="n">
        <f aca="false">Couplings!Q15</f>
        <v>0.75</v>
      </c>
      <c r="C19" s="31" t="n">
        <f aca="false">Reference_Values!B19</f>
        <v>0.75</v>
      </c>
      <c r="D19" s="32" t="n">
        <f aca="false">ABS(B19-C19)</f>
        <v>0</v>
      </c>
      <c r="E19" s="33" t="n">
        <v>1E-009</v>
      </c>
      <c r="F19" s="4" t="str">
        <f aca="false">IF(D19&lt;=E19,"PASS","FAIL")</f>
        <v>PASS</v>
      </c>
    </row>
    <row r="20" customFormat="false" ht="15" hidden="false" customHeight="false" outlineLevel="0" collapsed="false">
      <c r="A20" s="2" t="s">
        <v>501</v>
      </c>
      <c r="B20" s="21" t="n">
        <f aca="false">Couplings!Q19</f>
        <v>0.25</v>
      </c>
      <c r="C20" s="31" t="n">
        <f aca="false">Reference_Values!B20</f>
        <v>0.25</v>
      </c>
      <c r="D20" s="32" t="n">
        <f aca="false">ABS(B20-C20)</f>
        <v>0</v>
      </c>
      <c r="E20" s="33" t="n">
        <v>1E-009</v>
      </c>
      <c r="F20" s="4" t="str">
        <f aca="false">IF(D20&lt;=E20,"PASS","FAIL")</f>
        <v>PASS</v>
      </c>
    </row>
    <row r="21" customFormat="false" ht="15" hidden="false" customHeight="false" outlineLevel="0" collapsed="false">
      <c r="A21" s="2" t="s">
        <v>503</v>
      </c>
      <c r="B21" s="21" t="n">
        <f aca="false">IF(ISNUMBER(Couplings!Q21),Couplings!Q21,-1)</f>
        <v>4</v>
      </c>
      <c r="C21" s="31" t="n">
        <f aca="false">Reference_Values!B21</f>
        <v>4</v>
      </c>
      <c r="D21" s="32" t="n">
        <f aca="false">ABS(B21-C21)</f>
        <v>0</v>
      </c>
      <c r="E21" s="33" t="n">
        <v>1E-009</v>
      </c>
      <c r="F21" s="4" t="str">
        <f aca="false">IF(D21&lt;=E21,"PASS","FAIL")</f>
        <v>PASS</v>
      </c>
    </row>
    <row r="22" customFormat="false" ht="15" hidden="false" customHeight="false" outlineLevel="0" collapsed="false">
      <c r="A22" s="2" t="s">
        <v>505</v>
      </c>
      <c r="B22" s="21" t="n">
        <f aca="false">Wavefront!I79</f>
        <v>1</v>
      </c>
      <c r="C22" s="31" t="n">
        <f aca="false">Reference_Values!B22</f>
        <v>1</v>
      </c>
      <c r="D22" s="32" t="n">
        <f aca="false">ABS(B22-C22)</f>
        <v>0</v>
      </c>
      <c r="E22" s="33" t="n">
        <v>0</v>
      </c>
      <c r="F22" s="4" t="str">
        <f aca="false">IF(D22&lt;=E22,"PASS","FAIL")</f>
        <v>PASS</v>
      </c>
    </row>
    <row r="23" customFormat="false" ht="15" hidden="false" customHeight="false" outlineLevel="0" collapsed="false">
      <c r="A23" s="2" t="s">
        <v>506</v>
      </c>
      <c r="B23" s="21" t="n">
        <f aca="false">Wavefront!I80</f>
        <v>1</v>
      </c>
      <c r="C23" s="31" t="n">
        <f aca="false">Reference_Values!B23</f>
        <v>1</v>
      </c>
      <c r="D23" s="32" t="n">
        <f aca="false">ABS(B23-C23)</f>
        <v>0</v>
      </c>
      <c r="E23" s="33" t="n">
        <v>0</v>
      </c>
      <c r="F23" s="4" t="str">
        <f aca="false">IF(D23&lt;=E23,"PASS","FAIL")</f>
        <v>PASS</v>
      </c>
    </row>
    <row r="24" customFormat="false" ht="15" hidden="false" customHeight="false" outlineLevel="0" collapsed="false">
      <c r="A24" s="2" t="s">
        <v>294</v>
      </c>
      <c r="B24" s="21" t="n">
        <f aca="false">Wavefront!I81</f>
        <v>3</v>
      </c>
      <c r="C24" s="31" t="n">
        <f aca="false">Reference_Values!B24</f>
        <v>3</v>
      </c>
      <c r="D24" s="32" t="n">
        <f aca="false">ABS(B24-C24)</f>
        <v>0</v>
      </c>
      <c r="E24" s="33" t="n">
        <v>0</v>
      </c>
      <c r="F24" s="4" t="str">
        <f aca="false">IF(D24&lt;=E24,"PASS","FAIL")</f>
        <v>PASS</v>
      </c>
    </row>
    <row r="25" customFormat="false" ht="15" hidden="false" customHeight="false" outlineLevel="0" collapsed="false">
      <c r="A25" s="2" t="s">
        <v>508</v>
      </c>
      <c r="B25" s="21" t="n">
        <f aca="false">Wavefront!I82</f>
        <v>1</v>
      </c>
      <c r="C25" s="31" t="n">
        <f aca="false">Reference_Values!B25</f>
        <v>1</v>
      </c>
      <c r="D25" s="32" t="n">
        <f aca="false">ABS(B25-C25)</f>
        <v>0</v>
      </c>
      <c r="E25" s="33" t="n">
        <v>0</v>
      </c>
      <c r="F25" s="4" t="str">
        <f aca="false">IF(D25&lt;=E25,"PASS","FAIL")</f>
        <v>PASS</v>
      </c>
    </row>
    <row r="26" customFormat="false" ht="15" hidden="false" customHeight="false" outlineLevel="0" collapsed="false">
      <c r="A26" s="2" t="s">
        <v>509</v>
      </c>
      <c r="B26" s="21" t="n">
        <f aca="false">Wavefront!I83</f>
        <v>2</v>
      </c>
      <c r="C26" s="31" t="n">
        <f aca="false">Reference_Values!B26</f>
        <v>2</v>
      </c>
      <c r="D26" s="32" t="n">
        <f aca="false">ABS(B26-C26)</f>
        <v>0</v>
      </c>
      <c r="E26" s="33" t="n">
        <v>0</v>
      </c>
      <c r="F26" s="4" t="str">
        <f aca="false">IF(D26&lt;=E26,"PASS","FAIL")</f>
        <v>PASS</v>
      </c>
    </row>
    <row r="27" customFormat="false" ht="15" hidden="false" customHeight="false" outlineLevel="0" collapsed="false">
      <c r="A27" s="2" t="s">
        <v>510</v>
      </c>
      <c r="B27" s="21" t="n">
        <f aca="false">Wavefront!I84</f>
        <v>2</v>
      </c>
      <c r="C27" s="31" t="n">
        <f aca="false">Reference_Values!B27</f>
        <v>2</v>
      </c>
      <c r="D27" s="32" t="n">
        <f aca="false">ABS(B27-C27)</f>
        <v>0</v>
      </c>
      <c r="E27" s="33" t="n">
        <v>0</v>
      </c>
      <c r="F27" s="4" t="str">
        <f aca="false">IF(D27&lt;=E27,"PASS","FAIL")</f>
        <v>PASS</v>
      </c>
    </row>
    <row r="28" customFormat="false" ht="15" hidden="false" customHeight="false" outlineLevel="0" collapsed="false">
      <c r="A28" s="2" t="s">
        <v>511</v>
      </c>
      <c r="B28" s="21" t="n">
        <f aca="false">Wavefront!L106</f>
        <v>17</v>
      </c>
      <c r="C28" s="31" t="n">
        <f aca="false">Reference_Values!B28</f>
        <v>17</v>
      </c>
      <c r="D28" s="32" t="n">
        <f aca="false">ABS(B28-C28)</f>
        <v>0</v>
      </c>
      <c r="E28" s="33" t="n">
        <v>0</v>
      </c>
      <c r="F28" s="4" t="str">
        <f aca="false">IF(D28&lt;=E28,"PASS","FAIL")</f>
        <v>PASS</v>
      </c>
    </row>
    <row r="29" customFormat="false" ht="15" hidden="false" customHeight="false" outlineLevel="0" collapsed="false">
      <c r="A29" s="2" t="s">
        <v>513</v>
      </c>
      <c r="B29" s="21" t="n">
        <f aca="false">Wavefront!B119</f>
        <v>7</v>
      </c>
      <c r="C29" s="31" t="n">
        <f aca="false">Reference_Values!B29</f>
        <v>7</v>
      </c>
      <c r="D29" s="32" t="n">
        <f aca="false">ABS(B29-C29)</f>
        <v>0</v>
      </c>
      <c r="E29" s="33" t="n">
        <v>0</v>
      </c>
      <c r="F29" s="4" t="str">
        <f aca="false">IF(D29&lt;=E29,"PASS","FAIL")</f>
        <v>PASS</v>
      </c>
    </row>
    <row r="30" customFormat="false" ht="15" hidden="false" customHeight="false" outlineLevel="0" collapsed="false">
      <c r="A30" s="2" t="s">
        <v>515</v>
      </c>
      <c r="B30" s="21" t="n">
        <f aca="false">Wavefront!B120</f>
        <v>2</v>
      </c>
      <c r="C30" s="31" t="n">
        <f aca="false">Reference_Values!B30</f>
        <v>2</v>
      </c>
      <c r="D30" s="32" t="n">
        <f aca="false">ABS(B30-C30)</f>
        <v>0</v>
      </c>
      <c r="E30" s="33" t="n">
        <v>0</v>
      </c>
      <c r="F30" s="4" t="str">
        <f aca="false">IF(D30&lt;=E30,"PASS","FAIL")</f>
        <v>PASS</v>
      </c>
    </row>
    <row r="31" customFormat="false" ht="15" hidden="false" customHeight="false" outlineLevel="0" collapsed="false">
      <c r="A31" s="2" t="s">
        <v>517</v>
      </c>
      <c r="B31" s="21" t="n">
        <f aca="false">JointCheck!D6</f>
        <v>574.177722070089</v>
      </c>
      <c r="C31" s="31" t="n">
        <f aca="false">Reference_Values!B31</f>
        <v>574.177722070089</v>
      </c>
      <c r="D31" s="32" t="n">
        <f aca="false">ABS(B31-C31)</f>
        <v>0</v>
      </c>
      <c r="E31" s="33" t="n">
        <v>1E-009</v>
      </c>
      <c r="F31" s="4" t="str">
        <f aca="false">IF(D31&lt;=E31,"PASS","FAIL")</f>
        <v>PASS</v>
      </c>
    </row>
    <row r="32" customFormat="false" ht="15" hidden="false" customHeight="false" outlineLevel="0" collapsed="false">
      <c r="A32" s="2" t="s">
        <v>519</v>
      </c>
      <c r="B32" s="21" t="n">
        <f aca="false">JointCheck!D17</f>
        <v>510.42404767696</v>
      </c>
      <c r="C32" s="31" t="n">
        <f aca="false">Reference_Values!B32</f>
        <v>510.42404767696</v>
      </c>
      <c r="D32" s="32" t="n">
        <f aca="false">ABS(B32-C32)</f>
        <v>0</v>
      </c>
      <c r="E32" s="33" t="n">
        <v>1E-009</v>
      </c>
      <c r="F32" s="4" t="str">
        <f aca="false">IF(D32&lt;=E32,"PASS","FAIL")</f>
        <v>PASS</v>
      </c>
    </row>
    <row r="33" customFormat="false" ht="15" hidden="false" customHeight="false" outlineLevel="0" collapsed="false">
      <c r="A33" s="2" t="s">
        <v>521</v>
      </c>
      <c r="B33" s="21" t="n">
        <f aca="false">JointCheck!F6</f>
        <v>589.050748892685</v>
      </c>
      <c r="C33" s="31" t="n">
        <f aca="false">Reference_Values!B33</f>
        <v>589.050748892685</v>
      </c>
      <c r="D33" s="32" t="n">
        <f aca="false">ABS(B33-C33)</f>
        <v>0</v>
      </c>
      <c r="E33" s="33" t="n">
        <v>1E-009</v>
      </c>
      <c r="F33" s="4" t="str">
        <f aca="false">IF(D33&lt;=E33,"PASS","FAIL")</f>
        <v>PASS</v>
      </c>
    </row>
    <row r="34" customFormat="false" ht="15" hidden="false" customHeight="false" outlineLevel="0" collapsed="false">
      <c r="A34" s="2" t="s">
        <v>523</v>
      </c>
      <c r="B34" s="21" t="n">
        <f aca="false">JointCheck!F17</f>
        <v>555.54992875958</v>
      </c>
      <c r="C34" s="31" t="n">
        <f aca="false">Reference_Values!B34</f>
        <v>555.54992875958</v>
      </c>
      <c r="D34" s="32" t="n">
        <f aca="false">ABS(B34-C34)</f>
        <v>0</v>
      </c>
      <c r="E34" s="33" t="n">
        <v>1E-009</v>
      </c>
      <c r="F34" s="4" t="str">
        <f aca="false">IF(D34&lt;=E34,"PASS","FAIL")</f>
        <v>PASS</v>
      </c>
    </row>
    <row r="35" customFormat="false" ht="15" hidden="false" customHeight="false" outlineLevel="0" collapsed="false">
      <c r="A35" s="2" t="s">
        <v>525</v>
      </c>
      <c r="B35" s="21" t="n">
        <f aca="false">JointCheck!K7</f>
        <v>138.049617642214</v>
      </c>
      <c r="C35" s="31" t="n">
        <f aca="false">Reference_Values!B35</f>
        <v>138.049617642214</v>
      </c>
      <c r="D35" s="32" t="n">
        <f aca="false">ABS(B35-C35)</f>
        <v>0</v>
      </c>
      <c r="E35" s="33" t="n">
        <v>1E-009</v>
      </c>
      <c r="F35" s="4" t="str">
        <f aca="false">IF(D35&lt;=E35,"PASS","FAIL")</f>
        <v>PASS</v>
      </c>
    </row>
    <row r="36" customFormat="false" ht="15" hidden="false" customHeight="false" outlineLevel="0" collapsed="false">
      <c r="A36" s="2" t="s">
        <v>390</v>
      </c>
      <c r="B36" s="21" t="n">
        <f aca="false">JointCheck!K8</f>
        <v>7</v>
      </c>
      <c r="C36" s="31" t="n">
        <f aca="false">Reference_Values!B36</f>
        <v>7</v>
      </c>
      <c r="D36" s="32" t="n">
        <f aca="false">ABS(B36-C36)</f>
        <v>0</v>
      </c>
      <c r="E36" s="33" t="n">
        <v>0</v>
      </c>
      <c r="F36" s="4" t="str">
        <f aca="false">IF(D36&lt;=E36,"PASS","FAIL")</f>
        <v>PASS</v>
      </c>
    </row>
    <row r="37" customFormat="false" ht="15" hidden="false" customHeight="false" outlineLevel="0" collapsed="false">
      <c r="A37" s="2" t="s">
        <v>527</v>
      </c>
      <c r="B37" s="21" t="n">
        <f aca="false">JointCheck!K10</f>
        <v>131.950382357786</v>
      </c>
      <c r="C37" s="31" t="n">
        <f aca="false">Reference_Values!B37</f>
        <v>131.950382357786</v>
      </c>
      <c r="D37" s="32" t="n">
        <f aca="false">ABS(B37-C37)</f>
        <v>0</v>
      </c>
      <c r="E37" s="33" t="n">
        <v>1E-009</v>
      </c>
      <c r="F37" s="4" t="str">
        <f aca="false">IF(D37&lt;=E37,"PASS","FAIL")</f>
        <v>PASS</v>
      </c>
    </row>
    <row r="38" customFormat="false" ht="15" hidden="false" customHeight="false" outlineLevel="0" collapsed="false">
      <c r="A38" s="2" t="s">
        <v>528</v>
      </c>
      <c r="B38" s="21" t="n">
        <f aca="false">JointCheck!K12</f>
        <v>186.866976370664</v>
      </c>
      <c r="C38" s="31" t="n">
        <f aca="false">Reference_Values!B38</f>
        <v>186.866976370664</v>
      </c>
      <c r="D38" s="32" t="n">
        <f aca="false">ABS(B38-C38)</f>
        <v>0</v>
      </c>
      <c r="E38" s="33" t="n">
        <v>1E-006</v>
      </c>
      <c r="F38" s="4" t="str">
        <f aca="false">IF(D38&lt;=E38,"PASS","FAIL")</f>
        <v>PASS</v>
      </c>
    </row>
    <row r="39" customFormat="false" ht="15" hidden="false" customHeight="false" outlineLevel="0" collapsed="false">
      <c r="A39" s="2" t="s">
        <v>529</v>
      </c>
      <c r="B39" s="21" t="n">
        <f aca="false">JointCheck!K14</f>
        <v>83.1330236293356</v>
      </c>
      <c r="C39" s="31" t="n">
        <f aca="false">Reference_Values!B39</f>
        <v>83.1330236293357</v>
      </c>
      <c r="D39" s="32" t="n">
        <f aca="false">ABS(B39-C39)</f>
        <v>0</v>
      </c>
      <c r="E39" s="33" t="n">
        <v>1E-006</v>
      </c>
      <c r="F39" s="4" t="str">
        <f aca="false">IF(D39&lt;=E39,"PASS","FAIL")</f>
        <v>PASS</v>
      </c>
    </row>
    <row r="40" customFormat="false" ht="15" hidden="false" customHeight="false" outlineLevel="0" collapsed="false">
      <c r="A40" s="2" t="s">
        <v>396</v>
      </c>
      <c r="B40" s="21" t="n">
        <f aca="false">JointCheck!K11</f>
        <v>113.13157539847</v>
      </c>
      <c r="C40" s="31" t="n">
        <f aca="false">Reference_Values!B40</f>
        <v>113.13157539847</v>
      </c>
      <c r="D40" s="32" t="n">
        <f aca="false">ABS(B40-C40)</f>
        <v>0</v>
      </c>
      <c r="E40" s="33" t="n">
        <v>1E-006</v>
      </c>
      <c r="F40" s="4" t="str">
        <f aca="false">IF(D40&lt;=E40,"PASS","FAIL")</f>
        <v>PASS</v>
      </c>
    </row>
    <row r="41" customFormat="false" ht="15" hidden="false" customHeight="false" outlineLevel="0" collapsed="false">
      <c r="A41" s="2" t="s">
        <v>530</v>
      </c>
      <c r="B41" s="21" t="n">
        <f aca="false">JointCheck!K16</f>
        <v>324.916594012879</v>
      </c>
      <c r="C41" s="31" t="n">
        <f aca="false">Reference_Values!B41</f>
        <v>324.916594012879</v>
      </c>
      <c r="D41" s="32" t="n">
        <f aca="false">ABS(B41-C41)</f>
        <v>0</v>
      </c>
      <c r="E41" s="33" t="n">
        <v>1E-006</v>
      </c>
      <c r="F41" s="4" t="str">
        <f aca="false">IF(D41&lt;=E41,"PASS","FAIL")</f>
        <v>PASS</v>
      </c>
    </row>
    <row r="42" customFormat="false" ht="15" hidden="false" customHeight="false" outlineLevel="0" collapsed="false">
      <c r="A42" s="2" t="s">
        <v>532</v>
      </c>
      <c r="B42" s="21" t="n">
        <f aca="false">JointCheck!K17</f>
        <v>-54.9165940128788</v>
      </c>
      <c r="C42" s="31" t="n">
        <f aca="false">Reference_Values!B42</f>
        <v>-54.9165940128787</v>
      </c>
      <c r="D42" s="32" t="n">
        <f aca="false">ABS(B42-C42)</f>
        <v>0</v>
      </c>
      <c r="E42" s="33" t="n">
        <v>1E-006</v>
      </c>
      <c r="F42" s="4" t="str">
        <f aca="false">IF(D42&lt;=E42,"PASS","FAIL")</f>
        <v>PASS</v>
      </c>
    </row>
    <row r="43" customFormat="false" ht="15" hidden="false" customHeight="false" outlineLevel="0" collapsed="false">
      <c r="A43" s="2" t="s">
        <v>534</v>
      </c>
      <c r="B43" s="21" t="n">
        <f aca="false">JointCheck!K32</f>
        <v>1</v>
      </c>
      <c r="C43" s="31" t="n">
        <f aca="false">Reference_Values!B43</f>
        <v>1</v>
      </c>
      <c r="D43" s="32" t="n">
        <f aca="false">ABS(B43-C43)</f>
        <v>0</v>
      </c>
      <c r="E43" s="33" t="n">
        <v>0</v>
      </c>
      <c r="F43" s="4" t="str">
        <f aca="false">IF(D43&lt;=E43,"PASS","FAIL")</f>
        <v>PASS</v>
      </c>
    </row>
    <row r="44" customFormat="false" ht="15" hidden="false" customHeight="false" outlineLevel="0" collapsed="false">
      <c r="A44" s="2" t="s">
        <v>536</v>
      </c>
      <c r="B44" s="21" t="n">
        <f aca="false">JointCheck!K19</f>
        <v>536.866976370664</v>
      </c>
      <c r="C44" s="31" t="n">
        <f aca="false">Reference_Values!B44</f>
        <v>536.866976370664</v>
      </c>
      <c r="D44" s="32" t="n">
        <f aca="false">ABS(B44-C44)</f>
        <v>0</v>
      </c>
      <c r="E44" s="33" t="n">
        <v>1E-006</v>
      </c>
      <c r="F44" s="4" t="str">
        <f aca="false">IF(D44&lt;=E44,"PASS","FAIL")</f>
        <v>PASS</v>
      </c>
    </row>
    <row r="45" customFormat="false" ht="15" hidden="false" customHeight="false" outlineLevel="0" collapsed="false">
      <c r="A45" s="2" t="s">
        <v>415</v>
      </c>
      <c r="B45" s="21" t="n">
        <f aca="false">JointCheck!K21</f>
        <v>3</v>
      </c>
      <c r="C45" s="31" t="n">
        <f aca="false">Reference_Values!B45</f>
        <v>3</v>
      </c>
      <c r="D45" s="32" t="n">
        <f aca="false">ABS(B45-C45)</f>
        <v>0</v>
      </c>
      <c r="E45" s="33" t="n">
        <v>0</v>
      </c>
      <c r="F45" s="4" t="str">
        <f aca="false">IF(D45&lt;=E45,"PASS","FAIL")</f>
        <v>PASS</v>
      </c>
    </row>
    <row r="46" customFormat="false" ht="15" hidden="false" customHeight="false" outlineLevel="0" collapsed="false">
      <c r="A46" s="2" t="s">
        <v>417</v>
      </c>
      <c r="B46" s="21" t="n">
        <f aca="false">JointCheck!K22</f>
        <v>12</v>
      </c>
      <c r="C46" s="31" t="n">
        <f aca="false">Reference_Values!B46</f>
        <v>12</v>
      </c>
      <c r="D46" s="32" t="n">
        <f aca="false">ABS(B46-C46)</f>
        <v>0</v>
      </c>
      <c r="E46" s="33" t="n">
        <v>0</v>
      </c>
      <c r="F46" s="4" t="str">
        <f aca="false">IF(D46&lt;=E46,"PASS","FAIL")</f>
        <v>PASS</v>
      </c>
    </row>
    <row r="47" customFormat="false" ht="15" hidden="false" customHeight="false" outlineLevel="0" collapsed="false">
      <c r="A47" s="2" t="s">
        <v>419</v>
      </c>
      <c r="B47" s="21" t="n">
        <f aca="false">JointCheck!K23</f>
        <v>54.9165940128788</v>
      </c>
      <c r="C47" s="31" t="n">
        <f aca="false">Reference_Values!B47</f>
        <v>54.9165940128787</v>
      </c>
      <c r="D47" s="32" t="n">
        <f aca="false">ABS(B47-C47)</f>
        <v>0</v>
      </c>
      <c r="E47" s="33" t="n">
        <v>1E-006</v>
      </c>
      <c r="F47" s="4" t="str">
        <f aca="false">IF(D47&lt;=E47,"PASS","FAIL")</f>
        <v>PASS</v>
      </c>
    </row>
    <row r="48" customFormat="false" ht="15" hidden="false" customHeight="false" outlineLevel="0" collapsed="false">
      <c r="A48" s="2" t="s">
        <v>423</v>
      </c>
      <c r="B48" s="21" t="n">
        <f aca="false">JointCheck!K25</f>
        <v>5</v>
      </c>
      <c r="C48" s="31" t="n">
        <f aca="false">Reference_Values!B48</f>
        <v>5</v>
      </c>
      <c r="D48" s="32" t="n">
        <f aca="false">ABS(B48-C48)</f>
        <v>0</v>
      </c>
      <c r="E48" s="33" t="n">
        <v>0</v>
      </c>
      <c r="F48" s="4" t="str">
        <f aca="false">IF(D48&lt;=E48,"PASS","FAIL")</f>
        <v>PASS</v>
      </c>
    </row>
    <row r="49" customFormat="false" ht="15" hidden="false" customHeight="false" outlineLevel="0" collapsed="false">
      <c r="A49" s="2" t="s">
        <v>427</v>
      </c>
      <c r="B49" s="21" t="n">
        <f aca="false">JointCheck!K27</f>
        <v>8</v>
      </c>
      <c r="C49" s="31" t="n">
        <f aca="false">Reference_Values!B49</f>
        <v>8</v>
      </c>
      <c r="D49" s="32" t="n">
        <f aca="false">ABS(B49-C49)</f>
        <v>0</v>
      </c>
      <c r="E49" s="33" t="n">
        <v>0</v>
      </c>
      <c r="F49" s="4" t="str">
        <f aca="false">IF(D49&lt;=E49,"PASS","FAIL")</f>
        <v>PASS</v>
      </c>
    </row>
    <row r="50" customFormat="false" ht="15" hidden="false" customHeight="false" outlineLevel="0" collapsed="false">
      <c r="A50" s="2" t="s">
        <v>428</v>
      </c>
      <c r="B50" s="21" t="n">
        <f aca="false">JointCheck!K28</f>
        <v>5.89305923151528</v>
      </c>
      <c r="C50" s="31" t="n">
        <f aca="false">Reference_Values!B50</f>
        <v>5.89305923151517</v>
      </c>
      <c r="D50" s="32" t="n">
        <f aca="false">ABS(B50-C50)</f>
        <v>1.13686837721616E-013</v>
      </c>
      <c r="E50" s="33" t="n">
        <v>1E-006</v>
      </c>
      <c r="F50" s="4" t="str">
        <f aca="false">IF(D50&lt;=E50,"PASS","FAIL")</f>
        <v>PASS</v>
      </c>
    </row>
    <row r="51" customFormat="false" ht="15" hidden="false" customHeight="false" outlineLevel="0" collapsed="false">
      <c r="A51" s="2" t="s">
        <v>540</v>
      </c>
      <c r="B51" s="21" t="n">
        <f aca="false">Repairs!D6</f>
        <v>251.181193040685</v>
      </c>
      <c r="C51" s="31" t="n">
        <f aca="false">Reference_Values!B51</f>
        <v>251.181193040684</v>
      </c>
      <c r="D51" s="32" t="n">
        <f aca="false">ABS(B51-C51)</f>
        <v>0</v>
      </c>
      <c r="E51" s="33" t="n">
        <v>1E-006</v>
      </c>
      <c r="F51" s="4" t="str">
        <f aca="false">IF(D51&lt;=E51,"PASS","FAIL")</f>
        <v>PASS</v>
      </c>
    </row>
    <row r="52" customFormat="false" ht="15" hidden="false" customHeight="false" outlineLevel="0" collapsed="false">
      <c r="A52" s="2" t="s">
        <v>542</v>
      </c>
      <c r="B52" s="21" t="n">
        <f aca="false">Repairs!E6</f>
        <v>18.8188069593155</v>
      </c>
      <c r="C52" s="31" t="n">
        <f aca="false">Reference_Values!B52</f>
        <v>18.8188069593156</v>
      </c>
      <c r="D52" s="32" t="n">
        <f aca="false">ABS(B52-C52)</f>
        <v>0</v>
      </c>
      <c r="E52" s="33" t="n">
        <v>1E-006</v>
      </c>
      <c r="F52" s="4" t="str">
        <f aca="false">IF(D52&lt;=E52,"PASS","FAIL")</f>
        <v>PASS</v>
      </c>
    </row>
    <row r="53" customFormat="false" ht="15" hidden="false" customHeight="false" outlineLevel="0" collapsed="false">
      <c r="A53" s="2" t="s">
        <v>544</v>
      </c>
      <c r="B53" s="21" t="n">
        <f aca="false">Repairs!B7</f>
        <v>89.0260828608509</v>
      </c>
      <c r="C53" s="31" t="n">
        <f aca="false">Reference_Values!B53</f>
        <v>89.0260828608509</v>
      </c>
      <c r="D53" s="32" t="n">
        <f aca="false">ABS(B53-C53)</f>
        <v>0</v>
      </c>
      <c r="E53" s="33" t="n">
        <v>1E-009</v>
      </c>
      <c r="F53" s="4" t="str">
        <f aca="false">IF(D53&lt;=E53,"PASS","FAIL")</f>
        <v>PASS</v>
      </c>
    </row>
    <row r="54" customFormat="false" ht="15" hidden="false" customHeight="false" outlineLevel="0" collapsed="false">
      <c r="A54" s="2" t="s">
        <v>546</v>
      </c>
      <c r="B54" s="21" t="n">
        <f aca="false">Repairs!D7</f>
        <v>275.893059231515</v>
      </c>
      <c r="C54" s="31" t="n">
        <f aca="false">Reference_Values!B54</f>
        <v>275.893059231515</v>
      </c>
      <c r="D54" s="32" t="n">
        <f aca="false">ABS(B54-C54)</f>
        <v>0</v>
      </c>
      <c r="E54" s="33" t="n">
        <v>1E-006</v>
      </c>
      <c r="F54" s="4" t="str">
        <f aca="false">IF(D54&lt;=E54,"PASS","FAIL")</f>
        <v>PASS</v>
      </c>
    </row>
    <row r="55" customFormat="false" ht="15" hidden="false" customHeight="false" outlineLevel="0" collapsed="false">
      <c r="A55" s="2" t="s">
        <v>548</v>
      </c>
      <c r="B55" s="21" t="n">
        <f aca="false">Repairs!E7</f>
        <v>-5.89305923151528</v>
      </c>
      <c r="C55" s="31" t="n">
        <f aca="false">Reference_Values!B55</f>
        <v>-5.8930592315152</v>
      </c>
      <c r="D55" s="32" t="n">
        <f aca="false">ABS(B55-C55)</f>
        <v>8.43769498715119E-014</v>
      </c>
      <c r="E55" s="33" t="n">
        <v>1E-006</v>
      </c>
      <c r="F55" s="4" t="str">
        <f aca="false">IF(D55&lt;=E55,"PASS","FAIL")</f>
        <v>PASS</v>
      </c>
    </row>
    <row r="56" customFormat="false" ht="15" hidden="false" customHeight="false" outlineLevel="0" collapsed="false">
      <c r="A56" s="2" t="s">
        <v>550</v>
      </c>
      <c r="B56" s="21" t="n">
        <f aca="false">Repairs!C8</f>
        <v>86.8669763706644</v>
      </c>
      <c r="C56" s="31" t="n">
        <f aca="false">Reference_Values!B56</f>
        <v>86.8669763706643</v>
      </c>
      <c r="D56" s="32" t="n">
        <f aca="false">ABS(B56-C56)</f>
        <v>0</v>
      </c>
      <c r="E56" s="33" t="n">
        <v>1E-006</v>
      </c>
      <c r="F56" s="4" t="str">
        <f aca="false">IF(D56&lt;=E56,"PASS","FAIL")</f>
        <v>PASS</v>
      </c>
    </row>
    <row r="57" customFormat="false" ht="15" hidden="false" customHeight="false" outlineLevel="0" collapsed="false">
      <c r="A57" s="2" t="s">
        <v>552</v>
      </c>
      <c r="B57" s="21" t="n">
        <f aca="false">Repairs!D8</f>
        <v>224.916594012879</v>
      </c>
      <c r="C57" s="31" t="n">
        <f aca="false">Reference_Values!B57</f>
        <v>224.916594012879</v>
      </c>
      <c r="D57" s="32" t="n">
        <f aca="false">ABS(B57-C57)</f>
        <v>0</v>
      </c>
      <c r="E57" s="33" t="n">
        <v>1E-006</v>
      </c>
      <c r="F57" s="4" t="str">
        <f aca="false">IF(D57&lt;=E57,"PASS","FAIL")</f>
        <v>PASS</v>
      </c>
    </row>
    <row r="58" customFormat="false" ht="15" hidden="false" customHeight="false" outlineLevel="0" collapsed="false">
      <c r="A58" s="2" t="s">
        <v>554</v>
      </c>
      <c r="B58" s="21" t="n">
        <f aca="false">Repairs!E8</f>
        <v>45.0834059871212</v>
      </c>
      <c r="C58" s="31" t="n">
        <f aca="false">Reference_Values!B58</f>
        <v>45.0834059871213</v>
      </c>
      <c r="D58" s="32" t="n">
        <f aca="false">ABS(B58-C58)</f>
        <v>0</v>
      </c>
      <c r="E58" s="33" t="n">
        <v>1E-006</v>
      </c>
      <c r="F58" s="4" t="str">
        <f aca="false">IF(D58&lt;=E58,"PASS","FAIL")</f>
        <v>PASS</v>
      </c>
    </row>
    <row r="59" customFormat="false" ht="15" hidden="false" customHeight="false" outlineLevel="0" collapsed="false">
      <c r="A59" s="2" t="s">
        <v>556</v>
      </c>
      <c r="B59" s="21" t="n">
        <f aca="false">Repairs!D9</f>
        <v>175.893059231515</v>
      </c>
      <c r="C59" s="31" t="n">
        <f aca="false">Reference_Values!B59</f>
        <v>175.893059231515</v>
      </c>
      <c r="D59" s="32" t="n">
        <f aca="false">ABS(B59-C59)</f>
        <v>0</v>
      </c>
      <c r="E59" s="33" t="n">
        <v>1E-006</v>
      </c>
      <c r="F59" s="4" t="str">
        <f aca="false">IF(D59&lt;=E59,"PASS","FAIL")</f>
        <v>PASS</v>
      </c>
    </row>
    <row r="60" customFormat="false" ht="15" hidden="false" customHeight="false" outlineLevel="0" collapsed="false">
      <c r="A60" s="2" t="s">
        <v>558</v>
      </c>
      <c r="B60" s="21" t="n">
        <f aca="false">Repairs!E9</f>
        <v>94.1069407684847</v>
      </c>
      <c r="C60" s="31" t="n">
        <f aca="false">Reference_Values!B60</f>
        <v>94.1069407684848</v>
      </c>
      <c r="D60" s="32" t="n">
        <f aca="false">ABS(B60-C60)</f>
        <v>0</v>
      </c>
      <c r="E60" s="33" t="n">
        <v>1E-006</v>
      </c>
      <c r="F60" s="4" t="str">
        <f aca="false">IF(D60&lt;=E60,"PASS","FAIL")</f>
        <v>PASS</v>
      </c>
    </row>
    <row r="61" customFormat="false" ht="15" hidden="false" customHeight="false" outlineLevel="0" collapsed="false">
      <c r="A61" s="2" t="s">
        <v>349</v>
      </c>
      <c r="B61" s="21" t="n">
        <f aca="false">Ledgers!K5</f>
        <v>37</v>
      </c>
      <c r="C61" s="31" t="n">
        <f aca="false">Reference_Values!B61</f>
        <v>37</v>
      </c>
      <c r="D61" s="32" t="n">
        <f aca="false">ABS(B61-C61)</f>
        <v>0</v>
      </c>
      <c r="E61" s="33" t="n">
        <v>1E-009</v>
      </c>
      <c r="F61" s="4" t="str">
        <f aca="false">IF(D61&lt;=E61,"PASS","FAIL")</f>
        <v>PASS</v>
      </c>
    </row>
    <row r="62" customFormat="false" ht="15" hidden="false" customHeight="false" outlineLevel="0" collapsed="false">
      <c r="A62" s="2" t="s">
        <v>561</v>
      </c>
      <c r="B62" s="21" t="n">
        <f aca="false">Ledgers!K6</f>
        <v>481.950382357786</v>
      </c>
      <c r="C62" s="31" t="n">
        <f aca="false">Reference_Values!B62</f>
        <v>481.950382357786</v>
      </c>
      <c r="D62" s="32" t="n">
        <f aca="false">ABS(B62-C62)</f>
        <v>0</v>
      </c>
      <c r="E62" s="33" t="n">
        <v>1E-009</v>
      </c>
      <c r="F62" s="4" t="str">
        <f aca="false">IF(D62&lt;=E62,"PASS","FAIL")</f>
        <v>PASS</v>
      </c>
    </row>
    <row r="63" customFormat="false" ht="15" hidden="false" customHeight="false" outlineLevel="0" collapsed="false">
      <c r="A63" s="2" t="s">
        <v>353</v>
      </c>
      <c r="B63" s="21" t="n">
        <f aca="false">Ledgers!K7</f>
        <v>21</v>
      </c>
      <c r="C63" s="31" t="n">
        <f aca="false">Reference_Values!B63</f>
        <v>21</v>
      </c>
      <c r="D63" s="32" t="n">
        <f aca="false">ABS(B63-C63)</f>
        <v>0</v>
      </c>
      <c r="E63" s="33" t="n">
        <v>0</v>
      </c>
      <c r="F63" s="4" t="str">
        <f aca="false">IF(D63&lt;=E63,"PASS","FAIL")</f>
        <v>PASS</v>
      </c>
    </row>
    <row r="64" customFormat="false" ht="15" hidden="false" customHeight="false" outlineLevel="0" collapsed="false">
      <c r="A64" s="2" t="s">
        <v>355</v>
      </c>
      <c r="B64" s="21" t="n">
        <f aca="false">Ledgers!K8</f>
        <v>32.1064672146718</v>
      </c>
      <c r="C64" s="31" t="n">
        <f aca="false">Reference_Values!B64</f>
        <v>32.1064672146718</v>
      </c>
      <c r="D64" s="32" t="n">
        <f aca="false">ABS(B64-C64)</f>
        <v>0</v>
      </c>
      <c r="E64" s="33" t="n">
        <v>1E-009</v>
      </c>
      <c r="F64" s="4" t="str">
        <f aca="false">IF(D64&lt;=E64,"PASS","FAIL")</f>
        <v>PASS</v>
      </c>
    </row>
    <row r="65" customFormat="false" ht="15" hidden="false" customHeight="false" outlineLevel="0" collapsed="false">
      <c r="A65" s="2" t="s">
        <v>357</v>
      </c>
      <c r="B65" s="21" t="n">
        <f aca="false">Ledgers!K9</f>
        <v>11</v>
      </c>
      <c r="C65" s="31" t="n">
        <f aca="false">Reference_Values!B65</f>
        <v>11</v>
      </c>
      <c r="D65" s="32" t="n">
        <f aca="false">ABS(B65-C65)</f>
        <v>0</v>
      </c>
      <c r="E65" s="33" t="n">
        <v>0</v>
      </c>
      <c r="F65" s="4" t="str">
        <f aca="false">IF(D65&lt;=E65,"PASS","FAIL")</f>
        <v>PASS</v>
      </c>
    </row>
    <row r="66" customFormat="false" ht="15" hidden="false" customHeight="false" outlineLevel="0" collapsed="false">
      <c r="A66" s="2" t="s">
        <v>563</v>
      </c>
      <c r="B66" s="21" t="n">
        <f aca="false">Ledgers!K10</f>
        <v>29</v>
      </c>
      <c r="C66" s="31" t="n">
        <f aca="false">Reference_Values!B66</f>
        <v>29</v>
      </c>
      <c r="D66" s="32" t="n">
        <f aca="false">ABS(B66-C66)</f>
        <v>0</v>
      </c>
      <c r="E66" s="33" t="n">
        <v>0</v>
      </c>
      <c r="F66" s="4" t="str">
        <f aca="false">IF(D66&lt;=E66,"PASS","FAIL")</f>
        <v>PASS</v>
      </c>
    </row>
    <row r="67" customFormat="false" ht="15" hidden="false" customHeight="false" outlineLevel="0" collapsed="false">
      <c r="A67" s="2" t="s">
        <v>361</v>
      </c>
      <c r="B67" s="21" t="n">
        <f aca="false">Ledgers!K11</f>
        <v>37.1874101717979</v>
      </c>
      <c r="C67" s="31" t="n">
        <f aca="false">Reference_Values!B67</f>
        <v>37.1874101717979</v>
      </c>
      <c r="D67" s="32" t="n">
        <f aca="false">ABS(B67-C67)</f>
        <v>0</v>
      </c>
      <c r="E67" s="33" t="n">
        <v>1E-009</v>
      </c>
      <c r="F67" s="4" t="str">
        <f aca="false">IF(D67&lt;=E67,"PASS","FAIL")</f>
        <v>PASS</v>
      </c>
    </row>
    <row r="68" customFormat="false" ht="15" hidden="false" customHeight="false" outlineLevel="0" collapsed="false">
      <c r="A68" s="2" t="s">
        <v>363</v>
      </c>
      <c r="B68" s="21" t="n">
        <f aca="false">Ledgers!K12</f>
        <v>73.5520635207556</v>
      </c>
      <c r="C68" s="31" t="n">
        <f aca="false">Reference_Values!B68</f>
        <v>73.5520635207556</v>
      </c>
      <c r="D68" s="32" t="n">
        <f aca="false">ABS(B68-C68)</f>
        <v>0</v>
      </c>
      <c r="E68" s="33" t="n">
        <v>1E-009</v>
      </c>
      <c r="F68" s="4" t="str">
        <f aca="false">IF(D68&lt;=E68,"PASS","FAIL")</f>
        <v>PASS</v>
      </c>
    </row>
    <row r="69" customFormat="false" ht="15" hidden="false" customHeight="false" outlineLevel="0" collapsed="false">
      <c r="A69" s="2" t="s">
        <v>365</v>
      </c>
      <c r="B69" s="21" t="n">
        <f aca="false">Ledgers!K13</f>
        <v>11</v>
      </c>
      <c r="C69" s="31" t="n">
        <f aca="false">Reference_Values!B69</f>
        <v>11</v>
      </c>
      <c r="D69" s="32" t="n">
        <f aca="false">ABS(B69-C69)</f>
        <v>0</v>
      </c>
      <c r="E69" s="33" t="n">
        <v>0</v>
      </c>
      <c r="F69" s="4" t="str">
        <f aca="false">IF(D69&lt;=E69,"PASS","FAIL")</f>
        <v>PASS</v>
      </c>
    </row>
    <row r="70" customFormat="false" ht="15" hidden="false" customHeight="false" outlineLevel="0" collapsed="false">
      <c r="A70" s="2" t="s">
        <v>366</v>
      </c>
      <c r="B70" s="21" t="n">
        <f aca="false">Ledgers!K14</f>
        <v>1.44793647924442</v>
      </c>
      <c r="C70" s="31" t="n">
        <f aca="false">Reference_Values!B70</f>
        <v>1.44793647924442</v>
      </c>
      <c r="D70" s="32" t="n">
        <f aca="false">ABS(B70-C70)</f>
        <v>0</v>
      </c>
      <c r="E70" s="33" t="n">
        <v>1E-009</v>
      </c>
      <c r="F70" s="4" t="str">
        <f aca="false">IF(D70&lt;=E70,"PASS","FAIL")</f>
        <v>PASS</v>
      </c>
    </row>
    <row r="71" customFormat="false" ht="15" hidden="false" customHeight="false" outlineLevel="0" collapsed="false">
      <c r="A71" s="2" t="s">
        <v>566</v>
      </c>
      <c r="B71" s="21" t="n">
        <f aca="false">Decide!B13</f>
        <v>481.950382357786</v>
      </c>
      <c r="C71" s="31" t="n">
        <f aca="false">Reference_Values!B71</f>
        <v>481.950382357786</v>
      </c>
      <c r="D71" s="32" t="n">
        <f aca="false">ABS(B71-C71)</f>
        <v>0</v>
      </c>
      <c r="E71" s="33" t="n">
        <v>1E-009</v>
      </c>
      <c r="F71" s="4" t="str">
        <f aca="false">IF(D71&lt;=E71,"PASS","FAIL")</f>
        <v>PASS</v>
      </c>
    </row>
    <row r="72" customFormat="false" ht="15" hidden="false" customHeight="false" outlineLevel="0" collapsed="false">
      <c r="A72" s="2" t="s">
        <v>568</v>
      </c>
      <c r="B72" s="21" t="n">
        <f aca="false">Decide!B11</f>
        <v>0</v>
      </c>
      <c r="C72" s="31" t="n">
        <f aca="false">Reference_Values!B72</f>
        <v>0</v>
      </c>
      <c r="D72" s="32" t="n">
        <f aca="false">ABS(B72-C72)</f>
        <v>0</v>
      </c>
      <c r="E72" s="33" t="n">
        <v>0</v>
      </c>
      <c r="F72" s="4" t="str">
        <f aca="false">IF(D72&lt;=E72,"PASS","FAIL")</f>
        <v>PASS</v>
      </c>
    </row>
    <row r="73" customFormat="false" ht="15" hidden="false" customHeight="false" outlineLevel="0" collapsed="false">
      <c r="A73" s="2" t="s">
        <v>570</v>
      </c>
      <c r="B73" s="21" t="n">
        <f aca="false">Decide!B12</f>
        <v>1</v>
      </c>
      <c r="C73" s="31" t="n">
        <f aca="false">Reference_Values!B73</f>
        <v>1</v>
      </c>
      <c r="D73" s="32" t="n">
        <f aca="false">ABS(B73-C73)</f>
        <v>0</v>
      </c>
      <c r="E73" s="33" t="n">
        <v>0</v>
      </c>
      <c r="F73" s="4" t="str">
        <f aca="false">IF(D73&lt;=E73,"PASS","FAIL")</f>
        <v>PASS</v>
      </c>
    </row>
    <row r="75" customFormat="false" ht="15" hidden="false" customHeight="false" outlineLevel="0" collapsed="false">
      <c r="A75" s="4" t="s">
        <v>576</v>
      </c>
      <c r="F75" s="4" t="str">
        <f aca="false">IF(COUNTIF(F2:F73,"PASS")=72,"ALL PASS","CHECK")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2026-10-05T08:38:41Z</dcterms:created>
  <dc:creator>openpyxl</dc:creator>
  <dc:description/>
  <dc:language>en-US</dc:language>
  <cp:lastModifiedBy/>
  <dcterms:modified xsi:type="dcterms:W3CDTF">2026-10-05T08:38:41Z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