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Bench" sheetId="3" state="visible" r:id="rId5"/>
    <sheet name="Rebudget" sheetId="4" state="visible" r:id="rId6"/>
    <sheet name="Clocks" sheetId="5" state="visible" r:id="rId7"/>
    <sheet name="Sensitivity" sheetId="6" state="visible" r:id="rId8"/>
    <sheet name="Perturbations" sheetId="7" state="visible" r:id="rId9"/>
    <sheet name="Runway" sheetId="8" state="visible" r:id="rId10"/>
    <sheet name="Audit" sheetId="9" state="visible" r:id="rId11"/>
    <sheet name="Reference_Values" sheetId="10" state="visible" r:id="rId12"/>
    <sheet name="Checks" sheetId="11" state="visible" r:id="rId13"/>
  </sheets>
  <definedNames>
    <definedName function="false" hidden="false" name="Bench_e" vbProcedure="false">Declarations!$B$5</definedName>
    <definedName function="false" hidden="false" name="Bench_h" vbProcedure="false">Declarations!$B$7</definedName>
    <definedName function="false" hidden="false" name="Bench_t" vbProcedure="false">Declarations!$B$6</definedName>
    <definedName function="false" hidden="false" name="Burn_now" vbProcedure="false">Declarations!$B$15</definedName>
    <definedName function="false" hidden="false" name="Cash_now" vbProcedure="false">Declarations!$B$14</definedName>
    <definedName function="false" hidden="false" name="Ceiling" vbProcedure="false">Declarations!$B$4</definedName>
    <definedName function="false" hidden="false" name="Cut_b" vbProcedure="false">Declarations!$B$16</definedName>
    <definedName function="false" hidden="false" name="Cut_fast" vbProcedure="false">Declarations!$B$17</definedName>
    <definedName function="false" hidden="false" name="Cut_mid" vbProcedure="false">Declarations!$B$18</definedName>
    <definedName function="false" hidden="false" name="Edge_rho" vbProcedure="false">Declarations!$B$11</definedName>
    <definedName function="false" hidden="false" name="Rule_hl" vbProcedure="false">Declarations!$B$8</definedName>
    <definedName function="false" hidden="false" name="R_max" vbProcedure="false">Declarations!$B$20</definedName>
    <definedName function="false" hidden="false" name="R_star" vbProcedure="false">Declarations!$B$9</definedName>
    <definedName function="false" hidden="false" name="Shock" vbProcedure="false">Declarations!$B$10</definedName>
    <definedName function="false" hidden="false" name="S_max" vbProcedure="false">Declarations!$B$19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<sst xmlns="http://schemas.openxmlformats.org/spreadsheetml/2006/main" count="745" uniqueCount="538">
  <si>
    <t xml:space="preserve">DCT Laboratory — Vol I, Ch 14: Mathematical Analysis of the Unified Enterprise Transformation Architecture</t>
  </si>
  <si>
    <t xml:space="preserve">Seed 26114 · Companion to DCT_V1_Ch14_Lab.ipynb and AXIOM Lab 1.14 (module AXIOM-14). Money in $ million.</t>
  </si>
  <si>
    <t xml:space="preserve">Worked Example 14.1, Can Meridian Afford the New Link?, with the book's declarations, and the five steps of AXIOM Lab 1.14, How Close to the Edge Is Meridian?</t>
  </si>
  <si>
    <t xml:space="preserve">Declarations: the core register's ceiling, the stability bench's gains (edit them), the board's rule, and the runway of Section 14.6.</t>
  </si>
  <si>
    <t xml:space="preserve">Bench: the register M from e, t and h; its radius (Online Appendix 14.B.1, checked by MDETERM), clocks, Lyapunov bowl and echo; the settled deviation solved exactly, in closed form and by the sensitivity recursion (Theorems 14.3 and 14.4; lab step 1).</t>
  </si>
  <si>
    <t xml:space="preserve">Rebudget: Table 14.4, the three repairs and the frontier, and the echo of every register (Figure 14.3; Worked Example 14.1, Steps 3-4).</t>
  </si>
  <si>
    <t xml:space="preserve">Clocks: half-life and amplification against the spectral radius (Figure 14.1).</t>
  </si>
  <si>
    <t xml:space="preserve">Sensitivity: the multiplier walk by walk, the Perron-weighted identity, elasticity tables and the blow-up dial (Theorem 14.4; lab step 2).</t>
  </si>
  <si>
    <t xml:space="preserve">Perturbations: a state shock, a recalibration and the structural change (Definition 14.7; Worked Example 14.1, Step 5; lab step 3).</t>
  </si>
  <si>
    <t xml:space="preserve">Runway: the viability sets V_j and the kernel, the fastest-cuts path and the two repairs (Theorem 14.5(iii)-(iv); Figure 14.2; Online Appendix 14.B.2; lab step 4).</t>
  </si>
  <si>
    <t xml:space="preserve">Audit: Table 14.2's five tests, the complexity panel, the gain audit and three tripwires (Definition 14.11; Theorems 14.6(ii) and 14.7(iv); lab step 5).</t>
  </si>
  <si>
    <t xml:space="preserve">The fresh draws (seed 26114) and the viability iteration on a grid run in the notebook.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</si>
  <si>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</si>
  <si>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</si>
  <si>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</si>
  <si>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</si>
  <si>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</si>
  <si>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14.1; Section 14.6). Money in $ million; gains are the share of a quarter's deviation passed on per link.</t>
  </si>
  <si>
    <t xml:space="preserve">Quantity</t>
  </si>
  <si>
    <t xml:space="preserve">Value</t>
  </si>
  <si>
    <t xml:space="preserve">Source</t>
  </si>
  <si>
    <t xml:space="preserve">Register ceiling per link</t>
  </si>
  <si>
    <t xml:space="preserve">Section 12.7: no unit passes on more than 40 percent of a quarter's deviation to a linked unit</t>
  </si>
  <si>
    <t xml:space="preserve">Stability bench: engineering links, e</t>
  </si>
  <si>
    <t xml:space="preserve">Today 0.40. Edit e, t and h to explore (AXIOM Lab 1.14, step 1); the Checks expect today's values</t>
  </si>
  <si>
    <t xml:space="preserve">Stability bench: treasury links, t</t>
  </si>
  <si>
    <t xml:space="preserve">Today 0.40</t>
  </si>
  <si>
    <t xml:space="preserve">Stability bench: new Digital-Industrial Systems link, h</t>
  </si>
  <si>
    <t xml:space="preserve">Today 0; the second phase of the digital program adds it, with a ceiling of 0.40</t>
  </si>
  <si>
    <t xml:space="preserve">The board's rule: half-life at most (quarters)</t>
  </si>
  <si>
    <t xml:space="preserve">Any deviation must halve within a year</t>
  </si>
  <si>
    <t xml:space="preserve">The rule as a spectral radius, 0.5^(1/half-life)</t>
  </si>
  <si>
    <t xml:space="preserve">2^(-1/4) = 0.8409 (Worked Example 14.1, Step 3)</t>
  </si>
  <si>
    <t xml:space="preserve">Shock, or permanent shortfall a quarter, at Digital ($ million)</t>
  </si>
  <si>
    <t xml:space="preserve">Worked Example 14.1, Steps 1-2</t>
  </si>
  <si>
    <t xml:space="preserve">A company near the edge: spectral radius</t>
  </si>
  <si>
    <t xml:space="preserve">Figure 14.1</t>
  </si>
  <si>
    <t xml:space="preserve">The runway (Section 14.6; a unit, not Meridian)</t>
  </si>
  <si>
    <t xml:space="preserve">Cash above the floor ($ million)</t>
  </si>
  <si>
    <t xml:space="preserve">Section 14.6; Figure 14.2</t>
  </si>
  <si>
    <t xml:space="preserve">Burn a quarter ($ million)</t>
  </si>
  <si>
    <t xml:space="preserve">Section 14.6</t>
  </si>
  <si>
    <t xml:space="preserve">Largest cut of the burn a quarter ($ million)</t>
  </si>
  <si>
    <t xml:space="preserve">Commitments and notice periods</t>
  </si>
  <si>
    <t xml:space="preserve">Faster cuts: exit clauses allow ($ million a quarter)</t>
  </si>
  <si>
    <t xml:space="preserve">The second repair</t>
  </si>
  <si>
    <t xml:space="preserve">Cuts in between ($ million a quarter)</t>
  </si>
  <si>
    <t xml:space="preserve">Online Appendix 14.B.2: still too slow</t>
  </si>
  <si>
    <t xml:space="preserve">Feasible region: cash above the floor at most ($ million)</t>
  </si>
  <si>
    <t xml:space="preserve">Appendix 14.A, proof of Theorem 14.5(iv)</t>
  </si>
  <si>
    <t xml:space="preserve">Feasible region: burn at most ($ million a quarter)</t>
  </si>
  <si>
    <t xml:space="preserve">Appendix 14.A</t>
  </si>
  <si>
    <t xml:space="preserve">The core: Industrial Systems (IND), Digital (DIG), engineering (ENG) and treasury (TRS); IND and DIG are each wired both ways to ENG and TRS (Worked Example 9.1). With every link at its ceiling, deviations follow x' = M x each quarter (Chapter 12's echo).</t>
  </si>
  <si>
    <t xml:space="preserve">The runway: s' = s - r and r' = max(r - u, 0), with 0 &lt;= u &lt;= the largest cut; feasible while 0 &lt;= s &lt;= 500 and 0 &lt;= r &lt;= 60.</t>
  </si>
  <si>
    <t xml:space="preserve">Stability bench: the register, its radius, clocks and Lyapunov bowl (Theorem 14.3; Worked Example 14.1, Steps 1-2; AXIOM Lab 1.14, step 1)</t>
  </si>
  <si>
    <t xml:space="preserve">Edit the bench's gains e, t, h on Declarations. Entry (i, j) is the share of unit j's deviation that unit i receives in the next quarter.</t>
  </si>
  <si>
    <t xml:space="preserve">Register M (rows receive)</t>
  </si>
  <si>
    <t xml:space="preserve">IND</t>
  </si>
  <si>
    <t xml:space="preserve">DIG</t>
  </si>
  <si>
    <t xml:space="preserve">ENG</t>
  </si>
  <si>
    <t xml:space="preserve">TRS</t>
  </si>
  <si>
    <t xml:space="preserve">M - rho I</t>
  </si>
  <si>
    <t xml:space="preserve">I - M</t>
  </si>
  <si>
    <t xml:space="preserve">Industrial Systems</t>
  </si>
  <si>
    <t xml:space="preserve">Digital</t>
  </si>
  <si>
    <t xml:space="preserve">Engineering</t>
  </si>
  <si>
    <t xml:space="preserve">Treasury</t>
  </si>
  <si>
    <t xml:space="preserve">Passes on (column sum)</t>
  </si>
  <si>
    <t xml:space="preserve">Reading</t>
  </si>
  <si>
    <t xml:space="preserve">Spectral radius (closed form, Online Appendix 14.B.1)</t>
  </si>
  <si>
    <t xml:space="preserve">Today 0.80; with the new link at 0.40, 1.0246</t>
  </si>
  <si>
    <t xml:space="preserve">It is an eigenvalue: det(M - rho I)</t>
  </si>
  <si>
    <t xml:space="preserve">Zero</t>
  </si>
  <si>
    <t xml:space="preserve">Half-life (quarters)</t>
  </si>
  <si>
    <t xml:space="preserve">ln 2 / ln(1/rho): 3.1 today</t>
  </si>
  <si>
    <t xml:space="preserve">Quarters to a tenth</t>
  </si>
  <si>
    <t xml:space="preserve">10.3 today</t>
  </si>
  <si>
    <t xml:space="preserve">Amplification, 1/(1 - rho)</t>
  </si>
  <si>
    <t xml:space="preserve">Theorem 14.4(iii): 5 today</t>
  </si>
  <si>
    <t xml:space="preserve">Margin to the edge, 1 - rho</t>
  </si>
  <si>
    <t xml:space="preserve">The certificate's margin</t>
  </si>
  <si>
    <t xml:space="preserve">Margin to the board's rule, r* - rho</t>
  </si>
  <si>
    <t xml:space="preserve">Negative: the rule fails</t>
  </si>
  <si>
    <t xml:space="preserve">Meets the board's rule?</t>
  </si>
  <si>
    <t xml:space="preserve">Contraction constant: the largest row sum</t>
  </si>
  <si>
    <t xml:space="preserve">Table 14.2: L &lt; 1 is the strongest test</t>
  </si>
  <si>
    <t xml:space="preserve">Largest radius of 10,000 gains drawn within the ceilings (notebook)</t>
  </si>
  <si>
    <t xml:space="preserve">Fresh draws, seed 26114. Theorem 14.3(ii): never above the register's radius</t>
  </si>
  <si>
    <t xml:space="preserve">M^2</t>
  </si>
  <si>
    <t xml:space="preserve">I - M^2</t>
  </si>
  <si>
    <t xml:space="preserve">P = (I - M^2)^-1</t>
  </si>
  <si>
    <t xml:space="preserve">Leading minors of P (Sylvester)</t>
  </si>
  <si>
    <t xml:space="preserve">P positive definite: a Lyapunov bowl</t>
  </si>
  <si>
    <t xml:space="preserve">P's curvature along the Perron direction, 1/(1 - rho^2)</t>
  </si>
  <si>
    <t xml:space="preserve">For a symmetric register, P = (I - M^2)^-1 solves Lyapunov's equation M'PM - P = -I (Theorem 14.3(iv)); it is positive definite exactly when rho &lt; 1, and then V(x) = x'Px falls every quarter.</t>
  </si>
  <si>
    <t xml:space="preserve">A permanent shortfall at Digital settles at (Theorem 14.4(ii))</t>
  </si>
  <si>
    <t xml:space="preserve">Core</t>
  </si>
  <si>
    <t xml:space="preserve">Exact: Shock x Digital's column of (I - M)^-1</t>
  </si>
  <si>
    <t xml:space="preserve">Closed form by the Industrial Systems-Digital symmetry</t>
  </si>
  <si>
    <t xml:space="preserve">Direct: the shortfall at Digital itself</t>
  </si>
  <si>
    <t xml:space="preserve">Knock-on: the rest</t>
  </si>
  <si>
    <t xml:space="preserve">Largest gap, exact against the closed form</t>
  </si>
  <si>
    <t xml:space="preserve">Closed form: x_IND + x_DIG = Shock/(1 - h - 2(e^2 + t^2)) and x_DIG - x_IND = Shock/(1 + h).</t>
  </si>
  <si>
    <t xml:space="preserve">Quarter</t>
  </si>
  <si>
    <t xml:space="preserve">Echo: IND</t>
  </si>
  <si>
    <t xml:space="preserve">Echo: DIG</t>
  </si>
  <si>
    <t xml:space="preserve">Echo: ENG</t>
  </si>
  <si>
    <t xml:space="preserve">Echo: TRS</t>
  </si>
  <si>
    <t xml:space="preserve">Echo: core</t>
  </si>
  <si>
    <t xml:space="preserve">Ratio to the previous quarter</t>
  </si>
  <si>
    <t xml:space="preserve">Health index x'Px</t>
  </si>
  <si>
    <t xml:space="preserve">S_k: IND</t>
  </si>
  <si>
    <t xml:space="preserve">S_k: DIG</t>
  </si>
  <si>
    <t xml:space="preserve">S_k: ENG</t>
  </si>
  <si>
    <t xml:space="preserve">S_k: TRS</t>
  </si>
  <si>
    <t xml:space="preserve">S_k: core</t>
  </si>
  <si>
    <t xml:space="preserve">S_k follows the sensitivity recursion S_(k+1) = M S_k + B (Equation 14.4) and converges to the settled deviation when rho &lt; 1 (Theorem 14.4(i)-(ii)).</t>
  </si>
  <si>
    <t xml:space="preserve">Re-budget under the board's rule: Table 14.4 and the frontier (Worked Example 14.1, Steps 3-4; Online Appendix 14.B.1; AXIOM Lab 1.14, step 1)</t>
  </si>
  <si>
    <t xml:space="preserve">rho = (h + sqrt(h^2 + 8(e^2 + t^2)))/2, and rho &lt;= r* exactly when h r* + 2(e^2 + t^2) &lt;= r*^2: one frontier prices every repair.</t>
  </si>
  <si>
    <t xml:space="preserve">The board's rule as a spectral radius, r*</t>
  </si>
  <si>
    <t xml:space="preserve">2^(-1/4)</t>
  </si>
  <si>
    <t xml:space="preserve">Run the new link light: largest h with e = t at the ceiling</t>
  </si>
  <si>
    <t xml:space="preserve">0.08 (Online Appendix 14.B.1: 0.080)</t>
  </si>
  <si>
    <t xml:space="preserve">Ring-fence treasury: largest t with h = e at the ceiling</t>
  </si>
  <si>
    <t xml:space="preserve">0.16 (0.159)</t>
  </si>
  <si>
    <t xml:space="preserve">Trim every existing link: e = t with h at the ceiling</t>
  </si>
  <si>
    <t xml:space="preserve">0.30 (0.304)</t>
  </si>
  <si>
    <t xml:space="preserve">The trim as a share of the ceiling</t>
  </si>
  <si>
    <t xml:space="preserve">About a quarter</t>
  </si>
  <si>
    <t xml:space="preserve">Table 14.4: register</t>
  </si>
  <si>
    <t xml:space="preserve">Eng. links e</t>
  </si>
  <si>
    <t xml:space="preserve">Treas. links t</t>
  </si>
  <si>
    <t xml:space="preserve">New link h</t>
  </si>
  <si>
    <t xml:space="preserve">rho (closed form)</t>
  </si>
  <si>
    <t xml:space="preserve">Frontier: h r* + 2(e^2+t^2) - r*^2</t>
  </si>
  <si>
    <t xml:space="preserve">Amplification</t>
  </si>
  <si>
    <t xml:space="preserve">Passes on: IND, DIG</t>
  </si>
  <si>
    <t xml:space="preserve">Passes on: ENG</t>
  </si>
  <si>
    <t xml:space="preserve">Passes on: TRS</t>
  </si>
  <si>
    <t xml:space="preserve">S = x_IND + x_DIG</t>
  </si>
  <si>
    <t xml:space="preserve">x_DIG - x_IND</t>
  </si>
  <si>
    <t xml:space="preserve">Settled: IND</t>
  </si>
  <si>
    <t xml:space="preserve">Settled: DIG</t>
  </si>
  <si>
    <t xml:space="preserve">Settled: ENG</t>
  </si>
  <si>
    <t xml:space="preserve">Settled: TRS</t>
  </si>
  <si>
    <t xml:space="preserve">Settled total ($ million a quarter)</t>
  </si>
  <si>
    <t xml:space="preserve">Meets the rule?</t>
  </si>
  <si>
    <t xml:space="preserve">Today</t>
  </si>
  <si>
    <t xml:space="preserve">New link at the ceiling</t>
  </si>
  <si>
    <t xml:space="preserve">Run the new link light</t>
  </si>
  <si>
    <t xml:space="preserve">Ring-fence treasury</t>
  </si>
  <si>
    <t xml:space="preserve">Trim every existing link</t>
  </si>
  <si>
    <t xml:space="preserve">Settled: the deviation across the core each quarter for a permanent $10 million a quarter shortfall at Digital, solved by the Industrial Systems-Digital symmetry. Ring-fencing and trimming have the same radius (it sees e^2 + t^2 only); the trims spread the settled deviation to engineering and treasury.</t>
  </si>
  <si>
    <t xml:space="preserve">Ring-fence and trim: difference in radius</t>
  </si>
  <si>
    <t xml:space="preserve">Treasury links t (engineering at the ceiling)</t>
  </si>
  <si>
    <t xml:space="preserve">Largest new link within the rule</t>
  </si>
  <si>
    <t xml:space="preserve">All four existing links at c</t>
  </si>
  <si>
    <t xml:space="preserve">Today: IND</t>
  </si>
  <si>
    <t xml:space="preserve">Today: DIG</t>
  </si>
  <si>
    <t xml:space="preserve">Today: ENG</t>
  </si>
  <si>
    <t xml:space="preserve">Today: TRS</t>
  </si>
  <si>
    <t xml:space="preserve">Today: core</t>
  </si>
  <si>
    <t xml:space="preserve">New link at the ceiling: IND</t>
  </si>
  <si>
    <t xml:space="preserve">New link at the ceiling: DIG</t>
  </si>
  <si>
    <t xml:space="preserve">New link at the ceiling: ENG</t>
  </si>
  <si>
    <t xml:space="preserve">New link at the ceiling: TRS</t>
  </si>
  <si>
    <t xml:space="preserve">New link at the ceiling: core</t>
  </si>
  <si>
    <t xml:space="preserve">Run the new link light: IND</t>
  </si>
  <si>
    <t xml:space="preserve">Run the new link light: DIG</t>
  </si>
  <si>
    <t xml:space="preserve">Run the new link light: ENG</t>
  </si>
  <si>
    <t xml:space="preserve">Run the new link light: TRS</t>
  </si>
  <si>
    <t xml:space="preserve">Run the new link light: core</t>
  </si>
  <si>
    <t xml:space="preserve">Ring-fence treasury: IND</t>
  </si>
  <si>
    <t xml:space="preserve">Ring-fence treasury: DIG</t>
  </si>
  <si>
    <t xml:space="preserve">Ring-fence treasury: ENG</t>
  </si>
  <si>
    <t xml:space="preserve">Ring-fence treasury: TRS</t>
  </si>
  <si>
    <t xml:space="preserve">Ring-fence treasury: core</t>
  </si>
  <si>
    <t xml:space="preserve">Trim every existing link: IND</t>
  </si>
  <si>
    <t xml:space="preserve">Trim every existing link: DIG</t>
  </si>
  <si>
    <t xml:space="preserve">Trim every existing link: ENG</t>
  </si>
  <si>
    <t xml:space="preserve">Trim every existing link: TRS</t>
  </si>
  <si>
    <t xml:space="preserve">Trim every existing link: core</t>
  </si>
  <si>
    <t xml:space="preserve">One gap, two clocks: half-life and amplification (Figure 14.1; Theorems 14.3(i) and 14.4(iii))</t>
  </si>
  <si>
    <t xml:space="preserve">Marked</t>
  </si>
  <si>
    <t xml:space="preserve">rho</t>
  </si>
  <si>
    <t xml:space="preserve">Amplification 1/(1 - rho)</t>
  </si>
  <si>
    <t xml:space="preserve">Meridian's core today</t>
  </si>
  <si>
    <t xml:space="preserve">The board's limit</t>
  </si>
  <si>
    <t xml:space="preserve">A company near the edge</t>
  </si>
  <si>
    <t xml:space="preserve">A company that keeps a share rho of every deviation each quarter has a half-life of ln 2 / ln(1/rho) and amplifies a permanent change 1/(1 - rho) times: the gap that slows recovery amplifies every recalibration.</t>
  </si>
  <si>
    <t xml:space="preserve">Sensitivity explorer: walks, the Perron identity, elasticities and the blow-up dial (Theorem 14.4(ii)-(iii); Worked Example 14.1, Step 4; AXIOM Lab 1.14, step 2)</t>
  </si>
  <si>
    <t xml:space="preserve">Today's register at its ceilings. (I - M)^-1 B = B + MB + M^2 B + ...: walks of n links carry the shortfall at Digital to the other units.</t>
  </si>
  <si>
    <t xml:space="preserve">Walks of n links</t>
  </si>
  <si>
    <t xml:space="preserve">Cumulative: IND</t>
  </si>
  <si>
    <t xml:space="preserve">Cumulative: DIG</t>
  </si>
  <si>
    <t xml:space="preserve">Cumulative: ENG</t>
  </si>
  <si>
    <t xml:space="preserve">Cumulative: TRS</t>
  </si>
  <si>
    <t xml:space="preserve">Cumulative: core</t>
  </si>
  <si>
    <t xml:space="preserve">Settled (Rebudget, today)</t>
  </si>
  <si>
    <t xml:space="preserve">Direct effect (walks of no links) and knock-on</t>
  </si>
  <si>
    <t xml:space="preserve">Repair at the rule's limit</t>
  </si>
  <si>
    <t xml:space="preserve">Perron weight IND</t>
  </si>
  <si>
    <t xml:space="preserve">Perron-weighted settled</t>
  </si>
  <si>
    <t xml:space="preserve">Shock / (1 - rho)</t>
  </si>
  <si>
    <t xml:space="preserve">Plain settled total</t>
  </si>
  <si>
    <t xml:space="preserve">Perron weights (1, 1, 2e/rho, 2t/rho) solve w'M = rho w' for the symmetric core; the Perron-weighted response is exactly the Perron-weighted direct effect over 1 - rho (Theorem 14.4(iii)).</t>
  </si>
  <si>
    <t xml:space="preserve">Elasticities, today (percent per percent)</t>
  </si>
  <si>
    <t xml:space="preserve">Engineering links e</t>
  </si>
  <si>
    <t xml:space="preserve">Treasury links t</t>
  </si>
  <si>
    <t xml:space="preserve">Core total</t>
  </si>
  <si>
    <t xml:space="preserve">Spectral radius</t>
  </si>
  <si>
    <t xml:space="preserve">Sum of the radius's elasticities (it is homogeneous in the gains)</t>
  </si>
  <si>
    <t xml:space="preserve">e</t>
  </si>
  <si>
    <t xml:space="preserve">t</t>
  </si>
  <si>
    <t xml:space="preserve">h</t>
  </si>
  <si>
    <t xml:space="preserve">D = 1 - h - 2(e^2 + t^2)</t>
  </si>
  <si>
    <t xml:space="preserve">S = Shock / D</t>
  </si>
  <si>
    <t xml:space="preserve">Delta = Shock / (1 + h)</t>
  </si>
  <si>
    <t xml:space="preserve">dS/de = 4eS/D</t>
  </si>
  <si>
    <t xml:space="preserve">dS/dt = 4tS/D</t>
  </si>
  <si>
    <t xml:space="preserve">dS/dh = S/D</t>
  </si>
  <si>
    <t xml:space="preserve">dDelta/dh = -Delta/(1 + h)</t>
  </si>
  <si>
    <t xml:space="preserve">Q = sqrt(h^2 + 8(e^2 + t^2))</t>
  </si>
  <si>
    <t xml:space="preserve">rho = (h + Q)/2</t>
  </si>
  <si>
    <t xml:space="preserve">Elasticities, trim every existing link (percent per percent)</t>
  </si>
  <si>
    <t xml:space="preserve">The blow-up dial: today's gains times c</t>
  </si>
  <si>
    <t xml:space="preserve">c = rho / today's rho</t>
  </si>
  <si>
    <t xml:space="preserve">Settled total</t>
  </si>
  <si>
    <t xml:space="preserve">Settled at Digital</t>
  </si>
  <si>
    <t xml:space="preserve">today</t>
  </si>
  <si>
    <t xml:space="preserve">the board's limit</t>
  </si>
  <si>
    <t xml:space="preserve">near the edge</t>
  </si>
  <si>
    <t xml:space="preserve">Perturbation simulator: a state shock, a recalibration, a structural change (Definition 14.7; Theorem 14.4(i); Worked Example 14.1, Step 5; AXIOM Lab 1.14, step 3)</t>
  </si>
  <si>
    <t xml:space="preserve">Today's register at its ceilings. State: the echo of a one-off shock. Parametric: S_(k+1) = M S_k + B. Structural: the new link, which today's model has no parameter for.</t>
  </si>
  <si>
    <t xml:space="preserve">A recalibration and a tangent</t>
  </si>
  <si>
    <t xml:space="preserve">Echo of 2 x Shock: core</t>
  </si>
  <si>
    <t xml:space="preserve">Echo of Shock: core (Rebudget)</t>
  </si>
  <si>
    <t xml:space="preserve">Ratio</t>
  </si>
  <si>
    <t xml:space="preserve">New link: IND</t>
  </si>
  <si>
    <t xml:space="preserve">New link: core</t>
  </si>
  <si>
    <t xml:space="preserve">Cumulative: today</t>
  </si>
  <si>
    <t xml:space="preserve">Cumulative: new link</t>
  </si>
  <si>
    <t xml:space="preserve">Shock x2: IND</t>
  </si>
  <si>
    <t xml:space="preserve">Engineering links today, e0</t>
  </si>
  <si>
    <t xml:space="preserve">Recalibrated engineering links, e1</t>
  </si>
  <si>
    <t xml:space="preserve">Treasury links, t</t>
  </si>
  <si>
    <t xml:space="preserve">Q0 = sqrt(8(e0^2 + t^2))</t>
  </si>
  <si>
    <t xml:space="preserve">rho(e0)</t>
  </si>
  <si>
    <t xml:space="preserve">d rho / d e = 4 e0 / Q0</t>
  </si>
  <si>
    <t xml:space="preserve">Settled total T(e0) = S (1 + e + t), S = Shock/(1 - 2(e^2 + t^2))</t>
  </si>
  <si>
    <t xml:space="preserve">dT/de = (4 e S / D)(1 + e + t) + S</t>
  </si>
  <si>
    <t xml:space="preserve">First order: rho(e1)</t>
  </si>
  <si>
    <t xml:space="preserve">Re-analysis: rho(e1)</t>
  </si>
  <si>
    <t xml:space="preserve">First order: T(e1)</t>
  </si>
  <si>
    <t xml:space="preserve">Re-analysis: T(e1)</t>
  </si>
  <si>
    <t xml:space="preserve">The new link: d rho / d h at h = 0, (1 + h/Q)/2</t>
  </si>
  <si>
    <t xml:space="preserve">Tangent at h = 0: rho at the ceiling</t>
  </si>
  <si>
    <t xml:space="preserve">d T / d h at h = 0: (S / D)(1 + e + t)</t>
  </si>
  <si>
    <t xml:space="preserve">Tangent at h = 0: settled total at the ceiling</t>
  </si>
  <si>
    <t xml:space="preserve">Re-analysis: rho with the new link</t>
  </si>
  <si>
    <t xml:space="preserve">Re-analysis: settled total with the new link</t>
  </si>
  <si>
    <t xml:space="preserve">A structural change is not small: even with the link written in as a parameter, which is already the re-analysis, the tangent misreads it.</t>
  </si>
  <si>
    <t xml:space="preserve">Feasible-region visualizer: the runway's viability sets and its kernel (Theorem 14.5(iii)-(iv); Figure 14.2; Online Appendix 14.B.2; AXIOM Lab 1.14, step 4)</t>
  </si>
  <si>
    <t xml:space="preserve">V_j = {s &gt;= N_j(r)}, N_j(r) = r + (r - b) + ... + (r - (j - 1)b), positive terms only: the cash that j quarters of burn consume at the fastest cuts. The kernel's edge N(r) is the cash needed to stop the burn.</t>
  </si>
  <si>
    <t xml:space="preserve">Cash above the floor</t>
  </si>
  <si>
    <t xml:space="preserve">Burn</t>
  </si>
  <si>
    <t xml:space="preserve">Cut (fastest)</t>
  </si>
  <si>
    <t xml:space="preserve">Feasible?</t>
  </si>
  <si>
    <t xml:space="preserve">No cuts: cash</t>
  </si>
  <si>
    <t xml:space="preserve">No cuts: feasible?</t>
  </si>
  <si>
    <t xml:space="preserve">First quarter out of cash, fastest cuts</t>
  </si>
  <si>
    <t xml:space="preserve">First quarter out of cash, no cuts</t>
  </si>
  <si>
    <t xml:space="preserve">Burn r</t>
  </si>
  <si>
    <t xml:space="preserve">N_1(r)</t>
  </si>
  <si>
    <t xml:space="preserve">N_2(r)</t>
  </si>
  <si>
    <t xml:space="preserve">N_3(r)</t>
  </si>
  <si>
    <t xml:space="preserve">N_4(r)</t>
  </si>
  <si>
    <t xml:space="preserve">N_5(r)</t>
  </si>
  <si>
    <t xml:space="preserve">N_6(r)</t>
  </si>
  <si>
    <t xml:space="preserve">N_7(r)</t>
  </si>
  <si>
    <t xml:space="preserve">N_8(r)</t>
  </si>
  <si>
    <t xml:space="preserve">N_9(r)</t>
  </si>
  <si>
    <t xml:space="preserve">N_10(r)</t>
  </si>
  <si>
    <t xml:space="preserve">Kernel edge N(r)</t>
  </si>
  <si>
    <t xml:space="preserve">r(r + b)/(2b), r a multiple of b</t>
  </si>
  <si>
    <t xml:space="preserve">The start: cash and burn</t>
  </si>
  <si>
    <t xml:space="preserve">Quarter 0</t>
  </si>
  <si>
    <t xml:space="preserve">Quarter 1</t>
  </si>
  <si>
    <t xml:space="preserve">Quarter 2</t>
  </si>
  <si>
    <t xml:space="preserve">Quarter 3</t>
  </si>
  <si>
    <t xml:space="preserve">Quarter 4</t>
  </si>
  <si>
    <t xml:space="preserve">Quarter 5</t>
  </si>
  <si>
    <t xml:space="preserve">Quarter 6</t>
  </si>
  <si>
    <t xml:space="preserve">Quarter 7</t>
  </si>
  <si>
    <t xml:space="preserve">Quarter 8</t>
  </si>
  <si>
    <t xml:space="preserve">Quarter 9</t>
  </si>
  <si>
    <t xml:space="preserve">Quarter 10</t>
  </si>
  <si>
    <t xml:space="preserve">Quarter i</t>
  </si>
  <si>
    <t xml:space="preserve">Burn in quarter i, cutting as fast as allowed</t>
  </si>
  <si>
    <t xml:space="preserve">N_(i+1): cash to stay admissible i + 1 quarters</t>
  </si>
  <si>
    <t xml:space="preserve">Burn in quarter i with faster cuts</t>
  </si>
  <si>
    <t xml:space="preserve">Burn in quarter i with cuts in between</t>
  </si>
  <si>
    <t xml:space="preserve">In the book</t>
  </si>
  <si>
    <t xml:space="preserve">Quarters the start stays admissible (the V_j containing it)</t>
  </si>
  <si>
    <t xml:space="preserve">Online Appendix 14.B.2: in V_3, not in V_4</t>
  </si>
  <si>
    <t xml:space="preserve">Cash needed to stop the burn: the kernel's edge N(r)</t>
  </si>
  <si>
    <t xml:space="preserve">50 + 40 + 30 + 20 + 10 = 150</t>
  </si>
  <si>
    <t xml:space="preserve">Repair by cash: more cash needed</t>
  </si>
  <si>
    <t xml:space="preserve">$30 million</t>
  </si>
  <si>
    <t xml:space="preserve">Repair by faster cuts: cash needed</t>
  </si>
  <si>
    <t xml:space="preserve">50 + 35 + 20 + 5 = 110: enough</t>
  </si>
  <si>
    <t xml:space="preserve">Cuts in between: cash needed</t>
  </si>
  <si>
    <t xml:space="preserve">125: not enough</t>
  </si>
  <si>
    <t xml:space="preserve">Diagnostics dashboard: Table 14.2's tests, the complexity panel, the gain audit and three tripwires (Definition 14.11; Theorems 14.6(ii) and 14.7(iv); AXIOM Lab 1.14, step 5)</t>
  </si>
  <si>
    <t xml:space="preserve">Register (at its ceilings)</t>
  </si>
  <si>
    <t xml:space="preserve">Spectral rho</t>
  </si>
  <si>
    <t xml:space="preserve">Block sizes: divisions</t>
  </si>
  <si>
    <t xml:space="preserve">Divisions &lt;- center</t>
  </si>
  <si>
    <t xml:space="preserve">Center &lt;- divisions</t>
  </si>
  <si>
    <t xml:space="preserve">Block small-gain rho</t>
  </si>
  <si>
    <t xml:space="preserve">Eigenvalue 2</t>
  </si>
  <si>
    <t xml:space="preserve">Eigenvalue 3</t>
  </si>
  <si>
    <t xml:space="preserve">Eigenvalue 4</t>
  </si>
  <si>
    <t xml:space="preserve">Smallest eigenvalue of P</t>
  </si>
  <si>
    <t xml:space="preserve">Contraction L</t>
  </si>
  <si>
    <t xml:space="preserve">Spectral &lt; 1</t>
  </si>
  <si>
    <t xml:space="preserve">Blocks &lt; 1</t>
  </si>
  <si>
    <t xml:space="preserve">Lyapunov P &gt; 0</t>
  </si>
  <si>
    <t xml:space="preserve">Contraction L &lt; 1</t>
  </si>
  <si>
    <t xml:space="preserve">Meets the rule</t>
  </si>
  <si>
    <t xml:space="preserve">Block sizes on Chapter 9's two layers, the divisions (IND, DIG) and the corporate center (ENG, TRS): the most one unit receives from a layer. Eigenvalues of the symmetric register: rho, (h - Q)/2, -h and 0; P = (I - M^2)^-1 has eigenvalues 1/(1 - lambda^2).</t>
  </si>
  <si>
    <t xml:space="preserve">Complexity panel (Definition 14.11)</t>
  </si>
  <si>
    <t xml:space="preserve">State dimension n</t>
  </si>
  <si>
    <t xml:space="preserve">Channels (nonzero entries)</t>
  </si>
  <si>
    <t xml:space="preserve">Of the 12 possible</t>
  </si>
  <si>
    <t xml:space="preserve">Spectral gap 1 - rho</t>
  </si>
  <si>
    <t xml:space="preserve">Conditioning 1/(1 - rho)</t>
  </si>
  <si>
    <t xml:space="preserve">Clocks</t>
  </si>
  <si>
    <t xml:space="preserve">one, quarterly</t>
  </si>
  <si>
    <t xml:space="preserve">Gain audit: channel (sender -&gt; receiver)</t>
  </si>
  <si>
    <t xml:space="preserve">Family</t>
  </si>
  <si>
    <t xml:space="preserve">Ceiling: today's register</t>
  </si>
  <si>
    <t xml:space="preserve">Ceiling: re-budgeted register</t>
  </si>
  <si>
    <t xml:space="preserve">Measured: link on, trims made</t>
  </si>
  <si>
    <t xml:space="preserve">Measured: link on, no trims</t>
  </si>
  <si>
    <t xml:space="preserve">No trims vs today's register</t>
  </si>
  <si>
    <t xml:space="preserve">Trims made vs re-budget</t>
  </si>
  <si>
    <t xml:space="preserve">No trims vs re-budget</t>
  </si>
  <si>
    <t xml:space="preserve">DIG -&gt; IND</t>
  </si>
  <si>
    <t xml:space="preserve">new link</t>
  </si>
  <si>
    <t xml:space="preserve">ENG -&gt; IND</t>
  </si>
  <si>
    <t xml:space="preserve">engineering link</t>
  </si>
  <si>
    <t xml:space="preserve">TRS -&gt; IND</t>
  </si>
  <si>
    <t xml:space="preserve">treasury link</t>
  </si>
  <si>
    <t xml:space="preserve">IND -&gt; DIG</t>
  </si>
  <si>
    <t xml:space="preserve">ENG -&gt; DIG</t>
  </si>
  <si>
    <t xml:space="preserve">TRS -&gt; DIG</t>
  </si>
  <si>
    <t xml:space="preserve">IND -&gt; ENG</t>
  </si>
  <si>
    <t xml:space="preserve">DIG -&gt; ENG</t>
  </si>
  <si>
    <t xml:space="preserve">TRS -&gt; ENG</t>
  </si>
  <si>
    <t xml:space="preserve">none</t>
  </si>
  <si>
    <t xml:space="preserve">IND -&gt; TRS</t>
  </si>
  <si>
    <t xml:space="preserve">DIG -&gt; TRS</t>
  </si>
  <si>
    <t xml:space="preserve">ENG -&gt; TRS</t>
  </si>
  <si>
    <t xml:space="preserve">Violations</t>
  </si>
  <si>
    <t xml:space="preserve">Radius the register promises / radius of the measured gains</t>
  </si>
  <si>
    <t xml:space="preserve">Theorem 14.6(ii): a violation is attributed to the channel that exceeds its ceiling, and the stability certificate is suspended until the register is re-certified. The book declares no measured record; the measured gains are three states Worked Example 14.1 describes.</t>
  </si>
  <si>
    <t xml:space="preserve">Tripwire: the runway's cash identity s' = s - 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</si>
  <si>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</si>
  <si>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</si>
  <si>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</si>
  <si>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</si>
  <si>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</si>
  <si>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With a breach</t>
  </si>
  <si>
    <t xml:space="preserve">Verdict</t>
  </si>
  <si>
    <t xml:space="preserve">Burn at the fastest cuts</t>
  </si>
  <si>
    <t xml:space="preserve">Correct books: cash</t>
  </si>
  <si>
    <t xml:space="preserve">Correct books: residual s' - (s - r)</t>
  </si>
  <si>
    <t xml:space="preserve">Correct books: s - r, the identity's next cash</t>
  </si>
  <si>
    <t xml:space="preserve">Quarter 1's burn not posted: cash</t>
  </si>
  <si>
    <t xml:space="preserve">Quarter 1's burn not posted: residual s' - (s - r)</t>
  </si>
  <si>
    <t xml:space="preserve">Quarter 1's burn not posted: s - r, the identity's next cash</t>
  </si>
  <si>
    <t xml:space="preserve">Cuts booked in the quarter they are decided: cash</t>
  </si>
  <si>
    <t xml:space="preserve">Cuts booked in the quarter they are decided: residual s' - (s - r)</t>
  </si>
  <si>
    <t xml:space="preserve">Cuts booked in the quarter they are decided: s - r, the identity's next cash</t>
  </si>
  <si>
    <t xml:space="preserve">Cash never allowed below the floor: cash</t>
  </si>
  <si>
    <t xml:space="preserve">Cash never allowed below the floor: residual s' - (s - r)</t>
  </si>
  <si>
    <t xml:space="preserve">Cash never allowed below the floor: s - r, the identity's next cash</t>
  </si>
  <si>
    <t xml:space="preserve">Theorem 14.7(iv) and Section 14.7: a jump suggests an implementation error, a steady drift a mis-declared map, and a violation that arrives with a constraint breach an inadmissible state.</t>
  </si>
  <si>
    <t xml:space="preserve">Checkpoint</t>
  </si>
  <si>
    <t xml:space="preserve">Engine value</t>
  </si>
  <si>
    <t xml:space="preserve">Meaning (where in the book)</t>
  </si>
  <si>
    <t xml:space="preserve">Today: pass-on per unit</t>
  </si>
  <si>
    <t xml:space="preserve">Worked Example 14.1, Step 1: 0.80</t>
  </si>
  <si>
    <t xml:space="preserve">Today: spectral radius</t>
  </si>
  <si>
    <t xml:space="preserve">Step 1: 0.80</t>
  </si>
  <si>
    <t xml:space="preserve">Closed-form radius is an eigenvalue (det)</t>
  </si>
  <si>
    <t xml:space="preserve">Online Appendix 14.B.1</t>
  </si>
  <si>
    <t xml:space="preserve">Today: half-life, quarters</t>
  </si>
  <si>
    <t xml:space="preserve">Step 1: 3.1 (Online Appendix 14.B.3: 3.11)</t>
  </si>
  <si>
    <t xml:space="preserve">Today: quarters to a tenth</t>
  </si>
  <si>
    <t xml:space="preserve">Online Appendix 14.B.3: 10.3</t>
  </si>
  <si>
    <t xml:space="preserve">Today: amplification</t>
  </si>
  <si>
    <t xml:space="preserve">Step 1: 5</t>
  </si>
  <si>
    <t xml:space="preserve">Today: Lyapunov bowl, steepest curvature</t>
  </si>
  <si>
    <t xml:space="preserve">Theorem 14.3(iv): 1/(1 - 0.64)</t>
  </si>
  <si>
    <t xml:space="preserve">Today: health index after the shock, quarter 0</t>
  </si>
  <si>
    <t xml:space="preserve">Theorem 14.3(iv)</t>
  </si>
  <si>
    <t xml:space="preserve">Today: settled at Industrial Systems</t>
  </si>
  <si>
    <t xml:space="preserve">Step 1: $9 million</t>
  </si>
  <si>
    <t xml:space="preserve">Today: settled at Digital</t>
  </si>
  <si>
    <t xml:space="preserve">Step 1: $19 million</t>
  </si>
  <si>
    <t xml:space="preserve">Today: settled at engineering</t>
  </si>
  <si>
    <t xml:space="preserve">Step 1: $11 million</t>
  </si>
  <si>
    <t xml:space="preserve">Today: settled at treasury</t>
  </si>
  <si>
    <t xml:space="preserve">Today: settled total</t>
  </si>
  <si>
    <t xml:space="preserve">Step 1: $50 million</t>
  </si>
  <si>
    <t xml:space="preserve">Today: knock-on</t>
  </si>
  <si>
    <t xml:space="preserve">Step 1: $40 million</t>
  </si>
  <si>
    <t xml:space="preserve">Exact against closed form: largest gap</t>
  </si>
  <si>
    <t xml:space="preserve">Two solutions of one system</t>
  </si>
  <si>
    <t xml:space="preserve">Sensitivity recursion after 100 quarters, core</t>
  </si>
  <si>
    <t xml:space="preserve">Theorem 14.4(i)-(ii): S_k converges to the settled deviation</t>
  </si>
  <si>
    <t xml:space="preserve">Today: echo in quarter 3</t>
  </si>
  <si>
    <t xml:space="preserve">Online Appendix 14.B.3: 5.1</t>
  </si>
  <si>
    <t xml:space="preserve">Today: echo in quarter 12</t>
  </si>
  <si>
    <t xml:space="preserve">Online Appendix 14.B.3: 0.7</t>
  </si>
  <si>
    <t xml:space="preserve">New link: pass-on of IND and DIG</t>
  </si>
  <si>
    <t xml:space="preserve">Step 2: 1.20</t>
  </si>
  <si>
    <t xml:space="preserve">New link: spectral radius</t>
  </si>
  <si>
    <t xml:space="preserve">Step 2: 1.02 (Online Appendix 14.B.1: 1.0246)</t>
  </si>
  <si>
    <t xml:space="preserve">New link: smallest eigenvalue of P</t>
  </si>
  <si>
    <t xml:space="preserve">Theorem 14.3(iv): no bowl</t>
  </si>
  <si>
    <t xml:space="preserve">New link: echo in quarter 1</t>
  </si>
  <si>
    <t xml:space="preserve">Step 2: $12 million</t>
  </si>
  <si>
    <t xml:space="preserve">New link: echo in quarter 3</t>
  </si>
  <si>
    <t xml:space="preserve">Online Appendix 14.B.3: 12.2</t>
  </si>
  <si>
    <t xml:space="preserve">New link: echo after three years</t>
  </si>
  <si>
    <t xml:space="preserve">Step 2: $15 million (14.8)</t>
  </si>
  <si>
    <t xml:space="preserve">The board's rule as a spectral radius</t>
  </si>
  <si>
    <t xml:space="preserve">Step 3: 0.84 (0.8409)</t>
  </si>
  <si>
    <t xml:space="preserve">Run the new link light: h</t>
  </si>
  <si>
    <t xml:space="preserve">Table 14.4: 0.08</t>
  </si>
  <si>
    <t xml:space="preserve">Ring-fence treasury: t</t>
  </si>
  <si>
    <t xml:space="preserve">Table 14.4: 0.16</t>
  </si>
  <si>
    <t xml:space="preserve">Trim every existing link: e = t</t>
  </si>
  <si>
    <t xml:space="preserve">Table 14.4: 0.30</t>
  </si>
  <si>
    <t xml:space="preserve">At the limit: half-life</t>
  </si>
  <si>
    <t xml:space="preserve">Table 14.4: 4.0</t>
  </si>
  <si>
    <t xml:space="preserve">At the limit: quarters to a tenth</t>
  </si>
  <si>
    <t xml:space="preserve">Online Appendix 14.B.3: 13.3</t>
  </si>
  <si>
    <t xml:space="preserve">At the limit: amplification</t>
  </si>
  <si>
    <t xml:space="preserve">Step 4: 6.3 (6.29)</t>
  </si>
  <si>
    <t xml:space="preserve">Run the new link light: settled total</t>
  </si>
  <si>
    <t xml:space="preserve">Table 14.4: 64</t>
  </si>
  <si>
    <t xml:space="preserve">Ring-fence treasury: settled total</t>
  </si>
  <si>
    <t xml:space="preserve">Table 14.4: 68</t>
  </si>
  <si>
    <t xml:space="preserve">Trim every existing link: settled total</t>
  </si>
  <si>
    <t xml:space="preserve">Table 14.4: 70</t>
  </si>
  <si>
    <t xml:space="preserve">Ring-fence: settled at Digital (= trim's)</t>
  </si>
  <si>
    <t xml:space="preserve">The radius sees e^2 + t^2 only</t>
  </si>
  <si>
    <t xml:space="preserve">Trim: echo in quarter 1</t>
  </si>
  <si>
    <t xml:space="preserve">Online Appendix 14.B.3: 10.1</t>
  </si>
  <si>
    <t xml:space="preserve">Trim: echo in quarter 12</t>
  </si>
  <si>
    <t xml:space="preserve">Online Appendix 14.B.3: 1.4</t>
  </si>
  <si>
    <t xml:space="preserve">Frontier: new link with treasury links at 0</t>
  </si>
  <si>
    <t xml:space="preserve">Online Appendix 14.B.1's frontier</t>
  </si>
  <si>
    <t xml:space="preserve">Near the edge, 0.95: half-life</t>
  </si>
  <si>
    <t xml:space="preserve">Figure 14.1: 13.5 quarters</t>
  </si>
  <si>
    <t xml:space="preserve">Near the edge, 0.95: amplification</t>
  </si>
  <si>
    <t xml:space="preserve">Figure 14.1: 20</t>
  </si>
  <si>
    <t xml:space="preserve">Walks of up to 40 links: cumulative core</t>
  </si>
  <si>
    <t xml:space="preserve">Theorem 14.4(ii): B + MB + M^2 B + ... -&gt; 50</t>
  </si>
  <si>
    <t xml:space="preserve">Trim: Perron-weighted settled</t>
  </si>
  <si>
    <t xml:space="preserve">Theorem 14.4(iii): 10/(1 - 0.8409)</t>
  </si>
  <si>
    <t xml:space="preserve">Today: elasticity of the settled total to e</t>
  </si>
  <si>
    <t xml:space="preserve">Unit-free sensitivity</t>
  </si>
  <si>
    <t xml:space="preserve">Trim: elasticity of the radius to h</t>
  </si>
  <si>
    <t xml:space="preserve">Audit priority</t>
  </si>
  <si>
    <t xml:space="preserve">Trim: elasticities of the radius sum to 1</t>
  </si>
  <si>
    <t xml:space="preserve">Homogeneous of degree one</t>
  </si>
  <si>
    <t xml:space="preserve">Blow-up dial at 0.99: settled total</t>
  </si>
  <si>
    <t xml:space="preserve">Grows like 1/(1 - rho)</t>
  </si>
  <si>
    <t xml:space="preserve">State shock: echo linear in its size (ratio)</t>
  </si>
  <si>
    <t xml:space="preserve">Definition 14.7: a state perturbation</t>
  </si>
  <si>
    <t xml:space="preserve">Parametric: S_k after 40 quarters, core</t>
  </si>
  <si>
    <t xml:space="preserve">Equation 14.4</t>
  </si>
  <si>
    <t xml:space="preserve">Recalibration 0.40 -&gt; 0.39: first-order total</t>
  </si>
  <si>
    <t xml:space="preserve">Derivative</t>
  </si>
  <si>
    <t xml:space="preserve">Recalibration 0.40 -&gt; 0.39: re-analysis total</t>
  </si>
  <si>
    <t xml:space="preserve">Exact</t>
  </si>
  <si>
    <t xml:space="preserve">New link: tangent at h = 0, settled total</t>
  </si>
  <si>
    <t xml:space="preserve">A structural change is not small</t>
  </si>
  <si>
    <t xml:space="preserve">New link: cumulative echo after 12 quarters</t>
  </si>
  <si>
    <t xml:space="preserve">Walk sums diverge</t>
  </si>
  <si>
    <t xml:space="preserve">Runway: cash after one quarter</t>
  </si>
  <si>
    <t xml:space="preserve">Section 14.6: $70 million</t>
  </si>
  <si>
    <t xml:space="preserve">Runway: cash in quarter 4, fastest cuts</t>
  </si>
  <si>
    <t xml:space="preserve">Figure 14.2: -20</t>
  </si>
  <si>
    <t xml:space="preserve">Runway: first quarter out of cash</t>
  </si>
  <si>
    <t xml:space="preserve">Section 14.6: the fourth quarter</t>
  </si>
  <si>
    <t xml:space="preserve">Runway: N_3(50)</t>
  </si>
  <si>
    <t xml:space="preserve">Online Appendix 14.B.2: 120</t>
  </si>
  <si>
    <t xml:space="preserve">Runway: N_4(50)</t>
  </si>
  <si>
    <t xml:space="preserve">Online Appendix 14.B.2: 140</t>
  </si>
  <si>
    <t xml:space="preserve">Runway: quarters admissible from (120, 50)</t>
  </si>
  <si>
    <t xml:space="preserve">In V_3, not in V_4</t>
  </si>
  <si>
    <t xml:space="preserve">Runway: cash needed to stop</t>
  </si>
  <si>
    <t xml:space="preserve">Section 14.6: 150</t>
  </si>
  <si>
    <t xml:space="preserve">Runway: repair by cash</t>
  </si>
  <si>
    <t xml:space="preserve">Section 14.6: $30 million more</t>
  </si>
  <si>
    <t xml:space="preserve">Runway: need with cuts of 15</t>
  </si>
  <si>
    <t xml:space="preserve">Section 14.6: 110</t>
  </si>
  <si>
    <t xml:space="preserve">Runway: need with cuts of 12.5</t>
  </si>
  <si>
    <t xml:space="preserve">Online Appendix 14.B.2: 125</t>
  </si>
  <si>
    <t xml:space="preserve">Runway: no cuts, cash after two quarters</t>
  </si>
  <si>
    <t xml:space="preserve">Online Appendix 14.B.2: 20</t>
  </si>
  <si>
    <t xml:space="preserve">Runway: no cuts, first quarter out of cash</t>
  </si>
  <si>
    <t xml:space="preserve">Online Appendix 14.B.2: the third</t>
  </si>
  <si>
    <t xml:space="preserve">Tests: block small gain, ring-fenced register</t>
  </si>
  <si>
    <t xml:space="preserve">Table 14.2: conservative</t>
  </si>
  <si>
    <t xml:space="preserve">Tests: contraction constant, trimmed register</t>
  </si>
  <si>
    <t xml:space="preserve">Table 14.2: L &gt; 1 although rho meets the rule</t>
  </si>
  <si>
    <t xml:space="preserve">Gain audit: link on vs today's register</t>
  </si>
  <si>
    <t xml:space="preserve">Theorem 14.6(ii): the undeclared channel, both ways</t>
  </si>
  <si>
    <t xml:space="preserve">Gain audit: trims made vs re-budget</t>
  </si>
  <si>
    <t xml:space="preserve">Renewed</t>
  </si>
  <si>
    <t xml:space="preserve">Gain audit: no trims vs re-budget</t>
  </si>
  <si>
    <t xml:space="preserve">Four links, both ways</t>
  </si>
  <si>
    <t xml:space="preserve">Tripwire: floored cash, residual in quarter 3</t>
  </si>
  <si>
    <t xml:space="preserve">Theorem 14.7(iv): a breach</t>
  </si>
  <si>
    <t xml:space="preserve">Tripwire: early cuts, total residual</t>
  </si>
  <si>
    <t xml:space="preserve">A steady drift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</si>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</sst>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0"/>
    <numFmt numFmtId="167" formatCode="0"/>
    <numFmt numFmtId="168" formatCode="0.0000"/>
    <numFmt numFmtId="169" formatCode="0.0"/>
    <numFmt numFmtId="170" formatCode="0.0E+00"/>
    <numFmt numFmtId="171" formatCode="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5" t="s">
        <v>13</v>
      </c>
    </row>
    <row r="17" customFormat="false" ht="15" hidden="false" customHeight="false" outlineLevel="0" collapsed="false">
      <c r="B17" s="2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92"/>
  </cols>
  <sheetData>
    <row r="1" customFormat="false" ht="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20</v>
      </c>
    </row>
    <row r="4" customFormat="false" ht="15" hidden="false" customHeight="false" outlineLevel="0" collapsed="false">
      <c r="A4" s="2" t="s">
        <v>21</v>
      </c>
      <c r="B4" s="9" t="n">
        <v>0.4</v>
      </c>
      <c r="C4" s="10" t="s">
        <v>22</v>
      </c>
    </row>
    <row r="5" customFormat="false" ht="15" hidden="false" customHeight="false" outlineLevel="0" collapsed="false">
      <c r="A5" s="2" t="s">
        <v>23</v>
      </c>
      <c r="B5" s="11" t="n">
        <v>0.4</v>
      </c>
      <c r="C5" s="10" t="s">
        <v>24</v>
      </c>
    </row>
    <row r="6" customFormat="false" ht="15" hidden="false" customHeight="false" outlineLevel="0" collapsed="false">
      <c r="A6" s="2" t="s">
        <v>25</v>
      </c>
      <c r="B6" s="11" t="n">
        <v>0.4</v>
      </c>
      <c r="C6" s="10" t="s">
        <v>26</v>
      </c>
    </row>
    <row r="7" customFormat="false" ht="15" hidden="false" customHeight="false" outlineLevel="0" collapsed="false">
      <c r="A7" s="2" t="s">
        <v>27</v>
      </c>
      <c r="B7" s="11" t="n">
        <v>0</v>
      </c>
      <c r="C7" s="10" t="s">
        <v>28</v>
      </c>
    </row>
    <row r="8" customFormat="false" ht="15" hidden="false" customHeight="false" outlineLevel="0" collapsed="false">
      <c r="A8" s="2" t="s">
        <v>29</v>
      </c>
      <c r="B8" s="12" t="n">
        <v>4</v>
      </c>
      <c r="C8" s="10" t="s">
        <v>30</v>
      </c>
    </row>
    <row r="9" customFormat="false" ht="15" hidden="false" customHeight="false" outlineLevel="0" collapsed="false">
      <c r="A9" s="2" t="s">
        <v>31</v>
      </c>
      <c r="B9" s="13" t="n">
        <f aca="false">0.5^(1/B8)</f>
        <v>0.840896415253715</v>
      </c>
      <c r="C9" s="10" t="s">
        <v>32</v>
      </c>
    </row>
    <row r="10" customFormat="false" ht="15" hidden="false" customHeight="false" outlineLevel="0" collapsed="false">
      <c r="A10" s="2" t="s">
        <v>33</v>
      </c>
      <c r="B10" s="14" t="n">
        <v>10</v>
      </c>
      <c r="C10" s="10" t="s">
        <v>34</v>
      </c>
    </row>
    <row r="11" customFormat="false" ht="15" hidden="false" customHeight="false" outlineLevel="0" collapsed="false">
      <c r="A11" s="2" t="s">
        <v>35</v>
      </c>
      <c r="B11" s="9" t="n">
        <v>0.95</v>
      </c>
      <c r="C11" s="10" t="s">
        <v>36</v>
      </c>
    </row>
    <row r="13" customFormat="false" ht="15" hidden="false" customHeight="false" outlineLevel="0" collapsed="false">
      <c r="A13" s="8" t="s">
        <v>37</v>
      </c>
      <c r="B13" s="8" t="s">
        <v>19</v>
      </c>
      <c r="C13" s="8" t="s">
        <v>20</v>
      </c>
    </row>
    <row r="14" customFormat="false" ht="15" hidden="false" customHeight="false" outlineLevel="0" collapsed="false">
      <c r="A14" s="2" t="s">
        <v>38</v>
      </c>
      <c r="B14" s="14" t="n">
        <v>120</v>
      </c>
      <c r="C14" s="10" t="s">
        <v>39</v>
      </c>
    </row>
    <row r="15" customFormat="false" ht="15" hidden="false" customHeight="false" outlineLevel="0" collapsed="false">
      <c r="A15" s="2" t="s">
        <v>40</v>
      </c>
      <c r="B15" s="14" t="n">
        <v>50</v>
      </c>
      <c r="C15" s="10" t="s">
        <v>41</v>
      </c>
    </row>
    <row r="16" customFormat="false" ht="15" hidden="false" customHeight="false" outlineLevel="0" collapsed="false">
      <c r="A16" s="2" t="s">
        <v>42</v>
      </c>
      <c r="B16" s="14" t="n">
        <v>10</v>
      </c>
      <c r="C16" s="10" t="s">
        <v>43</v>
      </c>
    </row>
    <row r="17" customFormat="false" ht="15" hidden="false" customHeight="false" outlineLevel="0" collapsed="false">
      <c r="A17" s="2" t="s">
        <v>44</v>
      </c>
      <c r="B17" s="14" t="n">
        <v>15</v>
      </c>
      <c r="C17" s="10" t="s">
        <v>45</v>
      </c>
    </row>
    <row r="18" customFormat="false" ht="15" hidden="false" customHeight="false" outlineLevel="0" collapsed="false">
      <c r="A18" s="2" t="s">
        <v>46</v>
      </c>
      <c r="B18" s="14" t="n">
        <v>12.5</v>
      </c>
      <c r="C18" s="10" t="s">
        <v>47</v>
      </c>
    </row>
    <row r="19" customFormat="false" ht="15" hidden="false" customHeight="false" outlineLevel="0" collapsed="false">
      <c r="A19" s="2" t="s">
        <v>48</v>
      </c>
      <c r="B19" s="14" t="n">
        <v>500</v>
      </c>
      <c r="C19" s="10" t="s">
        <v>49</v>
      </c>
    </row>
    <row r="20" customFormat="false" ht="15" hidden="false" customHeight="false" outlineLevel="0" collapsed="false">
      <c r="A20" s="2" t="s">
        <v>50</v>
      </c>
      <c r="B20" s="14" t="n">
        <v>60</v>
      </c>
      <c r="C20" s="10" t="s">
        <v>51</v>
      </c>
    </row>
    <row r="22" customFormat="false" ht="15" hidden="false" customHeight="false" outlineLevel="0" collapsed="false">
      <c r="A22" s="10" t="s">
        <v>52</v>
      </c>
    </row>
    <row r="23" customFormat="false" ht="15" hidden="false" customHeight="false" outlineLevel="0" collapsed="false">
      <c r="A23" s="1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6" min="2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12" min="9" style="0" width="12"/>
    <col collapsed="false" customWidth="true" hidden="false" outlineLevel="0" max="13" min="13" style="0" width="19"/>
    <col collapsed="false" customWidth="true" hidden="false" outlineLevel="0" max="17" min="14" style="0" width="12"/>
  </cols>
  <sheetData>
    <row r="1" customFormat="false" ht="15" hidden="false" customHeight="false" outlineLevel="0" collapsed="false">
      <c r="A1" s="1" t="s">
        <v>54</v>
      </c>
    </row>
    <row r="2" customFormat="false" ht="15" hidden="false" customHeight="false" outlineLevel="0" collapsed="false">
      <c r="A2" s="10" t="s">
        <v>55</v>
      </c>
    </row>
    <row r="3" customFormat="false" ht="15" hidden="false" customHeight="false" outlineLevel="0" collapsed="false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G3" s="8" t="s">
        <v>61</v>
      </c>
      <c r="H3" s="8" t="s">
        <v>57</v>
      </c>
      <c r="I3" s="8" t="s">
        <v>58</v>
      </c>
      <c r="J3" s="8" t="s">
        <v>59</v>
      </c>
      <c r="K3" s="8" t="s">
        <v>60</v>
      </c>
      <c r="M3" s="8" t="s">
        <v>62</v>
      </c>
      <c r="N3" s="8" t="s">
        <v>57</v>
      </c>
      <c r="O3" s="8" t="s">
        <v>58</v>
      </c>
      <c r="P3" s="8" t="s">
        <v>59</v>
      </c>
      <c r="Q3" s="8" t="s">
        <v>60</v>
      </c>
    </row>
    <row r="4" customFormat="false" ht="15" hidden="false" customHeight="false" outlineLevel="0" collapsed="false">
      <c r="A4" s="2" t="s">
        <v>63</v>
      </c>
      <c r="B4" s="15" t="n">
        <v>0</v>
      </c>
      <c r="C4" s="15" t="n">
        <f aca="false">Bench_h</f>
        <v>0</v>
      </c>
      <c r="D4" s="15" t="n">
        <f aca="false">Bench_e</f>
        <v>0.4</v>
      </c>
      <c r="E4" s="15" t="n">
        <f aca="false">Bench_t</f>
        <v>0.4</v>
      </c>
      <c r="G4" s="2" t="s">
        <v>63</v>
      </c>
      <c r="H4" s="15" t="n">
        <f aca="false">B4-$B$10</f>
        <v>-0.8</v>
      </c>
      <c r="I4" s="15" t="n">
        <f aca="false">C4</f>
        <v>0</v>
      </c>
      <c r="J4" s="15" t="n">
        <f aca="false">D4</f>
        <v>0.4</v>
      </c>
      <c r="K4" s="15" t="n">
        <f aca="false">E4</f>
        <v>0.4</v>
      </c>
      <c r="M4" s="2" t="s">
        <v>63</v>
      </c>
      <c r="N4" s="15" t="n">
        <f aca="false">1-B4</f>
        <v>1</v>
      </c>
      <c r="O4" s="15" t="n">
        <f aca="false">-C4</f>
        <v>-0</v>
      </c>
      <c r="P4" s="15" t="n">
        <f aca="false">-D4</f>
        <v>-0.4</v>
      </c>
      <c r="Q4" s="15" t="n">
        <f aca="false">-E4</f>
        <v>-0.4</v>
      </c>
    </row>
    <row r="5" customFormat="false" ht="15" hidden="false" customHeight="false" outlineLevel="0" collapsed="false">
      <c r="A5" s="2" t="s">
        <v>64</v>
      </c>
      <c r="B5" s="15" t="n">
        <f aca="false">Bench_h</f>
        <v>0</v>
      </c>
      <c r="C5" s="15" t="n">
        <v>0</v>
      </c>
      <c r="D5" s="15" t="n">
        <f aca="false">Bench_e</f>
        <v>0.4</v>
      </c>
      <c r="E5" s="15" t="n">
        <f aca="false">Bench_t</f>
        <v>0.4</v>
      </c>
      <c r="G5" s="2" t="s">
        <v>64</v>
      </c>
      <c r="H5" s="15" t="n">
        <f aca="false">B5</f>
        <v>0</v>
      </c>
      <c r="I5" s="15" t="n">
        <f aca="false">C5-$B$10</f>
        <v>-0.8</v>
      </c>
      <c r="J5" s="15" t="n">
        <f aca="false">D5</f>
        <v>0.4</v>
      </c>
      <c r="K5" s="15" t="n">
        <f aca="false">E5</f>
        <v>0.4</v>
      </c>
      <c r="M5" s="2" t="s">
        <v>64</v>
      </c>
      <c r="N5" s="15" t="n">
        <f aca="false">-B5</f>
        <v>-0</v>
      </c>
      <c r="O5" s="15" t="n">
        <f aca="false">1-C5</f>
        <v>1</v>
      </c>
      <c r="P5" s="15" t="n">
        <f aca="false">-D5</f>
        <v>-0.4</v>
      </c>
      <c r="Q5" s="15" t="n">
        <f aca="false">-E5</f>
        <v>-0.4</v>
      </c>
    </row>
    <row r="6" customFormat="false" ht="15" hidden="false" customHeight="false" outlineLevel="0" collapsed="false">
      <c r="A6" s="2" t="s">
        <v>65</v>
      </c>
      <c r="B6" s="15" t="n">
        <f aca="false">Bench_e</f>
        <v>0.4</v>
      </c>
      <c r="C6" s="15" t="n">
        <f aca="false">Bench_e</f>
        <v>0.4</v>
      </c>
      <c r="D6" s="15" t="n">
        <v>0</v>
      </c>
      <c r="E6" s="15" t="n">
        <v>0</v>
      </c>
      <c r="G6" s="2" t="s">
        <v>65</v>
      </c>
      <c r="H6" s="15" t="n">
        <f aca="false">B6</f>
        <v>0.4</v>
      </c>
      <c r="I6" s="15" t="n">
        <f aca="false">C6</f>
        <v>0.4</v>
      </c>
      <c r="J6" s="15" t="n">
        <f aca="false">D6-$B$10</f>
        <v>-0.8</v>
      </c>
      <c r="K6" s="15" t="n">
        <f aca="false">E6</f>
        <v>0</v>
      </c>
      <c r="M6" s="2" t="s">
        <v>65</v>
      </c>
      <c r="N6" s="15" t="n">
        <f aca="false">-B6</f>
        <v>-0.4</v>
      </c>
      <c r="O6" s="15" t="n">
        <f aca="false">-C6</f>
        <v>-0.4</v>
      </c>
      <c r="P6" s="15" t="n">
        <f aca="false">1-D6</f>
        <v>1</v>
      </c>
      <c r="Q6" s="15" t="n">
        <f aca="false">-E6</f>
        <v>-0</v>
      </c>
    </row>
    <row r="7" customFormat="false" ht="15" hidden="false" customHeight="false" outlineLevel="0" collapsed="false">
      <c r="A7" s="2" t="s">
        <v>66</v>
      </c>
      <c r="B7" s="15" t="n">
        <f aca="false">Bench_t</f>
        <v>0.4</v>
      </c>
      <c r="C7" s="15" t="n">
        <f aca="false">Bench_t</f>
        <v>0.4</v>
      </c>
      <c r="D7" s="15" t="n">
        <v>0</v>
      </c>
      <c r="E7" s="15" t="n">
        <v>0</v>
      </c>
      <c r="G7" s="2" t="s">
        <v>66</v>
      </c>
      <c r="H7" s="15" t="n">
        <f aca="false">B7</f>
        <v>0.4</v>
      </c>
      <c r="I7" s="15" t="n">
        <f aca="false">C7</f>
        <v>0.4</v>
      </c>
      <c r="J7" s="15" t="n">
        <f aca="false">D7</f>
        <v>0</v>
      </c>
      <c r="K7" s="15" t="n">
        <f aca="false">E7-$B$10</f>
        <v>-0.8</v>
      </c>
      <c r="M7" s="2" t="s">
        <v>66</v>
      </c>
      <c r="N7" s="15" t="n">
        <f aca="false">-B7</f>
        <v>-0.4</v>
      </c>
      <c r="O7" s="15" t="n">
        <f aca="false">-C7</f>
        <v>-0.4</v>
      </c>
      <c r="P7" s="15" t="n">
        <f aca="false">-D7</f>
        <v>-0</v>
      </c>
      <c r="Q7" s="15" t="n">
        <f aca="false">1-E7</f>
        <v>1</v>
      </c>
    </row>
    <row r="8" customFormat="false" ht="15" hidden="false" customHeight="false" outlineLevel="0" collapsed="false">
      <c r="A8" s="4" t="s">
        <v>67</v>
      </c>
      <c r="B8" s="16" t="n">
        <f aca="false">SUM(B4:B7)</f>
        <v>0.8</v>
      </c>
      <c r="C8" s="16" t="n">
        <f aca="false">SUM(C4:C7)</f>
        <v>0.8</v>
      </c>
      <c r="D8" s="16" t="n">
        <f aca="false">SUM(D4:D7)</f>
        <v>0.8</v>
      </c>
      <c r="E8" s="16" t="n">
        <f aca="false">SUM(E4:E7)</f>
        <v>0.8</v>
      </c>
    </row>
    <row r="9" customFormat="false" ht="15" hidden="false" customHeight="false" outlineLevel="0" collapsed="false">
      <c r="A9" s="8" t="s">
        <v>18</v>
      </c>
      <c r="B9" s="8" t="s">
        <v>19</v>
      </c>
      <c r="C9" s="8" t="s">
        <v>68</v>
      </c>
    </row>
    <row r="10" customFormat="false" ht="15" hidden="false" customHeight="false" outlineLevel="0" collapsed="false">
      <c r="A10" s="2" t="s">
        <v>69</v>
      </c>
      <c r="B10" s="13" t="n">
        <f aca="false">(Bench_h+SQRT(Bench_h^2+8*(Bench_e^2+Bench_t^2)))/2</f>
        <v>0.8</v>
      </c>
      <c r="C10" s="10" t="s">
        <v>70</v>
      </c>
    </row>
    <row r="11" customFormat="false" ht="15" hidden="false" customHeight="false" outlineLevel="0" collapsed="false">
      <c r="A11" s="2" t="s">
        <v>71</v>
      </c>
      <c r="B11" s="17" t="n">
        <f aca="false">MDETERM(H4:K7)</f>
        <v>-1.77635683940025E-017</v>
      </c>
      <c r="C11" s="10" t="s">
        <v>72</v>
      </c>
    </row>
    <row r="12" customFormat="false" ht="15" hidden="false" customHeight="false" outlineLevel="0" collapsed="false">
      <c r="A12" s="2" t="s">
        <v>73</v>
      </c>
      <c r="B12" s="16" t="n">
        <f aca="false">IF(B10&lt;1,LN(2)/LN(1/B10),"none")</f>
        <v>3.10628371950539</v>
      </c>
      <c r="C12" s="10" t="s">
        <v>74</v>
      </c>
    </row>
    <row r="13" customFormat="false" ht="15" hidden="false" customHeight="false" outlineLevel="0" collapsed="false">
      <c r="A13" s="2" t="s">
        <v>75</v>
      </c>
      <c r="B13" s="18" t="n">
        <f aca="false">IF(B10&lt;1,LN(10)/LN(1/B10),"none")</f>
        <v>10.3188511585162</v>
      </c>
      <c r="C13" s="10" t="s">
        <v>76</v>
      </c>
    </row>
    <row r="14" customFormat="false" ht="15" hidden="false" customHeight="false" outlineLevel="0" collapsed="false">
      <c r="A14" s="2" t="s">
        <v>77</v>
      </c>
      <c r="B14" s="16" t="n">
        <f aca="false">IF(B10&lt;1,1/(1-B10),"none")</f>
        <v>5</v>
      </c>
      <c r="C14" s="10" t="s">
        <v>78</v>
      </c>
    </row>
    <row r="15" customFormat="false" ht="15" hidden="false" customHeight="false" outlineLevel="0" collapsed="false">
      <c r="A15" s="2" t="s">
        <v>79</v>
      </c>
      <c r="B15" s="15" t="n">
        <f aca="false">1-B10</f>
        <v>0.2</v>
      </c>
      <c r="C15" s="10" t="s">
        <v>80</v>
      </c>
    </row>
    <row r="16" customFormat="false" ht="15" hidden="false" customHeight="false" outlineLevel="0" collapsed="false">
      <c r="A16" s="2" t="s">
        <v>81</v>
      </c>
      <c r="B16" s="13" t="n">
        <f aca="false">R_star-B10</f>
        <v>0.0408964152537145</v>
      </c>
      <c r="C16" s="10" t="s">
        <v>82</v>
      </c>
    </row>
    <row r="17" customFormat="false" ht="15" hidden="false" customHeight="false" outlineLevel="0" collapsed="false">
      <c r="A17" s="2" t="s">
        <v>83</v>
      </c>
      <c r="B17" s="2" t="str">
        <f aca="false">IF(B10&lt;=R_star+0.000000000001,"yes","no")</f>
        <v>yes</v>
      </c>
      <c r="C17" s="10"/>
    </row>
    <row r="18" customFormat="false" ht="15" hidden="false" customHeight="false" outlineLevel="0" collapsed="false">
      <c r="A18" s="2" t="s">
        <v>84</v>
      </c>
      <c r="B18" s="15" t="n">
        <f aca="false">MAX(SUM(B4:E4),SUM(B5:E5),SUM(B6:E6),SUM(B7:E7))</f>
        <v>0.8</v>
      </c>
      <c r="C18" s="10" t="s">
        <v>85</v>
      </c>
    </row>
    <row r="19" customFormat="false" ht="15" hidden="false" customHeight="false" outlineLevel="0" collapsed="false">
      <c r="A19" s="2" t="s">
        <v>86</v>
      </c>
      <c r="B19" s="19" t="n">
        <v>0.634687862600474</v>
      </c>
      <c r="C19" s="10" t="s">
        <v>87</v>
      </c>
    </row>
    <row r="21" customFormat="false" ht="15" hidden="false" customHeight="false" outlineLevel="0" collapsed="false">
      <c r="A21" s="8" t="s">
        <v>88</v>
      </c>
      <c r="B21" s="8" t="s">
        <v>57</v>
      </c>
      <c r="C21" s="8" t="s">
        <v>58</v>
      </c>
      <c r="D21" s="8" t="s">
        <v>59</v>
      </c>
      <c r="E21" s="8" t="s">
        <v>60</v>
      </c>
      <c r="G21" s="8" t="s">
        <v>89</v>
      </c>
      <c r="H21" s="8" t="s">
        <v>57</v>
      </c>
      <c r="I21" s="8" t="s">
        <v>58</v>
      </c>
      <c r="J21" s="8" t="s">
        <v>59</v>
      </c>
      <c r="K21" s="8" t="s">
        <v>60</v>
      </c>
      <c r="M21" s="8" t="s">
        <v>90</v>
      </c>
      <c r="N21" s="8" t="s">
        <v>57</v>
      </c>
      <c r="O21" s="8" t="s">
        <v>58</v>
      </c>
      <c r="P21" s="8" t="s">
        <v>59</v>
      </c>
      <c r="Q21" s="8" t="s">
        <v>60</v>
      </c>
    </row>
    <row r="22" customFormat="false" ht="15" hidden="false" customHeight="false" outlineLevel="0" collapsed="false">
      <c r="A22" s="2" t="s">
        <v>63</v>
      </c>
      <c r="B22" s="15" t="n">
        <f aca="false">INDEX(MMULT($B$4:$E$7,$B$4:$E$7),1,1)</f>
        <v>0.32</v>
      </c>
      <c r="C22" s="15" t="n">
        <f aca="false">INDEX(MMULT($B$4:$E$7,$B$4:$E$7),1,2)</f>
        <v>0.32</v>
      </c>
      <c r="D22" s="15" t="n">
        <f aca="false">INDEX(MMULT($B$4:$E$7,$B$4:$E$7),1,3)</f>
        <v>0</v>
      </c>
      <c r="E22" s="15" t="n">
        <f aca="false">INDEX(MMULT($B$4:$E$7,$B$4:$E$7),1,4)</f>
        <v>0</v>
      </c>
      <c r="G22" s="2" t="s">
        <v>63</v>
      </c>
      <c r="H22" s="15" t="n">
        <f aca="false">1-B22</f>
        <v>0.68</v>
      </c>
      <c r="I22" s="15" t="n">
        <f aca="false">-C22</f>
        <v>-0.32</v>
      </c>
      <c r="J22" s="15" t="n">
        <f aca="false">-D22</f>
        <v>-0</v>
      </c>
      <c r="K22" s="15" t="n">
        <f aca="false">-E22</f>
        <v>-0</v>
      </c>
      <c r="M22" s="2" t="s">
        <v>63</v>
      </c>
      <c r="N22" s="15" t="n">
        <f aca="false">INDEX(MINVERSE($H$22:$K$25),1,1)</f>
        <v>1.88888888888889</v>
      </c>
      <c r="O22" s="15" t="n">
        <f aca="false">INDEX(MINVERSE($H$22:$K$25),1,2)</f>
        <v>0.888888888888889</v>
      </c>
      <c r="P22" s="15" t="n">
        <f aca="false">INDEX(MINVERSE($H$22:$K$25),1,3)</f>
        <v>0</v>
      </c>
      <c r="Q22" s="15" t="n">
        <f aca="false">INDEX(MINVERSE($H$22:$K$25),1,4)</f>
        <v>0</v>
      </c>
    </row>
    <row r="23" customFormat="false" ht="15" hidden="false" customHeight="false" outlineLevel="0" collapsed="false">
      <c r="A23" s="2" t="s">
        <v>64</v>
      </c>
      <c r="B23" s="15" t="n">
        <f aca="false">INDEX(MMULT($B$4:$E$7,$B$4:$E$7),2,1)</f>
        <v>0.32</v>
      </c>
      <c r="C23" s="15" t="n">
        <f aca="false">INDEX(MMULT($B$4:$E$7,$B$4:$E$7),2,2)</f>
        <v>0.32</v>
      </c>
      <c r="D23" s="15" t="n">
        <f aca="false">INDEX(MMULT($B$4:$E$7,$B$4:$E$7),2,3)</f>
        <v>0</v>
      </c>
      <c r="E23" s="15" t="n">
        <f aca="false">INDEX(MMULT($B$4:$E$7,$B$4:$E$7),2,4)</f>
        <v>0</v>
      </c>
      <c r="G23" s="2" t="s">
        <v>64</v>
      </c>
      <c r="H23" s="15" t="n">
        <f aca="false">-B23</f>
        <v>-0.32</v>
      </c>
      <c r="I23" s="15" t="n">
        <f aca="false">1-C23</f>
        <v>0.68</v>
      </c>
      <c r="J23" s="15" t="n">
        <f aca="false">-D23</f>
        <v>-0</v>
      </c>
      <c r="K23" s="15" t="n">
        <f aca="false">-E23</f>
        <v>-0</v>
      </c>
      <c r="M23" s="2" t="s">
        <v>64</v>
      </c>
      <c r="N23" s="15" t="n">
        <f aca="false">INDEX(MINVERSE($H$22:$K$25),2,1)</f>
        <v>0.888888888888889</v>
      </c>
      <c r="O23" s="15" t="n">
        <f aca="false">INDEX(MINVERSE($H$22:$K$25),2,2)</f>
        <v>1.88888888888889</v>
      </c>
      <c r="P23" s="15" t="n">
        <f aca="false">INDEX(MINVERSE($H$22:$K$25),2,3)</f>
        <v>0</v>
      </c>
      <c r="Q23" s="15" t="n">
        <f aca="false">INDEX(MINVERSE($H$22:$K$25),2,4)</f>
        <v>0</v>
      </c>
    </row>
    <row r="24" customFormat="false" ht="15" hidden="false" customHeight="false" outlineLevel="0" collapsed="false">
      <c r="A24" s="2" t="s">
        <v>65</v>
      </c>
      <c r="B24" s="15" t="n">
        <f aca="false">INDEX(MMULT($B$4:$E$7,$B$4:$E$7),3,1)</f>
        <v>0</v>
      </c>
      <c r="C24" s="15" t="n">
        <f aca="false">INDEX(MMULT($B$4:$E$7,$B$4:$E$7),3,2)</f>
        <v>0</v>
      </c>
      <c r="D24" s="15" t="n">
        <f aca="false">INDEX(MMULT($B$4:$E$7,$B$4:$E$7),3,3)</f>
        <v>0.32</v>
      </c>
      <c r="E24" s="15" t="n">
        <f aca="false">INDEX(MMULT($B$4:$E$7,$B$4:$E$7),3,4)</f>
        <v>0.32</v>
      </c>
      <c r="G24" s="2" t="s">
        <v>65</v>
      </c>
      <c r="H24" s="15" t="n">
        <f aca="false">-B24</f>
        <v>-0</v>
      </c>
      <c r="I24" s="15" t="n">
        <f aca="false">-C24</f>
        <v>-0</v>
      </c>
      <c r="J24" s="15" t="n">
        <f aca="false">1-D24</f>
        <v>0.68</v>
      </c>
      <c r="K24" s="15" t="n">
        <f aca="false">-E24</f>
        <v>-0.32</v>
      </c>
      <c r="M24" s="2" t="s">
        <v>65</v>
      </c>
      <c r="N24" s="15" t="n">
        <f aca="false">INDEX(MINVERSE($H$22:$K$25),3,1)</f>
        <v>0</v>
      </c>
      <c r="O24" s="15" t="n">
        <f aca="false">INDEX(MINVERSE($H$22:$K$25),3,2)</f>
        <v>0</v>
      </c>
      <c r="P24" s="15" t="n">
        <f aca="false">INDEX(MINVERSE($H$22:$K$25),3,3)</f>
        <v>1.88888888888889</v>
      </c>
      <c r="Q24" s="15" t="n">
        <f aca="false">INDEX(MINVERSE($H$22:$K$25),3,4)</f>
        <v>0.888888888888889</v>
      </c>
    </row>
    <row r="25" customFormat="false" ht="15" hidden="false" customHeight="false" outlineLevel="0" collapsed="false">
      <c r="A25" s="2" t="s">
        <v>66</v>
      </c>
      <c r="B25" s="15" t="n">
        <f aca="false">INDEX(MMULT($B$4:$E$7,$B$4:$E$7),4,1)</f>
        <v>0</v>
      </c>
      <c r="C25" s="15" t="n">
        <f aca="false">INDEX(MMULT($B$4:$E$7,$B$4:$E$7),4,2)</f>
        <v>0</v>
      </c>
      <c r="D25" s="15" t="n">
        <f aca="false">INDEX(MMULT($B$4:$E$7,$B$4:$E$7),4,3)</f>
        <v>0.32</v>
      </c>
      <c r="E25" s="15" t="n">
        <f aca="false">INDEX(MMULT($B$4:$E$7,$B$4:$E$7),4,4)</f>
        <v>0.32</v>
      </c>
      <c r="G25" s="2" t="s">
        <v>66</v>
      </c>
      <c r="H25" s="15" t="n">
        <f aca="false">-B25</f>
        <v>-0</v>
      </c>
      <c r="I25" s="15" t="n">
        <f aca="false">-C25</f>
        <v>-0</v>
      </c>
      <c r="J25" s="15" t="n">
        <f aca="false">-D25</f>
        <v>-0.32</v>
      </c>
      <c r="K25" s="15" t="n">
        <f aca="false">1-E25</f>
        <v>0.68</v>
      </c>
      <c r="M25" s="2" t="s">
        <v>66</v>
      </c>
      <c r="N25" s="15" t="n">
        <f aca="false">INDEX(MINVERSE($H$22:$K$25),4,1)</f>
        <v>0</v>
      </c>
      <c r="O25" s="15" t="n">
        <f aca="false">INDEX(MINVERSE($H$22:$K$25),4,2)</f>
        <v>0</v>
      </c>
      <c r="P25" s="15" t="n">
        <f aca="false">INDEX(MINVERSE($H$22:$K$25),4,3)</f>
        <v>0.888888888888889</v>
      </c>
      <c r="Q25" s="15" t="n">
        <f aca="false">INDEX(MINVERSE($H$22:$K$25),4,4)</f>
        <v>1.88888888888889</v>
      </c>
    </row>
    <row r="27" customFormat="false" ht="15" hidden="false" customHeight="false" outlineLevel="0" collapsed="false">
      <c r="A27" s="2" t="s">
        <v>91</v>
      </c>
      <c r="B27" s="15" t="n">
        <f aca="false">N22</f>
        <v>1.88888888888889</v>
      </c>
      <c r="C27" s="15" t="n">
        <f aca="false">MDETERM(N22:O23)</f>
        <v>2.77777777777778</v>
      </c>
      <c r="D27" s="15" t="n">
        <f aca="false">MDETERM(N22:P24)</f>
        <v>5.24691358024692</v>
      </c>
      <c r="E27" s="15" t="n">
        <f aca="false">MDETERM(N22:Q25)</f>
        <v>7.71604938271606</v>
      </c>
    </row>
    <row r="28" customFormat="false" ht="15" hidden="false" customHeight="false" outlineLevel="0" collapsed="false">
      <c r="A28" s="4" t="s">
        <v>92</v>
      </c>
      <c r="B28" s="2" t="str">
        <f aca="false">IF(AND(B27&gt;0,C27&gt;0,D27&gt;0,E27&gt;0),"yes","no")</f>
        <v>yes</v>
      </c>
    </row>
    <row r="29" customFormat="false" ht="15" hidden="false" customHeight="false" outlineLevel="0" collapsed="false">
      <c r="A29" s="2" t="s">
        <v>93</v>
      </c>
      <c r="B29" s="15" t="n">
        <f aca="false">IF(B10&lt;1,1/(1-B10^2),"none")</f>
        <v>2.77777777777778</v>
      </c>
    </row>
    <row r="30" customFormat="false" ht="15" hidden="false" customHeight="false" outlineLevel="0" collapsed="false">
      <c r="A30" s="10" t="s">
        <v>94</v>
      </c>
    </row>
    <row r="32" customFormat="false" ht="15" hidden="false" customHeight="false" outlineLevel="0" collapsed="false">
      <c r="A32" s="8" t="s">
        <v>95</v>
      </c>
      <c r="B32" s="8" t="s">
        <v>57</v>
      </c>
      <c r="C32" s="8" t="s">
        <v>58</v>
      </c>
      <c r="D32" s="8" t="s">
        <v>59</v>
      </c>
      <c r="E32" s="8" t="s">
        <v>60</v>
      </c>
      <c r="F32" s="8" t="s">
        <v>96</v>
      </c>
    </row>
    <row r="33" customFormat="false" ht="15" hidden="false" customHeight="false" outlineLevel="0" collapsed="false">
      <c r="A33" s="2" t="s">
        <v>97</v>
      </c>
      <c r="B33" s="15" t="n">
        <f aca="false">IF($B$10&lt;1,Shock*INDEX(MINVERSE($N$4:$Q$7),1,2),"none")</f>
        <v>8.88888888888889</v>
      </c>
      <c r="C33" s="15" t="n">
        <f aca="false">IF($B$10&lt;1,Shock*INDEX(MINVERSE($N$4:$Q$7),2,2),"none")</f>
        <v>18.8888888888889</v>
      </c>
      <c r="D33" s="15" t="n">
        <f aca="false">IF($B$10&lt;1,Shock*INDEX(MINVERSE($N$4:$Q$7),3,2),"none")</f>
        <v>11.1111111111111</v>
      </c>
      <c r="E33" s="15" t="n">
        <f aca="false">IF($B$10&lt;1,Shock*INDEX(MINVERSE($N$4:$Q$7),4,2),"none")</f>
        <v>11.1111111111111</v>
      </c>
      <c r="F33" s="15" t="n">
        <f aca="false">IF($B$10&lt;1,SUM(B33:E33),"no limit")</f>
        <v>50</v>
      </c>
    </row>
    <row r="34" customFormat="false" ht="15" hidden="false" customHeight="false" outlineLevel="0" collapsed="false">
      <c r="A34" s="2" t="s">
        <v>98</v>
      </c>
      <c r="B34" s="15" t="n">
        <f aca="false">IF($B$10&lt;1,(Shock/(1-Bench_h-2*(Bench_e^2+Bench_t^2))-Shock/(1+Bench_h))/2,"none")</f>
        <v>8.88888888888889</v>
      </c>
      <c r="C34" s="15" t="n">
        <f aca="false">IF($B$10&lt;1,(Shock/(1-Bench_h-2*(Bench_e^2+Bench_t^2))+Shock/(1+Bench_h))/2,"none")</f>
        <v>18.8888888888889</v>
      </c>
      <c r="D34" s="15" t="n">
        <f aca="false">IF($B$10&lt;1,Bench_e*Shock/(1-Bench_h-2*(Bench_e^2+Bench_t^2)),"none")</f>
        <v>11.1111111111111</v>
      </c>
      <c r="E34" s="15" t="n">
        <f aca="false">IF($B$10&lt;1,Bench_t*Shock/(1-Bench_h-2*(Bench_e^2+Bench_t^2)),"none")</f>
        <v>11.1111111111111</v>
      </c>
      <c r="F34" s="15" t="n">
        <f aca="false">IF($B$10&lt;1,SUM(B34:E34),"no limit")</f>
        <v>50</v>
      </c>
    </row>
    <row r="35" customFormat="false" ht="15" hidden="false" customHeight="false" outlineLevel="0" collapsed="false">
      <c r="A35" s="2" t="s">
        <v>99</v>
      </c>
      <c r="F35" s="15" t="n">
        <f aca="false">Shock</f>
        <v>10</v>
      </c>
    </row>
    <row r="36" customFormat="false" ht="15" hidden="false" customHeight="false" outlineLevel="0" collapsed="false">
      <c r="A36" s="4" t="s">
        <v>100</v>
      </c>
      <c r="F36" s="15" t="n">
        <f aca="false">IF($B$10&lt;1,F33-F35,"no limit")</f>
        <v>40</v>
      </c>
    </row>
    <row r="37" customFormat="false" ht="15" hidden="false" customHeight="false" outlineLevel="0" collapsed="false">
      <c r="A37" s="2" t="s">
        <v>101</v>
      </c>
      <c r="F37" s="17" t="n">
        <f aca="false">IF($B$10&lt;1,MAX(ABS(B33-B34),ABS(C33-C34),ABS(D33-D34),ABS(E33-E34)),0)</f>
        <v>0</v>
      </c>
    </row>
    <row r="38" customFormat="false" ht="15" hidden="false" customHeight="false" outlineLevel="0" collapsed="false">
      <c r="A38" s="10" t="s">
        <v>102</v>
      </c>
    </row>
    <row r="39" customFormat="false" ht="23.85" hidden="false" customHeight="false" outlineLevel="0" collapsed="false">
      <c r="A39" s="8" t="s">
        <v>103</v>
      </c>
      <c r="B39" s="8" t="s">
        <v>104</v>
      </c>
      <c r="C39" s="8" t="s">
        <v>105</v>
      </c>
      <c r="D39" s="8" t="s">
        <v>106</v>
      </c>
      <c r="E39" s="8" t="s">
        <v>107</v>
      </c>
      <c r="F39" s="8" t="s">
        <v>108</v>
      </c>
      <c r="G39" s="8" t="s">
        <v>109</v>
      </c>
      <c r="H39" s="8" t="s">
        <v>110</v>
      </c>
      <c r="I39" s="8" t="s">
        <v>111</v>
      </c>
      <c r="J39" s="8" t="s">
        <v>112</v>
      </c>
      <c r="K39" s="8" t="s">
        <v>113</v>
      </c>
      <c r="L39" s="8" t="s">
        <v>114</v>
      </c>
      <c r="M39" s="8" t="s">
        <v>115</v>
      </c>
    </row>
    <row r="40" customFormat="false" ht="15" hidden="false" customHeight="false" outlineLevel="0" collapsed="false">
      <c r="A40" s="20" t="n">
        <v>0</v>
      </c>
      <c r="B40" s="15" t="n">
        <v>0</v>
      </c>
      <c r="C40" s="15" t="n">
        <f aca="false">Shock</f>
        <v>10</v>
      </c>
      <c r="D40" s="15" t="n">
        <v>0</v>
      </c>
      <c r="E40" s="15" t="n">
        <v>0</v>
      </c>
      <c r="F40" s="15" t="n">
        <f aca="false">SUM(B40:E40)</f>
        <v>10</v>
      </c>
      <c r="H40" s="16" t="n">
        <f aca="false">IF($B$28="yes",SUMPRODUCT(MMULT(B40:E40,$N$22:$Q$25),B40:E40),"")</f>
        <v>188.888888888889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f aca="false">SUM(I40:L40)</f>
        <v>0</v>
      </c>
    </row>
    <row r="41" customFormat="false" ht="15" hidden="false" customHeight="false" outlineLevel="0" collapsed="false">
      <c r="A41" s="20" t="n">
        <v>1</v>
      </c>
      <c r="B41" s="15" t="n">
        <f aca="false">SUMPRODUCT($B$4:$E$4,B40:E40)</f>
        <v>0</v>
      </c>
      <c r="C41" s="15" t="n">
        <f aca="false">SUMPRODUCT($B$5:$E$5,B40:E40)</f>
        <v>0</v>
      </c>
      <c r="D41" s="15" t="n">
        <f aca="false">SUMPRODUCT($B$6:$E$6,B40:E40)</f>
        <v>4</v>
      </c>
      <c r="E41" s="15" t="n">
        <f aca="false">SUMPRODUCT($B$7:$E$7,B40:E40)</f>
        <v>4</v>
      </c>
      <c r="F41" s="15" t="n">
        <f aca="false">SUM(B41:E41)</f>
        <v>8</v>
      </c>
      <c r="G41" s="15" t="n">
        <f aca="false">IF(F40&lt;&gt;0,F41/F40,"")</f>
        <v>0.8</v>
      </c>
      <c r="H41" s="16" t="n">
        <f aca="false">IF($B$28="yes",SUMPRODUCT(MMULT(B41:E41,$N$22:$Q$25),B41:E41),"")</f>
        <v>88.8888888888889</v>
      </c>
      <c r="I41" s="15" t="n">
        <f aca="false">SUMPRODUCT($B$4:$E$4,I40:L40)</f>
        <v>0</v>
      </c>
      <c r="J41" s="15" t="n">
        <f aca="false">SUMPRODUCT($B$5:$E$5,I40:L40)+Shock</f>
        <v>10</v>
      </c>
      <c r="K41" s="15" t="n">
        <f aca="false">SUMPRODUCT($B$6:$E$6,I40:L40)</f>
        <v>0</v>
      </c>
      <c r="L41" s="15" t="n">
        <f aca="false">SUMPRODUCT($B$7:$E$7,I40:L40)</f>
        <v>0</v>
      </c>
      <c r="M41" s="15" t="n">
        <f aca="false">SUM(I41:L41)</f>
        <v>10</v>
      </c>
    </row>
    <row r="42" customFormat="false" ht="15" hidden="false" customHeight="false" outlineLevel="0" collapsed="false">
      <c r="A42" s="20" t="n">
        <v>2</v>
      </c>
      <c r="B42" s="15" t="n">
        <f aca="false">SUMPRODUCT($B$4:$E$4,B41:E41)</f>
        <v>3.2</v>
      </c>
      <c r="C42" s="15" t="n">
        <f aca="false">SUMPRODUCT($B$5:$E$5,B41:E41)</f>
        <v>3.2</v>
      </c>
      <c r="D42" s="15" t="n">
        <f aca="false">SUMPRODUCT($B$6:$E$6,B41:E41)</f>
        <v>0</v>
      </c>
      <c r="E42" s="15" t="n">
        <f aca="false">SUMPRODUCT($B$7:$E$7,B41:E41)</f>
        <v>0</v>
      </c>
      <c r="F42" s="15" t="n">
        <f aca="false">SUM(B42:E42)</f>
        <v>6.4</v>
      </c>
      <c r="G42" s="15" t="n">
        <f aca="false">IF(F41&lt;&gt;0,F42/F41,"")</f>
        <v>0.8</v>
      </c>
      <c r="H42" s="16" t="n">
        <f aca="false">IF($B$28="yes",SUMPRODUCT(MMULT(B42:E42,$N$22:$Q$25),B42:E42),"")</f>
        <v>56.8888888888889</v>
      </c>
      <c r="I42" s="15" t="n">
        <f aca="false">SUMPRODUCT($B$4:$E$4,I41:L41)</f>
        <v>0</v>
      </c>
      <c r="J42" s="15" t="n">
        <f aca="false">SUMPRODUCT($B$5:$E$5,I41:L41)+Shock</f>
        <v>10</v>
      </c>
      <c r="K42" s="15" t="n">
        <f aca="false">SUMPRODUCT($B$6:$E$6,I41:L41)</f>
        <v>4</v>
      </c>
      <c r="L42" s="15" t="n">
        <f aca="false">SUMPRODUCT($B$7:$E$7,I41:L41)</f>
        <v>4</v>
      </c>
      <c r="M42" s="15" t="n">
        <f aca="false">SUM(I42:L42)</f>
        <v>18</v>
      </c>
    </row>
    <row r="43" customFormat="false" ht="15" hidden="false" customHeight="false" outlineLevel="0" collapsed="false">
      <c r="A43" s="20" t="n">
        <v>3</v>
      </c>
      <c r="B43" s="15" t="n">
        <f aca="false">SUMPRODUCT($B$4:$E$4,B42:E42)</f>
        <v>0</v>
      </c>
      <c r="C43" s="15" t="n">
        <f aca="false">SUMPRODUCT($B$5:$E$5,B42:E42)</f>
        <v>0</v>
      </c>
      <c r="D43" s="15" t="n">
        <f aca="false">SUMPRODUCT($B$6:$E$6,B42:E42)</f>
        <v>2.56</v>
      </c>
      <c r="E43" s="15" t="n">
        <f aca="false">SUMPRODUCT($B$7:$E$7,B42:E42)</f>
        <v>2.56</v>
      </c>
      <c r="F43" s="15" t="n">
        <f aca="false">SUM(B43:E43)</f>
        <v>5.12</v>
      </c>
      <c r="G43" s="15" t="n">
        <f aca="false">IF(F42&lt;&gt;0,F43/F42,"")</f>
        <v>0.8</v>
      </c>
      <c r="H43" s="16" t="n">
        <f aca="false">IF($B$28="yes",SUMPRODUCT(MMULT(B43:E43,$N$22:$Q$25),B43:E43),"")</f>
        <v>36.4088888888889</v>
      </c>
      <c r="I43" s="15" t="n">
        <f aca="false">SUMPRODUCT($B$4:$E$4,I42:L42)</f>
        <v>3.2</v>
      </c>
      <c r="J43" s="15" t="n">
        <f aca="false">SUMPRODUCT($B$5:$E$5,I42:L42)+Shock</f>
        <v>13.2</v>
      </c>
      <c r="K43" s="15" t="n">
        <f aca="false">SUMPRODUCT($B$6:$E$6,I42:L42)</f>
        <v>4</v>
      </c>
      <c r="L43" s="15" t="n">
        <f aca="false">SUMPRODUCT($B$7:$E$7,I42:L42)</f>
        <v>4</v>
      </c>
      <c r="M43" s="15" t="n">
        <f aca="false">SUM(I43:L43)</f>
        <v>24.4</v>
      </c>
    </row>
    <row r="44" customFormat="false" ht="15" hidden="false" customHeight="false" outlineLevel="0" collapsed="false">
      <c r="A44" s="20" t="n">
        <v>4</v>
      </c>
      <c r="B44" s="15" t="n">
        <f aca="false">SUMPRODUCT($B$4:$E$4,B43:E43)</f>
        <v>2.048</v>
      </c>
      <c r="C44" s="15" t="n">
        <f aca="false">SUMPRODUCT($B$5:$E$5,B43:E43)</f>
        <v>2.048</v>
      </c>
      <c r="D44" s="15" t="n">
        <f aca="false">SUMPRODUCT($B$6:$E$6,B43:E43)</f>
        <v>0</v>
      </c>
      <c r="E44" s="15" t="n">
        <f aca="false">SUMPRODUCT($B$7:$E$7,B43:E43)</f>
        <v>0</v>
      </c>
      <c r="F44" s="15" t="n">
        <f aca="false">SUM(B44:E44)</f>
        <v>4.096</v>
      </c>
      <c r="G44" s="15" t="n">
        <f aca="false">IF(F43&lt;&gt;0,F44/F43,"")</f>
        <v>0.8</v>
      </c>
      <c r="H44" s="16" t="n">
        <f aca="false">IF($B$28="yes",SUMPRODUCT(MMULT(B44:E44,$N$22:$Q$25),B44:E44),"")</f>
        <v>23.3016888888889</v>
      </c>
      <c r="I44" s="15" t="n">
        <f aca="false">SUMPRODUCT($B$4:$E$4,I43:L43)</f>
        <v>3.2</v>
      </c>
      <c r="J44" s="15" t="n">
        <f aca="false">SUMPRODUCT($B$5:$E$5,I43:L43)+Shock</f>
        <v>13.2</v>
      </c>
      <c r="K44" s="15" t="n">
        <f aca="false">SUMPRODUCT($B$6:$E$6,I43:L43)</f>
        <v>6.56</v>
      </c>
      <c r="L44" s="15" t="n">
        <f aca="false">SUMPRODUCT($B$7:$E$7,I43:L43)</f>
        <v>6.56</v>
      </c>
      <c r="M44" s="15" t="n">
        <f aca="false">SUM(I44:L44)</f>
        <v>29.52</v>
      </c>
    </row>
    <row r="45" customFormat="false" ht="15" hidden="false" customHeight="false" outlineLevel="0" collapsed="false">
      <c r="A45" s="20" t="n">
        <v>5</v>
      </c>
      <c r="B45" s="15" t="n">
        <f aca="false">SUMPRODUCT($B$4:$E$4,B44:E44)</f>
        <v>0</v>
      </c>
      <c r="C45" s="15" t="n">
        <f aca="false">SUMPRODUCT($B$5:$E$5,B44:E44)</f>
        <v>0</v>
      </c>
      <c r="D45" s="15" t="n">
        <f aca="false">SUMPRODUCT($B$6:$E$6,B44:E44)</f>
        <v>1.6384</v>
      </c>
      <c r="E45" s="15" t="n">
        <f aca="false">SUMPRODUCT($B$7:$E$7,B44:E44)</f>
        <v>1.6384</v>
      </c>
      <c r="F45" s="15" t="n">
        <f aca="false">SUM(B45:E45)</f>
        <v>3.2768</v>
      </c>
      <c r="G45" s="15" t="n">
        <f aca="false">IF(F44&lt;&gt;0,F45/F44,"")</f>
        <v>0.8</v>
      </c>
      <c r="H45" s="16" t="n">
        <f aca="false">IF($B$28="yes",SUMPRODUCT(MMULT(B45:E45,$N$22:$Q$25),B45:E45),"")</f>
        <v>14.9130808888889</v>
      </c>
      <c r="I45" s="15" t="n">
        <f aca="false">SUMPRODUCT($B$4:$E$4,I44:L44)</f>
        <v>5.248</v>
      </c>
      <c r="J45" s="15" t="n">
        <f aca="false">SUMPRODUCT($B$5:$E$5,I44:L44)+Shock</f>
        <v>15.248</v>
      </c>
      <c r="K45" s="15" t="n">
        <f aca="false">SUMPRODUCT($B$6:$E$6,I44:L44)</f>
        <v>6.56</v>
      </c>
      <c r="L45" s="15" t="n">
        <f aca="false">SUMPRODUCT($B$7:$E$7,I44:L44)</f>
        <v>6.56</v>
      </c>
      <c r="M45" s="15" t="n">
        <f aca="false">SUM(I45:L45)</f>
        <v>33.616</v>
      </c>
    </row>
    <row r="46" customFormat="false" ht="15" hidden="false" customHeight="false" outlineLevel="0" collapsed="false">
      <c r="A46" s="20" t="n">
        <v>6</v>
      </c>
      <c r="B46" s="15" t="n">
        <f aca="false">SUMPRODUCT($B$4:$E$4,B45:E45)</f>
        <v>1.31072</v>
      </c>
      <c r="C46" s="15" t="n">
        <f aca="false">SUMPRODUCT($B$5:$E$5,B45:E45)</f>
        <v>1.31072</v>
      </c>
      <c r="D46" s="15" t="n">
        <f aca="false">SUMPRODUCT($B$6:$E$6,B45:E45)</f>
        <v>0</v>
      </c>
      <c r="E46" s="15" t="n">
        <f aca="false">SUMPRODUCT($B$7:$E$7,B45:E45)</f>
        <v>0</v>
      </c>
      <c r="F46" s="15" t="n">
        <f aca="false">SUM(B46:E46)</f>
        <v>2.62144</v>
      </c>
      <c r="G46" s="15" t="n">
        <f aca="false">IF(F45&lt;&gt;0,F46/F45,"")</f>
        <v>0.8</v>
      </c>
      <c r="H46" s="16" t="n">
        <f aca="false">IF($B$28="yes",SUMPRODUCT(MMULT(B46:E46,$N$22:$Q$25),B46:E46),"")</f>
        <v>9.5443717688889</v>
      </c>
      <c r="I46" s="15" t="n">
        <f aca="false">SUMPRODUCT($B$4:$E$4,I45:L45)</f>
        <v>5.248</v>
      </c>
      <c r="J46" s="15" t="n">
        <f aca="false">SUMPRODUCT($B$5:$E$5,I45:L45)+Shock</f>
        <v>15.248</v>
      </c>
      <c r="K46" s="15" t="n">
        <f aca="false">SUMPRODUCT($B$6:$E$6,I45:L45)</f>
        <v>8.1984</v>
      </c>
      <c r="L46" s="15" t="n">
        <f aca="false">SUMPRODUCT($B$7:$E$7,I45:L45)</f>
        <v>8.1984</v>
      </c>
      <c r="M46" s="15" t="n">
        <f aca="false">SUM(I46:L46)</f>
        <v>36.8928</v>
      </c>
    </row>
    <row r="47" customFormat="false" ht="15" hidden="false" customHeight="false" outlineLevel="0" collapsed="false">
      <c r="A47" s="20" t="n">
        <v>7</v>
      </c>
      <c r="B47" s="15" t="n">
        <f aca="false">SUMPRODUCT($B$4:$E$4,B46:E46)</f>
        <v>0</v>
      </c>
      <c r="C47" s="15" t="n">
        <f aca="false">SUMPRODUCT($B$5:$E$5,B46:E46)</f>
        <v>0</v>
      </c>
      <c r="D47" s="15" t="n">
        <f aca="false">SUMPRODUCT($B$6:$E$6,B46:E46)</f>
        <v>1.048576</v>
      </c>
      <c r="E47" s="15" t="n">
        <f aca="false">SUMPRODUCT($B$7:$E$7,B46:E46)</f>
        <v>1.048576</v>
      </c>
      <c r="F47" s="15" t="n">
        <f aca="false">SUM(B47:E47)</f>
        <v>2.097152</v>
      </c>
      <c r="G47" s="15" t="n">
        <f aca="false">IF(F46&lt;&gt;0,F47/F46,"")</f>
        <v>0.8</v>
      </c>
      <c r="H47" s="16" t="n">
        <f aca="false">IF($B$28="yes",SUMPRODUCT(MMULT(B47:E47,$N$22:$Q$25),B47:E47),"")</f>
        <v>6.1083979320889</v>
      </c>
      <c r="I47" s="15" t="n">
        <f aca="false">SUMPRODUCT($B$4:$E$4,I46:L46)</f>
        <v>6.55872</v>
      </c>
      <c r="J47" s="15" t="n">
        <f aca="false">SUMPRODUCT($B$5:$E$5,I46:L46)+Shock</f>
        <v>16.55872</v>
      </c>
      <c r="K47" s="15" t="n">
        <f aca="false">SUMPRODUCT($B$6:$E$6,I46:L46)</f>
        <v>8.1984</v>
      </c>
      <c r="L47" s="15" t="n">
        <f aca="false">SUMPRODUCT($B$7:$E$7,I46:L46)</f>
        <v>8.1984</v>
      </c>
      <c r="M47" s="15" t="n">
        <f aca="false">SUM(I47:L47)</f>
        <v>39.51424</v>
      </c>
    </row>
    <row r="48" customFormat="false" ht="15" hidden="false" customHeight="false" outlineLevel="0" collapsed="false">
      <c r="A48" s="20" t="n">
        <v>8</v>
      </c>
      <c r="B48" s="15" t="n">
        <f aca="false">SUMPRODUCT($B$4:$E$4,B47:E47)</f>
        <v>0.8388608</v>
      </c>
      <c r="C48" s="15" t="n">
        <f aca="false">SUMPRODUCT($B$5:$E$5,B47:E47)</f>
        <v>0.8388608</v>
      </c>
      <c r="D48" s="15" t="n">
        <f aca="false">SUMPRODUCT($B$6:$E$6,B47:E47)</f>
        <v>0</v>
      </c>
      <c r="E48" s="15" t="n">
        <f aca="false">SUMPRODUCT($B$7:$E$7,B47:E47)</f>
        <v>0</v>
      </c>
      <c r="F48" s="15" t="n">
        <f aca="false">SUM(B48:E48)</f>
        <v>1.6777216</v>
      </c>
      <c r="G48" s="15" t="n">
        <f aca="false">IF(F47&lt;&gt;0,F48/F47,"")</f>
        <v>0.8</v>
      </c>
      <c r="H48" s="16" t="n">
        <f aca="false">IF($B$28="yes",SUMPRODUCT(MMULT(B48:E48,$N$22:$Q$25),B48:E48),"")</f>
        <v>3.90937467653689</v>
      </c>
      <c r="I48" s="15" t="n">
        <f aca="false">SUMPRODUCT($B$4:$E$4,I47:L47)</f>
        <v>6.55872</v>
      </c>
      <c r="J48" s="15" t="n">
        <f aca="false">SUMPRODUCT($B$5:$E$5,I47:L47)+Shock</f>
        <v>16.55872</v>
      </c>
      <c r="K48" s="15" t="n">
        <f aca="false">SUMPRODUCT($B$6:$E$6,I47:L47)</f>
        <v>9.246976</v>
      </c>
      <c r="L48" s="15" t="n">
        <f aca="false">SUMPRODUCT($B$7:$E$7,I47:L47)</f>
        <v>9.246976</v>
      </c>
      <c r="M48" s="15" t="n">
        <f aca="false">SUM(I48:L48)</f>
        <v>41.611392</v>
      </c>
    </row>
    <row r="49" customFormat="false" ht="15" hidden="false" customHeight="false" outlineLevel="0" collapsed="false">
      <c r="A49" s="20" t="n">
        <v>9</v>
      </c>
      <c r="B49" s="15" t="n">
        <f aca="false">SUMPRODUCT($B$4:$E$4,B48:E48)</f>
        <v>0</v>
      </c>
      <c r="C49" s="15" t="n">
        <f aca="false">SUMPRODUCT($B$5:$E$5,B48:E48)</f>
        <v>0</v>
      </c>
      <c r="D49" s="15" t="n">
        <f aca="false">SUMPRODUCT($B$6:$E$6,B48:E48)</f>
        <v>0.67108864</v>
      </c>
      <c r="E49" s="15" t="n">
        <f aca="false">SUMPRODUCT($B$7:$E$7,B48:E48)</f>
        <v>0.67108864</v>
      </c>
      <c r="F49" s="15" t="n">
        <f aca="false">SUM(B49:E49)</f>
        <v>1.34217728</v>
      </c>
      <c r="G49" s="15" t="n">
        <f aca="false">IF(F48&lt;&gt;0,F49/F48,"")</f>
        <v>0.8</v>
      </c>
      <c r="H49" s="16" t="n">
        <f aca="false">IF($B$28="yes",SUMPRODUCT(MMULT(B49:E49,$N$22:$Q$25),B49:E49),"")</f>
        <v>2.50199979298361</v>
      </c>
      <c r="I49" s="15" t="n">
        <f aca="false">SUMPRODUCT($B$4:$E$4,I48:L48)</f>
        <v>7.3975808</v>
      </c>
      <c r="J49" s="15" t="n">
        <f aca="false">SUMPRODUCT($B$5:$E$5,I48:L48)+Shock</f>
        <v>17.3975808</v>
      </c>
      <c r="K49" s="15" t="n">
        <f aca="false">SUMPRODUCT($B$6:$E$6,I48:L48)</f>
        <v>9.246976</v>
      </c>
      <c r="L49" s="15" t="n">
        <f aca="false">SUMPRODUCT($B$7:$E$7,I48:L48)</f>
        <v>9.246976</v>
      </c>
      <c r="M49" s="15" t="n">
        <f aca="false">SUM(I49:L49)</f>
        <v>43.2891136</v>
      </c>
    </row>
    <row r="50" customFormat="false" ht="15" hidden="false" customHeight="false" outlineLevel="0" collapsed="false">
      <c r="A50" s="20" t="n">
        <v>10</v>
      </c>
      <c r="B50" s="15" t="n">
        <f aca="false">SUMPRODUCT($B$4:$E$4,B49:E49)</f>
        <v>0.536870912</v>
      </c>
      <c r="C50" s="15" t="n">
        <f aca="false">SUMPRODUCT($B$5:$E$5,B49:E49)</f>
        <v>0.536870912</v>
      </c>
      <c r="D50" s="15" t="n">
        <f aca="false">SUMPRODUCT($B$6:$E$6,B49:E49)</f>
        <v>0</v>
      </c>
      <c r="E50" s="15" t="n">
        <f aca="false">SUMPRODUCT($B$7:$E$7,B49:E49)</f>
        <v>0</v>
      </c>
      <c r="F50" s="15" t="n">
        <f aca="false">SUM(B50:E50)</f>
        <v>1.073741824</v>
      </c>
      <c r="G50" s="15" t="n">
        <f aca="false">IF(F49&lt;&gt;0,F50/F49,"")</f>
        <v>0.8</v>
      </c>
      <c r="H50" s="16" t="n">
        <f aca="false">IF($B$28="yes",SUMPRODUCT(MMULT(B50:E50,$N$22:$Q$25),B50:E50),"")</f>
        <v>1.60127986750951</v>
      </c>
      <c r="I50" s="15" t="n">
        <f aca="false">SUMPRODUCT($B$4:$E$4,I49:L49)</f>
        <v>7.3975808</v>
      </c>
      <c r="J50" s="15" t="n">
        <f aca="false">SUMPRODUCT($B$5:$E$5,I49:L49)+Shock</f>
        <v>17.3975808</v>
      </c>
      <c r="K50" s="15" t="n">
        <f aca="false">SUMPRODUCT($B$6:$E$6,I49:L49)</f>
        <v>9.91806464</v>
      </c>
      <c r="L50" s="15" t="n">
        <f aca="false">SUMPRODUCT($B$7:$E$7,I49:L49)</f>
        <v>9.91806464</v>
      </c>
      <c r="M50" s="15" t="n">
        <f aca="false">SUM(I50:L50)</f>
        <v>44.63129088</v>
      </c>
    </row>
    <row r="51" customFormat="false" ht="15" hidden="false" customHeight="false" outlineLevel="0" collapsed="false">
      <c r="A51" s="20" t="n">
        <v>11</v>
      </c>
      <c r="B51" s="15" t="n">
        <f aca="false">SUMPRODUCT($B$4:$E$4,B50:E50)</f>
        <v>0</v>
      </c>
      <c r="C51" s="15" t="n">
        <f aca="false">SUMPRODUCT($B$5:$E$5,B50:E50)</f>
        <v>0</v>
      </c>
      <c r="D51" s="15" t="n">
        <f aca="false">SUMPRODUCT($B$6:$E$6,B50:E50)</f>
        <v>0.4294967296</v>
      </c>
      <c r="E51" s="15" t="n">
        <f aca="false">SUMPRODUCT($B$7:$E$7,B50:E50)</f>
        <v>0.4294967296</v>
      </c>
      <c r="F51" s="15" t="n">
        <f aca="false">SUM(B51:E51)</f>
        <v>0.858993459200001</v>
      </c>
      <c r="G51" s="15" t="n">
        <f aca="false">IF(F50&lt;&gt;0,F51/F50,"")</f>
        <v>0.8</v>
      </c>
      <c r="H51" s="16" t="n">
        <f aca="false">IF($B$28="yes",SUMPRODUCT(MMULT(B51:E51,$N$22:$Q$25),B51:E51),"")</f>
        <v>1.02481911520609</v>
      </c>
      <c r="I51" s="15" t="n">
        <f aca="false">SUMPRODUCT($B$4:$E$4,I50:L50)</f>
        <v>7.934451712</v>
      </c>
      <c r="J51" s="15" t="n">
        <f aca="false">SUMPRODUCT($B$5:$E$5,I50:L50)+Shock</f>
        <v>17.934451712</v>
      </c>
      <c r="K51" s="15" t="n">
        <f aca="false">SUMPRODUCT($B$6:$E$6,I50:L50)</f>
        <v>9.91806464</v>
      </c>
      <c r="L51" s="15" t="n">
        <f aca="false">SUMPRODUCT($B$7:$E$7,I50:L50)</f>
        <v>9.91806464</v>
      </c>
      <c r="M51" s="15" t="n">
        <f aca="false">SUM(I51:L51)</f>
        <v>45.705032704</v>
      </c>
    </row>
    <row r="52" customFormat="false" ht="15" hidden="false" customHeight="false" outlineLevel="0" collapsed="false">
      <c r="A52" s="20" t="n">
        <v>12</v>
      </c>
      <c r="B52" s="15" t="n">
        <f aca="false">SUMPRODUCT($B$4:$E$4,B51:E51)</f>
        <v>0.34359738368</v>
      </c>
      <c r="C52" s="15" t="n">
        <f aca="false">SUMPRODUCT($B$5:$E$5,B51:E51)</f>
        <v>0.34359738368</v>
      </c>
      <c r="D52" s="15" t="n">
        <f aca="false">SUMPRODUCT($B$6:$E$6,B51:E51)</f>
        <v>0</v>
      </c>
      <c r="E52" s="15" t="n">
        <f aca="false">SUMPRODUCT($B$7:$E$7,B51:E51)</f>
        <v>0</v>
      </c>
      <c r="F52" s="15" t="n">
        <f aca="false">SUM(B52:E52)</f>
        <v>0.68719476736</v>
      </c>
      <c r="G52" s="15" t="n">
        <f aca="false">IF(F51&lt;&gt;0,F52/F51,"")</f>
        <v>0.8</v>
      </c>
      <c r="H52" s="16" t="n">
        <f aca="false">IF($B$28="yes",SUMPRODUCT(MMULT(B52:E52,$N$22:$Q$25),B52:E52),"")</f>
        <v>0.655884233731896</v>
      </c>
      <c r="I52" s="15" t="n">
        <f aca="false">SUMPRODUCT($B$4:$E$4,I51:L51)</f>
        <v>7.934451712</v>
      </c>
      <c r="J52" s="15" t="n">
        <f aca="false">SUMPRODUCT($B$5:$E$5,I51:L51)+Shock</f>
        <v>17.934451712</v>
      </c>
      <c r="K52" s="15" t="n">
        <f aca="false">SUMPRODUCT($B$6:$E$6,I51:L51)</f>
        <v>10.3475613696</v>
      </c>
      <c r="L52" s="15" t="n">
        <f aca="false">SUMPRODUCT($B$7:$E$7,I51:L51)</f>
        <v>10.3475613696</v>
      </c>
      <c r="M52" s="15" t="n">
        <f aca="false">SUM(I52:L52)</f>
        <v>46.5640261632</v>
      </c>
    </row>
    <row r="53" customFormat="false" ht="15" hidden="false" customHeight="false" outlineLevel="0" collapsed="false">
      <c r="A53" s="20" t="n">
        <v>13</v>
      </c>
      <c r="B53" s="15" t="n">
        <f aca="false">SUMPRODUCT($B$4:$E$4,B52:E52)</f>
        <v>0</v>
      </c>
      <c r="C53" s="15" t="n">
        <f aca="false">SUMPRODUCT($B$5:$E$5,B52:E52)</f>
        <v>0</v>
      </c>
      <c r="D53" s="15" t="n">
        <f aca="false">SUMPRODUCT($B$6:$E$6,B52:E52)</f>
        <v>0.274877906944</v>
      </c>
      <c r="E53" s="15" t="n">
        <f aca="false">SUMPRODUCT($B$7:$E$7,B52:E52)</f>
        <v>0.274877906944</v>
      </c>
      <c r="F53" s="15" t="n">
        <f aca="false">SUM(B53:E53)</f>
        <v>0.549755813888</v>
      </c>
      <c r="G53" s="15" t="n">
        <f aca="false">IF(F52&lt;&gt;0,F53/F52,"")</f>
        <v>0.8</v>
      </c>
      <c r="H53" s="16" t="n">
        <f aca="false">IF($B$28="yes",SUMPRODUCT(MMULT(B53:E53,$N$22:$Q$25),B53:E53),"")</f>
        <v>0.419765909588414</v>
      </c>
      <c r="I53" s="15" t="n">
        <f aca="false">SUMPRODUCT($B$4:$E$4,I52:L52)</f>
        <v>8.27804909568</v>
      </c>
      <c r="J53" s="15" t="n">
        <f aca="false">SUMPRODUCT($B$5:$E$5,I52:L52)+Shock</f>
        <v>18.27804909568</v>
      </c>
      <c r="K53" s="15" t="n">
        <f aca="false">SUMPRODUCT($B$6:$E$6,I52:L52)</f>
        <v>10.3475613696</v>
      </c>
      <c r="L53" s="15" t="n">
        <f aca="false">SUMPRODUCT($B$7:$E$7,I52:L52)</f>
        <v>10.3475613696</v>
      </c>
      <c r="M53" s="15" t="n">
        <f aca="false">SUM(I53:L53)</f>
        <v>47.25122093056</v>
      </c>
    </row>
    <row r="54" customFormat="false" ht="15" hidden="false" customHeight="false" outlineLevel="0" collapsed="false">
      <c r="A54" s="20" t="n">
        <v>14</v>
      </c>
      <c r="B54" s="15" t="n">
        <f aca="false">SUMPRODUCT($B$4:$E$4,B53:E53)</f>
        <v>0.2199023255552</v>
      </c>
      <c r="C54" s="15" t="n">
        <f aca="false">SUMPRODUCT($B$5:$E$5,B53:E53)</f>
        <v>0.2199023255552</v>
      </c>
      <c r="D54" s="15" t="n">
        <f aca="false">SUMPRODUCT($B$6:$E$6,B53:E53)</f>
        <v>0</v>
      </c>
      <c r="E54" s="15" t="n">
        <f aca="false">SUMPRODUCT($B$7:$E$7,B53:E53)</f>
        <v>0</v>
      </c>
      <c r="F54" s="15" t="n">
        <f aca="false">SUM(B54:E54)</f>
        <v>0.4398046511104</v>
      </c>
      <c r="G54" s="15" t="n">
        <f aca="false">IF(F53&lt;&gt;0,F54/F53,"")</f>
        <v>0.8</v>
      </c>
      <c r="H54" s="16" t="n">
        <f aca="false">IF($B$28="yes",SUMPRODUCT(MMULT(B54:E54,$N$22:$Q$25),B54:E54),"")</f>
        <v>0.268650182136585</v>
      </c>
      <c r="I54" s="15" t="n">
        <f aca="false">SUMPRODUCT($B$4:$E$4,I53:L53)</f>
        <v>8.27804909568</v>
      </c>
      <c r="J54" s="15" t="n">
        <f aca="false">SUMPRODUCT($B$5:$E$5,I53:L53)+Shock</f>
        <v>18.27804909568</v>
      </c>
      <c r="K54" s="15" t="n">
        <f aca="false">SUMPRODUCT($B$6:$E$6,I53:L53)</f>
        <v>10.622439276544</v>
      </c>
      <c r="L54" s="15" t="n">
        <f aca="false">SUMPRODUCT($B$7:$E$7,I53:L53)</f>
        <v>10.622439276544</v>
      </c>
      <c r="M54" s="15" t="n">
        <f aca="false">SUM(I54:L54)</f>
        <v>47.800976744448</v>
      </c>
    </row>
    <row r="55" customFormat="false" ht="15" hidden="false" customHeight="false" outlineLevel="0" collapsed="false">
      <c r="A55" s="20" t="n">
        <v>15</v>
      </c>
      <c r="B55" s="15" t="n">
        <f aca="false">SUMPRODUCT($B$4:$E$4,B54:E54)</f>
        <v>0</v>
      </c>
      <c r="C55" s="15" t="n">
        <f aca="false">SUMPRODUCT($B$5:$E$5,B54:E54)</f>
        <v>0</v>
      </c>
      <c r="D55" s="15" t="n">
        <f aca="false">SUMPRODUCT($B$6:$E$6,B54:E54)</f>
        <v>0.17592186044416</v>
      </c>
      <c r="E55" s="15" t="n">
        <f aca="false">SUMPRODUCT($B$7:$E$7,B54:E54)</f>
        <v>0.17592186044416</v>
      </c>
      <c r="F55" s="15" t="n">
        <f aca="false">SUM(B55:E55)</f>
        <v>0.35184372088832</v>
      </c>
      <c r="G55" s="15" t="n">
        <f aca="false">IF(F54&lt;&gt;0,F55/F54,"")</f>
        <v>0.8</v>
      </c>
      <c r="H55" s="16" t="n">
        <f aca="false">IF($B$28="yes",SUMPRODUCT(MMULT(B55:E55,$N$22:$Q$25),B55:E55),"")</f>
        <v>0.171936116567414</v>
      </c>
      <c r="I55" s="15" t="n">
        <f aca="false">SUMPRODUCT($B$4:$E$4,I54:L54)</f>
        <v>8.4979514212352</v>
      </c>
      <c r="J55" s="15" t="n">
        <f aca="false">SUMPRODUCT($B$5:$E$5,I54:L54)+Shock</f>
        <v>18.4979514212352</v>
      </c>
      <c r="K55" s="15" t="n">
        <f aca="false">SUMPRODUCT($B$6:$E$6,I54:L54)</f>
        <v>10.622439276544</v>
      </c>
      <c r="L55" s="15" t="n">
        <f aca="false">SUMPRODUCT($B$7:$E$7,I54:L54)</f>
        <v>10.622439276544</v>
      </c>
      <c r="M55" s="15" t="n">
        <f aca="false">SUM(I55:L55)</f>
        <v>48.2407813955584</v>
      </c>
    </row>
    <row r="56" customFormat="false" ht="15" hidden="false" customHeight="false" outlineLevel="0" collapsed="false">
      <c r="A56" s="20" t="n">
        <v>16</v>
      </c>
      <c r="B56" s="15" t="n">
        <f aca="false">SUMPRODUCT($B$4:$E$4,B55:E55)</f>
        <v>0.140737488355328</v>
      </c>
      <c r="C56" s="15" t="n">
        <f aca="false">SUMPRODUCT($B$5:$E$5,B55:E55)</f>
        <v>0.140737488355328</v>
      </c>
      <c r="D56" s="15" t="n">
        <f aca="false">SUMPRODUCT($B$6:$E$6,B55:E55)</f>
        <v>0</v>
      </c>
      <c r="E56" s="15" t="n">
        <f aca="false">SUMPRODUCT($B$7:$E$7,B55:E55)</f>
        <v>0</v>
      </c>
      <c r="F56" s="15" t="n">
        <f aca="false">SUM(B56:E56)</f>
        <v>0.281474976710656</v>
      </c>
      <c r="G56" s="15" t="n">
        <f aca="false">IF(F55&lt;&gt;0,F56/F55,"")</f>
        <v>0.8</v>
      </c>
      <c r="H56" s="16" t="n">
        <f aca="false">IF($B$28="yes",SUMPRODUCT(MMULT(B56:E56,$N$22:$Q$25),B56:E56),"")</f>
        <v>0.110039114603145</v>
      </c>
      <c r="I56" s="15" t="n">
        <f aca="false">SUMPRODUCT($B$4:$E$4,I55:L55)</f>
        <v>8.4979514212352</v>
      </c>
      <c r="J56" s="15" t="n">
        <f aca="false">SUMPRODUCT($B$5:$E$5,I55:L55)+Shock</f>
        <v>18.4979514212352</v>
      </c>
      <c r="K56" s="15" t="n">
        <f aca="false">SUMPRODUCT($B$6:$E$6,I55:L55)</f>
        <v>10.7983611369882</v>
      </c>
      <c r="L56" s="15" t="n">
        <f aca="false">SUMPRODUCT($B$7:$E$7,I55:L55)</f>
        <v>10.7983611369882</v>
      </c>
      <c r="M56" s="15" t="n">
        <f aca="false">SUM(I56:L56)</f>
        <v>48.5926251164467</v>
      </c>
    </row>
    <row r="57" customFormat="false" ht="15" hidden="false" customHeight="false" outlineLevel="0" collapsed="false">
      <c r="A57" s="20" t="n">
        <v>17</v>
      </c>
      <c r="B57" s="15" t="n">
        <f aca="false">SUMPRODUCT($B$4:$E$4,B56:E56)</f>
        <v>0</v>
      </c>
      <c r="C57" s="15" t="n">
        <f aca="false">SUMPRODUCT($B$5:$E$5,B56:E56)</f>
        <v>0</v>
      </c>
      <c r="D57" s="15" t="n">
        <f aca="false">SUMPRODUCT($B$6:$E$6,B56:E56)</f>
        <v>0.112589990684263</v>
      </c>
      <c r="E57" s="15" t="n">
        <f aca="false">SUMPRODUCT($B$7:$E$7,B56:E56)</f>
        <v>0.112589990684263</v>
      </c>
      <c r="F57" s="15" t="n">
        <f aca="false">SUM(B57:E57)</f>
        <v>0.225179981368525</v>
      </c>
      <c r="G57" s="15" t="n">
        <f aca="false">IF(F56&lt;&gt;0,F57/F56,"")</f>
        <v>0.8</v>
      </c>
      <c r="H57" s="16" t="n">
        <f aca="false">IF($B$28="yes",SUMPRODUCT(MMULT(B57:E57,$N$22:$Q$25),B57:E57),"")</f>
        <v>0.0704250333460129</v>
      </c>
      <c r="I57" s="15" t="n">
        <f aca="false">SUMPRODUCT($B$4:$E$4,I56:L56)</f>
        <v>8.63868890959053</v>
      </c>
      <c r="J57" s="15" t="n">
        <f aca="false">SUMPRODUCT($B$5:$E$5,I56:L56)+Shock</f>
        <v>18.6386889095905</v>
      </c>
      <c r="K57" s="15" t="n">
        <f aca="false">SUMPRODUCT($B$6:$E$6,I56:L56)</f>
        <v>10.7983611369882</v>
      </c>
      <c r="L57" s="15" t="n">
        <f aca="false">SUMPRODUCT($B$7:$E$7,I56:L56)</f>
        <v>10.7983611369882</v>
      </c>
      <c r="M57" s="15" t="n">
        <f aca="false">SUM(I57:L57)</f>
        <v>48.8741000931574</v>
      </c>
    </row>
    <row r="58" customFormat="false" ht="15" hidden="false" customHeight="false" outlineLevel="0" collapsed="false">
      <c r="A58" s="20" t="n">
        <v>18</v>
      </c>
      <c r="B58" s="15" t="n">
        <f aca="false">SUMPRODUCT($B$4:$E$4,B57:E57)</f>
        <v>0.09007199254741</v>
      </c>
      <c r="C58" s="15" t="n">
        <f aca="false">SUMPRODUCT($B$5:$E$5,B57:E57)</f>
        <v>0.09007199254741</v>
      </c>
      <c r="D58" s="15" t="n">
        <f aca="false">SUMPRODUCT($B$6:$E$6,B57:E57)</f>
        <v>0</v>
      </c>
      <c r="E58" s="15" t="n">
        <f aca="false">SUMPRODUCT($B$7:$E$7,B57:E57)</f>
        <v>0</v>
      </c>
      <c r="F58" s="15" t="n">
        <f aca="false">SUM(B58:E58)</f>
        <v>0.18014398509482</v>
      </c>
      <c r="G58" s="15" t="n">
        <f aca="false">IF(F57&lt;&gt;0,F58/F57,"")</f>
        <v>0.8</v>
      </c>
      <c r="H58" s="16" t="n">
        <f aca="false">IF($B$28="yes",SUMPRODUCT(MMULT(B58:E58,$N$22:$Q$25),B58:E58),"")</f>
        <v>0.0450720213414483</v>
      </c>
      <c r="I58" s="15" t="n">
        <f aca="false">SUMPRODUCT($B$4:$E$4,I57:L57)</f>
        <v>8.63868890959053</v>
      </c>
      <c r="J58" s="15" t="n">
        <f aca="false">SUMPRODUCT($B$5:$E$5,I57:L57)+Shock</f>
        <v>18.6386889095905</v>
      </c>
      <c r="K58" s="15" t="n">
        <f aca="false">SUMPRODUCT($B$6:$E$6,I57:L57)</f>
        <v>10.9109511276724</v>
      </c>
      <c r="L58" s="15" t="n">
        <f aca="false">SUMPRODUCT($B$7:$E$7,I57:L57)</f>
        <v>10.9109511276724</v>
      </c>
      <c r="M58" s="15" t="n">
        <f aca="false">SUM(I58:L58)</f>
        <v>49.0992800745259</v>
      </c>
    </row>
    <row r="59" customFormat="false" ht="15" hidden="false" customHeight="false" outlineLevel="0" collapsed="false">
      <c r="A59" s="20" t="n">
        <v>19</v>
      </c>
      <c r="B59" s="15" t="n">
        <f aca="false">SUMPRODUCT($B$4:$E$4,B58:E58)</f>
        <v>0</v>
      </c>
      <c r="C59" s="15" t="n">
        <f aca="false">SUMPRODUCT($B$5:$E$5,B58:E58)</f>
        <v>0</v>
      </c>
      <c r="D59" s="15" t="n">
        <f aca="false">SUMPRODUCT($B$6:$E$6,B58:E58)</f>
        <v>0.072057594037928</v>
      </c>
      <c r="E59" s="15" t="n">
        <f aca="false">SUMPRODUCT($B$7:$E$7,B58:E58)</f>
        <v>0.072057594037928</v>
      </c>
      <c r="F59" s="15" t="n">
        <f aca="false">SUM(B59:E59)</f>
        <v>0.144115188075856</v>
      </c>
      <c r="G59" s="15" t="n">
        <f aca="false">IF(F58&lt;&gt;0,F59/F58,"")</f>
        <v>0.8</v>
      </c>
      <c r="H59" s="16" t="n">
        <f aca="false">IF($B$28="yes",SUMPRODUCT(MMULT(B59:E59,$N$22:$Q$25),B59:E59),"")</f>
        <v>0.0288460936585269</v>
      </c>
      <c r="I59" s="15" t="n">
        <f aca="false">SUMPRODUCT($B$4:$E$4,I58:L58)</f>
        <v>8.72876090213794</v>
      </c>
      <c r="J59" s="15" t="n">
        <f aca="false">SUMPRODUCT($B$5:$E$5,I58:L58)+Shock</f>
        <v>18.7287609021379</v>
      </c>
      <c r="K59" s="15" t="n">
        <f aca="false">SUMPRODUCT($B$6:$E$6,I58:L58)</f>
        <v>10.9109511276724</v>
      </c>
      <c r="L59" s="15" t="n">
        <f aca="false">SUMPRODUCT($B$7:$E$7,I58:L58)</f>
        <v>10.9109511276724</v>
      </c>
      <c r="M59" s="15" t="n">
        <f aca="false">SUM(I59:L59)</f>
        <v>49.2794240596207</v>
      </c>
    </row>
    <row r="60" customFormat="false" ht="15" hidden="false" customHeight="false" outlineLevel="0" collapsed="false">
      <c r="A60" s="20" t="n">
        <v>20</v>
      </c>
      <c r="B60" s="15" t="n">
        <f aca="false">SUMPRODUCT($B$4:$E$4,B59:E59)</f>
        <v>0.0576460752303424</v>
      </c>
      <c r="C60" s="15" t="n">
        <f aca="false">SUMPRODUCT($B$5:$E$5,B59:E59)</f>
        <v>0.0576460752303424</v>
      </c>
      <c r="D60" s="15" t="n">
        <f aca="false">SUMPRODUCT($B$6:$E$6,B59:E59)</f>
        <v>0</v>
      </c>
      <c r="E60" s="15" t="n">
        <f aca="false">SUMPRODUCT($B$7:$E$7,B59:E59)</f>
        <v>0</v>
      </c>
      <c r="F60" s="15" t="n">
        <f aca="false">SUM(B60:E60)</f>
        <v>0.115292150460685</v>
      </c>
      <c r="G60" s="15" t="n">
        <f aca="false">IF(F59&lt;&gt;0,F60/F59,"")</f>
        <v>0.8</v>
      </c>
      <c r="H60" s="16" t="n">
        <f aca="false">IF($B$28="yes",SUMPRODUCT(MMULT(B60:E60,$N$22:$Q$25),B60:E60),"")</f>
        <v>0.0184614999414572</v>
      </c>
      <c r="I60" s="15" t="n">
        <f aca="false">SUMPRODUCT($B$4:$E$4,I59:L59)</f>
        <v>8.72876090213794</v>
      </c>
      <c r="J60" s="15" t="n">
        <f aca="false">SUMPRODUCT($B$5:$E$5,I59:L59)+Shock</f>
        <v>18.7287609021379</v>
      </c>
      <c r="K60" s="15" t="n">
        <f aca="false">SUMPRODUCT($B$6:$E$6,I59:L59)</f>
        <v>10.9830087217104</v>
      </c>
      <c r="L60" s="15" t="n">
        <f aca="false">SUMPRODUCT($B$7:$E$7,I59:L59)</f>
        <v>10.9830087217104</v>
      </c>
      <c r="M60" s="15" t="n">
        <f aca="false">SUM(I60:L60)</f>
        <v>49.4235392476966</v>
      </c>
    </row>
    <row r="61" customFormat="false" ht="15" hidden="false" customHeight="false" outlineLevel="0" collapsed="false">
      <c r="A61" s="20" t="n">
        <v>21</v>
      </c>
      <c r="B61" s="15" t="n">
        <f aca="false">SUMPRODUCT($B$4:$E$4,B60:E60)</f>
        <v>0</v>
      </c>
      <c r="C61" s="15" t="n">
        <f aca="false">SUMPRODUCT($B$5:$E$5,B60:E60)</f>
        <v>0</v>
      </c>
      <c r="D61" s="15" t="n">
        <f aca="false">SUMPRODUCT($B$6:$E$6,B60:E60)</f>
        <v>0.0461168601842739</v>
      </c>
      <c r="E61" s="15" t="n">
        <f aca="false">SUMPRODUCT($B$7:$E$7,B60:E60)</f>
        <v>0.0461168601842739</v>
      </c>
      <c r="F61" s="15" t="n">
        <f aca="false">SUM(B61:E61)</f>
        <v>0.0922337203685479</v>
      </c>
      <c r="G61" s="15" t="n">
        <f aca="false">IF(F60&lt;&gt;0,F61/F60,"")</f>
        <v>0.8</v>
      </c>
      <c r="H61" s="16" t="n">
        <f aca="false">IF($B$28="yes",SUMPRODUCT(MMULT(B61:E61,$N$22:$Q$25),B61:E61),"")</f>
        <v>0.0118153599625326</v>
      </c>
      <c r="I61" s="15" t="n">
        <f aca="false">SUMPRODUCT($B$4:$E$4,I60:L60)</f>
        <v>8.78640697736828</v>
      </c>
      <c r="J61" s="15" t="n">
        <f aca="false">SUMPRODUCT($B$5:$E$5,I60:L60)+Shock</f>
        <v>18.7864069773683</v>
      </c>
      <c r="K61" s="15" t="n">
        <f aca="false">SUMPRODUCT($B$6:$E$6,I60:L60)</f>
        <v>10.9830087217104</v>
      </c>
      <c r="L61" s="15" t="n">
        <f aca="false">SUMPRODUCT($B$7:$E$7,I60:L60)</f>
        <v>10.9830087217104</v>
      </c>
      <c r="M61" s="15" t="n">
        <f aca="false">SUM(I61:L61)</f>
        <v>49.5388313981573</v>
      </c>
    </row>
    <row r="62" customFormat="false" ht="15" hidden="false" customHeight="false" outlineLevel="0" collapsed="false">
      <c r="A62" s="20" t="n">
        <v>22</v>
      </c>
      <c r="B62" s="15" t="n">
        <f aca="false">SUMPRODUCT($B$4:$E$4,B61:E61)</f>
        <v>0.0368934881474192</v>
      </c>
      <c r="C62" s="15" t="n">
        <f aca="false">SUMPRODUCT($B$5:$E$5,B61:E61)</f>
        <v>0.0368934881474192</v>
      </c>
      <c r="D62" s="15" t="n">
        <f aca="false">SUMPRODUCT($B$6:$E$6,B61:E61)</f>
        <v>0</v>
      </c>
      <c r="E62" s="15" t="n">
        <f aca="false">SUMPRODUCT($B$7:$E$7,B61:E61)</f>
        <v>0</v>
      </c>
      <c r="F62" s="15" t="n">
        <f aca="false">SUM(B62:E62)</f>
        <v>0.0737869762948383</v>
      </c>
      <c r="G62" s="15" t="n">
        <f aca="false">IF(F61&lt;&gt;0,F62/F61,"")</f>
        <v>0.8</v>
      </c>
      <c r="H62" s="16" t="n">
        <f aca="false">IF($B$28="yes",SUMPRODUCT(MMULT(B62:E62,$N$22:$Q$25),B62:E62),"")</f>
        <v>0.00756183037602088</v>
      </c>
      <c r="I62" s="15" t="n">
        <f aca="false">SUMPRODUCT($B$4:$E$4,I61:L61)</f>
        <v>8.78640697736828</v>
      </c>
      <c r="J62" s="15" t="n">
        <f aca="false">SUMPRODUCT($B$5:$E$5,I61:L61)+Shock</f>
        <v>18.7864069773683</v>
      </c>
      <c r="K62" s="15" t="n">
        <f aca="false">SUMPRODUCT($B$6:$E$6,I61:L61)</f>
        <v>11.0291255818946</v>
      </c>
      <c r="L62" s="15" t="n">
        <f aca="false">SUMPRODUCT($B$7:$E$7,I61:L61)</f>
        <v>11.0291255818946</v>
      </c>
      <c r="M62" s="15" t="n">
        <f aca="false">SUM(I62:L62)</f>
        <v>49.6310651185258</v>
      </c>
    </row>
    <row r="63" customFormat="false" ht="15" hidden="false" customHeight="false" outlineLevel="0" collapsed="false">
      <c r="A63" s="20" t="n">
        <v>23</v>
      </c>
      <c r="B63" s="15" t="n">
        <f aca="false">SUMPRODUCT($B$4:$E$4,B62:E62)</f>
        <v>0</v>
      </c>
      <c r="C63" s="15" t="n">
        <f aca="false">SUMPRODUCT($B$5:$E$5,B62:E62)</f>
        <v>0</v>
      </c>
      <c r="D63" s="15" t="n">
        <f aca="false">SUMPRODUCT($B$6:$E$6,B62:E62)</f>
        <v>0.0295147905179353</v>
      </c>
      <c r="E63" s="15" t="n">
        <f aca="false">SUMPRODUCT($B$7:$E$7,B62:E62)</f>
        <v>0.0295147905179353</v>
      </c>
      <c r="F63" s="15" t="n">
        <f aca="false">SUM(B63:E63)</f>
        <v>0.0590295810358706</v>
      </c>
      <c r="G63" s="15" t="n">
        <f aca="false">IF(F62&lt;&gt;0,F63/F62,"")</f>
        <v>0.8</v>
      </c>
      <c r="H63" s="16" t="n">
        <f aca="false">IF($B$28="yes",SUMPRODUCT(MMULT(B63:E63,$N$22:$Q$25),B63:E63),"")</f>
        <v>0.00483957144065336</v>
      </c>
      <c r="I63" s="15" t="n">
        <f aca="false">SUMPRODUCT($B$4:$E$4,I62:L62)</f>
        <v>8.8233004655157</v>
      </c>
      <c r="J63" s="15" t="n">
        <f aca="false">SUMPRODUCT($B$5:$E$5,I62:L62)+Shock</f>
        <v>18.8233004655157</v>
      </c>
      <c r="K63" s="15" t="n">
        <f aca="false">SUMPRODUCT($B$6:$E$6,I62:L62)</f>
        <v>11.0291255818946</v>
      </c>
      <c r="L63" s="15" t="n">
        <f aca="false">SUMPRODUCT($B$7:$E$7,I62:L62)</f>
        <v>11.0291255818946</v>
      </c>
      <c r="M63" s="15" t="n">
        <f aca="false">SUM(I63:L63)</f>
        <v>49.7048520948207</v>
      </c>
    </row>
    <row r="64" customFormat="false" ht="15" hidden="false" customHeight="false" outlineLevel="0" collapsed="false">
      <c r="A64" s="20" t="n">
        <v>24</v>
      </c>
      <c r="B64" s="15" t="n">
        <f aca="false">SUMPRODUCT($B$4:$E$4,B63:E63)</f>
        <v>0.0236118324143483</v>
      </c>
      <c r="C64" s="15" t="n">
        <f aca="false">SUMPRODUCT($B$5:$E$5,B63:E63)</f>
        <v>0.0236118324143483</v>
      </c>
      <c r="D64" s="15" t="n">
        <f aca="false">SUMPRODUCT($B$6:$E$6,B63:E63)</f>
        <v>0</v>
      </c>
      <c r="E64" s="15" t="n">
        <f aca="false">SUMPRODUCT($B$7:$E$7,B63:E63)</f>
        <v>0</v>
      </c>
      <c r="F64" s="15" t="n">
        <f aca="false">SUM(B64:E64)</f>
        <v>0.0472236648286965</v>
      </c>
      <c r="G64" s="15" t="n">
        <f aca="false">IF(F63&lt;&gt;0,F64/F63,"")</f>
        <v>0.8</v>
      </c>
      <c r="H64" s="16" t="n">
        <f aca="false">IF($B$28="yes",SUMPRODUCT(MMULT(B64:E64,$N$22:$Q$25),B64:E64),"")</f>
        <v>0.00309732572201815</v>
      </c>
      <c r="I64" s="15" t="n">
        <f aca="false">SUMPRODUCT($B$4:$E$4,I63:L63)</f>
        <v>8.8233004655157</v>
      </c>
      <c r="J64" s="15" t="n">
        <f aca="false">SUMPRODUCT($B$5:$E$5,I63:L63)+Shock</f>
        <v>18.8233004655157</v>
      </c>
      <c r="K64" s="15" t="n">
        <f aca="false">SUMPRODUCT($B$6:$E$6,I63:L63)</f>
        <v>11.0586403724126</v>
      </c>
      <c r="L64" s="15" t="n">
        <f aca="false">SUMPRODUCT($B$7:$E$7,I63:L63)</f>
        <v>11.0586403724126</v>
      </c>
      <c r="M64" s="15" t="n">
        <f aca="false">SUM(I64:L64)</f>
        <v>49.7638816758565</v>
      </c>
    </row>
    <row r="65" customFormat="false" ht="15" hidden="false" customHeight="false" outlineLevel="0" collapsed="false">
      <c r="A65" s="20" t="n">
        <v>25</v>
      </c>
      <c r="B65" s="15" t="n">
        <f aca="false">SUMPRODUCT($B$4:$E$4,B64:E64)</f>
        <v>0</v>
      </c>
      <c r="C65" s="15" t="n">
        <f aca="false">SUMPRODUCT($B$5:$E$5,B64:E64)</f>
        <v>0</v>
      </c>
      <c r="D65" s="15" t="n">
        <f aca="false">SUMPRODUCT($B$6:$E$6,B64:E64)</f>
        <v>0.0188894659314786</v>
      </c>
      <c r="E65" s="15" t="n">
        <f aca="false">SUMPRODUCT($B$7:$E$7,B64:E64)</f>
        <v>0.0188894659314786</v>
      </c>
      <c r="F65" s="15" t="n">
        <f aca="false">SUM(B65:E65)</f>
        <v>0.0377789318629572</v>
      </c>
      <c r="G65" s="15" t="n">
        <f aca="false">IF(F64&lt;&gt;0,F65/F64,"")</f>
        <v>0.8</v>
      </c>
      <c r="H65" s="16" t="n">
        <f aca="false">IF($B$28="yes",SUMPRODUCT(MMULT(B65:E65,$N$22:$Q$25),B65:E65),"")</f>
        <v>0.00198228846209162</v>
      </c>
      <c r="I65" s="15" t="n">
        <f aca="false">SUMPRODUCT($B$4:$E$4,I64:L64)</f>
        <v>8.84691229793005</v>
      </c>
      <c r="J65" s="15" t="n">
        <f aca="false">SUMPRODUCT($B$5:$E$5,I64:L64)+Shock</f>
        <v>18.8469122979301</v>
      </c>
      <c r="K65" s="15" t="n">
        <f aca="false">SUMPRODUCT($B$6:$E$6,I64:L64)</f>
        <v>11.0586403724126</v>
      </c>
      <c r="L65" s="15" t="n">
        <f aca="false">SUMPRODUCT($B$7:$E$7,I64:L64)</f>
        <v>11.0586403724126</v>
      </c>
      <c r="M65" s="15" t="n">
        <f aca="false">SUM(I65:L65)</f>
        <v>49.8111053406852</v>
      </c>
    </row>
    <row r="66" customFormat="false" ht="15" hidden="false" customHeight="false" outlineLevel="0" collapsed="false">
      <c r="A66" s="20" t="n">
        <v>26</v>
      </c>
      <c r="B66" s="15" t="n">
        <f aca="false">SUMPRODUCT($B$4:$E$4,B65:E65)</f>
        <v>0.0151115727451829</v>
      </c>
      <c r="C66" s="15" t="n">
        <f aca="false">SUMPRODUCT($B$5:$E$5,B65:E65)</f>
        <v>0.0151115727451829</v>
      </c>
      <c r="D66" s="15" t="n">
        <f aca="false">SUMPRODUCT($B$6:$E$6,B65:E65)</f>
        <v>0</v>
      </c>
      <c r="E66" s="15" t="n">
        <f aca="false">SUMPRODUCT($B$7:$E$7,B65:E65)</f>
        <v>0</v>
      </c>
      <c r="F66" s="15" t="n">
        <f aca="false">SUM(B66:E66)</f>
        <v>0.0302231454903658</v>
      </c>
      <c r="G66" s="15" t="n">
        <f aca="false">IF(F65&lt;&gt;0,F66/F65,"")</f>
        <v>0.8</v>
      </c>
      <c r="H66" s="16" t="n">
        <f aca="false">IF($B$28="yes",SUMPRODUCT(MMULT(B66:E66,$N$22:$Q$25),B66:E66),"")</f>
        <v>0.00126866461573864</v>
      </c>
      <c r="I66" s="15" t="n">
        <f aca="false">SUMPRODUCT($B$4:$E$4,I65:L65)</f>
        <v>8.84691229793005</v>
      </c>
      <c r="J66" s="15" t="n">
        <f aca="false">SUMPRODUCT($B$5:$E$5,I65:L65)+Shock</f>
        <v>18.8469122979301</v>
      </c>
      <c r="K66" s="15" t="n">
        <f aca="false">SUMPRODUCT($B$6:$E$6,I65:L65)</f>
        <v>11.077529838344</v>
      </c>
      <c r="L66" s="15" t="n">
        <f aca="false">SUMPRODUCT($B$7:$E$7,I65:L65)</f>
        <v>11.077529838344</v>
      </c>
      <c r="M66" s="15" t="n">
        <f aca="false">SUM(I66:L66)</f>
        <v>49.8488842725482</v>
      </c>
    </row>
    <row r="67" customFormat="false" ht="15" hidden="false" customHeight="false" outlineLevel="0" collapsed="false">
      <c r="A67" s="20" t="n">
        <v>27</v>
      </c>
      <c r="B67" s="15" t="n">
        <f aca="false">SUMPRODUCT($B$4:$E$4,B66:E66)</f>
        <v>0</v>
      </c>
      <c r="C67" s="15" t="n">
        <f aca="false">SUMPRODUCT($B$5:$E$5,B66:E66)</f>
        <v>0</v>
      </c>
      <c r="D67" s="15" t="n">
        <f aca="false">SUMPRODUCT($B$6:$E$6,B66:E66)</f>
        <v>0.0120892581961463</v>
      </c>
      <c r="E67" s="15" t="n">
        <f aca="false">SUMPRODUCT($B$7:$E$7,B66:E66)</f>
        <v>0.0120892581961463</v>
      </c>
      <c r="F67" s="15" t="n">
        <f aca="false">SUM(B67:E67)</f>
        <v>0.0241785163922926</v>
      </c>
      <c r="G67" s="15" t="n">
        <f aca="false">IF(F66&lt;&gt;0,F67/F66,"")</f>
        <v>0.8</v>
      </c>
      <c r="H67" s="16" t="n">
        <f aca="false">IF($B$28="yes",SUMPRODUCT(MMULT(B67:E67,$N$22:$Q$25),B67:E67),"")</f>
        <v>0.000811945354072727</v>
      </c>
      <c r="I67" s="15" t="n">
        <f aca="false">SUMPRODUCT($B$4:$E$4,I66:L66)</f>
        <v>8.86202387067523</v>
      </c>
      <c r="J67" s="15" t="n">
        <f aca="false">SUMPRODUCT($B$5:$E$5,I66:L66)+Shock</f>
        <v>18.8620238706752</v>
      </c>
      <c r="K67" s="15" t="n">
        <f aca="false">SUMPRODUCT($B$6:$E$6,I66:L66)</f>
        <v>11.077529838344</v>
      </c>
      <c r="L67" s="15" t="n">
        <f aca="false">SUMPRODUCT($B$7:$E$7,I66:L66)</f>
        <v>11.077529838344</v>
      </c>
      <c r="M67" s="15" t="n">
        <f aca="false">SUM(I67:L67)</f>
        <v>49.8791074180386</v>
      </c>
    </row>
    <row r="68" customFormat="false" ht="15" hidden="false" customHeight="false" outlineLevel="0" collapsed="false">
      <c r="A68" s="20" t="n">
        <v>28</v>
      </c>
      <c r="B68" s="15" t="n">
        <f aca="false">SUMPRODUCT($B$4:$E$4,B67:E67)</f>
        <v>0.00967140655691705</v>
      </c>
      <c r="C68" s="15" t="n">
        <f aca="false">SUMPRODUCT($B$5:$E$5,B67:E67)</f>
        <v>0.00967140655691705</v>
      </c>
      <c r="D68" s="15" t="n">
        <f aca="false">SUMPRODUCT($B$6:$E$6,B67:E67)</f>
        <v>0</v>
      </c>
      <c r="E68" s="15" t="n">
        <f aca="false">SUMPRODUCT($B$7:$E$7,B67:E67)</f>
        <v>0</v>
      </c>
      <c r="F68" s="15" t="n">
        <f aca="false">SUM(B68:E68)</f>
        <v>0.0193428131138341</v>
      </c>
      <c r="G68" s="15" t="n">
        <f aca="false">IF(F67&lt;&gt;0,F68/F67,"")</f>
        <v>0.8</v>
      </c>
      <c r="H68" s="16" t="n">
        <f aca="false">IF($B$28="yes",SUMPRODUCT(MMULT(B68:E68,$N$22:$Q$25),B68:E68),"")</f>
        <v>0.000519645026606545</v>
      </c>
      <c r="I68" s="15" t="n">
        <f aca="false">SUMPRODUCT($B$4:$E$4,I67:L67)</f>
        <v>8.86202387067523</v>
      </c>
      <c r="J68" s="15" t="n">
        <f aca="false">SUMPRODUCT($B$5:$E$5,I67:L67)+Shock</f>
        <v>18.8620238706752</v>
      </c>
      <c r="K68" s="15" t="n">
        <f aca="false">SUMPRODUCT($B$6:$E$6,I67:L67)</f>
        <v>11.0896190965402</v>
      </c>
      <c r="L68" s="15" t="n">
        <f aca="false">SUMPRODUCT($B$7:$E$7,I67:L67)</f>
        <v>11.0896190965402</v>
      </c>
      <c r="M68" s="15" t="n">
        <f aca="false">SUM(I68:L68)</f>
        <v>49.9032859344309</v>
      </c>
    </row>
    <row r="69" customFormat="false" ht="15" hidden="false" customHeight="false" outlineLevel="0" collapsed="false">
      <c r="A69" s="20" t="n">
        <v>29</v>
      </c>
      <c r="B69" s="15" t="n">
        <f aca="false">SUMPRODUCT($B$4:$E$4,B68:E68)</f>
        <v>0</v>
      </c>
      <c r="C69" s="15" t="n">
        <f aca="false">SUMPRODUCT($B$5:$E$5,B68:E68)</f>
        <v>0</v>
      </c>
      <c r="D69" s="15" t="n">
        <f aca="false">SUMPRODUCT($B$6:$E$6,B68:E68)</f>
        <v>0.00773712524553364</v>
      </c>
      <c r="E69" s="15" t="n">
        <f aca="false">SUMPRODUCT($B$7:$E$7,B68:E68)</f>
        <v>0.00773712524553364</v>
      </c>
      <c r="F69" s="15" t="n">
        <f aca="false">SUM(B69:E69)</f>
        <v>0.0154742504910673</v>
      </c>
      <c r="G69" s="15" t="n">
        <f aca="false">IF(F68&lt;&gt;0,F69/F68,"")</f>
        <v>0.8</v>
      </c>
      <c r="H69" s="16" t="n">
        <f aca="false">IF($B$28="yes",SUMPRODUCT(MMULT(B69:E69,$N$22:$Q$25),B69:E69),"")</f>
        <v>0.000332572817028189</v>
      </c>
      <c r="I69" s="15" t="n">
        <f aca="false">SUMPRODUCT($B$4:$E$4,I68:L68)</f>
        <v>8.87169527723215</v>
      </c>
      <c r="J69" s="15" t="n">
        <f aca="false">SUMPRODUCT($B$5:$E$5,I68:L68)+Shock</f>
        <v>18.8716952772322</v>
      </c>
      <c r="K69" s="15" t="n">
        <f aca="false">SUMPRODUCT($B$6:$E$6,I68:L68)</f>
        <v>11.0896190965402</v>
      </c>
      <c r="L69" s="15" t="n">
        <f aca="false">SUMPRODUCT($B$7:$E$7,I68:L68)</f>
        <v>11.0896190965402</v>
      </c>
      <c r="M69" s="15" t="n">
        <f aca="false">SUM(I69:L69)</f>
        <v>49.9226287475447</v>
      </c>
    </row>
    <row r="70" customFormat="false" ht="15" hidden="false" customHeight="false" outlineLevel="0" collapsed="false">
      <c r="A70" s="20" t="n">
        <v>30</v>
      </c>
      <c r="B70" s="15" t="n">
        <f aca="false">SUMPRODUCT($B$4:$E$4,B69:E69)</f>
        <v>0.00618970019642691</v>
      </c>
      <c r="C70" s="15" t="n">
        <f aca="false">SUMPRODUCT($B$5:$E$5,B69:E69)</f>
        <v>0.00618970019642691</v>
      </c>
      <c r="D70" s="15" t="n">
        <f aca="false">SUMPRODUCT($B$6:$E$6,B69:E69)</f>
        <v>0</v>
      </c>
      <c r="E70" s="15" t="n">
        <f aca="false">SUMPRODUCT($B$7:$E$7,B69:E69)</f>
        <v>0</v>
      </c>
      <c r="F70" s="15" t="n">
        <f aca="false">SUM(B70:E70)</f>
        <v>0.0123794003928538</v>
      </c>
      <c r="G70" s="15" t="n">
        <f aca="false">IF(F69&lt;&gt;0,F70/F69,"")</f>
        <v>0.8</v>
      </c>
      <c r="H70" s="16" t="n">
        <f aca="false">IF($B$28="yes",SUMPRODUCT(MMULT(B70:E70,$N$22:$Q$25),B70:E70),"")</f>
        <v>0.000212846602898041</v>
      </c>
      <c r="I70" s="15" t="n">
        <f aca="false">SUMPRODUCT($B$4:$E$4,I69:L69)</f>
        <v>8.87169527723215</v>
      </c>
      <c r="J70" s="15" t="n">
        <f aca="false">SUMPRODUCT($B$5:$E$5,I69:L69)+Shock</f>
        <v>18.8716952772322</v>
      </c>
      <c r="K70" s="15" t="n">
        <f aca="false">SUMPRODUCT($B$6:$E$6,I69:L69)</f>
        <v>11.0973562217857</v>
      </c>
      <c r="L70" s="15" t="n">
        <f aca="false">SUMPRODUCT($B$7:$E$7,I69:L69)</f>
        <v>11.0973562217857</v>
      </c>
      <c r="M70" s="15" t="n">
        <f aca="false">SUM(I70:L70)</f>
        <v>49.9381029980357</v>
      </c>
    </row>
    <row r="71" customFormat="false" ht="15" hidden="false" customHeight="false" outlineLevel="0" collapsed="false">
      <c r="A71" s="20" t="n">
        <v>31</v>
      </c>
      <c r="B71" s="15" t="n">
        <f aca="false">SUMPRODUCT($B$4:$E$4,B70:E70)</f>
        <v>0</v>
      </c>
      <c r="C71" s="15" t="n">
        <f aca="false">SUMPRODUCT($B$5:$E$5,B70:E70)</f>
        <v>0</v>
      </c>
      <c r="D71" s="15" t="n">
        <f aca="false">SUMPRODUCT($B$6:$E$6,B70:E70)</f>
        <v>0.00495176015714153</v>
      </c>
      <c r="E71" s="15" t="n">
        <f aca="false">SUMPRODUCT($B$7:$E$7,B70:E70)</f>
        <v>0.00495176015714153</v>
      </c>
      <c r="F71" s="15" t="n">
        <f aca="false">SUM(B71:E71)</f>
        <v>0.00990352031428306</v>
      </c>
      <c r="G71" s="15" t="n">
        <f aca="false">IF(F70&lt;&gt;0,F71/F70,"")</f>
        <v>0.8</v>
      </c>
      <c r="H71" s="16" t="n">
        <f aca="false">IF($B$28="yes",SUMPRODUCT(MMULT(B71:E71,$N$22:$Q$25),B71:E71),"")</f>
        <v>0.000136221825854746</v>
      </c>
      <c r="I71" s="15" t="n">
        <f aca="false">SUMPRODUCT($B$4:$E$4,I70:L70)</f>
        <v>8.87788497742858</v>
      </c>
      <c r="J71" s="15" t="n">
        <f aca="false">SUMPRODUCT($B$5:$E$5,I70:L70)+Shock</f>
        <v>18.8778849774286</v>
      </c>
      <c r="K71" s="15" t="n">
        <f aca="false">SUMPRODUCT($B$6:$E$6,I70:L70)</f>
        <v>11.0973562217857</v>
      </c>
      <c r="L71" s="15" t="n">
        <f aca="false">SUMPRODUCT($B$7:$E$7,I70:L70)</f>
        <v>11.0973562217857</v>
      </c>
      <c r="M71" s="15" t="n">
        <f aca="false">SUM(I71:L71)</f>
        <v>49.9504823984286</v>
      </c>
    </row>
    <row r="72" customFormat="false" ht="15" hidden="false" customHeight="false" outlineLevel="0" collapsed="false">
      <c r="A72" s="20" t="n">
        <v>32</v>
      </c>
      <c r="B72" s="15" t="n">
        <f aca="false">SUMPRODUCT($B$4:$E$4,B71:E71)</f>
        <v>0.00396140812571322</v>
      </c>
      <c r="C72" s="15" t="n">
        <f aca="false">SUMPRODUCT($B$5:$E$5,B71:E71)</f>
        <v>0.00396140812571322</v>
      </c>
      <c r="D72" s="15" t="n">
        <f aca="false">SUMPRODUCT($B$6:$E$6,B71:E71)</f>
        <v>0</v>
      </c>
      <c r="E72" s="15" t="n">
        <f aca="false">SUMPRODUCT($B$7:$E$7,B71:E71)</f>
        <v>0</v>
      </c>
      <c r="F72" s="15" t="n">
        <f aca="false">SUM(B72:E72)</f>
        <v>0.00792281625142645</v>
      </c>
      <c r="G72" s="15" t="n">
        <f aca="false">IF(F71&lt;&gt;0,F72/F71,"")</f>
        <v>0.8</v>
      </c>
      <c r="H72" s="16" t="n">
        <f aca="false">IF($B$28="yes",SUMPRODUCT(MMULT(B72:E72,$N$22:$Q$25),B72:E72),"")</f>
        <v>8.71819685470376E-005</v>
      </c>
      <c r="I72" s="15" t="n">
        <f aca="false">SUMPRODUCT($B$4:$E$4,I71:L71)</f>
        <v>8.87788497742858</v>
      </c>
      <c r="J72" s="15" t="n">
        <f aca="false">SUMPRODUCT($B$5:$E$5,I71:L71)+Shock</f>
        <v>18.8778849774286</v>
      </c>
      <c r="K72" s="15" t="n">
        <f aca="false">SUMPRODUCT($B$6:$E$6,I71:L71)</f>
        <v>11.1023079819429</v>
      </c>
      <c r="L72" s="15" t="n">
        <f aca="false">SUMPRODUCT($B$7:$E$7,I71:L71)</f>
        <v>11.1023079819429</v>
      </c>
      <c r="M72" s="15" t="n">
        <f aca="false">SUM(I72:L72)</f>
        <v>49.9603859187429</v>
      </c>
    </row>
    <row r="73" customFormat="false" ht="15" hidden="false" customHeight="false" outlineLevel="0" collapsed="false">
      <c r="A73" s="20" t="n">
        <v>33</v>
      </c>
      <c r="B73" s="15" t="n">
        <f aca="false">SUMPRODUCT($B$4:$E$4,B72:E72)</f>
        <v>0</v>
      </c>
      <c r="C73" s="15" t="n">
        <f aca="false">SUMPRODUCT($B$5:$E$5,B72:E72)</f>
        <v>0</v>
      </c>
      <c r="D73" s="15" t="n">
        <f aca="false">SUMPRODUCT($B$6:$E$6,B72:E72)</f>
        <v>0.00316912650057058</v>
      </c>
      <c r="E73" s="15" t="n">
        <f aca="false">SUMPRODUCT($B$7:$E$7,B72:E72)</f>
        <v>0.00316912650057058</v>
      </c>
      <c r="F73" s="15" t="n">
        <f aca="false">SUM(B73:E73)</f>
        <v>0.00633825300114116</v>
      </c>
      <c r="G73" s="15" t="n">
        <f aca="false">IF(F72&lt;&gt;0,F73/F72,"")</f>
        <v>0.8</v>
      </c>
      <c r="H73" s="16" t="n">
        <f aca="false">IF($B$28="yes",SUMPRODUCT(MMULT(B73:E73,$N$22:$Q$25),B73:E73),"")</f>
        <v>5.5796459870104E-005</v>
      </c>
      <c r="I73" s="15" t="n">
        <f aca="false">SUMPRODUCT($B$4:$E$4,I72:L72)</f>
        <v>8.88184638555429</v>
      </c>
      <c r="J73" s="15" t="n">
        <f aca="false">SUMPRODUCT($B$5:$E$5,I72:L72)+Shock</f>
        <v>18.8818463855543</v>
      </c>
      <c r="K73" s="15" t="n">
        <f aca="false">SUMPRODUCT($B$6:$E$6,I72:L72)</f>
        <v>11.1023079819429</v>
      </c>
      <c r="L73" s="15" t="n">
        <f aca="false">SUMPRODUCT($B$7:$E$7,I72:L72)</f>
        <v>11.1023079819429</v>
      </c>
      <c r="M73" s="15" t="n">
        <f aca="false">SUM(I73:L73)</f>
        <v>49.9683087349943</v>
      </c>
    </row>
    <row r="74" customFormat="false" ht="15" hidden="false" customHeight="false" outlineLevel="0" collapsed="false">
      <c r="A74" s="20" t="n">
        <v>34</v>
      </c>
      <c r="B74" s="15" t="n">
        <f aca="false">SUMPRODUCT($B$4:$E$4,B73:E73)</f>
        <v>0.00253530120045646</v>
      </c>
      <c r="C74" s="15" t="n">
        <f aca="false">SUMPRODUCT($B$5:$E$5,B73:E73)</f>
        <v>0.00253530120045646</v>
      </c>
      <c r="D74" s="15" t="n">
        <f aca="false">SUMPRODUCT($B$6:$E$6,B73:E73)</f>
        <v>0</v>
      </c>
      <c r="E74" s="15" t="n">
        <f aca="false">SUMPRODUCT($B$7:$E$7,B73:E73)</f>
        <v>0</v>
      </c>
      <c r="F74" s="15" t="n">
        <f aca="false">SUM(B74:E74)</f>
        <v>0.00507060240091293</v>
      </c>
      <c r="G74" s="15" t="n">
        <f aca="false">IF(F73&lt;&gt;0,F74/F73,"")</f>
        <v>0.8</v>
      </c>
      <c r="H74" s="16" t="n">
        <f aca="false">IF($B$28="yes",SUMPRODUCT(MMULT(B74:E74,$N$22:$Q$25),B74:E74),"")</f>
        <v>3.57097343168666E-005</v>
      </c>
      <c r="I74" s="15" t="n">
        <f aca="false">SUMPRODUCT($B$4:$E$4,I73:L73)</f>
        <v>8.88184638555429</v>
      </c>
      <c r="J74" s="15" t="n">
        <f aca="false">SUMPRODUCT($B$5:$E$5,I73:L73)+Shock</f>
        <v>18.8818463855543</v>
      </c>
      <c r="K74" s="15" t="n">
        <f aca="false">SUMPRODUCT($B$6:$E$6,I73:L73)</f>
        <v>11.1054771084434</v>
      </c>
      <c r="L74" s="15" t="n">
        <f aca="false">SUMPRODUCT($B$7:$E$7,I73:L73)</f>
        <v>11.1054771084434</v>
      </c>
      <c r="M74" s="15" t="n">
        <f aca="false">SUM(I74:L74)</f>
        <v>49.9746469879954</v>
      </c>
    </row>
    <row r="75" customFormat="false" ht="15" hidden="false" customHeight="false" outlineLevel="0" collapsed="false">
      <c r="A75" s="20" t="n">
        <v>35</v>
      </c>
      <c r="B75" s="15" t="n">
        <f aca="false">SUMPRODUCT($B$4:$E$4,B74:E74)</f>
        <v>0</v>
      </c>
      <c r="C75" s="15" t="n">
        <f aca="false">SUMPRODUCT($B$5:$E$5,B74:E74)</f>
        <v>0</v>
      </c>
      <c r="D75" s="15" t="n">
        <f aca="false">SUMPRODUCT($B$6:$E$6,B74:E74)</f>
        <v>0.00202824096036517</v>
      </c>
      <c r="E75" s="15" t="n">
        <f aca="false">SUMPRODUCT($B$7:$E$7,B74:E74)</f>
        <v>0.00202824096036517</v>
      </c>
      <c r="F75" s="15" t="n">
        <f aca="false">SUM(B75:E75)</f>
        <v>0.00405648192073034</v>
      </c>
      <c r="G75" s="15" t="n">
        <f aca="false">IF(F74&lt;&gt;0,F75/F74,"")</f>
        <v>0.8</v>
      </c>
      <c r="H75" s="16" t="n">
        <f aca="false">IF($B$28="yes",SUMPRODUCT(MMULT(B75:E75,$N$22:$Q$25),B75:E75),"")</f>
        <v>2.28542299627946E-005</v>
      </c>
      <c r="I75" s="15" t="n">
        <f aca="false">SUMPRODUCT($B$4:$E$4,I74:L74)</f>
        <v>8.88438168675475</v>
      </c>
      <c r="J75" s="15" t="n">
        <f aca="false">SUMPRODUCT($B$5:$E$5,I74:L74)+Shock</f>
        <v>18.8843816867547</v>
      </c>
      <c r="K75" s="15" t="n">
        <f aca="false">SUMPRODUCT($B$6:$E$6,I74:L74)</f>
        <v>11.1054771084434</v>
      </c>
      <c r="L75" s="15" t="n">
        <f aca="false">SUMPRODUCT($B$7:$E$7,I74:L74)</f>
        <v>11.1054771084434</v>
      </c>
      <c r="M75" s="15" t="n">
        <f aca="false">SUM(I75:L75)</f>
        <v>49.9797175903964</v>
      </c>
    </row>
    <row r="76" customFormat="false" ht="15" hidden="false" customHeight="false" outlineLevel="0" collapsed="false">
      <c r="A76" s="20" t="n">
        <v>36</v>
      </c>
      <c r="B76" s="15" t="n">
        <f aca="false">SUMPRODUCT($B$4:$E$4,B75:E75)</f>
        <v>0.00162259276829214</v>
      </c>
      <c r="C76" s="15" t="n">
        <f aca="false">SUMPRODUCT($B$5:$E$5,B75:E75)</f>
        <v>0.00162259276829214</v>
      </c>
      <c r="D76" s="15" t="n">
        <f aca="false">SUMPRODUCT($B$6:$E$6,B75:E75)</f>
        <v>0</v>
      </c>
      <c r="E76" s="15" t="n">
        <f aca="false">SUMPRODUCT($B$7:$E$7,B75:E75)</f>
        <v>0</v>
      </c>
      <c r="F76" s="15" t="n">
        <f aca="false">SUM(B76:E76)</f>
        <v>0.00324518553658427</v>
      </c>
      <c r="G76" s="15" t="n">
        <f aca="false">IF(F75&lt;&gt;0,F76/F75,"")</f>
        <v>0.8</v>
      </c>
      <c r="H76" s="16" t="n">
        <f aca="false">IF($B$28="yes",SUMPRODUCT(MMULT(B76:E76,$N$22:$Q$25),B76:E76),"")</f>
        <v>1.46267071761886E-005</v>
      </c>
      <c r="I76" s="15" t="n">
        <f aca="false">SUMPRODUCT($B$4:$E$4,I75:L75)</f>
        <v>8.88438168675475</v>
      </c>
      <c r="J76" s="15" t="n">
        <f aca="false">SUMPRODUCT($B$5:$E$5,I75:L75)+Shock</f>
        <v>18.8843816867547</v>
      </c>
      <c r="K76" s="15" t="n">
        <f aca="false">SUMPRODUCT($B$6:$E$6,I75:L75)</f>
        <v>11.1075053494038</v>
      </c>
      <c r="L76" s="15" t="n">
        <f aca="false">SUMPRODUCT($B$7:$E$7,I75:L75)</f>
        <v>11.1075053494038</v>
      </c>
      <c r="M76" s="15" t="n">
        <f aca="false">SUM(I76:L76)</f>
        <v>49.9837740723171</v>
      </c>
    </row>
    <row r="77" customFormat="false" ht="15" hidden="false" customHeight="false" outlineLevel="0" collapsed="false">
      <c r="A77" s="20" t="n">
        <v>37</v>
      </c>
      <c r="B77" s="15" t="n">
        <f aca="false">SUMPRODUCT($B$4:$E$4,B76:E76)</f>
        <v>0</v>
      </c>
      <c r="C77" s="15" t="n">
        <f aca="false">SUMPRODUCT($B$5:$E$5,B76:E76)</f>
        <v>0</v>
      </c>
      <c r="D77" s="15" t="n">
        <f aca="false">SUMPRODUCT($B$6:$E$6,B76:E76)</f>
        <v>0.00129807421463371</v>
      </c>
      <c r="E77" s="15" t="n">
        <f aca="false">SUMPRODUCT($B$7:$E$7,B76:E76)</f>
        <v>0.00129807421463371</v>
      </c>
      <c r="F77" s="15" t="n">
        <f aca="false">SUM(B77:E77)</f>
        <v>0.00259614842926742</v>
      </c>
      <c r="G77" s="15" t="n">
        <f aca="false">IF(F76&lt;&gt;0,F77/F76,"")</f>
        <v>0.8</v>
      </c>
      <c r="H77" s="16" t="n">
        <f aca="false">IF($B$28="yes",SUMPRODUCT(MMULT(B77:E77,$N$22:$Q$25),B77:E77),"")</f>
        <v>9.36109259276068E-006</v>
      </c>
      <c r="I77" s="15" t="n">
        <f aca="false">SUMPRODUCT($B$4:$E$4,I76:L76)</f>
        <v>8.88600427952304</v>
      </c>
      <c r="J77" s="15" t="n">
        <f aca="false">SUMPRODUCT($B$5:$E$5,I76:L76)+Shock</f>
        <v>18.886004279523</v>
      </c>
      <c r="K77" s="15" t="n">
        <f aca="false">SUMPRODUCT($B$6:$E$6,I76:L76)</f>
        <v>11.1075053494038</v>
      </c>
      <c r="L77" s="15" t="n">
        <f aca="false">SUMPRODUCT($B$7:$E$7,I76:L76)</f>
        <v>11.1075053494038</v>
      </c>
      <c r="M77" s="15" t="n">
        <f aca="false">SUM(I77:L77)</f>
        <v>49.9870192578537</v>
      </c>
    </row>
    <row r="78" customFormat="false" ht="15" hidden="false" customHeight="false" outlineLevel="0" collapsed="false">
      <c r="A78" s="20" t="n">
        <v>38</v>
      </c>
      <c r="B78" s="15" t="n">
        <f aca="false">SUMPRODUCT($B$4:$E$4,B77:E77)</f>
        <v>0.00103845937170697</v>
      </c>
      <c r="C78" s="15" t="n">
        <f aca="false">SUMPRODUCT($B$5:$E$5,B77:E77)</f>
        <v>0.00103845937170697</v>
      </c>
      <c r="D78" s="15" t="n">
        <f aca="false">SUMPRODUCT($B$6:$E$6,B77:E77)</f>
        <v>0</v>
      </c>
      <c r="E78" s="15" t="n">
        <f aca="false">SUMPRODUCT($B$7:$E$7,B77:E77)</f>
        <v>0</v>
      </c>
      <c r="F78" s="15" t="n">
        <f aca="false">SUM(B78:E78)</f>
        <v>0.00207691874341394</v>
      </c>
      <c r="G78" s="15" t="n">
        <f aca="false">IF(F77&lt;&gt;0,F78/F77,"")</f>
        <v>0.8</v>
      </c>
      <c r="H78" s="16" t="n">
        <f aca="false">IF($B$28="yes",SUMPRODUCT(MMULT(B78:E78,$N$22:$Q$25),B78:E78),"")</f>
        <v>5.99109925936683E-006</v>
      </c>
      <c r="I78" s="15" t="n">
        <f aca="false">SUMPRODUCT($B$4:$E$4,I77:L77)</f>
        <v>8.88600427952304</v>
      </c>
      <c r="J78" s="15" t="n">
        <f aca="false">SUMPRODUCT($B$5:$E$5,I77:L77)+Shock</f>
        <v>18.886004279523</v>
      </c>
      <c r="K78" s="15" t="n">
        <f aca="false">SUMPRODUCT($B$6:$E$6,I77:L77)</f>
        <v>11.1088034236184</v>
      </c>
      <c r="L78" s="15" t="n">
        <f aca="false">SUMPRODUCT($B$7:$E$7,I77:L77)</f>
        <v>11.1088034236184</v>
      </c>
      <c r="M78" s="15" t="n">
        <f aca="false">SUM(I78:L78)</f>
        <v>49.9896154062829</v>
      </c>
    </row>
    <row r="79" customFormat="false" ht="15" hidden="false" customHeight="false" outlineLevel="0" collapsed="false">
      <c r="A79" s="20" t="n">
        <v>39</v>
      </c>
      <c r="B79" s="15" t="n">
        <f aca="false">SUMPRODUCT($B$4:$E$4,B78:E78)</f>
        <v>0</v>
      </c>
      <c r="C79" s="15" t="n">
        <f aca="false">SUMPRODUCT($B$5:$E$5,B78:E78)</f>
        <v>0</v>
      </c>
      <c r="D79" s="15" t="n">
        <f aca="false">SUMPRODUCT($B$6:$E$6,B78:E78)</f>
        <v>0.000830767497365574</v>
      </c>
      <c r="E79" s="15" t="n">
        <f aca="false">SUMPRODUCT($B$7:$E$7,B78:E78)</f>
        <v>0.000830767497365574</v>
      </c>
      <c r="F79" s="15" t="n">
        <f aca="false">SUM(B79:E79)</f>
        <v>0.00166153499473115</v>
      </c>
      <c r="G79" s="15" t="n">
        <f aca="false">IF(F78&lt;&gt;0,F79/F78,"")</f>
        <v>0.8</v>
      </c>
      <c r="H79" s="16" t="n">
        <f aca="false">IF($B$28="yes",SUMPRODUCT(MMULT(B79:E79,$N$22:$Q$25),B79:E79),"")</f>
        <v>3.83430352599478E-006</v>
      </c>
      <c r="I79" s="15" t="n">
        <f aca="false">SUMPRODUCT($B$4:$E$4,I78:L78)</f>
        <v>8.88704273889475</v>
      </c>
      <c r="J79" s="15" t="n">
        <f aca="false">SUMPRODUCT($B$5:$E$5,I78:L78)+Shock</f>
        <v>18.8870427388948</v>
      </c>
      <c r="K79" s="15" t="n">
        <f aca="false">SUMPRODUCT($B$6:$E$6,I78:L78)</f>
        <v>11.1088034236184</v>
      </c>
      <c r="L79" s="15" t="n">
        <f aca="false">SUMPRODUCT($B$7:$E$7,I78:L78)</f>
        <v>11.1088034236184</v>
      </c>
      <c r="M79" s="15" t="n">
        <f aca="false">SUM(I79:L79)</f>
        <v>49.9916923250264</v>
      </c>
    </row>
    <row r="80" customFormat="false" ht="15" hidden="false" customHeight="false" outlineLevel="0" collapsed="false">
      <c r="A80" s="20" t="n">
        <v>40</v>
      </c>
      <c r="B80" s="15" t="n">
        <f aca="false">SUMPRODUCT($B$4:$E$4,B79:E79)</f>
        <v>0.000664613997892459</v>
      </c>
      <c r="C80" s="15" t="n">
        <f aca="false">SUMPRODUCT($B$5:$E$5,B79:E79)</f>
        <v>0.000664613997892459</v>
      </c>
      <c r="D80" s="15" t="n">
        <f aca="false">SUMPRODUCT($B$6:$E$6,B79:E79)</f>
        <v>0</v>
      </c>
      <c r="E80" s="15" t="n">
        <f aca="false">SUMPRODUCT($B$7:$E$7,B79:E79)</f>
        <v>0</v>
      </c>
      <c r="F80" s="15" t="n">
        <f aca="false">SUM(B80:E80)</f>
        <v>0.00132922799578492</v>
      </c>
      <c r="G80" s="15" t="n">
        <f aca="false">IF(F79&lt;&gt;0,F80/F79,"")</f>
        <v>0.8</v>
      </c>
      <c r="H80" s="16" t="n">
        <f aca="false">IF($B$28="yes",SUMPRODUCT(MMULT(B80:E80,$N$22:$Q$25),B80:E80),"")</f>
        <v>2.45395425663666E-006</v>
      </c>
      <c r="I80" s="15" t="n">
        <f aca="false">SUMPRODUCT($B$4:$E$4,I79:L79)</f>
        <v>8.88704273889475</v>
      </c>
      <c r="J80" s="15" t="n">
        <f aca="false">SUMPRODUCT($B$5:$E$5,I79:L79)+Shock</f>
        <v>18.8870427388948</v>
      </c>
      <c r="K80" s="15" t="n">
        <f aca="false">SUMPRODUCT($B$6:$E$6,I79:L79)</f>
        <v>11.1096341911158</v>
      </c>
      <c r="L80" s="15" t="n">
        <f aca="false">SUMPRODUCT($B$7:$E$7,I79:L79)</f>
        <v>11.1096341911158</v>
      </c>
      <c r="M80" s="15" t="n">
        <f aca="false">SUM(I80:L80)</f>
        <v>49.9933538600211</v>
      </c>
    </row>
    <row r="81" customFormat="false" ht="15" hidden="false" customHeight="false" outlineLevel="0" collapsed="false">
      <c r="A81" s="20" t="n">
        <v>41</v>
      </c>
      <c r="B81" s="15" t="n">
        <f aca="false">SUMPRODUCT($B$4:$E$4,B80:E80)</f>
        <v>0</v>
      </c>
      <c r="C81" s="15" t="n">
        <f aca="false">SUMPRODUCT($B$5:$E$5,B80:E80)</f>
        <v>0</v>
      </c>
      <c r="D81" s="15" t="n">
        <f aca="false">SUMPRODUCT($B$6:$E$6,B80:E80)</f>
        <v>0.000531691198313968</v>
      </c>
      <c r="E81" s="15" t="n">
        <f aca="false">SUMPRODUCT($B$7:$E$7,B80:E80)</f>
        <v>0.000531691198313968</v>
      </c>
      <c r="F81" s="15" t="n">
        <f aca="false">SUM(B81:E81)</f>
        <v>0.00106338239662794</v>
      </c>
      <c r="G81" s="15" t="n">
        <f aca="false">IF(F80&lt;&gt;0,F81/F80,"")</f>
        <v>0.8</v>
      </c>
      <c r="H81" s="16" t="n">
        <f aca="false">IF($B$28="yes",SUMPRODUCT(MMULT(B81:E81,$N$22:$Q$25),B81:E81),"")</f>
        <v>1.57053072424746E-006</v>
      </c>
      <c r="I81" s="15" t="n">
        <f aca="false">SUMPRODUCT($B$4:$E$4,I80:L80)</f>
        <v>8.88770735289264</v>
      </c>
      <c r="J81" s="15" t="n">
        <f aca="false">SUMPRODUCT($B$5:$E$5,I80:L80)+Shock</f>
        <v>18.8877073528926</v>
      </c>
      <c r="K81" s="15" t="n">
        <f aca="false">SUMPRODUCT($B$6:$E$6,I80:L80)</f>
        <v>11.1096341911158</v>
      </c>
      <c r="L81" s="15" t="n">
        <f aca="false">SUMPRODUCT($B$7:$E$7,I80:L80)</f>
        <v>11.1096341911158</v>
      </c>
      <c r="M81" s="15" t="n">
        <f aca="false">SUM(I81:L81)</f>
        <v>49.9946830880169</v>
      </c>
    </row>
    <row r="82" customFormat="false" ht="15" hidden="false" customHeight="false" outlineLevel="0" collapsed="false">
      <c r="A82" s="20" t="n">
        <v>42</v>
      </c>
      <c r="B82" s="15" t="n">
        <f aca="false">SUMPRODUCT($B$4:$E$4,B81:E81)</f>
        <v>0.000425352958651174</v>
      </c>
      <c r="C82" s="15" t="n">
        <f aca="false">SUMPRODUCT($B$5:$E$5,B81:E81)</f>
        <v>0.000425352958651174</v>
      </c>
      <c r="D82" s="15" t="n">
        <f aca="false">SUMPRODUCT($B$6:$E$6,B81:E81)</f>
        <v>0</v>
      </c>
      <c r="E82" s="15" t="n">
        <f aca="false">SUMPRODUCT($B$7:$E$7,B81:E81)</f>
        <v>0</v>
      </c>
      <c r="F82" s="15" t="n">
        <f aca="false">SUM(B82:E82)</f>
        <v>0.000850705917302348</v>
      </c>
      <c r="G82" s="15" t="n">
        <f aca="false">IF(F81&lt;&gt;0,F82/F81,"")</f>
        <v>0.8</v>
      </c>
      <c r="H82" s="16" t="n">
        <f aca="false">IF($B$28="yes",SUMPRODUCT(MMULT(B82:E82,$N$22:$Q$25),B82:E82),"")</f>
        <v>1.00513966351837E-006</v>
      </c>
      <c r="I82" s="15" t="n">
        <f aca="false">SUMPRODUCT($B$4:$E$4,I81:L81)</f>
        <v>8.88770735289264</v>
      </c>
      <c r="J82" s="15" t="n">
        <f aca="false">SUMPRODUCT($B$5:$E$5,I81:L81)+Shock</f>
        <v>18.8877073528926</v>
      </c>
      <c r="K82" s="15" t="n">
        <f aca="false">SUMPRODUCT($B$6:$E$6,I81:L81)</f>
        <v>11.1101658823141</v>
      </c>
      <c r="L82" s="15" t="n">
        <f aca="false">SUMPRODUCT($B$7:$E$7,I81:L81)</f>
        <v>11.1101658823141</v>
      </c>
      <c r="M82" s="15" t="n">
        <f aca="false">SUM(I82:L82)</f>
        <v>49.9957464704135</v>
      </c>
    </row>
    <row r="83" customFormat="false" ht="15" hidden="false" customHeight="false" outlineLevel="0" collapsed="false">
      <c r="A83" s="20" t="n">
        <v>43</v>
      </c>
      <c r="B83" s="15" t="n">
        <f aca="false">SUMPRODUCT($B$4:$E$4,B82:E82)</f>
        <v>0</v>
      </c>
      <c r="C83" s="15" t="n">
        <f aca="false">SUMPRODUCT($B$5:$E$5,B82:E82)</f>
        <v>0</v>
      </c>
      <c r="D83" s="15" t="n">
        <f aca="false">SUMPRODUCT($B$6:$E$6,B82:E82)</f>
        <v>0.000340282366920939</v>
      </c>
      <c r="E83" s="15" t="n">
        <f aca="false">SUMPRODUCT($B$7:$E$7,B82:E82)</f>
        <v>0.000340282366920939</v>
      </c>
      <c r="F83" s="15" t="n">
        <f aca="false">SUM(B83:E83)</f>
        <v>0.000680564733841879</v>
      </c>
      <c r="G83" s="15" t="n">
        <f aca="false">IF(F82&lt;&gt;0,F83/F82,"")</f>
        <v>0.8</v>
      </c>
      <c r="H83" s="16" t="n">
        <f aca="false">IF($B$28="yes",SUMPRODUCT(MMULT(B83:E83,$N$22:$Q$25),B83:E83),"")</f>
        <v>6.4328938465176E-007</v>
      </c>
      <c r="I83" s="15" t="n">
        <f aca="false">SUMPRODUCT($B$4:$E$4,I82:L82)</f>
        <v>8.88813270585129</v>
      </c>
      <c r="J83" s="15" t="n">
        <f aca="false">SUMPRODUCT($B$5:$E$5,I82:L82)+Shock</f>
        <v>18.8881327058513</v>
      </c>
      <c r="K83" s="15" t="n">
        <f aca="false">SUMPRODUCT($B$6:$E$6,I82:L82)</f>
        <v>11.1101658823141</v>
      </c>
      <c r="L83" s="15" t="n">
        <f aca="false">SUMPRODUCT($B$7:$E$7,I82:L82)</f>
        <v>11.1101658823141</v>
      </c>
      <c r="M83" s="15" t="n">
        <f aca="false">SUM(I83:L83)</f>
        <v>49.9965971763308</v>
      </c>
    </row>
    <row r="84" customFormat="false" ht="15" hidden="false" customHeight="false" outlineLevel="0" collapsed="false">
      <c r="A84" s="20" t="n">
        <v>44</v>
      </c>
      <c r="B84" s="15" t="n">
        <f aca="false">SUMPRODUCT($B$4:$E$4,B83:E83)</f>
        <v>0.000272225893536751</v>
      </c>
      <c r="C84" s="15" t="n">
        <f aca="false">SUMPRODUCT($B$5:$E$5,B83:E83)</f>
        <v>0.000272225893536751</v>
      </c>
      <c r="D84" s="15" t="n">
        <f aca="false">SUMPRODUCT($B$6:$E$6,B83:E83)</f>
        <v>0</v>
      </c>
      <c r="E84" s="15" t="n">
        <f aca="false">SUMPRODUCT($B$7:$E$7,B83:E83)</f>
        <v>0</v>
      </c>
      <c r="F84" s="15" t="n">
        <f aca="false">SUM(B84:E84)</f>
        <v>0.000544451787073503</v>
      </c>
      <c r="G84" s="15" t="n">
        <f aca="false">IF(F83&lt;&gt;0,F84/F83,"")</f>
        <v>0.8</v>
      </c>
      <c r="H84" s="16" t="n">
        <f aca="false">IF($B$28="yes",SUMPRODUCT(MMULT(B84:E84,$N$22:$Q$25),B84:E84),"")</f>
        <v>4.11705206177126E-007</v>
      </c>
      <c r="I84" s="15" t="n">
        <f aca="false">SUMPRODUCT($B$4:$E$4,I83:L83)</f>
        <v>8.88813270585129</v>
      </c>
      <c r="J84" s="15" t="n">
        <f aca="false">SUMPRODUCT($B$5:$E$5,I83:L83)+Shock</f>
        <v>18.8881327058513</v>
      </c>
      <c r="K84" s="15" t="n">
        <f aca="false">SUMPRODUCT($B$6:$E$6,I83:L83)</f>
        <v>11.110506164681</v>
      </c>
      <c r="L84" s="15" t="n">
        <f aca="false">SUMPRODUCT($B$7:$E$7,I83:L83)</f>
        <v>11.110506164681</v>
      </c>
      <c r="M84" s="15" t="n">
        <f aca="false">SUM(I84:L84)</f>
        <v>49.9972777410646</v>
      </c>
    </row>
    <row r="85" customFormat="false" ht="15" hidden="false" customHeight="false" outlineLevel="0" collapsed="false">
      <c r="A85" s="20" t="n">
        <v>45</v>
      </c>
      <c r="B85" s="15" t="n">
        <f aca="false">SUMPRODUCT($B$4:$E$4,B84:E84)</f>
        <v>0</v>
      </c>
      <c r="C85" s="15" t="n">
        <f aca="false">SUMPRODUCT($B$5:$E$5,B84:E84)</f>
        <v>0</v>
      </c>
      <c r="D85" s="15" t="n">
        <f aca="false">SUMPRODUCT($B$6:$E$6,B84:E84)</f>
        <v>0.000217780714829401</v>
      </c>
      <c r="E85" s="15" t="n">
        <f aca="false">SUMPRODUCT($B$7:$E$7,B84:E84)</f>
        <v>0.000217780714829401</v>
      </c>
      <c r="F85" s="15" t="n">
        <f aca="false">SUM(B85:E85)</f>
        <v>0.000435561429658802</v>
      </c>
      <c r="G85" s="15" t="n">
        <f aca="false">IF(F84&lt;&gt;0,F85/F84,"")</f>
        <v>0.8</v>
      </c>
      <c r="H85" s="16" t="n">
        <f aca="false">IF($B$28="yes",SUMPRODUCT(MMULT(B85:E85,$N$22:$Q$25),B85:E85),"")</f>
        <v>2.63491331953361E-007</v>
      </c>
      <c r="I85" s="15" t="n">
        <f aca="false">SUMPRODUCT($B$4:$E$4,I84:L84)</f>
        <v>8.88840493174483</v>
      </c>
      <c r="J85" s="15" t="n">
        <f aca="false">SUMPRODUCT($B$5:$E$5,I84:L84)+Shock</f>
        <v>18.8884049317448</v>
      </c>
      <c r="K85" s="15" t="n">
        <f aca="false">SUMPRODUCT($B$6:$E$6,I84:L84)</f>
        <v>11.110506164681</v>
      </c>
      <c r="L85" s="15" t="n">
        <f aca="false">SUMPRODUCT($B$7:$E$7,I84:L84)</f>
        <v>11.110506164681</v>
      </c>
      <c r="M85" s="15" t="n">
        <f aca="false">SUM(I85:L85)</f>
        <v>49.9978221928517</v>
      </c>
    </row>
    <row r="86" customFormat="false" ht="15" hidden="false" customHeight="false" outlineLevel="0" collapsed="false">
      <c r="A86" s="20" t="n">
        <v>46</v>
      </c>
      <c r="B86" s="15" t="n">
        <f aca="false">SUMPRODUCT($B$4:$E$4,B85:E85)</f>
        <v>0.000174224571863521</v>
      </c>
      <c r="C86" s="15" t="n">
        <f aca="false">SUMPRODUCT($B$5:$E$5,B85:E85)</f>
        <v>0.000174224571863521</v>
      </c>
      <c r="D86" s="15" t="n">
        <f aca="false">SUMPRODUCT($B$6:$E$6,B85:E85)</f>
        <v>0</v>
      </c>
      <c r="E86" s="15" t="n">
        <f aca="false">SUMPRODUCT($B$7:$E$7,B85:E85)</f>
        <v>0</v>
      </c>
      <c r="F86" s="15" t="n">
        <f aca="false">SUM(B86:E86)</f>
        <v>0.000348449143727042</v>
      </c>
      <c r="G86" s="15" t="n">
        <f aca="false">IF(F85&lt;&gt;0,F86/F85,"")</f>
        <v>0.8</v>
      </c>
      <c r="H86" s="16" t="n">
        <f aca="false">IF($B$28="yes",SUMPRODUCT(MMULT(B86:E86,$N$22:$Q$25),B86:E86),"")</f>
        <v>1.68634452450151E-007</v>
      </c>
      <c r="I86" s="15" t="n">
        <f aca="false">SUMPRODUCT($B$4:$E$4,I85:L85)</f>
        <v>8.88840493174483</v>
      </c>
      <c r="J86" s="15" t="n">
        <f aca="false">SUMPRODUCT($B$5:$E$5,I85:L85)+Shock</f>
        <v>18.8884049317448</v>
      </c>
      <c r="K86" s="15" t="n">
        <f aca="false">SUMPRODUCT($B$6:$E$6,I85:L85)</f>
        <v>11.1107239453959</v>
      </c>
      <c r="L86" s="15" t="n">
        <f aca="false">SUMPRODUCT($B$7:$E$7,I85:L85)</f>
        <v>11.1107239453959</v>
      </c>
      <c r="M86" s="15" t="n">
        <f aca="false">SUM(I86:L86)</f>
        <v>49.9982577542814</v>
      </c>
    </row>
    <row r="87" customFormat="false" ht="15" hidden="false" customHeight="false" outlineLevel="0" collapsed="false">
      <c r="A87" s="20" t="n">
        <v>47</v>
      </c>
      <c r="B87" s="15" t="n">
        <f aca="false">SUMPRODUCT($B$4:$E$4,B86:E86)</f>
        <v>0</v>
      </c>
      <c r="C87" s="15" t="n">
        <f aca="false">SUMPRODUCT($B$5:$E$5,B86:E86)</f>
        <v>0</v>
      </c>
      <c r="D87" s="15" t="n">
        <f aca="false">SUMPRODUCT($B$6:$E$6,B86:E86)</f>
        <v>0.000139379657490817</v>
      </c>
      <c r="E87" s="15" t="n">
        <f aca="false">SUMPRODUCT($B$7:$E$7,B86:E86)</f>
        <v>0.000139379657490817</v>
      </c>
      <c r="F87" s="15" t="n">
        <f aca="false">SUM(B87:E87)</f>
        <v>0.000278759314981633</v>
      </c>
      <c r="G87" s="15" t="n">
        <f aca="false">IF(F86&lt;&gt;0,F87/F86,"")</f>
        <v>0.8</v>
      </c>
      <c r="H87" s="16" t="n">
        <f aca="false">IF($B$28="yes",SUMPRODUCT(MMULT(B87:E87,$N$22:$Q$25),B87:E87),"")</f>
        <v>1.07926049568097E-007</v>
      </c>
      <c r="I87" s="15" t="n">
        <f aca="false">SUMPRODUCT($B$4:$E$4,I86:L86)</f>
        <v>8.88857915631669</v>
      </c>
      <c r="J87" s="15" t="n">
        <f aca="false">SUMPRODUCT($B$5:$E$5,I86:L86)+Shock</f>
        <v>18.8885791563167</v>
      </c>
      <c r="K87" s="15" t="n">
        <f aca="false">SUMPRODUCT($B$6:$E$6,I86:L86)</f>
        <v>11.1107239453959</v>
      </c>
      <c r="L87" s="15" t="n">
        <f aca="false">SUMPRODUCT($B$7:$E$7,I86:L86)</f>
        <v>11.1107239453959</v>
      </c>
      <c r="M87" s="15" t="n">
        <f aca="false">SUM(I87:L87)</f>
        <v>49.9986062034251</v>
      </c>
    </row>
    <row r="88" customFormat="false" ht="15" hidden="false" customHeight="false" outlineLevel="0" collapsed="false">
      <c r="A88" s="20" t="n">
        <v>48</v>
      </c>
      <c r="B88" s="15" t="n">
        <f aca="false">SUMPRODUCT($B$4:$E$4,B87:E87)</f>
        <v>0.000111503725992653</v>
      </c>
      <c r="C88" s="15" t="n">
        <f aca="false">SUMPRODUCT($B$5:$E$5,B87:E87)</f>
        <v>0.000111503725992653</v>
      </c>
      <c r="D88" s="15" t="n">
        <f aca="false">SUMPRODUCT($B$6:$E$6,B87:E87)</f>
        <v>0</v>
      </c>
      <c r="E88" s="15" t="n">
        <f aca="false">SUMPRODUCT($B$7:$E$7,B87:E87)</f>
        <v>0</v>
      </c>
      <c r="F88" s="15" t="n">
        <f aca="false">SUM(B88:E88)</f>
        <v>0.000223007451985307</v>
      </c>
      <c r="G88" s="15" t="n">
        <f aca="false">IF(F87&lt;&gt;0,F88/F87,"")</f>
        <v>0.8</v>
      </c>
      <c r="H88" s="16" t="n">
        <f aca="false">IF($B$28="yes",SUMPRODUCT(MMULT(B88:E88,$N$22:$Q$25),B88:E88),"")</f>
        <v>6.90726717235818E-008</v>
      </c>
      <c r="I88" s="15" t="n">
        <f aca="false">SUMPRODUCT($B$4:$E$4,I87:L87)</f>
        <v>8.88857915631669</v>
      </c>
      <c r="J88" s="15" t="n">
        <f aca="false">SUMPRODUCT($B$5:$E$5,I87:L87)+Shock</f>
        <v>18.8885791563167</v>
      </c>
      <c r="K88" s="15" t="n">
        <f aca="false">SUMPRODUCT($B$6:$E$6,I87:L87)</f>
        <v>11.1108633250534</v>
      </c>
      <c r="L88" s="15" t="n">
        <f aca="false">SUMPRODUCT($B$7:$E$7,I87:L87)</f>
        <v>11.1108633250534</v>
      </c>
      <c r="M88" s="15" t="n">
        <f aca="false">SUM(I88:L88)</f>
        <v>49.9988849627401</v>
      </c>
    </row>
    <row r="89" customFormat="false" ht="15" hidden="false" customHeight="false" outlineLevel="0" collapsed="false">
      <c r="A89" s="20" t="n">
        <v>49</v>
      </c>
      <c r="B89" s="15" t="n">
        <f aca="false">SUMPRODUCT($B$4:$E$4,B88:E88)</f>
        <v>0</v>
      </c>
      <c r="C89" s="15" t="n">
        <f aca="false">SUMPRODUCT($B$5:$E$5,B88:E88)</f>
        <v>0</v>
      </c>
      <c r="D89" s="15" t="n">
        <f aca="false">SUMPRODUCT($B$6:$E$6,B88:E88)</f>
        <v>8.92029807941227E-005</v>
      </c>
      <c r="E89" s="15" t="n">
        <f aca="false">SUMPRODUCT($B$7:$E$7,B88:E88)</f>
        <v>8.92029807941227E-005</v>
      </c>
      <c r="F89" s="15" t="n">
        <f aca="false">SUM(B89:E89)</f>
        <v>0.000178405961588245</v>
      </c>
      <c r="G89" s="15" t="n">
        <f aca="false">IF(F88&lt;&gt;0,F89/F88,"")</f>
        <v>0.8</v>
      </c>
      <c r="H89" s="16" t="n">
        <f aca="false">IF($B$28="yes",SUMPRODUCT(MMULT(B89:E89,$N$22:$Q$25),B89:E89),"")</f>
        <v>4.42065099030924E-008</v>
      </c>
      <c r="I89" s="15" t="n">
        <f aca="false">SUMPRODUCT($B$4:$E$4,I88:L88)</f>
        <v>8.88869066004268</v>
      </c>
      <c r="J89" s="15" t="n">
        <f aca="false">SUMPRODUCT($B$5:$E$5,I88:L88)+Shock</f>
        <v>18.8886906600427</v>
      </c>
      <c r="K89" s="15" t="n">
        <f aca="false">SUMPRODUCT($B$6:$E$6,I88:L88)</f>
        <v>11.1108633250534</v>
      </c>
      <c r="L89" s="15" t="n">
        <f aca="false">SUMPRODUCT($B$7:$E$7,I88:L88)</f>
        <v>11.1108633250534</v>
      </c>
      <c r="M89" s="15" t="n">
        <f aca="false">SUM(I89:L89)</f>
        <v>49.9991079701921</v>
      </c>
    </row>
    <row r="90" customFormat="false" ht="15" hidden="false" customHeight="false" outlineLevel="0" collapsed="false">
      <c r="A90" s="20" t="n">
        <v>50</v>
      </c>
      <c r="B90" s="15" t="n">
        <f aca="false">SUMPRODUCT($B$4:$E$4,B89:E89)</f>
        <v>7.13623846352982E-005</v>
      </c>
      <c r="C90" s="15" t="n">
        <f aca="false">SUMPRODUCT($B$5:$E$5,B89:E89)</f>
        <v>7.13623846352982E-005</v>
      </c>
      <c r="D90" s="15" t="n">
        <f aca="false">SUMPRODUCT($B$6:$E$6,B89:E89)</f>
        <v>0</v>
      </c>
      <c r="E90" s="15" t="n">
        <f aca="false">SUMPRODUCT($B$7:$E$7,B89:E89)</f>
        <v>0</v>
      </c>
      <c r="F90" s="15" t="n">
        <f aca="false">SUM(B90:E90)</f>
        <v>0.000142724769270596</v>
      </c>
      <c r="G90" s="15" t="n">
        <f aca="false">IF(F89&lt;&gt;0,F90/F89,"")</f>
        <v>0.8</v>
      </c>
      <c r="H90" s="16" t="n">
        <f aca="false">IF($B$28="yes",SUMPRODUCT(MMULT(B90:E90,$N$22:$Q$25),B90:E90),"")</f>
        <v>2.82921663379791E-008</v>
      </c>
      <c r="I90" s="15" t="n">
        <f aca="false">SUMPRODUCT($B$4:$E$4,I89:L89)</f>
        <v>8.88869066004268</v>
      </c>
      <c r="J90" s="15" t="n">
        <f aca="false">SUMPRODUCT($B$5:$E$5,I89:L89)+Shock</f>
        <v>18.8886906600427</v>
      </c>
      <c r="K90" s="15" t="n">
        <f aca="false">SUMPRODUCT($B$6:$E$6,I89:L89)</f>
        <v>11.1109525280341</v>
      </c>
      <c r="L90" s="15" t="n">
        <f aca="false">SUMPRODUCT($B$7:$E$7,I89:L89)</f>
        <v>11.1109525280341</v>
      </c>
      <c r="M90" s="15" t="n">
        <f aca="false">SUM(I90:L90)</f>
        <v>49.9992863761537</v>
      </c>
    </row>
    <row r="91" customFormat="false" ht="15" hidden="false" customHeight="false" outlineLevel="0" collapsed="false">
      <c r="A91" s="20" t="n">
        <v>51</v>
      </c>
      <c r="B91" s="15" t="n">
        <f aca="false">SUMPRODUCT($B$4:$E$4,B90:E90)</f>
        <v>0</v>
      </c>
      <c r="C91" s="15" t="n">
        <f aca="false">SUMPRODUCT($B$5:$E$5,B90:E90)</f>
        <v>0</v>
      </c>
      <c r="D91" s="15" t="n">
        <f aca="false">SUMPRODUCT($B$6:$E$6,B90:E90)</f>
        <v>5.70899077082385E-005</v>
      </c>
      <c r="E91" s="15" t="n">
        <f aca="false">SUMPRODUCT($B$7:$E$7,B90:E90)</f>
        <v>5.70899077082385E-005</v>
      </c>
      <c r="F91" s="15" t="n">
        <f aca="false">SUM(B91:E91)</f>
        <v>0.000114179815416477</v>
      </c>
      <c r="G91" s="15" t="n">
        <f aca="false">IF(F90&lt;&gt;0,F91/F90,"")</f>
        <v>0.8</v>
      </c>
      <c r="H91" s="16" t="n">
        <f aca="false">IF($B$28="yes",SUMPRODUCT(MMULT(B91:E91,$N$22:$Q$25),B91:E91),"")</f>
        <v>1.81069864563066E-008</v>
      </c>
      <c r="I91" s="15" t="n">
        <f aca="false">SUMPRODUCT($B$4:$E$4,I90:L90)</f>
        <v>8.88876202242732</v>
      </c>
      <c r="J91" s="15" t="n">
        <f aca="false">SUMPRODUCT($B$5:$E$5,I90:L90)+Shock</f>
        <v>18.8887620224273</v>
      </c>
      <c r="K91" s="15" t="n">
        <f aca="false">SUMPRODUCT($B$6:$E$6,I90:L90)</f>
        <v>11.1109525280341</v>
      </c>
      <c r="L91" s="15" t="n">
        <f aca="false">SUMPRODUCT($B$7:$E$7,I90:L90)</f>
        <v>11.1109525280341</v>
      </c>
      <c r="M91" s="15" t="n">
        <f aca="false">SUM(I91:L91)</f>
        <v>49.9994291009229</v>
      </c>
    </row>
    <row r="92" customFormat="false" ht="15" hidden="false" customHeight="false" outlineLevel="0" collapsed="false">
      <c r="A92" s="20" t="n">
        <v>52</v>
      </c>
      <c r="B92" s="15" t="n">
        <f aca="false">SUMPRODUCT($B$4:$E$4,B91:E91)</f>
        <v>4.56719261665908E-005</v>
      </c>
      <c r="C92" s="15" t="n">
        <f aca="false">SUMPRODUCT($B$5:$E$5,B91:E91)</f>
        <v>4.56719261665908E-005</v>
      </c>
      <c r="D92" s="15" t="n">
        <f aca="false">SUMPRODUCT($B$6:$E$6,B91:E91)</f>
        <v>0</v>
      </c>
      <c r="E92" s="15" t="n">
        <f aca="false">SUMPRODUCT($B$7:$E$7,B91:E91)</f>
        <v>0</v>
      </c>
      <c r="F92" s="15" t="n">
        <f aca="false">SUM(B92:E92)</f>
        <v>9.13438523331817E-005</v>
      </c>
      <c r="G92" s="15" t="n">
        <f aca="false">IF(F91&lt;&gt;0,F92/F91,"")</f>
        <v>0.8</v>
      </c>
      <c r="H92" s="16" t="n">
        <f aca="false">IF($B$28="yes",SUMPRODUCT(MMULT(B92:E92,$N$22:$Q$25),B92:E92),"")</f>
        <v>1.15884713320363E-008</v>
      </c>
      <c r="I92" s="15" t="n">
        <f aca="false">SUMPRODUCT($B$4:$E$4,I91:L91)</f>
        <v>8.88876202242732</v>
      </c>
      <c r="J92" s="15" t="n">
        <f aca="false">SUMPRODUCT($B$5:$E$5,I91:L91)+Shock</f>
        <v>18.8887620224273</v>
      </c>
      <c r="K92" s="15" t="n">
        <f aca="false">SUMPRODUCT($B$6:$E$6,I91:L91)</f>
        <v>11.1110096179419</v>
      </c>
      <c r="L92" s="15" t="n">
        <f aca="false">SUMPRODUCT($B$7:$E$7,I91:L91)</f>
        <v>11.1110096179419</v>
      </c>
      <c r="M92" s="15" t="n">
        <f aca="false">SUM(I92:L92)</f>
        <v>49.9995432807383</v>
      </c>
    </row>
    <row r="93" customFormat="false" ht="15" hidden="false" customHeight="false" outlineLevel="0" collapsed="false">
      <c r="A93" s="20" t="n">
        <v>53</v>
      </c>
      <c r="B93" s="15" t="n">
        <f aca="false">SUMPRODUCT($B$4:$E$4,B92:E92)</f>
        <v>0</v>
      </c>
      <c r="C93" s="15" t="n">
        <f aca="false">SUMPRODUCT($B$5:$E$5,B92:E92)</f>
        <v>0</v>
      </c>
      <c r="D93" s="15" t="n">
        <f aca="false">SUMPRODUCT($B$6:$E$6,B92:E92)</f>
        <v>3.65375409332727E-005</v>
      </c>
      <c r="E93" s="15" t="n">
        <f aca="false">SUMPRODUCT($B$7:$E$7,B92:E92)</f>
        <v>3.65375409332727E-005</v>
      </c>
      <c r="F93" s="15" t="n">
        <f aca="false">SUM(B93:E93)</f>
        <v>7.30750818665453E-005</v>
      </c>
      <c r="G93" s="15" t="n">
        <f aca="false">IF(F92&lt;&gt;0,F93/F92,"")</f>
        <v>0.8</v>
      </c>
      <c r="H93" s="16" t="n">
        <f aca="false">IF($B$28="yes",SUMPRODUCT(MMULT(B93:E93,$N$22:$Q$25),B93:E93),"")</f>
        <v>7.4166216525032E-009</v>
      </c>
      <c r="I93" s="15" t="n">
        <f aca="false">SUMPRODUCT($B$4:$E$4,I92:L92)</f>
        <v>8.88880769435349</v>
      </c>
      <c r="J93" s="15" t="n">
        <f aca="false">SUMPRODUCT($B$5:$E$5,I92:L92)+Shock</f>
        <v>18.8888076943535</v>
      </c>
      <c r="K93" s="15" t="n">
        <f aca="false">SUMPRODUCT($B$6:$E$6,I92:L92)</f>
        <v>11.1110096179419</v>
      </c>
      <c r="L93" s="15" t="n">
        <f aca="false">SUMPRODUCT($B$7:$E$7,I92:L92)</f>
        <v>11.1110096179419</v>
      </c>
      <c r="M93" s="15" t="n">
        <f aca="false">SUM(I93:L93)</f>
        <v>49.9996346245907</v>
      </c>
    </row>
    <row r="94" customFormat="false" ht="15" hidden="false" customHeight="false" outlineLevel="0" collapsed="false">
      <c r="A94" s="20" t="n">
        <v>54</v>
      </c>
      <c r="B94" s="15" t="n">
        <f aca="false">SUMPRODUCT($B$4:$E$4,B93:E93)</f>
        <v>2.92300327466181E-005</v>
      </c>
      <c r="C94" s="15" t="n">
        <f aca="false">SUMPRODUCT($B$5:$E$5,B93:E93)</f>
        <v>2.92300327466181E-005</v>
      </c>
      <c r="D94" s="15" t="n">
        <f aca="false">SUMPRODUCT($B$6:$E$6,B93:E93)</f>
        <v>0</v>
      </c>
      <c r="E94" s="15" t="n">
        <f aca="false">SUMPRODUCT($B$7:$E$7,B93:E93)</f>
        <v>0</v>
      </c>
      <c r="F94" s="15" t="n">
        <f aca="false">SUM(B94:E94)</f>
        <v>5.84600654932363E-005</v>
      </c>
      <c r="G94" s="15" t="n">
        <f aca="false">IF(F93&lt;&gt;0,F94/F93,"")</f>
        <v>0.8</v>
      </c>
      <c r="H94" s="16" t="n">
        <f aca="false">IF($B$28="yes",SUMPRODUCT(MMULT(B94:E94,$N$22:$Q$25),B94:E94),"")</f>
        <v>4.74663785760205E-009</v>
      </c>
      <c r="I94" s="15" t="n">
        <f aca="false">SUMPRODUCT($B$4:$E$4,I93:L93)</f>
        <v>8.88880769435349</v>
      </c>
      <c r="J94" s="15" t="n">
        <f aca="false">SUMPRODUCT($B$5:$E$5,I93:L93)+Shock</f>
        <v>18.8888076943535</v>
      </c>
      <c r="K94" s="15" t="n">
        <f aca="false">SUMPRODUCT($B$6:$E$6,I93:L93)</f>
        <v>11.1110461554828</v>
      </c>
      <c r="L94" s="15" t="n">
        <f aca="false">SUMPRODUCT($B$7:$E$7,I93:L93)</f>
        <v>11.1110461554828</v>
      </c>
      <c r="M94" s="15" t="n">
        <f aca="false">SUM(I94:L94)</f>
        <v>49.9997076996726</v>
      </c>
    </row>
    <row r="95" customFormat="false" ht="15" hidden="false" customHeight="false" outlineLevel="0" collapsed="false">
      <c r="A95" s="20" t="n">
        <v>55</v>
      </c>
      <c r="B95" s="15" t="n">
        <f aca="false">SUMPRODUCT($B$4:$E$4,B94:E94)</f>
        <v>0</v>
      </c>
      <c r="C95" s="15" t="n">
        <f aca="false">SUMPRODUCT($B$5:$E$5,B94:E94)</f>
        <v>0</v>
      </c>
      <c r="D95" s="15" t="n">
        <f aca="false">SUMPRODUCT($B$6:$E$6,B94:E94)</f>
        <v>2.33840261972945E-005</v>
      </c>
      <c r="E95" s="15" t="n">
        <f aca="false">SUMPRODUCT($B$7:$E$7,B94:E94)</f>
        <v>2.33840261972945E-005</v>
      </c>
      <c r="F95" s="15" t="n">
        <f aca="false">SUM(B95:E95)</f>
        <v>4.6768052394589E-005</v>
      </c>
      <c r="G95" s="15" t="n">
        <f aca="false">IF(F94&lt;&gt;0,F95/F94,"")</f>
        <v>0.8</v>
      </c>
      <c r="H95" s="16" t="n">
        <f aca="false">IF($B$28="yes",SUMPRODUCT(MMULT(B95:E95,$N$22:$Q$25),B95:E95),"")</f>
        <v>3.03784822886531E-009</v>
      </c>
      <c r="I95" s="15" t="n">
        <f aca="false">SUMPRODUCT($B$4:$E$4,I94:L94)</f>
        <v>8.88883692438623</v>
      </c>
      <c r="J95" s="15" t="n">
        <f aca="false">SUMPRODUCT($B$5:$E$5,I94:L94)+Shock</f>
        <v>18.8888369243862</v>
      </c>
      <c r="K95" s="15" t="n">
        <f aca="false">SUMPRODUCT($B$6:$E$6,I94:L94)</f>
        <v>11.1110461554828</v>
      </c>
      <c r="L95" s="15" t="n">
        <f aca="false">SUMPRODUCT($B$7:$E$7,I94:L94)</f>
        <v>11.1110461554828</v>
      </c>
      <c r="M95" s="15" t="n">
        <f aca="false">SUM(I95:L95)</f>
        <v>49.999766159738</v>
      </c>
    </row>
    <row r="96" customFormat="false" ht="15" hidden="false" customHeight="false" outlineLevel="0" collapsed="false">
      <c r="A96" s="20" t="n">
        <v>56</v>
      </c>
      <c r="B96" s="15" t="n">
        <f aca="false">SUMPRODUCT($B$4:$E$4,B95:E95)</f>
        <v>1.87072209578356E-005</v>
      </c>
      <c r="C96" s="15" t="n">
        <f aca="false">SUMPRODUCT($B$5:$E$5,B95:E95)</f>
        <v>1.87072209578356E-005</v>
      </c>
      <c r="D96" s="15" t="n">
        <f aca="false">SUMPRODUCT($B$6:$E$6,B95:E95)</f>
        <v>0</v>
      </c>
      <c r="E96" s="15" t="n">
        <f aca="false">SUMPRODUCT($B$7:$E$7,B95:E95)</f>
        <v>0</v>
      </c>
      <c r="F96" s="15" t="n">
        <f aca="false">SUM(B96:E96)</f>
        <v>3.74144419156712E-005</v>
      </c>
      <c r="G96" s="15" t="n">
        <f aca="false">IF(F95&lt;&gt;0,F96/F95,"")</f>
        <v>0.8</v>
      </c>
      <c r="H96" s="16" t="n">
        <f aca="false">IF($B$28="yes",SUMPRODUCT(MMULT(B96:E96,$N$22:$Q$25),B96:E96),"")</f>
        <v>1.9442228664738E-009</v>
      </c>
      <c r="I96" s="15" t="n">
        <f aca="false">SUMPRODUCT($B$4:$E$4,I95:L95)</f>
        <v>8.88883692438623</v>
      </c>
      <c r="J96" s="15" t="n">
        <f aca="false">SUMPRODUCT($B$5:$E$5,I95:L95)+Shock</f>
        <v>18.8888369243862</v>
      </c>
      <c r="K96" s="15" t="n">
        <f aca="false">SUMPRODUCT($B$6:$E$6,I95:L95)</f>
        <v>11.111069539509</v>
      </c>
      <c r="L96" s="15" t="n">
        <f aca="false">SUMPRODUCT($B$7:$E$7,I95:L95)</f>
        <v>11.111069539509</v>
      </c>
      <c r="M96" s="15" t="n">
        <f aca="false">SUM(I96:L96)</f>
        <v>49.9998129277904</v>
      </c>
    </row>
    <row r="97" customFormat="false" ht="15" hidden="false" customHeight="false" outlineLevel="0" collapsed="false">
      <c r="A97" s="20" t="n">
        <v>57</v>
      </c>
      <c r="B97" s="15" t="n">
        <f aca="false">SUMPRODUCT($B$4:$E$4,B96:E96)</f>
        <v>0</v>
      </c>
      <c r="C97" s="15" t="n">
        <f aca="false">SUMPRODUCT($B$5:$E$5,B96:E96)</f>
        <v>0</v>
      </c>
      <c r="D97" s="15" t="n">
        <f aca="false">SUMPRODUCT($B$6:$E$6,B96:E96)</f>
        <v>1.49657767662685E-005</v>
      </c>
      <c r="E97" s="15" t="n">
        <f aca="false">SUMPRODUCT($B$7:$E$7,B96:E96)</f>
        <v>1.49657767662685E-005</v>
      </c>
      <c r="F97" s="15" t="n">
        <f aca="false">SUM(B97:E97)</f>
        <v>2.9931553532537E-005</v>
      </c>
      <c r="G97" s="15" t="n">
        <f aca="false">IF(F96&lt;&gt;0,F97/F96,"")</f>
        <v>0.8</v>
      </c>
      <c r="H97" s="16" t="n">
        <f aca="false">IF($B$28="yes",SUMPRODUCT(MMULT(B97:E97,$N$22:$Q$25),B97:E97),"")</f>
        <v>1.24430263454323E-009</v>
      </c>
      <c r="I97" s="15" t="n">
        <f aca="false">SUMPRODUCT($B$4:$E$4,I96:L96)</f>
        <v>8.88885563160719</v>
      </c>
      <c r="J97" s="15" t="n">
        <f aca="false">SUMPRODUCT($B$5:$E$5,I96:L96)+Shock</f>
        <v>18.8888556316072</v>
      </c>
      <c r="K97" s="15" t="n">
        <f aca="false">SUMPRODUCT($B$6:$E$6,I96:L96)</f>
        <v>11.111069539509</v>
      </c>
      <c r="L97" s="15" t="n">
        <f aca="false">SUMPRODUCT($B$7:$E$7,I96:L96)</f>
        <v>11.111069539509</v>
      </c>
      <c r="M97" s="15" t="n">
        <f aca="false">SUM(I97:L97)</f>
        <v>49.9998503422324</v>
      </c>
    </row>
    <row r="98" customFormat="false" ht="15" hidden="false" customHeight="false" outlineLevel="0" collapsed="false">
      <c r="A98" s="20" t="n">
        <v>58</v>
      </c>
      <c r="B98" s="15" t="n">
        <f aca="false">SUMPRODUCT($B$4:$E$4,B97:E97)</f>
        <v>1.19726214130148E-005</v>
      </c>
      <c r="C98" s="15" t="n">
        <f aca="false">SUMPRODUCT($B$5:$E$5,B97:E97)</f>
        <v>1.19726214130148E-005</v>
      </c>
      <c r="D98" s="15" t="n">
        <f aca="false">SUMPRODUCT($B$6:$E$6,B97:E97)</f>
        <v>0</v>
      </c>
      <c r="E98" s="15" t="n">
        <f aca="false">SUMPRODUCT($B$7:$E$7,B97:E97)</f>
        <v>0</v>
      </c>
      <c r="F98" s="15" t="n">
        <f aca="false">SUM(B98:E98)</f>
        <v>2.39452428260296E-005</v>
      </c>
      <c r="G98" s="15" t="n">
        <f aca="false">IF(F97&lt;&gt;0,F98/F97,"")</f>
        <v>0.8</v>
      </c>
      <c r="H98" s="16" t="n">
        <f aca="false">IF($B$28="yes",SUMPRODUCT(MMULT(B98:E98,$N$22:$Q$25),B98:E98),"")</f>
        <v>7.96353686107669E-010</v>
      </c>
      <c r="I98" s="15" t="n">
        <f aca="false">SUMPRODUCT($B$4:$E$4,I97:L97)</f>
        <v>8.88885563160719</v>
      </c>
      <c r="J98" s="15" t="n">
        <f aca="false">SUMPRODUCT($B$5:$E$5,I97:L97)+Shock</f>
        <v>18.8888556316072</v>
      </c>
      <c r="K98" s="15" t="n">
        <f aca="false">SUMPRODUCT($B$6:$E$6,I97:L97)</f>
        <v>11.1110845052858</v>
      </c>
      <c r="L98" s="15" t="n">
        <f aca="false">SUMPRODUCT($B$7:$E$7,I97:L97)</f>
        <v>11.1110845052858</v>
      </c>
      <c r="M98" s="15" t="n">
        <f aca="false">SUM(I98:L98)</f>
        <v>49.9998802737859</v>
      </c>
    </row>
    <row r="99" customFormat="false" ht="15" hidden="false" customHeight="false" outlineLevel="0" collapsed="false">
      <c r="A99" s="20" t="n">
        <v>59</v>
      </c>
      <c r="B99" s="15" t="n">
        <f aca="false">SUMPRODUCT($B$4:$E$4,B98:E98)</f>
        <v>0</v>
      </c>
      <c r="C99" s="15" t="n">
        <f aca="false">SUMPRODUCT($B$5:$E$5,B98:E98)</f>
        <v>0</v>
      </c>
      <c r="D99" s="15" t="n">
        <f aca="false">SUMPRODUCT($B$6:$E$6,B98:E98)</f>
        <v>9.57809713041184E-006</v>
      </c>
      <c r="E99" s="15" t="n">
        <f aca="false">SUMPRODUCT($B$7:$E$7,B98:E98)</f>
        <v>9.57809713041184E-006</v>
      </c>
      <c r="F99" s="15" t="n">
        <f aca="false">SUM(B99:E99)</f>
        <v>1.91561942608237E-005</v>
      </c>
      <c r="G99" s="15" t="n">
        <f aca="false">IF(F98&lt;&gt;0,F99/F98,"")</f>
        <v>0.8</v>
      </c>
      <c r="H99" s="16" t="n">
        <f aca="false">IF($B$28="yes",SUMPRODUCT(MMULT(B99:E99,$N$22:$Q$25),B99:E99),"")</f>
        <v>5.09666359108908E-010</v>
      </c>
      <c r="I99" s="15" t="n">
        <f aca="false">SUMPRODUCT($B$4:$E$4,I98:L98)</f>
        <v>8.8888676042286</v>
      </c>
      <c r="J99" s="15" t="n">
        <f aca="false">SUMPRODUCT($B$5:$E$5,I98:L98)+Shock</f>
        <v>18.8888676042286</v>
      </c>
      <c r="K99" s="15" t="n">
        <f aca="false">SUMPRODUCT($B$6:$E$6,I98:L98)</f>
        <v>11.1110845052858</v>
      </c>
      <c r="L99" s="15" t="n">
        <f aca="false">SUMPRODUCT($B$7:$E$7,I98:L98)</f>
        <v>11.1110845052858</v>
      </c>
      <c r="M99" s="15" t="n">
        <f aca="false">SUM(I99:L99)</f>
        <v>49.9999042190287</v>
      </c>
    </row>
    <row r="100" customFormat="false" ht="15" hidden="false" customHeight="false" outlineLevel="0" collapsed="false">
      <c r="A100" s="20" t="n">
        <v>60</v>
      </c>
      <c r="B100" s="15" t="n">
        <f aca="false">SUMPRODUCT($B$4:$E$4,B99:E99)</f>
        <v>7.66247770432947E-006</v>
      </c>
      <c r="C100" s="15" t="n">
        <f aca="false">SUMPRODUCT($B$5:$E$5,B99:E99)</f>
        <v>7.66247770432947E-006</v>
      </c>
      <c r="D100" s="15" t="n">
        <f aca="false">SUMPRODUCT($B$6:$E$6,B99:E99)</f>
        <v>0</v>
      </c>
      <c r="E100" s="15" t="n">
        <f aca="false">SUMPRODUCT($B$7:$E$7,B99:E99)</f>
        <v>0</v>
      </c>
      <c r="F100" s="15" t="n">
        <f aca="false">SUM(B100:E100)</f>
        <v>1.53249554086589E-005</v>
      </c>
      <c r="G100" s="15" t="n">
        <f aca="false">IF(F99&lt;&gt;0,F100/F99,"")</f>
        <v>0.8</v>
      </c>
      <c r="H100" s="16" t="n">
        <f aca="false">IF($B$28="yes",SUMPRODUCT(MMULT(B100:E100,$N$22:$Q$25),B100:E100),"")</f>
        <v>3.26186469829701E-010</v>
      </c>
      <c r="I100" s="15" t="n">
        <f aca="false">SUMPRODUCT($B$4:$E$4,I99:L99)</f>
        <v>8.8888676042286</v>
      </c>
      <c r="J100" s="15" t="n">
        <f aca="false">SUMPRODUCT($B$5:$E$5,I99:L99)+Shock</f>
        <v>18.8888676042286</v>
      </c>
      <c r="K100" s="15" t="n">
        <f aca="false">SUMPRODUCT($B$6:$E$6,I99:L99)</f>
        <v>11.1110940833829</v>
      </c>
      <c r="L100" s="15" t="n">
        <f aca="false">SUMPRODUCT($B$7:$E$7,I99:L99)</f>
        <v>11.1110940833829</v>
      </c>
      <c r="M100" s="15" t="n">
        <f aca="false">SUM(I100:L100)</f>
        <v>49.999923375223</v>
      </c>
    </row>
    <row r="101" customFormat="false" ht="15" hidden="false" customHeight="false" outlineLevel="0" collapsed="false">
      <c r="A101" s="20" t="n">
        <v>61</v>
      </c>
      <c r="B101" s="15" t="n">
        <f aca="false">SUMPRODUCT($B$4:$E$4,B100:E100)</f>
        <v>0</v>
      </c>
      <c r="C101" s="15" t="n">
        <f aca="false">SUMPRODUCT($B$5:$E$5,B100:E100)</f>
        <v>0</v>
      </c>
      <c r="D101" s="15" t="n">
        <f aca="false">SUMPRODUCT($B$6:$E$6,B100:E100)</f>
        <v>6.12998216346358E-006</v>
      </c>
      <c r="E101" s="15" t="n">
        <f aca="false">SUMPRODUCT($B$7:$E$7,B100:E100)</f>
        <v>6.12998216346358E-006</v>
      </c>
      <c r="F101" s="15" t="n">
        <f aca="false">SUM(B101:E101)</f>
        <v>1.22599643269272E-005</v>
      </c>
      <c r="G101" s="15" t="n">
        <f aca="false">IF(F100&lt;&gt;0,F101/F100,"")</f>
        <v>0.8</v>
      </c>
      <c r="H101" s="16" t="n">
        <f aca="false">IF($B$28="yes",SUMPRODUCT(MMULT(B101:E101,$N$22:$Q$25),B101:E101),"")</f>
        <v>2.08759340691009E-010</v>
      </c>
      <c r="I101" s="15" t="n">
        <f aca="false">SUMPRODUCT($B$4:$E$4,I100:L100)</f>
        <v>8.88887526670631</v>
      </c>
      <c r="J101" s="15" t="n">
        <f aca="false">SUMPRODUCT($B$5:$E$5,I100:L100)+Shock</f>
        <v>18.8888752667063</v>
      </c>
      <c r="K101" s="15" t="n">
        <f aca="false">SUMPRODUCT($B$6:$E$6,I100:L100)</f>
        <v>11.1110940833829</v>
      </c>
      <c r="L101" s="15" t="n">
        <f aca="false">SUMPRODUCT($B$7:$E$7,I100:L100)</f>
        <v>11.1110940833829</v>
      </c>
      <c r="M101" s="15" t="n">
        <f aca="false">SUM(I101:L101)</f>
        <v>49.9999387001784</v>
      </c>
    </row>
    <row r="102" customFormat="false" ht="15" hidden="false" customHeight="false" outlineLevel="0" collapsed="false">
      <c r="A102" s="20" t="n">
        <v>62</v>
      </c>
      <c r="B102" s="15" t="n">
        <f aca="false">SUMPRODUCT($B$4:$E$4,B101:E101)</f>
        <v>4.90398573077086E-006</v>
      </c>
      <c r="C102" s="15" t="n">
        <f aca="false">SUMPRODUCT($B$5:$E$5,B101:E101)</f>
        <v>4.90398573077086E-006</v>
      </c>
      <c r="D102" s="15" t="n">
        <f aca="false">SUMPRODUCT($B$6:$E$6,B101:E101)</f>
        <v>0</v>
      </c>
      <c r="E102" s="15" t="n">
        <f aca="false">SUMPRODUCT($B$7:$E$7,B101:E101)</f>
        <v>0</v>
      </c>
      <c r="F102" s="15" t="n">
        <f aca="false">SUM(B102:E102)</f>
        <v>9.80797146154172E-006</v>
      </c>
      <c r="G102" s="15" t="n">
        <f aca="false">IF(F101&lt;&gt;0,F102/F101,"")</f>
        <v>0.8</v>
      </c>
      <c r="H102" s="16" t="n">
        <f aca="false">IF($B$28="yes",SUMPRODUCT(MMULT(B102:E102,$N$22:$Q$25),B102:E102),"")</f>
        <v>1.33605978042246E-010</v>
      </c>
      <c r="I102" s="15" t="n">
        <f aca="false">SUMPRODUCT($B$4:$E$4,I101:L101)</f>
        <v>8.88887526670631</v>
      </c>
      <c r="J102" s="15" t="n">
        <f aca="false">SUMPRODUCT($B$5:$E$5,I101:L101)+Shock</f>
        <v>18.8888752667063</v>
      </c>
      <c r="K102" s="15" t="n">
        <f aca="false">SUMPRODUCT($B$6:$E$6,I101:L101)</f>
        <v>11.111100213365</v>
      </c>
      <c r="L102" s="15" t="n">
        <f aca="false">SUMPRODUCT($B$7:$E$7,I101:L101)</f>
        <v>11.111100213365</v>
      </c>
      <c r="M102" s="15" t="n">
        <f aca="false">SUM(I102:L102)</f>
        <v>49.9999509601427</v>
      </c>
    </row>
    <row r="103" customFormat="false" ht="15" hidden="false" customHeight="false" outlineLevel="0" collapsed="false">
      <c r="A103" s="20" t="n">
        <v>63</v>
      </c>
      <c r="B103" s="15" t="n">
        <f aca="false">SUMPRODUCT($B$4:$E$4,B102:E102)</f>
        <v>0</v>
      </c>
      <c r="C103" s="15" t="n">
        <f aca="false">SUMPRODUCT($B$5:$E$5,B102:E102)</f>
        <v>0</v>
      </c>
      <c r="D103" s="15" t="n">
        <f aca="false">SUMPRODUCT($B$6:$E$6,B102:E102)</f>
        <v>3.92318858461669E-006</v>
      </c>
      <c r="E103" s="15" t="n">
        <f aca="false">SUMPRODUCT($B$7:$E$7,B102:E102)</f>
        <v>3.92318858461669E-006</v>
      </c>
      <c r="F103" s="15" t="n">
        <f aca="false">SUM(B103:E103)</f>
        <v>7.84637716923338E-006</v>
      </c>
      <c r="G103" s="15" t="n">
        <f aca="false">IF(F102&lt;&gt;0,F103/F102,"")</f>
        <v>0.8</v>
      </c>
      <c r="H103" s="16" t="n">
        <f aca="false">IF($B$28="yes",SUMPRODUCT(MMULT(B103:E103,$N$22:$Q$25),B103:E103),"")</f>
        <v>8.55078259470373E-011</v>
      </c>
      <c r="I103" s="15" t="n">
        <f aca="false">SUMPRODUCT($B$4:$E$4,I102:L102)</f>
        <v>8.88888017069204</v>
      </c>
      <c r="J103" s="15" t="n">
        <f aca="false">SUMPRODUCT($B$5:$E$5,I102:L102)+Shock</f>
        <v>18.888880170692</v>
      </c>
      <c r="K103" s="15" t="n">
        <f aca="false">SUMPRODUCT($B$6:$E$6,I102:L102)</f>
        <v>11.111100213365</v>
      </c>
      <c r="L103" s="15" t="n">
        <f aca="false">SUMPRODUCT($B$7:$E$7,I102:L102)</f>
        <v>11.111100213365</v>
      </c>
      <c r="M103" s="15" t="n">
        <f aca="false">SUM(I103:L103)</f>
        <v>49.9999607681142</v>
      </c>
    </row>
    <row r="104" customFormat="false" ht="15" hidden="false" customHeight="false" outlineLevel="0" collapsed="false">
      <c r="A104" s="20" t="n">
        <v>64</v>
      </c>
      <c r="B104" s="15" t="n">
        <f aca="false">SUMPRODUCT($B$4:$E$4,B103:E103)</f>
        <v>3.13855086769335E-006</v>
      </c>
      <c r="C104" s="15" t="n">
        <f aca="false">SUMPRODUCT($B$5:$E$5,B103:E103)</f>
        <v>3.13855086769335E-006</v>
      </c>
      <c r="D104" s="15" t="n">
        <f aca="false">SUMPRODUCT($B$6:$E$6,B103:E103)</f>
        <v>0</v>
      </c>
      <c r="E104" s="15" t="n">
        <f aca="false">SUMPRODUCT($B$7:$E$7,B103:E103)</f>
        <v>0</v>
      </c>
      <c r="F104" s="15" t="n">
        <f aca="false">SUM(B104:E104)</f>
        <v>6.2771017353867E-006</v>
      </c>
      <c r="G104" s="15" t="n">
        <f aca="false">IF(F103&lt;&gt;0,F104/F103,"")</f>
        <v>0.8</v>
      </c>
      <c r="H104" s="16" t="n">
        <f aca="false">IF($B$28="yes",SUMPRODUCT(MMULT(B104:E104,$N$22:$Q$25),B104:E104),"")</f>
        <v>5.47250086061039E-011</v>
      </c>
      <c r="I104" s="15" t="n">
        <f aca="false">SUMPRODUCT($B$4:$E$4,I103:L103)</f>
        <v>8.88888017069204</v>
      </c>
      <c r="J104" s="15" t="n">
        <f aca="false">SUMPRODUCT($B$5:$E$5,I103:L103)+Shock</f>
        <v>18.888880170692</v>
      </c>
      <c r="K104" s="15" t="n">
        <f aca="false">SUMPRODUCT($B$6:$E$6,I103:L103)</f>
        <v>11.1111041365536</v>
      </c>
      <c r="L104" s="15" t="n">
        <f aca="false">SUMPRODUCT($B$7:$E$7,I103:L103)</f>
        <v>11.1111041365536</v>
      </c>
      <c r="M104" s="15" t="n">
        <f aca="false">SUM(I104:L104)</f>
        <v>49.9999686144913</v>
      </c>
    </row>
    <row r="105" customFormat="false" ht="15" hidden="false" customHeight="false" outlineLevel="0" collapsed="false">
      <c r="A105" s="20" t="n">
        <v>65</v>
      </c>
      <c r="B105" s="15" t="n">
        <f aca="false">SUMPRODUCT($B$4:$E$4,B104:E104)</f>
        <v>0</v>
      </c>
      <c r="C105" s="15" t="n">
        <f aca="false">SUMPRODUCT($B$5:$E$5,B104:E104)</f>
        <v>0</v>
      </c>
      <c r="D105" s="15" t="n">
        <f aca="false">SUMPRODUCT($B$6:$E$6,B104:E104)</f>
        <v>2.51084069415468E-006</v>
      </c>
      <c r="E105" s="15" t="n">
        <f aca="false">SUMPRODUCT($B$7:$E$7,B104:E104)</f>
        <v>2.51084069415468E-006</v>
      </c>
      <c r="F105" s="15" t="n">
        <f aca="false">SUM(B105:E105)</f>
        <v>5.02168138830936E-006</v>
      </c>
      <c r="G105" s="15" t="n">
        <f aca="false">IF(F104&lt;&gt;0,F105/F104,"")</f>
        <v>0.8</v>
      </c>
      <c r="H105" s="16" t="n">
        <f aca="false">IF($B$28="yes",SUMPRODUCT(MMULT(B105:E105,$N$22:$Q$25),B105:E105),"")</f>
        <v>3.50240055079065E-011</v>
      </c>
      <c r="I105" s="15" t="n">
        <f aca="false">SUMPRODUCT($B$4:$E$4,I104:L104)</f>
        <v>8.88888330924291</v>
      </c>
      <c r="J105" s="15" t="n">
        <f aca="false">SUMPRODUCT($B$5:$E$5,I104:L104)+Shock</f>
        <v>18.8888833092429</v>
      </c>
      <c r="K105" s="15" t="n">
        <f aca="false">SUMPRODUCT($B$6:$E$6,I104:L104)</f>
        <v>11.1111041365536</v>
      </c>
      <c r="L105" s="15" t="n">
        <f aca="false">SUMPRODUCT($B$7:$E$7,I104:L104)</f>
        <v>11.1111041365536</v>
      </c>
      <c r="M105" s="15" t="n">
        <f aca="false">SUM(I105:L105)</f>
        <v>49.9999748915931</v>
      </c>
    </row>
    <row r="106" customFormat="false" ht="15" hidden="false" customHeight="false" outlineLevel="0" collapsed="false">
      <c r="A106" s="20" t="n">
        <v>66</v>
      </c>
      <c r="B106" s="15" t="n">
        <f aca="false">SUMPRODUCT($B$4:$E$4,B105:E105)</f>
        <v>2.00867255532375E-006</v>
      </c>
      <c r="C106" s="15" t="n">
        <f aca="false">SUMPRODUCT($B$5:$E$5,B105:E105)</f>
        <v>2.00867255532375E-006</v>
      </c>
      <c r="D106" s="15" t="n">
        <f aca="false">SUMPRODUCT($B$6:$E$6,B105:E105)</f>
        <v>0</v>
      </c>
      <c r="E106" s="15" t="n">
        <f aca="false">SUMPRODUCT($B$7:$E$7,B105:E105)</f>
        <v>0</v>
      </c>
      <c r="F106" s="15" t="n">
        <f aca="false">SUM(B106:E106)</f>
        <v>4.01734511064749E-006</v>
      </c>
      <c r="G106" s="15" t="n">
        <f aca="false">IF(F105&lt;&gt;0,F106/F105,"")</f>
        <v>0.8</v>
      </c>
      <c r="H106" s="16" t="n">
        <f aca="false">IF($B$28="yes",SUMPRODUCT(MMULT(B106:E106,$N$22:$Q$25),B106:E106),"")</f>
        <v>2.24153635250601E-011</v>
      </c>
      <c r="I106" s="15" t="n">
        <f aca="false">SUMPRODUCT($B$4:$E$4,I105:L105)</f>
        <v>8.88888330924291</v>
      </c>
      <c r="J106" s="15" t="n">
        <f aca="false">SUMPRODUCT($B$5:$E$5,I105:L105)+Shock</f>
        <v>18.8888833092429</v>
      </c>
      <c r="K106" s="15" t="n">
        <f aca="false">SUMPRODUCT($B$6:$E$6,I105:L105)</f>
        <v>11.1111066473943</v>
      </c>
      <c r="L106" s="15" t="n">
        <f aca="false">SUMPRODUCT($B$7:$E$7,I105:L105)</f>
        <v>11.1111066473943</v>
      </c>
      <c r="M106" s="15" t="n">
        <f aca="false">SUM(I106:L106)</f>
        <v>49.9999799132745</v>
      </c>
    </row>
    <row r="107" customFormat="false" ht="15" hidden="false" customHeight="false" outlineLevel="0" collapsed="false">
      <c r="A107" s="20" t="n">
        <v>67</v>
      </c>
      <c r="B107" s="15" t="n">
        <f aca="false">SUMPRODUCT($B$4:$E$4,B106:E106)</f>
        <v>0</v>
      </c>
      <c r="C107" s="15" t="n">
        <f aca="false">SUMPRODUCT($B$5:$E$5,B106:E106)</f>
        <v>0</v>
      </c>
      <c r="D107" s="15" t="n">
        <f aca="false">SUMPRODUCT($B$6:$E$6,B106:E106)</f>
        <v>1.606938044259E-006</v>
      </c>
      <c r="E107" s="15" t="n">
        <f aca="false">SUMPRODUCT($B$7:$E$7,B106:E106)</f>
        <v>1.606938044259E-006</v>
      </c>
      <c r="F107" s="15" t="n">
        <f aca="false">SUM(B107:E107)</f>
        <v>3.21387608851799E-006</v>
      </c>
      <c r="G107" s="15" t="n">
        <f aca="false">IF(F106&lt;&gt;0,F107/F106,"")</f>
        <v>0.8</v>
      </c>
      <c r="H107" s="16" t="n">
        <f aca="false">IF($B$28="yes",SUMPRODUCT(MMULT(B107:E107,$N$22:$Q$25),B107:E107),"")</f>
        <v>1.43458326560385E-011</v>
      </c>
      <c r="I107" s="15" t="n">
        <f aca="false">SUMPRODUCT($B$4:$E$4,I106:L106)</f>
        <v>8.88888531791546</v>
      </c>
      <c r="J107" s="15" t="n">
        <f aca="false">SUMPRODUCT($B$5:$E$5,I106:L106)+Shock</f>
        <v>18.8888853179155</v>
      </c>
      <c r="K107" s="15" t="n">
        <f aca="false">SUMPRODUCT($B$6:$E$6,I106:L106)</f>
        <v>11.1111066473943</v>
      </c>
      <c r="L107" s="15" t="n">
        <f aca="false">SUMPRODUCT($B$7:$E$7,I106:L106)</f>
        <v>11.1111066473943</v>
      </c>
      <c r="M107" s="15" t="n">
        <f aca="false">SUM(I107:L107)</f>
        <v>49.9999839306196</v>
      </c>
    </row>
    <row r="108" customFormat="false" ht="15" hidden="false" customHeight="false" outlineLevel="0" collapsed="false">
      <c r="A108" s="20" t="n">
        <v>68</v>
      </c>
      <c r="B108" s="15" t="n">
        <f aca="false">SUMPRODUCT($B$4:$E$4,B107:E107)</f>
        <v>1.2855504354072E-006</v>
      </c>
      <c r="C108" s="15" t="n">
        <f aca="false">SUMPRODUCT($B$5:$E$5,B107:E107)</f>
        <v>1.2855504354072E-006</v>
      </c>
      <c r="D108" s="15" t="n">
        <f aca="false">SUMPRODUCT($B$6:$E$6,B107:E107)</f>
        <v>0</v>
      </c>
      <c r="E108" s="15" t="n">
        <f aca="false">SUMPRODUCT($B$7:$E$7,B107:E107)</f>
        <v>0</v>
      </c>
      <c r="F108" s="15" t="n">
        <f aca="false">SUM(B108:E108)</f>
        <v>2.57110087081439E-006</v>
      </c>
      <c r="G108" s="15" t="n">
        <f aca="false">IF(F107&lt;&gt;0,F108/F107,"")</f>
        <v>0.8</v>
      </c>
      <c r="H108" s="16" t="n">
        <f aca="false">IF($B$28="yes",SUMPRODUCT(MMULT(B108:E108,$N$22:$Q$25),B108:E108),"")</f>
        <v>9.18133289986464E-012</v>
      </c>
      <c r="I108" s="15" t="n">
        <f aca="false">SUMPRODUCT($B$4:$E$4,I107:L107)</f>
        <v>8.88888531791546</v>
      </c>
      <c r="J108" s="15" t="n">
        <f aca="false">SUMPRODUCT($B$5:$E$5,I107:L107)+Shock</f>
        <v>18.8888853179155</v>
      </c>
      <c r="K108" s="15" t="n">
        <f aca="false">SUMPRODUCT($B$6:$E$6,I107:L107)</f>
        <v>11.1111082543324</v>
      </c>
      <c r="L108" s="15" t="n">
        <f aca="false">SUMPRODUCT($B$7:$E$7,I107:L107)</f>
        <v>11.1111082543324</v>
      </c>
      <c r="M108" s="15" t="n">
        <f aca="false">SUM(I108:L108)</f>
        <v>49.9999871444957</v>
      </c>
    </row>
    <row r="109" customFormat="false" ht="15" hidden="false" customHeight="false" outlineLevel="0" collapsed="false">
      <c r="A109" s="20" t="n">
        <v>69</v>
      </c>
      <c r="B109" s="15" t="n">
        <f aca="false">SUMPRODUCT($B$4:$E$4,B108:E108)</f>
        <v>0</v>
      </c>
      <c r="C109" s="15" t="n">
        <f aca="false">SUMPRODUCT($B$5:$E$5,B108:E108)</f>
        <v>0</v>
      </c>
      <c r="D109" s="15" t="n">
        <f aca="false">SUMPRODUCT($B$6:$E$6,B108:E108)</f>
        <v>1.02844034832576E-006</v>
      </c>
      <c r="E109" s="15" t="n">
        <f aca="false">SUMPRODUCT($B$7:$E$7,B108:E108)</f>
        <v>1.02844034832576E-006</v>
      </c>
      <c r="F109" s="15" t="n">
        <f aca="false">SUM(B109:E109)</f>
        <v>2.05688069665152E-006</v>
      </c>
      <c r="G109" s="15" t="n">
        <f aca="false">IF(F108&lt;&gt;0,F109/F108,"")</f>
        <v>0.8</v>
      </c>
      <c r="H109" s="16" t="n">
        <f aca="false">IF($B$28="yes",SUMPRODUCT(MMULT(B109:E109,$N$22:$Q$25),B109:E109),"")</f>
        <v>5.87605305591337E-012</v>
      </c>
      <c r="I109" s="15" t="n">
        <f aca="false">SUMPRODUCT($B$4:$E$4,I108:L108)</f>
        <v>8.8888866034659</v>
      </c>
      <c r="J109" s="15" t="n">
        <f aca="false">SUMPRODUCT($B$5:$E$5,I108:L108)+Shock</f>
        <v>18.8888866034659</v>
      </c>
      <c r="K109" s="15" t="n">
        <f aca="false">SUMPRODUCT($B$6:$E$6,I108:L108)</f>
        <v>11.1111082543324</v>
      </c>
      <c r="L109" s="15" t="n">
        <f aca="false">SUMPRODUCT($B$7:$E$7,I108:L108)</f>
        <v>11.1111082543324</v>
      </c>
      <c r="M109" s="15" t="n">
        <f aca="false">SUM(I109:L109)</f>
        <v>49.9999897155965</v>
      </c>
    </row>
    <row r="110" customFormat="false" ht="15" hidden="false" customHeight="false" outlineLevel="0" collapsed="false">
      <c r="A110" s="20" t="n">
        <v>70</v>
      </c>
      <c r="B110" s="15" t="n">
        <f aca="false">SUMPRODUCT($B$4:$E$4,B109:E109)</f>
        <v>8.22752278660606E-007</v>
      </c>
      <c r="C110" s="15" t="n">
        <f aca="false">SUMPRODUCT($B$5:$E$5,B109:E109)</f>
        <v>8.22752278660606E-007</v>
      </c>
      <c r="D110" s="15" t="n">
        <f aca="false">SUMPRODUCT($B$6:$E$6,B109:E109)</f>
        <v>0</v>
      </c>
      <c r="E110" s="15" t="n">
        <f aca="false">SUMPRODUCT($B$7:$E$7,B109:E109)</f>
        <v>0</v>
      </c>
      <c r="F110" s="15" t="n">
        <f aca="false">SUM(B110:E110)</f>
        <v>1.64550455732121E-006</v>
      </c>
      <c r="G110" s="15" t="n">
        <f aca="false">IF(F109&lt;&gt;0,F110/F109,"")</f>
        <v>0.8</v>
      </c>
      <c r="H110" s="16" t="n">
        <f aca="false">IF($B$28="yes",SUMPRODUCT(MMULT(B110:E110,$N$22:$Q$25),B110:E110),"")</f>
        <v>3.76067395578456E-012</v>
      </c>
      <c r="I110" s="15" t="n">
        <f aca="false">SUMPRODUCT($B$4:$E$4,I109:L109)</f>
        <v>8.8888866034659</v>
      </c>
      <c r="J110" s="15" t="n">
        <f aca="false">SUMPRODUCT($B$5:$E$5,I109:L109)+Shock</f>
        <v>18.8888866034659</v>
      </c>
      <c r="K110" s="15" t="n">
        <f aca="false">SUMPRODUCT($B$6:$E$6,I109:L109)</f>
        <v>11.1111092827727</v>
      </c>
      <c r="L110" s="15" t="n">
        <f aca="false">SUMPRODUCT($B$7:$E$7,I109:L109)</f>
        <v>11.1111092827727</v>
      </c>
      <c r="M110" s="15" t="n">
        <f aca="false">SUM(I110:L110)</f>
        <v>49.9999917724772</v>
      </c>
    </row>
    <row r="111" customFormat="false" ht="15" hidden="false" customHeight="false" outlineLevel="0" collapsed="false">
      <c r="A111" s="20" t="n">
        <v>71</v>
      </c>
      <c r="B111" s="15" t="n">
        <f aca="false">SUMPRODUCT($B$4:$E$4,B110:E110)</f>
        <v>0</v>
      </c>
      <c r="C111" s="15" t="n">
        <f aca="false">SUMPRODUCT($B$5:$E$5,B110:E110)</f>
        <v>0</v>
      </c>
      <c r="D111" s="15" t="n">
        <f aca="false">SUMPRODUCT($B$6:$E$6,B110:E110)</f>
        <v>6.58201822928485E-007</v>
      </c>
      <c r="E111" s="15" t="n">
        <f aca="false">SUMPRODUCT($B$7:$E$7,B110:E110)</f>
        <v>6.58201822928485E-007</v>
      </c>
      <c r="F111" s="15" t="n">
        <f aca="false">SUM(B111:E111)</f>
        <v>1.31640364585697E-006</v>
      </c>
      <c r="G111" s="15" t="n">
        <f aca="false">IF(F110&lt;&gt;0,F111/F110,"")</f>
        <v>0.8</v>
      </c>
      <c r="H111" s="16" t="n">
        <f aca="false">IF($B$28="yes",SUMPRODUCT(MMULT(B111:E111,$N$22:$Q$25),B111:E111),"")</f>
        <v>2.40683133170212E-012</v>
      </c>
      <c r="I111" s="15" t="n">
        <f aca="false">SUMPRODUCT($B$4:$E$4,I110:L110)</f>
        <v>8.88888742621817</v>
      </c>
      <c r="J111" s="15" t="n">
        <f aca="false">SUMPRODUCT($B$5:$E$5,I110:L110)+Shock</f>
        <v>18.8888874262182</v>
      </c>
      <c r="K111" s="15" t="n">
        <f aca="false">SUMPRODUCT($B$6:$E$6,I110:L110)</f>
        <v>11.1111092827727</v>
      </c>
      <c r="L111" s="15" t="n">
        <f aca="false">SUMPRODUCT($B$7:$E$7,I110:L110)</f>
        <v>11.1111092827727</v>
      </c>
      <c r="M111" s="15" t="n">
        <f aca="false">SUM(I111:L111)</f>
        <v>49.9999934179818</v>
      </c>
    </row>
    <row r="112" customFormat="false" ht="15" hidden="false" customHeight="false" outlineLevel="0" collapsed="false">
      <c r="A112" s="20" t="n">
        <v>72</v>
      </c>
      <c r="B112" s="15" t="n">
        <f aca="false">SUMPRODUCT($B$4:$E$4,B111:E111)</f>
        <v>5.26561458342788E-007</v>
      </c>
      <c r="C112" s="15" t="n">
        <f aca="false">SUMPRODUCT($B$5:$E$5,B111:E111)</f>
        <v>5.26561458342788E-007</v>
      </c>
      <c r="D112" s="15" t="n">
        <f aca="false">SUMPRODUCT($B$6:$E$6,B111:E111)</f>
        <v>0</v>
      </c>
      <c r="E112" s="15" t="n">
        <f aca="false">SUMPRODUCT($B$7:$E$7,B111:E111)</f>
        <v>0</v>
      </c>
      <c r="F112" s="15" t="n">
        <f aca="false">SUM(B112:E112)</f>
        <v>1.05312291668558E-006</v>
      </c>
      <c r="G112" s="15" t="n">
        <f aca="false">IF(F111&lt;&gt;0,F112/F111,"")</f>
        <v>0.8</v>
      </c>
      <c r="H112" s="16" t="n">
        <f aca="false">IF($B$28="yes",SUMPRODUCT(MMULT(B112:E112,$N$22:$Q$25),B112:E112),"")</f>
        <v>1.54037205228935E-012</v>
      </c>
      <c r="I112" s="15" t="n">
        <f aca="false">SUMPRODUCT($B$4:$E$4,I111:L111)</f>
        <v>8.88888742621817</v>
      </c>
      <c r="J112" s="15" t="n">
        <f aca="false">SUMPRODUCT($B$5:$E$5,I111:L111)+Shock</f>
        <v>18.8888874262182</v>
      </c>
      <c r="K112" s="15" t="n">
        <f aca="false">SUMPRODUCT($B$6:$E$6,I111:L111)</f>
        <v>11.1111099409745</v>
      </c>
      <c r="L112" s="15" t="n">
        <f aca="false">SUMPRODUCT($B$7:$E$7,I111:L111)</f>
        <v>11.1111099409745</v>
      </c>
      <c r="M112" s="15" t="n">
        <f aca="false">SUM(I112:L112)</f>
        <v>49.9999947343854</v>
      </c>
    </row>
    <row r="113" customFormat="false" ht="15" hidden="false" customHeight="false" outlineLevel="0" collapsed="false">
      <c r="A113" s="20" t="n">
        <v>73</v>
      </c>
      <c r="B113" s="15" t="n">
        <f aca="false">SUMPRODUCT($B$4:$E$4,B112:E112)</f>
        <v>0</v>
      </c>
      <c r="C113" s="15" t="n">
        <f aca="false">SUMPRODUCT($B$5:$E$5,B112:E112)</f>
        <v>0</v>
      </c>
      <c r="D113" s="15" t="n">
        <f aca="false">SUMPRODUCT($B$6:$E$6,B112:E112)</f>
        <v>4.21249166674231E-007</v>
      </c>
      <c r="E113" s="15" t="n">
        <f aca="false">SUMPRODUCT($B$7:$E$7,B112:E112)</f>
        <v>4.21249166674231E-007</v>
      </c>
      <c r="F113" s="15" t="n">
        <f aca="false">SUM(B113:E113)</f>
        <v>8.42498333348461E-007</v>
      </c>
      <c r="G113" s="15" t="n">
        <f aca="false">IF(F112&lt;&gt;0,F113/F112,"")</f>
        <v>0.8</v>
      </c>
      <c r="H113" s="16" t="n">
        <f aca="false">IF($B$28="yes",SUMPRODUCT(MMULT(B113:E113,$N$22:$Q$25),B113:E113),"")</f>
        <v>9.85838113465187E-013</v>
      </c>
      <c r="I113" s="15" t="n">
        <f aca="false">SUMPRODUCT($B$4:$E$4,I112:L112)</f>
        <v>8.88888795277963</v>
      </c>
      <c r="J113" s="15" t="n">
        <f aca="false">SUMPRODUCT($B$5:$E$5,I112:L112)+Shock</f>
        <v>18.8888879527796</v>
      </c>
      <c r="K113" s="15" t="n">
        <f aca="false">SUMPRODUCT($B$6:$E$6,I112:L112)</f>
        <v>11.1111099409745</v>
      </c>
      <c r="L113" s="15" t="n">
        <f aca="false">SUMPRODUCT($B$7:$E$7,I112:L112)</f>
        <v>11.1111099409745</v>
      </c>
      <c r="M113" s="15" t="n">
        <f aca="false">SUM(I113:L113)</f>
        <v>49.9999957875083</v>
      </c>
    </row>
    <row r="114" customFormat="false" ht="15" hidden="false" customHeight="false" outlineLevel="0" collapsed="false">
      <c r="A114" s="20" t="n">
        <v>74</v>
      </c>
      <c r="B114" s="15" t="n">
        <f aca="false">SUMPRODUCT($B$4:$E$4,B113:E113)</f>
        <v>3.36999333339384E-007</v>
      </c>
      <c r="C114" s="15" t="n">
        <f aca="false">SUMPRODUCT($B$5:$E$5,B113:E113)</f>
        <v>3.36999333339384E-007</v>
      </c>
      <c r="D114" s="15" t="n">
        <f aca="false">SUMPRODUCT($B$6:$E$6,B113:E113)</f>
        <v>0</v>
      </c>
      <c r="E114" s="15" t="n">
        <f aca="false">SUMPRODUCT($B$7:$E$7,B113:E113)</f>
        <v>0</v>
      </c>
      <c r="F114" s="15" t="n">
        <f aca="false">SUM(B114:E114)</f>
        <v>6.73998666678769E-007</v>
      </c>
      <c r="G114" s="15" t="n">
        <f aca="false">IF(F113&lt;&gt;0,F114/F113,"")</f>
        <v>0.8</v>
      </c>
      <c r="H114" s="16" t="n">
        <f aca="false">IF($B$28="yes",SUMPRODUCT(MMULT(B114:E114,$N$22:$Q$25),B114:E114),"")</f>
        <v>6.3093639261772E-013</v>
      </c>
      <c r="I114" s="15" t="n">
        <f aca="false">SUMPRODUCT($B$4:$E$4,I113:L113)</f>
        <v>8.88888795277963</v>
      </c>
      <c r="J114" s="15" t="n">
        <f aca="false">SUMPRODUCT($B$5:$E$5,I113:L113)+Shock</f>
        <v>18.8888879527796</v>
      </c>
      <c r="K114" s="15" t="n">
        <f aca="false">SUMPRODUCT($B$6:$E$6,I113:L113)</f>
        <v>11.1111103622237</v>
      </c>
      <c r="L114" s="15" t="n">
        <f aca="false">SUMPRODUCT($B$7:$E$7,I113:L113)</f>
        <v>11.1111103622237</v>
      </c>
      <c r="M114" s="15" t="n">
        <f aca="false">SUM(I114:L114)</f>
        <v>49.9999966300067</v>
      </c>
    </row>
    <row r="115" customFormat="false" ht="15" hidden="false" customHeight="false" outlineLevel="0" collapsed="false">
      <c r="A115" s="20" t="n">
        <v>75</v>
      </c>
      <c r="B115" s="15" t="n">
        <f aca="false">SUMPRODUCT($B$4:$E$4,B114:E114)</f>
        <v>0</v>
      </c>
      <c r="C115" s="15" t="n">
        <f aca="false">SUMPRODUCT($B$5:$E$5,B114:E114)</f>
        <v>0</v>
      </c>
      <c r="D115" s="15" t="n">
        <f aca="false">SUMPRODUCT($B$6:$E$6,B114:E114)</f>
        <v>2.69599466671508E-007</v>
      </c>
      <c r="E115" s="15" t="n">
        <f aca="false">SUMPRODUCT($B$7:$E$7,B114:E114)</f>
        <v>2.69599466671508E-007</v>
      </c>
      <c r="F115" s="15" t="n">
        <f aca="false">SUM(B115:E115)</f>
        <v>5.39198933343015E-007</v>
      </c>
      <c r="G115" s="15" t="n">
        <f aca="false">IF(F114&lt;&gt;0,F115/F114,"")</f>
        <v>0.8</v>
      </c>
      <c r="H115" s="16" t="n">
        <f aca="false">IF($B$28="yes",SUMPRODUCT(MMULT(B115:E115,$N$22:$Q$25),B115:E115),"")</f>
        <v>4.03799291275341E-013</v>
      </c>
      <c r="I115" s="15" t="n">
        <f aca="false">SUMPRODUCT($B$4:$E$4,I114:L114)</f>
        <v>8.88888828977897</v>
      </c>
      <c r="J115" s="15" t="n">
        <f aca="false">SUMPRODUCT($B$5:$E$5,I114:L114)+Shock</f>
        <v>18.888888289779</v>
      </c>
      <c r="K115" s="15" t="n">
        <f aca="false">SUMPRODUCT($B$6:$E$6,I114:L114)</f>
        <v>11.1111103622237</v>
      </c>
      <c r="L115" s="15" t="n">
        <f aca="false">SUMPRODUCT($B$7:$E$7,I114:L114)</f>
        <v>11.1111103622237</v>
      </c>
      <c r="M115" s="15" t="n">
        <f aca="false">SUM(I115:L115)</f>
        <v>49.9999973040053</v>
      </c>
    </row>
    <row r="116" customFormat="false" ht="15" hidden="false" customHeight="false" outlineLevel="0" collapsed="false">
      <c r="A116" s="20" t="n">
        <v>76</v>
      </c>
      <c r="B116" s="15" t="n">
        <f aca="false">SUMPRODUCT($B$4:$E$4,B115:E115)</f>
        <v>2.15679573337206E-007</v>
      </c>
      <c r="C116" s="15" t="n">
        <f aca="false">SUMPRODUCT($B$5:$E$5,B115:E115)</f>
        <v>2.15679573337206E-007</v>
      </c>
      <c r="D116" s="15" t="n">
        <f aca="false">SUMPRODUCT($B$6:$E$6,B115:E115)</f>
        <v>0</v>
      </c>
      <c r="E116" s="15" t="n">
        <f aca="false">SUMPRODUCT($B$7:$E$7,B115:E115)</f>
        <v>0</v>
      </c>
      <c r="F116" s="15" t="n">
        <f aca="false">SUM(B116:E116)</f>
        <v>4.31359146674412E-007</v>
      </c>
      <c r="G116" s="15" t="n">
        <f aca="false">IF(F115&lt;&gt;0,F116/F115,"")</f>
        <v>0.8</v>
      </c>
      <c r="H116" s="16" t="n">
        <f aca="false">IF($B$28="yes",SUMPRODUCT(MMULT(B116:E116,$N$22:$Q$25),B116:E116),"")</f>
        <v>2.58431546416218E-013</v>
      </c>
      <c r="I116" s="15" t="n">
        <f aca="false">SUMPRODUCT($B$4:$E$4,I115:L115)</f>
        <v>8.88888828977897</v>
      </c>
      <c r="J116" s="15" t="n">
        <f aca="false">SUMPRODUCT($B$5:$E$5,I115:L115)+Shock</f>
        <v>18.888888289779</v>
      </c>
      <c r="K116" s="15" t="n">
        <f aca="false">SUMPRODUCT($B$6:$E$6,I115:L115)</f>
        <v>11.1111106318232</v>
      </c>
      <c r="L116" s="15" t="n">
        <f aca="false">SUMPRODUCT($B$7:$E$7,I115:L115)</f>
        <v>11.1111106318232</v>
      </c>
      <c r="M116" s="15" t="n">
        <f aca="false">SUM(I116:L116)</f>
        <v>49.9999978432043</v>
      </c>
    </row>
    <row r="117" customFormat="false" ht="15" hidden="false" customHeight="false" outlineLevel="0" collapsed="false">
      <c r="A117" s="20" t="n">
        <v>77</v>
      </c>
      <c r="B117" s="15" t="n">
        <f aca="false">SUMPRODUCT($B$4:$E$4,B116:E116)</f>
        <v>0</v>
      </c>
      <c r="C117" s="15" t="n">
        <f aca="false">SUMPRODUCT($B$5:$E$5,B116:E116)</f>
        <v>0</v>
      </c>
      <c r="D117" s="15" t="n">
        <f aca="false">SUMPRODUCT($B$6:$E$6,B116:E116)</f>
        <v>1.72543658669765E-007</v>
      </c>
      <c r="E117" s="15" t="n">
        <f aca="false">SUMPRODUCT($B$7:$E$7,B116:E116)</f>
        <v>1.72543658669765E-007</v>
      </c>
      <c r="F117" s="15" t="n">
        <f aca="false">SUM(B117:E117)</f>
        <v>3.4508731733953E-007</v>
      </c>
      <c r="G117" s="15" t="n">
        <f aca="false">IF(F116&lt;&gt;0,F117/F116,"")</f>
        <v>0.8</v>
      </c>
      <c r="H117" s="16" t="n">
        <f aca="false">IF($B$28="yes",SUMPRODUCT(MMULT(B117:E117,$N$22:$Q$25),B117:E117),"")</f>
        <v>1.6539618970638E-013</v>
      </c>
      <c r="I117" s="15" t="n">
        <f aca="false">SUMPRODUCT($B$4:$E$4,I116:L116)</f>
        <v>8.88888850545854</v>
      </c>
      <c r="J117" s="15" t="n">
        <f aca="false">SUMPRODUCT($B$5:$E$5,I116:L116)+Shock</f>
        <v>18.8888885054585</v>
      </c>
      <c r="K117" s="15" t="n">
        <f aca="false">SUMPRODUCT($B$6:$E$6,I116:L116)</f>
        <v>11.1111106318232</v>
      </c>
      <c r="L117" s="15" t="n">
        <f aca="false">SUMPRODUCT($B$7:$E$7,I116:L116)</f>
        <v>11.1111106318232</v>
      </c>
      <c r="M117" s="15" t="n">
        <f aca="false">SUM(I117:L117)</f>
        <v>49.9999982745634</v>
      </c>
    </row>
    <row r="118" customFormat="false" ht="15" hidden="false" customHeight="false" outlineLevel="0" collapsed="false">
      <c r="A118" s="20" t="n">
        <v>78</v>
      </c>
      <c r="B118" s="15" t="n">
        <f aca="false">SUMPRODUCT($B$4:$E$4,B117:E117)</f>
        <v>1.38034926935812E-007</v>
      </c>
      <c r="C118" s="15" t="n">
        <f aca="false">SUMPRODUCT($B$5:$E$5,B117:E117)</f>
        <v>1.38034926935812E-007</v>
      </c>
      <c r="D118" s="15" t="n">
        <f aca="false">SUMPRODUCT($B$6:$E$6,B117:E117)</f>
        <v>0</v>
      </c>
      <c r="E118" s="15" t="n">
        <f aca="false">SUMPRODUCT($B$7:$E$7,B117:E117)</f>
        <v>0</v>
      </c>
      <c r="F118" s="15" t="n">
        <f aca="false">SUM(B118:E118)</f>
        <v>2.76069853871624E-007</v>
      </c>
      <c r="G118" s="15" t="n">
        <f aca="false">IF(F117&lt;&gt;0,F118/F117,"")</f>
        <v>0.8</v>
      </c>
      <c r="H118" s="16" t="n">
        <f aca="false">IF($B$28="yes",SUMPRODUCT(MMULT(B118:E118,$N$22:$Q$25),B118:E118),"")</f>
        <v>1.05853561412083E-013</v>
      </c>
      <c r="I118" s="15" t="n">
        <f aca="false">SUMPRODUCT($B$4:$E$4,I117:L117)</f>
        <v>8.88888850545854</v>
      </c>
      <c r="J118" s="15" t="n">
        <f aca="false">SUMPRODUCT($B$5:$E$5,I117:L117)+Shock</f>
        <v>18.8888885054585</v>
      </c>
      <c r="K118" s="15" t="n">
        <f aca="false">SUMPRODUCT($B$6:$E$6,I117:L117)</f>
        <v>11.1111108043668</v>
      </c>
      <c r="L118" s="15" t="n">
        <f aca="false">SUMPRODUCT($B$7:$E$7,I117:L117)</f>
        <v>11.1111108043668</v>
      </c>
      <c r="M118" s="15" t="n">
        <f aca="false">SUM(I118:L118)</f>
        <v>49.9999986196507</v>
      </c>
    </row>
    <row r="119" customFormat="false" ht="15" hidden="false" customHeight="false" outlineLevel="0" collapsed="false">
      <c r="A119" s="20" t="n">
        <v>79</v>
      </c>
      <c r="B119" s="15" t="n">
        <f aca="false">SUMPRODUCT($B$4:$E$4,B118:E118)</f>
        <v>0</v>
      </c>
      <c r="C119" s="15" t="n">
        <f aca="false">SUMPRODUCT($B$5:$E$5,B118:E118)</f>
        <v>0</v>
      </c>
      <c r="D119" s="15" t="n">
        <f aca="false">SUMPRODUCT($B$6:$E$6,B118:E118)</f>
        <v>1.1042794154865E-007</v>
      </c>
      <c r="E119" s="15" t="n">
        <f aca="false">SUMPRODUCT($B$7:$E$7,B118:E118)</f>
        <v>1.1042794154865E-007</v>
      </c>
      <c r="F119" s="15" t="n">
        <f aca="false">SUM(B119:E119)</f>
        <v>2.20855883097299E-007</v>
      </c>
      <c r="G119" s="15" t="n">
        <f aca="false">IF(F118&lt;&gt;0,F119/F118,"")</f>
        <v>0.8</v>
      </c>
      <c r="H119" s="16" t="n">
        <f aca="false">IF($B$28="yes",SUMPRODUCT(MMULT(B119:E119,$N$22:$Q$25),B119:E119),"")</f>
        <v>6.77462793037331E-014</v>
      </c>
      <c r="I119" s="15" t="n">
        <f aca="false">SUMPRODUCT($B$4:$E$4,I118:L118)</f>
        <v>8.88888864349346</v>
      </c>
      <c r="J119" s="15" t="n">
        <f aca="false">SUMPRODUCT($B$5:$E$5,I118:L118)+Shock</f>
        <v>18.8888886434935</v>
      </c>
      <c r="K119" s="15" t="n">
        <f aca="false">SUMPRODUCT($B$6:$E$6,I118:L118)</f>
        <v>11.1111108043668</v>
      </c>
      <c r="L119" s="15" t="n">
        <f aca="false">SUMPRODUCT($B$7:$E$7,I118:L118)</f>
        <v>11.1111108043668</v>
      </c>
      <c r="M119" s="15" t="n">
        <f aca="false">SUM(I119:L119)</f>
        <v>49.9999988957206</v>
      </c>
    </row>
    <row r="120" customFormat="false" ht="15" hidden="false" customHeight="false" outlineLevel="0" collapsed="false">
      <c r="A120" s="20" t="n">
        <v>80</v>
      </c>
      <c r="B120" s="15" t="n">
        <f aca="false">SUMPRODUCT($B$4:$E$4,B119:E119)</f>
        <v>8.83423532389196E-008</v>
      </c>
      <c r="C120" s="15" t="n">
        <f aca="false">SUMPRODUCT($B$5:$E$5,B119:E119)</f>
        <v>8.83423532389196E-008</v>
      </c>
      <c r="D120" s="15" t="n">
        <f aca="false">SUMPRODUCT($B$6:$E$6,B119:E119)</f>
        <v>0</v>
      </c>
      <c r="E120" s="15" t="n">
        <f aca="false">SUMPRODUCT($B$7:$E$7,B119:E119)</f>
        <v>0</v>
      </c>
      <c r="F120" s="15" t="n">
        <f aca="false">SUM(B120:E120)</f>
        <v>1.76684706477839E-007</v>
      </c>
      <c r="G120" s="15" t="n">
        <f aca="false">IF(F119&lt;&gt;0,F120/F119,"")</f>
        <v>0.8</v>
      </c>
      <c r="H120" s="16" t="n">
        <f aca="false">IF($B$28="yes",SUMPRODUCT(MMULT(B120:E120,$N$22:$Q$25),B120:E120),"")</f>
        <v>4.33576187543892E-014</v>
      </c>
      <c r="I120" s="15" t="n">
        <f aca="false">SUMPRODUCT($B$4:$E$4,I119:L119)</f>
        <v>8.88888864349346</v>
      </c>
      <c r="J120" s="15" t="n">
        <f aca="false">SUMPRODUCT($B$5:$E$5,I119:L119)+Shock</f>
        <v>18.8888886434935</v>
      </c>
      <c r="K120" s="15" t="n">
        <f aca="false">SUMPRODUCT($B$6:$E$6,I119:L119)</f>
        <v>11.1111109147948</v>
      </c>
      <c r="L120" s="15" t="n">
        <f aca="false">SUMPRODUCT($B$7:$E$7,I119:L119)</f>
        <v>11.1111109147948</v>
      </c>
      <c r="M120" s="15" t="n">
        <f aca="false">SUM(I120:L120)</f>
        <v>49.9999991165765</v>
      </c>
    </row>
    <row r="121" customFormat="false" ht="15" hidden="false" customHeight="false" outlineLevel="0" collapsed="false">
      <c r="A121" s="20" t="n">
        <v>81</v>
      </c>
      <c r="B121" s="15" t="n">
        <f aca="false">SUMPRODUCT($B$4:$E$4,B120:E120)</f>
        <v>0</v>
      </c>
      <c r="C121" s="15" t="n">
        <f aca="false">SUMPRODUCT($B$5:$E$5,B120:E120)</f>
        <v>0</v>
      </c>
      <c r="D121" s="15" t="n">
        <f aca="false">SUMPRODUCT($B$6:$E$6,B120:E120)</f>
        <v>7.06738825911357E-008</v>
      </c>
      <c r="E121" s="15" t="n">
        <f aca="false">SUMPRODUCT($B$7:$E$7,B120:E120)</f>
        <v>7.06738825911357E-008</v>
      </c>
      <c r="F121" s="15" t="n">
        <f aca="false">SUM(B121:E121)</f>
        <v>1.41347765182271E-007</v>
      </c>
      <c r="G121" s="15" t="n">
        <f aca="false">IF(F120&lt;&gt;0,F121/F120,"")</f>
        <v>0.8</v>
      </c>
      <c r="H121" s="16" t="n">
        <f aca="false">IF($B$28="yes",SUMPRODUCT(MMULT(B121:E121,$N$22:$Q$25),B121:E121),"")</f>
        <v>2.77488760028091E-014</v>
      </c>
      <c r="I121" s="15" t="n">
        <f aca="false">SUMPRODUCT($B$4:$E$4,I120:L120)</f>
        <v>8.88888873183582</v>
      </c>
      <c r="J121" s="15" t="n">
        <f aca="false">SUMPRODUCT($B$5:$E$5,I120:L120)+Shock</f>
        <v>18.8888887318358</v>
      </c>
      <c r="K121" s="15" t="n">
        <f aca="false">SUMPRODUCT($B$6:$E$6,I120:L120)</f>
        <v>11.1111109147948</v>
      </c>
      <c r="L121" s="15" t="n">
        <f aca="false">SUMPRODUCT($B$7:$E$7,I120:L120)</f>
        <v>11.1111109147948</v>
      </c>
      <c r="M121" s="15" t="n">
        <f aca="false">SUM(I121:L121)</f>
        <v>49.9999992932612</v>
      </c>
    </row>
    <row r="122" customFormat="false" ht="15" hidden="false" customHeight="false" outlineLevel="0" collapsed="false">
      <c r="A122" s="20" t="n">
        <v>82</v>
      </c>
      <c r="B122" s="15" t="n">
        <f aca="false">SUMPRODUCT($B$4:$E$4,B121:E121)</f>
        <v>5.65391060729086E-008</v>
      </c>
      <c r="C122" s="15" t="n">
        <f aca="false">SUMPRODUCT($B$5:$E$5,B121:E121)</f>
        <v>5.65391060729086E-008</v>
      </c>
      <c r="D122" s="15" t="n">
        <f aca="false">SUMPRODUCT($B$6:$E$6,B121:E121)</f>
        <v>0</v>
      </c>
      <c r="E122" s="15" t="n">
        <f aca="false">SUMPRODUCT($B$7:$E$7,B121:E121)</f>
        <v>0</v>
      </c>
      <c r="F122" s="15" t="n">
        <f aca="false">SUM(B122:E122)</f>
        <v>1.13078212145817E-007</v>
      </c>
      <c r="G122" s="15" t="n">
        <f aca="false">IF(F121&lt;&gt;0,F122/F121,"")</f>
        <v>0.8</v>
      </c>
      <c r="H122" s="16" t="n">
        <f aca="false">IF($B$28="yes",SUMPRODUCT(MMULT(B122:E122,$N$22:$Q$25),B122:E122),"")</f>
        <v>1.77592806417978E-014</v>
      </c>
      <c r="I122" s="15" t="n">
        <f aca="false">SUMPRODUCT($B$4:$E$4,I121:L121)</f>
        <v>8.88888873183582</v>
      </c>
      <c r="J122" s="15" t="n">
        <f aca="false">SUMPRODUCT($B$5:$E$5,I121:L121)+Shock</f>
        <v>18.8888887318358</v>
      </c>
      <c r="K122" s="15" t="n">
        <f aca="false">SUMPRODUCT($B$6:$E$6,I121:L121)</f>
        <v>11.1111109854687</v>
      </c>
      <c r="L122" s="15" t="n">
        <f aca="false">SUMPRODUCT($B$7:$E$7,I121:L121)</f>
        <v>11.1111109854687</v>
      </c>
      <c r="M122" s="15" t="n">
        <f aca="false">SUM(I122:L122)</f>
        <v>49.999999434609</v>
      </c>
    </row>
    <row r="123" customFormat="false" ht="15" hidden="false" customHeight="false" outlineLevel="0" collapsed="false">
      <c r="A123" s="20" t="n">
        <v>83</v>
      </c>
      <c r="B123" s="15" t="n">
        <f aca="false">SUMPRODUCT($B$4:$E$4,B122:E122)</f>
        <v>0</v>
      </c>
      <c r="C123" s="15" t="n">
        <f aca="false">SUMPRODUCT($B$5:$E$5,B122:E122)</f>
        <v>0</v>
      </c>
      <c r="D123" s="15" t="n">
        <f aca="false">SUMPRODUCT($B$6:$E$6,B122:E122)</f>
        <v>4.52312848583269E-008</v>
      </c>
      <c r="E123" s="15" t="n">
        <f aca="false">SUMPRODUCT($B$7:$E$7,B122:E122)</f>
        <v>4.52312848583269E-008</v>
      </c>
      <c r="F123" s="15" t="n">
        <f aca="false">SUM(B123:E123)</f>
        <v>9.04625697166537E-008</v>
      </c>
      <c r="G123" s="15" t="n">
        <f aca="false">IF(F122&lt;&gt;0,F123/F122,"")</f>
        <v>0.8</v>
      </c>
      <c r="H123" s="16" t="n">
        <f aca="false">IF($B$28="yes",SUMPRODUCT(MMULT(B123:E123,$N$22:$Q$25),B123:E123),"")</f>
        <v>1.13659396107506E-014</v>
      </c>
      <c r="I123" s="15" t="n">
        <f aca="false">SUMPRODUCT($B$4:$E$4,I122:L122)</f>
        <v>8.88888878837493</v>
      </c>
      <c r="J123" s="15" t="n">
        <f aca="false">SUMPRODUCT($B$5:$E$5,I122:L122)+Shock</f>
        <v>18.8888887883749</v>
      </c>
      <c r="K123" s="15" t="n">
        <f aca="false">SUMPRODUCT($B$6:$E$6,I122:L122)</f>
        <v>11.1111109854687</v>
      </c>
      <c r="L123" s="15" t="n">
        <f aca="false">SUMPRODUCT($B$7:$E$7,I122:L122)</f>
        <v>11.1111109854687</v>
      </c>
      <c r="M123" s="15" t="n">
        <f aca="false">SUM(I123:L123)</f>
        <v>49.9999995476872</v>
      </c>
    </row>
    <row r="124" customFormat="false" ht="15" hidden="false" customHeight="false" outlineLevel="0" collapsed="false">
      <c r="A124" s="20" t="n">
        <v>84</v>
      </c>
      <c r="B124" s="15" t="n">
        <f aca="false">SUMPRODUCT($B$4:$E$4,B123:E123)</f>
        <v>3.61850278866615E-008</v>
      </c>
      <c r="C124" s="15" t="n">
        <f aca="false">SUMPRODUCT($B$5:$E$5,B123:E123)</f>
        <v>3.61850278866615E-008</v>
      </c>
      <c r="D124" s="15" t="n">
        <f aca="false">SUMPRODUCT($B$6:$E$6,B123:E123)</f>
        <v>0</v>
      </c>
      <c r="E124" s="15" t="n">
        <f aca="false">SUMPRODUCT($B$7:$E$7,B123:E123)</f>
        <v>0</v>
      </c>
      <c r="F124" s="15" t="n">
        <f aca="false">SUM(B124:E124)</f>
        <v>7.2370055773323E-008</v>
      </c>
      <c r="G124" s="15" t="n">
        <f aca="false">IF(F123&lt;&gt;0,F124/F123,"")</f>
        <v>0.8</v>
      </c>
      <c r="H124" s="16" t="n">
        <f aca="false">IF($B$28="yes",SUMPRODUCT(MMULT(B124:E124,$N$22:$Q$25),B124:E124),"")</f>
        <v>7.27420135088039E-015</v>
      </c>
      <c r="I124" s="15" t="n">
        <f aca="false">SUMPRODUCT($B$4:$E$4,I123:L123)</f>
        <v>8.88888878837493</v>
      </c>
      <c r="J124" s="15" t="n">
        <f aca="false">SUMPRODUCT($B$5:$E$5,I123:L123)+Shock</f>
        <v>18.8888887883749</v>
      </c>
      <c r="K124" s="15" t="n">
        <f aca="false">SUMPRODUCT($B$6:$E$6,I123:L123)</f>
        <v>11.1111110306999</v>
      </c>
      <c r="L124" s="15" t="n">
        <f aca="false">SUMPRODUCT($B$7:$E$7,I123:L123)</f>
        <v>11.1111110306999</v>
      </c>
      <c r="M124" s="15" t="n">
        <f aca="false">SUM(I124:L124)</f>
        <v>49.9999996381497</v>
      </c>
    </row>
    <row r="125" customFormat="false" ht="15" hidden="false" customHeight="false" outlineLevel="0" collapsed="false">
      <c r="A125" s="20" t="n">
        <v>85</v>
      </c>
      <c r="B125" s="15" t="n">
        <f aca="false">SUMPRODUCT($B$4:$E$4,B124:E124)</f>
        <v>0</v>
      </c>
      <c r="C125" s="15" t="n">
        <f aca="false">SUMPRODUCT($B$5:$E$5,B124:E124)</f>
        <v>0</v>
      </c>
      <c r="D125" s="15" t="n">
        <f aca="false">SUMPRODUCT($B$6:$E$6,B124:E124)</f>
        <v>2.89480223093292E-008</v>
      </c>
      <c r="E125" s="15" t="n">
        <f aca="false">SUMPRODUCT($B$7:$E$7,B124:E124)</f>
        <v>2.89480223093292E-008</v>
      </c>
      <c r="F125" s="15" t="n">
        <f aca="false">SUM(B125:E125)</f>
        <v>5.78960446186584E-008</v>
      </c>
      <c r="G125" s="15" t="n">
        <f aca="false">IF(F124&lt;&gt;0,F125/F124,"")</f>
        <v>0.8</v>
      </c>
      <c r="H125" s="16" t="n">
        <f aca="false">IF($B$28="yes",SUMPRODUCT(MMULT(B125:E125,$N$22:$Q$25),B125:E125),"")</f>
        <v>4.65548886456345E-015</v>
      </c>
      <c r="I125" s="15" t="n">
        <f aca="false">SUMPRODUCT($B$4:$E$4,I124:L124)</f>
        <v>8.88888882455995</v>
      </c>
      <c r="J125" s="15" t="n">
        <f aca="false">SUMPRODUCT($B$5:$E$5,I124:L124)+Shock</f>
        <v>18.88888882456</v>
      </c>
      <c r="K125" s="15" t="n">
        <f aca="false">SUMPRODUCT($B$6:$E$6,I124:L124)</f>
        <v>11.1111110306999</v>
      </c>
      <c r="L125" s="15" t="n">
        <f aca="false">SUMPRODUCT($B$7:$E$7,I124:L124)</f>
        <v>11.1111110306999</v>
      </c>
      <c r="M125" s="15" t="n">
        <f aca="false">SUM(I125:L125)</f>
        <v>49.9999997105198</v>
      </c>
    </row>
    <row r="126" customFormat="false" ht="15" hidden="false" customHeight="false" outlineLevel="0" collapsed="false">
      <c r="A126" s="20" t="n">
        <v>86</v>
      </c>
      <c r="B126" s="15" t="n">
        <f aca="false">SUMPRODUCT($B$4:$E$4,B125:E125)</f>
        <v>2.31584178474634E-008</v>
      </c>
      <c r="C126" s="15" t="n">
        <f aca="false">SUMPRODUCT($B$5:$E$5,B125:E125)</f>
        <v>2.31584178474634E-008</v>
      </c>
      <c r="D126" s="15" t="n">
        <f aca="false">SUMPRODUCT($B$6:$E$6,B125:E125)</f>
        <v>0</v>
      </c>
      <c r="E126" s="15" t="n">
        <f aca="false">SUMPRODUCT($B$7:$E$7,B125:E125)</f>
        <v>0</v>
      </c>
      <c r="F126" s="15" t="n">
        <f aca="false">SUM(B126:E126)</f>
        <v>4.63168356949267E-008</v>
      </c>
      <c r="G126" s="15" t="n">
        <f aca="false">IF(F125&lt;&gt;0,F126/F125,"")</f>
        <v>0.8</v>
      </c>
      <c r="H126" s="16" t="n">
        <f aca="false">IF($B$28="yes",SUMPRODUCT(MMULT(B126:E126,$N$22:$Q$25),B126:E126),"")</f>
        <v>2.97951287332061E-015</v>
      </c>
      <c r="I126" s="15" t="n">
        <f aca="false">SUMPRODUCT($B$4:$E$4,I125:L125)</f>
        <v>8.88888882455995</v>
      </c>
      <c r="J126" s="15" t="n">
        <f aca="false">SUMPRODUCT($B$5:$E$5,I125:L125)+Shock</f>
        <v>18.88888882456</v>
      </c>
      <c r="K126" s="15" t="n">
        <f aca="false">SUMPRODUCT($B$6:$E$6,I125:L125)</f>
        <v>11.111111059648</v>
      </c>
      <c r="L126" s="15" t="n">
        <f aca="false">SUMPRODUCT($B$7:$E$7,I125:L125)</f>
        <v>11.111111059648</v>
      </c>
      <c r="M126" s="15" t="n">
        <f aca="false">SUM(I126:L126)</f>
        <v>49.9999997684158</v>
      </c>
    </row>
    <row r="127" customFormat="false" ht="15" hidden="false" customHeight="false" outlineLevel="0" collapsed="false">
      <c r="A127" s="20" t="n">
        <v>87</v>
      </c>
      <c r="B127" s="15" t="n">
        <f aca="false">SUMPRODUCT($B$4:$E$4,B126:E126)</f>
        <v>0</v>
      </c>
      <c r="C127" s="15" t="n">
        <f aca="false">SUMPRODUCT($B$5:$E$5,B126:E126)</f>
        <v>0</v>
      </c>
      <c r="D127" s="15" t="n">
        <f aca="false">SUMPRODUCT($B$6:$E$6,B126:E126)</f>
        <v>1.85267342779707E-008</v>
      </c>
      <c r="E127" s="15" t="n">
        <f aca="false">SUMPRODUCT($B$7:$E$7,B126:E126)</f>
        <v>1.85267342779707E-008</v>
      </c>
      <c r="F127" s="15" t="n">
        <f aca="false">SUM(B127:E127)</f>
        <v>3.70534685559414E-008</v>
      </c>
      <c r="G127" s="15" t="n">
        <f aca="false">IF(F126&lt;&gt;0,F127/F126,"")</f>
        <v>0.8</v>
      </c>
      <c r="H127" s="16" t="n">
        <f aca="false">IF($B$28="yes",SUMPRODUCT(MMULT(B127:E127,$N$22:$Q$25),B127:E127),"")</f>
        <v>1.90688823892519E-015</v>
      </c>
      <c r="I127" s="15" t="n">
        <f aca="false">SUMPRODUCT($B$4:$E$4,I126:L126)</f>
        <v>8.88888884771837</v>
      </c>
      <c r="J127" s="15" t="n">
        <f aca="false">SUMPRODUCT($B$5:$E$5,I126:L126)+Shock</f>
        <v>18.8888888477184</v>
      </c>
      <c r="K127" s="15" t="n">
        <f aca="false">SUMPRODUCT($B$6:$E$6,I126:L126)</f>
        <v>11.111111059648</v>
      </c>
      <c r="L127" s="15" t="n">
        <f aca="false">SUMPRODUCT($B$7:$E$7,I126:L126)</f>
        <v>11.111111059648</v>
      </c>
      <c r="M127" s="15" t="n">
        <f aca="false">SUM(I127:L127)</f>
        <v>49.9999998147327</v>
      </c>
    </row>
    <row r="128" customFormat="false" ht="15" hidden="false" customHeight="false" outlineLevel="0" collapsed="false">
      <c r="A128" s="20" t="n">
        <v>88</v>
      </c>
      <c r="B128" s="15" t="n">
        <f aca="false">SUMPRODUCT($B$4:$E$4,B127:E127)</f>
        <v>1.48213874223765E-008</v>
      </c>
      <c r="C128" s="15" t="n">
        <f aca="false">SUMPRODUCT($B$5:$E$5,B127:E127)</f>
        <v>1.48213874223765E-008</v>
      </c>
      <c r="D128" s="15" t="n">
        <f aca="false">SUMPRODUCT($B$6:$E$6,B127:E127)</f>
        <v>0</v>
      </c>
      <c r="E128" s="15" t="n">
        <f aca="false">SUMPRODUCT($B$7:$E$7,B127:E127)</f>
        <v>0</v>
      </c>
      <c r="F128" s="15" t="n">
        <f aca="false">SUM(B128:E128)</f>
        <v>2.96427748447531E-008</v>
      </c>
      <c r="G128" s="15" t="n">
        <f aca="false">IF(F127&lt;&gt;0,F128/F127,"")</f>
        <v>0.8</v>
      </c>
      <c r="H128" s="16" t="n">
        <f aca="false">IF($B$28="yes",SUMPRODUCT(MMULT(B128:E128,$N$22:$Q$25),B128:E128),"")</f>
        <v>1.22040847291212E-015</v>
      </c>
      <c r="I128" s="15" t="n">
        <f aca="false">SUMPRODUCT($B$4:$E$4,I127:L127)</f>
        <v>8.88888884771837</v>
      </c>
      <c r="J128" s="15" t="n">
        <f aca="false">SUMPRODUCT($B$5:$E$5,I127:L127)+Shock</f>
        <v>18.8888888477184</v>
      </c>
      <c r="K128" s="15" t="n">
        <f aca="false">SUMPRODUCT($B$6:$E$6,I127:L127)</f>
        <v>11.1111110781747</v>
      </c>
      <c r="L128" s="15" t="n">
        <f aca="false">SUMPRODUCT($B$7:$E$7,I127:L127)</f>
        <v>11.1111110781747</v>
      </c>
      <c r="M128" s="15" t="n">
        <f aca="false">SUM(I128:L128)</f>
        <v>49.9999998517861</v>
      </c>
    </row>
    <row r="129" customFormat="false" ht="15" hidden="false" customHeight="false" outlineLevel="0" collapsed="false">
      <c r="A129" s="20" t="n">
        <v>89</v>
      </c>
      <c r="B129" s="15" t="n">
        <f aca="false">SUMPRODUCT($B$4:$E$4,B128:E128)</f>
        <v>0</v>
      </c>
      <c r="C129" s="15" t="n">
        <f aca="false">SUMPRODUCT($B$5:$E$5,B128:E128)</f>
        <v>0</v>
      </c>
      <c r="D129" s="15" t="n">
        <f aca="false">SUMPRODUCT($B$6:$E$6,B128:E128)</f>
        <v>1.18571099379012E-008</v>
      </c>
      <c r="E129" s="15" t="n">
        <f aca="false">SUMPRODUCT($B$7:$E$7,B128:E128)</f>
        <v>1.18571099379012E-008</v>
      </c>
      <c r="F129" s="15" t="n">
        <f aca="false">SUM(B129:E129)</f>
        <v>2.37142198758025E-008</v>
      </c>
      <c r="G129" s="15" t="n">
        <f aca="false">IF(F128&lt;&gt;0,F129/F128,"")</f>
        <v>0.8</v>
      </c>
      <c r="H129" s="16" t="n">
        <f aca="false">IF($B$28="yes",SUMPRODUCT(MMULT(B129:E129,$N$22:$Q$25),B129:E129),"")</f>
        <v>7.81061422663757E-016</v>
      </c>
      <c r="I129" s="15" t="n">
        <f aca="false">SUMPRODUCT($B$4:$E$4,I128:L128)</f>
        <v>8.88888886253976</v>
      </c>
      <c r="J129" s="15" t="n">
        <f aca="false">SUMPRODUCT($B$5:$E$5,I128:L128)+Shock</f>
        <v>18.8888888625398</v>
      </c>
      <c r="K129" s="15" t="n">
        <f aca="false">SUMPRODUCT($B$6:$E$6,I128:L128)</f>
        <v>11.1111110781747</v>
      </c>
      <c r="L129" s="15" t="n">
        <f aca="false">SUMPRODUCT($B$7:$E$7,I128:L128)</f>
        <v>11.1111110781747</v>
      </c>
      <c r="M129" s="15" t="n">
        <f aca="false">SUM(I129:L129)</f>
        <v>49.9999998814289</v>
      </c>
    </row>
    <row r="130" customFormat="false" ht="15" hidden="false" customHeight="false" outlineLevel="0" collapsed="false">
      <c r="A130" s="20" t="n">
        <v>90</v>
      </c>
      <c r="B130" s="15" t="n">
        <f aca="false">SUMPRODUCT($B$4:$E$4,B129:E129)</f>
        <v>9.48568795032099E-009</v>
      </c>
      <c r="C130" s="15" t="n">
        <f aca="false">SUMPRODUCT($B$5:$E$5,B129:E129)</f>
        <v>9.48568795032099E-009</v>
      </c>
      <c r="D130" s="15" t="n">
        <f aca="false">SUMPRODUCT($B$6:$E$6,B129:E129)</f>
        <v>0</v>
      </c>
      <c r="E130" s="15" t="n">
        <f aca="false">SUMPRODUCT($B$7:$E$7,B129:E129)</f>
        <v>0</v>
      </c>
      <c r="F130" s="15" t="n">
        <f aca="false">SUM(B130:E130)</f>
        <v>1.8971375900642E-008</v>
      </c>
      <c r="G130" s="15" t="n">
        <f aca="false">IF(F129&lt;&gt;0,F130/F129,"")</f>
        <v>0.8</v>
      </c>
      <c r="H130" s="16" t="n">
        <f aca="false">IF($B$28="yes",SUMPRODUCT(MMULT(B130:E130,$N$22:$Q$25),B130:E130),"")</f>
        <v>4.99879310504805E-016</v>
      </c>
      <c r="I130" s="15" t="n">
        <f aca="false">SUMPRODUCT($B$4:$E$4,I129:L129)</f>
        <v>8.88888886253976</v>
      </c>
      <c r="J130" s="15" t="n">
        <f aca="false">SUMPRODUCT($B$5:$E$5,I129:L129)+Shock</f>
        <v>18.8888888625398</v>
      </c>
      <c r="K130" s="15" t="n">
        <f aca="false">SUMPRODUCT($B$6:$E$6,I129:L129)</f>
        <v>11.1111110900318</v>
      </c>
      <c r="L130" s="15" t="n">
        <f aca="false">SUMPRODUCT($B$7:$E$7,I129:L129)</f>
        <v>11.1111110900318</v>
      </c>
      <c r="M130" s="15" t="n">
        <f aca="false">SUM(I130:L130)</f>
        <v>49.9999999051431</v>
      </c>
    </row>
    <row r="131" customFormat="false" ht="15" hidden="false" customHeight="false" outlineLevel="0" collapsed="false">
      <c r="A131" s="20" t="n">
        <v>91</v>
      </c>
      <c r="B131" s="15" t="n">
        <f aca="false">SUMPRODUCT($B$4:$E$4,B130:E130)</f>
        <v>0</v>
      </c>
      <c r="C131" s="15" t="n">
        <f aca="false">SUMPRODUCT($B$5:$E$5,B130:E130)</f>
        <v>0</v>
      </c>
      <c r="D131" s="15" t="n">
        <f aca="false">SUMPRODUCT($B$6:$E$6,B130:E130)</f>
        <v>7.58855036025679E-009</v>
      </c>
      <c r="E131" s="15" t="n">
        <f aca="false">SUMPRODUCT($B$7:$E$7,B130:E130)</f>
        <v>7.58855036025679E-009</v>
      </c>
      <c r="F131" s="15" t="n">
        <f aca="false">SUM(B131:E131)</f>
        <v>1.51771007205136E-008</v>
      </c>
      <c r="G131" s="15" t="n">
        <f aca="false">IF(F130&lt;&gt;0,F131/F130,"")</f>
        <v>0.8</v>
      </c>
      <c r="H131" s="16" t="n">
        <f aca="false">IF($B$28="yes",SUMPRODUCT(MMULT(B131:E131,$N$22:$Q$25),B131:E131),"")</f>
        <v>3.19922758723075E-016</v>
      </c>
      <c r="I131" s="15" t="n">
        <f aca="false">SUMPRODUCT($B$4:$E$4,I130:L130)</f>
        <v>8.88888887202545</v>
      </c>
      <c r="J131" s="15" t="n">
        <f aca="false">SUMPRODUCT($B$5:$E$5,I130:L130)+Shock</f>
        <v>18.8888888720254</v>
      </c>
      <c r="K131" s="15" t="n">
        <f aca="false">SUMPRODUCT($B$6:$E$6,I130:L130)</f>
        <v>11.1111110900318</v>
      </c>
      <c r="L131" s="15" t="n">
        <f aca="false">SUMPRODUCT($B$7:$E$7,I130:L130)</f>
        <v>11.1111110900318</v>
      </c>
      <c r="M131" s="15" t="n">
        <f aca="false">SUM(I131:L131)</f>
        <v>49.9999999241145</v>
      </c>
    </row>
    <row r="132" customFormat="false" ht="15" hidden="false" customHeight="false" outlineLevel="0" collapsed="false">
      <c r="A132" s="20" t="n">
        <v>92</v>
      </c>
      <c r="B132" s="15" t="n">
        <f aca="false">SUMPRODUCT($B$4:$E$4,B131:E131)</f>
        <v>6.07084028820544E-009</v>
      </c>
      <c r="C132" s="15" t="n">
        <f aca="false">SUMPRODUCT($B$5:$E$5,B131:E131)</f>
        <v>6.07084028820544E-009</v>
      </c>
      <c r="D132" s="15" t="n">
        <f aca="false">SUMPRODUCT($B$6:$E$6,B131:E131)</f>
        <v>0</v>
      </c>
      <c r="E132" s="15" t="n">
        <f aca="false">SUMPRODUCT($B$7:$E$7,B131:E131)</f>
        <v>0</v>
      </c>
      <c r="F132" s="15" t="n">
        <f aca="false">SUM(B132:E132)</f>
        <v>1.21416805764109E-008</v>
      </c>
      <c r="G132" s="15" t="n">
        <f aca="false">IF(F131&lt;&gt;0,F132/F131,"")</f>
        <v>0.8</v>
      </c>
      <c r="H132" s="16" t="n">
        <f aca="false">IF($B$28="yes",SUMPRODUCT(MMULT(B132:E132,$N$22:$Q$25),B132:E132),"")</f>
        <v>2.04750565582768E-016</v>
      </c>
      <c r="I132" s="15" t="n">
        <f aca="false">SUMPRODUCT($B$4:$E$4,I131:L131)</f>
        <v>8.88888887202545</v>
      </c>
      <c r="J132" s="15" t="n">
        <f aca="false">SUMPRODUCT($B$5:$E$5,I131:L131)+Shock</f>
        <v>18.8888888720254</v>
      </c>
      <c r="K132" s="15" t="n">
        <f aca="false">SUMPRODUCT($B$6:$E$6,I131:L131)</f>
        <v>11.1111110976204</v>
      </c>
      <c r="L132" s="15" t="n">
        <f aca="false">SUMPRODUCT($B$7:$E$7,I131:L131)</f>
        <v>11.1111110976204</v>
      </c>
      <c r="M132" s="15" t="n">
        <f aca="false">SUM(I132:L132)</f>
        <v>49.9999999392916</v>
      </c>
    </row>
    <row r="133" customFormat="false" ht="15" hidden="false" customHeight="false" outlineLevel="0" collapsed="false">
      <c r="A133" s="20" t="n">
        <v>93</v>
      </c>
      <c r="B133" s="15" t="n">
        <f aca="false">SUMPRODUCT($B$4:$E$4,B132:E132)</f>
        <v>0</v>
      </c>
      <c r="C133" s="15" t="n">
        <f aca="false">SUMPRODUCT($B$5:$E$5,B132:E132)</f>
        <v>0</v>
      </c>
      <c r="D133" s="15" t="n">
        <f aca="false">SUMPRODUCT($B$6:$E$6,B132:E132)</f>
        <v>4.85667223056435E-009</v>
      </c>
      <c r="E133" s="15" t="n">
        <f aca="false">SUMPRODUCT($B$7:$E$7,B132:E132)</f>
        <v>4.85667223056435E-009</v>
      </c>
      <c r="F133" s="15" t="n">
        <f aca="false">SUM(B133:E133)</f>
        <v>9.7133444611287E-009</v>
      </c>
      <c r="G133" s="15" t="n">
        <f aca="false">IF(F132&lt;&gt;0,F133/F132,"")</f>
        <v>0.8</v>
      </c>
      <c r="H133" s="16" t="n">
        <f aca="false">IF($B$28="yes",SUMPRODUCT(MMULT(B133:E133,$N$22:$Q$25),B133:E133),"")</f>
        <v>1.31040361972972E-016</v>
      </c>
      <c r="I133" s="15" t="n">
        <f aca="false">SUMPRODUCT($B$4:$E$4,I132:L132)</f>
        <v>8.88888887809629</v>
      </c>
      <c r="J133" s="15" t="n">
        <f aca="false">SUMPRODUCT($B$5:$E$5,I132:L132)+Shock</f>
        <v>18.8888888780963</v>
      </c>
      <c r="K133" s="15" t="n">
        <f aca="false">SUMPRODUCT($B$6:$E$6,I132:L132)</f>
        <v>11.1111110976204</v>
      </c>
      <c r="L133" s="15" t="n">
        <f aca="false">SUMPRODUCT($B$7:$E$7,I132:L132)</f>
        <v>11.1111110976204</v>
      </c>
      <c r="M133" s="15" t="n">
        <f aca="false">SUM(I133:L133)</f>
        <v>49.9999999514333</v>
      </c>
    </row>
    <row r="134" customFormat="false" ht="15" hidden="false" customHeight="false" outlineLevel="0" collapsed="false">
      <c r="A134" s="20" t="n">
        <v>94</v>
      </c>
      <c r="B134" s="15" t="n">
        <f aca="false">SUMPRODUCT($B$4:$E$4,B133:E133)</f>
        <v>3.88533778445148E-009</v>
      </c>
      <c r="C134" s="15" t="n">
        <f aca="false">SUMPRODUCT($B$5:$E$5,B133:E133)</f>
        <v>3.88533778445148E-009</v>
      </c>
      <c r="D134" s="15" t="n">
        <f aca="false">SUMPRODUCT($B$6:$E$6,B133:E133)</f>
        <v>0</v>
      </c>
      <c r="E134" s="15" t="n">
        <f aca="false">SUMPRODUCT($B$7:$E$7,B133:E133)</f>
        <v>0</v>
      </c>
      <c r="F134" s="15" t="n">
        <f aca="false">SUM(B134:E134)</f>
        <v>7.77067556890296E-009</v>
      </c>
      <c r="G134" s="15" t="n">
        <f aca="false">IF(F133&lt;&gt;0,F134/F133,"")</f>
        <v>0.8</v>
      </c>
      <c r="H134" s="16" t="n">
        <f aca="false">IF($B$28="yes",SUMPRODUCT(MMULT(B134:E134,$N$22:$Q$25),B134:E134),"")</f>
        <v>8.38658316627019E-017</v>
      </c>
      <c r="I134" s="15" t="n">
        <f aca="false">SUMPRODUCT($B$4:$E$4,I133:L133)</f>
        <v>8.88888887809629</v>
      </c>
      <c r="J134" s="15" t="n">
        <f aca="false">SUMPRODUCT($B$5:$E$5,I133:L133)+Shock</f>
        <v>18.8888888780963</v>
      </c>
      <c r="K134" s="15" t="n">
        <f aca="false">SUMPRODUCT($B$6:$E$6,I133:L133)</f>
        <v>11.111111102477</v>
      </c>
      <c r="L134" s="15" t="n">
        <f aca="false">SUMPRODUCT($B$7:$E$7,I133:L133)</f>
        <v>11.111111102477</v>
      </c>
      <c r="M134" s="15" t="n">
        <f aca="false">SUM(I134:L134)</f>
        <v>49.9999999611466</v>
      </c>
    </row>
    <row r="135" customFormat="false" ht="15" hidden="false" customHeight="false" outlineLevel="0" collapsed="false">
      <c r="A135" s="20" t="n">
        <v>95</v>
      </c>
      <c r="B135" s="15" t="n">
        <f aca="false">SUMPRODUCT($B$4:$E$4,B134:E134)</f>
        <v>0</v>
      </c>
      <c r="C135" s="15" t="n">
        <f aca="false">SUMPRODUCT($B$5:$E$5,B134:E134)</f>
        <v>0</v>
      </c>
      <c r="D135" s="15" t="n">
        <f aca="false">SUMPRODUCT($B$6:$E$6,B134:E134)</f>
        <v>3.10827022756118E-009</v>
      </c>
      <c r="E135" s="15" t="n">
        <f aca="false">SUMPRODUCT($B$7:$E$7,B134:E134)</f>
        <v>3.10827022756118E-009</v>
      </c>
      <c r="F135" s="15" t="n">
        <f aca="false">SUM(B135:E135)</f>
        <v>6.21654045512237E-009</v>
      </c>
      <c r="G135" s="15" t="n">
        <f aca="false">IF(F134&lt;&gt;0,F135/F134,"")</f>
        <v>0.8</v>
      </c>
      <c r="H135" s="16" t="n">
        <f aca="false">IF($B$28="yes",SUMPRODUCT(MMULT(B135:E135,$N$22:$Q$25),B135:E135),"")</f>
        <v>5.36741322641292E-017</v>
      </c>
      <c r="I135" s="15" t="n">
        <f aca="false">SUMPRODUCT($B$4:$E$4,I134:L134)</f>
        <v>8.88888888198163</v>
      </c>
      <c r="J135" s="15" t="n">
        <f aca="false">SUMPRODUCT($B$5:$E$5,I134:L134)+Shock</f>
        <v>18.8888888819816</v>
      </c>
      <c r="K135" s="15" t="n">
        <f aca="false">SUMPRODUCT($B$6:$E$6,I134:L134)</f>
        <v>11.111111102477</v>
      </c>
      <c r="L135" s="15" t="n">
        <f aca="false">SUMPRODUCT($B$7:$E$7,I134:L134)</f>
        <v>11.111111102477</v>
      </c>
      <c r="M135" s="15" t="n">
        <f aca="false">SUM(I135:L135)</f>
        <v>49.9999999689173</v>
      </c>
    </row>
    <row r="136" customFormat="false" ht="15" hidden="false" customHeight="false" outlineLevel="0" collapsed="false">
      <c r="A136" s="20" t="n">
        <v>96</v>
      </c>
      <c r="B136" s="15" t="n">
        <f aca="false">SUMPRODUCT($B$4:$E$4,B135:E135)</f>
        <v>2.48661618204895E-009</v>
      </c>
      <c r="C136" s="15" t="n">
        <f aca="false">SUMPRODUCT($B$5:$E$5,B135:E135)</f>
        <v>2.48661618204895E-009</v>
      </c>
      <c r="D136" s="15" t="n">
        <f aca="false">SUMPRODUCT($B$6:$E$6,B135:E135)</f>
        <v>0</v>
      </c>
      <c r="E136" s="15" t="n">
        <f aca="false">SUMPRODUCT($B$7:$E$7,B135:E135)</f>
        <v>0</v>
      </c>
      <c r="F136" s="15" t="n">
        <f aca="false">SUM(B136:E136)</f>
        <v>4.97323236409789E-009</v>
      </c>
      <c r="G136" s="15" t="n">
        <f aca="false">IF(F135&lt;&gt;0,F136/F135,"")</f>
        <v>0.8</v>
      </c>
      <c r="H136" s="16" t="n">
        <f aca="false">IF($B$28="yes",SUMPRODUCT(MMULT(B136:E136,$N$22:$Q$25),B136:E136),"")</f>
        <v>3.43514446490427E-017</v>
      </c>
      <c r="I136" s="15" t="n">
        <f aca="false">SUMPRODUCT($B$4:$E$4,I135:L135)</f>
        <v>8.88888888198163</v>
      </c>
      <c r="J136" s="15" t="n">
        <f aca="false">SUMPRODUCT($B$5:$E$5,I135:L135)+Shock</f>
        <v>18.8888888819816</v>
      </c>
      <c r="K136" s="15" t="n">
        <f aca="false">SUMPRODUCT($B$6:$E$6,I135:L135)</f>
        <v>11.1111111055853</v>
      </c>
      <c r="L136" s="15" t="n">
        <f aca="false">SUMPRODUCT($B$7:$E$7,I135:L135)</f>
        <v>11.1111111055853</v>
      </c>
      <c r="M136" s="15" t="n">
        <f aca="false">SUM(I136:L136)</f>
        <v>49.9999999751339</v>
      </c>
    </row>
    <row r="137" customFormat="false" ht="15" hidden="false" customHeight="false" outlineLevel="0" collapsed="false">
      <c r="A137" s="20" t="n">
        <v>97</v>
      </c>
      <c r="B137" s="15" t="n">
        <f aca="false">SUMPRODUCT($B$4:$E$4,B136:E136)</f>
        <v>0</v>
      </c>
      <c r="C137" s="15" t="n">
        <f aca="false">SUMPRODUCT($B$5:$E$5,B136:E136)</f>
        <v>0</v>
      </c>
      <c r="D137" s="15" t="n">
        <f aca="false">SUMPRODUCT($B$6:$E$6,B136:E136)</f>
        <v>1.98929294563916E-009</v>
      </c>
      <c r="E137" s="15" t="n">
        <f aca="false">SUMPRODUCT($B$7:$E$7,B136:E136)</f>
        <v>1.98929294563916E-009</v>
      </c>
      <c r="F137" s="15" t="n">
        <f aca="false">SUM(B137:E137)</f>
        <v>3.97858589127832E-009</v>
      </c>
      <c r="G137" s="15" t="n">
        <f aca="false">IF(F136&lt;&gt;0,F137/F136,"")</f>
        <v>0.8</v>
      </c>
      <c r="H137" s="16" t="n">
        <f aca="false">IF($B$28="yes",SUMPRODUCT(MMULT(B137:E137,$N$22:$Q$25),B137:E137),"")</f>
        <v>2.19849245753873E-017</v>
      </c>
      <c r="I137" s="15" t="n">
        <f aca="false">SUMPRODUCT($B$4:$E$4,I136:L136)</f>
        <v>8.88888888446824</v>
      </c>
      <c r="J137" s="15" t="n">
        <f aca="false">SUMPRODUCT($B$5:$E$5,I136:L136)+Shock</f>
        <v>18.8888888844682</v>
      </c>
      <c r="K137" s="15" t="n">
        <f aca="false">SUMPRODUCT($B$6:$E$6,I136:L136)</f>
        <v>11.1111111055853</v>
      </c>
      <c r="L137" s="15" t="n">
        <f aca="false">SUMPRODUCT($B$7:$E$7,I136:L136)</f>
        <v>11.1111111055853</v>
      </c>
      <c r="M137" s="15" t="n">
        <f aca="false">SUM(I137:L137)</f>
        <v>49.9999999801071</v>
      </c>
    </row>
    <row r="138" customFormat="false" ht="15" hidden="false" customHeight="false" outlineLevel="0" collapsed="false">
      <c r="A138" s="20" t="n">
        <v>98</v>
      </c>
      <c r="B138" s="15" t="n">
        <f aca="false">SUMPRODUCT($B$4:$E$4,B137:E137)</f>
        <v>1.59143435651133E-009</v>
      </c>
      <c r="C138" s="15" t="n">
        <f aca="false">SUMPRODUCT($B$5:$E$5,B137:E137)</f>
        <v>1.59143435651133E-009</v>
      </c>
      <c r="D138" s="15" t="n">
        <f aca="false">SUMPRODUCT($B$6:$E$6,B137:E137)</f>
        <v>0</v>
      </c>
      <c r="E138" s="15" t="n">
        <f aca="false">SUMPRODUCT($B$7:$E$7,B137:E137)</f>
        <v>0</v>
      </c>
      <c r="F138" s="15" t="n">
        <f aca="false">SUM(B138:E138)</f>
        <v>3.18286871302265E-009</v>
      </c>
      <c r="G138" s="15" t="n">
        <f aca="false">IF(F137&lt;&gt;0,F138/F137,"")</f>
        <v>0.8</v>
      </c>
      <c r="H138" s="16" t="n">
        <f aca="false">IF($B$28="yes",SUMPRODUCT(MMULT(B138:E138,$N$22:$Q$25),B138:E138),"")</f>
        <v>1.40703517282479E-017</v>
      </c>
      <c r="I138" s="15" t="n">
        <f aca="false">SUMPRODUCT($B$4:$E$4,I137:L137)</f>
        <v>8.88888888446824</v>
      </c>
      <c r="J138" s="15" t="n">
        <f aca="false">SUMPRODUCT($B$5:$E$5,I137:L137)+Shock</f>
        <v>18.8888888844682</v>
      </c>
      <c r="K138" s="15" t="n">
        <f aca="false">SUMPRODUCT($B$6:$E$6,I137:L137)</f>
        <v>11.1111111075746</v>
      </c>
      <c r="L138" s="15" t="n">
        <f aca="false">SUMPRODUCT($B$7:$E$7,I137:L137)</f>
        <v>11.1111111075746</v>
      </c>
      <c r="M138" s="15" t="n">
        <f aca="false">SUM(I138:L138)</f>
        <v>49.9999999840857</v>
      </c>
    </row>
    <row r="139" customFormat="false" ht="15" hidden="false" customHeight="false" outlineLevel="0" collapsed="false">
      <c r="A139" s="20" t="n">
        <v>99</v>
      </c>
      <c r="B139" s="15" t="n">
        <f aca="false">SUMPRODUCT($B$4:$E$4,B138:E138)</f>
        <v>0</v>
      </c>
      <c r="C139" s="15" t="n">
        <f aca="false">SUMPRODUCT($B$5:$E$5,B138:E138)</f>
        <v>0</v>
      </c>
      <c r="D139" s="15" t="n">
        <f aca="false">SUMPRODUCT($B$6:$E$6,B138:E138)</f>
        <v>1.27314748520906E-009</v>
      </c>
      <c r="E139" s="15" t="n">
        <f aca="false">SUMPRODUCT($B$7:$E$7,B138:E138)</f>
        <v>1.27314748520906E-009</v>
      </c>
      <c r="F139" s="15" t="n">
        <f aca="false">SUM(B139:E139)</f>
        <v>2.54629497041812E-009</v>
      </c>
      <c r="G139" s="15" t="n">
        <f aca="false">IF(F138&lt;&gt;0,F139/F138,"")</f>
        <v>0.8</v>
      </c>
      <c r="H139" s="16" t="n">
        <f aca="false">IF($B$28="yes",SUMPRODUCT(MMULT(B139:E139,$N$22:$Q$25),B139:E139),"")</f>
        <v>9.00502510607865E-018</v>
      </c>
      <c r="I139" s="15" t="n">
        <f aca="false">SUMPRODUCT($B$4:$E$4,I138:L138)</f>
        <v>8.88888888605968</v>
      </c>
      <c r="J139" s="15" t="n">
        <f aca="false">SUMPRODUCT($B$5:$E$5,I138:L138)+Shock</f>
        <v>18.8888888860597</v>
      </c>
      <c r="K139" s="15" t="n">
        <f aca="false">SUMPRODUCT($B$6:$E$6,I138:L138)</f>
        <v>11.1111111075746</v>
      </c>
      <c r="L139" s="15" t="n">
        <f aca="false">SUMPRODUCT($B$7:$E$7,I138:L138)</f>
        <v>11.1111111075746</v>
      </c>
      <c r="M139" s="15" t="n">
        <f aca="false">SUM(I139:L139)</f>
        <v>49.9999999872685</v>
      </c>
    </row>
    <row r="140" customFormat="false" ht="15" hidden="false" customHeight="false" outlineLevel="0" collapsed="false">
      <c r="A140" s="20" t="n">
        <v>100</v>
      </c>
      <c r="B140" s="15" t="n">
        <f aca="false">SUMPRODUCT($B$4:$E$4,B139:E139)</f>
        <v>1.01851798816725E-009</v>
      </c>
      <c r="C140" s="15" t="n">
        <f aca="false">SUMPRODUCT($B$5:$E$5,B139:E139)</f>
        <v>1.01851798816725E-009</v>
      </c>
      <c r="D140" s="15" t="n">
        <f aca="false">SUMPRODUCT($B$6:$E$6,B139:E139)</f>
        <v>0</v>
      </c>
      <c r="E140" s="15" t="n">
        <f aca="false">SUMPRODUCT($B$7:$E$7,B139:E139)</f>
        <v>0</v>
      </c>
      <c r="F140" s="15" t="n">
        <f aca="false">SUM(B140:E140)</f>
        <v>2.0370359763345E-009</v>
      </c>
      <c r="G140" s="15" t="n">
        <f aca="false">IF(F139&lt;&gt;0,F140/F139,"")</f>
        <v>0.8</v>
      </c>
      <c r="H140" s="16" t="n">
        <f aca="false">IF($B$28="yes",SUMPRODUCT(MMULT(B140:E140,$N$22:$Q$25),B140:E140),"")</f>
        <v>5.76321606789034E-018</v>
      </c>
      <c r="I140" s="15" t="n">
        <f aca="false">SUMPRODUCT($B$4:$E$4,I139:L139)</f>
        <v>8.88888888605968</v>
      </c>
      <c r="J140" s="15" t="n">
        <f aca="false">SUMPRODUCT($B$5:$E$5,I139:L139)+Shock</f>
        <v>18.8888888860597</v>
      </c>
      <c r="K140" s="15" t="n">
        <f aca="false">SUMPRODUCT($B$6:$E$6,I139:L139)</f>
        <v>11.1111111088477</v>
      </c>
      <c r="L140" s="15" t="n">
        <f aca="false">SUMPRODUCT($B$7:$E$7,I139:L139)</f>
        <v>11.1111111088477</v>
      </c>
      <c r="M140" s="15" t="n">
        <f aca="false">SUM(I140:L140)</f>
        <v>49.9999999898148</v>
      </c>
    </row>
    <row r="142" customFormat="false" ht="15" hidden="false" customHeight="false" outlineLevel="0" collapsed="false">
      <c r="A142" s="1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6" min="2" style="0" width="13"/>
  </cols>
  <sheetData>
    <row r="1" customFormat="false" ht="1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10" t="s">
        <v>118</v>
      </c>
    </row>
    <row r="3" customFormat="false" ht="15" hidden="false" customHeight="false" outlineLevel="0" collapsed="false">
      <c r="A3" s="8" t="s">
        <v>18</v>
      </c>
      <c r="B3" s="8" t="s">
        <v>19</v>
      </c>
      <c r="C3" s="8" t="s">
        <v>68</v>
      </c>
    </row>
    <row r="4" customFormat="false" ht="15" hidden="false" customHeight="false" outlineLevel="0" collapsed="false">
      <c r="A4" s="2" t="s">
        <v>119</v>
      </c>
      <c r="B4" s="13" t="n">
        <f aca="false">R_star</f>
        <v>0.840896415253715</v>
      </c>
      <c r="C4" s="10" t="s">
        <v>120</v>
      </c>
    </row>
    <row r="5" customFormat="false" ht="15" hidden="false" customHeight="false" outlineLevel="0" collapsed="false">
      <c r="A5" s="2" t="s">
        <v>121</v>
      </c>
      <c r="B5" s="15" t="n">
        <f aca="false">(R_star^2-2*(Ceiling^2+Ceiling^2))/R_star</f>
        <v>0.0798038616519728</v>
      </c>
      <c r="C5" s="10" t="s">
        <v>122</v>
      </c>
    </row>
    <row r="6" customFormat="false" ht="15" hidden="false" customHeight="false" outlineLevel="0" collapsed="false">
      <c r="A6" s="2" t="s">
        <v>123</v>
      </c>
      <c r="B6" s="15" t="n">
        <f aca="false">SQRT((R_star^2-Ceiling*R_star)/2-Ceiling^2)</f>
        <v>0.159292521929094</v>
      </c>
      <c r="C6" s="10" t="s">
        <v>124</v>
      </c>
    </row>
    <row r="7" customFormat="false" ht="15" hidden="false" customHeight="false" outlineLevel="0" collapsed="false">
      <c r="A7" s="2" t="s">
        <v>125</v>
      </c>
      <c r="B7" s="15" t="n">
        <f aca="false">SQRT((R_star^2-Ceiling*R_star)/4)</f>
        <v>0.304445485713396</v>
      </c>
      <c r="C7" s="10" t="s">
        <v>126</v>
      </c>
    </row>
    <row r="8" customFormat="false" ht="15" hidden="false" customHeight="false" outlineLevel="0" collapsed="false">
      <c r="A8" s="2" t="s">
        <v>127</v>
      </c>
      <c r="B8" s="21" t="n">
        <f aca="false">1-B7/Ceiling</f>
        <v>0.238886285716511</v>
      </c>
      <c r="C8" s="10" t="s">
        <v>128</v>
      </c>
    </row>
    <row r="10" customFormat="false" ht="35.05" hidden="false" customHeight="false" outlineLevel="0" collapsed="false">
      <c r="A10" s="8" t="s">
        <v>129</v>
      </c>
      <c r="B10" s="8" t="s">
        <v>130</v>
      </c>
      <c r="C10" s="8" t="s">
        <v>131</v>
      </c>
      <c r="D10" s="8" t="s">
        <v>132</v>
      </c>
      <c r="E10" s="8" t="s">
        <v>133</v>
      </c>
      <c r="F10" s="8" t="s">
        <v>134</v>
      </c>
      <c r="G10" s="8" t="s">
        <v>73</v>
      </c>
      <c r="H10" s="8" t="s">
        <v>75</v>
      </c>
      <c r="I10" s="8" t="s">
        <v>135</v>
      </c>
      <c r="J10" s="8" t="s">
        <v>136</v>
      </c>
      <c r="K10" s="8" t="s">
        <v>137</v>
      </c>
      <c r="L10" s="8" t="s">
        <v>138</v>
      </c>
      <c r="M10" s="8" t="s">
        <v>139</v>
      </c>
      <c r="N10" s="8" t="s">
        <v>140</v>
      </c>
      <c r="O10" s="8" t="s">
        <v>141</v>
      </c>
      <c r="P10" s="8" t="s">
        <v>142</v>
      </c>
      <c r="Q10" s="8" t="s">
        <v>143</v>
      </c>
      <c r="R10" s="8" t="s">
        <v>144</v>
      </c>
      <c r="S10" s="8" t="s">
        <v>145</v>
      </c>
      <c r="T10" s="8" t="s">
        <v>146</v>
      </c>
    </row>
    <row r="11" customFormat="false" ht="15" hidden="false" customHeight="false" outlineLevel="0" collapsed="false">
      <c r="A11" s="2" t="s">
        <v>147</v>
      </c>
      <c r="B11" s="15" t="n">
        <f aca="false">Ceiling</f>
        <v>0.4</v>
      </c>
      <c r="C11" s="15" t="n">
        <f aca="false">Ceiling</f>
        <v>0.4</v>
      </c>
      <c r="D11" s="15" t="n">
        <v>0</v>
      </c>
      <c r="E11" s="13" t="n">
        <f aca="false">(D11+SQRT(D11^2+8*(B11^2+C11^2)))/2</f>
        <v>0.8</v>
      </c>
      <c r="F11" s="13" t="n">
        <f aca="false">D11*R_star+2*(B11^2+C11^2)-R_star^2</f>
        <v>-0.0671067811865473</v>
      </c>
      <c r="G11" s="16" t="n">
        <f aca="false">IF(E11&lt;1,LN(2)/LN(1/E11),"none")</f>
        <v>3.10628371950539</v>
      </c>
      <c r="H11" s="18" t="n">
        <f aca="false">IF(E11&lt;1,LN(10)/LN(1/E11),"none")</f>
        <v>10.3188511585162</v>
      </c>
      <c r="I11" s="16" t="n">
        <f aca="false">IF(E11&lt;1,1/(1-E11),"none")</f>
        <v>5</v>
      </c>
      <c r="J11" s="15" t="n">
        <f aca="false">B11+C11+D11</f>
        <v>0.8</v>
      </c>
      <c r="K11" s="15" t="n">
        <f aca="false">2*B11</f>
        <v>0.8</v>
      </c>
      <c r="L11" s="15" t="n">
        <f aca="false">2*C11</f>
        <v>0.8</v>
      </c>
      <c r="M11" s="15" t="n">
        <f aca="false">IF(E11&lt;1,Shock/(1-D11-2*(B11^2+C11^2)),"none")</f>
        <v>27.7777777777778</v>
      </c>
      <c r="N11" s="15" t="n">
        <f aca="false">Shock/(1+D11)</f>
        <v>10</v>
      </c>
      <c r="O11" s="15" t="n">
        <f aca="false">IF(E11&lt;1,(M11-N11)/2,"none")</f>
        <v>8.88888888888889</v>
      </c>
      <c r="P11" s="15" t="n">
        <f aca="false">IF(E11&lt;1,(M11+N11)/2,"none")</f>
        <v>18.8888888888889</v>
      </c>
      <c r="Q11" s="15" t="n">
        <f aca="false">IF(E11&lt;1,B11*M11,"none")</f>
        <v>11.1111111111111</v>
      </c>
      <c r="R11" s="15" t="n">
        <f aca="false">IF(E11&lt;1,C11*M11,"none")</f>
        <v>11.1111111111111</v>
      </c>
      <c r="S11" s="18" t="n">
        <f aca="false">IF(E11&lt;1,M11*(1+B11+C11),"no limit")</f>
        <v>50</v>
      </c>
      <c r="T11" s="2" t="str">
        <f aca="false">IF(E11&lt;=R_star+0.000000001,"yes","no")</f>
        <v>yes</v>
      </c>
    </row>
    <row r="12" customFormat="false" ht="15" hidden="false" customHeight="false" outlineLevel="0" collapsed="false">
      <c r="A12" s="2" t="s">
        <v>148</v>
      </c>
      <c r="B12" s="15" t="n">
        <f aca="false">Ceiling</f>
        <v>0.4</v>
      </c>
      <c r="C12" s="15" t="n">
        <f aca="false">Ceiling</f>
        <v>0.4</v>
      </c>
      <c r="D12" s="15" t="n">
        <f aca="false">Ceiling</f>
        <v>0.4</v>
      </c>
      <c r="E12" s="13" t="n">
        <f aca="false">(D12+SQRT(D12^2+8*(B12^2+C12^2)))/2</f>
        <v>1.02462112512353</v>
      </c>
      <c r="F12" s="13" t="n">
        <f aca="false">D12*R_star+2*(B12^2+C12^2)-R_star^2</f>
        <v>0.269251784914939</v>
      </c>
      <c r="G12" s="16" t="str">
        <f aca="false">IF(E12&lt;1,LN(2)/LN(1/E12),"none")</f>
        <v>none</v>
      </c>
      <c r="H12" s="18" t="str">
        <f aca="false">IF(E12&lt;1,LN(10)/LN(1/E12),"none")</f>
        <v>none</v>
      </c>
      <c r="I12" s="16" t="str">
        <f aca="false">IF(E12&lt;1,1/(1-E12),"none")</f>
        <v>none</v>
      </c>
      <c r="J12" s="15" t="n">
        <f aca="false">B12+C12+D12</f>
        <v>1.2</v>
      </c>
      <c r="K12" s="15" t="n">
        <f aca="false">2*B12</f>
        <v>0.8</v>
      </c>
      <c r="L12" s="15" t="n">
        <f aca="false">2*C12</f>
        <v>0.8</v>
      </c>
      <c r="M12" s="15" t="str">
        <f aca="false">IF(E12&lt;1,Shock/(1-D12-2*(B12^2+C12^2)),"none")</f>
        <v>none</v>
      </c>
      <c r="N12" s="15" t="n">
        <f aca="false">Shock/(1+D12)</f>
        <v>7.14285714285714</v>
      </c>
      <c r="O12" s="15" t="str">
        <f aca="false">IF(E12&lt;1,(M12-N12)/2,"none")</f>
        <v>none</v>
      </c>
      <c r="P12" s="15" t="str">
        <f aca="false">IF(E12&lt;1,(M12+N12)/2,"none")</f>
        <v>none</v>
      </c>
      <c r="Q12" s="15" t="str">
        <f aca="false">IF(E12&lt;1,B12*M12,"none")</f>
        <v>none</v>
      </c>
      <c r="R12" s="15" t="str">
        <f aca="false">IF(E12&lt;1,C12*M12,"none")</f>
        <v>none</v>
      </c>
      <c r="S12" s="18" t="str">
        <f aca="false">IF(E12&lt;1,M12*(1+B12+C12),"no limit")</f>
        <v>no limit</v>
      </c>
      <c r="T12" s="2" t="str">
        <f aca="false">IF(E12&lt;=R_star+0.000000001,"yes","no")</f>
        <v>no</v>
      </c>
    </row>
    <row r="13" customFormat="false" ht="15" hidden="false" customHeight="false" outlineLevel="0" collapsed="false">
      <c r="A13" s="2" t="s">
        <v>149</v>
      </c>
      <c r="B13" s="15" t="n">
        <f aca="false">Ceiling</f>
        <v>0.4</v>
      </c>
      <c r="C13" s="15" t="n">
        <f aca="false">Ceiling</f>
        <v>0.4</v>
      </c>
      <c r="D13" s="15" t="n">
        <f aca="false">$B$5</f>
        <v>0.0798038616519728</v>
      </c>
      <c r="E13" s="13" t="n">
        <f aca="false">(D13+SQRT(D13^2+8*(B13^2+C13^2)))/2</f>
        <v>0.840896415253715</v>
      </c>
      <c r="F13" s="13" t="n">
        <f aca="false">D13*R_star+2*(B13^2+C13^2)-R_star^2</f>
        <v>0</v>
      </c>
      <c r="G13" s="16" t="n">
        <f aca="false">IF(E13&lt;1,LN(2)/LN(1/E13),"none")</f>
        <v>4</v>
      </c>
      <c r="H13" s="18" t="n">
        <f aca="false">IF(E13&lt;1,LN(10)/LN(1/E13),"none")</f>
        <v>13.2877123795495</v>
      </c>
      <c r="I13" s="16" t="n">
        <f aca="false">IF(E13&lt;1,1/(1-E13),"none")</f>
        <v>6.28521350788325</v>
      </c>
      <c r="J13" s="15" t="n">
        <f aca="false">B13+C13+D13</f>
        <v>0.879803861651973</v>
      </c>
      <c r="K13" s="15" t="n">
        <f aca="false">2*B13</f>
        <v>0.8</v>
      </c>
      <c r="L13" s="15" t="n">
        <f aca="false">2*C13</f>
        <v>0.8</v>
      </c>
      <c r="M13" s="15" t="n">
        <f aca="false">IF(E13&lt;1,Shock/(1-D13-2*(B13^2+C13^2)),"none")</f>
        <v>35.6892855803001</v>
      </c>
      <c r="N13" s="15" t="n">
        <f aca="false">Shock/(1+D13)</f>
        <v>9.26094113490313</v>
      </c>
      <c r="O13" s="15" t="n">
        <f aca="false">IF(E13&lt;1,(M13-N13)/2,"none")</f>
        <v>13.2141722226985</v>
      </c>
      <c r="P13" s="15" t="n">
        <f aca="false">IF(E13&lt;1,(M13+N13)/2,"none")</f>
        <v>22.4751133576016</v>
      </c>
      <c r="Q13" s="15" t="n">
        <f aca="false">IF(E13&lt;1,B13*M13,"none")</f>
        <v>14.27571423212</v>
      </c>
      <c r="R13" s="15" t="n">
        <f aca="false">IF(E13&lt;1,C13*M13,"none")</f>
        <v>14.27571423212</v>
      </c>
      <c r="S13" s="18" t="n">
        <f aca="false">IF(E13&lt;1,M13*(1+B13+C13),"no limit")</f>
        <v>64.2407140445401</v>
      </c>
      <c r="T13" s="2" t="str">
        <f aca="false">IF(E13&lt;=R_star+0.000000001,"yes","no")</f>
        <v>yes</v>
      </c>
    </row>
    <row r="14" customFormat="false" ht="15" hidden="false" customHeight="false" outlineLevel="0" collapsed="false">
      <c r="A14" s="2" t="s">
        <v>150</v>
      </c>
      <c r="B14" s="15" t="n">
        <f aca="false">Ceiling</f>
        <v>0.4</v>
      </c>
      <c r="C14" s="15" t="n">
        <f aca="false">$B$6</f>
        <v>0.159292521929094</v>
      </c>
      <c r="D14" s="15" t="n">
        <f aca="false">Ceiling</f>
        <v>0.4</v>
      </c>
      <c r="E14" s="13" t="n">
        <f aca="false">(D14+SQRT(D14^2+8*(B14^2+C14^2)))/2</f>
        <v>0.840896415253715</v>
      </c>
      <c r="F14" s="13" t="n">
        <f aca="false">D14*R_star+2*(B14^2+C14^2)-R_star^2</f>
        <v>0</v>
      </c>
      <c r="G14" s="16" t="n">
        <f aca="false">IF(E14&lt;1,LN(2)/LN(1/E14),"none")</f>
        <v>4</v>
      </c>
      <c r="H14" s="18" t="n">
        <f aca="false">IF(E14&lt;1,LN(10)/LN(1/E14),"none")</f>
        <v>13.2877123795495</v>
      </c>
      <c r="I14" s="16" t="n">
        <f aca="false">IF(E14&lt;1,1/(1-E14),"none")</f>
        <v>6.28521350788325</v>
      </c>
      <c r="J14" s="15" t="n">
        <f aca="false">B14+C14+D14</f>
        <v>0.959292521929094</v>
      </c>
      <c r="K14" s="15" t="n">
        <f aca="false">2*B14</f>
        <v>0.8</v>
      </c>
      <c r="L14" s="15" t="n">
        <f aca="false">2*C14</f>
        <v>0.318585043858187</v>
      </c>
      <c r="M14" s="15" t="n">
        <f aca="false">IF(E14&lt;1,Shock/(1-D14-2*(B14^2+C14^2)),"none")</f>
        <v>43.6201620140511</v>
      </c>
      <c r="N14" s="15" t="n">
        <f aca="false">Shock/(1+D14)</f>
        <v>7.14285714285714</v>
      </c>
      <c r="O14" s="15" t="n">
        <f aca="false">IF(E14&lt;1,(M14-N14)/2,"none")</f>
        <v>18.238652435597</v>
      </c>
      <c r="P14" s="15" t="n">
        <f aca="false">IF(E14&lt;1,(M14+N14)/2,"none")</f>
        <v>25.3815095784541</v>
      </c>
      <c r="Q14" s="15" t="n">
        <f aca="false">IF(E14&lt;1,B14*M14,"none")</f>
        <v>17.4480648056204</v>
      </c>
      <c r="R14" s="15" t="n">
        <f aca="false">IF(E14&lt;1,C14*M14,"none")</f>
        <v>6.94836561417385</v>
      </c>
      <c r="S14" s="18" t="n">
        <f aca="false">IF(E14&lt;1,M14*(1+B14+C14),"no limit")</f>
        <v>68.0165924338454</v>
      </c>
      <c r="T14" s="2" t="str">
        <f aca="false">IF(E14&lt;=R_star+0.000000001,"yes","no")</f>
        <v>yes</v>
      </c>
    </row>
    <row r="15" customFormat="false" ht="15" hidden="false" customHeight="false" outlineLevel="0" collapsed="false">
      <c r="A15" s="2" t="s">
        <v>151</v>
      </c>
      <c r="B15" s="15" t="n">
        <f aca="false">$B$7</f>
        <v>0.304445485713396</v>
      </c>
      <c r="C15" s="15" t="n">
        <f aca="false">$B$7</f>
        <v>0.304445485713396</v>
      </c>
      <c r="D15" s="15" t="n">
        <f aca="false">Ceiling</f>
        <v>0.4</v>
      </c>
      <c r="E15" s="13" t="n">
        <f aca="false">(D15+SQRT(D15^2+8*(B15^2+C15^2)))/2</f>
        <v>0.840896415253715</v>
      </c>
      <c r="F15" s="13" t="n">
        <f aca="false">D15*R_star+2*(B15^2+C15^2)-R_star^2</f>
        <v>0</v>
      </c>
      <c r="G15" s="16" t="n">
        <f aca="false">IF(E15&lt;1,LN(2)/LN(1/E15),"none")</f>
        <v>4</v>
      </c>
      <c r="H15" s="18" t="n">
        <f aca="false">IF(E15&lt;1,LN(10)/LN(1/E15),"none")</f>
        <v>13.2877123795495</v>
      </c>
      <c r="I15" s="16" t="n">
        <f aca="false">IF(E15&lt;1,1/(1-E15),"none")</f>
        <v>6.28521350788325</v>
      </c>
      <c r="J15" s="15" t="n">
        <f aca="false">B15+C15+D15</f>
        <v>1.00889097142679</v>
      </c>
      <c r="K15" s="15" t="n">
        <f aca="false">2*B15</f>
        <v>0.608890971426791</v>
      </c>
      <c r="L15" s="15" t="n">
        <f aca="false">2*C15</f>
        <v>0.608890971426791</v>
      </c>
      <c r="M15" s="15" t="n">
        <f aca="false">IF(E15&lt;1,Shock/(1-D15-2*(B15^2+C15^2)),"none")</f>
        <v>43.6201620140511</v>
      </c>
      <c r="N15" s="15" t="n">
        <f aca="false">Shock/(1+D15)</f>
        <v>7.14285714285714</v>
      </c>
      <c r="O15" s="15" t="n">
        <f aca="false">IF(E15&lt;1,(M15-N15)/2,"none")</f>
        <v>18.238652435597</v>
      </c>
      <c r="P15" s="15" t="n">
        <f aca="false">IF(E15&lt;1,(M15+N15)/2,"none")</f>
        <v>25.3815095784541</v>
      </c>
      <c r="Q15" s="15" t="n">
        <f aca="false">IF(E15&lt;1,B15*M15,"none")</f>
        <v>13.2799614112648</v>
      </c>
      <c r="R15" s="15" t="n">
        <f aca="false">IF(E15&lt;1,C15*M15,"none")</f>
        <v>13.2799614112648</v>
      </c>
      <c r="S15" s="18" t="n">
        <f aca="false">IF(E15&lt;1,M15*(1+B15+C15),"no limit")</f>
        <v>70.1800848365807</v>
      </c>
      <c r="T15" s="2" t="str">
        <f aca="false">IF(E15&lt;=R_star+0.000000001,"yes","no")</f>
        <v>yes</v>
      </c>
    </row>
    <row r="17" customFormat="false" ht="15" hidden="false" customHeight="false" outlineLevel="0" collapsed="false">
      <c r="A17" s="10" t="s">
        <v>152</v>
      </c>
    </row>
    <row r="18" customFormat="false" ht="15" hidden="false" customHeight="false" outlineLevel="0" collapsed="false">
      <c r="A18" s="2" t="s">
        <v>153</v>
      </c>
      <c r="B18" s="17" t="n">
        <f aca="false">E14-E15</f>
        <v>0</v>
      </c>
    </row>
    <row r="20" customFormat="false" ht="35.05" hidden="false" customHeight="false" outlineLevel="0" collapsed="false">
      <c r="A20" s="8" t="s">
        <v>154</v>
      </c>
      <c r="B20" s="8" t="s">
        <v>155</v>
      </c>
      <c r="C20" s="8" t="s">
        <v>156</v>
      </c>
      <c r="D20" s="8" t="s">
        <v>155</v>
      </c>
    </row>
    <row r="21" customFormat="false" ht="15" hidden="false" customHeight="false" outlineLevel="0" collapsed="false">
      <c r="A21" s="11" t="n">
        <v>0.4</v>
      </c>
      <c r="B21" s="15" t="n">
        <f aca="false">(R_star^2-2*(Ceiling^2+A21^2))/R_star</f>
        <v>0.0798038616519728</v>
      </c>
      <c r="C21" s="11" t="n">
        <v>0.4</v>
      </c>
      <c r="D21" s="15" t="n">
        <f aca="false">(R_star^2-4*C21^2)/R_star</f>
        <v>0.0798038616519728</v>
      </c>
    </row>
    <row r="22" customFormat="false" ht="15" hidden="false" customHeight="false" outlineLevel="0" collapsed="false">
      <c r="A22" s="11" t="n">
        <v>0.35</v>
      </c>
      <c r="B22" s="15" t="n">
        <f aca="false">(R_star^2-2*(Ceiling^2+A22^2))/R_star</f>
        <v>0.168994395277177</v>
      </c>
      <c r="C22" s="11" t="n">
        <v>0.35</v>
      </c>
      <c r="D22" s="15" t="n">
        <f aca="false">(R_star^2-4*C22^2)/R_star</f>
        <v>0.258184928902381</v>
      </c>
    </row>
    <row r="23" customFormat="false" ht="15" hidden="false" customHeight="false" outlineLevel="0" collapsed="false">
      <c r="A23" s="11" t="n">
        <v>0.3</v>
      </c>
      <c r="B23" s="15" t="n">
        <f aca="false">(R_star^2-2*(Ceiling^2+A23^2))/R_star</f>
        <v>0.246292857752354</v>
      </c>
      <c r="C23" s="15" t="n">
        <f aca="false">$B$7</f>
        <v>0.304445485713396</v>
      </c>
      <c r="D23" s="15" t="n">
        <f aca="false">(R_star^2-4*C23^2)/R_star</f>
        <v>0.4</v>
      </c>
    </row>
    <row r="24" customFormat="false" ht="15" hidden="false" customHeight="false" outlineLevel="0" collapsed="false">
      <c r="A24" s="11" t="n">
        <v>0.25</v>
      </c>
      <c r="B24" s="15" t="n">
        <f aca="false">(R_star^2-2*(Ceiling^2+A24^2))/R_star</f>
        <v>0.311699249077504</v>
      </c>
      <c r="C24" s="11" t="n">
        <v>0.3</v>
      </c>
      <c r="D24" s="15" t="n">
        <f aca="false">(R_star^2-4*C24^2)/R_star</f>
        <v>0.412781853852735</v>
      </c>
    </row>
    <row r="25" customFormat="false" ht="15" hidden="false" customHeight="false" outlineLevel="0" collapsed="false">
      <c r="A25" s="11" t="n">
        <v>0.2</v>
      </c>
      <c r="B25" s="15" t="n">
        <f aca="false">(R_star^2-2*(Ceiling^2+A25^2))/R_star</f>
        <v>0.365213569252626</v>
      </c>
      <c r="C25" s="11" t="n">
        <v>0.25</v>
      </c>
      <c r="D25" s="15" t="n">
        <f aca="false">(R_star^2-4*C25^2)/R_star</f>
        <v>0.543594636503034</v>
      </c>
    </row>
    <row r="26" customFormat="false" ht="15" hidden="false" customHeight="false" outlineLevel="0" collapsed="false">
      <c r="A26" s="15" t="n">
        <f aca="false">$B$6</f>
        <v>0.159292521929094</v>
      </c>
      <c r="B26" s="15" t="n">
        <f aca="false">(R_star^2-2*(Ceiling^2+A26^2))/R_star</f>
        <v>0.4</v>
      </c>
      <c r="C26" s="11" t="n">
        <v>0.2</v>
      </c>
      <c r="D26" s="15" t="n">
        <f aca="false">(R_star^2-4*C26^2)/R_star</f>
        <v>0.650623276853279</v>
      </c>
    </row>
    <row r="27" customFormat="false" ht="15" hidden="false" customHeight="false" outlineLevel="0" collapsed="false">
      <c r="A27" s="11" t="n">
        <v>0.15</v>
      </c>
      <c r="B27" s="15" t="n">
        <f aca="false">(R_star^2-2*(Ceiling^2+A27^2))/R_star</f>
        <v>0.406835818277721</v>
      </c>
      <c r="C27" s="11" t="n">
        <v>0.15</v>
      </c>
      <c r="D27" s="15" t="n">
        <f aca="false">(R_star^2-4*C27^2)/R_star</f>
        <v>0.73386777490347</v>
      </c>
    </row>
    <row r="28" customFormat="false" ht="15" hidden="false" customHeight="false" outlineLevel="0" collapsed="false">
      <c r="A28" s="11" t="n">
        <v>0.1</v>
      </c>
      <c r="B28" s="15" t="n">
        <f aca="false">(R_star^2-2*(Ceiling^2+A28^2))/R_star</f>
        <v>0.436565996152789</v>
      </c>
      <c r="C28" s="11" t="n">
        <v>0.1</v>
      </c>
      <c r="D28" s="15" t="n">
        <f aca="false">(R_star^2-4*C28^2)/R_star</f>
        <v>0.793328130653606</v>
      </c>
    </row>
    <row r="29" customFormat="false" ht="15" hidden="false" customHeight="false" outlineLevel="0" collapsed="false">
      <c r="A29" s="11" t="n">
        <v>0.05</v>
      </c>
      <c r="B29" s="15" t="n">
        <f aca="false">(R_star^2-2*(Ceiling^2+A29^2))/R_star</f>
        <v>0.45440410287783</v>
      </c>
      <c r="C29" s="11" t="n">
        <v>0.05</v>
      </c>
      <c r="D29" s="15" t="n">
        <f aca="false">(R_star^2-4*C29^2)/R_star</f>
        <v>0.829004344103687</v>
      </c>
    </row>
    <row r="30" customFormat="false" ht="15" hidden="false" customHeight="false" outlineLevel="0" collapsed="false">
      <c r="A30" s="11" t="n">
        <v>0</v>
      </c>
      <c r="B30" s="15" t="n">
        <f aca="false">(R_star^2-2*(Ceiling^2+A30^2))/R_star</f>
        <v>0.460350138452844</v>
      </c>
      <c r="C30" s="11" t="n">
        <v>0</v>
      </c>
      <c r="D30" s="15" t="n">
        <f aca="false">(R_star^2-4*C30^2)/R_star</f>
        <v>0.840896415253715</v>
      </c>
    </row>
    <row r="34" customFormat="false" ht="35.05" hidden="false" customHeight="false" outlineLevel="0" collapsed="false">
      <c r="A34" s="8" t="s">
        <v>103</v>
      </c>
      <c r="B34" s="8" t="s">
        <v>157</v>
      </c>
      <c r="C34" s="8" t="s">
        <v>158</v>
      </c>
      <c r="D34" s="8" t="s">
        <v>159</v>
      </c>
      <c r="E34" s="8" t="s">
        <v>160</v>
      </c>
      <c r="F34" s="8" t="s">
        <v>161</v>
      </c>
      <c r="G34" s="8" t="s">
        <v>162</v>
      </c>
      <c r="H34" s="8" t="s">
        <v>163</v>
      </c>
      <c r="I34" s="8" t="s">
        <v>164</v>
      </c>
      <c r="J34" s="8" t="s">
        <v>165</v>
      </c>
      <c r="K34" s="8" t="s">
        <v>166</v>
      </c>
      <c r="L34" s="8" t="s">
        <v>167</v>
      </c>
      <c r="M34" s="8" t="s">
        <v>168</v>
      </c>
      <c r="N34" s="8" t="s">
        <v>169</v>
      </c>
      <c r="O34" s="8" t="s">
        <v>170</v>
      </c>
      <c r="P34" s="8" t="s">
        <v>171</v>
      </c>
      <c r="Q34" s="8" t="s">
        <v>172</v>
      </c>
      <c r="R34" s="8" t="s">
        <v>173</v>
      </c>
      <c r="S34" s="8" t="s">
        <v>174</v>
      </c>
      <c r="T34" s="8" t="s">
        <v>175</v>
      </c>
      <c r="U34" s="8" t="s">
        <v>176</v>
      </c>
      <c r="V34" s="8" t="s">
        <v>177</v>
      </c>
      <c r="W34" s="8" t="s">
        <v>178</v>
      </c>
      <c r="X34" s="8" t="s">
        <v>179</v>
      </c>
      <c r="Y34" s="8" t="s">
        <v>180</v>
      </c>
      <c r="Z34" s="8" t="s">
        <v>181</v>
      </c>
    </row>
    <row r="35" customFormat="false" ht="15" hidden="false" customHeight="false" outlineLevel="0" collapsed="false">
      <c r="A35" s="20" t="n">
        <v>0</v>
      </c>
      <c r="B35" s="15" t="n">
        <v>0</v>
      </c>
      <c r="C35" s="15" t="n">
        <f aca="false">Shock</f>
        <v>10</v>
      </c>
      <c r="D35" s="15" t="n">
        <v>0</v>
      </c>
      <c r="E35" s="15" t="n">
        <v>0</v>
      </c>
      <c r="F35" s="16" t="n">
        <f aca="false">SUM(B35:E35)</f>
        <v>10</v>
      </c>
      <c r="G35" s="15" t="n">
        <v>0</v>
      </c>
      <c r="H35" s="15" t="n">
        <f aca="false">Shock</f>
        <v>10</v>
      </c>
      <c r="I35" s="15" t="n">
        <v>0</v>
      </c>
      <c r="J35" s="15" t="n">
        <v>0</v>
      </c>
      <c r="K35" s="16" t="n">
        <f aca="false">SUM(G35:J35)</f>
        <v>10</v>
      </c>
      <c r="L35" s="15" t="n">
        <v>0</v>
      </c>
      <c r="M35" s="15" t="n">
        <f aca="false">Shock</f>
        <v>10</v>
      </c>
      <c r="N35" s="15" t="n">
        <v>0</v>
      </c>
      <c r="O35" s="15" t="n">
        <v>0</v>
      </c>
      <c r="P35" s="16" t="n">
        <f aca="false">SUM(L35:O35)</f>
        <v>10</v>
      </c>
      <c r="Q35" s="15" t="n">
        <v>0</v>
      </c>
      <c r="R35" s="15" t="n">
        <f aca="false">Shock</f>
        <v>10</v>
      </c>
      <c r="S35" s="15" t="n">
        <v>0</v>
      </c>
      <c r="T35" s="15" t="n">
        <v>0</v>
      </c>
      <c r="U35" s="16" t="n">
        <f aca="false">SUM(Q35:T35)</f>
        <v>10</v>
      </c>
      <c r="V35" s="15" t="n">
        <v>0</v>
      </c>
      <c r="W35" s="15" t="n">
        <f aca="false">Shock</f>
        <v>10</v>
      </c>
      <c r="X35" s="15" t="n">
        <v>0</v>
      </c>
      <c r="Y35" s="15" t="n">
        <v>0</v>
      </c>
      <c r="Z35" s="16" t="n">
        <f aca="false">SUM(V35:Y35)</f>
        <v>10</v>
      </c>
    </row>
    <row r="36" customFormat="false" ht="15" hidden="false" customHeight="false" outlineLevel="0" collapsed="false">
      <c r="A36" s="20" t="n">
        <v>1</v>
      </c>
      <c r="B36" s="15" t="n">
        <f aca="false">$D$11*C35+$B$11*D35+$C$11*E35</f>
        <v>0</v>
      </c>
      <c r="C36" s="15" t="n">
        <f aca="false">$D$11*B35+$B$11*D35+$C$11*E35</f>
        <v>0</v>
      </c>
      <c r="D36" s="15" t="n">
        <f aca="false">$B$11*(B35+C35)</f>
        <v>4</v>
      </c>
      <c r="E36" s="15" t="n">
        <f aca="false">$C$11*(B35+C35)</f>
        <v>4</v>
      </c>
      <c r="F36" s="16" t="n">
        <f aca="false">SUM(B36:E36)</f>
        <v>8</v>
      </c>
      <c r="G36" s="15" t="n">
        <f aca="false">$D$12*H35+$B$12*I35+$C$12*J35</f>
        <v>4</v>
      </c>
      <c r="H36" s="15" t="n">
        <f aca="false">$D$12*G35+$B$12*I35+$C$12*J35</f>
        <v>0</v>
      </c>
      <c r="I36" s="15" t="n">
        <f aca="false">$B$12*(G35+H35)</f>
        <v>4</v>
      </c>
      <c r="J36" s="15" t="n">
        <f aca="false">$C$12*(G35+H35)</f>
        <v>4</v>
      </c>
      <c r="K36" s="16" t="n">
        <f aca="false">SUM(G36:J36)</f>
        <v>12</v>
      </c>
      <c r="L36" s="15" t="n">
        <f aca="false">$D$13*M35+$B$13*N35+$C$13*O35</f>
        <v>0.798038616519728</v>
      </c>
      <c r="M36" s="15" t="n">
        <f aca="false">$D$13*L35+$B$13*N35+$C$13*O35</f>
        <v>0</v>
      </c>
      <c r="N36" s="15" t="n">
        <f aca="false">$B$13*(L35+M35)</f>
        <v>4</v>
      </c>
      <c r="O36" s="15" t="n">
        <f aca="false">$C$13*(L35+M35)</f>
        <v>4</v>
      </c>
      <c r="P36" s="16" t="n">
        <f aca="false">SUM(L36:O36)</f>
        <v>8.79803861651973</v>
      </c>
      <c r="Q36" s="15" t="n">
        <f aca="false">$D$14*R35+$B$14*S35+$C$14*T35</f>
        <v>4</v>
      </c>
      <c r="R36" s="15" t="n">
        <f aca="false">$D$14*Q35+$B$14*S35+$C$14*T35</f>
        <v>0</v>
      </c>
      <c r="S36" s="15" t="n">
        <f aca="false">$B$14*(Q35+R35)</f>
        <v>4</v>
      </c>
      <c r="T36" s="15" t="n">
        <f aca="false">$C$14*(Q35+R35)</f>
        <v>1.59292521929094</v>
      </c>
      <c r="U36" s="16" t="n">
        <f aca="false">SUM(Q36:T36)</f>
        <v>9.59292521929094</v>
      </c>
      <c r="V36" s="15" t="n">
        <f aca="false">$D$15*W35+$B$15*X35+$C$15*Y35</f>
        <v>4</v>
      </c>
      <c r="W36" s="15" t="n">
        <f aca="false">$D$15*V35+$B$15*X35+$C$15*Y35</f>
        <v>0</v>
      </c>
      <c r="X36" s="15" t="n">
        <f aca="false">$B$15*(V35+W35)</f>
        <v>3.04445485713396</v>
      </c>
      <c r="Y36" s="15" t="n">
        <f aca="false">$C$15*(V35+W35)</f>
        <v>3.04445485713396</v>
      </c>
      <c r="Z36" s="16" t="n">
        <f aca="false">SUM(V36:Y36)</f>
        <v>10.0889097142679</v>
      </c>
    </row>
    <row r="37" customFormat="false" ht="15" hidden="false" customHeight="false" outlineLevel="0" collapsed="false">
      <c r="A37" s="20" t="n">
        <v>2</v>
      </c>
      <c r="B37" s="15" t="n">
        <f aca="false">$D$11*C36+$B$11*D36+$C$11*E36</f>
        <v>3.2</v>
      </c>
      <c r="C37" s="15" t="n">
        <f aca="false">$D$11*B36+$B$11*D36+$C$11*E36</f>
        <v>3.2</v>
      </c>
      <c r="D37" s="15" t="n">
        <f aca="false">$B$11*(B36+C36)</f>
        <v>0</v>
      </c>
      <c r="E37" s="15" t="n">
        <f aca="false">$C$11*(B36+C36)</f>
        <v>0</v>
      </c>
      <c r="F37" s="16" t="n">
        <f aca="false">SUM(B37:E37)</f>
        <v>6.4</v>
      </c>
      <c r="G37" s="15" t="n">
        <f aca="false">$D$12*H36+$B$12*I36+$C$12*J36</f>
        <v>3.2</v>
      </c>
      <c r="H37" s="15" t="n">
        <f aca="false">$D$12*G36+$B$12*I36+$C$12*J36</f>
        <v>4.8</v>
      </c>
      <c r="I37" s="15" t="n">
        <f aca="false">$B$12*(G36+H36)</f>
        <v>1.6</v>
      </c>
      <c r="J37" s="15" t="n">
        <f aca="false">$C$12*(G36+H36)</f>
        <v>1.6</v>
      </c>
      <c r="K37" s="16" t="n">
        <f aca="false">SUM(G37:J37)</f>
        <v>11.2</v>
      </c>
      <c r="L37" s="15" t="n">
        <f aca="false">$D$13*M36+$B$13*N36+$C$13*O36</f>
        <v>3.2</v>
      </c>
      <c r="M37" s="15" t="n">
        <f aca="false">$D$13*L36+$B$13*N36+$C$13*O36</f>
        <v>3.26368656334567</v>
      </c>
      <c r="N37" s="15" t="n">
        <f aca="false">$B$13*(L36+M36)</f>
        <v>0.319215446607891</v>
      </c>
      <c r="O37" s="15" t="n">
        <f aca="false">$C$13*(L36+M36)</f>
        <v>0.319215446607891</v>
      </c>
      <c r="P37" s="16" t="n">
        <f aca="false">SUM(L37:O37)</f>
        <v>7.10211745656146</v>
      </c>
      <c r="Q37" s="15" t="n">
        <f aca="false">$D$14*R36+$B$14*S36+$C$14*T36</f>
        <v>1.85374107542531</v>
      </c>
      <c r="R37" s="15" t="n">
        <f aca="false">$D$14*Q36+$B$14*S36+$C$14*T36</f>
        <v>3.45374107542531</v>
      </c>
      <c r="S37" s="15" t="n">
        <f aca="false">$B$14*(Q36+R36)</f>
        <v>1.6</v>
      </c>
      <c r="T37" s="15" t="n">
        <f aca="false">$C$14*(Q36+R36)</f>
        <v>0.637170087716375</v>
      </c>
      <c r="U37" s="16" t="n">
        <f aca="false">SUM(Q37:T37)</f>
        <v>7.54465223856699</v>
      </c>
      <c r="V37" s="15" t="n">
        <f aca="false">$D$15*W36+$B$15*X36+$C$15*Y36</f>
        <v>1.85374107542531</v>
      </c>
      <c r="W37" s="15" t="n">
        <f aca="false">$D$15*V36+$B$15*X36+$C$15*Y36</f>
        <v>3.45374107542531</v>
      </c>
      <c r="X37" s="15" t="n">
        <f aca="false">$B$15*(V36+W36)</f>
        <v>1.21778194285358</v>
      </c>
      <c r="Y37" s="15" t="n">
        <f aca="false">$C$15*(V36+W36)</f>
        <v>1.21778194285358</v>
      </c>
      <c r="Z37" s="16" t="n">
        <f aca="false">SUM(V37:Y37)</f>
        <v>7.74304603655778</v>
      </c>
    </row>
    <row r="38" customFormat="false" ht="15" hidden="false" customHeight="false" outlineLevel="0" collapsed="false">
      <c r="A38" s="20" t="n">
        <v>3</v>
      </c>
      <c r="B38" s="15" t="n">
        <f aca="false">$D$11*C37+$B$11*D37+$C$11*E37</f>
        <v>0</v>
      </c>
      <c r="C38" s="15" t="n">
        <f aca="false">$D$11*B37+$B$11*D37+$C$11*E37</f>
        <v>0</v>
      </c>
      <c r="D38" s="15" t="n">
        <f aca="false">$B$11*(B37+C37)</f>
        <v>2.56</v>
      </c>
      <c r="E38" s="15" t="n">
        <f aca="false">$C$11*(B37+C37)</f>
        <v>2.56</v>
      </c>
      <c r="F38" s="16" t="n">
        <f aca="false">SUM(B38:E38)</f>
        <v>5.12</v>
      </c>
      <c r="G38" s="15" t="n">
        <f aca="false">$D$12*H37+$B$12*I37+$C$12*J37</f>
        <v>3.2</v>
      </c>
      <c r="H38" s="15" t="n">
        <f aca="false">$D$12*G37+$B$12*I37+$C$12*J37</f>
        <v>2.56</v>
      </c>
      <c r="I38" s="15" t="n">
        <f aca="false">$B$12*(G37+H37)</f>
        <v>3.2</v>
      </c>
      <c r="J38" s="15" t="n">
        <f aca="false">$C$12*(G37+H37)</f>
        <v>3.2</v>
      </c>
      <c r="K38" s="16" t="n">
        <f aca="false">SUM(G38:J38)</f>
        <v>12.16</v>
      </c>
      <c r="L38" s="15" t="n">
        <f aca="false">$D$13*M37+$B$13*N37+$C$13*O37</f>
        <v>0.515827148262954</v>
      </c>
      <c r="M38" s="15" t="n">
        <f aca="false">$D$13*L37+$B$13*N37+$C$13*O37</f>
        <v>0.510744714572626</v>
      </c>
      <c r="N38" s="15" t="n">
        <f aca="false">$B$13*(L37+M37)</f>
        <v>2.58547462533827</v>
      </c>
      <c r="O38" s="15" t="n">
        <f aca="false">$C$13*(L37+M37)</f>
        <v>2.58547462533827</v>
      </c>
      <c r="P38" s="16" t="n">
        <f aca="false">SUM(L38:O38)</f>
        <v>6.19752111351212</v>
      </c>
      <c r="Q38" s="15" t="n">
        <f aca="false">$D$14*R37+$B$14*S37+$C$14*T37</f>
        <v>2.12299286034025</v>
      </c>
      <c r="R38" s="15" t="n">
        <f aca="false">$D$14*Q37+$B$14*S37+$C$14*T37</f>
        <v>1.48299286034025</v>
      </c>
      <c r="S38" s="15" t="n">
        <f aca="false">$B$14*(Q37+R37)</f>
        <v>2.12299286034025</v>
      </c>
      <c r="T38" s="15" t="n">
        <f aca="false">$C$14*(Q37+R37)</f>
        <v>0.845442216902645</v>
      </c>
      <c r="U38" s="16" t="n">
        <f aca="false">SUM(Q38:T38)</f>
        <v>6.57442079792338</v>
      </c>
      <c r="V38" s="15" t="n">
        <f aca="false">$D$15*W37+$B$15*X37+$C$15*Y37</f>
        <v>2.12299286034025</v>
      </c>
      <c r="W38" s="15" t="n">
        <f aca="false">$D$15*V37+$B$15*X37+$C$15*Y37</f>
        <v>1.48299286034025</v>
      </c>
      <c r="X38" s="15" t="n">
        <f aca="false">$B$15*(V37+W37)</f>
        <v>1.61583898133089</v>
      </c>
      <c r="Y38" s="15" t="n">
        <f aca="false">$C$15*(V37+W37)</f>
        <v>1.61583898133089</v>
      </c>
      <c r="Z38" s="16" t="n">
        <f aca="false">SUM(V38:Y38)</f>
        <v>6.83766368334228</v>
      </c>
    </row>
    <row r="39" customFormat="false" ht="15" hidden="false" customHeight="false" outlineLevel="0" collapsed="false">
      <c r="A39" s="20" t="n">
        <v>4</v>
      </c>
      <c r="B39" s="15" t="n">
        <f aca="false">$D$11*C38+$B$11*D38+$C$11*E38</f>
        <v>2.048</v>
      </c>
      <c r="C39" s="15" t="n">
        <f aca="false">$D$11*B38+$B$11*D38+$C$11*E38</f>
        <v>2.048</v>
      </c>
      <c r="D39" s="15" t="n">
        <f aca="false">$B$11*(B38+C38)</f>
        <v>0</v>
      </c>
      <c r="E39" s="15" t="n">
        <f aca="false">$C$11*(B38+C38)</f>
        <v>0</v>
      </c>
      <c r="F39" s="16" t="n">
        <f aca="false">SUM(B39:E39)</f>
        <v>4.096</v>
      </c>
      <c r="G39" s="15" t="n">
        <f aca="false">$D$12*H38+$B$12*I38+$C$12*J38</f>
        <v>3.584</v>
      </c>
      <c r="H39" s="15" t="n">
        <f aca="false">$D$12*G38+$B$12*I38+$C$12*J38</f>
        <v>3.84</v>
      </c>
      <c r="I39" s="15" t="n">
        <f aca="false">$B$12*(G38+H38)</f>
        <v>2.304</v>
      </c>
      <c r="J39" s="15" t="n">
        <f aca="false">$C$12*(G38+H38)</f>
        <v>2.304</v>
      </c>
      <c r="K39" s="16" t="n">
        <f aca="false">SUM(G39:J39)</f>
        <v>12.032</v>
      </c>
      <c r="L39" s="15" t="n">
        <f aca="false">$D$13*M38+$B$13*N38+$C$13*O38</f>
        <v>2.10913910081185</v>
      </c>
      <c r="M39" s="15" t="n">
        <f aca="false">$D$13*L38+$B$13*N38+$C$13*O38</f>
        <v>2.10954469864692</v>
      </c>
      <c r="N39" s="15" t="n">
        <f aca="false">$B$13*(L38+M38)</f>
        <v>0.410628745134232</v>
      </c>
      <c r="O39" s="15" t="n">
        <f aca="false">$C$13*(L38+M38)</f>
        <v>0.410628745134232</v>
      </c>
      <c r="P39" s="16" t="n">
        <f aca="false">SUM(L39:O39)</f>
        <v>5.03994128972723</v>
      </c>
      <c r="Q39" s="15" t="n">
        <f aca="false">$D$14*R38+$B$14*S38+$C$14*T38</f>
        <v>1.57706691114794</v>
      </c>
      <c r="R39" s="15" t="n">
        <f aca="false">$D$14*Q38+$B$14*S38+$C$14*T38</f>
        <v>1.83306691114794</v>
      </c>
      <c r="S39" s="15" t="n">
        <f aca="false">$B$14*(Q38+R38)</f>
        <v>1.4423942882722</v>
      </c>
      <c r="T39" s="15" t="n">
        <f aca="false">$C$14*(Q38+R38)</f>
        <v>0.574406559487496</v>
      </c>
      <c r="U39" s="16" t="n">
        <f aca="false">SUM(Q39:T39)</f>
        <v>5.42693467005558</v>
      </c>
      <c r="V39" s="15" t="n">
        <f aca="false">$D$15*W38+$B$15*X38+$C$15*Y38</f>
        <v>1.57706691114794</v>
      </c>
      <c r="W39" s="15" t="n">
        <f aca="false">$D$15*V38+$B$15*X38+$C$15*Y38</f>
        <v>1.83306691114794</v>
      </c>
      <c r="X39" s="15" t="n">
        <f aca="false">$B$15*(V38+W38)</f>
        <v>1.09782607420814</v>
      </c>
      <c r="Y39" s="15" t="n">
        <f aca="false">$C$15*(V38+W38)</f>
        <v>1.09782607420814</v>
      </c>
      <c r="Z39" s="16" t="n">
        <f aca="false">SUM(V39:Y39)</f>
        <v>5.60578597071217</v>
      </c>
    </row>
    <row r="40" customFormat="false" ht="15" hidden="false" customHeight="false" outlineLevel="0" collapsed="false">
      <c r="A40" s="20" t="n">
        <v>5</v>
      </c>
      <c r="B40" s="15" t="n">
        <f aca="false">$D$11*C39+$B$11*D39+$C$11*E39</f>
        <v>0</v>
      </c>
      <c r="C40" s="15" t="n">
        <f aca="false">$D$11*B39+$B$11*D39+$C$11*E39</f>
        <v>0</v>
      </c>
      <c r="D40" s="15" t="n">
        <f aca="false">$B$11*(B39+C39)</f>
        <v>1.6384</v>
      </c>
      <c r="E40" s="15" t="n">
        <f aca="false">$C$11*(B39+C39)</f>
        <v>1.6384</v>
      </c>
      <c r="F40" s="16" t="n">
        <f aca="false">SUM(B40:E40)</f>
        <v>3.2768</v>
      </c>
      <c r="G40" s="15" t="n">
        <f aca="false">$D$12*H39+$B$12*I39+$C$12*J39</f>
        <v>3.3792</v>
      </c>
      <c r="H40" s="15" t="n">
        <f aca="false">$D$12*G39+$B$12*I39+$C$12*J39</f>
        <v>3.2768</v>
      </c>
      <c r="I40" s="15" t="n">
        <f aca="false">$B$12*(G39+H39)</f>
        <v>2.9696</v>
      </c>
      <c r="J40" s="15" t="n">
        <f aca="false">$C$12*(G39+H39)</f>
        <v>2.9696</v>
      </c>
      <c r="K40" s="16" t="n">
        <f aca="false">SUM(G40:J40)</f>
        <v>12.5952</v>
      </c>
      <c r="L40" s="15" t="n">
        <f aca="false">$D$13*M39+$B$13*N39+$C$13*O39</f>
        <v>0.496852809386858</v>
      </c>
      <c r="M40" s="15" t="n">
        <f aca="false">$D$13*L39+$B$13*N39+$C$13*O39</f>
        <v>0.496820441113341</v>
      </c>
      <c r="N40" s="15" t="n">
        <f aca="false">$B$13*(L39+M39)</f>
        <v>1.68747351978351</v>
      </c>
      <c r="O40" s="15" t="n">
        <f aca="false">$C$13*(L39+M39)</f>
        <v>1.68747351978351</v>
      </c>
      <c r="P40" s="16" t="n">
        <f aca="false">SUM(L40:O40)</f>
        <v>4.36862029006722</v>
      </c>
      <c r="Q40" s="15" t="n">
        <f aca="false">$D$14*R39+$B$14*S39+$C$14*T39</f>
        <v>1.40168314924143</v>
      </c>
      <c r="R40" s="15" t="n">
        <f aca="false">$D$14*Q39+$B$14*S39+$C$14*T39</f>
        <v>1.29928314924143</v>
      </c>
      <c r="S40" s="15" t="n">
        <f aca="false">$B$14*(Q39+R39)</f>
        <v>1.36405352891835</v>
      </c>
      <c r="T40" s="15" t="n">
        <f aca="false">$C$14*(Q39+R39)</f>
        <v>0.543208816669211</v>
      </c>
      <c r="U40" s="16" t="n">
        <f aca="false">SUM(Q40:T40)</f>
        <v>4.60822864407043</v>
      </c>
      <c r="V40" s="15" t="n">
        <f aca="false">$D$15*W39+$B$15*X39+$C$15*Y39</f>
        <v>1.40168314924143</v>
      </c>
      <c r="W40" s="15" t="n">
        <f aca="false">$D$15*V39+$B$15*X39+$C$15*Y39</f>
        <v>1.29928314924143</v>
      </c>
      <c r="X40" s="15" t="n">
        <f aca="false">$B$15*(V39+W39)</f>
        <v>1.03819984787655</v>
      </c>
      <c r="Y40" s="15" t="n">
        <f aca="false">$C$15*(V39+W39)</f>
        <v>1.03819984787655</v>
      </c>
      <c r="Z40" s="16" t="n">
        <f aca="false">SUM(V40:Y40)</f>
        <v>4.77736599423597</v>
      </c>
    </row>
    <row r="41" customFormat="false" ht="15" hidden="false" customHeight="false" outlineLevel="0" collapsed="false">
      <c r="A41" s="20" t="n">
        <v>6</v>
      </c>
      <c r="B41" s="15" t="n">
        <f aca="false">$D$11*C40+$B$11*D40+$C$11*E40</f>
        <v>1.31072</v>
      </c>
      <c r="C41" s="15" t="n">
        <f aca="false">$D$11*B40+$B$11*D40+$C$11*E40</f>
        <v>1.31072</v>
      </c>
      <c r="D41" s="15" t="n">
        <f aca="false">$B$11*(B40+C40)</f>
        <v>0</v>
      </c>
      <c r="E41" s="15" t="n">
        <f aca="false">$C$11*(B40+C40)</f>
        <v>0</v>
      </c>
      <c r="F41" s="16" t="n">
        <f aca="false">SUM(B41:E41)</f>
        <v>2.62144</v>
      </c>
      <c r="G41" s="15" t="n">
        <f aca="false">$D$12*H40+$B$12*I40+$C$12*J40</f>
        <v>3.6864</v>
      </c>
      <c r="H41" s="15" t="n">
        <f aca="false">$D$12*G40+$B$12*I40+$C$12*J40</f>
        <v>3.72736</v>
      </c>
      <c r="I41" s="15" t="n">
        <f aca="false">$B$12*(G40+H40)</f>
        <v>2.6624</v>
      </c>
      <c r="J41" s="15" t="n">
        <f aca="false">$C$12*(G40+H40)</f>
        <v>2.6624</v>
      </c>
      <c r="K41" s="16" t="n">
        <f aca="false">SUM(G41:J41)</f>
        <v>12.73856</v>
      </c>
      <c r="L41" s="15" t="n">
        <f aca="false">$D$13*M40+$B$13*N40+$C$13*O40</f>
        <v>1.38962700557529</v>
      </c>
      <c r="M41" s="15" t="n">
        <f aca="false">$D$13*L40+$B$13*N40+$C$13*O40</f>
        <v>1.38962958868851</v>
      </c>
      <c r="N41" s="15" t="n">
        <f aca="false">$B$13*(L40+M40)</f>
        <v>0.397469300200079</v>
      </c>
      <c r="O41" s="15" t="n">
        <f aca="false">$C$13*(L40+M40)</f>
        <v>0.397469300200079</v>
      </c>
      <c r="P41" s="16" t="n">
        <f aca="false">SUM(L41:O41)</f>
        <v>3.57419519466396</v>
      </c>
      <c r="Q41" s="15" t="n">
        <f aca="false">$D$14*R40+$B$14*S40+$C$14*T40</f>
        <v>1.15186377360527</v>
      </c>
      <c r="R41" s="15" t="n">
        <f aca="false">$D$14*Q40+$B$14*S40+$C$14*T40</f>
        <v>1.19282377360527</v>
      </c>
      <c r="S41" s="15" t="n">
        <f aca="false">$B$14*(Q40+R40)</f>
        <v>1.08038651939315</v>
      </c>
      <c r="T41" s="15" t="n">
        <f aca="false">$C$14*(Q40+R40)</f>
        <v>0.430243733330825</v>
      </c>
      <c r="U41" s="16" t="n">
        <f aca="false">SUM(Q41:T41)</f>
        <v>3.85531779993452</v>
      </c>
      <c r="V41" s="15" t="n">
        <f aca="false">$D$15*W40+$B$15*X40+$C$15*Y40</f>
        <v>1.15186377360527</v>
      </c>
      <c r="W41" s="15" t="n">
        <f aca="false">$D$15*V40+$B$15*X40+$C$15*Y40</f>
        <v>1.19282377360527</v>
      </c>
      <c r="X41" s="15" t="n">
        <f aca="false">$B$15*(V40+W40)</f>
        <v>0.822296996637129</v>
      </c>
      <c r="Y41" s="15" t="n">
        <f aca="false">$C$15*(V40+W40)</f>
        <v>0.822296996637129</v>
      </c>
      <c r="Z41" s="16" t="n">
        <f aca="false">SUM(V41:Y41)</f>
        <v>3.9892815404848</v>
      </c>
    </row>
    <row r="42" customFormat="false" ht="15" hidden="false" customHeight="false" outlineLevel="0" collapsed="false">
      <c r="A42" s="20" t="n">
        <v>7</v>
      </c>
      <c r="B42" s="15" t="n">
        <f aca="false">$D$11*C41+$B$11*D41+$C$11*E41</f>
        <v>0</v>
      </c>
      <c r="C42" s="15" t="n">
        <f aca="false">$D$11*B41+$B$11*D41+$C$11*E41</f>
        <v>0</v>
      </c>
      <c r="D42" s="15" t="n">
        <f aca="false">$B$11*(B41+C41)</f>
        <v>1.048576</v>
      </c>
      <c r="E42" s="15" t="n">
        <f aca="false">$C$11*(B41+C41)</f>
        <v>1.048576</v>
      </c>
      <c r="F42" s="16" t="n">
        <f aca="false">SUM(B42:E42)</f>
        <v>2.097152</v>
      </c>
      <c r="G42" s="15" t="n">
        <f aca="false">$D$12*H41+$B$12*I41+$C$12*J41</f>
        <v>3.620864</v>
      </c>
      <c r="H42" s="15" t="n">
        <f aca="false">$D$12*G41+$B$12*I41+$C$12*J41</f>
        <v>3.60448</v>
      </c>
      <c r="I42" s="15" t="n">
        <f aca="false">$B$12*(G41+H41)</f>
        <v>2.965504</v>
      </c>
      <c r="J42" s="15" t="n">
        <f aca="false">$C$12*(G41+H41)</f>
        <v>2.965504</v>
      </c>
      <c r="K42" s="16" t="n">
        <f aca="false">SUM(G42:J42)</f>
        <v>13.156352</v>
      </c>
      <c r="L42" s="15" t="n">
        <f aca="false">$D$13*M41+$B$13*N41+$C$13*O41</f>
        <v>0.428873247603249</v>
      </c>
      <c r="M42" s="15" t="n">
        <f aca="false">$D$13*L41+$B$13*N41+$C$13*O41</f>
        <v>0.428873041460839</v>
      </c>
      <c r="N42" s="15" t="n">
        <f aca="false">$B$13*(L41+M41)</f>
        <v>1.11170263770552</v>
      </c>
      <c r="O42" s="15" t="n">
        <f aca="false">$C$13*(L41+M41)</f>
        <v>1.11170263770552</v>
      </c>
      <c r="P42" s="16" t="n">
        <f aca="false">SUM(L42:O42)</f>
        <v>3.08115156447513</v>
      </c>
      <c r="Q42" s="15" t="n">
        <f aca="false">$D$14*R41+$B$14*S41+$C$14*T41</f>
        <v>0.977818726525823</v>
      </c>
      <c r="R42" s="15" t="n">
        <f aca="false">$D$14*Q41+$B$14*S41+$C$14*T41</f>
        <v>0.961434726525823</v>
      </c>
      <c r="S42" s="15" t="n">
        <f aca="false">$B$14*(Q41+R41)</f>
        <v>0.937875018884218</v>
      </c>
      <c r="T42" s="15" t="n">
        <f aca="false">$C$14*(Q41+R41)</f>
        <v>0.373491192530909</v>
      </c>
      <c r="U42" s="16" t="n">
        <f aca="false">SUM(Q42:T42)</f>
        <v>3.25061966446677</v>
      </c>
      <c r="V42" s="15" t="n">
        <f aca="false">$D$15*W41+$B$15*X41+$C$15*Y41</f>
        <v>0.977818726525824</v>
      </c>
      <c r="W42" s="15" t="n">
        <f aca="false">$D$15*V41+$B$15*X41+$C$15*Y41</f>
        <v>0.961434726525824</v>
      </c>
      <c r="X42" s="15" t="n">
        <f aca="false">$B$15*(V41+W41)</f>
        <v>0.713829539156665</v>
      </c>
      <c r="Y42" s="15" t="n">
        <f aca="false">$C$15*(V41+W41)</f>
        <v>0.713829539156665</v>
      </c>
      <c r="Z42" s="16" t="n">
        <f aca="false">SUM(V42:Y42)</f>
        <v>3.36691253136498</v>
      </c>
    </row>
    <row r="43" customFormat="false" ht="15" hidden="false" customHeight="false" outlineLevel="0" collapsed="false">
      <c r="A43" s="20" t="n">
        <v>8</v>
      </c>
      <c r="B43" s="15" t="n">
        <f aca="false">$D$11*C42+$B$11*D42+$C$11*E42</f>
        <v>0.8388608</v>
      </c>
      <c r="C43" s="15" t="n">
        <f aca="false">$D$11*B42+$B$11*D42+$C$11*E42</f>
        <v>0.8388608</v>
      </c>
      <c r="D43" s="15" t="n">
        <f aca="false">$B$11*(B42+C42)</f>
        <v>0</v>
      </c>
      <c r="E43" s="15" t="n">
        <f aca="false">$C$11*(B42+C42)</f>
        <v>0</v>
      </c>
      <c r="F43" s="16" t="n">
        <f aca="false">SUM(B43:E43)</f>
        <v>1.6777216</v>
      </c>
      <c r="G43" s="15" t="n">
        <f aca="false">$D$12*H42+$B$12*I42+$C$12*J42</f>
        <v>3.8141952</v>
      </c>
      <c r="H43" s="15" t="n">
        <f aca="false">$D$12*G42+$B$12*I42+$C$12*J42</f>
        <v>3.8207488</v>
      </c>
      <c r="I43" s="15" t="n">
        <f aca="false">$B$12*(G42+H42)</f>
        <v>2.8901376</v>
      </c>
      <c r="J43" s="15" t="n">
        <f aca="false">$C$12*(G42+H42)</f>
        <v>2.8901376</v>
      </c>
      <c r="K43" s="16" t="n">
        <f aca="false">SUM(G43:J43)</f>
        <v>13.4152192</v>
      </c>
      <c r="L43" s="15" t="n">
        <f aca="false">$D$13*M42+$B$13*N42+$C$13*O42</f>
        <v>0.923587835031417</v>
      </c>
      <c r="M43" s="15" t="n">
        <f aca="false">$D$13*L42+$B$13*N42+$C$13*O42</f>
        <v>0.923587851482377</v>
      </c>
      <c r="N43" s="15" t="n">
        <f aca="false">$B$13*(L42+M42)</f>
        <v>0.343098515625635</v>
      </c>
      <c r="O43" s="15" t="n">
        <f aca="false">$C$13*(L42+M42)</f>
        <v>0.343098515625635</v>
      </c>
      <c r="P43" s="16" t="n">
        <f aca="false">SUM(L43:O43)</f>
        <v>2.53337271776506</v>
      </c>
      <c r="Q43" s="15" t="n">
        <f aca="false">$D$14*R42+$B$14*S42+$C$14*T42</f>
        <v>0.81921825214057</v>
      </c>
      <c r="R43" s="15" t="n">
        <f aca="false">$D$14*Q42+$B$14*S42+$C$14*T42</f>
        <v>0.82577185214057</v>
      </c>
      <c r="S43" s="15" t="n">
        <f aca="false">$B$14*(Q42+R42)</f>
        <v>0.775701381220659</v>
      </c>
      <c r="T43" s="15" t="n">
        <f aca="false">$C$14*(Q42+R42)</f>
        <v>0.3089085731963</v>
      </c>
      <c r="U43" s="16" t="n">
        <f aca="false">SUM(Q43:T43)</f>
        <v>2.7296000586981</v>
      </c>
      <c r="V43" s="15" t="n">
        <f aca="false">$D$15*W42+$B$15*X42+$C$15*Y42</f>
        <v>0.81921825214057</v>
      </c>
      <c r="W43" s="15" t="n">
        <f aca="false">$D$15*V42+$B$15*X42+$C$15*Y42</f>
        <v>0.82577185214057</v>
      </c>
      <c r="X43" s="15" t="n">
        <f aca="false">$B$15*(V42+W42)</f>
        <v>0.590396959435689</v>
      </c>
      <c r="Y43" s="15" t="n">
        <f aca="false">$C$15*(V42+W42)</f>
        <v>0.590396959435689</v>
      </c>
      <c r="Z43" s="16" t="n">
        <f aca="false">SUM(V43:Y43)</f>
        <v>2.82578402315252</v>
      </c>
    </row>
    <row r="44" customFormat="false" ht="15" hidden="false" customHeight="false" outlineLevel="0" collapsed="false">
      <c r="A44" s="20" t="n">
        <v>9</v>
      </c>
      <c r="B44" s="15" t="n">
        <f aca="false">$D$11*C43+$B$11*D43+$C$11*E43</f>
        <v>0</v>
      </c>
      <c r="C44" s="15" t="n">
        <f aca="false">$D$11*B43+$B$11*D43+$C$11*E43</f>
        <v>0</v>
      </c>
      <c r="D44" s="15" t="n">
        <f aca="false">$B$11*(B43+C43)</f>
        <v>0.67108864</v>
      </c>
      <c r="E44" s="15" t="n">
        <f aca="false">$C$11*(B43+C43)</f>
        <v>0.67108864</v>
      </c>
      <c r="F44" s="16" t="n">
        <f aca="false">SUM(B44:E44)</f>
        <v>1.34217728</v>
      </c>
      <c r="G44" s="15" t="n">
        <f aca="false">$D$12*H43+$B$12*I43+$C$12*J43</f>
        <v>3.8404096</v>
      </c>
      <c r="H44" s="15" t="n">
        <f aca="false">$D$12*G43+$B$12*I43+$C$12*J43</f>
        <v>3.83778816</v>
      </c>
      <c r="I44" s="15" t="n">
        <f aca="false">$B$12*(G43+H43)</f>
        <v>3.0539776</v>
      </c>
      <c r="J44" s="15" t="n">
        <f aca="false">$C$12*(G43+H43)</f>
        <v>3.0539776</v>
      </c>
      <c r="K44" s="16" t="n">
        <f aca="false">SUM(G44:J44)</f>
        <v>13.78615296</v>
      </c>
      <c r="L44" s="15" t="n">
        <f aca="false">$D$13*M43+$B$13*N43+$C$13*O43</f>
        <v>0.348184689623651</v>
      </c>
      <c r="M44" s="15" t="n">
        <f aca="false">$D$13*L43+$B$13*N43+$C$13*O43</f>
        <v>0.348184688310801</v>
      </c>
      <c r="N44" s="15" t="n">
        <f aca="false">$B$13*(L43+M43)</f>
        <v>0.738870274605518</v>
      </c>
      <c r="O44" s="15" t="n">
        <f aca="false">$C$13*(L43+M43)</f>
        <v>0.738870274605518</v>
      </c>
      <c r="P44" s="16" t="n">
        <f aca="false">SUM(L44:O44)</f>
        <v>2.17410992714549</v>
      </c>
      <c r="Q44" s="15" t="n">
        <f aca="false">$D$14*R43+$B$14*S43+$C$14*T43</f>
        <v>0.689796119014448</v>
      </c>
      <c r="R44" s="15" t="n">
        <f aca="false">$D$14*Q43+$B$14*S43+$C$14*T43</f>
        <v>0.687174679014448</v>
      </c>
      <c r="S44" s="15" t="n">
        <f aca="false">$B$14*(Q43+R43)</f>
        <v>0.657996041712456</v>
      </c>
      <c r="T44" s="15" t="n">
        <f aca="false">$C$14*(Q43+R43)</f>
        <v>0.262034622259345</v>
      </c>
      <c r="U44" s="16" t="n">
        <f aca="false">SUM(Q44:T44)</f>
        <v>2.2970014620007</v>
      </c>
      <c r="V44" s="15" t="n">
        <f aca="false">$D$15*W43+$B$15*X43+$C$15*Y43</f>
        <v>0.689796119014449</v>
      </c>
      <c r="W44" s="15" t="n">
        <f aca="false">$D$15*V43+$B$15*X43+$C$15*Y43</f>
        <v>0.687174679014449</v>
      </c>
      <c r="X44" s="15" t="n">
        <f aca="false">$B$15*(V43+W43)</f>
        <v>0.500809811291601</v>
      </c>
      <c r="Y44" s="15" t="n">
        <f aca="false">$C$15*(V43+W43)</f>
        <v>0.500809811291601</v>
      </c>
      <c r="Z44" s="16" t="n">
        <f aca="false">SUM(V44:Y44)</f>
        <v>2.3785904206121</v>
      </c>
    </row>
    <row r="45" customFormat="false" ht="15" hidden="false" customHeight="false" outlineLevel="0" collapsed="false">
      <c r="A45" s="20" t="n">
        <v>10</v>
      </c>
      <c r="B45" s="15" t="n">
        <f aca="false">$D$11*C44+$B$11*D44+$C$11*E44</f>
        <v>0.536870912</v>
      </c>
      <c r="C45" s="15" t="n">
        <f aca="false">$D$11*B44+$B$11*D44+$C$11*E44</f>
        <v>0.536870912</v>
      </c>
      <c r="D45" s="15" t="n">
        <f aca="false">$B$11*(B44+C44)</f>
        <v>0</v>
      </c>
      <c r="E45" s="15" t="n">
        <f aca="false">$C$11*(B44+C44)</f>
        <v>0</v>
      </c>
      <c r="F45" s="16" t="n">
        <f aca="false">SUM(B45:E45)</f>
        <v>1.073741824</v>
      </c>
      <c r="G45" s="15" t="n">
        <f aca="false">$D$12*H44+$B$12*I44+$C$12*J44</f>
        <v>3.978297344</v>
      </c>
      <c r="H45" s="15" t="n">
        <f aca="false">$D$12*G44+$B$12*I44+$C$12*J44</f>
        <v>3.97934592</v>
      </c>
      <c r="I45" s="15" t="n">
        <f aca="false">$B$12*(G44+H44)</f>
        <v>3.071279104</v>
      </c>
      <c r="J45" s="15" t="n">
        <f aca="false">$C$12*(G44+H44)</f>
        <v>3.071279104</v>
      </c>
      <c r="K45" s="16" t="n">
        <f aca="false">SUM(G45:J45)</f>
        <v>14.100201472</v>
      </c>
      <c r="L45" s="15" t="n">
        <f aca="false">$D$13*M44+$B$13*N44+$C$13*O44</f>
        <v>0.618882702379704</v>
      </c>
      <c r="M45" s="15" t="n">
        <f aca="false">$D$13*L44+$B$13*N44+$C$13*O44</f>
        <v>0.618882702484475</v>
      </c>
      <c r="N45" s="15" t="n">
        <f aca="false">$B$13*(L44+M44)</f>
        <v>0.278547751173781</v>
      </c>
      <c r="O45" s="15" t="n">
        <f aca="false">$C$13*(L44+M44)</f>
        <v>0.278547751173781</v>
      </c>
      <c r="P45" s="16" t="n">
        <f aca="false">SUM(L45:O45)</f>
        <v>1.79486090721174</v>
      </c>
      <c r="Q45" s="15" t="n">
        <f aca="false">$D$14*R44+$B$14*S44+$C$14*T44</f>
        <v>0.57980844410319</v>
      </c>
      <c r="R45" s="15" t="n">
        <f aca="false">$D$14*Q44+$B$14*S44+$C$14*T44</f>
        <v>0.58085702010319</v>
      </c>
      <c r="S45" s="15" t="n">
        <f aca="false">$B$14*(Q44+R44)</f>
        <v>0.550788319211559</v>
      </c>
      <c r="T45" s="15" t="n">
        <f aca="false">$C$14*(Q44+R44)</f>
        <v>0.219341151040739</v>
      </c>
      <c r="U45" s="16" t="n">
        <f aca="false">SUM(Q45:T45)</f>
        <v>1.93079493445868</v>
      </c>
      <c r="V45" s="15" t="n">
        <f aca="false">$D$15*W44+$B$15*X44+$C$15*Y44</f>
        <v>0.579808444103191</v>
      </c>
      <c r="W45" s="15" t="n">
        <f aca="false">$D$15*V44+$B$15*X44+$C$15*Y44</f>
        <v>0.580857020103191</v>
      </c>
      <c r="X45" s="15" t="n">
        <f aca="false">$B$15*(V44+W44)</f>
        <v>0.41921254341907</v>
      </c>
      <c r="Y45" s="15" t="n">
        <f aca="false">$C$15*(V44+W44)</f>
        <v>0.41921254341907</v>
      </c>
      <c r="Z45" s="16" t="n">
        <f aca="false">SUM(V45:Y45)</f>
        <v>1.99909055104452</v>
      </c>
    </row>
    <row r="46" customFormat="false" ht="15" hidden="false" customHeight="false" outlineLevel="0" collapsed="false">
      <c r="A46" s="20" t="n">
        <v>11</v>
      </c>
      <c r="B46" s="15" t="n">
        <f aca="false">$D$11*C45+$B$11*D45+$C$11*E45</f>
        <v>0</v>
      </c>
      <c r="C46" s="15" t="n">
        <f aca="false">$D$11*B45+$B$11*D45+$C$11*E45</f>
        <v>0</v>
      </c>
      <c r="D46" s="15" t="n">
        <f aca="false">$B$11*(B45+C45)</f>
        <v>0.4294967296</v>
      </c>
      <c r="E46" s="15" t="n">
        <f aca="false">$C$11*(B45+C45)</f>
        <v>0.4294967296</v>
      </c>
      <c r="F46" s="16" t="n">
        <f aca="false">SUM(B46:E46)</f>
        <v>0.858993459200001</v>
      </c>
      <c r="G46" s="15" t="n">
        <f aca="false">$D$12*H45+$B$12*I45+$C$12*J45</f>
        <v>4.0487616512</v>
      </c>
      <c r="H46" s="15" t="n">
        <f aca="false">$D$12*G45+$B$12*I45+$C$12*J45</f>
        <v>4.0483422208</v>
      </c>
      <c r="I46" s="15" t="n">
        <f aca="false">$B$12*(G45+H45)</f>
        <v>3.1830573056</v>
      </c>
      <c r="J46" s="15" t="n">
        <f aca="false">$C$12*(G45+H45)</f>
        <v>3.1830573056</v>
      </c>
      <c r="K46" s="16" t="n">
        <f aca="false">SUM(G46:J46)</f>
        <v>14.4632184832</v>
      </c>
      <c r="L46" s="15" t="n">
        <f aca="false">$D$13*M45+$B$13*N45+$C$13*O45</f>
        <v>0.272227430506895</v>
      </c>
      <c r="M46" s="15" t="n">
        <f aca="false">$D$13*L45+$B$13*N45+$C$13*O45</f>
        <v>0.272227430498533</v>
      </c>
      <c r="N46" s="15" t="n">
        <f aca="false">$B$13*(L45+M45)</f>
        <v>0.495106161945672</v>
      </c>
      <c r="O46" s="15" t="n">
        <f aca="false">$C$13*(L45+M45)</f>
        <v>0.495106161945672</v>
      </c>
      <c r="P46" s="16" t="n">
        <f aca="false">SUM(L46:O46)</f>
        <v>1.53466718489677</v>
      </c>
      <c r="Q46" s="15" t="n">
        <f aca="false">$D$14*R45+$B$14*S45+$C$14*T45</f>
        <v>0.487597540838009</v>
      </c>
      <c r="R46" s="15" t="n">
        <f aca="false">$D$14*Q45+$B$14*S45+$C$14*T45</f>
        <v>0.487178110438009</v>
      </c>
      <c r="S46" s="15" t="n">
        <f aca="false">$B$14*(Q45+R45)</f>
        <v>0.464266185682552</v>
      </c>
      <c r="T46" s="15" t="n">
        <f aca="false">$C$14*(Q45+R45)</f>
        <v>0.184885328909436</v>
      </c>
      <c r="U46" s="16" t="n">
        <f aca="false">SUM(Q46:T46)</f>
        <v>1.62392716586801</v>
      </c>
      <c r="V46" s="15" t="n">
        <f aca="false">$D$15*W45+$B$15*X45+$C$15*Y45</f>
        <v>0.48759754083801</v>
      </c>
      <c r="W46" s="15" t="n">
        <f aca="false">$D$15*V45+$B$15*X45+$C$15*Y45</f>
        <v>0.48717811043801</v>
      </c>
      <c r="X46" s="15" t="n">
        <f aca="false">$B$15*(V45+W45)</f>
        <v>0.353359361001076</v>
      </c>
      <c r="Y46" s="15" t="n">
        <f aca="false">$C$15*(V45+W45)</f>
        <v>0.353359361001076</v>
      </c>
      <c r="Z46" s="16" t="n">
        <f aca="false">SUM(V46:Y46)</f>
        <v>1.68149437327817</v>
      </c>
    </row>
    <row r="47" customFormat="false" ht="15" hidden="false" customHeight="false" outlineLevel="0" collapsed="false">
      <c r="A47" s="20" t="n">
        <v>12</v>
      </c>
      <c r="B47" s="15" t="n">
        <f aca="false">$D$11*C46+$B$11*D46+$C$11*E46</f>
        <v>0.34359738368</v>
      </c>
      <c r="C47" s="15" t="n">
        <f aca="false">$D$11*B46+$B$11*D46+$C$11*E46</f>
        <v>0.34359738368</v>
      </c>
      <c r="D47" s="15" t="n">
        <f aca="false">$B$11*(B46+C46)</f>
        <v>0</v>
      </c>
      <c r="E47" s="15" t="n">
        <f aca="false">$C$11*(B46+C46)</f>
        <v>0</v>
      </c>
      <c r="F47" s="16" t="n">
        <f aca="false">SUM(B47:E47)</f>
        <v>0.68719476736</v>
      </c>
      <c r="G47" s="15" t="n">
        <f aca="false">$D$12*H46+$B$12*I46+$C$12*J46</f>
        <v>4.1657827328</v>
      </c>
      <c r="H47" s="15" t="n">
        <f aca="false">$D$12*G46+$B$12*I46+$C$12*J46</f>
        <v>4.16595050496</v>
      </c>
      <c r="I47" s="15" t="n">
        <f aca="false">$B$12*(G46+H46)</f>
        <v>3.2388415488</v>
      </c>
      <c r="J47" s="15" t="n">
        <f aca="false">$C$12*(G46+H46)</f>
        <v>3.2388415488</v>
      </c>
      <c r="K47" s="16" t="n">
        <f aca="false">SUM(G47:J47)</f>
        <v>14.80941633536</v>
      </c>
      <c r="L47" s="15" t="n">
        <f aca="false">$D$13*M46+$B$13*N46+$C$13*O46</f>
        <v>0.417809729757914</v>
      </c>
      <c r="M47" s="15" t="n">
        <f aca="false">$D$13*L46+$B$13*N46+$C$13*O46</f>
        <v>0.417809729758582</v>
      </c>
      <c r="N47" s="15" t="n">
        <f aca="false">$B$13*(L46+M46)</f>
        <v>0.217781944402171</v>
      </c>
      <c r="O47" s="15" t="n">
        <f aca="false">$C$13*(L46+M46)</f>
        <v>0.217781944402171</v>
      </c>
      <c r="P47" s="16" t="n">
        <f aca="false">SUM(L47:O47)</f>
        <v>1.27118334832084</v>
      </c>
      <c r="Q47" s="15" t="n">
        <f aca="false">$D$14*R46+$B$14*S46+$C$14*T46</f>
        <v>0.410028568757899</v>
      </c>
      <c r="R47" s="15" t="n">
        <f aca="false">$D$14*Q46+$B$14*S46+$C$14*T46</f>
        <v>0.410196340917899</v>
      </c>
      <c r="S47" s="15" t="n">
        <f aca="false">$B$14*(Q46+R46)</f>
        <v>0.389910260510407</v>
      </c>
      <c r="T47" s="15" t="n">
        <f aca="false">$C$14*(Q46+R46)</f>
        <v>0.155274471806832</v>
      </c>
      <c r="U47" s="16" t="n">
        <f aca="false">SUM(Q47:T47)</f>
        <v>1.36540964199304</v>
      </c>
      <c r="V47" s="15" t="n">
        <f aca="false">$D$15*W46+$B$15*X46+$C$15*Y46</f>
        <v>0.410028568757899</v>
      </c>
      <c r="W47" s="15" t="n">
        <f aca="false">$D$15*V46+$B$15*X46+$C$15*Y46</f>
        <v>0.410196340917899</v>
      </c>
      <c r="X47" s="15" t="n">
        <f aca="false">$B$15*(V46+W46)</f>
        <v>0.296766046614319</v>
      </c>
      <c r="Y47" s="15" t="n">
        <f aca="false">$C$15*(V46+W46)</f>
        <v>0.296766046614319</v>
      </c>
      <c r="Z47" s="16" t="n">
        <f aca="false">SUM(V47:Y47)</f>
        <v>1.41375700290444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182</v>
      </c>
    </row>
    <row r="3" customFormat="false" ht="15" hidden="false" customHeight="false" outlineLevel="0" collapsed="false">
      <c r="A3" s="8" t="s">
        <v>183</v>
      </c>
      <c r="B3" s="8" t="s">
        <v>184</v>
      </c>
      <c r="C3" s="8" t="s">
        <v>73</v>
      </c>
      <c r="D3" s="8" t="s">
        <v>75</v>
      </c>
      <c r="E3" s="8" t="s">
        <v>185</v>
      </c>
    </row>
    <row r="4" customFormat="false" ht="15" hidden="false" customHeight="false" outlineLevel="0" collapsed="false">
      <c r="A4" s="2" t="s">
        <v>186</v>
      </c>
      <c r="B4" s="22" t="n">
        <f aca="false">Rebudget!E11</f>
        <v>0.8</v>
      </c>
      <c r="C4" s="16" t="n">
        <f aca="false">LN(2)/LN(1/B4)</f>
        <v>3.10628371950539</v>
      </c>
      <c r="D4" s="18" t="n">
        <f aca="false">LN(10)/LN(1/B4)</f>
        <v>10.3188511585162</v>
      </c>
      <c r="E4" s="16" t="n">
        <f aca="false">1/(1-B4)</f>
        <v>5</v>
      </c>
    </row>
    <row r="5" customFormat="false" ht="15" hidden="false" customHeight="false" outlineLevel="0" collapsed="false">
      <c r="A5" s="2" t="s">
        <v>187</v>
      </c>
      <c r="B5" s="22" t="n">
        <f aca="false">R_star</f>
        <v>0.840896415253715</v>
      </c>
      <c r="C5" s="16" t="n">
        <f aca="false">LN(2)/LN(1/B5)</f>
        <v>4</v>
      </c>
      <c r="D5" s="18" t="n">
        <f aca="false">LN(10)/LN(1/B5)</f>
        <v>13.2877123795495</v>
      </c>
      <c r="E5" s="16" t="n">
        <f aca="false">1/(1-B5)</f>
        <v>6.28521350788324</v>
      </c>
    </row>
    <row r="6" customFormat="false" ht="15" hidden="false" customHeight="false" outlineLevel="0" collapsed="false">
      <c r="A6" s="2" t="s">
        <v>188</v>
      </c>
      <c r="B6" s="22" t="n">
        <f aca="false">Edge_rho</f>
        <v>0.95</v>
      </c>
      <c r="C6" s="16" t="n">
        <f aca="false">LN(2)/LN(1/B6)</f>
        <v>13.5134073339649</v>
      </c>
      <c r="D6" s="18" t="n">
        <f aca="false">LN(10)/LN(1/B6)</f>
        <v>44.8905674803549</v>
      </c>
      <c r="E6" s="16" t="n">
        <f aca="false">1/(1-B6)</f>
        <v>20</v>
      </c>
    </row>
    <row r="8" customFormat="false" ht="15" hidden="false" customHeight="false" outlineLevel="0" collapsed="false">
      <c r="A8" s="8"/>
      <c r="B8" s="8" t="s">
        <v>184</v>
      </c>
      <c r="C8" s="8" t="s">
        <v>73</v>
      </c>
      <c r="D8" s="8" t="s">
        <v>75</v>
      </c>
      <c r="E8" s="8" t="s">
        <v>185</v>
      </c>
    </row>
    <row r="9" customFormat="false" ht="15" hidden="false" customHeight="false" outlineLevel="0" collapsed="false">
      <c r="B9" s="16" t="n">
        <v>0.3</v>
      </c>
      <c r="C9" s="16" t="n">
        <f aca="false">LN(2)/LN(1/B9)</f>
        <v>0.575716642493445</v>
      </c>
      <c r="D9" s="18" t="n">
        <f aca="false">LN(10)/LN(1/B9)</f>
        <v>1.9124892893932</v>
      </c>
      <c r="E9" s="16" t="n">
        <f aca="false">1/(1-B9)</f>
        <v>1.42857142857143</v>
      </c>
    </row>
    <row r="10" customFormat="false" ht="15" hidden="false" customHeight="false" outlineLevel="0" collapsed="false">
      <c r="B10" s="16" t="n">
        <v>0.31</v>
      </c>
      <c r="C10" s="16" t="n">
        <f aca="false">LN(2)/LN(1/B10)</f>
        <v>0.591835085983276</v>
      </c>
      <c r="D10" s="18" t="n">
        <f aca="false">LN(10)/LN(1/B10)</f>
        <v>1.96603359966792</v>
      </c>
      <c r="E10" s="16" t="n">
        <f aca="false">1/(1-B10)</f>
        <v>1.44927536231884</v>
      </c>
    </row>
    <row r="11" customFormat="false" ht="15" hidden="false" customHeight="false" outlineLevel="0" collapsed="false">
      <c r="B11" s="16" t="n">
        <v>0.32</v>
      </c>
      <c r="C11" s="16" t="n">
        <f aca="false">LN(2)/LN(1/B11)</f>
        <v>0.608325719865459</v>
      </c>
      <c r="D11" s="18" t="n">
        <f aca="false">LN(10)/LN(1/B11)</f>
        <v>2.02081429966365</v>
      </c>
      <c r="E11" s="16" t="n">
        <f aca="false">1/(1-B11)</f>
        <v>1.47058823529412</v>
      </c>
    </row>
    <row r="12" customFormat="false" ht="15" hidden="false" customHeight="false" outlineLevel="0" collapsed="false">
      <c r="B12" s="16" t="n">
        <v>0.33</v>
      </c>
      <c r="C12" s="16" t="n">
        <f aca="false">LN(2)/LN(1/B12)</f>
        <v>0.625210199413946</v>
      </c>
      <c r="D12" s="18" t="n">
        <f aca="false">LN(10)/LN(1/B12)</f>
        <v>2.07690332664332</v>
      </c>
      <c r="E12" s="16" t="n">
        <f aca="false">1/(1-B12)</f>
        <v>1.49253731343284</v>
      </c>
    </row>
    <row r="13" customFormat="false" ht="15" hidden="false" customHeight="false" outlineLevel="0" collapsed="false">
      <c r="B13" s="16" t="n">
        <v>0.34</v>
      </c>
      <c r="C13" s="16" t="n">
        <f aca="false">LN(2)/LN(1/B13)</f>
        <v>0.642511098462416</v>
      </c>
      <c r="D13" s="18" t="n">
        <f aca="false">LN(10)/LN(1/B13)</f>
        <v>2.13437566925924</v>
      </c>
      <c r="E13" s="16" t="n">
        <f aca="false">1/(1-B13)</f>
        <v>1.51515151515152</v>
      </c>
    </row>
    <row r="14" customFormat="false" ht="15" hidden="false" customHeight="false" outlineLevel="0" collapsed="false">
      <c r="B14" s="16" t="n">
        <v>0.35</v>
      </c>
      <c r="C14" s="16" t="n">
        <f aca="false">LN(2)/LN(1/B14)</f>
        <v>0.660252022113693</v>
      </c>
      <c r="D14" s="18" t="n">
        <f aca="false">LN(10)/LN(1/B14)</f>
        <v>2.19330974196567</v>
      </c>
      <c r="E14" s="16" t="n">
        <f aca="false">1/(1-B14)</f>
        <v>1.53846153846154</v>
      </c>
    </row>
    <row r="15" customFormat="false" ht="15" hidden="false" customHeight="false" outlineLevel="0" collapsed="false">
      <c r="B15" s="16" t="n">
        <v>0.36</v>
      </c>
      <c r="C15" s="16" t="n">
        <f aca="false">LN(2)/LN(1/B15)</f>
        <v>0.678457724428362</v>
      </c>
      <c r="D15" s="18" t="n">
        <f aca="false">LN(10)/LN(1/B15)</f>
        <v>2.25378777597192</v>
      </c>
      <c r="E15" s="16" t="n">
        <f aca="false">1/(1-B15)</f>
        <v>1.5625</v>
      </c>
    </row>
    <row r="16" customFormat="false" ht="15" hidden="false" customHeight="false" outlineLevel="0" collapsed="false">
      <c r="B16" s="16" t="n">
        <v>0.37</v>
      </c>
      <c r="C16" s="16" t="n">
        <f aca="false">LN(2)/LN(1/B16)</f>
        <v>0.697154232525669</v>
      </c>
      <c r="D16" s="18" t="n">
        <f aca="false">LN(10)/LN(1/B16)</f>
        <v>2.31589623149666</v>
      </c>
      <c r="E16" s="16" t="n">
        <f aca="false">1/(1-B16)</f>
        <v>1.58730158730159</v>
      </c>
    </row>
    <row r="17" customFormat="false" ht="15" hidden="false" customHeight="false" outlineLevel="0" collapsed="false">
      <c r="B17" s="16" t="n">
        <v>0.38</v>
      </c>
      <c r="C17" s="16" t="n">
        <f aca="false">LN(2)/LN(1/B17)</f>
        <v>0.716368978555737</v>
      </c>
      <c r="D17" s="18" t="n">
        <f aca="false">LN(10)/LN(1/B17)</f>
        <v>2.37972623617006</v>
      </c>
      <c r="E17" s="16" t="n">
        <f aca="false">1/(1-B17)</f>
        <v>1.61290322580645</v>
      </c>
    </row>
    <row r="18" customFormat="false" ht="15" hidden="false" customHeight="false" outlineLevel="0" collapsed="false">
      <c r="B18" s="16" t="n">
        <v>0.39</v>
      </c>
      <c r="C18" s="16" t="n">
        <f aca="false">LN(2)/LN(1/B18)</f>
        <v>0.736130941064052</v>
      </c>
      <c r="D18" s="18" t="n">
        <f aca="false">LN(10)/LN(1/B18)</f>
        <v>2.44537405463655</v>
      </c>
      <c r="E18" s="16" t="n">
        <f aca="false">1/(1-B18)</f>
        <v>1.63934426229508</v>
      </c>
    </row>
    <row r="19" customFormat="false" ht="15" hidden="false" customHeight="false" outlineLevel="0" collapsed="false">
      <c r="B19" s="16" t="n">
        <v>0.4</v>
      </c>
      <c r="C19" s="16" t="n">
        <f aca="false">LN(2)/LN(1/B19)</f>
        <v>0.75647079736603</v>
      </c>
      <c r="D19" s="18" t="n">
        <f aca="false">LN(10)/LN(1/B19)</f>
        <v>2.51294159473206</v>
      </c>
      <c r="E19" s="16" t="n">
        <f aca="false">1/(1-B19)</f>
        <v>1.66666666666667</v>
      </c>
    </row>
    <row r="20" customFormat="false" ht="15" hidden="false" customHeight="false" outlineLevel="0" collapsed="false">
      <c r="B20" s="16" t="n">
        <v>0.41</v>
      </c>
      <c r="C20" s="16" t="n">
        <f aca="false">LN(2)/LN(1/B20)</f>
        <v>0.777421088681465</v>
      </c>
      <c r="D20" s="18" t="n">
        <f aca="false">LN(10)/LN(1/B20)</f>
        <v>2.58253695604888</v>
      </c>
      <c r="E20" s="16" t="n">
        <f aca="false">1/(1-B20)</f>
        <v>1.69491525423729</v>
      </c>
    </row>
    <row r="21" customFormat="false" ht="15" hidden="false" customHeight="false" outlineLevel="0" collapsed="false">
      <c r="B21" s="16" t="n">
        <v>0.42</v>
      </c>
      <c r="C21" s="16" t="n">
        <f aca="false">LN(2)/LN(1/B21)</f>
        <v>0.799016399947621</v>
      </c>
      <c r="D21" s="18" t="n">
        <f aca="false">LN(10)/LN(1/B21)</f>
        <v>2.65427502726176</v>
      </c>
      <c r="E21" s="16" t="n">
        <f aca="false">1/(1-B21)</f>
        <v>1.72413793103448</v>
      </c>
    </row>
    <row r="22" customFormat="false" ht="15" hidden="false" customHeight="false" outlineLevel="0" collapsed="false">
      <c r="B22" s="16" t="n">
        <v>0.43</v>
      </c>
      <c r="C22" s="16" t="n">
        <f aca="false">LN(2)/LN(1/B22)</f>
        <v>0.821293556438619</v>
      </c>
      <c r="D22" s="18" t="n">
        <f aca="false">LN(10)/LN(1/B22)</f>
        <v>2.72827813928341</v>
      </c>
      <c r="E22" s="16" t="n">
        <f aca="false">1/(1-B22)</f>
        <v>1.75438596491228</v>
      </c>
    </row>
    <row r="23" customFormat="false" ht="15" hidden="false" customHeight="false" outlineLevel="0" collapsed="false">
      <c r="B23" s="16" t="n">
        <v>0.44</v>
      </c>
      <c r="C23" s="16" t="n">
        <f aca="false">LN(2)/LN(1/B23)</f>
        <v>0.844291839572088</v>
      </c>
      <c r="D23" s="18" t="n">
        <f aca="false">LN(10)/LN(1/B23)</f>
        <v>2.80467678215865</v>
      </c>
      <c r="E23" s="16" t="n">
        <f aca="false">1/(1-B23)</f>
        <v>1.78571428571429</v>
      </c>
    </row>
    <row r="24" customFormat="false" ht="15" hidden="false" customHeight="false" outlineLevel="0" collapsed="false">
      <c r="B24" s="16" t="n">
        <v>0.45</v>
      </c>
      <c r="C24" s="16" t="n">
        <f aca="false">LN(2)/LN(1/B24)</f>
        <v>0.868053224587716</v>
      </c>
      <c r="D24" s="18" t="n">
        <f aca="false">LN(10)/LN(1/B24)</f>
        <v>2.8836103946155</v>
      </c>
      <c r="E24" s="16" t="n">
        <f aca="false">1/(1-B24)</f>
        <v>1.81818181818182</v>
      </c>
    </row>
    <row r="25" customFormat="false" ht="15" hidden="false" customHeight="false" outlineLevel="0" collapsed="false">
      <c r="B25" s="16" t="n">
        <v>0.46</v>
      </c>
      <c r="C25" s="16" t="n">
        <f aca="false">LN(2)/LN(1/B25)</f>
        <v>0.892622643143923</v>
      </c>
      <c r="D25" s="18" t="n">
        <f aca="false">LN(10)/LN(1/B25)</f>
        <v>2.96522823639242</v>
      </c>
      <c r="E25" s="16" t="n">
        <f aca="false">1/(1-B25)</f>
        <v>1.85185185185185</v>
      </c>
    </row>
    <row r="26" customFormat="false" ht="15" hidden="false" customHeight="false" outlineLevel="0" collapsed="false">
      <c r="B26" s="16" t="n">
        <v>0.47</v>
      </c>
      <c r="C26" s="16" t="n">
        <f aca="false">LN(2)/LN(1/B26)</f>
        <v>0.918048274307908</v>
      </c>
      <c r="D26" s="18" t="n">
        <f aca="false">LN(10)/LN(1/B26)</f>
        <v>3.0496903548863</v>
      </c>
      <c r="E26" s="16" t="n">
        <f aca="false">1/(1-B26)</f>
        <v>1.88679245283019</v>
      </c>
    </row>
    <row r="27" customFormat="false" ht="15" hidden="false" customHeight="false" outlineLevel="0" collapsed="false">
      <c r="B27" s="16" t="n">
        <v>0.48</v>
      </c>
      <c r="C27" s="16" t="n">
        <f aca="false">LN(2)/LN(1/B27)</f>
        <v>0.94438186792273</v>
      </c>
      <c r="D27" s="18" t="n">
        <f aca="false">LN(10)/LN(1/B27)</f>
        <v>3.13716865935472</v>
      </c>
      <c r="E27" s="16" t="n">
        <f aca="false">1/(1-B27)</f>
        <v>1.92307692307692</v>
      </c>
    </row>
    <row r="28" customFormat="false" ht="15" hidden="false" customHeight="false" outlineLevel="0" collapsed="false">
      <c r="B28" s="16" t="n">
        <v>0.49</v>
      </c>
      <c r="C28" s="16" t="n">
        <f aca="false">LN(2)/LN(1/B28)</f>
        <v>0.971679104937366</v>
      </c>
      <c r="D28" s="18" t="n">
        <f aca="false">LN(10)/LN(1/B28)</f>
        <v>3.22784811790644</v>
      </c>
      <c r="E28" s="16" t="n">
        <f aca="false">1/(1-B28)</f>
        <v>1.96078431372549</v>
      </c>
    </row>
    <row r="29" customFormat="false" ht="15" hidden="false" customHeight="false" outlineLevel="0" collapsed="false">
      <c r="B29" s="16" t="n">
        <v>0.5</v>
      </c>
      <c r="C29" s="16" t="n">
        <f aca="false">LN(2)/LN(1/B29)</f>
        <v>1</v>
      </c>
      <c r="D29" s="18" t="n">
        <f aca="false">LN(10)/LN(1/B29)</f>
        <v>3.32192809488736</v>
      </c>
      <c r="E29" s="16" t="n">
        <f aca="false">1/(1-B29)</f>
        <v>2</v>
      </c>
    </row>
    <row r="30" customFormat="false" ht="15" hidden="false" customHeight="false" outlineLevel="0" collapsed="false">
      <c r="B30" s="16" t="n">
        <v>0.51</v>
      </c>
      <c r="C30" s="16" t="n">
        <f aca="false">LN(2)/LN(1/B30)</f>
        <v>1.0294093524633</v>
      </c>
      <c r="D30" s="18" t="n">
        <f aca="false">LN(10)/LN(1/B30)</f>
        <v>3.41962384908766</v>
      </c>
      <c r="E30" s="16" t="n">
        <f aca="false">1/(1-B30)</f>
        <v>2.04081632653061</v>
      </c>
    </row>
    <row r="31" customFormat="false" ht="15" hidden="false" customHeight="false" outlineLevel="0" collapsed="false">
      <c r="B31" s="16" t="n">
        <v>0.52</v>
      </c>
      <c r="C31" s="16" t="n">
        <f aca="false">LN(2)/LN(1/B31)</f>
        <v>1.0599772529606</v>
      </c>
      <c r="D31" s="18" t="n">
        <f aca="false">LN(10)/LN(1/B31)</f>
        <v>3.52116821655135</v>
      </c>
      <c r="E31" s="16" t="n">
        <f aca="false">1/(1-B31)</f>
        <v>2.08333333333333</v>
      </c>
    </row>
    <row r="32" customFormat="false" ht="15" hidden="false" customHeight="false" outlineLevel="0" collapsed="false">
      <c r="B32" s="16" t="n">
        <v>0.53</v>
      </c>
      <c r="C32" s="16" t="n">
        <f aca="false">LN(2)/LN(1/B32)</f>
        <v>1.0917796539176</v>
      </c>
      <c r="D32" s="18" t="n">
        <f aca="false">LN(10)/LN(1/B32)</f>
        <v>3.62681350577527</v>
      </c>
      <c r="E32" s="16" t="n">
        <f aca="false">1/(1-B32)</f>
        <v>2.12765957446809</v>
      </c>
    </row>
    <row r="33" customFormat="false" ht="15" hidden="false" customHeight="false" outlineLevel="0" collapsed="false">
      <c r="B33" s="16" t="n">
        <v>0.54</v>
      </c>
      <c r="C33" s="16" t="n">
        <f aca="false">LN(2)/LN(1/B33)</f>
        <v>1.12489901380789</v>
      </c>
      <c r="D33" s="18" t="n">
        <f aca="false">LN(10)/LN(1/B33)</f>
        <v>3.73683363787953</v>
      </c>
      <c r="E33" s="16" t="n">
        <f aca="false">1/(1-B33)</f>
        <v>2.17391304347826</v>
      </c>
    </row>
    <row r="34" customFormat="false" ht="15" hidden="false" customHeight="false" outlineLevel="0" collapsed="false">
      <c r="B34" s="16" t="n">
        <v>0.55</v>
      </c>
      <c r="C34" s="16" t="n">
        <f aca="false">LN(2)/LN(1/B34)</f>
        <v>1.15942502669433</v>
      </c>
      <c r="D34" s="18" t="n">
        <f aca="false">LN(10)/LN(1/B34)</f>
        <v>3.85152657009144</v>
      </c>
      <c r="E34" s="16" t="n">
        <f aca="false">1/(1-B34)</f>
        <v>2.22222222222222</v>
      </c>
    </row>
    <row r="35" customFormat="false" ht="15" hidden="false" customHeight="false" outlineLevel="0" collapsed="false">
      <c r="B35" s="16" t="n">
        <v>0.56</v>
      </c>
      <c r="C35" s="16" t="n">
        <f aca="false">LN(2)/LN(1/B35)</f>
        <v>1.19545545068818</v>
      </c>
      <c r="D35" s="18" t="n">
        <f aca="false">LN(10)/LN(1/B35)</f>
        <v>3.97121704782728</v>
      </c>
      <c r="E35" s="16" t="n">
        <f aca="false">1/(1-B35)</f>
        <v>2.27272727272727</v>
      </c>
    </row>
    <row r="36" customFormat="false" ht="15" hidden="false" customHeight="false" outlineLevel="0" collapsed="false">
      <c r="B36" s="16" t="n">
        <v>0.57</v>
      </c>
      <c r="C36" s="16" t="n">
        <f aca="false">LN(2)/LN(1/B36)</f>
        <v>1.23309705148656</v>
      </c>
      <c r="D36" s="18" t="n">
        <f aca="false">LN(10)/LN(1/B36)</f>
        <v>4.09625973905596</v>
      </c>
      <c r="E36" s="16" t="n">
        <f aca="false">1/(1-B36)</f>
        <v>2.32558139534884</v>
      </c>
    </row>
    <row r="37" customFormat="false" ht="15" hidden="false" customHeight="false" outlineLevel="0" collapsed="false">
      <c r="B37" s="16" t="n">
        <v>0.58</v>
      </c>
      <c r="C37" s="16" t="n">
        <f aca="false">LN(2)/LN(1/B37)</f>
        <v>1.27246668022012</v>
      </c>
      <c r="D37" s="18" t="n">
        <f aca="false">LN(10)/LN(1/B37)</f>
        <v>4.22704281483126</v>
      </c>
      <c r="E37" s="16" t="n">
        <f aca="false">1/(1-B37)</f>
        <v>2.38095238095238</v>
      </c>
    </row>
    <row r="38" customFormat="false" ht="15" hidden="false" customHeight="false" outlineLevel="0" collapsed="false">
      <c r="B38" s="16" t="n">
        <v>0.59</v>
      </c>
      <c r="C38" s="16" t="n">
        <f aca="false">LN(2)/LN(1/B38)</f>
        <v>1.31369250858912</v>
      </c>
      <c r="D38" s="18" t="n">
        <f aca="false">LN(10)/LN(1/B38)</f>
        <v>4.36399205232524</v>
      </c>
      <c r="E38" s="16" t="n">
        <f aca="false">1/(1-B38)</f>
        <v>2.4390243902439</v>
      </c>
    </row>
    <row r="39" customFormat="false" ht="15" hidden="false" customHeight="false" outlineLevel="0" collapsed="false">
      <c r="B39" s="16" t="n">
        <v>0.6</v>
      </c>
      <c r="C39" s="16" t="n">
        <f aca="false">LN(2)/LN(1/B39)</f>
        <v>1.35691544885672</v>
      </c>
      <c r="D39" s="18" t="n">
        <f aca="false">LN(10)/LN(1/B39)</f>
        <v>4.50757555194385</v>
      </c>
      <c r="E39" s="16" t="n">
        <f aca="false">1/(1-B39)</f>
        <v>2.5</v>
      </c>
    </row>
    <row r="40" customFormat="false" ht="15" hidden="false" customHeight="false" outlineLevel="0" collapsed="false">
      <c r="B40" s="16" t="n">
        <v>0.61</v>
      </c>
      <c r="C40" s="16" t="n">
        <f aca="false">LN(2)/LN(1/B40)</f>
        <v>1.40229079191829</v>
      </c>
      <c r="D40" s="18" t="n">
        <f aca="false">LN(10)/LN(1/B40)</f>
        <v>4.65830917887521</v>
      </c>
      <c r="E40" s="16" t="n">
        <f aca="false">1/(1-B40)</f>
        <v>2.56410256410256</v>
      </c>
    </row>
    <row r="41" customFormat="false" ht="15" hidden="false" customHeight="false" outlineLevel="0" collapsed="false">
      <c r="B41" s="16" t="n">
        <v>0.62</v>
      </c>
      <c r="C41" s="16" t="n">
        <f aca="false">LN(2)/LN(1/B41)</f>
        <v>1.44999010365459</v>
      </c>
      <c r="D41" s="18" t="n">
        <f aca="false">LN(10)/LN(1/B41)</f>
        <v>4.81676286263882</v>
      </c>
      <c r="E41" s="16" t="n">
        <f aca="false">1/(1-B41)</f>
        <v>2.63157894736842</v>
      </c>
    </row>
    <row r="42" customFormat="false" ht="15" hidden="false" customHeight="false" outlineLevel="0" collapsed="false">
      <c r="B42" s="16" t="n">
        <v>0.63</v>
      </c>
      <c r="C42" s="16" t="n">
        <f aca="false">LN(2)/LN(1/B42)</f>
        <v>1.5002034284667</v>
      </c>
      <c r="D42" s="18" t="n">
        <f aca="false">LN(10)/LN(1/B42)</f>
        <v>4.98356791706988</v>
      </c>
      <c r="E42" s="16" t="n">
        <f aca="false">1/(1-B42)</f>
        <v>2.7027027027027</v>
      </c>
    </row>
    <row r="43" customFormat="false" ht="15" hidden="false" customHeight="false" outlineLevel="0" collapsed="false">
      <c r="B43" s="16" t="n">
        <v>0.64</v>
      </c>
      <c r="C43" s="16" t="n">
        <f aca="false">LN(2)/LN(1/B43)</f>
        <v>1.5531418597527</v>
      </c>
      <c r="D43" s="18" t="n">
        <f aca="false">LN(10)/LN(1/B43)</f>
        <v>5.15942557925809</v>
      </c>
      <c r="E43" s="16" t="n">
        <f aca="false">1/(1-B43)</f>
        <v>2.77777777777778</v>
      </c>
    </row>
    <row r="44" customFormat="false" ht="15" hidden="false" customHeight="false" outlineLevel="0" collapsed="false">
      <c r="B44" s="16" t="n">
        <v>0.65</v>
      </c>
      <c r="C44" s="16" t="n">
        <f aca="false">LN(2)/LN(1/B44)</f>
        <v>1.60904055074269</v>
      </c>
      <c r="D44" s="18" t="n">
        <f aca="false">LN(10)/LN(1/B44)</f>
        <v>5.34511701132518</v>
      </c>
      <c r="E44" s="16" t="n">
        <f aca="false">1/(1-B44)</f>
        <v>2.85714285714286</v>
      </c>
    </row>
    <row r="45" customFormat="false" ht="15" hidden="false" customHeight="false" outlineLevel="0" collapsed="false">
      <c r="B45" s="16" t="n">
        <v>0.66</v>
      </c>
      <c r="C45" s="16" t="n">
        <f aca="false">LN(2)/LN(1/B45)</f>
        <v>1.66816225638028</v>
      </c>
      <c r="D45" s="18" t="n">
        <f aca="false">LN(10)/LN(1/B45)</f>
        <v>5.54151506630034</v>
      </c>
      <c r="E45" s="16" t="n">
        <f aca="false">1/(1-B45)</f>
        <v>2.94117647058824</v>
      </c>
    </row>
    <row r="46" customFormat="false" ht="15" hidden="false" customHeight="false" outlineLevel="0" collapsed="false">
      <c r="B46" s="16" t="n">
        <v>0.67</v>
      </c>
      <c r="C46" s="16" t="n">
        <f aca="false">LN(2)/LN(1/B46)</f>
        <v>1.73080151892064</v>
      </c>
      <c r="D46" s="18" t="n">
        <f aca="false">LN(10)/LN(1/B46)</f>
        <v>5.74959819237619</v>
      </c>
      <c r="E46" s="16" t="n">
        <f aca="false">1/(1-B46)</f>
        <v>3.03030303030303</v>
      </c>
    </row>
    <row r="47" customFormat="false" ht="15" hidden="false" customHeight="false" outlineLevel="0" collapsed="false">
      <c r="B47" s="16" t="n">
        <v>0.68</v>
      </c>
      <c r="C47" s="16" t="n">
        <f aca="false">LN(2)/LN(1/B47)</f>
        <v>1.79728963808088</v>
      </c>
      <c r="D47" s="18" t="n">
        <f aca="false">LN(10)/LN(1/B47)</f>
        <v>5.97046694339081</v>
      </c>
      <c r="E47" s="16" t="n">
        <f aca="false">1/(1-B47)</f>
        <v>3.125</v>
      </c>
    </row>
    <row r="48" customFormat="false" ht="15" hidden="false" customHeight="false" outlineLevel="0" collapsed="false">
      <c r="B48" s="16" t="n">
        <v>0.69</v>
      </c>
      <c r="C48" s="16" t="n">
        <f aca="false">LN(2)/LN(1/B48)</f>
        <v>1.86800060292042</v>
      </c>
      <c r="D48" s="18" t="n">
        <f aca="false">LN(10)/LN(1/B48)</f>
        <v>6.20536368410788</v>
      </c>
      <c r="E48" s="16" t="n">
        <f aca="false">1/(1-B48)</f>
        <v>3.2258064516129</v>
      </c>
    </row>
    <row r="49" customFormat="false" ht="15" hidden="false" customHeight="false" outlineLevel="0" collapsed="false">
      <c r="B49" s="16" t="n">
        <v>0.7</v>
      </c>
      <c r="C49" s="16" t="n">
        <f aca="false">LN(2)/LN(1/B49)</f>
        <v>1.94335820987473</v>
      </c>
      <c r="D49" s="18" t="n">
        <f aca="false">LN(10)/LN(1/B49)</f>
        <v>6.45569623581288</v>
      </c>
      <c r="E49" s="16" t="n">
        <f aca="false">1/(1-B49)</f>
        <v>3.33333333333333</v>
      </c>
    </row>
    <row r="50" customFormat="false" ht="15" hidden="false" customHeight="false" outlineLevel="0" collapsed="false">
      <c r="B50" s="16" t="n">
        <v>0.71</v>
      </c>
      <c r="C50" s="16" t="n">
        <f aca="false">LN(2)/LN(1/B50)</f>
        <v>2.02384465327357</v>
      </c>
      <c r="D50" s="18" t="n">
        <f aca="false">LN(10)/LN(1/B50)</f>
        <v>6.72306641339704</v>
      </c>
      <c r="E50" s="16" t="n">
        <f aca="false">1/(1-B50)</f>
        <v>3.44827586206897</v>
      </c>
    </row>
    <row r="51" customFormat="false" ht="15" hidden="false" customHeight="false" outlineLevel="0" collapsed="false">
      <c r="B51" s="16" t="n">
        <v>0.72</v>
      </c>
      <c r="C51" s="16" t="n">
        <f aca="false">LN(2)/LN(1/B51)</f>
        <v>2.11001095648216</v>
      </c>
      <c r="D51" s="18" t="n">
        <f aca="false">LN(10)/LN(1/B51)</f>
        <v>7.00930467685824</v>
      </c>
      <c r="E51" s="16" t="n">
        <f aca="false">1/(1-B51)</f>
        <v>3.57142857142857</v>
      </c>
    </row>
    <row r="52" customFormat="false" ht="15" hidden="false" customHeight="false" outlineLevel="0" collapsed="false">
      <c r="B52" s="16" t="n">
        <v>0.73</v>
      </c>
      <c r="C52" s="16" t="n">
        <f aca="false">LN(2)/LN(1/B52)</f>
        <v>2.20248972088005</v>
      </c>
      <c r="D52" s="18" t="n">
        <f aca="false">LN(10)/LN(1/B52)</f>
        <v>7.31651248249208</v>
      </c>
      <c r="E52" s="16" t="n">
        <f aca="false">1/(1-B52)</f>
        <v>3.7037037037037</v>
      </c>
    </row>
    <row r="53" customFormat="false" ht="15" hidden="false" customHeight="false" outlineLevel="0" collapsed="false">
      <c r="B53" s="16" t="n">
        <v>0.74</v>
      </c>
      <c r="C53" s="16" t="n">
        <f aca="false">LN(2)/LN(1/B53)</f>
        <v>2.30201081672624</v>
      </c>
      <c r="D53" s="18" t="n">
        <f aca="false">LN(10)/LN(1/B53)</f>
        <v>7.6471144068175</v>
      </c>
      <c r="E53" s="16" t="n">
        <f aca="false">1/(1-B53)</f>
        <v>3.84615384615385</v>
      </c>
    </row>
    <row r="54" customFormat="false" ht="15" hidden="false" customHeight="false" outlineLevel="0" collapsed="false">
      <c r="B54" s="16" t="n">
        <v>0.75</v>
      </c>
      <c r="C54" s="16" t="n">
        <f aca="false">LN(2)/LN(1/B54)</f>
        <v>2.40942083965321</v>
      </c>
      <c r="D54" s="18" t="n">
        <f aca="false">LN(10)/LN(1/B54)</f>
        <v>8.0039227796511</v>
      </c>
      <c r="E54" s="16" t="n">
        <f aca="false">1/(1-B54)</f>
        <v>4</v>
      </c>
    </row>
    <row r="55" customFormat="false" ht="15" hidden="false" customHeight="false" outlineLevel="0" collapsed="false">
      <c r="B55" s="16" t="n">
        <v>0.76</v>
      </c>
      <c r="C55" s="16" t="n">
        <f aca="false">LN(2)/LN(1/B55)</f>
        <v>2.52570743111226</v>
      </c>
      <c r="D55" s="18" t="n">
        <f aca="false">LN(10)/LN(1/B55)</f>
        <v>8.39021847487761</v>
      </c>
      <c r="E55" s="16" t="n">
        <f aca="false">1/(1-B55)</f>
        <v>4.16666666666667</v>
      </c>
    </row>
    <row r="56" customFormat="false" ht="15" hidden="false" customHeight="false" outlineLevel="0" collapsed="false">
      <c r="B56" s="16" t="n">
        <v>0.77</v>
      </c>
      <c r="C56" s="16" t="n">
        <f aca="false">LN(2)/LN(1/B56)</f>
        <v>2.65202994311618</v>
      </c>
      <c r="D56" s="18" t="n">
        <f aca="false">LN(10)/LN(1/B56)</f>
        <v>8.80985277652016</v>
      </c>
      <c r="E56" s="16" t="n">
        <f aca="false">1/(1-B56)</f>
        <v>4.34782608695652</v>
      </c>
    </row>
    <row r="57" customFormat="false" ht="15" hidden="false" customHeight="false" outlineLevel="0" collapsed="false">
      <c r="B57" s="16" t="n">
        <v>0.78</v>
      </c>
      <c r="C57" s="16" t="n">
        <f aca="false">LN(2)/LN(1/B57)</f>
        <v>2.78975846593193</v>
      </c>
      <c r="D57" s="18" t="n">
        <f aca="false">LN(10)/LN(1/B57)</f>
        <v>9.26737702592916</v>
      </c>
      <c r="E57" s="16" t="n">
        <f aca="false">1/(1-B57)</f>
        <v>4.54545454545455</v>
      </c>
    </row>
    <row r="58" customFormat="false" ht="15" hidden="false" customHeight="false" outlineLevel="0" collapsed="false">
      <c r="B58" s="16" t="n">
        <v>0.79</v>
      </c>
      <c r="C58" s="16" t="n">
        <f aca="false">LN(2)/LN(1/B58)</f>
        <v>2.94052400638563</v>
      </c>
      <c r="D58" s="18" t="n">
        <f aca="false">LN(10)/LN(1/B58)</f>
        <v>9.76820931050316</v>
      </c>
      <c r="E58" s="16" t="n">
        <f aca="false">1/(1-B58)</f>
        <v>4.76190476190476</v>
      </c>
    </row>
    <row r="59" customFormat="false" ht="15" hidden="false" customHeight="false" outlineLevel="0" collapsed="false">
      <c r="B59" s="16" t="n">
        <v>0.8</v>
      </c>
      <c r="C59" s="16" t="n">
        <f aca="false">LN(2)/LN(1/B59)</f>
        <v>3.10628371950539</v>
      </c>
      <c r="D59" s="18" t="n">
        <f aca="false">LN(10)/LN(1/B59)</f>
        <v>10.3188511585162</v>
      </c>
      <c r="E59" s="16" t="n">
        <f aca="false">1/(1-B59)</f>
        <v>5</v>
      </c>
    </row>
    <row r="60" customFormat="false" ht="15" hidden="false" customHeight="false" outlineLevel="0" collapsed="false">
      <c r="B60" s="16" t="n">
        <v>0.81</v>
      </c>
      <c r="C60" s="16" t="n">
        <f aca="false">LN(2)/LN(1/B60)</f>
        <v>3.28940673948029</v>
      </c>
      <c r="D60" s="18" t="n">
        <f aca="false">LN(10)/LN(1/B60)</f>
        <v>10.9271726633914</v>
      </c>
      <c r="E60" s="16" t="n">
        <f aca="false">1/(1-B60)</f>
        <v>5.26315789473684</v>
      </c>
    </row>
    <row r="61" customFormat="false" ht="15" hidden="false" customHeight="false" outlineLevel="0" collapsed="false">
      <c r="B61" s="16" t="n">
        <v>0.82</v>
      </c>
      <c r="C61" s="16" t="n">
        <f aca="false">LN(2)/LN(1/B61)</f>
        <v>3.49278862079116</v>
      </c>
      <c r="D61" s="18" t="n">
        <f aca="false">LN(10)/LN(1/B61)</f>
        <v>11.602792648909</v>
      </c>
      <c r="E61" s="16" t="n">
        <f aca="false">1/(1-B61)</f>
        <v>5.55555555555555</v>
      </c>
    </row>
    <row r="62" customFormat="false" ht="15" hidden="false" customHeight="false" outlineLevel="0" collapsed="false">
      <c r="B62" s="16" t="n">
        <v>0.83</v>
      </c>
      <c r="C62" s="16" t="n">
        <f aca="false">LN(2)/LN(1/B62)</f>
        <v>3.72000617018297</v>
      </c>
      <c r="D62" s="18" t="n">
        <f aca="false">LN(10)/LN(1/B62)</f>
        <v>12.3575930098851</v>
      </c>
      <c r="E62" s="16" t="n">
        <f aca="false">1/(1-B62)</f>
        <v>5.88235294117647</v>
      </c>
    </row>
    <row r="63" customFormat="false" ht="15" hidden="false" customHeight="false" outlineLevel="0" collapsed="false">
      <c r="B63" s="16" t="n">
        <v>0.84</v>
      </c>
      <c r="C63" s="16" t="n">
        <f aca="false">LN(2)/LN(1/B63)</f>
        <v>3.97553034048244</v>
      </c>
      <c r="D63" s="18" t="n">
        <f aca="false">LN(10)/LN(1/B63)</f>
        <v>13.2064259301257</v>
      </c>
      <c r="E63" s="16" t="n">
        <f aca="false">1/(1-B63)</f>
        <v>6.25</v>
      </c>
    </row>
    <row r="64" customFormat="false" ht="15" hidden="false" customHeight="false" outlineLevel="0" collapsed="false">
      <c r="B64" s="16" t="n">
        <v>0.85</v>
      </c>
      <c r="C64" s="16" t="n">
        <f aca="false">LN(2)/LN(1/B64)</f>
        <v>4.26502428179873</v>
      </c>
      <c r="D64" s="18" t="n">
        <f aca="false">LN(10)/LN(1/B64)</f>
        <v>14.168103987084</v>
      </c>
      <c r="E64" s="16" t="n">
        <f aca="false">1/(1-B64)</f>
        <v>6.66666666666667</v>
      </c>
    </row>
    <row r="65" customFormat="false" ht="15" hidden="false" customHeight="false" outlineLevel="0" collapsed="false">
      <c r="B65" s="16" t="n">
        <v>0.86</v>
      </c>
      <c r="C65" s="16" t="n">
        <f aca="false">LN(2)/LN(1/B65)</f>
        <v>4.59576912880888</v>
      </c>
      <c r="D65" s="18" t="n">
        <f aca="false">LN(10)/LN(1/B65)</f>
        <v>15.2668145866062</v>
      </c>
      <c r="E65" s="16" t="n">
        <f aca="false">1/(1-B65)</f>
        <v>7.14285714285714</v>
      </c>
    </row>
    <row r="66" customFormat="false" ht="15" hidden="false" customHeight="false" outlineLevel="0" collapsed="false">
      <c r="B66" s="16" t="n">
        <v>0.87</v>
      </c>
      <c r="C66" s="16" t="n">
        <f aca="false">LN(2)/LN(1/B66)</f>
        <v>4.97728630510692</v>
      </c>
      <c r="D66" s="18" t="n">
        <f aca="false">LN(10)/LN(1/B66)</f>
        <v>16.5341872132328</v>
      </c>
      <c r="E66" s="16" t="n">
        <f aca="false">1/(1-B66)</f>
        <v>7.69230769230769</v>
      </c>
    </row>
    <row r="67" customFormat="false" ht="15" hidden="false" customHeight="false" outlineLevel="0" collapsed="false">
      <c r="B67" s="16" t="n">
        <v>0.88</v>
      </c>
      <c r="C67" s="16" t="n">
        <f aca="false">LN(2)/LN(1/B67)</f>
        <v>5.42227097958021</v>
      </c>
      <c r="D67" s="18" t="n">
        <f aca="false">LN(10)/LN(1/B67)</f>
        <v>18.0123943051599</v>
      </c>
      <c r="E67" s="16" t="n">
        <f aca="false">1/(1-B67)</f>
        <v>8.33333333333333</v>
      </c>
    </row>
    <row r="68" customFormat="false" ht="15" hidden="false" customHeight="false" outlineLevel="0" collapsed="false">
      <c r="B68" s="16" t="n">
        <v>0.89</v>
      </c>
      <c r="C68" s="16" t="n">
        <f aca="false">LN(2)/LN(1/B68)</f>
        <v>5.94803468065901</v>
      </c>
      <c r="D68" s="18" t="n">
        <f aca="false">LN(10)/LN(1/B68)</f>
        <v>19.7589435150456</v>
      </c>
      <c r="E68" s="16" t="n">
        <f aca="false">1/(1-B68)</f>
        <v>9.09090909090909</v>
      </c>
    </row>
    <row r="69" customFormat="false" ht="15" hidden="false" customHeight="false" outlineLevel="0" collapsed="false">
      <c r="B69" s="16" t="n">
        <v>0.9</v>
      </c>
      <c r="C69" s="16" t="n">
        <f aca="false">LN(2)/LN(1/B69)</f>
        <v>6.57881347896058</v>
      </c>
      <c r="D69" s="18" t="n">
        <f aca="false">LN(10)/LN(1/B69)</f>
        <v>21.8543453267828</v>
      </c>
      <c r="E69" s="16" t="n">
        <f aca="false">1/(1-B69)</f>
        <v>10</v>
      </c>
    </row>
    <row r="70" customFormat="false" ht="15" hidden="false" customHeight="false" outlineLevel="0" collapsed="false">
      <c r="B70" s="16" t="n">
        <v>0.91</v>
      </c>
      <c r="C70" s="16" t="n">
        <f aca="false">LN(2)/LN(1/B70)</f>
        <v>7.34961495820112</v>
      </c>
      <c r="D70" s="18" t="n">
        <f aca="false">LN(10)/LN(1/B70)</f>
        <v>24.4148924162527</v>
      </c>
      <c r="E70" s="16" t="n">
        <f aca="false">1/(1-B70)</f>
        <v>11.1111111111111</v>
      </c>
    </row>
    <row r="71" customFormat="false" ht="15" hidden="false" customHeight="false" outlineLevel="0" collapsed="false">
      <c r="B71" s="16" t="n">
        <v>0.92</v>
      </c>
      <c r="C71" s="16" t="n">
        <f aca="false">LN(2)/LN(1/B71)</f>
        <v>8.31295041412083</v>
      </c>
      <c r="D71" s="18" t="n">
        <f aca="false">LN(10)/LN(1/B71)</f>
        <v>27.6150235320735</v>
      </c>
      <c r="E71" s="16" t="n">
        <f aca="false">1/(1-B71)</f>
        <v>12.5</v>
      </c>
    </row>
    <row r="72" customFormat="false" ht="15" hidden="false" customHeight="false" outlineLevel="0" collapsed="false">
      <c r="B72" s="16" t="n">
        <v>0.93</v>
      </c>
      <c r="C72" s="16" t="n">
        <f aca="false">LN(2)/LN(1/B72)</f>
        <v>9.55133750944735</v>
      </c>
      <c r="D72" s="18" t="n">
        <f aca="false">LN(10)/LN(1/B72)</f>
        <v>31.7288564163847</v>
      </c>
      <c r="E72" s="16" t="n">
        <f aca="false">1/(1-B72)</f>
        <v>14.2857142857143</v>
      </c>
    </row>
    <row r="73" customFormat="false" ht="15" hidden="false" customHeight="false" outlineLevel="0" collapsed="false">
      <c r="B73" s="16" t="n">
        <v>0.94</v>
      </c>
      <c r="C73" s="16" t="n">
        <f aca="false">LN(2)/LN(1/B73)</f>
        <v>11.2023055836212</v>
      </c>
      <c r="D73" s="18" t="n">
        <f aca="false">LN(10)/LN(1/B73)</f>
        <v>37.2132536457447</v>
      </c>
      <c r="E73" s="16" t="n">
        <f aca="false">1/(1-B73)</f>
        <v>16.6666666666667</v>
      </c>
    </row>
    <row r="74" customFormat="false" ht="15" hidden="false" customHeight="false" outlineLevel="0" collapsed="false">
      <c r="B74" s="16" t="n">
        <v>0.95</v>
      </c>
      <c r="C74" s="16" t="n">
        <f aca="false">LN(2)/LN(1/B74)</f>
        <v>13.5134073339649</v>
      </c>
      <c r="D74" s="18" t="n">
        <f aca="false">LN(10)/LN(1/B74)</f>
        <v>44.8905674803549</v>
      </c>
      <c r="E74" s="16" t="n">
        <f aca="false">1/(1-B74)</f>
        <v>20</v>
      </c>
    </row>
    <row r="75" customFormat="false" ht="15" hidden="false" customHeight="false" outlineLevel="0" collapsed="false">
      <c r="B75" s="16" t="n">
        <v>0.96</v>
      </c>
      <c r="C75" s="16" t="n">
        <f aca="false">LN(2)/LN(1/B75)</f>
        <v>16.9797480183389</v>
      </c>
      <c r="D75" s="18" t="n">
        <f aca="false">LN(10)/LN(1/B75)</f>
        <v>56.4055019862281</v>
      </c>
      <c r="E75" s="16" t="n">
        <f aca="false">1/(1-B75)</f>
        <v>25</v>
      </c>
    </row>
    <row r="76" customFormat="false" ht="15" hidden="false" customHeight="false" outlineLevel="0" collapsed="false">
      <c r="B76" s="16" t="n">
        <v>0.97</v>
      </c>
      <c r="C76" s="16" t="n">
        <f aca="false">LN(2)/LN(1/B76)</f>
        <v>22.7565730627734</v>
      </c>
      <c r="D76" s="18" t="n">
        <f aca="false">LN(10)/LN(1/B76)</f>
        <v>75.5956994005837</v>
      </c>
      <c r="E76" s="16" t="n">
        <f aca="false">1/(1-B76)</f>
        <v>33.3333333333333</v>
      </c>
    </row>
    <row r="77" customFormat="false" ht="15" hidden="false" customHeight="false" outlineLevel="0" collapsed="false">
      <c r="B77" s="16" t="n">
        <v>0.98</v>
      </c>
      <c r="C77" s="16" t="n">
        <f aca="false">LN(2)/LN(1/B77)</f>
        <v>34.3096184915206</v>
      </c>
      <c r="D77" s="18" t="n">
        <f aca="false">LN(10)/LN(1/B77)</f>
        <v>113.974085591849</v>
      </c>
      <c r="E77" s="16" t="n">
        <f aca="false">1/(1-B77)</f>
        <v>50</v>
      </c>
    </row>
    <row r="78" customFormat="false" ht="15" hidden="false" customHeight="false" outlineLevel="0" collapsed="false">
      <c r="B78" s="16" t="n">
        <v>0.99</v>
      </c>
      <c r="C78" s="16" t="n">
        <f aca="false">LN(2)/LN(1/B78)</f>
        <v>68.9675639365281</v>
      </c>
      <c r="D78" s="18" t="n">
        <f aca="false">LN(10)/LN(1/B78)</f>
        <v>229.105288276693</v>
      </c>
      <c r="E78" s="16" t="n">
        <f aca="false">1/(1-B78)</f>
        <v>99.9999999999999</v>
      </c>
    </row>
    <row r="80" customFormat="false" ht="15" hidden="false" customHeight="false" outlineLevel="0" collapsed="false">
      <c r="A80" s="1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8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10" t="s">
        <v>191</v>
      </c>
    </row>
    <row r="4" customFormat="false" ht="23.85" hidden="false" customHeight="false" outlineLevel="0" collapsed="false">
      <c r="A4" s="8" t="s">
        <v>192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96</v>
      </c>
      <c r="G4" s="8" t="s">
        <v>193</v>
      </c>
      <c r="H4" s="8" t="s">
        <v>194</v>
      </c>
      <c r="I4" s="8" t="s">
        <v>195</v>
      </c>
      <c r="J4" s="8" t="s">
        <v>196</v>
      </c>
      <c r="K4" s="8" t="s">
        <v>197</v>
      </c>
    </row>
    <row r="5" customFormat="false" ht="15" hidden="false" customHeight="false" outlineLevel="0" collapsed="false">
      <c r="A5" s="20" t="n">
        <v>0</v>
      </c>
      <c r="B5" s="15" t="n">
        <v>0</v>
      </c>
      <c r="C5" s="15" t="n">
        <f aca="false">Shock</f>
        <v>10</v>
      </c>
      <c r="D5" s="15" t="n">
        <v>0</v>
      </c>
      <c r="E5" s="15" t="n">
        <v>0</v>
      </c>
      <c r="F5" s="15" t="n">
        <f aca="false">SUM(B5:E5)</f>
        <v>10</v>
      </c>
      <c r="G5" s="15" t="n">
        <f aca="false">B5</f>
        <v>0</v>
      </c>
      <c r="H5" s="15" t="n">
        <f aca="false">C5</f>
        <v>10</v>
      </c>
      <c r="I5" s="15" t="n">
        <f aca="false">D5</f>
        <v>0</v>
      </c>
      <c r="J5" s="15" t="n">
        <f aca="false">E5</f>
        <v>0</v>
      </c>
      <c r="K5" s="15" t="n">
        <f aca="false">F5</f>
        <v>10</v>
      </c>
    </row>
    <row r="6" customFormat="false" ht="15" hidden="false" customHeight="false" outlineLevel="0" collapsed="false">
      <c r="A6" s="20" t="n">
        <v>1</v>
      </c>
      <c r="B6" s="15" t="n">
        <f aca="false">0*C5+Ceiling*D5+Ceiling*E5</f>
        <v>0</v>
      </c>
      <c r="C6" s="15" t="n">
        <f aca="false">0*B5+Ceiling*D5+Ceiling*E5</f>
        <v>0</v>
      </c>
      <c r="D6" s="15" t="n">
        <f aca="false">Ceiling*(B5+C5)</f>
        <v>4</v>
      </c>
      <c r="E6" s="15" t="n">
        <f aca="false">Ceiling*(B5+C5)</f>
        <v>4</v>
      </c>
      <c r="F6" s="15" t="n">
        <f aca="false">SUM(B6:E6)</f>
        <v>8</v>
      </c>
      <c r="G6" s="15" t="n">
        <f aca="false">G5+B6</f>
        <v>0</v>
      </c>
      <c r="H6" s="15" t="n">
        <f aca="false">H5+C6</f>
        <v>10</v>
      </c>
      <c r="I6" s="15" t="n">
        <f aca="false">I5+D6</f>
        <v>4</v>
      </c>
      <c r="J6" s="15" t="n">
        <f aca="false">J5+E6</f>
        <v>4</v>
      </c>
      <c r="K6" s="15" t="n">
        <f aca="false">K5+F6</f>
        <v>18</v>
      </c>
    </row>
    <row r="7" customFormat="false" ht="15" hidden="false" customHeight="false" outlineLevel="0" collapsed="false">
      <c r="A7" s="20" t="n">
        <v>2</v>
      </c>
      <c r="B7" s="15" t="n">
        <f aca="false">0*C6+Ceiling*D6+Ceiling*E6</f>
        <v>3.2</v>
      </c>
      <c r="C7" s="15" t="n">
        <f aca="false">0*B6+Ceiling*D6+Ceiling*E6</f>
        <v>3.2</v>
      </c>
      <c r="D7" s="15" t="n">
        <f aca="false">Ceiling*(B6+C6)</f>
        <v>0</v>
      </c>
      <c r="E7" s="15" t="n">
        <f aca="false">Ceiling*(B6+C6)</f>
        <v>0</v>
      </c>
      <c r="F7" s="15" t="n">
        <f aca="false">SUM(B7:E7)</f>
        <v>6.4</v>
      </c>
      <c r="G7" s="15" t="n">
        <f aca="false">G6+B7</f>
        <v>3.2</v>
      </c>
      <c r="H7" s="15" t="n">
        <f aca="false">H6+C7</f>
        <v>13.2</v>
      </c>
      <c r="I7" s="15" t="n">
        <f aca="false">I6+D7</f>
        <v>4</v>
      </c>
      <c r="J7" s="15" t="n">
        <f aca="false">J6+E7</f>
        <v>4</v>
      </c>
      <c r="K7" s="15" t="n">
        <f aca="false">K6+F7</f>
        <v>24.4</v>
      </c>
    </row>
    <row r="8" customFormat="false" ht="15" hidden="false" customHeight="false" outlineLevel="0" collapsed="false">
      <c r="A8" s="20" t="n">
        <v>3</v>
      </c>
      <c r="B8" s="15" t="n">
        <f aca="false">0*C7+Ceiling*D7+Ceiling*E7</f>
        <v>0</v>
      </c>
      <c r="C8" s="15" t="n">
        <f aca="false">0*B7+Ceiling*D7+Ceiling*E7</f>
        <v>0</v>
      </c>
      <c r="D8" s="15" t="n">
        <f aca="false">Ceiling*(B7+C7)</f>
        <v>2.56</v>
      </c>
      <c r="E8" s="15" t="n">
        <f aca="false">Ceiling*(B7+C7)</f>
        <v>2.56</v>
      </c>
      <c r="F8" s="15" t="n">
        <f aca="false">SUM(B8:E8)</f>
        <v>5.12</v>
      </c>
      <c r="G8" s="15" t="n">
        <f aca="false">G7+B8</f>
        <v>3.2</v>
      </c>
      <c r="H8" s="15" t="n">
        <f aca="false">H7+C8</f>
        <v>13.2</v>
      </c>
      <c r="I8" s="15" t="n">
        <f aca="false">I7+D8</f>
        <v>6.56</v>
      </c>
      <c r="J8" s="15" t="n">
        <f aca="false">J7+E8</f>
        <v>6.56</v>
      </c>
      <c r="K8" s="15" t="n">
        <f aca="false">K7+F8</f>
        <v>29.52</v>
      </c>
    </row>
    <row r="9" customFormat="false" ht="15" hidden="false" customHeight="false" outlineLevel="0" collapsed="false">
      <c r="A9" s="20" t="n">
        <v>4</v>
      </c>
      <c r="B9" s="15" t="n">
        <f aca="false">0*C8+Ceiling*D8+Ceiling*E8</f>
        <v>2.048</v>
      </c>
      <c r="C9" s="15" t="n">
        <f aca="false">0*B8+Ceiling*D8+Ceiling*E8</f>
        <v>2.048</v>
      </c>
      <c r="D9" s="15" t="n">
        <f aca="false">Ceiling*(B8+C8)</f>
        <v>0</v>
      </c>
      <c r="E9" s="15" t="n">
        <f aca="false">Ceiling*(B8+C8)</f>
        <v>0</v>
      </c>
      <c r="F9" s="15" t="n">
        <f aca="false">SUM(B9:E9)</f>
        <v>4.096</v>
      </c>
      <c r="G9" s="15" t="n">
        <f aca="false">G8+B9</f>
        <v>5.248</v>
      </c>
      <c r="H9" s="15" t="n">
        <f aca="false">H8+C9</f>
        <v>15.248</v>
      </c>
      <c r="I9" s="15" t="n">
        <f aca="false">I8+D9</f>
        <v>6.56</v>
      </c>
      <c r="J9" s="15" t="n">
        <f aca="false">J8+E9</f>
        <v>6.56</v>
      </c>
      <c r="K9" s="15" t="n">
        <f aca="false">K8+F9</f>
        <v>33.616</v>
      </c>
    </row>
    <row r="10" customFormat="false" ht="15" hidden="false" customHeight="false" outlineLevel="0" collapsed="false">
      <c r="A10" s="20" t="n">
        <v>5</v>
      </c>
      <c r="B10" s="15" t="n">
        <f aca="false">0*C9+Ceiling*D9+Ceiling*E9</f>
        <v>0</v>
      </c>
      <c r="C10" s="15" t="n">
        <f aca="false">0*B9+Ceiling*D9+Ceiling*E9</f>
        <v>0</v>
      </c>
      <c r="D10" s="15" t="n">
        <f aca="false">Ceiling*(B9+C9)</f>
        <v>1.6384</v>
      </c>
      <c r="E10" s="15" t="n">
        <f aca="false">Ceiling*(B9+C9)</f>
        <v>1.6384</v>
      </c>
      <c r="F10" s="15" t="n">
        <f aca="false">SUM(B10:E10)</f>
        <v>3.2768</v>
      </c>
      <c r="G10" s="15" t="n">
        <f aca="false">G9+B10</f>
        <v>5.248</v>
      </c>
      <c r="H10" s="15" t="n">
        <f aca="false">H9+C10</f>
        <v>15.248</v>
      </c>
      <c r="I10" s="15" t="n">
        <f aca="false">I9+D10</f>
        <v>8.1984</v>
      </c>
      <c r="J10" s="15" t="n">
        <f aca="false">J9+E10</f>
        <v>8.1984</v>
      </c>
      <c r="K10" s="15" t="n">
        <f aca="false">K9+F10</f>
        <v>36.8928</v>
      </c>
    </row>
    <row r="11" customFormat="false" ht="15" hidden="false" customHeight="false" outlineLevel="0" collapsed="false">
      <c r="A11" s="20" t="n">
        <v>6</v>
      </c>
      <c r="B11" s="15" t="n">
        <f aca="false">0*C10+Ceiling*D10+Ceiling*E10</f>
        <v>1.31072</v>
      </c>
      <c r="C11" s="15" t="n">
        <f aca="false">0*B10+Ceiling*D10+Ceiling*E10</f>
        <v>1.31072</v>
      </c>
      <c r="D11" s="15" t="n">
        <f aca="false">Ceiling*(B10+C10)</f>
        <v>0</v>
      </c>
      <c r="E11" s="15" t="n">
        <f aca="false">Ceiling*(B10+C10)</f>
        <v>0</v>
      </c>
      <c r="F11" s="15" t="n">
        <f aca="false">SUM(B11:E11)</f>
        <v>2.62144</v>
      </c>
      <c r="G11" s="15" t="n">
        <f aca="false">G10+B11</f>
        <v>6.55872</v>
      </c>
      <c r="H11" s="15" t="n">
        <f aca="false">H10+C11</f>
        <v>16.55872</v>
      </c>
      <c r="I11" s="15" t="n">
        <f aca="false">I10+D11</f>
        <v>8.1984</v>
      </c>
      <c r="J11" s="15" t="n">
        <f aca="false">J10+E11</f>
        <v>8.1984</v>
      </c>
      <c r="K11" s="15" t="n">
        <f aca="false">K10+F11</f>
        <v>39.51424</v>
      </c>
    </row>
    <row r="12" customFormat="false" ht="15" hidden="false" customHeight="false" outlineLevel="0" collapsed="false">
      <c r="A12" s="20" t="n">
        <v>7</v>
      </c>
      <c r="B12" s="15" t="n">
        <f aca="false">0*C11+Ceiling*D11+Ceiling*E11</f>
        <v>0</v>
      </c>
      <c r="C12" s="15" t="n">
        <f aca="false">0*B11+Ceiling*D11+Ceiling*E11</f>
        <v>0</v>
      </c>
      <c r="D12" s="15" t="n">
        <f aca="false">Ceiling*(B11+C11)</f>
        <v>1.048576</v>
      </c>
      <c r="E12" s="15" t="n">
        <f aca="false">Ceiling*(B11+C11)</f>
        <v>1.048576</v>
      </c>
      <c r="F12" s="15" t="n">
        <f aca="false">SUM(B12:E12)</f>
        <v>2.097152</v>
      </c>
      <c r="G12" s="15" t="n">
        <f aca="false">G11+B12</f>
        <v>6.55872</v>
      </c>
      <c r="H12" s="15" t="n">
        <f aca="false">H11+C12</f>
        <v>16.55872</v>
      </c>
      <c r="I12" s="15" t="n">
        <f aca="false">I11+D12</f>
        <v>9.246976</v>
      </c>
      <c r="J12" s="15" t="n">
        <f aca="false">J11+E12</f>
        <v>9.246976</v>
      </c>
      <c r="K12" s="15" t="n">
        <f aca="false">K11+F12</f>
        <v>41.611392</v>
      </c>
    </row>
    <row r="13" customFormat="false" ht="15" hidden="false" customHeight="false" outlineLevel="0" collapsed="false">
      <c r="A13" s="20" t="n">
        <v>8</v>
      </c>
      <c r="B13" s="15" t="n">
        <f aca="false">0*C12+Ceiling*D12+Ceiling*E12</f>
        <v>0.8388608</v>
      </c>
      <c r="C13" s="15" t="n">
        <f aca="false">0*B12+Ceiling*D12+Ceiling*E12</f>
        <v>0.8388608</v>
      </c>
      <c r="D13" s="15" t="n">
        <f aca="false">Ceiling*(B12+C12)</f>
        <v>0</v>
      </c>
      <c r="E13" s="15" t="n">
        <f aca="false">Ceiling*(B12+C12)</f>
        <v>0</v>
      </c>
      <c r="F13" s="15" t="n">
        <f aca="false">SUM(B13:E13)</f>
        <v>1.6777216</v>
      </c>
      <c r="G13" s="15" t="n">
        <f aca="false">G12+B13</f>
        <v>7.3975808</v>
      </c>
      <c r="H13" s="15" t="n">
        <f aca="false">H12+C13</f>
        <v>17.3975808</v>
      </c>
      <c r="I13" s="15" t="n">
        <f aca="false">I12+D13</f>
        <v>9.246976</v>
      </c>
      <c r="J13" s="15" t="n">
        <f aca="false">J12+E13</f>
        <v>9.246976</v>
      </c>
      <c r="K13" s="15" t="n">
        <f aca="false">K12+F13</f>
        <v>43.2891136</v>
      </c>
    </row>
    <row r="14" customFormat="false" ht="15" hidden="false" customHeight="false" outlineLevel="0" collapsed="false">
      <c r="A14" s="20" t="n">
        <v>9</v>
      </c>
      <c r="B14" s="15" t="n">
        <f aca="false">0*C13+Ceiling*D13+Ceiling*E13</f>
        <v>0</v>
      </c>
      <c r="C14" s="15" t="n">
        <f aca="false">0*B13+Ceiling*D13+Ceiling*E13</f>
        <v>0</v>
      </c>
      <c r="D14" s="15" t="n">
        <f aca="false">Ceiling*(B13+C13)</f>
        <v>0.67108864</v>
      </c>
      <c r="E14" s="15" t="n">
        <f aca="false">Ceiling*(B13+C13)</f>
        <v>0.67108864</v>
      </c>
      <c r="F14" s="15" t="n">
        <f aca="false">SUM(B14:E14)</f>
        <v>1.34217728</v>
      </c>
      <c r="G14" s="15" t="n">
        <f aca="false">G13+B14</f>
        <v>7.3975808</v>
      </c>
      <c r="H14" s="15" t="n">
        <f aca="false">H13+C14</f>
        <v>17.3975808</v>
      </c>
      <c r="I14" s="15" t="n">
        <f aca="false">I13+D14</f>
        <v>9.91806464</v>
      </c>
      <c r="J14" s="15" t="n">
        <f aca="false">J13+E14</f>
        <v>9.91806464</v>
      </c>
      <c r="K14" s="15" t="n">
        <f aca="false">K13+F14</f>
        <v>44.63129088</v>
      </c>
    </row>
    <row r="15" customFormat="false" ht="15" hidden="false" customHeight="false" outlineLevel="0" collapsed="false">
      <c r="A15" s="20" t="n">
        <v>10</v>
      </c>
      <c r="B15" s="15" t="n">
        <f aca="false">0*C14+Ceiling*D14+Ceiling*E14</f>
        <v>0.536870912</v>
      </c>
      <c r="C15" s="15" t="n">
        <f aca="false">0*B14+Ceiling*D14+Ceiling*E14</f>
        <v>0.536870912</v>
      </c>
      <c r="D15" s="15" t="n">
        <f aca="false">Ceiling*(B14+C14)</f>
        <v>0</v>
      </c>
      <c r="E15" s="15" t="n">
        <f aca="false">Ceiling*(B14+C14)</f>
        <v>0</v>
      </c>
      <c r="F15" s="15" t="n">
        <f aca="false">SUM(B15:E15)</f>
        <v>1.073741824</v>
      </c>
      <c r="G15" s="15" t="n">
        <f aca="false">G14+B15</f>
        <v>7.934451712</v>
      </c>
      <c r="H15" s="15" t="n">
        <f aca="false">H14+C15</f>
        <v>17.934451712</v>
      </c>
      <c r="I15" s="15" t="n">
        <f aca="false">I14+D15</f>
        <v>9.91806464</v>
      </c>
      <c r="J15" s="15" t="n">
        <f aca="false">J14+E15</f>
        <v>9.91806464</v>
      </c>
      <c r="K15" s="15" t="n">
        <f aca="false">K14+F15</f>
        <v>45.705032704</v>
      </c>
    </row>
    <row r="16" customFormat="false" ht="15" hidden="false" customHeight="false" outlineLevel="0" collapsed="false">
      <c r="A16" s="20" t="n">
        <v>11</v>
      </c>
      <c r="B16" s="15" t="n">
        <f aca="false">0*C15+Ceiling*D15+Ceiling*E15</f>
        <v>0</v>
      </c>
      <c r="C16" s="15" t="n">
        <f aca="false">0*B15+Ceiling*D15+Ceiling*E15</f>
        <v>0</v>
      </c>
      <c r="D16" s="15" t="n">
        <f aca="false">Ceiling*(B15+C15)</f>
        <v>0.4294967296</v>
      </c>
      <c r="E16" s="15" t="n">
        <f aca="false">Ceiling*(B15+C15)</f>
        <v>0.4294967296</v>
      </c>
      <c r="F16" s="15" t="n">
        <f aca="false">SUM(B16:E16)</f>
        <v>0.858993459200001</v>
      </c>
      <c r="G16" s="15" t="n">
        <f aca="false">G15+B16</f>
        <v>7.934451712</v>
      </c>
      <c r="H16" s="15" t="n">
        <f aca="false">H15+C16</f>
        <v>17.934451712</v>
      </c>
      <c r="I16" s="15" t="n">
        <f aca="false">I15+D16</f>
        <v>10.3475613696</v>
      </c>
      <c r="J16" s="15" t="n">
        <f aca="false">J15+E16</f>
        <v>10.3475613696</v>
      </c>
      <c r="K16" s="15" t="n">
        <f aca="false">K15+F16</f>
        <v>46.5640261632</v>
      </c>
    </row>
    <row r="17" customFormat="false" ht="15" hidden="false" customHeight="false" outlineLevel="0" collapsed="false">
      <c r="A17" s="20" t="n">
        <v>12</v>
      </c>
      <c r="B17" s="15" t="n">
        <f aca="false">0*C16+Ceiling*D16+Ceiling*E16</f>
        <v>0.34359738368</v>
      </c>
      <c r="C17" s="15" t="n">
        <f aca="false">0*B16+Ceiling*D16+Ceiling*E16</f>
        <v>0.34359738368</v>
      </c>
      <c r="D17" s="15" t="n">
        <f aca="false">Ceiling*(B16+C16)</f>
        <v>0</v>
      </c>
      <c r="E17" s="15" t="n">
        <f aca="false">Ceiling*(B16+C16)</f>
        <v>0</v>
      </c>
      <c r="F17" s="15" t="n">
        <f aca="false">SUM(B17:E17)</f>
        <v>0.68719476736</v>
      </c>
      <c r="G17" s="15" t="n">
        <f aca="false">G16+B17</f>
        <v>8.27804909568</v>
      </c>
      <c r="H17" s="15" t="n">
        <f aca="false">H16+C17</f>
        <v>18.27804909568</v>
      </c>
      <c r="I17" s="15" t="n">
        <f aca="false">I16+D17</f>
        <v>10.3475613696</v>
      </c>
      <c r="J17" s="15" t="n">
        <f aca="false">J16+E17</f>
        <v>10.3475613696</v>
      </c>
      <c r="K17" s="15" t="n">
        <f aca="false">K16+F17</f>
        <v>47.25122093056</v>
      </c>
    </row>
    <row r="18" customFormat="false" ht="15" hidden="false" customHeight="false" outlineLevel="0" collapsed="false">
      <c r="A18" s="20" t="n">
        <v>13</v>
      </c>
      <c r="B18" s="15" t="n">
        <f aca="false">0*C17+Ceiling*D17+Ceiling*E17</f>
        <v>0</v>
      </c>
      <c r="C18" s="15" t="n">
        <f aca="false">0*B17+Ceiling*D17+Ceiling*E17</f>
        <v>0</v>
      </c>
      <c r="D18" s="15" t="n">
        <f aca="false">Ceiling*(B17+C17)</f>
        <v>0.274877906944</v>
      </c>
      <c r="E18" s="15" t="n">
        <f aca="false">Ceiling*(B17+C17)</f>
        <v>0.274877906944</v>
      </c>
      <c r="F18" s="15" t="n">
        <f aca="false">SUM(B18:E18)</f>
        <v>0.549755813888</v>
      </c>
      <c r="G18" s="15" t="n">
        <f aca="false">G17+B18</f>
        <v>8.27804909568</v>
      </c>
      <c r="H18" s="15" t="n">
        <f aca="false">H17+C18</f>
        <v>18.27804909568</v>
      </c>
      <c r="I18" s="15" t="n">
        <f aca="false">I17+D18</f>
        <v>10.622439276544</v>
      </c>
      <c r="J18" s="15" t="n">
        <f aca="false">J17+E18</f>
        <v>10.622439276544</v>
      </c>
      <c r="K18" s="15" t="n">
        <f aca="false">K17+F18</f>
        <v>47.800976744448</v>
      </c>
    </row>
    <row r="19" customFormat="false" ht="15" hidden="false" customHeight="false" outlineLevel="0" collapsed="false">
      <c r="A19" s="20" t="n">
        <v>14</v>
      </c>
      <c r="B19" s="15" t="n">
        <f aca="false">0*C18+Ceiling*D18+Ceiling*E18</f>
        <v>0.2199023255552</v>
      </c>
      <c r="C19" s="15" t="n">
        <f aca="false">0*B18+Ceiling*D18+Ceiling*E18</f>
        <v>0.2199023255552</v>
      </c>
      <c r="D19" s="15" t="n">
        <f aca="false">Ceiling*(B18+C18)</f>
        <v>0</v>
      </c>
      <c r="E19" s="15" t="n">
        <f aca="false">Ceiling*(B18+C18)</f>
        <v>0</v>
      </c>
      <c r="F19" s="15" t="n">
        <f aca="false">SUM(B19:E19)</f>
        <v>0.4398046511104</v>
      </c>
      <c r="G19" s="15" t="n">
        <f aca="false">G18+B19</f>
        <v>8.4979514212352</v>
      </c>
      <c r="H19" s="15" t="n">
        <f aca="false">H18+C19</f>
        <v>18.4979514212352</v>
      </c>
      <c r="I19" s="15" t="n">
        <f aca="false">I18+D19</f>
        <v>10.622439276544</v>
      </c>
      <c r="J19" s="15" t="n">
        <f aca="false">J18+E19</f>
        <v>10.622439276544</v>
      </c>
      <c r="K19" s="15" t="n">
        <f aca="false">K18+F19</f>
        <v>48.2407813955584</v>
      </c>
    </row>
    <row r="20" customFormat="false" ht="15" hidden="false" customHeight="false" outlineLevel="0" collapsed="false">
      <c r="A20" s="20" t="n">
        <v>15</v>
      </c>
      <c r="B20" s="15" t="n">
        <f aca="false">0*C19+Ceiling*D19+Ceiling*E19</f>
        <v>0</v>
      </c>
      <c r="C20" s="15" t="n">
        <f aca="false">0*B19+Ceiling*D19+Ceiling*E19</f>
        <v>0</v>
      </c>
      <c r="D20" s="15" t="n">
        <f aca="false">Ceiling*(B19+C19)</f>
        <v>0.17592186044416</v>
      </c>
      <c r="E20" s="15" t="n">
        <f aca="false">Ceiling*(B19+C19)</f>
        <v>0.17592186044416</v>
      </c>
      <c r="F20" s="15" t="n">
        <f aca="false">SUM(B20:E20)</f>
        <v>0.35184372088832</v>
      </c>
      <c r="G20" s="15" t="n">
        <f aca="false">G19+B20</f>
        <v>8.4979514212352</v>
      </c>
      <c r="H20" s="15" t="n">
        <f aca="false">H19+C20</f>
        <v>18.4979514212352</v>
      </c>
      <c r="I20" s="15" t="n">
        <f aca="false">I19+D20</f>
        <v>10.7983611369882</v>
      </c>
      <c r="J20" s="15" t="n">
        <f aca="false">J19+E20</f>
        <v>10.7983611369882</v>
      </c>
      <c r="K20" s="15" t="n">
        <f aca="false">K19+F20</f>
        <v>48.5926251164467</v>
      </c>
    </row>
    <row r="21" customFormat="false" ht="15" hidden="false" customHeight="false" outlineLevel="0" collapsed="false">
      <c r="A21" s="20" t="n">
        <v>16</v>
      </c>
      <c r="B21" s="15" t="n">
        <f aca="false">0*C20+Ceiling*D20+Ceiling*E20</f>
        <v>0.140737488355328</v>
      </c>
      <c r="C21" s="15" t="n">
        <f aca="false">0*B20+Ceiling*D20+Ceiling*E20</f>
        <v>0.140737488355328</v>
      </c>
      <c r="D21" s="15" t="n">
        <f aca="false">Ceiling*(B20+C20)</f>
        <v>0</v>
      </c>
      <c r="E21" s="15" t="n">
        <f aca="false">Ceiling*(B20+C20)</f>
        <v>0</v>
      </c>
      <c r="F21" s="15" t="n">
        <f aca="false">SUM(B21:E21)</f>
        <v>0.281474976710656</v>
      </c>
      <c r="G21" s="15" t="n">
        <f aca="false">G20+B21</f>
        <v>8.63868890959053</v>
      </c>
      <c r="H21" s="15" t="n">
        <f aca="false">H20+C21</f>
        <v>18.6386889095905</v>
      </c>
      <c r="I21" s="15" t="n">
        <f aca="false">I20+D21</f>
        <v>10.7983611369882</v>
      </c>
      <c r="J21" s="15" t="n">
        <f aca="false">J20+E21</f>
        <v>10.7983611369882</v>
      </c>
      <c r="K21" s="15" t="n">
        <f aca="false">K20+F21</f>
        <v>48.8741000931574</v>
      </c>
    </row>
    <row r="22" customFormat="false" ht="15" hidden="false" customHeight="false" outlineLevel="0" collapsed="false">
      <c r="A22" s="20" t="n">
        <v>17</v>
      </c>
      <c r="B22" s="15" t="n">
        <f aca="false">0*C21+Ceiling*D21+Ceiling*E21</f>
        <v>0</v>
      </c>
      <c r="C22" s="15" t="n">
        <f aca="false">0*B21+Ceiling*D21+Ceiling*E21</f>
        <v>0</v>
      </c>
      <c r="D22" s="15" t="n">
        <f aca="false">Ceiling*(B21+C21)</f>
        <v>0.112589990684263</v>
      </c>
      <c r="E22" s="15" t="n">
        <f aca="false">Ceiling*(B21+C21)</f>
        <v>0.112589990684263</v>
      </c>
      <c r="F22" s="15" t="n">
        <f aca="false">SUM(B22:E22)</f>
        <v>0.225179981368525</v>
      </c>
      <c r="G22" s="15" t="n">
        <f aca="false">G21+B22</f>
        <v>8.63868890959053</v>
      </c>
      <c r="H22" s="15" t="n">
        <f aca="false">H21+C22</f>
        <v>18.6386889095905</v>
      </c>
      <c r="I22" s="15" t="n">
        <f aca="false">I21+D22</f>
        <v>10.9109511276724</v>
      </c>
      <c r="J22" s="15" t="n">
        <f aca="false">J21+E22</f>
        <v>10.9109511276724</v>
      </c>
      <c r="K22" s="15" t="n">
        <f aca="false">K21+F22</f>
        <v>49.0992800745259</v>
      </c>
    </row>
    <row r="23" customFormat="false" ht="15" hidden="false" customHeight="false" outlineLevel="0" collapsed="false">
      <c r="A23" s="20" t="n">
        <v>18</v>
      </c>
      <c r="B23" s="15" t="n">
        <f aca="false">0*C22+Ceiling*D22+Ceiling*E22</f>
        <v>0.09007199254741</v>
      </c>
      <c r="C23" s="15" t="n">
        <f aca="false">0*B22+Ceiling*D22+Ceiling*E22</f>
        <v>0.09007199254741</v>
      </c>
      <c r="D23" s="15" t="n">
        <f aca="false">Ceiling*(B22+C22)</f>
        <v>0</v>
      </c>
      <c r="E23" s="15" t="n">
        <f aca="false">Ceiling*(B22+C22)</f>
        <v>0</v>
      </c>
      <c r="F23" s="15" t="n">
        <f aca="false">SUM(B23:E23)</f>
        <v>0.18014398509482</v>
      </c>
      <c r="G23" s="15" t="n">
        <f aca="false">G22+B23</f>
        <v>8.72876090213794</v>
      </c>
      <c r="H23" s="15" t="n">
        <f aca="false">H22+C23</f>
        <v>18.7287609021379</v>
      </c>
      <c r="I23" s="15" t="n">
        <f aca="false">I22+D23</f>
        <v>10.9109511276724</v>
      </c>
      <c r="J23" s="15" t="n">
        <f aca="false">J22+E23</f>
        <v>10.9109511276724</v>
      </c>
      <c r="K23" s="15" t="n">
        <f aca="false">K22+F23</f>
        <v>49.2794240596207</v>
      </c>
    </row>
    <row r="24" customFormat="false" ht="15" hidden="false" customHeight="false" outlineLevel="0" collapsed="false">
      <c r="A24" s="20" t="n">
        <v>19</v>
      </c>
      <c r="B24" s="15" t="n">
        <f aca="false">0*C23+Ceiling*D23+Ceiling*E23</f>
        <v>0</v>
      </c>
      <c r="C24" s="15" t="n">
        <f aca="false">0*B23+Ceiling*D23+Ceiling*E23</f>
        <v>0</v>
      </c>
      <c r="D24" s="15" t="n">
        <f aca="false">Ceiling*(B23+C23)</f>
        <v>0.072057594037928</v>
      </c>
      <c r="E24" s="15" t="n">
        <f aca="false">Ceiling*(B23+C23)</f>
        <v>0.072057594037928</v>
      </c>
      <c r="F24" s="15" t="n">
        <f aca="false">SUM(B24:E24)</f>
        <v>0.144115188075856</v>
      </c>
      <c r="G24" s="15" t="n">
        <f aca="false">G23+B24</f>
        <v>8.72876090213794</v>
      </c>
      <c r="H24" s="15" t="n">
        <f aca="false">H23+C24</f>
        <v>18.7287609021379</v>
      </c>
      <c r="I24" s="15" t="n">
        <f aca="false">I23+D24</f>
        <v>10.9830087217104</v>
      </c>
      <c r="J24" s="15" t="n">
        <f aca="false">J23+E24</f>
        <v>10.9830087217104</v>
      </c>
      <c r="K24" s="15" t="n">
        <f aca="false">K23+F24</f>
        <v>49.4235392476966</v>
      </c>
    </row>
    <row r="25" customFormat="false" ht="15" hidden="false" customHeight="false" outlineLevel="0" collapsed="false">
      <c r="A25" s="20" t="n">
        <v>20</v>
      </c>
      <c r="B25" s="15" t="n">
        <f aca="false">0*C24+Ceiling*D24+Ceiling*E24</f>
        <v>0.0576460752303424</v>
      </c>
      <c r="C25" s="15" t="n">
        <f aca="false">0*B24+Ceiling*D24+Ceiling*E24</f>
        <v>0.0576460752303424</v>
      </c>
      <c r="D25" s="15" t="n">
        <f aca="false">Ceiling*(B24+C24)</f>
        <v>0</v>
      </c>
      <c r="E25" s="15" t="n">
        <f aca="false">Ceiling*(B24+C24)</f>
        <v>0</v>
      </c>
      <c r="F25" s="15" t="n">
        <f aca="false">SUM(B25:E25)</f>
        <v>0.115292150460685</v>
      </c>
      <c r="G25" s="15" t="n">
        <f aca="false">G24+B25</f>
        <v>8.78640697736828</v>
      </c>
      <c r="H25" s="15" t="n">
        <f aca="false">H24+C25</f>
        <v>18.7864069773683</v>
      </c>
      <c r="I25" s="15" t="n">
        <f aca="false">I24+D25</f>
        <v>10.9830087217104</v>
      </c>
      <c r="J25" s="15" t="n">
        <f aca="false">J24+E25</f>
        <v>10.9830087217104</v>
      </c>
      <c r="K25" s="15" t="n">
        <f aca="false">K24+F25</f>
        <v>49.5388313981573</v>
      </c>
    </row>
    <row r="26" customFormat="false" ht="15" hidden="false" customHeight="false" outlineLevel="0" collapsed="false">
      <c r="A26" s="20" t="n">
        <v>21</v>
      </c>
      <c r="B26" s="15" t="n">
        <f aca="false">0*C25+Ceiling*D25+Ceiling*E25</f>
        <v>0</v>
      </c>
      <c r="C26" s="15" t="n">
        <f aca="false">0*B25+Ceiling*D25+Ceiling*E25</f>
        <v>0</v>
      </c>
      <c r="D26" s="15" t="n">
        <f aca="false">Ceiling*(B25+C25)</f>
        <v>0.0461168601842739</v>
      </c>
      <c r="E26" s="15" t="n">
        <f aca="false">Ceiling*(B25+C25)</f>
        <v>0.0461168601842739</v>
      </c>
      <c r="F26" s="15" t="n">
        <f aca="false">SUM(B26:E26)</f>
        <v>0.0922337203685479</v>
      </c>
      <c r="G26" s="15" t="n">
        <f aca="false">G25+B26</f>
        <v>8.78640697736828</v>
      </c>
      <c r="H26" s="15" t="n">
        <f aca="false">H25+C26</f>
        <v>18.7864069773683</v>
      </c>
      <c r="I26" s="15" t="n">
        <f aca="false">I25+D26</f>
        <v>11.0291255818946</v>
      </c>
      <c r="J26" s="15" t="n">
        <f aca="false">J25+E26</f>
        <v>11.0291255818946</v>
      </c>
      <c r="K26" s="15" t="n">
        <f aca="false">K25+F26</f>
        <v>49.6310651185258</v>
      </c>
    </row>
    <row r="27" customFormat="false" ht="15" hidden="false" customHeight="false" outlineLevel="0" collapsed="false">
      <c r="A27" s="20" t="n">
        <v>22</v>
      </c>
      <c r="B27" s="15" t="n">
        <f aca="false">0*C26+Ceiling*D26+Ceiling*E26</f>
        <v>0.0368934881474192</v>
      </c>
      <c r="C27" s="15" t="n">
        <f aca="false">0*B26+Ceiling*D26+Ceiling*E26</f>
        <v>0.0368934881474192</v>
      </c>
      <c r="D27" s="15" t="n">
        <f aca="false">Ceiling*(B26+C26)</f>
        <v>0</v>
      </c>
      <c r="E27" s="15" t="n">
        <f aca="false">Ceiling*(B26+C26)</f>
        <v>0</v>
      </c>
      <c r="F27" s="15" t="n">
        <f aca="false">SUM(B27:E27)</f>
        <v>0.0737869762948383</v>
      </c>
      <c r="G27" s="15" t="n">
        <f aca="false">G26+B27</f>
        <v>8.8233004655157</v>
      </c>
      <c r="H27" s="15" t="n">
        <f aca="false">H26+C27</f>
        <v>18.8233004655157</v>
      </c>
      <c r="I27" s="15" t="n">
        <f aca="false">I26+D27</f>
        <v>11.0291255818946</v>
      </c>
      <c r="J27" s="15" t="n">
        <f aca="false">J26+E27</f>
        <v>11.0291255818946</v>
      </c>
      <c r="K27" s="15" t="n">
        <f aca="false">K26+F27</f>
        <v>49.7048520948207</v>
      </c>
    </row>
    <row r="28" customFormat="false" ht="15" hidden="false" customHeight="false" outlineLevel="0" collapsed="false">
      <c r="A28" s="20" t="n">
        <v>23</v>
      </c>
      <c r="B28" s="15" t="n">
        <f aca="false">0*C27+Ceiling*D27+Ceiling*E27</f>
        <v>0</v>
      </c>
      <c r="C28" s="15" t="n">
        <f aca="false">0*B27+Ceiling*D27+Ceiling*E27</f>
        <v>0</v>
      </c>
      <c r="D28" s="15" t="n">
        <f aca="false">Ceiling*(B27+C27)</f>
        <v>0.0295147905179353</v>
      </c>
      <c r="E28" s="15" t="n">
        <f aca="false">Ceiling*(B27+C27)</f>
        <v>0.0295147905179353</v>
      </c>
      <c r="F28" s="15" t="n">
        <f aca="false">SUM(B28:E28)</f>
        <v>0.0590295810358706</v>
      </c>
      <c r="G28" s="15" t="n">
        <f aca="false">G27+B28</f>
        <v>8.8233004655157</v>
      </c>
      <c r="H28" s="15" t="n">
        <f aca="false">H27+C28</f>
        <v>18.8233004655157</v>
      </c>
      <c r="I28" s="15" t="n">
        <f aca="false">I27+D28</f>
        <v>11.0586403724126</v>
      </c>
      <c r="J28" s="15" t="n">
        <f aca="false">J27+E28</f>
        <v>11.0586403724126</v>
      </c>
      <c r="K28" s="15" t="n">
        <f aca="false">K27+F28</f>
        <v>49.7638816758565</v>
      </c>
    </row>
    <row r="29" customFormat="false" ht="15" hidden="false" customHeight="false" outlineLevel="0" collapsed="false">
      <c r="A29" s="20" t="n">
        <v>24</v>
      </c>
      <c r="B29" s="15" t="n">
        <f aca="false">0*C28+Ceiling*D28+Ceiling*E28</f>
        <v>0.0236118324143483</v>
      </c>
      <c r="C29" s="15" t="n">
        <f aca="false">0*B28+Ceiling*D28+Ceiling*E28</f>
        <v>0.0236118324143483</v>
      </c>
      <c r="D29" s="15" t="n">
        <f aca="false">Ceiling*(B28+C28)</f>
        <v>0</v>
      </c>
      <c r="E29" s="15" t="n">
        <f aca="false">Ceiling*(B28+C28)</f>
        <v>0</v>
      </c>
      <c r="F29" s="15" t="n">
        <f aca="false">SUM(B29:E29)</f>
        <v>0.0472236648286965</v>
      </c>
      <c r="G29" s="15" t="n">
        <f aca="false">G28+B29</f>
        <v>8.84691229793005</v>
      </c>
      <c r="H29" s="15" t="n">
        <f aca="false">H28+C29</f>
        <v>18.8469122979301</v>
      </c>
      <c r="I29" s="15" t="n">
        <f aca="false">I28+D29</f>
        <v>11.0586403724126</v>
      </c>
      <c r="J29" s="15" t="n">
        <f aca="false">J28+E29</f>
        <v>11.0586403724126</v>
      </c>
      <c r="K29" s="15" t="n">
        <f aca="false">K28+F29</f>
        <v>49.8111053406852</v>
      </c>
    </row>
    <row r="30" customFormat="false" ht="15" hidden="false" customHeight="false" outlineLevel="0" collapsed="false">
      <c r="A30" s="20" t="n">
        <v>25</v>
      </c>
      <c r="B30" s="15" t="n">
        <f aca="false">0*C29+Ceiling*D29+Ceiling*E29</f>
        <v>0</v>
      </c>
      <c r="C30" s="15" t="n">
        <f aca="false">0*B29+Ceiling*D29+Ceiling*E29</f>
        <v>0</v>
      </c>
      <c r="D30" s="15" t="n">
        <f aca="false">Ceiling*(B29+C29)</f>
        <v>0.0188894659314786</v>
      </c>
      <c r="E30" s="15" t="n">
        <f aca="false">Ceiling*(B29+C29)</f>
        <v>0.0188894659314786</v>
      </c>
      <c r="F30" s="15" t="n">
        <f aca="false">SUM(B30:E30)</f>
        <v>0.0377789318629572</v>
      </c>
      <c r="G30" s="15" t="n">
        <f aca="false">G29+B30</f>
        <v>8.84691229793005</v>
      </c>
      <c r="H30" s="15" t="n">
        <f aca="false">H29+C30</f>
        <v>18.8469122979301</v>
      </c>
      <c r="I30" s="15" t="n">
        <f aca="false">I29+D30</f>
        <v>11.077529838344</v>
      </c>
      <c r="J30" s="15" t="n">
        <f aca="false">J29+E30</f>
        <v>11.077529838344</v>
      </c>
      <c r="K30" s="15" t="n">
        <f aca="false">K29+F30</f>
        <v>49.8488842725482</v>
      </c>
    </row>
    <row r="31" customFormat="false" ht="15" hidden="false" customHeight="false" outlineLevel="0" collapsed="false">
      <c r="A31" s="20" t="n">
        <v>26</v>
      </c>
      <c r="B31" s="15" t="n">
        <f aca="false">0*C30+Ceiling*D30+Ceiling*E30</f>
        <v>0.0151115727451829</v>
      </c>
      <c r="C31" s="15" t="n">
        <f aca="false">0*B30+Ceiling*D30+Ceiling*E30</f>
        <v>0.0151115727451829</v>
      </c>
      <c r="D31" s="15" t="n">
        <f aca="false">Ceiling*(B30+C30)</f>
        <v>0</v>
      </c>
      <c r="E31" s="15" t="n">
        <f aca="false">Ceiling*(B30+C30)</f>
        <v>0</v>
      </c>
      <c r="F31" s="15" t="n">
        <f aca="false">SUM(B31:E31)</f>
        <v>0.0302231454903658</v>
      </c>
      <c r="G31" s="15" t="n">
        <f aca="false">G30+B31</f>
        <v>8.86202387067523</v>
      </c>
      <c r="H31" s="15" t="n">
        <f aca="false">H30+C31</f>
        <v>18.8620238706752</v>
      </c>
      <c r="I31" s="15" t="n">
        <f aca="false">I30+D31</f>
        <v>11.077529838344</v>
      </c>
      <c r="J31" s="15" t="n">
        <f aca="false">J30+E31</f>
        <v>11.077529838344</v>
      </c>
      <c r="K31" s="15" t="n">
        <f aca="false">K30+F31</f>
        <v>49.8791074180386</v>
      </c>
    </row>
    <row r="32" customFormat="false" ht="15" hidden="false" customHeight="false" outlineLevel="0" collapsed="false">
      <c r="A32" s="20" t="n">
        <v>27</v>
      </c>
      <c r="B32" s="15" t="n">
        <f aca="false">0*C31+Ceiling*D31+Ceiling*E31</f>
        <v>0</v>
      </c>
      <c r="C32" s="15" t="n">
        <f aca="false">0*B31+Ceiling*D31+Ceiling*E31</f>
        <v>0</v>
      </c>
      <c r="D32" s="15" t="n">
        <f aca="false">Ceiling*(B31+C31)</f>
        <v>0.0120892581961463</v>
      </c>
      <c r="E32" s="15" t="n">
        <f aca="false">Ceiling*(B31+C31)</f>
        <v>0.0120892581961463</v>
      </c>
      <c r="F32" s="15" t="n">
        <f aca="false">SUM(B32:E32)</f>
        <v>0.0241785163922926</v>
      </c>
      <c r="G32" s="15" t="n">
        <f aca="false">G31+B32</f>
        <v>8.86202387067523</v>
      </c>
      <c r="H32" s="15" t="n">
        <f aca="false">H31+C32</f>
        <v>18.8620238706752</v>
      </c>
      <c r="I32" s="15" t="n">
        <f aca="false">I31+D32</f>
        <v>11.0896190965402</v>
      </c>
      <c r="J32" s="15" t="n">
        <f aca="false">J31+E32</f>
        <v>11.0896190965402</v>
      </c>
      <c r="K32" s="15" t="n">
        <f aca="false">K31+F32</f>
        <v>49.9032859344308</v>
      </c>
    </row>
    <row r="33" customFormat="false" ht="15" hidden="false" customHeight="false" outlineLevel="0" collapsed="false">
      <c r="A33" s="20" t="n">
        <v>28</v>
      </c>
      <c r="B33" s="15" t="n">
        <f aca="false">0*C32+Ceiling*D32+Ceiling*E32</f>
        <v>0.00967140655691705</v>
      </c>
      <c r="C33" s="15" t="n">
        <f aca="false">0*B32+Ceiling*D32+Ceiling*E32</f>
        <v>0.00967140655691705</v>
      </c>
      <c r="D33" s="15" t="n">
        <f aca="false">Ceiling*(B32+C32)</f>
        <v>0</v>
      </c>
      <c r="E33" s="15" t="n">
        <f aca="false">Ceiling*(B32+C32)</f>
        <v>0</v>
      </c>
      <c r="F33" s="15" t="n">
        <f aca="false">SUM(B33:E33)</f>
        <v>0.0193428131138341</v>
      </c>
      <c r="G33" s="15" t="n">
        <f aca="false">G32+B33</f>
        <v>8.87169527723215</v>
      </c>
      <c r="H33" s="15" t="n">
        <f aca="false">H32+C33</f>
        <v>18.8716952772322</v>
      </c>
      <c r="I33" s="15" t="n">
        <f aca="false">I32+D33</f>
        <v>11.0896190965402</v>
      </c>
      <c r="J33" s="15" t="n">
        <f aca="false">J32+E33</f>
        <v>11.0896190965402</v>
      </c>
      <c r="K33" s="15" t="n">
        <f aca="false">K32+F33</f>
        <v>49.9226287475447</v>
      </c>
    </row>
    <row r="34" customFormat="false" ht="15" hidden="false" customHeight="false" outlineLevel="0" collapsed="false">
      <c r="A34" s="20" t="n">
        <v>29</v>
      </c>
      <c r="B34" s="15" t="n">
        <f aca="false">0*C33+Ceiling*D33+Ceiling*E33</f>
        <v>0</v>
      </c>
      <c r="C34" s="15" t="n">
        <f aca="false">0*B33+Ceiling*D33+Ceiling*E33</f>
        <v>0</v>
      </c>
      <c r="D34" s="15" t="n">
        <f aca="false">Ceiling*(B33+C33)</f>
        <v>0.00773712524553364</v>
      </c>
      <c r="E34" s="15" t="n">
        <f aca="false">Ceiling*(B33+C33)</f>
        <v>0.00773712524553364</v>
      </c>
      <c r="F34" s="15" t="n">
        <f aca="false">SUM(B34:E34)</f>
        <v>0.0154742504910673</v>
      </c>
      <c r="G34" s="15" t="n">
        <f aca="false">G33+B34</f>
        <v>8.87169527723215</v>
      </c>
      <c r="H34" s="15" t="n">
        <f aca="false">H33+C34</f>
        <v>18.8716952772322</v>
      </c>
      <c r="I34" s="15" t="n">
        <f aca="false">I33+D34</f>
        <v>11.0973562217857</v>
      </c>
      <c r="J34" s="15" t="n">
        <f aca="false">J33+E34</f>
        <v>11.0973562217857</v>
      </c>
      <c r="K34" s="15" t="n">
        <f aca="false">K33+F34</f>
        <v>49.9381029980357</v>
      </c>
    </row>
    <row r="35" customFormat="false" ht="15" hidden="false" customHeight="false" outlineLevel="0" collapsed="false">
      <c r="A35" s="20" t="n">
        <v>30</v>
      </c>
      <c r="B35" s="15" t="n">
        <f aca="false">0*C34+Ceiling*D34+Ceiling*E34</f>
        <v>0.00618970019642691</v>
      </c>
      <c r="C35" s="15" t="n">
        <f aca="false">0*B34+Ceiling*D34+Ceiling*E34</f>
        <v>0.00618970019642691</v>
      </c>
      <c r="D35" s="15" t="n">
        <f aca="false">Ceiling*(B34+C34)</f>
        <v>0</v>
      </c>
      <c r="E35" s="15" t="n">
        <f aca="false">Ceiling*(B34+C34)</f>
        <v>0</v>
      </c>
      <c r="F35" s="15" t="n">
        <f aca="false">SUM(B35:E35)</f>
        <v>0.0123794003928538</v>
      </c>
      <c r="G35" s="15" t="n">
        <f aca="false">G34+B35</f>
        <v>8.87788497742857</v>
      </c>
      <c r="H35" s="15" t="n">
        <f aca="false">H34+C35</f>
        <v>18.8778849774286</v>
      </c>
      <c r="I35" s="15" t="n">
        <f aca="false">I34+D35</f>
        <v>11.0973562217857</v>
      </c>
      <c r="J35" s="15" t="n">
        <f aca="false">J34+E35</f>
        <v>11.0973562217857</v>
      </c>
      <c r="K35" s="15" t="n">
        <f aca="false">K34+F35</f>
        <v>49.9504823984286</v>
      </c>
    </row>
    <row r="36" customFormat="false" ht="15" hidden="false" customHeight="false" outlineLevel="0" collapsed="false">
      <c r="A36" s="20" t="n">
        <v>31</v>
      </c>
      <c r="B36" s="15" t="n">
        <f aca="false">0*C35+Ceiling*D35+Ceiling*E35</f>
        <v>0</v>
      </c>
      <c r="C36" s="15" t="n">
        <f aca="false">0*B35+Ceiling*D35+Ceiling*E35</f>
        <v>0</v>
      </c>
      <c r="D36" s="15" t="n">
        <f aca="false">Ceiling*(B35+C35)</f>
        <v>0.00495176015714153</v>
      </c>
      <c r="E36" s="15" t="n">
        <f aca="false">Ceiling*(B35+C35)</f>
        <v>0.00495176015714153</v>
      </c>
      <c r="F36" s="15" t="n">
        <f aca="false">SUM(B36:E36)</f>
        <v>0.00990352031428306</v>
      </c>
      <c r="G36" s="15" t="n">
        <f aca="false">G35+B36</f>
        <v>8.87788497742857</v>
      </c>
      <c r="H36" s="15" t="n">
        <f aca="false">H35+C36</f>
        <v>18.8778849774286</v>
      </c>
      <c r="I36" s="15" t="n">
        <f aca="false">I35+D36</f>
        <v>11.1023079819429</v>
      </c>
      <c r="J36" s="15" t="n">
        <f aca="false">J35+E36</f>
        <v>11.1023079819429</v>
      </c>
      <c r="K36" s="15" t="n">
        <f aca="false">K35+F36</f>
        <v>49.9603859187429</v>
      </c>
    </row>
    <row r="37" customFormat="false" ht="15" hidden="false" customHeight="false" outlineLevel="0" collapsed="false">
      <c r="A37" s="20" t="n">
        <v>32</v>
      </c>
      <c r="B37" s="15" t="n">
        <f aca="false">0*C36+Ceiling*D36+Ceiling*E36</f>
        <v>0.00396140812571322</v>
      </c>
      <c r="C37" s="15" t="n">
        <f aca="false">0*B36+Ceiling*D36+Ceiling*E36</f>
        <v>0.00396140812571322</v>
      </c>
      <c r="D37" s="15" t="n">
        <f aca="false">Ceiling*(B36+C36)</f>
        <v>0</v>
      </c>
      <c r="E37" s="15" t="n">
        <f aca="false">Ceiling*(B36+C36)</f>
        <v>0</v>
      </c>
      <c r="F37" s="15" t="n">
        <f aca="false">SUM(B37:E37)</f>
        <v>0.00792281625142645</v>
      </c>
      <c r="G37" s="15" t="n">
        <f aca="false">G36+B37</f>
        <v>8.88184638555429</v>
      </c>
      <c r="H37" s="15" t="n">
        <f aca="false">H36+C37</f>
        <v>18.8818463855543</v>
      </c>
      <c r="I37" s="15" t="n">
        <f aca="false">I36+D37</f>
        <v>11.1023079819429</v>
      </c>
      <c r="J37" s="15" t="n">
        <f aca="false">J36+E37</f>
        <v>11.1023079819429</v>
      </c>
      <c r="K37" s="15" t="n">
        <f aca="false">K36+F37</f>
        <v>49.9683087349943</v>
      </c>
    </row>
    <row r="38" customFormat="false" ht="15" hidden="false" customHeight="false" outlineLevel="0" collapsed="false">
      <c r="A38" s="20" t="n">
        <v>33</v>
      </c>
      <c r="B38" s="15" t="n">
        <f aca="false">0*C37+Ceiling*D37+Ceiling*E37</f>
        <v>0</v>
      </c>
      <c r="C38" s="15" t="n">
        <f aca="false">0*B37+Ceiling*D37+Ceiling*E37</f>
        <v>0</v>
      </c>
      <c r="D38" s="15" t="n">
        <f aca="false">Ceiling*(B37+C37)</f>
        <v>0.00316912650057058</v>
      </c>
      <c r="E38" s="15" t="n">
        <f aca="false">Ceiling*(B37+C37)</f>
        <v>0.00316912650057058</v>
      </c>
      <c r="F38" s="15" t="n">
        <f aca="false">SUM(B38:E38)</f>
        <v>0.00633825300114116</v>
      </c>
      <c r="G38" s="15" t="n">
        <f aca="false">G37+B38</f>
        <v>8.88184638555429</v>
      </c>
      <c r="H38" s="15" t="n">
        <f aca="false">H37+C38</f>
        <v>18.8818463855543</v>
      </c>
      <c r="I38" s="15" t="n">
        <f aca="false">I37+D38</f>
        <v>11.1054771084434</v>
      </c>
      <c r="J38" s="15" t="n">
        <f aca="false">J37+E38</f>
        <v>11.1054771084434</v>
      </c>
      <c r="K38" s="15" t="n">
        <f aca="false">K37+F38</f>
        <v>49.9746469879955</v>
      </c>
    </row>
    <row r="39" customFormat="false" ht="15" hidden="false" customHeight="false" outlineLevel="0" collapsed="false">
      <c r="A39" s="20" t="n">
        <v>34</v>
      </c>
      <c r="B39" s="15" t="n">
        <f aca="false">0*C38+Ceiling*D38+Ceiling*E38</f>
        <v>0.00253530120045646</v>
      </c>
      <c r="C39" s="15" t="n">
        <f aca="false">0*B38+Ceiling*D38+Ceiling*E38</f>
        <v>0.00253530120045646</v>
      </c>
      <c r="D39" s="15" t="n">
        <f aca="false">Ceiling*(B38+C38)</f>
        <v>0</v>
      </c>
      <c r="E39" s="15" t="n">
        <f aca="false">Ceiling*(B38+C38)</f>
        <v>0</v>
      </c>
      <c r="F39" s="15" t="n">
        <f aca="false">SUM(B39:E39)</f>
        <v>0.00507060240091293</v>
      </c>
      <c r="G39" s="15" t="n">
        <f aca="false">G38+B39</f>
        <v>8.88438168675474</v>
      </c>
      <c r="H39" s="15" t="n">
        <f aca="false">H38+C39</f>
        <v>18.8843816867548</v>
      </c>
      <c r="I39" s="15" t="n">
        <f aca="false">I38+D39</f>
        <v>11.1054771084434</v>
      </c>
      <c r="J39" s="15" t="n">
        <f aca="false">J38+E39</f>
        <v>11.1054771084434</v>
      </c>
      <c r="K39" s="15" t="n">
        <f aca="false">K38+F39</f>
        <v>49.9797175903964</v>
      </c>
    </row>
    <row r="40" customFormat="false" ht="15" hidden="false" customHeight="false" outlineLevel="0" collapsed="false">
      <c r="A40" s="20" t="n">
        <v>35</v>
      </c>
      <c r="B40" s="15" t="n">
        <f aca="false">0*C39+Ceiling*D39+Ceiling*E39</f>
        <v>0</v>
      </c>
      <c r="C40" s="15" t="n">
        <f aca="false">0*B39+Ceiling*D39+Ceiling*E39</f>
        <v>0</v>
      </c>
      <c r="D40" s="15" t="n">
        <f aca="false">Ceiling*(B39+C39)</f>
        <v>0.00202824096036517</v>
      </c>
      <c r="E40" s="15" t="n">
        <f aca="false">Ceiling*(B39+C39)</f>
        <v>0.00202824096036517</v>
      </c>
      <c r="F40" s="15" t="n">
        <f aca="false">SUM(B40:E40)</f>
        <v>0.00405648192073034</v>
      </c>
      <c r="G40" s="15" t="n">
        <f aca="false">G39+B40</f>
        <v>8.88438168675474</v>
      </c>
      <c r="H40" s="15" t="n">
        <f aca="false">H39+C40</f>
        <v>18.8843816867548</v>
      </c>
      <c r="I40" s="15" t="n">
        <f aca="false">I39+D40</f>
        <v>11.1075053494038</v>
      </c>
      <c r="J40" s="15" t="n">
        <f aca="false">J39+E40</f>
        <v>11.1075053494038</v>
      </c>
      <c r="K40" s="15" t="n">
        <f aca="false">K39+F40</f>
        <v>49.9837740723171</v>
      </c>
    </row>
    <row r="41" customFormat="false" ht="15" hidden="false" customHeight="false" outlineLevel="0" collapsed="false">
      <c r="A41" s="20" t="n">
        <v>36</v>
      </c>
      <c r="B41" s="15" t="n">
        <f aca="false">0*C40+Ceiling*D40+Ceiling*E40</f>
        <v>0.00162259276829214</v>
      </c>
      <c r="C41" s="15" t="n">
        <f aca="false">0*B40+Ceiling*D40+Ceiling*E40</f>
        <v>0.00162259276829214</v>
      </c>
      <c r="D41" s="15" t="n">
        <f aca="false">Ceiling*(B40+C40)</f>
        <v>0</v>
      </c>
      <c r="E41" s="15" t="n">
        <f aca="false">Ceiling*(B40+C40)</f>
        <v>0</v>
      </c>
      <c r="F41" s="15" t="n">
        <f aca="false">SUM(B41:E41)</f>
        <v>0.00324518553658427</v>
      </c>
      <c r="G41" s="15" t="n">
        <f aca="false">G40+B41</f>
        <v>8.88600427952304</v>
      </c>
      <c r="H41" s="15" t="n">
        <f aca="false">H40+C41</f>
        <v>18.886004279523</v>
      </c>
      <c r="I41" s="15" t="n">
        <f aca="false">I40+D41</f>
        <v>11.1075053494038</v>
      </c>
      <c r="J41" s="15" t="n">
        <f aca="false">J40+E41</f>
        <v>11.1075053494038</v>
      </c>
      <c r="K41" s="15" t="n">
        <f aca="false">K40+F41</f>
        <v>49.9870192578537</v>
      </c>
    </row>
    <row r="42" customFormat="false" ht="15" hidden="false" customHeight="false" outlineLevel="0" collapsed="false">
      <c r="A42" s="20" t="n">
        <v>37</v>
      </c>
      <c r="B42" s="15" t="n">
        <f aca="false">0*C41+Ceiling*D41+Ceiling*E41</f>
        <v>0</v>
      </c>
      <c r="C42" s="15" t="n">
        <f aca="false">0*B41+Ceiling*D41+Ceiling*E41</f>
        <v>0</v>
      </c>
      <c r="D42" s="15" t="n">
        <f aca="false">Ceiling*(B41+C41)</f>
        <v>0.00129807421463371</v>
      </c>
      <c r="E42" s="15" t="n">
        <f aca="false">Ceiling*(B41+C41)</f>
        <v>0.00129807421463371</v>
      </c>
      <c r="F42" s="15" t="n">
        <f aca="false">SUM(B42:E42)</f>
        <v>0.00259614842926742</v>
      </c>
      <c r="G42" s="15" t="n">
        <f aca="false">G41+B42</f>
        <v>8.88600427952304</v>
      </c>
      <c r="H42" s="15" t="n">
        <f aca="false">H41+C42</f>
        <v>18.886004279523</v>
      </c>
      <c r="I42" s="15" t="n">
        <f aca="false">I41+D42</f>
        <v>11.1088034236184</v>
      </c>
      <c r="J42" s="15" t="n">
        <f aca="false">J41+E42</f>
        <v>11.1088034236184</v>
      </c>
      <c r="K42" s="15" t="n">
        <f aca="false">K41+F42</f>
        <v>49.9896154062829</v>
      </c>
    </row>
    <row r="43" customFormat="false" ht="15" hidden="false" customHeight="false" outlineLevel="0" collapsed="false">
      <c r="A43" s="20" t="n">
        <v>38</v>
      </c>
      <c r="B43" s="15" t="n">
        <f aca="false">0*C42+Ceiling*D42+Ceiling*E42</f>
        <v>0.00103845937170697</v>
      </c>
      <c r="C43" s="15" t="n">
        <f aca="false">0*B42+Ceiling*D42+Ceiling*E42</f>
        <v>0.00103845937170697</v>
      </c>
      <c r="D43" s="15" t="n">
        <f aca="false">Ceiling*(B42+C42)</f>
        <v>0</v>
      </c>
      <c r="E43" s="15" t="n">
        <f aca="false">Ceiling*(B42+C42)</f>
        <v>0</v>
      </c>
      <c r="F43" s="15" t="n">
        <f aca="false">SUM(B43:E43)</f>
        <v>0.00207691874341394</v>
      </c>
      <c r="G43" s="15" t="n">
        <f aca="false">G42+B43</f>
        <v>8.88704273889474</v>
      </c>
      <c r="H43" s="15" t="n">
        <f aca="false">H42+C43</f>
        <v>18.8870427388948</v>
      </c>
      <c r="I43" s="15" t="n">
        <f aca="false">I42+D43</f>
        <v>11.1088034236184</v>
      </c>
      <c r="J43" s="15" t="n">
        <f aca="false">J42+E43</f>
        <v>11.1088034236184</v>
      </c>
      <c r="K43" s="15" t="n">
        <f aca="false">K42+F43</f>
        <v>49.9916923250264</v>
      </c>
    </row>
    <row r="44" customFormat="false" ht="15" hidden="false" customHeight="false" outlineLevel="0" collapsed="false">
      <c r="A44" s="20" t="n">
        <v>39</v>
      </c>
      <c r="B44" s="15" t="n">
        <f aca="false">0*C43+Ceiling*D43+Ceiling*E43</f>
        <v>0</v>
      </c>
      <c r="C44" s="15" t="n">
        <f aca="false">0*B43+Ceiling*D43+Ceiling*E43</f>
        <v>0</v>
      </c>
      <c r="D44" s="15" t="n">
        <f aca="false">Ceiling*(B43+C43)</f>
        <v>0.000830767497365574</v>
      </c>
      <c r="E44" s="15" t="n">
        <f aca="false">Ceiling*(B43+C43)</f>
        <v>0.000830767497365574</v>
      </c>
      <c r="F44" s="15" t="n">
        <f aca="false">SUM(B44:E44)</f>
        <v>0.00166153499473115</v>
      </c>
      <c r="G44" s="15" t="n">
        <f aca="false">G43+B44</f>
        <v>8.88704273889474</v>
      </c>
      <c r="H44" s="15" t="n">
        <f aca="false">H43+C44</f>
        <v>18.8870427388948</v>
      </c>
      <c r="I44" s="15" t="n">
        <f aca="false">I43+D44</f>
        <v>11.1096341911158</v>
      </c>
      <c r="J44" s="15" t="n">
        <f aca="false">J43+E44</f>
        <v>11.1096341911158</v>
      </c>
      <c r="K44" s="15" t="n">
        <f aca="false">K43+F44</f>
        <v>49.9933538600211</v>
      </c>
    </row>
    <row r="45" customFormat="false" ht="15" hidden="false" customHeight="false" outlineLevel="0" collapsed="false">
      <c r="A45" s="20" t="n">
        <v>40</v>
      </c>
      <c r="B45" s="15" t="n">
        <f aca="false">0*C44+Ceiling*D44+Ceiling*E44</f>
        <v>0.000664613997892459</v>
      </c>
      <c r="C45" s="15" t="n">
        <f aca="false">0*B44+Ceiling*D44+Ceiling*E44</f>
        <v>0.000664613997892459</v>
      </c>
      <c r="D45" s="15" t="n">
        <f aca="false">Ceiling*(B44+C44)</f>
        <v>0</v>
      </c>
      <c r="E45" s="15" t="n">
        <f aca="false">Ceiling*(B44+C44)</f>
        <v>0</v>
      </c>
      <c r="F45" s="15" t="n">
        <f aca="false">SUM(B45:E45)</f>
        <v>0.00132922799578492</v>
      </c>
      <c r="G45" s="15" t="n">
        <f aca="false">G44+B45</f>
        <v>8.88770735289264</v>
      </c>
      <c r="H45" s="15" t="n">
        <f aca="false">H44+C45</f>
        <v>18.8877073528926</v>
      </c>
      <c r="I45" s="15" t="n">
        <f aca="false">I44+D45</f>
        <v>11.1096341911158</v>
      </c>
      <c r="J45" s="15" t="n">
        <f aca="false">J44+E45</f>
        <v>11.1096341911158</v>
      </c>
      <c r="K45" s="15" t="n">
        <f aca="false">K44+F45</f>
        <v>49.9946830880169</v>
      </c>
    </row>
    <row r="47" customFormat="false" ht="15" hidden="false" customHeight="false" outlineLevel="0" collapsed="false">
      <c r="A47" s="4" t="s">
        <v>198</v>
      </c>
      <c r="G47" s="23" t="n">
        <f aca="false">Rebudget!O11</f>
        <v>8.88888888888889</v>
      </c>
      <c r="H47" s="23" t="n">
        <f aca="false">Rebudget!P11</f>
        <v>18.8888888888889</v>
      </c>
      <c r="I47" s="23" t="n">
        <f aca="false">Rebudget!Q11</f>
        <v>11.1111111111111</v>
      </c>
      <c r="J47" s="23" t="n">
        <f aca="false">Rebudget!R11</f>
        <v>11.1111111111111</v>
      </c>
      <c r="K47" s="23" t="n">
        <f aca="false">Rebudget!S11</f>
        <v>50</v>
      </c>
    </row>
    <row r="48" customFormat="false" ht="15" hidden="false" customHeight="false" outlineLevel="0" collapsed="false">
      <c r="A48" s="2" t="s">
        <v>199</v>
      </c>
      <c r="B48" s="15" t="n">
        <f aca="false">F5</f>
        <v>10</v>
      </c>
      <c r="C48" s="15" t="n">
        <f aca="false">K47-F5</f>
        <v>40</v>
      </c>
    </row>
    <row r="50" customFormat="false" ht="23.85" hidden="false" customHeight="false" outlineLevel="0" collapsed="false">
      <c r="A50" s="8" t="s">
        <v>200</v>
      </c>
      <c r="B50" s="8" t="s">
        <v>184</v>
      </c>
      <c r="C50" s="8" t="s">
        <v>201</v>
      </c>
      <c r="D50" s="8" t="s">
        <v>58</v>
      </c>
      <c r="E50" s="8" t="s">
        <v>59</v>
      </c>
      <c r="F50" s="8" t="s">
        <v>60</v>
      </c>
      <c r="G50" s="8" t="s">
        <v>202</v>
      </c>
      <c r="H50" s="8" t="s">
        <v>203</v>
      </c>
      <c r="I50" s="8" t="s">
        <v>204</v>
      </c>
    </row>
    <row r="51" customFormat="false" ht="15" hidden="false" customHeight="false" outlineLevel="0" collapsed="false">
      <c r="A51" s="7" t="str">
        <f aca="false">Rebudget!A13</f>
        <v>Run the new link light</v>
      </c>
      <c r="B51" s="22" t="n">
        <f aca="false">Rebudget!E13</f>
        <v>0.840896415253715</v>
      </c>
      <c r="C51" s="15" t="n">
        <v>1</v>
      </c>
      <c r="D51" s="15" t="n">
        <v>1</v>
      </c>
      <c r="E51" s="15" t="n">
        <f aca="false">2*Rebudget!B13/B51</f>
        <v>0.951365692002177</v>
      </c>
      <c r="F51" s="15" t="n">
        <f aca="false">2*Rebudget!C13/B51</f>
        <v>0.951365692002177</v>
      </c>
      <c r="G51" s="15" t="n">
        <f aca="false">SUMPRODUCT(C51:F51,Rebudget!O13:R13)</f>
        <v>62.8521350788324</v>
      </c>
      <c r="H51" s="15" t="n">
        <f aca="false">Shock/(1-B51)</f>
        <v>62.8521350788325</v>
      </c>
      <c r="I51" s="23" t="n">
        <f aca="false">Rebudget!S13</f>
        <v>64.2407140445401</v>
      </c>
    </row>
    <row r="52" customFormat="false" ht="15" hidden="false" customHeight="false" outlineLevel="0" collapsed="false">
      <c r="A52" s="7" t="str">
        <f aca="false">Rebudget!A14</f>
        <v>Ring-fence treasury</v>
      </c>
      <c r="B52" s="22" t="n">
        <f aca="false">Rebudget!E14</f>
        <v>0.840896415253715</v>
      </c>
      <c r="C52" s="15" t="n">
        <v>1</v>
      </c>
      <c r="D52" s="15" t="n">
        <v>1</v>
      </c>
      <c r="E52" s="15" t="n">
        <f aca="false">2*Rebudget!B14/B52</f>
        <v>0.951365692002177</v>
      </c>
      <c r="F52" s="15" t="n">
        <f aca="false">2*Rebudget!C14/B52</f>
        <v>0.37886360088961</v>
      </c>
      <c r="G52" s="15" t="n">
        <f aca="false">SUMPRODUCT(C52:F52,Rebudget!O14:R14)</f>
        <v>62.8521350788324</v>
      </c>
      <c r="H52" s="15" t="n">
        <f aca="false">Shock/(1-B52)</f>
        <v>62.8521350788325</v>
      </c>
      <c r="I52" s="23" t="n">
        <f aca="false">Rebudget!S14</f>
        <v>68.0165924338454</v>
      </c>
    </row>
    <row r="53" customFormat="false" ht="15" hidden="false" customHeight="false" outlineLevel="0" collapsed="false">
      <c r="A53" s="7" t="str">
        <f aca="false">Rebudget!A15</f>
        <v>Trim every existing link</v>
      </c>
      <c r="B53" s="22" t="n">
        <f aca="false">Rebudget!E15</f>
        <v>0.840896415253715</v>
      </c>
      <c r="C53" s="15" t="n">
        <v>1</v>
      </c>
      <c r="D53" s="15" t="n">
        <v>1</v>
      </c>
      <c r="E53" s="15" t="n">
        <f aca="false">2*Rebudget!B15/B53</f>
        <v>0.724097475481659</v>
      </c>
      <c r="F53" s="15" t="n">
        <f aca="false">2*Rebudget!C15/B53</f>
        <v>0.724097475481659</v>
      </c>
      <c r="G53" s="15" t="n">
        <f aca="false">SUMPRODUCT(C53:F53,Rebudget!O15:R15)</f>
        <v>62.8521350788325</v>
      </c>
      <c r="H53" s="15" t="n">
        <f aca="false">Shock/(1-B53)</f>
        <v>62.8521350788325</v>
      </c>
      <c r="I53" s="23" t="n">
        <f aca="false">Rebudget!S15</f>
        <v>70.1800848365807</v>
      </c>
    </row>
    <row r="54" customFormat="false" ht="15" hidden="false" customHeight="false" outlineLevel="0" collapsed="false">
      <c r="A54" s="10" t="s">
        <v>205</v>
      </c>
    </row>
    <row r="57" customFormat="false" ht="23.85" hidden="false" customHeight="false" outlineLevel="0" collapsed="false">
      <c r="A57" s="8" t="s">
        <v>206</v>
      </c>
      <c r="B57" s="8" t="s">
        <v>207</v>
      </c>
      <c r="C57" s="8" t="s">
        <v>208</v>
      </c>
      <c r="D57" s="8" t="s">
        <v>132</v>
      </c>
    </row>
    <row r="58" customFormat="false" ht="15" hidden="false" customHeight="false" outlineLevel="0" collapsed="false">
      <c r="A58" s="2" t="s">
        <v>63</v>
      </c>
      <c r="B58" s="15" t="n">
        <f aca="false">$B$65/(($B$69-$B$70)/2)*($B$71-0)/2</f>
        <v>2.77777777777778</v>
      </c>
      <c r="C58" s="15" t="n">
        <f aca="false">$B$66/(($B$69-$B$70)/2)*($B$72-0)/2</f>
        <v>2.77777777777778</v>
      </c>
      <c r="D58" s="15" t="n">
        <f aca="false">$B$67/(($B$69-$B$70)/2)*($B$73-$B$74)/2</f>
        <v>0</v>
      </c>
    </row>
    <row r="59" customFormat="false" ht="15" hidden="false" customHeight="false" outlineLevel="0" collapsed="false">
      <c r="A59" s="2" t="s">
        <v>64</v>
      </c>
      <c r="B59" s="15" t="n">
        <f aca="false">$B$65/(($B$69+$B$70)/2)*($B$71+0)/2</f>
        <v>1.30718954248366</v>
      </c>
      <c r="C59" s="15" t="n">
        <f aca="false">$B$66/(($B$69+$B$70)/2)*($B$72+0)/2</f>
        <v>1.30718954248366</v>
      </c>
      <c r="D59" s="15" t="n">
        <f aca="false">$B$67/(($B$69+$B$70)/2)*($B$73+$B$74)/2</f>
        <v>0</v>
      </c>
    </row>
    <row r="60" customFormat="false" ht="15" hidden="false" customHeight="false" outlineLevel="0" collapsed="false">
      <c r="A60" s="2" t="s">
        <v>65</v>
      </c>
      <c r="B60" s="15" t="n">
        <f aca="false">$B$65/($B$65*$B$69)*($B$69+$B$65*$B$71)</f>
        <v>2.77777777777778</v>
      </c>
      <c r="C60" s="15" t="n">
        <f aca="false">$B$66/($B$65*$B$69)*($B$65*$B$72)</f>
        <v>1.77777777777778</v>
      </c>
      <c r="D60" s="15" t="n">
        <f aca="false">$B$67/($B$65*$B$69)*($B$65*$B$73)</f>
        <v>0</v>
      </c>
    </row>
    <row r="61" customFormat="false" ht="15" hidden="false" customHeight="false" outlineLevel="0" collapsed="false">
      <c r="A61" s="2" t="s">
        <v>66</v>
      </c>
      <c r="B61" s="15" t="n">
        <f aca="false">$B$65/($B$66*$B$69)*($B$66*$B$71)</f>
        <v>1.77777777777778</v>
      </c>
      <c r="C61" s="15" t="n">
        <f aca="false">$B$66/($B$66*$B$69)*($B$69+$B$66*$B$72)</f>
        <v>2.77777777777778</v>
      </c>
      <c r="D61" s="15" t="n">
        <f aca="false">$B$67/($B$66*$B$69)*($B$66*$B$73)</f>
        <v>0</v>
      </c>
    </row>
    <row r="62" customFormat="false" ht="15" hidden="false" customHeight="false" outlineLevel="0" collapsed="false">
      <c r="A62" s="4" t="s">
        <v>209</v>
      </c>
      <c r="B62" s="15" t="n">
        <f aca="false">$B$65/($B$69*(1+$B$65+$B$66))*($B$71*(1+$B$65+$B$66)+$B$69)</f>
        <v>2</v>
      </c>
      <c r="C62" s="15" t="n">
        <f aca="false">$B$66/($B$69*(1+$B$65+$B$66))*($B$72*(1+$B$65+$B$66)+$B$69)</f>
        <v>2</v>
      </c>
      <c r="D62" s="15" t="n">
        <f aca="false">$B$67/($B$69*(1+$B$65+$B$66))*($B$73*(1+$B$65+$B$66))</f>
        <v>0</v>
      </c>
    </row>
    <row r="63" customFormat="false" ht="15" hidden="false" customHeight="false" outlineLevel="0" collapsed="false">
      <c r="A63" s="2" t="s">
        <v>210</v>
      </c>
      <c r="B63" s="15" t="n">
        <f aca="false">$B$65/$B$76*4*$B$65/$B$75</f>
        <v>0.5</v>
      </c>
      <c r="C63" s="15" t="n">
        <f aca="false">$B$66/$B$76*4*$B$66/$B$75</f>
        <v>0.5</v>
      </c>
      <c r="D63" s="15" t="n">
        <f aca="false">$B$67/$B$76*0.5*(1+$B$67/$B$75)</f>
        <v>0</v>
      </c>
    </row>
    <row r="64" customFormat="false" ht="15" hidden="false" customHeight="false" outlineLevel="0" collapsed="false">
      <c r="A64" s="2" t="s">
        <v>211</v>
      </c>
      <c r="B64" s="15" t="n">
        <f aca="false">SUM(B63:D63)</f>
        <v>1</v>
      </c>
    </row>
    <row r="65" customFormat="false" ht="15" hidden="false" customHeight="false" outlineLevel="0" collapsed="false">
      <c r="A65" s="2" t="s">
        <v>212</v>
      </c>
      <c r="B65" s="22" t="n">
        <f aca="false">Rebudget!B11</f>
        <v>0.4</v>
      </c>
    </row>
    <row r="66" customFormat="false" ht="15" hidden="false" customHeight="false" outlineLevel="0" collapsed="false">
      <c r="A66" s="2" t="s">
        <v>213</v>
      </c>
      <c r="B66" s="22" t="n">
        <f aca="false">Rebudget!C11</f>
        <v>0.4</v>
      </c>
    </row>
    <row r="67" customFormat="false" ht="15" hidden="false" customHeight="false" outlineLevel="0" collapsed="false">
      <c r="A67" s="2" t="s">
        <v>214</v>
      </c>
      <c r="B67" s="22" t="n">
        <f aca="false">Rebudget!D11</f>
        <v>0</v>
      </c>
    </row>
    <row r="68" customFormat="false" ht="15" hidden="false" customHeight="false" outlineLevel="0" collapsed="false">
      <c r="A68" s="2" t="s">
        <v>215</v>
      </c>
      <c r="B68" s="13" t="n">
        <f aca="false">1-B67-2*(B65^2+B66^2)</f>
        <v>0.36</v>
      </c>
    </row>
    <row r="69" customFormat="false" ht="15" hidden="false" customHeight="false" outlineLevel="0" collapsed="false">
      <c r="A69" s="2" t="s">
        <v>216</v>
      </c>
      <c r="B69" s="13" t="n">
        <f aca="false">Shock/B68</f>
        <v>27.7777777777778</v>
      </c>
    </row>
    <row r="70" customFormat="false" ht="15" hidden="false" customHeight="false" outlineLevel="0" collapsed="false">
      <c r="A70" s="2" t="s">
        <v>217</v>
      </c>
      <c r="B70" s="13" t="n">
        <f aca="false">Shock/(1+B67)</f>
        <v>10</v>
      </c>
    </row>
    <row r="71" customFormat="false" ht="15" hidden="false" customHeight="false" outlineLevel="0" collapsed="false">
      <c r="A71" s="2" t="s">
        <v>218</v>
      </c>
      <c r="B71" s="13" t="n">
        <f aca="false">4*B65*B69/B68</f>
        <v>123.456790123457</v>
      </c>
    </row>
    <row r="72" customFormat="false" ht="15" hidden="false" customHeight="false" outlineLevel="0" collapsed="false">
      <c r="A72" s="2" t="s">
        <v>219</v>
      </c>
      <c r="B72" s="13" t="n">
        <f aca="false">4*B66*B69/B68</f>
        <v>123.456790123457</v>
      </c>
    </row>
    <row r="73" customFormat="false" ht="15" hidden="false" customHeight="false" outlineLevel="0" collapsed="false">
      <c r="A73" s="2" t="s">
        <v>220</v>
      </c>
      <c r="B73" s="13" t="n">
        <f aca="false">B69/B68</f>
        <v>77.1604938271605</v>
      </c>
    </row>
    <row r="74" customFormat="false" ht="15" hidden="false" customHeight="false" outlineLevel="0" collapsed="false">
      <c r="A74" s="2" t="s">
        <v>221</v>
      </c>
      <c r="B74" s="13" t="n">
        <f aca="false">-B70/(1+B67)</f>
        <v>-10</v>
      </c>
    </row>
    <row r="75" customFormat="false" ht="15" hidden="false" customHeight="false" outlineLevel="0" collapsed="false">
      <c r="A75" s="2" t="s">
        <v>222</v>
      </c>
      <c r="B75" s="13" t="n">
        <f aca="false">SQRT(B67^2+8*(B65^2+B66^2))</f>
        <v>1.6</v>
      </c>
    </row>
    <row r="76" customFormat="false" ht="15" hidden="false" customHeight="false" outlineLevel="0" collapsed="false">
      <c r="A76" s="2" t="s">
        <v>223</v>
      </c>
      <c r="B76" s="13" t="n">
        <f aca="false">(B67+B75)/2</f>
        <v>0.8</v>
      </c>
    </row>
    <row r="79" customFormat="false" ht="23.85" hidden="false" customHeight="false" outlineLevel="0" collapsed="false">
      <c r="A79" s="8" t="s">
        <v>224</v>
      </c>
      <c r="B79" s="8" t="s">
        <v>207</v>
      </c>
      <c r="C79" s="8" t="s">
        <v>208</v>
      </c>
      <c r="D79" s="8" t="s">
        <v>132</v>
      </c>
    </row>
    <row r="80" customFormat="false" ht="15" hidden="false" customHeight="false" outlineLevel="0" collapsed="false">
      <c r="A80" s="2" t="s">
        <v>63</v>
      </c>
      <c r="B80" s="15" t="n">
        <f aca="false">$B$87/(($B$91-$B$92)/2)*($B$93-0)/2</f>
        <v>1.93388602263706</v>
      </c>
      <c r="C80" s="15" t="n">
        <f aca="false">$B$88/(($B$91-$B$92)/2)*($B$94-0)/2</f>
        <v>1.93388602263706</v>
      </c>
      <c r="D80" s="15" t="n">
        <f aca="false">$B$89/(($B$91-$B$92)/2)*($B$95-$B$96)/2</f>
        <v>2.14241589305376</v>
      </c>
    </row>
    <row r="81" customFormat="false" ht="15" hidden="false" customHeight="false" outlineLevel="0" collapsed="false">
      <c r="A81" s="2" t="s">
        <v>64</v>
      </c>
      <c r="B81" s="15" t="n">
        <f aca="false">$B$87/(($B$91+$B$92)/2)*($B$93+0)/2</f>
        <v>1.38965237303607</v>
      </c>
      <c r="C81" s="15" t="n">
        <f aca="false">$B$88/(($B$91+$B$92)/2)*($B$94+0)/2</f>
        <v>1.38965237303607</v>
      </c>
      <c r="D81" s="15" t="n">
        <f aca="false">$B$89/(($B$91+$B$92)/2)*($B$95+$B$96)/2</f>
        <v>1.45909219484776</v>
      </c>
    </row>
    <row r="82" customFormat="false" ht="15" hidden="false" customHeight="false" outlineLevel="0" collapsed="false">
      <c r="A82" s="2" t="s">
        <v>65</v>
      </c>
      <c r="B82" s="15" t="n">
        <f aca="false">$B$87/($B$87*$B$91)*($B$91+$B$87*$B$93)</f>
        <v>2.61720972084306</v>
      </c>
      <c r="C82" s="15" t="n">
        <f aca="false">$B$88/($B$87*$B$91)*($B$87*$B$94)</f>
        <v>1.61720972084306</v>
      </c>
      <c r="D82" s="15" t="n">
        <f aca="false">$B$89/($B$87*$B$91)*($B$87*$B$95)</f>
        <v>1.74480648056204</v>
      </c>
    </row>
    <row r="83" customFormat="false" ht="15" hidden="false" customHeight="false" outlineLevel="0" collapsed="false">
      <c r="A83" s="2" t="s">
        <v>66</v>
      </c>
      <c r="B83" s="15" t="n">
        <f aca="false">$B$87/($B$88*$B$91)*($B$88*$B$93)</f>
        <v>1.61720972084306</v>
      </c>
      <c r="C83" s="15" t="n">
        <f aca="false">$B$88/($B$88*$B$91)*($B$91+$B$88*$B$94)</f>
        <v>2.61720972084306</v>
      </c>
      <c r="D83" s="15" t="n">
        <f aca="false">$B$89/($B$88*$B$91)*($B$88*$B$95)</f>
        <v>1.74480648056204</v>
      </c>
    </row>
    <row r="84" customFormat="false" ht="15" hidden="false" customHeight="false" outlineLevel="0" collapsed="false">
      <c r="A84" s="4" t="s">
        <v>209</v>
      </c>
      <c r="B84" s="15" t="n">
        <f aca="false">$B$87/($B$91*(1+$B$87+$B$88))*($B$93*(1+$B$87+$B$88)+$B$91)</f>
        <v>1.80643664244323</v>
      </c>
      <c r="C84" s="15" t="n">
        <f aca="false">$B$88/($B$91*(1+$B$87+$B$88))*($B$94*(1+$B$87+$B$88)+$B$91)</f>
        <v>1.80643664244323</v>
      </c>
      <c r="D84" s="15" t="n">
        <f aca="false">$B$89/($B$91*(1+$B$87+$B$88))*($B$95*(1+$B$87+$B$88))</f>
        <v>1.74480648056204</v>
      </c>
    </row>
    <row r="85" customFormat="false" ht="15" hidden="false" customHeight="false" outlineLevel="0" collapsed="false">
      <c r="A85" s="2" t="s">
        <v>210</v>
      </c>
      <c r="B85" s="15" t="n">
        <f aca="false">$B$87/$B$98*4*$B$87/$B$97</f>
        <v>0.343968545275117</v>
      </c>
      <c r="C85" s="15" t="n">
        <f aca="false">$B$88/$B$98*4*$B$88/$B$97</f>
        <v>0.343968545275117</v>
      </c>
      <c r="D85" s="15" t="n">
        <f aca="false">$B$89/$B$98*0.5*(1+$B$89/$B$97)</f>
        <v>0.312062909449767</v>
      </c>
    </row>
    <row r="86" customFormat="false" ht="15" hidden="false" customHeight="false" outlineLevel="0" collapsed="false">
      <c r="A86" s="2" t="s">
        <v>211</v>
      </c>
      <c r="B86" s="15" t="n">
        <f aca="false">SUM(B85:D85)</f>
        <v>1</v>
      </c>
    </row>
    <row r="87" customFormat="false" ht="15" hidden="false" customHeight="false" outlineLevel="0" collapsed="false">
      <c r="A87" s="2" t="s">
        <v>212</v>
      </c>
      <c r="B87" s="22" t="n">
        <f aca="false">Rebudget!B15</f>
        <v>0.304445485713396</v>
      </c>
    </row>
    <row r="88" customFormat="false" ht="15" hidden="false" customHeight="false" outlineLevel="0" collapsed="false">
      <c r="A88" s="2" t="s">
        <v>213</v>
      </c>
      <c r="B88" s="22" t="n">
        <f aca="false">Rebudget!C15</f>
        <v>0.304445485713396</v>
      </c>
    </row>
    <row r="89" customFormat="false" ht="15" hidden="false" customHeight="false" outlineLevel="0" collapsed="false">
      <c r="A89" s="2" t="s">
        <v>214</v>
      </c>
      <c r="B89" s="22" t="n">
        <f aca="false">Rebudget!D15</f>
        <v>0.4</v>
      </c>
    </row>
    <row r="90" customFormat="false" ht="15" hidden="false" customHeight="false" outlineLevel="0" collapsed="false">
      <c r="A90" s="2" t="s">
        <v>215</v>
      </c>
      <c r="B90" s="13" t="n">
        <f aca="false">1-B89-2*(B87^2+B88^2)</f>
        <v>0.229251784914938</v>
      </c>
    </row>
    <row r="91" customFormat="false" ht="15" hidden="false" customHeight="false" outlineLevel="0" collapsed="false">
      <c r="A91" s="2" t="s">
        <v>216</v>
      </c>
      <c r="B91" s="13" t="n">
        <f aca="false">Shock/B90</f>
        <v>43.6201620140511</v>
      </c>
    </row>
    <row r="92" customFormat="false" ht="15" hidden="false" customHeight="false" outlineLevel="0" collapsed="false">
      <c r="A92" s="2" t="s">
        <v>217</v>
      </c>
      <c r="B92" s="13" t="n">
        <f aca="false">Shock/(1+B89)</f>
        <v>7.14285714285714</v>
      </c>
    </row>
    <row r="93" customFormat="false" ht="15" hidden="false" customHeight="false" outlineLevel="0" collapsed="false">
      <c r="A93" s="2" t="s">
        <v>218</v>
      </c>
      <c r="B93" s="13" t="n">
        <f aca="false">4*B87*B91/B90</f>
        <v>231.709627319887</v>
      </c>
    </row>
    <row r="94" customFormat="false" ht="15" hidden="false" customHeight="false" outlineLevel="0" collapsed="false">
      <c r="A94" s="2" t="s">
        <v>219</v>
      </c>
      <c r="B94" s="13" t="n">
        <f aca="false">4*B88*B91/B90</f>
        <v>231.709627319887</v>
      </c>
    </row>
    <row r="95" customFormat="false" ht="15" hidden="false" customHeight="false" outlineLevel="0" collapsed="false">
      <c r="A95" s="2" t="s">
        <v>220</v>
      </c>
      <c r="B95" s="13" t="n">
        <f aca="false">B91/B90</f>
        <v>190.271853413206</v>
      </c>
    </row>
    <row r="96" customFormat="false" ht="15" hidden="false" customHeight="false" outlineLevel="0" collapsed="false">
      <c r="A96" s="2" t="s">
        <v>221</v>
      </c>
      <c r="B96" s="13" t="n">
        <f aca="false">-B92/(1+B89)</f>
        <v>-5.10204081632653</v>
      </c>
    </row>
    <row r="97" customFormat="false" ht="15" hidden="false" customHeight="false" outlineLevel="0" collapsed="false">
      <c r="A97" s="2" t="s">
        <v>222</v>
      </c>
      <c r="B97" s="13" t="n">
        <f aca="false">SQRT(B89^2+8*(B87^2+B88^2))</f>
        <v>1.28179283050743</v>
      </c>
    </row>
    <row r="98" customFormat="false" ht="15" hidden="false" customHeight="false" outlineLevel="0" collapsed="false">
      <c r="A98" s="2" t="s">
        <v>223</v>
      </c>
      <c r="B98" s="13" t="n">
        <f aca="false">(B89+B97)/2</f>
        <v>0.840896415253715</v>
      </c>
    </row>
    <row r="102" customFormat="false" ht="23.85" hidden="false" customHeight="false" outlineLevel="0" collapsed="false">
      <c r="A102" s="8" t="s">
        <v>225</v>
      </c>
      <c r="B102" s="8" t="s">
        <v>184</v>
      </c>
      <c r="C102" s="8" t="s">
        <v>226</v>
      </c>
      <c r="D102" s="8" t="s">
        <v>135</v>
      </c>
      <c r="E102" s="8" t="s">
        <v>73</v>
      </c>
      <c r="F102" s="8" t="s">
        <v>227</v>
      </c>
      <c r="G102" s="8" t="s">
        <v>228</v>
      </c>
    </row>
    <row r="103" customFormat="false" ht="15" hidden="false" customHeight="false" outlineLevel="0" collapsed="false">
      <c r="A103" s="2" t="s">
        <v>229</v>
      </c>
      <c r="B103" s="24" t="n">
        <v>0.8</v>
      </c>
      <c r="C103" s="15" t="n">
        <f aca="false">B103/Rebudget!$E$11</f>
        <v>1</v>
      </c>
      <c r="D103" s="16" t="n">
        <f aca="false">1/(1-B103)</f>
        <v>5</v>
      </c>
      <c r="E103" s="18" t="n">
        <f aca="false">LN(2)/LN(1/B103)</f>
        <v>3.10628371950539</v>
      </c>
      <c r="F103" s="18" t="n">
        <f aca="false">Shock/(1-4*(Ceiling*C103)^2)*(1+2*Ceiling*C103)</f>
        <v>50</v>
      </c>
      <c r="G103" s="18" t="n">
        <f aca="false">(Shock/(1-4*(Ceiling*C103)^2)+Shock)/2</f>
        <v>18.8888888888889</v>
      </c>
    </row>
    <row r="104" customFormat="false" ht="15" hidden="false" customHeight="false" outlineLevel="0" collapsed="false">
      <c r="A104" s="2" t="s">
        <v>230</v>
      </c>
      <c r="B104" s="22" t="n">
        <f aca="false">R_star</f>
        <v>0.840896415253715</v>
      </c>
      <c r="C104" s="15" t="n">
        <f aca="false">B104/Rebudget!$E$11</f>
        <v>1.05112051906714</v>
      </c>
      <c r="D104" s="16" t="n">
        <f aca="false">1/(1-B104)</f>
        <v>6.28521350788324</v>
      </c>
      <c r="E104" s="18" t="n">
        <f aca="false">LN(2)/LN(1/B104)</f>
        <v>4</v>
      </c>
      <c r="F104" s="18" t="n">
        <f aca="false">Shock/(1-4*(Ceiling*C104)^2)*(1+2*Ceiling*C104)</f>
        <v>62.8521350788324</v>
      </c>
      <c r="G104" s="18" t="n">
        <f aca="false">(Shock/(1-4*(Ceiling*C104)^2)+Shock)/2</f>
        <v>22.0710678118655</v>
      </c>
    </row>
    <row r="105" customFormat="false" ht="15" hidden="false" customHeight="false" outlineLevel="0" collapsed="false">
      <c r="A105" s="2"/>
      <c r="B105" s="24" t="n">
        <v>0.9</v>
      </c>
      <c r="C105" s="15" t="n">
        <f aca="false">B105/Rebudget!$E$11</f>
        <v>1.125</v>
      </c>
      <c r="D105" s="16" t="n">
        <f aca="false">1/(1-B105)</f>
        <v>10</v>
      </c>
      <c r="E105" s="18" t="n">
        <f aca="false">LN(2)/LN(1/B105)</f>
        <v>6.57881347896058</v>
      </c>
      <c r="F105" s="18" t="n">
        <f aca="false">Shock/(1-4*(Ceiling*C105)^2)*(1+2*Ceiling*C105)</f>
        <v>100</v>
      </c>
      <c r="G105" s="18" t="n">
        <f aca="false">(Shock/(1-4*(Ceiling*C105)^2)+Shock)/2</f>
        <v>31.3157894736842</v>
      </c>
    </row>
    <row r="106" customFormat="false" ht="15" hidden="false" customHeight="false" outlineLevel="0" collapsed="false">
      <c r="A106" s="2" t="s">
        <v>231</v>
      </c>
      <c r="B106" s="24" t="n">
        <v>0.95</v>
      </c>
      <c r="C106" s="15" t="n">
        <f aca="false">B106/Rebudget!$E$11</f>
        <v>1.1875</v>
      </c>
      <c r="D106" s="16" t="n">
        <f aca="false">1/(1-B106)</f>
        <v>20</v>
      </c>
      <c r="E106" s="18" t="n">
        <f aca="false">LN(2)/LN(1/B106)</f>
        <v>13.5134073339649</v>
      </c>
      <c r="F106" s="18" t="n">
        <f aca="false">Shock/(1-4*(Ceiling*C106)^2)*(1+2*Ceiling*C106)</f>
        <v>199.999999999999</v>
      </c>
      <c r="G106" s="18" t="n">
        <f aca="false">(Shock/(1-4*(Ceiling*C106)^2)+Shock)/2</f>
        <v>56.2820512820512</v>
      </c>
    </row>
    <row r="107" customFormat="false" ht="15" hidden="false" customHeight="false" outlineLevel="0" collapsed="false">
      <c r="A107" s="2"/>
      <c r="B107" s="24" t="n">
        <v>0.97</v>
      </c>
      <c r="C107" s="15" t="n">
        <f aca="false">B107/Rebudget!$E$11</f>
        <v>1.2125</v>
      </c>
      <c r="D107" s="16" t="n">
        <f aca="false">1/(1-B107)</f>
        <v>33.3333333333333</v>
      </c>
      <c r="E107" s="18" t="n">
        <f aca="false">LN(2)/LN(1/B107)</f>
        <v>22.7565730627734</v>
      </c>
      <c r="F107" s="18" t="n">
        <f aca="false">Shock/(1-4*(Ceiling*C107)^2)*(1+2*Ceiling*C107)</f>
        <v>333.333333333333</v>
      </c>
      <c r="G107" s="18" t="n">
        <f aca="false">(Shock/(1-4*(Ceiling*C107)^2)+Shock)/2</f>
        <v>89.6023688663282</v>
      </c>
    </row>
    <row r="108" customFormat="false" ht="15" hidden="false" customHeight="false" outlineLevel="0" collapsed="false">
      <c r="A108" s="2"/>
      <c r="B108" s="24" t="n">
        <v>0.99</v>
      </c>
      <c r="C108" s="15" t="n">
        <f aca="false">B108/Rebudget!$E$11</f>
        <v>1.2375</v>
      </c>
      <c r="D108" s="16" t="n">
        <f aca="false">1/(1-B108)</f>
        <v>99.9999999999999</v>
      </c>
      <c r="E108" s="18" t="n">
        <f aca="false">LN(2)/LN(1/B108)</f>
        <v>68.9675639365281</v>
      </c>
      <c r="F108" s="18" t="n">
        <f aca="false">Shock/(1-4*(Ceiling*C108)^2)*(1+2*Ceiling*C108)</f>
        <v>999.999999999987</v>
      </c>
      <c r="G108" s="18" t="n">
        <f aca="false">(Shock/(1-4*(Ceiling*C108)^2)+Shock)/2</f>
        <v>256.256281407032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0" min="2" style="0" width="13"/>
    <col collapsed="false" customWidth="true" hidden="false" outlineLevel="0" max="22" min="22" style="0" width="70"/>
    <col collapsed="false" customWidth="true" hidden="false" outlineLevel="0" max="23" min="23" style="0" width="14"/>
  </cols>
  <sheetData>
    <row r="1" customFormat="false" ht="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10" t="s">
        <v>233</v>
      </c>
    </row>
    <row r="3" customFormat="false" ht="15" hidden="false" customHeight="false" outlineLevel="0" collapsed="false">
      <c r="V3" s="8" t="s">
        <v>234</v>
      </c>
      <c r="W3" s="8" t="s">
        <v>19</v>
      </c>
    </row>
    <row r="4" customFormat="false" ht="35.05" hidden="false" customHeight="false" outlineLevel="0" collapsed="false">
      <c r="A4" s="8" t="s">
        <v>103</v>
      </c>
      <c r="B4" s="8" t="s">
        <v>235</v>
      </c>
      <c r="C4" s="8" t="s">
        <v>236</v>
      </c>
      <c r="D4" s="8" t="s">
        <v>237</v>
      </c>
      <c r="E4" s="8" t="s">
        <v>111</v>
      </c>
      <c r="F4" s="8" t="s">
        <v>112</v>
      </c>
      <c r="G4" s="8" t="s">
        <v>113</v>
      </c>
      <c r="H4" s="8" t="s">
        <v>114</v>
      </c>
      <c r="I4" s="8" t="s">
        <v>115</v>
      </c>
      <c r="J4" s="8" t="s">
        <v>238</v>
      </c>
      <c r="K4" s="8" t="s">
        <v>58</v>
      </c>
      <c r="L4" s="8" t="s">
        <v>59</v>
      </c>
      <c r="M4" s="8" t="s">
        <v>60</v>
      </c>
      <c r="N4" s="8" t="s">
        <v>239</v>
      </c>
      <c r="O4" s="8" t="s">
        <v>240</v>
      </c>
      <c r="P4" s="8" t="s">
        <v>241</v>
      </c>
      <c r="Q4" s="8" t="s">
        <v>242</v>
      </c>
      <c r="R4" s="8" t="s">
        <v>58</v>
      </c>
      <c r="S4" s="8" t="s">
        <v>59</v>
      </c>
      <c r="T4" s="8" t="s">
        <v>60</v>
      </c>
      <c r="V4" s="2" t="s">
        <v>243</v>
      </c>
      <c r="W4" s="15" t="n">
        <f aca="false">Ceiling</f>
        <v>0.4</v>
      </c>
    </row>
    <row r="5" customFormat="false" ht="15" hidden="false" customHeight="false" outlineLevel="0" collapsed="false">
      <c r="A5" s="20" t="n">
        <v>0</v>
      </c>
      <c r="B5" s="15" t="n">
        <f aca="false">SUM(Q5:T5)</f>
        <v>20</v>
      </c>
      <c r="C5" s="23" t="n">
        <f aca="false">Rebudget!F35</f>
        <v>10</v>
      </c>
      <c r="D5" s="15" t="n">
        <f aca="false">B5/C5</f>
        <v>2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f aca="false">SUM(E5:H5)</f>
        <v>0</v>
      </c>
      <c r="J5" s="15" t="n">
        <v>0</v>
      </c>
      <c r="K5" s="15" t="n">
        <f aca="false">Shock</f>
        <v>10</v>
      </c>
      <c r="L5" s="15" t="n">
        <v>0</v>
      </c>
      <c r="M5" s="15" t="n">
        <v>0</v>
      </c>
      <c r="N5" s="15" t="n">
        <f aca="false">SUM(J5:M5)</f>
        <v>10</v>
      </c>
      <c r="O5" s="15" t="n">
        <f aca="false">(Q5+R5+S5+T5)/2</f>
        <v>10</v>
      </c>
      <c r="P5" s="15" t="n">
        <f aca="false">N5</f>
        <v>10</v>
      </c>
      <c r="Q5" s="15" t="n">
        <v>0</v>
      </c>
      <c r="R5" s="15" t="n">
        <f aca="false">2*Shock</f>
        <v>20</v>
      </c>
      <c r="S5" s="15" t="n">
        <v>0</v>
      </c>
      <c r="T5" s="15" t="n">
        <v>0</v>
      </c>
      <c r="V5" s="2" t="s">
        <v>244</v>
      </c>
      <c r="W5" s="11" t="n">
        <v>0.39</v>
      </c>
    </row>
    <row r="6" customFormat="false" ht="15" hidden="false" customHeight="false" outlineLevel="0" collapsed="false">
      <c r="A6" s="20" t="n">
        <v>1</v>
      </c>
      <c r="B6" s="15" t="n">
        <f aca="false">SUM(Q6:T6)</f>
        <v>16</v>
      </c>
      <c r="C6" s="23" t="n">
        <f aca="false">Rebudget!F36</f>
        <v>8</v>
      </c>
      <c r="D6" s="15" t="n">
        <f aca="false">B6/C6</f>
        <v>2</v>
      </c>
      <c r="E6" s="15" t="n">
        <f aca="false">0*F5+Ceiling*G5+Ceiling*H5</f>
        <v>0</v>
      </c>
      <c r="F6" s="15" t="n">
        <f aca="false">0*E5+Ceiling*G5+Ceiling*H5+Shock</f>
        <v>10</v>
      </c>
      <c r="G6" s="15" t="n">
        <f aca="false">Ceiling*(E5+F5)</f>
        <v>0</v>
      </c>
      <c r="H6" s="15" t="n">
        <f aca="false">Ceiling*(E5+F5)</f>
        <v>0</v>
      </c>
      <c r="I6" s="15" t="n">
        <f aca="false">SUM(E6:H6)</f>
        <v>10</v>
      </c>
      <c r="J6" s="15" t="n">
        <f aca="false">Ceiling*K5+Ceiling*L5+Ceiling*M5</f>
        <v>4</v>
      </c>
      <c r="K6" s="15" t="n">
        <f aca="false">Ceiling*J5+Ceiling*L5+Ceiling*M5</f>
        <v>0</v>
      </c>
      <c r="L6" s="15" t="n">
        <f aca="false">Ceiling*(J5+K5)</f>
        <v>4</v>
      </c>
      <c r="M6" s="15" t="n">
        <f aca="false">Ceiling*(J5+K5)</f>
        <v>4</v>
      </c>
      <c r="N6" s="15" t="n">
        <f aca="false">SUM(J6:M6)</f>
        <v>12</v>
      </c>
      <c r="O6" s="15" t="n">
        <f aca="false">O5+(Q6+R6+S6+T6)/2</f>
        <v>18</v>
      </c>
      <c r="P6" s="15" t="n">
        <f aca="false">P5+N6</f>
        <v>22</v>
      </c>
      <c r="Q6" s="15" t="n">
        <f aca="false">0*R5+Ceiling*S5+Ceiling*T5</f>
        <v>0</v>
      </c>
      <c r="R6" s="15" t="n">
        <f aca="false">0*Q5+Ceiling*S5+Ceiling*T5</f>
        <v>0</v>
      </c>
      <c r="S6" s="15" t="n">
        <f aca="false">Ceiling*(Q5+R5)</f>
        <v>8</v>
      </c>
      <c r="T6" s="15" t="n">
        <f aca="false">Ceiling*(Q5+R5)</f>
        <v>8</v>
      </c>
      <c r="V6" s="2" t="s">
        <v>245</v>
      </c>
      <c r="W6" s="15" t="n">
        <f aca="false">Ceiling</f>
        <v>0.4</v>
      </c>
    </row>
    <row r="7" customFormat="false" ht="15" hidden="false" customHeight="false" outlineLevel="0" collapsed="false">
      <c r="A7" s="20" t="n">
        <v>2</v>
      </c>
      <c r="B7" s="15" t="n">
        <f aca="false">SUM(Q7:T7)</f>
        <v>12.8</v>
      </c>
      <c r="C7" s="23" t="n">
        <f aca="false">Rebudget!F37</f>
        <v>6.4</v>
      </c>
      <c r="D7" s="15" t="n">
        <f aca="false">B7/C7</f>
        <v>2</v>
      </c>
      <c r="E7" s="15" t="n">
        <f aca="false">0*F6+Ceiling*G6+Ceiling*H6</f>
        <v>0</v>
      </c>
      <c r="F7" s="15" t="n">
        <f aca="false">0*E6+Ceiling*G6+Ceiling*H6+Shock</f>
        <v>10</v>
      </c>
      <c r="G7" s="15" t="n">
        <f aca="false">Ceiling*(E6+F6)</f>
        <v>4</v>
      </c>
      <c r="H7" s="15" t="n">
        <f aca="false">Ceiling*(E6+F6)</f>
        <v>4</v>
      </c>
      <c r="I7" s="15" t="n">
        <f aca="false">SUM(E7:H7)</f>
        <v>18</v>
      </c>
      <c r="J7" s="15" t="n">
        <f aca="false">Ceiling*K6+Ceiling*L6+Ceiling*M6</f>
        <v>3.2</v>
      </c>
      <c r="K7" s="15" t="n">
        <f aca="false">Ceiling*J6+Ceiling*L6+Ceiling*M6</f>
        <v>4.8</v>
      </c>
      <c r="L7" s="15" t="n">
        <f aca="false">Ceiling*(J6+K6)</f>
        <v>1.6</v>
      </c>
      <c r="M7" s="15" t="n">
        <f aca="false">Ceiling*(J6+K6)</f>
        <v>1.6</v>
      </c>
      <c r="N7" s="15" t="n">
        <f aca="false">SUM(J7:M7)</f>
        <v>11.2</v>
      </c>
      <c r="O7" s="15" t="n">
        <f aca="false">O6+(Q7+R7+S7+T7)/2</f>
        <v>24.4</v>
      </c>
      <c r="P7" s="15" t="n">
        <f aca="false">P6+N7</f>
        <v>33.2</v>
      </c>
      <c r="Q7" s="15" t="n">
        <f aca="false">0*R6+Ceiling*S6+Ceiling*T6</f>
        <v>6.4</v>
      </c>
      <c r="R7" s="15" t="n">
        <f aca="false">0*Q6+Ceiling*S6+Ceiling*T6</f>
        <v>6.4</v>
      </c>
      <c r="S7" s="15" t="n">
        <f aca="false">Ceiling*(Q6+R6)</f>
        <v>0</v>
      </c>
      <c r="T7" s="15" t="n">
        <f aca="false">Ceiling*(Q6+R6)</f>
        <v>0</v>
      </c>
      <c r="V7" s="2" t="s">
        <v>246</v>
      </c>
      <c r="W7" s="13" t="n">
        <f aca="false">SQRT(8*(W4^2+W6^2))</f>
        <v>1.6</v>
      </c>
    </row>
    <row r="8" customFormat="false" ht="15" hidden="false" customHeight="false" outlineLevel="0" collapsed="false">
      <c r="A8" s="20" t="n">
        <v>3</v>
      </c>
      <c r="B8" s="15" t="n">
        <f aca="false">SUM(Q8:T8)</f>
        <v>10.24</v>
      </c>
      <c r="C8" s="23" t="n">
        <f aca="false">Rebudget!F38</f>
        <v>5.12</v>
      </c>
      <c r="D8" s="15" t="n">
        <f aca="false">B8/C8</f>
        <v>2</v>
      </c>
      <c r="E8" s="15" t="n">
        <f aca="false">0*F7+Ceiling*G7+Ceiling*H7</f>
        <v>3.2</v>
      </c>
      <c r="F8" s="15" t="n">
        <f aca="false">0*E7+Ceiling*G7+Ceiling*H7+Shock</f>
        <v>13.2</v>
      </c>
      <c r="G8" s="15" t="n">
        <f aca="false">Ceiling*(E7+F7)</f>
        <v>4</v>
      </c>
      <c r="H8" s="15" t="n">
        <f aca="false">Ceiling*(E7+F7)</f>
        <v>4</v>
      </c>
      <c r="I8" s="15" t="n">
        <f aca="false">SUM(E8:H8)</f>
        <v>24.4</v>
      </c>
      <c r="J8" s="15" t="n">
        <f aca="false">Ceiling*K7+Ceiling*L7+Ceiling*M7</f>
        <v>3.2</v>
      </c>
      <c r="K8" s="15" t="n">
        <f aca="false">Ceiling*J7+Ceiling*L7+Ceiling*M7</f>
        <v>2.56</v>
      </c>
      <c r="L8" s="15" t="n">
        <f aca="false">Ceiling*(J7+K7)</f>
        <v>3.2</v>
      </c>
      <c r="M8" s="15" t="n">
        <f aca="false">Ceiling*(J7+K7)</f>
        <v>3.2</v>
      </c>
      <c r="N8" s="15" t="n">
        <f aca="false">SUM(J8:M8)</f>
        <v>12.16</v>
      </c>
      <c r="O8" s="15" t="n">
        <f aca="false">O7+(Q8+R8+S8+T8)/2</f>
        <v>29.52</v>
      </c>
      <c r="P8" s="15" t="n">
        <f aca="false">P7+N8</f>
        <v>45.36</v>
      </c>
      <c r="Q8" s="15" t="n">
        <f aca="false">0*R7+Ceiling*S7+Ceiling*T7</f>
        <v>0</v>
      </c>
      <c r="R8" s="15" t="n">
        <f aca="false">0*Q7+Ceiling*S7+Ceiling*T7</f>
        <v>0</v>
      </c>
      <c r="S8" s="15" t="n">
        <f aca="false">Ceiling*(Q7+R7)</f>
        <v>5.12</v>
      </c>
      <c r="T8" s="15" t="n">
        <f aca="false">Ceiling*(Q7+R7)</f>
        <v>5.12</v>
      </c>
      <c r="V8" s="2" t="s">
        <v>247</v>
      </c>
      <c r="W8" s="13" t="n">
        <f aca="false">W7/2</f>
        <v>0.8</v>
      </c>
    </row>
    <row r="9" customFormat="false" ht="15" hidden="false" customHeight="false" outlineLevel="0" collapsed="false">
      <c r="A9" s="20" t="n">
        <v>4</v>
      </c>
      <c r="B9" s="15" t="n">
        <f aca="false">SUM(Q9:T9)</f>
        <v>8.192</v>
      </c>
      <c r="C9" s="23" t="n">
        <f aca="false">Rebudget!F39</f>
        <v>4.096</v>
      </c>
      <c r="D9" s="15" t="n">
        <f aca="false">B9/C9</f>
        <v>2</v>
      </c>
      <c r="E9" s="15" t="n">
        <f aca="false">0*F8+Ceiling*G8+Ceiling*H8</f>
        <v>3.2</v>
      </c>
      <c r="F9" s="15" t="n">
        <f aca="false">0*E8+Ceiling*G8+Ceiling*H8+Shock</f>
        <v>13.2</v>
      </c>
      <c r="G9" s="15" t="n">
        <f aca="false">Ceiling*(E8+F8)</f>
        <v>6.56</v>
      </c>
      <c r="H9" s="15" t="n">
        <f aca="false">Ceiling*(E8+F8)</f>
        <v>6.56</v>
      </c>
      <c r="I9" s="15" t="n">
        <f aca="false">SUM(E9:H9)</f>
        <v>29.52</v>
      </c>
      <c r="J9" s="15" t="n">
        <f aca="false">Ceiling*K8+Ceiling*L8+Ceiling*M8</f>
        <v>3.584</v>
      </c>
      <c r="K9" s="15" t="n">
        <f aca="false">Ceiling*J8+Ceiling*L8+Ceiling*M8</f>
        <v>3.84</v>
      </c>
      <c r="L9" s="15" t="n">
        <f aca="false">Ceiling*(J8+K8)</f>
        <v>2.304</v>
      </c>
      <c r="M9" s="15" t="n">
        <f aca="false">Ceiling*(J8+K8)</f>
        <v>2.304</v>
      </c>
      <c r="N9" s="15" t="n">
        <f aca="false">SUM(J9:M9)</f>
        <v>12.032</v>
      </c>
      <c r="O9" s="15" t="n">
        <f aca="false">O8+(Q9+R9+S9+T9)/2</f>
        <v>33.616</v>
      </c>
      <c r="P9" s="15" t="n">
        <f aca="false">P8+N9</f>
        <v>57.392</v>
      </c>
      <c r="Q9" s="15" t="n">
        <f aca="false">0*R8+Ceiling*S8+Ceiling*T8</f>
        <v>4.096</v>
      </c>
      <c r="R9" s="15" t="n">
        <f aca="false">0*Q8+Ceiling*S8+Ceiling*T8</f>
        <v>4.096</v>
      </c>
      <c r="S9" s="15" t="n">
        <f aca="false">Ceiling*(Q8+R8)</f>
        <v>0</v>
      </c>
      <c r="T9" s="15" t="n">
        <f aca="false">Ceiling*(Q8+R8)</f>
        <v>0</v>
      </c>
      <c r="V9" s="2" t="s">
        <v>248</v>
      </c>
      <c r="W9" s="13" t="n">
        <f aca="false">4*W4/W7</f>
        <v>1</v>
      </c>
    </row>
    <row r="10" customFormat="false" ht="15" hidden="false" customHeight="false" outlineLevel="0" collapsed="false">
      <c r="A10" s="20" t="n">
        <v>5</v>
      </c>
      <c r="B10" s="15" t="n">
        <f aca="false">SUM(Q10:T10)</f>
        <v>6.5536</v>
      </c>
      <c r="C10" s="23" t="n">
        <f aca="false">Rebudget!F40</f>
        <v>3.2768</v>
      </c>
      <c r="D10" s="15" t="n">
        <f aca="false">B10/C10</f>
        <v>2</v>
      </c>
      <c r="E10" s="15" t="n">
        <f aca="false">0*F9+Ceiling*G9+Ceiling*H9</f>
        <v>5.248</v>
      </c>
      <c r="F10" s="15" t="n">
        <f aca="false">0*E9+Ceiling*G9+Ceiling*H9+Shock</f>
        <v>15.248</v>
      </c>
      <c r="G10" s="15" t="n">
        <f aca="false">Ceiling*(E9+F9)</f>
        <v>6.56</v>
      </c>
      <c r="H10" s="15" t="n">
        <f aca="false">Ceiling*(E9+F9)</f>
        <v>6.56</v>
      </c>
      <c r="I10" s="15" t="n">
        <f aca="false">SUM(E10:H10)</f>
        <v>33.616</v>
      </c>
      <c r="J10" s="15" t="n">
        <f aca="false">Ceiling*K9+Ceiling*L9+Ceiling*M9</f>
        <v>3.3792</v>
      </c>
      <c r="K10" s="15" t="n">
        <f aca="false">Ceiling*J9+Ceiling*L9+Ceiling*M9</f>
        <v>3.2768</v>
      </c>
      <c r="L10" s="15" t="n">
        <f aca="false">Ceiling*(J9+K9)</f>
        <v>2.9696</v>
      </c>
      <c r="M10" s="15" t="n">
        <f aca="false">Ceiling*(J9+K9)</f>
        <v>2.9696</v>
      </c>
      <c r="N10" s="15" t="n">
        <f aca="false">SUM(J10:M10)</f>
        <v>12.5952</v>
      </c>
      <c r="O10" s="15" t="n">
        <f aca="false">O9+(Q10+R10+S10+T10)/2</f>
        <v>36.8928</v>
      </c>
      <c r="P10" s="15" t="n">
        <f aca="false">P9+N10</f>
        <v>69.9872</v>
      </c>
      <c r="Q10" s="15" t="n">
        <f aca="false">0*R9+Ceiling*S9+Ceiling*T9</f>
        <v>0</v>
      </c>
      <c r="R10" s="15" t="n">
        <f aca="false">0*Q9+Ceiling*S9+Ceiling*T9</f>
        <v>0</v>
      </c>
      <c r="S10" s="15" t="n">
        <f aca="false">Ceiling*(Q9+R9)</f>
        <v>3.2768</v>
      </c>
      <c r="T10" s="15" t="n">
        <f aca="false">Ceiling*(Q9+R9)</f>
        <v>3.2768</v>
      </c>
      <c r="V10" s="2" t="s">
        <v>249</v>
      </c>
      <c r="W10" s="15" t="n">
        <f aca="false">Shock/(1-2*(W4^2+W6^2))*(1+W4+W6)</f>
        <v>50</v>
      </c>
    </row>
    <row r="11" customFormat="false" ht="15" hidden="false" customHeight="false" outlineLevel="0" collapsed="false">
      <c r="A11" s="20" t="n">
        <v>6</v>
      </c>
      <c r="B11" s="15" t="n">
        <f aca="false">SUM(Q11:T11)</f>
        <v>5.24288</v>
      </c>
      <c r="C11" s="23" t="n">
        <f aca="false">Rebudget!F41</f>
        <v>2.62144</v>
      </c>
      <c r="D11" s="15" t="n">
        <f aca="false">B11/C11</f>
        <v>2</v>
      </c>
      <c r="E11" s="15" t="n">
        <f aca="false">0*F10+Ceiling*G10+Ceiling*H10</f>
        <v>5.248</v>
      </c>
      <c r="F11" s="15" t="n">
        <f aca="false">0*E10+Ceiling*G10+Ceiling*H10+Shock</f>
        <v>15.248</v>
      </c>
      <c r="G11" s="15" t="n">
        <f aca="false">Ceiling*(E10+F10)</f>
        <v>8.1984</v>
      </c>
      <c r="H11" s="15" t="n">
        <f aca="false">Ceiling*(E10+F10)</f>
        <v>8.1984</v>
      </c>
      <c r="I11" s="15" t="n">
        <f aca="false">SUM(E11:H11)</f>
        <v>36.8928</v>
      </c>
      <c r="J11" s="15" t="n">
        <f aca="false">Ceiling*K10+Ceiling*L10+Ceiling*M10</f>
        <v>3.6864</v>
      </c>
      <c r="K11" s="15" t="n">
        <f aca="false">Ceiling*J10+Ceiling*L10+Ceiling*M10</f>
        <v>3.72736</v>
      </c>
      <c r="L11" s="15" t="n">
        <f aca="false">Ceiling*(J10+K10)</f>
        <v>2.6624</v>
      </c>
      <c r="M11" s="15" t="n">
        <f aca="false">Ceiling*(J10+K10)</f>
        <v>2.6624</v>
      </c>
      <c r="N11" s="15" t="n">
        <f aca="false">SUM(J11:M11)</f>
        <v>12.73856</v>
      </c>
      <c r="O11" s="15" t="n">
        <f aca="false">O10+(Q11+R11+S11+T11)/2</f>
        <v>39.51424</v>
      </c>
      <c r="P11" s="15" t="n">
        <f aca="false">P10+N11</f>
        <v>82.72576</v>
      </c>
      <c r="Q11" s="15" t="n">
        <f aca="false">0*R10+Ceiling*S10+Ceiling*T10</f>
        <v>2.62144</v>
      </c>
      <c r="R11" s="15" t="n">
        <f aca="false">0*Q10+Ceiling*S10+Ceiling*T10</f>
        <v>2.62144</v>
      </c>
      <c r="S11" s="15" t="n">
        <f aca="false">Ceiling*(Q10+R10)</f>
        <v>0</v>
      </c>
      <c r="T11" s="15" t="n">
        <f aca="false">Ceiling*(Q10+R10)</f>
        <v>0</v>
      </c>
      <c r="V11" s="2" t="s">
        <v>250</v>
      </c>
      <c r="W11" s="16" t="n">
        <f aca="false">4*W4*(Shock/(1-2*(W4^2+W6^2)))/(1-2*(W4^2+W6^2))*(1+W4+W6)+Shock/(1-2*(W4^2+W6^2))</f>
        <v>250</v>
      </c>
    </row>
    <row r="12" customFormat="false" ht="15" hidden="false" customHeight="false" outlineLevel="0" collapsed="false">
      <c r="A12" s="20" t="n">
        <v>7</v>
      </c>
      <c r="B12" s="15" t="n">
        <f aca="false">SUM(Q12:T12)</f>
        <v>4.194304</v>
      </c>
      <c r="C12" s="23" t="n">
        <f aca="false">Rebudget!F42</f>
        <v>2.097152</v>
      </c>
      <c r="D12" s="15" t="n">
        <f aca="false">B12/C12</f>
        <v>2</v>
      </c>
      <c r="E12" s="15" t="n">
        <f aca="false">0*F11+Ceiling*G11+Ceiling*H11</f>
        <v>6.55872</v>
      </c>
      <c r="F12" s="15" t="n">
        <f aca="false">0*E11+Ceiling*G11+Ceiling*H11+Shock</f>
        <v>16.55872</v>
      </c>
      <c r="G12" s="15" t="n">
        <f aca="false">Ceiling*(E11+F11)</f>
        <v>8.1984</v>
      </c>
      <c r="H12" s="15" t="n">
        <f aca="false">Ceiling*(E11+F11)</f>
        <v>8.1984</v>
      </c>
      <c r="I12" s="15" t="n">
        <f aca="false">SUM(E12:H12)</f>
        <v>39.51424</v>
      </c>
      <c r="J12" s="15" t="n">
        <f aca="false">Ceiling*K11+Ceiling*L11+Ceiling*M11</f>
        <v>3.620864</v>
      </c>
      <c r="K12" s="15" t="n">
        <f aca="false">Ceiling*J11+Ceiling*L11+Ceiling*M11</f>
        <v>3.60448</v>
      </c>
      <c r="L12" s="15" t="n">
        <f aca="false">Ceiling*(J11+K11)</f>
        <v>2.965504</v>
      </c>
      <c r="M12" s="15" t="n">
        <f aca="false">Ceiling*(J11+K11)</f>
        <v>2.965504</v>
      </c>
      <c r="N12" s="15" t="n">
        <f aca="false">SUM(J12:M12)</f>
        <v>13.156352</v>
      </c>
      <c r="O12" s="15" t="n">
        <f aca="false">O11+(Q12+R12+S12+T12)/2</f>
        <v>41.611392</v>
      </c>
      <c r="P12" s="15" t="n">
        <f aca="false">P11+N12</f>
        <v>95.882112</v>
      </c>
      <c r="Q12" s="15" t="n">
        <f aca="false">0*R11+Ceiling*S11+Ceiling*T11</f>
        <v>0</v>
      </c>
      <c r="R12" s="15" t="n">
        <f aca="false">0*Q11+Ceiling*S11+Ceiling*T11</f>
        <v>0</v>
      </c>
      <c r="S12" s="15" t="n">
        <f aca="false">Ceiling*(Q11+R11)</f>
        <v>2.097152</v>
      </c>
      <c r="T12" s="15" t="n">
        <f aca="false">Ceiling*(Q11+R11)</f>
        <v>2.097152</v>
      </c>
      <c r="V12" s="2" t="s">
        <v>251</v>
      </c>
      <c r="W12" s="13" t="n">
        <f aca="false">W8+(W5-W4)*W9</f>
        <v>0.79</v>
      </c>
    </row>
    <row r="13" customFormat="false" ht="15" hidden="false" customHeight="false" outlineLevel="0" collapsed="false">
      <c r="A13" s="20" t="n">
        <v>8</v>
      </c>
      <c r="B13" s="15" t="n">
        <f aca="false">SUM(Q13:T13)</f>
        <v>3.3554432</v>
      </c>
      <c r="C13" s="23" t="n">
        <f aca="false">Rebudget!F43</f>
        <v>1.6777216</v>
      </c>
      <c r="D13" s="15" t="n">
        <f aca="false">B13/C13</f>
        <v>2</v>
      </c>
      <c r="E13" s="15" t="n">
        <f aca="false">0*F12+Ceiling*G12+Ceiling*H12</f>
        <v>6.55872</v>
      </c>
      <c r="F13" s="15" t="n">
        <f aca="false">0*E12+Ceiling*G12+Ceiling*H12+Shock</f>
        <v>16.55872</v>
      </c>
      <c r="G13" s="15" t="n">
        <f aca="false">Ceiling*(E12+F12)</f>
        <v>9.246976</v>
      </c>
      <c r="H13" s="15" t="n">
        <f aca="false">Ceiling*(E12+F12)</f>
        <v>9.246976</v>
      </c>
      <c r="I13" s="15" t="n">
        <f aca="false">SUM(E13:H13)</f>
        <v>41.611392</v>
      </c>
      <c r="J13" s="15" t="n">
        <f aca="false">Ceiling*K12+Ceiling*L12+Ceiling*M12</f>
        <v>3.8141952</v>
      </c>
      <c r="K13" s="15" t="n">
        <f aca="false">Ceiling*J12+Ceiling*L12+Ceiling*M12</f>
        <v>3.8207488</v>
      </c>
      <c r="L13" s="15" t="n">
        <f aca="false">Ceiling*(J12+K12)</f>
        <v>2.8901376</v>
      </c>
      <c r="M13" s="15" t="n">
        <f aca="false">Ceiling*(J12+K12)</f>
        <v>2.8901376</v>
      </c>
      <c r="N13" s="15" t="n">
        <f aca="false">SUM(J13:M13)</f>
        <v>13.4152192</v>
      </c>
      <c r="O13" s="15" t="n">
        <f aca="false">O12+(Q13+R13+S13+T13)/2</f>
        <v>43.2891136</v>
      </c>
      <c r="P13" s="15" t="n">
        <f aca="false">P12+N13</f>
        <v>109.2973312</v>
      </c>
      <c r="Q13" s="15" t="n">
        <f aca="false">0*R12+Ceiling*S12+Ceiling*T12</f>
        <v>1.6777216</v>
      </c>
      <c r="R13" s="15" t="n">
        <f aca="false">0*Q12+Ceiling*S12+Ceiling*T12</f>
        <v>1.6777216</v>
      </c>
      <c r="S13" s="15" t="n">
        <f aca="false">Ceiling*(Q12+R12)</f>
        <v>0</v>
      </c>
      <c r="T13" s="15" t="n">
        <f aca="false">Ceiling*(Q12+R12)</f>
        <v>0</v>
      </c>
      <c r="V13" s="2" t="s">
        <v>252</v>
      </c>
      <c r="W13" s="13" t="n">
        <f aca="false">SQRT(2*(W5^2+W6^2))</f>
        <v>0.790063288604147</v>
      </c>
    </row>
    <row r="14" customFormat="false" ht="15" hidden="false" customHeight="false" outlineLevel="0" collapsed="false">
      <c r="A14" s="20" t="n">
        <v>9</v>
      </c>
      <c r="B14" s="15" t="n">
        <f aca="false">SUM(Q14:T14)</f>
        <v>2.68435456</v>
      </c>
      <c r="C14" s="23" t="n">
        <f aca="false">Rebudget!F44</f>
        <v>1.34217728</v>
      </c>
      <c r="D14" s="15" t="n">
        <f aca="false">B14/C14</f>
        <v>2</v>
      </c>
      <c r="E14" s="15" t="n">
        <f aca="false">0*F13+Ceiling*G13+Ceiling*H13</f>
        <v>7.3975808</v>
      </c>
      <c r="F14" s="15" t="n">
        <f aca="false">0*E13+Ceiling*G13+Ceiling*H13+Shock</f>
        <v>17.3975808</v>
      </c>
      <c r="G14" s="15" t="n">
        <f aca="false">Ceiling*(E13+F13)</f>
        <v>9.246976</v>
      </c>
      <c r="H14" s="15" t="n">
        <f aca="false">Ceiling*(E13+F13)</f>
        <v>9.246976</v>
      </c>
      <c r="I14" s="15" t="n">
        <f aca="false">SUM(E14:H14)</f>
        <v>43.2891136</v>
      </c>
      <c r="J14" s="15" t="n">
        <f aca="false">Ceiling*K13+Ceiling*L13+Ceiling*M13</f>
        <v>3.8404096</v>
      </c>
      <c r="K14" s="15" t="n">
        <f aca="false">Ceiling*J13+Ceiling*L13+Ceiling*M13</f>
        <v>3.83778816</v>
      </c>
      <c r="L14" s="15" t="n">
        <f aca="false">Ceiling*(J13+K13)</f>
        <v>3.0539776</v>
      </c>
      <c r="M14" s="15" t="n">
        <f aca="false">Ceiling*(J13+K13)</f>
        <v>3.0539776</v>
      </c>
      <c r="N14" s="15" t="n">
        <f aca="false">SUM(J14:M14)</f>
        <v>13.78615296</v>
      </c>
      <c r="O14" s="15" t="n">
        <f aca="false">O13+(Q14+R14+S14+T14)/2</f>
        <v>44.63129088</v>
      </c>
      <c r="P14" s="15" t="n">
        <f aca="false">P13+N14</f>
        <v>123.08348416</v>
      </c>
      <c r="Q14" s="15" t="n">
        <f aca="false">0*R13+Ceiling*S13+Ceiling*T13</f>
        <v>0</v>
      </c>
      <c r="R14" s="15" t="n">
        <f aca="false">0*Q13+Ceiling*S13+Ceiling*T13</f>
        <v>0</v>
      </c>
      <c r="S14" s="15" t="n">
        <f aca="false">Ceiling*(Q13+R13)</f>
        <v>1.34217728</v>
      </c>
      <c r="T14" s="15" t="n">
        <f aca="false">Ceiling*(Q13+R13)</f>
        <v>1.34217728</v>
      </c>
      <c r="V14" s="2" t="s">
        <v>253</v>
      </c>
      <c r="W14" s="15" t="n">
        <f aca="false">W10+(W5-W4)*W11</f>
        <v>47.5</v>
      </c>
    </row>
    <row r="15" customFormat="false" ht="15" hidden="false" customHeight="false" outlineLevel="0" collapsed="false">
      <c r="A15" s="20" t="n">
        <v>10</v>
      </c>
      <c r="B15" s="15" t="n">
        <f aca="false">SUM(Q15:T15)</f>
        <v>2.147483648</v>
      </c>
      <c r="C15" s="23" t="n">
        <f aca="false">Rebudget!F45</f>
        <v>1.073741824</v>
      </c>
      <c r="D15" s="15" t="n">
        <f aca="false">B15/C15</f>
        <v>2</v>
      </c>
      <c r="E15" s="15" t="n">
        <f aca="false">0*F14+Ceiling*G14+Ceiling*H14</f>
        <v>7.3975808</v>
      </c>
      <c r="F15" s="15" t="n">
        <f aca="false">0*E14+Ceiling*G14+Ceiling*H14+Shock</f>
        <v>17.3975808</v>
      </c>
      <c r="G15" s="15" t="n">
        <f aca="false">Ceiling*(E14+F14)</f>
        <v>9.91806464</v>
      </c>
      <c r="H15" s="15" t="n">
        <f aca="false">Ceiling*(E14+F14)</f>
        <v>9.91806464</v>
      </c>
      <c r="I15" s="15" t="n">
        <f aca="false">SUM(E15:H15)</f>
        <v>44.63129088</v>
      </c>
      <c r="J15" s="15" t="n">
        <f aca="false">Ceiling*K14+Ceiling*L14+Ceiling*M14</f>
        <v>3.978297344</v>
      </c>
      <c r="K15" s="15" t="n">
        <f aca="false">Ceiling*J14+Ceiling*L14+Ceiling*M14</f>
        <v>3.97934592</v>
      </c>
      <c r="L15" s="15" t="n">
        <f aca="false">Ceiling*(J14+K14)</f>
        <v>3.071279104</v>
      </c>
      <c r="M15" s="15" t="n">
        <f aca="false">Ceiling*(J14+K14)</f>
        <v>3.071279104</v>
      </c>
      <c r="N15" s="15" t="n">
        <f aca="false">SUM(J15:M15)</f>
        <v>14.100201472</v>
      </c>
      <c r="O15" s="15" t="n">
        <f aca="false">O14+(Q15+R15+S15+T15)/2</f>
        <v>45.705032704</v>
      </c>
      <c r="P15" s="15" t="n">
        <f aca="false">P14+N15</f>
        <v>137.183685632</v>
      </c>
      <c r="Q15" s="15" t="n">
        <f aca="false">0*R14+Ceiling*S14+Ceiling*T14</f>
        <v>1.073741824</v>
      </c>
      <c r="R15" s="15" t="n">
        <f aca="false">0*Q14+Ceiling*S14+Ceiling*T14</f>
        <v>1.073741824</v>
      </c>
      <c r="S15" s="15" t="n">
        <f aca="false">Ceiling*(Q14+R14)</f>
        <v>0</v>
      </c>
      <c r="T15" s="15" t="n">
        <f aca="false">Ceiling*(Q14+R14)</f>
        <v>0</v>
      </c>
      <c r="V15" s="2" t="s">
        <v>254</v>
      </c>
      <c r="W15" s="15" t="n">
        <f aca="false">Shock/(1-2*(W5^2+W6^2))*(1+W5+W6)</f>
        <v>47.6317189994678</v>
      </c>
    </row>
    <row r="16" customFormat="false" ht="15" hidden="false" customHeight="false" outlineLevel="0" collapsed="false">
      <c r="A16" s="20" t="n">
        <v>11</v>
      </c>
      <c r="B16" s="15" t="n">
        <f aca="false">SUM(Q16:T16)</f>
        <v>1.7179869184</v>
      </c>
      <c r="C16" s="23" t="n">
        <f aca="false">Rebudget!F46</f>
        <v>0.858993459200001</v>
      </c>
      <c r="D16" s="15" t="n">
        <f aca="false">B16/C16</f>
        <v>2</v>
      </c>
      <c r="E16" s="15" t="n">
        <f aca="false">0*F15+Ceiling*G15+Ceiling*H15</f>
        <v>7.934451712</v>
      </c>
      <c r="F16" s="15" t="n">
        <f aca="false">0*E15+Ceiling*G15+Ceiling*H15+Shock</f>
        <v>17.934451712</v>
      </c>
      <c r="G16" s="15" t="n">
        <f aca="false">Ceiling*(E15+F15)</f>
        <v>9.91806464</v>
      </c>
      <c r="H16" s="15" t="n">
        <f aca="false">Ceiling*(E15+F15)</f>
        <v>9.91806464</v>
      </c>
      <c r="I16" s="15" t="n">
        <f aca="false">SUM(E16:H16)</f>
        <v>45.705032704</v>
      </c>
      <c r="J16" s="15" t="n">
        <f aca="false">Ceiling*K15+Ceiling*L15+Ceiling*M15</f>
        <v>4.0487616512</v>
      </c>
      <c r="K16" s="15" t="n">
        <f aca="false">Ceiling*J15+Ceiling*L15+Ceiling*M15</f>
        <v>4.0483422208</v>
      </c>
      <c r="L16" s="15" t="n">
        <f aca="false">Ceiling*(J15+K15)</f>
        <v>3.1830573056</v>
      </c>
      <c r="M16" s="15" t="n">
        <f aca="false">Ceiling*(J15+K15)</f>
        <v>3.1830573056</v>
      </c>
      <c r="N16" s="15" t="n">
        <f aca="false">SUM(J16:M16)</f>
        <v>14.4632184832</v>
      </c>
      <c r="O16" s="15" t="n">
        <f aca="false">O15+(Q16+R16+S16+T16)/2</f>
        <v>46.5640261632</v>
      </c>
      <c r="P16" s="15" t="n">
        <f aca="false">P15+N16</f>
        <v>151.6469041152</v>
      </c>
      <c r="Q16" s="15" t="n">
        <f aca="false">0*R15+Ceiling*S15+Ceiling*T15</f>
        <v>0</v>
      </c>
      <c r="R16" s="15" t="n">
        <f aca="false">0*Q15+Ceiling*S15+Ceiling*T15</f>
        <v>0</v>
      </c>
      <c r="S16" s="15" t="n">
        <f aca="false">Ceiling*(Q15+R15)</f>
        <v>0.858993459200001</v>
      </c>
      <c r="T16" s="15" t="n">
        <f aca="false">Ceiling*(Q15+R15)</f>
        <v>0.858993459200001</v>
      </c>
      <c r="V16" s="2" t="s">
        <v>255</v>
      </c>
      <c r="W16" s="15" t="n">
        <f aca="false">0.5</f>
        <v>0.5</v>
      </c>
    </row>
    <row r="17" customFormat="false" ht="15" hidden="false" customHeight="false" outlineLevel="0" collapsed="false">
      <c r="A17" s="20" t="n">
        <v>12</v>
      </c>
      <c r="B17" s="15" t="n">
        <f aca="false">SUM(Q17:T17)</f>
        <v>1.37438953472</v>
      </c>
      <c r="C17" s="23" t="n">
        <f aca="false">Rebudget!F47</f>
        <v>0.68719476736</v>
      </c>
      <c r="D17" s="15" t="n">
        <f aca="false">B17/C17</f>
        <v>2</v>
      </c>
      <c r="E17" s="15" t="n">
        <f aca="false">0*F16+Ceiling*G16+Ceiling*H16</f>
        <v>7.934451712</v>
      </c>
      <c r="F17" s="15" t="n">
        <f aca="false">0*E16+Ceiling*G16+Ceiling*H16+Shock</f>
        <v>17.934451712</v>
      </c>
      <c r="G17" s="15" t="n">
        <f aca="false">Ceiling*(E16+F16)</f>
        <v>10.3475613696</v>
      </c>
      <c r="H17" s="15" t="n">
        <f aca="false">Ceiling*(E16+F16)</f>
        <v>10.3475613696</v>
      </c>
      <c r="I17" s="15" t="n">
        <f aca="false">SUM(E17:H17)</f>
        <v>46.5640261632</v>
      </c>
      <c r="J17" s="15" t="n">
        <f aca="false">Ceiling*K16+Ceiling*L16+Ceiling*M16</f>
        <v>4.1657827328</v>
      </c>
      <c r="K17" s="15" t="n">
        <f aca="false">Ceiling*J16+Ceiling*L16+Ceiling*M16</f>
        <v>4.16595050496</v>
      </c>
      <c r="L17" s="15" t="n">
        <f aca="false">Ceiling*(J16+K16)</f>
        <v>3.2388415488</v>
      </c>
      <c r="M17" s="15" t="n">
        <f aca="false">Ceiling*(J16+K16)</f>
        <v>3.2388415488</v>
      </c>
      <c r="N17" s="15" t="n">
        <f aca="false">SUM(J17:M17)</f>
        <v>14.80941633536</v>
      </c>
      <c r="O17" s="15" t="n">
        <f aca="false">O16+(Q17+R17+S17+T17)/2</f>
        <v>47.25122093056</v>
      </c>
      <c r="P17" s="15" t="n">
        <f aca="false">P16+N17</f>
        <v>166.45632045056</v>
      </c>
      <c r="Q17" s="15" t="n">
        <f aca="false">0*R16+Ceiling*S16+Ceiling*T16</f>
        <v>0.68719476736</v>
      </c>
      <c r="R17" s="15" t="n">
        <f aca="false">0*Q16+Ceiling*S16+Ceiling*T16</f>
        <v>0.68719476736</v>
      </c>
      <c r="S17" s="15" t="n">
        <f aca="false">Ceiling*(Q16+R16)</f>
        <v>0</v>
      </c>
      <c r="T17" s="15" t="n">
        <f aca="false">Ceiling*(Q16+R16)</f>
        <v>0</v>
      </c>
      <c r="V17" s="2" t="s">
        <v>256</v>
      </c>
      <c r="W17" s="15" t="n">
        <f aca="false">W8+Ceiling*W16</f>
        <v>1</v>
      </c>
    </row>
    <row r="18" customFormat="false" ht="15" hidden="false" customHeight="false" outlineLevel="0" collapsed="false">
      <c r="A18" s="20" t="n">
        <v>13</v>
      </c>
      <c r="B18" s="15" t="n">
        <f aca="false">SUM(Q18:T18)</f>
        <v>1.099511627776</v>
      </c>
      <c r="E18" s="15" t="n">
        <f aca="false">0*F17+Ceiling*G17+Ceiling*H17</f>
        <v>8.27804909568</v>
      </c>
      <c r="F18" s="15" t="n">
        <f aca="false">0*E17+Ceiling*G17+Ceiling*H17+Shock</f>
        <v>18.27804909568</v>
      </c>
      <c r="G18" s="15" t="n">
        <f aca="false">Ceiling*(E17+F17)</f>
        <v>10.3475613696</v>
      </c>
      <c r="H18" s="15" t="n">
        <f aca="false">Ceiling*(E17+F17)</f>
        <v>10.3475613696</v>
      </c>
      <c r="I18" s="15" t="n">
        <f aca="false">SUM(E18:H18)</f>
        <v>47.25122093056</v>
      </c>
      <c r="J18" s="15" t="n">
        <f aca="false">Ceiling*K17+Ceiling*L17+Ceiling*M17</f>
        <v>4.257453441024</v>
      </c>
      <c r="K18" s="15" t="n">
        <f aca="false">Ceiling*J17+Ceiling*L17+Ceiling*M17</f>
        <v>4.25738633216</v>
      </c>
      <c r="L18" s="15" t="n">
        <f aca="false">Ceiling*(J17+K17)</f>
        <v>3.332693295104</v>
      </c>
      <c r="M18" s="15" t="n">
        <f aca="false">Ceiling*(J17+K17)</f>
        <v>3.332693295104</v>
      </c>
      <c r="N18" s="15" t="n">
        <f aca="false">SUM(J18:M18)</f>
        <v>15.180226363392</v>
      </c>
      <c r="O18" s="15" t="n">
        <f aca="false">O17+(Q18+R18+S18+T18)/2</f>
        <v>47.800976744448</v>
      </c>
      <c r="P18" s="15" t="n">
        <f aca="false">P17+N18</f>
        <v>181.636546813952</v>
      </c>
      <c r="Q18" s="15" t="n">
        <f aca="false">0*R17+Ceiling*S17+Ceiling*T17</f>
        <v>0</v>
      </c>
      <c r="R18" s="15" t="n">
        <f aca="false">0*Q17+Ceiling*S17+Ceiling*T17</f>
        <v>0</v>
      </c>
      <c r="S18" s="15" t="n">
        <f aca="false">Ceiling*(Q17+R17)</f>
        <v>0.549755813888</v>
      </c>
      <c r="T18" s="15" t="n">
        <f aca="false">Ceiling*(Q17+R17)</f>
        <v>0.549755813888</v>
      </c>
      <c r="V18" s="2" t="s">
        <v>257</v>
      </c>
      <c r="W18" s="16" t="n">
        <f aca="false">(Shock/(1-2*(W4^2+W6^2)))/(1-2*(W4^2+W6^2))*(1+W4+W6)</f>
        <v>138.888888888889</v>
      </c>
    </row>
    <row r="19" customFormat="false" ht="15" hidden="false" customHeight="false" outlineLevel="0" collapsed="false">
      <c r="A19" s="20" t="n">
        <v>14</v>
      </c>
      <c r="B19" s="15" t="n">
        <f aca="false">SUM(Q19:T19)</f>
        <v>0.879609302220801</v>
      </c>
      <c r="E19" s="15" t="n">
        <f aca="false">0*F18+Ceiling*G18+Ceiling*H18</f>
        <v>8.27804909568</v>
      </c>
      <c r="F19" s="15" t="n">
        <f aca="false">0*E18+Ceiling*G18+Ceiling*H18+Shock</f>
        <v>18.27804909568</v>
      </c>
      <c r="G19" s="15" t="n">
        <f aca="false">Ceiling*(E18+F18)</f>
        <v>10.622439276544</v>
      </c>
      <c r="H19" s="15" t="n">
        <f aca="false">Ceiling*(E18+F18)</f>
        <v>10.622439276544</v>
      </c>
      <c r="I19" s="15" t="n">
        <f aca="false">SUM(E19:H19)</f>
        <v>47.800976744448</v>
      </c>
      <c r="J19" s="15" t="n">
        <f aca="false">Ceiling*K18+Ceiling*L18+Ceiling*M18</f>
        <v>4.3691091689472</v>
      </c>
      <c r="K19" s="15" t="n">
        <f aca="false">Ceiling*J18+Ceiling*L18+Ceiling*M18</f>
        <v>4.3691360124928</v>
      </c>
      <c r="L19" s="15" t="n">
        <f aca="false">Ceiling*(J18+K18)</f>
        <v>3.4059359092736</v>
      </c>
      <c r="M19" s="15" t="n">
        <f aca="false">Ceiling*(J18+K18)</f>
        <v>3.4059359092736</v>
      </c>
      <c r="N19" s="15" t="n">
        <f aca="false">SUM(J19:M19)</f>
        <v>15.5501169999872</v>
      </c>
      <c r="O19" s="15" t="n">
        <f aca="false">O18+(Q19+R19+S19+T19)/2</f>
        <v>48.2407813955584</v>
      </c>
      <c r="P19" s="15" t="n">
        <f aca="false">P18+N19</f>
        <v>197.186663813939</v>
      </c>
      <c r="Q19" s="15" t="n">
        <f aca="false">0*R18+Ceiling*S18+Ceiling*T18</f>
        <v>0.4398046511104</v>
      </c>
      <c r="R19" s="15" t="n">
        <f aca="false">0*Q18+Ceiling*S18+Ceiling*T18</f>
        <v>0.4398046511104</v>
      </c>
      <c r="S19" s="15" t="n">
        <f aca="false">Ceiling*(Q18+R18)</f>
        <v>0</v>
      </c>
      <c r="T19" s="15" t="n">
        <f aca="false">Ceiling*(Q18+R18)</f>
        <v>0</v>
      </c>
      <c r="V19" s="2" t="s">
        <v>258</v>
      </c>
      <c r="W19" s="18" t="n">
        <f aca="false">W10+Ceiling*W18</f>
        <v>105.555555555556</v>
      </c>
    </row>
    <row r="20" customFormat="false" ht="15" hidden="false" customHeight="false" outlineLevel="0" collapsed="false">
      <c r="A20" s="20" t="n">
        <v>15</v>
      </c>
      <c r="B20" s="15" t="n">
        <f aca="false">SUM(Q20:T20)</f>
        <v>0.703687441776641</v>
      </c>
      <c r="E20" s="15" t="n">
        <f aca="false">0*F19+Ceiling*G19+Ceiling*H19</f>
        <v>8.4979514212352</v>
      </c>
      <c r="F20" s="15" t="n">
        <f aca="false">0*E19+Ceiling*G19+Ceiling*H19+Shock</f>
        <v>18.4979514212352</v>
      </c>
      <c r="G20" s="15" t="n">
        <f aca="false">Ceiling*(E19+F19)</f>
        <v>10.622439276544</v>
      </c>
      <c r="H20" s="15" t="n">
        <f aca="false">Ceiling*(E19+F19)</f>
        <v>10.622439276544</v>
      </c>
      <c r="I20" s="15" t="n">
        <f aca="false">SUM(E20:H20)</f>
        <v>48.2407813955584</v>
      </c>
      <c r="J20" s="15" t="n">
        <f aca="false">Ceiling*K19+Ceiling*L19+Ceiling*M19</f>
        <v>4.472403132416</v>
      </c>
      <c r="K20" s="15" t="n">
        <f aca="false">Ceiling*J19+Ceiling*L19+Ceiling*M19</f>
        <v>4.47239239499776</v>
      </c>
      <c r="L20" s="15" t="n">
        <f aca="false">Ceiling*(J19+K19)</f>
        <v>3.495298072576</v>
      </c>
      <c r="M20" s="15" t="n">
        <f aca="false">Ceiling*(J19+K19)</f>
        <v>3.495298072576</v>
      </c>
      <c r="N20" s="15" t="n">
        <f aca="false">SUM(J20:M20)</f>
        <v>15.9353916725658</v>
      </c>
      <c r="O20" s="15" t="n">
        <f aca="false">O19+(Q20+R20+S20+T20)/2</f>
        <v>48.5926251164467</v>
      </c>
      <c r="P20" s="15" t="n">
        <f aca="false">P19+N20</f>
        <v>213.122055486505</v>
      </c>
      <c r="Q20" s="15" t="n">
        <f aca="false">0*R19+Ceiling*S19+Ceiling*T19</f>
        <v>0</v>
      </c>
      <c r="R20" s="15" t="n">
        <f aca="false">0*Q19+Ceiling*S19+Ceiling*T19</f>
        <v>0</v>
      </c>
      <c r="S20" s="15" t="n">
        <f aca="false">Ceiling*(Q19+R19)</f>
        <v>0.35184372088832</v>
      </c>
      <c r="T20" s="15" t="n">
        <f aca="false">Ceiling*(Q19+R19)</f>
        <v>0.35184372088832</v>
      </c>
      <c r="V20" s="2" t="s">
        <v>259</v>
      </c>
      <c r="W20" s="22" t="n">
        <f aca="false">Rebudget!E12</f>
        <v>1.02462112512353</v>
      </c>
    </row>
    <row r="21" customFormat="false" ht="15" hidden="false" customHeight="false" outlineLevel="0" collapsed="false">
      <c r="A21" s="20" t="n">
        <v>16</v>
      </c>
      <c r="B21" s="15" t="n">
        <f aca="false">SUM(Q21:T21)</f>
        <v>0.562949953421313</v>
      </c>
      <c r="E21" s="15" t="n">
        <f aca="false">0*F20+Ceiling*G20+Ceiling*H20</f>
        <v>8.4979514212352</v>
      </c>
      <c r="F21" s="15" t="n">
        <f aca="false">0*E20+Ceiling*G20+Ceiling*H20+Shock</f>
        <v>18.4979514212352</v>
      </c>
      <c r="G21" s="15" t="n">
        <f aca="false">Ceiling*(E20+F20)</f>
        <v>10.7983611369882</v>
      </c>
      <c r="H21" s="15" t="n">
        <f aca="false">Ceiling*(E20+F20)</f>
        <v>10.7983611369882</v>
      </c>
      <c r="I21" s="15" t="n">
        <f aca="false">SUM(E21:H21)</f>
        <v>48.5926251164467</v>
      </c>
      <c r="J21" s="15" t="n">
        <f aca="false">Ceiling*K20+Ceiling*L20+Ceiling*M20</f>
        <v>4.58519541605991</v>
      </c>
      <c r="K21" s="15" t="n">
        <f aca="false">Ceiling*J20+Ceiling*L20+Ceiling*M20</f>
        <v>4.5851997110272</v>
      </c>
      <c r="L21" s="15" t="n">
        <f aca="false">Ceiling*(J20+K20)</f>
        <v>3.57791821096551</v>
      </c>
      <c r="M21" s="15" t="n">
        <f aca="false">Ceiling*(J20+K20)</f>
        <v>3.57791821096551</v>
      </c>
      <c r="N21" s="15" t="n">
        <f aca="false">SUM(J21:M21)</f>
        <v>16.3262315490181</v>
      </c>
      <c r="O21" s="15" t="n">
        <f aca="false">O20+(Q21+R21+S21+T21)/2</f>
        <v>48.8741000931574</v>
      </c>
      <c r="P21" s="15" t="n">
        <f aca="false">P20+N21</f>
        <v>229.448287035523</v>
      </c>
      <c r="Q21" s="15" t="n">
        <f aca="false">0*R20+Ceiling*S20+Ceiling*T20</f>
        <v>0.281474976710656</v>
      </c>
      <c r="R21" s="15" t="n">
        <f aca="false">0*Q20+Ceiling*S20+Ceiling*T20</f>
        <v>0.281474976710656</v>
      </c>
      <c r="S21" s="15" t="n">
        <f aca="false">Ceiling*(Q20+R20)</f>
        <v>0</v>
      </c>
      <c r="T21" s="15" t="n">
        <f aca="false">Ceiling*(Q20+R20)</f>
        <v>0</v>
      </c>
      <c r="V21" s="2" t="s">
        <v>260</v>
      </c>
      <c r="W21" s="7" t="str">
        <f aca="false">Rebudget!S12</f>
        <v>no limit</v>
      </c>
    </row>
    <row r="22" customFormat="false" ht="15" hidden="false" customHeight="false" outlineLevel="0" collapsed="false">
      <c r="A22" s="20" t="n">
        <v>17</v>
      </c>
      <c r="B22" s="15" t="n">
        <f aca="false">SUM(Q22:T22)</f>
        <v>0.45035996273705</v>
      </c>
      <c r="E22" s="15" t="n">
        <f aca="false">0*F21+Ceiling*G21+Ceiling*H21</f>
        <v>8.63868890959053</v>
      </c>
      <c r="F22" s="15" t="n">
        <f aca="false">0*E21+Ceiling*G21+Ceiling*H21+Shock</f>
        <v>18.6386889095905</v>
      </c>
      <c r="G22" s="15" t="n">
        <f aca="false">Ceiling*(E21+F21)</f>
        <v>10.7983611369882</v>
      </c>
      <c r="H22" s="15" t="n">
        <f aca="false">Ceiling*(E21+F21)</f>
        <v>10.7983611369882</v>
      </c>
      <c r="I22" s="15" t="n">
        <f aca="false">SUM(E22:H22)</f>
        <v>48.8741000931574</v>
      </c>
      <c r="J22" s="15" t="n">
        <f aca="false">Ceiling*K21+Ceiling*L21+Ceiling*M21</f>
        <v>4.69641445318329</v>
      </c>
      <c r="K22" s="15" t="n">
        <f aca="false">Ceiling*J21+Ceiling*L21+Ceiling*M21</f>
        <v>4.69641273519637</v>
      </c>
      <c r="L22" s="15" t="n">
        <f aca="false">Ceiling*(J21+K21)</f>
        <v>3.66815805083485</v>
      </c>
      <c r="M22" s="15" t="n">
        <f aca="false">Ceiling*(J21+K21)</f>
        <v>3.66815805083485</v>
      </c>
      <c r="N22" s="15" t="n">
        <f aca="false">SUM(J22:M22)</f>
        <v>16.7291432900493</v>
      </c>
      <c r="O22" s="15" t="n">
        <f aca="false">O21+(Q22+R22+S22+T22)/2</f>
        <v>49.0992800745259</v>
      </c>
      <c r="P22" s="15" t="n">
        <f aca="false">P21+N22</f>
        <v>246.177430325573</v>
      </c>
      <c r="Q22" s="15" t="n">
        <f aca="false">0*R21+Ceiling*S21+Ceiling*T21</f>
        <v>0</v>
      </c>
      <c r="R22" s="15" t="n">
        <f aca="false">0*Q21+Ceiling*S21+Ceiling*T21</f>
        <v>0</v>
      </c>
      <c r="S22" s="15" t="n">
        <f aca="false">Ceiling*(Q21+R21)</f>
        <v>0.225179981368525</v>
      </c>
      <c r="T22" s="15" t="n">
        <f aca="false">Ceiling*(Q21+R21)</f>
        <v>0.225179981368525</v>
      </c>
    </row>
    <row r="23" customFormat="false" ht="15" hidden="false" customHeight="false" outlineLevel="0" collapsed="false">
      <c r="A23" s="20" t="n">
        <v>18</v>
      </c>
      <c r="B23" s="15" t="n">
        <f aca="false">SUM(Q23:T23)</f>
        <v>0.36028797018964</v>
      </c>
      <c r="E23" s="15" t="n">
        <f aca="false">0*F22+Ceiling*G22+Ceiling*H22</f>
        <v>8.63868890959053</v>
      </c>
      <c r="F23" s="15" t="n">
        <f aca="false">0*E22+Ceiling*G22+Ceiling*H22+Shock</f>
        <v>18.6386889095905</v>
      </c>
      <c r="G23" s="15" t="n">
        <f aca="false">Ceiling*(E22+F22)</f>
        <v>10.9109511276724</v>
      </c>
      <c r="H23" s="15" t="n">
        <f aca="false">Ceiling*(E22+F22)</f>
        <v>10.9109511276724</v>
      </c>
      <c r="I23" s="15" t="n">
        <f aca="false">SUM(E23:H23)</f>
        <v>49.0992800745259</v>
      </c>
      <c r="J23" s="15" t="n">
        <f aca="false">Ceiling*K22+Ceiling*L22+Ceiling*M22</f>
        <v>4.81309153474642</v>
      </c>
      <c r="K23" s="15" t="n">
        <f aca="false">Ceiling*J22+Ceiling*L22+Ceiling*M22</f>
        <v>4.81309222194119</v>
      </c>
      <c r="L23" s="15" t="n">
        <f aca="false">Ceiling*(J22+K22)</f>
        <v>3.75713087535186</v>
      </c>
      <c r="M23" s="15" t="n">
        <f aca="false">Ceiling*(J22+K22)</f>
        <v>3.75713087535186</v>
      </c>
      <c r="N23" s="15" t="n">
        <f aca="false">SUM(J23:M23)</f>
        <v>17.1404455073913</v>
      </c>
      <c r="O23" s="15" t="n">
        <f aca="false">O22+(Q23+R23+S23+T23)/2</f>
        <v>49.2794240596207</v>
      </c>
      <c r="P23" s="15" t="n">
        <f aca="false">P22+N23</f>
        <v>263.317875832964</v>
      </c>
      <c r="Q23" s="15" t="n">
        <f aca="false">0*R22+Ceiling*S22+Ceiling*T22</f>
        <v>0.18014398509482</v>
      </c>
      <c r="R23" s="15" t="n">
        <f aca="false">0*Q22+Ceiling*S22+Ceiling*T22</f>
        <v>0.18014398509482</v>
      </c>
      <c r="S23" s="15" t="n">
        <f aca="false">Ceiling*(Q22+R22)</f>
        <v>0</v>
      </c>
      <c r="T23" s="15" t="n">
        <f aca="false">Ceiling*(Q22+R22)</f>
        <v>0</v>
      </c>
      <c r="V23" s="10" t="s">
        <v>261</v>
      </c>
    </row>
    <row r="24" customFormat="false" ht="15" hidden="false" customHeight="false" outlineLevel="0" collapsed="false">
      <c r="A24" s="20" t="n">
        <v>19</v>
      </c>
      <c r="B24" s="15" t="n">
        <f aca="false">SUM(Q24:T24)</f>
        <v>0.288230376151712</v>
      </c>
      <c r="E24" s="15" t="n">
        <f aca="false">0*F23+Ceiling*G23+Ceiling*H23</f>
        <v>8.72876090213794</v>
      </c>
      <c r="F24" s="15" t="n">
        <f aca="false">0*E23+Ceiling*G23+Ceiling*H23+Shock</f>
        <v>18.7287609021379</v>
      </c>
      <c r="G24" s="15" t="n">
        <f aca="false">Ceiling*(E23+F23)</f>
        <v>10.9109511276724</v>
      </c>
      <c r="H24" s="15" t="n">
        <f aca="false">Ceiling*(E23+F23)</f>
        <v>10.9109511276724</v>
      </c>
      <c r="I24" s="15" t="n">
        <f aca="false">SUM(E24:H24)</f>
        <v>49.2794240596207</v>
      </c>
      <c r="J24" s="15" t="n">
        <f aca="false">Ceiling*K23+Ceiling*L23+Ceiling*M23</f>
        <v>4.93094158905797</v>
      </c>
      <c r="K24" s="15" t="n">
        <f aca="false">Ceiling*J23+Ceiling*L23+Ceiling*M23</f>
        <v>4.93094131418006</v>
      </c>
      <c r="L24" s="15" t="n">
        <f aca="false">Ceiling*(J23+K23)</f>
        <v>3.85047350267505</v>
      </c>
      <c r="M24" s="15" t="n">
        <f aca="false">Ceiling*(J23+K23)</f>
        <v>3.85047350267505</v>
      </c>
      <c r="N24" s="15" t="n">
        <f aca="false">SUM(J24:M24)</f>
        <v>17.5628299085881</v>
      </c>
      <c r="O24" s="15" t="n">
        <f aca="false">O23+(Q24+R24+S24+T24)/2</f>
        <v>49.4235392476966</v>
      </c>
      <c r="P24" s="15" t="n">
        <f aca="false">P23+N24</f>
        <v>280.880705741552</v>
      </c>
      <c r="Q24" s="15" t="n">
        <f aca="false">0*R23+Ceiling*S23+Ceiling*T23</f>
        <v>0</v>
      </c>
      <c r="R24" s="15" t="n">
        <f aca="false">0*Q23+Ceiling*S23+Ceiling*T23</f>
        <v>0</v>
      </c>
      <c r="S24" s="15" t="n">
        <f aca="false">Ceiling*(Q23+R23)</f>
        <v>0.144115188075856</v>
      </c>
      <c r="T24" s="15" t="n">
        <f aca="false">Ceiling*(Q23+R23)</f>
        <v>0.144115188075856</v>
      </c>
    </row>
    <row r="25" customFormat="false" ht="15" hidden="false" customHeight="false" outlineLevel="0" collapsed="false">
      <c r="A25" s="20" t="n">
        <v>20</v>
      </c>
      <c r="B25" s="15" t="n">
        <f aca="false">SUM(Q25:T25)</f>
        <v>0.23058430092137</v>
      </c>
      <c r="E25" s="15" t="n">
        <f aca="false">0*F24+Ceiling*G24+Ceiling*H24</f>
        <v>8.72876090213794</v>
      </c>
      <c r="F25" s="15" t="n">
        <f aca="false">0*E24+Ceiling*G24+Ceiling*H24+Shock</f>
        <v>18.7287609021379</v>
      </c>
      <c r="G25" s="15" t="n">
        <f aca="false">Ceiling*(E24+F24)</f>
        <v>10.9830087217104</v>
      </c>
      <c r="H25" s="15" t="n">
        <f aca="false">Ceiling*(E24+F24)</f>
        <v>10.9830087217104</v>
      </c>
      <c r="I25" s="15" t="n">
        <f aca="false">SUM(E25:H25)</f>
        <v>49.4235392476966</v>
      </c>
      <c r="J25" s="15" t="n">
        <f aca="false">Ceiling*K24+Ceiling*L24+Ceiling*M24</f>
        <v>5.05275532781206</v>
      </c>
      <c r="K25" s="15" t="n">
        <f aca="false">Ceiling*J24+Ceiling*L24+Ceiling*M24</f>
        <v>5.05275543776322</v>
      </c>
      <c r="L25" s="15" t="n">
        <f aca="false">Ceiling*(J24+K24)</f>
        <v>3.94475316129521</v>
      </c>
      <c r="M25" s="15" t="n">
        <f aca="false">Ceiling*(J24+K24)</f>
        <v>3.94475316129521</v>
      </c>
      <c r="N25" s="15" t="n">
        <f aca="false">SUM(J25:M25)</f>
        <v>17.9950170881657</v>
      </c>
      <c r="O25" s="15" t="n">
        <f aca="false">O24+(Q25+R25+S25+T25)/2</f>
        <v>49.5388313981573</v>
      </c>
      <c r="P25" s="15" t="n">
        <f aca="false">P24+N25</f>
        <v>298.875722829718</v>
      </c>
      <c r="Q25" s="15" t="n">
        <f aca="false">0*R24+Ceiling*S24+Ceiling*T24</f>
        <v>0.115292150460685</v>
      </c>
      <c r="R25" s="15" t="n">
        <f aca="false">0*Q24+Ceiling*S24+Ceiling*T24</f>
        <v>0.115292150460685</v>
      </c>
      <c r="S25" s="15" t="n">
        <f aca="false">Ceiling*(Q24+R24)</f>
        <v>0</v>
      </c>
      <c r="T25" s="15" t="n">
        <f aca="false">Ceiling*(Q24+R24)</f>
        <v>0</v>
      </c>
    </row>
    <row r="26" customFormat="false" ht="15" hidden="false" customHeight="false" outlineLevel="0" collapsed="false">
      <c r="A26" s="20" t="n">
        <v>21</v>
      </c>
      <c r="B26" s="15" t="n">
        <f aca="false">SUM(Q26:T26)</f>
        <v>0.184467440737096</v>
      </c>
      <c r="E26" s="15" t="n">
        <f aca="false">0*F25+Ceiling*G25+Ceiling*H25</f>
        <v>8.78640697736829</v>
      </c>
      <c r="F26" s="15" t="n">
        <f aca="false">0*E25+Ceiling*G25+Ceiling*H25+Shock</f>
        <v>18.7864069773683</v>
      </c>
      <c r="G26" s="15" t="n">
        <f aca="false">Ceiling*(E25+F25)</f>
        <v>10.9830087217104</v>
      </c>
      <c r="H26" s="15" t="n">
        <f aca="false">Ceiling*(E25+F25)</f>
        <v>10.9830087217104</v>
      </c>
      <c r="I26" s="15" t="n">
        <f aca="false">SUM(E26:H26)</f>
        <v>49.5388313981573</v>
      </c>
      <c r="J26" s="15" t="n">
        <f aca="false">Ceiling*K25+Ceiling*L25+Ceiling*M25</f>
        <v>5.17690470414146</v>
      </c>
      <c r="K26" s="15" t="n">
        <f aca="false">Ceiling*J25+Ceiling*L25+Ceiling*M25</f>
        <v>5.17690466016099</v>
      </c>
      <c r="L26" s="15" t="n">
        <f aca="false">Ceiling*(J25+K25)</f>
        <v>4.04220430623011</v>
      </c>
      <c r="M26" s="15" t="n">
        <f aca="false">Ceiling*(J25+K25)</f>
        <v>4.04220430623011</v>
      </c>
      <c r="N26" s="15" t="n">
        <f aca="false">SUM(J26:M26)</f>
        <v>18.4382179767627</v>
      </c>
      <c r="O26" s="15" t="n">
        <f aca="false">O25+(Q26+R26+S26+T26)/2</f>
        <v>49.6310651185258</v>
      </c>
      <c r="P26" s="15" t="n">
        <f aca="false">P25+N26</f>
        <v>317.31394080648</v>
      </c>
      <c r="Q26" s="15" t="n">
        <f aca="false">0*R25+Ceiling*S25+Ceiling*T25</f>
        <v>0</v>
      </c>
      <c r="R26" s="15" t="n">
        <f aca="false">0*Q25+Ceiling*S25+Ceiling*T25</f>
        <v>0</v>
      </c>
      <c r="S26" s="15" t="n">
        <f aca="false">Ceiling*(Q25+R25)</f>
        <v>0.0922337203685479</v>
      </c>
      <c r="T26" s="15" t="n">
        <f aca="false">Ceiling*(Q25+R25)</f>
        <v>0.0922337203685479</v>
      </c>
    </row>
    <row r="27" customFormat="false" ht="15" hidden="false" customHeight="false" outlineLevel="0" collapsed="false">
      <c r="A27" s="20" t="n">
        <v>22</v>
      </c>
      <c r="B27" s="15" t="n">
        <f aca="false">SUM(Q27:T27)</f>
        <v>0.147573952589677</v>
      </c>
      <c r="E27" s="15" t="n">
        <f aca="false">0*F26+Ceiling*G26+Ceiling*H26</f>
        <v>8.78640697736829</v>
      </c>
      <c r="F27" s="15" t="n">
        <f aca="false">0*E26+Ceiling*G26+Ceiling*H26+Shock</f>
        <v>18.7864069773683</v>
      </c>
      <c r="G27" s="15" t="n">
        <f aca="false">Ceiling*(E26+F26)</f>
        <v>11.0291255818946</v>
      </c>
      <c r="H27" s="15" t="n">
        <f aca="false">Ceiling*(E26+F26)</f>
        <v>11.0291255818946</v>
      </c>
      <c r="I27" s="15" t="n">
        <f aca="false">SUM(E27:H27)</f>
        <v>49.6310651185258</v>
      </c>
      <c r="J27" s="15" t="n">
        <f aca="false">Ceiling*K26+Ceiling*L26+Ceiling*M26</f>
        <v>5.30452530904849</v>
      </c>
      <c r="K27" s="15" t="n">
        <f aca="false">Ceiling*J26+Ceiling*L26+Ceiling*M26</f>
        <v>5.30452532664067</v>
      </c>
      <c r="L27" s="15" t="n">
        <f aca="false">Ceiling*(J26+K26)</f>
        <v>4.14152374572098</v>
      </c>
      <c r="M27" s="15" t="n">
        <f aca="false">Ceiling*(J26+K26)</f>
        <v>4.14152374572098</v>
      </c>
      <c r="N27" s="15" t="n">
        <f aca="false">SUM(J27:M27)</f>
        <v>18.8920981271311</v>
      </c>
      <c r="O27" s="15" t="n">
        <f aca="false">O26+(Q27+R27+S27+T27)/2</f>
        <v>49.7048520948207</v>
      </c>
      <c r="P27" s="15" t="n">
        <f aca="false">P26+N27</f>
        <v>336.206038933611</v>
      </c>
      <c r="Q27" s="15" t="n">
        <f aca="false">0*R26+Ceiling*S26+Ceiling*T26</f>
        <v>0.0737869762948383</v>
      </c>
      <c r="R27" s="15" t="n">
        <f aca="false">0*Q26+Ceiling*S26+Ceiling*T26</f>
        <v>0.0737869762948383</v>
      </c>
      <c r="S27" s="15" t="n">
        <f aca="false">Ceiling*(Q26+R26)</f>
        <v>0</v>
      </c>
      <c r="T27" s="15" t="n">
        <f aca="false">Ceiling*(Q26+R26)</f>
        <v>0</v>
      </c>
    </row>
    <row r="28" customFormat="false" ht="15" hidden="false" customHeight="false" outlineLevel="0" collapsed="false">
      <c r="A28" s="20" t="n">
        <v>23</v>
      </c>
      <c r="B28" s="15" t="n">
        <f aca="false">SUM(Q28:T28)</f>
        <v>0.118059162071741</v>
      </c>
      <c r="E28" s="15" t="n">
        <f aca="false">0*F27+Ceiling*G27+Ceiling*H27</f>
        <v>8.82330046551571</v>
      </c>
      <c r="F28" s="15" t="n">
        <f aca="false">0*E27+Ceiling*G27+Ceiling*H27+Shock</f>
        <v>18.8233004655157</v>
      </c>
      <c r="G28" s="15" t="n">
        <f aca="false">Ceiling*(E27+F27)</f>
        <v>11.0291255818946</v>
      </c>
      <c r="H28" s="15" t="n">
        <f aca="false">Ceiling*(E27+F27)</f>
        <v>11.0291255818946</v>
      </c>
      <c r="I28" s="15" t="n">
        <f aca="false">SUM(E28:H28)</f>
        <v>49.7048520948207</v>
      </c>
      <c r="J28" s="15" t="n">
        <f aca="false">Ceiling*K27+Ceiling*L27+Ceiling*M27</f>
        <v>5.43502912723305</v>
      </c>
      <c r="K28" s="15" t="n">
        <f aca="false">Ceiling*J27+Ceiling*L27+Ceiling*M27</f>
        <v>5.43502912019618</v>
      </c>
      <c r="L28" s="15" t="n">
        <f aca="false">Ceiling*(J27+K27)</f>
        <v>4.24362025427566</v>
      </c>
      <c r="M28" s="15" t="n">
        <f aca="false">Ceiling*(J27+K27)</f>
        <v>4.24362025427566</v>
      </c>
      <c r="N28" s="15" t="n">
        <f aca="false">SUM(J28:M28)</f>
        <v>19.3572987559806</v>
      </c>
      <c r="O28" s="15" t="n">
        <f aca="false">O27+(Q28+R28+S28+T28)/2</f>
        <v>49.7638816758565</v>
      </c>
      <c r="P28" s="15" t="n">
        <f aca="false">P27+N28</f>
        <v>355.563337689592</v>
      </c>
      <c r="Q28" s="15" t="n">
        <f aca="false">0*R27+Ceiling*S27+Ceiling*T27</f>
        <v>0</v>
      </c>
      <c r="R28" s="15" t="n">
        <f aca="false">0*Q27+Ceiling*S27+Ceiling*T27</f>
        <v>0</v>
      </c>
      <c r="S28" s="15" t="n">
        <f aca="false">Ceiling*(Q27+R27)</f>
        <v>0.0590295810358706</v>
      </c>
      <c r="T28" s="15" t="n">
        <f aca="false">Ceiling*(Q27+R27)</f>
        <v>0.0590295810358706</v>
      </c>
    </row>
    <row r="29" customFormat="false" ht="15" hidden="false" customHeight="false" outlineLevel="0" collapsed="false">
      <c r="A29" s="20" t="n">
        <v>24</v>
      </c>
      <c r="B29" s="15" t="n">
        <f aca="false">SUM(Q29:T29)</f>
        <v>0.094447329657393</v>
      </c>
      <c r="E29" s="15" t="n">
        <f aca="false">0*F28+Ceiling*G28+Ceiling*H28</f>
        <v>8.82330046551571</v>
      </c>
      <c r="F29" s="15" t="n">
        <f aca="false">0*E28+Ceiling*G28+Ceiling*H28+Shock</f>
        <v>18.8233004655157</v>
      </c>
      <c r="G29" s="15" t="n">
        <f aca="false">Ceiling*(E28+F28)</f>
        <v>11.0586403724126</v>
      </c>
      <c r="H29" s="15" t="n">
        <f aca="false">Ceiling*(E28+F28)</f>
        <v>11.0586403724126</v>
      </c>
      <c r="I29" s="15" t="n">
        <f aca="false">SUM(E29:H29)</f>
        <v>49.7638816758566</v>
      </c>
      <c r="J29" s="15" t="n">
        <f aca="false">Ceiling*K28+Ceiling*L28+Ceiling*M28</f>
        <v>5.568907851499</v>
      </c>
      <c r="K29" s="15" t="n">
        <f aca="false">Ceiling*J28+Ceiling*L28+Ceiling*M28</f>
        <v>5.56890785431375</v>
      </c>
      <c r="L29" s="15" t="n">
        <f aca="false">Ceiling*(J28+K28)</f>
        <v>4.34802329897169</v>
      </c>
      <c r="M29" s="15" t="n">
        <f aca="false">Ceiling*(J28+K28)</f>
        <v>4.34802329897169</v>
      </c>
      <c r="N29" s="15" t="n">
        <f aca="false">SUM(J29:M29)</f>
        <v>19.8338623037561</v>
      </c>
      <c r="O29" s="15" t="n">
        <f aca="false">O28+(Q29+R29+S29+T29)/2</f>
        <v>49.8111053406852</v>
      </c>
      <c r="P29" s="15" t="n">
        <f aca="false">P28+N29</f>
        <v>375.397199993348</v>
      </c>
      <c r="Q29" s="15" t="n">
        <f aca="false">0*R28+Ceiling*S28+Ceiling*T28</f>
        <v>0.0472236648286965</v>
      </c>
      <c r="R29" s="15" t="n">
        <f aca="false">0*Q28+Ceiling*S28+Ceiling*T28</f>
        <v>0.0472236648286965</v>
      </c>
      <c r="S29" s="15" t="n">
        <f aca="false">Ceiling*(Q28+R28)</f>
        <v>0</v>
      </c>
      <c r="T29" s="15" t="n">
        <f aca="false">Ceiling*(Q28+R28)</f>
        <v>0</v>
      </c>
    </row>
    <row r="30" customFormat="false" ht="15" hidden="false" customHeight="false" outlineLevel="0" collapsed="false">
      <c r="A30" s="20" t="n">
        <v>25</v>
      </c>
      <c r="B30" s="15" t="n">
        <f aca="false">SUM(Q30:T30)</f>
        <v>0.0755578637259144</v>
      </c>
      <c r="E30" s="15" t="n">
        <f aca="false">0*F29+Ceiling*G29+Ceiling*H29</f>
        <v>8.84691229793005</v>
      </c>
      <c r="F30" s="15" t="n">
        <f aca="false">0*E29+Ceiling*G29+Ceiling*H29+Shock</f>
        <v>18.8469122979301</v>
      </c>
      <c r="G30" s="15" t="n">
        <f aca="false">Ceiling*(E29+F29)</f>
        <v>11.0586403724126</v>
      </c>
      <c r="H30" s="15" t="n">
        <f aca="false">Ceiling*(E29+F29)</f>
        <v>11.0586403724126</v>
      </c>
      <c r="I30" s="15" t="n">
        <f aca="false">SUM(E30:H30)</f>
        <v>49.8111053406852</v>
      </c>
      <c r="J30" s="15" t="n">
        <f aca="false">Ceiling*K29+Ceiling*L29+Ceiling*M29</f>
        <v>5.70598178090286</v>
      </c>
      <c r="K30" s="15" t="n">
        <f aca="false">Ceiling*J29+Ceiling*L29+Ceiling*M29</f>
        <v>5.70598177977696</v>
      </c>
      <c r="L30" s="15" t="n">
        <f aca="false">Ceiling*(J29+K29)</f>
        <v>4.4551262823251</v>
      </c>
      <c r="M30" s="15" t="n">
        <f aca="false">Ceiling*(J29+K29)</f>
        <v>4.4551262823251</v>
      </c>
      <c r="N30" s="15" t="n">
        <f aca="false">SUM(J30:M30)</f>
        <v>20.32221612533</v>
      </c>
      <c r="O30" s="15" t="n">
        <f aca="false">O29+(Q30+R30+S30+T30)/2</f>
        <v>49.8488842725482</v>
      </c>
      <c r="P30" s="15" t="n">
        <f aca="false">P29+N30</f>
        <v>395.719416118678</v>
      </c>
      <c r="Q30" s="15" t="n">
        <f aca="false">0*R29+Ceiling*S29+Ceiling*T29</f>
        <v>0</v>
      </c>
      <c r="R30" s="15" t="n">
        <f aca="false">0*Q29+Ceiling*S29+Ceiling*T29</f>
        <v>0</v>
      </c>
      <c r="S30" s="15" t="n">
        <f aca="false">Ceiling*(Q29+R29)</f>
        <v>0.0377789318629572</v>
      </c>
      <c r="T30" s="15" t="n">
        <f aca="false">Ceiling*(Q29+R29)</f>
        <v>0.0377789318629572</v>
      </c>
    </row>
    <row r="31" customFormat="false" ht="15" hidden="false" customHeight="false" outlineLevel="0" collapsed="false">
      <c r="A31" s="20" t="n">
        <v>26</v>
      </c>
      <c r="B31" s="15" t="n">
        <f aca="false">SUM(Q31:T31)</f>
        <v>0.0604462909807315</v>
      </c>
      <c r="E31" s="15" t="n">
        <f aca="false">0*F30+Ceiling*G30+Ceiling*H30</f>
        <v>8.84691229793005</v>
      </c>
      <c r="F31" s="15" t="n">
        <f aca="false">0*E30+Ceiling*G30+Ceiling*H30+Shock</f>
        <v>18.8469122979301</v>
      </c>
      <c r="G31" s="15" t="n">
        <f aca="false">Ceiling*(E30+F30)</f>
        <v>11.077529838344</v>
      </c>
      <c r="H31" s="15" t="n">
        <f aca="false">Ceiling*(E30+F30)</f>
        <v>11.077529838344</v>
      </c>
      <c r="I31" s="15" t="n">
        <f aca="false">SUM(E31:H31)</f>
        <v>49.8488842725482</v>
      </c>
      <c r="J31" s="15" t="n">
        <f aca="false">Ceiling*K30+Ceiling*L30+Ceiling*M30</f>
        <v>5.84649373777087</v>
      </c>
      <c r="K31" s="15" t="n">
        <f aca="false">Ceiling*J30+Ceiling*L30+Ceiling*M30</f>
        <v>5.84649373822123</v>
      </c>
      <c r="L31" s="15" t="n">
        <f aca="false">Ceiling*(J30+K30)</f>
        <v>4.56478542427193</v>
      </c>
      <c r="M31" s="15" t="n">
        <f aca="false">Ceiling*(J30+K30)</f>
        <v>4.56478542427193</v>
      </c>
      <c r="N31" s="15" t="n">
        <f aca="false">SUM(J31:M31)</f>
        <v>20.8225583245359</v>
      </c>
      <c r="O31" s="15" t="n">
        <f aca="false">O30+(Q31+R31+S31+T31)/2</f>
        <v>49.8791074180386</v>
      </c>
      <c r="P31" s="15" t="n">
        <f aca="false">P30+N31</f>
        <v>416.541974443214</v>
      </c>
      <c r="Q31" s="15" t="n">
        <f aca="false">0*R30+Ceiling*S30+Ceiling*T30</f>
        <v>0.0302231454903658</v>
      </c>
      <c r="R31" s="15" t="n">
        <f aca="false">0*Q30+Ceiling*S30+Ceiling*T30</f>
        <v>0.0302231454903658</v>
      </c>
      <c r="S31" s="15" t="n">
        <f aca="false">Ceiling*(Q30+R30)</f>
        <v>0</v>
      </c>
      <c r="T31" s="15" t="n">
        <f aca="false">Ceiling*(Q30+R30)</f>
        <v>0</v>
      </c>
    </row>
    <row r="32" customFormat="false" ht="15" hidden="false" customHeight="false" outlineLevel="0" collapsed="false">
      <c r="A32" s="20" t="n">
        <v>27</v>
      </c>
      <c r="B32" s="15" t="n">
        <f aca="false">SUM(Q32:T32)</f>
        <v>0.0483570327845852</v>
      </c>
      <c r="E32" s="15" t="n">
        <f aca="false">0*F31+Ceiling*G31+Ceiling*H31</f>
        <v>8.86202387067524</v>
      </c>
      <c r="F32" s="15" t="n">
        <f aca="false">0*E31+Ceiling*G31+Ceiling*H31+Shock</f>
        <v>18.8620238706752</v>
      </c>
      <c r="G32" s="15" t="n">
        <f aca="false">Ceiling*(E31+F31)</f>
        <v>11.077529838344</v>
      </c>
      <c r="H32" s="15" t="n">
        <f aca="false">Ceiling*(E31+F31)</f>
        <v>11.077529838344</v>
      </c>
      <c r="I32" s="15" t="n">
        <f aca="false">SUM(E32:H32)</f>
        <v>49.8791074180386</v>
      </c>
      <c r="J32" s="15" t="n">
        <f aca="false">Ceiling*K31+Ceiling*L31+Ceiling*M31</f>
        <v>5.99042583470603</v>
      </c>
      <c r="K32" s="15" t="n">
        <f aca="false">Ceiling*J31+Ceiling*L31+Ceiling*M31</f>
        <v>5.99042583452589</v>
      </c>
      <c r="L32" s="15" t="n">
        <f aca="false">Ceiling*(J31+K31)</f>
        <v>4.67719499039684</v>
      </c>
      <c r="M32" s="15" t="n">
        <f aca="false">Ceiling*(J31+K31)</f>
        <v>4.67719499039684</v>
      </c>
      <c r="N32" s="15" t="n">
        <f aca="false">SUM(J32:M32)</f>
        <v>21.3352416500256</v>
      </c>
      <c r="O32" s="15" t="n">
        <f aca="false">O31+(Q32+R32+S32+T32)/2</f>
        <v>49.9032859344308</v>
      </c>
      <c r="P32" s="15" t="n">
        <f aca="false">P31+N32</f>
        <v>437.87721609324</v>
      </c>
      <c r="Q32" s="15" t="n">
        <f aca="false">0*R31+Ceiling*S31+Ceiling*T31</f>
        <v>0</v>
      </c>
      <c r="R32" s="15" t="n">
        <f aca="false">0*Q31+Ceiling*S31+Ceiling*T31</f>
        <v>0</v>
      </c>
      <c r="S32" s="15" t="n">
        <f aca="false">Ceiling*(Q31+R31)</f>
        <v>0.0241785163922926</v>
      </c>
      <c r="T32" s="15" t="n">
        <f aca="false">Ceiling*(Q31+R31)</f>
        <v>0.0241785163922926</v>
      </c>
    </row>
    <row r="33" customFormat="false" ht="15" hidden="false" customHeight="false" outlineLevel="0" collapsed="false">
      <c r="A33" s="20" t="n">
        <v>28</v>
      </c>
      <c r="B33" s="15" t="n">
        <f aca="false">SUM(Q33:T33)</f>
        <v>0.0386856262276682</v>
      </c>
      <c r="E33" s="15" t="n">
        <f aca="false">0*F32+Ceiling*G32+Ceiling*H32</f>
        <v>8.86202387067524</v>
      </c>
      <c r="F33" s="15" t="n">
        <f aca="false">0*E32+Ceiling*G32+Ceiling*H32+Shock</f>
        <v>18.8620238706752</v>
      </c>
      <c r="G33" s="15" t="n">
        <f aca="false">Ceiling*(E32+F32)</f>
        <v>11.0896190965402</v>
      </c>
      <c r="H33" s="15" t="n">
        <f aca="false">Ceiling*(E32+F32)</f>
        <v>11.0896190965402</v>
      </c>
      <c r="I33" s="15" t="n">
        <f aca="false">SUM(E33:H33)</f>
        <v>49.9032859344309</v>
      </c>
      <c r="J33" s="15" t="n">
        <f aca="false">Ceiling*K32+Ceiling*L32+Ceiling*M32</f>
        <v>6.13792632612782</v>
      </c>
      <c r="K33" s="15" t="n">
        <f aca="false">Ceiling*J32+Ceiling*L32+Ceiling*M32</f>
        <v>6.13792632619988</v>
      </c>
      <c r="L33" s="15" t="n">
        <f aca="false">Ceiling*(J32+K32)</f>
        <v>4.79234066769277</v>
      </c>
      <c r="M33" s="15" t="n">
        <f aca="false">Ceiling*(J32+K32)</f>
        <v>4.79234066769277</v>
      </c>
      <c r="N33" s="15" t="n">
        <f aca="false">SUM(J33:M33)</f>
        <v>21.8605339877132</v>
      </c>
      <c r="O33" s="15" t="n">
        <f aca="false">O32+(Q33+R33+S33+T33)/2</f>
        <v>49.9226287475447</v>
      </c>
      <c r="P33" s="15" t="n">
        <f aca="false">P32+N33</f>
        <v>459.737750080953</v>
      </c>
      <c r="Q33" s="15" t="n">
        <f aca="false">0*R32+Ceiling*S32+Ceiling*T32</f>
        <v>0.0193428131138341</v>
      </c>
      <c r="R33" s="15" t="n">
        <f aca="false">0*Q32+Ceiling*S32+Ceiling*T32</f>
        <v>0.0193428131138341</v>
      </c>
      <c r="S33" s="15" t="n">
        <f aca="false">Ceiling*(Q32+R32)</f>
        <v>0</v>
      </c>
      <c r="T33" s="15" t="n">
        <f aca="false">Ceiling*(Q32+R32)</f>
        <v>0</v>
      </c>
    </row>
    <row r="34" customFormat="false" ht="15" hidden="false" customHeight="false" outlineLevel="0" collapsed="false">
      <c r="A34" s="20" t="n">
        <v>29</v>
      </c>
      <c r="B34" s="15" t="n">
        <f aca="false">SUM(Q34:T34)</f>
        <v>0.0309485009821346</v>
      </c>
      <c r="E34" s="15" t="n">
        <f aca="false">0*F33+Ceiling*G33+Ceiling*H33</f>
        <v>8.87169527723215</v>
      </c>
      <c r="F34" s="15" t="n">
        <f aca="false">0*E33+Ceiling*G33+Ceiling*H33+Shock</f>
        <v>18.8716952772322</v>
      </c>
      <c r="G34" s="15" t="n">
        <f aca="false">Ceiling*(E33+F33)</f>
        <v>11.0896190965402</v>
      </c>
      <c r="H34" s="15" t="n">
        <f aca="false">Ceiling*(E33+F33)</f>
        <v>11.0896190965402</v>
      </c>
      <c r="I34" s="15" t="n">
        <f aca="false">SUM(E34:H34)</f>
        <v>49.9226287475447</v>
      </c>
      <c r="J34" s="15" t="n">
        <f aca="false">Ceiling*K33+Ceiling*L33+Ceiling*M33</f>
        <v>6.28904306463417</v>
      </c>
      <c r="K34" s="15" t="n">
        <f aca="false">Ceiling*J33+Ceiling*L33+Ceiling*M33</f>
        <v>6.28904306460535</v>
      </c>
      <c r="L34" s="15" t="n">
        <f aca="false">Ceiling*(J33+K33)</f>
        <v>4.91034106093108</v>
      </c>
      <c r="M34" s="15" t="n">
        <f aca="false">Ceiling*(J33+K33)</f>
        <v>4.91034106093108</v>
      </c>
      <c r="N34" s="15" t="n">
        <f aca="false">SUM(J34:M34)</f>
        <v>22.3987682511017</v>
      </c>
      <c r="O34" s="15" t="n">
        <f aca="false">O33+(Q34+R34+S34+T34)/2</f>
        <v>49.9381029980357</v>
      </c>
      <c r="P34" s="15" t="n">
        <f aca="false">P33+N34</f>
        <v>482.136518332055</v>
      </c>
      <c r="Q34" s="15" t="n">
        <f aca="false">0*R33+Ceiling*S33+Ceiling*T33</f>
        <v>0</v>
      </c>
      <c r="R34" s="15" t="n">
        <f aca="false">0*Q33+Ceiling*S33+Ceiling*T33</f>
        <v>0</v>
      </c>
      <c r="S34" s="15" t="n">
        <f aca="false">Ceiling*(Q33+R33)</f>
        <v>0.0154742504910673</v>
      </c>
      <c r="T34" s="15" t="n">
        <f aca="false">Ceiling*(Q33+R33)</f>
        <v>0.0154742504910673</v>
      </c>
    </row>
    <row r="35" customFormat="false" ht="15" hidden="false" customHeight="false" outlineLevel="0" collapsed="false">
      <c r="A35" s="20" t="n">
        <v>30</v>
      </c>
      <c r="B35" s="15" t="n">
        <f aca="false">SUM(Q35:T35)</f>
        <v>0.0247588007857076</v>
      </c>
      <c r="E35" s="15" t="n">
        <f aca="false">0*F34+Ceiling*G34+Ceiling*H34</f>
        <v>8.87169527723215</v>
      </c>
      <c r="F35" s="15" t="n">
        <f aca="false">0*E34+Ceiling*G34+Ceiling*H34+Shock</f>
        <v>18.8716952772322</v>
      </c>
      <c r="G35" s="15" t="n">
        <f aca="false">Ceiling*(E34+F34)</f>
        <v>11.0973562217857</v>
      </c>
      <c r="H35" s="15" t="n">
        <f aca="false">Ceiling*(E34+F34)</f>
        <v>11.0973562217857</v>
      </c>
      <c r="I35" s="15" t="n">
        <f aca="false">SUM(E35:H35)</f>
        <v>49.9381029980358</v>
      </c>
      <c r="J35" s="15" t="n">
        <f aca="false">Ceiling*K34+Ceiling*L34+Ceiling*M34</f>
        <v>6.44389007458701</v>
      </c>
      <c r="K35" s="15" t="n">
        <f aca="false">Ceiling*J34+Ceiling*L34+Ceiling*M34</f>
        <v>6.44389007459853</v>
      </c>
      <c r="L35" s="15" t="n">
        <f aca="false">Ceiling*(J34+K34)</f>
        <v>5.03123445169581</v>
      </c>
      <c r="M35" s="15" t="n">
        <f aca="false">Ceiling*(J34+K34)</f>
        <v>5.03123445169581</v>
      </c>
      <c r="N35" s="15" t="n">
        <f aca="false">SUM(J35:M35)</f>
        <v>22.9502490525772</v>
      </c>
      <c r="O35" s="15" t="n">
        <f aca="false">O34+(Q35+R35+S35+T35)/2</f>
        <v>49.9504823984286</v>
      </c>
      <c r="P35" s="15" t="n">
        <f aca="false">P34+N35</f>
        <v>505.086767384632</v>
      </c>
      <c r="Q35" s="15" t="n">
        <f aca="false">0*R34+Ceiling*S34+Ceiling*T34</f>
        <v>0.0123794003928538</v>
      </c>
      <c r="R35" s="15" t="n">
        <f aca="false">0*Q34+Ceiling*S34+Ceiling*T34</f>
        <v>0.0123794003928538</v>
      </c>
      <c r="S35" s="15" t="n">
        <f aca="false">Ceiling*(Q34+R34)</f>
        <v>0</v>
      </c>
      <c r="T35" s="15" t="n">
        <f aca="false">Ceiling*(Q34+R34)</f>
        <v>0</v>
      </c>
    </row>
    <row r="36" customFormat="false" ht="15" hidden="false" customHeight="false" outlineLevel="0" collapsed="false">
      <c r="A36" s="20" t="n">
        <v>31</v>
      </c>
      <c r="B36" s="15" t="n">
        <f aca="false">SUM(Q36:T36)</f>
        <v>0.0198070406285661</v>
      </c>
      <c r="E36" s="15" t="n">
        <f aca="false">0*F35+Ceiling*G35+Ceiling*H35</f>
        <v>8.87788497742858</v>
      </c>
      <c r="F36" s="15" t="n">
        <f aca="false">0*E35+Ceiling*G35+Ceiling*H35+Shock</f>
        <v>18.8778849774286</v>
      </c>
      <c r="G36" s="15" t="n">
        <f aca="false">Ceiling*(E35+F35)</f>
        <v>11.0973562217857</v>
      </c>
      <c r="H36" s="15" t="n">
        <f aca="false">Ceiling*(E35+F35)</f>
        <v>11.0973562217857</v>
      </c>
      <c r="I36" s="15" t="n">
        <f aca="false">SUM(E36:H36)</f>
        <v>49.9504823984286</v>
      </c>
      <c r="J36" s="15" t="n">
        <f aca="false">Ceiling*K35+Ceiling*L35+Ceiling*M35</f>
        <v>6.60254359119606</v>
      </c>
      <c r="K36" s="15" t="n">
        <f aca="false">Ceiling*J35+Ceiling*L35+Ceiling*M35</f>
        <v>6.60254359119145</v>
      </c>
      <c r="L36" s="15" t="n">
        <f aca="false">Ceiling*(J35+K35)</f>
        <v>5.15511205967422</v>
      </c>
      <c r="M36" s="15" t="n">
        <f aca="false">Ceiling*(J35+K35)</f>
        <v>5.15511205967422</v>
      </c>
      <c r="N36" s="15" t="n">
        <f aca="false">SUM(J36:M36)</f>
        <v>23.5153113017359</v>
      </c>
      <c r="O36" s="15" t="n">
        <f aca="false">O35+(Q36+R36+S36+T36)/2</f>
        <v>49.9603859187429</v>
      </c>
      <c r="P36" s="15" t="n">
        <f aca="false">P35+N36</f>
        <v>528.602078686368</v>
      </c>
      <c r="Q36" s="15" t="n">
        <f aca="false">0*R35+Ceiling*S35+Ceiling*T35</f>
        <v>0</v>
      </c>
      <c r="R36" s="15" t="n">
        <f aca="false">0*Q35+Ceiling*S35+Ceiling*T35</f>
        <v>0</v>
      </c>
      <c r="S36" s="15" t="n">
        <f aca="false">Ceiling*(Q35+R35)</f>
        <v>0.00990352031428306</v>
      </c>
      <c r="T36" s="15" t="n">
        <f aca="false">Ceiling*(Q35+R35)</f>
        <v>0.00990352031428306</v>
      </c>
    </row>
    <row r="37" customFormat="false" ht="15" hidden="false" customHeight="false" outlineLevel="0" collapsed="false">
      <c r="A37" s="20" t="n">
        <v>32</v>
      </c>
      <c r="B37" s="15" t="n">
        <f aca="false">SUM(Q37:T37)</f>
        <v>0.0158456325028529</v>
      </c>
      <c r="E37" s="15" t="n">
        <f aca="false">0*F36+Ceiling*G36+Ceiling*H36</f>
        <v>8.87788497742858</v>
      </c>
      <c r="F37" s="15" t="n">
        <f aca="false">0*E36+Ceiling*G36+Ceiling*H36+Shock</f>
        <v>18.8778849774286</v>
      </c>
      <c r="G37" s="15" t="n">
        <f aca="false">Ceiling*(E36+F36)</f>
        <v>11.1023079819429</v>
      </c>
      <c r="H37" s="15" t="n">
        <f aca="false">Ceiling*(E36+F36)</f>
        <v>11.1023079819429</v>
      </c>
      <c r="I37" s="15" t="n">
        <f aca="false">SUM(E37:H37)</f>
        <v>49.9603859187429</v>
      </c>
      <c r="J37" s="15" t="n">
        <f aca="false">Ceiling*K36+Ceiling*L36+Ceiling*M36</f>
        <v>6.76510708421595</v>
      </c>
      <c r="K37" s="15" t="n">
        <f aca="false">Ceiling*J36+Ceiling*L36+Ceiling*M36</f>
        <v>6.7651070842178</v>
      </c>
      <c r="L37" s="15" t="n">
        <f aca="false">Ceiling*(J36+K36)</f>
        <v>5.282034872955</v>
      </c>
      <c r="M37" s="15" t="n">
        <f aca="false">Ceiling*(J36+K36)</f>
        <v>5.282034872955</v>
      </c>
      <c r="N37" s="15" t="n">
        <f aca="false">SUM(J37:M37)</f>
        <v>24.0942839143438</v>
      </c>
      <c r="O37" s="15" t="n">
        <f aca="false">O36+(Q37+R37+S37+T37)/2</f>
        <v>49.9683087349943</v>
      </c>
      <c r="P37" s="15" t="n">
        <f aca="false">P36+N37</f>
        <v>552.696362600712</v>
      </c>
      <c r="Q37" s="15" t="n">
        <f aca="false">0*R36+Ceiling*S36+Ceiling*T36</f>
        <v>0.00792281625142645</v>
      </c>
      <c r="R37" s="15" t="n">
        <f aca="false">0*Q36+Ceiling*S36+Ceiling*T36</f>
        <v>0.00792281625142645</v>
      </c>
      <c r="S37" s="15" t="n">
        <f aca="false">Ceiling*(Q36+R36)</f>
        <v>0</v>
      </c>
      <c r="T37" s="15" t="n">
        <f aca="false">Ceiling*(Q36+R36)</f>
        <v>0</v>
      </c>
    </row>
    <row r="38" customFormat="false" ht="15" hidden="false" customHeight="false" outlineLevel="0" collapsed="false">
      <c r="A38" s="20" t="n">
        <v>33</v>
      </c>
      <c r="B38" s="15" t="n">
        <f aca="false">SUM(Q38:T38)</f>
        <v>0.0126765060022823</v>
      </c>
      <c r="E38" s="15" t="n">
        <f aca="false">0*F37+Ceiling*G37+Ceiling*H37</f>
        <v>8.88184638555429</v>
      </c>
      <c r="F38" s="15" t="n">
        <f aca="false">0*E37+Ceiling*G37+Ceiling*H37+Shock</f>
        <v>18.8818463855543</v>
      </c>
      <c r="G38" s="15" t="n">
        <f aca="false">Ceiling*(E37+F37)</f>
        <v>11.1023079819429</v>
      </c>
      <c r="H38" s="15" t="n">
        <f aca="false">Ceiling*(E37+F37)</f>
        <v>11.1023079819429</v>
      </c>
      <c r="I38" s="15" t="n">
        <f aca="false">SUM(E38:H38)</f>
        <v>49.9683087349943</v>
      </c>
      <c r="J38" s="15" t="n">
        <f aca="false">Ceiling*K37+Ceiling*L37+Ceiling*M37</f>
        <v>6.93167073205112</v>
      </c>
      <c r="K38" s="15" t="n">
        <f aca="false">Ceiling*J37+Ceiling*L37+Ceiling*M37</f>
        <v>6.93167073205038</v>
      </c>
      <c r="L38" s="15" t="n">
        <f aca="false">Ceiling*(J37+K37)</f>
        <v>5.4120856673735</v>
      </c>
      <c r="M38" s="15" t="n">
        <f aca="false">Ceiling*(J37+K37)</f>
        <v>5.4120856673735</v>
      </c>
      <c r="N38" s="15" t="n">
        <f aca="false">SUM(J38:M38)</f>
        <v>24.6875127988485</v>
      </c>
      <c r="O38" s="15" t="n">
        <f aca="false">O37+(Q38+R38+S38+T38)/2</f>
        <v>49.9746469879955</v>
      </c>
      <c r="P38" s="15" t="n">
        <f aca="false">P37+N38</f>
        <v>577.38387539956</v>
      </c>
      <c r="Q38" s="15" t="n">
        <f aca="false">0*R37+Ceiling*S37+Ceiling*T37</f>
        <v>0</v>
      </c>
      <c r="R38" s="15" t="n">
        <f aca="false">0*Q37+Ceiling*S37+Ceiling*T37</f>
        <v>0</v>
      </c>
      <c r="S38" s="15" t="n">
        <f aca="false">Ceiling*(Q37+R37)</f>
        <v>0.00633825300114116</v>
      </c>
      <c r="T38" s="15" t="n">
        <f aca="false">Ceiling*(Q37+R37)</f>
        <v>0.00633825300114116</v>
      </c>
    </row>
    <row r="39" customFormat="false" ht="15" hidden="false" customHeight="false" outlineLevel="0" collapsed="false">
      <c r="A39" s="20" t="n">
        <v>34</v>
      </c>
      <c r="B39" s="15" t="n">
        <f aca="false">SUM(Q39:T39)</f>
        <v>0.0101412048018259</v>
      </c>
      <c r="E39" s="15" t="n">
        <f aca="false">0*F38+Ceiling*G38+Ceiling*H38</f>
        <v>8.88184638555429</v>
      </c>
      <c r="F39" s="15" t="n">
        <f aca="false">0*E38+Ceiling*G38+Ceiling*H38+Shock</f>
        <v>18.8818463855543</v>
      </c>
      <c r="G39" s="15" t="n">
        <f aca="false">Ceiling*(E38+F38)</f>
        <v>11.1054771084434</v>
      </c>
      <c r="H39" s="15" t="n">
        <f aca="false">Ceiling*(E38+F38)</f>
        <v>11.1054771084434</v>
      </c>
      <c r="I39" s="15" t="n">
        <f aca="false">SUM(E39:H39)</f>
        <v>49.9746469879955</v>
      </c>
      <c r="J39" s="15" t="n">
        <f aca="false">Ceiling*K38+Ceiling*L38+Ceiling*M38</f>
        <v>7.10233682671895</v>
      </c>
      <c r="K39" s="15" t="n">
        <f aca="false">Ceiling*J38+Ceiling*L38+Ceiling*M38</f>
        <v>7.10233682671925</v>
      </c>
      <c r="L39" s="15" t="n">
        <f aca="false">Ceiling*(J38+K38)</f>
        <v>5.5453365856406</v>
      </c>
      <c r="M39" s="15" t="n">
        <f aca="false">Ceiling*(J38+K38)</f>
        <v>5.5453365856406</v>
      </c>
      <c r="N39" s="15" t="n">
        <f aca="false">SUM(J39:M39)</f>
        <v>25.2953468247194</v>
      </c>
      <c r="O39" s="15" t="n">
        <f aca="false">O38+(Q39+R39+S39+T39)/2</f>
        <v>49.9797175903964</v>
      </c>
      <c r="P39" s="15" t="n">
        <f aca="false">P38+N39</f>
        <v>602.679222224279</v>
      </c>
      <c r="Q39" s="15" t="n">
        <f aca="false">0*R38+Ceiling*S38+Ceiling*T38</f>
        <v>0.00507060240091293</v>
      </c>
      <c r="R39" s="15" t="n">
        <f aca="false">0*Q38+Ceiling*S38+Ceiling*T38</f>
        <v>0.00507060240091293</v>
      </c>
      <c r="S39" s="15" t="n">
        <f aca="false">Ceiling*(Q38+R38)</f>
        <v>0</v>
      </c>
      <c r="T39" s="15" t="n">
        <f aca="false">Ceiling*(Q38+R38)</f>
        <v>0</v>
      </c>
    </row>
    <row r="40" customFormat="false" ht="15" hidden="false" customHeight="false" outlineLevel="0" collapsed="false">
      <c r="A40" s="20" t="n">
        <v>35</v>
      </c>
      <c r="B40" s="15" t="n">
        <f aca="false">SUM(Q40:T40)</f>
        <v>0.00811296384146068</v>
      </c>
      <c r="E40" s="15" t="n">
        <f aca="false">0*F39+Ceiling*G39+Ceiling*H39</f>
        <v>8.88438168675475</v>
      </c>
      <c r="F40" s="15" t="n">
        <f aca="false">0*E39+Ceiling*G39+Ceiling*H39+Shock</f>
        <v>18.8843816867547</v>
      </c>
      <c r="G40" s="15" t="n">
        <f aca="false">Ceiling*(E39+F39)</f>
        <v>11.1054771084434</v>
      </c>
      <c r="H40" s="15" t="n">
        <f aca="false">Ceiling*(E39+F39)</f>
        <v>11.1054771084434</v>
      </c>
      <c r="I40" s="15" t="n">
        <f aca="false">SUM(E40:H40)</f>
        <v>49.9797175903964</v>
      </c>
      <c r="J40" s="15" t="n">
        <f aca="false">Ceiling*K39+Ceiling*L39+Ceiling*M39</f>
        <v>7.27720399920018</v>
      </c>
      <c r="K40" s="15" t="n">
        <f aca="false">Ceiling*J39+Ceiling*L39+Ceiling*M39</f>
        <v>7.27720399920006</v>
      </c>
      <c r="L40" s="15" t="n">
        <f aca="false">Ceiling*(J39+K39)</f>
        <v>5.68186946137528</v>
      </c>
      <c r="M40" s="15" t="n">
        <f aca="false">Ceiling*(J39+K39)</f>
        <v>5.68186946137528</v>
      </c>
      <c r="N40" s="15" t="n">
        <f aca="false">SUM(J40:M40)</f>
        <v>25.9181469211508</v>
      </c>
      <c r="O40" s="15" t="n">
        <f aca="false">O39+(Q40+R40+S40+T40)/2</f>
        <v>49.9837740723171</v>
      </c>
      <c r="P40" s="15" t="n">
        <f aca="false">P39+N40</f>
        <v>628.59736914543</v>
      </c>
      <c r="Q40" s="15" t="n">
        <f aca="false">0*R39+Ceiling*S39+Ceiling*T39</f>
        <v>0</v>
      </c>
      <c r="R40" s="15" t="n">
        <f aca="false">0*Q39+Ceiling*S39+Ceiling*T39</f>
        <v>0</v>
      </c>
      <c r="S40" s="15" t="n">
        <f aca="false">Ceiling*(Q39+R39)</f>
        <v>0.00405648192073034</v>
      </c>
      <c r="T40" s="15" t="n">
        <f aca="false">Ceiling*(Q39+R39)</f>
        <v>0.00405648192073034</v>
      </c>
    </row>
    <row r="41" customFormat="false" ht="15" hidden="false" customHeight="false" outlineLevel="0" collapsed="false">
      <c r="A41" s="20" t="n">
        <v>36</v>
      </c>
      <c r="B41" s="15" t="n">
        <f aca="false">SUM(Q41:T41)</f>
        <v>0.00649037107316855</v>
      </c>
      <c r="E41" s="15" t="n">
        <f aca="false">0*F40+Ceiling*G40+Ceiling*H40</f>
        <v>8.88438168675475</v>
      </c>
      <c r="F41" s="15" t="n">
        <f aca="false">0*E40+Ceiling*G40+Ceiling*H40+Shock</f>
        <v>18.8843816867547</v>
      </c>
      <c r="G41" s="15" t="n">
        <f aca="false">Ceiling*(E40+F40)</f>
        <v>11.1075053494038</v>
      </c>
      <c r="H41" s="15" t="n">
        <f aca="false">Ceiling*(E40+F40)</f>
        <v>11.1075053494038</v>
      </c>
      <c r="I41" s="15" t="n">
        <f aca="false">SUM(E41:H41)</f>
        <v>49.9837740723171</v>
      </c>
      <c r="J41" s="15" t="n">
        <f aca="false">Ceiling*K40+Ceiling*L40+Ceiling*M40</f>
        <v>7.45637716878025</v>
      </c>
      <c r="K41" s="15" t="n">
        <f aca="false">Ceiling*J40+Ceiling*L40+Ceiling*M40</f>
        <v>7.4563771687803</v>
      </c>
      <c r="L41" s="15" t="n">
        <f aca="false">Ceiling*(J40+K40)</f>
        <v>5.8217631993601</v>
      </c>
      <c r="M41" s="15" t="n">
        <f aca="false">Ceiling*(J40+K40)</f>
        <v>5.8217631993601</v>
      </c>
      <c r="N41" s="15" t="n">
        <f aca="false">SUM(J41:M41)</f>
        <v>26.5562807362807</v>
      </c>
      <c r="O41" s="15" t="n">
        <f aca="false">O40+(Q41+R41+S41+T41)/2</f>
        <v>49.9870192578537</v>
      </c>
      <c r="P41" s="15" t="n">
        <f aca="false">P40+N41</f>
        <v>655.153649881711</v>
      </c>
      <c r="Q41" s="15" t="n">
        <f aca="false">0*R40+Ceiling*S40+Ceiling*T40</f>
        <v>0.00324518553658427</v>
      </c>
      <c r="R41" s="15" t="n">
        <f aca="false">0*Q40+Ceiling*S40+Ceiling*T40</f>
        <v>0.00324518553658427</v>
      </c>
      <c r="S41" s="15" t="n">
        <f aca="false">Ceiling*(Q40+R40)</f>
        <v>0</v>
      </c>
      <c r="T41" s="15" t="n">
        <f aca="false">Ceiling*(Q40+R40)</f>
        <v>0</v>
      </c>
    </row>
    <row r="42" customFormat="false" ht="15" hidden="false" customHeight="false" outlineLevel="0" collapsed="false">
      <c r="A42" s="20" t="n">
        <v>37</v>
      </c>
      <c r="B42" s="15" t="n">
        <f aca="false">SUM(Q42:T42)</f>
        <v>0.00519229685853484</v>
      </c>
      <c r="E42" s="15" t="n">
        <f aca="false">0*F41+Ceiling*G41+Ceiling*H41</f>
        <v>8.88600427952304</v>
      </c>
      <c r="F42" s="15" t="n">
        <f aca="false">0*E41+Ceiling*G41+Ceiling*H41+Shock</f>
        <v>18.886004279523</v>
      </c>
      <c r="G42" s="15" t="n">
        <f aca="false">Ceiling*(E41+F41)</f>
        <v>11.1075053494038</v>
      </c>
      <c r="H42" s="15" t="n">
        <f aca="false">Ceiling*(E41+F41)</f>
        <v>11.1075053494038</v>
      </c>
      <c r="I42" s="15" t="n">
        <f aca="false">SUM(E42:H42)</f>
        <v>49.9870192578537</v>
      </c>
      <c r="J42" s="15" t="n">
        <f aca="false">Ceiling*K41+Ceiling*L41+Ceiling*M41</f>
        <v>7.6399614270002</v>
      </c>
      <c r="K42" s="15" t="n">
        <f aca="false">Ceiling*J41+Ceiling*L41+Ceiling*M41</f>
        <v>7.63996142700018</v>
      </c>
      <c r="L42" s="15" t="n">
        <f aca="false">Ceiling*(J41+K41)</f>
        <v>5.96510173502422</v>
      </c>
      <c r="M42" s="15" t="n">
        <f aca="false">Ceiling*(J41+K41)</f>
        <v>5.96510173502422</v>
      </c>
      <c r="N42" s="15" t="n">
        <f aca="false">SUM(J42:M42)</f>
        <v>27.2101263240488</v>
      </c>
      <c r="O42" s="15" t="n">
        <f aca="false">O41+(Q42+R42+S42+T42)/2</f>
        <v>49.9896154062829</v>
      </c>
      <c r="P42" s="15" t="n">
        <f aca="false">P41+N42</f>
        <v>682.36377620576</v>
      </c>
      <c r="Q42" s="15" t="n">
        <f aca="false">0*R41+Ceiling*S41+Ceiling*T41</f>
        <v>0</v>
      </c>
      <c r="R42" s="15" t="n">
        <f aca="false">0*Q41+Ceiling*S41+Ceiling*T41</f>
        <v>0</v>
      </c>
      <c r="S42" s="15" t="n">
        <f aca="false">Ceiling*(Q41+R41)</f>
        <v>0.00259614842926742</v>
      </c>
      <c r="T42" s="15" t="n">
        <f aca="false">Ceiling*(Q41+R41)</f>
        <v>0.00259614842926742</v>
      </c>
    </row>
    <row r="43" customFormat="false" ht="15" hidden="false" customHeight="false" outlineLevel="0" collapsed="false">
      <c r="A43" s="20" t="n">
        <v>38</v>
      </c>
      <c r="B43" s="15" t="n">
        <f aca="false">SUM(Q43:T43)</f>
        <v>0.00415383748682787</v>
      </c>
      <c r="E43" s="15" t="n">
        <f aca="false">0*F42+Ceiling*G42+Ceiling*H42</f>
        <v>8.88600427952304</v>
      </c>
      <c r="F43" s="15" t="n">
        <f aca="false">0*E42+Ceiling*G42+Ceiling*H42+Shock</f>
        <v>18.886004279523</v>
      </c>
      <c r="G43" s="15" t="n">
        <f aca="false">Ceiling*(E42+F42)</f>
        <v>11.1088034236184</v>
      </c>
      <c r="H43" s="15" t="n">
        <f aca="false">Ceiling*(E42+F42)</f>
        <v>11.1088034236184</v>
      </c>
      <c r="I43" s="15" t="n">
        <f aca="false">SUM(E43:H43)</f>
        <v>49.9896154062829</v>
      </c>
      <c r="J43" s="15" t="n">
        <f aca="false">Ceiling*K42+Ceiling*L42+Ceiling*M42</f>
        <v>7.82806595881945</v>
      </c>
      <c r="K43" s="15" t="n">
        <f aca="false">Ceiling*J42+Ceiling*L42+Ceiling*M42</f>
        <v>7.82806595881946</v>
      </c>
      <c r="L43" s="15" t="n">
        <f aca="false">Ceiling*(J42+K42)</f>
        <v>6.11196914160015</v>
      </c>
      <c r="M43" s="15" t="n">
        <f aca="false">Ceiling*(J42+K42)</f>
        <v>6.11196914160015</v>
      </c>
      <c r="N43" s="15" t="n">
        <f aca="false">SUM(J43:M43)</f>
        <v>27.8800702008392</v>
      </c>
      <c r="O43" s="15" t="n">
        <f aca="false">O42+(Q43+R43+S43+T43)/2</f>
        <v>49.9916923250264</v>
      </c>
      <c r="P43" s="15" t="n">
        <f aca="false">P42+N43</f>
        <v>710.243846406599</v>
      </c>
      <c r="Q43" s="15" t="n">
        <f aca="false">0*R42+Ceiling*S42+Ceiling*T42</f>
        <v>0.00207691874341394</v>
      </c>
      <c r="R43" s="15" t="n">
        <f aca="false">0*Q42+Ceiling*S42+Ceiling*T42</f>
        <v>0.00207691874341394</v>
      </c>
      <c r="S43" s="15" t="n">
        <f aca="false">Ceiling*(Q42+R42)</f>
        <v>0</v>
      </c>
      <c r="T43" s="15" t="n">
        <f aca="false">Ceiling*(Q42+R42)</f>
        <v>0</v>
      </c>
    </row>
    <row r="44" customFormat="false" ht="15" hidden="false" customHeight="false" outlineLevel="0" collapsed="false">
      <c r="A44" s="20" t="n">
        <v>39</v>
      </c>
      <c r="B44" s="15" t="n">
        <f aca="false">SUM(Q44:T44)</f>
        <v>0.0033230699894623</v>
      </c>
      <c r="E44" s="15" t="n">
        <f aca="false">0*F43+Ceiling*G43+Ceiling*H43</f>
        <v>8.88704273889475</v>
      </c>
      <c r="F44" s="15" t="n">
        <f aca="false">0*E43+Ceiling*G43+Ceiling*H43+Shock</f>
        <v>18.8870427388948</v>
      </c>
      <c r="G44" s="15" t="n">
        <f aca="false">Ceiling*(E43+F43)</f>
        <v>11.1088034236184</v>
      </c>
      <c r="H44" s="15" t="n">
        <f aca="false">Ceiling*(E43+F43)</f>
        <v>11.1088034236184</v>
      </c>
      <c r="I44" s="15" t="n">
        <f aca="false">SUM(E44:H44)</f>
        <v>49.9916923250264</v>
      </c>
      <c r="J44" s="15" t="n">
        <f aca="false">Ceiling*K43+Ceiling*L43+Ceiling*M43</f>
        <v>8.0208016968079</v>
      </c>
      <c r="K44" s="15" t="n">
        <f aca="false">Ceiling*J43+Ceiling*L43+Ceiling*M43</f>
        <v>8.0208016968079</v>
      </c>
      <c r="L44" s="15" t="n">
        <f aca="false">Ceiling*(J43+K43)</f>
        <v>6.26245276705556</v>
      </c>
      <c r="M44" s="15" t="n">
        <f aca="false">Ceiling*(J43+K43)</f>
        <v>6.26245276705556</v>
      </c>
      <c r="N44" s="15" t="n">
        <f aca="false">SUM(J44:M44)</f>
        <v>28.5665089277269</v>
      </c>
      <c r="O44" s="15" t="n">
        <f aca="false">O43+(Q44+R44+S44+T44)/2</f>
        <v>49.9933538600211</v>
      </c>
      <c r="P44" s="15" t="n">
        <f aca="false">P43+N44</f>
        <v>738.810355334326</v>
      </c>
      <c r="Q44" s="15" t="n">
        <f aca="false">0*R43+Ceiling*S43+Ceiling*T43</f>
        <v>0</v>
      </c>
      <c r="R44" s="15" t="n">
        <f aca="false">0*Q43+Ceiling*S43+Ceiling*T43</f>
        <v>0</v>
      </c>
      <c r="S44" s="15" t="n">
        <f aca="false">Ceiling*(Q43+R43)</f>
        <v>0.00166153499473115</v>
      </c>
      <c r="T44" s="15" t="n">
        <f aca="false">Ceiling*(Q43+R43)</f>
        <v>0.00166153499473115</v>
      </c>
    </row>
    <row r="45" customFormat="false" ht="15" hidden="false" customHeight="false" outlineLevel="0" collapsed="false">
      <c r="A45" s="20" t="n">
        <v>40</v>
      </c>
      <c r="B45" s="15" t="n">
        <f aca="false">SUM(Q45:T45)</f>
        <v>0.00265845599156984</v>
      </c>
      <c r="E45" s="15" t="n">
        <f aca="false">0*F44+Ceiling*G44+Ceiling*H44</f>
        <v>8.88704273889475</v>
      </c>
      <c r="F45" s="15" t="n">
        <f aca="false">0*E44+Ceiling*G44+Ceiling*H44+Shock</f>
        <v>18.8870427388948</v>
      </c>
      <c r="G45" s="15" t="n">
        <f aca="false">Ceiling*(E44+F44)</f>
        <v>11.1096341911158</v>
      </c>
      <c r="H45" s="15" t="n">
        <f aca="false">Ceiling*(E44+F44)</f>
        <v>11.1096341911158</v>
      </c>
      <c r="I45" s="15" t="n">
        <f aca="false">SUM(E45:H45)</f>
        <v>49.9933538600211</v>
      </c>
      <c r="J45" s="15" t="n">
        <f aca="false">Ceiling*K44+Ceiling*L44+Ceiling*M44</f>
        <v>8.21828289236761</v>
      </c>
      <c r="K45" s="15" t="n">
        <f aca="false">Ceiling*J44+Ceiling*L44+Ceiling*M44</f>
        <v>8.21828289236761</v>
      </c>
      <c r="L45" s="15" t="n">
        <f aca="false">Ceiling*(J44+K44)</f>
        <v>6.41664135744632</v>
      </c>
      <c r="M45" s="15" t="n">
        <f aca="false">Ceiling*(J44+K44)</f>
        <v>6.41664135744632</v>
      </c>
      <c r="N45" s="15" t="n">
        <f aca="false">SUM(J45:M45)</f>
        <v>29.2698484996279</v>
      </c>
      <c r="O45" s="15" t="n">
        <f aca="false">O44+(Q45+R45+S45+T45)/2</f>
        <v>49.9946830880169</v>
      </c>
      <c r="P45" s="15" t="n">
        <f aca="false">P44+N45</f>
        <v>768.080203833954</v>
      </c>
      <c r="Q45" s="15" t="n">
        <f aca="false">0*R44+Ceiling*S44+Ceiling*T44</f>
        <v>0.00132922799578492</v>
      </c>
      <c r="R45" s="15" t="n">
        <f aca="false">0*Q44+Ceiling*S44+Ceiling*T44</f>
        <v>0.00132922799578492</v>
      </c>
      <c r="S45" s="15" t="n">
        <f aca="false">Ceiling*(Q44+R44)</f>
        <v>0</v>
      </c>
      <c r="T45" s="15" t="n">
        <f aca="false">Ceiling*(Q44+R44)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10" t="s">
        <v>263</v>
      </c>
    </row>
    <row r="3" customFormat="false" ht="23.85" hidden="false" customHeight="false" outlineLevel="0" collapsed="false">
      <c r="A3" s="8" t="s">
        <v>103</v>
      </c>
      <c r="B3" s="8" t="s">
        <v>264</v>
      </c>
      <c r="C3" s="8" t="s">
        <v>265</v>
      </c>
      <c r="D3" s="8" t="s">
        <v>266</v>
      </c>
      <c r="E3" s="8" t="s">
        <v>267</v>
      </c>
      <c r="F3" s="8" t="s">
        <v>268</v>
      </c>
      <c r="G3" s="8" t="s">
        <v>269</v>
      </c>
    </row>
    <row r="4" customFormat="false" ht="15" hidden="false" customHeight="false" outlineLevel="0" collapsed="false">
      <c r="A4" s="20" t="n">
        <v>0</v>
      </c>
      <c r="B4" s="18" t="n">
        <f aca="false">Cash_now</f>
        <v>120</v>
      </c>
      <c r="C4" s="18" t="n">
        <f aca="false">Burn_now</f>
        <v>50</v>
      </c>
      <c r="D4" s="18" t="n">
        <f aca="false">MIN(Cut_b,C4)</f>
        <v>10</v>
      </c>
      <c r="E4" s="2" t="str">
        <f aca="false">IF(AND(B4&gt;=0,B4&lt;=S_max,C4&gt;=0,C4&lt;=R_max),"yes","no")</f>
        <v>yes</v>
      </c>
      <c r="F4" s="18" t="n">
        <f aca="false">Cash_now</f>
        <v>120</v>
      </c>
      <c r="G4" s="2" t="str">
        <f aca="false">IF(AND(F4&gt;=0,F4&lt;=S_max),"yes","no")</f>
        <v>yes</v>
      </c>
    </row>
    <row r="5" customFormat="false" ht="15" hidden="false" customHeight="false" outlineLevel="0" collapsed="false">
      <c r="A5" s="20" t="n">
        <v>1</v>
      </c>
      <c r="B5" s="18" t="n">
        <f aca="false">B4-C4</f>
        <v>70</v>
      </c>
      <c r="C5" s="18" t="n">
        <f aca="false">C4-D4</f>
        <v>40</v>
      </c>
      <c r="D5" s="18" t="n">
        <f aca="false">MIN(Cut_b,C5)</f>
        <v>10</v>
      </c>
      <c r="E5" s="2" t="str">
        <f aca="false">IF(AND(B5&gt;=0,B5&lt;=S_max,C5&gt;=0,C5&lt;=R_max),"yes","no")</f>
        <v>yes</v>
      </c>
      <c r="F5" s="18" t="n">
        <f aca="false">F4-Burn_now</f>
        <v>70</v>
      </c>
      <c r="G5" s="2" t="str">
        <f aca="false">IF(AND(F5&gt;=0,F5&lt;=S_max),"yes","no")</f>
        <v>yes</v>
      </c>
    </row>
    <row r="6" customFormat="false" ht="15" hidden="false" customHeight="false" outlineLevel="0" collapsed="false">
      <c r="A6" s="20" t="n">
        <v>2</v>
      </c>
      <c r="B6" s="18" t="n">
        <f aca="false">B5-C5</f>
        <v>30</v>
      </c>
      <c r="C6" s="18" t="n">
        <f aca="false">C5-D5</f>
        <v>30</v>
      </c>
      <c r="D6" s="18" t="n">
        <f aca="false">MIN(Cut_b,C6)</f>
        <v>10</v>
      </c>
      <c r="E6" s="2" t="str">
        <f aca="false">IF(AND(B6&gt;=0,B6&lt;=S_max,C6&gt;=0,C6&lt;=R_max),"yes","no")</f>
        <v>yes</v>
      </c>
      <c r="F6" s="18" t="n">
        <f aca="false">F5-Burn_now</f>
        <v>20</v>
      </c>
      <c r="G6" s="2" t="str">
        <f aca="false">IF(AND(F6&gt;=0,F6&lt;=S_max),"yes","no")</f>
        <v>yes</v>
      </c>
    </row>
    <row r="7" customFormat="false" ht="15" hidden="false" customHeight="false" outlineLevel="0" collapsed="false">
      <c r="A7" s="20" t="n">
        <v>3</v>
      </c>
      <c r="B7" s="18" t="n">
        <f aca="false">B6-C6</f>
        <v>0</v>
      </c>
      <c r="C7" s="18" t="n">
        <f aca="false">C6-D6</f>
        <v>20</v>
      </c>
      <c r="D7" s="18" t="n">
        <f aca="false">MIN(Cut_b,C7)</f>
        <v>10</v>
      </c>
      <c r="E7" s="2" t="str">
        <f aca="false">IF(AND(B7&gt;=0,B7&lt;=S_max,C7&gt;=0,C7&lt;=R_max),"yes","no")</f>
        <v>yes</v>
      </c>
      <c r="F7" s="18" t="n">
        <f aca="false">F6-Burn_now</f>
        <v>-30</v>
      </c>
      <c r="G7" s="2" t="str">
        <f aca="false">IF(AND(F7&gt;=0,F7&lt;=S_max),"yes","no")</f>
        <v>no</v>
      </c>
    </row>
    <row r="8" customFormat="false" ht="15" hidden="false" customHeight="false" outlineLevel="0" collapsed="false">
      <c r="A8" s="20" t="n">
        <v>4</v>
      </c>
      <c r="B8" s="18" t="n">
        <f aca="false">B7-C7</f>
        <v>-20</v>
      </c>
      <c r="C8" s="18" t="n">
        <f aca="false">C7-D7</f>
        <v>10</v>
      </c>
      <c r="D8" s="18" t="n">
        <f aca="false">MIN(Cut_b,C8)</f>
        <v>10</v>
      </c>
      <c r="E8" s="2" t="str">
        <f aca="false">IF(AND(B8&gt;=0,B8&lt;=S_max,C8&gt;=0,C8&lt;=R_max),"yes","no")</f>
        <v>no</v>
      </c>
      <c r="F8" s="18" t="n">
        <f aca="false">F7-Burn_now</f>
        <v>-80</v>
      </c>
      <c r="G8" s="2" t="str">
        <f aca="false">IF(AND(F8&gt;=0,F8&lt;=S_max),"yes","no")</f>
        <v>no</v>
      </c>
    </row>
    <row r="9" customFormat="false" ht="15" hidden="false" customHeight="false" outlineLevel="0" collapsed="false">
      <c r="A9" s="20" t="n">
        <v>5</v>
      </c>
      <c r="B9" s="18" t="n">
        <f aca="false">B8-C8</f>
        <v>-30</v>
      </c>
      <c r="C9" s="18" t="n">
        <f aca="false">C8-D8</f>
        <v>0</v>
      </c>
      <c r="D9" s="18" t="n">
        <f aca="false">MIN(Cut_b,C9)</f>
        <v>0</v>
      </c>
      <c r="E9" s="2" t="str">
        <f aca="false">IF(AND(B9&gt;=0,B9&lt;=S_max,C9&gt;=0,C9&lt;=R_max),"yes","no")</f>
        <v>no</v>
      </c>
      <c r="F9" s="18" t="n">
        <f aca="false">F8-Burn_now</f>
        <v>-130</v>
      </c>
      <c r="G9" s="2" t="str">
        <f aca="false">IF(AND(F9&gt;=0,F9&lt;=S_max),"yes","no")</f>
        <v>no</v>
      </c>
    </row>
    <row r="10" customFormat="false" ht="15" hidden="false" customHeight="false" outlineLevel="0" collapsed="false">
      <c r="A10" s="20" t="n">
        <v>6</v>
      </c>
      <c r="B10" s="18" t="n">
        <f aca="false">B9-C9</f>
        <v>-30</v>
      </c>
      <c r="C10" s="18" t="n">
        <f aca="false">C9-D9</f>
        <v>0</v>
      </c>
      <c r="D10" s="18" t="n">
        <f aca="false">MIN(Cut_b,C10)</f>
        <v>0</v>
      </c>
      <c r="E10" s="2" t="str">
        <f aca="false">IF(AND(B10&gt;=0,B10&lt;=S_max,C10&gt;=0,C10&lt;=R_max),"yes","no")</f>
        <v>no</v>
      </c>
      <c r="F10" s="18" t="n">
        <f aca="false">F9-Burn_now</f>
        <v>-180</v>
      </c>
      <c r="G10" s="2" t="str">
        <f aca="false">IF(AND(F10&gt;=0,F10&lt;=S_max),"yes","no")</f>
        <v>no</v>
      </c>
    </row>
    <row r="12" customFormat="false" ht="15" hidden="false" customHeight="false" outlineLevel="0" collapsed="false">
      <c r="A12" s="2" t="s">
        <v>270</v>
      </c>
      <c r="B12" s="20" t="n">
        <f aca="false">MATCH("no",E4:E10,0)-1</f>
        <v>4</v>
      </c>
    </row>
    <row r="13" customFormat="false" ht="15" hidden="false" customHeight="false" outlineLevel="0" collapsed="false">
      <c r="A13" s="2" t="s">
        <v>271</v>
      </c>
      <c r="B13" s="20" t="n">
        <f aca="false">MATCH("no",G4:G10,0)-1</f>
        <v>3</v>
      </c>
    </row>
    <row r="16" customFormat="false" ht="35.05" hidden="false" customHeight="false" outlineLevel="0" collapsed="false">
      <c r="A16" s="8" t="s">
        <v>272</v>
      </c>
      <c r="B16" s="8" t="s">
        <v>273</v>
      </c>
      <c r="C16" s="8" t="s">
        <v>274</v>
      </c>
      <c r="D16" s="8" t="s">
        <v>275</v>
      </c>
      <c r="E16" s="8" t="s">
        <v>276</v>
      </c>
      <c r="F16" s="8" t="s">
        <v>277</v>
      </c>
      <c r="G16" s="8" t="s">
        <v>278</v>
      </c>
      <c r="H16" s="8" t="s">
        <v>279</v>
      </c>
      <c r="I16" s="8" t="s">
        <v>280</v>
      </c>
      <c r="J16" s="8" t="s">
        <v>281</v>
      </c>
      <c r="K16" s="8" t="s">
        <v>282</v>
      </c>
      <c r="L16" s="8" t="s">
        <v>283</v>
      </c>
      <c r="M16" s="8" t="s">
        <v>284</v>
      </c>
    </row>
    <row r="17" customFormat="false" ht="15" hidden="false" customHeight="false" outlineLevel="0" collapsed="false">
      <c r="A17" s="12" t="n">
        <v>0</v>
      </c>
      <c r="B17" s="18" t="n">
        <f aca="false">MAX($A17-0*Cut_b,0)</f>
        <v>0</v>
      </c>
      <c r="C17" s="18" t="n">
        <f aca="false">B17+MAX($A17-1*Cut_b,0)</f>
        <v>0</v>
      </c>
      <c r="D17" s="18" t="n">
        <f aca="false">C17+MAX($A17-2*Cut_b,0)</f>
        <v>0</v>
      </c>
      <c r="E17" s="18" t="n">
        <f aca="false">D17+MAX($A17-3*Cut_b,0)</f>
        <v>0</v>
      </c>
      <c r="F17" s="18" t="n">
        <f aca="false">E17+MAX($A17-4*Cut_b,0)</f>
        <v>0</v>
      </c>
      <c r="G17" s="18" t="n">
        <f aca="false">F17+MAX($A17-5*Cut_b,0)</f>
        <v>0</v>
      </c>
      <c r="H17" s="18" t="n">
        <f aca="false">G17+MAX($A17-6*Cut_b,0)</f>
        <v>0</v>
      </c>
      <c r="I17" s="18" t="n">
        <f aca="false">H17+MAX($A17-7*Cut_b,0)</f>
        <v>0</v>
      </c>
      <c r="J17" s="18" t="n">
        <f aca="false">I17+MAX($A17-8*Cut_b,0)</f>
        <v>0</v>
      </c>
      <c r="K17" s="18" t="n">
        <f aca="false">J17+MAX($A17-9*Cut_b,0)</f>
        <v>0</v>
      </c>
      <c r="L17" s="18" t="n">
        <f aca="false">K17</f>
        <v>0</v>
      </c>
      <c r="M17" s="18" t="n">
        <f aca="false">IF(MOD($A17,Cut_b)=0,$A17*($A17+Cut_b)/(2*Cut_b),"")</f>
        <v>0</v>
      </c>
    </row>
    <row r="18" customFormat="false" ht="15" hidden="false" customHeight="false" outlineLevel="0" collapsed="false">
      <c r="A18" s="12" t="n">
        <v>5</v>
      </c>
      <c r="B18" s="18" t="n">
        <f aca="false">MAX($A18-0*Cut_b,0)</f>
        <v>5</v>
      </c>
      <c r="C18" s="18" t="n">
        <f aca="false">B18+MAX($A18-1*Cut_b,0)</f>
        <v>5</v>
      </c>
      <c r="D18" s="18" t="n">
        <f aca="false">C18+MAX($A18-2*Cut_b,0)</f>
        <v>5</v>
      </c>
      <c r="E18" s="18" t="n">
        <f aca="false">D18+MAX($A18-3*Cut_b,0)</f>
        <v>5</v>
      </c>
      <c r="F18" s="18" t="n">
        <f aca="false">E18+MAX($A18-4*Cut_b,0)</f>
        <v>5</v>
      </c>
      <c r="G18" s="18" t="n">
        <f aca="false">F18+MAX($A18-5*Cut_b,0)</f>
        <v>5</v>
      </c>
      <c r="H18" s="18" t="n">
        <f aca="false">G18+MAX($A18-6*Cut_b,0)</f>
        <v>5</v>
      </c>
      <c r="I18" s="18" t="n">
        <f aca="false">H18+MAX($A18-7*Cut_b,0)</f>
        <v>5</v>
      </c>
      <c r="J18" s="18" t="n">
        <f aca="false">I18+MAX($A18-8*Cut_b,0)</f>
        <v>5</v>
      </c>
      <c r="K18" s="18" t="n">
        <f aca="false">J18+MAX($A18-9*Cut_b,0)</f>
        <v>5</v>
      </c>
      <c r="L18" s="18" t="n">
        <f aca="false">K18</f>
        <v>5</v>
      </c>
      <c r="M18" s="18" t="str">
        <f aca="false">IF(MOD($A18,Cut_b)=0,$A18*($A18+Cut_b)/(2*Cut_b),"")</f>
        <v/>
      </c>
    </row>
    <row r="19" customFormat="false" ht="15" hidden="false" customHeight="false" outlineLevel="0" collapsed="false">
      <c r="A19" s="12" t="n">
        <v>10</v>
      </c>
      <c r="B19" s="18" t="n">
        <f aca="false">MAX($A19-0*Cut_b,0)</f>
        <v>10</v>
      </c>
      <c r="C19" s="18" t="n">
        <f aca="false">B19+MAX($A19-1*Cut_b,0)</f>
        <v>10</v>
      </c>
      <c r="D19" s="18" t="n">
        <f aca="false">C19+MAX($A19-2*Cut_b,0)</f>
        <v>10</v>
      </c>
      <c r="E19" s="18" t="n">
        <f aca="false">D19+MAX($A19-3*Cut_b,0)</f>
        <v>10</v>
      </c>
      <c r="F19" s="18" t="n">
        <f aca="false">E19+MAX($A19-4*Cut_b,0)</f>
        <v>10</v>
      </c>
      <c r="G19" s="18" t="n">
        <f aca="false">F19+MAX($A19-5*Cut_b,0)</f>
        <v>10</v>
      </c>
      <c r="H19" s="18" t="n">
        <f aca="false">G19+MAX($A19-6*Cut_b,0)</f>
        <v>10</v>
      </c>
      <c r="I19" s="18" t="n">
        <f aca="false">H19+MAX($A19-7*Cut_b,0)</f>
        <v>10</v>
      </c>
      <c r="J19" s="18" t="n">
        <f aca="false">I19+MAX($A19-8*Cut_b,0)</f>
        <v>10</v>
      </c>
      <c r="K19" s="18" t="n">
        <f aca="false">J19+MAX($A19-9*Cut_b,0)</f>
        <v>10</v>
      </c>
      <c r="L19" s="18" t="n">
        <f aca="false">K19</f>
        <v>10</v>
      </c>
      <c r="M19" s="18" t="n">
        <f aca="false">IF(MOD($A19,Cut_b)=0,$A19*($A19+Cut_b)/(2*Cut_b),"")</f>
        <v>10</v>
      </c>
    </row>
    <row r="20" customFormat="false" ht="15" hidden="false" customHeight="false" outlineLevel="0" collapsed="false">
      <c r="A20" s="12" t="n">
        <v>15</v>
      </c>
      <c r="B20" s="18" t="n">
        <f aca="false">MAX($A20-0*Cut_b,0)</f>
        <v>15</v>
      </c>
      <c r="C20" s="18" t="n">
        <f aca="false">B20+MAX($A20-1*Cut_b,0)</f>
        <v>20</v>
      </c>
      <c r="D20" s="18" t="n">
        <f aca="false">C20+MAX($A20-2*Cut_b,0)</f>
        <v>20</v>
      </c>
      <c r="E20" s="18" t="n">
        <f aca="false">D20+MAX($A20-3*Cut_b,0)</f>
        <v>20</v>
      </c>
      <c r="F20" s="18" t="n">
        <f aca="false">E20+MAX($A20-4*Cut_b,0)</f>
        <v>20</v>
      </c>
      <c r="G20" s="18" t="n">
        <f aca="false">F20+MAX($A20-5*Cut_b,0)</f>
        <v>20</v>
      </c>
      <c r="H20" s="18" t="n">
        <f aca="false">G20+MAX($A20-6*Cut_b,0)</f>
        <v>20</v>
      </c>
      <c r="I20" s="18" t="n">
        <f aca="false">H20+MAX($A20-7*Cut_b,0)</f>
        <v>20</v>
      </c>
      <c r="J20" s="18" t="n">
        <f aca="false">I20+MAX($A20-8*Cut_b,0)</f>
        <v>20</v>
      </c>
      <c r="K20" s="18" t="n">
        <f aca="false">J20+MAX($A20-9*Cut_b,0)</f>
        <v>20</v>
      </c>
      <c r="L20" s="18" t="n">
        <f aca="false">K20</f>
        <v>20</v>
      </c>
      <c r="M20" s="18" t="str">
        <f aca="false">IF(MOD($A20,Cut_b)=0,$A20*($A20+Cut_b)/(2*Cut_b),"")</f>
        <v/>
      </c>
    </row>
    <row r="21" customFormat="false" ht="15" hidden="false" customHeight="false" outlineLevel="0" collapsed="false">
      <c r="A21" s="12" t="n">
        <v>20</v>
      </c>
      <c r="B21" s="18" t="n">
        <f aca="false">MAX($A21-0*Cut_b,0)</f>
        <v>20</v>
      </c>
      <c r="C21" s="18" t="n">
        <f aca="false">B21+MAX($A21-1*Cut_b,0)</f>
        <v>30</v>
      </c>
      <c r="D21" s="18" t="n">
        <f aca="false">C21+MAX($A21-2*Cut_b,0)</f>
        <v>30</v>
      </c>
      <c r="E21" s="18" t="n">
        <f aca="false">D21+MAX($A21-3*Cut_b,0)</f>
        <v>30</v>
      </c>
      <c r="F21" s="18" t="n">
        <f aca="false">E21+MAX($A21-4*Cut_b,0)</f>
        <v>30</v>
      </c>
      <c r="G21" s="18" t="n">
        <f aca="false">F21+MAX($A21-5*Cut_b,0)</f>
        <v>30</v>
      </c>
      <c r="H21" s="18" t="n">
        <f aca="false">G21+MAX($A21-6*Cut_b,0)</f>
        <v>30</v>
      </c>
      <c r="I21" s="18" t="n">
        <f aca="false">H21+MAX($A21-7*Cut_b,0)</f>
        <v>30</v>
      </c>
      <c r="J21" s="18" t="n">
        <f aca="false">I21+MAX($A21-8*Cut_b,0)</f>
        <v>30</v>
      </c>
      <c r="K21" s="18" t="n">
        <f aca="false">J21+MAX($A21-9*Cut_b,0)</f>
        <v>30</v>
      </c>
      <c r="L21" s="18" t="n">
        <f aca="false">K21</f>
        <v>30</v>
      </c>
      <c r="M21" s="18" t="n">
        <f aca="false">IF(MOD($A21,Cut_b)=0,$A21*($A21+Cut_b)/(2*Cut_b),"")</f>
        <v>30</v>
      </c>
    </row>
    <row r="22" customFormat="false" ht="15" hidden="false" customHeight="false" outlineLevel="0" collapsed="false">
      <c r="A22" s="12" t="n">
        <v>25</v>
      </c>
      <c r="B22" s="18" t="n">
        <f aca="false">MAX($A22-0*Cut_b,0)</f>
        <v>25</v>
      </c>
      <c r="C22" s="18" t="n">
        <f aca="false">B22+MAX($A22-1*Cut_b,0)</f>
        <v>40</v>
      </c>
      <c r="D22" s="18" t="n">
        <f aca="false">C22+MAX($A22-2*Cut_b,0)</f>
        <v>45</v>
      </c>
      <c r="E22" s="18" t="n">
        <f aca="false">D22+MAX($A22-3*Cut_b,0)</f>
        <v>45</v>
      </c>
      <c r="F22" s="18" t="n">
        <f aca="false">E22+MAX($A22-4*Cut_b,0)</f>
        <v>45</v>
      </c>
      <c r="G22" s="18" t="n">
        <f aca="false">F22+MAX($A22-5*Cut_b,0)</f>
        <v>45</v>
      </c>
      <c r="H22" s="18" t="n">
        <f aca="false">G22+MAX($A22-6*Cut_b,0)</f>
        <v>45</v>
      </c>
      <c r="I22" s="18" t="n">
        <f aca="false">H22+MAX($A22-7*Cut_b,0)</f>
        <v>45</v>
      </c>
      <c r="J22" s="18" t="n">
        <f aca="false">I22+MAX($A22-8*Cut_b,0)</f>
        <v>45</v>
      </c>
      <c r="K22" s="18" t="n">
        <f aca="false">J22+MAX($A22-9*Cut_b,0)</f>
        <v>45</v>
      </c>
      <c r="L22" s="18" t="n">
        <f aca="false">K22</f>
        <v>45</v>
      </c>
      <c r="M22" s="18" t="str">
        <f aca="false">IF(MOD($A22,Cut_b)=0,$A22*($A22+Cut_b)/(2*Cut_b),"")</f>
        <v/>
      </c>
    </row>
    <row r="23" customFormat="false" ht="15" hidden="false" customHeight="false" outlineLevel="0" collapsed="false">
      <c r="A23" s="12" t="n">
        <v>30</v>
      </c>
      <c r="B23" s="18" t="n">
        <f aca="false">MAX($A23-0*Cut_b,0)</f>
        <v>30</v>
      </c>
      <c r="C23" s="18" t="n">
        <f aca="false">B23+MAX($A23-1*Cut_b,0)</f>
        <v>50</v>
      </c>
      <c r="D23" s="18" t="n">
        <f aca="false">C23+MAX($A23-2*Cut_b,0)</f>
        <v>60</v>
      </c>
      <c r="E23" s="18" t="n">
        <f aca="false">D23+MAX($A23-3*Cut_b,0)</f>
        <v>60</v>
      </c>
      <c r="F23" s="18" t="n">
        <f aca="false">E23+MAX($A23-4*Cut_b,0)</f>
        <v>60</v>
      </c>
      <c r="G23" s="18" t="n">
        <f aca="false">F23+MAX($A23-5*Cut_b,0)</f>
        <v>60</v>
      </c>
      <c r="H23" s="18" t="n">
        <f aca="false">G23+MAX($A23-6*Cut_b,0)</f>
        <v>60</v>
      </c>
      <c r="I23" s="18" t="n">
        <f aca="false">H23+MAX($A23-7*Cut_b,0)</f>
        <v>60</v>
      </c>
      <c r="J23" s="18" t="n">
        <f aca="false">I23+MAX($A23-8*Cut_b,0)</f>
        <v>60</v>
      </c>
      <c r="K23" s="18" t="n">
        <f aca="false">J23+MAX($A23-9*Cut_b,0)</f>
        <v>60</v>
      </c>
      <c r="L23" s="18" t="n">
        <f aca="false">K23</f>
        <v>60</v>
      </c>
      <c r="M23" s="18" t="n">
        <f aca="false">IF(MOD($A23,Cut_b)=0,$A23*($A23+Cut_b)/(2*Cut_b),"")</f>
        <v>60</v>
      </c>
    </row>
    <row r="24" customFormat="false" ht="15" hidden="false" customHeight="false" outlineLevel="0" collapsed="false">
      <c r="A24" s="12" t="n">
        <v>35</v>
      </c>
      <c r="B24" s="18" t="n">
        <f aca="false">MAX($A24-0*Cut_b,0)</f>
        <v>35</v>
      </c>
      <c r="C24" s="18" t="n">
        <f aca="false">B24+MAX($A24-1*Cut_b,0)</f>
        <v>60</v>
      </c>
      <c r="D24" s="18" t="n">
        <f aca="false">C24+MAX($A24-2*Cut_b,0)</f>
        <v>75</v>
      </c>
      <c r="E24" s="18" t="n">
        <f aca="false">D24+MAX($A24-3*Cut_b,0)</f>
        <v>80</v>
      </c>
      <c r="F24" s="18" t="n">
        <f aca="false">E24+MAX($A24-4*Cut_b,0)</f>
        <v>80</v>
      </c>
      <c r="G24" s="18" t="n">
        <f aca="false">F24+MAX($A24-5*Cut_b,0)</f>
        <v>80</v>
      </c>
      <c r="H24" s="18" t="n">
        <f aca="false">G24+MAX($A24-6*Cut_b,0)</f>
        <v>80</v>
      </c>
      <c r="I24" s="18" t="n">
        <f aca="false">H24+MAX($A24-7*Cut_b,0)</f>
        <v>80</v>
      </c>
      <c r="J24" s="18" t="n">
        <f aca="false">I24+MAX($A24-8*Cut_b,0)</f>
        <v>80</v>
      </c>
      <c r="K24" s="18" t="n">
        <f aca="false">J24+MAX($A24-9*Cut_b,0)</f>
        <v>80</v>
      </c>
      <c r="L24" s="18" t="n">
        <f aca="false">K24</f>
        <v>80</v>
      </c>
      <c r="M24" s="18" t="str">
        <f aca="false">IF(MOD($A24,Cut_b)=0,$A24*($A24+Cut_b)/(2*Cut_b),"")</f>
        <v/>
      </c>
    </row>
    <row r="25" customFormat="false" ht="15" hidden="false" customHeight="false" outlineLevel="0" collapsed="false">
      <c r="A25" s="12" t="n">
        <v>40</v>
      </c>
      <c r="B25" s="18" t="n">
        <f aca="false">MAX($A25-0*Cut_b,0)</f>
        <v>40</v>
      </c>
      <c r="C25" s="18" t="n">
        <f aca="false">B25+MAX($A25-1*Cut_b,0)</f>
        <v>70</v>
      </c>
      <c r="D25" s="18" t="n">
        <f aca="false">C25+MAX($A25-2*Cut_b,0)</f>
        <v>90</v>
      </c>
      <c r="E25" s="18" t="n">
        <f aca="false">D25+MAX($A25-3*Cut_b,0)</f>
        <v>100</v>
      </c>
      <c r="F25" s="18" t="n">
        <f aca="false">E25+MAX($A25-4*Cut_b,0)</f>
        <v>100</v>
      </c>
      <c r="G25" s="18" t="n">
        <f aca="false">F25+MAX($A25-5*Cut_b,0)</f>
        <v>100</v>
      </c>
      <c r="H25" s="18" t="n">
        <f aca="false">G25+MAX($A25-6*Cut_b,0)</f>
        <v>100</v>
      </c>
      <c r="I25" s="18" t="n">
        <f aca="false">H25+MAX($A25-7*Cut_b,0)</f>
        <v>100</v>
      </c>
      <c r="J25" s="18" t="n">
        <f aca="false">I25+MAX($A25-8*Cut_b,0)</f>
        <v>100</v>
      </c>
      <c r="K25" s="18" t="n">
        <f aca="false">J25+MAX($A25-9*Cut_b,0)</f>
        <v>100</v>
      </c>
      <c r="L25" s="18" t="n">
        <f aca="false">K25</f>
        <v>100</v>
      </c>
      <c r="M25" s="18" t="n">
        <f aca="false">IF(MOD($A25,Cut_b)=0,$A25*($A25+Cut_b)/(2*Cut_b),"")</f>
        <v>100</v>
      </c>
    </row>
    <row r="26" customFormat="false" ht="15" hidden="false" customHeight="false" outlineLevel="0" collapsed="false">
      <c r="A26" s="12" t="n">
        <v>45</v>
      </c>
      <c r="B26" s="18" t="n">
        <f aca="false">MAX($A26-0*Cut_b,0)</f>
        <v>45</v>
      </c>
      <c r="C26" s="18" t="n">
        <f aca="false">B26+MAX($A26-1*Cut_b,0)</f>
        <v>80</v>
      </c>
      <c r="D26" s="18" t="n">
        <f aca="false">C26+MAX($A26-2*Cut_b,0)</f>
        <v>105</v>
      </c>
      <c r="E26" s="18" t="n">
        <f aca="false">D26+MAX($A26-3*Cut_b,0)</f>
        <v>120</v>
      </c>
      <c r="F26" s="18" t="n">
        <f aca="false">E26+MAX($A26-4*Cut_b,0)</f>
        <v>125</v>
      </c>
      <c r="G26" s="18" t="n">
        <f aca="false">F26+MAX($A26-5*Cut_b,0)</f>
        <v>125</v>
      </c>
      <c r="H26" s="18" t="n">
        <f aca="false">G26+MAX($A26-6*Cut_b,0)</f>
        <v>125</v>
      </c>
      <c r="I26" s="18" t="n">
        <f aca="false">H26+MAX($A26-7*Cut_b,0)</f>
        <v>125</v>
      </c>
      <c r="J26" s="18" t="n">
        <f aca="false">I26+MAX($A26-8*Cut_b,0)</f>
        <v>125</v>
      </c>
      <c r="K26" s="18" t="n">
        <f aca="false">J26+MAX($A26-9*Cut_b,0)</f>
        <v>125</v>
      </c>
      <c r="L26" s="18" t="n">
        <f aca="false">K26</f>
        <v>125</v>
      </c>
      <c r="M26" s="18" t="str">
        <f aca="false">IF(MOD($A26,Cut_b)=0,$A26*($A26+Cut_b)/(2*Cut_b),"")</f>
        <v/>
      </c>
    </row>
    <row r="27" customFormat="false" ht="15" hidden="false" customHeight="false" outlineLevel="0" collapsed="false">
      <c r="A27" s="12" t="n">
        <v>50</v>
      </c>
      <c r="B27" s="18" t="n">
        <f aca="false">MAX($A27-0*Cut_b,0)</f>
        <v>50</v>
      </c>
      <c r="C27" s="18" t="n">
        <f aca="false">B27+MAX($A27-1*Cut_b,0)</f>
        <v>90</v>
      </c>
      <c r="D27" s="18" t="n">
        <f aca="false">C27+MAX($A27-2*Cut_b,0)</f>
        <v>120</v>
      </c>
      <c r="E27" s="18" t="n">
        <f aca="false">D27+MAX($A27-3*Cut_b,0)</f>
        <v>140</v>
      </c>
      <c r="F27" s="18" t="n">
        <f aca="false">E27+MAX($A27-4*Cut_b,0)</f>
        <v>150</v>
      </c>
      <c r="G27" s="18" t="n">
        <f aca="false">F27+MAX($A27-5*Cut_b,0)</f>
        <v>150</v>
      </c>
      <c r="H27" s="18" t="n">
        <f aca="false">G27+MAX($A27-6*Cut_b,0)</f>
        <v>150</v>
      </c>
      <c r="I27" s="18" t="n">
        <f aca="false">H27+MAX($A27-7*Cut_b,0)</f>
        <v>150</v>
      </c>
      <c r="J27" s="18" t="n">
        <f aca="false">I27+MAX($A27-8*Cut_b,0)</f>
        <v>150</v>
      </c>
      <c r="K27" s="18" t="n">
        <f aca="false">J27+MAX($A27-9*Cut_b,0)</f>
        <v>150</v>
      </c>
      <c r="L27" s="18" t="n">
        <f aca="false">K27</f>
        <v>150</v>
      </c>
      <c r="M27" s="18" t="n">
        <f aca="false">IF(MOD($A27,Cut_b)=0,$A27*($A27+Cut_b)/(2*Cut_b),"")</f>
        <v>150</v>
      </c>
    </row>
    <row r="28" customFormat="false" ht="15" hidden="false" customHeight="false" outlineLevel="0" collapsed="false">
      <c r="A28" s="12" t="n">
        <v>55</v>
      </c>
      <c r="B28" s="18" t="n">
        <f aca="false">MAX($A28-0*Cut_b,0)</f>
        <v>55</v>
      </c>
      <c r="C28" s="18" t="n">
        <f aca="false">B28+MAX($A28-1*Cut_b,0)</f>
        <v>100</v>
      </c>
      <c r="D28" s="18" t="n">
        <f aca="false">C28+MAX($A28-2*Cut_b,0)</f>
        <v>135</v>
      </c>
      <c r="E28" s="18" t="n">
        <f aca="false">D28+MAX($A28-3*Cut_b,0)</f>
        <v>160</v>
      </c>
      <c r="F28" s="18" t="n">
        <f aca="false">E28+MAX($A28-4*Cut_b,0)</f>
        <v>175</v>
      </c>
      <c r="G28" s="18" t="n">
        <f aca="false">F28+MAX($A28-5*Cut_b,0)</f>
        <v>180</v>
      </c>
      <c r="H28" s="18" t="n">
        <f aca="false">G28+MAX($A28-6*Cut_b,0)</f>
        <v>180</v>
      </c>
      <c r="I28" s="18" t="n">
        <f aca="false">H28+MAX($A28-7*Cut_b,0)</f>
        <v>180</v>
      </c>
      <c r="J28" s="18" t="n">
        <f aca="false">I28+MAX($A28-8*Cut_b,0)</f>
        <v>180</v>
      </c>
      <c r="K28" s="18" t="n">
        <f aca="false">J28+MAX($A28-9*Cut_b,0)</f>
        <v>180</v>
      </c>
      <c r="L28" s="18" t="n">
        <f aca="false">K28</f>
        <v>180</v>
      </c>
      <c r="M28" s="18" t="str">
        <f aca="false">IF(MOD($A28,Cut_b)=0,$A28*($A28+Cut_b)/(2*Cut_b),"")</f>
        <v/>
      </c>
    </row>
    <row r="29" customFormat="false" ht="15" hidden="false" customHeight="false" outlineLevel="0" collapsed="false">
      <c r="A29" s="12" t="n">
        <v>60</v>
      </c>
      <c r="B29" s="18" t="n">
        <f aca="false">MAX($A29-0*Cut_b,0)</f>
        <v>60</v>
      </c>
      <c r="C29" s="18" t="n">
        <f aca="false">B29+MAX($A29-1*Cut_b,0)</f>
        <v>110</v>
      </c>
      <c r="D29" s="18" t="n">
        <f aca="false">C29+MAX($A29-2*Cut_b,0)</f>
        <v>150</v>
      </c>
      <c r="E29" s="18" t="n">
        <f aca="false">D29+MAX($A29-3*Cut_b,0)</f>
        <v>180</v>
      </c>
      <c r="F29" s="18" t="n">
        <f aca="false">E29+MAX($A29-4*Cut_b,0)</f>
        <v>200</v>
      </c>
      <c r="G29" s="18" t="n">
        <f aca="false">F29+MAX($A29-5*Cut_b,0)</f>
        <v>210</v>
      </c>
      <c r="H29" s="18" t="n">
        <f aca="false">G29+MAX($A29-6*Cut_b,0)</f>
        <v>210</v>
      </c>
      <c r="I29" s="18" t="n">
        <f aca="false">H29+MAX($A29-7*Cut_b,0)</f>
        <v>210</v>
      </c>
      <c r="J29" s="18" t="n">
        <f aca="false">I29+MAX($A29-8*Cut_b,0)</f>
        <v>210</v>
      </c>
      <c r="K29" s="18" t="n">
        <f aca="false">J29+MAX($A29-9*Cut_b,0)</f>
        <v>210</v>
      </c>
      <c r="L29" s="18" t="n">
        <f aca="false">K29</f>
        <v>210</v>
      </c>
      <c r="M29" s="18" t="n">
        <f aca="false">IF(MOD($A29,Cut_b)=0,$A29*($A29+Cut_b)/(2*Cut_b),"")</f>
        <v>210</v>
      </c>
    </row>
    <row r="32" customFormat="false" ht="15" hidden="false" customHeight="false" outlineLevel="0" collapsed="false">
      <c r="A32" s="8" t="s">
        <v>285</v>
      </c>
      <c r="B32" s="8" t="s">
        <v>286</v>
      </c>
      <c r="C32" s="8" t="s">
        <v>287</v>
      </c>
      <c r="D32" s="8" t="s">
        <v>288</v>
      </c>
      <c r="E32" s="8" t="s">
        <v>289</v>
      </c>
      <c r="F32" s="8" t="s">
        <v>290</v>
      </c>
      <c r="G32" s="8" t="s">
        <v>291</v>
      </c>
      <c r="H32" s="8" t="s">
        <v>292</v>
      </c>
      <c r="I32" s="8" t="s">
        <v>293</v>
      </c>
      <c r="J32" s="8" t="s">
        <v>294</v>
      </c>
      <c r="K32" s="8" t="s">
        <v>295</v>
      </c>
      <c r="L32" s="8" t="s">
        <v>296</v>
      </c>
    </row>
    <row r="33" customFormat="false" ht="15" hidden="false" customHeight="false" outlineLevel="0" collapsed="false">
      <c r="A33" s="2" t="s">
        <v>297</v>
      </c>
      <c r="B33" s="20" t="n">
        <v>0</v>
      </c>
      <c r="C33" s="20" t="n">
        <v>1</v>
      </c>
      <c r="D33" s="20" t="n">
        <v>2</v>
      </c>
      <c r="E33" s="20" t="n">
        <v>3</v>
      </c>
      <c r="F33" s="20" t="n">
        <v>4</v>
      </c>
      <c r="G33" s="20" t="n">
        <v>5</v>
      </c>
      <c r="H33" s="20" t="n">
        <v>6</v>
      </c>
      <c r="I33" s="20" t="n">
        <v>7</v>
      </c>
      <c r="J33" s="20" t="n">
        <v>8</v>
      </c>
      <c r="K33" s="20" t="n">
        <v>9</v>
      </c>
      <c r="L33" s="20" t="n">
        <v>10</v>
      </c>
    </row>
    <row r="34" customFormat="false" ht="15" hidden="false" customHeight="false" outlineLevel="0" collapsed="false">
      <c r="A34" s="2" t="s">
        <v>298</v>
      </c>
      <c r="B34" s="18" t="n">
        <f aca="false">MAX(Burn_now-B$33*Cut_b,0)</f>
        <v>50</v>
      </c>
      <c r="C34" s="18" t="n">
        <f aca="false">MAX(Burn_now-C$33*Cut_b,0)</f>
        <v>40</v>
      </c>
      <c r="D34" s="18" t="n">
        <f aca="false">MAX(Burn_now-D$33*Cut_b,0)</f>
        <v>30</v>
      </c>
      <c r="E34" s="18" t="n">
        <f aca="false">MAX(Burn_now-E$33*Cut_b,0)</f>
        <v>20</v>
      </c>
      <c r="F34" s="18" t="n">
        <f aca="false">MAX(Burn_now-F$33*Cut_b,0)</f>
        <v>10</v>
      </c>
      <c r="G34" s="18" t="n">
        <f aca="false">MAX(Burn_now-G$33*Cut_b,0)</f>
        <v>0</v>
      </c>
      <c r="H34" s="18" t="n">
        <f aca="false">MAX(Burn_now-H$33*Cut_b,0)</f>
        <v>0</v>
      </c>
      <c r="I34" s="18" t="n">
        <f aca="false">MAX(Burn_now-I$33*Cut_b,0)</f>
        <v>0</v>
      </c>
      <c r="J34" s="18" t="n">
        <f aca="false">MAX(Burn_now-J$33*Cut_b,0)</f>
        <v>0</v>
      </c>
      <c r="K34" s="18" t="n">
        <f aca="false">MAX(Burn_now-K$33*Cut_b,0)</f>
        <v>0</v>
      </c>
      <c r="L34" s="18" t="n">
        <f aca="false">MAX(Burn_now-L$33*Cut_b,0)</f>
        <v>0</v>
      </c>
    </row>
    <row r="35" customFormat="false" ht="15" hidden="false" customHeight="false" outlineLevel="0" collapsed="false">
      <c r="A35" s="2" t="s">
        <v>299</v>
      </c>
      <c r="B35" s="18" t="n">
        <f aca="false">SUM($B34:B34)</f>
        <v>50</v>
      </c>
      <c r="C35" s="18" t="n">
        <f aca="false">SUM($B34:C34)</f>
        <v>90</v>
      </c>
      <c r="D35" s="18" t="n">
        <f aca="false">SUM($B34:D34)</f>
        <v>120</v>
      </c>
      <c r="E35" s="18" t="n">
        <f aca="false">SUM($B34:E34)</f>
        <v>140</v>
      </c>
      <c r="F35" s="18" t="n">
        <f aca="false">SUM($B34:F34)</f>
        <v>150</v>
      </c>
      <c r="G35" s="18" t="n">
        <f aca="false">SUM($B34:G34)</f>
        <v>150</v>
      </c>
      <c r="H35" s="18" t="n">
        <f aca="false">SUM($B34:H34)</f>
        <v>150</v>
      </c>
      <c r="I35" s="18" t="n">
        <f aca="false">SUM($B34:I34)</f>
        <v>150</v>
      </c>
      <c r="J35" s="18" t="n">
        <f aca="false">SUM($B34:J34)</f>
        <v>150</v>
      </c>
      <c r="K35" s="18" t="n">
        <f aca="false">SUM($B34:K34)</f>
        <v>150</v>
      </c>
      <c r="L35" s="18" t="n">
        <f aca="false">SUM($B34:L34)</f>
        <v>150</v>
      </c>
    </row>
    <row r="36" customFormat="false" ht="15" hidden="false" customHeight="false" outlineLevel="0" collapsed="false">
      <c r="A36" s="2" t="s">
        <v>300</v>
      </c>
      <c r="B36" s="18" t="n">
        <f aca="false">MAX(Burn_now-B$33*Cut_fast,0)</f>
        <v>50</v>
      </c>
      <c r="C36" s="18" t="n">
        <f aca="false">MAX(Burn_now-C$33*Cut_fast,0)</f>
        <v>35</v>
      </c>
      <c r="D36" s="18" t="n">
        <f aca="false">MAX(Burn_now-D$33*Cut_fast,0)</f>
        <v>20</v>
      </c>
      <c r="E36" s="18" t="n">
        <f aca="false">MAX(Burn_now-E$33*Cut_fast,0)</f>
        <v>5</v>
      </c>
      <c r="F36" s="18" t="n">
        <f aca="false">MAX(Burn_now-F$33*Cut_fast,0)</f>
        <v>0</v>
      </c>
      <c r="G36" s="18" t="n">
        <f aca="false">MAX(Burn_now-G$33*Cut_fast,0)</f>
        <v>0</v>
      </c>
      <c r="H36" s="18" t="n">
        <f aca="false">MAX(Burn_now-H$33*Cut_fast,0)</f>
        <v>0</v>
      </c>
      <c r="I36" s="18" t="n">
        <f aca="false">MAX(Burn_now-I$33*Cut_fast,0)</f>
        <v>0</v>
      </c>
      <c r="J36" s="18" t="n">
        <f aca="false">MAX(Burn_now-J$33*Cut_fast,0)</f>
        <v>0</v>
      </c>
      <c r="K36" s="18" t="n">
        <f aca="false">MAX(Burn_now-K$33*Cut_fast,0)</f>
        <v>0</v>
      </c>
      <c r="L36" s="18" t="n">
        <f aca="false">MAX(Burn_now-L$33*Cut_fast,0)</f>
        <v>0</v>
      </c>
    </row>
    <row r="37" customFormat="false" ht="15" hidden="false" customHeight="false" outlineLevel="0" collapsed="false">
      <c r="A37" s="2" t="s">
        <v>301</v>
      </c>
      <c r="B37" s="18" t="n">
        <f aca="false">MAX(Burn_now-B$33*Cut_mid,0)</f>
        <v>50</v>
      </c>
      <c r="C37" s="18" t="n">
        <f aca="false">MAX(Burn_now-C$33*Cut_mid,0)</f>
        <v>37.5</v>
      </c>
      <c r="D37" s="18" t="n">
        <f aca="false">MAX(Burn_now-D$33*Cut_mid,0)</f>
        <v>25</v>
      </c>
      <c r="E37" s="18" t="n">
        <f aca="false">MAX(Burn_now-E$33*Cut_mid,0)</f>
        <v>12.5</v>
      </c>
      <c r="F37" s="18" t="n">
        <f aca="false">MAX(Burn_now-F$33*Cut_mid,0)</f>
        <v>0</v>
      </c>
      <c r="G37" s="18" t="n">
        <f aca="false">MAX(Burn_now-G$33*Cut_mid,0)</f>
        <v>0</v>
      </c>
      <c r="H37" s="18" t="n">
        <f aca="false">MAX(Burn_now-H$33*Cut_mid,0)</f>
        <v>0</v>
      </c>
      <c r="I37" s="18" t="n">
        <f aca="false">MAX(Burn_now-I$33*Cut_mid,0)</f>
        <v>0</v>
      </c>
      <c r="J37" s="18" t="n">
        <f aca="false">MAX(Burn_now-J$33*Cut_mid,0)</f>
        <v>0</v>
      </c>
      <c r="K37" s="18" t="n">
        <f aca="false">MAX(Burn_now-K$33*Cut_mid,0)</f>
        <v>0</v>
      </c>
      <c r="L37" s="18" t="n">
        <f aca="false">MAX(Burn_now-L$33*Cut_mid,0)</f>
        <v>0</v>
      </c>
    </row>
    <row r="39" customFormat="false" ht="15" hidden="false" customHeight="false" outlineLevel="0" collapsed="false">
      <c r="A39" s="8" t="s">
        <v>68</v>
      </c>
      <c r="B39" s="8" t="s">
        <v>19</v>
      </c>
      <c r="C39" s="8" t="s">
        <v>302</v>
      </c>
    </row>
    <row r="40" customFormat="false" ht="15" hidden="false" customHeight="false" outlineLevel="0" collapsed="false">
      <c r="A40" s="2" t="s">
        <v>303</v>
      </c>
      <c r="B40" s="20" t="n">
        <f aca="false">IF(COUNTIF(B35:L35,"&lt;="&amp;Cash_now)=11,"forever",COUNTIF(B35:L35,"&lt;="&amp;Cash_now))</f>
        <v>3</v>
      </c>
      <c r="C40" s="10" t="s">
        <v>304</v>
      </c>
    </row>
    <row r="41" customFormat="false" ht="15" hidden="false" customHeight="false" outlineLevel="0" collapsed="false">
      <c r="A41" s="2" t="s">
        <v>305</v>
      </c>
      <c r="B41" s="18" t="n">
        <f aca="false">L35</f>
        <v>150</v>
      </c>
      <c r="C41" s="10" t="s">
        <v>306</v>
      </c>
    </row>
    <row r="42" customFormat="false" ht="15" hidden="false" customHeight="false" outlineLevel="0" collapsed="false">
      <c r="A42" s="2" t="s">
        <v>307</v>
      </c>
      <c r="B42" s="18" t="n">
        <f aca="false">B41-Cash_now</f>
        <v>30</v>
      </c>
      <c r="C42" s="10" t="s">
        <v>308</v>
      </c>
    </row>
    <row r="43" customFormat="false" ht="15" hidden="false" customHeight="false" outlineLevel="0" collapsed="false">
      <c r="A43" s="2" t="s">
        <v>309</v>
      </c>
      <c r="B43" s="18" t="n">
        <f aca="false">SUM(B36:L36)</f>
        <v>110</v>
      </c>
      <c r="C43" s="10" t="s">
        <v>310</v>
      </c>
    </row>
    <row r="44" customFormat="false" ht="15" hidden="false" customHeight="false" outlineLevel="0" collapsed="false">
      <c r="A44" s="2" t="s">
        <v>311</v>
      </c>
      <c r="B44" s="18" t="n">
        <f aca="false">SUM(B37:L37)</f>
        <v>125</v>
      </c>
      <c r="C44" s="1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2" min="2" style="0" width="18"/>
    <col collapsed="false" customWidth="true" hidden="false" outlineLevel="0" max="9" min="3" style="0" width="14"/>
    <col collapsed="false" customWidth="true" hidden="false" outlineLevel="0" max="10" min="10" style="0" width="44"/>
    <col collapsed="false" customWidth="true" hidden="false" outlineLevel="0" max="19" min="11" style="0" width="14"/>
  </cols>
  <sheetData>
    <row r="1" customFormat="false" ht="15" hidden="false" customHeight="false" outlineLevel="0" collapsed="false">
      <c r="A1" s="1" t="s">
        <v>313</v>
      </c>
    </row>
    <row r="3" customFormat="false" ht="23.85" hidden="false" customHeight="false" outlineLevel="0" collapsed="false">
      <c r="A3" s="8" t="s">
        <v>314</v>
      </c>
      <c r="B3" s="8" t="s">
        <v>212</v>
      </c>
      <c r="C3" s="8" t="s">
        <v>213</v>
      </c>
      <c r="D3" s="8" t="s">
        <v>214</v>
      </c>
      <c r="E3" s="8" t="s">
        <v>315</v>
      </c>
      <c r="F3" s="8" t="s">
        <v>316</v>
      </c>
      <c r="G3" s="8" t="s">
        <v>317</v>
      </c>
      <c r="H3" s="8" t="s">
        <v>318</v>
      </c>
      <c r="I3" s="8" t="s">
        <v>319</v>
      </c>
      <c r="J3" s="8" t="s">
        <v>320</v>
      </c>
      <c r="K3" s="8" t="s">
        <v>321</v>
      </c>
      <c r="L3" s="8" t="s">
        <v>322</v>
      </c>
      <c r="M3" s="8" t="s">
        <v>323</v>
      </c>
      <c r="N3" s="8" t="s">
        <v>324</v>
      </c>
      <c r="O3" s="8" t="s">
        <v>325</v>
      </c>
      <c r="P3" s="8" t="s">
        <v>326</v>
      </c>
      <c r="Q3" s="8" t="s">
        <v>327</v>
      </c>
      <c r="R3" s="8" t="s">
        <v>328</v>
      </c>
      <c r="S3" s="8" t="s">
        <v>329</v>
      </c>
    </row>
    <row r="4" customFormat="false" ht="15" hidden="false" customHeight="false" outlineLevel="0" collapsed="false">
      <c r="A4" s="7" t="str">
        <f aca="false">Rebudget!A11</f>
        <v>Today</v>
      </c>
      <c r="B4" s="23" t="n">
        <f aca="false">Rebudget!B11</f>
        <v>0.4</v>
      </c>
      <c r="C4" s="23" t="n">
        <f aca="false">Rebudget!C11</f>
        <v>0.4</v>
      </c>
      <c r="D4" s="23" t="n">
        <f aca="false">Rebudget!D11</f>
        <v>0</v>
      </c>
      <c r="E4" s="22" t="n">
        <f aca="false">Rebudget!E11</f>
        <v>0.8</v>
      </c>
      <c r="F4" s="15" t="n">
        <f aca="false">D4</f>
        <v>0</v>
      </c>
      <c r="G4" s="15" t="n">
        <f aca="false">B4+C4</f>
        <v>0.8</v>
      </c>
      <c r="H4" s="15" t="n">
        <f aca="false">2*MAX(B4,C4)</f>
        <v>0.8</v>
      </c>
      <c r="I4" s="13" t="n">
        <f aca="false">(F4+SQRT(F4^2+4*G4*H4))/2</f>
        <v>0.8</v>
      </c>
      <c r="J4" s="13" t="n">
        <f aca="false">(D4-SQRT(D4^2+8*(B4^2+C4^2)))/2</f>
        <v>-0.8</v>
      </c>
      <c r="K4" s="13" t="n">
        <f aca="false">-D4</f>
        <v>-0</v>
      </c>
      <c r="L4" s="13" t="n">
        <v>0</v>
      </c>
      <c r="M4" s="16" t="n">
        <f aca="false">MIN(1/(1-E4^2),1/(1-J4^2),1/(1-K4^2),1/(1-L4^2))</f>
        <v>1</v>
      </c>
      <c r="N4" s="15" t="n">
        <f aca="false">MAX(B4+C4+D4,2*B4,2*C4)</f>
        <v>0.8</v>
      </c>
      <c r="O4" s="2" t="str">
        <f aca="false">IF(E4&lt;1,"pass","fail")</f>
        <v>pass</v>
      </c>
      <c r="P4" s="2" t="str">
        <f aca="false">IF(I4&lt;1,"pass","fail")</f>
        <v>pass</v>
      </c>
      <c r="Q4" s="2" t="str">
        <f aca="false">IF(M4&gt;0,"pass","fail")</f>
        <v>pass</v>
      </c>
      <c r="R4" s="2" t="str">
        <f aca="false">IF(N4&lt;1,"pass","fail")</f>
        <v>pass</v>
      </c>
      <c r="S4" s="2" t="str">
        <f aca="false">IF(E4&lt;=R_star+0.000000001,"yes","no")</f>
        <v>yes</v>
      </c>
    </row>
    <row r="5" customFormat="false" ht="15" hidden="false" customHeight="false" outlineLevel="0" collapsed="false">
      <c r="A5" s="7" t="str">
        <f aca="false">Rebudget!A12</f>
        <v>New link at the ceiling</v>
      </c>
      <c r="B5" s="23" t="n">
        <f aca="false">Rebudget!B12</f>
        <v>0.4</v>
      </c>
      <c r="C5" s="23" t="n">
        <f aca="false">Rebudget!C12</f>
        <v>0.4</v>
      </c>
      <c r="D5" s="23" t="n">
        <f aca="false">Rebudget!D12</f>
        <v>0.4</v>
      </c>
      <c r="E5" s="22" t="n">
        <f aca="false">Rebudget!E12</f>
        <v>1.02462112512353</v>
      </c>
      <c r="F5" s="15" t="n">
        <f aca="false">D5</f>
        <v>0.4</v>
      </c>
      <c r="G5" s="15" t="n">
        <f aca="false">B5+C5</f>
        <v>0.8</v>
      </c>
      <c r="H5" s="15" t="n">
        <f aca="false">2*MAX(B5,C5)</f>
        <v>0.8</v>
      </c>
      <c r="I5" s="13" t="n">
        <f aca="false">(F5+SQRT(F5^2+4*G5*H5))/2</f>
        <v>1.02462112512353</v>
      </c>
      <c r="J5" s="13" t="n">
        <f aca="false">(D5-SQRT(D5^2+8*(B5^2+C5^2)))/2</f>
        <v>-0.624621125123532</v>
      </c>
      <c r="K5" s="13" t="n">
        <f aca="false">-D5</f>
        <v>-0.4</v>
      </c>
      <c r="L5" s="13" t="n">
        <v>0</v>
      </c>
      <c r="M5" s="16" t="n">
        <f aca="false">MIN(1/(1-E5^2),1/(1-J5^2),1/(1-K5^2),1/(1-L5^2))</f>
        <v>-20.0608042779412</v>
      </c>
      <c r="N5" s="15" t="n">
        <f aca="false">MAX(B5+C5+D5,2*B5,2*C5)</f>
        <v>1.2</v>
      </c>
      <c r="O5" s="2" t="str">
        <f aca="false">IF(E5&lt;1,"pass","fail")</f>
        <v>fail</v>
      </c>
      <c r="P5" s="2" t="str">
        <f aca="false">IF(I5&lt;1,"pass","fail")</f>
        <v>fail</v>
      </c>
      <c r="Q5" s="2" t="str">
        <f aca="false">IF(M5&gt;0,"pass","fail")</f>
        <v>fail</v>
      </c>
      <c r="R5" s="2" t="str">
        <f aca="false">IF(N5&lt;1,"pass","fail")</f>
        <v>fail</v>
      </c>
      <c r="S5" s="2" t="str">
        <f aca="false">IF(E5&lt;=R_star+0.000000001,"yes","no")</f>
        <v>no</v>
      </c>
    </row>
    <row r="6" customFormat="false" ht="15" hidden="false" customHeight="false" outlineLevel="0" collapsed="false">
      <c r="A6" s="7" t="str">
        <f aca="false">Rebudget!A13</f>
        <v>Run the new link light</v>
      </c>
      <c r="B6" s="23" t="n">
        <f aca="false">Rebudget!B13</f>
        <v>0.4</v>
      </c>
      <c r="C6" s="23" t="n">
        <f aca="false">Rebudget!C13</f>
        <v>0.4</v>
      </c>
      <c r="D6" s="23" t="n">
        <f aca="false">Rebudget!D13</f>
        <v>0.0798038616519728</v>
      </c>
      <c r="E6" s="22" t="n">
        <f aca="false">Rebudget!E13</f>
        <v>0.840896415253715</v>
      </c>
      <c r="F6" s="15" t="n">
        <f aca="false">D6</f>
        <v>0.0798038616519728</v>
      </c>
      <c r="G6" s="15" t="n">
        <f aca="false">B6+C6</f>
        <v>0.8</v>
      </c>
      <c r="H6" s="15" t="n">
        <f aca="false">2*MAX(B6,C6)</f>
        <v>0.8</v>
      </c>
      <c r="I6" s="13" t="n">
        <f aca="false">(F6+SQRT(F6^2+4*G6*H6))/2</f>
        <v>0.840896415253715</v>
      </c>
      <c r="J6" s="13" t="n">
        <f aca="false">(D6-SQRT(D6^2+8*(B6^2+C6^2)))/2</f>
        <v>-0.761092553601742</v>
      </c>
      <c r="K6" s="13" t="n">
        <f aca="false">-D6</f>
        <v>-0.0798038616519728</v>
      </c>
      <c r="L6" s="13" t="n">
        <v>0</v>
      </c>
      <c r="M6" s="16" t="n">
        <f aca="false">MIN(1/(1-E6^2),1/(1-J6^2),1/(1-K6^2),1/(1-L6^2))</f>
        <v>1</v>
      </c>
      <c r="N6" s="15" t="n">
        <f aca="false">MAX(B6+C6+D6,2*B6,2*C6)</f>
        <v>0.879803861651973</v>
      </c>
      <c r="O6" s="2" t="str">
        <f aca="false">IF(E6&lt;1,"pass","fail")</f>
        <v>pass</v>
      </c>
      <c r="P6" s="2" t="str">
        <f aca="false">IF(I6&lt;1,"pass","fail")</f>
        <v>pass</v>
      </c>
      <c r="Q6" s="2" t="str">
        <f aca="false">IF(M6&gt;0,"pass","fail")</f>
        <v>pass</v>
      </c>
      <c r="R6" s="2" t="str">
        <f aca="false">IF(N6&lt;1,"pass","fail")</f>
        <v>pass</v>
      </c>
      <c r="S6" s="2" t="str">
        <f aca="false">IF(E6&lt;=R_star+0.000000001,"yes","no")</f>
        <v>yes</v>
      </c>
    </row>
    <row r="7" customFormat="false" ht="15" hidden="false" customHeight="false" outlineLevel="0" collapsed="false">
      <c r="A7" s="7" t="str">
        <f aca="false">Rebudget!A14</f>
        <v>Ring-fence treasury</v>
      </c>
      <c r="B7" s="23" t="n">
        <f aca="false">Rebudget!B14</f>
        <v>0.4</v>
      </c>
      <c r="C7" s="23" t="n">
        <f aca="false">Rebudget!C14</f>
        <v>0.159292521929094</v>
      </c>
      <c r="D7" s="23" t="n">
        <f aca="false">Rebudget!D14</f>
        <v>0.4</v>
      </c>
      <c r="E7" s="22" t="n">
        <f aca="false">Rebudget!E14</f>
        <v>0.840896415253715</v>
      </c>
      <c r="F7" s="15" t="n">
        <f aca="false">D7</f>
        <v>0.4</v>
      </c>
      <c r="G7" s="15" t="n">
        <f aca="false">B7+C7</f>
        <v>0.559292521929094</v>
      </c>
      <c r="H7" s="15" t="n">
        <f aca="false">2*MAX(B7,C7)</f>
        <v>0.8</v>
      </c>
      <c r="I7" s="13" t="n">
        <f aca="false">(F7+SQRT(F7^2+4*G7*H7))/2</f>
        <v>0.898164749570812</v>
      </c>
      <c r="J7" s="13" t="n">
        <f aca="false">(D7-SQRT(D7^2+8*(B7^2+C7^2)))/2</f>
        <v>-0.440896415253715</v>
      </c>
      <c r="K7" s="13" t="n">
        <f aca="false">-D7</f>
        <v>-0.4</v>
      </c>
      <c r="L7" s="13" t="n">
        <v>0</v>
      </c>
      <c r="M7" s="16" t="n">
        <f aca="false">MIN(1/(1-E7^2),1/(1-J7^2),1/(1-K7^2),1/(1-L7^2))</f>
        <v>1</v>
      </c>
      <c r="N7" s="15" t="n">
        <f aca="false">MAX(B7+C7+D7,2*B7,2*C7)</f>
        <v>0.959292521929094</v>
      </c>
      <c r="O7" s="2" t="str">
        <f aca="false">IF(E7&lt;1,"pass","fail")</f>
        <v>pass</v>
      </c>
      <c r="P7" s="2" t="str">
        <f aca="false">IF(I7&lt;1,"pass","fail")</f>
        <v>pass</v>
      </c>
      <c r="Q7" s="2" t="str">
        <f aca="false">IF(M7&gt;0,"pass","fail")</f>
        <v>pass</v>
      </c>
      <c r="R7" s="2" t="str">
        <f aca="false">IF(N7&lt;1,"pass","fail")</f>
        <v>pass</v>
      </c>
      <c r="S7" s="2" t="str">
        <f aca="false">IF(E7&lt;=R_star+0.000000001,"yes","no")</f>
        <v>yes</v>
      </c>
    </row>
    <row r="8" customFormat="false" ht="15" hidden="false" customHeight="false" outlineLevel="0" collapsed="false">
      <c r="A8" s="7" t="str">
        <f aca="false">Rebudget!A15</f>
        <v>Trim every existing link</v>
      </c>
      <c r="B8" s="23" t="n">
        <f aca="false">Rebudget!B15</f>
        <v>0.304445485713396</v>
      </c>
      <c r="C8" s="23" t="n">
        <f aca="false">Rebudget!C15</f>
        <v>0.304445485713396</v>
      </c>
      <c r="D8" s="23" t="n">
        <f aca="false">Rebudget!D15</f>
        <v>0.4</v>
      </c>
      <c r="E8" s="22" t="n">
        <f aca="false">Rebudget!E15</f>
        <v>0.840896415253715</v>
      </c>
      <c r="F8" s="15" t="n">
        <f aca="false">D8</f>
        <v>0.4</v>
      </c>
      <c r="G8" s="15" t="n">
        <f aca="false">B8+C8</f>
        <v>0.608890971426791</v>
      </c>
      <c r="H8" s="15" t="n">
        <f aca="false">2*MAX(B8,C8)</f>
        <v>0.608890971426791</v>
      </c>
      <c r="I8" s="13" t="n">
        <f aca="false">(F8+SQRT(F8^2+4*G8*H8))/2</f>
        <v>0.840896415253715</v>
      </c>
      <c r="J8" s="13" t="n">
        <f aca="false">(D8-SQRT(D8^2+8*(B8^2+C8^2)))/2</f>
        <v>-0.440896415253715</v>
      </c>
      <c r="K8" s="13" t="n">
        <f aca="false">-D8</f>
        <v>-0.4</v>
      </c>
      <c r="L8" s="13" t="n">
        <v>0</v>
      </c>
      <c r="M8" s="16" t="n">
        <f aca="false">MIN(1/(1-E8^2),1/(1-J8^2),1/(1-K8^2),1/(1-L8^2))</f>
        <v>1</v>
      </c>
      <c r="N8" s="15" t="n">
        <f aca="false">MAX(B8+C8+D8,2*B8,2*C8)</f>
        <v>1.00889097142679</v>
      </c>
      <c r="O8" s="2" t="str">
        <f aca="false">IF(E8&lt;1,"pass","fail")</f>
        <v>pass</v>
      </c>
      <c r="P8" s="2" t="str">
        <f aca="false">IF(I8&lt;1,"pass","fail")</f>
        <v>pass</v>
      </c>
      <c r="Q8" s="2" t="str">
        <f aca="false">IF(M8&gt;0,"pass","fail")</f>
        <v>pass</v>
      </c>
      <c r="R8" s="2" t="str">
        <f aca="false">IF(N8&lt;1,"pass","fail")</f>
        <v>fail</v>
      </c>
      <c r="S8" s="2" t="str">
        <f aca="false">IF(E8&lt;=R_star+0.000000001,"yes","no")</f>
        <v>yes</v>
      </c>
    </row>
    <row r="9" customFormat="false" ht="15" hidden="false" customHeight="false" outlineLevel="0" collapsed="false">
      <c r="A9" s="10" t="s">
        <v>330</v>
      </c>
    </row>
    <row r="11" customFormat="false" ht="35.05" hidden="false" customHeight="false" outlineLevel="0" collapsed="false">
      <c r="A11" s="8" t="s">
        <v>331</v>
      </c>
      <c r="B11" s="8" t="s">
        <v>332</v>
      </c>
      <c r="C11" s="8" t="s">
        <v>333</v>
      </c>
      <c r="D11" s="8" t="s">
        <v>334</v>
      </c>
      <c r="E11" s="8" t="s">
        <v>335</v>
      </c>
      <c r="F11" s="8" t="s">
        <v>336</v>
      </c>
      <c r="G11" s="8" t="s">
        <v>337</v>
      </c>
    </row>
    <row r="12" customFormat="false" ht="15" hidden="false" customHeight="false" outlineLevel="0" collapsed="false">
      <c r="A12" s="7" t="str">
        <f aca="false">Rebudget!A11</f>
        <v>Today</v>
      </c>
      <c r="B12" s="20" t="n">
        <v>4</v>
      </c>
      <c r="C12" s="20" t="n">
        <f aca="false">8+2*(Rebudget!D11&gt;0)</f>
        <v>8</v>
      </c>
      <c r="D12" s="21" t="n">
        <f aca="false">C12/12</f>
        <v>0.666666666666667</v>
      </c>
      <c r="E12" s="15" t="n">
        <f aca="false">IF(Rebudget!E11&lt;1,1-Rebudget!E11,"none")</f>
        <v>0.2</v>
      </c>
      <c r="F12" s="16" t="n">
        <f aca="false">IF(Rebudget!E11&lt;1,1/(1-Rebudget!E11),"none")</f>
        <v>5</v>
      </c>
      <c r="G12" s="2" t="s">
        <v>338</v>
      </c>
    </row>
    <row r="13" customFormat="false" ht="15" hidden="false" customHeight="false" outlineLevel="0" collapsed="false">
      <c r="A13" s="7" t="str">
        <f aca="false">Rebudget!A12</f>
        <v>New link at the ceiling</v>
      </c>
      <c r="B13" s="20" t="n">
        <v>4</v>
      </c>
      <c r="C13" s="20" t="n">
        <f aca="false">8+2*(Rebudget!D12&gt;0)</f>
        <v>10</v>
      </c>
      <c r="D13" s="21" t="n">
        <f aca="false">C13/12</f>
        <v>0.833333333333333</v>
      </c>
      <c r="E13" s="15" t="str">
        <f aca="false">IF(Rebudget!E12&lt;1,1-Rebudget!E12,"none")</f>
        <v>none</v>
      </c>
      <c r="F13" s="16" t="str">
        <f aca="false">IF(Rebudget!E12&lt;1,1/(1-Rebudget!E12),"none")</f>
        <v>none</v>
      </c>
      <c r="G13" s="2" t="s">
        <v>338</v>
      </c>
    </row>
    <row r="14" customFormat="false" ht="15" hidden="false" customHeight="false" outlineLevel="0" collapsed="false">
      <c r="A14" s="7" t="str">
        <f aca="false">Rebudget!A13</f>
        <v>Run the new link light</v>
      </c>
      <c r="B14" s="20" t="n">
        <v>4</v>
      </c>
      <c r="C14" s="20" t="n">
        <f aca="false">8+2*(Rebudget!D13&gt;0)</f>
        <v>10</v>
      </c>
      <c r="D14" s="21" t="n">
        <f aca="false">C14/12</f>
        <v>0.833333333333333</v>
      </c>
      <c r="E14" s="15" t="n">
        <f aca="false">IF(Rebudget!E13&lt;1,1-Rebudget!E13,"none")</f>
        <v>0.159103584746285</v>
      </c>
      <c r="F14" s="16" t="n">
        <f aca="false">IF(Rebudget!E13&lt;1,1/(1-Rebudget!E13),"none")</f>
        <v>6.28521350788325</v>
      </c>
      <c r="G14" s="2" t="s">
        <v>338</v>
      </c>
    </row>
    <row r="15" customFormat="false" ht="15" hidden="false" customHeight="false" outlineLevel="0" collapsed="false">
      <c r="A15" s="7" t="str">
        <f aca="false">Rebudget!A14</f>
        <v>Ring-fence treasury</v>
      </c>
      <c r="B15" s="20" t="n">
        <v>4</v>
      </c>
      <c r="C15" s="20" t="n">
        <f aca="false">8+2*(Rebudget!D14&gt;0)</f>
        <v>10</v>
      </c>
      <c r="D15" s="21" t="n">
        <f aca="false">C15/12</f>
        <v>0.833333333333333</v>
      </c>
      <c r="E15" s="15" t="n">
        <f aca="false">IF(Rebudget!E14&lt;1,1-Rebudget!E14,"none")</f>
        <v>0.159103584746285</v>
      </c>
      <c r="F15" s="16" t="n">
        <f aca="false">IF(Rebudget!E14&lt;1,1/(1-Rebudget!E14),"none")</f>
        <v>6.28521350788325</v>
      </c>
      <c r="G15" s="2" t="s">
        <v>338</v>
      </c>
    </row>
    <row r="16" customFormat="false" ht="15" hidden="false" customHeight="false" outlineLevel="0" collapsed="false">
      <c r="A16" s="7" t="str">
        <f aca="false">Rebudget!A15</f>
        <v>Trim every existing link</v>
      </c>
      <c r="B16" s="20" t="n">
        <v>4</v>
      </c>
      <c r="C16" s="20" t="n">
        <f aca="false">8+2*(Rebudget!D15&gt;0)</f>
        <v>10</v>
      </c>
      <c r="D16" s="21" t="n">
        <f aca="false">C16/12</f>
        <v>0.833333333333333</v>
      </c>
      <c r="E16" s="15" t="n">
        <f aca="false">IF(Rebudget!E15&lt;1,1-Rebudget!E15,"none")</f>
        <v>0.159103584746285</v>
      </c>
      <c r="F16" s="16" t="n">
        <f aca="false">IF(Rebudget!E15&lt;1,1/(1-Rebudget!E15),"none")</f>
        <v>6.28521350788325</v>
      </c>
      <c r="G16" s="2" t="s">
        <v>338</v>
      </c>
    </row>
    <row r="19" customFormat="false" ht="35.05" hidden="false" customHeight="false" outlineLevel="0" collapsed="false">
      <c r="A19" s="8" t="s">
        <v>339</v>
      </c>
      <c r="B19" s="8" t="s">
        <v>340</v>
      </c>
      <c r="C19" s="8" t="s">
        <v>341</v>
      </c>
      <c r="D19" s="8" t="s">
        <v>342</v>
      </c>
      <c r="E19" s="8" t="s">
        <v>343</v>
      </c>
      <c r="F19" s="8" t="s">
        <v>344</v>
      </c>
      <c r="G19" s="8" t="s">
        <v>345</v>
      </c>
      <c r="H19" s="8" t="s">
        <v>346</v>
      </c>
      <c r="I19" s="8" t="s">
        <v>347</v>
      </c>
    </row>
    <row r="20" customFormat="false" ht="15" hidden="false" customHeight="false" outlineLevel="0" collapsed="false">
      <c r="A20" s="2" t="s">
        <v>348</v>
      </c>
      <c r="B20" s="2" t="s">
        <v>349</v>
      </c>
      <c r="C20" s="15" t="n">
        <f aca="false">0</f>
        <v>0</v>
      </c>
      <c r="D20" s="15" t="n">
        <f aca="false">Ceiling</f>
        <v>0.4</v>
      </c>
      <c r="E20" s="15" t="n">
        <f aca="false">Ceiling</f>
        <v>0.4</v>
      </c>
      <c r="F20" s="15" t="n">
        <f aca="false">Ceiling</f>
        <v>0.4</v>
      </c>
      <c r="G20" s="2" t="str">
        <f aca="false">IF(F20&gt;C20+0.000000001,"exceeds","within")</f>
        <v>exceeds</v>
      </c>
      <c r="H20" s="2" t="str">
        <f aca="false">IF(E20&gt;D20+0.000000001,"exceeds","within")</f>
        <v>within</v>
      </c>
      <c r="I20" s="2" t="str">
        <f aca="false">IF(F20&gt;D20+0.000000001,"exceeds","within")</f>
        <v>within</v>
      </c>
    </row>
    <row r="21" customFormat="false" ht="15" hidden="false" customHeight="false" outlineLevel="0" collapsed="false">
      <c r="A21" s="2" t="s">
        <v>350</v>
      </c>
      <c r="B21" s="2" t="s">
        <v>351</v>
      </c>
      <c r="C21" s="15" t="n">
        <f aca="false">Ceiling</f>
        <v>0.4</v>
      </c>
      <c r="D21" s="15" t="n">
        <f aca="false">Rebudget!$B$7</f>
        <v>0.304445485713396</v>
      </c>
      <c r="E21" s="15" t="n">
        <f aca="false">Rebudget!$B$7</f>
        <v>0.304445485713396</v>
      </c>
      <c r="F21" s="15" t="n">
        <f aca="false">Ceiling</f>
        <v>0.4</v>
      </c>
      <c r="G21" s="2" t="str">
        <f aca="false">IF(F21&gt;C21+0.000000001,"exceeds","within")</f>
        <v>within</v>
      </c>
      <c r="H21" s="2" t="str">
        <f aca="false">IF(E21&gt;D21+0.000000001,"exceeds","within")</f>
        <v>within</v>
      </c>
      <c r="I21" s="2" t="str">
        <f aca="false">IF(F21&gt;D21+0.000000001,"exceeds","within")</f>
        <v>exceeds</v>
      </c>
    </row>
    <row r="22" customFormat="false" ht="15" hidden="false" customHeight="false" outlineLevel="0" collapsed="false">
      <c r="A22" s="2" t="s">
        <v>352</v>
      </c>
      <c r="B22" s="2" t="s">
        <v>353</v>
      </c>
      <c r="C22" s="15" t="n">
        <f aca="false">Ceiling</f>
        <v>0.4</v>
      </c>
      <c r="D22" s="15" t="n">
        <f aca="false">Rebudget!$B$7</f>
        <v>0.304445485713396</v>
      </c>
      <c r="E22" s="15" t="n">
        <f aca="false">Rebudget!$B$7</f>
        <v>0.304445485713396</v>
      </c>
      <c r="F22" s="15" t="n">
        <f aca="false">Ceiling</f>
        <v>0.4</v>
      </c>
      <c r="G22" s="2" t="str">
        <f aca="false">IF(F22&gt;C22+0.000000001,"exceeds","within")</f>
        <v>within</v>
      </c>
      <c r="H22" s="2" t="str">
        <f aca="false">IF(E22&gt;D22+0.000000001,"exceeds","within")</f>
        <v>within</v>
      </c>
      <c r="I22" s="2" t="str">
        <f aca="false">IF(F22&gt;D22+0.000000001,"exceeds","within")</f>
        <v>exceeds</v>
      </c>
    </row>
    <row r="23" customFormat="false" ht="15" hidden="false" customHeight="false" outlineLevel="0" collapsed="false">
      <c r="A23" s="2" t="s">
        <v>354</v>
      </c>
      <c r="B23" s="2" t="s">
        <v>349</v>
      </c>
      <c r="C23" s="15" t="n">
        <f aca="false">0</f>
        <v>0</v>
      </c>
      <c r="D23" s="15" t="n">
        <f aca="false">Ceiling</f>
        <v>0.4</v>
      </c>
      <c r="E23" s="15" t="n">
        <f aca="false">Ceiling</f>
        <v>0.4</v>
      </c>
      <c r="F23" s="15" t="n">
        <f aca="false">Ceiling</f>
        <v>0.4</v>
      </c>
      <c r="G23" s="2" t="str">
        <f aca="false">IF(F23&gt;C23+0.000000001,"exceeds","within")</f>
        <v>exceeds</v>
      </c>
      <c r="H23" s="2" t="str">
        <f aca="false">IF(E23&gt;D23+0.000000001,"exceeds","within")</f>
        <v>within</v>
      </c>
      <c r="I23" s="2" t="str">
        <f aca="false">IF(F23&gt;D23+0.000000001,"exceeds","within")</f>
        <v>within</v>
      </c>
    </row>
    <row r="24" customFormat="false" ht="15" hidden="false" customHeight="false" outlineLevel="0" collapsed="false">
      <c r="A24" s="2" t="s">
        <v>355</v>
      </c>
      <c r="B24" s="2" t="s">
        <v>351</v>
      </c>
      <c r="C24" s="15" t="n">
        <f aca="false">Ceiling</f>
        <v>0.4</v>
      </c>
      <c r="D24" s="15" t="n">
        <f aca="false">Rebudget!$B$7</f>
        <v>0.304445485713396</v>
      </c>
      <c r="E24" s="15" t="n">
        <f aca="false">Rebudget!$B$7</f>
        <v>0.304445485713396</v>
      </c>
      <c r="F24" s="15" t="n">
        <f aca="false">Ceiling</f>
        <v>0.4</v>
      </c>
      <c r="G24" s="2" t="str">
        <f aca="false">IF(F24&gt;C24+0.000000001,"exceeds","within")</f>
        <v>within</v>
      </c>
      <c r="H24" s="2" t="str">
        <f aca="false">IF(E24&gt;D24+0.000000001,"exceeds","within")</f>
        <v>within</v>
      </c>
      <c r="I24" s="2" t="str">
        <f aca="false">IF(F24&gt;D24+0.000000001,"exceeds","within")</f>
        <v>exceeds</v>
      </c>
    </row>
    <row r="25" customFormat="false" ht="15" hidden="false" customHeight="false" outlineLevel="0" collapsed="false">
      <c r="A25" s="2" t="s">
        <v>356</v>
      </c>
      <c r="B25" s="2" t="s">
        <v>353</v>
      </c>
      <c r="C25" s="15" t="n">
        <f aca="false">Ceiling</f>
        <v>0.4</v>
      </c>
      <c r="D25" s="15" t="n">
        <f aca="false">Rebudget!$B$7</f>
        <v>0.304445485713396</v>
      </c>
      <c r="E25" s="15" t="n">
        <f aca="false">Rebudget!$B$7</f>
        <v>0.304445485713396</v>
      </c>
      <c r="F25" s="15" t="n">
        <f aca="false">Ceiling</f>
        <v>0.4</v>
      </c>
      <c r="G25" s="2" t="str">
        <f aca="false">IF(F25&gt;C25+0.000000001,"exceeds","within")</f>
        <v>within</v>
      </c>
      <c r="H25" s="2" t="str">
        <f aca="false">IF(E25&gt;D25+0.000000001,"exceeds","within")</f>
        <v>within</v>
      </c>
      <c r="I25" s="2" t="str">
        <f aca="false">IF(F25&gt;D25+0.000000001,"exceeds","within")</f>
        <v>exceeds</v>
      </c>
    </row>
    <row r="26" customFormat="false" ht="15" hidden="false" customHeight="false" outlineLevel="0" collapsed="false">
      <c r="A26" s="2" t="s">
        <v>357</v>
      </c>
      <c r="B26" s="2" t="s">
        <v>351</v>
      </c>
      <c r="C26" s="15" t="n">
        <f aca="false">Ceiling</f>
        <v>0.4</v>
      </c>
      <c r="D26" s="15" t="n">
        <f aca="false">Rebudget!$B$7</f>
        <v>0.304445485713396</v>
      </c>
      <c r="E26" s="15" t="n">
        <f aca="false">Rebudget!$B$7</f>
        <v>0.304445485713396</v>
      </c>
      <c r="F26" s="15" t="n">
        <f aca="false">Ceiling</f>
        <v>0.4</v>
      </c>
      <c r="G26" s="2" t="str">
        <f aca="false">IF(F26&gt;C26+0.000000001,"exceeds","within")</f>
        <v>within</v>
      </c>
      <c r="H26" s="2" t="str">
        <f aca="false">IF(E26&gt;D26+0.000000001,"exceeds","within")</f>
        <v>within</v>
      </c>
      <c r="I26" s="2" t="str">
        <f aca="false">IF(F26&gt;D26+0.000000001,"exceeds","within")</f>
        <v>exceeds</v>
      </c>
    </row>
    <row r="27" customFormat="false" ht="15" hidden="false" customHeight="false" outlineLevel="0" collapsed="false">
      <c r="A27" s="2" t="s">
        <v>358</v>
      </c>
      <c r="B27" s="2" t="s">
        <v>351</v>
      </c>
      <c r="C27" s="15" t="n">
        <f aca="false">Ceiling</f>
        <v>0.4</v>
      </c>
      <c r="D27" s="15" t="n">
        <f aca="false">Rebudget!$B$7</f>
        <v>0.304445485713396</v>
      </c>
      <c r="E27" s="15" t="n">
        <f aca="false">Rebudget!$B$7</f>
        <v>0.304445485713396</v>
      </c>
      <c r="F27" s="15" t="n">
        <f aca="false">Ceiling</f>
        <v>0.4</v>
      </c>
      <c r="G27" s="2" t="str">
        <f aca="false">IF(F27&gt;C27+0.000000001,"exceeds","within")</f>
        <v>within</v>
      </c>
      <c r="H27" s="2" t="str">
        <f aca="false">IF(E27&gt;D27+0.000000001,"exceeds","within")</f>
        <v>within</v>
      </c>
      <c r="I27" s="2" t="str">
        <f aca="false">IF(F27&gt;D27+0.000000001,"exceeds","within")</f>
        <v>exceeds</v>
      </c>
    </row>
    <row r="28" customFormat="false" ht="15" hidden="false" customHeight="false" outlineLevel="0" collapsed="false">
      <c r="A28" s="2" t="s">
        <v>359</v>
      </c>
      <c r="B28" s="2" t="s">
        <v>360</v>
      </c>
      <c r="C28" s="15" t="n">
        <f aca="false">0</f>
        <v>0</v>
      </c>
      <c r="D28" s="15" t="n">
        <f aca="false">0</f>
        <v>0</v>
      </c>
      <c r="E28" s="15" t="n">
        <f aca="false">0</f>
        <v>0</v>
      </c>
      <c r="F28" s="15" t="n">
        <f aca="false">0</f>
        <v>0</v>
      </c>
      <c r="G28" s="2" t="str">
        <f aca="false">IF(F28&gt;C28+0.000000001,"exceeds","within")</f>
        <v>within</v>
      </c>
      <c r="H28" s="2" t="str">
        <f aca="false">IF(E28&gt;D28+0.000000001,"exceeds","within")</f>
        <v>within</v>
      </c>
      <c r="I28" s="2" t="str">
        <f aca="false">IF(F28&gt;D28+0.000000001,"exceeds","within")</f>
        <v>within</v>
      </c>
    </row>
    <row r="29" customFormat="false" ht="15" hidden="false" customHeight="false" outlineLevel="0" collapsed="false">
      <c r="A29" s="2" t="s">
        <v>361</v>
      </c>
      <c r="B29" s="2" t="s">
        <v>353</v>
      </c>
      <c r="C29" s="15" t="n">
        <f aca="false">Ceiling</f>
        <v>0.4</v>
      </c>
      <c r="D29" s="15" t="n">
        <f aca="false">Rebudget!$B$7</f>
        <v>0.304445485713396</v>
      </c>
      <c r="E29" s="15" t="n">
        <f aca="false">Rebudget!$B$7</f>
        <v>0.304445485713396</v>
      </c>
      <c r="F29" s="15" t="n">
        <f aca="false">Ceiling</f>
        <v>0.4</v>
      </c>
      <c r="G29" s="2" t="str">
        <f aca="false">IF(F29&gt;C29+0.000000001,"exceeds","within")</f>
        <v>within</v>
      </c>
      <c r="H29" s="2" t="str">
        <f aca="false">IF(E29&gt;D29+0.000000001,"exceeds","within")</f>
        <v>within</v>
      </c>
      <c r="I29" s="2" t="str">
        <f aca="false">IF(F29&gt;D29+0.000000001,"exceeds","within")</f>
        <v>exceeds</v>
      </c>
    </row>
    <row r="30" customFormat="false" ht="15" hidden="false" customHeight="false" outlineLevel="0" collapsed="false">
      <c r="A30" s="2" t="s">
        <v>362</v>
      </c>
      <c r="B30" s="2" t="s">
        <v>353</v>
      </c>
      <c r="C30" s="15" t="n">
        <f aca="false">Ceiling</f>
        <v>0.4</v>
      </c>
      <c r="D30" s="15" t="n">
        <f aca="false">Rebudget!$B$7</f>
        <v>0.304445485713396</v>
      </c>
      <c r="E30" s="15" t="n">
        <f aca="false">Rebudget!$B$7</f>
        <v>0.304445485713396</v>
      </c>
      <c r="F30" s="15" t="n">
        <f aca="false">Ceiling</f>
        <v>0.4</v>
      </c>
      <c r="G30" s="2" t="str">
        <f aca="false">IF(F30&gt;C30+0.000000001,"exceeds","within")</f>
        <v>within</v>
      </c>
      <c r="H30" s="2" t="str">
        <f aca="false">IF(E30&gt;D30+0.000000001,"exceeds","within")</f>
        <v>within</v>
      </c>
      <c r="I30" s="2" t="str">
        <f aca="false">IF(F30&gt;D30+0.000000001,"exceeds","within")</f>
        <v>exceeds</v>
      </c>
    </row>
    <row r="31" customFormat="false" ht="15" hidden="false" customHeight="false" outlineLevel="0" collapsed="false">
      <c r="A31" s="2" t="s">
        <v>363</v>
      </c>
      <c r="B31" s="2" t="s">
        <v>360</v>
      </c>
      <c r="C31" s="15" t="n">
        <f aca="false">0</f>
        <v>0</v>
      </c>
      <c r="D31" s="15" t="n">
        <f aca="false">0</f>
        <v>0</v>
      </c>
      <c r="E31" s="15" t="n">
        <f aca="false">0</f>
        <v>0</v>
      </c>
      <c r="F31" s="15" t="n">
        <f aca="false">0</f>
        <v>0</v>
      </c>
      <c r="G31" s="2" t="str">
        <f aca="false">IF(F31&gt;C31+0.000000001,"exceeds","within")</f>
        <v>within</v>
      </c>
      <c r="H31" s="2" t="str">
        <f aca="false">IF(E31&gt;D31+0.000000001,"exceeds","within")</f>
        <v>within</v>
      </c>
      <c r="I31" s="2" t="str">
        <f aca="false">IF(F31&gt;D31+0.000000001,"exceeds","within")</f>
        <v>within</v>
      </c>
    </row>
    <row r="32" customFormat="false" ht="15" hidden="false" customHeight="false" outlineLevel="0" collapsed="false">
      <c r="A32" s="4" t="s">
        <v>364</v>
      </c>
      <c r="G32" s="20" t="n">
        <f aca="false">COUNTIF(G20:G31,"exceeds")</f>
        <v>2</v>
      </c>
      <c r="H32" s="20" t="n">
        <f aca="false">COUNTIF(H20:H31,"exceeds")</f>
        <v>0</v>
      </c>
      <c r="I32" s="20" t="n">
        <f aca="false">COUNTIF(I20:I31,"exceeds")</f>
        <v>8</v>
      </c>
    </row>
    <row r="33" customFormat="false" ht="15" hidden="false" customHeight="false" outlineLevel="0" collapsed="false">
      <c r="A33" s="2" t="s">
        <v>365</v>
      </c>
      <c r="G33" s="22" t="n">
        <f aca="false">Rebudget!E11</f>
        <v>0.8</v>
      </c>
      <c r="H33" s="22" t="n">
        <f aca="false">Rebudget!E15</f>
        <v>0.840896415253715</v>
      </c>
      <c r="I33" s="22" t="n">
        <f aca="false">Rebudget!E12</f>
        <v>1.02462112512353</v>
      </c>
    </row>
    <row r="34" customFormat="false" ht="15" hidden="false" customHeight="false" outlineLevel="0" collapsed="false">
      <c r="A34" s="10" t="s">
        <v>366</v>
      </c>
    </row>
    <row r="36" customFormat="false" ht="15" hidden="false" customHeight="false" outlineLevel="0" collapsed="false">
      <c r="A36" s="8" t="s">
        <v>367</v>
      </c>
      <c r="B36" s="8" t="s">
        <v>286</v>
      </c>
      <c r="C36" s="8" t="s">
        <v>368</v>
      </c>
      <c r="D36" s="8" t="s">
        <v>369</v>
      </c>
      <c r="E36" s="8" t="s">
        <v>370</v>
      </c>
      <c r="F36" s="8" t="s">
        <v>371</v>
      </c>
      <c r="G36" s="8" t="s">
        <v>372</v>
      </c>
      <c r="H36" s="8" t="s">
        <v>364</v>
      </c>
      <c r="I36" s="8" t="s">
        <v>373</v>
      </c>
      <c r="J36" s="8" t="s">
        <v>374</v>
      </c>
    </row>
    <row r="37" customFormat="false" ht="15" hidden="false" customHeight="false" outlineLevel="0" collapsed="false">
      <c r="A37" s="2" t="s">
        <v>375</v>
      </c>
      <c r="B37" s="18" t="n">
        <f aca="false">Burn_now</f>
        <v>50</v>
      </c>
      <c r="C37" s="18" t="n">
        <f aca="false">MAX(B37-Cut_b,0)</f>
        <v>40</v>
      </c>
      <c r="D37" s="18" t="n">
        <f aca="false">MAX(C37-Cut_b,0)</f>
        <v>30</v>
      </c>
      <c r="E37" s="18" t="n">
        <f aca="false">MAX(D37-Cut_b,0)</f>
        <v>20</v>
      </c>
      <c r="F37" s="18" t="n">
        <f aca="false">MAX(E37-Cut_b,0)</f>
        <v>10</v>
      </c>
      <c r="G37" s="18" t="n">
        <f aca="false">MAX(F37-Cut_b,0)</f>
        <v>0</v>
      </c>
    </row>
    <row r="38" customFormat="false" ht="15" hidden="false" customHeight="false" outlineLevel="0" collapsed="false">
      <c r="A38" s="2" t="s">
        <v>376</v>
      </c>
      <c r="B38" s="18" t="n">
        <f aca="false">Cash_now</f>
        <v>120</v>
      </c>
      <c r="C38" s="18" t="n">
        <f aca="false">B38-B37</f>
        <v>70</v>
      </c>
      <c r="D38" s="18" t="n">
        <f aca="false">C38-C37</f>
        <v>30</v>
      </c>
      <c r="E38" s="18" t="n">
        <f aca="false">D38-D37</f>
        <v>0</v>
      </c>
      <c r="F38" s="18" t="n">
        <f aca="false">E38-E37</f>
        <v>-20</v>
      </c>
      <c r="G38" s="18" t="n">
        <f aca="false">F38-F37</f>
        <v>-30</v>
      </c>
      <c r="H38" s="20" t="n">
        <f aca="false">SUMPRODUCT(--(ABS(B39:F39)&gt;0.000000001))</f>
        <v>0</v>
      </c>
      <c r="I38" s="20" t="n">
        <f aca="false">SUMPRODUCT((ABS(B39:F39)&gt;0.000000001)*(B40:F40&lt;0))</f>
        <v>0</v>
      </c>
      <c r="J38" s="2" t="str">
        <f aca="false">IF(H38=0,"identity holds",IF(I38=H38,"arrives with a breach: an inadmissible state",IF(H38=1,"a one-quarter jump: an implementation error","a steady drift: a mis-declared map")))</f>
        <v>identity holds</v>
      </c>
    </row>
    <row r="39" customFormat="false" ht="15" hidden="false" customHeight="false" outlineLevel="0" collapsed="false">
      <c r="A39" s="2" t="s">
        <v>377</v>
      </c>
      <c r="B39" s="18" t="n">
        <f aca="false">C38-(B38-B37)</f>
        <v>0</v>
      </c>
      <c r="C39" s="18" t="n">
        <f aca="false">D38-(C38-C37)</f>
        <v>0</v>
      </c>
      <c r="D39" s="18" t="n">
        <f aca="false">E38-(D38-D37)</f>
        <v>0</v>
      </c>
      <c r="E39" s="18" t="n">
        <f aca="false">F38-(E38-E37)</f>
        <v>0</v>
      </c>
      <c r="F39" s="18" t="n">
        <f aca="false">G38-(F38-F37)</f>
        <v>0</v>
      </c>
    </row>
    <row r="40" customFormat="false" ht="15" hidden="false" customHeight="false" outlineLevel="0" collapsed="false">
      <c r="A40" s="2" t="s">
        <v>378</v>
      </c>
      <c r="B40" s="18" t="n">
        <f aca="false">B38-B37</f>
        <v>70</v>
      </c>
      <c r="C40" s="18" t="n">
        <f aca="false">C38-C37</f>
        <v>30</v>
      </c>
      <c r="D40" s="18" t="n">
        <f aca="false">D38-D37</f>
        <v>0</v>
      </c>
      <c r="E40" s="18" t="n">
        <f aca="false">E38-E37</f>
        <v>-20</v>
      </c>
      <c r="F40" s="18" t="n">
        <f aca="false">F38-F37</f>
        <v>-30</v>
      </c>
    </row>
    <row r="41" customFormat="false" ht="15" hidden="false" customHeight="false" outlineLevel="0" collapsed="false">
      <c r="A41" s="2" t="s">
        <v>379</v>
      </c>
      <c r="B41" s="18" t="n">
        <f aca="false">Cash_now</f>
        <v>120</v>
      </c>
      <c r="C41" s="18" t="n">
        <f aca="false">B41-B37</f>
        <v>70</v>
      </c>
      <c r="D41" s="18" t="n">
        <f aca="false">C41</f>
        <v>70</v>
      </c>
      <c r="E41" s="18" t="n">
        <f aca="false">D41-D37</f>
        <v>40</v>
      </c>
      <c r="F41" s="18" t="n">
        <f aca="false">E41-E37</f>
        <v>20</v>
      </c>
      <c r="G41" s="18" t="n">
        <f aca="false">F41-F37</f>
        <v>10</v>
      </c>
      <c r="H41" s="20" t="n">
        <f aca="false">SUMPRODUCT(--(ABS(B42:F42)&gt;0.000000001))</f>
        <v>1</v>
      </c>
      <c r="I41" s="20" t="n">
        <f aca="false">SUMPRODUCT((ABS(B42:F42)&gt;0.000000001)*(B43:F43&lt;0))</f>
        <v>0</v>
      </c>
      <c r="J41" s="2" t="str">
        <f aca="false">IF(H41=0,"identity holds",IF(I41=H41,"arrives with a breach: an inadmissible state",IF(H41=1,"a one-quarter jump: an implementation error","a steady drift: a mis-declared map")))</f>
        <v>a one-quarter jump: an implementation error</v>
      </c>
    </row>
    <row r="42" customFormat="false" ht="15" hidden="false" customHeight="false" outlineLevel="0" collapsed="false">
      <c r="A42" s="2" t="s">
        <v>380</v>
      </c>
      <c r="B42" s="18" t="n">
        <f aca="false">C41-(B41-B37)</f>
        <v>0</v>
      </c>
      <c r="C42" s="18" t="n">
        <f aca="false">D41-(C41-C37)</f>
        <v>40</v>
      </c>
      <c r="D42" s="18" t="n">
        <f aca="false">E41-(D41-D37)</f>
        <v>0</v>
      </c>
      <c r="E42" s="18" t="n">
        <f aca="false">F41-(E41-E37)</f>
        <v>0</v>
      </c>
      <c r="F42" s="18" t="n">
        <f aca="false">G41-(F41-F37)</f>
        <v>0</v>
      </c>
    </row>
    <row r="43" customFormat="false" ht="15" hidden="false" customHeight="false" outlineLevel="0" collapsed="false">
      <c r="A43" s="2" t="s">
        <v>381</v>
      </c>
      <c r="B43" s="18" t="n">
        <f aca="false">B41-B37</f>
        <v>70</v>
      </c>
      <c r="C43" s="18" t="n">
        <f aca="false">C41-C37</f>
        <v>30</v>
      </c>
      <c r="D43" s="18" t="n">
        <f aca="false">D41-D37</f>
        <v>40</v>
      </c>
      <c r="E43" s="18" t="n">
        <f aca="false">E41-E37</f>
        <v>20</v>
      </c>
      <c r="F43" s="18" t="n">
        <f aca="false">F41-F37</f>
        <v>10</v>
      </c>
    </row>
    <row r="44" customFormat="false" ht="15" hidden="false" customHeight="false" outlineLevel="0" collapsed="false">
      <c r="A44" s="2" t="s">
        <v>382</v>
      </c>
      <c r="B44" s="18" t="n">
        <f aca="false">Cash_now</f>
        <v>120</v>
      </c>
      <c r="C44" s="18" t="n">
        <f aca="false">B44-C37</f>
        <v>80</v>
      </c>
      <c r="D44" s="18" t="n">
        <f aca="false">C44-D37</f>
        <v>50</v>
      </c>
      <c r="E44" s="18" t="n">
        <f aca="false">D44-E37</f>
        <v>30</v>
      </c>
      <c r="F44" s="18" t="n">
        <f aca="false">E44-F37</f>
        <v>20</v>
      </c>
      <c r="G44" s="18" t="n">
        <f aca="false">F44-G37</f>
        <v>20</v>
      </c>
      <c r="H44" s="20" t="n">
        <f aca="false">SUMPRODUCT(--(ABS(B45:F45)&gt;0.000000001))</f>
        <v>5</v>
      </c>
      <c r="I44" s="20" t="n">
        <f aca="false">SUMPRODUCT((ABS(B45:F45)&gt;0.000000001)*(B46:F46&lt;0))</f>
        <v>0</v>
      </c>
      <c r="J44" s="2" t="str">
        <f aca="false">IF(H44=0,"identity holds",IF(I44=H44,"arrives with a breach: an inadmissible state",IF(H44=1,"a one-quarter jump: an implementation error","a steady drift: a mis-declared map")))</f>
        <v>a steady drift: a mis-declared map</v>
      </c>
    </row>
    <row r="45" customFormat="false" ht="15" hidden="false" customHeight="false" outlineLevel="0" collapsed="false">
      <c r="A45" s="2" t="s">
        <v>383</v>
      </c>
      <c r="B45" s="18" t="n">
        <f aca="false">C44-(B44-B37)</f>
        <v>10</v>
      </c>
      <c r="C45" s="18" t="n">
        <f aca="false">D44-(C44-C37)</f>
        <v>10</v>
      </c>
      <c r="D45" s="18" t="n">
        <f aca="false">E44-(D44-D37)</f>
        <v>10</v>
      </c>
      <c r="E45" s="18" t="n">
        <f aca="false">F44-(E44-E37)</f>
        <v>10</v>
      </c>
      <c r="F45" s="18" t="n">
        <f aca="false">G44-(F44-F37)</f>
        <v>10</v>
      </c>
    </row>
    <row r="46" customFormat="false" ht="15" hidden="false" customHeight="false" outlineLevel="0" collapsed="false">
      <c r="A46" s="2" t="s">
        <v>384</v>
      </c>
      <c r="B46" s="18" t="n">
        <f aca="false">B44-B37</f>
        <v>70</v>
      </c>
      <c r="C46" s="18" t="n">
        <f aca="false">C44-C37</f>
        <v>40</v>
      </c>
      <c r="D46" s="18" t="n">
        <f aca="false">D44-D37</f>
        <v>20</v>
      </c>
      <c r="E46" s="18" t="n">
        <f aca="false">E44-E37</f>
        <v>10</v>
      </c>
      <c r="F46" s="18" t="n">
        <f aca="false">F44-F37</f>
        <v>10</v>
      </c>
    </row>
    <row r="47" customFormat="false" ht="15" hidden="false" customHeight="false" outlineLevel="0" collapsed="false">
      <c r="A47" s="2" t="s">
        <v>385</v>
      </c>
      <c r="B47" s="18" t="n">
        <f aca="false">Cash_now</f>
        <v>120</v>
      </c>
      <c r="C47" s="18" t="n">
        <f aca="false">MAX(B47-B37,0)</f>
        <v>70</v>
      </c>
      <c r="D47" s="18" t="n">
        <f aca="false">MAX(C47-C37,0)</f>
        <v>30</v>
      </c>
      <c r="E47" s="18" t="n">
        <f aca="false">MAX(D47-D37,0)</f>
        <v>0</v>
      </c>
      <c r="F47" s="18" t="n">
        <f aca="false">MAX(E47-E37,0)</f>
        <v>0</v>
      </c>
      <c r="G47" s="18" t="n">
        <f aca="false">MAX(F47-F37,0)</f>
        <v>0</v>
      </c>
      <c r="H47" s="20" t="n">
        <f aca="false">SUMPRODUCT(--(ABS(B48:F48)&gt;0.000000001))</f>
        <v>2</v>
      </c>
      <c r="I47" s="20" t="n">
        <f aca="false">SUMPRODUCT((ABS(B48:F48)&gt;0.000000001)*(B49:F49&lt;0))</f>
        <v>2</v>
      </c>
      <c r="J47" s="2" t="str">
        <f aca="false">IF(H47=0,"identity holds",IF(I47=H47,"arrives with a breach: an inadmissible state",IF(H47=1,"a one-quarter jump: an implementation error","a steady drift: a mis-declared map")))</f>
        <v>arrives with a breach: an inadmissible state</v>
      </c>
    </row>
    <row r="48" customFormat="false" ht="15" hidden="false" customHeight="false" outlineLevel="0" collapsed="false">
      <c r="A48" s="2" t="s">
        <v>386</v>
      </c>
      <c r="B48" s="18" t="n">
        <f aca="false">C47-(B47-B37)</f>
        <v>0</v>
      </c>
      <c r="C48" s="18" t="n">
        <f aca="false">D47-(C47-C37)</f>
        <v>0</v>
      </c>
      <c r="D48" s="18" t="n">
        <f aca="false">E47-(D47-D37)</f>
        <v>0</v>
      </c>
      <c r="E48" s="18" t="n">
        <f aca="false">F47-(E47-E37)</f>
        <v>20</v>
      </c>
      <c r="F48" s="18" t="n">
        <f aca="false">G47-(F47-F37)</f>
        <v>10</v>
      </c>
    </row>
    <row r="49" customFormat="false" ht="15" hidden="false" customHeight="false" outlineLevel="0" collapsed="false">
      <c r="A49" s="2" t="s">
        <v>387</v>
      </c>
      <c r="B49" s="18" t="n">
        <f aca="false">B47-B37</f>
        <v>70</v>
      </c>
      <c r="C49" s="18" t="n">
        <f aca="false">C47-C37</f>
        <v>30</v>
      </c>
      <c r="D49" s="18" t="n">
        <f aca="false">D47-D37</f>
        <v>0</v>
      </c>
      <c r="E49" s="18" t="n">
        <f aca="false">E47-E37</f>
        <v>-20</v>
      </c>
      <c r="F49" s="18" t="n">
        <f aca="false">F47-F37</f>
        <v>-10</v>
      </c>
    </row>
    <row r="51" customFormat="false" ht="15" hidden="false" customHeight="false" outlineLevel="0" collapsed="false">
      <c r="A51" s="10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389</v>
      </c>
      <c r="B1" s="8" t="s">
        <v>390</v>
      </c>
      <c r="C1" s="8" t="s">
        <v>391</v>
      </c>
    </row>
    <row r="2" customFormat="false" ht="15" hidden="false" customHeight="false" outlineLevel="0" collapsed="false">
      <c r="A2" s="2" t="s">
        <v>392</v>
      </c>
      <c r="B2" s="25" t="n">
        <v>0.8</v>
      </c>
      <c r="C2" s="2" t="s">
        <v>393</v>
      </c>
    </row>
    <row r="3" customFormat="false" ht="15" hidden="false" customHeight="false" outlineLevel="0" collapsed="false">
      <c r="A3" s="2" t="s">
        <v>394</v>
      </c>
      <c r="B3" s="25" t="n">
        <v>0.8</v>
      </c>
      <c r="C3" s="2" t="s">
        <v>395</v>
      </c>
    </row>
    <row r="4" customFormat="false" ht="15" hidden="false" customHeight="false" outlineLevel="0" collapsed="false">
      <c r="A4" s="2" t="s">
        <v>396</v>
      </c>
      <c r="B4" s="25" t="n">
        <v>-5.11590769747273E-017</v>
      </c>
      <c r="C4" s="2" t="s">
        <v>397</v>
      </c>
    </row>
    <row r="5" customFormat="false" ht="15" hidden="false" customHeight="false" outlineLevel="0" collapsed="false">
      <c r="A5" s="2" t="s">
        <v>398</v>
      </c>
      <c r="B5" s="25" t="n">
        <v>3.10628371950539</v>
      </c>
      <c r="C5" s="2" t="s">
        <v>399</v>
      </c>
    </row>
    <row r="6" customFormat="false" ht="15" hidden="false" customHeight="false" outlineLevel="0" collapsed="false">
      <c r="A6" s="2" t="s">
        <v>400</v>
      </c>
      <c r="B6" s="25" t="n">
        <v>10.3188511585162</v>
      </c>
      <c r="C6" s="2" t="s">
        <v>401</v>
      </c>
    </row>
    <row r="7" customFormat="false" ht="15" hidden="false" customHeight="false" outlineLevel="0" collapsed="false">
      <c r="A7" s="2" t="s">
        <v>402</v>
      </c>
      <c r="B7" s="25" t="n">
        <v>5</v>
      </c>
      <c r="C7" s="2" t="s">
        <v>403</v>
      </c>
    </row>
    <row r="8" customFormat="false" ht="15" hidden="false" customHeight="false" outlineLevel="0" collapsed="false">
      <c r="A8" s="2" t="s">
        <v>404</v>
      </c>
      <c r="B8" s="25" t="n">
        <v>2.77777777777778</v>
      </c>
      <c r="C8" s="2" t="s">
        <v>405</v>
      </c>
    </row>
    <row r="9" customFormat="false" ht="15" hidden="false" customHeight="false" outlineLevel="0" collapsed="false">
      <c r="A9" s="2" t="s">
        <v>406</v>
      </c>
      <c r="B9" s="25" t="n">
        <v>188.888888888889</v>
      </c>
      <c r="C9" s="2" t="s">
        <v>407</v>
      </c>
    </row>
    <row r="10" customFormat="false" ht="15" hidden="false" customHeight="false" outlineLevel="0" collapsed="false">
      <c r="A10" s="2" t="s">
        <v>408</v>
      </c>
      <c r="B10" s="25" t="n">
        <v>8.88888888888889</v>
      </c>
      <c r="C10" s="2" t="s">
        <v>409</v>
      </c>
    </row>
    <row r="11" customFormat="false" ht="15" hidden="false" customHeight="false" outlineLevel="0" collapsed="false">
      <c r="A11" s="2" t="s">
        <v>410</v>
      </c>
      <c r="B11" s="25" t="n">
        <v>18.8888888888889</v>
      </c>
      <c r="C11" s="2" t="s">
        <v>411</v>
      </c>
    </row>
    <row r="12" customFormat="false" ht="15" hidden="false" customHeight="false" outlineLevel="0" collapsed="false">
      <c r="A12" s="2" t="s">
        <v>412</v>
      </c>
      <c r="B12" s="25" t="n">
        <v>11.1111111111111</v>
      </c>
      <c r="C12" s="2" t="s">
        <v>413</v>
      </c>
    </row>
    <row r="13" customFormat="false" ht="15" hidden="false" customHeight="false" outlineLevel="0" collapsed="false">
      <c r="A13" s="2" t="s">
        <v>414</v>
      </c>
      <c r="B13" s="25" t="n">
        <v>11.1111111111111</v>
      </c>
      <c r="C13" s="2" t="s">
        <v>413</v>
      </c>
    </row>
    <row r="14" customFormat="false" ht="15" hidden="false" customHeight="false" outlineLevel="0" collapsed="false">
      <c r="A14" s="2" t="s">
        <v>415</v>
      </c>
      <c r="B14" s="25" t="n">
        <v>50</v>
      </c>
      <c r="C14" s="2" t="s">
        <v>416</v>
      </c>
    </row>
    <row r="15" customFormat="false" ht="15" hidden="false" customHeight="false" outlineLevel="0" collapsed="false">
      <c r="A15" s="2" t="s">
        <v>417</v>
      </c>
      <c r="B15" s="25" t="n">
        <v>40</v>
      </c>
      <c r="C15" s="2" t="s">
        <v>418</v>
      </c>
    </row>
    <row r="16" customFormat="false" ht="15" hidden="false" customHeight="false" outlineLevel="0" collapsed="false">
      <c r="A16" s="2" t="s">
        <v>419</v>
      </c>
      <c r="B16" s="25" t="n">
        <v>1.77635683940025E-015</v>
      </c>
      <c r="C16" s="2" t="s">
        <v>420</v>
      </c>
    </row>
    <row r="17" customFormat="false" ht="15" hidden="false" customHeight="false" outlineLevel="0" collapsed="false">
      <c r="A17" s="2" t="s">
        <v>421</v>
      </c>
      <c r="B17" s="25" t="n">
        <v>49.9999999898148</v>
      </c>
      <c r="C17" s="2" t="s">
        <v>422</v>
      </c>
    </row>
    <row r="18" customFormat="false" ht="15" hidden="false" customHeight="false" outlineLevel="0" collapsed="false">
      <c r="A18" s="2" t="s">
        <v>423</v>
      </c>
      <c r="B18" s="25" t="n">
        <v>5.12</v>
      </c>
      <c r="C18" s="2" t="s">
        <v>424</v>
      </c>
    </row>
    <row r="19" customFormat="false" ht="15" hidden="false" customHeight="false" outlineLevel="0" collapsed="false">
      <c r="A19" s="2" t="s">
        <v>425</v>
      </c>
      <c r="B19" s="25" t="n">
        <v>0.68719476736</v>
      </c>
      <c r="C19" s="2" t="s">
        <v>426</v>
      </c>
    </row>
    <row r="20" customFormat="false" ht="15" hidden="false" customHeight="false" outlineLevel="0" collapsed="false">
      <c r="A20" s="2" t="s">
        <v>427</v>
      </c>
      <c r="B20" s="25" t="n">
        <v>1.2</v>
      </c>
      <c r="C20" s="2" t="s">
        <v>428</v>
      </c>
    </row>
    <row r="21" customFormat="false" ht="15" hidden="false" customHeight="false" outlineLevel="0" collapsed="false">
      <c r="A21" s="2" t="s">
        <v>429</v>
      </c>
      <c r="B21" s="25" t="n">
        <v>1.02462112512353</v>
      </c>
      <c r="C21" s="2" t="s">
        <v>430</v>
      </c>
    </row>
    <row r="22" customFormat="false" ht="15" hidden="false" customHeight="false" outlineLevel="0" collapsed="false">
      <c r="A22" s="2" t="s">
        <v>431</v>
      </c>
      <c r="B22" s="25" t="n">
        <v>-20.0608042779412</v>
      </c>
      <c r="C22" s="2" t="s">
        <v>432</v>
      </c>
    </row>
    <row r="23" customFormat="false" ht="15" hidden="false" customHeight="false" outlineLevel="0" collapsed="false">
      <c r="A23" s="2" t="s">
        <v>433</v>
      </c>
      <c r="B23" s="25" t="n">
        <v>12</v>
      </c>
      <c r="C23" s="2" t="s">
        <v>434</v>
      </c>
    </row>
    <row r="24" customFormat="false" ht="15" hidden="false" customHeight="false" outlineLevel="0" collapsed="false">
      <c r="A24" s="2" t="s">
        <v>435</v>
      </c>
      <c r="B24" s="25" t="n">
        <v>12.16</v>
      </c>
      <c r="C24" s="2" t="s">
        <v>436</v>
      </c>
    </row>
    <row r="25" customFormat="false" ht="15" hidden="false" customHeight="false" outlineLevel="0" collapsed="false">
      <c r="A25" s="2" t="s">
        <v>437</v>
      </c>
      <c r="B25" s="25" t="n">
        <v>14.80941633536</v>
      </c>
      <c r="C25" s="2" t="s">
        <v>438</v>
      </c>
    </row>
    <row r="26" customFormat="false" ht="15" hidden="false" customHeight="false" outlineLevel="0" collapsed="false">
      <c r="A26" s="2" t="s">
        <v>439</v>
      </c>
      <c r="B26" s="25" t="n">
        <v>0.840896415253715</v>
      </c>
      <c r="C26" s="2" t="s">
        <v>440</v>
      </c>
    </row>
    <row r="27" customFormat="false" ht="15" hidden="false" customHeight="false" outlineLevel="0" collapsed="false">
      <c r="A27" s="2" t="s">
        <v>441</v>
      </c>
      <c r="B27" s="25" t="n">
        <v>0.0798038616519728</v>
      </c>
      <c r="C27" s="2" t="s">
        <v>442</v>
      </c>
    </row>
    <row r="28" customFormat="false" ht="15" hidden="false" customHeight="false" outlineLevel="0" collapsed="false">
      <c r="A28" s="2" t="s">
        <v>443</v>
      </c>
      <c r="B28" s="25" t="n">
        <v>0.159292521929094</v>
      </c>
      <c r="C28" s="2" t="s">
        <v>444</v>
      </c>
    </row>
    <row r="29" customFormat="false" ht="15" hidden="false" customHeight="false" outlineLevel="0" collapsed="false">
      <c r="A29" s="2" t="s">
        <v>445</v>
      </c>
      <c r="B29" s="25" t="n">
        <v>0.304445485713396</v>
      </c>
      <c r="C29" s="2" t="s">
        <v>446</v>
      </c>
    </row>
    <row r="30" customFormat="false" ht="15" hidden="false" customHeight="false" outlineLevel="0" collapsed="false">
      <c r="A30" s="2" t="s">
        <v>447</v>
      </c>
      <c r="B30" s="25" t="n">
        <v>4.00000000000001</v>
      </c>
      <c r="C30" s="2" t="s">
        <v>448</v>
      </c>
    </row>
    <row r="31" customFormat="false" ht="15" hidden="false" customHeight="false" outlineLevel="0" collapsed="false">
      <c r="A31" s="2" t="s">
        <v>449</v>
      </c>
      <c r="B31" s="25" t="n">
        <v>13.2877123795495</v>
      </c>
      <c r="C31" s="2" t="s">
        <v>450</v>
      </c>
    </row>
    <row r="32" customFormat="false" ht="15" hidden="false" customHeight="false" outlineLevel="0" collapsed="false">
      <c r="A32" s="2" t="s">
        <v>451</v>
      </c>
      <c r="B32" s="25" t="n">
        <v>6.28521350788326</v>
      </c>
      <c r="C32" s="2" t="s">
        <v>452</v>
      </c>
    </row>
    <row r="33" customFormat="false" ht="15" hidden="false" customHeight="false" outlineLevel="0" collapsed="false">
      <c r="A33" s="2" t="s">
        <v>453</v>
      </c>
      <c r="B33" s="25" t="n">
        <v>64.2407140445401</v>
      </c>
      <c r="C33" s="2" t="s">
        <v>454</v>
      </c>
    </row>
    <row r="34" customFormat="false" ht="15" hidden="false" customHeight="false" outlineLevel="0" collapsed="false">
      <c r="A34" s="2" t="s">
        <v>455</v>
      </c>
      <c r="B34" s="25" t="n">
        <v>68.0165924338454</v>
      </c>
      <c r="C34" s="2" t="s">
        <v>456</v>
      </c>
    </row>
    <row r="35" customFormat="false" ht="15" hidden="false" customHeight="false" outlineLevel="0" collapsed="false">
      <c r="A35" s="2" t="s">
        <v>457</v>
      </c>
      <c r="B35" s="25" t="n">
        <v>70.1800848365807</v>
      </c>
      <c r="C35" s="2" t="s">
        <v>458</v>
      </c>
    </row>
    <row r="36" customFormat="false" ht="15" hidden="false" customHeight="false" outlineLevel="0" collapsed="false">
      <c r="A36" s="2" t="s">
        <v>459</v>
      </c>
      <c r="B36" s="25" t="n">
        <v>25.3815095784541</v>
      </c>
      <c r="C36" s="2" t="s">
        <v>460</v>
      </c>
    </row>
    <row r="37" customFormat="false" ht="15" hidden="false" customHeight="false" outlineLevel="0" collapsed="false">
      <c r="A37" s="2" t="s">
        <v>461</v>
      </c>
      <c r="B37" s="25" t="n">
        <v>10.0889097142679</v>
      </c>
      <c r="C37" s="2" t="s">
        <v>462</v>
      </c>
    </row>
    <row r="38" customFormat="false" ht="15" hidden="false" customHeight="false" outlineLevel="0" collapsed="false">
      <c r="A38" s="2" t="s">
        <v>463</v>
      </c>
      <c r="B38" s="25" t="n">
        <v>1.41375700290444</v>
      </c>
      <c r="C38" s="2" t="s">
        <v>464</v>
      </c>
    </row>
    <row r="39" customFormat="false" ht="15" hidden="false" customHeight="false" outlineLevel="0" collapsed="false">
      <c r="A39" s="2" t="s">
        <v>465</v>
      </c>
      <c r="B39" s="25" t="n">
        <v>0.460350138452844</v>
      </c>
      <c r="C39" s="2" t="s">
        <v>466</v>
      </c>
    </row>
    <row r="40" customFormat="false" ht="15" hidden="false" customHeight="false" outlineLevel="0" collapsed="false">
      <c r="A40" s="2" t="s">
        <v>467</v>
      </c>
      <c r="B40" s="25" t="n">
        <v>13.5134073339649</v>
      </c>
      <c r="C40" s="2" t="s">
        <v>468</v>
      </c>
    </row>
    <row r="41" customFormat="false" ht="15" hidden="false" customHeight="false" outlineLevel="0" collapsed="false">
      <c r="A41" s="2" t="s">
        <v>469</v>
      </c>
      <c r="B41" s="25" t="n">
        <v>20</v>
      </c>
      <c r="C41" s="2" t="s">
        <v>470</v>
      </c>
    </row>
    <row r="42" customFormat="false" ht="15" hidden="false" customHeight="false" outlineLevel="0" collapsed="false">
      <c r="A42" s="2" t="s">
        <v>471</v>
      </c>
      <c r="B42" s="25" t="n">
        <v>49.9946830880169</v>
      </c>
      <c r="C42" s="2" t="s">
        <v>472</v>
      </c>
    </row>
    <row r="43" customFormat="false" ht="15" hidden="false" customHeight="false" outlineLevel="0" collapsed="false">
      <c r="A43" s="2" t="s">
        <v>473</v>
      </c>
      <c r="B43" s="25" t="n">
        <v>62.8521350788325</v>
      </c>
      <c r="C43" s="2" t="s">
        <v>474</v>
      </c>
    </row>
    <row r="44" customFormat="false" ht="15" hidden="false" customHeight="false" outlineLevel="0" collapsed="false">
      <c r="A44" s="2" t="s">
        <v>475</v>
      </c>
      <c r="B44" s="25" t="n">
        <v>2.00000000004508</v>
      </c>
      <c r="C44" s="2" t="s">
        <v>476</v>
      </c>
    </row>
    <row r="45" customFormat="false" ht="15" hidden="false" customHeight="false" outlineLevel="0" collapsed="false">
      <c r="A45" s="2" t="s">
        <v>477</v>
      </c>
      <c r="B45" s="25" t="n">
        <v>0.312062909445298</v>
      </c>
      <c r="C45" s="2" t="s">
        <v>478</v>
      </c>
    </row>
    <row r="46" customFormat="false" ht="15" hidden="false" customHeight="false" outlineLevel="0" collapsed="false">
      <c r="A46" s="2" t="s">
        <v>479</v>
      </c>
      <c r="B46" s="25" t="n">
        <v>0.99999999991672</v>
      </c>
      <c r="C46" s="2" t="s">
        <v>480</v>
      </c>
    </row>
    <row r="47" customFormat="false" ht="15" hidden="false" customHeight="false" outlineLevel="0" collapsed="false">
      <c r="A47" s="2" t="s">
        <v>481</v>
      </c>
      <c r="B47" s="25" t="n">
        <v>1000.00000000001</v>
      </c>
      <c r="C47" s="2" t="s">
        <v>482</v>
      </c>
    </row>
    <row r="48" customFormat="false" ht="15" hidden="false" customHeight="false" outlineLevel="0" collapsed="false">
      <c r="A48" s="2" t="s">
        <v>483</v>
      </c>
      <c r="B48" s="25" t="n">
        <v>2</v>
      </c>
      <c r="C48" s="2" t="s">
        <v>484</v>
      </c>
    </row>
    <row r="49" customFormat="false" ht="15" hidden="false" customHeight="false" outlineLevel="0" collapsed="false">
      <c r="A49" s="2" t="s">
        <v>485</v>
      </c>
      <c r="B49" s="25" t="n">
        <v>49.9933538600211</v>
      </c>
      <c r="C49" s="2" t="s">
        <v>486</v>
      </c>
    </row>
    <row r="50" customFormat="false" ht="15" hidden="false" customHeight="false" outlineLevel="0" collapsed="false">
      <c r="A50" s="2" t="s">
        <v>487</v>
      </c>
      <c r="B50" s="25" t="n">
        <v>47.4999999999526</v>
      </c>
      <c r="C50" s="2" t="s">
        <v>488</v>
      </c>
    </row>
    <row r="51" customFormat="false" ht="15" hidden="false" customHeight="false" outlineLevel="0" collapsed="false">
      <c r="A51" s="2" t="s">
        <v>489</v>
      </c>
      <c r="B51" s="25" t="n">
        <v>47.6317189994678</v>
      </c>
      <c r="C51" s="2" t="s">
        <v>490</v>
      </c>
    </row>
    <row r="52" customFormat="false" ht="15" hidden="false" customHeight="false" outlineLevel="0" collapsed="false">
      <c r="A52" s="2" t="s">
        <v>491</v>
      </c>
      <c r="B52" s="25" t="n">
        <v>105.55555555361</v>
      </c>
      <c r="C52" s="2" t="s">
        <v>492</v>
      </c>
    </row>
    <row r="53" customFormat="false" ht="15" hidden="false" customHeight="false" outlineLevel="0" collapsed="false">
      <c r="A53" s="2" t="s">
        <v>493</v>
      </c>
      <c r="B53" s="25" t="n">
        <v>166.45632045056</v>
      </c>
      <c r="C53" s="2" t="s">
        <v>494</v>
      </c>
    </row>
    <row r="54" customFormat="false" ht="15" hidden="false" customHeight="false" outlineLevel="0" collapsed="false">
      <c r="A54" s="2" t="s">
        <v>495</v>
      </c>
      <c r="B54" s="25" t="n">
        <v>70</v>
      </c>
      <c r="C54" s="2" t="s">
        <v>496</v>
      </c>
    </row>
    <row r="55" customFormat="false" ht="15" hidden="false" customHeight="false" outlineLevel="0" collapsed="false">
      <c r="A55" s="2" t="s">
        <v>497</v>
      </c>
      <c r="B55" s="25" t="n">
        <v>-20</v>
      </c>
      <c r="C55" s="2" t="s">
        <v>498</v>
      </c>
    </row>
    <row r="56" customFormat="false" ht="15" hidden="false" customHeight="false" outlineLevel="0" collapsed="false">
      <c r="A56" s="2" t="s">
        <v>499</v>
      </c>
      <c r="B56" s="25" t="n">
        <v>4</v>
      </c>
      <c r="C56" s="2" t="s">
        <v>500</v>
      </c>
    </row>
    <row r="57" customFormat="false" ht="15" hidden="false" customHeight="false" outlineLevel="0" collapsed="false">
      <c r="A57" s="2" t="s">
        <v>501</v>
      </c>
      <c r="B57" s="25" t="n">
        <v>120</v>
      </c>
      <c r="C57" s="2" t="s">
        <v>502</v>
      </c>
    </row>
    <row r="58" customFormat="false" ht="15" hidden="false" customHeight="false" outlineLevel="0" collapsed="false">
      <c r="A58" s="2" t="s">
        <v>503</v>
      </c>
      <c r="B58" s="25" t="n">
        <v>140</v>
      </c>
      <c r="C58" s="2" t="s">
        <v>504</v>
      </c>
    </row>
    <row r="59" customFormat="false" ht="15" hidden="false" customHeight="false" outlineLevel="0" collapsed="false">
      <c r="A59" s="2" t="s">
        <v>505</v>
      </c>
      <c r="B59" s="25" t="n">
        <v>3</v>
      </c>
      <c r="C59" s="2" t="s">
        <v>506</v>
      </c>
    </row>
    <row r="60" customFormat="false" ht="15" hidden="false" customHeight="false" outlineLevel="0" collapsed="false">
      <c r="A60" s="2" t="s">
        <v>507</v>
      </c>
      <c r="B60" s="25" t="n">
        <v>150</v>
      </c>
      <c r="C60" s="2" t="s">
        <v>508</v>
      </c>
    </row>
    <row r="61" customFormat="false" ht="15" hidden="false" customHeight="false" outlineLevel="0" collapsed="false">
      <c r="A61" s="2" t="s">
        <v>509</v>
      </c>
      <c r="B61" s="25" t="n">
        <v>30</v>
      </c>
      <c r="C61" s="2" t="s">
        <v>510</v>
      </c>
    </row>
    <row r="62" customFormat="false" ht="15" hidden="false" customHeight="false" outlineLevel="0" collapsed="false">
      <c r="A62" s="2" t="s">
        <v>511</v>
      </c>
      <c r="B62" s="25" t="n">
        <v>110</v>
      </c>
      <c r="C62" s="2" t="s">
        <v>512</v>
      </c>
    </row>
    <row r="63" customFormat="false" ht="15" hidden="false" customHeight="false" outlineLevel="0" collapsed="false">
      <c r="A63" s="2" t="s">
        <v>513</v>
      </c>
      <c r="B63" s="25" t="n">
        <v>125</v>
      </c>
      <c r="C63" s="2" t="s">
        <v>514</v>
      </c>
    </row>
    <row r="64" customFormat="false" ht="15" hidden="false" customHeight="false" outlineLevel="0" collapsed="false">
      <c r="A64" s="2" t="s">
        <v>515</v>
      </c>
      <c r="B64" s="25" t="n">
        <v>20</v>
      </c>
      <c r="C64" s="2" t="s">
        <v>516</v>
      </c>
    </row>
    <row r="65" customFormat="false" ht="15" hidden="false" customHeight="false" outlineLevel="0" collapsed="false">
      <c r="A65" s="2" t="s">
        <v>517</v>
      </c>
      <c r="B65" s="25" t="n">
        <v>3</v>
      </c>
      <c r="C65" s="2" t="s">
        <v>518</v>
      </c>
    </row>
    <row r="66" customFormat="false" ht="15" hidden="false" customHeight="false" outlineLevel="0" collapsed="false">
      <c r="A66" s="2" t="s">
        <v>519</v>
      </c>
      <c r="B66" s="25" t="n">
        <v>0.898164749570812</v>
      </c>
      <c r="C66" s="2" t="s">
        <v>520</v>
      </c>
    </row>
    <row r="67" customFormat="false" ht="15" hidden="false" customHeight="false" outlineLevel="0" collapsed="false">
      <c r="A67" s="2" t="s">
        <v>521</v>
      </c>
      <c r="B67" s="25" t="n">
        <v>1.00889097142679</v>
      </c>
      <c r="C67" s="2" t="s">
        <v>522</v>
      </c>
    </row>
    <row r="68" customFormat="false" ht="15" hidden="false" customHeight="false" outlineLevel="0" collapsed="false">
      <c r="A68" s="2" t="s">
        <v>523</v>
      </c>
      <c r="B68" s="25" t="n">
        <v>2</v>
      </c>
      <c r="C68" s="2" t="s">
        <v>524</v>
      </c>
    </row>
    <row r="69" customFormat="false" ht="15" hidden="false" customHeight="false" outlineLevel="0" collapsed="false">
      <c r="A69" s="2" t="s">
        <v>525</v>
      </c>
      <c r="B69" s="25" t="n">
        <v>0</v>
      </c>
      <c r="C69" s="2" t="s">
        <v>526</v>
      </c>
    </row>
    <row r="70" customFormat="false" ht="15" hidden="false" customHeight="false" outlineLevel="0" collapsed="false">
      <c r="A70" s="2" t="s">
        <v>527</v>
      </c>
      <c r="B70" s="25" t="n">
        <v>8</v>
      </c>
      <c r="C70" s="2" t="s">
        <v>528</v>
      </c>
    </row>
    <row r="71" customFormat="false" ht="15" hidden="false" customHeight="false" outlineLevel="0" collapsed="false">
      <c r="A71" s="2" t="s">
        <v>529</v>
      </c>
      <c r="B71" s="25" t="n">
        <v>20</v>
      </c>
      <c r="C71" s="2" t="s">
        <v>530</v>
      </c>
    </row>
    <row r="72" customFormat="false" ht="15" hidden="false" customHeight="false" outlineLevel="0" collapsed="false">
      <c r="A72" s="2" t="s">
        <v>531</v>
      </c>
      <c r="B72" s="25" t="n">
        <v>50</v>
      </c>
      <c r="C72" s="2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389</v>
      </c>
      <c r="B1" s="8" t="s">
        <v>533</v>
      </c>
      <c r="C1" s="8" t="s">
        <v>390</v>
      </c>
      <c r="D1" s="8" t="s">
        <v>534</v>
      </c>
      <c r="E1" s="8" t="s">
        <v>535</v>
      </c>
      <c r="F1" s="8" t="s">
        <v>536</v>
      </c>
    </row>
    <row r="2" customFormat="false" ht="15" hidden="false" customHeight="false" outlineLevel="0" collapsed="false">
      <c r="A2" s="2" t="s">
        <v>392</v>
      </c>
      <c r="B2" s="26" t="n">
        <f aca="false">MAX(Bench!B8:E8)</f>
        <v>0.8</v>
      </c>
      <c r="C2" s="27" t="n">
        <f aca="false">Reference_Values!B2</f>
        <v>0.8</v>
      </c>
      <c r="D2" s="17" t="n">
        <f aca="false">ABS(B2-C2)</f>
        <v>0</v>
      </c>
      <c r="E2" s="28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394</v>
      </c>
      <c r="B3" s="26" t="n">
        <f aca="false">Bench!B10</f>
        <v>0.8</v>
      </c>
      <c r="C3" s="27" t="n">
        <f aca="false">Reference_Values!B3</f>
        <v>0.8</v>
      </c>
      <c r="D3" s="17" t="n">
        <f aca="false">ABS(B3-C3)</f>
        <v>0</v>
      </c>
      <c r="E3" s="28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396</v>
      </c>
      <c r="B4" s="26" t="n">
        <f aca="false">Bench!B11</f>
        <v>-1.77635683940025E-017</v>
      </c>
      <c r="C4" s="27" t="n">
        <f aca="false">Reference_Values!B4</f>
        <v>-5.11590769747273E-017</v>
      </c>
      <c r="D4" s="17" t="n">
        <f aca="false">ABS(B4-C4)</f>
        <v>3.33955085807248E-017</v>
      </c>
      <c r="E4" s="28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398</v>
      </c>
      <c r="B5" s="26" t="n">
        <f aca="false">Bench!B12</f>
        <v>3.10628371950539</v>
      </c>
      <c r="C5" s="27" t="n">
        <f aca="false">Reference_Values!B5</f>
        <v>3.10628371950539</v>
      </c>
      <c r="D5" s="17" t="n">
        <f aca="false">ABS(B5-C5)</f>
        <v>0</v>
      </c>
      <c r="E5" s="28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400</v>
      </c>
      <c r="B6" s="26" t="n">
        <f aca="false">Bench!B13</f>
        <v>10.3188511585162</v>
      </c>
      <c r="C6" s="27" t="n">
        <f aca="false">Reference_Values!B6</f>
        <v>10.3188511585162</v>
      </c>
      <c r="D6" s="17" t="n">
        <f aca="false">ABS(B6-C6)</f>
        <v>0</v>
      </c>
      <c r="E6" s="28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402</v>
      </c>
      <c r="B7" s="26" t="n">
        <f aca="false">Bench!B14</f>
        <v>5</v>
      </c>
      <c r="C7" s="27" t="n">
        <f aca="false">Reference_Values!B7</f>
        <v>5</v>
      </c>
      <c r="D7" s="17" t="n">
        <f aca="false">ABS(B7-C7)</f>
        <v>0</v>
      </c>
      <c r="E7" s="28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404</v>
      </c>
      <c r="B8" s="26" t="n">
        <f aca="false">Bench!B29</f>
        <v>2.77777777777778</v>
      </c>
      <c r="C8" s="27" t="n">
        <f aca="false">Reference_Values!B8</f>
        <v>2.77777777777778</v>
      </c>
      <c r="D8" s="17" t="n">
        <f aca="false">ABS(B8-C8)</f>
        <v>0</v>
      </c>
      <c r="E8" s="28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406</v>
      </c>
      <c r="B9" s="26" t="n">
        <f aca="false">Bench!H40</f>
        <v>188.888888888889</v>
      </c>
      <c r="C9" s="27" t="n">
        <f aca="false">Reference_Values!B9</f>
        <v>188.888888888889</v>
      </c>
      <c r="D9" s="17" t="n">
        <f aca="false">ABS(B9-C9)</f>
        <v>0</v>
      </c>
      <c r="E9" s="28" t="n">
        <v>1E-006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408</v>
      </c>
      <c r="B10" s="26" t="n">
        <f aca="false">Bench!B33</f>
        <v>8.88888888888889</v>
      </c>
      <c r="C10" s="27" t="n">
        <f aca="false">Reference_Values!B10</f>
        <v>8.88888888888889</v>
      </c>
      <c r="D10" s="17" t="n">
        <f aca="false">ABS(B10-C10)</f>
        <v>0</v>
      </c>
      <c r="E10" s="28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410</v>
      </c>
      <c r="B11" s="26" t="n">
        <f aca="false">Bench!C33</f>
        <v>18.8888888888889</v>
      </c>
      <c r="C11" s="27" t="n">
        <f aca="false">Reference_Values!B11</f>
        <v>18.8888888888889</v>
      </c>
      <c r="D11" s="17" t="n">
        <f aca="false">ABS(B11-C11)</f>
        <v>0</v>
      </c>
      <c r="E11" s="28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412</v>
      </c>
      <c r="B12" s="26" t="n">
        <f aca="false">Bench!D33</f>
        <v>11.1111111111111</v>
      </c>
      <c r="C12" s="27" t="n">
        <f aca="false">Reference_Values!B12</f>
        <v>11.1111111111111</v>
      </c>
      <c r="D12" s="17" t="n">
        <f aca="false">ABS(B12-C12)</f>
        <v>0</v>
      </c>
      <c r="E12" s="28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414</v>
      </c>
      <c r="B13" s="26" t="n">
        <f aca="false">Bench!E33</f>
        <v>11.1111111111111</v>
      </c>
      <c r="C13" s="27" t="n">
        <f aca="false">Reference_Values!B13</f>
        <v>11.1111111111111</v>
      </c>
      <c r="D13" s="17" t="n">
        <f aca="false">ABS(B13-C13)</f>
        <v>0</v>
      </c>
      <c r="E13" s="28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415</v>
      </c>
      <c r="B14" s="26" t="n">
        <f aca="false">Bench!F33</f>
        <v>50</v>
      </c>
      <c r="C14" s="27" t="n">
        <f aca="false">Reference_Values!B14</f>
        <v>50</v>
      </c>
      <c r="D14" s="17" t="n">
        <f aca="false">ABS(B14-C14)</f>
        <v>0</v>
      </c>
      <c r="E14" s="28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417</v>
      </c>
      <c r="B15" s="26" t="n">
        <f aca="false">Bench!F36</f>
        <v>40</v>
      </c>
      <c r="C15" s="27" t="n">
        <f aca="false">Reference_Values!B15</f>
        <v>40</v>
      </c>
      <c r="D15" s="17" t="n">
        <f aca="false">ABS(B15-C15)</f>
        <v>0</v>
      </c>
      <c r="E15" s="28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419</v>
      </c>
      <c r="B16" s="26" t="n">
        <f aca="false">Bench!F37</f>
        <v>0</v>
      </c>
      <c r="C16" s="27" t="n">
        <f aca="false">Reference_Values!B16</f>
        <v>1.77635683940025E-015</v>
      </c>
      <c r="D16" s="17" t="n">
        <f aca="false">ABS(B16-C16)</f>
        <v>1.77635683940025E-015</v>
      </c>
      <c r="E16" s="28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421</v>
      </c>
      <c r="B17" s="26" t="n">
        <f aca="false">Bench!M140</f>
        <v>49.9999999898148</v>
      </c>
      <c r="C17" s="27" t="n">
        <f aca="false">Reference_Values!B17</f>
        <v>49.9999999898148</v>
      </c>
      <c r="D17" s="17" t="n">
        <f aca="false">ABS(B17-C17)</f>
        <v>0</v>
      </c>
      <c r="E17" s="28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423</v>
      </c>
      <c r="B18" s="26" t="n">
        <f aca="false">Rebudget!F38</f>
        <v>5.12</v>
      </c>
      <c r="C18" s="27" t="n">
        <f aca="false">Reference_Values!B18</f>
        <v>5.12</v>
      </c>
      <c r="D18" s="17" t="n">
        <f aca="false">ABS(B18-C18)</f>
        <v>0</v>
      </c>
      <c r="E18" s="28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425</v>
      </c>
      <c r="B19" s="26" t="n">
        <f aca="false">Rebudget!F47</f>
        <v>0.68719476736</v>
      </c>
      <c r="C19" s="27" t="n">
        <f aca="false">Reference_Values!B19</f>
        <v>0.68719476736</v>
      </c>
      <c r="D19" s="17" t="n">
        <f aca="false">ABS(B19-C19)</f>
        <v>0</v>
      </c>
      <c r="E19" s="28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427</v>
      </c>
      <c r="B20" s="26" t="n">
        <f aca="false">Rebudget!J12</f>
        <v>1.2</v>
      </c>
      <c r="C20" s="27" t="n">
        <f aca="false">Reference_Values!B20</f>
        <v>1.2</v>
      </c>
      <c r="D20" s="17" t="n">
        <f aca="false">ABS(B20-C20)</f>
        <v>0</v>
      </c>
      <c r="E20" s="28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429</v>
      </c>
      <c r="B21" s="26" t="n">
        <f aca="false">Rebudget!E12</f>
        <v>1.02462112512353</v>
      </c>
      <c r="C21" s="27" t="n">
        <f aca="false">Reference_Values!B21</f>
        <v>1.02462112512353</v>
      </c>
      <c r="D21" s="17" t="n">
        <f aca="false">ABS(B21-C21)</f>
        <v>0</v>
      </c>
      <c r="E21" s="28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431</v>
      </c>
      <c r="B22" s="26" t="n">
        <f aca="false">Audit!M5</f>
        <v>-20.0608042779412</v>
      </c>
      <c r="C22" s="27" t="n">
        <f aca="false">Reference_Values!B22</f>
        <v>-20.0608042779412</v>
      </c>
      <c r="D22" s="17" t="n">
        <f aca="false">ABS(B22-C22)</f>
        <v>0</v>
      </c>
      <c r="E22" s="28" t="n">
        <v>1E-006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433</v>
      </c>
      <c r="B23" s="26" t="n">
        <f aca="false">Rebudget!K36</f>
        <v>12</v>
      </c>
      <c r="C23" s="27" t="n">
        <f aca="false">Reference_Values!B23</f>
        <v>12</v>
      </c>
      <c r="D23" s="17" t="n">
        <f aca="false">ABS(B23-C23)</f>
        <v>0</v>
      </c>
      <c r="E23" s="28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435</v>
      </c>
      <c r="B24" s="26" t="n">
        <f aca="false">Rebudget!K38</f>
        <v>12.16</v>
      </c>
      <c r="C24" s="27" t="n">
        <f aca="false">Reference_Values!B24</f>
        <v>12.16</v>
      </c>
      <c r="D24" s="17" t="n">
        <f aca="false">ABS(B24-C24)</f>
        <v>0</v>
      </c>
      <c r="E24" s="28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437</v>
      </c>
      <c r="B25" s="26" t="n">
        <f aca="false">Rebudget!K47</f>
        <v>14.80941633536</v>
      </c>
      <c r="C25" s="27" t="n">
        <f aca="false">Reference_Values!B25</f>
        <v>14.80941633536</v>
      </c>
      <c r="D25" s="17" t="n">
        <f aca="false">ABS(B25-C25)</f>
        <v>0</v>
      </c>
      <c r="E25" s="28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439</v>
      </c>
      <c r="B26" s="26" t="n">
        <f aca="false">R_star</f>
        <v>0.840896415253715</v>
      </c>
      <c r="C26" s="27" t="n">
        <f aca="false">Reference_Values!B26</f>
        <v>0.840896415253715</v>
      </c>
      <c r="D26" s="17" t="n">
        <f aca="false">ABS(B26-C26)</f>
        <v>0</v>
      </c>
      <c r="E26" s="28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441</v>
      </c>
      <c r="B27" s="26" t="n">
        <f aca="false">Rebudget!B5</f>
        <v>0.0798038616519728</v>
      </c>
      <c r="C27" s="27" t="n">
        <f aca="false">Reference_Values!B27</f>
        <v>0.0798038616519728</v>
      </c>
      <c r="D27" s="17" t="n">
        <f aca="false">ABS(B27-C27)</f>
        <v>0</v>
      </c>
      <c r="E27" s="28" t="n">
        <v>1E-009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443</v>
      </c>
      <c r="B28" s="26" t="n">
        <f aca="false">Rebudget!B6</f>
        <v>0.159292521929094</v>
      </c>
      <c r="C28" s="27" t="n">
        <f aca="false">Reference_Values!B28</f>
        <v>0.159292521929094</v>
      </c>
      <c r="D28" s="17" t="n">
        <f aca="false">ABS(B28-C28)</f>
        <v>0</v>
      </c>
      <c r="E28" s="28" t="n">
        <v>1E-009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445</v>
      </c>
      <c r="B29" s="26" t="n">
        <f aca="false">Rebudget!B7</f>
        <v>0.304445485713396</v>
      </c>
      <c r="C29" s="27" t="n">
        <f aca="false">Reference_Values!B29</f>
        <v>0.304445485713396</v>
      </c>
      <c r="D29" s="17" t="n">
        <f aca="false">ABS(B29-C29)</f>
        <v>0</v>
      </c>
      <c r="E29" s="28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447</v>
      </c>
      <c r="B30" s="26" t="n">
        <f aca="false">Rebudget!G15</f>
        <v>4</v>
      </c>
      <c r="C30" s="27" t="n">
        <f aca="false">Reference_Values!B30</f>
        <v>4.00000000000001</v>
      </c>
      <c r="D30" s="17" t="n">
        <f aca="false">ABS(B30-C30)</f>
        <v>0</v>
      </c>
      <c r="E30" s="28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449</v>
      </c>
      <c r="B31" s="26" t="n">
        <f aca="false">Rebudget!H15</f>
        <v>13.2877123795495</v>
      </c>
      <c r="C31" s="27" t="n">
        <f aca="false">Reference_Values!B31</f>
        <v>13.2877123795495</v>
      </c>
      <c r="D31" s="17" t="n">
        <f aca="false">ABS(B31-C31)</f>
        <v>0</v>
      </c>
      <c r="E31" s="28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451</v>
      </c>
      <c r="B32" s="26" t="n">
        <f aca="false">Rebudget!I15</f>
        <v>6.28521350788325</v>
      </c>
      <c r="C32" s="27" t="n">
        <f aca="false">Reference_Values!B32</f>
        <v>6.28521350788326</v>
      </c>
      <c r="D32" s="17" t="n">
        <f aca="false">ABS(B32-C32)</f>
        <v>0</v>
      </c>
      <c r="E32" s="28" t="n">
        <v>1E-009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453</v>
      </c>
      <c r="B33" s="26" t="n">
        <f aca="false">Rebudget!S13</f>
        <v>64.2407140445401</v>
      </c>
      <c r="C33" s="27" t="n">
        <f aca="false">Reference_Values!B33</f>
        <v>64.2407140445401</v>
      </c>
      <c r="D33" s="17" t="n">
        <f aca="false">ABS(B33-C33)</f>
        <v>0</v>
      </c>
      <c r="E33" s="28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455</v>
      </c>
      <c r="B34" s="26" t="n">
        <f aca="false">Rebudget!S14</f>
        <v>68.0165924338454</v>
      </c>
      <c r="C34" s="27" t="n">
        <f aca="false">Reference_Values!B34</f>
        <v>68.0165924338454</v>
      </c>
      <c r="D34" s="17" t="n">
        <f aca="false">ABS(B34-C34)</f>
        <v>0</v>
      </c>
      <c r="E34" s="28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457</v>
      </c>
      <c r="B35" s="26" t="n">
        <f aca="false">Rebudget!S15</f>
        <v>70.1800848365807</v>
      </c>
      <c r="C35" s="27" t="n">
        <f aca="false">Reference_Values!B35</f>
        <v>70.1800848365807</v>
      </c>
      <c r="D35" s="17" t="n">
        <f aca="false">ABS(B35-C35)</f>
        <v>0</v>
      </c>
      <c r="E35" s="28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459</v>
      </c>
      <c r="B36" s="26" t="n">
        <f aca="false">Rebudget!P14</f>
        <v>25.3815095784541</v>
      </c>
      <c r="C36" s="27" t="n">
        <f aca="false">Reference_Values!B36</f>
        <v>25.3815095784541</v>
      </c>
      <c r="D36" s="17" t="n">
        <f aca="false">ABS(B36-C36)</f>
        <v>0</v>
      </c>
      <c r="E36" s="28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461</v>
      </c>
      <c r="B37" s="26" t="n">
        <f aca="false">Rebudget!Z36</f>
        <v>10.0889097142679</v>
      </c>
      <c r="C37" s="27" t="n">
        <f aca="false">Reference_Values!B37</f>
        <v>10.0889097142679</v>
      </c>
      <c r="D37" s="17" t="n">
        <f aca="false">ABS(B37-C37)</f>
        <v>0</v>
      </c>
      <c r="E37" s="28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463</v>
      </c>
      <c r="B38" s="26" t="n">
        <f aca="false">Rebudget!Z47</f>
        <v>1.41375700290444</v>
      </c>
      <c r="C38" s="27" t="n">
        <f aca="false">Reference_Values!B38</f>
        <v>1.41375700290444</v>
      </c>
      <c r="D38" s="17" t="n">
        <f aca="false">ABS(B38-C38)</f>
        <v>0</v>
      </c>
      <c r="E38" s="28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465</v>
      </c>
      <c r="B39" s="26" t="n">
        <f aca="false">Rebudget!B30</f>
        <v>0.460350138452844</v>
      </c>
      <c r="C39" s="27" t="n">
        <f aca="false">Reference_Values!B39</f>
        <v>0.460350138452844</v>
      </c>
      <c r="D39" s="17" t="n">
        <f aca="false">ABS(B39-C39)</f>
        <v>0</v>
      </c>
      <c r="E39" s="28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467</v>
      </c>
      <c r="B40" s="26" t="n">
        <f aca="false">Clocks!C6</f>
        <v>13.5134073339649</v>
      </c>
      <c r="C40" s="27" t="n">
        <f aca="false">Reference_Values!B40</f>
        <v>13.5134073339649</v>
      </c>
      <c r="D40" s="17" t="n">
        <f aca="false">ABS(B40-C40)</f>
        <v>0</v>
      </c>
      <c r="E40" s="28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469</v>
      </c>
      <c r="B41" s="26" t="n">
        <f aca="false">Clocks!E6</f>
        <v>20</v>
      </c>
      <c r="C41" s="27" t="n">
        <f aca="false">Reference_Values!B41</f>
        <v>20</v>
      </c>
      <c r="D41" s="17" t="n">
        <f aca="false">ABS(B41-C41)</f>
        <v>0</v>
      </c>
      <c r="E41" s="28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471</v>
      </c>
      <c r="B42" s="26" t="n">
        <f aca="false">Sensitivity!K45</f>
        <v>49.9946830880169</v>
      </c>
      <c r="C42" s="27" t="n">
        <f aca="false">Reference_Values!B42</f>
        <v>49.9946830880169</v>
      </c>
      <c r="D42" s="17" t="n">
        <f aca="false">ABS(B42-C42)</f>
        <v>0</v>
      </c>
      <c r="E42" s="28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473</v>
      </c>
      <c r="B43" s="26" t="n">
        <f aca="false">Sensitivity!G53</f>
        <v>62.8521350788325</v>
      </c>
      <c r="C43" s="27" t="n">
        <f aca="false">Reference_Values!B43</f>
        <v>62.8521350788325</v>
      </c>
      <c r="D43" s="17" t="n">
        <f aca="false">ABS(B43-C43)</f>
        <v>0</v>
      </c>
      <c r="E43" s="28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475</v>
      </c>
      <c r="B44" s="26" t="n">
        <f aca="false">Sensitivity!B62</f>
        <v>2</v>
      </c>
      <c r="C44" s="27" t="n">
        <f aca="false">Reference_Values!B44</f>
        <v>2.00000000004508</v>
      </c>
      <c r="D44" s="17" t="n">
        <f aca="false">ABS(B44-C44)</f>
        <v>4.50750547997814E-011</v>
      </c>
      <c r="E44" s="28" t="n">
        <v>1E-006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477</v>
      </c>
      <c r="B45" s="26" t="n">
        <f aca="false">Sensitivity!D85</f>
        <v>0.312062909449767</v>
      </c>
      <c r="C45" s="27" t="n">
        <f aca="false">Reference_Values!B45</f>
        <v>0.312062909445298</v>
      </c>
      <c r="D45" s="17" t="n">
        <f aca="false">ABS(B45-C45)</f>
        <v>4.46875869641872E-012</v>
      </c>
      <c r="E45" s="28" t="n">
        <v>1E-006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479</v>
      </c>
      <c r="B46" s="26" t="n">
        <f aca="false">Sensitivity!B86</f>
        <v>1</v>
      </c>
      <c r="C46" s="27" t="n">
        <f aca="false">Reference_Values!B46</f>
        <v>0.99999999991672</v>
      </c>
      <c r="D46" s="17" t="n">
        <f aca="false">ABS(B46-C46)</f>
        <v>8.32794944116699E-011</v>
      </c>
      <c r="E46" s="28" t="n">
        <v>1E-006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481</v>
      </c>
      <c r="B47" s="26" t="n">
        <f aca="false">Sensitivity!F108</f>
        <v>999.999999999987</v>
      </c>
      <c r="C47" s="27" t="n">
        <f aca="false">Reference_Values!B47</f>
        <v>1000.00000000001</v>
      </c>
      <c r="D47" s="17" t="n">
        <f aca="false">ABS(B47-C47)</f>
        <v>2.17141860048287E-011</v>
      </c>
      <c r="E47" s="28" t="n">
        <v>1E-006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483</v>
      </c>
      <c r="B48" s="26" t="n">
        <f aca="false">MIN(Perturbations!D5:D17)</f>
        <v>2</v>
      </c>
      <c r="C48" s="27" t="n">
        <f aca="false">Reference_Values!B48</f>
        <v>2</v>
      </c>
      <c r="D48" s="17" t="n">
        <f aca="false">ABS(B48-C48)</f>
        <v>0</v>
      </c>
      <c r="E48" s="28" t="n">
        <v>1E-009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485</v>
      </c>
      <c r="B49" s="26" t="n">
        <f aca="false">Perturbations!I45</f>
        <v>49.9933538600211</v>
      </c>
      <c r="C49" s="27" t="n">
        <f aca="false">Reference_Values!B49</f>
        <v>49.9933538600211</v>
      </c>
      <c r="D49" s="17" t="n">
        <f aca="false">ABS(B49-C49)</f>
        <v>0</v>
      </c>
      <c r="E49" s="28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487</v>
      </c>
      <c r="B50" s="26" t="n">
        <f aca="false">Perturbations!W14</f>
        <v>47.5</v>
      </c>
      <c r="C50" s="27" t="n">
        <f aca="false">Reference_Values!B50</f>
        <v>47.4999999999526</v>
      </c>
      <c r="D50" s="17" t="n">
        <f aca="false">ABS(B50-C50)</f>
        <v>4.74500438940595E-011</v>
      </c>
      <c r="E50" s="28" t="n">
        <v>1E-006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489</v>
      </c>
      <c r="B51" s="26" t="n">
        <f aca="false">Perturbations!W15</f>
        <v>47.6317189994678</v>
      </c>
      <c r="C51" s="27" t="n">
        <f aca="false">Reference_Values!B51</f>
        <v>47.6317189994678</v>
      </c>
      <c r="D51" s="17" t="n">
        <f aca="false">ABS(B51-C51)</f>
        <v>0</v>
      </c>
      <c r="E51" s="28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491</v>
      </c>
      <c r="B52" s="26" t="n">
        <f aca="false">Perturbations!W19</f>
        <v>105.555555555556</v>
      </c>
      <c r="C52" s="27" t="n">
        <f aca="false">Reference_Values!B52</f>
        <v>105.55555555361</v>
      </c>
      <c r="D52" s="17" t="n">
        <f aca="false">ABS(B52-C52)</f>
        <v>1.94528126939986E-009</v>
      </c>
      <c r="E52" s="28" t="n">
        <v>1E-006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493</v>
      </c>
      <c r="B53" s="26" t="n">
        <f aca="false">Perturbations!P17</f>
        <v>166.45632045056</v>
      </c>
      <c r="C53" s="27" t="n">
        <f aca="false">Reference_Values!B53</f>
        <v>166.45632045056</v>
      </c>
      <c r="D53" s="17" t="n">
        <f aca="false">ABS(B53-C53)</f>
        <v>0</v>
      </c>
      <c r="E53" s="28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495</v>
      </c>
      <c r="B54" s="26" t="n">
        <f aca="false">Runway!B5</f>
        <v>70</v>
      </c>
      <c r="C54" s="27" t="n">
        <f aca="false">Reference_Values!B54</f>
        <v>70</v>
      </c>
      <c r="D54" s="17" t="n">
        <f aca="false">ABS(B54-C54)</f>
        <v>0</v>
      </c>
      <c r="E54" s="28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497</v>
      </c>
      <c r="B55" s="26" t="n">
        <f aca="false">Runway!B8</f>
        <v>-20</v>
      </c>
      <c r="C55" s="27" t="n">
        <f aca="false">Reference_Values!B55</f>
        <v>-20</v>
      </c>
      <c r="D55" s="17" t="n">
        <f aca="false">ABS(B55-C55)</f>
        <v>0</v>
      </c>
      <c r="E55" s="28" t="n">
        <v>1E-009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499</v>
      </c>
      <c r="B56" s="26" t="n">
        <f aca="false">Runway!B12</f>
        <v>4</v>
      </c>
      <c r="C56" s="27" t="n">
        <f aca="false">Reference_Values!B56</f>
        <v>4</v>
      </c>
      <c r="D56" s="17" t="n">
        <f aca="false">ABS(B56-C56)</f>
        <v>0</v>
      </c>
      <c r="E56" s="28" t="n">
        <v>0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501</v>
      </c>
      <c r="B57" s="26" t="n">
        <f aca="false">Runway!D27</f>
        <v>120</v>
      </c>
      <c r="C57" s="27" t="n">
        <f aca="false">Reference_Values!B57</f>
        <v>120</v>
      </c>
      <c r="D57" s="17" t="n">
        <f aca="false">ABS(B57-C57)</f>
        <v>0</v>
      </c>
      <c r="E57" s="28" t="n">
        <v>1E-009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503</v>
      </c>
      <c r="B58" s="26" t="n">
        <f aca="false">Runway!E27</f>
        <v>140</v>
      </c>
      <c r="C58" s="27" t="n">
        <f aca="false">Reference_Values!B58</f>
        <v>140</v>
      </c>
      <c r="D58" s="17" t="n">
        <f aca="false">ABS(B58-C58)</f>
        <v>0</v>
      </c>
      <c r="E58" s="28" t="n">
        <v>1E-009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505</v>
      </c>
      <c r="B59" s="26" t="n">
        <f aca="false">Runway!B40</f>
        <v>3</v>
      </c>
      <c r="C59" s="27" t="n">
        <f aca="false">Reference_Values!B59</f>
        <v>3</v>
      </c>
      <c r="D59" s="17" t="n">
        <f aca="false">ABS(B59-C59)</f>
        <v>0</v>
      </c>
      <c r="E59" s="28" t="n">
        <v>0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507</v>
      </c>
      <c r="B60" s="26" t="n">
        <f aca="false">Runway!B41</f>
        <v>150</v>
      </c>
      <c r="C60" s="27" t="n">
        <f aca="false">Reference_Values!B60</f>
        <v>150</v>
      </c>
      <c r="D60" s="17" t="n">
        <f aca="false">ABS(B60-C60)</f>
        <v>0</v>
      </c>
      <c r="E60" s="28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509</v>
      </c>
      <c r="B61" s="26" t="n">
        <f aca="false">Runway!B42</f>
        <v>30</v>
      </c>
      <c r="C61" s="27" t="n">
        <f aca="false">Reference_Values!B61</f>
        <v>30</v>
      </c>
      <c r="D61" s="17" t="n">
        <f aca="false">ABS(B61-C61)</f>
        <v>0</v>
      </c>
      <c r="E61" s="28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511</v>
      </c>
      <c r="B62" s="26" t="n">
        <f aca="false">Runway!B43</f>
        <v>110</v>
      </c>
      <c r="C62" s="27" t="n">
        <f aca="false">Reference_Values!B62</f>
        <v>110</v>
      </c>
      <c r="D62" s="17" t="n">
        <f aca="false">ABS(B62-C62)</f>
        <v>0</v>
      </c>
      <c r="E62" s="28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513</v>
      </c>
      <c r="B63" s="26" t="n">
        <f aca="false">Runway!B44</f>
        <v>125</v>
      </c>
      <c r="C63" s="27" t="n">
        <f aca="false">Reference_Values!B63</f>
        <v>125</v>
      </c>
      <c r="D63" s="17" t="n">
        <f aca="false">ABS(B63-C63)</f>
        <v>0</v>
      </c>
      <c r="E63" s="28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515</v>
      </c>
      <c r="B64" s="26" t="n">
        <f aca="false">Runway!F6</f>
        <v>20</v>
      </c>
      <c r="C64" s="27" t="n">
        <f aca="false">Reference_Values!B64</f>
        <v>20</v>
      </c>
      <c r="D64" s="17" t="n">
        <f aca="false">ABS(B64-C64)</f>
        <v>0</v>
      </c>
      <c r="E64" s="28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517</v>
      </c>
      <c r="B65" s="26" t="n">
        <f aca="false">Runway!B13</f>
        <v>3</v>
      </c>
      <c r="C65" s="27" t="n">
        <f aca="false">Reference_Values!B65</f>
        <v>3</v>
      </c>
      <c r="D65" s="17" t="n">
        <f aca="false">ABS(B65-C65)</f>
        <v>0</v>
      </c>
      <c r="E65" s="28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519</v>
      </c>
      <c r="B66" s="26" t="n">
        <f aca="false">Audit!I7</f>
        <v>0.898164749570812</v>
      </c>
      <c r="C66" s="27" t="n">
        <f aca="false">Reference_Values!B66</f>
        <v>0.898164749570812</v>
      </c>
      <c r="D66" s="17" t="n">
        <f aca="false">ABS(B66-C66)</f>
        <v>0</v>
      </c>
      <c r="E66" s="28" t="n">
        <v>1E-006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521</v>
      </c>
      <c r="B67" s="26" t="n">
        <f aca="false">Audit!N8</f>
        <v>1.00889097142679</v>
      </c>
      <c r="C67" s="27" t="n">
        <f aca="false">Reference_Values!B67</f>
        <v>1.00889097142679</v>
      </c>
      <c r="D67" s="17" t="n">
        <f aca="false">ABS(B67-C67)</f>
        <v>0</v>
      </c>
      <c r="E67" s="28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523</v>
      </c>
      <c r="B68" s="26" t="n">
        <f aca="false">Audit!G32</f>
        <v>2</v>
      </c>
      <c r="C68" s="27" t="n">
        <f aca="false">Reference_Values!B68</f>
        <v>2</v>
      </c>
      <c r="D68" s="17" t="n">
        <f aca="false">ABS(B68-C68)</f>
        <v>0</v>
      </c>
      <c r="E68" s="28" t="n">
        <v>0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525</v>
      </c>
      <c r="B69" s="26" t="n">
        <f aca="false">Audit!H32</f>
        <v>0</v>
      </c>
      <c r="C69" s="27" t="n">
        <f aca="false">Reference_Values!B69</f>
        <v>0</v>
      </c>
      <c r="D69" s="17" t="n">
        <f aca="false">ABS(B69-C69)</f>
        <v>0</v>
      </c>
      <c r="E69" s="28" t="n">
        <v>0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527</v>
      </c>
      <c r="B70" s="26" t="n">
        <f aca="false">Audit!I32</f>
        <v>8</v>
      </c>
      <c r="C70" s="27" t="n">
        <f aca="false">Reference_Values!B70</f>
        <v>8</v>
      </c>
      <c r="D70" s="17" t="n">
        <f aca="false">ABS(B70-C70)</f>
        <v>0</v>
      </c>
      <c r="E70" s="28" t="n">
        <v>0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529</v>
      </c>
      <c r="B71" s="26" t="n">
        <f aca="false">Audit!E48</f>
        <v>20</v>
      </c>
      <c r="C71" s="27" t="n">
        <f aca="false">Reference_Values!B71</f>
        <v>20</v>
      </c>
      <c r="D71" s="17" t="n">
        <f aca="false">ABS(B71-C71)</f>
        <v>0</v>
      </c>
      <c r="E71" s="28" t="n">
        <v>1E-009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531</v>
      </c>
      <c r="B72" s="26" t="n">
        <f aca="false">SUM(Audit!B45:F45)</f>
        <v>50</v>
      </c>
      <c r="C72" s="27" t="n">
        <f aca="false">Reference_Values!B72</f>
        <v>50</v>
      </c>
      <c r="D72" s="17" t="n">
        <f aca="false">ABS(B72-C72)</f>
        <v>0</v>
      </c>
      <c r="E72" s="28" t="n">
        <v>1E-009</v>
      </c>
      <c r="F72" s="4" t="str">
        <f aca="false">IF(D72&lt;=E72,"PASS","FAIL")</f>
        <v>PASS</v>
      </c>
    </row>
    <row r="74" customFormat="false" ht="15" hidden="false" customHeight="false" outlineLevel="0" collapsed="false">
      <c r="A74" s="4" t="s">
        <v>537</v>
      </c>
      <c r="F74" s="4" t="str">
        <f aca="false">IF(COUNTIF(F2:F72,"PASS")=71,"ALL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2026-10-05T08:38:48Z</dcterms:created>
  <dc:creator>openpyxl</dc:creator>
  <dc:description/>
  <dc:language>en-US</dc:language>
  <cp:lastModifiedBy/>
  <dcterms:modified xsi:type="dcterms:W3CDTF">2026-10-05T08:38:48Z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