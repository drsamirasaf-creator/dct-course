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eclarations" sheetId="2" state="visible" r:id="rId4"/>
    <sheet name="Plan" sheetId="3" state="visible" r:id="rId5"/>
    <sheet name="Quantiles" sheetId="4" state="visible" r:id="rId6"/>
    <sheet name="Delay" sheetId="5" state="visible" r:id="rId7"/>
    <sheet name="Cost" sheetId="6" state="visible" r:id="rId8"/>
    <sheet name="Frontier" sheetId="7" state="visible" r:id="rId9"/>
    <sheet name="Solve" sheetId="8" state="visible" r:id="rId10"/>
    <sheet name="Sensitivity" sheetId="9" state="visible" r:id="rId11"/>
    <sheet name="WeightSweep" sheetId="10" state="visible" r:id="rId12"/>
    <sheet name="Audit" sheetId="11" state="visible" r:id="rId13"/>
    <sheet name="Allocation" sheetId="12" state="visible" r:id="rId14"/>
    <sheet name="RollingPlans" sheetId="13" state="visible" r:id="rId15"/>
    <sheet name="Architecture" sheetId="14" state="visible" r:id="rId16"/>
    <sheet name="Reference_Values" sheetId="15" state="visible" r:id="rId17"/>
    <sheet name="Checks" sheetId="16" state="visible" r:id="rId18"/>
  </sheets>
  <definedNames>
    <definedName function="false" hidden="false" name="Appetite" vbProcedure="false">Declarations!$B$17</definedName>
    <definedName function="false" hidden="false" name="A_e" vbProcedure="false">Declarations!$B$26</definedName>
    <definedName function="false" hidden="false" name="Book_seed" vbProcedure="false">Declarations!$B$34</definedName>
    <definedName function="false" hidden="false" name="Capability" vbProcedure="false">Declarations!$B$24</definedName>
    <definedName function="false" hidden="false" name="Cap_floor" vbProcedure="false">Declarations!$B$25</definedName>
    <definedName function="false" hidden="false" name="Covenant" vbProcedure="false">Declarations!$B$23</definedName>
    <definedName function="false" hidden="false" name="Depth0" vbProcedure="false">Declarations!$B$10</definedName>
    <definedName function="false" hidden="false" name="Depth_per_q" vbProcedure="false">Declarations!$B$12</definedName>
    <definedName function="false" hidden="false" name="Ebitda" vbProcedure="false">Declarations!$B$20</definedName>
    <definedName function="false" hidden="false" name="Fee" vbProcedure="false">Declarations!$B$15</definedName>
    <definedName function="false" hidden="false" name="Fee_year" vbProcedure="false">Declarations!$B$13</definedName>
    <definedName function="false" hidden="false" name="Floor_m" vbProcedure="false">Declarations!$B$5</definedName>
    <definedName function="false" hidden="false" name="G_scale" vbProcedure="false">Declarations!$B$32</definedName>
    <definedName function="false" hidden="false" name="G_shape" vbProcedure="false">Declarations!$B$31</definedName>
    <definedName function="false" hidden="false" name="J_mean" vbProcedure="false">Declarations!$B$29</definedName>
    <definedName function="false" hidden="false" name="J_sd" vbProcedure="false">Declarations!$B$30</definedName>
    <definedName function="false" hidden="false" name="Lam" vbProcedure="false">Declarations!$B$28</definedName>
    <definedName function="false" hidden="false" name="Lev0" vbProcedure="false">Declarations!$B$21</definedName>
    <definedName function="false" hidden="false" name="Liq0" vbProcedure="false">Declarations!$B$4</definedName>
    <definedName function="false" hidden="false" name="Liq_target" vbProcedure="false">Declarations!$B$8</definedName>
    <definedName function="false" hidden="false" name="Margin" vbProcedure="false">Declarations!$B$19</definedName>
    <definedName function="false" hidden="false" name="Net_debt" vbProcedure="false">Declarations!$B$22</definedName>
    <definedName function="false" hidden="false" name="N_paths" vbProcedure="false">Declarations!$B$33</definedName>
    <definedName function="false" hidden="false" name="Pool" vbProcedure="false">Declarations!$B$6</definedName>
    <definedName function="false" hidden="false" name="Relax" vbProcedure="false">Declarations!$B$9</definedName>
    <definedName function="false" hidden="false" name="Revenue" vbProcedure="false">Declarations!$B$18</definedName>
    <definedName function="false" hidden="false" name="Sd_w" vbProcedure="false">Declarations!$B$27</definedName>
    <definedName function="false" hidden="false" name="Tau" vbProcedure="false">Declarations!$B$11</definedName>
    <definedName function="false" hidden="false" name="Usd_pt" vbProcedure="false">Declarations!$B$7</definedName>
    <definedName function="false" hidden="false" name="Vq" vbProcedure="false">Declarations!$B$16</definedName>
    <definedName function="false" hidden="false" name="Years" vbProcedure="false">Declarations!$B$14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<sst xmlns="http://schemas.openxmlformats.org/spreadsheetml/2006/main" count="926" uniqueCount="763">
  <si>
    <t xml:space="preserve">DCT Laboratory — Vol I, Ch 15: Mathematical Formulation of Enterprise Optimization</t>
  </si>
  <si>
    <t xml:space="preserve">Seed 26115 · Companion to DCT_V1_Ch15_Lab.ipynb and AXIOM Lab 1.15 (module AXIOM-15). Money in $ million.</t>
  </si>
  <si>
    <t xml:space="preserve">Worked Example 15.1, What Does the Board's Appetite Cost?, with the book's declarations, and the five steps of AXIOM Lab 1.15, Pricing Meridian's Commitments.</t>
  </si>
  <si>
    <t xml:space="preserve">Declarations: the GEOP's elements, the lever prices, the commitments and Chapter 8's uncertainty.</t>
  </si>
  <si>
    <t xml:space="preserve">Plan: the plan quarter by quarter, the deepest draws, the certainty-equivalent mean path and Chapter 13's joint check as the robust formulation (Step 2).</t>
  </si>
  <si>
    <t xml:space="preserve">Quantiles: the one simulation output, from the book's 100,000 paths (seed 8): each line's critical depth at each appetite. Delay and Cost turn it into the least delay and the cost of every package.</t>
  </si>
  <si>
    <t xml:space="preserve">Solve: the cheapest package at 5 percent, its binding set, the equal margins and the price of the appetite (Steps 3-4). Sensitivity: the price at other values of delay.</t>
  </si>
  <si>
    <t xml:space="preserve">Frontier: the least cost of every appetite (floors), the offices alone, Chapter 8's package, the bank's cap, and Table 15.5 (Step 5). WeightSweep: the same frontier by weights (lab step 4).</t>
  </si>
  <si>
    <t xml:space="preserve">Audit: consistency, viability, the capped levers' minimal infeasible set and emptying date (lab step 2).</t>
  </si>
  <si>
    <t xml:space="preserve">Allocation: the lab's small allocation (its data are this workbook's declaration), its corner and multipliers (lab step 3).</t>
  </si>
  <si>
    <t xml:space="preserve">RollingPlans: Figure 15.1. Architecture: the price of the stability budget and a twitchy optimum.</t>
  </si>
  <si>
    <t xml:space="preserve">Reference_Values and Checks: the notebook engine's numbers and a PASS/FAIL comparison with this workbook's formulas.</t>
  </si>
  <si>
    <t xml:space="preserve">LEGEND</t>
  </si>
  <si>
    <t xml:space="preserve">Input: blue on pale gold. A declaration from the book; change it to explore.</t>
  </si>
  <si>
    <t xml:space="preserve">Formula: black. Recalculates from the inputs.</t>
  </si>
  <si>
    <t xml:space="preserve">Engine value: green on pale green. Computed by the notebook's engine (the book's numbers); the Checks sheet compares the workbook's formulas with them.</t>
  </si>
  <si>
    <t xml:space="preserve">Cross-sheet link: green.</t>
  </si>
  <si>
    <t xml:space="preserve">Declarations (Worked Example 15.1, Step 1; the plan and its uncertainty are Worked Example 8.1's). Money in $ million.</t>
  </si>
  <si>
    <t xml:space="preserve">Quantity</t>
  </si>
  <si>
    <t xml:space="preserve">Value</t>
  </si>
  <si>
    <t xml:space="preserve">Source</t>
  </si>
  <si>
    <t xml:space="preserve">Name</t>
  </si>
  <si>
    <t xml:space="preserve">Liquidity today</t>
  </si>
  <si>
    <t xml:space="preserve">Table 5.4; Worked Example 8.1</t>
  </si>
  <si>
    <t xml:space="preserve">Liq0</t>
  </si>
  <si>
    <t xml:space="preserve">The board's liquidity floor</t>
  </si>
  <si>
    <t xml:space="preserve">Table 5.4</t>
  </si>
  <si>
    <t xml:space="preserve">Floor_m</t>
  </si>
  <si>
    <t xml:space="preserve">Cash above the floor</t>
  </si>
  <si>
    <t xml:space="preserve">Chapter 13's joint check: 270</t>
  </si>
  <si>
    <t xml:space="preserve">Pool</t>
  </si>
  <si>
    <t xml:space="preserve">Liquidity per index point</t>
  </si>
  <si>
    <t xml:space="preserve">Chapter 1: index 100 = $620 million</t>
  </si>
  <si>
    <t xml:space="preserve">Usd_pt</t>
  </si>
  <si>
    <t xml:space="preserve">Chapter 1's liquidity target (index)</t>
  </si>
  <si>
    <t xml:space="preserve">Online Appendix 1.B.4</t>
  </si>
  <si>
    <t xml:space="preserve">Liq_target</t>
  </si>
  <si>
    <t xml:space="preserve">Relaxation toward the target, a year</t>
  </si>
  <si>
    <t xml:space="preserve">Relax</t>
  </si>
  <si>
    <t xml:space="preserve">Depth of the program's draw, as planned (index points)</t>
  </si>
  <si>
    <t xml:space="preserve">Chapter 1's digital program</t>
  </si>
  <si>
    <t xml:space="preserve">Depth0</t>
  </si>
  <si>
    <t xml:space="preserve">Years to the deepest draw</t>
  </si>
  <si>
    <t xml:space="preserve">Tau</t>
  </si>
  <si>
    <t xml:space="preserve">Depth cut by a quarter of delay (index points)</t>
  </si>
  <si>
    <t xml:space="preserve">Chapter 8's phased build: depth 20 for two quarters of delay</t>
  </si>
  <si>
    <t xml:space="preserve">Depth_per_q</t>
  </si>
  <si>
    <t xml:space="preserve">Standby-line fees a year (share of the line)</t>
  </si>
  <si>
    <t xml:space="preserve">Worked Example 15.1: about 1 percent</t>
  </si>
  <si>
    <t xml:space="preserve">Fee_year</t>
  </si>
  <si>
    <t xml:space="preserve">Program length (years)</t>
  </si>
  <si>
    <t xml:space="preserve">Twelve quarters</t>
  </si>
  <si>
    <t xml:space="preserve">Years</t>
  </si>
  <si>
    <t xml:space="preserve">Fees over the program (share of the line)</t>
  </si>
  <si>
    <t xml:space="preserve">$3 million per $100 million</t>
  </si>
  <si>
    <t xml:space="preserve">Fee</t>
  </si>
  <si>
    <t xml:space="preserve">Value of a quarter of delay</t>
  </si>
  <si>
    <t xml:space="preserve">The transformation office: Digital Solutions' contribution</t>
  </si>
  <si>
    <t xml:space="preserve">Vq</t>
  </si>
  <si>
    <t xml:space="preserve">The board's appetite: chance of a breach in some quarter</t>
  </si>
  <si>
    <t xml:space="preserve">Chapter 8; a chance constraint</t>
  </si>
  <si>
    <t xml:space="preserve">Appetite</t>
  </si>
  <si>
    <t xml:space="preserve">Revenue</t>
  </si>
  <si>
    <t xml:space="preserve">Chapter 1</t>
  </si>
  <si>
    <t xml:space="preserve">EBITDA margin</t>
  </si>
  <si>
    <t xml:space="preserve">Margin</t>
  </si>
  <si>
    <t xml:space="preserve">EBITDA</t>
  </si>
  <si>
    <t xml:space="preserve">$495.6 million</t>
  </si>
  <si>
    <t xml:space="preserve">Ebitda</t>
  </si>
  <si>
    <t xml:space="preserve">Net leverage today (net debt / EBITDA)</t>
  </si>
  <si>
    <t xml:space="preserve">Lev0</t>
  </si>
  <si>
    <t xml:space="preserve">Net debt</t>
  </si>
  <si>
    <t xml:space="preserve">$1,685 million</t>
  </si>
  <si>
    <t xml:space="preserve">Net_debt</t>
  </si>
  <si>
    <t xml:space="preserve">Covenant: net leverage at most</t>
  </si>
  <si>
    <t xml:space="preserve">Table 5.4; the CFO</t>
  </si>
  <si>
    <t xml:space="preserve">Covenant</t>
  </si>
  <si>
    <t xml:space="preserve">Workforce capability today</t>
  </si>
  <si>
    <t xml:space="preserve">Table 5.2</t>
  </si>
  <si>
    <t xml:space="preserve">Capability</t>
  </si>
  <si>
    <t xml:space="preserve">Capability floor for the digital build</t>
  </si>
  <si>
    <t xml:space="preserve">Worked Example 3.1; HR and the CTO</t>
  </si>
  <si>
    <t xml:space="preserve">Cap_floor</t>
  </si>
  <si>
    <t xml:space="preserve">Persistence of the execution and market deviation</t>
  </si>
  <si>
    <t xml:space="preserve">Worked Example 8.1</t>
  </si>
  <si>
    <t xml:space="preserve">A_e</t>
  </si>
  <si>
    <t xml:space="preserve">Surprise a quarter: standard deviation</t>
  </si>
  <si>
    <t xml:space="preserve">Sd_w</t>
  </si>
  <si>
    <t xml:space="preserve">Funding-window closures a year</t>
  </si>
  <si>
    <t xml:space="preserve">Lam</t>
  </si>
  <si>
    <t xml:space="preserve">Closure size: mean</t>
  </si>
  <si>
    <t xml:space="preserve">J_mean</t>
  </si>
  <si>
    <t xml:space="preserve">Closure size: standard deviation</t>
  </si>
  <si>
    <t xml:space="preserve">J_sd</t>
  </si>
  <si>
    <t xml:space="preserve">Gamma shape of a closure</t>
  </si>
  <si>
    <t xml:space="preserve">5.76</t>
  </si>
  <si>
    <t xml:space="preserve">G_shape</t>
  </si>
  <si>
    <t xml:space="preserve">Gamma scale of a closure</t>
  </si>
  <si>
    <t xml:space="preserve">20.83</t>
  </si>
  <si>
    <t xml:space="preserve">G_scale</t>
  </si>
  <si>
    <t xml:space="preserve">Paths</t>
  </si>
  <si>
    <t xml:space="preserve">N_paths</t>
  </si>
  <si>
    <t xml:space="preserve">Random seed of the book's paths</t>
  </si>
  <si>
    <t xml:space="preserve">Volume II, Online Appendix 1.B.4</t>
  </si>
  <si>
    <t xml:space="preserve">Book_seed</t>
  </si>
  <si>
    <t xml:space="preserve">Decisions: the standby line l (owned by the CFO) replaces up to l of any closure; the delay phi of the platform (owned by the transformation office) sets the draw's depth at 28 - 4 phi. Objective: minimize Fee x l + Vq x phi. Commitments: the appetite (board), the covenant (CFO), the capability floor (HR, CTO).</t>
  </si>
  <si>
    <t xml:space="preserve">The plan, the deepest draws and the three formulations (Worked Example 15.1, Step 2; Proposition 15.7)</t>
  </si>
  <si>
    <t xml:space="preserve">Liquidity = $6.2 million x (Chapter 1's index less the draw D x s(t)), s(t) = (t/2) e^(1 - t/2). The mean path is the plan less the closures' expected drain (no line): the certainty equivalent.</t>
  </si>
  <si>
    <t xml:space="preserve">Quarter</t>
  </si>
  <si>
    <t xml:space="preserve">Years t</t>
  </si>
  <si>
    <t xml:space="preserve">Index without the draw</t>
  </si>
  <si>
    <t xml:space="preserve">Draw shape s(t)</t>
  </si>
  <si>
    <t xml:space="preserve">Plan as drawn (D = 28)</t>
  </si>
  <si>
    <t xml:space="preserve">Phased build (D = 20)</t>
  </si>
  <si>
    <t xml:space="preserve">At the cheapest package's depth</t>
  </si>
  <si>
    <t xml:space="preserve">Expected closures so far</t>
  </si>
  <si>
    <t xml:space="preserve">Mean path (plan less the drain)</t>
  </si>
  <si>
    <t xml:space="preserve">Deepest draw, plan as drawn</t>
  </si>
  <si>
    <t xml:space="preserve">Worked Example 8.1: 620 - 482 = 138</t>
  </si>
  <si>
    <t xml:space="preserve">Deepest draw, Chapter 8's phased build</t>
  </si>
  <si>
    <t xml:space="preserve">89</t>
  </si>
  <si>
    <t xml:space="preserve">The phased build's draw is smaller by</t>
  </si>
  <si>
    <t xml:space="preserve">$49 million</t>
  </si>
  <si>
    <t xml:space="preserve">Deepest draw at the cheapest package</t>
  </si>
  <si>
    <t xml:space="preserve">Online Appendix 15.B.4: 121.6</t>
  </si>
  <si>
    <t xml:space="preserve">Smaller than the plan's by</t>
  </si>
  <si>
    <t xml:space="preserve">Step 3: $16 million</t>
  </si>
  <si>
    <t xml:space="preserve">Certainty equivalent: the mean path's trough</t>
  </si>
  <si>
    <t xml:space="preserve">Step 2: $460 million, above the floor: no levers</t>
  </si>
  <si>
    <t xml:space="preserve">Is the mean path above the floor?</t>
  </si>
  <si>
    <t xml:space="preserve">90th-percentile closure (gamma)</t>
  </si>
  <si>
    <t xml:space="preserve">Chapter 12: 187</t>
  </si>
  <si>
    <t xml:space="preserve">Robust: the joint check's least line, draw + (P90 - line) &lt;= 270</t>
  </si>
  <si>
    <t xml:space="preserve">Step 2: a $55 million line</t>
  </si>
  <si>
    <t xml:space="preserve">Robust: its cost</t>
  </si>
  <si>
    <t xml:space="preserve">Step 2: $1.6 million (Online Appendix 15.B.4: 1.65)</t>
  </si>
  <si>
    <t xml:space="preserve">Joint check at the cheapest package: draw + buffer</t>
  </si>
  <si>
    <t xml:space="preserve">Fits in the 270 above the floor</t>
  </si>
  <si>
    <t xml:space="preserve">Joint check, no levers: draw + buffer</t>
  </si>
  <si>
    <t xml:space="preserve">Chapter 13: 325, the same cash promised twice</t>
  </si>
  <si>
    <t xml:space="preserve">The decision table from the book's 100,000 paths (seed 8): each line's critical depth at each appetite</t>
  </si>
  <si>
    <t xml:space="preserve">Engine values. For a line l, a path stays above the floor exactly when the draw's depth D is at most its critical depth. Sorted over the paths, the value at the appetite's quantile is the deepest draw that meets it (Online Appendix 15.B.4). Negative: no delay can meet the appetite with that line.</t>
  </si>
  <si>
    <t xml:space="preserve">Quantile index (paths allowed to breach)</t>
  </si>
  <si>
    <t xml:space="preserve">Line ($ million)</t>
  </si>
  <si>
    <t xml:space="preserve">The least delay that meets each appetite with each line (quarters): (28 - the critical depth) / 4</t>
  </si>
  <si>
    <t xml:space="preserve">Blank where no delay can meet the appetite with that line. Depth = 28 - 4 x delay, never below 0.</t>
  </si>
  <si>
    <t xml:space="preserve">The cost of that package: Fee x line + Vq x delay ($ million)</t>
  </si>
  <si>
    <t xml:space="preserve">Fees of 3 percent of the line over the program; $8 million a quarter of delay (Worked Example 15.1).</t>
  </si>
  <si>
    <t xml:space="preserve">The frontier by floors: the least cost of every appetite (Theorem 15.5(iii); Figure 15.2, right; Worked Example 15.1, Step 5; AXIOM Lab 1.15, step 4)</t>
  </si>
  <si>
    <t xml:space="preserve">Each row minimizes the levers' cost subject to one appetite (a floor on safety): the column of the Cost sheet, its least value, its line and its delay. Phasing alone is the line-0 row.</t>
  </si>
  <si>
    <t xml:space="preserve">Least cost</t>
  </si>
  <si>
    <t xml:space="preserve">Its line</t>
  </si>
  <si>
    <t xml:space="preserve">Its delay</t>
  </si>
  <si>
    <t xml:space="preserve">Phasing alone: delay</t>
  </si>
  <si>
    <t xml:space="preserve">Phasing alone: cost</t>
  </si>
  <si>
    <t xml:space="preserve">Step 5 and Table 15.5</t>
  </si>
  <si>
    <t xml:space="preserve">Reading</t>
  </si>
  <si>
    <t xml:space="preserve">Line alone at $400 million: odds (engine)</t>
  </si>
  <si>
    <t xml:space="preserve">no line, however large, brings the odds below 8.4 percent</t>
  </si>
  <si>
    <t xml:space="preserve">Phasing alone at 5%: delay (quarters)</t>
  </si>
  <si>
    <t xml:space="preserve">5.1 quarters</t>
  </si>
  <si>
    <t xml:space="preserve">Phasing alone at 5%: depth</t>
  </si>
  <si>
    <t xml:space="preserve">Online Appendix 15.B.4: 7.62</t>
  </si>
  <si>
    <t xml:space="preserve">Phasing alone at 5%: cost</t>
  </si>
  <si>
    <t xml:space="preserve">$40.8 million</t>
  </si>
  <si>
    <t xml:space="preserve">Both levers at 5%: least cost</t>
  </si>
  <si>
    <t xml:space="preserve">$10.4 million</t>
  </si>
  <si>
    <t xml:space="preserve">Value of coordination (Theorem 15.6(iii))</t>
  </si>
  <si>
    <t xml:space="preserve">$30 million</t>
  </si>
  <si>
    <t xml:space="preserve">Chapter 8's package: line</t>
  </si>
  <si>
    <t xml:space="preserve">Chapter 8's package: delay (quarters)</t>
  </si>
  <si>
    <t xml:space="preserve">the phased build</t>
  </si>
  <si>
    <t xml:space="preserve">Chapter 8's package: cost</t>
  </si>
  <si>
    <t xml:space="preserve">$19.0 million</t>
  </si>
  <si>
    <t xml:space="preserve">Chapter 8's package: odds (engine)</t>
  </si>
  <si>
    <t xml:space="preserve">3.0 percent</t>
  </si>
  <si>
    <t xml:space="preserve">The frontier at the same odds: cost</t>
  </si>
  <si>
    <t xml:space="preserve">$14.7 million</t>
  </si>
  <si>
    <t xml:space="preserve">180</t>
  </si>
  <si>
    <t xml:space="preserve">1.16</t>
  </si>
  <si>
    <t xml:space="preserve">Inefficiency of the package at its odds</t>
  </si>
  <si>
    <t xml:space="preserve">Theorem 15.5(v)</t>
  </si>
  <si>
    <t xml:space="preserve">The frontier at 1.75%: cost</t>
  </si>
  <si>
    <t xml:space="preserve">about the package's $19.0 million</t>
  </si>
  <si>
    <t xml:space="preserve">The bank's cap on the line ($ million)</t>
  </si>
  <si>
    <t xml:space="preserve">For discussion</t>
  </si>
  <si>
    <t xml:space="preserve">Least cost at 5% with the line capped</t>
  </si>
  <si>
    <t xml:space="preserve">Online Appendix 15.B.4: 13.30</t>
  </si>
  <si>
    <t xml:space="preserve">1.29</t>
  </si>
  <si>
    <t xml:space="preserve">The cap raises the cheapest cost by</t>
  </si>
  <si>
    <t xml:space="preserve">$2.9 million</t>
  </si>
  <si>
    <t xml:space="preserve">Table 15.5: package</t>
  </si>
  <si>
    <t xml:space="preserve">Line</t>
  </si>
  <si>
    <t xml:space="preserve">Delay</t>
  </si>
  <si>
    <t xml:space="preserve">Cost</t>
  </si>
  <si>
    <t xml:space="preserve">Odds</t>
  </si>
  <si>
    <t xml:space="preserve">Average path (certainty equivalent)</t>
  </si>
  <si>
    <t xml:space="preserve">Joint check of Chapter 13 (robust)</t>
  </si>
  <si>
    <t xml:space="preserve">Phasing alone</t>
  </si>
  <si>
    <t xml:space="preserve">Chapter 8 package</t>
  </si>
  <si>
    <t xml:space="preserve">Cheapest at 6 percent</t>
  </si>
  <si>
    <t xml:space="preserve">Cheapest at the board's 5 percent</t>
  </si>
  <si>
    <t xml:space="preserve">Cheapest at 4 percent</t>
  </si>
  <si>
    <t xml:space="preserve">Cheapest at 3 percent</t>
  </si>
  <si>
    <t xml:space="preserve">Odds of the cheapest packages are the appetites they meet; the other odds are the engine's, on the book's paths. Line alone, any size: odds of at least 8.4 percent (I5).</t>
  </si>
  <si>
    <t xml:space="preserve">Solve and read the binding set; price the appetite (Worked Example 15.1, Steps 3-4; Theorem 15.3)</t>
  </si>
  <si>
    <t xml:space="preserve">The cheapest package at the board's appetite</t>
  </si>
  <si>
    <t xml:space="preserve">about $170 million</t>
  </si>
  <si>
    <t xml:space="preserve">Delay (quarters)</t>
  </si>
  <si>
    <t xml:space="preserve">two-thirds of a quarter</t>
  </si>
  <si>
    <t xml:space="preserve">Delay (months)</t>
  </si>
  <si>
    <t xml:space="preserve">two months</t>
  </si>
  <si>
    <t xml:space="preserve">Depth of the draw, 28 - 4 x delay</t>
  </si>
  <si>
    <t xml:space="preserve">25.33</t>
  </si>
  <si>
    <t xml:space="preserve">Deepest draw</t>
  </si>
  <si>
    <t xml:space="preserve">121.6</t>
  </si>
  <si>
    <t xml:space="preserve">$16 million</t>
  </si>
  <si>
    <t xml:space="preserve">Fees</t>
  </si>
  <si>
    <t xml:space="preserve">$5.1 million</t>
  </si>
  <si>
    <t xml:space="preserve">Cost of the delay</t>
  </si>
  <si>
    <t xml:space="preserve">$5.3 million</t>
  </si>
  <si>
    <t xml:space="preserve">Lowest line within $0.5 million of the least cost</t>
  </si>
  <si>
    <t xml:space="preserve">$140 million</t>
  </si>
  <si>
    <t xml:space="preserve">Highest line within $0.5 million of the least cost</t>
  </si>
  <si>
    <t xml:space="preserve">$205 million: a flat optimum</t>
  </si>
  <si>
    <t xml:space="preserve">Net leverage with the line fully drawn</t>
  </si>
  <si>
    <t xml:space="preserve">3.7x: the covenant is slack</t>
  </si>
  <si>
    <t xml:space="preserve">Covenant multiplier</t>
  </si>
  <si>
    <t xml:space="preserve">zero: complementary slackness</t>
  </si>
  <si>
    <t xml:space="preserve">Capability against its floor</t>
  </si>
  <si>
    <t xml:space="preserve">zero: neither lever touches capability</t>
  </si>
  <si>
    <t xml:space="preserve">Equal margins at the optimum (Equation 15.4)</t>
  </si>
  <si>
    <t xml:space="preserve">Line step (central difference, $ million)</t>
  </si>
  <si>
    <t xml:space="preserve">Odds at the line + step (engine)</t>
  </si>
  <si>
    <t xml:space="preserve">Odds at the line - step (engine)</t>
  </si>
  <si>
    <t xml:space="preserve">Odds cut per $1 million of line (points)</t>
  </si>
  <si>
    <t xml:space="preserve">0.0166</t>
  </si>
  <si>
    <t xml:space="preserve">Delay step (central difference, quarters)</t>
  </si>
  <si>
    <t xml:space="preserve">Odds at the delay + step (engine)</t>
  </si>
  <si>
    <t xml:space="preserve">Odds at the delay - step (engine)</t>
  </si>
  <si>
    <t xml:space="preserve">Odds cut per quarter of delay (points)</t>
  </si>
  <si>
    <t xml:space="preserve">4.52</t>
  </si>
  <si>
    <t xml:space="preserve">A point of safety by the line ($ million)</t>
  </si>
  <si>
    <t xml:space="preserve">$1.80 million</t>
  </si>
  <si>
    <t xml:space="preserve">A point of safety by the delay ($ million)</t>
  </si>
  <si>
    <t xml:space="preserve">$1.77 million</t>
  </si>
  <si>
    <t xml:space="preserve">Points bought by the last $1 million: line</t>
  </si>
  <si>
    <t xml:space="preserve">about half a point</t>
  </si>
  <si>
    <t xml:space="preserve">Points bought by the last $1 million: delay</t>
  </si>
  <si>
    <t xml:space="preserve">The price of the appetite (Step 4; Theorem 15.3(iii))</t>
  </si>
  <si>
    <t xml:space="preserve">Least cost at 4%</t>
  </si>
  <si>
    <t xml:space="preserve">$12.4 million</t>
  </si>
  <si>
    <t xml:space="preserve">Least cost at 4.5%</t>
  </si>
  <si>
    <t xml:space="preserve">Least cost at 5%</t>
  </si>
  <si>
    <t xml:space="preserve">Least cost at 5.5%</t>
  </si>
  <si>
    <t xml:space="preserve">Least cost at 6%</t>
  </si>
  <si>
    <t xml:space="preserve">$8.8 million</t>
  </si>
  <si>
    <t xml:space="preserve">The appetite's multiplier ($ million a point, 4.5 to 5.5%)</t>
  </si>
  <si>
    <t xml:space="preserve">$1.8 million a point</t>
  </si>
  <si>
    <t xml:space="preserve">The same, 4 to 6%</t>
  </si>
  <si>
    <t xml:space="preserve">Online Appendix 15.B.4: 1.77</t>
  </si>
  <si>
    <t xml:space="preserve">Implied cost of a breach ($ million)</t>
  </si>
  <si>
    <t xml:space="preserve">about $180 million</t>
  </si>
  <si>
    <t xml:space="preserve">As a share of a year's EBITDA</t>
  </si>
  <si>
    <t xml:space="preserve">a third</t>
  </si>
  <si>
    <t xml:space="preserve">Tightening a point costs at least the multiplier</t>
  </si>
  <si>
    <t xml:space="preserve">Theorem 15.3(iii)</t>
  </si>
  <si>
    <t xml:space="preserve">Loosening a point gains at most the multiplier</t>
  </si>
  <si>
    <t xml:space="preserve">The price moves with the declared value of delay; the line hardly moves (Worked Example 15.1, Step 4)</t>
  </si>
  <si>
    <t xml:space="preserve">The cost of every package at another value of a quarter of delay, for the appetites that set the price.</t>
  </si>
  <si>
    <t xml:space="preserve">$4m a quarter, 4.5%</t>
  </si>
  <si>
    <t xml:space="preserve">$4m a quarter, 5.0%</t>
  </si>
  <si>
    <t xml:space="preserve">$4m a quarter, 5.5%</t>
  </si>
  <si>
    <t xml:space="preserve">$16m a quarter, 4.5%</t>
  </si>
  <si>
    <t xml:space="preserve">$16m a quarter, 5.0%</t>
  </si>
  <si>
    <t xml:space="preserve">$16m a quarter, 5.5%</t>
  </si>
  <si>
    <t xml:space="preserve">Summary</t>
  </si>
  <si>
    <t xml:space="preserve">Price ($m a point)</t>
  </si>
  <si>
    <t xml:space="preserve">$4 million a quarter, appetite 4.5%</t>
  </si>
  <si>
    <t xml:space="preserve">$4 million a quarter, appetite 5.0%</t>
  </si>
  <si>
    <t xml:space="preserve">$4 million a quarter, appetite 5.5%</t>
  </si>
  <si>
    <t xml:space="preserve">$16 million a quarter, appetite 4.5%</t>
  </si>
  <si>
    <t xml:space="preserve">$16 million a quarter, appetite 5.0%</t>
  </si>
  <si>
    <t xml:space="preserve">$16 million a quarter, appetite 5.5%</t>
  </si>
  <si>
    <t xml:space="preserve">Online Appendix 15.B.4: at $4 million a quarter, line 140, cost 7.52, price 0.91; at $16 million, line 195, cost 15.51, price 3.42 (at $8 million: line 170, price 1.81).</t>
  </si>
  <si>
    <t xml:space="preserve">The frontier by weight sweeps: minimize cost + weight x odds (Theorem 15.5(ii); AXIOM Lab 1.15, step 4)</t>
  </si>
  <si>
    <t xml:space="preserve">Rows: the 95 frontier points by floors (1 to 24.5 percent in quarter points, from the Frontier sheet). Columns: weights in $ million per point of odds. A weight picks the point with the least weighted score; only points on the frontier's convex hull are ever picked.</t>
  </si>
  <si>
    <t xml:space="preserve">Weight ($ million a point)</t>
  </si>
  <si>
    <t xml:space="preserve">Least score</t>
  </si>
  <si>
    <t xml:space="preserve">Appetite picked</t>
  </si>
  <si>
    <t xml:space="preserve">score at 0.05</t>
  </si>
  <si>
    <t xml:space="preserve">score at 0.10</t>
  </si>
  <si>
    <t xml:space="preserve">score at 0.15</t>
  </si>
  <si>
    <t xml:space="preserve">score at 0.20</t>
  </si>
  <si>
    <t xml:space="preserve">score at 0.25</t>
  </si>
  <si>
    <t xml:space="preserve">score at 0.30</t>
  </si>
  <si>
    <t xml:space="preserve">score at 0.35</t>
  </si>
  <si>
    <t xml:space="preserve">score at 0.40</t>
  </si>
  <si>
    <t xml:space="preserve">score at 0.45</t>
  </si>
  <si>
    <t xml:space="preserve">score at 0.50</t>
  </si>
  <si>
    <t xml:space="preserve">score at 0.55</t>
  </si>
  <si>
    <t xml:space="preserve">score at 0.60</t>
  </si>
  <si>
    <t xml:space="preserve">score at 0.65</t>
  </si>
  <si>
    <t xml:space="preserve">score at 0.70</t>
  </si>
  <si>
    <t xml:space="preserve">score at 0.75</t>
  </si>
  <si>
    <t xml:space="preserve">score at 0.80</t>
  </si>
  <si>
    <t xml:space="preserve">score at 0.85</t>
  </si>
  <si>
    <t xml:space="preserve">score at 0.90</t>
  </si>
  <si>
    <t xml:space="preserve">score at 0.95</t>
  </si>
  <si>
    <t xml:space="preserve">score at 1.00</t>
  </si>
  <si>
    <t xml:space="preserve">score at 1.05</t>
  </si>
  <si>
    <t xml:space="preserve">score at 1.10</t>
  </si>
  <si>
    <t xml:space="preserve">score at 1.15</t>
  </si>
  <si>
    <t xml:space="preserve">score at 1.20</t>
  </si>
  <si>
    <t xml:space="preserve">score at 1.25</t>
  </si>
  <si>
    <t xml:space="preserve">score at 1.30</t>
  </si>
  <si>
    <t xml:space="preserve">score at 1.35</t>
  </si>
  <si>
    <t xml:space="preserve">score at 1.40</t>
  </si>
  <si>
    <t xml:space="preserve">score at 1.45</t>
  </si>
  <si>
    <t xml:space="preserve">score at 1.50</t>
  </si>
  <si>
    <t xml:space="preserve">score at 1.55</t>
  </si>
  <si>
    <t xml:space="preserve">score at 1.60</t>
  </si>
  <si>
    <t xml:space="preserve">score at 1.65</t>
  </si>
  <si>
    <t xml:space="preserve">score at 1.70</t>
  </si>
  <si>
    <t xml:space="preserve">score at 1.75</t>
  </si>
  <si>
    <t xml:space="preserve">score at 1.80</t>
  </si>
  <si>
    <t xml:space="preserve">score at 1.85</t>
  </si>
  <si>
    <t xml:space="preserve">score at 1.90</t>
  </si>
  <si>
    <t xml:space="preserve">score at 1.95</t>
  </si>
  <si>
    <t xml:space="preserve">score at 2.00</t>
  </si>
  <si>
    <t xml:space="preserve">score at 2.05</t>
  </si>
  <si>
    <t xml:space="preserve">score at 2.10</t>
  </si>
  <si>
    <t xml:space="preserve">score at 2.15</t>
  </si>
  <si>
    <t xml:space="preserve">score at 2.20</t>
  </si>
  <si>
    <t xml:space="preserve">score at 2.25</t>
  </si>
  <si>
    <t xml:space="preserve">score at 2.30</t>
  </si>
  <si>
    <t xml:space="preserve">score at 2.35</t>
  </si>
  <si>
    <t xml:space="preserve">score at 2.40</t>
  </si>
  <si>
    <t xml:space="preserve">score at 2.45</t>
  </si>
  <si>
    <t xml:space="preserve">score at 2.50</t>
  </si>
  <si>
    <t xml:space="preserve">score at 2.55</t>
  </si>
  <si>
    <t xml:space="preserve">score at 2.60</t>
  </si>
  <si>
    <t xml:space="preserve">score at 2.65</t>
  </si>
  <si>
    <t xml:space="preserve">score at 2.70</t>
  </si>
  <si>
    <t xml:space="preserve">score at 2.75</t>
  </si>
  <si>
    <t xml:space="preserve">score at 2.80</t>
  </si>
  <si>
    <t xml:space="preserve">score at 2.85</t>
  </si>
  <si>
    <t xml:space="preserve">score at 2.90</t>
  </si>
  <si>
    <t xml:space="preserve">score at 2.95</t>
  </si>
  <si>
    <t xml:space="preserve">score at 3.00</t>
  </si>
  <si>
    <t xml:space="preserve">score at 3.05</t>
  </si>
  <si>
    <t xml:space="preserve">score at 3.10</t>
  </si>
  <si>
    <t xml:space="preserve">score at 3.15</t>
  </si>
  <si>
    <t xml:space="preserve">score at 3.20</t>
  </si>
  <si>
    <t xml:space="preserve">score at 3.25</t>
  </si>
  <si>
    <t xml:space="preserve">score at 3.30</t>
  </si>
  <si>
    <t xml:space="preserve">score at 3.35</t>
  </si>
  <si>
    <t xml:space="preserve">score at 3.40</t>
  </si>
  <si>
    <t xml:space="preserve">score at 3.45</t>
  </si>
  <si>
    <t xml:space="preserve">score at 3.50</t>
  </si>
  <si>
    <t xml:space="preserve">score at 3.55</t>
  </si>
  <si>
    <t xml:space="preserve">score at 3.60</t>
  </si>
  <si>
    <t xml:space="preserve">score at 3.65</t>
  </si>
  <si>
    <t xml:space="preserve">score at 3.70</t>
  </si>
  <si>
    <t xml:space="preserve">score at 3.75</t>
  </si>
  <si>
    <t xml:space="preserve">score at 3.80</t>
  </si>
  <si>
    <t xml:space="preserve">score at 3.85</t>
  </si>
  <si>
    <t xml:space="preserve">score at 3.90</t>
  </si>
  <si>
    <t xml:space="preserve">score at 3.95</t>
  </si>
  <si>
    <t xml:space="preserve">score at 4.00</t>
  </si>
  <si>
    <t xml:space="preserve">score at 4.05</t>
  </si>
  <si>
    <t xml:space="preserve">score at 4.10</t>
  </si>
  <si>
    <t xml:space="preserve">score at 4.15</t>
  </si>
  <si>
    <t xml:space="preserve">score at 4.20</t>
  </si>
  <si>
    <t xml:space="preserve">score at 4.25</t>
  </si>
  <si>
    <t xml:space="preserve">score at 4.30</t>
  </si>
  <si>
    <t xml:space="preserve">score at 4.35</t>
  </si>
  <si>
    <t xml:space="preserve">score at 4.40</t>
  </si>
  <si>
    <t xml:space="preserve">score at 4.45</t>
  </si>
  <si>
    <t xml:space="preserve">score at 4.50</t>
  </si>
  <si>
    <t xml:space="preserve">score at 4.55</t>
  </si>
  <si>
    <t xml:space="preserve">score at 4.60</t>
  </si>
  <si>
    <t xml:space="preserve">score at 4.65</t>
  </si>
  <si>
    <t xml:space="preserve">score at 4.70</t>
  </si>
  <si>
    <t xml:space="preserve">score at 4.75</t>
  </si>
  <si>
    <t xml:space="preserve">score at 4.80</t>
  </si>
  <si>
    <t xml:space="preserve">score at 4.85</t>
  </si>
  <si>
    <t xml:space="preserve">score at 4.90</t>
  </si>
  <si>
    <t xml:space="preserve">score at 4.95</t>
  </si>
  <si>
    <t xml:space="preserve">score at 5.00</t>
  </si>
  <si>
    <t xml:space="preserve">score at 5.05</t>
  </si>
  <si>
    <t xml:space="preserve">score at 5.10</t>
  </si>
  <si>
    <t xml:space="preserve">score at 5.15</t>
  </si>
  <si>
    <t xml:space="preserve">score at 5.20</t>
  </si>
  <si>
    <t xml:space="preserve">score at 5.25</t>
  </si>
  <si>
    <t xml:space="preserve">score at 5.30</t>
  </si>
  <si>
    <t xml:space="preserve">score at 5.35</t>
  </si>
  <si>
    <t xml:space="preserve">score at 5.40</t>
  </si>
  <si>
    <t xml:space="preserve">score at 5.45</t>
  </si>
  <si>
    <t xml:space="preserve">score at 5.50</t>
  </si>
  <si>
    <t xml:space="preserve">score at 5.55</t>
  </si>
  <si>
    <t xml:space="preserve">score at 5.60</t>
  </si>
  <si>
    <t xml:space="preserve">score at 5.65</t>
  </si>
  <si>
    <t xml:space="preserve">score at 5.70</t>
  </si>
  <si>
    <t xml:space="preserve">score at 5.75</t>
  </si>
  <si>
    <t xml:space="preserve">score at 5.80</t>
  </si>
  <si>
    <t xml:space="preserve">score at 5.85</t>
  </si>
  <si>
    <t xml:space="preserve">score at 5.90</t>
  </si>
  <si>
    <t xml:space="preserve">score at 5.95</t>
  </si>
  <si>
    <t xml:space="preserve">score at 6.00</t>
  </si>
  <si>
    <t xml:space="preserve">score at 6.05</t>
  </si>
  <si>
    <t xml:space="preserve">score at 6.10</t>
  </si>
  <si>
    <t xml:space="preserve">score at 6.15</t>
  </si>
  <si>
    <t xml:space="preserve">score at 6.20</t>
  </si>
  <si>
    <t xml:space="preserve">score at 6.25</t>
  </si>
  <si>
    <t xml:space="preserve">score at 6.30</t>
  </si>
  <si>
    <t xml:space="preserve">score at 6.35</t>
  </si>
  <si>
    <t xml:space="preserve">score at 6.40</t>
  </si>
  <si>
    <t xml:space="preserve">score at 6.45</t>
  </si>
  <si>
    <t xml:space="preserve">score at 6.50</t>
  </si>
  <si>
    <t xml:space="preserve">score at 6.55</t>
  </si>
  <si>
    <t xml:space="preserve">score at 6.60</t>
  </si>
  <si>
    <t xml:space="preserve">score at 6.65</t>
  </si>
  <si>
    <t xml:space="preserve">score at 6.70</t>
  </si>
  <si>
    <t xml:space="preserve">score at 6.75</t>
  </si>
  <si>
    <t xml:space="preserve">score at 6.80</t>
  </si>
  <si>
    <t xml:space="preserve">score at 6.85</t>
  </si>
  <si>
    <t xml:space="preserve">score at 6.90</t>
  </si>
  <si>
    <t xml:space="preserve">score at 6.95</t>
  </si>
  <si>
    <t xml:space="preserve">score at 7.00</t>
  </si>
  <si>
    <t xml:space="preserve">score at 7.05</t>
  </si>
  <si>
    <t xml:space="preserve">score at 7.10</t>
  </si>
  <si>
    <t xml:space="preserve">score at 7.15</t>
  </si>
  <si>
    <t xml:space="preserve">score at 7.20</t>
  </si>
  <si>
    <t xml:space="preserve">score at 7.25</t>
  </si>
  <si>
    <t xml:space="preserve">score at 7.30</t>
  </si>
  <si>
    <t xml:space="preserve">score at 7.35</t>
  </si>
  <si>
    <t xml:space="preserve">score at 7.40</t>
  </si>
  <si>
    <t xml:space="preserve">score at 7.45</t>
  </si>
  <si>
    <t xml:space="preserve">score at 7.50</t>
  </si>
  <si>
    <t xml:space="preserve">score at 7.55</t>
  </si>
  <si>
    <t xml:space="preserve">score at 7.60</t>
  </si>
  <si>
    <t xml:space="preserve">score at 7.65</t>
  </si>
  <si>
    <t xml:space="preserve">score at 7.70</t>
  </si>
  <si>
    <t xml:space="preserve">score at 7.75</t>
  </si>
  <si>
    <t xml:space="preserve">score at 7.80</t>
  </si>
  <si>
    <t xml:space="preserve">score at 7.85</t>
  </si>
  <si>
    <t xml:space="preserve">score at 7.90</t>
  </si>
  <si>
    <t xml:space="preserve">score at 7.95</t>
  </si>
  <si>
    <t xml:space="preserve">score at 8.00</t>
  </si>
  <si>
    <t xml:space="preserve">score at 8.05</t>
  </si>
  <si>
    <t xml:space="preserve">score at 8.10</t>
  </si>
  <si>
    <t xml:space="preserve">score at 8.15</t>
  </si>
  <si>
    <t xml:space="preserve">score at 8.20</t>
  </si>
  <si>
    <t xml:space="preserve">score at 8.25</t>
  </si>
  <si>
    <t xml:space="preserve">score at 8.30</t>
  </si>
  <si>
    <t xml:space="preserve">score at 8.35</t>
  </si>
  <si>
    <t xml:space="preserve">score at 8.40</t>
  </si>
  <si>
    <t xml:space="preserve">score at 8.45</t>
  </si>
  <si>
    <t xml:space="preserve">score at 8.50</t>
  </si>
  <si>
    <t xml:space="preserve">score at 8.55</t>
  </si>
  <si>
    <t xml:space="preserve">score at 8.60</t>
  </si>
  <si>
    <t xml:space="preserve">score at 8.65</t>
  </si>
  <si>
    <t xml:space="preserve">score at 8.70</t>
  </si>
  <si>
    <t xml:space="preserve">score at 8.75</t>
  </si>
  <si>
    <t xml:space="preserve">score at 8.80</t>
  </si>
  <si>
    <t xml:space="preserve">score at 8.85</t>
  </si>
  <si>
    <t xml:space="preserve">score at 8.90</t>
  </si>
  <si>
    <t xml:space="preserve">score at 8.95</t>
  </si>
  <si>
    <t xml:space="preserve">score at 9.00</t>
  </si>
  <si>
    <t xml:space="preserve">score at 9.05</t>
  </si>
  <si>
    <t xml:space="preserve">score at 9.10</t>
  </si>
  <si>
    <t xml:space="preserve">score at 9.15</t>
  </si>
  <si>
    <t xml:space="preserve">score at 9.20</t>
  </si>
  <si>
    <t xml:space="preserve">score at 9.25</t>
  </si>
  <si>
    <t xml:space="preserve">score at 9.30</t>
  </si>
  <si>
    <t xml:space="preserve">score at 9.35</t>
  </si>
  <si>
    <t xml:space="preserve">score at 9.40</t>
  </si>
  <si>
    <t xml:space="preserve">score at 9.45</t>
  </si>
  <si>
    <t xml:space="preserve">score at 9.50</t>
  </si>
  <si>
    <t xml:space="preserve">score at 9.55</t>
  </si>
  <si>
    <t xml:space="preserve">score at 9.60</t>
  </si>
  <si>
    <t xml:space="preserve">score at 9.65</t>
  </si>
  <si>
    <t xml:space="preserve">score at 9.70</t>
  </si>
  <si>
    <t xml:space="preserve">score at 9.75</t>
  </si>
  <si>
    <t xml:space="preserve">score at 9.80</t>
  </si>
  <si>
    <t xml:space="preserve">score at 9.85</t>
  </si>
  <si>
    <t xml:space="preserve">score at 9.90</t>
  </si>
  <si>
    <t xml:space="preserve">score at 9.95</t>
  </si>
  <si>
    <t xml:space="preserve">score at 10.00</t>
  </si>
  <si>
    <t xml:space="preserve">Floors against weights</t>
  </si>
  <si>
    <t xml:space="preserve">Frontier points traced by floors</t>
  </si>
  <si>
    <t xml:space="preserve">every one</t>
  </si>
  <si>
    <t xml:space="preserve">Distinct points picked by some weight</t>
  </si>
  <si>
    <t xml:space="preserve">only the convex hull's points</t>
  </si>
  <si>
    <t xml:space="preserve">Lowest weight picking 4.75%</t>
  </si>
  <si>
    <t xml:space="preserve">Highest weight picking 4.75%</t>
  </si>
  <si>
    <t xml:space="preserve">Weights picking 5.25%</t>
  </si>
  <si>
    <t xml:space="preserve">Weights picking the board's 5% itself</t>
  </si>
  <si>
    <t xml:space="preserve">none: 5% sits in a small dent</t>
  </si>
  <si>
    <t xml:space="preserve">The 5% point above the chord from 4.75 to 5.25% ($ million)</t>
  </si>
  <si>
    <t xml:space="preserve">Slope of that chord ($ million a point)</t>
  </si>
  <si>
    <t xml:space="preserve">the exchange rate a weight sweep sees near 5%</t>
  </si>
  <si>
    <t xml:space="preserve">Audit before optimizing: consistency, viability and the minimal infeasible set (Theorem 15.2; Proposition 15.4; AXIOM Lab 1.15, step 2)</t>
  </si>
  <si>
    <t xml:space="preserve">Consistency: Chapter 13's joint check (draw + buffer &lt;= 270)</t>
  </si>
  <si>
    <t xml:space="preserve">Draw</t>
  </si>
  <si>
    <t xml:space="preserve">Buffer</t>
  </si>
  <si>
    <t xml:space="preserve">Total</t>
  </si>
  <si>
    <t xml:space="preserve">Passes?</t>
  </si>
  <si>
    <t xml:space="preserve">No levers</t>
  </si>
  <si>
    <t xml:space="preserve">Chapter 8's package</t>
  </si>
  <si>
    <t xml:space="preserve">The cheapest package at 5%</t>
  </si>
  <si>
    <t xml:space="preserve">Viability: odds of a breach (engine)</t>
  </si>
  <si>
    <t xml:space="preserve">Worst single quarter</t>
  </si>
  <si>
    <t xml:space="preserve">Some quarter of the program</t>
  </si>
  <si>
    <t xml:space="preserve">Cheapest at 5%</t>
  </si>
  <si>
    <t xml:space="preserve">The appetite is a promise about the whole path: a quarter-by-quarter reading certifies nothing about the program (Theorem 14.5(iv)).</t>
  </si>
  <si>
    <t xml:space="preserve">The capped levers</t>
  </si>
  <si>
    <t xml:space="preserve">Cap on the line ($ million)</t>
  </si>
  <si>
    <t xml:space="preserve">the bank</t>
  </si>
  <si>
    <t xml:space="preserve">Cap on the delay (quarters)</t>
  </si>
  <si>
    <t xml:space="preserve">the transformation office</t>
  </si>
  <si>
    <t xml:space="preserve">Least odds within the caps: the corner (engine)</t>
  </si>
  <si>
    <t xml:space="preserve">the odds fall with both levers: 3.0 percent</t>
  </si>
  <si>
    <t xml:space="preserve">Appetite tightened below 3 percent</t>
  </si>
  <si>
    <t xml:space="preserve">AXIOM Lab 1.15, step 2</t>
  </si>
  <si>
    <t xml:space="preserve">Delay the line at its cap needs (quarters)</t>
  </si>
  <si>
    <t xml:space="preserve">Feasible within the caps?</t>
  </si>
  <si>
    <t xml:space="preserve">Drop the line cap: least cost with the delay capped</t>
  </si>
  <si>
    <t xml:space="preserve">  its line</t>
  </si>
  <si>
    <t xml:space="preserve">Drop the delay cap: least cost with the line capped</t>
  </si>
  <si>
    <t xml:space="preserve">  its delay</t>
  </si>
  <si>
    <t xml:space="preserve">Drop the appetite: the corner's cost</t>
  </si>
  <si>
    <t xml:space="preserve">at 3.0 percent</t>
  </si>
  <si>
    <t xml:space="preserve">Minimal infeasible set</t>
  </si>
  <si>
    <t xml:space="preserve">line cap, delay cap, appetite</t>
  </si>
  <si>
    <t xml:space="preserve">drop any one and the rest can hold</t>
  </si>
  <si>
    <t xml:space="preserve">Quarter K</t>
  </si>
  <si>
    <t xml:space="preserve">Odds of a breach by quarter K at the corner (engine)</t>
  </si>
  <si>
    <t xml:space="preserve">Within the tightened appetite?</t>
  </si>
  <si>
    <t xml:space="preserve">Emptying date: the last quarter the capped levers honor the tightened appetite</t>
  </si>
  <si>
    <t xml:space="preserve">Theorem 15.2(iii): an empty region is witnessed by the periods for which the declaration can be honored.</t>
  </si>
  <si>
    <t xml:space="preserve">A small allocation: the corner and its multipliers (Theorem 15.3; Equation 15.4; AXIOM Lab 1.15, step 3)</t>
  </si>
  <si>
    <t xml:space="preserve">The preloaded allocation instance of AXIOM Lab 1.15, step 3. The book describes it in words and prints no data; these data are this workbook's declaration, not the book's. Split a budget across three capital stocks to maximize Y = TFP x K_F^a_F x K_H^a_H x K_T^a_T of the stocks after investment, every investment nonnegative.</t>
  </si>
  <si>
    <t xml:space="preserve">Financial</t>
  </si>
  <si>
    <t xml:space="preserve">Human</t>
  </si>
  <si>
    <t xml:space="preserve">Technological</t>
  </si>
  <si>
    <t xml:space="preserve">Stock</t>
  </si>
  <si>
    <t xml:space="preserve">Share kept over the period</t>
  </si>
  <si>
    <t xml:space="preserve">Exponent a</t>
  </si>
  <si>
    <t xml:space="preserve">Stock before investment</t>
  </si>
  <si>
    <t xml:space="preserve">Total factor productivity; budget</t>
  </si>
  <si>
    <t xml:space="preserve">Unconstrained first-order point: a (sum of stocks + budget) - stock</t>
  </si>
  <si>
    <t xml:space="preserve">Corner: financial investment held at its floor</t>
  </si>
  <si>
    <t xml:space="preserve">Stock after investment at the corner</t>
  </si>
  <si>
    <t xml:space="preserve">Output at the corner</t>
  </si>
  <si>
    <t xml:space="preserve">Output of an even split (2, 2, 2)</t>
  </si>
  <si>
    <t xml:space="preserve">Marginal output of each form: a Y / stock</t>
  </si>
  <si>
    <t xml:space="preserve">The budget's multiplier lambda (every funded form earns it)</t>
  </si>
  <si>
    <t xml:space="preserve">Nonnegativity's multiplier mu_F = lambda - marginal output of financial capital</t>
  </si>
  <si>
    <t xml:space="preserve">Funded forms earn the same marginal output?</t>
  </si>
  <si>
    <t xml:space="preserve">Theorem 15.3(iii): a budget larger by 1</t>
  </si>
  <si>
    <t xml:space="preserve">Stocks after investment</t>
  </si>
  <si>
    <t xml:space="preserve">Gain in output (at most lambda)</t>
  </si>
  <si>
    <t xml:space="preserve">Forcing 1 into financial capital: stocks after investment</t>
  </si>
  <si>
    <t xml:space="preserve">Loss in output (at least mu_F)</t>
  </si>
  <si>
    <t xml:space="preserve">Rolling plans need a terminal condition (Theorem 15.4(iv); Figure 15.1; Online Appendix 15.B.2)</t>
  </si>
  <si>
    <t xml:space="preserve">The runway of Chapter 14 after its $30 million repair. Each quarter a one-quarter window maximizes the burn kept. Stopping a burn r, cutting at most 10 a quarter, needs N(r) = sum of max(r - 10i, 0) of cash.</t>
  </si>
  <si>
    <t xml:space="preserve">Cash above the floor at the start</t>
  </si>
  <si>
    <t xml:space="preserve">Burn a quarter at the start</t>
  </si>
  <si>
    <t xml:space="preserve">Largest cut a quarter</t>
  </si>
  <si>
    <t xml:space="preserve">Cash a burn of 50 needs, N(50)</t>
  </si>
  <si>
    <t xml:space="preserve">The start lies in the kernel {cash &gt;= N(burn)}?</t>
  </si>
  <si>
    <t xml:space="preserve">No end condition: cash</t>
  </si>
  <si>
    <t xml:space="preserve">Burn</t>
  </si>
  <si>
    <t xml:space="preserve">With the kernel as end condition: cash</t>
  </si>
  <si>
    <t xml:space="preserve">Candidate burn</t>
  </si>
  <si>
    <t xml:space="preserve">Cash it needs, N</t>
  </si>
  <si>
    <t xml:space="preserve">No end condition: the quarter cash runs out</t>
  </si>
  <si>
    <t xml:space="preserve">quarter 4</t>
  </si>
  <si>
    <t xml:space="preserve">With the kernel: the quarter the burn stops</t>
  </si>
  <si>
    <t xml:space="preserve">quarter 5</t>
  </si>
  <si>
    <t xml:space="preserve">From $120 million: in the kernel?</t>
  </si>
  <si>
    <t xml:space="preserve">Chapter 14's runway trap</t>
  </si>
  <si>
    <t xml:space="preserve">Prices inside the architecture: the stability budget and a twitchy optimum (Proposition 15.9; Theorem 15.6(ii); Proposition 15.5; Online Appendix 15.B.1, 15.B.3)</t>
  </si>
  <si>
    <t xml:space="preserve">Meridian's feedback core (Chapter 14): engineering links e, treasury links t, the new Digital-Industrial Systems link h. The board's half-life rule: h r* + 2(e^2 + t^2) &lt;= r*^2, r* = 2^(-1/4).</t>
  </si>
  <si>
    <t xml:space="preserve">Board's rule: spectral radius at most r*</t>
  </si>
  <si>
    <t xml:space="preserve">Engineering links e</t>
  </si>
  <si>
    <t xml:space="preserve">Treasury links t</t>
  </si>
  <si>
    <t xml:space="preserve">The new link can carry at most h</t>
  </si>
  <si>
    <t xml:space="preserve">Along the binding budget, dh/de = -4e/r*</t>
  </si>
  <si>
    <t xml:space="preserve">New link freed by trimming 0.01 from both engineering links</t>
  </si>
  <si>
    <t xml:space="preserve">Chapter 14's uniform repair with the new link at 0.40: e = t</t>
  </si>
  <si>
    <t xml:space="preserve">beta/alpha for which that repair is the company's best</t>
  </si>
  <si>
    <t xml:space="preserve">The budget's price lambda = alpha/r* (alpha = 1)</t>
  </si>
  <si>
    <t xml:space="preserve">Each office alone, charged lambda for 2e^2: e* = beta/(4 lambda)</t>
  </si>
  <si>
    <t xml:space="preserve">The budget then leaves the new link</t>
  </si>
  <si>
    <t xml:space="preserve">A twitchy optimum: u* = 1/(1 - a)</t>
  </si>
  <si>
    <t xml:space="preserve">a</t>
  </si>
  <si>
    <t xml:space="preserve">Response to the payoff 1/(1 - a)</t>
  </si>
  <si>
    <t xml:space="preserve">Elasticity to a: a/(1 - a)</t>
  </si>
  <si>
    <t xml:space="preserve">Exact move for a 1% recalibration</t>
  </si>
  <si>
    <t xml:space="preserve">carry-over a</t>
  </si>
  <si>
    <t xml:space="preserve">Online Appendix 15.B.1: responses 2, 5, 20 and elasticities 1, 4, 19 (a = 0.8 is the spectral radius of Meridian's core today). The elasticity is a first-order rate; column E is the exact move.</t>
  </si>
  <si>
    <t xml:space="preserve">Checkpoint</t>
  </si>
  <si>
    <t xml:space="preserve">Engine value</t>
  </si>
  <si>
    <t xml:space="preserve">Meaning (where in the book)</t>
  </si>
  <si>
    <t xml:space="preserve">Worked Example 8.1: 138</t>
  </si>
  <si>
    <t xml:space="preserve">Deepest draw, phased build</t>
  </si>
  <si>
    <t xml:space="preserve">Step 2: $460 million</t>
  </si>
  <si>
    <t xml:space="preserve">90th-percentile closure</t>
  </si>
  <si>
    <t xml:space="preserve">Robust: the joint check's least line</t>
  </si>
  <si>
    <t xml:space="preserve">Step 2: $55 million</t>
  </si>
  <si>
    <t xml:space="preserve">Step 2: $1.6 million</t>
  </si>
  <si>
    <t xml:space="preserve">Cheapest at 5%: line</t>
  </si>
  <si>
    <t xml:space="preserve">Step 3: about $170 million</t>
  </si>
  <si>
    <t xml:space="preserve">Cheapest at 5%: delay</t>
  </si>
  <si>
    <t xml:space="preserve">Step 3: two-thirds of a quarter</t>
  </si>
  <si>
    <t xml:space="preserve">Cheapest at 5%: depth</t>
  </si>
  <si>
    <t xml:space="preserve">Cheapest at 5%: deepest draw</t>
  </si>
  <si>
    <t xml:space="preserve">Cheapest at 5%: draw smaller by</t>
  </si>
  <si>
    <t xml:space="preserve">Cheapest at 5%: cost</t>
  </si>
  <si>
    <t xml:space="preserve">Step 3: $10.4 million</t>
  </si>
  <si>
    <t xml:space="preserve">Cheapest at 5%: fees</t>
  </si>
  <si>
    <t xml:space="preserve">Step 3: $5.1 million</t>
  </si>
  <si>
    <t xml:space="preserve">Cheapest at 5%: cost of the delay</t>
  </si>
  <si>
    <t xml:space="preserve">Step 3: $5.3 million</t>
  </si>
  <si>
    <t xml:space="preserve">Flat optimum: lowest line within $0.5m</t>
  </si>
  <si>
    <t xml:space="preserve">Step 3: $140 million</t>
  </si>
  <si>
    <t xml:space="preserve">Flat optimum: highest line within $0.5m</t>
  </si>
  <si>
    <t xml:space="preserve">Step 3: $205 million</t>
  </si>
  <si>
    <t xml:space="preserve">Leverage with the line fully drawn</t>
  </si>
  <si>
    <t xml:space="preserve">Step 3: 3.7x</t>
  </si>
  <si>
    <t xml:space="preserve">Margin: odds cut per $1m of line (points)</t>
  </si>
  <si>
    <t xml:space="preserve">Online Appendix 15.B.4: 0.0166</t>
  </si>
  <si>
    <t xml:space="preserve">Margin: odds cut per quarter of delay (points)</t>
  </si>
  <si>
    <t xml:space="preserve">A point of safety by the line</t>
  </si>
  <si>
    <t xml:space="preserve">A point of safety by the delay</t>
  </si>
  <si>
    <t xml:space="preserve">Step 4: $12.4 million</t>
  </si>
  <si>
    <t xml:space="preserve">11.4</t>
  </si>
  <si>
    <t xml:space="preserve">9.6</t>
  </si>
  <si>
    <t xml:space="preserve">Step 4: $8.8 million</t>
  </si>
  <si>
    <t xml:space="preserve">The appetite's multiplier</t>
  </si>
  <si>
    <t xml:space="preserve">Step 4: $1.8 million a point</t>
  </si>
  <si>
    <t xml:space="preserve">The multiplier, 4 to 6%</t>
  </si>
  <si>
    <t xml:space="preserve">1.77</t>
  </si>
  <si>
    <t xml:space="preserve">Implied cost of a breach</t>
  </si>
  <si>
    <t xml:space="preserve">Step 4: about $180 million</t>
  </si>
  <si>
    <t xml:space="preserve">$4m a quarter of delay: line</t>
  </si>
  <si>
    <t xml:space="preserve">140</t>
  </si>
  <si>
    <t xml:space="preserve">$4m a quarter of delay: cost</t>
  </si>
  <si>
    <t xml:space="preserve">7.52</t>
  </si>
  <si>
    <t xml:space="preserve">$4m a quarter of delay: price</t>
  </si>
  <si>
    <t xml:space="preserve">Step 4: $0.9 million a point</t>
  </si>
  <si>
    <t xml:space="preserve">$16m a quarter of delay: line</t>
  </si>
  <si>
    <t xml:space="preserve">195</t>
  </si>
  <si>
    <t xml:space="preserve">$16m a quarter of delay: cost</t>
  </si>
  <si>
    <t xml:space="preserve">15.51</t>
  </si>
  <si>
    <t xml:space="preserve">$16m a quarter of delay: price</t>
  </si>
  <si>
    <t xml:space="preserve">Step 4: $3.4 million a point</t>
  </si>
  <si>
    <t xml:space="preserve">Least cost at 1%</t>
  </si>
  <si>
    <t xml:space="preserve">23.1</t>
  </si>
  <si>
    <t xml:space="preserve">Least cost at 2%</t>
  </si>
  <si>
    <t xml:space="preserve">17.9</t>
  </si>
  <si>
    <t xml:space="preserve">Least cost at 8%</t>
  </si>
  <si>
    <t xml:space="preserve">6.3</t>
  </si>
  <si>
    <t xml:space="preserve">Least cost at 10%</t>
  </si>
  <si>
    <t xml:space="preserve">4.2</t>
  </si>
  <si>
    <t xml:space="preserve">Least cost at 12%</t>
  </si>
  <si>
    <t xml:space="preserve">3.2</t>
  </si>
  <si>
    <t xml:space="preserve">Least cost at 15%</t>
  </si>
  <si>
    <t xml:space="preserve">2.3</t>
  </si>
  <si>
    <t xml:space="preserve">Least cost at 20%</t>
  </si>
  <si>
    <t xml:space="preserve">1.2</t>
  </si>
  <si>
    <t xml:space="preserve">Least cost at 24.6%</t>
  </si>
  <si>
    <t xml:space="preserve">0</t>
  </si>
  <si>
    <t xml:space="preserve">Table 15.5: 6%, line</t>
  </si>
  <si>
    <t xml:space="preserve">160</t>
  </si>
  <si>
    <t xml:space="preserve">Table 15.5: 6%, delay</t>
  </si>
  <si>
    <t xml:space="preserve">0.50</t>
  </si>
  <si>
    <t xml:space="preserve">Table 15.5: 4%, line</t>
  </si>
  <si>
    <t xml:space="preserve">165</t>
  </si>
  <si>
    <t xml:space="preserve">Table 15.5: 4%, delay</t>
  </si>
  <si>
    <t xml:space="preserve">0.93</t>
  </si>
  <si>
    <t xml:space="preserve">Table 15.5: 3%, line</t>
  </si>
  <si>
    <t xml:space="preserve">Table 15.5: 3%, delay</t>
  </si>
  <si>
    <t xml:space="preserve">Table 15.5: 3%, cost</t>
  </si>
  <si>
    <t xml:space="preserve">14.7</t>
  </si>
  <si>
    <t xml:space="preserve">Step 5: 5.1 quarters</t>
  </si>
  <si>
    <t xml:space="preserve">Phasing alone: depth</t>
  </si>
  <si>
    <t xml:space="preserve">7.62</t>
  </si>
  <si>
    <t xml:space="preserve">Step 5: $40.8 million</t>
  </si>
  <si>
    <t xml:space="preserve">Value of coordination</t>
  </si>
  <si>
    <t xml:space="preserve">Step 5: $30 million</t>
  </si>
  <si>
    <t xml:space="preserve">Chapter 8 package: cost</t>
  </si>
  <si>
    <t xml:space="preserve">Step 5: $19.0 million</t>
  </si>
  <si>
    <t xml:space="preserve">The frontier at the package's odds</t>
  </si>
  <si>
    <t xml:space="preserve">Step 5: $14.7 million</t>
  </si>
  <si>
    <t xml:space="preserve">The frontier at 1.75%</t>
  </si>
  <si>
    <t xml:space="preserve">18.9</t>
  </si>
  <si>
    <t xml:space="preserve">Line capped at $100m: cost</t>
  </si>
  <si>
    <t xml:space="preserve">13.30</t>
  </si>
  <si>
    <t xml:space="preserve">Line capped at $100m: delay</t>
  </si>
  <si>
    <t xml:space="preserve">Line capped at $100m: extra cost</t>
  </si>
  <si>
    <t xml:space="preserve">For discussion: $2.9 million</t>
  </si>
  <si>
    <t xml:space="preserve">5% contour: delay at line 25</t>
  </si>
  <si>
    <t xml:space="preserve">3.82</t>
  </si>
  <si>
    <t xml:space="preserve">5% contour: delay at line 100</t>
  </si>
  <si>
    <t xml:space="preserve">5% contour: delay at line 250</t>
  </si>
  <si>
    <t xml:space="preserve">0.57</t>
  </si>
  <si>
    <t xml:space="preserve">Weight sweep: points found</t>
  </si>
  <si>
    <t xml:space="preserve">Theorem 15.5(ii)</t>
  </si>
  <si>
    <t xml:space="preserve">Weight sweep: lowest weight picking 4.75%</t>
  </si>
  <si>
    <t xml:space="preserve">Weight sweep: highest weight picking 4.75%</t>
  </si>
  <si>
    <t xml:space="preserve">Weight sweep: weight picking 5.25%</t>
  </si>
  <si>
    <t xml:space="preserve">Weight sweep: the 5% point above the chord</t>
  </si>
  <si>
    <t xml:space="preserve">Audit: delay the capped line needs at 2%</t>
  </si>
  <si>
    <t xml:space="preserve">more than the cap of 2</t>
  </si>
  <si>
    <t xml:space="preserve">Audit: drop the line cap, least cost</t>
  </si>
  <si>
    <t xml:space="preserve">Audit: drop the delay cap, least cost</t>
  </si>
  <si>
    <t xml:space="preserve">Audit: emptying date (quarters honored)</t>
  </si>
  <si>
    <t xml:space="preserve">Allocation: unconstrained financial investment</t>
  </si>
  <si>
    <t xml:space="preserve">negative: infeasible</t>
  </si>
  <si>
    <t xml:space="preserve">Allocation: corner, human</t>
  </si>
  <si>
    <t xml:space="preserve">Allocation: corner, technological</t>
  </si>
  <si>
    <t xml:space="preserve">Allocation: output at the corner</t>
  </si>
  <si>
    <t xml:space="preserve">Allocation: the budget's multiplier</t>
  </si>
  <si>
    <t xml:space="preserve">Allocation: nonnegativity's multiplier</t>
  </si>
  <si>
    <t xml:space="preserve">positive: it binds</t>
  </si>
  <si>
    <t xml:space="preserve">Allocation: gain from a budget larger by 1</t>
  </si>
  <si>
    <t xml:space="preserve">at most lambda</t>
  </si>
  <si>
    <t xml:space="preserve">Rolling plans: N(50)</t>
  </si>
  <si>
    <t xml:space="preserve">150</t>
  </si>
  <si>
    <t xml:space="preserve">Rolling plans: the quarter cash runs out</t>
  </si>
  <si>
    <t xml:space="preserve">Figure 15.1: quarter 4</t>
  </si>
  <si>
    <t xml:space="preserve">Rolling plans: burn in quarter 1, kernel</t>
  </si>
  <si>
    <t xml:space="preserve">40</t>
  </si>
  <si>
    <t xml:space="preserve">Rolling plans: cash in quarter 2, kernel</t>
  </si>
  <si>
    <t xml:space="preserve">60</t>
  </si>
  <si>
    <t xml:space="preserve">Rolling plans: the quarter the burn stops</t>
  </si>
  <si>
    <t xml:space="preserve">Stability budget: the new link at most</t>
  </si>
  <si>
    <t xml:space="preserve">Proposition 15.9: 0.080</t>
  </si>
  <si>
    <t xml:space="preserve">Stability budget: dh/de</t>
  </si>
  <si>
    <t xml:space="preserve">-1.903</t>
  </si>
  <si>
    <t xml:space="preserve">Stability budget: freed by trimming 0.01</t>
  </si>
  <si>
    <t xml:space="preserve">0.019</t>
  </si>
  <si>
    <t xml:space="preserve">Twitchy: response at 0.5</t>
  </si>
  <si>
    <t xml:space="preserve">2</t>
  </si>
  <si>
    <t xml:space="preserve">Twitchy: response at 0.8</t>
  </si>
  <si>
    <t xml:space="preserve">5</t>
  </si>
  <si>
    <t xml:space="preserve">Twitchy: response at 0.95</t>
  </si>
  <si>
    <t xml:space="preserve">20</t>
  </si>
  <si>
    <t xml:space="preserve">Twitchy: elasticity at 0.5</t>
  </si>
  <si>
    <t xml:space="preserve">1</t>
  </si>
  <si>
    <t xml:space="preserve">Twitchy: elasticity at 0.8</t>
  </si>
  <si>
    <t xml:space="preserve">4</t>
  </si>
  <si>
    <t xml:space="preserve">Twitchy: elasticity at 0.95</t>
  </si>
  <si>
    <t xml:space="preserve">19</t>
  </si>
  <si>
    <t xml:space="preserve">Workbook formula value</t>
  </si>
  <si>
    <t xml:space="preserve">|diff|</t>
  </si>
  <si>
    <t xml:space="preserve">Tolerance</t>
  </si>
  <si>
    <t xml:space="preserve">Status</t>
  </si>
  <si>
    <t xml:space="preserve">All checkpoints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</si>
</sst>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0"/>
    <numFmt numFmtId="166" formatCode="0.0"/>
    <numFmt numFmtId="167" formatCode="0.00"/>
    <numFmt numFmtId="168" formatCode="0.0%"/>
    <numFmt numFmtId="169" formatCode="#,##0"/>
    <numFmt numFmtId="170" formatCode="#,##0.0"/>
    <numFmt numFmtId="171" formatCode="0.000"/>
    <numFmt numFmtId="172" formatCode="0.0000"/>
    <numFmt numFmtId="173" formatCode="0.00%"/>
    <numFmt numFmtId="174" formatCode="0.000%"/>
    <numFmt numFmtId="175" formatCode="0.00000"/>
    <numFmt numFmtId="176" formatCode="0%"/>
    <numFmt numFmtId="177" formatCode="0.000000"/>
    <numFmt numFmtId="178" formatCode="0.0E+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3D6"/>
        <bgColor rgb="FFE8F0EC"/>
      </patternFill>
    </fill>
    <fill>
      <patternFill patternType="solid">
        <fgColor rgb="FFE8F0EC"/>
        <bgColor rgb="FFFFF3D6"/>
      </patternFill>
    </fill>
    <fill>
      <patternFill patternType="solid">
        <fgColor rgb="FF0B3D2E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4BEC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ECE"/>
      <rgbColor rgb="FF808080"/>
      <rgbColor rgb="FF9999FF"/>
      <rgbColor rgb="FF993366"/>
      <rgbColor rgb="FFFFF3D6"/>
      <rgbColor rgb="FFE8F0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B3D2E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0"/>
  </cols>
  <sheetData>
    <row r="1" customFormat="false" ht="1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23.85" hidden="false" customHeight="false" outlineLevel="0" collapsed="false">
      <c r="B4" s="3" t="s">
        <v>2</v>
      </c>
    </row>
    <row r="5" customFormat="false" ht="15" hidden="false" customHeight="false" outlineLevel="0" collapsed="false">
      <c r="B5" s="3" t="s">
        <v>3</v>
      </c>
    </row>
    <row r="6" customFormat="false" ht="23.85" hidden="false" customHeight="false" outlineLevel="0" collapsed="false">
      <c r="B6" s="3" t="s">
        <v>4</v>
      </c>
    </row>
    <row r="7" customFormat="false" ht="23.85" hidden="false" customHeight="false" outlineLevel="0" collapsed="false">
      <c r="B7" s="3" t="s">
        <v>5</v>
      </c>
    </row>
    <row r="8" customFormat="false" ht="23.85" hidden="false" customHeight="false" outlineLevel="0" collapsed="false">
      <c r="B8" s="3" t="s">
        <v>6</v>
      </c>
    </row>
    <row r="9" customFormat="false" ht="23.85" hidden="false" customHeight="false" outlineLevel="0" collapsed="false">
      <c r="B9" s="3" t="s">
        <v>7</v>
      </c>
    </row>
    <row r="10" customFormat="false" ht="15" hidden="false" customHeight="false" outlineLevel="0" collapsed="false">
      <c r="B10" s="3" t="s">
        <v>8</v>
      </c>
    </row>
    <row r="11" customFormat="false" ht="15" hidden="false" customHeight="false" outlineLevel="0" collapsed="false">
      <c r="B11" s="3" t="s">
        <v>9</v>
      </c>
    </row>
    <row r="12" customFormat="false" ht="15" hidden="false" customHeight="false" outlineLevel="0" collapsed="false">
      <c r="B12" s="3" t="s">
        <v>10</v>
      </c>
    </row>
    <row r="13" customFormat="false" ht="15" hidden="false" customHeight="false" outlineLevel="0" collapsed="false">
      <c r="B13" s="3" t="s">
        <v>11</v>
      </c>
    </row>
    <row r="15" customFormat="false" ht="15" hidden="false" customHeight="false" outlineLevel="0" collapsed="false">
      <c r="B15" s="4" t="s">
        <v>12</v>
      </c>
    </row>
    <row r="16" customFormat="false" ht="15" hidden="false" customHeight="false" outlineLevel="0" collapsed="false">
      <c r="B16" s="5" t="s">
        <v>13</v>
      </c>
    </row>
    <row r="17" customFormat="false" ht="15" hidden="false" customHeight="false" outlineLevel="0" collapsed="false">
      <c r="B17" s="2" t="s">
        <v>14</v>
      </c>
    </row>
    <row r="18" customFormat="false" ht="15" hidden="false" customHeight="false" outlineLevel="0" collapsed="false">
      <c r="B18" s="6" t="s">
        <v>15</v>
      </c>
    </row>
    <row r="19" customFormat="false" ht="15" hidden="false" customHeight="false" outlineLevel="0" collapsed="false">
      <c r="B19" s="7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2"/>
    <col collapsed="false" customWidth="true" hidden="false" outlineLevel="0" max="3" min="3" style="0" width="62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1" t="s">
        <v>17</v>
      </c>
    </row>
    <row r="3" customFormat="false" ht="15" hidden="false" customHeight="false" outlineLevel="0" collapsed="false">
      <c r="A3" s="8" t="s">
        <v>18</v>
      </c>
      <c r="B3" s="8" t="s">
        <v>19</v>
      </c>
      <c r="C3" s="8" t="s">
        <v>20</v>
      </c>
      <c r="D3" s="8" t="s">
        <v>21</v>
      </c>
    </row>
    <row r="4" customFormat="false" ht="15" hidden="false" customHeight="false" outlineLevel="0" collapsed="false">
      <c r="A4" s="2" t="s">
        <v>22</v>
      </c>
      <c r="B4" s="9" t="n">
        <v>620</v>
      </c>
      <c r="C4" s="10" t="s">
        <v>23</v>
      </c>
      <c r="D4" s="10" t="s">
        <v>24</v>
      </c>
    </row>
    <row r="5" customFormat="false" ht="15" hidden="false" customHeight="false" outlineLevel="0" collapsed="false">
      <c r="A5" s="2" t="s">
        <v>25</v>
      </c>
      <c r="B5" s="9" t="n">
        <v>350</v>
      </c>
      <c r="C5" s="10" t="s">
        <v>26</v>
      </c>
      <c r="D5" s="10" t="s">
        <v>27</v>
      </c>
    </row>
    <row r="6" customFormat="false" ht="15" hidden="false" customHeight="false" outlineLevel="0" collapsed="false">
      <c r="A6" s="2" t="s">
        <v>28</v>
      </c>
      <c r="B6" s="11" t="n">
        <f aca="false">B4-B5</f>
        <v>270</v>
      </c>
      <c r="C6" s="10" t="s">
        <v>29</v>
      </c>
      <c r="D6" s="10" t="s">
        <v>30</v>
      </c>
    </row>
    <row r="7" customFormat="false" ht="15" hidden="false" customHeight="false" outlineLevel="0" collapsed="false">
      <c r="A7" s="2" t="s">
        <v>31</v>
      </c>
      <c r="B7" s="12" t="n">
        <v>6.2</v>
      </c>
      <c r="C7" s="10" t="s">
        <v>32</v>
      </c>
      <c r="D7" s="10" t="s">
        <v>33</v>
      </c>
    </row>
    <row r="8" customFormat="false" ht="15" hidden="false" customHeight="false" outlineLevel="0" collapsed="false">
      <c r="A8" s="2" t="s">
        <v>34</v>
      </c>
      <c r="B8" s="9" t="n">
        <v>112</v>
      </c>
      <c r="C8" s="10" t="s">
        <v>35</v>
      </c>
      <c r="D8" s="10" t="s">
        <v>36</v>
      </c>
    </row>
    <row r="9" customFormat="false" ht="15" hidden="false" customHeight="false" outlineLevel="0" collapsed="false">
      <c r="A9" s="2" t="s">
        <v>37</v>
      </c>
      <c r="B9" s="13" t="n">
        <v>0.35</v>
      </c>
      <c r="C9" s="10" t="s">
        <v>35</v>
      </c>
      <c r="D9" s="10" t="s">
        <v>38</v>
      </c>
    </row>
    <row r="10" customFormat="false" ht="15" hidden="false" customHeight="false" outlineLevel="0" collapsed="false">
      <c r="A10" s="2" t="s">
        <v>39</v>
      </c>
      <c r="B10" s="12" t="n">
        <v>28</v>
      </c>
      <c r="C10" s="10" t="s">
        <v>40</v>
      </c>
      <c r="D10" s="10" t="s">
        <v>41</v>
      </c>
    </row>
    <row r="11" customFormat="false" ht="15" hidden="false" customHeight="false" outlineLevel="0" collapsed="false">
      <c r="A11" s="2" t="s">
        <v>42</v>
      </c>
      <c r="B11" s="12" t="n">
        <v>2</v>
      </c>
      <c r="C11" s="10" t="s">
        <v>40</v>
      </c>
      <c r="D11" s="10" t="s">
        <v>43</v>
      </c>
    </row>
    <row r="12" customFormat="false" ht="15" hidden="false" customHeight="false" outlineLevel="0" collapsed="false">
      <c r="A12" s="2" t="s">
        <v>44</v>
      </c>
      <c r="B12" s="12" t="n">
        <v>4</v>
      </c>
      <c r="C12" s="10" t="s">
        <v>45</v>
      </c>
      <c r="D12" s="10" t="s">
        <v>46</v>
      </c>
    </row>
    <row r="13" customFormat="false" ht="15" hidden="false" customHeight="false" outlineLevel="0" collapsed="false">
      <c r="A13" s="2" t="s">
        <v>47</v>
      </c>
      <c r="B13" s="14" t="n">
        <v>0.01</v>
      </c>
      <c r="C13" s="10" t="s">
        <v>48</v>
      </c>
      <c r="D13" s="10" t="s">
        <v>49</v>
      </c>
    </row>
    <row r="14" customFormat="false" ht="15" hidden="false" customHeight="false" outlineLevel="0" collapsed="false">
      <c r="A14" s="2" t="s">
        <v>50</v>
      </c>
      <c r="B14" s="9" t="n">
        <v>3</v>
      </c>
      <c r="C14" s="10" t="s">
        <v>51</v>
      </c>
      <c r="D14" s="10" t="s">
        <v>52</v>
      </c>
    </row>
    <row r="15" customFormat="false" ht="15" hidden="false" customHeight="false" outlineLevel="0" collapsed="false">
      <c r="A15" s="2" t="s">
        <v>53</v>
      </c>
      <c r="B15" s="15" t="n">
        <f aca="false">B13*B14</f>
        <v>0.03</v>
      </c>
      <c r="C15" s="10" t="s">
        <v>54</v>
      </c>
      <c r="D15" s="10" t="s">
        <v>55</v>
      </c>
    </row>
    <row r="16" customFormat="false" ht="15" hidden="false" customHeight="false" outlineLevel="0" collapsed="false">
      <c r="A16" s="2" t="s">
        <v>56</v>
      </c>
      <c r="B16" s="12" t="n">
        <v>8</v>
      </c>
      <c r="C16" s="10" t="s">
        <v>57</v>
      </c>
      <c r="D16" s="10" t="s">
        <v>58</v>
      </c>
    </row>
    <row r="17" customFormat="false" ht="15" hidden="false" customHeight="false" outlineLevel="0" collapsed="false">
      <c r="A17" s="2" t="s">
        <v>59</v>
      </c>
      <c r="B17" s="14" t="n">
        <v>0.05</v>
      </c>
      <c r="C17" s="10" t="s">
        <v>60</v>
      </c>
      <c r="D17" s="10" t="s">
        <v>61</v>
      </c>
    </row>
    <row r="18" customFormat="false" ht="15" hidden="false" customHeight="false" outlineLevel="0" collapsed="false">
      <c r="A18" s="2" t="s">
        <v>62</v>
      </c>
      <c r="B18" s="16" t="n">
        <v>4200</v>
      </c>
      <c r="C18" s="10" t="s">
        <v>63</v>
      </c>
      <c r="D18" s="10" t="s">
        <v>62</v>
      </c>
    </row>
    <row r="19" customFormat="false" ht="15" hidden="false" customHeight="false" outlineLevel="0" collapsed="false">
      <c r="A19" s="2" t="s">
        <v>64</v>
      </c>
      <c r="B19" s="14" t="n">
        <v>0.118</v>
      </c>
      <c r="C19" s="10" t="s">
        <v>63</v>
      </c>
      <c r="D19" s="10" t="s">
        <v>65</v>
      </c>
    </row>
    <row r="20" customFormat="false" ht="15" hidden="false" customHeight="false" outlineLevel="0" collapsed="false">
      <c r="A20" s="2" t="s">
        <v>66</v>
      </c>
      <c r="B20" s="17" t="n">
        <f aca="false">B18*B19</f>
        <v>495.6</v>
      </c>
      <c r="C20" s="10" t="s">
        <v>67</v>
      </c>
      <c r="D20" s="10" t="s">
        <v>68</v>
      </c>
    </row>
    <row r="21" customFormat="false" ht="15" hidden="false" customHeight="false" outlineLevel="0" collapsed="false">
      <c r="A21" s="2" t="s">
        <v>69</v>
      </c>
      <c r="B21" s="12" t="n">
        <v>3.4</v>
      </c>
      <c r="C21" s="10" t="s">
        <v>26</v>
      </c>
      <c r="D21" s="10" t="s">
        <v>70</v>
      </c>
    </row>
    <row r="22" customFormat="false" ht="15" hidden="false" customHeight="false" outlineLevel="0" collapsed="false">
      <c r="A22" s="2" t="s">
        <v>71</v>
      </c>
      <c r="B22" s="18" t="n">
        <f aca="false">B21*B20</f>
        <v>1685.04</v>
      </c>
      <c r="C22" s="10" t="s">
        <v>72</v>
      </c>
      <c r="D22" s="10" t="s">
        <v>73</v>
      </c>
    </row>
    <row r="23" customFormat="false" ht="15" hidden="false" customHeight="false" outlineLevel="0" collapsed="false">
      <c r="A23" s="2" t="s">
        <v>74</v>
      </c>
      <c r="B23" s="12" t="n">
        <v>4.5</v>
      </c>
      <c r="C23" s="10" t="s">
        <v>75</v>
      </c>
      <c r="D23" s="10" t="s">
        <v>76</v>
      </c>
    </row>
    <row r="24" customFormat="false" ht="15" hidden="false" customHeight="false" outlineLevel="0" collapsed="false">
      <c r="A24" s="2" t="s">
        <v>77</v>
      </c>
      <c r="B24" s="9" t="n">
        <v>58</v>
      </c>
      <c r="C24" s="10" t="s">
        <v>78</v>
      </c>
      <c r="D24" s="10" t="s">
        <v>79</v>
      </c>
    </row>
    <row r="25" customFormat="false" ht="15" hidden="false" customHeight="false" outlineLevel="0" collapsed="false">
      <c r="A25" s="2" t="s">
        <v>80</v>
      </c>
      <c r="B25" s="9" t="n">
        <v>55</v>
      </c>
      <c r="C25" s="10" t="s">
        <v>81</v>
      </c>
      <c r="D25" s="10" t="s">
        <v>82</v>
      </c>
    </row>
    <row r="26" customFormat="false" ht="15" hidden="false" customHeight="false" outlineLevel="0" collapsed="false">
      <c r="A26" s="2" t="s">
        <v>83</v>
      </c>
      <c r="B26" s="12" t="n">
        <v>0.6</v>
      </c>
      <c r="C26" s="10" t="s">
        <v>84</v>
      </c>
      <c r="D26" s="10" t="s">
        <v>85</v>
      </c>
    </row>
    <row r="27" customFormat="false" ht="15" hidden="false" customHeight="false" outlineLevel="0" collapsed="false">
      <c r="A27" s="2" t="s">
        <v>86</v>
      </c>
      <c r="B27" s="9" t="n">
        <v>50</v>
      </c>
      <c r="C27" s="10" t="s">
        <v>84</v>
      </c>
      <c r="D27" s="10" t="s">
        <v>87</v>
      </c>
    </row>
    <row r="28" customFormat="false" ht="15" hidden="false" customHeight="false" outlineLevel="0" collapsed="false">
      <c r="A28" s="2" t="s">
        <v>88</v>
      </c>
      <c r="B28" s="13" t="n">
        <v>0.1</v>
      </c>
      <c r="C28" s="10" t="s">
        <v>84</v>
      </c>
      <c r="D28" s="10" t="s">
        <v>89</v>
      </c>
    </row>
    <row r="29" customFormat="false" ht="15" hidden="false" customHeight="false" outlineLevel="0" collapsed="false">
      <c r="A29" s="2" t="s">
        <v>90</v>
      </c>
      <c r="B29" s="9" t="n">
        <v>120</v>
      </c>
      <c r="C29" s="10" t="s">
        <v>84</v>
      </c>
      <c r="D29" s="10" t="s">
        <v>91</v>
      </c>
    </row>
    <row r="30" customFormat="false" ht="15" hidden="false" customHeight="false" outlineLevel="0" collapsed="false">
      <c r="A30" s="2" t="s">
        <v>92</v>
      </c>
      <c r="B30" s="9" t="n">
        <v>50</v>
      </c>
      <c r="C30" s="10" t="s">
        <v>84</v>
      </c>
      <c r="D30" s="10" t="s">
        <v>93</v>
      </c>
    </row>
    <row r="31" customFormat="false" ht="15" hidden="false" customHeight="false" outlineLevel="0" collapsed="false">
      <c r="A31" s="2" t="s">
        <v>94</v>
      </c>
      <c r="B31" s="19" t="n">
        <f aca="false">(B29/B30)^2</f>
        <v>5.76</v>
      </c>
      <c r="C31" s="10" t="s">
        <v>95</v>
      </c>
      <c r="D31" s="10" t="s">
        <v>96</v>
      </c>
    </row>
    <row r="32" customFormat="false" ht="15" hidden="false" customHeight="false" outlineLevel="0" collapsed="false">
      <c r="A32" s="2" t="s">
        <v>97</v>
      </c>
      <c r="B32" s="19" t="n">
        <f aca="false">B30^2/B29</f>
        <v>20.8333333333333</v>
      </c>
      <c r="C32" s="10" t="s">
        <v>98</v>
      </c>
      <c r="D32" s="10" t="s">
        <v>99</v>
      </c>
    </row>
    <row r="33" customFormat="false" ht="15" hidden="false" customHeight="false" outlineLevel="0" collapsed="false">
      <c r="A33" s="2" t="s">
        <v>100</v>
      </c>
      <c r="B33" s="16" t="n">
        <v>100000</v>
      </c>
      <c r="C33" s="10" t="s">
        <v>84</v>
      </c>
      <c r="D33" s="10" t="s">
        <v>101</v>
      </c>
    </row>
    <row r="34" customFormat="false" ht="15" hidden="false" customHeight="false" outlineLevel="0" collapsed="false">
      <c r="A34" s="2" t="s">
        <v>102</v>
      </c>
      <c r="B34" s="9" t="n">
        <v>8</v>
      </c>
      <c r="C34" s="10" t="s">
        <v>103</v>
      </c>
      <c r="D34" s="10" t="s">
        <v>104</v>
      </c>
    </row>
    <row r="36" customFormat="false" ht="15" hidden="false" customHeight="false" outlineLevel="0" collapsed="false">
      <c r="A36" s="10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6" min="5" style="0" width="18"/>
    <col collapsed="false" customWidth="true" hidden="false" outlineLevel="0" max="7" min="7" style="0" width="22"/>
    <col collapsed="false" customWidth="true" hidden="false" outlineLevel="0" max="8" min="8" style="0" width="18"/>
    <col collapsed="false" customWidth="true" hidden="false" outlineLevel="0" max="9" min="9" style="0" width="22"/>
  </cols>
  <sheetData>
    <row r="1" customFormat="false" ht="15" hidden="false" customHeight="false" outlineLevel="0" collapsed="false">
      <c r="A1" s="1" t="s">
        <v>106</v>
      </c>
    </row>
    <row r="2" customFormat="false" ht="15" hidden="false" customHeight="false" outlineLevel="0" collapsed="false">
      <c r="A2" s="10" t="s">
        <v>107</v>
      </c>
    </row>
    <row r="5" customFormat="false" ht="23.85" hidden="false" customHeight="false" outlineLevel="0" collapsed="false">
      <c r="A5" s="8" t="s">
        <v>108</v>
      </c>
      <c r="B5" s="8" t="s">
        <v>109</v>
      </c>
      <c r="C5" s="8" t="s">
        <v>110</v>
      </c>
      <c r="D5" s="8" t="s">
        <v>111</v>
      </c>
      <c r="E5" s="8" t="s">
        <v>112</v>
      </c>
      <c r="F5" s="8" t="s">
        <v>113</v>
      </c>
      <c r="G5" s="8" t="s">
        <v>114</v>
      </c>
      <c r="H5" s="8" t="s">
        <v>115</v>
      </c>
      <c r="I5" s="8" t="s">
        <v>116</v>
      </c>
    </row>
    <row r="6" customFormat="false" ht="15" hidden="false" customHeight="false" outlineLevel="0" collapsed="false">
      <c r="A6" s="11" t="n">
        <v>0</v>
      </c>
      <c r="B6" s="19" t="n">
        <f aca="false">A6/4</f>
        <v>0</v>
      </c>
      <c r="C6" s="20" t="n">
        <f aca="false">Liq_target+(100-Liq_target)*EXP(-Relax*B6)</f>
        <v>100</v>
      </c>
      <c r="D6" s="21" t="n">
        <f aca="false">(B6/Tau)*EXP(1-B6/Tau)</f>
        <v>0</v>
      </c>
      <c r="E6" s="17" t="n">
        <f aca="false">Usd_pt*(C6-Depth0*D6)</f>
        <v>620</v>
      </c>
      <c r="F6" s="17" t="n">
        <f aca="false">Usd_pt*(C6-(Depth0-2*Depth_per_q)*D6)</f>
        <v>620</v>
      </c>
      <c r="G6" s="17" t="n">
        <f aca="false">Usd_pt*(C6-Solve!$B$8*D6)</f>
        <v>620</v>
      </c>
      <c r="H6" s="17" t="n">
        <f aca="false">Lam/4*A6*J_mean</f>
        <v>0</v>
      </c>
      <c r="I6" s="17" t="n">
        <f aca="false">E6-H6</f>
        <v>620</v>
      </c>
    </row>
    <row r="7" customFormat="false" ht="15" hidden="false" customHeight="false" outlineLevel="0" collapsed="false">
      <c r="A7" s="11" t="n">
        <v>1</v>
      </c>
      <c r="B7" s="19" t="n">
        <f aca="false">A7/4</f>
        <v>0.25</v>
      </c>
      <c r="C7" s="20" t="n">
        <f aca="false">Liq_target+(100-Liq_target)*EXP(-Relax*B7)</f>
        <v>101.005373540189</v>
      </c>
      <c r="D7" s="21" t="n">
        <f aca="false">(B7/Tau)*EXP(1-B7/Tau)</f>
        <v>0.299859411745887</v>
      </c>
      <c r="E7" s="17" t="n">
        <f aca="false">Usd_pt*(C7-Depth0*D7)</f>
        <v>574.177722070089</v>
      </c>
      <c r="F7" s="17" t="n">
        <f aca="false">Usd_pt*(C7-(Depth0-2*Depth_per_q)*D7)</f>
        <v>589.050748892685</v>
      </c>
      <c r="G7" s="17" t="n">
        <f aca="false">Usd_pt*(C7-Solve!$B$8*D7)</f>
        <v>579.142162634903</v>
      </c>
      <c r="H7" s="17" t="n">
        <f aca="false">Lam/4*A7*J_mean</f>
        <v>3</v>
      </c>
      <c r="I7" s="17" t="n">
        <f aca="false">E7-H7</f>
        <v>571.177722070089</v>
      </c>
    </row>
    <row r="8" customFormat="false" ht="15" hidden="false" customHeight="false" outlineLevel="0" collapsed="false">
      <c r="A8" s="11" t="n">
        <v>2</v>
      </c>
      <c r="B8" s="19" t="n">
        <f aca="false">A8/4</f>
        <v>0.5</v>
      </c>
      <c r="C8" s="20" t="n">
        <f aca="false">Liq_target+(100-Liq_target)*EXP(-Relax*B8)</f>
        <v>101.92651575077</v>
      </c>
      <c r="D8" s="21" t="n">
        <f aca="false">(B8/Tau)*EXP(1-B8/Tau)</f>
        <v>0.529250004153169</v>
      </c>
      <c r="E8" s="17" t="n">
        <f aca="false">Usd_pt*(C8-Depth0*D8)</f>
        <v>540.066596933781</v>
      </c>
      <c r="F8" s="17" t="n">
        <f aca="false">Usd_pt*(C8-(Depth0-2*Depth_per_q)*D8)</f>
        <v>566.317397139778</v>
      </c>
      <c r="G8" s="17" t="n">
        <f aca="false">Usd_pt*(C8-Solve!$B$8*D8)</f>
        <v>548.828803776809</v>
      </c>
      <c r="H8" s="17" t="n">
        <f aca="false">Lam/4*A8*J_mean</f>
        <v>6</v>
      </c>
      <c r="I8" s="17" t="n">
        <f aca="false">E8-H8</f>
        <v>534.066596933781</v>
      </c>
    </row>
    <row r="9" customFormat="false" ht="15" hidden="false" customHeight="false" outlineLevel="0" collapsed="false">
      <c r="A9" s="11" t="n">
        <v>3</v>
      </c>
      <c r="B9" s="19" t="n">
        <f aca="false">A9/4</f>
        <v>0.75</v>
      </c>
      <c r="C9" s="20" t="n">
        <f aca="false">Liq_target+(100-Liq_target)*EXP(-Relax*B9)</f>
        <v>102.770483627577</v>
      </c>
      <c r="D9" s="21" t="n">
        <f aca="false">(B9/Tau)*EXP(1-B9/Tau)</f>
        <v>0.700592234037083</v>
      </c>
      <c r="E9" s="17" t="n">
        <f aca="false">Usd_pt*(C9-Depth0*D9)</f>
        <v>515.554186662141</v>
      </c>
      <c r="F9" s="17" t="n">
        <f aca="false">Usd_pt*(C9-(Depth0-2*Depth_per_q)*D9)</f>
        <v>550.30356147038</v>
      </c>
      <c r="G9" s="17" t="n">
        <f aca="false">Usd_pt*(C9-Solve!$B$8*D9)</f>
        <v>527.153117260308</v>
      </c>
      <c r="H9" s="17" t="n">
        <f aca="false">Lam/4*A9*J_mean</f>
        <v>9</v>
      </c>
      <c r="I9" s="17" t="n">
        <f aca="false">E9-H9</f>
        <v>506.554186662141</v>
      </c>
    </row>
    <row r="10" customFormat="false" ht="15" hidden="false" customHeight="false" outlineLevel="0" collapsed="false">
      <c r="A10" s="11" t="n">
        <v>4</v>
      </c>
      <c r="B10" s="19" t="n">
        <f aca="false">A10/4</f>
        <v>1</v>
      </c>
      <c r="C10" s="20" t="n">
        <f aca="false">Liq_target+(100-Liq_target)*EXP(-Relax*B10)</f>
        <v>103.543742923375</v>
      </c>
      <c r="D10" s="21" t="n">
        <f aca="false">(B10/Tau)*EXP(1-B10/Tau)</f>
        <v>0.824360635350064</v>
      </c>
      <c r="E10" s="17" t="n">
        <f aca="false">Usd_pt*(C10-Depth0*D10)</f>
        <v>498.862199828157</v>
      </c>
      <c r="F10" s="17" t="n">
        <f aca="false">Usd_pt*(C10-(Depth0-2*Depth_per_q)*D10)</f>
        <v>539.75048734152</v>
      </c>
      <c r="G10" s="17" t="n">
        <f aca="false">Usd_pt*(C10-Solve!$B$8*D10)</f>
        <v>512.510226929725</v>
      </c>
      <c r="H10" s="17" t="n">
        <f aca="false">Lam/4*A10*J_mean</f>
        <v>12</v>
      </c>
      <c r="I10" s="17" t="n">
        <f aca="false">E10-H10</f>
        <v>486.862199828157</v>
      </c>
    </row>
    <row r="11" customFormat="false" ht="15" hidden="false" customHeight="false" outlineLevel="0" collapsed="false">
      <c r="A11" s="11" t="n">
        <v>5</v>
      </c>
      <c r="B11" s="19" t="n">
        <f aca="false">A11/4</f>
        <v>1.25</v>
      </c>
      <c r="C11" s="20" t="n">
        <f aca="false">Liq_target+(100-Liq_target)*EXP(-Relax*B11)</f>
        <v>104.252217682865</v>
      </c>
      <c r="D11" s="21" t="n">
        <f aca="false">(B11/Tau)*EXP(1-B11/Tau)</f>
        <v>0.909369634136376</v>
      </c>
      <c r="E11" s="17" t="n">
        <f aca="false">Usd_pt*(C11-Depth0*D11)</f>
        <v>488.49718114769</v>
      </c>
      <c r="F11" s="17" t="n">
        <f aca="false">Usd_pt*(C11-(Depth0-2*Depth_per_q)*D11)</f>
        <v>533.601915000854</v>
      </c>
      <c r="G11" s="17" t="n">
        <f aca="false">Usd_pt*(C11-Solve!$B$8*D11)</f>
        <v>503.552608202096</v>
      </c>
      <c r="H11" s="17" t="n">
        <f aca="false">Lam/4*A11*J_mean</f>
        <v>15</v>
      </c>
      <c r="I11" s="17" t="n">
        <f aca="false">E11-H11</f>
        <v>473.49718114769</v>
      </c>
    </row>
    <row r="12" customFormat="false" ht="15" hidden="false" customHeight="false" outlineLevel="0" collapsed="false">
      <c r="A12" s="11" t="n">
        <v>6</v>
      </c>
      <c r="B12" s="19" t="n">
        <f aca="false">A12/4</f>
        <v>1.5</v>
      </c>
      <c r="C12" s="20" t="n">
        <f aca="false">Liq_target+(100-Liq_target)*EXP(-Relax*B12)</f>
        <v>104.901335627598</v>
      </c>
      <c r="D12" s="21" t="n">
        <f aca="false">(B12/Tau)*EXP(1-B12/Tau)</f>
        <v>0.963019062515806</v>
      </c>
      <c r="E12" s="17" t="n">
        <f aca="false">Usd_pt*(C12-Depth0*D12)</f>
        <v>483.208171638365</v>
      </c>
      <c r="F12" s="17" t="n">
        <f aca="false">Usd_pt*(C12-(Depth0-2*Depth_per_q)*D12)</f>
        <v>530.973917139149</v>
      </c>
      <c r="G12" s="17" t="n">
        <f aca="false">Usd_pt*(C12-Solve!$B$8*D12)</f>
        <v>499.151812929487</v>
      </c>
      <c r="H12" s="17" t="n">
        <f aca="false">Lam/4*A12*J_mean</f>
        <v>18</v>
      </c>
      <c r="I12" s="17" t="n">
        <f aca="false">E12-H12</f>
        <v>465.208171638365</v>
      </c>
    </row>
    <row r="13" customFormat="false" ht="15" hidden="false" customHeight="false" outlineLevel="0" collapsed="false">
      <c r="A13" s="11" t="n">
        <v>7</v>
      </c>
      <c r="B13" s="19" t="n">
        <f aca="false">A13/4</f>
        <v>1.75</v>
      </c>
      <c r="C13" s="20" t="n">
        <f aca="false">Liq_target+(100-Liq_target)*EXP(-Relax*B13)</f>
        <v>105.49606973849</v>
      </c>
      <c r="D13" s="21" t="n">
        <f aca="false">(B13/Tau)*EXP(1-B13/Tau)</f>
        <v>0.991504896433473</v>
      </c>
      <c r="E13" s="17" t="n">
        <f aca="false">Usd_pt*(C13-Depth0*D13)</f>
        <v>481.950382357786</v>
      </c>
      <c r="F13" s="17" t="n">
        <f aca="false">Usd_pt*(C13-(Depth0-2*Depth_per_q)*D13)</f>
        <v>531.129025220886</v>
      </c>
      <c r="G13" s="17" t="n">
        <f aca="false">Usd_pt*(C13-Solve!$B$8*D13)</f>
        <v>498.36563208901</v>
      </c>
      <c r="H13" s="17" t="n">
        <f aca="false">Lam/4*A13*J_mean</f>
        <v>21</v>
      </c>
      <c r="I13" s="17" t="n">
        <f aca="false">E13-H13</f>
        <v>460.950382357786</v>
      </c>
    </row>
    <row r="14" customFormat="false" ht="15" hidden="false" customHeight="false" outlineLevel="0" collapsed="false">
      <c r="A14" s="11" t="n">
        <v>8</v>
      </c>
      <c r="B14" s="19" t="n">
        <f aca="false">A14/4</f>
        <v>2</v>
      </c>
      <c r="C14" s="20" t="n">
        <f aca="false">Liq_target+(100-Liq_target)*EXP(-Relax*B14)</f>
        <v>106.040976354503</v>
      </c>
      <c r="D14" s="21" t="n">
        <f aca="false">(B14/Tau)*EXP(1-B14/Tau)</f>
        <v>1</v>
      </c>
      <c r="E14" s="17" t="n">
        <f aca="false">Usd_pt*(C14-Depth0*D14)</f>
        <v>483.854053397919</v>
      </c>
      <c r="F14" s="17" t="n">
        <f aca="false">Usd_pt*(C14-(Depth0-2*Depth_per_q)*D14)</f>
        <v>533.454053397919</v>
      </c>
      <c r="G14" s="17" t="n">
        <f aca="false">Usd_pt*(C14-Solve!$B$8*D14)</f>
        <v>500.4099471613</v>
      </c>
      <c r="H14" s="17" t="n">
        <f aca="false">Lam/4*A14*J_mean</f>
        <v>24</v>
      </c>
      <c r="I14" s="17" t="n">
        <f aca="false">E14-H14</f>
        <v>459.854053397919</v>
      </c>
    </row>
    <row r="15" customFormat="false" ht="15" hidden="false" customHeight="false" outlineLevel="0" collapsed="false">
      <c r="A15" s="11" t="n">
        <v>9</v>
      </c>
      <c r="B15" s="19" t="n">
        <f aca="false">A15/4</f>
        <v>2.25</v>
      </c>
      <c r="C15" s="20" t="n">
        <f aca="false">Liq_target+(100-Liq_target)*EXP(-Relax*B15)</f>
        <v>106.540230079382</v>
      </c>
      <c r="D15" s="21" t="n">
        <f aca="false">(B15/Tau)*EXP(1-B15/Tau)</f>
        <v>0.99280901540767</v>
      </c>
      <c r="E15" s="17" t="n">
        <f aca="false">Usd_pt*(C15-Depth0*D15)</f>
        <v>488.197781417396</v>
      </c>
      <c r="F15" s="17" t="n">
        <f aca="false">Usd_pt*(C15-(Depth0-2*Depth_per_q)*D15)</f>
        <v>537.441108581617</v>
      </c>
      <c r="G15" s="17" t="n">
        <f aca="false">Usd_pt*(C15-Solve!$B$8*D15)</f>
        <v>504.634622003812</v>
      </c>
      <c r="H15" s="17" t="n">
        <f aca="false">Lam/4*A15*J_mean</f>
        <v>27</v>
      </c>
      <c r="I15" s="17" t="n">
        <f aca="false">E15-H15</f>
        <v>461.197781417396</v>
      </c>
    </row>
    <row r="16" customFormat="false" ht="15" hidden="false" customHeight="false" outlineLevel="0" collapsed="false">
      <c r="A16" s="11" t="n">
        <v>10</v>
      </c>
      <c r="B16" s="19" t="n">
        <f aca="false">A16/4</f>
        <v>2.5</v>
      </c>
      <c r="C16" s="20" t="n">
        <f aca="false">Liq_target+(100-Liq_target)*EXP(-Relax*B16)</f>
        <v>106.997655763858</v>
      </c>
      <c r="D16" s="21" t="n">
        <f aca="false">(B16/Tau)*EXP(1-B16/Tau)</f>
        <v>0.973500978839256</v>
      </c>
      <c r="E16" s="17" t="n">
        <f aca="false">Usd_pt*(C16-Depth0*D16)</f>
        <v>494.385695809424</v>
      </c>
      <c r="F16" s="17" t="n">
        <f aca="false">Usd_pt*(C16-(Depth0-2*Depth_per_q)*D16)</f>
        <v>542.671344359851</v>
      </c>
      <c r="G16" s="17" t="n">
        <f aca="false">Usd_pt*(C16-Solve!$B$8*D16)</f>
        <v>510.502874593634</v>
      </c>
      <c r="H16" s="17" t="n">
        <f aca="false">Lam/4*A16*J_mean</f>
        <v>30</v>
      </c>
      <c r="I16" s="17" t="n">
        <f aca="false">E16-H16</f>
        <v>464.385695809424</v>
      </c>
    </row>
    <row r="17" customFormat="false" ht="15" hidden="false" customHeight="false" outlineLevel="0" collapsed="false">
      <c r="A17" s="11" t="n">
        <v>11</v>
      </c>
      <c r="B17" s="19" t="n">
        <f aca="false">A17/4</f>
        <v>2.75</v>
      </c>
      <c r="C17" s="20" t="n">
        <f aca="false">Liq_target+(100-Liq_target)*EXP(-Relax*B17)</f>
        <v>107.416757808353</v>
      </c>
      <c r="D17" s="21" t="n">
        <f aca="false">(B17/Tau)*EXP(1-B17/Tau)</f>
        <v>0.945022758337587</v>
      </c>
      <c r="E17" s="17" t="n">
        <f aca="false">Usd_pt*(C17-Depth0*D17)</f>
        <v>501.927947564381</v>
      </c>
      <c r="F17" s="17" t="n">
        <f aca="false">Usd_pt*(C17-(Depth0-2*Depth_per_q)*D17)</f>
        <v>548.801076377926</v>
      </c>
      <c r="G17" s="17" t="n">
        <f aca="false">Usd_pt*(C17-Solve!$B$8*D17)</f>
        <v>517.573643955395</v>
      </c>
      <c r="H17" s="17" t="n">
        <f aca="false">Lam/4*A17*J_mean</f>
        <v>33</v>
      </c>
      <c r="I17" s="17" t="n">
        <f aca="false">E17-H17</f>
        <v>468.927947564381</v>
      </c>
    </row>
    <row r="18" customFormat="false" ht="15" hidden="false" customHeight="false" outlineLevel="0" collapsed="false">
      <c r="A18" s="11" t="n">
        <v>12</v>
      </c>
      <c r="B18" s="19" t="n">
        <f aca="false">A18/4</f>
        <v>3</v>
      </c>
      <c r="C18" s="20" t="n">
        <f aca="false">Liq_target+(100-Liq_target)*EXP(-Relax*B18)</f>
        <v>107.800747010666</v>
      </c>
      <c r="D18" s="21" t="n">
        <f aca="false">(B18/Tau)*EXP(1-B18/Tau)</f>
        <v>0.90979598956895</v>
      </c>
      <c r="E18" s="17" t="n">
        <f aca="false">Usd_pt*(C18-Depth0*D18)</f>
        <v>510.42404767696</v>
      </c>
      <c r="F18" s="17" t="n">
        <f aca="false">Usd_pt*(C18-(Depth0-2*Depth_per_q)*D18)</f>
        <v>555.54992875958</v>
      </c>
      <c r="G18" s="17" t="n">
        <f aca="false">Usd_pt*(C18-Solve!$B$8*D18)</f>
        <v>525.486533426613</v>
      </c>
      <c r="H18" s="17" t="n">
        <f aca="false">Lam/4*A18*J_mean</f>
        <v>36</v>
      </c>
      <c r="I18" s="17" t="n">
        <f aca="false">E18-H18</f>
        <v>474.42404767696</v>
      </c>
    </row>
    <row r="21" customFormat="false" ht="15" hidden="false" customHeight="false" outlineLevel="0" collapsed="false">
      <c r="A21" s="2" t="s">
        <v>117</v>
      </c>
      <c r="B21" s="19" t="n">
        <f aca="false">Liq0-MIN(E6:E18)</f>
        <v>138.049617642214</v>
      </c>
      <c r="C21" s="10" t="s">
        <v>118</v>
      </c>
    </row>
    <row r="22" customFormat="false" ht="15" hidden="false" customHeight="false" outlineLevel="0" collapsed="false">
      <c r="A22" s="2" t="s">
        <v>119</v>
      </c>
      <c r="B22" s="19" t="n">
        <f aca="false">Liq0-MIN(F6:F18)</f>
        <v>89.0260828608509</v>
      </c>
      <c r="C22" s="10" t="s">
        <v>120</v>
      </c>
    </row>
    <row r="23" customFormat="false" ht="15" hidden="false" customHeight="false" outlineLevel="0" collapsed="false">
      <c r="A23" s="2" t="s">
        <v>121</v>
      </c>
      <c r="B23" s="17" t="n">
        <f aca="false">B21-B22</f>
        <v>49.0235347813635</v>
      </c>
      <c r="C23" s="10" t="s">
        <v>122</v>
      </c>
    </row>
    <row r="24" customFormat="false" ht="15" hidden="false" customHeight="false" outlineLevel="0" collapsed="false">
      <c r="A24" s="2" t="s">
        <v>123</v>
      </c>
      <c r="B24" s="19" t="n">
        <f aca="false">Liq0-MIN(G6:G18)</f>
        <v>121.63436791099</v>
      </c>
      <c r="C24" s="10" t="s">
        <v>124</v>
      </c>
    </row>
    <row r="25" customFormat="false" ht="15" hidden="false" customHeight="false" outlineLevel="0" collapsed="false">
      <c r="A25" s="2" t="s">
        <v>125</v>
      </c>
      <c r="B25" s="19" t="n">
        <f aca="false">B21-B24</f>
        <v>16.415249731224</v>
      </c>
      <c r="C25" s="10" t="s">
        <v>126</v>
      </c>
    </row>
    <row r="27" customFormat="false" ht="15" hidden="false" customHeight="false" outlineLevel="0" collapsed="false">
      <c r="A27" s="2" t="s">
        <v>127</v>
      </c>
      <c r="B27" s="19" t="n">
        <f aca="false">MIN(I6:I18)</f>
        <v>459.854053397919</v>
      </c>
      <c r="C27" s="10" t="s">
        <v>128</v>
      </c>
    </row>
    <row r="28" customFormat="false" ht="15" hidden="false" customHeight="false" outlineLevel="0" collapsed="false">
      <c r="A28" s="2" t="s">
        <v>129</v>
      </c>
      <c r="B28" s="2" t="str">
        <f aca="false">IF(B27&gt;=Floor_m,"yes: buys nothing","no")</f>
        <v>yes: buys nothing</v>
      </c>
      <c r="C28" s="10"/>
    </row>
    <row r="30" customFormat="false" ht="15" hidden="false" customHeight="false" outlineLevel="0" collapsed="false">
      <c r="A30" s="2" t="s">
        <v>130</v>
      </c>
      <c r="B30" s="19" t="n">
        <f aca="false">GAMMAINV(0.9,G_shape,G_scale)</f>
        <v>186.866976370664</v>
      </c>
      <c r="C30" s="10" t="s">
        <v>131</v>
      </c>
    </row>
    <row r="31" customFormat="false" ht="15" hidden="false" customHeight="false" outlineLevel="0" collapsed="false">
      <c r="A31" s="2" t="s">
        <v>132</v>
      </c>
      <c r="B31" s="19" t="n">
        <f aca="false">MAX(B30-(Pool-B21),0)</f>
        <v>54.9165940128788</v>
      </c>
      <c r="C31" s="10" t="s">
        <v>133</v>
      </c>
    </row>
    <row r="32" customFormat="false" ht="15" hidden="false" customHeight="false" outlineLevel="0" collapsed="false">
      <c r="A32" s="2" t="s">
        <v>134</v>
      </c>
      <c r="B32" s="20" t="n">
        <f aca="false">Fee*B31</f>
        <v>1.64749782038636</v>
      </c>
      <c r="C32" s="10" t="s">
        <v>135</v>
      </c>
    </row>
    <row r="34" customFormat="false" ht="15" hidden="false" customHeight="false" outlineLevel="0" collapsed="false">
      <c r="A34" s="2" t="s">
        <v>136</v>
      </c>
      <c r="B34" s="17" t="n">
        <f aca="false">B24+MAX(B30-Solve!$B$5,0)</f>
        <v>138.501344281655</v>
      </c>
      <c r="C34" s="10" t="s">
        <v>137</v>
      </c>
    </row>
    <row r="35" customFormat="false" ht="15" hidden="false" customHeight="false" outlineLevel="0" collapsed="false">
      <c r="A35" s="2" t="s">
        <v>138</v>
      </c>
      <c r="B35" s="17" t="n">
        <f aca="false">B21+B30</f>
        <v>324.916594012879</v>
      </c>
      <c r="C35" s="10" t="s"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T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98" min="2" style="0" width="9"/>
  </cols>
  <sheetData>
    <row r="1" customFormat="false" ht="15" hidden="false" customHeight="false" outlineLevel="0" collapsed="false">
      <c r="A1" s="1" t="s">
        <v>140</v>
      </c>
    </row>
    <row r="2" customFormat="false" ht="15" hidden="false" customHeight="false" outlineLevel="0" collapsed="false">
      <c r="A2" s="10" t="s">
        <v>141</v>
      </c>
    </row>
    <row r="3" customFormat="false" ht="15" hidden="false" customHeight="false" outlineLevel="0" collapsed="false">
      <c r="A3" s="2" t="s">
        <v>142</v>
      </c>
      <c r="B3" s="22" t="n">
        <v>1000</v>
      </c>
      <c r="C3" s="22" t="n">
        <v>1250</v>
      </c>
      <c r="D3" s="22" t="n">
        <v>1500</v>
      </c>
      <c r="E3" s="22" t="n">
        <v>1750</v>
      </c>
      <c r="F3" s="22" t="n">
        <v>2000</v>
      </c>
      <c r="G3" s="22" t="n">
        <v>2250</v>
      </c>
      <c r="H3" s="22" t="n">
        <v>2500</v>
      </c>
      <c r="I3" s="22" t="n">
        <v>2750</v>
      </c>
      <c r="J3" s="22" t="n">
        <v>3000</v>
      </c>
      <c r="K3" s="22" t="n">
        <v>3250</v>
      </c>
      <c r="L3" s="22" t="n">
        <v>3500</v>
      </c>
      <c r="M3" s="22" t="n">
        <v>3750</v>
      </c>
      <c r="N3" s="22" t="n">
        <v>4000</v>
      </c>
      <c r="O3" s="22" t="n">
        <v>4250</v>
      </c>
      <c r="P3" s="22" t="n">
        <v>4500</v>
      </c>
      <c r="Q3" s="22" t="n">
        <v>4750</v>
      </c>
      <c r="R3" s="22" t="n">
        <v>5000</v>
      </c>
      <c r="S3" s="22" t="n">
        <v>5250</v>
      </c>
      <c r="T3" s="22" t="n">
        <v>5500</v>
      </c>
      <c r="U3" s="22" t="n">
        <v>5750</v>
      </c>
      <c r="V3" s="22" t="n">
        <v>6000</v>
      </c>
      <c r="W3" s="22" t="n">
        <v>6250</v>
      </c>
      <c r="X3" s="22" t="n">
        <v>6500</v>
      </c>
      <c r="Y3" s="22" t="n">
        <v>6750</v>
      </c>
      <c r="Z3" s="22" t="n">
        <v>7000</v>
      </c>
      <c r="AA3" s="22" t="n">
        <v>7250</v>
      </c>
      <c r="AB3" s="22" t="n">
        <v>7500</v>
      </c>
      <c r="AC3" s="22" t="n">
        <v>7750</v>
      </c>
      <c r="AD3" s="22" t="n">
        <v>8000</v>
      </c>
      <c r="AE3" s="22" t="n">
        <v>8250</v>
      </c>
      <c r="AF3" s="22" t="n">
        <v>8500</v>
      </c>
      <c r="AG3" s="22" t="n">
        <v>8750</v>
      </c>
      <c r="AH3" s="22" t="n">
        <v>9000</v>
      </c>
      <c r="AI3" s="22" t="n">
        <v>9250</v>
      </c>
      <c r="AJ3" s="22" t="n">
        <v>9500</v>
      </c>
      <c r="AK3" s="22" t="n">
        <v>9750</v>
      </c>
      <c r="AL3" s="22" t="n">
        <v>10000</v>
      </c>
      <c r="AM3" s="22" t="n">
        <v>10250</v>
      </c>
      <c r="AN3" s="22" t="n">
        <v>10500</v>
      </c>
      <c r="AO3" s="22" t="n">
        <v>10750</v>
      </c>
      <c r="AP3" s="22" t="n">
        <v>11000</v>
      </c>
      <c r="AQ3" s="22" t="n">
        <v>11250</v>
      </c>
      <c r="AR3" s="22" t="n">
        <v>11500</v>
      </c>
      <c r="AS3" s="22" t="n">
        <v>11750</v>
      </c>
      <c r="AT3" s="22" t="n">
        <v>12000</v>
      </c>
      <c r="AU3" s="22" t="n">
        <v>12250</v>
      </c>
      <c r="AV3" s="22" t="n">
        <v>12500</v>
      </c>
      <c r="AW3" s="22" t="n">
        <v>12750</v>
      </c>
      <c r="AX3" s="22" t="n">
        <v>13000</v>
      </c>
      <c r="AY3" s="22" t="n">
        <v>13250</v>
      </c>
      <c r="AZ3" s="22" t="n">
        <v>13500</v>
      </c>
      <c r="BA3" s="22" t="n">
        <v>13750</v>
      </c>
      <c r="BB3" s="22" t="n">
        <v>14000</v>
      </c>
      <c r="BC3" s="22" t="n">
        <v>14250</v>
      </c>
      <c r="BD3" s="22" t="n">
        <v>14500</v>
      </c>
      <c r="BE3" s="22" t="n">
        <v>14750</v>
      </c>
      <c r="BF3" s="22" t="n">
        <v>15000</v>
      </c>
      <c r="BG3" s="22" t="n">
        <v>15250</v>
      </c>
      <c r="BH3" s="22" t="n">
        <v>15500</v>
      </c>
      <c r="BI3" s="22" t="n">
        <v>15750</v>
      </c>
      <c r="BJ3" s="22" t="n">
        <v>16000</v>
      </c>
      <c r="BK3" s="22" t="n">
        <v>16250</v>
      </c>
      <c r="BL3" s="22" t="n">
        <v>16500</v>
      </c>
      <c r="BM3" s="22" t="n">
        <v>16750</v>
      </c>
      <c r="BN3" s="22" t="n">
        <v>17000</v>
      </c>
      <c r="BO3" s="22" t="n">
        <v>17250</v>
      </c>
      <c r="BP3" s="22" t="n">
        <v>17500</v>
      </c>
      <c r="BQ3" s="22" t="n">
        <v>17750</v>
      </c>
      <c r="BR3" s="22" t="n">
        <v>18000</v>
      </c>
      <c r="BS3" s="22" t="n">
        <v>18250</v>
      </c>
      <c r="BT3" s="22" t="n">
        <v>18500</v>
      </c>
      <c r="BU3" s="22" t="n">
        <v>18750</v>
      </c>
      <c r="BV3" s="22" t="n">
        <v>19000</v>
      </c>
      <c r="BW3" s="22" t="n">
        <v>19250</v>
      </c>
      <c r="BX3" s="22" t="n">
        <v>19500</v>
      </c>
      <c r="BY3" s="22" t="n">
        <v>19750</v>
      </c>
      <c r="BZ3" s="22" t="n">
        <v>20000</v>
      </c>
      <c r="CA3" s="22" t="n">
        <v>20250</v>
      </c>
      <c r="CB3" s="22" t="n">
        <v>20500</v>
      </c>
      <c r="CC3" s="22" t="n">
        <v>20750</v>
      </c>
      <c r="CD3" s="22" t="n">
        <v>21000</v>
      </c>
      <c r="CE3" s="22" t="n">
        <v>21250</v>
      </c>
      <c r="CF3" s="22" t="n">
        <v>21500</v>
      </c>
      <c r="CG3" s="22" t="n">
        <v>21750</v>
      </c>
      <c r="CH3" s="22" t="n">
        <v>22000</v>
      </c>
      <c r="CI3" s="22" t="n">
        <v>22250</v>
      </c>
      <c r="CJ3" s="22" t="n">
        <v>22500</v>
      </c>
      <c r="CK3" s="22" t="n">
        <v>22750</v>
      </c>
      <c r="CL3" s="22" t="n">
        <v>23000</v>
      </c>
      <c r="CM3" s="22" t="n">
        <v>23250</v>
      </c>
      <c r="CN3" s="22" t="n">
        <v>23500</v>
      </c>
      <c r="CO3" s="22" t="n">
        <v>23750</v>
      </c>
      <c r="CP3" s="22" t="n">
        <v>24000</v>
      </c>
      <c r="CQ3" s="22" t="n">
        <v>24250</v>
      </c>
      <c r="CR3" s="22" t="n">
        <v>24500</v>
      </c>
      <c r="CS3" s="22" t="n">
        <v>24600</v>
      </c>
      <c r="CT3" s="22" t="n">
        <v>3003</v>
      </c>
    </row>
    <row r="4" customFormat="false" ht="15" hidden="false" customHeight="false" outlineLevel="0" collapsed="false">
      <c r="A4" s="8" t="s">
        <v>143</v>
      </c>
      <c r="B4" s="23" t="n">
        <v>0.01</v>
      </c>
      <c r="C4" s="23" t="n">
        <v>0.0125</v>
      </c>
      <c r="D4" s="23" t="n">
        <v>0.015</v>
      </c>
      <c r="E4" s="23" t="n">
        <v>0.0175</v>
      </c>
      <c r="F4" s="23" t="n">
        <v>0.02</v>
      </c>
      <c r="G4" s="23" t="n">
        <v>0.0225</v>
      </c>
      <c r="H4" s="23" t="n">
        <v>0.025</v>
      </c>
      <c r="I4" s="23" t="n">
        <v>0.0275</v>
      </c>
      <c r="J4" s="23" t="n">
        <v>0.03</v>
      </c>
      <c r="K4" s="23" t="n">
        <v>0.0325</v>
      </c>
      <c r="L4" s="23" t="n">
        <v>0.035</v>
      </c>
      <c r="M4" s="23" t="n">
        <v>0.0375</v>
      </c>
      <c r="N4" s="23" t="n">
        <v>0.04</v>
      </c>
      <c r="O4" s="23" t="n">
        <v>0.0425</v>
      </c>
      <c r="P4" s="23" t="n">
        <v>0.045</v>
      </c>
      <c r="Q4" s="23" t="n">
        <v>0.0475</v>
      </c>
      <c r="R4" s="23" t="n">
        <v>0.05</v>
      </c>
      <c r="S4" s="23" t="n">
        <v>0.0525</v>
      </c>
      <c r="T4" s="23" t="n">
        <v>0.055</v>
      </c>
      <c r="U4" s="23" t="n">
        <v>0.0575</v>
      </c>
      <c r="V4" s="23" t="n">
        <v>0.06</v>
      </c>
      <c r="W4" s="23" t="n">
        <v>0.0625</v>
      </c>
      <c r="X4" s="23" t="n">
        <v>0.065</v>
      </c>
      <c r="Y4" s="23" t="n">
        <v>0.0675</v>
      </c>
      <c r="Z4" s="23" t="n">
        <v>0.07</v>
      </c>
      <c r="AA4" s="23" t="n">
        <v>0.0725</v>
      </c>
      <c r="AB4" s="23" t="n">
        <v>0.075</v>
      </c>
      <c r="AC4" s="23" t="n">
        <v>0.0775</v>
      </c>
      <c r="AD4" s="23" t="n">
        <v>0.08</v>
      </c>
      <c r="AE4" s="23" t="n">
        <v>0.0825</v>
      </c>
      <c r="AF4" s="23" t="n">
        <v>0.085</v>
      </c>
      <c r="AG4" s="23" t="n">
        <v>0.0875</v>
      </c>
      <c r="AH4" s="23" t="n">
        <v>0.09</v>
      </c>
      <c r="AI4" s="23" t="n">
        <v>0.0925</v>
      </c>
      <c r="AJ4" s="23" t="n">
        <v>0.095</v>
      </c>
      <c r="AK4" s="23" t="n">
        <v>0.0975</v>
      </c>
      <c r="AL4" s="23" t="n">
        <v>0.1</v>
      </c>
      <c r="AM4" s="23" t="n">
        <v>0.1025</v>
      </c>
      <c r="AN4" s="23" t="n">
        <v>0.105</v>
      </c>
      <c r="AO4" s="23" t="n">
        <v>0.1075</v>
      </c>
      <c r="AP4" s="23" t="n">
        <v>0.11</v>
      </c>
      <c r="AQ4" s="23" t="n">
        <v>0.1125</v>
      </c>
      <c r="AR4" s="23" t="n">
        <v>0.115</v>
      </c>
      <c r="AS4" s="23" t="n">
        <v>0.1175</v>
      </c>
      <c r="AT4" s="23" t="n">
        <v>0.12</v>
      </c>
      <c r="AU4" s="23" t="n">
        <v>0.1225</v>
      </c>
      <c r="AV4" s="23" t="n">
        <v>0.125</v>
      </c>
      <c r="AW4" s="23" t="n">
        <v>0.1275</v>
      </c>
      <c r="AX4" s="23" t="n">
        <v>0.13</v>
      </c>
      <c r="AY4" s="23" t="n">
        <v>0.1325</v>
      </c>
      <c r="AZ4" s="23" t="n">
        <v>0.135</v>
      </c>
      <c r="BA4" s="23" t="n">
        <v>0.1375</v>
      </c>
      <c r="BB4" s="23" t="n">
        <v>0.14</v>
      </c>
      <c r="BC4" s="23" t="n">
        <v>0.1425</v>
      </c>
      <c r="BD4" s="23" t="n">
        <v>0.145</v>
      </c>
      <c r="BE4" s="23" t="n">
        <v>0.1475</v>
      </c>
      <c r="BF4" s="23" t="n">
        <v>0.15</v>
      </c>
      <c r="BG4" s="23" t="n">
        <v>0.1525</v>
      </c>
      <c r="BH4" s="23" t="n">
        <v>0.155</v>
      </c>
      <c r="BI4" s="23" t="n">
        <v>0.1575</v>
      </c>
      <c r="BJ4" s="23" t="n">
        <v>0.16</v>
      </c>
      <c r="BK4" s="23" t="n">
        <v>0.1625</v>
      </c>
      <c r="BL4" s="23" t="n">
        <v>0.165</v>
      </c>
      <c r="BM4" s="23" t="n">
        <v>0.1675</v>
      </c>
      <c r="BN4" s="23" t="n">
        <v>0.17</v>
      </c>
      <c r="BO4" s="23" t="n">
        <v>0.1725</v>
      </c>
      <c r="BP4" s="23" t="n">
        <v>0.175</v>
      </c>
      <c r="BQ4" s="23" t="n">
        <v>0.1775</v>
      </c>
      <c r="BR4" s="23" t="n">
        <v>0.18</v>
      </c>
      <c r="BS4" s="23" t="n">
        <v>0.1825</v>
      </c>
      <c r="BT4" s="23" t="n">
        <v>0.185</v>
      </c>
      <c r="BU4" s="23" t="n">
        <v>0.1875</v>
      </c>
      <c r="BV4" s="23" t="n">
        <v>0.19</v>
      </c>
      <c r="BW4" s="23" t="n">
        <v>0.1925</v>
      </c>
      <c r="BX4" s="23" t="n">
        <v>0.195</v>
      </c>
      <c r="BY4" s="23" t="n">
        <v>0.1975</v>
      </c>
      <c r="BZ4" s="23" t="n">
        <v>0.2</v>
      </c>
      <c r="CA4" s="23" t="n">
        <v>0.2025</v>
      </c>
      <c r="CB4" s="23" t="n">
        <v>0.205</v>
      </c>
      <c r="CC4" s="23" t="n">
        <v>0.2075</v>
      </c>
      <c r="CD4" s="23" t="n">
        <v>0.21</v>
      </c>
      <c r="CE4" s="23" t="n">
        <v>0.2125</v>
      </c>
      <c r="CF4" s="23" t="n">
        <v>0.215</v>
      </c>
      <c r="CG4" s="23" t="n">
        <v>0.2175</v>
      </c>
      <c r="CH4" s="23" t="n">
        <v>0.22</v>
      </c>
      <c r="CI4" s="23" t="n">
        <v>0.2225</v>
      </c>
      <c r="CJ4" s="23" t="n">
        <v>0.225</v>
      </c>
      <c r="CK4" s="23" t="n">
        <v>0.2275</v>
      </c>
      <c r="CL4" s="23" t="n">
        <v>0.23</v>
      </c>
      <c r="CM4" s="23" t="n">
        <v>0.2325</v>
      </c>
      <c r="CN4" s="23" t="n">
        <v>0.235</v>
      </c>
      <c r="CO4" s="23" t="n">
        <v>0.2375</v>
      </c>
      <c r="CP4" s="23" t="n">
        <v>0.24</v>
      </c>
      <c r="CQ4" s="23" t="n">
        <v>0.2425</v>
      </c>
      <c r="CR4" s="23" t="n">
        <v>0.245</v>
      </c>
      <c r="CS4" s="23" t="n">
        <v>0.246</v>
      </c>
      <c r="CT4" s="23" t="n">
        <v>0.03003</v>
      </c>
    </row>
    <row r="5" customFormat="false" ht="15" hidden="false" customHeight="false" outlineLevel="0" collapsed="false">
      <c r="A5" s="11" t="n">
        <v>0</v>
      </c>
      <c r="B5" s="24" t="n">
        <v>-10.4288975660941</v>
      </c>
      <c r="C5" s="24" t="n">
        <v>-8.19753085079784</v>
      </c>
      <c r="D5" s="24" t="n">
        <v>-6.14672585261873</v>
      </c>
      <c r="E5" s="24" t="n">
        <v>-4.55960585209694</v>
      </c>
      <c r="F5" s="24" t="n">
        <v>-2.92134459177082</v>
      </c>
      <c r="G5" s="24" t="n">
        <v>-1.61683106316356</v>
      </c>
      <c r="H5" s="24" t="n">
        <v>-0.560641345128468</v>
      </c>
      <c r="I5" s="24" t="n">
        <v>0.409809738620948</v>
      </c>
      <c r="J5" s="24" t="n">
        <v>1.52517659631919</v>
      </c>
      <c r="K5" s="24" t="n">
        <v>2.45124329911758</v>
      </c>
      <c r="L5" s="24" t="n">
        <v>3.41388250348983</v>
      </c>
      <c r="M5" s="24" t="n">
        <v>4.28813346251691</v>
      </c>
      <c r="N5" s="24" t="n">
        <v>4.99241285990527</v>
      </c>
      <c r="O5" s="24" t="n">
        <v>5.74065307856338</v>
      </c>
      <c r="P5" s="24" t="n">
        <v>6.38521142345158</v>
      </c>
      <c r="Q5" s="24" t="n">
        <v>6.97299051959346</v>
      </c>
      <c r="R5" s="24" t="n">
        <v>7.62130731025693</v>
      </c>
      <c r="S5" s="24" t="n">
        <v>8.23260013663369</v>
      </c>
      <c r="T5" s="24" t="n">
        <v>8.80907942654911</v>
      </c>
      <c r="U5" s="24" t="n">
        <v>9.34300544208345</v>
      </c>
      <c r="V5" s="24" t="n">
        <v>9.91403037865148</v>
      </c>
      <c r="W5" s="24" t="n">
        <v>10.3899765414775</v>
      </c>
      <c r="X5" s="24" t="n">
        <v>10.8543228648758</v>
      </c>
      <c r="Y5" s="24" t="n">
        <v>11.3123552037855</v>
      </c>
      <c r="Z5" s="24" t="n">
        <v>11.7873980023239</v>
      </c>
      <c r="AA5" s="24" t="n">
        <v>12.2246872055537</v>
      </c>
      <c r="AB5" s="24" t="n">
        <v>12.6021234563775</v>
      </c>
      <c r="AC5" s="24" t="n">
        <v>13.0319769960294</v>
      </c>
      <c r="AD5" s="24" t="n">
        <v>13.4588818947032</v>
      </c>
      <c r="AE5" s="24" t="n">
        <v>13.878716017273</v>
      </c>
      <c r="AF5" s="24" t="n">
        <v>14.2539417798631</v>
      </c>
      <c r="AG5" s="24" t="n">
        <v>14.6308253919256</v>
      </c>
      <c r="AH5" s="24" t="n">
        <v>15.0435883626366</v>
      </c>
      <c r="AI5" s="24" t="n">
        <v>15.3463468202078</v>
      </c>
      <c r="AJ5" s="24" t="n">
        <v>15.7379833549751</v>
      </c>
      <c r="AK5" s="24" t="n">
        <v>16.0813494456103</v>
      </c>
      <c r="AL5" s="24" t="n">
        <v>16.3963081177892</v>
      </c>
      <c r="AM5" s="24" t="n">
        <v>16.7008878551702</v>
      </c>
      <c r="AN5" s="24" t="n">
        <v>17.0424565799025</v>
      </c>
      <c r="AO5" s="24" t="n">
        <v>17.3651678418626</v>
      </c>
      <c r="AP5" s="24" t="n">
        <v>17.6546364154482</v>
      </c>
      <c r="AQ5" s="24" t="n">
        <v>17.960489189928</v>
      </c>
      <c r="AR5" s="24" t="n">
        <v>18.2653613239076</v>
      </c>
      <c r="AS5" s="24" t="n">
        <v>18.558379610286</v>
      </c>
      <c r="AT5" s="24" t="n">
        <v>18.8559167197113</v>
      </c>
      <c r="AU5" s="24" t="n">
        <v>19.161869913711</v>
      </c>
      <c r="AV5" s="24" t="n">
        <v>19.4322535912424</v>
      </c>
      <c r="AW5" s="24" t="n">
        <v>19.679804692689</v>
      </c>
      <c r="AX5" s="24" t="n">
        <v>19.9324535504255</v>
      </c>
      <c r="AY5" s="24" t="n">
        <v>20.2097241849134</v>
      </c>
      <c r="AZ5" s="24" t="n">
        <v>20.4437213667365</v>
      </c>
      <c r="BA5" s="24" t="n">
        <v>20.6608883301278</v>
      </c>
      <c r="BB5" s="24" t="n">
        <v>20.8982649269189</v>
      </c>
      <c r="BC5" s="24" t="n">
        <v>21.1356447069305</v>
      </c>
      <c r="BD5" s="24" t="n">
        <v>21.3940293539441</v>
      </c>
      <c r="BE5" s="24" t="n">
        <v>21.6198858407333</v>
      </c>
      <c r="BF5" s="24" t="n">
        <v>21.8424994332738</v>
      </c>
      <c r="BG5" s="24" t="n">
        <v>22.0505406433426</v>
      </c>
      <c r="BH5" s="24" t="n">
        <v>22.2596028641536</v>
      </c>
      <c r="BI5" s="24" t="n">
        <v>22.4676116180486</v>
      </c>
      <c r="BJ5" s="24" t="n">
        <v>22.6607007018405</v>
      </c>
      <c r="BK5" s="24" t="n">
        <v>22.8605963032336</v>
      </c>
      <c r="BL5" s="24" t="n">
        <v>23.0431922054193</v>
      </c>
      <c r="BM5" s="24" t="n">
        <v>23.2484128586918</v>
      </c>
      <c r="BN5" s="24" t="n">
        <v>23.4593552508189</v>
      </c>
      <c r="BO5" s="24" t="n">
        <v>23.6420209264744</v>
      </c>
      <c r="BP5" s="24" t="n">
        <v>23.8170293436977</v>
      </c>
      <c r="BQ5" s="24" t="n">
        <v>24.0173900235441</v>
      </c>
      <c r="BR5" s="24" t="n">
        <v>24.1932202720817</v>
      </c>
      <c r="BS5" s="24" t="n">
        <v>24.3707250389871</v>
      </c>
      <c r="BT5" s="24" t="n">
        <v>24.5274108907825</v>
      </c>
      <c r="BU5" s="24" t="n">
        <v>24.6978689660113</v>
      </c>
      <c r="BV5" s="24" t="n">
        <v>24.8733844376635</v>
      </c>
      <c r="BW5" s="24" t="n">
        <v>25.0486329296748</v>
      </c>
      <c r="BX5" s="24" t="n">
        <v>25.2060911848694</v>
      </c>
      <c r="BY5" s="24" t="n">
        <v>25.3571907218362</v>
      </c>
      <c r="BZ5" s="24" t="n">
        <v>25.5149690606913</v>
      </c>
      <c r="CA5" s="24" t="n">
        <v>25.6710861126398</v>
      </c>
      <c r="CB5" s="24" t="n">
        <v>25.8183401267228</v>
      </c>
      <c r="CC5" s="24" t="n">
        <v>25.9612620647491</v>
      </c>
      <c r="CD5" s="24" t="n">
        <v>26.1122591871659</v>
      </c>
      <c r="CE5" s="24" t="n">
        <v>26.2564101029687</v>
      </c>
      <c r="CF5" s="24" t="n">
        <v>26.390510151158</v>
      </c>
      <c r="CG5" s="24" t="n">
        <v>26.5293211801713</v>
      </c>
      <c r="CH5" s="24" t="n">
        <v>26.6624154471743</v>
      </c>
      <c r="CI5" s="24" t="n">
        <v>26.803343311881</v>
      </c>
      <c r="CJ5" s="24" t="n">
        <v>26.9361342473912</v>
      </c>
      <c r="CK5" s="24" t="n">
        <v>27.0642915555536</v>
      </c>
      <c r="CL5" s="24" t="n">
        <v>27.1975015117973</v>
      </c>
      <c r="CM5" s="24" t="n">
        <v>27.3256260188047</v>
      </c>
      <c r="CN5" s="24" t="n">
        <v>27.4578145651265</v>
      </c>
      <c r="CO5" s="24" t="n">
        <v>27.5785642079388</v>
      </c>
      <c r="CP5" s="24" t="n">
        <v>27.70613438266</v>
      </c>
      <c r="CQ5" s="24" t="n">
        <v>27.8325923402162</v>
      </c>
      <c r="CR5" s="24" t="n">
        <v>27.9421788217201</v>
      </c>
      <c r="CS5" s="24" t="n">
        <v>27.9900591365036</v>
      </c>
      <c r="CT5" s="24" t="n">
        <v>1.54744259635429</v>
      </c>
    </row>
    <row r="6" customFormat="false" ht="15" hidden="false" customHeight="false" outlineLevel="0" collapsed="false">
      <c r="A6" s="11" t="n">
        <v>5</v>
      </c>
      <c r="B6" s="24" t="n">
        <v>-8.85898925933467</v>
      </c>
      <c r="C6" s="24" t="n">
        <v>-6.71276677982275</v>
      </c>
      <c r="D6" s="24" t="n">
        <v>-4.83941967723663</v>
      </c>
      <c r="E6" s="24" t="n">
        <v>-3.21845091320328</v>
      </c>
      <c r="F6" s="24" t="n">
        <v>-1.58057593672575</v>
      </c>
      <c r="G6" s="24" t="n">
        <v>-0.3756833364758</v>
      </c>
      <c r="H6" s="24" t="n">
        <v>0.63248341935578</v>
      </c>
      <c r="I6" s="24" t="n">
        <v>1.67160300412122</v>
      </c>
      <c r="J6" s="24" t="n">
        <v>2.681609338095</v>
      </c>
      <c r="K6" s="24" t="n">
        <v>3.62942453485668</v>
      </c>
      <c r="L6" s="24" t="n">
        <v>4.54350810089889</v>
      </c>
      <c r="M6" s="24" t="n">
        <v>5.39570608798976</v>
      </c>
      <c r="N6" s="24" t="n">
        <v>6.08761998970017</v>
      </c>
      <c r="O6" s="24" t="n">
        <v>6.77606858145424</v>
      </c>
      <c r="P6" s="24" t="n">
        <v>7.42692804900246</v>
      </c>
      <c r="Q6" s="24" t="n">
        <v>8.02511891270752</v>
      </c>
      <c r="R6" s="24" t="n">
        <v>8.67732202882469</v>
      </c>
      <c r="S6" s="24" t="n">
        <v>9.28673305168381</v>
      </c>
      <c r="T6" s="24" t="n">
        <v>9.82332423302168</v>
      </c>
      <c r="U6" s="24" t="n">
        <v>10.3149626215407</v>
      </c>
      <c r="V6" s="24" t="n">
        <v>10.8584110155336</v>
      </c>
      <c r="W6" s="24" t="n">
        <v>11.3504669671464</v>
      </c>
      <c r="X6" s="24" t="n">
        <v>11.8205374479693</v>
      </c>
      <c r="Y6" s="24" t="n">
        <v>12.2900645695467</v>
      </c>
      <c r="Z6" s="24" t="n">
        <v>12.7347247981872</v>
      </c>
      <c r="AA6" s="24" t="n">
        <v>13.1598167586828</v>
      </c>
      <c r="AB6" s="24" t="n">
        <v>13.5343121729674</v>
      </c>
      <c r="AC6" s="24" t="n">
        <v>13.9385069984834</v>
      </c>
      <c r="AD6" s="24" t="n">
        <v>14.356096391049</v>
      </c>
      <c r="AE6" s="24" t="n">
        <v>14.773423748439</v>
      </c>
      <c r="AF6" s="24" t="n">
        <v>15.1500620338361</v>
      </c>
      <c r="AG6" s="24" t="n">
        <v>15.5057932249936</v>
      </c>
      <c r="AH6" s="24" t="n">
        <v>15.8770979482888</v>
      </c>
      <c r="AI6" s="24" t="n">
        <v>16.1859393953688</v>
      </c>
      <c r="AJ6" s="24" t="n">
        <v>16.5358578722979</v>
      </c>
      <c r="AK6" s="24" t="n">
        <v>16.8853184781088</v>
      </c>
      <c r="AL6" s="24" t="n">
        <v>17.1981212019799</v>
      </c>
      <c r="AM6" s="24" t="n">
        <v>17.5042794535085</v>
      </c>
      <c r="AN6" s="24" t="n">
        <v>17.8158206393272</v>
      </c>
      <c r="AO6" s="24" t="n">
        <v>18.1137151780764</v>
      </c>
      <c r="AP6" s="24" t="n">
        <v>18.3985925593368</v>
      </c>
      <c r="AQ6" s="24" t="n">
        <v>18.6908580164429</v>
      </c>
      <c r="AR6" s="24" t="n">
        <v>19.0105132385409</v>
      </c>
      <c r="AS6" s="24" t="n">
        <v>19.3000499996047</v>
      </c>
      <c r="AT6" s="24" t="n">
        <v>19.5657291680409</v>
      </c>
      <c r="AU6" s="24" t="n">
        <v>19.8520805790578</v>
      </c>
      <c r="AV6" s="24" t="n">
        <v>20.1401915221428</v>
      </c>
      <c r="AW6" s="24" t="n">
        <v>20.3610381038549</v>
      </c>
      <c r="AX6" s="24" t="n">
        <v>20.5835006519566</v>
      </c>
      <c r="AY6" s="24" t="n">
        <v>20.8311532116795</v>
      </c>
      <c r="AZ6" s="24" t="n">
        <v>21.0877739893814</v>
      </c>
      <c r="BA6" s="24" t="n">
        <v>21.3217890394003</v>
      </c>
      <c r="BB6" s="24" t="n">
        <v>21.5325523526708</v>
      </c>
      <c r="BC6" s="24" t="n">
        <v>21.7460049548913</v>
      </c>
      <c r="BD6" s="24" t="n">
        <v>21.9573158840778</v>
      </c>
      <c r="BE6" s="24" t="n">
        <v>22.2132042444374</v>
      </c>
      <c r="BF6" s="24" t="n">
        <v>22.4192417114145</v>
      </c>
      <c r="BG6" s="24" t="n">
        <v>22.6274319046919</v>
      </c>
      <c r="BH6" s="24" t="n">
        <v>22.8233877390838</v>
      </c>
      <c r="BI6" s="24" t="n">
        <v>23.0047615549238</v>
      </c>
      <c r="BJ6" s="24" t="n">
        <v>23.1837091303161</v>
      </c>
      <c r="BK6" s="24" t="n">
        <v>23.3741799197335</v>
      </c>
      <c r="BL6" s="24" t="n">
        <v>23.5561327409834</v>
      </c>
      <c r="BM6" s="24" t="n">
        <v>23.7391823340635</v>
      </c>
      <c r="BN6" s="24" t="n">
        <v>23.9238486376008</v>
      </c>
      <c r="BO6" s="24" t="n">
        <v>24.1174059317812</v>
      </c>
      <c r="BP6" s="24" t="n">
        <v>24.3007002309834</v>
      </c>
      <c r="BQ6" s="24" t="n">
        <v>24.4675806626728</v>
      </c>
      <c r="BR6" s="24" t="n">
        <v>24.6393914828294</v>
      </c>
      <c r="BS6" s="24" t="n">
        <v>24.7881621701867</v>
      </c>
      <c r="BT6" s="24" t="n">
        <v>24.9741040628672</v>
      </c>
      <c r="BU6" s="24" t="n">
        <v>25.1480206199115</v>
      </c>
      <c r="BV6" s="24" t="n">
        <v>25.3043167311617</v>
      </c>
      <c r="BW6" s="24" t="n">
        <v>25.4634347853234</v>
      </c>
      <c r="BX6" s="24" t="n">
        <v>25.6139463905703</v>
      </c>
      <c r="BY6" s="24" t="n">
        <v>25.7731695996187</v>
      </c>
      <c r="BZ6" s="24" t="n">
        <v>25.9144953074518</v>
      </c>
      <c r="CA6" s="24" t="n">
        <v>26.0513720356824</v>
      </c>
      <c r="CB6" s="24" t="n">
        <v>26.1872144046726</v>
      </c>
      <c r="CC6" s="24" t="n">
        <v>26.3239103758578</v>
      </c>
      <c r="CD6" s="24" t="n">
        <v>26.4656585112611</v>
      </c>
      <c r="CE6" s="24" t="n">
        <v>26.6040053331483</v>
      </c>
      <c r="CF6" s="24" t="n">
        <v>26.7372554395264</v>
      </c>
      <c r="CG6" s="24" t="n">
        <v>26.8780225622503</v>
      </c>
      <c r="CH6" s="24" t="n">
        <v>27.0065712662931</v>
      </c>
      <c r="CI6" s="24" t="n">
        <v>27.1316552562679</v>
      </c>
      <c r="CJ6" s="24" t="n">
        <v>27.2482960671871</v>
      </c>
      <c r="CK6" s="24" t="n">
        <v>27.3747325202823</v>
      </c>
      <c r="CL6" s="24" t="n">
        <v>27.4944557916793</v>
      </c>
      <c r="CM6" s="24" t="n">
        <v>27.6188213898488</v>
      </c>
      <c r="CN6" s="24" t="n">
        <v>27.7491600503216</v>
      </c>
      <c r="CO6" s="24" t="n">
        <v>27.8685569245877</v>
      </c>
      <c r="CP6" s="24" t="n">
        <v>27.9891538858916</v>
      </c>
      <c r="CQ6" s="24" t="n">
        <v>28.1134015725462</v>
      </c>
      <c r="CR6" s="24" t="n">
        <v>28.2507765555362</v>
      </c>
      <c r="CS6" s="24" t="n">
        <v>28.2993567916915</v>
      </c>
      <c r="CT6" s="24" t="n">
        <v>2.6936104824294</v>
      </c>
    </row>
    <row r="7" customFormat="false" ht="15" hidden="false" customHeight="false" outlineLevel="0" collapsed="false">
      <c r="A7" s="11" t="n">
        <v>10</v>
      </c>
      <c r="B7" s="24" t="n">
        <v>-7.46209256571043</v>
      </c>
      <c r="C7" s="24" t="n">
        <v>-5.2164457102263</v>
      </c>
      <c r="D7" s="24" t="n">
        <v>-3.41880310058239</v>
      </c>
      <c r="E7" s="24" t="n">
        <v>-1.95714854655207</v>
      </c>
      <c r="F7" s="24" t="n">
        <v>-0.451427116944187</v>
      </c>
      <c r="G7" s="24" t="n">
        <v>0.808017075385404</v>
      </c>
      <c r="H7" s="24" t="n">
        <v>1.86298887327901</v>
      </c>
      <c r="I7" s="24" t="n">
        <v>2.85335613304169</v>
      </c>
      <c r="J7" s="24" t="n">
        <v>3.81789889794651</v>
      </c>
      <c r="K7" s="24" t="n">
        <v>4.77938620123452</v>
      </c>
      <c r="L7" s="24" t="n">
        <v>5.68802198297103</v>
      </c>
      <c r="M7" s="24" t="n">
        <v>6.45901717636768</v>
      </c>
      <c r="N7" s="24" t="n">
        <v>7.19750494933493</v>
      </c>
      <c r="O7" s="24" t="n">
        <v>7.84083258316795</v>
      </c>
      <c r="P7" s="24" t="n">
        <v>8.49107365311651</v>
      </c>
      <c r="Q7" s="24" t="n">
        <v>9.07285663667229</v>
      </c>
      <c r="R7" s="24" t="n">
        <v>9.68076383804923</v>
      </c>
      <c r="S7" s="24" t="n">
        <v>10.2847277681487</v>
      </c>
      <c r="T7" s="24" t="n">
        <v>10.8130419183763</v>
      </c>
      <c r="U7" s="24" t="n">
        <v>11.3292190669065</v>
      </c>
      <c r="V7" s="24" t="n">
        <v>11.8112116656809</v>
      </c>
      <c r="W7" s="24" t="n">
        <v>12.3125907626514</v>
      </c>
      <c r="X7" s="24" t="n">
        <v>12.7652638384435</v>
      </c>
      <c r="Y7" s="24" t="n">
        <v>13.246717275527</v>
      </c>
      <c r="Z7" s="24" t="n">
        <v>13.6911665670161</v>
      </c>
      <c r="AA7" s="24" t="n">
        <v>14.07496397109</v>
      </c>
      <c r="AB7" s="24" t="n">
        <v>14.4645663687615</v>
      </c>
      <c r="AC7" s="24" t="n">
        <v>14.8397868215841</v>
      </c>
      <c r="AD7" s="24" t="n">
        <v>15.2485329110673</v>
      </c>
      <c r="AE7" s="24" t="n">
        <v>15.6228432297791</v>
      </c>
      <c r="AF7" s="24" t="n">
        <v>15.9825727087337</v>
      </c>
      <c r="AG7" s="24" t="n">
        <v>16.3311143467103</v>
      </c>
      <c r="AH7" s="24" t="n">
        <v>16.6992606539195</v>
      </c>
      <c r="AI7" s="24" t="n">
        <v>17.0030985367277</v>
      </c>
      <c r="AJ7" s="24" t="n">
        <v>17.3545573982508</v>
      </c>
      <c r="AK7" s="24" t="n">
        <v>17.6844365430397</v>
      </c>
      <c r="AL7" s="24" t="n">
        <v>17.9716242440381</v>
      </c>
      <c r="AM7" s="24" t="n">
        <v>18.2426562559546</v>
      </c>
      <c r="AN7" s="24" t="n">
        <v>18.5791023985896</v>
      </c>
      <c r="AO7" s="24" t="n">
        <v>18.8682217789117</v>
      </c>
      <c r="AP7" s="24" t="n">
        <v>19.1478110254567</v>
      </c>
      <c r="AQ7" s="24" t="n">
        <v>19.4335074275083</v>
      </c>
      <c r="AR7" s="24" t="n">
        <v>19.7240558844021</v>
      </c>
      <c r="AS7" s="24" t="n">
        <v>19.9926950236137</v>
      </c>
      <c r="AT7" s="24" t="n">
        <v>20.2688000246638</v>
      </c>
      <c r="AU7" s="24" t="n">
        <v>20.5137004921774</v>
      </c>
      <c r="AV7" s="24" t="n">
        <v>20.7682901429467</v>
      </c>
      <c r="AW7" s="24" t="n">
        <v>21.0213821054819</v>
      </c>
      <c r="AX7" s="24" t="n">
        <v>21.2507315479946</v>
      </c>
      <c r="AY7" s="24" t="n">
        <v>21.4663006257038</v>
      </c>
      <c r="AZ7" s="24" t="n">
        <v>21.703119168078</v>
      </c>
      <c r="BA7" s="24" t="n">
        <v>21.92130186553</v>
      </c>
      <c r="BB7" s="24" t="n">
        <v>22.1478220047539</v>
      </c>
      <c r="BC7" s="24" t="n">
        <v>22.339003965574</v>
      </c>
      <c r="BD7" s="24" t="n">
        <v>22.5407412349473</v>
      </c>
      <c r="BE7" s="24" t="n">
        <v>22.7192098491335</v>
      </c>
      <c r="BF7" s="24" t="n">
        <v>22.9390101754189</v>
      </c>
      <c r="BG7" s="24" t="n">
        <v>23.1320321814001</v>
      </c>
      <c r="BH7" s="24" t="n">
        <v>23.3260266334168</v>
      </c>
      <c r="BI7" s="24" t="n">
        <v>23.5236265601269</v>
      </c>
      <c r="BJ7" s="24" t="n">
        <v>23.7027804852575</v>
      </c>
      <c r="BK7" s="24" t="n">
        <v>23.8829585464435</v>
      </c>
      <c r="BL7" s="24" t="n">
        <v>24.0565076345752</v>
      </c>
      <c r="BM7" s="24" t="n">
        <v>24.2372754751946</v>
      </c>
      <c r="BN7" s="24" t="n">
        <v>24.3986459922921</v>
      </c>
      <c r="BO7" s="24" t="n">
        <v>24.559908577538</v>
      </c>
      <c r="BP7" s="24" t="n">
        <v>24.7281309824848</v>
      </c>
      <c r="BQ7" s="24" t="n">
        <v>24.9015384089454</v>
      </c>
      <c r="BR7" s="24" t="n">
        <v>25.0817409599214</v>
      </c>
      <c r="BS7" s="24" t="n">
        <v>25.2351363762188</v>
      </c>
      <c r="BT7" s="24" t="n">
        <v>25.3961362467385</v>
      </c>
      <c r="BU7" s="24" t="n">
        <v>25.5589675388247</v>
      </c>
      <c r="BV7" s="24" t="n">
        <v>25.6943630926301</v>
      </c>
      <c r="BW7" s="24" t="n">
        <v>25.8500909887918</v>
      </c>
      <c r="BX7" s="24" t="n">
        <v>26.0005911216261</v>
      </c>
      <c r="BY7" s="24" t="n">
        <v>26.1404926940457</v>
      </c>
      <c r="BZ7" s="24" t="n">
        <v>26.2783169979588</v>
      </c>
      <c r="CA7" s="24" t="n">
        <v>26.4090695917219</v>
      </c>
      <c r="CB7" s="24" t="n">
        <v>26.5535719740334</v>
      </c>
      <c r="CC7" s="24" t="n">
        <v>26.6881453251657</v>
      </c>
      <c r="CD7" s="24" t="n">
        <v>26.8214415892144</v>
      </c>
      <c r="CE7" s="24" t="n">
        <v>26.9493792368879</v>
      </c>
      <c r="CF7" s="24" t="n">
        <v>27.0689516548418</v>
      </c>
      <c r="CG7" s="24" t="n">
        <v>27.1977254284521</v>
      </c>
      <c r="CH7" s="24" t="n">
        <v>27.31208541572</v>
      </c>
      <c r="CI7" s="24" t="n">
        <v>27.4449790537869</v>
      </c>
      <c r="CJ7" s="24" t="n">
        <v>27.5679508368438</v>
      </c>
      <c r="CK7" s="24" t="n">
        <v>27.6812976340553</v>
      </c>
      <c r="CL7" s="24" t="n">
        <v>27.818627237264</v>
      </c>
      <c r="CM7" s="24" t="n">
        <v>27.9362434572561</v>
      </c>
      <c r="CN7" s="24" t="n">
        <v>28.0433689947625</v>
      </c>
      <c r="CO7" s="24" t="n">
        <v>28.1622556426475</v>
      </c>
      <c r="CP7" s="24" t="n">
        <v>28.2933351687576</v>
      </c>
      <c r="CQ7" s="24" t="n">
        <v>28.4001462682582</v>
      </c>
      <c r="CR7" s="24" t="n">
        <v>28.5142175484215</v>
      </c>
      <c r="CS7" s="24" t="n">
        <v>28.5573490220188</v>
      </c>
      <c r="CT7" s="24" t="n">
        <v>3.82816181967364</v>
      </c>
    </row>
    <row r="8" customFormat="false" ht="15" hidden="false" customHeight="false" outlineLevel="0" collapsed="false">
      <c r="A8" s="11" t="n">
        <v>15</v>
      </c>
      <c r="B8" s="24" t="n">
        <v>-5.99770351650753</v>
      </c>
      <c r="C8" s="24" t="n">
        <v>-3.79980107199555</v>
      </c>
      <c r="D8" s="24" t="n">
        <v>-2.09468108046532</v>
      </c>
      <c r="E8" s="24" t="n">
        <v>-0.579756778344712</v>
      </c>
      <c r="F8" s="24" t="n">
        <v>0.797804459702045</v>
      </c>
      <c r="G8" s="24" t="n">
        <v>2.03065401998794</v>
      </c>
      <c r="H8" s="24" t="n">
        <v>3.05205004890603</v>
      </c>
      <c r="I8" s="24" t="n">
        <v>4.0967438134224</v>
      </c>
      <c r="J8" s="24" t="n">
        <v>4.99746744064444</v>
      </c>
      <c r="K8" s="24" t="n">
        <v>5.87211541772646</v>
      </c>
      <c r="L8" s="24" t="n">
        <v>6.82336610348671</v>
      </c>
      <c r="M8" s="24" t="n">
        <v>7.57782826878007</v>
      </c>
      <c r="N8" s="24" t="n">
        <v>8.28334952623572</v>
      </c>
      <c r="O8" s="24" t="n">
        <v>8.92729810637751</v>
      </c>
      <c r="P8" s="24" t="n">
        <v>9.508973543436</v>
      </c>
      <c r="Q8" s="24" t="n">
        <v>10.1335679008099</v>
      </c>
      <c r="R8" s="24" t="n">
        <v>10.6853967080714</v>
      </c>
      <c r="S8" s="24" t="n">
        <v>11.2671575989381</v>
      </c>
      <c r="T8" s="24" t="n">
        <v>11.7643702237624</v>
      </c>
      <c r="U8" s="24" t="n">
        <v>12.3005081226015</v>
      </c>
      <c r="V8" s="24" t="n">
        <v>12.7597561924087</v>
      </c>
      <c r="W8" s="24" t="n">
        <v>13.2575855236715</v>
      </c>
      <c r="X8" s="24" t="n">
        <v>13.7012926201802</v>
      </c>
      <c r="Y8" s="24" t="n">
        <v>14.1546619116583</v>
      </c>
      <c r="Z8" s="24" t="n">
        <v>14.5902004779427</v>
      </c>
      <c r="AA8" s="24" t="n">
        <v>14.9816286761184</v>
      </c>
      <c r="AB8" s="24" t="n">
        <v>15.3701341562879</v>
      </c>
      <c r="AC8" s="24" t="n">
        <v>15.7231490120132</v>
      </c>
      <c r="AD8" s="24" t="n">
        <v>16.1285222155734</v>
      </c>
      <c r="AE8" s="24" t="n">
        <v>16.4621793003417</v>
      </c>
      <c r="AF8" s="24" t="n">
        <v>16.8063581231134</v>
      </c>
      <c r="AG8" s="24" t="n">
        <v>17.1401741010453</v>
      </c>
      <c r="AH8" s="24" t="n">
        <v>17.489793022584</v>
      </c>
      <c r="AI8" s="24" t="n">
        <v>17.7825167528595</v>
      </c>
      <c r="AJ8" s="24" t="n">
        <v>18.117780190887</v>
      </c>
      <c r="AK8" s="24" t="n">
        <v>18.4378457069416</v>
      </c>
      <c r="AL8" s="24" t="n">
        <v>18.7314880271211</v>
      </c>
      <c r="AM8" s="24" t="n">
        <v>19.0255388500938</v>
      </c>
      <c r="AN8" s="24" t="n">
        <v>19.3066304619028</v>
      </c>
      <c r="AO8" s="24" t="n">
        <v>19.578290230832</v>
      </c>
      <c r="AP8" s="24" t="n">
        <v>19.8421309187065</v>
      </c>
      <c r="AQ8" s="24" t="n">
        <v>20.1300700322804</v>
      </c>
      <c r="AR8" s="24" t="n">
        <v>20.3851879684018</v>
      </c>
      <c r="AS8" s="24" t="n">
        <v>20.6359804778527</v>
      </c>
      <c r="AT8" s="24" t="n">
        <v>20.8954649033654</v>
      </c>
      <c r="AU8" s="24" t="n">
        <v>21.161128687762</v>
      </c>
      <c r="AV8" s="24" t="n">
        <v>21.394899129051</v>
      </c>
      <c r="AW8" s="24" t="n">
        <v>21.635946503387</v>
      </c>
      <c r="AX8" s="24" t="n">
        <v>21.8709960186872</v>
      </c>
      <c r="AY8" s="24" t="n">
        <v>22.0770506562087</v>
      </c>
      <c r="AZ8" s="24" t="n">
        <v>22.2785958066889</v>
      </c>
      <c r="BA8" s="24" t="n">
        <v>22.4976918311425</v>
      </c>
      <c r="BB8" s="24" t="n">
        <v>22.7035258529839</v>
      </c>
      <c r="BC8" s="24" t="n">
        <v>22.905538947871</v>
      </c>
      <c r="BD8" s="24" t="n">
        <v>23.0803386750214</v>
      </c>
      <c r="BE8" s="24" t="n">
        <v>23.2665563827324</v>
      </c>
      <c r="BF8" s="24" t="n">
        <v>23.4458964030818</v>
      </c>
      <c r="BG8" s="24" t="n">
        <v>23.6269103406155</v>
      </c>
      <c r="BH8" s="24" t="n">
        <v>23.8323707987696</v>
      </c>
      <c r="BI8" s="24" t="n">
        <v>24.0179938294408</v>
      </c>
      <c r="BJ8" s="24" t="n">
        <v>24.1887371531029</v>
      </c>
      <c r="BK8" s="24" t="n">
        <v>24.365789966475</v>
      </c>
      <c r="BL8" s="24" t="n">
        <v>24.5159771142501</v>
      </c>
      <c r="BM8" s="24" t="n">
        <v>24.6879765126976</v>
      </c>
      <c r="BN8" s="24" t="n">
        <v>24.8407249135038</v>
      </c>
      <c r="BO8" s="24" t="n">
        <v>25.0178528961621</v>
      </c>
      <c r="BP8" s="24" t="n">
        <v>25.1683262914887</v>
      </c>
      <c r="BQ8" s="24" t="n">
        <v>25.3215710327814</v>
      </c>
      <c r="BR8" s="24" t="n">
        <v>25.4803983141381</v>
      </c>
      <c r="BS8" s="24" t="n">
        <v>25.639104190151</v>
      </c>
      <c r="BT8" s="24" t="n">
        <v>25.7955111774067</v>
      </c>
      <c r="BU8" s="24" t="n">
        <v>25.9459178931293</v>
      </c>
      <c r="BV8" s="24" t="n">
        <v>26.0815477522939</v>
      </c>
      <c r="BW8" s="24" t="n">
        <v>26.2160280466227</v>
      </c>
      <c r="BX8" s="24" t="n">
        <v>26.3562003678686</v>
      </c>
      <c r="BY8" s="24" t="n">
        <v>26.483356923768</v>
      </c>
      <c r="BZ8" s="24" t="n">
        <v>26.6197681328771</v>
      </c>
      <c r="CA8" s="24" t="n">
        <v>26.7553754690087</v>
      </c>
      <c r="CB8" s="24" t="n">
        <v>26.8963911263371</v>
      </c>
      <c r="CC8" s="24" t="n">
        <v>27.0192405204902</v>
      </c>
      <c r="CD8" s="24" t="n">
        <v>27.1494347528823</v>
      </c>
      <c r="CE8" s="24" t="n">
        <v>27.258737537494</v>
      </c>
      <c r="CF8" s="24" t="n">
        <v>27.3962020534871</v>
      </c>
      <c r="CG8" s="24" t="n">
        <v>27.5239720529579</v>
      </c>
      <c r="CH8" s="24" t="n">
        <v>27.6426024016561</v>
      </c>
      <c r="CI8" s="24" t="n">
        <v>27.7666489563914</v>
      </c>
      <c r="CJ8" s="24" t="n">
        <v>27.8791386443829</v>
      </c>
      <c r="CK8" s="24" t="n">
        <v>27.9897700215248</v>
      </c>
      <c r="CL8" s="24" t="n">
        <v>28.1082039117283</v>
      </c>
      <c r="CM8" s="24" t="n">
        <v>28.2357170769114</v>
      </c>
      <c r="CN8" s="24" t="n">
        <v>28.352244443537</v>
      </c>
      <c r="CO8" s="24" t="n">
        <v>28.4627613398706</v>
      </c>
      <c r="CP8" s="24" t="n">
        <v>28.5790447085894</v>
      </c>
      <c r="CQ8" s="24" t="n">
        <v>28.6965262592392</v>
      </c>
      <c r="CR8" s="24" t="n">
        <v>28.8192796523438</v>
      </c>
      <c r="CS8" s="24" t="n">
        <v>28.8561843951427</v>
      </c>
      <c r="CT8" s="24" t="n">
        <v>5.00431782837934</v>
      </c>
    </row>
    <row r="9" customFormat="false" ht="15" hidden="false" customHeight="false" outlineLevel="0" collapsed="false">
      <c r="A9" s="11" t="n">
        <v>20</v>
      </c>
      <c r="B9" s="24" t="n">
        <v>-4.68370473837045</v>
      </c>
      <c r="C9" s="24" t="n">
        <v>-2.4708725253347</v>
      </c>
      <c r="D9" s="24" t="n">
        <v>-0.72072860455676</v>
      </c>
      <c r="E9" s="24" t="n">
        <v>0.71663083028771</v>
      </c>
      <c r="F9" s="24" t="n">
        <v>1.97599657265659</v>
      </c>
      <c r="G9" s="24" t="n">
        <v>3.16155448794654</v>
      </c>
      <c r="H9" s="24" t="n">
        <v>4.28563512104536</v>
      </c>
      <c r="I9" s="24" t="n">
        <v>5.25228728913004</v>
      </c>
      <c r="J9" s="24" t="n">
        <v>6.10712615618542</v>
      </c>
      <c r="K9" s="24" t="n">
        <v>7.01574976730029</v>
      </c>
      <c r="L9" s="24" t="n">
        <v>7.89807076786953</v>
      </c>
      <c r="M9" s="24" t="n">
        <v>8.67195569018351</v>
      </c>
      <c r="N9" s="24" t="n">
        <v>9.32422807248331</v>
      </c>
      <c r="O9" s="24" t="n">
        <v>9.9926586909072</v>
      </c>
      <c r="P9" s="24" t="n">
        <v>10.5416983509815</v>
      </c>
      <c r="Q9" s="24" t="n">
        <v>11.142709082487</v>
      </c>
      <c r="R9" s="24" t="n">
        <v>11.725286468124</v>
      </c>
      <c r="S9" s="24" t="n">
        <v>12.2813437825108</v>
      </c>
      <c r="T9" s="24" t="n">
        <v>12.7527335089619</v>
      </c>
      <c r="U9" s="24" t="n">
        <v>13.2519871773177</v>
      </c>
      <c r="V9" s="24" t="n">
        <v>13.7113470923394</v>
      </c>
      <c r="W9" s="24" t="n">
        <v>14.1799919212338</v>
      </c>
      <c r="X9" s="24" t="n">
        <v>14.6232321543925</v>
      </c>
      <c r="Y9" s="24" t="n">
        <v>15.0833754811584</v>
      </c>
      <c r="Z9" s="24" t="n">
        <v>15.4825086227898</v>
      </c>
      <c r="AA9" s="24" t="n">
        <v>15.8327072387874</v>
      </c>
      <c r="AB9" s="24" t="n">
        <v>16.2287674958813</v>
      </c>
      <c r="AC9" s="24" t="n">
        <v>16.5724008678793</v>
      </c>
      <c r="AD9" s="24" t="n">
        <v>16.9578264878775</v>
      </c>
      <c r="AE9" s="24" t="n">
        <v>17.2957203367543</v>
      </c>
      <c r="AF9" s="24" t="n">
        <v>17.6367408720881</v>
      </c>
      <c r="AG9" s="24" t="n">
        <v>17.9404465103881</v>
      </c>
      <c r="AH9" s="24" t="n">
        <v>18.2561123762134</v>
      </c>
      <c r="AI9" s="24" t="n">
        <v>18.5542836403739</v>
      </c>
      <c r="AJ9" s="24" t="n">
        <v>18.8575475744593</v>
      </c>
      <c r="AK9" s="24" t="n">
        <v>19.1627319301356</v>
      </c>
      <c r="AL9" s="24" t="n">
        <v>19.4717725701921</v>
      </c>
      <c r="AM9" s="24" t="n">
        <v>19.749188907292</v>
      </c>
      <c r="AN9" s="24" t="n">
        <v>20.0206370418913</v>
      </c>
      <c r="AO9" s="24" t="n">
        <v>20.2870769720065</v>
      </c>
      <c r="AP9" s="24" t="n">
        <v>20.553823200457</v>
      </c>
      <c r="AQ9" s="24" t="n">
        <v>20.7746549052198</v>
      </c>
      <c r="AR9" s="24" t="n">
        <v>21.0272388198563</v>
      </c>
      <c r="AS9" s="24" t="n">
        <v>21.2750228596525</v>
      </c>
      <c r="AT9" s="24" t="n">
        <v>21.5164681334071</v>
      </c>
      <c r="AU9" s="24" t="n">
        <v>21.7513088868613</v>
      </c>
      <c r="AV9" s="24" t="n">
        <v>21.972689860293</v>
      </c>
      <c r="AW9" s="24" t="n">
        <v>22.2166712647826</v>
      </c>
      <c r="AX9" s="24" t="n">
        <v>22.4329640172183</v>
      </c>
      <c r="AY9" s="24" t="n">
        <v>22.6545830262416</v>
      </c>
      <c r="AZ9" s="24" t="n">
        <v>22.8605963032336</v>
      </c>
      <c r="BA9" s="24" t="n">
        <v>23.0305893109007</v>
      </c>
      <c r="BB9" s="24" t="n">
        <v>23.2139905549769</v>
      </c>
      <c r="BC9" s="24" t="n">
        <v>23.4186386949834</v>
      </c>
      <c r="BD9" s="24" t="n">
        <v>23.6055514002998</v>
      </c>
      <c r="BE9" s="24" t="n">
        <v>23.7820798825787</v>
      </c>
      <c r="BF9" s="24" t="n">
        <v>23.9637403286365</v>
      </c>
      <c r="BG9" s="24" t="n">
        <v>24.1302794020008</v>
      </c>
      <c r="BH9" s="24" t="n">
        <v>24.2981432995876</v>
      </c>
      <c r="BI9" s="24" t="n">
        <v>24.4633090096585</v>
      </c>
      <c r="BJ9" s="24" t="n">
        <v>24.6455341692126</v>
      </c>
      <c r="BK9" s="24" t="n">
        <v>24.7985168319744</v>
      </c>
      <c r="BL9" s="24" t="n">
        <v>24.9700758944581</v>
      </c>
      <c r="BM9" s="24" t="n">
        <v>25.1435318433255</v>
      </c>
      <c r="BN9" s="24" t="n">
        <v>25.2975857011195</v>
      </c>
      <c r="BO9" s="24" t="n">
        <v>25.4478015908436</v>
      </c>
      <c r="BP9" s="24" t="n">
        <v>25.6084755620018</v>
      </c>
      <c r="BQ9" s="24" t="n">
        <v>25.7445079798558</v>
      </c>
      <c r="BR9" s="24" t="n">
        <v>25.8856448180377</v>
      </c>
      <c r="BS9" s="24" t="n">
        <v>26.0174856246157</v>
      </c>
      <c r="BT9" s="24" t="n">
        <v>26.1540393833749</v>
      </c>
      <c r="BU9" s="24" t="n">
        <v>26.2783169979588</v>
      </c>
      <c r="BV9" s="24" t="n">
        <v>26.4242681615042</v>
      </c>
      <c r="BW9" s="24" t="n">
        <v>26.5664179086351</v>
      </c>
      <c r="BX9" s="24" t="n">
        <v>26.7068087851874</v>
      </c>
      <c r="BY9" s="24" t="n">
        <v>26.8410072028542</v>
      </c>
      <c r="BZ9" s="24" t="n">
        <v>26.9701127217063</v>
      </c>
      <c r="CA9" s="24" t="n">
        <v>27.0909683496233</v>
      </c>
      <c r="CB9" s="24" t="n">
        <v>27.2173262612154</v>
      </c>
      <c r="CC9" s="24" t="n">
        <v>27.3258237578983</v>
      </c>
      <c r="CD9" s="24" t="n">
        <v>27.4598088258697</v>
      </c>
      <c r="CE9" s="24" t="n">
        <v>27.5844912012872</v>
      </c>
      <c r="CF9" s="24" t="n">
        <v>27.7062163614559</v>
      </c>
      <c r="CG9" s="24" t="n">
        <v>27.8307690115536</v>
      </c>
      <c r="CH9" s="24" t="n">
        <v>27.9422282516492</v>
      </c>
      <c r="CI9" s="24" t="n">
        <v>28.0588549154596</v>
      </c>
      <c r="CJ9" s="24" t="n">
        <v>28.1707240430389</v>
      </c>
      <c r="CK9" s="24" t="n">
        <v>28.3058798884971</v>
      </c>
      <c r="CL9" s="24" t="n">
        <v>28.4152013187448</v>
      </c>
      <c r="CM9" s="24" t="n">
        <v>28.5262879753485</v>
      </c>
      <c r="CN9" s="24" t="n">
        <v>28.6359599195949</v>
      </c>
      <c r="CO9" s="24" t="n">
        <v>28.7470527610957</v>
      </c>
      <c r="CP9" s="24" t="n">
        <v>28.8640718279828</v>
      </c>
      <c r="CQ9" s="24" t="n">
        <v>28.9740382068939</v>
      </c>
      <c r="CR9" s="24" t="n">
        <v>29.0876219780643</v>
      </c>
      <c r="CS9" s="24" t="n">
        <v>29.129193172126</v>
      </c>
      <c r="CT9" s="24" t="n">
        <v>6.11163619962486</v>
      </c>
    </row>
    <row r="10" customFormat="false" ht="15" hidden="false" customHeight="false" outlineLevel="0" collapsed="false">
      <c r="A10" s="11" t="n">
        <v>25</v>
      </c>
      <c r="B10" s="24" t="n">
        <v>-3.20176785154418</v>
      </c>
      <c r="C10" s="24" t="n">
        <v>-1.19290817582633</v>
      </c>
      <c r="D10" s="24" t="n">
        <v>0.512100453801134</v>
      </c>
      <c r="E10" s="24" t="n">
        <v>2.04037947070169</v>
      </c>
      <c r="F10" s="24" t="n">
        <v>3.1409217470731</v>
      </c>
      <c r="G10" s="24" t="n">
        <v>4.27682290774575</v>
      </c>
      <c r="H10" s="24" t="n">
        <v>5.41880128940881</v>
      </c>
      <c r="I10" s="24" t="n">
        <v>6.41374602347813</v>
      </c>
      <c r="J10" s="24" t="n">
        <v>7.27170973565116</v>
      </c>
      <c r="K10" s="24" t="n">
        <v>8.17410854858601</v>
      </c>
      <c r="L10" s="24" t="n">
        <v>8.96616088045706</v>
      </c>
      <c r="M10" s="24" t="n">
        <v>9.69692470348244</v>
      </c>
      <c r="N10" s="24" t="n">
        <v>10.3707403152598</v>
      </c>
      <c r="O10" s="24" t="n">
        <v>10.980398646101</v>
      </c>
      <c r="P10" s="24" t="n">
        <v>11.5460966072102</v>
      </c>
      <c r="Q10" s="24" t="n">
        <v>12.1399049257202</v>
      </c>
      <c r="R10" s="24" t="n">
        <v>12.7320402080991</v>
      </c>
      <c r="S10" s="24" t="n">
        <v>13.2336923399258</v>
      </c>
      <c r="T10" s="24" t="n">
        <v>13.714836546024</v>
      </c>
      <c r="U10" s="24" t="n">
        <v>14.1804663840844</v>
      </c>
      <c r="V10" s="24" t="n">
        <v>14.64729473657</v>
      </c>
      <c r="W10" s="24" t="n">
        <v>15.1133673202266</v>
      </c>
      <c r="X10" s="24" t="n">
        <v>15.5133890270616</v>
      </c>
      <c r="Y10" s="24" t="n">
        <v>15.920743793258</v>
      </c>
      <c r="Z10" s="24" t="n">
        <v>16.3335150240073</v>
      </c>
      <c r="AA10" s="24" t="n">
        <v>16.6793261049517</v>
      </c>
      <c r="AB10" s="24" t="n">
        <v>17.0261248542777</v>
      </c>
      <c r="AC10" s="24" t="n">
        <v>17.374729108463</v>
      </c>
      <c r="AD10" s="24" t="n">
        <v>17.7484099667167</v>
      </c>
      <c r="AE10" s="24" t="n">
        <v>18.0711123821011</v>
      </c>
      <c r="AF10" s="24" t="n">
        <v>18.3920634530551</v>
      </c>
      <c r="AG10" s="24" t="n">
        <v>18.7064357200755</v>
      </c>
      <c r="AH10" s="24" t="n">
        <v>19.0406275462612</v>
      </c>
      <c r="AI10" s="24" t="n">
        <v>19.3262753954098</v>
      </c>
      <c r="AJ10" s="24" t="n">
        <v>19.5992774818431</v>
      </c>
      <c r="AK10" s="24" t="n">
        <v>19.8915389093663</v>
      </c>
      <c r="AL10" s="24" t="n">
        <v>20.1837204193378</v>
      </c>
      <c r="AM10" s="24" t="n">
        <v>20.4228887895059</v>
      </c>
      <c r="AN10" s="24" t="n">
        <v>20.6680460117852</v>
      </c>
      <c r="AO10" s="24" t="n">
        <v>20.9319544568954</v>
      </c>
      <c r="AP10" s="24" t="n">
        <v>21.1778873748296</v>
      </c>
      <c r="AQ10" s="24" t="n">
        <v>21.428141483737</v>
      </c>
      <c r="AR10" s="24" t="n">
        <v>21.6621776187725</v>
      </c>
      <c r="AS10" s="24" t="n">
        <v>21.8836089716216</v>
      </c>
      <c r="AT10" s="24" t="n">
        <v>22.1151075473513</v>
      </c>
      <c r="AU10" s="24" t="n">
        <v>22.3418400723933</v>
      </c>
      <c r="AV10" s="24" t="n">
        <v>22.5632261038838</v>
      </c>
      <c r="AW10" s="24" t="n">
        <v>22.7530428756566</v>
      </c>
      <c r="AX10" s="24" t="n">
        <v>22.9553217603249</v>
      </c>
      <c r="AY10" s="24" t="n">
        <v>23.1462249115246</v>
      </c>
      <c r="AZ10" s="24" t="n">
        <v>23.3579379579189</v>
      </c>
      <c r="BA10" s="24" t="n">
        <v>23.5555662480142</v>
      </c>
      <c r="BB10" s="24" t="n">
        <v>23.7303636905908</v>
      </c>
      <c r="BC10" s="24" t="n">
        <v>23.9051634553201</v>
      </c>
      <c r="BD10" s="24" t="n">
        <v>24.0929737011546</v>
      </c>
      <c r="BE10" s="24" t="n">
        <v>24.2794031214995</v>
      </c>
      <c r="BF10" s="24" t="n">
        <v>24.4428669019322</v>
      </c>
      <c r="BG10" s="24" t="n">
        <v>24.6118204433285</v>
      </c>
      <c r="BH10" s="24" t="n">
        <v>24.7638102997321</v>
      </c>
      <c r="BI10" s="24" t="n">
        <v>24.918534523277</v>
      </c>
      <c r="BJ10" s="24" t="n">
        <v>25.0785039338306</v>
      </c>
      <c r="BK10" s="24" t="n">
        <v>25.2310230174026</v>
      </c>
      <c r="BL10" s="24" t="n">
        <v>25.3893456179873</v>
      </c>
      <c r="BM10" s="24" t="n">
        <v>25.5665828988333</v>
      </c>
      <c r="BN10" s="24" t="n">
        <v>25.7049402785857</v>
      </c>
      <c r="BO10" s="24" t="n">
        <v>25.847908252757</v>
      </c>
      <c r="BP10" s="24" t="n">
        <v>25.9928750192229</v>
      </c>
      <c r="BQ10" s="24" t="n">
        <v>26.1354938965362</v>
      </c>
      <c r="BR10" s="24" t="n">
        <v>26.2690217998593</v>
      </c>
      <c r="BS10" s="24" t="n">
        <v>26.4001430456397</v>
      </c>
      <c r="BT10" s="24" t="n">
        <v>26.5279707607588</v>
      </c>
      <c r="BU10" s="24" t="n">
        <v>26.6577704148047</v>
      </c>
      <c r="BV10" s="24" t="n">
        <v>26.7895049246357</v>
      </c>
      <c r="BW10" s="24" t="n">
        <v>26.9165868853359</v>
      </c>
      <c r="BX10" s="24" t="n">
        <v>27.0400982922841</v>
      </c>
      <c r="BY10" s="24" t="n">
        <v>27.1581067904208</v>
      </c>
      <c r="BZ10" s="24" t="n">
        <v>27.2756331057311</v>
      </c>
      <c r="CA10" s="24" t="n">
        <v>27.4118918542719</v>
      </c>
      <c r="CB10" s="24" t="n">
        <v>27.5379320045264</v>
      </c>
      <c r="CC10" s="24" t="n">
        <v>27.6509292088231</v>
      </c>
      <c r="CD10" s="24" t="n">
        <v>27.7755273672083</v>
      </c>
      <c r="CE10" s="24" t="n">
        <v>27.8912101179191</v>
      </c>
      <c r="CF10" s="24" t="n">
        <v>28.006839143616</v>
      </c>
      <c r="CG10" s="24" t="n">
        <v>28.1180003287904</v>
      </c>
      <c r="CH10" s="24" t="n">
        <v>28.2474781868101</v>
      </c>
      <c r="CI10" s="24" t="n">
        <v>28.3605803839079</v>
      </c>
      <c r="CJ10" s="24" t="n">
        <v>28.4778783716892</v>
      </c>
      <c r="CK10" s="24" t="n">
        <v>28.5905269027346</v>
      </c>
      <c r="CL10" s="24" t="n">
        <v>28.6975269943246</v>
      </c>
      <c r="CM10" s="24" t="n">
        <v>28.8178195456675</v>
      </c>
      <c r="CN10" s="24" t="n">
        <v>28.9292079225395</v>
      </c>
      <c r="CO10" s="24" t="n">
        <v>29.0370326703338</v>
      </c>
      <c r="CP10" s="24" t="n">
        <v>29.1456030831719</v>
      </c>
      <c r="CQ10" s="24" t="n">
        <v>29.2421289020218</v>
      </c>
      <c r="CR10" s="24" t="n">
        <v>29.3439467402991</v>
      </c>
      <c r="CS10" s="24" t="n">
        <v>29.3826821433661</v>
      </c>
      <c r="CT10" s="24" t="n">
        <v>7.28067582770618</v>
      </c>
    </row>
    <row r="11" customFormat="false" ht="15" hidden="false" customHeight="false" outlineLevel="0" collapsed="false">
      <c r="A11" s="11" t="n">
        <v>30</v>
      </c>
      <c r="B11" s="24" t="n">
        <v>-1.80117613052768</v>
      </c>
      <c r="C11" s="24" t="n">
        <v>0.0149617230510911</v>
      </c>
      <c r="D11" s="24" t="n">
        <v>1.82142704042825</v>
      </c>
      <c r="E11" s="24" t="n">
        <v>3.29562546919825</v>
      </c>
      <c r="F11" s="24" t="n">
        <v>4.38281081592514</v>
      </c>
      <c r="G11" s="24" t="n">
        <v>5.45792216699285</v>
      </c>
      <c r="H11" s="24" t="n">
        <v>6.54827827837848</v>
      </c>
      <c r="I11" s="24" t="n">
        <v>7.54217653459638</v>
      </c>
      <c r="J11" s="24" t="n">
        <v>8.3684529128879</v>
      </c>
      <c r="K11" s="24" t="n">
        <v>9.27765710956116</v>
      </c>
      <c r="L11" s="24" t="n">
        <v>10.0374685064</v>
      </c>
      <c r="M11" s="24" t="n">
        <v>10.7425933755501</v>
      </c>
      <c r="N11" s="24" t="n">
        <v>11.3601215307226</v>
      </c>
      <c r="O11" s="24" t="n">
        <v>11.9664567848789</v>
      </c>
      <c r="P11" s="24" t="n">
        <v>12.5384991192995</v>
      </c>
      <c r="Q11" s="24" t="n">
        <v>13.1313193143059</v>
      </c>
      <c r="R11" s="24" t="n">
        <v>13.6849653545175</v>
      </c>
      <c r="S11" s="24" t="n">
        <v>14.1811588017336</v>
      </c>
      <c r="T11" s="24" t="n">
        <v>14.6823505345671</v>
      </c>
      <c r="U11" s="24" t="n">
        <v>15.112571858611</v>
      </c>
      <c r="V11" s="24" t="n">
        <v>15.5627091355083</v>
      </c>
      <c r="W11" s="24" t="n">
        <v>15.9605543906562</v>
      </c>
      <c r="X11" s="24" t="n">
        <v>16.3696497366948</v>
      </c>
      <c r="Y11" s="24" t="n">
        <v>16.7516892862972</v>
      </c>
      <c r="Z11" s="24" t="n">
        <v>17.1565781729359</v>
      </c>
      <c r="AA11" s="24" t="n">
        <v>17.5013314785169</v>
      </c>
      <c r="AB11" s="24" t="n">
        <v>17.8267012896664</v>
      </c>
      <c r="AC11" s="24" t="n">
        <v>18.1502195276935</v>
      </c>
      <c r="AD11" s="24" t="n">
        <v>18.493323627481</v>
      </c>
      <c r="AE11" s="24" t="n">
        <v>18.8385022776211</v>
      </c>
      <c r="AF11" s="24" t="n">
        <v>19.1197001888786</v>
      </c>
      <c r="AG11" s="24" t="n">
        <v>19.4573903864458</v>
      </c>
      <c r="AH11" s="24" t="n">
        <v>19.7508051773435</v>
      </c>
      <c r="AI11" s="24" t="n">
        <v>20.0437550383866</v>
      </c>
      <c r="AJ11" s="24" t="n">
        <v>20.3058828675259</v>
      </c>
      <c r="AK11" s="24" t="n">
        <v>20.5725229459875</v>
      </c>
      <c r="AL11" s="24" t="n">
        <v>20.8327097897491</v>
      </c>
      <c r="AM11" s="24" t="n">
        <v>21.1148077654871</v>
      </c>
      <c r="AN11" s="24" t="n">
        <v>21.3603851217573</v>
      </c>
      <c r="AO11" s="24" t="n">
        <v>21.5769849315088</v>
      </c>
      <c r="AP11" s="24" t="n">
        <v>21.8010472750651</v>
      </c>
      <c r="AQ11" s="24" t="n">
        <v>22.0228788095295</v>
      </c>
      <c r="AR11" s="24" t="n">
        <v>22.2486304243319</v>
      </c>
      <c r="AS11" s="24" t="n">
        <v>22.4588386297008</v>
      </c>
      <c r="AT11" s="24" t="n">
        <v>22.6569763671842</v>
      </c>
      <c r="AU11" s="24" t="n">
        <v>22.882972834553</v>
      </c>
      <c r="AV11" s="24" t="n">
        <v>23.0732736638906</v>
      </c>
      <c r="AW11" s="24" t="n">
        <v>23.2809092033006</v>
      </c>
      <c r="AX11" s="24" t="n">
        <v>23.4819448586688</v>
      </c>
      <c r="AY11" s="24" t="n">
        <v>23.6704116218746</v>
      </c>
      <c r="AZ11" s="24" t="n">
        <v>23.8555309234693</v>
      </c>
      <c r="BA11" s="24" t="n">
        <v>24.0298772677078</v>
      </c>
      <c r="BB11" s="24" t="n">
        <v>24.2283618971938</v>
      </c>
      <c r="BC11" s="24" t="n">
        <v>24.3955803520161</v>
      </c>
      <c r="BD11" s="24" t="n">
        <v>24.5487419606639</v>
      </c>
      <c r="BE11" s="24" t="n">
        <v>24.7124562588712</v>
      </c>
      <c r="BF11" s="24" t="n">
        <v>24.8799597977267</v>
      </c>
      <c r="BG11" s="24" t="n">
        <v>25.0521691525366</v>
      </c>
      <c r="BH11" s="24" t="n">
        <v>25.2179876071801</v>
      </c>
      <c r="BI11" s="24" t="n">
        <v>25.3655277864819</v>
      </c>
      <c r="BJ11" s="24" t="n">
        <v>25.5195928258827</v>
      </c>
      <c r="BK11" s="24" t="n">
        <v>25.6654206797931</v>
      </c>
      <c r="BL11" s="24" t="n">
        <v>25.8035492145541</v>
      </c>
      <c r="BM11" s="24" t="n">
        <v>25.9459178931293</v>
      </c>
      <c r="BN11" s="24" t="n">
        <v>26.0792510579089</v>
      </c>
      <c r="BO11" s="24" t="n">
        <v>26.2160280466227</v>
      </c>
      <c r="BP11" s="24" t="n">
        <v>26.3607233259465</v>
      </c>
      <c r="BQ11" s="24" t="n">
        <v>26.4963918955701</v>
      </c>
      <c r="BR11" s="24" t="n">
        <v>26.6188746517604</v>
      </c>
      <c r="BS11" s="24" t="n">
        <v>26.7518131286711</v>
      </c>
      <c r="BT11" s="24" t="n">
        <v>26.8940819105423</v>
      </c>
      <c r="BU11" s="24" t="n">
        <v>27.0145782112197</v>
      </c>
      <c r="BV11" s="24" t="n">
        <v>27.1427458982016</v>
      </c>
      <c r="BW11" s="24" t="n">
        <v>27.255736893725</v>
      </c>
      <c r="BX11" s="24" t="n">
        <v>27.3751103322613</v>
      </c>
      <c r="BY11" s="24" t="n">
        <v>27.4962008886491</v>
      </c>
      <c r="BZ11" s="24" t="n">
        <v>27.6146678039719</v>
      </c>
      <c r="CA11" s="24" t="n">
        <v>27.7288267643086</v>
      </c>
      <c r="CB11" s="24" t="n">
        <v>27.8494108289656</v>
      </c>
      <c r="CC11" s="24" t="n">
        <v>27.9549624755662</v>
      </c>
      <c r="CD11" s="24" t="n">
        <v>28.0691598467177</v>
      </c>
      <c r="CE11" s="24" t="n">
        <v>28.1821289841329</v>
      </c>
      <c r="CF11" s="24" t="n">
        <v>28.3183410999224</v>
      </c>
      <c r="CG11" s="24" t="n">
        <v>28.4263525037382</v>
      </c>
      <c r="CH11" s="24" t="n">
        <v>28.5379567560507</v>
      </c>
      <c r="CI11" s="24" t="n">
        <v>28.6436208661393</v>
      </c>
      <c r="CJ11" s="24" t="n">
        <v>28.7581208632678</v>
      </c>
      <c r="CK11" s="24" t="n">
        <v>28.8780283329216</v>
      </c>
      <c r="CL11" s="24" t="n">
        <v>28.9860750268019</v>
      </c>
      <c r="CM11" s="24" t="n">
        <v>29.0951973090314</v>
      </c>
      <c r="CN11" s="24" t="n">
        <v>29.2008722384882</v>
      </c>
      <c r="CO11" s="24" t="n">
        <v>29.2976401791693</v>
      </c>
      <c r="CP11" s="24" t="n">
        <v>29.3919416173231</v>
      </c>
      <c r="CQ11" s="24" t="n">
        <v>29.497697366482</v>
      </c>
      <c r="CR11" s="24" t="n">
        <v>29.5935517961234</v>
      </c>
      <c r="CS11" s="24" t="n">
        <v>29.6291889515183</v>
      </c>
      <c r="CT11" s="24" t="n">
        <v>8.37687942506711</v>
      </c>
    </row>
    <row r="12" customFormat="false" ht="15" hidden="false" customHeight="false" outlineLevel="0" collapsed="false">
      <c r="A12" s="11" t="n">
        <v>35</v>
      </c>
      <c r="B12" s="24" t="n">
        <v>-0.35451338355212</v>
      </c>
      <c r="C12" s="24" t="n">
        <v>1.3858308553812</v>
      </c>
      <c r="D12" s="24" t="n">
        <v>3.11774567330711</v>
      </c>
      <c r="E12" s="24" t="n">
        <v>4.52647127144205</v>
      </c>
      <c r="F12" s="24" t="n">
        <v>5.60264637646569</v>
      </c>
      <c r="G12" s="24" t="n">
        <v>6.59768719019663</v>
      </c>
      <c r="H12" s="24" t="n">
        <v>7.66542052391912</v>
      </c>
      <c r="I12" s="24" t="n">
        <v>8.60728067111904</v>
      </c>
      <c r="J12" s="24" t="n">
        <v>9.54710672562492</v>
      </c>
      <c r="K12" s="24" t="n">
        <v>10.338431719543</v>
      </c>
      <c r="L12" s="24" t="n">
        <v>11.0884933306015</v>
      </c>
      <c r="M12" s="24" t="n">
        <v>11.7108571297857</v>
      </c>
      <c r="N12" s="24" t="n">
        <v>12.3419263838998</v>
      </c>
      <c r="O12" s="24" t="n">
        <v>12.9370721406418</v>
      </c>
      <c r="P12" s="24" t="n">
        <v>13.5341245656616</v>
      </c>
      <c r="Q12" s="24" t="n">
        <v>14.1085799415791</v>
      </c>
      <c r="R12" s="24" t="n">
        <v>14.6118495256504</v>
      </c>
      <c r="S12" s="24" t="n">
        <v>15.1138061646636</v>
      </c>
      <c r="T12" s="24" t="n">
        <v>15.5985366039915</v>
      </c>
      <c r="U12" s="24" t="n">
        <v>15.974701978148</v>
      </c>
      <c r="V12" s="24" t="n">
        <v>16.3985515932978</v>
      </c>
      <c r="W12" s="24" t="n">
        <v>16.8053551145949</v>
      </c>
      <c r="X12" s="24" t="n">
        <v>17.2022644854523</v>
      </c>
      <c r="Y12" s="24" t="n">
        <v>17.5736359527713</v>
      </c>
      <c r="Z12" s="24" t="n">
        <v>17.9308525102424</v>
      </c>
      <c r="AA12" s="24" t="n">
        <v>18.2616845818101</v>
      </c>
      <c r="AB12" s="24" t="n">
        <v>18.6117768372506</v>
      </c>
      <c r="AC12" s="24" t="n">
        <v>18.9185925382737</v>
      </c>
      <c r="AD12" s="24" t="n">
        <v>19.2347327524941</v>
      </c>
      <c r="AE12" s="24" t="n">
        <v>19.5836200290601</v>
      </c>
      <c r="AF12" s="24" t="n">
        <v>19.8604381757949</v>
      </c>
      <c r="AG12" s="24" t="n">
        <v>20.1619624399826</v>
      </c>
      <c r="AH12" s="24" t="n">
        <v>20.4288254358901</v>
      </c>
      <c r="AI12" s="24" t="n">
        <v>20.7050789697937</v>
      </c>
      <c r="AJ12" s="24" t="n">
        <v>20.9493563753074</v>
      </c>
      <c r="AK12" s="24" t="n">
        <v>21.2124435567376</v>
      </c>
      <c r="AL12" s="24" t="n">
        <v>21.4679587143781</v>
      </c>
      <c r="AM12" s="24" t="n">
        <v>21.7343940279072</v>
      </c>
      <c r="AN12" s="24" t="n">
        <v>21.9660803059272</v>
      </c>
      <c r="AO12" s="24" t="n">
        <v>22.1932617352994</v>
      </c>
      <c r="AP12" s="24" t="n">
        <v>22.4051862407417</v>
      </c>
      <c r="AQ12" s="24" t="n">
        <v>22.6207745584356</v>
      </c>
      <c r="AR12" s="24" t="n">
        <v>22.8244437948994</v>
      </c>
      <c r="AS12" s="24" t="n">
        <v>23.0302576341148</v>
      </c>
      <c r="AT12" s="24" t="n">
        <v>23.2022625767042</v>
      </c>
      <c r="AU12" s="24" t="n">
        <v>23.3959040118384</v>
      </c>
      <c r="AV12" s="24" t="n">
        <v>23.5771839125459</v>
      </c>
      <c r="AW12" s="24" t="n">
        <v>23.780448163666</v>
      </c>
      <c r="AX12" s="24" t="n">
        <v>23.9687435225054</v>
      </c>
      <c r="AY12" s="24" t="n">
        <v>24.1561586561163</v>
      </c>
      <c r="AZ12" s="24" t="n">
        <v>24.3294821131042</v>
      </c>
      <c r="BA12" s="24" t="n">
        <v>24.4906147154144</v>
      </c>
      <c r="BB12" s="24" t="n">
        <v>24.6721821952186</v>
      </c>
      <c r="BC12" s="24" t="n">
        <v>24.8283150710722</v>
      </c>
      <c r="BD12" s="24" t="n">
        <v>25.0136565632637</v>
      </c>
      <c r="BE12" s="24" t="n">
        <v>25.1720993869027</v>
      </c>
      <c r="BF12" s="24" t="n">
        <v>25.3370015013451</v>
      </c>
      <c r="BG12" s="24" t="n">
        <v>25.4853703038824</v>
      </c>
      <c r="BH12" s="24" t="n">
        <v>25.639104190151</v>
      </c>
      <c r="BI12" s="24" t="n">
        <v>25.7799680395308</v>
      </c>
      <c r="BJ12" s="24" t="n">
        <v>25.9254341135137</v>
      </c>
      <c r="BK12" s="24" t="n">
        <v>26.0705520396312</v>
      </c>
      <c r="BL12" s="24" t="n">
        <v>26.1981935248613</v>
      </c>
      <c r="BM12" s="24" t="n">
        <v>26.3219441838892</v>
      </c>
      <c r="BN12" s="24" t="n">
        <v>26.4566848350868</v>
      </c>
      <c r="BO12" s="24" t="n">
        <v>26.5823432022328</v>
      </c>
      <c r="BP12" s="24" t="n">
        <v>26.7101374695472</v>
      </c>
      <c r="BQ12" s="24" t="n">
        <v>26.837355660751</v>
      </c>
      <c r="BR12" s="24" t="n">
        <v>26.9653031387177</v>
      </c>
      <c r="BS12" s="24" t="n">
        <v>27.0973868733263</v>
      </c>
      <c r="BT12" s="24" t="n">
        <v>27.216912779631</v>
      </c>
      <c r="BU12" s="24" t="n">
        <v>27.3380744411591</v>
      </c>
      <c r="BV12" s="24" t="n">
        <v>27.4633619313892</v>
      </c>
      <c r="BW12" s="24" t="n">
        <v>27.5770447547421</v>
      </c>
      <c r="BX12" s="24" t="n">
        <v>27.6989676228672</v>
      </c>
      <c r="BY12" s="24" t="n">
        <v>27.8199290591401</v>
      </c>
      <c r="BZ12" s="24" t="n">
        <v>27.9320294242759</v>
      </c>
      <c r="CA12" s="24" t="n">
        <v>28.05081986635</v>
      </c>
      <c r="CB12" s="24" t="n">
        <v>28.1601433098221</v>
      </c>
      <c r="CC12" s="24" t="n">
        <v>28.2877052310163</v>
      </c>
      <c r="CD12" s="24" t="n">
        <v>28.3890608903934</v>
      </c>
      <c r="CE12" s="24" t="n">
        <v>28.5026961085275</v>
      </c>
      <c r="CF12" s="24" t="n">
        <v>28.6129364921061</v>
      </c>
      <c r="CG12" s="24" t="n">
        <v>28.7124471674056</v>
      </c>
      <c r="CH12" s="24" t="n">
        <v>28.8288275470633</v>
      </c>
      <c r="CI12" s="24" t="n">
        <v>28.9439108413887</v>
      </c>
      <c r="CJ12" s="24" t="n">
        <v>29.0484553199025</v>
      </c>
      <c r="CK12" s="24" t="n">
        <v>29.1565906035969</v>
      </c>
      <c r="CL12" s="24" t="n">
        <v>29.2496056910511</v>
      </c>
      <c r="CM12" s="24" t="n">
        <v>29.3487194161111</v>
      </c>
      <c r="CN12" s="24" t="n">
        <v>29.4556165352275</v>
      </c>
      <c r="CO12" s="24" t="n">
        <v>29.5554374626135</v>
      </c>
      <c r="CP12" s="24" t="n">
        <v>29.6448629480244</v>
      </c>
      <c r="CQ12" s="24" t="n">
        <v>29.7394082476173</v>
      </c>
      <c r="CR12" s="24" t="n">
        <v>29.8424813714154</v>
      </c>
      <c r="CS12" s="24" t="n">
        <v>29.8810208433718</v>
      </c>
      <c r="CT12" s="24" t="n">
        <v>9.55428540880002</v>
      </c>
    </row>
    <row r="13" customFormat="false" ht="15" hidden="false" customHeight="false" outlineLevel="0" collapsed="false">
      <c r="A13" s="11" t="n">
        <v>40</v>
      </c>
      <c r="B13" s="24" t="n">
        <v>0.84604228506196</v>
      </c>
      <c r="C13" s="24" t="n">
        <v>2.73865966558686</v>
      </c>
      <c r="D13" s="24" t="n">
        <v>4.35550809123682</v>
      </c>
      <c r="E13" s="24" t="n">
        <v>5.60605474484353</v>
      </c>
      <c r="F13" s="24" t="n">
        <v>6.76080707944961</v>
      </c>
      <c r="G13" s="24" t="n">
        <v>7.77831156465455</v>
      </c>
      <c r="H13" s="24" t="n">
        <v>8.80499629596141</v>
      </c>
      <c r="I13" s="24" t="n">
        <v>9.6806850754813</v>
      </c>
      <c r="J13" s="24" t="n">
        <v>10.6114459661877</v>
      </c>
      <c r="K13" s="24" t="n">
        <v>11.4012690307131</v>
      </c>
      <c r="L13" s="24" t="n">
        <v>12.0818078705894</v>
      </c>
      <c r="M13" s="24" t="n">
        <v>12.7391893619997</v>
      </c>
      <c r="N13" s="24" t="n">
        <v>13.3097066789119</v>
      </c>
      <c r="O13" s="24" t="n">
        <v>13.8886801128829</v>
      </c>
      <c r="P13" s="24" t="n">
        <v>14.459523893759</v>
      </c>
      <c r="Q13" s="24" t="n">
        <v>15.0440803169811</v>
      </c>
      <c r="R13" s="24" t="n">
        <v>15.5735807946985</v>
      </c>
      <c r="S13" s="24" t="n">
        <v>15.9672696181823</v>
      </c>
      <c r="T13" s="24" t="n">
        <v>16.4293564591727</v>
      </c>
      <c r="U13" s="24" t="n">
        <v>16.8192424119592</v>
      </c>
      <c r="V13" s="24" t="n">
        <v>17.2392923165122</v>
      </c>
      <c r="W13" s="24" t="n">
        <v>17.6320102323158</v>
      </c>
      <c r="X13" s="24" t="n">
        <v>17.9611828383585</v>
      </c>
      <c r="Y13" s="24" t="n">
        <v>18.3330066756213</v>
      </c>
      <c r="Z13" s="24" t="n">
        <v>18.6863879622149</v>
      </c>
      <c r="AA13" s="24" t="n">
        <v>19.0212604367232</v>
      </c>
      <c r="AB13" s="24" t="n">
        <v>19.3516602919137</v>
      </c>
      <c r="AC13" s="24" t="n">
        <v>19.6262629869618</v>
      </c>
      <c r="AD13" s="24" t="n">
        <v>19.9373302052528</v>
      </c>
      <c r="AE13" s="24" t="n">
        <v>20.2588205727802</v>
      </c>
      <c r="AF13" s="24" t="n">
        <v>20.5459207376597</v>
      </c>
      <c r="AG13" s="24" t="n">
        <v>20.7840337058836</v>
      </c>
      <c r="AH13" s="24" t="n">
        <v>21.0702936122522</v>
      </c>
      <c r="AI13" s="24" t="n">
        <v>21.3374370457705</v>
      </c>
      <c r="AJ13" s="24" t="n">
        <v>21.5979377231264</v>
      </c>
      <c r="AK13" s="24" t="n">
        <v>21.8150469408163</v>
      </c>
      <c r="AL13" s="24" t="n">
        <v>22.0519406142837</v>
      </c>
      <c r="AM13" s="24" t="n">
        <v>22.2850059342959</v>
      </c>
      <c r="AN13" s="24" t="n">
        <v>22.5236691800419</v>
      </c>
      <c r="AO13" s="24" t="n">
        <v>22.7459600342446</v>
      </c>
      <c r="AP13" s="24" t="n">
        <v>22.9541202580947</v>
      </c>
      <c r="AQ13" s="24" t="n">
        <v>23.1375274669915</v>
      </c>
      <c r="AR13" s="24" t="n">
        <v>23.3622438735532</v>
      </c>
      <c r="AS13" s="24" t="n">
        <v>23.5468599397767</v>
      </c>
      <c r="AT13" s="24" t="n">
        <v>23.7256760968743</v>
      </c>
      <c r="AU13" s="24" t="n">
        <v>23.9196377133331</v>
      </c>
      <c r="AV13" s="24" t="n">
        <v>24.0869400241609</v>
      </c>
      <c r="AW13" s="24" t="n">
        <v>24.2649228092668</v>
      </c>
      <c r="AX13" s="24" t="n">
        <v>24.4407084142686</v>
      </c>
      <c r="AY13" s="24" t="n">
        <v>24.6274571364261</v>
      </c>
      <c r="AZ13" s="24" t="n">
        <v>24.7857298816172</v>
      </c>
      <c r="BA13" s="24" t="n">
        <v>24.9518606174789</v>
      </c>
      <c r="BB13" s="24" t="n">
        <v>25.1229445393695</v>
      </c>
      <c r="BC13" s="24" t="n">
        <v>25.2711067272839</v>
      </c>
      <c r="BD13" s="24" t="n">
        <v>25.4384998683699</v>
      </c>
      <c r="BE13" s="24" t="n">
        <v>25.6000690064153</v>
      </c>
      <c r="BF13" s="24" t="n">
        <v>25.7403765857597</v>
      </c>
      <c r="BG13" s="24" t="n">
        <v>25.8892138073464</v>
      </c>
      <c r="BH13" s="24" t="n">
        <v>26.0253919021103</v>
      </c>
      <c r="BI13" s="24" t="n">
        <v>26.1668999951843</v>
      </c>
      <c r="BJ13" s="24" t="n">
        <v>26.2906063025974</v>
      </c>
      <c r="BK13" s="24" t="n">
        <v>26.4313121351029</v>
      </c>
      <c r="BL13" s="24" t="n">
        <v>26.5718923201137</v>
      </c>
      <c r="BM13" s="24" t="n">
        <v>26.700469697968</v>
      </c>
      <c r="BN13" s="24" t="n">
        <v>26.831819095785</v>
      </c>
      <c r="BO13" s="24" t="n">
        <v>26.9642611200602</v>
      </c>
      <c r="BP13" s="24" t="n">
        <v>27.0825645870919</v>
      </c>
      <c r="BQ13" s="24" t="n">
        <v>27.1996106435112</v>
      </c>
      <c r="BR13" s="24" t="n">
        <v>27.309293691014</v>
      </c>
      <c r="BS13" s="24" t="n">
        <v>27.4281450999465</v>
      </c>
      <c r="BT13" s="24" t="n">
        <v>27.5462541486771</v>
      </c>
      <c r="BU13" s="24" t="n">
        <v>27.6575296852922</v>
      </c>
      <c r="BV13" s="24" t="n">
        <v>27.7780694300656</v>
      </c>
      <c r="BW13" s="24" t="n">
        <v>27.8962103319309</v>
      </c>
      <c r="BX13" s="24" t="n">
        <v>28.0076252748135</v>
      </c>
      <c r="BY13" s="24" t="n">
        <v>28.1202598656239</v>
      </c>
      <c r="BZ13" s="24" t="n">
        <v>28.2467778707495</v>
      </c>
      <c r="CA13" s="24" t="n">
        <v>28.3606590908732</v>
      </c>
      <c r="CB13" s="24" t="n">
        <v>28.4689386694995</v>
      </c>
      <c r="CC13" s="24" t="n">
        <v>28.5744256154381</v>
      </c>
      <c r="CD13" s="24" t="n">
        <v>28.6737480834917</v>
      </c>
      <c r="CE13" s="24" t="n">
        <v>28.8042218448001</v>
      </c>
      <c r="CF13" s="24" t="n">
        <v>28.9126145727889</v>
      </c>
      <c r="CG13" s="24" t="n">
        <v>29.0205333935891</v>
      </c>
      <c r="CH13" s="24" t="n">
        <v>29.1214736718766</v>
      </c>
      <c r="CI13" s="24" t="n">
        <v>29.2246268579504</v>
      </c>
      <c r="CJ13" s="24" t="n">
        <v>29.3126977764156</v>
      </c>
      <c r="CK13" s="24" t="n">
        <v>29.4196145757632</v>
      </c>
      <c r="CL13" s="24" t="n">
        <v>29.5147201283544</v>
      </c>
      <c r="CM13" s="24" t="n">
        <v>29.6082683410007</v>
      </c>
      <c r="CN13" s="24" t="n">
        <v>29.6979817521459</v>
      </c>
      <c r="CO13" s="24" t="n">
        <v>29.7986183040649</v>
      </c>
      <c r="CP13" s="24" t="n">
        <v>29.898036923097</v>
      </c>
      <c r="CQ13" s="24" t="n">
        <v>29.9946569669166</v>
      </c>
      <c r="CR13" s="24" t="n">
        <v>30.0878075838671</v>
      </c>
      <c r="CS13" s="24" t="n">
        <v>30.1292340747535</v>
      </c>
      <c r="CT13" s="24" t="n">
        <v>10.6207553104509</v>
      </c>
    </row>
    <row r="14" customFormat="false" ht="15" hidden="false" customHeight="false" outlineLevel="0" collapsed="false">
      <c r="A14" s="11" t="n">
        <v>45</v>
      </c>
      <c r="B14" s="24" t="n">
        <v>1.95339219903115</v>
      </c>
      <c r="C14" s="24" t="n">
        <v>3.90972803498233</v>
      </c>
      <c r="D14" s="24" t="n">
        <v>5.55300034107778</v>
      </c>
      <c r="E14" s="24" t="n">
        <v>6.80473130574473</v>
      </c>
      <c r="F14" s="24" t="n">
        <v>7.87318308948032</v>
      </c>
      <c r="G14" s="24" t="n">
        <v>8.97361846472714</v>
      </c>
      <c r="H14" s="24" t="n">
        <v>9.91039313395369</v>
      </c>
      <c r="I14" s="24" t="n">
        <v>10.7520869969181</v>
      </c>
      <c r="J14" s="24" t="n">
        <v>11.6115799390976</v>
      </c>
      <c r="K14" s="24" t="n">
        <v>12.4079926186812</v>
      </c>
      <c r="L14" s="24" t="n">
        <v>13.102142400102</v>
      </c>
      <c r="M14" s="24" t="n">
        <v>13.7185841465345</v>
      </c>
      <c r="N14" s="24" t="n">
        <v>14.2746769305457</v>
      </c>
      <c r="O14" s="24" t="n">
        <v>14.8198963795094</v>
      </c>
      <c r="P14" s="24" t="n">
        <v>15.3356458907807</v>
      </c>
      <c r="Q14" s="24" t="n">
        <v>15.8822296932978</v>
      </c>
      <c r="R14" s="24" t="n">
        <v>16.389965046503</v>
      </c>
      <c r="S14" s="24" t="n">
        <v>16.7897174228288</v>
      </c>
      <c r="T14" s="24" t="n">
        <v>17.2533411435754</v>
      </c>
      <c r="U14" s="24" t="n">
        <v>17.6290197089527</v>
      </c>
      <c r="V14" s="24" t="n">
        <v>17.9979077614545</v>
      </c>
      <c r="W14" s="24" t="n">
        <v>18.3680371721628</v>
      </c>
      <c r="X14" s="24" t="n">
        <v>18.7315084027763</v>
      </c>
      <c r="Y14" s="24" t="n">
        <v>19.1061299433873</v>
      </c>
      <c r="Z14" s="24" t="n">
        <v>19.422612067161</v>
      </c>
      <c r="AA14" s="24" t="n">
        <v>19.733243812268</v>
      </c>
      <c r="AB14" s="24" t="n">
        <v>20.0662288027005</v>
      </c>
      <c r="AC14" s="24" t="n">
        <v>20.3237991596204</v>
      </c>
      <c r="AD14" s="24" t="n">
        <v>20.5821287271149</v>
      </c>
      <c r="AE14" s="24" t="n">
        <v>20.8693208557389</v>
      </c>
      <c r="AF14" s="24" t="n">
        <v>21.1705879454066</v>
      </c>
      <c r="AG14" s="24" t="n">
        <v>21.4242579910381</v>
      </c>
      <c r="AH14" s="24" t="n">
        <v>21.6697380703195</v>
      </c>
      <c r="AI14" s="24" t="n">
        <v>21.9126308217758</v>
      </c>
      <c r="AJ14" s="24" t="n">
        <v>22.1748950570684</v>
      </c>
      <c r="AK14" s="24" t="n">
        <v>22.4012445369204</v>
      </c>
      <c r="AL14" s="24" t="n">
        <v>22.6158596914538</v>
      </c>
      <c r="AM14" s="24" t="n">
        <v>22.8400876925244</v>
      </c>
      <c r="AN14" s="24" t="n">
        <v>23.0402408412601</v>
      </c>
      <c r="AO14" s="24" t="n">
        <v>23.2525555055421</v>
      </c>
      <c r="AP14" s="24" t="n">
        <v>23.4611723087476</v>
      </c>
      <c r="AQ14" s="24" t="n">
        <v>23.6568516315575</v>
      </c>
      <c r="AR14" s="24" t="n">
        <v>23.8367634332519</v>
      </c>
      <c r="AS14" s="24" t="n">
        <v>24.0216336603776</v>
      </c>
      <c r="AT14" s="24" t="n">
        <v>24.2166112810382</v>
      </c>
      <c r="AU14" s="24" t="n">
        <v>24.388219788134</v>
      </c>
      <c r="AV14" s="24" t="n">
        <v>24.5617728213758</v>
      </c>
      <c r="AW14" s="24" t="n">
        <v>24.7356061774284</v>
      </c>
      <c r="AX14" s="24" t="n">
        <v>24.8941391064138</v>
      </c>
      <c r="AY14" s="24" t="n">
        <v>25.0648008626504</v>
      </c>
      <c r="AZ14" s="24" t="n">
        <v>25.2184193476494</v>
      </c>
      <c r="BA14" s="24" t="n">
        <v>25.3807371945496</v>
      </c>
      <c r="BB14" s="24" t="n">
        <v>25.5580740387567</v>
      </c>
      <c r="BC14" s="24" t="n">
        <v>25.6949396591106</v>
      </c>
      <c r="BD14" s="24" t="n">
        <v>25.8446108837586</v>
      </c>
      <c r="BE14" s="24" t="n">
        <v>25.9926539688898</v>
      </c>
      <c r="BF14" s="24" t="n">
        <v>26.132248488649</v>
      </c>
      <c r="BG14" s="24" t="n">
        <v>26.2703267032662</v>
      </c>
      <c r="BH14" s="24" t="n">
        <v>26.4057877399172</v>
      </c>
      <c r="BI14" s="24" t="n">
        <v>26.5422419954534</v>
      </c>
      <c r="BJ14" s="24" t="n">
        <v>26.6716752152287</v>
      </c>
      <c r="BK14" s="24" t="n">
        <v>26.7971561572356</v>
      </c>
      <c r="BL14" s="24" t="n">
        <v>26.9209880885629</v>
      </c>
      <c r="BM14" s="24" t="n">
        <v>27.0427600036022</v>
      </c>
      <c r="BN14" s="24" t="n">
        <v>27.1732651601214</v>
      </c>
      <c r="BO14" s="24" t="n">
        <v>27.2819641095084</v>
      </c>
      <c r="BP14" s="24" t="n">
        <v>27.4140989629269</v>
      </c>
      <c r="BQ14" s="24" t="n">
        <v>27.5309102184697</v>
      </c>
      <c r="BR14" s="24" t="n">
        <v>27.6459718335967</v>
      </c>
      <c r="BS14" s="24" t="n">
        <v>27.7767721931778</v>
      </c>
      <c r="BT14" s="24" t="n">
        <v>27.8893776065503</v>
      </c>
      <c r="BU14" s="24" t="n">
        <v>27.9897681634164</v>
      </c>
      <c r="BV14" s="24" t="n">
        <v>28.1032766937647</v>
      </c>
      <c r="BW14" s="24" t="n">
        <v>28.2170509626532</v>
      </c>
      <c r="BX14" s="24" t="n">
        <v>28.3314381528759</v>
      </c>
      <c r="BY14" s="24" t="n">
        <v>28.4395715129586</v>
      </c>
      <c r="BZ14" s="24" t="n">
        <v>28.5432869042152</v>
      </c>
      <c r="CA14" s="24" t="n">
        <v>28.649882705934</v>
      </c>
      <c r="CB14" s="24" t="n">
        <v>28.7682054359864</v>
      </c>
      <c r="CC14" s="24" t="n">
        <v>28.8812330952498</v>
      </c>
      <c r="CD14" s="24" t="n">
        <v>28.9842804014288</v>
      </c>
      <c r="CE14" s="24" t="n">
        <v>29.0925879413171</v>
      </c>
      <c r="CF14" s="24" t="n">
        <v>29.1936184657133</v>
      </c>
      <c r="CG14" s="24" t="n">
        <v>29.287882067091</v>
      </c>
      <c r="CH14" s="24" t="n">
        <v>29.3838858510195</v>
      </c>
      <c r="CI14" s="24" t="n">
        <v>29.485200366391</v>
      </c>
      <c r="CJ14" s="24" t="n">
        <v>29.5844177499758</v>
      </c>
      <c r="CK14" s="24" t="n">
        <v>29.6729245899706</v>
      </c>
      <c r="CL14" s="24" t="n">
        <v>29.7739057575082</v>
      </c>
      <c r="CM14" s="24" t="n">
        <v>29.8722088587937</v>
      </c>
      <c r="CN14" s="24" t="n">
        <v>29.9639566584308</v>
      </c>
      <c r="CO14" s="24" t="n">
        <v>30.055881912829</v>
      </c>
      <c r="CP14" s="24" t="n">
        <v>30.1513301333492</v>
      </c>
      <c r="CQ14" s="24" t="n">
        <v>30.2384396228053</v>
      </c>
      <c r="CR14" s="24" t="n">
        <v>30.3207613088383</v>
      </c>
      <c r="CS14" s="24" t="n">
        <v>30.3559129729138</v>
      </c>
      <c r="CT14" s="24" t="n">
        <v>11.625358465938</v>
      </c>
    </row>
    <row r="15" customFormat="false" ht="15" hidden="false" customHeight="false" outlineLevel="0" collapsed="false">
      <c r="A15" s="11" t="n">
        <v>50</v>
      </c>
      <c r="B15" s="24" t="n">
        <v>3.18212074173157</v>
      </c>
      <c r="C15" s="24" t="n">
        <v>5.13412573602913</v>
      </c>
      <c r="D15" s="24" t="n">
        <v>6.69957517668299</v>
      </c>
      <c r="E15" s="24" t="n">
        <v>7.89410418153543</v>
      </c>
      <c r="F15" s="24" t="n">
        <v>9.06006079979139</v>
      </c>
      <c r="G15" s="24" t="n">
        <v>10.0612294445772</v>
      </c>
      <c r="H15" s="24" t="n">
        <v>10.9928165149189</v>
      </c>
      <c r="I15" s="24" t="n">
        <v>11.8468072386241</v>
      </c>
      <c r="J15" s="24" t="n">
        <v>12.6617265734373</v>
      </c>
      <c r="K15" s="24" t="n">
        <v>13.3633000441334</v>
      </c>
      <c r="L15" s="24" t="n">
        <v>14.0905832786628</v>
      </c>
      <c r="M15" s="24" t="n">
        <v>14.6533391816635</v>
      </c>
      <c r="N15" s="24" t="n">
        <v>15.2066474878658</v>
      </c>
      <c r="O15" s="24" t="n">
        <v>15.7127558954285</v>
      </c>
      <c r="P15" s="24" t="n">
        <v>16.2225451245191</v>
      </c>
      <c r="Q15" s="24" t="n">
        <v>16.7177629325468</v>
      </c>
      <c r="R15" s="24" t="n">
        <v>17.1960952685893</v>
      </c>
      <c r="S15" s="24" t="n">
        <v>17.5760536040927</v>
      </c>
      <c r="T15" s="24" t="n">
        <v>18.0010740446268</v>
      </c>
      <c r="U15" s="24" t="n">
        <v>18.3662332647171</v>
      </c>
      <c r="V15" s="24" t="n">
        <v>18.7536861834289</v>
      </c>
      <c r="W15" s="24" t="n">
        <v>19.0976749596917</v>
      </c>
      <c r="X15" s="24" t="n">
        <v>19.4594375895944</v>
      </c>
      <c r="Y15" s="24" t="n">
        <v>19.8037928100516</v>
      </c>
      <c r="Z15" s="24" t="n">
        <v>20.1397243807396</v>
      </c>
      <c r="AA15" s="24" t="n">
        <v>20.4128617883269</v>
      </c>
      <c r="AB15" s="24" t="n">
        <v>20.6961008304252</v>
      </c>
      <c r="AC15" s="24" t="n">
        <v>20.9940494534877</v>
      </c>
      <c r="AD15" s="24" t="n">
        <v>21.2522389025014</v>
      </c>
      <c r="AE15" s="24" t="n">
        <v>21.4823455967912</v>
      </c>
      <c r="AF15" s="24" t="n">
        <v>21.7480181213495</v>
      </c>
      <c r="AG15" s="24" t="n">
        <v>22.0050573332917</v>
      </c>
      <c r="AH15" s="24" t="n">
        <v>22.249505512647</v>
      </c>
      <c r="AI15" s="24" t="n">
        <v>22.4736724321085</v>
      </c>
      <c r="AJ15" s="24" t="n">
        <v>22.7007879032127</v>
      </c>
      <c r="AK15" s="24" t="n">
        <v>22.9161210232153</v>
      </c>
      <c r="AL15" s="24" t="n">
        <v>23.121794616361</v>
      </c>
      <c r="AM15" s="24" t="n">
        <v>23.3247293139372</v>
      </c>
      <c r="AN15" s="24" t="n">
        <v>23.5303992604856</v>
      </c>
      <c r="AO15" s="24" t="n">
        <v>23.7272592467115</v>
      </c>
      <c r="AP15" s="24" t="n">
        <v>23.9299294021834</v>
      </c>
      <c r="AQ15" s="24" t="n">
        <v>24.1200809023745</v>
      </c>
      <c r="AR15" s="24" t="n">
        <v>24.3189174265548</v>
      </c>
      <c r="AS15" s="24" t="n">
        <v>24.4916197794411</v>
      </c>
      <c r="AT15" s="24" t="n">
        <v>24.6609421135852</v>
      </c>
      <c r="AU15" s="24" t="n">
        <v>24.816501401609</v>
      </c>
      <c r="AV15" s="24" t="n">
        <v>24.9952248148428</v>
      </c>
      <c r="AW15" s="24" t="n">
        <v>25.1607665348396</v>
      </c>
      <c r="AX15" s="24" t="n">
        <v>25.3311090310374</v>
      </c>
      <c r="AY15" s="24" t="n">
        <v>25.4843427970124</v>
      </c>
      <c r="AZ15" s="24" t="n">
        <v>25.6406724450084</v>
      </c>
      <c r="BA15" s="24" t="n">
        <v>25.7819976046739</v>
      </c>
      <c r="BB15" s="24" t="n">
        <v>25.932904336228</v>
      </c>
      <c r="BC15" s="24" t="n">
        <v>26.0742139765167</v>
      </c>
      <c r="BD15" s="24" t="n">
        <v>26.2137475047005</v>
      </c>
      <c r="BE15" s="24" t="n">
        <v>26.3573063362942</v>
      </c>
      <c r="BF15" s="24" t="n">
        <v>26.4950482275824</v>
      </c>
      <c r="BG15" s="24" t="n">
        <v>26.6228958059679</v>
      </c>
      <c r="BH15" s="24" t="n">
        <v>26.7601661692869</v>
      </c>
      <c r="BI15" s="24" t="n">
        <v>26.8955609944268</v>
      </c>
      <c r="BJ15" s="24" t="n">
        <v>27.017400129936</v>
      </c>
      <c r="BK15" s="24" t="n">
        <v>27.1433112510836</v>
      </c>
      <c r="BL15" s="24" t="n">
        <v>27.2545227429917</v>
      </c>
      <c r="BM15" s="24" t="n">
        <v>27.385065502945</v>
      </c>
      <c r="BN15" s="24" t="n">
        <v>27.5056099154891</v>
      </c>
      <c r="BO15" s="24" t="n">
        <v>27.6164459757747</v>
      </c>
      <c r="BP15" s="24" t="n">
        <v>27.7363850700205</v>
      </c>
      <c r="BQ15" s="24" t="n">
        <v>27.8526819182884</v>
      </c>
      <c r="BR15" s="24" t="n">
        <v>27.9666092670969</v>
      </c>
      <c r="BS15" s="24" t="n">
        <v>28.0792391954059</v>
      </c>
      <c r="BT15" s="24" t="n">
        <v>28.1963400837799</v>
      </c>
      <c r="BU15" s="24" t="n">
        <v>28.3219571527823</v>
      </c>
      <c r="BV15" s="24" t="n">
        <v>28.4254193818546</v>
      </c>
      <c r="BW15" s="24" t="n">
        <v>28.537128597429</v>
      </c>
      <c r="BX15" s="24" t="n">
        <v>28.6436208661393</v>
      </c>
      <c r="BY15" s="24" t="n">
        <v>28.7549627333738</v>
      </c>
      <c r="BZ15" s="24" t="n">
        <v>28.8590083386403</v>
      </c>
      <c r="CA15" s="24" t="n">
        <v>28.9664370316515</v>
      </c>
      <c r="CB15" s="24" t="n">
        <v>29.0679881606647</v>
      </c>
      <c r="CC15" s="24" t="n">
        <v>29.1676230788308</v>
      </c>
      <c r="CD15" s="24" t="n">
        <v>29.2617620757023</v>
      </c>
      <c r="CE15" s="24" t="n">
        <v>29.3510374742219</v>
      </c>
      <c r="CF15" s="24" t="n">
        <v>29.4612843262219</v>
      </c>
      <c r="CG15" s="24" t="n">
        <v>29.5546730235468</v>
      </c>
      <c r="CH15" s="24" t="n">
        <v>29.6454475875121</v>
      </c>
      <c r="CI15" s="24" t="n">
        <v>29.7359620244376</v>
      </c>
      <c r="CJ15" s="24" t="n">
        <v>29.837640584881</v>
      </c>
      <c r="CK15" s="24" t="n">
        <v>29.9361541283968</v>
      </c>
      <c r="CL15" s="24" t="n">
        <v>30.0299114110214</v>
      </c>
      <c r="CM15" s="24" t="n">
        <v>30.1279226051439</v>
      </c>
      <c r="CN15" s="24" t="n">
        <v>30.2132581968197</v>
      </c>
      <c r="CO15" s="24" t="n">
        <v>30.2899514227814</v>
      </c>
      <c r="CP15" s="24" t="n">
        <v>30.3756350122577</v>
      </c>
      <c r="CQ15" s="24" t="n">
        <v>30.4639676570284</v>
      </c>
      <c r="CR15" s="24" t="n">
        <v>30.5534874581191</v>
      </c>
      <c r="CS15" s="24" t="n">
        <v>30.5908350009681</v>
      </c>
      <c r="CT15" s="24" t="n">
        <v>12.6653934930088</v>
      </c>
    </row>
    <row r="16" customFormat="false" ht="15" hidden="false" customHeight="false" outlineLevel="0" collapsed="false">
      <c r="A16" s="11" t="n">
        <v>55</v>
      </c>
      <c r="B16" s="24" t="n">
        <v>4.4268588387896</v>
      </c>
      <c r="C16" s="24" t="n">
        <v>6.31287486817828</v>
      </c>
      <c r="D16" s="24" t="n">
        <v>7.82561629672605</v>
      </c>
      <c r="E16" s="24" t="n">
        <v>9.03258505746491</v>
      </c>
      <c r="F16" s="24" t="n">
        <v>10.1528087639581</v>
      </c>
      <c r="G16" s="24" t="n">
        <v>11.1487903127861</v>
      </c>
      <c r="H16" s="24" t="n">
        <v>12.0197689608951</v>
      </c>
      <c r="I16" s="24" t="n">
        <v>12.8356956911569</v>
      </c>
      <c r="J16" s="24" t="n">
        <v>13.6364540119907</v>
      </c>
      <c r="K16" s="24" t="n">
        <v>14.3340963323568</v>
      </c>
      <c r="L16" s="24" t="n">
        <v>14.9865057502277</v>
      </c>
      <c r="M16" s="24" t="n">
        <v>15.5414312345346</v>
      </c>
      <c r="N16" s="24" t="n">
        <v>16.1006030377193</v>
      </c>
      <c r="O16" s="24" t="n">
        <v>16.5815951563062</v>
      </c>
      <c r="P16" s="24" t="n">
        <v>17.0560243261132</v>
      </c>
      <c r="Q16" s="24" t="n">
        <v>17.5183837422658</v>
      </c>
      <c r="R16" s="24" t="n">
        <v>17.9515150694599</v>
      </c>
      <c r="S16" s="24" t="n">
        <v>18.3211502164361</v>
      </c>
      <c r="T16" s="24" t="n">
        <v>18.7051281503641</v>
      </c>
      <c r="U16" s="24" t="n">
        <v>19.0972630425264</v>
      </c>
      <c r="V16" s="24" t="n">
        <v>19.4587115142866</v>
      </c>
      <c r="W16" s="24" t="n">
        <v>19.7993537230755</v>
      </c>
      <c r="X16" s="24" t="n">
        <v>20.1484773916332</v>
      </c>
      <c r="Y16" s="24" t="n">
        <v>20.4446338845547</v>
      </c>
      <c r="Z16" s="24" t="n">
        <v>20.7403930686117</v>
      </c>
      <c r="AA16" s="24" t="n">
        <v>21.0505345718927</v>
      </c>
      <c r="AB16" s="24" t="n">
        <v>21.3374529135795</v>
      </c>
      <c r="AC16" s="24" t="n">
        <v>21.5767777689067</v>
      </c>
      <c r="AD16" s="24" t="n">
        <v>21.8501849580803</v>
      </c>
      <c r="AE16" s="24" t="n">
        <v>22.0875862584772</v>
      </c>
      <c r="AF16" s="24" t="n">
        <v>22.317417527096</v>
      </c>
      <c r="AG16" s="24" t="n">
        <v>22.5587319944636</v>
      </c>
      <c r="AH16" s="24" t="n">
        <v>22.7851824657669</v>
      </c>
      <c r="AI16" s="24" t="n">
        <v>23.0213123828522</v>
      </c>
      <c r="AJ16" s="24" t="n">
        <v>23.215089335825</v>
      </c>
      <c r="AK16" s="24" t="n">
        <v>23.4086046360756</v>
      </c>
      <c r="AL16" s="24" t="n">
        <v>23.6156287184753</v>
      </c>
      <c r="AM16" s="24" t="n">
        <v>23.8141144050124</v>
      </c>
      <c r="AN16" s="24" t="n">
        <v>24.0100049515461</v>
      </c>
      <c r="AO16" s="24" t="n">
        <v>24.1948384719351</v>
      </c>
      <c r="AP16" s="24" t="n">
        <v>24.3765487365971</v>
      </c>
      <c r="AQ16" s="24" t="n">
        <v>24.5499021098558</v>
      </c>
      <c r="AR16" s="24" t="n">
        <v>24.7302120099922</v>
      </c>
      <c r="AS16" s="24" t="n">
        <v>24.9069829647259</v>
      </c>
      <c r="AT16" s="24" t="n">
        <v>25.0812296674596</v>
      </c>
      <c r="AU16" s="24" t="n">
        <v>25.2524463177787</v>
      </c>
      <c r="AV16" s="24" t="n">
        <v>25.4212045823215</v>
      </c>
      <c r="AW16" s="24" t="n">
        <v>25.5771699141328</v>
      </c>
      <c r="AX16" s="24" t="n">
        <v>25.7132920386439</v>
      </c>
      <c r="AY16" s="24" t="n">
        <v>25.8725684909476</v>
      </c>
      <c r="AZ16" s="24" t="n">
        <v>26.0131515568025</v>
      </c>
      <c r="BA16" s="24" t="n">
        <v>26.1597459312623</v>
      </c>
      <c r="BB16" s="24" t="n">
        <v>26.2882674945718</v>
      </c>
      <c r="BC16" s="24" t="n">
        <v>26.427699393662</v>
      </c>
      <c r="BD16" s="24" t="n">
        <v>26.56193383153</v>
      </c>
      <c r="BE16" s="24" t="n">
        <v>26.6871272921344</v>
      </c>
      <c r="BF16" s="24" t="n">
        <v>26.8290889679345</v>
      </c>
      <c r="BG16" s="24" t="n">
        <v>26.9523699577425</v>
      </c>
      <c r="BH16" s="24" t="n">
        <v>27.090167294244</v>
      </c>
      <c r="BI16" s="24" t="n">
        <v>27.2136341913375</v>
      </c>
      <c r="BJ16" s="24" t="n">
        <v>27.3296374306768</v>
      </c>
      <c r="BK16" s="24" t="n">
        <v>27.4586672448043</v>
      </c>
      <c r="BL16" s="24" t="n">
        <v>27.5770447547421</v>
      </c>
      <c r="BM16" s="24" t="n">
        <v>27.6964440885137</v>
      </c>
      <c r="BN16" s="24" t="n">
        <v>27.8288415625401</v>
      </c>
      <c r="BO16" s="24" t="n">
        <v>27.9393135349962</v>
      </c>
      <c r="BP16" s="24" t="n">
        <v>28.046391020362</v>
      </c>
      <c r="BQ16" s="24" t="n">
        <v>28.1604510457198</v>
      </c>
      <c r="BR16" s="24" t="n">
        <v>28.292743023908</v>
      </c>
      <c r="BS16" s="24" t="n">
        <v>28.3933149755622</v>
      </c>
      <c r="BT16" s="24" t="n">
        <v>28.5042277412819</v>
      </c>
      <c r="BU16" s="24" t="n">
        <v>28.6125693986144</v>
      </c>
      <c r="BV16" s="24" t="n">
        <v>28.716090705652</v>
      </c>
      <c r="BW16" s="24" t="n">
        <v>28.8351063765157</v>
      </c>
      <c r="BX16" s="24" t="n">
        <v>28.9449952409676</v>
      </c>
      <c r="BY16" s="24" t="n">
        <v>29.0532693351362</v>
      </c>
      <c r="BZ16" s="24" t="n">
        <v>29.154231663871</v>
      </c>
      <c r="CA16" s="24" t="n">
        <v>29.2496056910511</v>
      </c>
      <c r="CB16" s="24" t="n">
        <v>29.3451744467877</v>
      </c>
      <c r="CC16" s="24" t="n">
        <v>29.4539757702879</v>
      </c>
      <c r="CD16" s="24" t="n">
        <v>29.5446411617263</v>
      </c>
      <c r="CE16" s="24" t="n">
        <v>29.63411416073</v>
      </c>
      <c r="CF16" s="24" t="n">
        <v>29.7205979286143</v>
      </c>
      <c r="CG16" s="24" t="n">
        <v>29.8165878917614</v>
      </c>
      <c r="CH16" s="24" t="n">
        <v>29.9131046400694</v>
      </c>
      <c r="CI16" s="24" t="n">
        <v>30.0041725375792</v>
      </c>
      <c r="CJ16" s="24" t="n">
        <v>30.0986660580288</v>
      </c>
      <c r="CK16" s="24" t="n">
        <v>30.1828417243769</v>
      </c>
      <c r="CL16" s="24" t="n">
        <v>30.2654647167655</v>
      </c>
      <c r="CM16" s="24" t="n">
        <v>30.352030619965</v>
      </c>
      <c r="CN16" s="24" t="n">
        <v>30.4363275693</v>
      </c>
      <c r="CO16" s="24" t="n">
        <v>30.5247623052712</v>
      </c>
      <c r="CP16" s="24" t="n">
        <v>30.6093937196875</v>
      </c>
      <c r="CQ16" s="24" t="n">
        <v>30.6903890142584</v>
      </c>
      <c r="CR16" s="24" t="n">
        <v>30.7739753142203</v>
      </c>
      <c r="CS16" s="24" t="n">
        <v>30.8099562390387</v>
      </c>
      <c r="CT16" s="24" t="n">
        <v>13.6492989100309</v>
      </c>
    </row>
    <row r="17" customFormat="false" ht="15" hidden="false" customHeight="false" outlineLevel="0" collapsed="false">
      <c r="A17" s="11" t="n">
        <v>60</v>
      </c>
      <c r="B17" s="24" t="n">
        <v>5.58232619622856</v>
      </c>
      <c r="C17" s="24" t="n">
        <v>7.47339000338665</v>
      </c>
      <c r="D17" s="24" t="n">
        <v>8.91969559635869</v>
      </c>
      <c r="E17" s="24" t="n">
        <v>10.0597061094651</v>
      </c>
      <c r="F17" s="24" t="n">
        <v>11.1462046408181</v>
      </c>
      <c r="G17" s="24" t="n">
        <v>12.1399049257202</v>
      </c>
      <c r="H17" s="24" t="n">
        <v>13.0218002059508</v>
      </c>
      <c r="I17" s="24" t="n">
        <v>13.8351379431428</v>
      </c>
      <c r="J17" s="24" t="n">
        <v>14.588496878883</v>
      </c>
      <c r="K17" s="24" t="n">
        <v>15.2360561314662</v>
      </c>
      <c r="L17" s="24" t="n">
        <v>15.8353391491443</v>
      </c>
      <c r="M17" s="24" t="n">
        <v>16.3600739788696</v>
      </c>
      <c r="N17" s="24" t="n">
        <v>16.8681675149803</v>
      </c>
      <c r="O17" s="24" t="n">
        <v>17.3840737071236</v>
      </c>
      <c r="P17" s="24" t="n">
        <v>17.831176495835</v>
      </c>
      <c r="Q17" s="24" t="n">
        <v>18.2602571462782</v>
      </c>
      <c r="R17" s="24" t="n">
        <v>18.6786555283444</v>
      </c>
      <c r="S17" s="24" t="n">
        <v>19.0851448398124</v>
      </c>
      <c r="T17" s="24" t="n">
        <v>19.444402404174</v>
      </c>
      <c r="U17" s="24" t="n">
        <v>19.7915550874163</v>
      </c>
      <c r="V17" s="24" t="n">
        <v>20.1238148268182</v>
      </c>
      <c r="W17" s="24" t="n">
        <v>20.4272459590907</v>
      </c>
      <c r="X17" s="24" t="n">
        <v>20.7256418339826</v>
      </c>
      <c r="Y17" s="24" t="n">
        <v>21.0403220876331</v>
      </c>
      <c r="Z17" s="24" t="n">
        <v>21.3494217837817</v>
      </c>
      <c r="AA17" s="24" t="n">
        <v>21.6359528779423</v>
      </c>
      <c r="AB17" s="24" t="n">
        <v>21.8976398433298</v>
      </c>
      <c r="AC17" s="24" t="n">
        <v>22.1571180105342</v>
      </c>
      <c r="AD17" s="24" t="n">
        <v>22.3879183168464</v>
      </c>
      <c r="AE17" s="24" t="n">
        <v>22.6402892144115</v>
      </c>
      <c r="AF17" s="24" t="n">
        <v>22.8588028025409</v>
      </c>
      <c r="AG17" s="24" t="n">
        <v>23.0647149193296</v>
      </c>
      <c r="AH17" s="24" t="n">
        <v>23.264449608891</v>
      </c>
      <c r="AI17" s="24" t="n">
        <v>23.4785778192513</v>
      </c>
      <c r="AJ17" s="24" t="n">
        <v>23.6960730723563</v>
      </c>
      <c r="AK17" s="24" t="n">
        <v>23.8937314478553</v>
      </c>
      <c r="AL17" s="24" t="n">
        <v>24.0904401153714</v>
      </c>
      <c r="AM17" s="24" t="n">
        <v>24.2804024672121</v>
      </c>
      <c r="AN17" s="24" t="n">
        <v>24.4448413084307</v>
      </c>
      <c r="AO17" s="24" t="n">
        <v>24.6434290377911</v>
      </c>
      <c r="AP17" s="24" t="n">
        <v>24.8082079461366</v>
      </c>
      <c r="AQ17" s="24" t="n">
        <v>24.9680589399836</v>
      </c>
      <c r="AR17" s="24" t="n">
        <v>25.1463284150974</v>
      </c>
      <c r="AS17" s="24" t="n">
        <v>25.3204588051676</v>
      </c>
      <c r="AT17" s="24" t="n">
        <v>25.4824687443895</v>
      </c>
      <c r="AU17" s="24" t="n">
        <v>25.6431715860702</v>
      </c>
      <c r="AV17" s="24" t="n">
        <v>25.7923584751659</v>
      </c>
      <c r="AW17" s="24" t="n">
        <v>25.953385243648</v>
      </c>
      <c r="AX17" s="24" t="n">
        <v>26.0957454190463</v>
      </c>
      <c r="AY17" s="24" t="n">
        <v>26.2275123419636</v>
      </c>
      <c r="AZ17" s="24" t="n">
        <v>26.3643641055677</v>
      </c>
      <c r="BA17" s="24" t="n">
        <v>26.4985552595282</v>
      </c>
      <c r="BB17" s="24" t="n">
        <v>26.6323442819081</v>
      </c>
      <c r="BC17" s="24" t="n">
        <v>26.7601661692869</v>
      </c>
      <c r="BD17" s="24" t="n">
        <v>26.9114475302188</v>
      </c>
      <c r="BE17" s="24" t="n">
        <v>27.0257307348615</v>
      </c>
      <c r="BF17" s="24" t="n">
        <v>27.1566563967161</v>
      </c>
      <c r="BG17" s="24" t="n">
        <v>27.2668614474137</v>
      </c>
      <c r="BH17" s="24" t="n">
        <v>27.3912399054068</v>
      </c>
      <c r="BI17" s="24" t="n">
        <v>27.5109783699956</v>
      </c>
      <c r="BJ17" s="24" t="n">
        <v>27.6343592260824</v>
      </c>
      <c r="BK17" s="24" t="n">
        <v>27.7499759012442</v>
      </c>
      <c r="BL17" s="24" t="n">
        <v>27.8819259500124</v>
      </c>
      <c r="BM17" s="24" t="n">
        <v>27.9977941717543</v>
      </c>
      <c r="BN17" s="24" t="n">
        <v>28.1092147183881</v>
      </c>
      <c r="BO17" s="24" t="n">
        <v>28.2352707764758</v>
      </c>
      <c r="BP17" s="24" t="n">
        <v>28.3458408864599</v>
      </c>
      <c r="BQ17" s="24" t="n">
        <v>28.4569358097756</v>
      </c>
      <c r="BR17" s="24" t="n">
        <v>28.5635765698001</v>
      </c>
      <c r="BS17" s="24" t="n">
        <v>28.6717501137217</v>
      </c>
      <c r="BT17" s="24" t="n">
        <v>28.7934532544222</v>
      </c>
      <c r="BU17" s="24" t="n">
        <v>28.8982085039281</v>
      </c>
      <c r="BV17" s="24" t="n">
        <v>29.0136607949609</v>
      </c>
      <c r="BW17" s="24" t="n">
        <v>29.1214736718766</v>
      </c>
      <c r="BX17" s="24" t="n">
        <v>29.2147988632776</v>
      </c>
      <c r="BY17" s="24" t="n">
        <v>29.3090528398727</v>
      </c>
      <c r="BZ17" s="24" t="n">
        <v>29.4034879676086</v>
      </c>
      <c r="CA17" s="24" t="n">
        <v>29.5050876514849</v>
      </c>
      <c r="CB17" s="24" t="n">
        <v>29.6026626112398</v>
      </c>
      <c r="CC17" s="24" t="n">
        <v>29.6884737751188</v>
      </c>
      <c r="CD17" s="24" t="n">
        <v>29.7907822276057</v>
      </c>
      <c r="CE17" s="24" t="n">
        <v>29.8911256501722</v>
      </c>
      <c r="CF17" s="24" t="n">
        <v>29.9835334579853</v>
      </c>
      <c r="CG17" s="24" t="n">
        <v>30.0806953794066</v>
      </c>
      <c r="CH17" s="24" t="n">
        <v>30.1694681986007</v>
      </c>
      <c r="CI17" s="24" t="n">
        <v>30.256218812562</v>
      </c>
      <c r="CJ17" s="24" t="n">
        <v>30.3348758594476</v>
      </c>
      <c r="CK17" s="24" t="n">
        <v>30.4225266831357</v>
      </c>
      <c r="CL17" s="24" t="n">
        <v>30.5068642379573</v>
      </c>
      <c r="CM17" s="24" t="n">
        <v>30.5930685769381</v>
      </c>
      <c r="CN17" s="24" t="n">
        <v>30.6753632107849</v>
      </c>
      <c r="CO17" s="24" t="n">
        <v>30.7548145013423</v>
      </c>
      <c r="CP17" s="24" t="n">
        <v>30.8420321603027</v>
      </c>
      <c r="CQ17" s="24" t="n">
        <v>30.9209243670434</v>
      </c>
      <c r="CR17" s="24" t="n">
        <v>31.0042027575831</v>
      </c>
      <c r="CS17" s="24" t="n">
        <v>31.0333221078003</v>
      </c>
      <c r="CT17" s="24" t="n">
        <v>14.5919764555931</v>
      </c>
    </row>
    <row r="18" customFormat="false" ht="15" hidden="false" customHeight="false" outlineLevel="0" collapsed="false">
      <c r="A18" s="11" t="n">
        <v>65</v>
      </c>
      <c r="B18" s="24" t="n">
        <v>6.71851452599948</v>
      </c>
      <c r="C18" s="24" t="n">
        <v>8.54925883374429</v>
      </c>
      <c r="D18" s="24" t="n">
        <v>9.94589111935922</v>
      </c>
      <c r="E18" s="24" t="n">
        <v>11.0989895410932</v>
      </c>
      <c r="F18" s="24" t="n">
        <v>12.1319372890679</v>
      </c>
      <c r="G18" s="24" t="n">
        <v>13.110224518356</v>
      </c>
      <c r="H18" s="24" t="n">
        <v>13.9736888761556</v>
      </c>
      <c r="I18" s="24" t="n">
        <v>14.7761336144116</v>
      </c>
      <c r="J18" s="24" t="n">
        <v>15.4504986986068</v>
      </c>
      <c r="K18" s="24" t="n">
        <v>16.0627920889961</v>
      </c>
      <c r="L18" s="24" t="n">
        <v>16.6449186362015</v>
      </c>
      <c r="M18" s="24" t="n">
        <v>17.1625992027624</v>
      </c>
      <c r="N18" s="24" t="n">
        <v>17.6300337739628</v>
      </c>
      <c r="O18" s="24" t="n">
        <v>18.0670964134401</v>
      </c>
      <c r="P18" s="24" t="n">
        <v>18.5169426465996</v>
      </c>
      <c r="Q18" s="24" t="n">
        <v>18.9937576573324</v>
      </c>
      <c r="R18" s="24" t="n">
        <v>19.3856123459285</v>
      </c>
      <c r="S18" s="24" t="n">
        <v>19.7682445214253</v>
      </c>
      <c r="T18" s="24" t="n">
        <v>20.1300700322804</v>
      </c>
      <c r="U18" s="24" t="n">
        <v>20.4539550325439</v>
      </c>
      <c r="V18" s="24" t="n">
        <v>20.7279012347926</v>
      </c>
      <c r="W18" s="24" t="n">
        <v>21.0351163670767</v>
      </c>
      <c r="X18" s="24" t="n">
        <v>21.3496640442341</v>
      </c>
      <c r="Y18" s="24" t="n">
        <v>21.6167228327302</v>
      </c>
      <c r="Z18" s="24" t="n">
        <v>21.8852477636002</v>
      </c>
      <c r="AA18" s="24" t="n">
        <v>22.15406577984</v>
      </c>
      <c r="AB18" s="24" t="n">
        <v>22.4155431643898</v>
      </c>
      <c r="AC18" s="24" t="n">
        <v>22.6609210395867</v>
      </c>
      <c r="AD18" s="24" t="n">
        <v>22.8973917165491</v>
      </c>
      <c r="AE18" s="24" t="n">
        <v>23.106012391699</v>
      </c>
      <c r="AF18" s="24" t="n">
        <v>23.3367338486486</v>
      </c>
      <c r="AG18" s="24" t="n">
        <v>23.5517238871503</v>
      </c>
      <c r="AH18" s="24" t="n">
        <v>23.7472154059525</v>
      </c>
      <c r="AI18" s="24" t="n">
        <v>23.9404374756192</v>
      </c>
      <c r="AJ18" s="24" t="n">
        <v>24.1308907846103</v>
      </c>
      <c r="AK18" s="24" t="n">
        <v>24.3300986200177</v>
      </c>
      <c r="AL18" s="24" t="n">
        <v>24.5116261133062</v>
      </c>
      <c r="AM18" s="24" t="n">
        <v>24.6993547597214</v>
      </c>
      <c r="AN18" s="24" t="n">
        <v>24.8774426983973</v>
      </c>
      <c r="AO18" s="24" t="n">
        <v>25.0495914312949</v>
      </c>
      <c r="AP18" s="24" t="n">
        <v>25.2127433931223</v>
      </c>
      <c r="AQ18" s="24" t="n">
        <v>25.3786922164065</v>
      </c>
      <c r="AR18" s="24" t="n">
        <v>25.5580740387567</v>
      </c>
      <c r="AS18" s="24" t="n">
        <v>25.6989878441986</v>
      </c>
      <c r="AT18" s="24" t="n">
        <v>25.847908252757</v>
      </c>
      <c r="AU18" s="24" t="n">
        <v>25.9957867353041</v>
      </c>
      <c r="AV18" s="24" t="n">
        <v>26.1453115738932</v>
      </c>
      <c r="AW18" s="24" t="n">
        <v>26.2804578321295</v>
      </c>
      <c r="AX18" s="24" t="n">
        <v>26.4217672753997</v>
      </c>
      <c r="AY18" s="24" t="n">
        <v>26.566164526844</v>
      </c>
      <c r="AZ18" s="24" t="n">
        <v>26.7015227617863</v>
      </c>
      <c r="BA18" s="24" t="n">
        <v>26.8441541503572</v>
      </c>
      <c r="BB18" s="24" t="n">
        <v>26.9705032477496</v>
      </c>
      <c r="BC18" s="24" t="n">
        <v>27.096780274762</v>
      </c>
      <c r="BD18" s="24" t="n">
        <v>27.2132304856807</v>
      </c>
      <c r="BE18" s="24" t="n">
        <v>27.3295382777359</v>
      </c>
      <c r="BF18" s="24" t="n">
        <v>27.4607477765454</v>
      </c>
      <c r="BG18" s="24" t="n">
        <v>27.5763652534359</v>
      </c>
      <c r="BH18" s="24" t="n">
        <v>27.7007069646017</v>
      </c>
      <c r="BI18" s="24" t="n">
        <v>27.8281829194835</v>
      </c>
      <c r="BJ18" s="24" t="n">
        <v>27.9406422043211</v>
      </c>
      <c r="BK18" s="24" t="n">
        <v>28.0509783159209</v>
      </c>
      <c r="BL18" s="24" t="n">
        <v>28.1570681073732</v>
      </c>
      <c r="BM18" s="24" t="n">
        <v>28.2848466226728</v>
      </c>
      <c r="BN18" s="24" t="n">
        <v>28.3906922847862</v>
      </c>
      <c r="BO18" s="24" t="n">
        <v>28.5036220468307</v>
      </c>
      <c r="BP18" s="24" t="n">
        <v>28.6100148369848</v>
      </c>
      <c r="BQ18" s="24" t="n">
        <v>28.726579931132</v>
      </c>
      <c r="BR18" s="24" t="n">
        <v>28.8492660032704</v>
      </c>
      <c r="BS18" s="24" t="n">
        <v>28.9584557665567</v>
      </c>
      <c r="BT18" s="24" t="n">
        <v>29.066143554838</v>
      </c>
      <c r="BU18" s="24" t="n">
        <v>29.1676230788308</v>
      </c>
      <c r="BV18" s="24" t="n">
        <v>29.2669983749734</v>
      </c>
      <c r="BW18" s="24" t="n">
        <v>29.3608010693756</v>
      </c>
      <c r="BX18" s="24" t="n">
        <v>29.4678398598953</v>
      </c>
      <c r="BY18" s="24" t="n">
        <v>29.5643961185311</v>
      </c>
      <c r="BZ18" s="24" t="n">
        <v>29.6554301163802</v>
      </c>
      <c r="CA18" s="24" t="n">
        <v>29.745827526928</v>
      </c>
      <c r="CB18" s="24" t="n">
        <v>29.8486498426398</v>
      </c>
      <c r="CC18" s="24" t="n">
        <v>29.9445634981908</v>
      </c>
      <c r="CD18" s="24" t="n">
        <v>30.0349861578929</v>
      </c>
      <c r="CE18" s="24" t="n">
        <v>30.1332378683764</v>
      </c>
      <c r="CF18" s="24" t="n">
        <v>30.2169638998765</v>
      </c>
      <c r="CG18" s="24" t="n">
        <v>30.2929840556072</v>
      </c>
      <c r="CH18" s="24" t="n">
        <v>30.3825585978725</v>
      </c>
      <c r="CI18" s="24" t="n">
        <v>30.4672953788928</v>
      </c>
      <c r="CJ18" s="24" t="n">
        <v>30.5573028794152</v>
      </c>
      <c r="CK18" s="24" t="n">
        <v>30.6423566455188</v>
      </c>
      <c r="CL18" s="24" t="n">
        <v>30.7292168673688</v>
      </c>
      <c r="CM18" s="24" t="n">
        <v>30.813701689493</v>
      </c>
      <c r="CN18" s="24" t="n">
        <v>30.9005159048741</v>
      </c>
      <c r="CO18" s="24" t="n">
        <v>30.9862189787461</v>
      </c>
      <c r="CP18" s="24" t="n">
        <v>31.0626173792379</v>
      </c>
      <c r="CQ18" s="24" t="n">
        <v>31.1446767415747</v>
      </c>
      <c r="CR18" s="24" t="n">
        <v>31.226866756645</v>
      </c>
      <c r="CS18" s="24" t="n">
        <v>31.253627973109</v>
      </c>
      <c r="CT18" s="24" t="n">
        <v>15.4654590132664</v>
      </c>
    </row>
    <row r="19" customFormat="false" ht="15" hidden="false" customHeight="false" outlineLevel="0" collapsed="false">
      <c r="A19" s="11" t="n">
        <v>70</v>
      </c>
      <c r="B19" s="24" t="n">
        <v>7.80651886585694</v>
      </c>
      <c r="C19" s="24" t="n">
        <v>9.71841925858351</v>
      </c>
      <c r="D19" s="24" t="n">
        <v>10.946810345211</v>
      </c>
      <c r="E19" s="24" t="n">
        <v>12.0822177725639</v>
      </c>
      <c r="F19" s="24" t="n">
        <v>13.079662880434</v>
      </c>
      <c r="G19" s="24" t="n">
        <v>14.0217030394307</v>
      </c>
      <c r="H19" s="24" t="n">
        <v>14.8646266094237</v>
      </c>
      <c r="I19" s="24" t="n">
        <v>15.6290711926612</v>
      </c>
      <c r="J19" s="24" t="n">
        <v>16.2834303153768</v>
      </c>
      <c r="K19" s="24" t="n">
        <v>16.8390695434961</v>
      </c>
      <c r="L19" s="24" t="n">
        <v>17.3961561909507</v>
      </c>
      <c r="M19" s="24" t="n">
        <v>17.8809619537385</v>
      </c>
      <c r="N19" s="24" t="n">
        <v>18.3109729015478</v>
      </c>
      <c r="O19" s="24" t="n">
        <v>18.7932764734011</v>
      </c>
      <c r="P19" s="24" t="n">
        <v>19.2006408705807</v>
      </c>
      <c r="Q19" s="24" t="n">
        <v>19.6156282547647</v>
      </c>
      <c r="R19" s="24" t="n">
        <v>20.0106960408436</v>
      </c>
      <c r="S19" s="24" t="n">
        <v>20.3482479318192</v>
      </c>
      <c r="T19" s="24" t="n">
        <v>20.7026949232823</v>
      </c>
      <c r="U19" s="24" t="n">
        <v>21.0304330292133</v>
      </c>
      <c r="V19" s="24" t="n">
        <v>21.3591819050696</v>
      </c>
      <c r="W19" s="24" t="n">
        <v>21.6282695623082</v>
      </c>
      <c r="X19" s="24" t="n">
        <v>21.8965366315311</v>
      </c>
      <c r="Y19" s="24" t="n">
        <v>22.1690833390575</v>
      </c>
      <c r="Z19" s="24" t="n">
        <v>22.4192417114145</v>
      </c>
      <c r="AA19" s="24" t="n">
        <v>22.6609724884381</v>
      </c>
      <c r="AB19" s="24" t="n">
        <v>22.9028962406586</v>
      </c>
      <c r="AC19" s="24" t="n">
        <v>23.121794616361</v>
      </c>
      <c r="AD19" s="24" t="n">
        <v>23.3578612180826</v>
      </c>
      <c r="AE19" s="24" t="n">
        <v>23.5646163261358</v>
      </c>
      <c r="AF19" s="24" t="n">
        <v>23.7688052220472</v>
      </c>
      <c r="AG19" s="24" t="n">
        <v>23.984868207185</v>
      </c>
      <c r="AH19" s="24" t="n">
        <v>24.1893267685781</v>
      </c>
      <c r="AI19" s="24" t="n">
        <v>24.3763468964951</v>
      </c>
      <c r="AJ19" s="24" t="n">
        <v>24.5558561332141</v>
      </c>
      <c r="AK19" s="24" t="n">
        <v>24.7321308146675</v>
      </c>
      <c r="AL19" s="24" t="n">
        <v>24.9144667957623</v>
      </c>
      <c r="AM19" s="24" t="n">
        <v>25.0973484696087</v>
      </c>
      <c r="AN19" s="24" t="n">
        <v>25.2678589013117</v>
      </c>
      <c r="AO19" s="24" t="n">
        <v>25.4383451092457</v>
      </c>
      <c r="AP19" s="24" t="n">
        <v>25.6010040589719</v>
      </c>
      <c r="AQ19" s="24" t="n">
        <v>25.7615518758545</v>
      </c>
      <c r="AR19" s="24" t="n">
        <v>25.9099768612976</v>
      </c>
      <c r="AS19" s="24" t="n">
        <v>26.0513720356824</v>
      </c>
      <c r="AT19" s="24" t="n">
        <v>26.191999461898</v>
      </c>
      <c r="AU19" s="24" t="n">
        <v>26.3412085313779</v>
      </c>
      <c r="AV19" s="24" t="n">
        <v>26.4811422437059</v>
      </c>
      <c r="AW19" s="24" t="n">
        <v>26.6098361946353</v>
      </c>
      <c r="AX19" s="24" t="n">
        <v>26.7401943859013</v>
      </c>
      <c r="AY19" s="24" t="n">
        <v>26.8843104984709</v>
      </c>
      <c r="AZ19" s="24" t="n">
        <v>27.0121602202665</v>
      </c>
      <c r="BA19" s="24" t="n">
        <v>27.1435719343002</v>
      </c>
      <c r="BB19" s="24" t="n">
        <v>27.2596890192679</v>
      </c>
      <c r="BC19" s="24" t="n">
        <v>27.3931373514525</v>
      </c>
      <c r="BD19" s="24" t="n">
        <v>27.5161828098773</v>
      </c>
      <c r="BE19" s="24" t="n">
        <v>27.6418850170583</v>
      </c>
      <c r="BF19" s="24" t="n">
        <v>27.7579307366792</v>
      </c>
      <c r="BG19" s="24" t="n">
        <v>27.8883462707075</v>
      </c>
      <c r="BH19" s="24" t="n">
        <v>27.9911579518177</v>
      </c>
      <c r="BI19" s="24" t="n">
        <v>28.0985318167805</v>
      </c>
      <c r="BJ19" s="24" t="n">
        <v>28.2223169635587</v>
      </c>
      <c r="BK19" s="24" t="n">
        <v>28.3394144315376</v>
      </c>
      <c r="BL19" s="24" t="n">
        <v>28.4506307131558</v>
      </c>
      <c r="BM19" s="24" t="n">
        <v>28.5627966248741</v>
      </c>
      <c r="BN19" s="24" t="n">
        <v>28.667842239784</v>
      </c>
      <c r="BO19" s="24" t="n">
        <v>28.7895058496934</v>
      </c>
      <c r="BP19" s="24" t="n">
        <v>28.8982085039281</v>
      </c>
      <c r="BQ19" s="24" t="n">
        <v>29.0030880058294</v>
      </c>
      <c r="BR19" s="24" t="n">
        <v>29.1021244192992</v>
      </c>
      <c r="BS19" s="24" t="n">
        <v>29.2091238686172</v>
      </c>
      <c r="BT19" s="24" t="n">
        <v>29.3031110050204</v>
      </c>
      <c r="BU19" s="24" t="n">
        <v>29.3948594836013</v>
      </c>
      <c r="BV19" s="24" t="n">
        <v>29.4999702296668</v>
      </c>
      <c r="BW19" s="24" t="n">
        <v>29.6016912836516</v>
      </c>
      <c r="BX19" s="24" t="n">
        <v>29.6881402639907</v>
      </c>
      <c r="BY19" s="24" t="n">
        <v>29.7888132487224</v>
      </c>
      <c r="BZ19" s="24" t="n">
        <v>29.8914218910528</v>
      </c>
      <c r="CA19" s="24" t="n">
        <v>29.9813853245736</v>
      </c>
      <c r="CB19" s="24" t="n">
        <v>30.0784528000006</v>
      </c>
      <c r="CC19" s="24" t="n">
        <v>30.168275604416</v>
      </c>
      <c r="CD19" s="24" t="n">
        <v>30.2531133846066</v>
      </c>
      <c r="CE19" s="24" t="n">
        <v>30.3388197272225</v>
      </c>
      <c r="CF19" s="24" t="n">
        <v>30.4273082123409</v>
      </c>
      <c r="CG19" s="24" t="n">
        <v>30.5162211285959</v>
      </c>
      <c r="CH19" s="24" t="n">
        <v>30.6049077227941</v>
      </c>
      <c r="CI19" s="24" t="n">
        <v>30.6877687999853</v>
      </c>
      <c r="CJ19" s="24" t="n">
        <v>30.768740730614</v>
      </c>
      <c r="CK19" s="24" t="n">
        <v>30.856173299648</v>
      </c>
      <c r="CL19" s="24" t="n">
        <v>30.9489248618488</v>
      </c>
      <c r="CM19" s="24" t="n">
        <v>31.0237179885398</v>
      </c>
      <c r="CN19" s="24" t="n">
        <v>31.0945106391503</v>
      </c>
      <c r="CO19" s="24" t="n">
        <v>31.1776490707364</v>
      </c>
      <c r="CP19" s="24" t="n">
        <v>31.2576939139209</v>
      </c>
      <c r="CQ19" s="24" t="n">
        <v>31.3396907613404</v>
      </c>
      <c r="CR19" s="24" t="n">
        <v>31.4120044195741</v>
      </c>
      <c r="CS19" s="24" t="n">
        <v>31.4441994738041</v>
      </c>
      <c r="CT19" s="24" t="n">
        <v>16.2887681183701</v>
      </c>
    </row>
    <row r="20" customFormat="false" ht="15" hidden="false" customHeight="false" outlineLevel="0" collapsed="false">
      <c r="A20" s="11" t="n">
        <v>75</v>
      </c>
      <c r="B20" s="24" t="n">
        <v>8.84745680421952</v>
      </c>
      <c r="C20" s="24" t="n">
        <v>10.6404460889345</v>
      </c>
      <c r="D20" s="24" t="n">
        <v>11.9245052455853</v>
      </c>
      <c r="E20" s="24" t="n">
        <v>13.0200749756036</v>
      </c>
      <c r="F20" s="24" t="n">
        <v>14.0212094194358</v>
      </c>
      <c r="G20" s="24" t="n">
        <v>14.9200648694791</v>
      </c>
      <c r="H20" s="24" t="n">
        <v>15.6883761694209</v>
      </c>
      <c r="I20" s="24" t="n">
        <v>16.3985515932978</v>
      </c>
      <c r="J20" s="24" t="n">
        <v>17.0251864179673</v>
      </c>
      <c r="K20" s="24" t="n">
        <v>17.5858165078452</v>
      </c>
      <c r="L20" s="24" t="n">
        <v>18.0625045233292</v>
      </c>
      <c r="M20" s="24" t="n">
        <v>18.5694129367677</v>
      </c>
      <c r="N20" s="24" t="n">
        <v>19.0019601387446</v>
      </c>
      <c r="O20" s="24" t="n">
        <v>19.4363354840421</v>
      </c>
      <c r="P20" s="24" t="n">
        <v>19.8555087335932</v>
      </c>
      <c r="Q20" s="24" t="n">
        <v>20.2374690071127</v>
      </c>
      <c r="R20" s="24" t="n">
        <v>20.5954969327501</v>
      </c>
      <c r="S20" s="24" t="n">
        <v>20.9331141755702</v>
      </c>
      <c r="T20" s="24" t="n">
        <v>21.269476422029</v>
      </c>
      <c r="U20" s="24" t="n">
        <v>21.567405798635</v>
      </c>
      <c r="V20" s="24" t="n">
        <v>21.860712549918</v>
      </c>
      <c r="W20" s="24" t="n">
        <v>22.1505020628608</v>
      </c>
      <c r="X20" s="24" t="n">
        <v>22.403930647941</v>
      </c>
      <c r="Y20" s="24" t="n">
        <v>22.6509639948362</v>
      </c>
      <c r="Z20" s="24" t="n">
        <v>22.8967570943546</v>
      </c>
      <c r="AA20" s="24" t="n">
        <v>23.121794616361</v>
      </c>
      <c r="AB20" s="24" t="n">
        <v>23.354715405461</v>
      </c>
      <c r="AC20" s="24" t="n">
        <v>23.5634283888616</v>
      </c>
      <c r="AD20" s="24" t="n">
        <v>23.7681445350075</v>
      </c>
      <c r="AE20" s="24" t="n">
        <v>24.000014596132</v>
      </c>
      <c r="AF20" s="24" t="n">
        <v>24.20766848221</v>
      </c>
      <c r="AG20" s="24" t="n">
        <v>24.3986459922921</v>
      </c>
      <c r="AH20" s="24" t="n">
        <v>24.586585696912</v>
      </c>
      <c r="AI20" s="24" t="n">
        <v>24.7631810777881</v>
      </c>
      <c r="AJ20" s="24" t="n">
        <v>24.958011577384</v>
      </c>
      <c r="AK20" s="24" t="n">
        <v>25.1375941735424</v>
      </c>
      <c r="AL20" s="24" t="n">
        <v>25.3014979474689</v>
      </c>
      <c r="AM20" s="24" t="n">
        <v>25.4689361090258</v>
      </c>
      <c r="AN20" s="24" t="n">
        <v>25.6375524997958</v>
      </c>
      <c r="AO20" s="24" t="n">
        <v>25.7889465054864</v>
      </c>
      <c r="AP20" s="24" t="n">
        <v>25.9495785227274</v>
      </c>
      <c r="AQ20" s="24" t="n">
        <v>26.0938157968845</v>
      </c>
      <c r="AR20" s="24" t="n">
        <v>26.2336969928094</v>
      </c>
      <c r="AS20" s="24" t="n">
        <v>26.3710026006309</v>
      </c>
      <c r="AT20" s="24" t="n">
        <v>26.5121447234658</v>
      </c>
      <c r="AU20" s="24" t="n">
        <v>26.6632237031304</v>
      </c>
      <c r="AV20" s="24" t="n">
        <v>26.8036344782617</v>
      </c>
      <c r="AW20" s="24" t="n">
        <v>26.9278245476302</v>
      </c>
      <c r="AX20" s="24" t="n">
        <v>27.0608884979049</v>
      </c>
      <c r="AY20" s="24" t="n">
        <v>27.1949001408172</v>
      </c>
      <c r="AZ20" s="24" t="n">
        <v>27.3078656456422</v>
      </c>
      <c r="BA20" s="24" t="n">
        <v>27.4299761727313</v>
      </c>
      <c r="BB20" s="24" t="n">
        <v>27.5513435023965</v>
      </c>
      <c r="BC20" s="24" t="n">
        <v>27.6676465880101</v>
      </c>
      <c r="BD20" s="24" t="n">
        <v>27.7949771870705</v>
      </c>
      <c r="BE20" s="24" t="n">
        <v>27.9231772350988</v>
      </c>
      <c r="BF20" s="24" t="n">
        <v>28.0323592221592</v>
      </c>
      <c r="BG20" s="24" t="n">
        <v>28.1465138951272</v>
      </c>
      <c r="BH20" s="24" t="n">
        <v>28.2817302227597</v>
      </c>
      <c r="BI20" s="24" t="n">
        <v>28.3851749145015</v>
      </c>
      <c r="BJ20" s="24" t="n">
        <v>28.4977899597155</v>
      </c>
      <c r="BK20" s="24" t="n">
        <v>28.6140384538142</v>
      </c>
      <c r="BL20" s="24" t="n">
        <v>28.716222288668</v>
      </c>
      <c r="BM20" s="24" t="n">
        <v>28.8338018288634</v>
      </c>
      <c r="BN20" s="24" t="n">
        <v>28.9439108413887</v>
      </c>
      <c r="BO20" s="24" t="n">
        <v>29.0506531817719</v>
      </c>
      <c r="BP20" s="24" t="n">
        <v>29.1516244222451</v>
      </c>
      <c r="BQ20" s="24" t="n">
        <v>29.2517739711474</v>
      </c>
      <c r="BR20" s="24" t="n">
        <v>29.3490176157222</v>
      </c>
      <c r="BS20" s="24" t="n">
        <v>29.4579749601232</v>
      </c>
      <c r="BT20" s="24" t="n">
        <v>29.5510315504376</v>
      </c>
      <c r="BU20" s="24" t="n">
        <v>29.6370533145952</v>
      </c>
      <c r="BV20" s="24" t="n">
        <v>29.7270628818202</v>
      </c>
      <c r="BW20" s="24" t="n">
        <v>29.8321161330803</v>
      </c>
      <c r="BX20" s="24" t="n">
        <v>29.9162792274183</v>
      </c>
      <c r="BY20" s="24" t="n">
        <v>30.0110352009894</v>
      </c>
      <c r="BZ20" s="24" t="n">
        <v>30.1185062318902</v>
      </c>
      <c r="CA20" s="24" t="n">
        <v>30.2021544707485</v>
      </c>
      <c r="CB20" s="24" t="n">
        <v>30.282686457405</v>
      </c>
      <c r="CC20" s="24" t="n">
        <v>30.3697582150583</v>
      </c>
      <c r="CD20" s="24" t="n">
        <v>30.4607921178059</v>
      </c>
      <c r="CE20" s="24" t="n">
        <v>30.5452325208851</v>
      </c>
      <c r="CF20" s="24" t="n">
        <v>30.6314726668207</v>
      </c>
      <c r="CG20" s="24" t="n">
        <v>30.7163520005536</v>
      </c>
      <c r="CH20" s="24" t="n">
        <v>30.7990213720702</v>
      </c>
      <c r="CI20" s="24" t="n">
        <v>30.8896139323825</v>
      </c>
      <c r="CJ20" s="24" t="n">
        <v>30.9723356795134</v>
      </c>
      <c r="CK20" s="24" t="n">
        <v>31.0492371658469</v>
      </c>
      <c r="CL20" s="24" t="n">
        <v>31.1285788728251</v>
      </c>
      <c r="CM20" s="24" t="n">
        <v>31.2183309879634</v>
      </c>
      <c r="CN20" s="24" t="n">
        <v>31.2874494199943</v>
      </c>
      <c r="CO20" s="24" t="n">
        <v>31.3720790664872</v>
      </c>
      <c r="CP20" s="24" t="n">
        <v>31.4476149155437</v>
      </c>
      <c r="CQ20" s="24" t="n">
        <v>31.5292332669354</v>
      </c>
      <c r="CR20" s="24" t="n">
        <v>31.6040217201421</v>
      </c>
      <c r="CS20" s="24" t="n">
        <v>31.6275493459532</v>
      </c>
      <c r="CT20" s="24" t="n">
        <v>17.0341155260475</v>
      </c>
    </row>
    <row r="21" customFormat="false" ht="15" hidden="false" customHeight="false" outlineLevel="0" collapsed="false">
      <c r="A21" s="11" t="n">
        <v>80</v>
      </c>
      <c r="B21" s="24" t="n">
        <v>9.86235824593722</v>
      </c>
      <c r="C21" s="24" t="n">
        <v>11.6088893769581</v>
      </c>
      <c r="D21" s="24" t="n">
        <v>12.8667561158077</v>
      </c>
      <c r="E21" s="24" t="n">
        <v>13.9147530256151</v>
      </c>
      <c r="F21" s="24" t="n">
        <v>14.8604382085728</v>
      </c>
      <c r="G21" s="24" t="n">
        <v>15.7099319996192</v>
      </c>
      <c r="H21" s="24" t="n">
        <v>16.4524283925497</v>
      </c>
      <c r="I21" s="24" t="n">
        <v>17.1112936980625</v>
      </c>
      <c r="J21" s="24" t="n">
        <v>17.6988218073911</v>
      </c>
      <c r="K21" s="24" t="n">
        <v>18.2256086608043</v>
      </c>
      <c r="L21" s="24" t="n">
        <v>18.7325903411935</v>
      </c>
      <c r="M21" s="24" t="n">
        <v>19.2001696426023</v>
      </c>
      <c r="N21" s="24" t="n">
        <v>19.6490099776638</v>
      </c>
      <c r="O21" s="24" t="n">
        <v>20.0255822100192</v>
      </c>
      <c r="P21" s="24" t="n">
        <v>20.4096591570095</v>
      </c>
      <c r="Q21" s="24" t="n">
        <v>20.7560748489675</v>
      </c>
      <c r="R21" s="24" t="n">
        <v>21.1250837776404</v>
      </c>
      <c r="S21" s="24" t="n">
        <v>21.4661403540623</v>
      </c>
      <c r="T21" s="24" t="n">
        <v>21.7698869012237</v>
      </c>
      <c r="U21" s="24" t="n">
        <v>22.0669734437066</v>
      </c>
      <c r="V21" s="24" t="n">
        <v>22.3510664234075</v>
      </c>
      <c r="W21" s="24" t="n">
        <v>22.6186460413538</v>
      </c>
      <c r="X21" s="24" t="n">
        <v>22.8773153823684</v>
      </c>
      <c r="Y21" s="24" t="n">
        <v>23.0928818409179</v>
      </c>
      <c r="Z21" s="24" t="n">
        <v>23.3209238656994</v>
      </c>
      <c r="AA21" s="24" t="n">
        <v>23.5438878699041</v>
      </c>
      <c r="AB21" s="24" t="n">
        <v>23.7586306813706</v>
      </c>
      <c r="AC21" s="24" t="n">
        <v>23.9878155776902</v>
      </c>
      <c r="AD21" s="24" t="n">
        <v>24.1928840586759</v>
      </c>
      <c r="AE21" s="24" t="n">
        <v>24.3911456726919</v>
      </c>
      <c r="AF21" s="24" t="n">
        <v>24.5789834921384</v>
      </c>
      <c r="AG21" s="24" t="n">
        <v>24.7727860987998</v>
      </c>
      <c r="AH21" s="24" t="n">
        <v>24.9633664920457</v>
      </c>
      <c r="AI21" s="24" t="n">
        <v>25.1503997257682</v>
      </c>
      <c r="AJ21" s="24" t="n">
        <v>25.3292319665555</v>
      </c>
      <c r="AK21" s="24" t="n">
        <v>25.4843427970124</v>
      </c>
      <c r="AL21" s="24" t="n">
        <v>25.6507852230679</v>
      </c>
      <c r="AM21" s="24" t="n">
        <v>25.8223688896216</v>
      </c>
      <c r="AN21" s="24" t="n">
        <v>25.9736800595436</v>
      </c>
      <c r="AO21" s="24" t="n">
        <v>26.1113880147995</v>
      </c>
      <c r="AP21" s="24" t="n">
        <v>26.2564101029687</v>
      </c>
      <c r="AQ21" s="24" t="n">
        <v>26.3894569832687</v>
      </c>
      <c r="AR21" s="24" t="n">
        <v>26.5392483582256</v>
      </c>
      <c r="AS21" s="24" t="n">
        <v>26.6786029603467</v>
      </c>
      <c r="AT21" s="24" t="n">
        <v>26.8186302014103</v>
      </c>
      <c r="AU21" s="24" t="n">
        <v>26.9579070304258</v>
      </c>
      <c r="AV21" s="24" t="n">
        <v>27.0909073000697</v>
      </c>
      <c r="AW21" s="24" t="n">
        <v>27.2129300846002</v>
      </c>
      <c r="AX21" s="24" t="n">
        <v>27.3322458744864</v>
      </c>
      <c r="AY21" s="24" t="n">
        <v>27.4598088258697</v>
      </c>
      <c r="AZ21" s="24" t="n">
        <v>27.5916639721734</v>
      </c>
      <c r="BA21" s="24" t="n">
        <v>27.7125914685879</v>
      </c>
      <c r="BB21" s="24" t="n">
        <v>27.8406569611293</v>
      </c>
      <c r="BC21" s="24" t="n">
        <v>27.9569107764316</v>
      </c>
      <c r="BD21" s="24" t="n">
        <v>28.070796265569</v>
      </c>
      <c r="BE21" s="24" t="n">
        <v>28.1758027501679</v>
      </c>
      <c r="BF21" s="24" t="n">
        <v>28.3069433495044</v>
      </c>
      <c r="BG21" s="24" t="n">
        <v>28.4165955505005</v>
      </c>
      <c r="BH21" s="24" t="n">
        <v>28.5262879753485</v>
      </c>
      <c r="BI21" s="24" t="n">
        <v>28.6346399940249</v>
      </c>
      <c r="BJ21" s="24" t="n">
        <v>28.7503061448626</v>
      </c>
      <c r="BK21" s="24" t="n">
        <v>28.8657565577993</v>
      </c>
      <c r="BL21" s="24" t="n">
        <v>28.977510655452</v>
      </c>
      <c r="BM21" s="24" t="n">
        <v>29.0886840404447</v>
      </c>
      <c r="BN21" s="24" t="n">
        <v>29.1881227549667</v>
      </c>
      <c r="BO21" s="24" t="n">
        <v>29.2853632993955</v>
      </c>
      <c r="BP21" s="24" t="n">
        <v>29.3836275579056</v>
      </c>
      <c r="BQ21" s="24" t="n">
        <v>29.4891372040341</v>
      </c>
      <c r="BR21" s="24" t="n">
        <v>29.5886113981833</v>
      </c>
      <c r="BS21" s="24" t="n">
        <v>29.6735309579271</v>
      </c>
      <c r="BT21" s="24" t="n">
        <v>29.7640625461469</v>
      </c>
      <c r="BU21" s="24" t="n">
        <v>29.870170462317</v>
      </c>
      <c r="BV21" s="24" t="n">
        <v>29.9589557551391</v>
      </c>
      <c r="BW21" s="24" t="n">
        <v>30.0545245314616</v>
      </c>
      <c r="BX21" s="24" t="n">
        <v>30.1546726343629</v>
      </c>
      <c r="BY21" s="24" t="n">
        <v>30.2388641781171</v>
      </c>
      <c r="BZ21" s="24" t="n">
        <v>30.3194943365676</v>
      </c>
      <c r="CA21" s="24" t="n">
        <v>30.4052204473338</v>
      </c>
      <c r="CB21" s="24" t="n">
        <v>30.490659277157</v>
      </c>
      <c r="CC21" s="24" t="n">
        <v>30.5826592463013</v>
      </c>
      <c r="CD21" s="24" t="n">
        <v>30.662859048444</v>
      </c>
      <c r="CE21" s="24" t="n">
        <v>30.7388096662458</v>
      </c>
      <c r="CF21" s="24" t="n">
        <v>30.8239838569562</v>
      </c>
      <c r="CG21" s="24" t="n">
        <v>30.9135534833423</v>
      </c>
      <c r="CH21" s="24" t="n">
        <v>30.9968381918318</v>
      </c>
      <c r="CI21" s="24" t="n">
        <v>31.0737468950794</v>
      </c>
      <c r="CJ21" s="24" t="n">
        <v>31.1530150859276</v>
      </c>
      <c r="CK21" s="24" t="n">
        <v>31.2383307237151</v>
      </c>
      <c r="CL21" s="24" t="n">
        <v>31.3161718293749</v>
      </c>
      <c r="CM21" s="24" t="n">
        <v>31.3915210119003</v>
      </c>
      <c r="CN21" s="24" t="n">
        <v>31.4699039993207</v>
      </c>
      <c r="CO21" s="24" t="n">
        <v>31.5476297341469</v>
      </c>
      <c r="CP21" s="24" t="n">
        <v>31.6200745542007</v>
      </c>
      <c r="CQ21" s="24" t="n">
        <v>31.6981340041288</v>
      </c>
      <c r="CR21" s="24" t="n">
        <v>31.7772890868312</v>
      </c>
      <c r="CS21" s="24" t="n">
        <v>31.8051263812963</v>
      </c>
      <c r="CT21" s="24" t="n">
        <v>17.7006672597036</v>
      </c>
    </row>
    <row r="22" customFormat="false" ht="15" hidden="false" customHeight="false" outlineLevel="0" collapsed="false">
      <c r="A22" s="11" t="n">
        <v>85</v>
      </c>
      <c r="B22" s="24" t="n">
        <v>10.9858597999954</v>
      </c>
      <c r="C22" s="24" t="n">
        <v>12.5043902215792</v>
      </c>
      <c r="D22" s="24" t="n">
        <v>13.6761692533428</v>
      </c>
      <c r="E22" s="24" t="n">
        <v>14.7745513913153</v>
      </c>
      <c r="F22" s="24" t="n">
        <v>15.680687043588</v>
      </c>
      <c r="G22" s="24" t="n">
        <v>16.4367699107762</v>
      </c>
      <c r="H22" s="24" t="n">
        <v>17.1541456464437</v>
      </c>
      <c r="I22" s="24" t="n">
        <v>17.7460596671618</v>
      </c>
      <c r="J22" s="24" t="n">
        <v>18.2727289145417</v>
      </c>
      <c r="K22" s="24" t="n">
        <v>18.8559167197113</v>
      </c>
      <c r="L22" s="24" t="n">
        <v>19.35194895009</v>
      </c>
      <c r="M22" s="24" t="n">
        <v>19.7859662341877</v>
      </c>
      <c r="N22" s="24" t="n">
        <v>20.2359149734189</v>
      </c>
      <c r="O22" s="24" t="n">
        <v>20.5839779438777</v>
      </c>
      <c r="P22" s="24" t="n">
        <v>20.9196063371408</v>
      </c>
      <c r="Q22" s="24" t="n">
        <v>21.2991362504506</v>
      </c>
      <c r="R22" s="24" t="n">
        <v>21.610578243747</v>
      </c>
      <c r="S22" s="24" t="n">
        <v>21.9187368386642</v>
      </c>
      <c r="T22" s="24" t="n">
        <v>22.235084587247</v>
      </c>
      <c r="U22" s="24" t="n">
        <v>22.5137283808625</v>
      </c>
      <c r="V22" s="24" t="n">
        <v>22.7740824450472</v>
      </c>
      <c r="W22" s="24" t="n">
        <v>23.0238287684803</v>
      </c>
      <c r="X22" s="24" t="n">
        <v>23.2746012533008</v>
      </c>
      <c r="Y22" s="24" t="n">
        <v>23.5144778546525</v>
      </c>
      <c r="Z22" s="24" t="n">
        <v>23.7423972552609</v>
      </c>
      <c r="AA22" s="24" t="n">
        <v>23.9533669822083</v>
      </c>
      <c r="AB22" s="24" t="n">
        <v>24.1591758690911</v>
      </c>
      <c r="AC22" s="24" t="n">
        <v>24.3618381823934</v>
      </c>
      <c r="AD22" s="24" t="n">
        <v>24.5494292424653</v>
      </c>
      <c r="AE22" s="24" t="n">
        <v>24.7470604893092</v>
      </c>
      <c r="AF22" s="24" t="n">
        <v>24.9374988018903</v>
      </c>
      <c r="AG22" s="24" t="n">
        <v>25.1283651571796</v>
      </c>
      <c r="AH22" s="24" t="n">
        <v>25.3045954380199</v>
      </c>
      <c r="AI22" s="24" t="n">
        <v>25.4842400354239</v>
      </c>
      <c r="AJ22" s="24" t="n">
        <v>25.6548088967753</v>
      </c>
      <c r="AK22" s="24" t="n">
        <v>25.8148110165295</v>
      </c>
      <c r="AL22" s="24" t="n">
        <v>25.9769977098095</v>
      </c>
      <c r="AM22" s="24" t="n">
        <v>26.1266749953442</v>
      </c>
      <c r="AN22" s="24" t="n">
        <v>26.2660560237418</v>
      </c>
      <c r="AO22" s="24" t="n">
        <v>26.4105516162889</v>
      </c>
      <c r="AP22" s="24" t="n">
        <v>26.5591547339988</v>
      </c>
      <c r="AQ22" s="24" t="n">
        <v>26.705798537268</v>
      </c>
      <c r="AR22" s="24" t="n">
        <v>26.8412483183571</v>
      </c>
      <c r="AS22" s="24" t="n">
        <v>26.9710555826421</v>
      </c>
      <c r="AT22" s="24" t="n">
        <v>27.1022278296044</v>
      </c>
      <c r="AU22" s="24" t="n">
        <v>27.226158690744</v>
      </c>
      <c r="AV22" s="24" t="n">
        <v>27.3416462981635</v>
      </c>
      <c r="AW22" s="24" t="n">
        <v>27.4813369550377</v>
      </c>
      <c r="AX22" s="24" t="n">
        <v>27.6091565618037</v>
      </c>
      <c r="AY22" s="24" t="n">
        <v>27.7261711404949</v>
      </c>
      <c r="AZ22" s="24" t="n">
        <v>27.8571850141114</v>
      </c>
      <c r="BA22" s="24" t="n">
        <v>27.9716895097468</v>
      </c>
      <c r="BB22" s="24" t="n">
        <v>28.0833511352559</v>
      </c>
      <c r="BC22" s="24" t="n">
        <v>28.1995340876383</v>
      </c>
      <c r="BD22" s="24" t="n">
        <v>28.3260562901529</v>
      </c>
      <c r="BE22" s="24" t="n">
        <v>28.437889040325</v>
      </c>
      <c r="BF22" s="24" t="n">
        <v>28.5547925887587</v>
      </c>
      <c r="BG22" s="24" t="n">
        <v>28.6584332175063</v>
      </c>
      <c r="BH22" s="24" t="n">
        <v>28.7787368823396</v>
      </c>
      <c r="BI22" s="24" t="n">
        <v>28.8876697646109</v>
      </c>
      <c r="BJ22" s="24" t="n">
        <v>28.9966206193952</v>
      </c>
      <c r="BK22" s="24" t="n">
        <v>29.1014903420758</v>
      </c>
      <c r="BL22" s="24" t="n">
        <v>29.2043182212651</v>
      </c>
      <c r="BM22" s="24" t="n">
        <v>29.3003093305712</v>
      </c>
      <c r="BN22" s="24" t="n">
        <v>29.3972655027447</v>
      </c>
      <c r="BO22" s="24" t="n">
        <v>29.5019295876501</v>
      </c>
      <c r="BP22" s="24" t="n">
        <v>29.603933461556</v>
      </c>
      <c r="BQ22" s="24" t="n">
        <v>29.690952971456</v>
      </c>
      <c r="BR22" s="24" t="n">
        <v>29.7930105565327</v>
      </c>
      <c r="BS22" s="24" t="n">
        <v>29.8963617313393</v>
      </c>
      <c r="BT22" s="24" t="n">
        <v>29.9866018017891</v>
      </c>
      <c r="BU22" s="24" t="n">
        <v>30.0902479279518</v>
      </c>
      <c r="BV22" s="24" t="n">
        <v>30.179952718972</v>
      </c>
      <c r="BW22" s="24" t="n">
        <v>30.2609799169098</v>
      </c>
      <c r="BX22" s="24" t="n">
        <v>30.347214301291</v>
      </c>
      <c r="BY22" s="24" t="n">
        <v>30.433945601282</v>
      </c>
      <c r="BZ22" s="24" t="n">
        <v>30.5156124181741</v>
      </c>
      <c r="CA22" s="24" t="n">
        <v>30.6011582999921</v>
      </c>
      <c r="CB22" s="24" t="n">
        <v>30.6877687999853</v>
      </c>
      <c r="CC22" s="24" t="n">
        <v>30.7674062642028</v>
      </c>
      <c r="CD22" s="24" t="n">
        <v>30.854360289445</v>
      </c>
      <c r="CE22" s="24" t="n">
        <v>30.9463709134408</v>
      </c>
      <c r="CF22" s="24" t="n">
        <v>31.024895906625</v>
      </c>
      <c r="CG22" s="24" t="n">
        <v>31.104039022441</v>
      </c>
      <c r="CH22" s="24" t="n">
        <v>31.1824071709034</v>
      </c>
      <c r="CI22" s="24" t="n">
        <v>31.2614475257917</v>
      </c>
      <c r="CJ22" s="24" t="n">
        <v>31.3413632128494</v>
      </c>
      <c r="CK22" s="24" t="n">
        <v>31.4129432039772</v>
      </c>
      <c r="CL22" s="24" t="n">
        <v>31.4922003485657</v>
      </c>
      <c r="CM22" s="24" t="n">
        <v>31.5660491015841</v>
      </c>
      <c r="CN22" s="24" t="n">
        <v>31.6364802250324</v>
      </c>
      <c r="CO22" s="24" t="n">
        <v>31.7138166681617</v>
      </c>
      <c r="CP22" s="24" t="n">
        <v>31.794994047653</v>
      </c>
      <c r="CQ22" s="24" t="n">
        <v>31.8700370109515</v>
      </c>
      <c r="CR22" s="24" t="n">
        <v>31.9536844151088</v>
      </c>
      <c r="CS22" s="24" t="n">
        <v>31.9806616207255</v>
      </c>
      <c r="CT22" s="24" t="n">
        <v>18.2862741039192</v>
      </c>
    </row>
    <row r="23" customFormat="false" ht="15" hidden="false" customHeight="false" outlineLevel="0" collapsed="false">
      <c r="A23" s="11" t="n">
        <v>90</v>
      </c>
      <c r="B23" s="24" t="n">
        <v>11.8756532545051</v>
      </c>
      <c r="C23" s="24" t="n">
        <v>13.3866675557526</v>
      </c>
      <c r="D23" s="24" t="n">
        <v>14.483634906028</v>
      </c>
      <c r="E23" s="24" t="n">
        <v>15.4971113973485</v>
      </c>
      <c r="F23" s="24" t="n">
        <v>16.3603115829826</v>
      </c>
      <c r="G23" s="24" t="n">
        <v>17.1168183931438</v>
      </c>
      <c r="H23" s="24" t="n">
        <v>17.7397637092064</v>
      </c>
      <c r="I23" s="24" t="n">
        <v>18.3435585337009</v>
      </c>
      <c r="J23" s="24" t="n">
        <v>18.9027180632761</v>
      </c>
      <c r="K23" s="24" t="n">
        <v>19.4331066192518</v>
      </c>
      <c r="L23" s="24" t="n">
        <v>19.8821856877304</v>
      </c>
      <c r="M23" s="24" t="n">
        <v>20.321633616167</v>
      </c>
      <c r="N23" s="24" t="n">
        <v>20.6925619081053</v>
      </c>
      <c r="O23" s="24" t="n">
        <v>21.0923143345783</v>
      </c>
      <c r="P23" s="24" t="n">
        <v>21.4401386761501</v>
      </c>
      <c r="Q23" s="24" t="n">
        <v>21.7553739742434</v>
      </c>
      <c r="R23" s="24" t="n">
        <v>22.0721067305343</v>
      </c>
      <c r="S23" s="24" t="n">
        <v>22.3564844686165</v>
      </c>
      <c r="T23" s="24" t="n">
        <v>22.6319473003442</v>
      </c>
      <c r="U23" s="24" t="n">
        <v>22.9069007620247</v>
      </c>
      <c r="V23" s="24" t="n">
        <v>23.1537768256676</v>
      </c>
      <c r="W23" s="24" t="n">
        <v>23.4052579043047</v>
      </c>
      <c r="X23" s="24" t="n">
        <v>23.6441404767869</v>
      </c>
      <c r="Y23" s="24" t="n">
        <v>23.8680447133843</v>
      </c>
      <c r="Z23" s="24" t="n">
        <v>24.107254780729</v>
      </c>
      <c r="AA23" s="24" t="n">
        <v>24.3205103284823</v>
      </c>
      <c r="AB23" s="24" t="n">
        <v>24.5154945794104</v>
      </c>
      <c r="AC23" s="24" t="n">
        <v>24.7102630931958</v>
      </c>
      <c r="AD23" s="24" t="n">
        <v>24.9024794119929</v>
      </c>
      <c r="AE23" s="24" t="n">
        <v>25.0953622568354</v>
      </c>
      <c r="AF23" s="24" t="n">
        <v>25.2690356375441</v>
      </c>
      <c r="AG23" s="24" t="n">
        <v>25.4429230594674</v>
      </c>
      <c r="AH23" s="24" t="n">
        <v>25.6254988147549</v>
      </c>
      <c r="AI23" s="24" t="n">
        <v>25.7849982370788</v>
      </c>
      <c r="AJ23" s="24" t="n">
        <v>25.9512125662262</v>
      </c>
      <c r="AK23" s="24" t="n">
        <v>26.1033902555998</v>
      </c>
      <c r="AL23" s="24" t="n">
        <v>26.2520265725762</v>
      </c>
      <c r="AM23" s="24" t="n">
        <v>26.4057069606523</v>
      </c>
      <c r="AN23" s="24" t="n">
        <v>26.5504020276967</v>
      </c>
      <c r="AO23" s="24" t="n">
        <v>26.694658174048</v>
      </c>
      <c r="AP23" s="24" t="n">
        <v>26.8392391543614</v>
      </c>
      <c r="AQ23" s="24" t="n">
        <v>26.9727616354405</v>
      </c>
      <c r="AR23" s="24" t="n">
        <v>27.1004788762084</v>
      </c>
      <c r="AS23" s="24" t="n">
        <v>27.226158690744</v>
      </c>
      <c r="AT23" s="24" t="n">
        <v>27.3552355842314</v>
      </c>
      <c r="AU23" s="24" t="n">
        <v>27.4982682861144</v>
      </c>
      <c r="AV23" s="24" t="n">
        <v>27.6198902682609</v>
      </c>
      <c r="AW23" s="24" t="n">
        <v>27.7361380912481</v>
      </c>
      <c r="AX23" s="24" t="n">
        <v>27.8650210152982</v>
      </c>
      <c r="AY23" s="24" t="n">
        <v>27.9784983203292</v>
      </c>
      <c r="AZ23" s="24" t="n">
        <v>28.0955321356639</v>
      </c>
      <c r="BA23" s="24" t="n">
        <v>28.2068754612415</v>
      </c>
      <c r="BB23" s="24" t="n">
        <v>28.3384789770083</v>
      </c>
      <c r="BC23" s="24" t="n">
        <v>28.4501903025887</v>
      </c>
      <c r="BD23" s="24" t="n">
        <v>28.5559910909844</v>
      </c>
      <c r="BE23" s="24" t="n">
        <v>28.6641201126103</v>
      </c>
      <c r="BF23" s="24" t="n">
        <v>28.7892354056309</v>
      </c>
      <c r="BG23" s="24" t="n">
        <v>28.8968385268775</v>
      </c>
      <c r="BH23" s="24" t="n">
        <v>29.0082099849813</v>
      </c>
      <c r="BI23" s="24" t="n">
        <v>29.112701982087</v>
      </c>
      <c r="BJ23" s="24" t="n">
        <v>29.2171216928726</v>
      </c>
      <c r="BK23" s="24" t="n">
        <v>29.3119812197449</v>
      </c>
      <c r="BL23" s="24" t="n">
        <v>29.4217505489294</v>
      </c>
      <c r="BM23" s="24" t="n">
        <v>29.5206000674996</v>
      </c>
      <c r="BN23" s="24" t="n">
        <v>29.6145095346</v>
      </c>
      <c r="BO23" s="24" t="n">
        <v>29.7038932700774</v>
      </c>
      <c r="BP23" s="24" t="n">
        <v>29.8079118423691</v>
      </c>
      <c r="BQ23" s="24" t="n">
        <v>29.9040579880728</v>
      </c>
      <c r="BR23" s="24" t="n">
        <v>29.9904988944907</v>
      </c>
      <c r="BS23" s="24" t="n">
        <v>30.0941509946252</v>
      </c>
      <c r="BT23" s="24" t="n">
        <v>30.1848064003097</v>
      </c>
      <c r="BU23" s="24" t="n">
        <v>30.2617603748419</v>
      </c>
      <c r="BV23" s="24" t="n">
        <v>30.3495429196269</v>
      </c>
      <c r="BW23" s="24" t="n">
        <v>30.4365882280892</v>
      </c>
      <c r="BX23" s="24" t="n">
        <v>30.5257894781892</v>
      </c>
      <c r="BY23" s="24" t="n">
        <v>30.6183437670913</v>
      </c>
      <c r="BZ23" s="24" t="n">
        <v>30.6985251939015</v>
      </c>
      <c r="CA23" s="24" t="n">
        <v>30.7774526356875</v>
      </c>
      <c r="CB23" s="24" t="n">
        <v>30.8708370935166</v>
      </c>
      <c r="CC23" s="24" t="n">
        <v>30.957560378814</v>
      </c>
      <c r="CD23" s="24" t="n">
        <v>31.0373633909959</v>
      </c>
      <c r="CE23" s="24" t="n">
        <v>31.1098037135501</v>
      </c>
      <c r="CF23" s="24" t="n">
        <v>31.1990695622132</v>
      </c>
      <c r="CG23" s="24" t="n">
        <v>31.2711990319342</v>
      </c>
      <c r="CH23" s="24" t="n">
        <v>31.3492143256868</v>
      </c>
      <c r="CI23" s="24" t="n">
        <v>31.4251368137365</v>
      </c>
      <c r="CJ23" s="24" t="n">
        <v>31.5065645406048</v>
      </c>
      <c r="CK23" s="24" t="n">
        <v>31.5838222008726</v>
      </c>
      <c r="CL23" s="24" t="n">
        <v>31.6539573464642</v>
      </c>
      <c r="CM23" s="24" t="n">
        <v>31.738610220521</v>
      </c>
      <c r="CN23" s="24" t="n">
        <v>31.8141927001392</v>
      </c>
      <c r="CO23" s="24" t="n">
        <v>31.8911145848514</v>
      </c>
      <c r="CP23" s="24" t="n">
        <v>31.9704355135291</v>
      </c>
      <c r="CQ23" s="24" t="n">
        <v>32.0414560583018</v>
      </c>
      <c r="CR23" s="24" t="n">
        <v>32.1147061477319</v>
      </c>
      <c r="CS23" s="24" t="n">
        <v>32.1431321201507</v>
      </c>
      <c r="CT23" s="24" t="n">
        <v>18.9123123391144</v>
      </c>
    </row>
    <row r="24" customFormat="false" ht="15" hidden="false" customHeight="false" outlineLevel="0" collapsed="false">
      <c r="A24" s="11" t="n">
        <v>95</v>
      </c>
      <c r="B24" s="24" t="n">
        <v>12.7629949974196</v>
      </c>
      <c r="C24" s="24" t="n">
        <v>14.215681180227</v>
      </c>
      <c r="D24" s="24" t="n">
        <v>15.2643468312951</v>
      </c>
      <c r="E24" s="24" t="n">
        <v>16.2272273169808</v>
      </c>
      <c r="F24" s="24" t="n">
        <v>16.9670682257003</v>
      </c>
      <c r="G24" s="24" t="n">
        <v>17.7056266815834</v>
      </c>
      <c r="H24" s="24" t="n">
        <v>18.3243732656636</v>
      </c>
      <c r="I24" s="24" t="n">
        <v>18.9408051040342</v>
      </c>
      <c r="J24" s="24" t="n">
        <v>19.4591511869066</v>
      </c>
      <c r="K24" s="24" t="n">
        <v>19.9233656689573</v>
      </c>
      <c r="L24" s="24" t="n">
        <v>20.3726779721333</v>
      </c>
      <c r="M24" s="24" t="n">
        <v>20.7924152820142</v>
      </c>
      <c r="N24" s="24" t="n">
        <v>21.1885756260757</v>
      </c>
      <c r="O24" s="24" t="n">
        <v>21.5254809620264</v>
      </c>
      <c r="P24" s="24" t="n">
        <v>21.8762294643084</v>
      </c>
      <c r="Q24" s="24" t="n">
        <v>22.2025545422032</v>
      </c>
      <c r="R24" s="24" t="n">
        <v>22.4885116503665</v>
      </c>
      <c r="S24" s="24" t="n">
        <v>22.7408391579083</v>
      </c>
      <c r="T24" s="24" t="n">
        <v>23.0198601901404</v>
      </c>
      <c r="U24" s="24" t="n">
        <v>23.2632683254823</v>
      </c>
      <c r="V24" s="24" t="n">
        <v>23.5143334568236</v>
      </c>
      <c r="W24" s="24" t="n">
        <v>23.757645727951</v>
      </c>
      <c r="X24" s="24" t="n">
        <v>23.9930688920833</v>
      </c>
      <c r="Y24" s="24" t="n">
        <v>24.2216542641385</v>
      </c>
      <c r="Z24" s="24" t="n">
        <v>24.4296539651539</v>
      </c>
      <c r="AA24" s="24" t="n">
        <v>24.6173469653548</v>
      </c>
      <c r="AB24" s="24" t="n">
        <v>24.8241201973757</v>
      </c>
      <c r="AC24" s="24" t="n">
        <v>25.0348251730613</v>
      </c>
      <c r="AD24" s="24" t="n">
        <v>25.2184193476494</v>
      </c>
      <c r="AE24" s="24" t="n">
        <v>25.4045328212895</v>
      </c>
      <c r="AF24" s="24" t="n">
        <v>25.5842812663358</v>
      </c>
      <c r="AG24" s="24" t="n">
        <v>25.7407556912193</v>
      </c>
      <c r="AH24" s="24" t="n">
        <v>25.9087572857399</v>
      </c>
      <c r="AI24" s="24" t="n">
        <v>26.0655861418618</v>
      </c>
      <c r="AJ24" s="24" t="n">
        <v>26.2122869954875</v>
      </c>
      <c r="AK24" s="24" t="n">
        <v>26.3581519872967</v>
      </c>
      <c r="AL24" s="24" t="n">
        <v>26.496890035963</v>
      </c>
      <c r="AM24" s="24" t="n">
        <v>26.6438860161127</v>
      </c>
      <c r="AN24" s="24" t="n">
        <v>26.8031420316881</v>
      </c>
      <c r="AO24" s="24" t="n">
        <v>26.9428138276748</v>
      </c>
      <c r="AP24" s="24" t="n">
        <v>27.0819382220708</v>
      </c>
      <c r="AQ24" s="24" t="n">
        <v>27.2186435819849</v>
      </c>
      <c r="AR24" s="24" t="n">
        <v>27.3392776524278</v>
      </c>
      <c r="AS24" s="24" t="n">
        <v>27.479380322527</v>
      </c>
      <c r="AT24" s="24" t="n">
        <v>27.6091986613818</v>
      </c>
      <c r="AU24" s="24" t="n">
        <v>27.7267079416917</v>
      </c>
      <c r="AV24" s="24" t="n">
        <v>27.8599084963878</v>
      </c>
      <c r="AW24" s="24" t="n">
        <v>27.9717491356395</v>
      </c>
      <c r="AX24" s="24" t="n">
        <v>28.0835088141705</v>
      </c>
      <c r="AY24" s="24" t="n">
        <v>28.2080019950843</v>
      </c>
      <c r="AZ24" s="24" t="n">
        <v>28.3379502541896</v>
      </c>
      <c r="BA24" s="24" t="n">
        <v>28.4507978683542</v>
      </c>
      <c r="BB24" s="24" t="n">
        <v>28.5540019000936</v>
      </c>
      <c r="BC24" s="24" t="n">
        <v>28.6641201126103</v>
      </c>
      <c r="BD24" s="24" t="n">
        <v>28.7863767241299</v>
      </c>
      <c r="BE24" s="24" t="n">
        <v>28.8982085039281</v>
      </c>
      <c r="BF24" s="24" t="n">
        <v>29.0118405724057</v>
      </c>
      <c r="BG24" s="24" t="n">
        <v>29.1189401413926</v>
      </c>
      <c r="BH24" s="24" t="n">
        <v>29.2235416914235</v>
      </c>
      <c r="BI24" s="24" t="n">
        <v>29.3096667968083</v>
      </c>
      <c r="BJ24" s="24" t="n">
        <v>29.4115307216444</v>
      </c>
      <c r="BK24" s="24" t="n">
        <v>29.5188691991924</v>
      </c>
      <c r="BL24" s="24" t="n">
        <v>29.6147395612339</v>
      </c>
      <c r="BM24" s="24" t="n">
        <v>29.7049470223695</v>
      </c>
      <c r="BN24" s="24" t="n">
        <v>29.8089922127314</v>
      </c>
      <c r="BO24" s="24" t="n">
        <v>29.9063281817832</v>
      </c>
      <c r="BP24" s="24" t="n">
        <v>30.0005403524915</v>
      </c>
      <c r="BQ24" s="24" t="n">
        <v>30.103952446316</v>
      </c>
      <c r="BR24" s="24" t="n">
        <v>30.1989914928053</v>
      </c>
      <c r="BS24" s="24" t="n">
        <v>30.2817656699502</v>
      </c>
      <c r="BT24" s="24" t="n">
        <v>30.3655824688671</v>
      </c>
      <c r="BU24" s="24" t="n">
        <v>30.4505615921638</v>
      </c>
      <c r="BV24" s="24" t="n">
        <v>30.5366763869423</v>
      </c>
      <c r="BW24" s="24" t="n">
        <v>30.6222409719187</v>
      </c>
      <c r="BX24" s="24" t="n">
        <v>30.7028830166343</v>
      </c>
      <c r="BY24" s="24" t="n">
        <v>30.7787641148881</v>
      </c>
      <c r="BZ24" s="24" t="n">
        <v>30.8699623166971</v>
      </c>
      <c r="CA24" s="24" t="n">
        <v>30.957560378814</v>
      </c>
      <c r="CB24" s="24" t="n">
        <v>31.0361653920109</v>
      </c>
      <c r="CC24" s="24" t="n">
        <v>31.1085278134974</v>
      </c>
      <c r="CD24" s="24" t="n">
        <v>31.1927925512282</v>
      </c>
      <c r="CE24" s="24" t="n">
        <v>31.2659521323781</v>
      </c>
      <c r="CF24" s="24" t="n">
        <v>31.3482187114396</v>
      </c>
      <c r="CG24" s="24" t="n">
        <v>31.4256845486017</v>
      </c>
      <c r="CH24" s="24" t="n">
        <v>31.5072089863743</v>
      </c>
      <c r="CI24" s="24" t="n">
        <v>31.5828753589441</v>
      </c>
      <c r="CJ24" s="24" t="n">
        <v>31.6541332751532</v>
      </c>
      <c r="CK24" s="24" t="n">
        <v>31.7365259834597</v>
      </c>
      <c r="CL24" s="24" t="n">
        <v>31.8052637290724</v>
      </c>
      <c r="CM24" s="24" t="n">
        <v>31.8895204561114</v>
      </c>
      <c r="CN24" s="24" t="n">
        <v>31.9687988205816</v>
      </c>
      <c r="CO24" s="24" t="n">
        <v>32.0444007161595</v>
      </c>
      <c r="CP24" s="24" t="n">
        <v>32.1242169610917</v>
      </c>
      <c r="CQ24" s="24" t="n">
        <v>32.1943935106711</v>
      </c>
      <c r="CR24" s="24" t="n">
        <v>32.2623170528671</v>
      </c>
      <c r="CS24" s="24" t="n">
        <v>32.2869280232871</v>
      </c>
      <c r="CT24" s="24" t="n">
        <v>19.4633705067248</v>
      </c>
    </row>
    <row r="25" customFormat="false" ht="15" hidden="false" customHeight="false" outlineLevel="0" collapsed="false">
      <c r="A25" s="11" t="n">
        <v>100</v>
      </c>
      <c r="B25" s="24" t="n">
        <v>13.6322913816671</v>
      </c>
      <c r="C25" s="24" t="n">
        <v>14.9843151162857</v>
      </c>
      <c r="D25" s="24" t="n">
        <v>15.9269979924565</v>
      </c>
      <c r="E25" s="24" t="n">
        <v>16.801838860874</v>
      </c>
      <c r="F25" s="24" t="n">
        <v>17.5760536040927</v>
      </c>
      <c r="G25" s="24" t="n">
        <v>18.2002664904293</v>
      </c>
      <c r="H25" s="24" t="n">
        <v>18.8589563787216</v>
      </c>
      <c r="I25" s="24" t="n">
        <v>19.4591511869066</v>
      </c>
      <c r="J25" s="24" t="n">
        <v>19.9882294782576</v>
      </c>
      <c r="K25" s="24" t="n">
        <v>20.4193924816098</v>
      </c>
      <c r="L25" s="24" t="n">
        <v>20.8185035103332</v>
      </c>
      <c r="M25" s="24" t="n">
        <v>21.2303335910332</v>
      </c>
      <c r="N25" s="24" t="n">
        <v>21.6195742760968</v>
      </c>
      <c r="O25" s="24" t="n">
        <v>21.9392132110144</v>
      </c>
      <c r="P25" s="24" t="n">
        <v>22.263700646216</v>
      </c>
      <c r="Q25" s="24" t="n">
        <v>22.5738087614732</v>
      </c>
      <c r="R25" s="24" t="n">
        <v>22.8515544698178</v>
      </c>
      <c r="S25" s="24" t="n">
        <v>23.0966632843345</v>
      </c>
      <c r="T25" s="24" t="n">
        <v>23.3579379579189</v>
      </c>
      <c r="U25" s="24" t="n">
        <v>23.5961475967383</v>
      </c>
      <c r="V25" s="24" t="n">
        <v>23.8376144925778</v>
      </c>
      <c r="W25" s="24" t="n">
        <v>24.0739331248933</v>
      </c>
      <c r="X25" s="24" t="n">
        <v>24.3028792249352</v>
      </c>
      <c r="Y25" s="24" t="n">
        <v>24.5088940107279</v>
      </c>
      <c r="Z25" s="24" t="n">
        <v>24.7122027365683</v>
      </c>
      <c r="AA25" s="24" t="n">
        <v>24.9245662084616</v>
      </c>
      <c r="AB25" s="24" t="n">
        <v>25.1319254187219</v>
      </c>
      <c r="AC25" s="24" t="n">
        <v>25.328684005758</v>
      </c>
      <c r="AD25" s="24" t="n">
        <v>25.4904309225195</v>
      </c>
      <c r="AE25" s="24" t="n">
        <v>25.6765876844008</v>
      </c>
      <c r="AF25" s="24" t="n">
        <v>25.8400917347454</v>
      </c>
      <c r="AG25" s="24" t="n">
        <v>26.0095522607345</v>
      </c>
      <c r="AH25" s="24" t="n">
        <v>26.1639079897429</v>
      </c>
      <c r="AI25" s="24" t="n">
        <v>26.3096071496803</v>
      </c>
      <c r="AJ25" s="24" t="n">
        <v>26.4605295143288</v>
      </c>
      <c r="AK25" s="24" t="n">
        <v>26.6041043871073</v>
      </c>
      <c r="AL25" s="24" t="n">
        <v>26.7476516563054</v>
      </c>
      <c r="AM25" s="24" t="n">
        <v>26.9008265100217</v>
      </c>
      <c r="AN25" s="24" t="n">
        <v>27.0290227097306</v>
      </c>
      <c r="AO25" s="24" t="n">
        <v>27.168003259601</v>
      </c>
      <c r="AP25" s="24" t="n">
        <v>27.2920668323742</v>
      </c>
      <c r="AQ25" s="24" t="n">
        <v>27.4213676005911</v>
      </c>
      <c r="AR25" s="24" t="n">
        <v>27.5566577019648</v>
      </c>
      <c r="AS25" s="24" t="n">
        <v>27.6844721833588</v>
      </c>
      <c r="AT25" s="24" t="n">
        <v>27.8261340719583</v>
      </c>
      <c r="AU25" s="24" t="n">
        <v>27.9410329449014</v>
      </c>
      <c r="AV25" s="24" t="n">
        <v>28.0635691034739</v>
      </c>
      <c r="AW25" s="24" t="n">
        <v>28.179815683312</v>
      </c>
      <c r="AX25" s="24" t="n">
        <v>28.3189393952766</v>
      </c>
      <c r="AY25" s="24" t="n">
        <v>28.4297228555684</v>
      </c>
      <c r="AZ25" s="24" t="n">
        <v>28.5416803720985</v>
      </c>
      <c r="BA25" s="24" t="n">
        <v>28.654831141004</v>
      </c>
      <c r="BB25" s="24" t="n">
        <v>28.7763751996236</v>
      </c>
      <c r="BC25" s="24" t="n">
        <v>28.8842616506396</v>
      </c>
      <c r="BD25" s="24" t="n">
        <v>28.9985202026476</v>
      </c>
      <c r="BE25" s="24" t="n">
        <v>29.1095614468609</v>
      </c>
      <c r="BF25" s="24" t="n">
        <v>29.2113896652446</v>
      </c>
      <c r="BG25" s="24" t="n">
        <v>29.3031110050204</v>
      </c>
      <c r="BH25" s="24" t="n">
        <v>29.398798122547</v>
      </c>
      <c r="BI25" s="24" t="n">
        <v>29.507812385517</v>
      </c>
      <c r="BJ25" s="24" t="n">
        <v>29.6069068494805</v>
      </c>
      <c r="BK25" s="24" t="n">
        <v>29.6957679378722</v>
      </c>
      <c r="BL25" s="24" t="n">
        <v>29.8048059942131</v>
      </c>
      <c r="BM25" s="24" t="n">
        <v>29.9052510382921</v>
      </c>
      <c r="BN25" s="24" t="n">
        <v>29.997088552045</v>
      </c>
      <c r="BO25" s="24" t="n">
        <v>30.0981751610105</v>
      </c>
      <c r="BP25" s="24" t="n">
        <v>30.1834351625944</v>
      </c>
      <c r="BQ25" s="24" t="n">
        <v>30.2643654209469</v>
      </c>
      <c r="BR25" s="24" t="n">
        <v>30.352030619965</v>
      </c>
      <c r="BS25" s="24" t="n">
        <v>30.4403956829807</v>
      </c>
      <c r="BT25" s="24" t="n">
        <v>30.5264621777464</v>
      </c>
      <c r="BU25" s="24" t="n">
        <v>30.6172954197383</v>
      </c>
      <c r="BV25" s="24" t="n">
        <v>30.6981770584518</v>
      </c>
      <c r="BW25" s="24" t="n">
        <v>30.7783055659669</v>
      </c>
      <c r="BX25" s="24" t="n">
        <v>30.8682426662559</v>
      </c>
      <c r="BY25" s="24" t="n">
        <v>30.9597595022726</v>
      </c>
      <c r="BZ25" s="24" t="n">
        <v>31.0389623098843</v>
      </c>
      <c r="CA25" s="24" t="n">
        <v>31.1156114303877</v>
      </c>
      <c r="CB25" s="24" t="n">
        <v>31.2028347160054</v>
      </c>
      <c r="CC25" s="24" t="n">
        <v>31.271482494697</v>
      </c>
      <c r="CD25" s="24" t="n">
        <v>31.3487692048887</v>
      </c>
      <c r="CE25" s="24" t="n">
        <v>31.4243335317987</v>
      </c>
      <c r="CF25" s="24" t="n">
        <v>31.5034007074577</v>
      </c>
      <c r="CG25" s="24" t="n">
        <v>31.5822742583592</v>
      </c>
      <c r="CH25" s="24" t="n">
        <v>31.6497629324576</v>
      </c>
      <c r="CI25" s="24" t="n">
        <v>31.7328357362157</v>
      </c>
      <c r="CJ25" s="24" t="n">
        <v>31.8051447600868</v>
      </c>
      <c r="CK25" s="24" t="n">
        <v>31.8815105284791</v>
      </c>
      <c r="CL25" s="24" t="n">
        <v>31.963602758083</v>
      </c>
      <c r="CM25" s="24" t="n">
        <v>32.0354598209294</v>
      </c>
      <c r="CN25" s="24" t="n">
        <v>32.1111023521523</v>
      </c>
      <c r="CO25" s="24" t="n">
        <v>32.1903587145026</v>
      </c>
      <c r="CP25" s="24" t="n">
        <v>32.2591257203526</v>
      </c>
      <c r="CQ25" s="24" t="n">
        <v>32.3265044561889</v>
      </c>
      <c r="CR25" s="24" t="n">
        <v>32.3967939826169</v>
      </c>
      <c r="CS25" s="24" t="n">
        <v>32.4282771791037</v>
      </c>
      <c r="CT25" s="24" t="n">
        <v>20.00031036204</v>
      </c>
    </row>
    <row r="26" customFormat="false" ht="15" hidden="false" customHeight="false" outlineLevel="0" collapsed="false">
      <c r="A26" s="11" t="n">
        <v>105</v>
      </c>
      <c r="B26" s="24" t="n">
        <v>14.3674078413575</v>
      </c>
      <c r="C26" s="24" t="n">
        <v>15.683664594733</v>
      </c>
      <c r="D26" s="24" t="n">
        <v>16.5519212876103</v>
      </c>
      <c r="E26" s="24" t="n">
        <v>17.372398760337</v>
      </c>
      <c r="F26" s="24" t="n">
        <v>18.1026972037798</v>
      </c>
      <c r="G26" s="24" t="n">
        <v>18.7377990186588</v>
      </c>
      <c r="H26" s="24" t="n">
        <v>19.3525651656908</v>
      </c>
      <c r="I26" s="24" t="n">
        <v>19.8918292074975</v>
      </c>
      <c r="J26" s="24" t="n">
        <v>20.3822793482981</v>
      </c>
      <c r="K26" s="24" t="n">
        <v>20.8529143762028</v>
      </c>
      <c r="L26" s="24" t="n">
        <v>21.2750827478675</v>
      </c>
      <c r="M26" s="24" t="n">
        <v>21.6371587797669</v>
      </c>
      <c r="N26" s="24" t="n">
        <v>21.9903820617827</v>
      </c>
      <c r="O26" s="24" t="n">
        <v>22.3276251498646</v>
      </c>
      <c r="P26" s="24" t="n">
        <v>22.635553332254</v>
      </c>
      <c r="Q26" s="24" t="n">
        <v>22.915608515083</v>
      </c>
      <c r="R26" s="24" t="n">
        <v>23.1531625106154</v>
      </c>
      <c r="S26" s="24" t="n">
        <v>23.4263504062394</v>
      </c>
      <c r="T26" s="24" t="n">
        <v>23.6758545640686</v>
      </c>
      <c r="U26" s="24" t="n">
        <v>23.9201917745609</v>
      </c>
      <c r="V26" s="24" t="n">
        <v>24.1491430807364</v>
      </c>
      <c r="W26" s="24" t="n">
        <v>24.3725510806248</v>
      </c>
      <c r="X26" s="24" t="n">
        <v>24.5843570516004</v>
      </c>
      <c r="Y26" s="24" t="n">
        <v>24.7826440270122</v>
      </c>
      <c r="Z26" s="24" t="n">
        <v>24.9843087262291</v>
      </c>
      <c r="AA26" s="24" t="n">
        <v>25.1775215477071</v>
      </c>
      <c r="AB26" s="24" t="n">
        <v>25.3807371945496</v>
      </c>
      <c r="AC26" s="24" t="n">
        <v>25.5666256937043</v>
      </c>
      <c r="AD26" s="24" t="n">
        <v>25.7350644613792</v>
      </c>
      <c r="AE26" s="24" t="n">
        <v>25.9174086577536</v>
      </c>
      <c r="AF26" s="24" t="n">
        <v>26.0822734986499</v>
      </c>
      <c r="AG26" s="24" t="n">
        <v>26.2255578891558</v>
      </c>
      <c r="AH26" s="24" t="n">
        <v>26.3855822618754</v>
      </c>
      <c r="AI26" s="24" t="n">
        <v>26.5438395525695</v>
      </c>
      <c r="AJ26" s="24" t="n">
        <v>26.6958862641356</v>
      </c>
      <c r="AK26" s="24" t="n">
        <v>26.85524894687</v>
      </c>
      <c r="AL26" s="24" t="n">
        <v>26.9934501537104</v>
      </c>
      <c r="AM26" s="24" t="n">
        <v>27.1216733615757</v>
      </c>
      <c r="AN26" s="24" t="n">
        <v>27.249142275755</v>
      </c>
      <c r="AO26" s="24" t="n">
        <v>27.3831159164021</v>
      </c>
      <c r="AP26" s="24" t="n">
        <v>27.5181240874129</v>
      </c>
      <c r="AQ26" s="24" t="n">
        <v>27.6447929832534</v>
      </c>
      <c r="AR26" s="24" t="n">
        <v>27.7722722563792</v>
      </c>
      <c r="AS26" s="24" t="n">
        <v>27.8956087646708</v>
      </c>
      <c r="AT26" s="24" t="n">
        <v>28.0084860807741</v>
      </c>
      <c r="AU26" s="24" t="n">
        <v>28.1364609998343</v>
      </c>
      <c r="AV26" s="24" t="n">
        <v>28.2600786990984</v>
      </c>
      <c r="AW26" s="24" t="n">
        <v>28.3723386747799</v>
      </c>
      <c r="AX26" s="24" t="n">
        <v>28.4938686229006</v>
      </c>
      <c r="AY26" s="24" t="n">
        <v>28.6153270306297</v>
      </c>
      <c r="AZ26" s="24" t="n">
        <v>28.7238581765972</v>
      </c>
      <c r="BA26" s="24" t="n">
        <v>28.8435612315635</v>
      </c>
      <c r="BB26" s="24" t="n">
        <v>28.9626990021963</v>
      </c>
      <c r="BC26" s="24" t="n">
        <v>29.0754702494107</v>
      </c>
      <c r="BD26" s="24" t="n">
        <v>29.1854720923685</v>
      </c>
      <c r="BE26" s="24" t="n">
        <v>29.2816365076901</v>
      </c>
      <c r="BF26" s="24" t="n">
        <v>29.3823838251464</v>
      </c>
      <c r="BG26" s="24" t="n">
        <v>29.4880853951932</v>
      </c>
      <c r="BH26" s="24" t="n">
        <v>29.5918389542129</v>
      </c>
      <c r="BI26" s="24" t="n">
        <v>29.6754039905121</v>
      </c>
      <c r="BJ26" s="24" t="n">
        <v>29.7816666674898</v>
      </c>
      <c r="BK26" s="24" t="n">
        <v>29.8843054895556</v>
      </c>
      <c r="BL26" s="24" t="n">
        <v>29.9776828164195</v>
      </c>
      <c r="BM26" s="24" t="n">
        <v>30.0768481011828</v>
      </c>
      <c r="BN26" s="24" t="n">
        <v>30.1645477444503</v>
      </c>
      <c r="BO26" s="24" t="n">
        <v>30.2476455577576</v>
      </c>
      <c r="BP26" s="24" t="n">
        <v>30.3335566381322</v>
      </c>
      <c r="BQ26" s="24" t="n">
        <v>30.4176607210607</v>
      </c>
      <c r="BR26" s="24" t="n">
        <v>30.5086311286172</v>
      </c>
      <c r="BS26" s="24" t="n">
        <v>30.602733115589</v>
      </c>
      <c r="BT26" s="24" t="n">
        <v>30.6860569761722</v>
      </c>
      <c r="BU26" s="24" t="n">
        <v>30.7679749076683</v>
      </c>
      <c r="BV26" s="24" t="n">
        <v>30.8580834656445</v>
      </c>
      <c r="BW26" s="24" t="n">
        <v>30.94388831387</v>
      </c>
      <c r="BX26" s="24" t="n">
        <v>31.0214968455138</v>
      </c>
      <c r="BY26" s="24" t="n">
        <v>31.0930842314696</v>
      </c>
      <c r="BZ26" s="24" t="n">
        <v>31.1762048561058</v>
      </c>
      <c r="CA26" s="24" t="n">
        <v>31.2570015496587</v>
      </c>
      <c r="CB26" s="24" t="n">
        <v>31.3393034202719</v>
      </c>
      <c r="CC26" s="24" t="n">
        <v>31.4098579183187</v>
      </c>
      <c r="CD26" s="24" t="n">
        <v>31.4861071346209</v>
      </c>
      <c r="CE26" s="24" t="n">
        <v>31.5667473921869</v>
      </c>
      <c r="CF26" s="24" t="n">
        <v>31.6378814282252</v>
      </c>
      <c r="CG26" s="24" t="n">
        <v>31.7121836761685</v>
      </c>
      <c r="CH26" s="24" t="n">
        <v>31.7971900837156</v>
      </c>
      <c r="CI26" s="24" t="n">
        <v>31.8754141994162</v>
      </c>
      <c r="CJ26" s="24" t="n">
        <v>31.9612499706639</v>
      </c>
      <c r="CK26" s="24" t="n">
        <v>32.0365410631367</v>
      </c>
      <c r="CL26" s="24" t="n">
        <v>32.1108919057651</v>
      </c>
      <c r="CM26" s="24" t="n">
        <v>32.1780174175533</v>
      </c>
      <c r="CN26" s="24" t="n">
        <v>32.2460285750962</v>
      </c>
      <c r="CO26" s="24" t="n">
        <v>32.3129675749091</v>
      </c>
      <c r="CP26" s="24" t="n">
        <v>32.3834029714378</v>
      </c>
      <c r="CQ26" s="24" t="n">
        <v>32.4575129090736</v>
      </c>
      <c r="CR26" s="24" t="n">
        <v>32.5300382944148</v>
      </c>
      <c r="CS26" s="24" t="n">
        <v>32.5569087740231</v>
      </c>
      <c r="CT26" s="24" t="n">
        <v>20.3882444499845</v>
      </c>
    </row>
    <row r="27" customFormat="false" ht="15" hidden="false" customHeight="false" outlineLevel="0" collapsed="false">
      <c r="A27" s="11" t="n">
        <v>110</v>
      </c>
      <c r="B27" s="24" t="n">
        <v>14.9936717914325</v>
      </c>
      <c r="C27" s="24" t="n">
        <v>16.2533654118578</v>
      </c>
      <c r="D27" s="24" t="n">
        <v>17.1325890684932</v>
      </c>
      <c r="E27" s="24" t="n">
        <v>17.9206666963577</v>
      </c>
      <c r="F27" s="24" t="n">
        <v>18.6277167728059</v>
      </c>
      <c r="G27" s="24" t="n">
        <v>19.2399614962278</v>
      </c>
      <c r="H27" s="24" t="n">
        <v>19.7756331055222</v>
      </c>
      <c r="I27" s="24" t="n">
        <v>20.2901435355012</v>
      </c>
      <c r="J27" s="24" t="n">
        <v>20.7279012347926</v>
      </c>
      <c r="K27" s="24" t="n">
        <v>21.1989156184677</v>
      </c>
      <c r="L27" s="24" t="n">
        <v>21.6244137937124</v>
      </c>
      <c r="M27" s="24" t="n">
        <v>21.9749163670194</v>
      </c>
      <c r="N27" s="24" t="n">
        <v>22.3320876224057</v>
      </c>
      <c r="O27" s="24" t="n">
        <v>22.6504608541015</v>
      </c>
      <c r="P27" s="24" t="n">
        <v>22.9534060352426</v>
      </c>
      <c r="Q27" s="24" t="n">
        <v>23.2022625767042</v>
      </c>
      <c r="R27" s="24" t="n">
        <v>23.4983312961036</v>
      </c>
      <c r="S27" s="24" t="n">
        <v>23.7412198587031</v>
      </c>
      <c r="T27" s="24" t="n">
        <v>23.9870532623332</v>
      </c>
      <c r="U27" s="24" t="n">
        <v>24.2092559935963</v>
      </c>
      <c r="V27" s="24" t="n">
        <v>24.4202772110931</v>
      </c>
      <c r="W27" s="24" t="n">
        <v>24.6425187440466</v>
      </c>
      <c r="X27" s="24" t="n">
        <v>24.8410902694281</v>
      </c>
      <c r="Y27" s="24" t="n">
        <v>25.0452841083598</v>
      </c>
      <c r="Z27" s="24" t="n">
        <v>25.2440395958351</v>
      </c>
      <c r="AA27" s="24" t="n">
        <v>25.4394260413985</v>
      </c>
      <c r="AB27" s="24" t="n">
        <v>25.6184905194352</v>
      </c>
      <c r="AC27" s="24" t="n">
        <v>25.7841105203046</v>
      </c>
      <c r="AD27" s="24" t="n">
        <v>25.9568312264129</v>
      </c>
      <c r="AE27" s="24" t="n">
        <v>26.116543188701</v>
      </c>
      <c r="AF27" s="24" t="n">
        <v>26.2822133772134</v>
      </c>
      <c r="AG27" s="24" t="n">
        <v>26.4377480160145</v>
      </c>
      <c r="AH27" s="24" t="n">
        <v>26.587709157342</v>
      </c>
      <c r="AI27" s="24" t="n">
        <v>26.734668957599</v>
      </c>
      <c r="AJ27" s="24" t="n">
        <v>26.8928950261164</v>
      </c>
      <c r="AK27" s="24" t="n">
        <v>27.0263563072622</v>
      </c>
      <c r="AL27" s="24" t="n">
        <v>27.1726331730459</v>
      </c>
      <c r="AM27" s="24" t="n">
        <v>27.302869622993</v>
      </c>
      <c r="AN27" s="24" t="n">
        <v>27.4451662464768</v>
      </c>
      <c r="AO27" s="24" t="n">
        <v>27.5822955494582</v>
      </c>
      <c r="AP27" s="24" t="n">
        <v>27.7151602527997</v>
      </c>
      <c r="AQ27" s="24" t="n">
        <v>27.8526819182884</v>
      </c>
      <c r="AR27" s="24" t="n">
        <v>27.9677912081077</v>
      </c>
      <c r="AS27" s="24" t="n">
        <v>28.0862506994219</v>
      </c>
      <c r="AT27" s="24" t="n">
        <v>28.2047642106055</v>
      </c>
      <c r="AU27" s="24" t="n">
        <v>28.3342095215705</v>
      </c>
      <c r="AV27" s="24" t="n">
        <v>28.4445628269421</v>
      </c>
      <c r="AW27" s="24" t="n">
        <v>28.5599593264735</v>
      </c>
      <c r="AX27" s="24" t="n">
        <v>28.6674257222365</v>
      </c>
      <c r="AY27" s="24" t="n">
        <v>28.7932920706037</v>
      </c>
      <c r="AZ27" s="24" t="n">
        <v>28.9039582921845</v>
      </c>
      <c r="BA27" s="24" t="n">
        <v>29.0211368488655</v>
      </c>
      <c r="BB27" s="24" t="n">
        <v>29.1280922065017</v>
      </c>
      <c r="BC27" s="24" t="n">
        <v>29.2362800280042</v>
      </c>
      <c r="BD27" s="24" t="n">
        <v>29.3300368479142</v>
      </c>
      <c r="BE27" s="24" t="n">
        <v>29.4440693124268</v>
      </c>
      <c r="BF27" s="24" t="n">
        <v>29.5403038181493</v>
      </c>
      <c r="BG27" s="24" t="n">
        <v>29.6363142927389</v>
      </c>
      <c r="BH27" s="24" t="n">
        <v>29.7316939114874</v>
      </c>
      <c r="BI27" s="24" t="n">
        <v>29.843765225897</v>
      </c>
      <c r="BJ27" s="24" t="n">
        <v>29.9427716524983</v>
      </c>
      <c r="BK27" s="24" t="n">
        <v>30.0432727755461</v>
      </c>
      <c r="BL27" s="24" t="n">
        <v>30.1389778687996</v>
      </c>
      <c r="BM27" s="24" t="n">
        <v>30.2264544285035</v>
      </c>
      <c r="BN27" s="24" t="n">
        <v>30.3076602534545</v>
      </c>
      <c r="BO27" s="24" t="n">
        <v>30.3950692315518</v>
      </c>
      <c r="BP27" s="24" t="n">
        <v>30.4792072426799</v>
      </c>
      <c r="BQ27" s="24" t="n">
        <v>30.5749042296187</v>
      </c>
      <c r="BR27" s="24" t="n">
        <v>30.6584721450946</v>
      </c>
      <c r="BS27" s="24" t="n">
        <v>30.7395642785527</v>
      </c>
      <c r="BT27" s="24" t="n">
        <v>30.8245013134665</v>
      </c>
      <c r="BU27" s="24" t="n">
        <v>30.9133903169449</v>
      </c>
      <c r="BV27" s="24" t="n">
        <v>30.9969721523446</v>
      </c>
      <c r="BW27" s="24" t="n">
        <v>31.0723898074523</v>
      </c>
      <c r="BX27" s="24" t="n">
        <v>31.1515981706666</v>
      </c>
      <c r="BY27" s="24" t="n">
        <v>31.2331684085171</v>
      </c>
      <c r="BZ27" s="24" t="n">
        <v>31.3122909971731</v>
      </c>
      <c r="CA27" s="24" t="n">
        <v>31.3851617835041</v>
      </c>
      <c r="CB27" s="24" t="n">
        <v>31.4703654930022</v>
      </c>
      <c r="CC27" s="24" t="n">
        <v>31.5483224282081</v>
      </c>
      <c r="CD27" s="24" t="n">
        <v>31.6220261600017</v>
      </c>
      <c r="CE27" s="24" t="n">
        <v>31.6993531072934</v>
      </c>
      <c r="CF27" s="24" t="n">
        <v>31.7774188061564</v>
      </c>
      <c r="CG27" s="24" t="n">
        <v>31.847706390092</v>
      </c>
      <c r="CH27" s="24" t="n">
        <v>31.9308376145206</v>
      </c>
      <c r="CI27" s="24" t="n">
        <v>32.0060755073636</v>
      </c>
      <c r="CJ27" s="24" t="n">
        <v>32.0782764054027</v>
      </c>
      <c r="CK27" s="24" t="n">
        <v>32.1553438299294</v>
      </c>
      <c r="CL27" s="24" t="n">
        <v>32.2234338227021</v>
      </c>
      <c r="CM27" s="24" t="n">
        <v>32.2931106480345</v>
      </c>
      <c r="CN27" s="24" t="n">
        <v>32.3647163686041</v>
      </c>
      <c r="CO27" s="24" t="n">
        <v>32.437673362559</v>
      </c>
      <c r="CP27" s="24" t="n">
        <v>32.5101463669979</v>
      </c>
      <c r="CQ27" s="24" t="n">
        <v>32.5779441631208</v>
      </c>
      <c r="CR27" s="24" t="n">
        <v>32.6455351620261</v>
      </c>
      <c r="CS27" s="24" t="n">
        <v>32.6704463269781</v>
      </c>
      <c r="CT27" s="24" t="n">
        <v>20.7319461592815</v>
      </c>
    </row>
    <row r="28" customFormat="false" ht="15" hidden="false" customHeight="false" outlineLevel="0" collapsed="false">
      <c r="A28" s="11" t="n">
        <v>115</v>
      </c>
      <c r="B28" s="24" t="n">
        <v>15.5555474578945</v>
      </c>
      <c r="C28" s="24" t="n">
        <v>16.7105369438246</v>
      </c>
      <c r="D28" s="24" t="n">
        <v>17.6613950849123</v>
      </c>
      <c r="E28" s="24" t="n">
        <v>18.3331310442597</v>
      </c>
      <c r="F28" s="24" t="n">
        <v>19.0646320760307</v>
      </c>
      <c r="G28" s="24" t="n">
        <v>19.6836391596169</v>
      </c>
      <c r="H28" s="24" t="n">
        <v>20.2288400329544</v>
      </c>
      <c r="I28" s="24" t="n">
        <v>20.6370485422812</v>
      </c>
      <c r="J28" s="24" t="n">
        <v>21.0928060459661</v>
      </c>
      <c r="K28" s="24" t="n">
        <v>21.5236751711413</v>
      </c>
      <c r="L28" s="24" t="n">
        <v>21.9097140619003</v>
      </c>
      <c r="M28" s="24" t="n">
        <v>22.2885878995609</v>
      </c>
      <c r="N28" s="24" t="n">
        <v>22.6260999634895</v>
      </c>
      <c r="O28" s="24" t="n">
        <v>22.9243222087779</v>
      </c>
      <c r="P28" s="24" t="n">
        <v>23.1802830792982</v>
      </c>
      <c r="Q28" s="24" t="n">
        <v>23.4823516659649</v>
      </c>
      <c r="R28" s="24" t="n">
        <v>23.7423972552609</v>
      </c>
      <c r="S28" s="24" t="n">
        <v>24.0041107641089</v>
      </c>
      <c r="T28" s="24" t="n">
        <v>24.2616510272422</v>
      </c>
      <c r="U28" s="24" t="n">
        <v>24.4665948604368</v>
      </c>
      <c r="V28" s="24" t="n">
        <v>24.6783981910945</v>
      </c>
      <c r="W28" s="24" t="n">
        <v>24.8914131236537</v>
      </c>
      <c r="X28" s="24" t="n">
        <v>25.0953622568354</v>
      </c>
      <c r="Y28" s="24" t="n">
        <v>25.2975857011195</v>
      </c>
      <c r="Z28" s="24" t="n">
        <v>25.4842400354239</v>
      </c>
      <c r="AA28" s="24" t="n">
        <v>25.670592400239</v>
      </c>
      <c r="AB28" s="24" t="n">
        <v>25.8294928626745</v>
      </c>
      <c r="AC28" s="24" t="n">
        <v>25.9983058729321</v>
      </c>
      <c r="AD28" s="24" t="n">
        <v>26.1605298250121</v>
      </c>
      <c r="AE28" s="24" t="n">
        <v>26.3127080814103</v>
      </c>
      <c r="AF28" s="24" t="n">
        <v>26.4679957481411</v>
      </c>
      <c r="AG28" s="24" t="n">
        <v>26.6214903011821</v>
      </c>
      <c r="AH28" s="24" t="n">
        <v>26.7748572705933</v>
      </c>
      <c r="AI28" s="24" t="n">
        <v>26.9252164026311</v>
      </c>
      <c r="AJ28" s="24" t="n">
        <v>27.0750892421973</v>
      </c>
      <c r="AK28" s="24" t="n">
        <v>27.2146113806404</v>
      </c>
      <c r="AL28" s="24" t="n">
        <v>27.3434039066317</v>
      </c>
      <c r="AM28" s="24" t="n">
        <v>27.4911627988476</v>
      </c>
      <c r="AN28" s="24" t="n">
        <v>27.6198902682609</v>
      </c>
      <c r="AO28" s="24" t="n">
        <v>27.7562645288262</v>
      </c>
      <c r="AP28" s="24" t="n">
        <v>27.8869990930622</v>
      </c>
      <c r="AQ28" s="24" t="n">
        <v>28.0021572280253</v>
      </c>
      <c r="AR28" s="24" t="n">
        <v>28.129269492713</v>
      </c>
      <c r="AS28" s="24" t="n">
        <v>28.260785556793</v>
      </c>
      <c r="AT28" s="24" t="n">
        <v>28.3824251759993</v>
      </c>
      <c r="AU28" s="24" t="n">
        <v>28.501847806997</v>
      </c>
      <c r="AV28" s="24" t="n">
        <v>28.6205665051711</v>
      </c>
      <c r="AW28" s="24" t="n">
        <v>28.7353521826508</v>
      </c>
      <c r="AX28" s="24" t="n">
        <v>28.8576889429938</v>
      </c>
      <c r="AY28" s="24" t="n">
        <v>28.9745296106467</v>
      </c>
      <c r="AZ28" s="24" t="n">
        <v>29.0777543556629</v>
      </c>
      <c r="BA28" s="24" t="n">
        <v>29.1821146156354</v>
      </c>
      <c r="BB28" s="24" t="n">
        <v>29.2816365076901</v>
      </c>
      <c r="BC28" s="24" t="n">
        <v>29.3817457318855</v>
      </c>
      <c r="BD28" s="24" t="n">
        <v>29.488768174383</v>
      </c>
      <c r="BE28" s="24" t="n">
        <v>29.589966717069</v>
      </c>
      <c r="BF28" s="24" t="n">
        <v>29.6787304597987</v>
      </c>
      <c r="BG28" s="24" t="n">
        <v>29.7855875565165</v>
      </c>
      <c r="BH28" s="24" t="n">
        <v>29.8867373927619</v>
      </c>
      <c r="BI28" s="24" t="n">
        <v>29.9804524632042</v>
      </c>
      <c r="BJ28" s="24" t="n">
        <v>30.086401570546</v>
      </c>
      <c r="BK28" s="24" t="n">
        <v>30.1789263262403</v>
      </c>
      <c r="BL28" s="24" t="n">
        <v>30.2651853923783</v>
      </c>
      <c r="BM28" s="24" t="n">
        <v>30.35073468495</v>
      </c>
      <c r="BN28" s="24" t="n">
        <v>30.4391635811615</v>
      </c>
      <c r="BO28" s="24" t="n">
        <v>30.5276925686601</v>
      </c>
      <c r="BP28" s="24" t="n">
        <v>30.6178996306522</v>
      </c>
      <c r="BQ28" s="24" t="n">
        <v>30.7030433922937</v>
      </c>
      <c r="BR28" s="24" t="n">
        <v>30.7851641304279</v>
      </c>
      <c r="BS28" s="24" t="n">
        <v>30.873065949117</v>
      </c>
      <c r="BT28" s="24" t="n">
        <v>30.9610122697196</v>
      </c>
      <c r="BU28" s="24" t="n">
        <v>31.0391762558632</v>
      </c>
      <c r="BV28" s="24" t="n">
        <v>31.1153069030702</v>
      </c>
      <c r="BW28" s="24" t="n">
        <v>31.2052017912442</v>
      </c>
      <c r="BX28" s="24" t="n">
        <v>31.2768516381273</v>
      </c>
      <c r="BY28" s="24" t="n">
        <v>31.3565632928764</v>
      </c>
      <c r="BZ28" s="24" t="n">
        <v>31.4357122554512</v>
      </c>
      <c r="CA28" s="24" t="n">
        <v>31.5152418500503</v>
      </c>
      <c r="CB28" s="24" t="n">
        <v>31.5919354019132</v>
      </c>
      <c r="CC28" s="24" t="n">
        <v>31.664727271093</v>
      </c>
      <c r="CD28" s="24" t="n">
        <v>31.7430392317851</v>
      </c>
      <c r="CE28" s="24" t="n">
        <v>31.8167773187301</v>
      </c>
      <c r="CF28" s="24" t="n">
        <v>31.8962193707961</v>
      </c>
      <c r="CG28" s="24" t="n">
        <v>31.9751718733824</v>
      </c>
      <c r="CH28" s="24" t="n">
        <v>32.0445074327077</v>
      </c>
      <c r="CI28" s="24" t="n">
        <v>32.1242901151888</v>
      </c>
      <c r="CJ28" s="24" t="n">
        <v>32.194922126232</v>
      </c>
      <c r="CK28" s="24" t="n">
        <v>32.2677204506697</v>
      </c>
      <c r="CL28" s="24" t="n">
        <v>32.3387734432054</v>
      </c>
      <c r="CM28" s="24" t="n">
        <v>32.4045366779468</v>
      </c>
      <c r="CN28" s="24" t="n">
        <v>32.4889077610016</v>
      </c>
      <c r="CO28" s="24" t="n">
        <v>32.555566598762</v>
      </c>
      <c r="CP28" s="24" t="n">
        <v>32.6173027645753</v>
      </c>
      <c r="CQ28" s="24" t="n">
        <v>32.6779219593754</v>
      </c>
      <c r="CR28" s="24" t="n">
        <v>32.7441572953072</v>
      </c>
      <c r="CS28" s="24" t="n">
        <v>32.7721497167201</v>
      </c>
      <c r="CT28" s="24" t="n">
        <v>21.1141756959934</v>
      </c>
    </row>
    <row r="29" customFormat="false" ht="15" hidden="false" customHeight="false" outlineLevel="0" collapsed="false">
      <c r="A29" s="11" t="n">
        <v>120</v>
      </c>
      <c r="B29" s="24" t="n">
        <v>16.105555910633</v>
      </c>
      <c r="C29" s="24" t="n">
        <v>17.1960952685893</v>
      </c>
      <c r="D29" s="24" t="n">
        <v>18.0602028252735</v>
      </c>
      <c r="E29" s="24" t="n">
        <v>18.8100101374554</v>
      </c>
      <c r="F29" s="24" t="n">
        <v>19.4780099602321</v>
      </c>
      <c r="G29" s="24" t="n">
        <v>20.0735855375074</v>
      </c>
      <c r="H29" s="24" t="n">
        <v>20.5676197848069</v>
      </c>
      <c r="I29" s="24" t="n">
        <v>21.0054263176262</v>
      </c>
      <c r="J29" s="24" t="n">
        <v>21.4286527200855</v>
      </c>
      <c r="K29" s="24" t="n">
        <v>21.8290227305812</v>
      </c>
      <c r="L29" s="24" t="n">
        <v>22.2168149671859</v>
      </c>
      <c r="M29" s="24" t="n">
        <v>22.5553770254612</v>
      </c>
      <c r="N29" s="24" t="n">
        <v>22.8869641501572</v>
      </c>
      <c r="O29" s="24" t="n">
        <v>23.1619460878249</v>
      </c>
      <c r="P29" s="24" t="n">
        <v>23.4603067896225</v>
      </c>
      <c r="Q29" s="24" t="n">
        <v>23.715540064839</v>
      </c>
      <c r="R29" s="24" t="n">
        <v>23.9849131363193</v>
      </c>
      <c r="S29" s="24" t="n">
        <v>24.230027024004</v>
      </c>
      <c r="T29" s="24" t="n">
        <v>24.4488532449248</v>
      </c>
      <c r="U29" s="24" t="n">
        <v>24.6685646823718</v>
      </c>
      <c r="V29" s="24" t="n">
        <v>24.8933837139523</v>
      </c>
      <c r="W29" s="24" t="n">
        <v>25.1122114250479</v>
      </c>
      <c r="X29" s="24" t="n">
        <v>25.318260548033</v>
      </c>
      <c r="Y29" s="24" t="n">
        <v>25.5134658120535</v>
      </c>
      <c r="Z29" s="24" t="n">
        <v>25.6811217564764</v>
      </c>
      <c r="AA29" s="24" t="n">
        <v>25.8548824367377</v>
      </c>
      <c r="AB29" s="24" t="n">
        <v>26.0156742669378</v>
      </c>
      <c r="AC29" s="24" t="n">
        <v>26.191999461898</v>
      </c>
      <c r="AD29" s="24" t="n">
        <v>26.3567253712808</v>
      </c>
      <c r="AE29" s="24" t="n">
        <v>26.5119518081347</v>
      </c>
      <c r="AF29" s="24" t="n">
        <v>26.6649044761815</v>
      </c>
      <c r="AG29" s="24" t="n">
        <v>26.8144214312509</v>
      </c>
      <c r="AH29" s="24" t="n">
        <v>26.9653031387177</v>
      </c>
      <c r="AI29" s="24" t="n">
        <v>27.1103070347562</v>
      </c>
      <c r="AJ29" s="24" t="n">
        <v>27.240293942835</v>
      </c>
      <c r="AK29" s="24" t="n">
        <v>27.3747325202823</v>
      </c>
      <c r="AL29" s="24" t="n">
        <v>27.515482249167</v>
      </c>
      <c r="AM29" s="24" t="n">
        <v>27.6527994176543</v>
      </c>
      <c r="AN29" s="24" t="n">
        <v>27.7896760709296</v>
      </c>
      <c r="AO29" s="24" t="n">
        <v>27.917032183999</v>
      </c>
      <c r="AP29" s="24" t="n">
        <v>28.0349253895775</v>
      </c>
      <c r="AQ29" s="24" t="n">
        <v>28.160570885047</v>
      </c>
      <c r="AR29" s="24" t="n">
        <v>28.2941363582798</v>
      </c>
      <c r="AS29" s="24" t="n">
        <v>28.4085659895045</v>
      </c>
      <c r="AT29" s="24" t="n">
        <v>28.5278564972099</v>
      </c>
      <c r="AU29" s="24" t="n">
        <v>28.6420724589214</v>
      </c>
      <c r="AV29" s="24" t="n">
        <v>28.7610308707719</v>
      </c>
      <c r="AW29" s="24" t="n">
        <v>28.8815088942113</v>
      </c>
      <c r="AX29" s="24" t="n">
        <v>28.9984937207584</v>
      </c>
      <c r="AY29" s="24" t="n">
        <v>29.1157717184023</v>
      </c>
      <c r="AZ29" s="24" t="n">
        <v>29.2232397799911</v>
      </c>
      <c r="BA29" s="24" t="n">
        <v>29.3186824966383</v>
      </c>
      <c r="BB29" s="24" t="n">
        <v>29.4267586146051</v>
      </c>
      <c r="BC29" s="24" t="n">
        <v>29.5320100266228</v>
      </c>
      <c r="BD29" s="24" t="n">
        <v>29.6296423042351</v>
      </c>
      <c r="BE29" s="24" t="n">
        <v>29.7265281605615</v>
      </c>
      <c r="BF29" s="24" t="n">
        <v>29.8360984559467</v>
      </c>
      <c r="BG29" s="24" t="n">
        <v>29.932632634695</v>
      </c>
      <c r="BH29" s="24" t="n">
        <v>30.027186154854</v>
      </c>
      <c r="BI29" s="24" t="n">
        <v>30.1270418549987</v>
      </c>
      <c r="BJ29" s="24" t="n">
        <v>30.2140362542053</v>
      </c>
      <c r="BK29" s="24" t="n">
        <v>30.2956007435296</v>
      </c>
      <c r="BL29" s="24" t="n">
        <v>30.3830937708323</v>
      </c>
      <c r="BM29" s="24" t="n">
        <v>30.4695799056398</v>
      </c>
      <c r="BN29" s="24" t="n">
        <v>30.5620799838958</v>
      </c>
      <c r="BO29" s="24" t="n">
        <v>30.6475178716072</v>
      </c>
      <c r="BP29" s="24" t="n">
        <v>30.7305661359031</v>
      </c>
      <c r="BQ29" s="24" t="n">
        <v>30.8147217224942</v>
      </c>
      <c r="BR29" s="24" t="n">
        <v>30.9062150631894</v>
      </c>
      <c r="BS29" s="24" t="n">
        <v>30.9970561679327</v>
      </c>
      <c r="BT29" s="24" t="n">
        <v>31.073303616295</v>
      </c>
      <c r="BU29" s="24" t="n">
        <v>31.1518774660342</v>
      </c>
      <c r="BV29" s="24" t="n">
        <v>31.2379371228556</v>
      </c>
      <c r="BW29" s="24" t="n">
        <v>31.3133834217157</v>
      </c>
      <c r="BX29" s="24" t="n">
        <v>31.3862764527424</v>
      </c>
      <c r="BY29" s="24" t="n">
        <v>31.4696983265229</v>
      </c>
      <c r="BZ29" s="24" t="n">
        <v>31.5505703691838</v>
      </c>
      <c r="CA29" s="24" t="n">
        <v>31.6228357969163</v>
      </c>
      <c r="CB29" s="24" t="n">
        <v>31.7000960927537</v>
      </c>
      <c r="CC29" s="24" t="n">
        <v>31.7780767758067</v>
      </c>
      <c r="CD29" s="24" t="n">
        <v>31.8509214461503</v>
      </c>
      <c r="CE29" s="24" t="n">
        <v>31.9333103608176</v>
      </c>
      <c r="CF29" s="24" t="n">
        <v>32.0091921769091</v>
      </c>
      <c r="CG29" s="24" t="n">
        <v>32.086679712446</v>
      </c>
      <c r="CH29" s="24" t="n">
        <v>32.1584568845634</v>
      </c>
      <c r="CI29" s="24" t="n">
        <v>32.2289207060381</v>
      </c>
      <c r="CJ29" s="24" t="n">
        <v>32.3019383592644</v>
      </c>
      <c r="CK29" s="24" t="n">
        <v>32.3734973057519</v>
      </c>
      <c r="CL29" s="24" t="n">
        <v>32.4462915663539</v>
      </c>
      <c r="CM29" s="24" t="n">
        <v>32.5161904387057</v>
      </c>
      <c r="CN29" s="24" t="n">
        <v>32.5837496919512</v>
      </c>
      <c r="CO29" s="24" t="n">
        <v>32.6462013299163</v>
      </c>
      <c r="CP29" s="24" t="n">
        <v>32.7097582645223</v>
      </c>
      <c r="CQ29" s="24" t="n">
        <v>32.7738990264525</v>
      </c>
      <c r="CR29" s="24" t="n">
        <v>32.8435537443804</v>
      </c>
      <c r="CS29" s="24" t="n">
        <v>32.8697437940184</v>
      </c>
      <c r="CT29" s="24" t="n">
        <v>21.4313191988389</v>
      </c>
    </row>
    <row r="30" customFormat="false" ht="15" hidden="false" customHeight="false" outlineLevel="0" collapsed="false">
      <c r="A30" s="11" t="n">
        <v>125</v>
      </c>
      <c r="B30" s="24" t="n">
        <v>16.5761981064152</v>
      </c>
      <c r="C30" s="24" t="n">
        <v>17.5944587397427</v>
      </c>
      <c r="D30" s="24" t="n">
        <v>18.4500270415504</v>
      </c>
      <c r="E30" s="24" t="n">
        <v>19.2141008513912</v>
      </c>
      <c r="F30" s="24" t="n">
        <v>19.8212285813228</v>
      </c>
      <c r="G30" s="24" t="n">
        <v>20.3783890389532</v>
      </c>
      <c r="H30" s="24" t="n">
        <v>20.8597581763802</v>
      </c>
      <c r="I30" s="24" t="n">
        <v>21.3575010913424</v>
      </c>
      <c r="J30" s="24" t="n">
        <v>21.7535475870951</v>
      </c>
      <c r="K30" s="24" t="n">
        <v>22.1349684417765</v>
      </c>
      <c r="L30" s="24" t="n">
        <v>22.4836447328692</v>
      </c>
      <c r="M30" s="24" t="n">
        <v>22.803691295209</v>
      </c>
      <c r="N30" s="24" t="n">
        <v>23.0834874779892</v>
      </c>
      <c r="O30" s="24" t="n">
        <v>23.3923320028402</v>
      </c>
      <c r="P30" s="24" t="n">
        <v>23.6543503729939</v>
      </c>
      <c r="Q30" s="24" t="n">
        <v>23.946547450704</v>
      </c>
      <c r="R30" s="24" t="n">
        <v>24.1996457970653</v>
      </c>
      <c r="S30" s="24" t="n">
        <v>24.4242958373819</v>
      </c>
      <c r="T30" s="24" t="n">
        <v>24.6558028455453</v>
      </c>
      <c r="U30" s="24" t="n">
        <v>24.854187189285</v>
      </c>
      <c r="V30" s="24" t="n">
        <v>25.085028150936</v>
      </c>
      <c r="W30" s="24" t="n">
        <v>25.2896478142031</v>
      </c>
      <c r="X30" s="24" t="n">
        <v>25.4843427970124</v>
      </c>
      <c r="Y30" s="24" t="n">
        <v>25.6765876844008</v>
      </c>
      <c r="Z30" s="24" t="n">
        <v>25.8667145054601</v>
      </c>
      <c r="AA30" s="24" t="n">
        <v>26.0335088525181</v>
      </c>
      <c r="AB30" s="24" t="n">
        <v>26.2007497920604</v>
      </c>
      <c r="AC30" s="24" t="n">
        <v>26.3637426467116</v>
      </c>
      <c r="AD30" s="24" t="n">
        <v>26.5139037268853</v>
      </c>
      <c r="AE30" s="24" t="n">
        <v>26.6706135218894</v>
      </c>
      <c r="AF30" s="24" t="n">
        <v>26.8214415892144</v>
      </c>
      <c r="AG30" s="24" t="n">
        <v>26.9739917217335</v>
      </c>
      <c r="AH30" s="24" t="n">
        <v>27.1181522900139</v>
      </c>
      <c r="AI30" s="24" t="n">
        <v>27.2555581524013</v>
      </c>
      <c r="AJ30" s="24" t="n">
        <v>27.4009578723027</v>
      </c>
      <c r="AK30" s="24" t="n">
        <v>27.5383604021717</v>
      </c>
      <c r="AL30" s="24" t="n">
        <v>27.6662330928305</v>
      </c>
      <c r="AM30" s="24" t="n">
        <v>27.8139201037766</v>
      </c>
      <c r="AN30" s="24" t="n">
        <v>27.9362434572561</v>
      </c>
      <c r="AO30" s="24" t="n">
        <v>28.0529069606138</v>
      </c>
      <c r="AP30" s="24" t="n">
        <v>28.1750231912621</v>
      </c>
      <c r="AQ30" s="24" t="n">
        <v>28.3133949950102</v>
      </c>
      <c r="AR30" s="24" t="n">
        <v>28.4281155119768</v>
      </c>
      <c r="AS30" s="24" t="n">
        <v>28.5483126186121</v>
      </c>
      <c r="AT30" s="24" t="n">
        <v>28.6645101652802</v>
      </c>
      <c r="AU30" s="24" t="n">
        <v>28.7999328126493</v>
      </c>
      <c r="AV30" s="24" t="n">
        <v>28.9109384218587</v>
      </c>
      <c r="AW30" s="24" t="n">
        <v>29.0211368488655</v>
      </c>
      <c r="AX30" s="24" t="n">
        <v>29.1354822005323</v>
      </c>
      <c r="AY30" s="24" t="n">
        <v>29.2393484512179</v>
      </c>
      <c r="AZ30" s="24" t="n">
        <v>29.3389709221982</v>
      </c>
      <c r="BA30" s="24" t="n">
        <v>29.4467874847931</v>
      </c>
      <c r="BB30" s="24" t="n">
        <v>29.5457812879569</v>
      </c>
      <c r="BC30" s="24" t="n">
        <v>29.6460018387881</v>
      </c>
      <c r="BD30" s="24" t="n">
        <v>29.7444369203254</v>
      </c>
      <c r="BE30" s="24" t="n">
        <v>29.8575926073855</v>
      </c>
      <c r="BF30" s="24" t="n">
        <v>29.9562612838679</v>
      </c>
      <c r="BG30" s="24" t="n">
        <v>30.0586440562459</v>
      </c>
      <c r="BH30" s="24" t="n">
        <v>30.1533169059437</v>
      </c>
      <c r="BI30" s="24" t="n">
        <v>30.2402313501966</v>
      </c>
      <c r="BJ30" s="24" t="n">
        <v>30.32297050656</v>
      </c>
      <c r="BK30" s="24" t="n">
        <v>30.4154376524446</v>
      </c>
      <c r="BL30" s="24" t="n">
        <v>30.5053478130357</v>
      </c>
      <c r="BM30" s="24" t="n">
        <v>30.5994413770772</v>
      </c>
      <c r="BN30" s="24" t="n">
        <v>30.6808590933234</v>
      </c>
      <c r="BO30" s="24" t="n">
        <v>30.7654096284954</v>
      </c>
      <c r="BP30" s="24" t="n">
        <v>30.8502261884458</v>
      </c>
      <c r="BQ30" s="24" t="n">
        <v>30.9399274857427</v>
      </c>
      <c r="BR30" s="24" t="n">
        <v>31.0197887660151</v>
      </c>
      <c r="BS30" s="24" t="n">
        <v>31.0932755647206</v>
      </c>
      <c r="BT30" s="24" t="n">
        <v>31.1735672308682</v>
      </c>
      <c r="BU30" s="24" t="n">
        <v>31.2576357414408</v>
      </c>
      <c r="BV30" s="24" t="n">
        <v>31.3357031798943</v>
      </c>
      <c r="BW30" s="24" t="n">
        <v>31.410117931988</v>
      </c>
      <c r="BX30" s="24" t="n">
        <v>31.4897528430257</v>
      </c>
      <c r="BY30" s="24" t="n">
        <v>31.5658386760021</v>
      </c>
      <c r="BZ30" s="24" t="n">
        <v>31.639014756469</v>
      </c>
      <c r="CA30" s="24" t="n">
        <v>31.7188055646257</v>
      </c>
      <c r="CB30" s="24" t="n">
        <v>31.7991914700097</v>
      </c>
      <c r="CC30" s="24" t="n">
        <v>31.8797360978102</v>
      </c>
      <c r="CD30" s="24" t="n">
        <v>31.9620468357423</v>
      </c>
      <c r="CE30" s="24" t="n">
        <v>32.0376730054679</v>
      </c>
      <c r="CF30" s="24" t="n">
        <v>32.1146415927211</v>
      </c>
      <c r="CG30" s="24" t="n">
        <v>32.185249296667</v>
      </c>
      <c r="CH30" s="24" t="n">
        <v>32.2543807090141</v>
      </c>
      <c r="CI30" s="24" t="n">
        <v>32.3235263267615</v>
      </c>
      <c r="CJ30" s="24" t="n">
        <v>32.3957599867863</v>
      </c>
      <c r="CK30" s="24" t="n">
        <v>32.4764149247003</v>
      </c>
      <c r="CL30" s="24" t="n">
        <v>32.5471785013398</v>
      </c>
      <c r="CM30" s="24" t="n">
        <v>32.6111783549656</v>
      </c>
      <c r="CN30" s="24" t="n">
        <v>32.6734026477882</v>
      </c>
      <c r="CO30" s="24" t="n">
        <v>32.737329447022</v>
      </c>
      <c r="CP30" s="24" t="n">
        <v>32.8042166266585</v>
      </c>
      <c r="CQ30" s="24" t="n">
        <v>32.8748466849477</v>
      </c>
      <c r="CR30" s="24" t="n">
        <v>32.9399067586448</v>
      </c>
      <c r="CS30" s="24" t="n">
        <v>32.9647444920069</v>
      </c>
      <c r="CT30" s="24" t="n">
        <v>21.7585297569879</v>
      </c>
    </row>
    <row r="31" customFormat="false" ht="15" hidden="false" customHeight="false" outlineLevel="0" collapsed="false">
      <c r="A31" s="11" t="n">
        <v>130</v>
      </c>
      <c r="B31" s="24" t="n">
        <v>16.9433317628077</v>
      </c>
      <c r="C31" s="24" t="n">
        <v>17.9203762517741</v>
      </c>
      <c r="D31" s="24" t="n">
        <v>18.7804559796561</v>
      </c>
      <c r="E31" s="24" t="n">
        <v>19.5415630243478</v>
      </c>
      <c r="F31" s="24" t="n">
        <v>20.2086067673748</v>
      </c>
      <c r="G31" s="24" t="n">
        <v>20.642495204038</v>
      </c>
      <c r="H31" s="24" t="n">
        <v>21.1674076767517</v>
      </c>
      <c r="I31" s="24" t="n">
        <v>21.5828605088352</v>
      </c>
      <c r="J31" s="24" t="n">
        <v>22.0107118392005</v>
      </c>
      <c r="K31" s="24" t="n">
        <v>22.3960475095608</v>
      </c>
      <c r="L31" s="24" t="n">
        <v>22.7246203358176</v>
      </c>
      <c r="M31" s="24" t="n">
        <v>23.0227623351572</v>
      </c>
      <c r="N31" s="24" t="n">
        <v>23.3063372145842</v>
      </c>
      <c r="O31" s="24" t="n">
        <v>23.5813419594302</v>
      </c>
      <c r="P31" s="24" t="n">
        <v>23.8476604891695</v>
      </c>
      <c r="Q31" s="24" t="n">
        <v>24.1203022831596</v>
      </c>
      <c r="R31" s="24" t="n">
        <v>24.3733788240107</v>
      </c>
      <c r="S31" s="24" t="n">
        <v>24.6003985262126</v>
      </c>
      <c r="T31" s="24" t="n">
        <v>24.8260676832231</v>
      </c>
      <c r="U31" s="24" t="n">
        <v>25.0470442311373</v>
      </c>
      <c r="V31" s="24" t="n">
        <v>25.2550837100204</v>
      </c>
      <c r="W31" s="24" t="n">
        <v>25.4621837321223</v>
      </c>
      <c r="X31" s="24" t="n">
        <v>25.6437039196607</v>
      </c>
      <c r="Y31" s="24" t="n">
        <v>25.8283077710075</v>
      </c>
      <c r="Z31" s="24" t="n">
        <v>26.0088958561716</v>
      </c>
      <c r="AA31" s="24" t="n">
        <v>26.1741800713735</v>
      </c>
      <c r="AB31" s="24" t="n">
        <v>26.3327709411502</v>
      </c>
      <c r="AC31" s="24" t="n">
        <v>26.5014114064881</v>
      </c>
      <c r="AD31" s="24" t="n">
        <v>26.6713666319249</v>
      </c>
      <c r="AE31" s="24" t="n">
        <v>26.830914256445</v>
      </c>
      <c r="AF31" s="24" t="n">
        <v>26.9806834534316</v>
      </c>
      <c r="AG31" s="24" t="n">
        <v>27.1215534038172</v>
      </c>
      <c r="AH31" s="24" t="n">
        <v>27.2547751964522</v>
      </c>
      <c r="AI31" s="24" t="n">
        <v>27.4017226785037</v>
      </c>
      <c r="AJ31" s="24" t="n">
        <v>27.5403139989426</v>
      </c>
      <c r="AK31" s="24" t="n">
        <v>27.6652217640207</v>
      </c>
      <c r="AL31" s="24" t="n">
        <v>27.8138543637386</v>
      </c>
      <c r="AM31" s="24" t="n">
        <v>27.9362434572561</v>
      </c>
      <c r="AN31" s="24" t="n">
        <v>28.0610063041889</v>
      </c>
      <c r="AO31" s="24" t="n">
        <v>28.1821289841329</v>
      </c>
      <c r="AP31" s="24" t="n">
        <v>28.3209315520408</v>
      </c>
      <c r="AQ31" s="24" t="n">
        <v>28.4355139928208</v>
      </c>
      <c r="AR31" s="24" t="n">
        <v>28.5513447797916</v>
      </c>
      <c r="AS31" s="24" t="n">
        <v>28.6686363362831</v>
      </c>
      <c r="AT31" s="24" t="n">
        <v>28.8082411499164</v>
      </c>
      <c r="AU31" s="24" t="n">
        <v>28.9147685783955</v>
      </c>
      <c r="AV31" s="24" t="n">
        <v>29.0286809440115</v>
      </c>
      <c r="AW31" s="24" t="n">
        <v>29.1399465312102</v>
      </c>
      <c r="AX31" s="24" t="n">
        <v>29.2455832866826</v>
      </c>
      <c r="AY31" s="24" t="n">
        <v>29.3469557744869</v>
      </c>
      <c r="AZ31" s="24" t="n">
        <v>29.4604289395899</v>
      </c>
      <c r="BA31" s="24" t="n">
        <v>29.5674532643368</v>
      </c>
      <c r="BB31" s="24" t="n">
        <v>29.6614890091621</v>
      </c>
      <c r="BC31" s="24" t="n">
        <v>29.7662154901799</v>
      </c>
      <c r="BD31" s="24" t="n">
        <v>29.8738293957054</v>
      </c>
      <c r="BE31" s="24" t="n">
        <v>29.9705996557007</v>
      </c>
      <c r="BF31" s="24" t="n">
        <v>30.0698663309968</v>
      </c>
      <c r="BG31" s="24" t="n">
        <v>30.1645477444503</v>
      </c>
      <c r="BH31" s="24" t="n">
        <v>30.25182780048</v>
      </c>
      <c r="BI31" s="24" t="n">
        <v>30.33543193364</v>
      </c>
      <c r="BJ31" s="24" t="n">
        <v>30.4257537500292</v>
      </c>
      <c r="BK31" s="24" t="n">
        <v>30.5144707221009</v>
      </c>
      <c r="BL31" s="24" t="n">
        <v>30.6082856543867</v>
      </c>
      <c r="BM31" s="24" t="n">
        <v>30.6974602180984</v>
      </c>
      <c r="BN31" s="24" t="n">
        <v>30.7783055659669</v>
      </c>
      <c r="BO31" s="24" t="n">
        <v>30.8691722413397</v>
      </c>
      <c r="BP31" s="24" t="n">
        <v>30.9602720588948</v>
      </c>
      <c r="BQ31" s="24" t="n">
        <v>31.0388605092816</v>
      </c>
      <c r="BR31" s="24" t="n">
        <v>31.1155113689658</v>
      </c>
      <c r="BS31" s="24" t="n">
        <v>31.2021904547518</v>
      </c>
      <c r="BT31" s="24" t="n">
        <v>31.2793562279727</v>
      </c>
      <c r="BU31" s="24" t="n">
        <v>31.3585461508565</v>
      </c>
      <c r="BV31" s="24" t="n">
        <v>31.4415995149766</v>
      </c>
      <c r="BW31" s="24" t="n">
        <v>31.5208289009855</v>
      </c>
      <c r="BX31" s="24" t="n">
        <v>31.5917239013039</v>
      </c>
      <c r="BY31" s="24" t="n">
        <v>31.6620502473927</v>
      </c>
      <c r="BZ31" s="24" t="n">
        <v>31.7443976941938</v>
      </c>
      <c r="CA31" s="24" t="n">
        <v>31.8185630179522</v>
      </c>
      <c r="CB31" s="24" t="n">
        <v>31.8986199540521</v>
      </c>
      <c r="CC31" s="24" t="n">
        <v>31.9763301612174</v>
      </c>
      <c r="CD31" s="24" t="n">
        <v>32.0466025200676</v>
      </c>
      <c r="CE31" s="24" t="n">
        <v>32.1259652411747</v>
      </c>
      <c r="CF31" s="24" t="n">
        <v>32.1973686966852</v>
      </c>
      <c r="CG31" s="24" t="n">
        <v>32.2693067868003</v>
      </c>
      <c r="CH31" s="24" t="n">
        <v>32.342668103114</v>
      </c>
      <c r="CI31" s="24" t="n">
        <v>32.4061846850495</v>
      </c>
      <c r="CJ31" s="24" t="n">
        <v>32.4886395477947</v>
      </c>
      <c r="CK31" s="24" t="n">
        <v>32.5582243675754</v>
      </c>
      <c r="CL31" s="24" t="n">
        <v>32.6246916965612</v>
      </c>
      <c r="CM31" s="24" t="n">
        <v>32.6886105774946</v>
      </c>
      <c r="CN31" s="24" t="n">
        <v>32.7537985469599</v>
      </c>
      <c r="CO31" s="24" t="n">
        <v>32.8204634838207</v>
      </c>
      <c r="CP31" s="24" t="n">
        <v>32.8902447215305</v>
      </c>
      <c r="CQ31" s="24" t="n">
        <v>32.9566948622607</v>
      </c>
      <c r="CR31" s="24" t="n">
        <v>33.0197806030042</v>
      </c>
      <c r="CS31" s="24" t="n">
        <v>33.0479713376447</v>
      </c>
      <c r="CT31" s="24" t="n">
        <v>22.0269544950888</v>
      </c>
    </row>
    <row r="32" customFormat="false" ht="15" hidden="false" customHeight="false" outlineLevel="0" collapsed="false">
      <c r="A32" s="11" t="n">
        <v>135</v>
      </c>
      <c r="B32" s="24" t="n">
        <v>17.3350213043308</v>
      </c>
      <c r="C32" s="24" t="n">
        <v>18.224857649857</v>
      </c>
      <c r="D32" s="24" t="n">
        <v>19.1035739616824</v>
      </c>
      <c r="E32" s="24" t="n">
        <v>19.8251866658232</v>
      </c>
      <c r="F32" s="24" t="n">
        <v>20.4211743142368</v>
      </c>
      <c r="G32" s="24" t="n">
        <v>20.9390638109101</v>
      </c>
      <c r="H32" s="24" t="n">
        <v>21.4184905417068</v>
      </c>
      <c r="I32" s="24" t="n">
        <v>21.8431574577644</v>
      </c>
      <c r="J32" s="24" t="n">
        <v>22.2427155800463</v>
      </c>
      <c r="K32" s="24" t="n">
        <v>22.6018444530412</v>
      </c>
      <c r="L32" s="24" t="n">
        <v>22.9264992946205</v>
      </c>
      <c r="M32" s="24" t="n">
        <v>23.2294497037707</v>
      </c>
      <c r="N32" s="24" t="n">
        <v>23.5212769546947</v>
      </c>
      <c r="O32" s="24" t="n">
        <v>23.7707073946355</v>
      </c>
      <c r="P32" s="24" t="n">
        <v>24.0408720877943</v>
      </c>
      <c r="Q32" s="24" t="n">
        <v>24.3026650823986</v>
      </c>
      <c r="R32" s="24" t="n">
        <v>24.5142713708479</v>
      </c>
      <c r="S32" s="24" t="n">
        <v>24.7503939880568</v>
      </c>
      <c r="T32" s="24" t="n">
        <v>24.976386314289</v>
      </c>
      <c r="U32" s="24" t="n">
        <v>25.1881996271351</v>
      </c>
      <c r="V32" s="24" t="n">
        <v>25.4060180666539</v>
      </c>
      <c r="W32" s="24" t="n">
        <v>25.6176485296734</v>
      </c>
      <c r="X32" s="24" t="n">
        <v>25.7929626835723</v>
      </c>
      <c r="Y32" s="24" t="n">
        <v>25.9821112355372</v>
      </c>
      <c r="Z32" s="24" t="n">
        <v>26.1496229916721</v>
      </c>
      <c r="AA32" s="24" t="n">
        <v>26.3102552840412</v>
      </c>
      <c r="AB32" s="24" t="n">
        <v>26.4711029358598</v>
      </c>
      <c r="AC32" s="24" t="n">
        <v>26.631124392849</v>
      </c>
      <c r="AD32" s="24" t="n">
        <v>26.8036344782617</v>
      </c>
      <c r="AE32" s="24" t="n">
        <v>26.9545876182201</v>
      </c>
      <c r="AF32" s="24" t="n">
        <v>27.0978321736797</v>
      </c>
      <c r="AG32" s="24" t="n">
        <v>27.2369884604342</v>
      </c>
      <c r="AH32" s="24" t="n">
        <v>27.3828091530444</v>
      </c>
      <c r="AI32" s="24" t="n">
        <v>27.5352805832126</v>
      </c>
      <c r="AJ32" s="24" t="n">
        <v>27.6652217640207</v>
      </c>
      <c r="AK32" s="24" t="n">
        <v>27.8154588472201</v>
      </c>
      <c r="AL32" s="24" t="n">
        <v>27.9393135349962</v>
      </c>
      <c r="AM32" s="24" t="n">
        <v>28.0585335029177</v>
      </c>
      <c r="AN32" s="24" t="n">
        <v>28.1794163249675</v>
      </c>
      <c r="AO32" s="24" t="n">
        <v>28.3192008453876</v>
      </c>
      <c r="AP32" s="24" t="n">
        <v>28.4324023837135</v>
      </c>
      <c r="AQ32" s="24" t="n">
        <v>28.5476489603771</v>
      </c>
      <c r="AR32" s="24" t="n">
        <v>28.6628903653201</v>
      </c>
      <c r="AS32" s="24" t="n">
        <v>28.8007042025672</v>
      </c>
      <c r="AT32" s="24" t="n">
        <v>28.9158071541896</v>
      </c>
      <c r="AU32" s="24" t="n">
        <v>29.0332016014889</v>
      </c>
      <c r="AV32" s="24" t="n">
        <v>29.1457158605105</v>
      </c>
      <c r="AW32" s="24" t="n">
        <v>29.2467413500346</v>
      </c>
      <c r="AX32" s="24" t="n">
        <v>29.3481567405412</v>
      </c>
      <c r="AY32" s="24" t="n">
        <v>29.4563277008722</v>
      </c>
      <c r="AZ32" s="24" t="n">
        <v>29.5604168583135</v>
      </c>
      <c r="BA32" s="24" t="n">
        <v>29.6609081461535</v>
      </c>
      <c r="BB32" s="24" t="n">
        <v>29.7614370443408</v>
      </c>
      <c r="BC32" s="24" t="n">
        <v>29.8690694660336</v>
      </c>
      <c r="BD32" s="24" t="n">
        <v>29.9653172577188</v>
      </c>
      <c r="BE32" s="24" t="n">
        <v>30.0687213201767</v>
      </c>
      <c r="BF32" s="24" t="n">
        <v>30.1633232552921</v>
      </c>
      <c r="BG32" s="24" t="n">
        <v>30.2520837333326</v>
      </c>
      <c r="BH32" s="24" t="n">
        <v>30.3404227545758</v>
      </c>
      <c r="BI32" s="24" t="n">
        <v>30.4363275693</v>
      </c>
      <c r="BJ32" s="24" t="n">
        <v>30.5236854253039</v>
      </c>
      <c r="BK32" s="24" t="n">
        <v>30.6118135721311</v>
      </c>
      <c r="BL32" s="24" t="n">
        <v>30.6995421725527</v>
      </c>
      <c r="BM32" s="24" t="n">
        <v>30.7824976996131</v>
      </c>
      <c r="BN32" s="24" t="n">
        <v>30.8691722413397</v>
      </c>
      <c r="BO32" s="24" t="n">
        <v>30.9597595022726</v>
      </c>
      <c r="BP32" s="24" t="n">
        <v>31.0372249152755</v>
      </c>
      <c r="BQ32" s="24" t="n">
        <v>31.1155113689658</v>
      </c>
      <c r="BR32" s="24" t="n">
        <v>31.2024072212783</v>
      </c>
      <c r="BS32" s="24" t="n">
        <v>31.2809442423967</v>
      </c>
      <c r="BT32" s="24" t="n">
        <v>31.3596220773968</v>
      </c>
      <c r="BU32" s="24" t="n">
        <v>31.4423797472863</v>
      </c>
      <c r="BV32" s="24" t="n">
        <v>31.5263798189792</v>
      </c>
      <c r="BW32" s="24" t="n">
        <v>31.6035250078768</v>
      </c>
      <c r="BX32" s="24" t="n">
        <v>31.6739560737675</v>
      </c>
      <c r="BY32" s="24" t="n">
        <v>31.7580388955189</v>
      </c>
      <c r="BZ32" s="24" t="n">
        <v>31.8343266630266</v>
      </c>
      <c r="CA32" s="24" t="n">
        <v>31.9142491403908</v>
      </c>
      <c r="CB32" s="24" t="n">
        <v>31.9946474804407</v>
      </c>
      <c r="CC32" s="24" t="n">
        <v>32.0690227428335</v>
      </c>
      <c r="CD32" s="24" t="n">
        <v>32.1469458499568</v>
      </c>
      <c r="CE32" s="24" t="n">
        <v>32.2160027198589</v>
      </c>
      <c r="CF32" s="24" t="n">
        <v>32.2867520392272</v>
      </c>
      <c r="CG32" s="24" t="n">
        <v>32.358078219333</v>
      </c>
      <c r="CH32" s="24" t="n">
        <v>32.4269889925984</v>
      </c>
      <c r="CI32" s="24" t="n">
        <v>32.5012876803965</v>
      </c>
      <c r="CJ32" s="24" t="n">
        <v>32.5725134166493</v>
      </c>
      <c r="CK32" s="24" t="n">
        <v>32.6350047866093</v>
      </c>
      <c r="CL32" s="24" t="n">
        <v>32.6964236520732</v>
      </c>
      <c r="CM32" s="24" t="n">
        <v>32.7637415294643</v>
      </c>
      <c r="CN32" s="24" t="n">
        <v>32.8282731143954</v>
      </c>
      <c r="CO32" s="24" t="n">
        <v>32.896038261624</v>
      </c>
      <c r="CP32" s="24" t="n">
        <v>32.962933275369</v>
      </c>
      <c r="CQ32" s="24" t="n">
        <v>33.0296633082666</v>
      </c>
      <c r="CR32" s="24" t="n">
        <v>33.0997625474459</v>
      </c>
      <c r="CS32" s="24" t="n">
        <v>33.1286206947321</v>
      </c>
      <c r="CT32" s="24" t="n">
        <v>22.2451124401586</v>
      </c>
    </row>
    <row r="33" customFormat="false" ht="15" hidden="false" customHeight="false" outlineLevel="0" collapsed="false">
      <c r="A33" s="11" t="n">
        <v>140</v>
      </c>
      <c r="B33" s="24" t="n">
        <v>17.630268915557</v>
      </c>
      <c r="C33" s="24" t="n">
        <v>18.5548909752983</v>
      </c>
      <c r="D33" s="24" t="n">
        <v>19.3856123459285</v>
      </c>
      <c r="E33" s="24" t="n">
        <v>20.1027520740436</v>
      </c>
      <c r="F33" s="24" t="n">
        <v>20.6230846896541</v>
      </c>
      <c r="G33" s="24" t="n">
        <v>21.1698923749792</v>
      </c>
      <c r="H33" s="24" t="n">
        <v>21.6510121582848</v>
      </c>
      <c r="I33" s="24" t="n">
        <v>22.0601883515379</v>
      </c>
      <c r="J33" s="24" t="n">
        <v>22.4577836492795</v>
      </c>
      <c r="K33" s="24" t="n">
        <v>22.8004897106052</v>
      </c>
      <c r="L33" s="24" t="n">
        <v>23.1001395563426</v>
      </c>
      <c r="M33" s="24" t="n">
        <v>23.4050212146105</v>
      </c>
      <c r="N33" s="24" t="n">
        <v>23.6828317215227</v>
      </c>
      <c r="O33" s="24" t="n">
        <v>23.9693776479494</v>
      </c>
      <c r="P33" s="24" t="n">
        <v>24.2269960009454</v>
      </c>
      <c r="Q33" s="24" t="n">
        <v>24.4488532449248</v>
      </c>
      <c r="R33" s="24" t="n">
        <v>24.6753751999768</v>
      </c>
      <c r="S33" s="24" t="n">
        <v>24.9071948440599</v>
      </c>
      <c r="T33" s="24" t="n">
        <v>25.1332847979041</v>
      </c>
      <c r="U33" s="24" t="n">
        <v>25.3414315137259</v>
      </c>
      <c r="V33" s="24" t="n">
        <v>25.5410345516911</v>
      </c>
      <c r="W33" s="24" t="n">
        <v>25.7273166346147</v>
      </c>
      <c r="X33" s="24" t="n">
        <v>25.9297319429481</v>
      </c>
      <c r="Y33" s="24" t="n">
        <v>26.095283777194</v>
      </c>
      <c r="Z33" s="24" t="n">
        <v>26.2712023744244</v>
      </c>
      <c r="AA33" s="24" t="n">
        <v>26.4385248678157</v>
      </c>
      <c r="AB33" s="24" t="n">
        <v>26.5993400124766</v>
      </c>
      <c r="AC33" s="24" t="n">
        <v>26.7650408447222</v>
      </c>
      <c r="AD33" s="24" t="n">
        <v>26.9157730114707</v>
      </c>
      <c r="AE33" s="24" t="n">
        <v>27.0627650446605</v>
      </c>
      <c r="AF33" s="24" t="n">
        <v>27.2113089030499</v>
      </c>
      <c r="AG33" s="24" t="n">
        <v>27.3475557951671</v>
      </c>
      <c r="AH33" s="24" t="n">
        <v>27.5005372107652</v>
      </c>
      <c r="AI33" s="24" t="n">
        <v>27.6398202984567</v>
      </c>
      <c r="AJ33" s="24" t="n">
        <v>27.7861491091863</v>
      </c>
      <c r="AK33" s="24" t="n">
        <v>27.9080453868785</v>
      </c>
      <c r="AL33" s="24" t="n">
        <v>28.0309825317004</v>
      </c>
      <c r="AM33" s="24" t="n">
        <v>28.1646029903279</v>
      </c>
      <c r="AN33" s="24" t="n">
        <v>28.3069086026346</v>
      </c>
      <c r="AO33" s="24" t="n">
        <v>28.4244176175182</v>
      </c>
      <c r="AP33" s="24" t="n">
        <v>28.5415148586975</v>
      </c>
      <c r="AQ33" s="24" t="n">
        <v>28.6595433908108</v>
      </c>
      <c r="AR33" s="24" t="n">
        <v>28.7899827959517</v>
      </c>
      <c r="AS33" s="24" t="n">
        <v>28.9014444670155</v>
      </c>
      <c r="AT33" s="24" t="n">
        <v>29.0262231894101</v>
      </c>
      <c r="AU33" s="24" t="n">
        <v>29.1369929689187</v>
      </c>
      <c r="AV33" s="24" t="n">
        <v>29.2398484587557</v>
      </c>
      <c r="AW33" s="24" t="n">
        <v>29.3378902195977</v>
      </c>
      <c r="AX33" s="24" t="n">
        <v>29.445777987118</v>
      </c>
      <c r="AY33" s="24" t="n">
        <v>29.5476284761631</v>
      </c>
      <c r="AZ33" s="24" t="n">
        <v>29.6482822169766</v>
      </c>
      <c r="BA33" s="24" t="n">
        <v>29.7514281741675</v>
      </c>
      <c r="BB33" s="24" t="n">
        <v>29.8679982031812</v>
      </c>
      <c r="BC33" s="24" t="n">
        <v>29.9642630069462</v>
      </c>
      <c r="BD33" s="24" t="n">
        <v>30.0628216853786</v>
      </c>
      <c r="BE33" s="24" t="n">
        <v>30.1603537099577</v>
      </c>
      <c r="BF33" s="24" t="n">
        <v>30.2458165576365</v>
      </c>
      <c r="BG33" s="24" t="n">
        <v>30.3321324877397</v>
      </c>
      <c r="BH33" s="24" t="n">
        <v>30.4240347912851</v>
      </c>
      <c r="BI33" s="24" t="n">
        <v>30.5132663898775</v>
      </c>
      <c r="BJ33" s="24" t="n">
        <v>30.6046449502841</v>
      </c>
      <c r="BK33" s="24" t="n">
        <v>30.688586129427</v>
      </c>
      <c r="BL33" s="24" t="n">
        <v>30.7687768722439</v>
      </c>
      <c r="BM33" s="24" t="n">
        <v>30.8596246252648</v>
      </c>
      <c r="BN33" s="24" t="n">
        <v>30.9516381358323</v>
      </c>
      <c r="BO33" s="24" t="n">
        <v>31.0333221078003</v>
      </c>
      <c r="BP33" s="24" t="n">
        <v>31.1106474775034</v>
      </c>
      <c r="BQ33" s="24" t="n">
        <v>31.1997805951805</v>
      </c>
      <c r="BR33" s="24" t="n">
        <v>31.2768516381273</v>
      </c>
      <c r="BS33" s="24" t="n">
        <v>31.3579943362036</v>
      </c>
      <c r="BT33" s="24" t="n">
        <v>31.4374924438569</v>
      </c>
      <c r="BU33" s="24" t="n">
        <v>31.5207371301848</v>
      </c>
      <c r="BV33" s="24" t="n">
        <v>31.597763261107</v>
      </c>
      <c r="BW33" s="24" t="n">
        <v>31.6681593918046</v>
      </c>
      <c r="BX33" s="24" t="n">
        <v>31.7496870446429</v>
      </c>
      <c r="BY33" s="24" t="n">
        <v>31.8244627480344</v>
      </c>
      <c r="BZ33" s="24" t="n">
        <v>31.9049926656514</v>
      </c>
      <c r="CA33" s="24" t="n">
        <v>31.9823282999606</v>
      </c>
      <c r="CB33" s="24" t="n">
        <v>32.0577824543458</v>
      </c>
      <c r="CC33" s="24" t="n">
        <v>32.1370201011605</v>
      </c>
      <c r="CD33" s="24" t="n">
        <v>32.2088196040362</v>
      </c>
      <c r="CE33" s="24" t="n">
        <v>32.2826436607024</v>
      </c>
      <c r="CF33" s="24" t="n">
        <v>32.3566047421495</v>
      </c>
      <c r="CG33" s="24" t="n">
        <v>32.4267420509016</v>
      </c>
      <c r="CH33" s="24" t="n">
        <v>32.5034132610231</v>
      </c>
      <c r="CI33" s="24" t="n">
        <v>32.5741759463424</v>
      </c>
      <c r="CJ33" s="24" t="n">
        <v>32.6395207239431</v>
      </c>
      <c r="CK33" s="24" t="n">
        <v>32.7016745984033</v>
      </c>
      <c r="CL33" s="24" t="n">
        <v>32.7675032915223</v>
      </c>
      <c r="CM33" s="24" t="n">
        <v>32.8334168203061</v>
      </c>
      <c r="CN33" s="24" t="n">
        <v>32.9014673391215</v>
      </c>
      <c r="CO33" s="24" t="n">
        <v>32.9699993013814</v>
      </c>
      <c r="CP33" s="24" t="n">
        <v>33.039559454826</v>
      </c>
      <c r="CQ33" s="24" t="n">
        <v>33.1088477478928</v>
      </c>
      <c r="CR33" s="24" t="n">
        <v>33.1664308973645</v>
      </c>
      <c r="CS33" s="24" t="n">
        <v>33.1912944552613</v>
      </c>
      <c r="CT33" s="24" t="n">
        <v>22.4588959407726</v>
      </c>
    </row>
    <row r="34" customFormat="false" ht="15" hidden="false" customHeight="false" outlineLevel="0" collapsed="false">
      <c r="A34" s="11" t="n">
        <v>145</v>
      </c>
      <c r="B34" s="24" t="n">
        <v>17.9222280681476</v>
      </c>
      <c r="C34" s="24" t="n">
        <v>18.8422120176189</v>
      </c>
      <c r="D34" s="24" t="n">
        <v>19.6239925653209</v>
      </c>
      <c r="E34" s="24" t="n">
        <v>20.2998706389631</v>
      </c>
      <c r="F34" s="24" t="n">
        <v>20.8526940160724</v>
      </c>
      <c r="G34" s="24" t="n">
        <v>21.3771468509163</v>
      </c>
      <c r="H34" s="24" t="n">
        <v>21.8290227305812</v>
      </c>
      <c r="I34" s="24" t="n">
        <v>22.2532098464081</v>
      </c>
      <c r="J34" s="24" t="n">
        <v>22.6291818602094</v>
      </c>
      <c r="K34" s="24" t="n">
        <v>22.9754504394349</v>
      </c>
      <c r="L34" s="24" t="n">
        <v>23.2588183650735</v>
      </c>
      <c r="M34" s="24" t="n">
        <v>23.5555662480142</v>
      </c>
      <c r="N34" s="24" t="n">
        <v>23.8361292246836</v>
      </c>
      <c r="O34" s="24" t="n">
        <v>24.1163223324332</v>
      </c>
      <c r="P34" s="24" t="n">
        <v>24.3681501590863</v>
      </c>
      <c r="Q34" s="24" t="n">
        <v>24.6005490489459</v>
      </c>
      <c r="R34" s="24" t="n">
        <v>24.824205377443</v>
      </c>
      <c r="S34" s="24" t="n">
        <v>25.0637166836417</v>
      </c>
      <c r="T34" s="24" t="n">
        <v>25.2682793218007</v>
      </c>
      <c r="U34" s="24" t="n">
        <v>25.4754657643205</v>
      </c>
      <c r="V34" s="24" t="n">
        <v>25.6726755647455</v>
      </c>
      <c r="W34" s="24" t="n">
        <v>25.8539320175104</v>
      </c>
      <c r="X34" s="24" t="n">
        <v>26.0415204759721</v>
      </c>
      <c r="Y34" s="24" t="n">
        <v>26.2012951655683</v>
      </c>
      <c r="Z34" s="24" t="n">
        <v>26.3686318105538</v>
      </c>
      <c r="AA34" s="24" t="n">
        <v>26.5329351193125</v>
      </c>
      <c r="AB34" s="24" t="n">
        <v>26.700469697968</v>
      </c>
      <c r="AC34" s="24" t="n">
        <v>26.8702702075824</v>
      </c>
      <c r="AD34" s="24" t="n">
        <v>27.0156701080724</v>
      </c>
      <c r="AE34" s="24" t="n">
        <v>27.1695963550641</v>
      </c>
      <c r="AF34" s="24" t="n">
        <v>27.3085707074945</v>
      </c>
      <c r="AG34" s="24" t="n">
        <v>27.4578145651265</v>
      </c>
      <c r="AH34" s="24" t="n">
        <v>27.603548620513</v>
      </c>
      <c r="AI34" s="24" t="n">
        <v>27.7363850700205</v>
      </c>
      <c r="AJ34" s="24" t="n">
        <v>27.8791386443829</v>
      </c>
      <c r="AK34" s="24" t="n">
        <v>28.0057862165072</v>
      </c>
      <c r="AL34" s="24" t="n">
        <v>28.1364609998343</v>
      </c>
      <c r="AM34" s="24" t="n">
        <v>28.2698842326912</v>
      </c>
      <c r="AN34" s="24" t="n">
        <v>28.3904684014131</v>
      </c>
      <c r="AO34" s="24" t="n">
        <v>28.5106654463025</v>
      </c>
      <c r="AP34" s="24" t="n">
        <v>28.6349764855171</v>
      </c>
      <c r="AQ34" s="24" t="n">
        <v>28.7526627714232</v>
      </c>
      <c r="AR34" s="24" t="n">
        <v>28.8766975543577</v>
      </c>
      <c r="AS34" s="24" t="n">
        <v>28.9948274253765</v>
      </c>
      <c r="AT34" s="24" t="n">
        <v>29.1129858740374</v>
      </c>
      <c r="AU34" s="24" t="n">
        <v>29.2224892662196</v>
      </c>
      <c r="AV34" s="24" t="n">
        <v>29.3197887123498</v>
      </c>
      <c r="AW34" s="24" t="n">
        <v>29.4310486501474</v>
      </c>
      <c r="AX34" s="24" t="n">
        <v>29.5397055004761</v>
      </c>
      <c r="AY34" s="24" t="n">
        <v>29.6400499694642</v>
      </c>
      <c r="AZ34" s="24" t="n">
        <v>29.7405791111707</v>
      </c>
      <c r="BA34" s="24" t="n">
        <v>29.8533214694361</v>
      </c>
      <c r="BB34" s="24" t="n">
        <v>29.9516199507741</v>
      </c>
      <c r="BC34" s="24" t="n">
        <v>30.0463636980023</v>
      </c>
      <c r="BD34" s="24" t="n">
        <v>30.1464792636051</v>
      </c>
      <c r="BE34" s="24" t="n">
        <v>30.2351240094776</v>
      </c>
      <c r="BF34" s="24" t="n">
        <v>30.3195891324316</v>
      </c>
      <c r="BG34" s="24" t="n">
        <v>30.4088037780604</v>
      </c>
      <c r="BH34" s="24" t="n">
        <v>30.4945882456755</v>
      </c>
      <c r="BI34" s="24" t="n">
        <v>30.5947509560236</v>
      </c>
      <c r="BJ34" s="24" t="n">
        <v>30.6805265587268</v>
      </c>
      <c r="BK34" s="24" t="n">
        <v>30.7651654915028</v>
      </c>
      <c r="BL34" s="24" t="n">
        <v>30.8528975014455</v>
      </c>
      <c r="BM34" s="24" t="n">
        <v>30.9418437464202</v>
      </c>
      <c r="BN34" s="24" t="n">
        <v>31.0233170817547</v>
      </c>
      <c r="BO34" s="24" t="n">
        <v>31.097440442573</v>
      </c>
      <c r="BP34" s="24" t="n">
        <v>31.1810370846602</v>
      </c>
      <c r="BQ34" s="24" t="n">
        <v>31.2647305399522</v>
      </c>
      <c r="BR34" s="24" t="n">
        <v>31.3457022451684</v>
      </c>
      <c r="BS34" s="24" t="n">
        <v>31.4208199250249</v>
      </c>
      <c r="BT34" s="24" t="n">
        <v>31.5046249956661</v>
      </c>
      <c r="BU34" s="24" t="n">
        <v>31.5770517308808</v>
      </c>
      <c r="BV34" s="24" t="n">
        <v>31.6497554515301</v>
      </c>
      <c r="BW34" s="24" t="n">
        <v>31.7321090908173</v>
      </c>
      <c r="BX34" s="24" t="n">
        <v>31.8068496864176</v>
      </c>
      <c r="BY34" s="24" t="n">
        <v>31.8895204561114</v>
      </c>
      <c r="BZ34" s="24" t="n">
        <v>31.9706960525069</v>
      </c>
      <c r="CA34" s="24" t="n">
        <v>32.0480424278129</v>
      </c>
      <c r="CB34" s="24" t="n">
        <v>32.1301902695972</v>
      </c>
      <c r="CC34" s="24" t="n">
        <v>32.1995790727972</v>
      </c>
      <c r="CD34" s="24" t="n">
        <v>32.2716070046761</v>
      </c>
      <c r="CE34" s="24" t="n">
        <v>32.3469260734767</v>
      </c>
      <c r="CF34" s="24" t="n">
        <v>32.4111507916287</v>
      </c>
      <c r="CG34" s="24" t="n">
        <v>32.4944107120202</v>
      </c>
      <c r="CH34" s="24" t="n">
        <v>32.5610645580765</v>
      </c>
      <c r="CI34" s="24" t="n">
        <v>32.6269395817708</v>
      </c>
      <c r="CJ34" s="24" t="n">
        <v>32.6877356565375</v>
      </c>
      <c r="CK34" s="24" t="n">
        <v>32.7526575476612</v>
      </c>
      <c r="CL34" s="24" t="n">
        <v>32.8204634838207</v>
      </c>
      <c r="CM34" s="24" t="n">
        <v>32.8911648515023</v>
      </c>
      <c r="CN34" s="24" t="n">
        <v>32.9581271161926</v>
      </c>
      <c r="CO34" s="24" t="n">
        <v>33.0267715471504</v>
      </c>
      <c r="CP34" s="24" t="n">
        <v>33.098296312136</v>
      </c>
      <c r="CQ34" s="24" t="n">
        <v>33.1625141027567</v>
      </c>
      <c r="CR34" s="24" t="n">
        <v>33.216001177738</v>
      </c>
      <c r="CS34" s="24" t="n">
        <v>33.2407572335476</v>
      </c>
      <c r="CT34" s="24" t="n">
        <v>22.6328320455641</v>
      </c>
    </row>
    <row r="35" customFormat="false" ht="15" hidden="false" customHeight="false" outlineLevel="0" collapsed="false">
      <c r="A35" s="11" t="n">
        <v>150</v>
      </c>
      <c r="B35" s="24" t="n">
        <v>18.1405886234461</v>
      </c>
      <c r="C35" s="24" t="n">
        <v>19.0994518341664</v>
      </c>
      <c r="D35" s="24" t="n">
        <v>19.8463844649181</v>
      </c>
      <c r="E35" s="24" t="n">
        <v>20.476630221503</v>
      </c>
      <c r="F35" s="24" t="n">
        <v>21.0286208181812</v>
      </c>
      <c r="G35" s="24" t="n">
        <v>21.5236751711413</v>
      </c>
      <c r="H35" s="24" t="n">
        <v>21.9893175380912</v>
      </c>
      <c r="I35" s="24" t="n">
        <v>22.4058656009215</v>
      </c>
      <c r="J35" s="24" t="n">
        <v>22.7728393648167</v>
      </c>
      <c r="K35" s="24" t="n">
        <v>23.0966632843345</v>
      </c>
      <c r="L35" s="24" t="n">
        <v>23.4308510225451</v>
      </c>
      <c r="M35" s="24" t="n">
        <v>23.7090769114711</v>
      </c>
      <c r="N35" s="24" t="n">
        <v>23.9990729418571</v>
      </c>
      <c r="O35" s="24" t="n">
        <v>24.2538036377492</v>
      </c>
      <c r="P35" s="24" t="n">
        <v>24.4758936524353</v>
      </c>
      <c r="Q35" s="24" t="n">
        <v>24.7274780209864</v>
      </c>
      <c r="R35" s="24" t="n">
        <v>24.9615747048594</v>
      </c>
      <c r="S35" s="24" t="n">
        <v>25.172377332924</v>
      </c>
      <c r="T35" s="24" t="n">
        <v>25.3928411698238</v>
      </c>
      <c r="U35" s="24" t="n">
        <v>25.6093314464366</v>
      </c>
      <c r="V35" s="24" t="n">
        <v>25.7889465054864</v>
      </c>
      <c r="W35" s="24" t="n">
        <v>25.9819042649921</v>
      </c>
      <c r="X35" s="24" t="n">
        <v>26.1459865342632</v>
      </c>
      <c r="Y35" s="24" t="n">
        <v>26.3048059350546</v>
      </c>
      <c r="Z35" s="24" t="n">
        <v>26.473741161083</v>
      </c>
      <c r="AA35" s="24" t="n">
        <v>26.6410375314622</v>
      </c>
      <c r="AB35" s="24" t="n">
        <v>26.8093361339271</v>
      </c>
      <c r="AC35" s="24" t="n">
        <v>26.9613943074812</v>
      </c>
      <c r="AD35" s="24" t="n">
        <v>27.105616581607</v>
      </c>
      <c r="AE35" s="24" t="n">
        <v>27.2389170150007</v>
      </c>
      <c r="AF35" s="24" t="n">
        <v>27.3858386698474</v>
      </c>
      <c r="AG35" s="24" t="n">
        <v>27.5391397918278</v>
      </c>
      <c r="AH35" s="24" t="n">
        <v>27.6720586942279</v>
      </c>
      <c r="AI35" s="24" t="n">
        <v>27.8261157743469</v>
      </c>
      <c r="AJ35" s="24" t="n">
        <v>27.9565714435011</v>
      </c>
      <c r="AK35" s="24" t="n">
        <v>28.0854292120629</v>
      </c>
      <c r="AL35" s="24" t="n">
        <v>28.2210767740196</v>
      </c>
      <c r="AM35" s="24" t="n">
        <v>28.355814265317</v>
      </c>
      <c r="AN35" s="24" t="n">
        <v>28.4703928385241</v>
      </c>
      <c r="AO35" s="24" t="n">
        <v>28.5957345414662</v>
      </c>
      <c r="AP35" s="24" t="n">
        <v>28.7161248319834</v>
      </c>
      <c r="AQ35" s="24" t="n">
        <v>28.8435612315635</v>
      </c>
      <c r="AR35" s="24" t="n">
        <v>28.9665768011164</v>
      </c>
      <c r="AS35" s="24" t="n">
        <v>29.0754702494107</v>
      </c>
      <c r="AT35" s="24" t="n">
        <v>29.1854381154265</v>
      </c>
      <c r="AU35" s="24" t="n">
        <v>29.2899061262088</v>
      </c>
      <c r="AV35" s="24" t="n">
        <v>29.3933406125867</v>
      </c>
      <c r="AW35" s="24" t="n">
        <v>29.5040044191144</v>
      </c>
      <c r="AX35" s="24" t="n">
        <v>29.6082683410007</v>
      </c>
      <c r="AY35" s="24" t="n">
        <v>29.7068122878812</v>
      </c>
      <c r="AZ35" s="24" t="n">
        <v>29.8180738278973</v>
      </c>
      <c r="BA35" s="24" t="n">
        <v>29.9249332339923</v>
      </c>
      <c r="BB35" s="24" t="n">
        <v>30.0229129218386</v>
      </c>
      <c r="BC35" s="24" t="n">
        <v>30.1299942226831</v>
      </c>
      <c r="BD35" s="24" t="n">
        <v>30.2169607772619</v>
      </c>
      <c r="BE35" s="24" t="n">
        <v>30.3060777107437</v>
      </c>
      <c r="BF35" s="24" t="n">
        <v>30.3948498685179</v>
      </c>
      <c r="BG35" s="24" t="n">
        <v>30.4834313049478</v>
      </c>
      <c r="BH35" s="24" t="n">
        <v>30.5811913520484</v>
      </c>
      <c r="BI35" s="24" t="n">
        <v>30.6615124522603</v>
      </c>
      <c r="BJ35" s="24" t="n">
        <v>30.7475864373851</v>
      </c>
      <c r="BK35" s="24" t="n">
        <v>30.8347533862282</v>
      </c>
      <c r="BL35" s="24" t="n">
        <v>30.9214860851965</v>
      </c>
      <c r="BM35" s="24" t="n">
        <v>31.006538483826</v>
      </c>
      <c r="BN35" s="24" t="n">
        <v>31.0813255329331</v>
      </c>
      <c r="BO35" s="24" t="n">
        <v>31.1593815962256</v>
      </c>
      <c r="BP35" s="24" t="n">
        <v>31.2480973672973</v>
      </c>
      <c r="BQ35" s="24" t="n">
        <v>31.3310916815487</v>
      </c>
      <c r="BR35" s="24" t="n">
        <v>31.4059376001922</v>
      </c>
      <c r="BS35" s="24" t="n">
        <v>31.4886146387066</v>
      </c>
      <c r="BT35" s="24" t="n">
        <v>31.5686850465094</v>
      </c>
      <c r="BU35" s="24" t="n">
        <v>31.6376243695435</v>
      </c>
      <c r="BV35" s="24" t="n">
        <v>31.7130249167595</v>
      </c>
      <c r="BW35" s="24" t="n">
        <v>31.794794407963</v>
      </c>
      <c r="BX35" s="24" t="n">
        <v>31.8734069326019</v>
      </c>
      <c r="BY35" s="24" t="n">
        <v>31.9552010712192</v>
      </c>
      <c r="BZ35" s="24" t="n">
        <v>32.0311612936976</v>
      </c>
      <c r="CA35" s="24" t="n">
        <v>32.1081147721896</v>
      </c>
      <c r="CB35" s="24" t="n">
        <v>32.1827955465171</v>
      </c>
      <c r="CC35" s="24" t="n">
        <v>32.2529609413649</v>
      </c>
      <c r="CD35" s="24" t="n">
        <v>32.3235263267615</v>
      </c>
      <c r="CE35" s="24" t="n">
        <v>32.3896401600678</v>
      </c>
      <c r="CF35" s="24" t="n">
        <v>32.4696361597687</v>
      </c>
      <c r="CG35" s="24" t="n">
        <v>32.5401556209782</v>
      </c>
      <c r="CH35" s="24" t="n">
        <v>32.6074898817512</v>
      </c>
      <c r="CI35" s="24" t="n">
        <v>32.6709728436563</v>
      </c>
      <c r="CJ35" s="24" t="n">
        <v>32.7370890105398</v>
      </c>
      <c r="CK35" s="24" t="n">
        <v>32.8053019058329</v>
      </c>
      <c r="CL35" s="24" t="n">
        <v>32.8796508084254</v>
      </c>
      <c r="CM35" s="24" t="n">
        <v>32.9436861277401</v>
      </c>
      <c r="CN35" s="24" t="n">
        <v>33.0102665201695</v>
      </c>
      <c r="CO35" s="24" t="n">
        <v>33.0798753410465</v>
      </c>
      <c r="CP35" s="24" t="n">
        <v>33.1491930647446</v>
      </c>
      <c r="CQ35" s="24" t="n">
        <v>33.2031543252065</v>
      </c>
      <c r="CR35" s="24" t="n">
        <v>33.2657062952981</v>
      </c>
      <c r="CS35" s="24" t="n">
        <v>33.2950780216475</v>
      </c>
      <c r="CT35" s="24" t="n">
        <v>22.7750857950692</v>
      </c>
    </row>
    <row r="36" customFormat="false" ht="15" hidden="false" customHeight="false" outlineLevel="0" collapsed="false">
      <c r="A36" s="11" t="n">
        <v>155</v>
      </c>
      <c r="B36" s="24" t="n">
        <v>18.3223068654076</v>
      </c>
      <c r="C36" s="24" t="n">
        <v>19.3375539922371</v>
      </c>
      <c r="D36" s="24" t="n">
        <v>20.0599463653009</v>
      </c>
      <c r="E36" s="24" t="n">
        <v>20.639316366571</v>
      </c>
      <c r="F36" s="24" t="n">
        <v>21.2094676566813</v>
      </c>
      <c r="G36" s="24" t="n">
        <v>21.6907525320246</v>
      </c>
      <c r="H36" s="24" t="n">
        <v>22.1508741319759</v>
      </c>
      <c r="I36" s="24" t="n">
        <v>22.5454505454205</v>
      </c>
      <c r="J36" s="24" t="n">
        <v>22.911429219129</v>
      </c>
      <c r="K36" s="24" t="n">
        <v>23.2028227700968</v>
      </c>
      <c r="L36" s="24" t="n">
        <v>23.530395468028</v>
      </c>
      <c r="M36" s="24" t="n">
        <v>23.8154314529578</v>
      </c>
      <c r="N36" s="24" t="n">
        <v>24.1164959797527</v>
      </c>
      <c r="O36" s="24" t="n">
        <v>24.3731682078713</v>
      </c>
      <c r="P36" s="24" t="n">
        <v>24.6142175714568</v>
      </c>
      <c r="Q36" s="24" t="n">
        <v>24.8363092371664</v>
      </c>
      <c r="R36" s="24" t="n">
        <v>25.0782839613217</v>
      </c>
      <c r="S36" s="24" t="n">
        <v>25.2929898838844</v>
      </c>
      <c r="T36" s="24" t="n">
        <v>25.5040246534926</v>
      </c>
      <c r="U36" s="24" t="n">
        <v>25.7043556368439</v>
      </c>
      <c r="V36" s="24" t="n">
        <v>25.899631039259</v>
      </c>
      <c r="W36" s="24" t="n">
        <v>26.0748073656022</v>
      </c>
      <c r="X36" s="24" t="n">
        <v>26.2372919423965</v>
      </c>
      <c r="Y36" s="24" t="n">
        <v>26.4157085054914</v>
      </c>
      <c r="Z36" s="24" t="n">
        <v>26.5821671416169</v>
      </c>
      <c r="AA36" s="24" t="n">
        <v>26.7377887620696</v>
      </c>
      <c r="AB36" s="24" t="n">
        <v>26.8985933602328</v>
      </c>
      <c r="AC36" s="24" t="n">
        <v>27.0460331524994</v>
      </c>
      <c r="AD36" s="24" t="n">
        <v>27.1913445006329</v>
      </c>
      <c r="AE36" s="24" t="n">
        <v>27.3332283156625</v>
      </c>
      <c r="AF36" s="24" t="n">
        <v>27.4919374642895</v>
      </c>
      <c r="AG36" s="24" t="n">
        <v>27.6251972903503</v>
      </c>
      <c r="AH36" s="24" t="n">
        <v>27.768972556013</v>
      </c>
      <c r="AI36" s="24" t="n">
        <v>27.8982549735707</v>
      </c>
      <c r="AJ36" s="24" t="n">
        <v>28.0258638915461</v>
      </c>
      <c r="AK36" s="24" t="n">
        <v>28.1474213809067</v>
      </c>
      <c r="AL36" s="24" t="n">
        <v>28.2942431641956</v>
      </c>
      <c r="AM36" s="24" t="n">
        <v>28.416338316592</v>
      </c>
      <c r="AN36" s="24" t="n">
        <v>28.5335812761779</v>
      </c>
      <c r="AO36" s="24" t="n">
        <v>28.6568097338567</v>
      </c>
      <c r="AP36" s="24" t="n">
        <v>28.7962821570165</v>
      </c>
      <c r="AQ36" s="24" t="n">
        <v>28.914148271343</v>
      </c>
      <c r="AR36" s="24" t="n">
        <v>29.0300719845502</v>
      </c>
      <c r="AS36" s="24" t="n">
        <v>29.1500379964479</v>
      </c>
      <c r="AT36" s="24" t="n">
        <v>29.2532774987163</v>
      </c>
      <c r="AU36" s="24" t="n">
        <v>29.3563159481707</v>
      </c>
      <c r="AV36" s="24" t="n">
        <v>29.4674902410194</v>
      </c>
      <c r="AW36" s="24" t="n">
        <v>29.5778344488698</v>
      </c>
      <c r="AX36" s="24" t="n">
        <v>29.6730966006434</v>
      </c>
      <c r="AY36" s="24" t="n">
        <v>29.7855567017437</v>
      </c>
      <c r="AZ36" s="24" t="n">
        <v>29.892507806038</v>
      </c>
      <c r="BA36" s="24" t="n">
        <v>29.9868862191536</v>
      </c>
      <c r="BB36" s="24" t="n">
        <v>30.0917966565831</v>
      </c>
      <c r="BC36" s="24" t="n">
        <v>30.1865136894315</v>
      </c>
      <c r="BD36" s="24" t="n">
        <v>30.2763509588455</v>
      </c>
      <c r="BE36" s="24" t="n">
        <v>30.3646685654887</v>
      </c>
      <c r="BF36" s="24" t="n">
        <v>30.4540841680191</v>
      </c>
      <c r="BG36" s="24" t="n">
        <v>30.5460380410268</v>
      </c>
      <c r="BH36" s="24" t="n">
        <v>30.6320983654281</v>
      </c>
      <c r="BI36" s="24" t="n">
        <v>30.7188001236609</v>
      </c>
      <c r="BJ36" s="24" t="n">
        <v>30.8012758052989</v>
      </c>
      <c r="BK36" s="24" t="n">
        <v>30.8984864639137</v>
      </c>
      <c r="BL36" s="24" t="n">
        <v>30.9837847696511</v>
      </c>
      <c r="BM36" s="24" t="n">
        <v>31.0635346346569</v>
      </c>
      <c r="BN36" s="24" t="n">
        <v>31.1457880166981</v>
      </c>
      <c r="BO36" s="24" t="n">
        <v>31.2314938813963</v>
      </c>
      <c r="BP36" s="24" t="n">
        <v>31.309329004615</v>
      </c>
      <c r="BQ36" s="24" t="n">
        <v>31.3862764527424</v>
      </c>
      <c r="BR36" s="24" t="n">
        <v>31.4703654930022</v>
      </c>
      <c r="BS36" s="24" t="n">
        <v>31.5497520644216</v>
      </c>
      <c r="BT36" s="24" t="n">
        <v>31.6200605620363</v>
      </c>
      <c r="BU36" s="24" t="n">
        <v>31.6944653143829</v>
      </c>
      <c r="BV36" s="24" t="n">
        <v>31.7749590582341</v>
      </c>
      <c r="BW36" s="24" t="n">
        <v>31.8493816091612</v>
      </c>
      <c r="BX36" s="24" t="n">
        <v>31.9303397260258</v>
      </c>
      <c r="BY36" s="24" t="n">
        <v>32.0075006219775</v>
      </c>
      <c r="BZ36" s="24" t="n">
        <v>32.0827048996508</v>
      </c>
      <c r="CA36" s="24" t="n">
        <v>32.1607157164811</v>
      </c>
      <c r="CB36" s="24" t="n">
        <v>32.2315914754656</v>
      </c>
      <c r="CC36" s="24" t="n">
        <v>32.3043962921287</v>
      </c>
      <c r="CD36" s="24" t="n">
        <v>32.3764226353037</v>
      </c>
      <c r="CE36" s="24" t="n">
        <v>32.4503764757619</v>
      </c>
      <c r="CF36" s="24" t="n">
        <v>32.5248137101393</v>
      </c>
      <c r="CG36" s="24" t="n">
        <v>32.5927172338899</v>
      </c>
      <c r="CH36" s="24" t="n">
        <v>32.6578442815648</v>
      </c>
      <c r="CI36" s="24" t="n">
        <v>32.7210143617484</v>
      </c>
      <c r="CJ36" s="24" t="n">
        <v>32.7850092475869</v>
      </c>
      <c r="CK36" s="24" t="n">
        <v>32.8552117055218</v>
      </c>
      <c r="CL36" s="24" t="n">
        <v>32.9206963889237</v>
      </c>
      <c r="CM36" s="24" t="n">
        <v>32.9866414665877</v>
      </c>
      <c r="CN36" s="24" t="n">
        <v>33.0554019422389</v>
      </c>
      <c r="CO36" s="24" t="n">
        <v>33.1312782120409</v>
      </c>
      <c r="CP36" s="24" t="n">
        <v>33.1860105448376</v>
      </c>
      <c r="CQ36" s="24" t="n">
        <v>33.2399004993844</v>
      </c>
      <c r="CR36" s="24" t="n">
        <v>33.3103855082087</v>
      </c>
      <c r="CS36" s="24" t="n">
        <v>33.3389239305904</v>
      </c>
      <c r="CT36" s="24" t="n">
        <v>22.9147749704228</v>
      </c>
    </row>
    <row r="37" customFormat="false" ht="15" hidden="false" customHeight="false" outlineLevel="0" collapsed="false">
      <c r="A37" s="11" t="n">
        <v>160</v>
      </c>
      <c r="B37" s="24" t="n">
        <v>18.5548909752983</v>
      </c>
      <c r="C37" s="24" t="n">
        <v>19.4842984634491</v>
      </c>
      <c r="D37" s="24" t="n">
        <v>20.250808338135</v>
      </c>
      <c r="E37" s="24" t="n">
        <v>20.7840337058836</v>
      </c>
      <c r="F37" s="24" t="n">
        <v>21.3699409068276</v>
      </c>
      <c r="G37" s="24" t="n">
        <v>21.8340668487212</v>
      </c>
      <c r="H37" s="24" t="n">
        <v>22.2640445595696</v>
      </c>
      <c r="I37" s="24" t="n">
        <v>22.6609724884381</v>
      </c>
      <c r="J37" s="24" t="n">
        <v>23.0047615549238</v>
      </c>
      <c r="K37" s="24" t="n">
        <v>23.3302532035242</v>
      </c>
      <c r="L37" s="24" t="n">
        <v>23.6307093415297</v>
      </c>
      <c r="M37" s="24" t="n">
        <v>23.9242539494147</v>
      </c>
      <c r="N37" s="24" t="n">
        <v>24.2137866251422</v>
      </c>
      <c r="O37" s="24" t="n">
        <v>24.4591227247069</v>
      </c>
      <c r="P37" s="24" t="n">
        <v>24.6978319399072</v>
      </c>
      <c r="Q37" s="24" t="n">
        <v>24.9553566566791</v>
      </c>
      <c r="R37" s="24" t="n">
        <v>25.1734458414453</v>
      </c>
      <c r="S37" s="24" t="n">
        <v>25.3928411698238</v>
      </c>
      <c r="T37" s="24" t="n">
        <v>25.6036791697437</v>
      </c>
      <c r="U37" s="24" t="n">
        <v>25.7908820697783</v>
      </c>
      <c r="V37" s="24" t="n">
        <v>25.9902941725198</v>
      </c>
      <c r="W37" s="24" t="n">
        <v>26.158713118252</v>
      </c>
      <c r="X37" s="24" t="n">
        <v>26.3230956805089</v>
      </c>
      <c r="Y37" s="24" t="n">
        <v>26.5026383547818</v>
      </c>
      <c r="Z37" s="24" t="n">
        <v>26.6687171962337</v>
      </c>
      <c r="AA37" s="24" t="n">
        <v>26.8326702332305</v>
      </c>
      <c r="AB37" s="24" t="n">
        <v>26.9807220791846</v>
      </c>
      <c r="AC37" s="24" t="n">
        <v>27.1292858047176</v>
      </c>
      <c r="AD37" s="24" t="n">
        <v>27.2731811386605</v>
      </c>
      <c r="AE37" s="24" t="n">
        <v>27.4240447866692</v>
      </c>
      <c r="AF37" s="24" t="n">
        <v>27.5675884350672</v>
      </c>
      <c r="AG37" s="24" t="n">
        <v>27.70080547533</v>
      </c>
      <c r="AH37" s="24" t="n">
        <v>27.8442335031034</v>
      </c>
      <c r="AI37" s="24" t="n">
        <v>27.9695510215325</v>
      </c>
      <c r="AJ37" s="24" t="n">
        <v>28.1011394545084</v>
      </c>
      <c r="AK37" s="24" t="n">
        <v>28.2416592400477</v>
      </c>
      <c r="AL37" s="24" t="n">
        <v>28.3660037517207</v>
      </c>
      <c r="AM37" s="24" t="n">
        <v>28.489932493469</v>
      </c>
      <c r="AN37" s="24" t="n">
        <v>28.6109383615603</v>
      </c>
      <c r="AO37" s="24" t="n">
        <v>28.7335386718906</v>
      </c>
      <c r="AP37" s="24" t="n">
        <v>28.8590083386403</v>
      </c>
      <c r="AQ37" s="24" t="n">
        <v>28.9747877056665</v>
      </c>
      <c r="AR37" s="24" t="n">
        <v>29.0865101427313</v>
      </c>
      <c r="AS37" s="24" t="n">
        <v>29.2027322439605</v>
      </c>
      <c r="AT37" s="24" t="n">
        <v>29.3029230525379</v>
      </c>
      <c r="AU37" s="24" t="n">
        <v>29.4115307216444</v>
      </c>
      <c r="AV37" s="24" t="n">
        <v>29.5206000674996</v>
      </c>
      <c r="AW37" s="24" t="n">
        <v>29.6316590535657</v>
      </c>
      <c r="AX37" s="24" t="n">
        <v>29.7331599849556</v>
      </c>
      <c r="AY37" s="24" t="n">
        <v>29.8458456691823</v>
      </c>
      <c r="AZ37" s="24" t="n">
        <v>29.94844495903</v>
      </c>
      <c r="BA37" s="24" t="n">
        <v>30.0471537958533</v>
      </c>
      <c r="BB37" s="24" t="n">
        <v>30.1469264609703</v>
      </c>
      <c r="BC37" s="24" t="n">
        <v>30.2382190044104</v>
      </c>
      <c r="BD37" s="24" t="n">
        <v>30.3293690068599</v>
      </c>
      <c r="BE37" s="24" t="n">
        <v>30.4234002471279</v>
      </c>
      <c r="BF37" s="24" t="n">
        <v>30.507046885523</v>
      </c>
      <c r="BG37" s="24" t="n">
        <v>30.602733115589</v>
      </c>
      <c r="BH37" s="24" t="n">
        <v>30.6886257555593</v>
      </c>
      <c r="BI37" s="24" t="n">
        <v>30.7706531095749</v>
      </c>
      <c r="BJ37" s="24" t="n">
        <v>30.860959732436</v>
      </c>
      <c r="BK37" s="24" t="n">
        <v>30.9525712599467</v>
      </c>
      <c r="BL37" s="24" t="n">
        <v>31.0340293520241</v>
      </c>
      <c r="BM37" s="24" t="n">
        <v>31.1134511781688</v>
      </c>
      <c r="BN37" s="24" t="n">
        <v>31.1986359817286</v>
      </c>
      <c r="BO37" s="24" t="n">
        <v>31.2732674723833</v>
      </c>
      <c r="BP37" s="24" t="n">
        <v>31.3549896330959</v>
      </c>
      <c r="BQ37" s="24" t="n">
        <v>31.4349216248413</v>
      </c>
      <c r="BR37" s="24" t="n">
        <v>31.5180033880174</v>
      </c>
      <c r="BS37" s="24" t="n">
        <v>31.5946645426894</v>
      </c>
      <c r="BT37" s="24" t="n">
        <v>31.667900490757</v>
      </c>
      <c r="BU37" s="24" t="n">
        <v>31.7496870446429</v>
      </c>
      <c r="BV37" s="24" t="n">
        <v>31.8260869325938</v>
      </c>
      <c r="BW37" s="24" t="n">
        <v>31.908071312711</v>
      </c>
      <c r="BX37" s="24" t="n">
        <v>31.9889507384255</v>
      </c>
      <c r="BY37" s="24" t="n">
        <v>32.0618916063984</v>
      </c>
      <c r="BZ37" s="24" t="n">
        <v>32.1382638127395</v>
      </c>
      <c r="CA37" s="24" t="n">
        <v>32.2103953546879</v>
      </c>
      <c r="CB37" s="24" t="n">
        <v>32.2834510516607</v>
      </c>
      <c r="CC37" s="24" t="n">
        <v>32.3567957313475</v>
      </c>
      <c r="CD37" s="24" t="n">
        <v>32.4272088046482</v>
      </c>
      <c r="CE37" s="24" t="n">
        <v>32.5006741626856</v>
      </c>
      <c r="CF37" s="24" t="n">
        <v>32.5717863291089</v>
      </c>
      <c r="CG37" s="24" t="n">
        <v>32.6353037584192</v>
      </c>
      <c r="CH37" s="24" t="n">
        <v>32.6962243332779</v>
      </c>
      <c r="CI37" s="24" t="n">
        <v>32.762526893619</v>
      </c>
      <c r="CJ37" s="24" t="n">
        <v>32.8277843463007</v>
      </c>
      <c r="CK37" s="24" t="n">
        <v>32.8963955182735</v>
      </c>
      <c r="CL37" s="24" t="n">
        <v>32.9647444920069</v>
      </c>
      <c r="CM37" s="24" t="n">
        <v>33.0368132788068</v>
      </c>
      <c r="CN37" s="24" t="n">
        <v>33.107530782494</v>
      </c>
      <c r="CO37" s="24" t="n">
        <v>33.1664308973645</v>
      </c>
      <c r="CP37" s="24" t="n">
        <v>33.2215674370821</v>
      </c>
      <c r="CQ37" s="24" t="n">
        <v>33.2905660849703</v>
      </c>
      <c r="CR37" s="24" t="n">
        <v>33.3596838035065</v>
      </c>
      <c r="CS37" s="24" t="n">
        <v>33.3837422684837</v>
      </c>
      <c r="CT37" s="24" t="n">
        <v>23.0056174444153</v>
      </c>
    </row>
    <row r="38" customFormat="false" ht="15" hidden="false" customHeight="false" outlineLevel="0" collapsed="false">
      <c r="A38" s="11" t="n">
        <v>165</v>
      </c>
      <c r="B38" s="24" t="n">
        <v>18.7310881989962</v>
      </c>
      <c r="C38" s="24" t="n">
        <v>19.6223020677373</v>
      </c>
      <c r="D38" s="24" t="n">
        <v>20.3525784148268</v>
      </c>
      <c r="E38" s="24" t="n">
        <v>20.9525023078217</v>
      </c>
      <c r="F38" s="24" t="n">
        <v>21.4741924741255</v>
      </c>
      <c r="G38" s="24" t="n">
        <v>21.943014680731</v>
      </c>
      <c r="H38" s="24" t="n">
        <v>22.38706822649</v>
      </c>
      <c r="I38" s="24" t="n">
        <v>22.7474941374404</v>
      </c>
      <c r="J38" s="24" t="n">
        <v>23.092757845436</v>
      </c>
      <c r="K38" s="24" t="n">
        <v>23.4345981815677</v>
      </c>
      <c r="L38" s="24" t="n">
        <v>23.7145192135924</v>
      </c>
      <c r="M38" s="24" t="n">
        <v>24.0179938294408</v>
      </c>
      <c r="N38" s="24" t="n">
        <v>24.2997712040765</v>
      </c>
      <c r="O38" s="24" t="n">
        <v>24.5425767346306</v>
      </c>
      <c r="P38" s="24" t="n">
        <v>24.7807478338883</v>
      </c>
      <c r="Q38" s="24" t="n">
        <v>25.0369457201913</v>
      </c>
      <c r="R38" s="24" t="n">
        <v>25.2529748937406</v>
      </c>
      <c r="S38" s="24" t="n">
        <v>25.4743875454122</v>
      </c>
      <c r="T38" s="24" t="n">
        <v>25.6842552262207</v>
      </c>
      <c r="U38" s="24" t="n">
        <v>25.8868873558614</v>
      </c>
      <c r="V38" s="24" t="n">
        <v>26.0641453698043</v>
      </c>
      <c r="W38" s="24" t="n">
        <v>26.2287407359393</v>
      </c>
      <c r="X38" s="24" t="n">
        <v>26.4075804606314</v>
      </c>
      <c r="Y38" s="24" t="n">
        <v>26.5675636562086</v>
      </c>
      <c r="Z38" s="24" t="n">
        <v>26.7333703445877</v>
      </c>
      <c r="AA38" s="24" t="n">
        <v>26.8985933602328</v>
      </c>
      <c r="AB38" s="24" t="n">
        <v>27.0466437898593</v>
      </c>
      <c r="AC38" s="24" t="n">
        <v>27.196576266522</v>
      </c>
      <c r="AD38" s="24" t="n">
        <v>27.3449580130056</v>
      </c>
      <c r="AE38" s="24" t="n">
        <v>27.502573807347</v>
      </c>
      <c r="AF38" s="24" t="n">
        <v>27.6382843309975</v>
      </c>
      <c r="AG38" s="24" t="n">
        <v>27.7786587105745</v>
      </c>
      <c r="AH38" s="24" t="n">
        <v>27.9111772100627</v>
      </c>
      <c r="AI38" s="24" t="n">
        <v>28.0394149949071</v>
      </c>
      <c r="AJ38" s="24" t="n">
        <v>28.172233279191</v>
      </c>
      <c r="AK38" s="24" t="n">
        <v>28.3158805794142</v>
      </c>
      <c r="AL38" s="24" t="n">
        <v>28.435189093241</v>
      </c>
      <c r="AM38" s="24" t="n">
        <v>28.5512806756989</v>
      </c>
      <c r="AN38" s="24" t="n">
        <v>28.6669830879476</v>
      </c>
      <c r="AO38" s="24" t="n">
        <v>28.8073115149639</v>
      </c>
      <c r="AP38" s="24" t="n">
        <v>28.9235876069475</v>
      </c>
      <c r="AQ38" s="24" t="n">
        <v>29.0412228710154</v>
      </c>
      <c r="AR38" s="24" t="n">
        <v>29.1568821334854</v>
      </c>
      <c r="AS38" s="24" t="n">
        <v>29.2643234546892</v>
      </c>
      <c r="AT38" s="24" t="n">
        <v>29.3640311537247</v>
      </c>
      <c r="AU38" s="24" t="n">
        <v>29.4782808846926</v>
      </c>
      <c r="AV38" s="24" t="n">
        <v>29.5848047523867</v>
      </c>
      <c r="AW38" s="24" t="n">
        <v>29.6785364794948</v>
      </c>
      <c r="AX38" s="24" t="n">
        <v>29.7877890900111</v>
      </c>
      <c r="AY38" s="24" t="n">
        <v>29.8969441974903</v>
      </c>
      <c r="AZ38" s="24" t="n">
        <v>29.9937296577248</v>
      </c>
      <c r="BA38" s="24" t="n">
        <v>30.0941509946252</v>
      </c>
      <c r="BB38" s="24" t="n">
        <v>30.1903313784202</v>
      </c>
      <c r="BC38" s="24" t="n">
        <v>30.2786007417039</v>
      </c>
      <c r="BD38" s="24" t="n">
        <v>30.3687479225277</v>
      </c>
      <c r="BE38" s="24" t="n">
        <v>30.4638534994546</v>
      </c>
      <c r="BF38" s="24" t="n">
        <v>30.5549311022451</v>
      </c>
      <c r="BG38" s="24" t="n">
        <v>30.6427223293825</v>
      </c>
      <c r="BH38" s="24" t="n">
        <v>30.7315381449083</v>
      </c>
      <c r="BI38" s="24" t="n">
        <v>30.8146766315635</v>
      </c>
      <c r="BJ38" s="24" t="n">
        <v>30.9072901799977</v>
      </c>
      <c r="BK38" s="24" t="n">
        <v>30.9944961286303</v>
      </c>
      <c r="BL38" s="24" t="n">
        <v>31.0718648325342</v>
      </c>
      <c r="BM38" s="24" t="n">
        <v>31.1530150859276</v>
      </c>
      <c r="BN38" s="24" t="n">
        <v>31.2427568490665</v>
      </c>
      <c r="BO38" s="24" t="n">
        <v>31.3234100613438</v>
      </c>
      <c r="BP38" s="24" t="n">
        <v>31.3994394765656</v>
      </c>
      <c r="BQ38" s="24" t="n">
        <v>31.4829286646015</v>
      </c>
      <c r="BR38" s="24" t="n">
        <v>31.5613452693469</v>
      </c>
      <c r="BS38" s="24" t="n">
        <v>31.6334786823257</v>
      </c>
      <c r="BT38" s="24" t="n">
        <v>31.7092609649185</v>
      </c>
      <c r="BU38" s="24" t="n">
        <v>31.7928410342331</v>
      </c>
      <c r="BV38" s="24" t="n">
        <v>31.871819475523</v>
      </c>
      <c r="BW38" s="24" t="n">
        <v>31.9551673255847</v>
      </c>
      <c r="BX38" s="24" t="n">
        <v>32.0292754455779</v>
      </c>
      <c r="BY38" s="24" t="n">
        <v>32.1081147721896</v>
      </c>
      <c r="BZ38" s="24" t="n">
        <v>32.181984794712</v>
      </c>
      <c r="CA38" s="24" t="n">
        <v>32.2527058439648</v>
      </c>
      <c r="CB38" s="24" t="n">
        <v>32.3227531174083</v>
      </c>
      <c r="CC38" s="24" t="n">
        <v>32.3906887998494</v>
      </c>
      <c r="CD38" s="24" t="n">
        <v>32.4742109463561</v>
      </c>
      <c r="CE38" s="24" t="n">
        <v>32.5450203204659</v>
      </c>
      <c r="CF38" s="24" t="n">
        <v>32.6126221754728</v>
      </c>
      <c r="CG38" s="24" t="n">
        <v>32.674863564619</v>
      </c>
      <c r="CH38" s="24" t="n">
        <v>32.7401955220599</v>
      </c>
      <c r="CI38" s="24" t="n">
        <v>32.8070231444153</v>
      </c>
      <c r="CJ38" s="24" t="n">
        <v>32.8803879775277</v>
      </c>
      <c r="CK38" s="24" t="n">
        <v>32.9426071606951</v>
      </c>
      <c r="CL38" s="24" t="n">
        <v>33.0118669184595</v>
      </c>
      <c r="CM38" s="24" t="n">
        <v>33.0800195188691</v>
      </c>
      <c r="CN38" s="24" t="n">
        <v>33.1478507228363</v>
      </c>
      <c r="CO38" s="24" t="n">
        <v>33.2020080763442</v>
      </c>
      <c r="CP38" s="24" t="n">
        <v>33.26403871414</v>
      </c>
      <c r="CQ38" s="24" t="n">
        <v>33.3333300743016</v>
      </c>
      <c r="CR38" s="24" t="n">
        <v>33.3990300415907</v>
      </c>
      <c r="CS38" s="24" t="n">
        <v>33.4259337215914</v>
      </c>
      <c r="CT38" s="24" t="n">
        <v>23.0961406862629</v>
      </c>
    </row>
    <row r="39" customFormat="false" ht="15" hidden="false" customHeight="false" outlineLevel="0" collapsed="false">
      <c r="A39" s="11" t="n">
        <v>170</v>
      </c>
      <c r="B39" s="24" t="n">
        <v>18.8685387200382</v>
      </c>
      <c r="C39" s="24" t="n">
        <v>19.7590195478862</v>
      </c>
      <c r="D39" s="24" t="n">
        <v>20.4635157306289</v>
      </c>
      <c r="E39" s="24" t="n">
        <v>21.0796973455943</v>
      </c>
      <c r="F39" s="24" t="n">
        <v>21.6195742760968</v>
      </c>
      <c r="G39" s="24" t="n">
        <v>22.0832525385655</v>
      </c>
      <c r="H39" s="24" t="n">
        <v>22.4943923813924</v>
      </c>
      <c r="I39" s="24" t="n">
        <v>22.8806142414249</v>
      </c>
      <c r="J39" s="24" t="n">
        <v>23.1772717451562</v>
      </c>
      <c r="K39" s="24" t="n">
        <v>23.5110183202908</v>
      </c>
      <c r="L39" s="24" t="n">
        <v>23.794401545653</v>
      </c>
      <c r="M39" s="24" t="n">
        <v>24.0943079889215</v>
      </c>
      <c r="N39" s="24" t="n">
        <v>24.3671494375797</v>
      </c>
      <c r="O39" s="24" t="n">
        <v>24.6115318832972</v>
      </c>
      <c r="P39" s="24" t="n">
        <v>24.8494593565569</v>
      </c>
      <c r="Q39" s="24" t="n">
        <v>25.1008494509351</v>
      </c>
      <c r="R39" s="24" t="n">
        <v>25.3296945542935</v>
      </c>
      <c r="S39" s="24" t="n">
        <v>25.5486360118978</v>
      </c>
      <c r="T39" s="24" t="n">
        <v>25.7380986673949</v>
      </c>
      <c r="U39" s="24" t="n">
        <v>25.9511766452176</v>
      </c>
      <c r="V39" s="24" t="n">
        <v>26.1270273723571</v>
      </c>
      <c r="W39" s="24" t="n">
        <v>26.2862297231226</v>
      </c>
      <c r="X39" s="24" t="n">
        <v>26.4656376802843</v>
      </c>
      <c r="Y39" s="24" t="n">
        <v>26.6369007412876</v>
      </c>
      <c r="Z39" s="24" t="n">
        <v>26.8083000453687</v>
      </c>
      <c r="AA39" s="24" t="n">
        <v>26.9561301690014</v>
      </c>
      <c r="AB39" s="24" t="n">
        <v>27.1103070347562</v>
      </c>
      <c r="AC39" s="24" t="n">
        <v>27.2532970940121</v>
      </c>
      <c r="AD39" s="24" t="n">
        <v>27.405648623511</v>
      </c>
      <c r="AE39" s="24" t="n">
        <v>27.5555037371243</v>
      </c>
      <c r="AF39" s="24" t="n">
        <v>27.6882070093124</v>
      </c>
      <c r="AG39" s="24" t="n">
        <v>27.8370224169818</v>
      </c>
      <c r="AH39" s="24" t="n">
        <v>27.9616537744013</v>
      </c>
      <c r="AI39" s="24" t="n">
        <v>28.0966237228178</v>
      </c>
      <c r="AJ39" s="24" t="n">
        <v>28.2467778707495</v>
      </c>
      <c r="AK39" s="24" t="n">
        <v>28.3675637126195</v>
      </c>
      <c r="AL39" s="24" t="n">
        <v>28.4896745864951</v>
      </c>
      <c r="AM39" s="24" t="n">
        <v>28.6140384538142</v>
      </c>
      <c r="AN39" s="24" t="n">
        <v>28.7382601131719</v>
      </c>
      <c r="AO39" s="24" t="n">
        <v>28.8654327080367</v>
      </c>
      <c r="AP39" s="24" t="n">
        <v>28.9842804014288</v>
      </c>
      <c r="AQ39" s="24" t="n">
        <v>29.1014903420758</v>
      </c>
      <c r="AR39" s="24" t="n">
        <v>29.209514135589</v>
      </c>
      <c r="AS39" s="24" t="n">
        <v>29.3081028608775</v>
      </c>
      <c r="AT39" s="24" t="n">
        <v>29.4176970037435</v>
      </c>
      <c r="AU39" s="24" t="n">
        <v>29.5264409474049</v>
      </c>
      <c r="AV39" s="24" t="n">
        <v>29.6312198173785</v>
      </c>
      <c r="AW39" s="24" t="n">
        <v>29.7331599849556</v>
      </c>
      <c r="AX39" s="24" t="n">
        <v>29.8474631424025</v>
      </c>
      <c r="AY39" s="24" t="n">
        <v>29.9524071652822</v>
      </c>
      <c r="AZ39" s="24" t="n">
        <v>30.0510647118322</v>
      </c>
      <c r="BA39" s="24" t="n">
        <v>30.1522600657922</v>
      </c>
      <c r="BB39" s="24" t="n">
        <v>30.2384396228053</v>
      </c>
      <c r="BC39" s="24" t="n">
        <v>30.327377382957</v>
      </c>
      <c r="BD39" s="24" t="n">
        <v>30.4200140949069</v>
      </c>
      <c r="BE39" s="24" t="n">
        <v>30.5068642379573</v>
      </c>
      <c r="BF39" s="24" t="n">
        <v>30.6002978126937</v>
      </c>
      <c r="BG39" s="24" t="n">
        <v>30.6835765263271</v>
      </c>
      <c r="BH39" s="24" t="n">
        <v>30.7679219754815</v>
      </c>
      <c r="BI39" s="24" t="n">
        <v>30.8577858175319</v>
      </c>
      <c r="BJ39" s="24" t="n">
        <v>30.9505415913161</v>
      </c>
      <c r="BK39" s="24" t="n">
        <v>31.0274065189137</v>
      </c>
      <c r="BL39" s="24" t="n">
        <v>31.1048093163395</v>
      </c>
      <c r="BM39" s="24" t="n">
        <v>31.1945926803821</v>
      </c>
      <c r="BN39" s="24" t="n">
        <v>31.2752456097376</v>
      </c>
      <c r="BO39" s="24" t="n">
        <v>31.3554615766133</v>
      </c>
      <c r="BP39" s="24" t="n">
        <v>31.4347628418912</v>
      </c>
      <c r="BQ39" s="24" t="n">
        <v>31.5199323339952</v>
      </c>
      <c r="BR39" s="24" t="n">
        <v>31.5959184263571</v>
      </c>
      <c r="BS39" s="24" t="n">
        <v>31.6681593918046</v>
      </c>
      <c r="BT39" s="24" t="n">
        <v>31.7499246401377</v>
      </c>
      <c r="BU39" s="24" t="n">
        <v>31.827528113506</v>
      </c>
      <c r="BV39" s="24" t="n">
        <v>31.9093975269234</v>
      </c>
      <c r="BW39" s="24" t="n">
        <v>31.9916454152604</v>
      </c>
      <c r="BX39" s="24" t="n">
        <v>32.066817222821</v>
      </c>
      <c r="BY39" s="24" t="n">
        <v>32.1456959658175</v>
      </c>
      <c r="BZ39" s="24" t="n">
        <v>32.2161951344007</v>
      </c>
      <c r="CA39" s="24" t="n">
        <v>32.2876655785038</v>
      </c>
      <c r="CB39" s="24" t="n">
        <v>32.3627534453438</v>
      </c>
      <c r="CC39" s="24" t="n">
        <v>32.4341614270529</v>
      </c>
      <c r="CD39" s="24" t="n">
        <v>32.5090786874104</v>
      </c>
      <c r="CE39" s="24" t="n">
        <v>32.5801455302227</v>
      </c>
      <c r="CF39" s="24" t="n">
        <v>32.6449446706638</v>
      </c>
      <c r="CG39" s="24" t="n">
        <v>32.7097582645223</v>
      </c>
      <c r="CH39" s="24" t="n">
        <v>32.7750250752162</v>
      </c>
      <c r="CI39" s="24" t="n">
        <v>32.8430199303106</v>
      </c>
      <c r="CJ39" s="24" t="n">
        <v>32.9100453484688</v>
      </c>
      <c r="CK39" s="24" t="n">
        <v>32.9764100584193</v>
      </c>
      <c r="CL39" s="24" t="n">
        <v>33.0466150733754</v>
      </c>
      <c r="CM39" s="24" t="n">
        <v>33.1206301927596</v>
      </c>
      <c r="CN39" s="24" t="n">
        <v>33.1756460499826</v>
      </c>
      <c r="CO39" s="24" t="n">
        <v>33.2293808930091</v>
      </c>
      <c r="CP39" s="24" t="n">
        <v>33.298751619437</v>
      </c>
      <c r="CQ39" s="24" t="n">
        <v>33.3677934580473</v>
      </c>
      <c r="CR39" s="24" t="n">
        <v>33.4391166019365</v>
      </c>
      <c r="CS39" s="24" t="n">
        <v>33.4664520280746</v>
      </c>
      <c r="CT39" s="24" t="n">
        <v>23.1802830792982</v>
      </c>
    </row>
    <row r="40" customFormat="false" ht="15" hidden="false" customHeight="false" outlineLevel="0" collapsed="false">
      <c r="A40" s="11" t="n">
        <v>175</v>
      </c>
      <c r="B40" s="24" t="n">
        <v>19.031600546638</v>
      </c>
      <c r="C40" s="24" t="n">
        <v>19.8976837774003</v>
      </c>
      <c r="D40" s="24" t="n">
        <v>20.5638161448572</v>
      </c>
      <c r="E40" s="24" t="n">
        <v>21.1720503212984</v>
      </c>
      <c r="F40" s="24" t="n">
        <v>21.6872421023661</v>
      </c>
      <c r="G40" s="24" t="n">
        <v>22.1898120463836</v>
      </c>
      <c r="H40" s="24" t="n">
        <v>22.5851410077613</v>
      </c>
      <c r="I40" s="24" t="n">
        <v>22.9527954539656</v>
      </c>
      <c r="J40" s="24" t="n">
        <v>23.2792118754024</v>
      </c>
      <c r="K40" s="24" t="n">
        <v>23.5813419594302</v>
      </c>
      <c r="L40" s="24" t="n">
        <v>23.8869620473443</v>
      </c>
      <c r="M40" s="24" t="n">
        <v>24.1718616987096</v>
      </c>
      <c r="N40" s="24" t="n">
        <v>24.4268652729514</v>
      </c>
      <c r="O40" s="24" t="n">
        <v>24.6782845327065</v>
      </c>
      <c r="P40" s="24" t="n">
        <v>24.9246684120496</v>
      </c>
      <c r="Q40" s="24" t="n">
        <v>25.1616193729121</v>
      </c>
      <c r="R40" s="24" t="n">
        <v>25.3807371945496</v>
      </c>
      <c r="S40" s="24" t="n">
        <v>25.6010040589719</v>
      </c>
      <c r="T40" s="24" t="n">
        <v>25.7923584751659</v>
      </c>
      <c r="U40" s="24" t="n">
        <v>25.9931228309844</v>
      </c>
      <c r="V40" s="24" t="n">
        <v>26.1717230513703</v>
      </c>
      <c r="W40" s="24" t="n">
        <v>26.3480046198283</v>
      </c>
      <c r="X40" s="24" t="n">
        <v>26.5133129068819</v>
      </c>
      <c r="Y40" s="24" t="n">
        <v>26.6943199182082</v>
      </c>
      <c r="Z40" s="24" t="n">
        <v>26.869927561733</v>
      </c>
      <c r="AA40" s="24" t="n">
        <v>27.0152873594862</v>
      </c>
      <c r="AB40" s="24" t="n">
        <v>27.1618603060271</v>
      </c>
      <c r="AC40" s="24" t="n">
        <v>27.3055952662988</v>
      </c>
      <c r="AD40" s="24" t="n">
        <v>27.4607095104634</v>
      </c>
      <c r="AE40" s="24" t="n">
        <v>27.6071656365631</v>
      </c>
      <c r="AF40" s="24" t="n">
        <v>27.7379675111953</v>
      </c>
      <c r="AG40" s="24" t="n">
        <v>27.8872547119136</v>
      </c>
      <c r="AH40" s="24" t="n">
        <v>28.0159563331381</v>
      </c>
      <c r="AI40" s="24" t="n">
        <v>28.1459035993832</v>
      </c>
      <c r="AJ40" s="24" t="n">
        <v>28.2936281922854</v>
      </c>
      <c r="AK40" s="24" t="n">
        <v>28.4134304332555</v>
      </c>
      <c r="AL40" s="24" t="n">
        <v>28.5331439607455</v>
      </c>
      <c r="AM40" s="24" t="n">
        <v>28.6524117722692</v>
      </c>
      <c r="AN40" s="24" t="n">
        <v>28.785514791692</v>
      </c>
      <c r="AO40" s="24" t="n">
        <v>28.9061853321457</v>
      </c>
      <c r="AP40" s="24" t="n">
        <v>29.0321272626321</v>
      </c>
      <c r="AQ40" s="24" t="n">
        <v>29.1525033202873</v>
      </c>
      <c r="AR40" s="24" t="n">
        <v>29.255328886718</v>
      </c>
      <c r="AS40" s="24" t="n">
        <v>29.3544073239073</v>
      </c>
      <c r="AT40" s="24" t="n">
        <v>29.4683364903876</v>
      </c>
      <c r="AU40" s="24" t="n">
        <v>29.5782378076849</v>
      </c>
      <c r="AV40" s="24" t="n">
        <v>29.6762059383013</v>
      </c>
      <c r="AW40" s="24" t="n">
        <v>29.7890326433334</v>
      </c>
      <c r="AX40" s="24" t="n">
        <v>29.8987239425332</v>
      </c>
      <c r="AY40" s="24" t="n">
        <v>29.9923473054469</v>
      </c>
      <c r="AZ40" s="24" t="n">
        <v>30.0954623298009</v>
      </c>
      <c r="BA40" s="24" t="n">
        <v>30.1881705256025</v>
      </c>
      <c r="BB40" s="24" t="n">
        <v>30.2752186033328</v>
      </c>
      <c r="BC40" s="24" t="n">
        <v>30.3662699245414</v>
      </c>
      <c r="BD40" s="24" t="n">
        <v>30.4600478675904</v>
      </c>
      <c r="BE40" s="24" t="n">
        <v>30.5479946842198</v>
      </c>
      <c r="BF40" s="24" t="n">
        <v>30.6368263646978</v>
      </c>
      <c r="BG40" s="24" t="n">
        <v>30.7249477880566</v>
      </c>
      <c r="BH40" s="24" t="n">
        <v>30.8065657298856</v>
      </c>
      <c r="BI40" s="24" t="n">
        <v>30.9049645340263</v>
      </c>
      <c r="BJ40" s="24" t="n">
        <v>30.9905901749085</v>
      </c>
      <c r="BK40" s="24" t="n">
        <v>31.069425251744</v>
      </c>
      <c r="BL40" s="24" t="n">
        <v>31.1498021867269</v>
      </c>
      <c r="BM40" s="24" t="n">
        <v>31.2377279756064</v>
      </c>
      <c r="BN40" s="24" t="n">
        <v>31.3163762740016</v>
      </c>
      <c r="BO40" s="24" t="n">
        <v>31.3905687189036</v>
      </c>
      <c r="BP40" s="24" t="n">
        <v>31.4734707742651</v>
      </c>
      <c r="BQ40" s="24" t="n">
        <v>31.5554797227031</v>
      </c>
      <c r="BR40" s="24" t="n">
        <v>31.6266136293636</v>
      </c>
      <c r="BS40" s="24" t="n">
        <v>31.7032727569428</v>
      </c>
      <c r="BT40" s="24" t="n">
        <v>31.7858925878002</v>
      </c>
      <c r="BU40" s="24" t="n">
        <v>31.8646455782351</v>
      </c>
      <c r="BV40" s="24" t="n">
        <v>31.9450247643688</v>
      </c>
      <c r="BW40" s="24" t="n">
        <v>32.0213558117847</v>
      </c>
      <c r="BX40" s="24" t="n">
        <v>32.1031594918192</v>
      </c>
      <c r="BY40" s="24" t="n">
        <v>32.1754046177531</v>
      </c>
      <c r="BZ40" s="24" t="n">
        <v>32.24771047545</v>
      </c>
      <c r="CA40" s="24" t="n">
        <v>32.3195366916235</v>
      </c>
      <c r="CB40" s="24" t="n">
        <v>32.3893218785822</v>
      </c>
      <c r="CC40" s="24" t="n">
        <v>32.4687727265158</v>
      </c>
      <c r="CD40" s="24" t="n">
        <v>32.5394783388059</v>
      </c>
      <c r="CE40" s="24" t="n">
        <v>32.6070285452194</v>
      </c>
      <c r="CF40" s="24" t="n">
        <v>32.6702159447663</v>
      </c>
      <c r="CG40" s="24" t="n">
        <v>32.7373164894079</v>
      </c>
      <c r="CH40" s="24" t="n">
        <v>32.8052583901221</v>
      </c>
      <c r="CI40" s="24" t="n">
        <v>32.8775241633916</v>
      </c>
      <c r="CJ40" s="24" t="n">
        <v>32.9426071606951</v>
      </c>
      <c r="CK40" s="24" t="n">
        <v>33.0114920345858</v>
      </c>
      <c r="CL40" s="24" t="n">
        <v>33.0800195188691</v>
      </c>
      <c r="CM40" s="24" t="n">
        <v>33.1491930647446</v>
      </c>
      <c r="CN40" s="24" t="n">
        <v>33.2028885438631</v>
      </c>
      <c r="CO40" s="24" t="n">
        <v>33.2656401566319</v>
      </c>
      <c r="CP40" s="24" t="n">
        <v>33.336989878251</v>
      </c>
      <c r="CQ40" s="24" t="n">
        <v>33.4044110818805</v>
      </c>
      <c r="CR40" s="24" t="n">
        <v>33.4730261302408</v>
      </c>
      <c r="CS40" s="24" t="n">
        <v>33.4991337966854</v>
      </c>
      <c r="CT40" s="24" t="n">
        <v>23.2809092033006</v>
      </c>
    </row>
    <row r="41" customFormat="false" ht="15" hidden="false" customHeight="false" outlineLevel="0" collapsed="false">
      <c r="A41" s="11" t="n">
        <v>180</v>
      </c>
      <c r="B41" s="24" t="n">
        <v>19.1373372836715</v>
      </c>
      <c r="C41" s="24" t="n">
        <v>20.00031036204</v>
      </c>
      <c r="D41" s="24" t="n">
        <v>20.6370485422812</v>
      </c>
      <c r="E41" s="24" t="n">
        <v>21.2535640075884</v>
      </c>
      <c r="F41" s="24" t="n">
        <v>21.7557482436084</v>
      </c>
      <c r="G41" s="24" t="n">
        <v>22.2361128061768</v>
      </c>
      <c r="H41" s="24" t="n">
        <v>22.6427629941877</v>
      </c>
      <c r="I41" s="24" t="n">
        <v>23.0181968526762</v>
      </c>
      <c r="J41" s="24" t="n">
        <v>23.3579379579189</v>
      </c>
      <c r="K41" s="24" t="n">
        <v>23.6515596864658</v>
      </c>
      <c r="L41" s="24" t="n">
        <v>23.9601006908575</v>
      </c>
      <c r="M41" s="24" t="n">
        <v>24.2377800916134</v>
      </c>
      <c r="N41" s="24" t="n">
        <v>24.4918798253689</v>
      </c>
      <c r="O41" s="24" t="n">
        <v>24.7492676639939</v>
      </c>
      <c r="P41" s="24" t="n">
        <v>24.9874671694967</v>
      </c>
      <c r="Q41" s="24" t="n">
        <v>25.2094803878195</v>
      </c>
      <c r="R41" s="24" t="n">
        <v>25.4426475960455</v>
      </c>
      <c r="S41" s="24" t="n">
        <v>25.6507852230679</v>
      </c>
      <c r="T41" s="24" t="n">
        <v>25.8531794197522</v>
      </c>
      <c r="U41" s="24" t="n">
        <v>26.0446145387263</v>
      </c>
      <c r="V41" s="24" t="n">
        <v>26.2149618686202</v>
      </c>
      <c r="W41" s="24" t="n">
        <v>26.3894569832687</v>
      </c>
      <c r="X41" s="24" t="n">
        <v>26.5664422884467</v>
      </c>
      <c r="Y41" s="24" t="n">
        <v>26.7290104148464</v>
      </c>
      <c r="Z41" s="24" t="n">
        <v>26.9033960178441</v>
      </c>
      <c r="AA41" s="24" t="n">
        <v>27.0526782875039</v>
      </c>
      <c r="AB41" s="24" t="n">
        <v>27.2024222234567</v>
      </c>
      <c r="AC41" s="24" t="n">
        <v>27.3464316507015</v>
      </c>
      <c r="AD41" s="24" t="n">
        <v>27.5035335326873</v>
      </c>
      <c r="AE41" s="24" t="n">
        <v>27.6445347334901</v>
      </c>
      <c r="AF41" s="24" t="n">
        <v>27.7956490387798</v>
      </c>
      <c r="AG41" s="24" t="n">
        <v>27.9274822750429</v>
      </c>
      <c r="AH41" s="24" t="n">
        <v>28.0605761167491</v>
      </c>
      <c r="AI41" s="24" t="n">
        <v>28.1927976152994</v>
      </c>
      <c r="AJ41" s="24" t="n">
        <v>28.3357380350882</v>
      </c>
      <c r="AK41" s="24" t="n">
        <v>28.4578066351088</v>
      </c>
      <c r="AL41" s="24" t="n">
        <v>28.5746794432916</v>
      </c>
      <c r="AM41" s="24" t="n">
        <v>28.7017887744003</v>
      </c>
      <c r="AN41" s="24" t="n">
        <v>28.8351571207453</v>
      </c>
      <c r="AO41" s="24" t="n">
        <v>28.9565616987662</v>
      </c>
      <c r="AP41" s="24" t="n">
        <v>29.0680355037341</v>
      </c>
      <c r="AQ41" s="24" t="n">
        <v>29.184192490132</v>
      </c>
      <c r="AR41" s="24" t="n">
        <v>29.2879245962873</v>
      </c>
      <c r="AS41" s="24" t="n">
        <v>29.3886161334604</v>
      </c>
      <c r="AT41" s="24" t="n">
        <v>29.5026030154539</v>
      </c>
      <c r="AU41" s="24" t="n">
        <v>29.6104253511993</v>
      </c>
      <c r="AV41" s="24" t="n">
        <v>29.714166703275</v>
      </c>
      <c r="AW41" s="24" t="n">
        <v>29.8298555303338</v>
      </c>
      <c r="AX41" s="24" t="n">
        <v>29.9366723888515</v>
      </c>
      <c r="AY41" s="24" t="n">
        <v>30.0340204762283</v>
      </c>
      <c r="AZ41" s="24" t="n">
        <v>30.137848062565</v>
      </c>
      <c r="BA41" s="24" t="n">
        <v>30.225919404696</v>
      </c>
      <c r="BB41" s="24" t="n">
        <v>30.3165360540378</v>
      </c>
      <c r="BC41" s="24" t="n">
        <v>30.4068713939297</v>
      </c>
      <c r="BD41" s="24" t="n">
        <v>30.4938337812298</v>
      </c>
      <c r="BE41" s="24" t="n">
        <v>30.5915094283179</v>
      </c>
      <c r="BF41" s="24" t="n">
        <v>30.6739929222541</v>
      </c>
      <c r="BG41" s="24" t="n">
        <v>30.7606118530955</v>
      </c>
      <c r="BH41" s="24" t="n">
        <v>30.8497724303161</v>
      </c>
      <c r="BI41" s="24" t="n">
        <v>30.9417504027434</v>
      </c>
      <c r="BJ41" s="24" t="n">
        <v>31.0210389347915</v>
      </c>
      <c r="BK41" s="24" t="n">
        <v>31.0964367977092</v>
      </c>
      <c r="BL41" s="24" t="n">
        <v>31.1811327262584</v>
      </c>
      <c r="BM41" s="24" t="n">
        <v>31.2655600881134</v>
      </c>
      <c r="BN41" s="24" t="n">
        <v>31.3461345032666</v>
      </c>
      <c r="BO41" s="24" t="n">
        <v>31.4227058681782</v>
      </c>
      <c r="BP41" s="24" t="n">
        <v>31.5088566267562</v>
      </c>
      <c r="BQ41" s="24" t="n">
        <v>31.5883138967659</v>
      </c>
      <c r="BR41" s="24" t="n">
        <v>31.6603515244465</v>
      </c>
      <c r="BS41" s="24" t="n">
        <v>31.7437209595344</v>
      </c>
      <c r="BT41" s="24" t="n">
        <v>31.8193948386253</v>
      </c>
      <c r="BU41" s="24" t="n">
        <v>31.9034176365134</v>
      </c>
      <c r="BV41" s="24" t="n">
        <v>31.9822721543031</v>
      </c>
      <c r="BW41" s="24" t="n">
        <v>32.0532808208771</v>
      </c>
      <c r="BX41" s="24" t="n">
        <v>32.1341210536167</v>
      </c>
      <c r="BY41" s="24" t="n">
        <v>32.2042045550095</v>
      </c>
      <c r="BZ41" s="24" t="n">
        <v>32.2762792278259</v>
      </c>
      <c r="CA41" s="24" t="n">
        <v>32.3523220814677</v>
      </c>
      <c r="CB41" s="24" t="n">
        <v>32.4231764394107</v>
      </c>
      <c r="CC41" s="24" t="n">
        <v>32.4978392450334</v>
      </c>
      <c r="CD41" s="24" t="n">
        <v>32.5694413928516</v>
      </c>
      <c r="CE41" s="24" t="n">
        <v>32.6349534254041</v>
      </c>
      <c r="CF41" s="24" t="n">
        <v>32.6959981141585</v>
      </c>
      <c r="CG41" s="24" t="n">
        <v>32.7648618235644</v>
      </c>
      <c r="CH41" s="24" t="n">
        <v>32.8308551047713</v>
      </c>
      <c r="CI41" s="24" t="n">
        <v>32.9010053678439</v>
      </c>
      <c r="CJ41" s="24" t="n">
        <v>32.9683557188836</v>
      </c>
      <c r="CK41" s="24" t="n">
        <v>33.0369604450005</v>
      </c>
      <c r="CL41" s="24" t="n">
        <v>33.1085370176107</v>
      </c>
      <c r="CM41" s="24" t="n">
        <v>33.1685718212424</v>
      </c>
      <c r="CN41" s="24" t="n">
        <v>33.2228262252835</v>
      </c>
      <c r="CO41" s="24" t="n">
        <v>33.2922679318183</v>
      </c>
      <c r="CP41" s="24" t="n">
        <v>33.3609234024233</v>
      </c>
      <c r="CQ41" s="24" t="n">
        <v>33.4285479476888</v>
      </c>
      <c r="CR41" s="24" t="n">
        <v>33.4971788778048</v>
      </c>
      <c r="CS41" s="24" t="n">
        <v>33.5248113299352</v>
      </c>
      <c r="CT41" s="24" t="n">
        <v>23.365950941456</v>
      </c>
    </row>
    <row r="42" customFormat="false" ht="15" hidden="false" customHeight="false" outlineLevel="0" collapsed="false">
      <c r="A42" s="11" t="n">
        <v>185</v>
      </c>
      <c r="B42" s="24" t="n">
        <v>19.21635469724</v>
      </c>
      <c r="C42" s="24" t="n">
        <v>20.1061970078011</v>
      </c>
      <c r="D42" s="24" t="n">
        <v>20.7026949232823</v>
      </c>
      <c r="E42" s="24" t="n">
        <v>21.334816208528</v>
      </c>
      <c r="F42" s="24" t="n">
        <v>21.8350143148768</v>
      </c>
      <c r="G42" s="24" t="n">
        <v>22.2830017245884</v>
      </c>
      <c r="H42" s="24" t="n">
        <v>22.6968301252613</v>
      </c>
      <c r="I42" s="24" t="n">
        <v>23.0537233287389</v>
      </c>
      <c r="J42" s="24" t="n">
        <v>23.4038449980966</v>
      </c>
      <c r="K42" s="24" t="n">
        <v>23.7093556283937</v>
      </c>
      <c r="L42" s="24" t="n">
        <v>24.0200458996848</v>
      </c>
      <c r="M42" s="24" t="n">
        <v>24.3043268913648</v>
      </c>
      <c r="N42" s="24" t="n">
        <v>24.547281444803</v>
      </c>
      <c r="O42" s="24" t="n">
        <v>24.7973197055193</v>
      </c>
      <c r="P42" s="24" t="n">
        <v>25.0425511675918</v>
      </c>
      <c r="Q42" s="24" t="n">
        <v>25.2690356375441</v>
      </c>
      <c r="R42" s="24" t="n">
        <v>25.4929159279641</v>
      </c>
      <c r="S42" s="24" t="n">
        <v>25.6943630926301</v>
      </c>
      <c r="T42" s="24" t="n">
        <v>25.9041489473375</v>
      </c>
      <c r="U42" s="24" t="n">
        <v>26.0840932834389</v>
      </c>
      <c r="V42" s="24" t="n">
        <v>26.260384017968</v>
      </c>
      <c r="W42" s="24" t="n">
        <v>26.4306879956538</v>
      </c>
      <c r="X42" s="24" t="n">
        <v>26.60280869497</v>
      </c>
      <c r="Y42" s="24" t="n">
        <v>26.7768633409742</v>
      </c>
      <c r="Z42" s="24" t="n">
        <v>26.9355810159855</v>
      </c>
      <c r="AA42" s="24" t="n">
        <v>27.090167294244</v>
      </c>
      <c r="AB42" s="24" t="n">
        <v>27.2371385801706</v>
      </c>
      <c r="AC42" s="24" t="n">
        <v>27.3952140406724</v>
      </c>
      <c r="AD42" s="24" t="n">
        <v>27.5449215973811</v>
      </c>
      <c r="AE42" s="24" t="n">
        <v>27.6761800160453</v>
      </c>
      <c r="AF42" s="24" t="n">
        <v>27.8306036176325</v>
      </c>
      <c r="AG42" s="24" t="n">
        <v>27.9603951531658</v>
      </c>
      <c r="AH42" s="24" t="n">
        <v>28.0918763083328</v>
      </c>
      <c r="AI42" s="24" t="n">
        <v>28.2383423963272</v>
      </c>
      <c r="AJ42" s="24" t="n">
        <v>28.3649436888647</v>
      </c>
      <c r="AK42" s="24" t="n">
        <v>28.4922777985507</v>
      </c>
      <c r="AL42" s="24" t="n">
        <v>28.6180529404777</v>
      </c>
      <c r="AM42" s="24" t="n">
        <v>28.7470527610957</v>
      </c>
      <c r="AN42" s="24" t="n">
        <v>28.8723539269594</v>
      </c>
      <c r="AO42" s="24" t="n">
        <v>28.9948274253765</v>
      </c>
      <c r="AP42" s="24" t="n">
        <v>29.1119683913233</v>
      </c>
      <c r="AQ42" s="24" t="n">
        <v>29.2224892662196</v>
      </c>
      <c r="AR42" s="24" t="n">
        <v>29.3199858518386</v>
      </c>
      <c r="AS42" s="24" t="n">
        <v>29.430348253212</v>
      </c>
      <c r="AT42" s="24" t="n">
        <v>29.5405028629005</v>
      </c>
      <c r="AU42" s="24" t="n">
        <v>29.6482822169766</v>
      </c>
      <c r="AV42" s="24" t="n">
        <v>29.7460280171748</v>
      </c>
      <c r="AW42" s="24" t="n">
        <v>29.866055062336</v>
      </c>
      <c r="AX42" s="24" t="n">
        <v>29.9653172577188</v>
      </c>
      <c r="AY42" s="24" t="n">
        <v>30.0678224030328</v>
      </c>
      <c r="AZ42" s="24" t="n">
        <v>30.1644203760318</v>
      </c>
      <c r="BA42" s="24" t="n">
        <v>30.25225684569</v>
      </c>
      <c r="BB42" s="24" t="n">
        <v>30.3436366155796</v>
      </c>
      <c r="BC42" s="24" t="n">
        <v>30.437601252074</v>
      </c>
      <c r="BD42" s="24" t="n">
        <v>30.5256798131376</v>
      </c>
      <c r="BE42" s="24" t="n">
        <v>30.620010597523</v>
      </c>
      <c r="BF42" s="24" t="n">
        <v>30.7052902065159</v>
      </c>
      <c r="BG42" s="24" t="n">
        <v>30.7887694118866</v>
      </c>
      <c r="BH42" s="24" t="n">
        <v>30.8829291375386</v>
      </c>
      <c r="BI42" s="24" t="n">
        <v>30.9704915438222</v>
      </c>
      <c r="BJ42" s="24" t="n">
        <v>31.0474471037144</v>
      </c>
      <c r="BK42" s="24" t="n">
        <v>31.1303391761423</v>
      </c>
      <c r="BL42" s="24" t="n">
        <v>31.2238079712429</v>
      </c>
      <c r="BM42" s="24" t="n">
        <v>31.2958348295363</v>
      </c>
      <c r="BN42" s="24" t="n">
        <v>31.3753511468362</v>
      </c>
      <c r="BO42" s="24" t="n">
        <v>31.4547879962715</v>
      </c>
      <c r="BP42" s="24" t="n">
        <v>31.5392550151025</v>
      </c>
      <c r="BQ42" s="24" t="n">
        <v>31.6137442875058</v>
      </c>
      <c r="BR42" s="24" t="n">
        <v>31.687804262041</v>
      </c>
      <c r="BS42" s="24" t="n">
        <v>31.7717413292832</v>
      </c>
      <c r="BT42" s="24" t="n">
        <v>31.8455687664763</v>
      </c>
      <c r="BU42" s="24" t="n">
        <v>31.9308249314849</v>
      </c>
      <c r="BV42" s="24" t="n">
        <v>32.0073342609108</v>
      </c>
      <c r="BW42" s="24" t="n">
        <v>32.0825081133995</v>
      </c>
      <c r="BX42" s="24" t="n">
        <v>32.1581575891365</v>
      </c>
      <c r="BY42" s="24" t="n">
        <v>32.2304982309624</v>
      </c>
      <c r="BZ42" s="24" t="n">
        <v>32.3034549080466</v>
      </c>
      <c r="CA42" s="24" t="n">
        <v>32.3749599468791</v>
      </c>
      <c r="CB42" s="24" t="n">
        <v>32.4510314135729</v>
      </c>
      <c r="CC42" s="24" t="n">
        <v>32.5266454759161</v>
      </c>
      <c r="CD42" s="24" t="n">
        <v>32.593998122994</v>
      </c>
      <c r="CE42" s="24" t="n">
        <v>32.6594825477088</v>
      </c>
      <c r="CF42" s="24" t="n">
        <v>32.7264328694525</v>
      </c>
      <c r="CG42" s="24" t="n">
        <v>32.7920256564764</v>
      </c>
      <c r="CH42" s="24" t="n">
        <v>32.8608698899076</v>
      </c>
      <c r="CI42" s="24" t="n">
        <v>32.9260319689909</v>
      </c>
      <c r="CJ42" s="24" t="n">
        <v>32.9909701184711</v>
      </c>
      <c r="CK42" s="24" t="n">
        <v>33.0614064756757</v>
      </c>
      <c r="CL42" s="24" t="n">
        <v>33.134745390457</v>
      </c>
      <c r="CM42" s="24" t="n">
        <v>33.1903101112105</v>
      </c>
      <c r="CN42" s="24" t="n">
        <v>33.2468961151811</v>
      </c>
      <c r="CO42" s="24" t="n">
        <v>33.3175863487791</v>
      </c>
      <c r="CP42" s="24" t="n">
        <v>33.3839739372255</v>
      </c>
      <c r="CQ42" s="24" t="n">
        <v>33.4570906379493</v>
      </c>
      <c r="CR42" s="24" t="n">
        <v>33.5206092978177</v>
      </c>
      <c r="CS42" s="24" t="n">
        <v>33.5492130897218</v>
      </c>
      <c r="CT42" s="24" t="n">
        <v>23.4058162969456</v>
      </c>
    </row>
    <row r="43" customFormat="false" ht="15" hidden="false" customHeight="false" outlineLevel="0" collapsed="false">
      <c r="A43" s="11" t="n">
        <v>190</v>
      </c>
      <c r="B43" s="24" t="n">
        <v>19.3053341570874</v>
      </c>
      <c r="C43" s="24" t="n">
        <v>20.1775512036783</v>
      </c>
      <c r="D43" s="24" t="n">
        <v>20.7708546673167</v>
      </c>
      <c r="E43" s="24" t="n">
        <v>21.3845294137873</v>
      </c>
      <c r="F43" s="24" t="n">
        <v>21.8989477443208</v>
      </c>
      <c r="G43" s="24" t="n">
        <v>22.3462564776678</v>
      </c>
      <c r="H43" s="24" t="n">
        <v>22.7442128251044</v>
      </c>
      <c r="I43" s="24" t="n">
        <v>23.0931897320111</v>
      </c>
      <c r="J43" s="24" t="n">
        <v>23.4484836066269</v>
      </c>
      <c r="K43" s="24" t="n">
        <v>23.7455700104515</v>
      </c>
      <c r="L43" s="24" t="n">
        <v>24.0473708903861</v>
      </c>
      <c r="M43" s="24" t="n">
        <v>24.345675671083</v>
      </c>
      <c r="N43" s="24" t="n">
        <v>24.5902947108377</v>
      </c>
      <c r="O43" s="24" t="n">
        <v>24.8358861299352</v>
      </c>
      <c r="P43" s="24" t="n">
        <v>25.0920416197874</v>
      </c>
      <c r="Q43" s="24" t="n">
        <v>25.3261505648199</v>
      </c>
      <c r="R43" s="24" t="n">
        <v>25.5466660152529</v>
      </c>
      <c r="S43" s="24" t="n">
        <v>25.7406492685867</v>
      </c>
      <c r="T43" s="24" t="n">
        <v>25.9475360796849</v>
      </c>
      <c r="U43" s="24" t="n">
        <v>26.1269475253515</v>
      </c>
      <c r="V43" s="24" t="n">
        <v>26.2893930003415</v>
      </c>
      <c r="W43" s="24" t="n">
        <v>26.4657397757614</v>
      </c>
      <c r="X43" s="24" t="n">
        <v>26.6410375314622</v>
      </c>
      <c r="Y43" s="24" t="n">
        <v>26.8136675955537</v>
      </c>
      <c r="Z43" s="24" t="n">
        <v>26.9710555826421</v>
      </c>
      <c r="AA43" s="24" t="n">
        <v>27.1213045556502</v>
      </c>
      <c r="AB43" s="24" t="n">
        <v>27.2677167129188</v>
      </c>
      <c r="AC43" s="24" t="n">
        <v>27.4251293765435</v>
      </c>
      <c r="AD43" s="24" t="n">
        <v>27.5739066355456</v>
      </c>
      <c r="AE43" s="24" t="n">
        <v>27.7065923863562</v>
      </c>
      <c r="AF43" s="24" t="n">
        <v>27.8559503624494</v>
      </c>
      <c r="AG43" s="24" t="n">
        <v>27.9882432659685</v>
      </c>
      <c r="AH43" s="24" t="n">
        <v>28.1222301725487</v>
      </c>
      <c r="AI43" s="24" t="n">
        <v>28.2734977311658</v>
      </c>
      <c r="AJ43" s="24" t="n">
        <v>28.3943508349767</v>
      </c>
      <c r="AK43" s="24" t="n">
        <v>28.5156670820464</v>
      </c>
      <c r="AL43" s="24" t="n">
        <v>28.6411157358914</v>
      </c>
      <c r="AM43" s="24" t="n">
        <v>28.7722536292929</v>
      </c>
      <c r="AN43" s="24" t="n">
        <v>28.8968385268775</v>
      </c>
      <c r="AO43" s="24" t="n">
        <v>29.0177864027711</v>
      </c>
      <c r="AP43" s="24" t="n">
        <v>29.1404711140133</v>
      </c>
      <c r="AQ43" s="24" t="n">
        <v>29.2460715799267</v>
      </c>
      <c r="AR43" s="24" t="n">
        <v>29.3503322414545</v>
      </c>
      <c r="AS43" s="24" t="n">
        <v>29.4671276745754</v>
      </c>
      <c r="AT43" s="24" t="n">
        <v>29.5775820261753</v>
      </c>
      <c r="AU43" s="24" t="n">
        <v>29.6735309579271</v>
      </c>
      <c r="AV43" s="24" t="n">
        <v>29.7889114762712</v>
      </c>
      <c r="AW43" s="24" t="n">
        <v>29.8980015956359</v>
      </c>
      <c r="AX43" s="24" t="n">
        <v>29.9968160606036</v>
      </c>
      <c r="AY43" s="24" t="n">
        <v>30.0981751610105</v>
      </c>
      <c r="AZ43" s="24" t="n">
        <v>30.1910416108962</v>
      </c>
      <c r="BA43" s="24" t="n">
        <v>30.2803806819591</v>
      </c>
      <c r="BB43" s="24" t="n">
        <v>30.3720363487777</v>
      </c>
      <c r="BC43" s="24" t="n">
        <v>30.4651598395569</v>
      </c>
      <c r="BD43" s="24" t="n">
        <v>30.553711960441</v>
      </c>
      <c r="BE43" s="24" t="n">
        <v>30.6410982022</v>
      </c>
      <c r="BF43" s="24" t="n">
        <v>30.7286559137905</v>
      </c>
      <c r="BG43" s="24" t="n">
        <v>30.8123789575008</v>
      </c>
      <c r="BH43" s="24" t="n">
        <v>30.9086607897379</v>
      </c>
      <c r="BI43" s="24" t="n">
        <v>30.9970561679327</v>
      </c>
      <c r="BJ43" s="24" t="n">
        <v>31.0718685537292</v>
      </c>
      <c r="BK43" s="24" t="n">
        <v>31.1523812764307</v>
      </c>
      <c r="BL43" s="24" t="n">
        <v>31.2413114259846</v>
      </c>
      <c r="BM43" s="24" t="n">
        <v>31.3213407854109</v>
      </c>
      <c r="BN43" s="24" t="n">
        <v>31.3995830470237</v>
      </c>
      <c r="BO43" s="24" t="n">
        <v>31.4844480216546</v>
      </c>
      <c r="BP43" s="24" t="n">
        <v>31.5642065243495</v>
      </c>
      <c r="BQ43" s="24" t="n">
        <v>31.6361534786319</v>
      </c>
      <c r="BR43" s="24" t="n">
        <v>31.7142155570574</v>
      </c>
      <c r="BS43" s="24" t="n">
        <v>31.7967215347176</v>
      </c>
      <c r="BT43" s="24" t="n">
        <v>31.8779376999927</v>
      </c>
      <c r="BU43" s="24" t="n">
        <v>31.9612499706639</v>
      </c>
      <c r="BV43" s="24" t="n">
        <v>32.0347462734934</v>
      </c>
      <c r="BW43" s="24" t="n">
        <v>32.1148123868634</v>
      </c>
      <c r="BX43" s="24" t="n">
        <v>32.1882298003055</v>
      </c>
      <c r="BY43" s="24" t="n">
        <v>32.2574637812524</v>
      </c>
      <c r="BZ43" s="24" t="n">
        <v>32.3305805532019</v>
      </c>
      <c r="CA43" s="24" t="n">
        <v>32.398905184223</v>
      </c>
      <c r="CB43" s="24" t="n">
        <v>32.4782951782109</v>
      </c>
      <c r="CC43" s="24" t="n">
        <v>32.5496286545934</v>
      </c>
      <c r="CD43" s="24" t="n">
        <v>32.6172903985576</v>
      </c>
      <c r="CE43" s="24" t="n">
        <v>32.679405265252</v>
      </c>
      <c r="CF43" s="24" t="n">
        <v>32.743305474973</v>
      </c>
      <c r="CG43" s="24" t="n">
        <v>32.8119126059624</v>
      </c>
      <c r="CH43" s="24" t="n">
        <v>32.884532820568</v>
      </c>
      <c r="CI43" s="24" t="n">
        <v>32.9506611712307</v>
      </c>
      <c r="CJ43" s="24" t="n">
        <v>33.0155328073346</v>
      </c>
      <c r="CK43" s="24" t="n">
        <v>33.0871333967906</v>
      </c>
      <c r="CL43" s="24" t="n">
        <v>33.1540977526247</v>
      </c>
      <c r="CM43" s="24" t="n">
        <v>33.2063152809591</v>
      </c>
      <c r="CN43" s="24" t="n">
        <v>33.270612196387</v>
      </c>
      <c r="CO43" s="24" t="n">
        <v>33.3440988915098</v>
      </c>
      <c r="CP43" s="24" t="n">
        <v>33.4085457713489</v>
      </c>
      <c r="CQ43" s="24" t="n">
        <v>33.4773157210316</v>
      </c>
      <c r="CR43" s="24" t="n">
        <v>33.5464334395587</v>
      </c>
      <c r="CS43" s="24" t="n">
        <v>33.5725607021976</v>
      </c>
      <c r="CT43" s="24" t="n">
        <v>23.4514772348046</v>
      </c>
    </row>
    <row r="44" customFormat="false" ht="15" hidden="false" customHeight="false" outlineLevel="0" collapsed="false">
      <c r="A44" s="11" t="n">
        <v>195</v>
      </c>
      <c r="B44" s="24" t="n">
        <v>19.3558528187416</v>
      </c>
      <c r="C44" s="24" t="n">
        <v>20.2319879073109</v>
      </c>
      <c r="D44" s="24" t="n">
        <v>20.8529873895228</v>
      </c>
      <c r="E44" s="24" t="n">
        <v>21.4263507102122</v>
      </c>
      <c r="F44" s="24" t="n">
        <v>21.9370521490113</v>
      </c>
      <c r="G44" s="24" t="n">
        <v>22.3981689788748</v>
      </c>
      <c r="H44" s="24" t="n">
        <v>22.7940335554568</v>
      </c>
      <c r="I44" s="24" t="n">
        <v>23.1375274669915</v>
      </c>
      <c r="J44" s="24" t="n">
        <v>23.493758761082</v>
      </c>
      <c r="K44" s="24" t="n">
        <v>23.7746425241121</v>
      </c>
      <c r="L44" s="24" t="n">
        <v>24.089013346765</v>
      </c>
      <c r="M44" s="24" t="n">
        <v>24.3712597359308</v>
      </c>
      <c r="N44" s="24" t="n">
        <v>24.6232801670954</v>
      </c>
      <c r="O44" s="24" t="n">
        <v>24.8728177878546</v>
      </c>
      <c r="P44" s="24" t="n">
        <v>25.1227394301886</v>
      </c>
      <c r="Q44" s="24" t="n">
        <v>25.3568655021947</v>
      </c>
      <c r="R44" s="24" t="n">
        <v>25.5842812663358</v>
      </c>
      <c r="S44" s="24" t="n">
        <v>25.7849982370788</v>
      </c>
      <c r="T44" s="24" t="n">
        <v>25.9821112355372</v>
      </c>
      <c r="U44" s="24" t="n">
        <v>26.1605298250121</v>
      </c>
      <c r="V44" s="24" t="n">
        <v>26.3318162039083</v>
      </c>
      <c r="W44" s="24" t="n">
        <v>26.5067085836487</v>
      </c>
      <c r="X44" s="24" t="n">
        <v>26.6785534550255</v>
      </c>
      <c r="Y44" s="24" t="n">
        <v>26.8566356029155</v>
      </c>
      <c r="Z44" s="24" t="n">
        <v>27.0065283077718</v>
      </c>
      <c r="AA44" s="24" t="n">
        <v>27.1565197270746</v>
      </c>
      <c r="AB44" s="24" t="n">
        <v>27.3029095648791</v>
      </c>
      <c r="AC44" s="24" t="n">
        <v>27.4578145651265</v>
      </c>
      <c r="AD44" s="24" t="n">
        <v>27.603548620513</v>
      </c>
      <c r="AE44" s="24" t="n">
        <v>27.7374347873447</v>
      </c>
      <c r="AF44" s="24" t="n">
        <v>27.8860840261377</v>
      </c>
      <c r="AG44" s="24" t="n">
        <v>28.0133715288061</v>
      </c>
      <c r="AH44" s="24" t="n">
        <v>28.1484202069872</v>
      </c>
      <c r="AI44" s="24" t="n">
        <v>28.2997288293821</v>
      </c>
      <c r="AJ44" s="24" t="n">
        <v>28.4189562459841</v>
      </c>
      <c r="AK44" s="24" t="n">
        <v>28.5392948511202</v>
      </c>
      <c r="AL44" s="24" t="n">
        <v>28.6621180742096</v>
      </c>
      <c r="AM44" s="24" t="n">
        <v>28.8009551265174</v>
      </c>
      <c r="AN44" s="24" t="n">
        <v>28.9240445706002</v>
      </c>
      <c r="AO44" s="24" t="n">
        <v>29.0455995227048</v>
      </c>
      <c r="AP44" s="24" t="n">
        <v>29.1636254313345</v>
      </c>
      <c r="AQ44" s="24" t="n">
        <v>29.268909584931</v>
      </c>
      <c r="AR44" s="24" t="n">
        <v>29.3688925028126</v>
      </c>
      <c r="AS44" s="24" t="n">
        <v>29.4852717251265</v>
      </c>
      <c r="AT44" s="24" t="n">
        <v>29.5960310676309</v>
      </c>
      <c r="AU44" s="24" t="n">
        <v>29.6948879503807</v>
      </c>
      <c r="AV44" s="24" t="n">
        <v>29.8069366336152</v>
      </c>
      <c r="AW44" s="24" t="n">
        <v>29.9134389352796</v>
      </c>
      <c r="AX44" s="24" t="n">
        <v>30.0129945013784</v>
      </c>
      <c r="AY44" s="24" t="n">
        <v>30.123254742974</v>
      </c>
      <c r="AZ44" s="24" t="n">
        <v>30.2151618098772</v>
      </c>
      <c r="BA44" s="24" t="n">
        <v>30.3042284934226</v>
      </c>
      <c r="BB44" s="24" t="n">
        <v>30.3959962704864</v>
      </c>
      <c r="BC44" s="24" t="n">
        <v>30.487684470256</v>
      </c>
      <c r="BD44" s="24" t="n">
        <v>30.5854613701551</v>
      </c>
      <c r="BE44" s="24" t="n">
        <v>30.6723357245775</v>
      </c>
      <c r="BF44" s="24" t="n">
        <v>30.7566103839285</v>
      </c>
      <c r="BG44" s="24" t="n">
        <v>30.8467383116042</v>
      </c>
      <c r="BH44" s="24" t="n">
        <v>30.9374479378994</v>
      </c>
      <c r="BI44" s="24" t="n">
        <v>31.0192215198861</v>
      </c>
      <c r="BJ44" s="24" t="n">
        <v>31.0946614310641</v>
      </c>
      <c r="BK44" s="24" t="n">
        <v>31.1793838805325</v>
      </c>
      <c r="BL44" s="24" t="n">
        <v>31.2655600881134</v>
      </c>
      <c r="BM44" s="24" t="n">
        <v>31.3457305464233</v>
      </c>
      <c r="BN44" s="24" t="n">
        <v>31.4212430147065</v>
      </c>
      <c r="BO44" s="24" t="n">
        <v>31.5075263758709</v>
      </c>
      <c r="BP44" s="24" t="n">
        <v>31.5843381598029</v>
      </c>
      <c r="BQ44" s="24" t="n">
        <v>31.657721228225</v>
      </c>
      <c r="BR44" s="24" t="n">
        <v>31.7415996209342</v>
      </c>
      <c r="BS44" s="24" t="n">
        <v>31.8167773187301</v>
      </c>
      <c r="BT44" s="24" t="n">
        <v>31.9001742700128</v>
      </c>
      <c r="BU44" s="24" t="n">
        <v>31.9766595481136</v>
      </c>
      <c r="BV44" s="24" t="n">
        <v>32.0519289515315</v>
      </c>
      <c r="BW44" s="24" t="n">
        <v>32.1320358676457</v>
      </c>
      <c r="BX44" s="24" t="n">
        <v>32.2049001594288</v>
      </c>
      <c r="BY44" s="24" t="n">
        <v>32.2797272197655</v>
      </c>
      <c r="BZ44" s="24" t="n">
        <v>32.3532801860325</v>
      </c>
      <c r="CA44" s="24" t="n">
        <v>32.4220544275445</v>
      </c>
      <c r="CB44" s="24" t="n">
        <v>32.5002968316601</v>
      </c>
      <c r="CC44" s="24" t="n">
        <v>32.5722069613659</v>
      </c>
      <c r="CD44" s="24" t="n">
        <v>32.6373137949802</v>
      </c>
      <c r="CE44" s="24" t="n">
        <v>32.7005746253194</v>
      </c>
      <c r="CF44" s="24" t="n">
        <v>32.7685980339124</v>
      </c>
      <c r="CG44" s="24" t="n">
        <v>32.835001620778</v>
      </c>
      <c r="CH44" s="24" t="n">
        <v>32.9059506990806</v>
      </c>
      <c r="CI44" s="24" t="n">
        <v>32.9719765618621</v>
      </c>
      <c r="CJ44" s="24" t="n">
        <v>33.0395276884056</v>
      </c>
      <c r="CK44" s="24" t="n">
        <v>33.1096934938867</v>
      </c>
      <c r="CL44" s="24" t="n">
        <v>33.1692480317141</v>
      </c>
      <c r="CM44" s="24" t="n">
        <v>33.2233653970082</v>
      </c>
      <c r="CN44" s="24" t="n">
        <v>33.2940669565195</v>
      </c>
      <c r="CO44" s="24" t="n">
        <v>33.3610874925374</v>
      </c>
      <c r="CP44" s="24" t="n">
        <v>33.4287969116589</v>
      </c>
      <c r="CQ44" s="24" t="n">
        <v>33.4971788778048</v>
      </c>
      <c r="CR44" s="24" t="n">
        <v>33.5670495413793</v>
      </c>
      <c r="CS44" s="24" t="n">
        <v>33.5943019283016</v>
      </c>
      <c r="CT44" s="24" t="n">
        <v>23.4970785908788</v>
      </c>
    </row>
    <row r="45" customFormat="false" ht="15" hidden="false" customHeight="false" outlineLevel="0" collapsed="false">
      <c r="A45" s="11" t="n">
        <v>200</v>
      </c>
      <c r="B45" s="24" t="n">
        <v>19.4249481025741</v>
      </c>
      <c r="C45" s="24" t="n">
        <v>20.2677446123385</v>
      </c>
      <c r="D45" s="24" t="n">
        <v>20.892580455862</v>
      </c>
      <c r="E45" s="24" t="n">
        <v>21.4692626655474</v>
      </c>
      <c r="F45" s="24" t="n">
        <v>21.9797155063351</v>
      </c>
      <c r="G45" s="24" t="n">
        <v>22.4593946965535</v>
      </c>
      <c r="H45" s="24" t="n">
        <v>22.8519945579941</v>
      </c>
      <c r="I45" s="24" t="n">
        <v>23.170163678805</v>
      </c>
      <c r="J45" s="24" t="n">
        <v>23.5227471477281</v>
      </c>
      <c r="K45" s="24" t="n">
        <v>23.8318419214732</v>
      </c>
      <c r="L45" s="24" t="n">
        <v>24.1240962055791</v>
      </c>
      <c r="M45" s="24" t="n">
        <v>24.400860179443</v>
      </c>
      <c r="N45" s="24" t="n">
        <v>24.6619588798419</v>
      </c>
      <c r="O45" s="24" t="n">
        <v>24.9068549057422</v>
      </c>
      <c r="P45" s="24" t="n">
        <v>25.1515348479636</v>
      </c>
      <c r="Q45" s="24" t="n">
        <v>25.3746489226787</v>
      </c>
      <c r="R45" s="24" t="n">
        <v>25.6029755316397</v>
      </c>
      <c r="S45" s="24" t="n">
        <v>25.8009481184076</v>
      </c>
      <c r="T45" s="24" t="n">
        <v>25.9999991282717</v>
      </c>
      <c r="U45" s="24" t="n">
        <v>26.1837222763919</v>
      </c>
      <c r="V45" s="24" t="n">
        <v>26.3637426467116</v>
      </c>
      <c r="W45" s="24" t="n">
        <v>26.5422419954534</v>
      </c>
      <c r="X45" s="24" t="n">
        <v>26.7089993530205</v>
      </c>
      <c r="Y45" s="24" t="n">
        <v>26.883215630745</v>
      </c>
      <c r="Z45" s="24" t="n">
        <v>27.0363412105536</v>
      </c>
      <c r="AA45" s="24" t="n">
        <v>27.1856962453937</v>
      </c>
      <c r="AB45" s="24" t="n">
        <v>27.3297035312915</v>
      </c>
      <c r="AC45" s="24" t="n">
        <v>27.4897906444406</v>
      </c>
      <c r="AD45" s="24" t="n">
        <v>27.6298502804303</v>
      </c>
      <c r="AE45" s="24" t="n">
        <v>27.7771855202165</v>
      </c>
      <c r="AF45" s="24" t="n">
        <v>27.9071722843921</v>
      </c>
      <c r="AG45" s="24" t="n">
        <v>28.0393656163007</v>
      </c>
      <c r="AH45" s="24" t="n">
        <v>28.175333986053</v>
      </c>
      <c r="AI45" s="24" t="n">
        <v>28.321101022478</v>
      </c>
      <c r="AJ45" s="24" t="n">
        <v>28.4395715129586</v>
      </c>
      <c r="AK45" s="24" t="n">
        <v>28.5613336828806</v>
      </c>
      <c r="AL45" s="24" t="n">
        <v>28.6856835701631</v>
      </c>
      <c r="AM45" s="24" t="n">
        <v>28.8243146931317</v>
      </c>
      <c r="AN45" s="24" t="n">
        <v>28.951356232456</v>
      </c>
      <c r="AO45" s="24" t="n">
        <v>29.0665995984455</v>
      </c>
      <c r="AP45" s="24" t="n">
        <v>29.1821146156354</v>
      </c>
      <c r="AQ45" s="24" t="n">
        <v>29.2848998761407</v>
      </c>
      <c r="AR45" s="24" t="n">
        <v>29.3867827254188</v>
      </c>
      <c r="AS45" s="24" t="n">
        <v>29.5026926146757</v>
      </c>
      <c r="AT45" s="24" t="n">
        <v>29.6096588015845</v>
      </c>
      <c r="AU45" s="24" t="n">
        <v>29.7148696194259</v>
      </c>
      <c r="AV45" s="24" t="n">
        <v>29.8301682354104</v>
      </c>
      <c r="AW45" s="24" t="n">
        <v>29.9367919347541</v>
      </c>
      <c r="AX45" s="24" t="n">
        <v>30.0359598209228</v>
      </c>
      <c r="AY45" s="24" t="n">
        <v>30.1406487798765</v>
      </c>
      <c r="AZ45" s="24" t="n">
        <v>30.2293797674599</v>
      </c>
      <c r="BA45" s="24" t="n">
        <v>30.3184634334045</v>
      </c>
      <c r="BB45" s="24" t="n">
        <v>30.4121613739668</v>
      </c>
      <c r="BC45" s="24" t="n">
        <v>30.5001231417446</v>
      </c>
      <c r="BD45" s="24" t="n">
        <v>30.5994281890856</v>
      </c>
      <c r="BE45" s="24" t="n">
        <v>30.6846260212998</v>
      </c>
      <c r="BF45" s="24" t="n">
        <v>30.7687418682699</v>
      </c>
      <c r="BG45" s="24" t="n">
        <v>30.860959732436</v>
      </c>
      <c r="BH45" s="24" t="n">
        <v>30.9559551795853</v>
      </c>
      <c r="BI45" s="24" t="n">
        <v>31.0359961765719</v>
      </c>
      <c r="BJ45" s="24" t="n">
        <v>31.1156114303877</v>
      </c>
      <c r="BK45" s="24" t="n">
        <v>31.2036134238381</v>
      </c>
      <c r="BL45" s="24" t="n">
        <v>31.2824684458098</v>
      </c>
      <c r="BM45" s="24" t="n">
        <v>31.3658095213066</v>
      </c>
      <c r="BN45" s="24" t="n">
        <v>31.4466419694415</v>
      </c>
      <c r="BO45" s="24" t="n">
        <v>31.5309356439814</v>
      </c>
      <c r="BP45" s="24" t="n">
        <v>31.6061198143559</v>
      </c>
      <c r="BQ45" s="24" t="n">
        <v>31.677263643331</v>
      </c>
      <c r="BR45" s="24" t="n">
        <v>31.7616285988252</v>
      </c>
      <c r="BS45" s="24" t="n">
        <v>31.8362709184803</v>
      </c>
      <c r="BT45" s="24" t="n">
        <v>31.9190088652286</v>
      </c>
      <c r="BU45" s="24" t="n">
        <v>32.000155478047</v>
      </c>
      <c r="BV45" s="24" t="n">
        <v>32.075028059579</v>
      </c>
      <c r="BW45" s="24" t="n">
        <v>32.1509750674935</v>
      </c>
      <c r="BX45" s="24" t="n">
        <v>32.220445944527</v>
      </c>
      <c r="BY45" s="24" t="n">
        <v>32.2930581613081</v>
      </c>
      <c r="BZ45" s="24" t="n">
        <v>32.3659968477613</v>
      </c>
      <c r="CA45" s="24" t="n">
        <v>32.442888037401</v>
      </c>
      <c r="CB45" s="24" t="n">
        <v>32.516104669591</v>
      </c>
      <c r="CC45" s="24" t="n">
        <v>32.5873189017071</v>
      </c>
      <c r="CD45" s="24" t="n">
        <v>32.6519479881709</v>
      </c>
      <c r="CE45" s="24" t="n">
        <v>32.7157829726462</v>
      </c>
      <c r="CF45" s="24" t="n">
        <v>32.780277800498</v>
      </c>
      <c r="CG45" s="24" t="n">
        <v>32.8520677012024</v>
      </c>
      <c r="CH45" s="24" t="n">
        <v>32.9180851463919</v>
      </c>
      <c r="CI45" s="24" t="n">
        <v>32.98591103492</v>
      </c>
      <c r="CJ45" s="24" t="n">
        <v>33.0551962945327</v>
      </c>
      <c r="CK45" s="24" t="n">
        <v>33.1310312921941</v>
      </c>
      <c r="CL45" s="24" t="n">
        <v>33.1860549616425</v>
      </c>
      <c r="CM45" s="24" t="n">
        <v>33.2407572335476</v>
      </c>
      <c r="CN45" s="24" t="n">
        <v>33.3123802359693</v>
      </c>
      <c r="CO45" s="24" t="n">
        <v>33.3781419534701</v>
      </c>
      <c r="CP45" s="24" t="n">
        <v>33.4523791062838</v>
      </c>
      <c r="CQ45" s="24" t="n">
        <v>33.5172251994696</v>
      </c>
      <c r="CR45" s="24" t="n">
        <v>33.5858570242754</v>
      </c>
      <c r="CS45" s="24" t="n">
        <v>33.6108602699615</v>
      </c>
      <c r="CT45" s="24" t="n">
        <v>23.524109123265</v>
      </c>
    </row>
    <row r="46" customFormat="false" ht="15" hidden="false" customHeight="false" outlineLevel="0" collapsed="false">
      <c r="A46" s="11" t="n">
        <v>205</v>
      </c>
      <c r="B46" s="24" t="n">
        <v>19.4842984634491</v>
      </c>
      <c r="C46" s="24" t="n">
        <v>20.3058828675259</v>
      </c>
      <c r="D46" s="24" t="n">
        <v>20.9132366337167</v>
      </c>
      <c r="E46" s="24" t="n">
        <v>21.5036573477476</v>
      </c>
      <c r="F46" s="24" t="n">
        <v>22.0361882203309</v>
      </c>
      <c r="G46" s="24" t="n">
        <v>22.4942806333487</v>
      </c>
      <c r="H46" s="24" t="n">
        <v>22.8869641501572</v>
      </c>
      <c r="I46" s="24" t="n">
        <v>23.2127799075796</v>
      </c>
      <c r="J46" s="24" t="n">
        <v>23.5545341968215</v>
      </c>
      <c r="K46" s="24" t="n">
        <v>23.8620982789116</v>
      </c>
      <c r="L46" s="24" t="n">
        <v>24.1530317557604</v>
      </c>
      <c r="M46" s="24" t="n">
        <v>24.4279715102377</v>
      </c>
      <c r="N46" s="24" t="n">
        <v>24.6879765126976</v>
      </c>
      <c r="O46" s="24" t="n">
        <v>24.9432651297508</v>
      </c>
      <c r="P46" s="24" t="n">
        <v>25.173682546994</v>
      </c>
      <c r="Q46" s="24" t="n">
        <v>25.4065448004582</v>
      </c>
      <c r="R46" s="24" t="n">
        <v>25.6275050625183</v>
      </c>
      <c r="S46" s="24" t="n">
        <v>25.8207391014917</v>
      </c>
      <c r="T46" s="24" t="n">
        <v>26.0156742669378</v>
      </c>
      <c r="U46" s="24" t="n">
        <v>26.2019166208793</v>
      </c>
      <c r="V46" s="24" t="n">
        <v>26.3801021153886</v>
      </c>
      <c r="W46" s="24" t="n">
        <v>26.5610832894337</v>
      </c>
      <c r="X46" s="24" t="n">
        <v>26.7227347207859</v>
      </c>
      <c r="Y46" s="24" t="n">
        <v>26.9008265100217</v>
      </c>
      <c r="Z46" s="24" t="n">
        <v>27.0554134826598</v>
      </c>
      <c r="AA46" s="24" t="n">
        <v>27.2067536348247</v>
      </c>
      <c r="AB46" s="24" t="n">
        <v>27.3546174554592</v>
      </c>
      <c r="AC46" s="24" t="n">
        <v>27.5128699842997</v>
      </c>
      <c r="AD46" s="24" t="n">
        <v>27.6558683695521</v>
      </c>
      <c r="AE46" s="24" t="n">
        <v>27.8055097712656</v>
      </c>
      <c r="AF46" s="24" t="n">
        <v>27.9333701802052</v>
      </c>
      <c r="AG46" s="24" t="n">
        <v>28.0678793030646</v>
      </c>
      <c r="AH46" s="24" t="n">
        <v>28.1987380821819</v>
      </c>
      <c r="AI46" s="24" t="n">
        <v>28.3453665675807</v>
      </c>
      <c r="AJ46" s="24" t="n">
        <v>28.4667525786606</v>
      </c>
      <c r="AK46" s="24" t="n">
        <v>28.5937411512628</v>
      </c>
      <c r="AL46" s="24" t="n">
        <v>28.7139966061529</v>
      </c>
      <c r="AM46" s="24" t="n">
        <v>28.8476695090937</v>
      </c>
      <c r="AN46" s="24" t="n">
        <v>28.9728788135722</v>
      </c>
      <c r="AO46" s="24" t="n">
        <v>29.0895055373993</v>
      </c>
      <c r="AP46" s="24" t="n">
        <v>29.2059284651763</v>
      </c>
      <c r="AQ46" s="24" t="n">
        <v>29.3027185050702</v>
      </c>
      <c r="AR46" s="24" t="n">
        <v>29.4106482356588</v>
      </c>
      <c r="AS46" s="24" t="n">
        <v>29.521596981058</v>
      </c>
      <c r="AT46" s="24" t="n">
        <v>29.6294402660442</v>
      </c>
      <c r="AU46" s="24" t="n">
        <v>29.7327761747743</v>
      </c>
      <c r="AV46" s="24" t="n">
        <v>29.8500898949014</v>
      </c>
      <c r="AW46" s="24" t="n">
        <v>29.954871576028</v>
      </c>
      <c r="AX46" s="24" t="n">
        <v>30.0530747233355</v>
      </c>
      <c r="AY46" s="24" t="n">
        <v>30.1531577129864</v>
      </c>
      <c r="AZ46" s="24" t="n">
        <v>30.2426637990375</v>
      </c>
      <c r="BA46" s="24" t="n">
        <v>30.3326544068202</v>
      </c>
      <c r="BB46" s="24" t="n">
        <v>30.4280659103517</v>
      </c>
      <c r="BC46" s="24" t="n">
        <v>30.516338671175</v>
      </c>
      <c r="BD46" s="24" t="n">
        <v>30.6135257959955</v>
      </c>
      <c r="BE46" s="24" t="n">
        <v>30.7001218048441</v>
      </c>
      <c r="BF46" s="24" t="n">
        <v>30.784355246111</v>
      </c>
      <c r="BG46" s="24" t="n">
        <v>30.875547064962</v>
      </c>
      <c r="BH46" s="24" t="n">
        <v>30.9668032149962</v>
      </c>
      <c r="BI46" s="24" t="n">
        <v>31.0451647189768</v>
      </c>
      <c r="BJ46" s="24" t="n">
        <v>31.1280219002028</v>
      </c>
      <c r="BK46" s="24" t="n">
        <v>31.2187876165098</v>
      </c>
      <c r="BL46" s="24" t="n">
        <v>31.2926584184237</v>
      </c>
      <c r="BM46" s="24" t="n">
        <v>31.374572404573</v>
      </c>
      <c r="BN46" s="24" t="n">
        <v>31.4550784360792</v>
      </c>
      <c r="BO46" s="24" t="n">
        <v>31.5392523950398</v>
      </c>
      <c r="BP46" s="24" t="n">
        <v>31.6156142121237</v>
      </c>
      <c r="BQ46" s="24" t="n">
        <v>31.6887313406301</v>
      </c>
      <c r="BR46" s="24" t="n">
        <v>31.7752508170127</v>
      </c>
      <c r="BS46" s="24" t="n">
        <v>31.8519786978551</v>
      </c>
      <c r="BT46" s="24" t="n">
        <v>31.9361481600845</v>
      </c>
      <c r="BU46" s="24" t="n">
        <v>32.0151026415368</v>
      </c>
      <c r="BV46" s="24" t="n">
        <v>32.0943836354545</v>
      </c>
      <c r="BW46" s="24" t="n">
        <v>32.1667101441705</v>
      </c>
      <c r="BX46" s="24" t="n">
        <v>32.2423606340931</v>
      </c>
      <c r="BY46" s="24" t="n">
        <v>32.3134621278707</v>
      </c>
      <c r="BZ46" s="24" t="n">
        <v>32.3831940938199</v>
      </c>
      <c r="CA46" s="24" t="n">
        <v>32.4628431240976</v>
      </c>
      <c r="CB46" s="24" t="n">
        <v>32.5326704380221</v>
      </c>
      <c r="CC46" s="24" t="n">
        <v>32.6018881641181</v>
      </c>
      <c r="CD46" s="24" t="n">
        <v>32.6662538813978</v>
      </c>
      <c r="CE46" s="24" t="n">
        <v>32.7324670996587</v>
      </c>
      <c r="CF46" s="24" t="n">
        <v>32.8001523342225</v>
      </c>
      <c r="CG46" s="24" t="n">
        <v>32.8682819975456</v>
      </c>
      <c r="CH46" s="24" t="n">
        <v>32.9353755206048</v>
      </c>
      <c r="CI46" s="24" t="n">
        <v>33.0019072945601</v>
      </c>
      <c r="CJ46" s="24" t="n">
        <v>33.0724111619025</v>
      </c>
      <c r="CK46" s="24" t="n">
        <v>33.1415348494081</v>
      </c>
      <c r="CL46" s="24" t="n">
        <v>33.1963407074705</v>
      </c>
      <c r="CM46" s="24" t="n">
        <v>33.2539029411209</v>
      </c>
      <c r="CN46" s="24" t="n">
        <v>33.3281257983961</v>
      </c>
      <c r="CO46" s="24" t="n">
        <v>33.3930745539562</v>
      </c>
      <c r="CP46" s="24" t="n">
        <v>33.4642305548868</v>
      </c>
      <c r="CQ46" s="24" t="n">
        <v>33.5311697915116</v>
      </c>
      <c r="CR46" s="24" t="n">
        <v>33.5996684660456</v>
      </c>
      <c r="CS46" s="24" t="n">
        <v>33.622994500868</v>
      </c>
      <c r="CT46" s="24" t="n">
        <v>23.5561570859656</v>
      </c>
    </row>
    <row r="47" customFormat="false" ht="15" hidden="false" customHeight="false" outlineLevel="0" collapsed="false">
      <c r="A47" s="11" t="n">
        <v>210</v>
      </c>
      <c r="B47" s="24" t="n">
        <v>19.5239274817994</v>
      </c>
      <c r="C47" s="24" t="n">
        <v>20.3304695894484</v>
      </c>
      <c r="D47" s="24" t="n">
        <v>20.9678048953554</v>
      </c>
      <c r="E47" s="24" t="n">
        <v>21.5366796938172</v>
      </c>
      <c r="F47" s="24" t="n">
        <v>22.0570392650823</v>
      </c>
      <c r="G47" s="24" t="n">
        <v>22.5153273041439</v>
      </c>
      <c r="H47" s="24" t="n">
        <v>22.9069007620247</v>
      </c>
      <c r="I47" s="24" t="n">
        <v>23.2484277029389</v>
      </c>
      <c r="J47" s="24" t="n">
        <v>23.5677338252815</v>
      </c>
      <c r="K47" s="24" t="n">
        <v>23.8904482872394</v>
      </c>
      <c r="L47" s="24" t="n">
        <v>24.1952006175283</v>
      </c>
      <c r="M47" s="24" t="n">
        <v>24.4575964809262</v>
      </c>
      <c r="N47" s="24" t="n">
        <v>24.7094442412461</v>
      </c>
      <c r="O47" s="24" t="n">
        <v>24.9632122952956</v>
      </c>
      <c r="P47" s="24" t="n">
        <v>25.1950668805489</v>
      </c>
      <c r="Q47" s="24" t="n">
        <v>25.4356568854965</v>
      </c>
      <c r="R47" s="24" t="n">
        <v>25.6464270589149</v>
      </c>
      <c r="S47" s="24" t="n">
        <v>25.8490512112995</v>
      </c>
      <c r="T47" s="24" t="n">
        <v>26.0446145387263</v>
      </c>
      <c r="U47" s="24" t="n">
        <v>26.2200153254354</v>
      </c>
      <c r="V47" s="24" t="n">
        <v>26.3982754790338</v>
      </c>
      <c r="W47" s="24" t="n">
        <v>26.5766233337866</v>
      </c>
      <c r="X47" s="24" t="n">
        <v>26.7433164625573</v>
      </c>
      <c r="Y47" s="24" t="n">
        <v>26.9157679429072</v>
      </c>
      <c r="Z47" s="24" t="n">
        <v>27.0675708182493</v>
      </c>
      <c r="AA47" s="24" t="n">
        <v>27.2193607805378</v>
      </c>
      <c r="AB47" s="24" t="n">
        <v>27.3736110980793</v>
      </c>
      <c r="AC47" s="24" t="n">
        <v>27.5290381851253</v>
      </c>
      <c r="AD47" s="24" t="n">
        <v>27.6676465880101</v>
      </c>
      <c r="AE47" s="24" t="n">
        <v>27.8210571489847</v>
      </c>
      <c r="AF47" s="24" t="n">
        <v>27.9529484706386</v>
      </c>
      <c r="AG47" s="24" t="n">
        <v>28.0856696178203</v>
      </c>
      <c r="AH47" s="24" t="n">
        <v>28.2337034692216</v>
      </c>
      <c r="AI47" s="24" t="n">
        <v>28.3624915351666</v>
      </c>
      <c r="AJ47" s="24" t="n">
        <v>28.4889408007405</v>
      </c>
      <c r="AK47" s="24" t="n">
        <v>28.6144981368056</v>
      </c>
      <c r="AL47" s="24" t="n">
        <v>28.7391677566981</v>
      </c>
      <c r="AM47" s="24" t="n">
        <v>28.8692501826451</v>
      </c>
      <c r="AN47" s="24" t="n">
        <v>28.9909156644425</v>
      </c>
      <c r="AO47" s="24" t="n">
        <v>29.1093272993248</v>
      </c>
      <c r="AP47" s="24" t="n">
        <v>29.2235416914235</v>
      </c>
      <c r="AQ47" s="24" t="n">
        <v>29.3211608908874</v>
      </c>
      <c r="AR47" s="24" t="n">
        <v>29.4325226875212</v>
      </c>
      <c r="AS47" s="24" t="n">
        <v>29.5409903567213</v>
      </c>
      <c r="AT47" s="24" t="n">
        <v>29.6482222660366</v>
      </c>
      <c r="AU47" s="24" t="n">
        <v>29.7517963220492</v>
      </c>
      <c r="AV47" s="24" t="n">
        <v>29.8690954425974</v>
      </c>
      <c r="AW47" s="24" t="n">
        <v>29.9697142808241</v>
      </c>
      <c r="AX47" s="24" t="n">
        <v>30.0701252101154</v>
      </c>
      <c r="AY47" s="24" t="n">
        <v>30.1690284856582</v>
      </c>
      <c r="AZ47" s="24" t="n">
        <v>30.2573414455292</v>
      </c>
      <c r="BA47" s="24" t="n">
        <v>30.35073468495</v>
      </c>
      <c r="BB47" s="24" t="n">
        <v>30.4434184013388</v>
      </c>
      <c r="BC47" s="24" t="n">
        <v>30.5353817222741</v>
      </c>
      <c r="BD47" s="24" t="n">
        <v>30.6254737945559</v>
      </c>
      <c r="BE47" s="24" t="n">
        <v>30.7140422588711</v>
      </c>
      <c r="BF47" s="24" t="n">
        <v>30.7958990771953</v>
      </c>
      <c r="BG47" s="24" t="n">
        <v>30.8925066483606</v>
      </c>
      <c r="BH47" s="24" t="n">
        <v>30.9805661859388</v>
      </c>
      <c r="BI47" s="24" t="n">
        <v>31.0597986417618</v>
      </c>
      <c r="BJ47" s="24" t="n">
        <v>31.1424957279055</v>
      </c>
      <c r="BK47" s="24" t="n">
        <v>31.2308126405241</v>
      </c>
      <c r="BL47" s="24" t="n">
        <v>31.307455907565</v>
      </c>
      <c r="BM47" s="24" t="n">
        <v>31.3861343753584</v>
      </c>
      <c r="BN47" s="24" t="n">
        <v>31.471413021628</v>
      </c>
      <c r="BO47" s="24" t="n">
        <v>31.553371016934</v>
      </c>
      <c r="BP47" s="24" t="n">
        <v>31.6248631878923</v>
      </c>
      <c r="BQ47" s="24" t="n">
        <v>31.7031441786596</v>
      </c>
      <c r="BR47" s="24" t="n">
        <v>31.787161847446</v>
      </c>
      <c r="BS47" s="24" t="n">
        <v>31.8658997193258</v>
      </c>
      <c r="BT47" s="24" t="n">
        <v>31.9500323591215</v>
      </c>
      <c r="BU47" s="24" t="n">
        <v>32.0233838400639</v>
      </c>
      <c r="BV47" s="24" t="n">
        <v>32.1039795508296</v>
      </c>
      <c r="BW47" s="24" t="n">
        <v>32.1779713433278</v>
      </c>
      <c r="BX47" s="24" t="n">
        <v>32.2499090082315</v>
      </c>
      <c r="BY47" s="24" t="n">
        <v>32.3235263267615</v>
      </c>
      <c r="BZ47" s="24" t="n">
        <v>32.3914763410094</v>
      </c>
      <c r="CA47" s="24" t="n">
        <v>32.4742591769932</v>
      </c>
      <c r="CB47" s="24" t="n">
        <v>32.5452238075769</v>
      </c>
      <c r="CC47" s="24" t="n">
        <v>32.6133330335123</v>
      </c>
      <c r="CD47" s="24" t="n">
        <v>32.6760929316187</v>
      </c>
      <c r="CE47" s="24" t="n">
        <v>32.7423875998241</v>
      </c>
      <c r="CF47" s="24" t="n">
        <v>32.809927771563</v>
      </c>
      <c r="CG47" s="24" t="n">
        <v>32.8841205765305</v>
      </c>
      <c r="CH47" s="24" t="n">
        <v>32.9498748634914</v>
      </c>
      <c r="CI47" s="24" t="n">
        <v>33.0148211959214</v>
      </c>
      <c r="CJ47" s="24" t="n">
        <v>33.0863731190344</v>
      </c>
      <c r="CK47" s="24" t="n">
        <v>33.1537478469137</v>
      </c>
      <c r="CL47" s="24" t="n">
        <v>33.2053157812415</v>
      </c>
      <c r="CM47" s="24" t="n">
        <v>33.2678066523881</v>
      </c>
      <c r="CN47" s="24" t="n">
        <v>33.3416954230328</v>
      </c>
      <c r="CO47" s="24" t="n">
        <v>33.4069280305573</v>
      </c>
      <c r="CP47" s="24" t="n">
        <v>33.4763449265222</v>
      </c>
      <c r="CQ47" s="24" t="n">
        <v>33.5441489995975</v>
      </c>
      <c r="CR47" s="24" t="n">
        <v>33.6108602699615</v>
      </c>
      <c r="CS47" s="24" t="n">
        <v>33.6373531438591</v>
      </c>
      <c r="CT47" s="24" t="n">
        <v>23.5723518703758</v>
      </c>
    </row>
    <row r="48" customFormat="false" ht="15" hidden="false" customHeight="false" outlineLevel="0" collapsed="false">
      <c r="A48" s="11" t="n">
        <v>215</v>
      </c>
      <c r="B48" s="24" t="n">
        <v>19.5595647136743</v>
      </c>
      <c r="C48" s="24" t="n">
        <v>20.3514453720989</v>
      </c>
      <c r="D48" s="24" t="n">
        <v>20.9927229420035</v>
      </c>
      <c r="E48" s="24" t="n">
        <v>21.5698773938187</v>
      </c>
      <c r="F48" s="24" t="n">
        <v>22.0947108163847</v>
      </c>
      <c r="G48" s="24" t="n">
        <v>22.5336150415608</v>
      </c>
      <c r="H48" s="24" t="n">
        <v>22.9249398191403</v>
      </c>
      <c r="I48" s="24" t="n">
        <v>23.274103623323</v>
      </c>
      <c r="J48" s="24" t="n">
        <v>23.5984665658117</v>
      </c>
      <c r="K48" s="24" t="n">
        <v>23.9138384021087</v>
      </c>
      <c r="L48" s="24" t="n">
        <v>24.2087314012465</v>
      </c>
      <c r="M48" s="24" t="n">
        <v>24.4686469416157</v>
      </c>
      <c r="N48" s="24" t="n">
        <v>24.7431690935726</v>
      </c>
      <c r="O48" s="24" t="n">
        <v>24.9905406637061</v>
      </c>
      <c r="P48" s="24" t="n">
        <v>25.2246972692093</v>
      </c>
      <c r="Q48" s="24" t="n">
        <v>25.4501455233235</v>
      </c>
      <c r="R48" s="24" t="n">
        <v>25.6726755647455</v>
      </c>
      <c r="S48" s="24" t="n">
        <v>25.8754071327972</v>
      </c>
      <c r="T48" s="24" t="n">
        <v>26.0657675166394</v>
      </c>
      <c r="U48" s="24" t="n">
        <v>26.2371639248072</v>
      </c>
      <c r="V48" s="24" t="n">
        <v>26.4173032782795</v>
      </c>
      <c r="W48" s="24" t="n">
        <v>26.5922956005753</v>
      </c>
      <c r="X48" s="24" t="n">
        <v>26.7651274135037</v>
      </c>
      <c r="Y48" s="24" t="n">
        <v>26.9304160518628</v>
      </c>
      <c r="Z48" s="24" t="n">
        <v>27.0851984535006</v>
      </c>
      <c r="AA48" s="24" t="n">
        <v>27.2310186615877</v>
      </c>
      <c r="AB48" s="24" t="n">
        <v>27.3891029960979</v>
      </c>
      <c r="AC48" s="24" t="n">
        <v>27.5443629526367</v>
      </c>
      <c r="AD48" s="24" t="n">
        <v>27.6789576686695</v>
      </c>
      <c r="AE48" s="24" t="n">
        <v>27.8319967085954</v>
      </c>
      <c r="AF48" s="24" t="n">
        <v>27.9621639787546</v>
      </c>
      <c r="AG48" s="24" t="n">
        <v>28.1015687752892</v>
      </c>
      <c r="AH48" s="24" t="n">
        <v>28.2502474931972</v>
      </c>
      <c r="AI48" s="24" t="n">
        <v>28.3754030359709</v>
      </c>
      <c r="AJ48" s="24" t="n">
        <v>28.4968237725812</v>
      </c>
      <c r="AK48" s="24" t="n">
        <v>28.6261886938764</v>
      </c>
      <c r="AL48" s="24" t="n">
        <v>28.7549627333738</v>
      </c>
      <c r="AM48" s="24" t="n">
        <v>28.8851644586511</v>
      </c>
      <c r="AN48" s="24" t="n">
        <v>29.0084310141393</v>
      </c>
      <c r="AO48" s="24" t="n">
        <v>29.1280922065017</v>
      </c>
      <c r="AP48" s="24" t="n">
        <v>29.2398625318433</v>
      </c>
      <c r="AQ48" s="24" t="n">
        <v>29.3396889112761</v>
      </c>
      <c r="AR48" s="24" t="n">
        <v>29.4556165352275</v>
      </c>
      <c r="AS48" s="24" t="n">
        <v>29.5599822242805</v>
      </c>
      <c r="AT48" s="24" t="n">
        <v>29.6633994565375</v>
      </c>
      <c r="AU48" s="24" t="n">
        <v>29.7739746888652</v>
      </c>
      <c r="AV48" s="24" t="n">
        <v>29.8811823264037</v>
      </c>
      <c r="AW48" s="24" t="n">
        <v>29.9804524632042</v>
      </c>
      <c r="AX48" s="24" t="n">
        <v>30.0897369098442</v>
      </c>
      <c r="AY48" s="24" t="n">
        <v>30.1848064003097</v>
      </c>
      <c r="AZ48" s="24" t="n">
        <v>30.2718775274894</v>
      </c>
      <c r="BA48" s="24" t="n">
        <v>30.3651089643624</v>
      </c>
      <c r="BB48" s="24" t="n">
        <v>30.4600212319318</v>
      </c>
      <c r="BC48" s="24" t="n">
        <v>30.548026196576</v>
      </c>
      <c r="BD48" s="24" t="n">
        <v>30.6379790490329</v>
      </c>
      <c r="BE48" s="24" t="n">
        <v>30.7273480244832</v>
      </c>
      <c r="BF48" s="24" t="n">
        <v>30.8106628432056</v>
      </c>
      <c r="BG48" s="24" t="n">
        <v>30.9060480241608</v>
      </c>
      <c r="BH48" s="24" t="n">
        <v>30.9924432775832</v>
      </c>
      <c r="BI48" s="24" t="n">
        <v>31.0704465636818</v>
      </c>
      <c r="BJ48" s="24" t="n">
        <v>31.1517911611773</v>
      </c>
      <c r="BK48" s="24" t="n">
        <v>31.241375700696</v>
      </c>
      <c r="BL48" s="24" t="n">
        <v>31.3212413752795</v>
      </c>
      <c r="BM48" s="24" t="n">
        <v>31.3983480968938</v>
      </c>
      <c r="BN48" s="24" t="n">
        <v>31.4834053455708</v>
      </c>
      <c r="BO48" s="24" t="n">
        <v>31.5639610138679</v>
      </c>
      <c r="BP48" s="24" t="n">
        <v>31.6351609349501</v>
      </c>
      <c r="BQ48" s="24" t="n">
        <v>31.7123167199853</v>
      </c>
      <c r="BR48" s="24" t="n">
        <v>31.7967215347176</v>
      </c>
      <c r="BS48" s="24" t="n">
        <v>31.8765964633764</v>
      </c>
      <c r="BT48" s="24" t="n">
        <v>31.9607474310236</v>
      </c>
      <c r="BU48" s="24" t="n">
        <v>32.0352706977836</v>
      </c>
      <c r="BV48" s="24" t="n">
        <v>32.1145548121671</v>
      </c>
      <c r="BW48" s="24" t="n">
        <v>32.1907025901759</v>
      </c>
      <c r="BX48" s="24" t="n">
        <v>32.2591675378452</v>
      </c>
      <c r="BY48" s="24" t="n">
        <v>32.3322755316641</v>
      </c>
      <c r="BZ48" s="24" t="n">
        <v>32.4007816235304</v>
      </c>
      <c r="CA48" s="24" t="n">
        <v>32.4809965880026</v>
      </c>
      <c r="CB48" s="24" t="n">
        <v>32.5556833663909</v>
      </c>
      <c r="CC48" s="24" t="n">
        <v>32.6218458356811</v>
      </c>
      <c r="CD48" s="24" t="n">
        <v>32.6864133541342</v>
      </c>
      <c r="CE48" s="24" t="n">
        <v>32.7519441330706</v>
      </c>
      <c r="CF48" s="24" t="n">
        <v>32.8192804174017</v>
      </c>
      <c r="CG48" s="24" t="n">
        <v>32.8891616309247</v>
      </c>
      <c r="CH48" s="24" t="n">
        <v>32.9558979748111</v>
      </c>
      <c r="CI48" s="24" t="n">
        <v>33.0230332809103</v>
      </c>
      <c r="CJ48" s="24" t="n">
        <v>33.0957784072718</v>
      </c>
      <c r="CK48" s="24" t="n">
        <v>33.1600873789471</v>
      </c>
      <c r="CL48" s="24" t="n">
        <v>33.2139123993155</v>
      </c>
      <c r="CM48" s="24" t="n">
        <v>33.2776423327643</v>
      </c>
      <c r="CN48" s="24" t="n">
        <v>33.3491940618167</v>
      </c>
      <c r="CO48" s="24" t="n">
        <v>33.4187905960721</v>
      </c>
      <c r="CP48" s="24" t="n">
        <v>33.4844535310189</v>
      </c>
      <c r="CQ48" s="24" t="n">
        <v>33.5540245767484</v>
      </c>
      <c r="CR48" s="24" t="n">
        <v>33.6219612378236</v>
      </c>
      <c r="CS48" s="24" t="n">
        <v>33.6468758619313</v>
      </c>
      <c r="CT48" s="24" t="n">
        <v>23.6017247374337</v>
      </c>
    </row>
    <row r="49" customFormat="false" ht="15" hidden="false" customHeight="false" outlineLevel="0" collapsed="false">
      <c r="A49" s="11" t="n">
        <v>220</v>
      </c>
      <c r="B49" s="24" t="n">
        <v>19.6179715877818</v>
      </c>
      <c r="C49" s="24" t="n">
        <v>20.3944578317151</v>
      </c>
      <c r="D49" s="24" t="n">
        <v>21.0213821054819</v>
      </c>
      <c r="E49" s="24" t="n">
        <v>21.6193334663326</v>
      </c>
      <c r="F49" s="24" t="n">
        <v>22.1174114848007</v>
      </c>
      <c r="G49" s="24" t="n">
        <v>22.5468985207224</v>
      </c>
      <c r="H49" s="24" t="n">
        <v>22.9462972730783</v>
      </c>
      <c r="I49" s="24" t="n">
        <v>23.2877637630338</v>
      </c>
      <c r="J49" s="24" t="n">
        <v>23.6182165584257</v>
      </c>
      <c r="K49" s="24" t="n">
        <v>23.9358310419781</v>
      </c>
      <c r="L49" s="24" t="n">
        <v>24.2316451831612</v>
      </c>
      <c r="M49" s="24" t="n">
        <v>24.4937741628968</v>
      </c>
      <c r="N49" s="24" t="n">
        <v>24.7550719495167</v>
      </c>
      <c r="O49" s="24" t="n">
        <v>25.0087934061858</v>
      </c>
      <c r="P49" s="24" t="n">
        <v>25.238887917733</v>
      </c>
      <c r="Q49" s="24" t="n">
        <v>25.4689361090258</v>
      </c>
      <c r="R49" s="24" t="n">
        <v>25.6854411642918</v>
      </c>
      <c r="S49" s="24" t="n">
        <v>25.8965050058008</v>
      </c>
      <c r="T49" s="24" t="n">
        <v>26.0840932834389</v>
      </c>
      <c r="U49" s="24" t="n">
        <v>26.2606034880033</v>
      </c>
      <c r="V49" s="24" t="n">
        <v>26.4347292765268</v>
      </c>
      <c r="W49" s="24" t="n">
        <v>26.6041043871073</v>
      </c>
      <c r="X49" s="24" t="n">
        <v>26.7822725219743</v>
      </c>
      <c r="Y49" s="24" t="n">
        <v>26.9463687518784</v>
      </c>
      <c r="Z49" s="24" t="n">
        <v>27.1012903966916</v>
      </c>
      <c r="AA49" s="24" t="n">
        <v>27.2465238330701</v>
      </c>
      <c r="AB49" s="24" t="n">
        <v>27.407173285762</v>
      </c>
      <c r="AC49" s="24" t="n">
        <v>27.558300257609</v>
      </c>
      <c r="AD49" s="24" t="n">
        <v>27.6942570198315</v>
      </c>
      <c r="AE49" s="24" t="n">
        <v>27.8442335031034</v>
      </c>
      <c r="AF49" s="24" t="n">
        <v>27.9771675207796</v>
      </c>
      <c r="AG49" s="24" t="n">
        <v>28.1123864563854</v>
      </c>
      <c r="AH49" s="24" t="n">
        <v>28.2585797984646</v>
      </c>
      <c r="AI49" s="24" t="n">
        <v>28.3833933781083</v>
      </c>
      <c r="AJ49" s="24" t="n">
        <v>28.5106654463025</v>
      </c>
      <c r="AK49" s="24" t="n">
        <v>28.6353083272353</v>
      </c>
      <c r="AL49" s="24" t="n">
        <v>28.7661801172684</v>
      </c>
      <c r="AM49" s="24" t="n">
        <v>28.8915335591114</v>
      </c>
      <c r="AN49" s="24" t="n">
        <v>29.0147049781545</v>
      </c>
      <c r="AO49" s="24" t="n">
        <v>29.1400179734814</v>
      </c>
      <c r="AP49" s="24" t="n">
        <v>29.2467413500346</v>
      </c>
      <c r="AQ49" s="24" t="n">
        <v>29.3490176157222</v>
      </c>
      <c r="AR49" s="24" t="n">
        <v>29.4660365010306</v>
      </c>
      <c r="AS49" s="24" t="n">
        <v>29.5751676275048</v>
      </c>
      <c r="AT49" s="24" t="n">
        <v>29.6735309579271</v>
      </c>
      <c r="AU49" s="24" t="n">
        <v>29.7889114762712</v>
      </c>
      <c r="AV49" s="24" t="n">
        <v>29.8993229972759</v>
      </c>
      <c r="AW49" s="24" t="n">
        <v>29.9970556915684</v>
      </c>
      <c r="AX49" s="24" t="n">
        <v>30.103952446316</v>
      </c>
      <c r="AY49" s="24" t="n">
        <v>30.1976959201921</v>
      </c>
      <c r="AZ49" s="24" t="n">
        <v>30.2861431506411</v>
      </c>
      <c r="BA49" s="24" t="n">
        <v>30.378645268017</v>
      </c>
      <c r="BB49" s="24" t="n">
        <v>30.4698559413142</v>
      </c>
      <c r="BC49" s="24" t="n">
        <v>30.5631289408118</v>
      </c>
      <c r="BD49" s="24" t="n">
        <v>30.6511172610141</v>
      </c>
      <c r="BE49" s="24" t="n">
        <v>30.7380745522853</v>
      </c>
      <c r="BF49" s="24" t="n">
        <v>30.8235709070126</v>
      </c>
      <c r="BG49" s="24" t="n">
        <v>30.9188781307351</v>
      </c>
      <c r="BH49" s="24" t="n">
        <v>31.005709551156</v>
      </c>
      <c r="BI49" s="24" t="n">
        <v>31.0816789792313</v>
      </c>
      <c r="BJ49" s="24" t="n">
        <v>31.1629312651619</v>
      </c>
      <c r="BK49" s="24" t="n">
        <v>31.2527806916838</v>
      </c>
      <c r="BL49" s="24" t="n">
        <v>31.3338670225226</v>
      </c>
      <c r="BM49" s="24" t="n">
        <v>31.408305422652</v>
      </c>
      <c r="BN49" s="24" t="n">
        <v>31.4918269040477</v>
      </c>
      <c r="BO49" s="24" t="n">
        <v>31.5724070080835</v>
      </c>
      <c r="BP49" s="24" t="n">
        <v>31.6455725560237</v>
      </c>
      <c r="BQ49" s="24" t="n">
        <v>31.7273001438442</v>
      </c>
      <c r="BR49" s="24" t="n">
        <v>31.8045661855851</v>
      </c>
      <c r="BS49" s="24" t="n">
        <v>31.8881007809476</v>
      </c>
      <c r="BT49" s="24" t="n">
        <v>31.9689113754583</v>
      </c>
      <c r="BU49" s="24" t="n">
        <v>32.0457244141427</v>
      </c>
      <c r="BV49" s="24" t="n">
        <v>32.1254443298588</v>
      </c>
      <c r="BW49" s="24" t="n">
        <v>32.1981561773333</v>
      </c>
      <c r="BX49" s="24" t="n">
        <v>32.2699596760173</v>
      </c>
      <c r="BY49" s="24" t="n">
        <v>32.3450376478528</v>
      </c>
      <c r="BZ49" s="24" t="n">
        <v>32.4101619786384</v>
      </c>
      <c r="CA49" s="24" t="n">
        <v>32.4934865092306</v>
      </c>
      <c r="CB49" s="24" t="n">
        <v>32.5652409772056</v>
      </c>
      <c r="CC49" s="24" t="n">
        <v>32.6313477609754</v>
      </c>
      <c r="CD49" s="24" t="n">
        <v>32.694630261126</v>
      </c>
      <c r="CE49" s="24" t="n">
        <v>32.762526893619</v>
      </c>
      <c r="CF49" s="24" t="n">
        <v>32.8279038530303</v>
      </c>
      <c r="CG49" s="24" t="n">
        <v>32.8972380006598</v>
      </c>
      <c r="CH49" s="24" t="n">
        <v>32.963961722255</v>
      </c>
      <c r="CI49" s="24" t="n">
        <v>33.0320741140722</v>
      </c>
      <c r="CJ49" s="24" t="n">
        <v>33.1051356411066</v>
      </c>
      <c r="CK49" s="24" t="n">
        <v>33.1648945907026</v>
      </c>
      <c r="CL49" s="24" t="n">
        <v>33.220447289958</v>
      </c>
      <c r="CM49" s="24" t="n">
        <v>33.2884896025273</v>
      </c>
      <c r="CN49" s="24" t="n">
        <v>33.3574456024941</v>
      </c>
      <c r="CO49" s="24" t="n">
        <v>33.4252023505093</v>
      </c>
      <c r="CP49" s="24" t="n">
        <v>33.4941404357158</v>
      </c>
      <c r="CQ49" s="24" t="n">
        <v>33.563914412792</v>
      </c>
      <c r="CR49" s="24" t="n">
        <v>33.6281898889839</v>
      </c>
      <c r="CS49" s="24" t="n">
        <v>33.6537153798594</v>
      </c>
      <c r="CT49" s="24" t="n">
        <v>23.6195273834986</v>
      </c>
    </row>
    <row r="50" customFormat="false" ht="15" hidden="false" customHeight="false" outlineLevel="0" collapsed="false">
      <c r="A50" s="11" t="n">
        <v>225</v>
      </c>
      <c r="B50" s="24" t="n">
        <v>19.660142304441</v>
      </c>
      <c r="C50" s="24" t="n">
        <v>20.4334310281033</v>
      </c>
      <c r="D50" s="24" t="n">
        <v>21.0877739893814</v>
      </c>
      <c r="E50" s="24" t="n">
        <v>21.635946503387</v>
      </c>
      <c r="F50" s="24" t="n">
        <v>22.1474762837047</v>
      </c>
      <c r="G50" s="24" t="n">
        <v>22.5747867234206</v>
      </c>
      <c r="H50" s="24" t="n">
        <v>22.9603480246019</v>
      </c>
      <c r="I50" s="24" t="n">
        <v>23.3093956136396</v>
      </c>
      <c r="J50" s="24" t="n">
        <v>23.6269103406155</v>
      </c>
      <c r="K50" s="24" t="n">
        <v>23.9443781075226</v>
      </c>
      <c r="L50" s="24" t="n">
        <v>24.2517651365365</v>
      </c>
      <c r="M50" s="24" t="n">
        <v>24.5018551138248</v>
      </c>
      <c r="N50" s="24" t="n">
        <v>24.7690495005665</v>
      </c>
      <c r="O50" s="24" t="n">
        <v>25.025360549798</v>
      </c>
      <c r="P50" s="24" t="n">
        <v>25.2548927849521</v>
      </c>
      <c r="Q50" s="24" t="n">
        <v>25.4846312731014</v>
      </c>
      <c r="R50" s="24" t="n">
        <v>25.6949396591106</v>
      </c>
      <c r="S50" s="24" t="n">
        <v>25.9054737649293</v>
      </c>
      <c r="T50" s="24" t="n">
        <v>26.091918004721</v>
      </c>
      <c r="U50" s="24" t="n">
        <v>26.271307189342</v>
      </c>
      <c r="V50" s="24" t="n">
        <v>26.4473923978635</v>
      </c>
      <c r="W50" s="24" t="n">
        <v>26.6214903011821</v>
      </c>
      <c r="X50" s="24" t="n">
        <v>26.7983495414382</v>
      </c>
      <c r="Y50" s="24" t="n">
        <v>26.9598493332857</v>
      </c>
      <c r="Z50" s="24" t="n">
        <v>27.1116373471608</v>
      </c>
      <c r="AA50" s="24" t="n">
        <v>27.2619244930807</v>
      </c>
      <c r="AB50" s="24" t="n">
        <v>27.4231560894178</v>
      </c>
      <c r="AC50" s="24" t="n">
        <v>27.5690292677091</v>
      </c>
      <c r="AD50" s="24" t="n">
        <v>27.7049283046658</v>
      </c>
      <c r="AE50" s="24" t="n">
        <v>27.8569709933332</v>
      </c>
      <c r="AF50" s="24" t="n">
        <v>27.9897700215248</v>
      </c>
      <c r="AG50" s="24" t="n">
        <v>28.1292625702292</v>
      </c>
      <c r="AH50" s="24" t="n">
        <v>28.2764699092319</v>
      </c>
      <c r="AI50" s="24" t="n">
        <v>28.3983227898227</v>
      </c>
      <c r="AJ50" s="24" t="n">
        <v>28.5177356679923</v>
      </c>
      <c r="AK50" s="24" t="n">
        <v>28.6436208661393</v>
      </c>
      <c r="AL50" s="24" t="n">
        <v>28.7808098938437</v>
      </c>
      <c r="AM50" s="24" t="n">
        <v>28.9026097906628</v>
      </c>
      <c r="AN50" s="24" t="n">
        <v>29.0266919212694</v>
      </c>
      <c r="AO50" s="24" t="n">
        <v>29.1507638543585</v>
      </c>
      <c r="AP50" s="24" t="n">
        <v>29.255328886718</v>
      </c>
      <c r="AQ50" s="24" t="n">
        <v>29.3591426583594</v>
      </c>
      <c r="AR50" s="24" t="n">
        <v>29.4732154571892</v>
      </c>
      <c r="AS50" s="24" t="n">
        <v>29.5825974674662</v>
      </c>
      <c r="AT50" s="24" t="n">
        <v>29.6792247002227</v>
      </c>
      <c r="AU50" s="24" t="n">
        <v>29.7929061051928</v>
      </c>
      <c r="AV50" s="24" t="n">
        <v>29.9052510382921</v>
      </c>
      <c r="AW50" s="24" t="n">
        <v>30.0029971262672</v>
      </c>
      <c r="AX50" s="24" t="n">
        <v>30.1125302482943</v>
      </c>
      <c r="AY50" s="24" t="n">
        <v>30.2035146769065</v>
      </c>
      <c r="AZ50" s="24" t="n">
        <v>30.2948213591804</v>
      </c>
      <c r="BA50" s="24" t="n">
        <v>30.385504643924</v>
      </c>
      <c r="BB50" s="24" t="n">
        <v>30.4765441438513</v>
      </c>
      <c r="BC50" s="24" t="n">
        <v>30.5764278002188</v>
      </c>
      <c r="BD50" s="24" t="n">
        <v>30.6612337577118</v>
      </c>
      <c r="BE50" s="24" t="n">
        <v>30.7483329142814</v>
      </c>
      <c r="BF50" s="24" t="n">
        <v>30.839163745046</v>
      </c>
      <c r="BG50" s="24" t="n">
        <v>30.9306207630689</v>
      </c>
      <c r="BH50" s="24" t="n">
        <v>31.0154617591501</v>
      </c>
      <c r="BI50" s="24" t="n">
        <v>31.0920000927607</v>
      </c>
      <c r="BJ50" s="24" t="n">
        <v>31.1728761585253</v>
      </c>
      <c r="BK50" s="24" t="n">
        <v>31.262431520832</v>
      </c>
      <c r="BL50" s="24" t="n">
        <v>31.3429308928733</v>
      </c>
      <c r="BM50" s="24" t="n">
        <v>31.4192663414747</v>
      </c>
      <c r="BN50" s="24" t="n">
        <v>31.5046249956661</v>
      </c>
      <c r="BO50" s="24" t="n">
        <v>31.5836066321936</v>
      </c>
      <c r="BP50" s="24" t="n">
        <v>31.6556561908032</v>
      </c>
      <c r="BQ50" s="24" t="n">
        <v>31.7396820175521</v>
      </c>
      <c r="BR50" s="24" t="n">
        <v>31.8169916790629</v>
      </c>
      <c r="BS50" s="24" t="n">
        <v>31.9010817974924</v>
      </c>
      <c r="BT50" s="24" t="n">
        <v>31.9804044965196</v>
      </c>
      <c r="BU50" s="24" t="n">
        <v>32.0532808208771</v>
      </c>
      <c r="BV50" s="24" t="n">
        <v>32.133765451733</v>
      </c>
      <c r="BW50" s="24" t="n">
        <v>32.2049119978304</v>
      </c>
      <c r="BX50" s="24" t="n">
        <v>32.2782373036165</v>
      </c>
      <c r="BY50" s="24" t="n">
        <v>32.3526496279094</v>
      </c>
      <c r="BZ50" s="24" t="n">
        <v>32.4234997619</v>
      </c>
      <c r="CA50" s="24" t="n">
        <v>32.5005147924747</v>
      </c>
      <c r="CB50" s="24" t="n">
        <v>32.5727437175978</v>
      </c>
      <c r="CC50" s="24" t="n">
        <v>32.6388273913948</v>
      </c>
      <c r="CD50" s="24" t="n">
        <v>32.7020096176023</v>
      </c>
      <c r="CE50" s="24" t="n">
        <v>32.7696516565232</v>
      </c>
      <c r="CF50" s="24" t="n">
        <v>32.8367260121015</v>
      </c>
      <c r="CG50" s="24" t="n">
        <v>32.9064117263471</v>
      </c>
      <c r="CH50" s="24" t="n">
        <v>32.9725875087582</v>
      </c>
      <c r="CI50" s="24" t="n">
        <v>33.0415224462242</v>
      </c>
      <c r="CJ50" s="24" t="n">
        <v>33.1146191643939</v>
      </c>
      <c r="CK50" s="24" t="n">
        <v>33.1720270296669</v>
      </c>
      <c r="CL50" s="24" t="n">
        <v>33.2276354870751</v>
      </c>
      <c r="CM50" s="24" t="n">
        <v>33.2960354063985</v>
      </c>
      <c r="CN50" s="24" t="n">
        <v>33.363539467248</v>
      </c>
      <c r="CO50" s="24" t="n">
        <v>33.4333037167335</v>
      </c>
      <c r="CP50" s="24" t="n">
        <v>33.5034159118382</v>
      </c>
      <c r="CQ50" s="24" t="n">
        <v>33.5704987240291</v>
      </c>
      <c r="CR50" s="24" t="n">
        <v>33.6354311432785</v>
      </c>
      <c r="CS50" s="24" t="n">
        <v>33.6609340765452</v>
      </c>
      <c r="CT50" s="24" t="n">
        <v>23.6307704671781</v>
      </c>
    </row>
    <row r="51" customFormat="false" ht="15" hidden="false" customHeight="false" outlineLevel="0" collapsed="false">
      <c r="A51" s="11" t="n">
        <v>230</v>
      </c>
      <c r="B51" s="24" t="n">
        <v>19.6865993398845</v>
      </c>
      <c r="C51" s="24" t="n">
        <v>20.4628422809787</v>
      </c>
      <c r="D51" s="24" t="n">
        <v>21.122508655103</v>
      </c>
      <c r="E51" s="24" t="n">
        <v>21.6546852297538</v>
      </c>
      <c r="F51" s="24" t="n">
        <v>22.1627974784681</v>
      </c>
      <c r="G51" s="24" t="n">
        <v>22.5843905733871</v>
      </c>
      <c r="H51" s="24" t="n">
        <v>22.9795579918209</v>
      </c>
      <c r="I51" s="24" t="n">
        <v>23.3169481584041</v>
      </c>
      <c r="J51" s="24" t="n">
        <v>23.6415769293674</v>
      </c>
      <c r="K51" s="24" t="n">
        <v>23.9580237882141</v>
      </c>
      <c r="L51" s="24" t="n">
        <v>24.2626460886884</v>
      </c>
      <c r="M51" s="24" t="n">
        <v>24.5120971201178</v>
      </c>
      <c r="N51" s="24" t="n">
        <v>24.7745824410727</v>
      </c>
      <c r="O51" s="24" t="n">
        <v>25.0364344258689</v>
      </c>
      <c r="P51" s="24" t="n">
        <v>25.2663161055177</v>
      </c>
      <c r="Q51" s="24" t="n">
        <v>25.4953292784845</v>
      </c>
      <c r="R51" s="24" t="n">
        <v>25.7049402785857</v>
      </c>
      <c r="S51" s="24" t="n">
        <v>25.9174086577536</v>
      </c>
      <c r="T51" s="24" t="n">
        <v>26.1048844111035</v>
      </c>
      <c r="U51" s="24" t="n">
        <v>26.2793348348631</v>
      </c>
      <c r="V51" s="24" t="n">
        <v>26.4566848350868</v>
      </c>
      <c r="W51" s="24" t="n">
        <v>26.6300172151183</v>
      </c>
      <c r="X51" s="24" t="n">
        <v>26.8076906374251</v>
      </c>
      <c r="Y51" s="24" t="n">
        <v>26.9703992070639</v>
      </c>
      <c r="Z51" s="24" t="n">
        <v>27.1184021868945</v>
      </c>
      <c r="AA51" s="24" t="n">
        <v>27.2717880283496</v>
      </c>
      <c r="AB51" s="24" t="n">
        <v>27.4333610418427</v>
      </c>
      <c r="AC51" s="24" t="n">
        <v>27.5786703911573</v>
      </c>
      <c r="AD51" s="24" t="n">
        <v>27.7128567427864</v>
      </c>
      <c r="AE51" s="24" t="n">
        <v>27.8644673541022</v>
      </c>
      <c r="AF51" s="24" t="n">
        <v>27.9960781320786</v>
      </c>
      <c r="AG51" s="24" t="n">
        <v>28.1373934391828</v>
      </c>
      <c r="AH51" s="24" t="n">
        <v>28.2876127113683</v>
      </c>
      <c r="AI51" s="24" t="n">
        <v>28.4095470560088</v>
      </c>
      <c r="AJ51" s="24" t="n">
        <v>28.5301962671761</v>
      </c>
      <c r="AK51" s="24" t="n">
        <v>28.6550422724578</v>
      </c>
      <c r="AL51" s="24" t="n">
        <v>28.7932920706037</v>
      </c>
      <c r="AM51" s="24" t="n">
        <v>28.9166461698521</v>
      </c>
      <c r="AN51" s="24" t="n">
        <v>29.0393119519809</v>
      </c>
      <c r="AO51" s="24" t="n">
        <v>29.1599396871495</v>
      </c>
      <c r="AP51" s="24" t="n">
        <v>29.2643700022088</v>
      </c>
      <c r="AQ51" s="24" t="n">
        <v>29.3668535967951</v>
      </c>
      <c r="AR51" s="24" t="n">
        <v>29.4806032372876</v>
      </c>
      <c r="AS51" s="24" t="n">
        <v>29.5918389542129</v>
      </c>
      <c r="AT51" s="24" t="n">
        <v>29.6906467129765</v>
      </c>
      <c r="AU51" s="24" t="n">
        <v>29.8046953246866</v>
      </c>
      <c r="AV51" s="24" t="n">
        <v>29.9127429549252</v>
      </c>
      <c r="AW51" s="24" t="n">
        <v>30.0103269993078</v>
      </c>
      <c r="AX51" s="24" t="n">
        <v>30.1205594278146</v>
      </c>
      <c r="AY51" s="24" t="n">
        <v>30.2131385446966</v>
      </c>
      <c r="AZ51" s="24" t="n">
        <v>30.3002973288051</v>
      </c>
      <c r="BA51" s="24" t="n">
        <v>30.393481594081</v>
      </c>
      <c r="BB51" s="24" t="n">
        <v>30.481440998969</v>
      </c>
      <c r="BC51" s="24" t="n">
        <v>30.5818227962512</v>
      </c>
      <c r="BD51" s="24" t="n">
        <v>30.6683303989355</v>
      </c>
      <c r="BE51" s="24" t="n">
        <v>30.7548174511867</v>
      </c>
      <c r="BF51" s="24" t="n">
        <v>30.8452318154527</v>
      </c>
      <c r="BG51" s="24" t="n">
        <v>30.9368047750659</v>
      </c>
      <c r="BH51" s="24" t="n">
        <v>31.0200491932899</v>
      </c>
      <c r="BI51" s="24" t="n">
        <v>31.0964164300634</v>
      </c>
      <c r="BJ51" s="24" t="n">
        <v>31.182067689249</v>
      </c>
      <c r="BK51" s="24" t="n">
        <v>31.2686130455038</v>
      </c>
      <c r="BL51" s="24" t="n">
        <v>31.348554606458</v>
      </c>
      <c r="BM51" s="24" t="n">
        <v>31.4274818579678</v>
      </c>
      <c r="BN51" s="24" t="n">
        <v>31.5115045723746</v>
      </c>
      <c r="BO51" s="24" t="n">
        <v>31.5919354019132</v>
      </c>
      <c r="BP51" s="24" t="n">
        <v>31.6655885297274</v>
      </c>
      <c r="BQ51" s="24" t="n">
        <v>31.7479614556205</v>
      </c>
      <c r="BR51" s="24" t="n">
        <v>31.8260869325938</v>
      </c>
      <c r="BS51" s="24" t="n">
        <v>31.908332359063</v>
      </c>
      <c r="BT51" s="24" t="n">
        <v>31.9888419919975</v>
      </c>
      <c r="BU51" s="24" t="n">
        <v>32.063269417171</v>
      </c>
      <c r="BV51" s="24" t="n">
        <v>32.1387676565811</v>
      </c>
      <c r="BW51" s="24" t="n">
        <v>32.211973880633</v>
      </c>
      <c r="BX51" s="24" t="n">
        <v>32.2844860286226</v>
      </c>
      <c r="BY51" s="24" t="n">
        <v>32.3594448545227</v>
      </c>
      <c r="BZ51" s="24" t="n">
        <v>32.4322098745057</v>
      </c>
      <c r="CA51" s="24" t="n">
        <v>32.5081278031646</v>
      </c>
      <c r="CB51" s="24" t="n">
        <v>32.5801025451428</v>
      </c>
      <c r="CC51" s="24" t="n">
        <v>32.6453865821601</v>
      </c>
      <c r="CD51" s="24" t="n">
        <v>32.7099258795354</v>
      </c>
      <c r="CE51" s="24" t="n">
        <v>32.7750250752162</v>
      </c>
      <c r="CF51" s="24" t="n">
        <v>32.8447770110163</v>
      </c>
      <c r="CG51" s="24" t="n">
        <v>32.9122196577145</v>
      </c>
      <c r="CH51" s="24" t="n">
        <v>32.9785242735861</v>
      </c>
      <c r="CI51" s="24" t="n">
        <v>33.0479713376447</v>
      </c>
      <c r="CJ51" s="24" t="n">
        <v>33.1238389678686</v>
      </c>
      <c r="CK51" s="24" t="n">
        <v>33.1788085024668</v>
      </c>
      <c r="CL51" s="24" t="n">
        <v>33.233320881899</v>
      </c>
      <c r="CM51" s="24" t="n">
        <v>33.3053030864199</v>
      </c>
      <c r="CN51" s="24" t="n">
        <v>33.3710497944828</v>
      </c>
      <c r="CO51" s="24" t="n">
        <v>33.4429720207605</v>
      </c>
      <c r="CP51" s="24" t="n">
        <v>33.5104991290952</v>
      </c>
      <c r="CQ51" s="24" t="n">
        <v>33.5757891766503</v>
      </c>
      <c r="CR51" s="24" t="n">
        <v>33.6415572729764</v>
      </c>
      <c r="CS51" s="24" t="n">
        <v>33.667418429454</v>
      </c>
      <c r="CT51" s="24" t="n">
        <v>23.6420209264744</v>
      </c>
    </row>
    <row r="52" customFormat="false" ht="15" hidden="false" customHeight="false" outlineLevel="0" collapsed="false">
      <c r="A52" s="11" t="n">
        <v>235</v>
      </c>
      <c r="B52" s="24" t="n">
        <v>19.6943267239646</v>
      </c>
      <c r="C52" s="24" t="n">
        <v>20.4840687580215</v>
      </c>
      <c r="D52" s="24" t="n">
        <v>21.1375784484512</v>
      </c>
      <c r="E52" s="24" t="n">
        <v>21.6999933976065</v>
      </c>
      <c r="F52" s="24" t="n">
        <v>22.1961611596799</v>
      </c>
      <c r="G52" s="24" t="n">
        <v>22.6082778937778</v>
      </c>
      <c r="H52" s="24" t="n">
        <v>22.992892004593</v>
      </c>
      <c r="I52" s="24" t="n">
        <v>23.3398757300547</v>
      </c>
      <c r="J52" s="24" t="n">
        <v>23.6472067848224</v>
      </c>
      <c r="K52" s="24" t="n">
        <v>23.9748176255075</v>
      </c>
      <c r="L52" s="24" t="n">
        <v>24.2773702557633</v>
      </c>
      <c r="M52" s="24" t="n">
        <v>24.5208510853604</v>
      </c>
      <c r="N52" s="24" t="n">
        <v>24.7831105552395</v>
      </c>
      <c r="O52" s="24" t="n">
        <v>25.0431430375435</v>
      </c>
      <c r="P52" s="24" t="n">
        <v>25.2766314014833</v>
      </c>
      <c r="Q52" s="24" t="n">
        <v>25.5055505105573</v>
      </c>
      <c r="R52" s="24" t="n">
        <v>25.7067290745691</v>
      </c>
      <c r="S52" s="24" t="n">
        <v>25.9289949511943</v>
      </c>
      <c r="T52" s="24" t="n">
        <v>26.1122591871659</v>
      </c>
      <c r="U52" s="24" t="n">
        <v>26.2829792356221</v>
      </c>
      <c r="V52" s="24" t="n">
        <v>26.4629907037706</v>
      </c>
      <c r="W52" s="24" t="n">
        <v>26.6402089031942</v>
      </c>
      <c r="X52" s="24" t="n">
        <v>26.8174015663993</v>
      </c>
      <c r="Y52" s="24" t="n">
        <v>26.9794297185672</v>
      </c>
      <c r="Z52" s="24" t="n">
        <v>27.1296542002434</v>
      </c>
      <c r="AA52" s="24" t="n">
        <v>27.2803248040437</v>
      </c>
      <c r="AB52" s="24" t="n">
        <v>27.4422127092575</v>
      </c>
      <c r="AC52" s="24" t="n">
        <v>27.5860951319301</v>
      </c>
      <c r="AD52" s="24" t="n">
        <v>27.7226953109839</v>
      </c>
      <c r="AE52" s="24" t="n">
        <v>27.8721886056328</v>
      </c>
      <c r="AF52" s="24" t="n">
        <v>28.0057862165072</v>
      </c>
      <c r="AG52" s="24" t="n">
        <v>28.1435087156726</v>
      </c>
      <c r="AH52" s="24" t="n">
        <v>28.2963830588027</v>
      </c>
      <c r="AI52" s="24" t="n">
        <v>28.416338316592</v>
      </c>
      <c r="AJ52" s="24" t="n">
        <v>28.5366018796535</v>
      </c>
      <c r="AK52" s="24" t="n">
        <v>28.6591494198109</v>
      </c>
      <c r="AL52" s="24" t="n">
        <v>28.8009793402982</v>
      </c>
      <c r="AM52" s="24" t="n">
        <v>28.9287454840552</v>
      </c>
      <c r="AN52" s="24" t="n">
        <v>29.04688947635</v>
      </c>
      <c r="AO52" s="24" t="n">
        <v>29.1662845995891</v>
      </c>
      <c r="AP52" s="24" t="n">
        <v>29.2722288755888</v>
      </c>
      <c r="AQ52" s="24" t="n">
        <v>29.3730309236363</v>
      </c>
      <c r="AR52" s="24" t="n">
        <v>29.4899397496484</v>
      </c>
      <c r="AS52" s="24" t="n">
        <v>29.6011858084622</v>
      </c>
      <c r="AT52" s="24" t="n">
        <v>29.6983168571007</v>
      </c>
      <c r="AU52" s="24" t="n">
        <v>29.8105413754529</v>
      </c>
      <c r="AV52" s="24" t="n">
        <v>29.9213359079821</v>
      </c>
      <c r="AW52" s="24" t="n">
        <v>30.0174784656951</v>
      </c>
      <c r="AX52" s="24" t="n">
        <v>30.1270418549987</v>
      </c>
      <c r="AY52" s="24" t="n">
        <v>30.2184335429443</v>
      </c>
      <c r="AZ52" s="24" t="n">
        <v>30.3076601721854</v>
      </c>
      <c r="BA52" s="24" t="n">
        <v>30.4007789608608</v>
      </c>
      <c r="BB52" s="24" t="n">
        <v>30.4909449707847</v>
      </c>
      <c r="BC52" s="24" t="n">
        <v>30.5894194259944</v>
      </c>
      <c r="BD52" s="24" t="n">
        <v>30.6750435822173</v>
      </c>
      <c r="BE52" s="24" t="n">
        <v>30.7620980963477</v>
      </c>
      <c r="BF52" s="24" t="n">
        <v>30.8525442932706</v>
      </c>
      <c r="BG52" s="24" t="n">
        <v>30.9461483518524</v>
      </c>
      <c r="BH52" s="24" t="n">
        <v>31.024075976257</v>
      </c>
      <c r="BI52" s="24" t="n">
        <v>31.1023978294961</v>
      </c>
      <c r="BJ52" s="24" t="n">
        <v>31.1899213764272</v>
      </c>
      <c r="BK52" s="24" t="n">
        <v>31.2711534864193</v>
      </c>
      <c r="BL52" s="24" t="n">
        <v>31.3533346401037</v>
      </c>
      <c r="BM52" s="24" t="n">
        <v>31.4330594450856</v>
      </c>
      <c r="BN52" s="24" t="n">
        <v>31.5180033880174</v>
      </c>
      <c r="BO52" s="24" t="n">
        <v>31.5949963098979</v>
      </c>
      <c r="BP52" s="24" t="n">
        <v>31.667900490757</v>
      </c>
      <c r="BQ52" s="24" t="n">
        <v>31.7502858371586</v>
      </c>
      <c r="BR52" s="24" t="n">
        <v>31.8311541886608</v>
      </c>
      <c r="BS52" s="24" t="n">
        <v>31.9137064147014</v>
      </c>
      <c r="BT52" s="24" t="n">
        <v>31.995676534497</v>
      </c>
      <c r="BU52" s="24" t="n">
        <v>32.0701421882782</v>
      </c>
      <c r="BV52" s="24" t="n">
        <v>32.1467813162511</v>
      </c>
      <c r="BW52" s="24" t="n">
        <v>32.2177040905036</v>
      </c>
      <c r="BX52" s="24" t="n">
        <v>32.2916879848653</v>
      </c>
      <c r="BY52" s="24" t="n">
        <v>32.3654220681279</v>
      </c>
      <c r="BZ52" s="24" t="n">
        <v>32.4401192674575</v>
      </c>
      <c r="CA52" s="24" t="n">
        <v>32.5144797710028</v>
      </c>
      <c r="CB52" s="24" t="n">
        <v>32.5870158574112</v>
      </c>
      <c r="CC52" s="24" t="n">
        <v>32.6526570297201</v>
      </c>
      <c r="CD52" s="24" t="n">
        <v>32.7158551819391</v>
      </c>
      <c r="CE52" s="24" t="n">
        <v>32.7801432298233</v>
      </c>
      <c r="CF52" s="24" t="n">
        <v>32.8521478208893</v>
      </c>
      <c r="CG52" s="24" t="n">
        <v>32.9183038411703</v>
      </c>
      <c r="CH52" s="24" t="n">
        <v>32.9850489599885</v>
      </c>
      <c r="CI52" s="24" t="n">
        <v>33.0531281986766</v>
      </c>
      <c r="CJ52" s="24" t="n">
        <v>33.1293032538686</v>
      </c>
      <c r="CK52" s="24" t="n">
        <v>33.1830751509273</v>
      </c>
      <c r="CL52" s="24" t="n">
        <v>33.2396359453382</v>
      </c>
      <c r="CM52" s="24" t="n">
        <v>33.3103855082087</v>
      </c>
      <c r="CN52" s="24" t="n">
        <v>33.3772183699569</v>
      </c>
      <c r="CO52" s="24" t="n">
        <v>33.449936891076</v>
      </c>
      <c r="CP52" s="24" t="n">
        <v>33.5158584873932</v>
      </c>
      <c r="CQ52" s="24" t="n">
        <v>33.5841101503136</v>
      </c>
      <c r="CR52" s="24" t="n">
        <v>33.6487840160712</v>
      </c>
      <c r="CS52" s="24" t="n">
        <v>33.6744535061004</v>
      </c>
      <c r="CT52" s="24" t="n">
        <v>23.6500647725715</v>
      </c>
    </row>
    <row r="53" customFormat="false" ht="15" hidden="false" customHeight="false" outlineLevel="0" collapsed="false">
      <c r="A53" s="11" t="n">
        <v>240</v>
      </c>
      <c r="B53" s="24" t="n">
        <v>19.7105720547016</v>
      </c>
      <c r="C53" s="24" t="n">
        <v>20.4959433230926</v>
      </c>
      <c r="D53" s="24" t="n">
        <v>21.1626704719109</v>
      </c>
      <c r="E53" s="24" t="n">
        <v>21.7058308296018</v>
      </c>
      <c r="F53" s="24" t="n">
        <v>22.2159528676639</v>
      </c>
      <c r="G53" s="24" t="n">
        <v>22.6270740593613</v>
      </c>
      <c r="H53" s="24" t="n">
        <v>23.0057179719602</v>
      </c>
      <c r="I53" s="24" t="n">
        <v>23.3579379579189</v>
      </c>
      <c r="J53" s="24" t="n">
        <v>23.6649306941062</v>
      </c>
      <c r="K53" s="24" t="n">
        <v>23.9901972295876</v>
      </c>
      <c r="L53" s="24" t="n">
        <v>24.2858326649389</v>
      </c>
      <c r="M53" s="24" t="n">
        <v>24.5349274723211</v>
      </c>
      <c r="N53" s="24" t="n">
        <v>24.7955301744951</v>
      </c>
      <c r="O53" s="24" t="n">
        <v>25.0533631637489</v>
      </c>
      <c r="P53" s="24" t="n">
        <v>25.2903970913954</v>
      </c>
      <c r="Q53" s="24" t="n">
        <v>25.5154161782862</v>
      </c>
      <c r="R53" s="24" t="n">
        <v>25.7132920386439</v>
      </c>
      <c r="S53" s="24" t="n">
        <v>25.9325154298046</v>
      </c>
      <c r="T53" s="24" t="n">
        <v>26.1154078413611</v>
      </c>
      <c r="U53" s="24" t="n">
        <v>26.2862297231226</v>
      </c>
      <c r="V53" s="24" t="n">
        <v>26.4657397757614</v>
      </c>
      <c r="W53" s="24" t="n">
        <v>26.6444338112208</v>
      </c>
      <c r="X53" s="24" t="n">
        <v>26.8227348145064</v>
      </c>
      <c r="Y53" s="24" t="n">
        <v>26.9851789579427</v>
      </c>
      <c r="Z53" s="24" t="n">
        <v>27.1381700138602</v>
      </c>
      <c r="AA53" s="24" t="n">
        <v>27.2870153217082</v>
      </c>
      <c r="AB53" s="24" t="n">
        <v>27.4486001459947</v>
      </c>
      <c r="AC53" s="24" t="n">
        <v>27.5928852333092</v>
      </c>
      <c r="AD53" s="24" t="n">
        <v>27.7363206723543</v>
      </c>
      <c r="AE53" s="24" t="n">
        <v>27.8836694913068</v>
      </c>
      <c r="AF53" s="24" t="n">
        <v>28.0156172028196</v>
      </c>
      <c r="AG53" s="24" t="n">
        <v>28.1524468139324</v>
      </c>
      <c r="AH53" s="24" t="n">
        <v>28.3046440665791</v>
      </c>
      <c r="AI53" s="24" t="n">
        <v>28.4211874876377</v>
      </c>
      <c r="AJ53" s="24" t="n">
        <v>28.5417171718752</v>
      </c>
      <c r="AK53" s="24" t="n">
        <v>28.6634204366767</v>
      </c>
      <c r="AL53" s="24" t="n">
        <v>28.8103269423613</v>
      </c>
      <c r="AM53" s="24" t="n">
        <v>28.9373822332883</v>
      </c>
      <c r="AN53" s="24" t="n">
        <v>29.0532693351362</v>
      </c>
      <c r="AO53" s="24" t="n">
        <v>29.1712157960288</v>
      </c>
      <c r="AP53" s="24" t="n">
        <v>29.2788979721487</v>
      </c>
      <c r="AQ53" s="24" t="n">
        <v>29.381244837781</v>
      </c>
      <c r="AR53" s="24" t="n">
        <v>29.495849708416</v>
      </c>
      <c r="AS53" s="24" t="n">
        <v>29.6043423948716</v>
      </c>
      <c r="AT53" s="24" t="n">
        <v>29.7059788841093</v>
      </c>
      <c r="AU53" s="24" t="n">
        <v>29.8209963481142</v>
      </c>
      <c r="AV53" s="24" t="n">
        <v>29.9270653849005</v>
      </c>
      <c r="AW53" s="24" t="n">
        <v>30.0246419805395</v>
      </c>
      <c r="AX53" s="24" t="n">
        <v>30.1331641219319</v>
      </c>
      <c r="AY53" s="24" t="n">
        <v>30.225919404696</v>
      </c>
      <c r="AZ53" s="24" t="n">
        <v>30.3155418793035</v>
      </c>
      <c r="BA53" s="24" t="n">
        <v>30.4087948149328</v>
      </c>
      <c r="BB53" s="24" t="n">
        <v>30.4948450100157</v>
      </c>
      <c r="BC53" s="24" t="n">
        <v>30.5957647925771</v>
      </c>
      <c r="BD53" s="24" t="n">
        <v>30.6808590933234</v>
      </c>
      <c r="BE53" s="24" t="n">
        <v>30.7658602913785</v>
      </c>
      <c r="BF53" s="24" t="n">
        <v>30.8577858175319</v>
      </c>
      <c r="BG53" s="24" t="n">
        <v>30.950699626</v>
      </c>
      <c r="BH53" s="24" t="n">
        <v>31.0289362518513</v>
      </c>
      <c r="BI53" s="24" t="n">
        <v>31.1081973972816</v>
      </c>
      <c r="BJ53" s="24" t="n">
        <v>31.1963908869776</v>
      </c>
      <c r="BK53" s="24" t="n">
        <v>31.2754219289756</v>
      </c>
      <c r="BL53" s="24" t="n">
        <v>31.3568361549699</v>
      </c>
      <c r="BM53" s="24" t="n">
        <v>31.4399622938898</v>
      </c>
      <c r="BN53" s="24" t="n">
        <v>31.5237994811891</v>
      </c>
      <c r="BO53" s="24" t="n">
        <v>31.6023079404032</v>
      </c>
      <c r="BP53" s="24" t="n">
        <v>31.673618492629</v>
      </c>
      <c r="BQ53" s="24" t="n">
        <v>31.7569634773608</v>
      </c>
      <c r="BR53" s="24" t="n">
        <v>31.8351336459423</v>
      </c>
      <c r="BS53" s="24" t="n">
        <v>31.9184966205661</v>
      </c>
      <c r="BT53" s="24" t="n">
        <v>32.000155478047</v>
      </c>
      <c r="BU53" s="24" t="n">
        <v>32.0741797659317</v>
      </c>
      <c r="BV53" s="24" t="n">
        <v>32.1509921620341</v>
      </c>
      <c r="BW53" s="24" t="n">
        <v>32.2207414713467</v>
      </c>
      <c r="BX53" s="24" t="n">
        <v>32.2938717934339</v>
      </c>
      <c r="BY53" s="24" t="n">
        <v>32.3666170238546</v>
      </c>
      <c r="BZ53" s="24" t="n">
        <v>32.4443227567896</v>
      </c>
      <c r="CA53" s="24" t="n">
        <v>32.5170835286638</v>
      </c>
      <c r="CB53" s="24" t="n">
        <v>32.5896032871719</v>
      </c>
      <c r="CC53" s="24" t="n">
        <v>32.6549194464477</v>
      </c>
      <c r="CD53" s="24" t="n">
        <v>32.7194477700598</v>
      </c>
      <c r="CE53" s="24" t="n">
        <v>32.7841213587736</v>
      </c>
      <c r="CF53" s="24" t="n">
        <v>32.8557469811931</v>
      </c>
      <c r="CG53" s="24" t="n">
        <v>32.9219877641164</v>
      </c>
      <c r="CH53" s="24" t="n">
        <v>32.9899885079909</v>
      </c>
      <c r="CI53" s="24" t="n">
        <v>33.059196840814</v>
      </c>
      <c r="CJ53" s="24" t="n">
        <v>33.1343613647836</v>
      </c>
      <c r="CK53" s="24" t="n">
        <v>33.1883685866393</v>
      </c>
      <c r="CL53" s="24" t="n">
        <v>33.2458266801709</v>
      </c>
      <c r="CM53" s="24" t="n">
        <v>33.3174818013724</v>
      </c>
      <c r="CN53" s="24" t="n">
        <v>33.3839099789318</v>
      </c>
      <c r="CO53" s="24" t="n">
        <v>33.4573953125718</v>
      </c>
      <c r="CP53" s="24" t="n">
        <v>33.5192672004496</v>
      </c>
      <c r="CQ53" s="24" t="n">
        <v>33.5907192994418</v>
      </c>
      <c r="CR53" s="24" t="n">
        <v>33.6534654946647</v>
      </c>
      <c r="CS53" s="24" t="n">
        <v>33.6797145037814</v>
      </c>
      <c r="CT53" s="24" t="n">
        <v>23.6671614182362</v>
      </c>
    </row>
    <row r="54" customFormat="false" ht="15" hidden="false" customHeight="false" outlineLevel="0" collapsed="false">
      <c r="A54" s="11" t="n">
        <v>245</v>
      </c>
      <c r="B54" s="24" t="n">
        <v>19.7293659691991</v>
      </c>
      <c r="C54" s="24" t="n">
        <v>20.5047034272148</v>
      </c>
      <c r="D54" s="24" t="n">
        <v>21.1705879454066</v>
      </c>
      <c r="E54" s="24" t="n">
        <v>21.7181132690775</v>
      </c>
      <c r="F54" s="24" t="n">
        <v>22.2236134618492</v>
      </c>
      <c r="G54" s="24" t="n">
        <v>22.6319473003442</v>
      </c>
      <c r="H54" s="24" t="n">
        <v>23.0154565208001</v>
      </c>
      <c r="I54" s="24" t="n">
        <v>23.3781658640372</v>
      </c>
      <c r="J54" s="24" t="n">
        <v>23.6814461286148</v>
      </c>
      <c r="K54" s="24" t="n">
        <v>24.0041107641089</v>
      </c>
      <c r="L54" s="24" t="n">
        <v>24.2981432995876</v>
      </c>
      <c r="M54" s="24" t="n">
        <v>24.547281444803</v>
      </c>
      <c r="N54" s="24" t="n">
        <v>24.8075398154298</v>
      </c>
      <c r="O54" s="24" t="n">
        <v>25.0618080736136</v>
      </c>
      <c r="P54" s="24" t="n">
        <v>25.2961556635104</v>
      </c>
      <c r="Q54" s="24" t="n">
        <v>25.5195928258827</v>
      </c>
      <c r="R54" s="24" t="n">
        <v>25.7273166346147</v>
      </c>
      <c r="S54" s="24" t="n">
        <v>25.9353093166501</v>
      </c>
      <c r="T54" s="24" t="n">
        <v>26.125993295811</v>
      </c>
      <c r="U54" s="24" t="n">
        <v>26.2960610620165</v>
      </c>
      <c r="V54" s="24" t="n">
        <v>26.4728487807444</v>
      </c>
      <c r="W54" s="24" t="n">
        <v>26.6542750977054</v>
      </c>
      <c r="X54" s="24" t="n">
        <v>26.8289608215575</v>
      </c>
      <c r="Y54" s="24" t="n">
        <v>26.9899595828047</v>
      </c>
      <c r="Z54" s="24" t="n">
        <v>27.1426958335792</v>
      </c>
      <c r="AA54" s="24" t="n">
        <v>27.294646451113</v>
      </c>
      <c r="AB54" s="24" t="n">
        <v>27.4505496319957</v>
      </c>
      <c r="AC54" s="24" t="n">
        <v>27.601327957627</v>
      </c>
      <c r="AD54" s="24" t="n">
        <v>27.7392496418661</v>
      </c>
      <c r="AE54" s="24" t="n">
        <v>27.8875652297704</v>
      </c>
      <c r="AF54" s="24" t="n">
        <v>28.0198813575181</v>
      </c>
      <c r="AG54" s="24" t="n">
        <v>28.1604510457198</v>
      </c>
      <c r="AH54" s="24" t="n">
        <v>28.3076479297871</v>
      </c>
      <c r="AI54" s="24" t="n">
        <v>28.4273914351571</v>
      </c>
      <c r="AJ54" s="24" t="n">
        <v>28.548720158438</v>
      </c>
      <c r="AK54" s="24" t="n">
        <v>28.6694803923598</v>
      </c>
      <c r="AL54" s="24" t="n">
        <v>28.8163578859658</v>
      </c>
      <c r="AM54" s="24" t="n">
        <v>28.9414882717615</v>
      </c>
      <c r="AN54" s="24" t="n">
        <v>29.0603854672337</v>
      </c>
      <c r="AO54" s="24" t="n">
        <v>29.1739648338767</v>
      </c>
      <c r="AP54" s="24" t="n">
        <v>29.2815364501961</v>
      </c>
      <c r="AQ54" s="24" t="n">
        <v>29.3839809083022</v>
      </c>
      <c r="AR54" s="24" t="n">
        <v>29.5019295876501</v>
      </c>
      <c r="AS54" s="24" t="n">
        <v>29.607785325355</v>
      </c>
      <c r="AT54" s="24" t="n">
        <v>29.7119008523681</v>
      </c>
      <c r="AU54" s="24" t="n">
        <v>29.8265432133963</v>
      </c>
      <c r="AV54" s="24" t="n">
        <v>29.9342040902236</v>
      </c>
      <c r="AW54" s="24" t="n">
        <v>30.0344019162465</v>
      </c>
      <c r="AX54" s="24" t="n">
        <v>30.1389112920379</v>
      </c>
      <c r="AY54" s="24" t="n">
        <v>30.228577771539</v>
      </c>
      <c r="AZ54" s="24" t="n">
        <v>30.3192282407907</v>
      </c>
      <c r="BA54" s="24" t="n">
        <v>30.4121613739668</v>
      </c>
      <c r="BB54" s="24" t="n">
        <v>30.5005667846662</v>
      </c>
      <c r="BC54" s="24" t="n">
        <v>30.6013425824339</v>
      </c>
      <c r="BD54" s="24" t="n">
        <v>30.6877687999853</v>
      </c>
      <c r="BE54" s="24" t="n">
        <v>30.7703086139305</v>
      </c>
      <c r="BF54" s="24" t="n">
        <v>30.8638327650392</v>
      </c>
      <c r="BG54" s="24" t="n">
        <v>30.9564518910454</v>
      </c>
      <c r="BH54" s="24" t="n">
        <v>31.0360599689807</v>
      </c>
      <c r="BI54" s="24" t="n">
        <v>31.1155113689658</v>
      </c>
      <c r="BJ54" s="24" t="n">
        <v>31.2035183094732</v>
      </c>
      <c r="BK54" s="24" t="n">
        <v>31.2815455153597</v>
      </c>
      <c r="BL54" s="24" t="n">
        <v>31.3646805525455</v>
      </c>
      <c r="BM54" s="24" t="n">
        <v>31.4441592344653</v>
      </c>
      <c r="BN54" s="24" t="n">
        <v>31.5297957528672</v>
      </c>
      <c r="BO54" s="24" t="n">
        <v>31.6062359892629</v>
      </c>
      <c r="BP54" s="24" t="n">
        <v>31.6773063067652</v>
      </c>
      <c r="BQ54" s="24" t="n">
        <v>31.762183342694</v>
      </c>
      <c r="BR54" s="24" t="n">
        <v>31.8387834036919</v>
      </c>
      <c r="BS54" s="24" t="n">
        <v>31.9230912192804</v>
      </c>
      <c r="BT54" s="24" t="n">
        <v>32.0029555377454</v>
      </c>
      <c r="BU54" s="24" t="n">
        <v>32.0766134036743</v>
      </c>
      <c r="BV54" s="24" t="n">
        <v>32.1537594785157</v>
      </c>
      <c r="BW54" s="24" t="n">
        <v>32.224207247581</v>
      </c>
      <c r="BX54" s="24" t="n">
        <v>32.2991762468009</v>
      </c>
      <c r="BY54" s="24" t="n">
        <v>32.3719393130868</v>
      </c>
      <c r="BZ54" s="24" t="n">
        <v>32.447190377013</v>
      </c>
      <c r="CA54" s="24" t="n">
        <v>32.5235235215399</v>
      </c>
      <c r="CB54" s="24" t="n">
        <v>32.5933264093236</v>
      </c>
      <c r="CC54" s="24" t="n">
        <v>32.6590465322891</v>
      </c>
      <c r="CD54" s="24" t="n">
        <v>32.7245629964811</v>
      </c>
      <c r="CE54" s="24" t="n">
        <v>32.7896176099386</v>
      </c>
      <c r="CF54" s="24" t="n">
        <v>32.8608698899076</v>
      </c>
      <c r="CG54" s="24" t="n">
        <v>32.9253032621009</v>
      </c>
      <c r="CH54" s="24" t="n">
        <v>32.9908056760881</v>
      </c>
      <c r="CI54" s="24" t="n">
        <v>33.0631849729128</v>
      </c>
      <c r="CJ54" s="24" t="n">
        <v>33.1353747297655</v>
      </c>
      <c r="CK54" s="24" t="n">
        <v>33.1911210282625</v>
      </c>
      <c r="CL54" s="24" t="n">
        <v>33.2468961151811</v>
      </c>
      <c r="CM54" s="24" t="n">
        <v>33.3204191714354</v>
      </c>
      <c r="CN54" s="24" t="n">
        <v>33.3860632595413</v>
      </c>
      <c r="CO54" s="24" t="n">
        <v>33.4591095486395</v>
      </c>
      <c r="CP54" s="24" t="n">
        <v>33.5219609331954</v>
      </c>
      <c r="CQ54" s="24" t="n">
        <v>33.5946250573334</v>
      </c>
      <c r="CR54" s="24" t="n">
        <v>33.6576650746925</v>
      </c>
      <c r="CS54" s="24" t="n">
        <v>33.6830038104512</v>
      </c>
      <c r="CT54" s="24" t="n">
        <v>23.6828317215227</v>
      </c>
    </row>
    <row r="55" customFormat="false" ht="15" hidden="false" customHeight="false" outlineLevel="0" collapsed="false">
      <c r="A55" s="11" t="n">
        <v>250</v>
      </c>
      <c r="B55" s="24" t="n">
        <v>19.7310707607319</v>
      </c>
      <c r="C55" s="24" t="n">
        <v>20.519115377851</v>
      </c>
      <c r="D55" s="24" t="n">
        <v>21.1817027903576</v>
      </c>
      <c r="E55" s="24" t="n">
        <v>21.7284440370182</v>
      </c>
      <c r="F55" s="24" t="n">
        <v>22.23050018368</v>
      </c>
      <c r="G55" s="24" t="n">
        <v>22.6381599334778</v>
      </c>
      <c r="H55" s="24" t="n">
        <v>23.0223358227426</v>
      </c>
      <c r="I55" s="24" t="n">
        <v>23.3821946079153</v>
      </c>
      <c r="J55" s="24" t="n">
        <v>23.6853679087843</v>
      </c>
      <c r="K55" s="24" t="n">
        <v>24.0081588533912</v>
      </c>
      <c r="L55" s="24" t="n">
        <v>24.3084091502149</v>
      </c>
      <c r="M55" s="24" t="n">
        <v>24.5615520351169</v>
      </c>
      <c r="N55" s="24" t="n">
        <v>24.811448528551</v>
      </c>
      <c r="O55" s="24" t="n">
        <v>25.0759809657277</v>
      </c>
      <c r="P55" s="24" t="n">
        <v>25.3045954380199</v>
      </c>
      <c r="Q55" s="24" t="n">
        <v>25.5305105932281</v>
      </c>
      <c r="R55" s="24" t="n">
        <v>25.7329656372131</v>
      </c>
      <c r="S55" s="24" t="n">
        <v>25.9442634862182</v>
      </c>
      <c r="T55" s="24" t="n">
        <v>26.1275254989054</v>
      </c>
      <c r="U55" s="24" t="n">
        <v>26.3009599864196</v>
      </c>
      <c r="V55" s="24" t="n">
        <v>26.4765051642248</v>
      </c>
      <c r="W55" s="24" t="n">
        <v>26.662947808853</v>
      </c>
      <c r="X55" s="24" t="n">
        <v>26.8386483106354</v>
      </c>
      <c r="Y55" s="24" t="n">
        <v>26.9970516602414</v>
      </c>
      <c r="Z55" s="24" t="n">
        <v>27.1472494940789</v>
      </c>
      <c r="AA55" s="24" t="n">
        <v>27.2980207958352</v>
      </c>
      <c r="AB55" s="24" t="n">
        <v>27.4547926359073</v>
      </c>
      <c r="AC55" s="24" t="n">
        <v>27.6041486926966</v>
      </c>
      <c r="AD55" s="24" t="n">
        <v>27.7434998545393</v>
      </c>
      <c r="AE55" s="24" t="n">
        <v>27.8901810576558</v>
      </c>
      <c r="AF55" s="24" t="n">
        <v>28.022834707531</v>
      </c>
      <c r="AG55" s="24" t="n">
        <v>28.1623305824181</v>
      </c>
      <c r="AH55" s="24" t="n">
        <v>28.3089228428387</v>
      </c>
      <c r="AI55" s="24" t="n">
        <v>28.4329518540546</v>
      </c>
      <c r="AJ55" s="24" t="n">
        <v>28.5521890494722</v>
      </c>
      <c r="AK55" s="24" t="n">
        <v>28.6723883035099</v>
      </c>
      <c r="AL55" s="24" t="n">
        <v>28.8203090532022</v>
      </c>
      <c r="AM55" s="24" t="n">
        <v>28.9464909641911</v>
      </c>
      <c r="AN55" s="24" t="n">
        <v>29.0638434981756</v>
      </c>
      <c r="AO55" s="24" t="n">
        <v>29.1798522609814</v>
      </c>
      <c r="AP55" s="24" t="n">
        <v>29.2855193368413</v>
      </c>
      <c r="AQ55" s="24" t="n">
        <v>29.3886161334604</v>
      </c>
      <c r="AR55" s="24" t="n">
        <v>29.5041844418467</v>
      </c>
      <c r="AS55" s="24" t="n">
        <v>29.61311003529</v>
      </c>
      <c r="AT55" s="24" t="n">
        <v>29.7163863686302</v>
      </c>
      <c r="AU55" s="24" t="n">
        <v>29.8323845328355</v>
      </c>
      <c r="AV55" s="24" t="n">
        <v>29.9386104604801</v>
      </c>
      <c r="AW55" s="24" t="n">
        <v>30.0379957632526</v>
      </c>
      <c r="AX55" s="24" t="n">
        <v>30.1447235840731</v>
      </c>
      <c r="AY55" s="24" t="n">
        <v>30.2349700626423</v>
      </c>
      <c r="AZ55" s="24" t="n">
        <v>30.3232026714728</v>
      </c>
      <c r="BA55" s="24" t="n">
        <v>30.4182277372527</v>
      </c>
      <c r="BB55" s="24" t="n">
        <v>30.5068642379573</v>
      </c>
      <c r="BC55" s="24" t="n">
        <v>30.6042164466155</v>
      </c>
      <c r="BD55" s="24" t="n">
        <v>30.6936552288043</v>
      </c>
      <c r="BE55" s="24" t="n">
        <v>30.7754022004494</v>
      </c>
      <c r="BF55" s="24" t="n">
        <v>30.8682426662559</v>
      </c>
      <c r="BG55" s="24" t="n">
        <v>30.9602031020893</v>
      </c>
      <c r="BH55" s="24" t="n">
        <v>31.0380260225338</v>
      </c>
      <c r="BI55" s="24" t="n">
        <v>31.117947060824</v>
      </c>
      <c r="BJ55" s="24" t="n">
        <v>31.206892585173</v>
      </c>
      <c r="BK55" s="24" t="n">
        <v>31.2842910817968</v>
      </c>
      <c r="BL55" s="24" t="n">
        <v>31.3688472144126</v>
      </c>
      <c r="BM55" s="24" t="n">
        <v>31.448218935538</v>
      </c>
      <c r="BN55" s="24" t="n">
        <v>31.5333945887167</v>
      </c>
      <c r="BO55" s="24" t="n">
        <v>31.6083642697902</v>
      </c>
      <c r="BP55" s="24" t="n">
        <v>31.6820400067398</v>
      </c>
      <c r="BQ55" s="24" t="n">
        <v>31.7686393896135</v>
      </c>
      <c r="BR55" s="24" t="n">
        <v>31.8440027197485</v>
      </c>
      <c r="BS55" s="24" t="n">
        <v>31.9303397260258</v>
      </c>
      <c r="BT55" s="24" t="n">
        <v>32.0073543162074</v>
      </c>
      <c r="BU55" s="24" t="n">
        <v>32.0823682362832</v>
      </c>
      <c r="BV55" s="24" t="n">
        <v>32.1584568845634</v>
      </c>
      <c r="BW55" s="24" t="n">
        <v>32.2308268659156</v>
      </c>
      <c r="BX55" s="24" t="n">
        <v>32.3034549080466</v>
      </c>
      <c r="BY55" s="24" t="n">
        <v>32.3754421158647</v>
      </c>
      <c r="BZ55" s="24" t="n">
        <v>32.4504443215026</v>
      </c>
      <c r="CA55" s="24" t="n">
        <v>32.525999459306</v>
      </c>
      <c r="CB55" s="24" t="n">
        <v>32.5956907035335</v>
      </c>
      <c r="CC55" s="24" t="n">
        <v>32.6613195577252</v>
      </c>
      <c r="CD55" s="24" t="n">
        <v>32.727044231401</v>
      </c>
      <c r="CE55" s="24" t="n">
        <v>32.7935761981511</v>
      </c>
      <c r="CF55" s="24" t="n">
        <v>32.8630655909916</v>
      </c>
      <c r="CG55" s="24" t="n">
        <v>32.9282983553461</v>
      </c>
      <c r="CH55" s="24" t="n">
        <v>32.9947799251781</v>
      </c>
      <c r="CI55" s="24" t="n">
        <v>33.0675990193655</v>
      </c>
      <c r="CJ55" s="24" t="n">
        <v>33.1388794940951</v>
      </c>
      <c r="CK55" s="24" t="n">
        <v>33.1937928952236</v>
      </c>
      <c r="CL55" s="24" t="n">
        <v>33.2508820604876</v>
      </c>
      <c r="CM55" s="24" t="n">
        <v>33.3253292331406</v>
      </c>
      <c r="CN55" s="24" t="n">
        <v>33.3914116086498</v>
      </c>
      <c r="CO55" s="24" t="n">
        <v>33.4621993137266</v>
      </c>
      <c r="CP55" s="24" t="n">
        <v>33.5277805748248</v>
      </c>
      <c r="CQ55" s="24" t="n">
        <v>33.5978270279185</v>
      </c>
      <c r="CR55" s="24" t="n">
        <v>33.6593563720258</v>
      </c>
      <c r="CS55" s="24" t="n">
        <v>33.6851237103461</v>
      </c>
      <c r="CT55" s="24" t="n">
        <v>23.686867862262</v>
      </c>
    </row>
    <row r="56" customFormat="false" ht="15" hidden="false" customHeight="false" outlineLevel="0" collapsed="false">
      <c r="A56" s="11" t="n">
        <v>255</v>
      </c>
      <c r="B56" s="24" t="n">
        <v>19.7368938682552</v>
      </c>
      <c r="C56" s="24" t="n">
        <v>20.5195703967547</v>
      </c>
      <c r="D56" s="24" t="n">
        <v>21.1907018773928</v>
      </c>
      <c r="E56" s="24" t="n">
        <v>21.7443568478838</v>
      </c>
      <c r="F56" s="24" t="n">
        <v>22.2337688092546</v>
      </c>
      <c r="G56" s="24" t="n">
        <v>22.6468040664959</v>
      </c>
      <c r="H56" s="24" t="n">
        <v>23.0302350491465</v>
      </c>
      <c r="I56" s="24" t="n">
        <v>23.3888478248613</v>
      </c>
      <c r="J56" s="24" t="n">
        <v>23.6873922430625</v>
      </c>
      <c r="K56" s="24" t="n">
        <v>24.013397365239</v>
      </c>
      <c r="L56" s="24" t="n">
        <v>24.3097038862517</v>
      </c>
      <c r="M56" s="24" t="n">
        <v>24.5714114962472</v>
      </c>
      <c r="N56" s="24" t="n">
        <v>24.8168414777482</v>
      </c>
      <c r="O56" s="24" t="n">
        <v>25.0826471196723</v>
      </c>
      <c r="P56" s="24" t="n">
        <v>25.3204775143013</v>
      </c>
      <c r="Q56" s="24" t="n">
        <v>25.5410345516911</v>
      </c>
      <c r="R56" s="24" t="n">
        <v>25.7406492685867</v>
      </c>
      <c r="S56" s="24" t="n">
        <v>25.9513433671506</v>
      </c>
      <c r="T56" s="24" t="n">
        <v>26.1351953058541</v>
      </c>
      <c r="U56" s="24" t="n">
        <v>26.3074979650817</v>
      </c>
      <c r="V56" s="24" t="n">
        <v>26.4880102916874</v>
      </c>
      <c r="W56" s="24" t="n">
        <v>26.6660121217914</v>
      </c>
      <c r="X56" s="24" t="n">
        <v>26.8430716183686</v>
      </c>
      <c r="Y56" s="24" t="n">
        <v>26.9988370209053</v>
      </c>
      <c r="Z56" s="24" t="n">
        <v>27.1488256262288</v>
      </c>
      <c r="AA56" s="24" t="n">
        <v>27.3000578539702</v>
      </c>
      <c r="AB56" s="24" t="n">
        <v>27.4598088258697</v>
      </c>
      <c r="AC56" s="24" t="n">
        <v>27.6071656365631</v>
      </c>
      <c r="AD56" s="24" t="n">
        <v>27.7470924110026</v>
      </c>
      <c r="AE56" s="24" t="n">
        <v>27.8938536485854</v>
      </c>
      <c r="AF56" s="24" t="n">
        <v>28.0252461652304</v>
      </c>
      <c r="AG56" s="24" t="n">
        <v>28.165869384966</v>
      </c>
      <c r="AH56" s="24" t="n">
        <v>28.3138585623431</v>
      </c>
      <c r="AI56" s="24" t="n">
        <v>28.4351665279434</v>
      </c>
      <c r="AJ56" s="24" t="n">
        <v>28.5555632534159</v>
      </c>
      <c r="AK56" s="24" t="n">
        <v>28.6767584424016</v>
      </c>
      <c r="AL56" s="24" t="n">
        <v>28.8225276813954</v>
      </c>
      <c r="AM56" s="24" t="n">
        <v>28.9476710691255</v>
      </c>
      <c r="AN56" s="24" t="n">
        <v>29.0659308032282</v>
      </c>
      <c r="AO56" s="24" t="n">
        <v>29.182215293462</v>
      </c>
      <c r="AP56" s="24" t="n">
        <v>29.286981619231</v>
      </c>
      <c r="AQ56" s="24" t="n">
        <v>29.3926802682974</v>
      </c>
      <c r="AR56" s="24" t="n">
        <v>29.5072679227786</v>
      </c>
      <c r="AS56" s="24" t="n">
        <v>29.6149322189454</v>
      </c>
      <c r="AT56" s="24" t="n">
        <v>29.7201229549075</v>
      </c>
      <c r="AU56" s="24" t="n">
        <v>29.8371357141608</v>
      </c>
      <c r="AV56" s="24" t="n">
        <v>29.943384949156</v>
      </c>
      <c r="AW56" s="24" t="n">
        <v>30.0443017654432</v>
      </c>
      <c r="AX56" s="24" t="n">
        <v>30.1467945750154</v>
      </c>
      <c r="AY56" s="24" t="n">
        <v>30.237850628476</v>
      </c>
      <c r="AZ56" s="24" t="n">
        <v>30.3283441259763</v>
      </c>
      <c r="BA56" s="24" t="n">
        <v>30.4235641455189</v>
      </c>
      <c r="BB56" s="24" t="n">
        <v>30.5128216725424</v>
      </c>
      <c r="BC56" s="24" t="n">
        <v>30.6081972983751</v>
      </c>
      <c r="BD56" s="24" t="n">
        <v>30.6974602180984</v>
      </c>
      <c r="BE56" s="24" t="n">
        <v>30.7783055659669</v>
      </c>
      <c r="BF56" s="24" t="n">
        <v>30.8710059717934</v>
      </c>
      <c r="BG56" s="24" t="n">
        <v>30.9626666369994</v>
      </c>
      <c r="BH56" s="24" t="n">
        <v>31.0413909619548</v>
      </c>
      <c r="BI56" s="24" t="n">
        <v>31.12518446564</v>
      </c>
      <c r="BJ56" s="24" t="n">
        <v>31.2158091697637</v>
      </c>
      <c r="BK56" s="24" t="n">
        <v>31.2875786694757</v>
      </c>
      <c r="BL56" s="24" t="n">
        <v>31.3719715105493</v>
      </c>
      <c r="BM56" s="24" t="n">
        <v>31.4522422563903</v>
      </c>
      <c r="BN56" s="24" t="n">
        <v>31.5366001903909</v>
      </c>
      <c r="BO56" s="24" t="n">
        <v>31.6128474871802</v>
      </c>
      <c r="BP56" s="24" t="n">
        <v>31.6857807681593</v>
      </c>
      <c r="BQ56" s="24" t="n">
        <v>31.7718916910999</v>
      </c>
      <c r="BR56" s="24" t="n">
        <v>31.8481976477834</v>
      </c>
      <c r="BS56" s="24" t="n">
        <v>31.932782596409</v>
      </c>
      <c r="BT56" s="24" t="n">
        <v>32.0092945348184</v>
      </c>
      <c r="BU56" s="24" t="n">
        <v>32.0847600911418</v>
      </c>
      <c r="BV56" s="24" t="n">
        <v>32.161190049029</v>
      </c>
      <c r="BW56" s="24" t="n">
        <v>32.2346562651912</v>
      </c>
      <c r="BX56" s="24" t="n">
        <v>32.305636657864</v>
      </c>
      <c r="BY56" s="24" t="n">
        <v>32.3795691039303</v>
      </c>
      <c r="BZ56" s="24" t="n">
        <v>32.4556054445739</v>
      </c>
      <c r="CA56" s="24" t="n">
        <v>32.5303628628402</v>
      </c>
      <c r="CB56" s="24" t="n">
        <v>32.6009519595622</v>
      </c>
      <c r="CC56" s="24" t="n">
        <v>32.6652508370877</v>
      </c>
      <c r="CD56" s="24" t="n">
        <v>32.7317331536409</v>
      </c>
      <c r="CE56" s="24" t="n">
        <v>32.7998994056444</v>
      </c>
      <c r="CF56" s="24" t="n">
        <v>32.8679463738766</v>
      </c>
      <c r="CG56" s="24" t="n">
        <v>32.9344406188735</v>
      </c>
      <c r="CH56" s="24" t="n">
        <v>33.0020657876061</v>
      </c>
      <c r="CI56" s="24" t="n">
        <v>33.0749743716882</v>
      </c>
      <c r="CJ56" s="24" t="n">
        <v>33.1431367907707</v>
      </c>
      <c r="CK56" s="24" t="n">
        <v>33.1965488655082</v>
      </c>
      <c r="CL56" s="24" t="n">
        <v>33.2539029411209</v>
      </c>
      <c r="CM56" s="24" t="n">
        <v>33.3276364150342</v>
      </c>
      <c r="CN56" s="24" t="n">
        <v>33.39331966748</v>
      </c>
      <c r="CO56" s="24" t="n">
        <v>33.464690818873</v>
      </c>
      <c r="CP56" s="24" t="n">
        <v>33.5311697915116</v>
      </c>
      <c r="CQ56" s="24" t="n">
        <v>33.5997232556716</v>
      </c>
      <c r="CR56" s="24" t="n">
        <v>33.6620379233927</v>
      </c>
      <c r="CS56" s="24" t="n">
        <v>33.6879041417236</v>
      </c>
      <c r="CT56" s="24" t="n">
        <v>23.6940452202396</v>
      </c>
    </row>
    <row r="57" customFormat="false" ht="15" hidden="false" customHeight="false" outlineLevel="0" collapsed="false">
      <c r="A57" s="11" t="n">
        <v>260</v>
      </c>
      <c r="B57" s="24" t="n">
        <v>19.7499695268753</v>
      </c>
      <c r="C57" s="24" t="n">
        <v>20.5286556996614</v>
      </c>
      <c r="D57" s="24" t="n">
        <v>21.195182175624</v>
      </c>
      <c r="E57" s="24" t="n">
        <v>21.7447830875632</v>
      </c>
      <c r="F57" s="24" t="n">
        <v>22.2369950122969</v>
      </c>
      <c r="G57" s="24" t="n">
        <v>22.6501563726897</v>
      </c>
      <c r="H57" s="24" t="n">
        <v>23.034512027766</v>
      </c>
      <c r="I57" s="24" t="n">
        <v>23.395753621629</v>
      </c>
      <c r="J57" s="24" t="n">
        <v>23.6957052247754</v>
      </c>
      <c r="K57" s="24" t="n">
        <v>24.0193772698071</v>
      </c>
      <c r="L57" s="24" t="n">
        <v>24.316201998054</v>
      </c>
      <c r="M57" s="24" t="n">
        <v>24.5754990769963</v>
      </c>
      <c r="N57" s="24" t="n">
        <v>24.8194406488102</v>
      </c>
      <c r="O57" s="24" t="n">
        <v>25.085028150936</v>
      </c>
      <c r="P57" s="24" t="n">
        <v>25.3254688945266</v>
      </c>
      <c r="Q57" s="24" t="n">
        <v>25.5466660152529</v>
      </c>
      <c r="R57" s="24" t="n">
        <v>25.7505927275105</v>
      </c>
      <c r="S57" s="24" t="n">
        <v>25.9567501634045</v>
      </c>
      <c r="T57" s="24" t="n">
        <v>26.143404188098</v>
      </c>
      <c r="U57" s="24" t="n">
        <v>26.313271780264</v>
      </c>
      <c r="V57" s="24" t="n">
        <v>26.4964258809733</v>
      </c>
      <c r="W57" s="24" t="n">
        <v>26.6716752152287</v>
      </c>
      <c r="X57" s="24" t="n">
        <v>26.849401512569</v>
      </c>
      <c r="Y57" s="24" t="n">
        <v>27.0058031196618</v>
      </c>
      <c r="Z57" s="24" t="n">
        <v>27.1566563967161</v>
      </c>
      <c r="AA57" s="24" t="n">
        <v>27.3035328161568</v>
      </c>
      <c r="AB57" s="24" t="n">
        <v>27.4636464410923</v>
      </c>
      <c r="AC57" s="24" t="n">
        <v>27.6106274309736</v>
      </c>
      <c r="AD57" s="24" t="n">
        <v>27.7499759012442</v>
      </c>
      <c r="AE57" s="24" t="n">
        <v>27.8944361772236</v>
      </c>
      <c r="AF57" s="24" t="n">
        <v>28.0262904371931</v>
      </c>
      <c r="AG57" s="24" t="n">
        <v>28.1669598365228</v>
      </c>
      <c r="AH57" s="24" t="n">
        <v>28.3159327113662</v>
      </c>
      <c r="AI57" s="24" t="n">
        <v>28.4369040675972</v>
      </c>
      <c r="AJ57" s="24" t="n">
        <v>28.5569725035783</v>
      </c>
      <c r="AK57" s="24" t="n">
        <v>28.6826376375997</v>
      </c>
      <c r="AL57" s="24" t="n">
        <v>28.8243146931317</v>
      </c>
      <c r="AM57" s="24" t="n">
        <v>28.951277637679</v>
      </c>
      <c r="AN57" s="24" t="n">
        <v>29.0675064711173</v>
      </c>
      <c r="AO57" s="24" t="n">
        <v>29.1843296510292</v>
      </c>
      <c r="AP57" s="24" t="n">
        <v>29.2881308902771</v>
      </c>
      <c r="AQ57" s="24" t="n">
        <v>29.3954409789919</v>
      </c>
      <c r="AR57" s="24" t="n">
        <v>29.5084021196486</v>
      </c>
      <c r="AS57" s="24" t="n">
        <v>29.6160404041474</v>
      </c>
      <c r="AT57" s="24" t="n">
        <v>29.7217082990146</v>
      </c>
      <c r="AU57" s="24" t="n">
        <v>29.8383278568309</v>
      </c>
      <c r="AV57" s="24" t="n">
        <v>29.9445634981908</v>
      </c>
      <c r="AW57" s="24" t="n">
        <v>30.0452893960068</v>
      </c>
      <c r="AX57" s="24" t="n">
        <v>30.1470810734899</v>
      </c>
      <c r="AY57" s="24" t="n">
        <v>30.2384396228053</v>
      </c>
      <c r="AZ57" s="24" t="n">
        <v>30.3297688520678</v>
      </c>
      <c r="BA57" s="24" t="n">
        <v>30.4254598669619</v>
      </c>
      <c r="BB57" s="24" t="n">
        <v>30.5154688031814</v>
      </c>
      <c r="BC57" s="24" t="n">
        <v>30.6116690519604</v>
      </c>
      <c r="BD57" s="24" t="n">
        <v>30.6997208838169</v>
      </c>
      <c r="BE57" s="24" t="n">
        <v>30.7824976996131</v>
      </c>
      <c r="BF57" s="24" t="n">
        <v>30.8741251537631</v>
      </c>
      <c r="BG57" s="24" t="n">
        <v>30.9653341363494</v>
      </c>
      <c r="BH57" s="24" t="n">
        <v>31.0441639189533</v>
      </c>
      <c r="BI57" s="24" t="n">
        <v>31.1277056053686</v>
      </c>
      <c r="BJ57" s="24" t="n">
        <v>31.2187876165098</v>
      </c>
      <c r="BK57" s="24" t="n">
        <v>31.2918430422362</v>
      </c>
      <c r="BL57" s="24" t="n">
        <v>31.3747850625738</v>
      </c>
      <c r="BM57" s="24" t="n">
        <v>31.4547575434584</v>
      </c>
      <c r="BN57" s="24" t="n">
        <v>31.5391846471511</v>
      </c>
      <c r="BO57" s="24" t="n">
        <v>31.6156142121237</v>
      </c>
      <c r="BP57" s="24" t="n">
        <v>31.6887804336659</v>
      </c>
      <c r="BQ57" s="24" t="n">
        <v>31.7757156428362</v>
      </c>
      <c r="BR57" s="24" t="n">
        <v>31.852421625739</v>
      </c>
      <c r="BS57" s="24" t="n">
        <v>31.935967046417</v>
      </c>
      <c r="BT57" s="24" t="n">
        <v>32.0135020349792</v>
      </c>
      <c r="BU57" s="24" t="n">
        <v>32.0924009535166</v>
      </c>
      <c r="BV57" s="24" t="n">
        <v>32.1647399915185</v>
      </c>
      <c r="BW57" s="24" t="n">
        <v>32.2389285019736</v>
      </c>
      <c r="BX57" s="24" t="n">
        <v>32.3101623646881</v>
      </c>
      <c r="BY57" s="24" t="n">
        <v>32.3817366457793</v>
      </c>
      <c r="BZ57" s="24" t="n">
        <v>32.4617883834429</v>
      </c>
      <c r="CA57" s="24" t="n">
        <v>32.5330308912808</v>
      </c>
      <c r="CB57" s="24" t="n">
        <v>32.6033801390475</v>
      </c>
      <c r="CC57" s="24" t="n">
        <v>32.666708031994</v>
      </c>
      <c r="CD57" s="24" t="n">
        <v>32.7334505140067</v>
      </c>
      <c r="CE57" s="24" t="n">
        <v>32.8015808599056</v>
      </c>
      <c r="CF57" s="24" t="n">
        <v>32.8706251448593</v>
      </c>
      <c r="CG57" s="24" t="n">
        <v>32.9366236945871</v>
      </c>
      <c r="CH57" s="24" t="n">
        <v>33.0045139023356</v>
      </c>
      <c r="CI57" s="24" t="n">
        <v>33.0780522462012</v>
      </c>
      <c r="CJ57" s="24" t="n">
        <v>33.1443135025863</v>
      </c>
      <c r="CK57" s="24" t="n">
        <v>33.1989892701629</v>
      </c>
      <c r="CL57" s="24" t="n">
        <v>33.257519912894</v>
      </c>
      <c r="CM57" s="24" t="n">
        <v>33.3309677609442</v>
      </c>
      <c r="CN57" s="24" t="n">
        <v>33.3985111055832</v>
      </c>
      <c r="CO57" s="24" t="n">
        <v>33.4679998346075</v>
      </c>
      <c r="CP57" s="24" t="n">
        <v>33.5367367883849</v>
      </c>
      <c r="CQ57" s="24" t="n">
        <v>33.602869696818</v>
      </c>
      <c r="CR57" s="24" t="n">
        <v>33.6652388481107</v>
      </c>
      <c r="CS57" s="24" t="n">
        <v>33.6905657475832</v>
      </c>
      <c r="CT57" s="24" t="n">
        <v>23.7023337415558</v>
      </c>
    </row>
    <row r="58" customFormat="false" ht="15" hidden="false" customHeight="false" outlineLevel="0" collapsed="false">
      <c r="A58" s="11" t="n">
        <v>265</v>
      </c>
      <c r="B58" s="24" t="n">
        <v>19.7717605945259</v>
      </c>
      <c r="C58" s="24" t="n">
        <v>20.5401673038082</v>
      </c>
      <c r="D58" s="24" t="n">
        <v>21.2003725712891</v>
      </c>
      <c r="E58" s="24" t="n">
        <v>21.7480181213495</v>
      </c>
      <c r="F58" s="24" t="n">
        <v>22.2393750831363</v>
      </c>
      <c r="G58" s="24" t="n">
        <v>22.6600720818203</v>
      </c>
      <c r="H58" s="24" t="n">
        <v>23.0389905647847</v>
      </c>
      <c r="I58" s="24" t="n">
        <v>23.3999280991473</v>
      </c>
      <c r="J58" s="24" t="n">
        <v>23.7027804852575</v>
      </c>
      <c r="K58" s="24" t="n">
        <v>24.0231311993348</v>
      </c>
      <c r="L58" s="24" t="n">
        <v>24.3219354266815</v>
      </c>
      <c r="M58" s="24" t="n">
        <v>24.5789834921384</v>
      </c>
      <c r="N58" s="24" t="n">
        <v>24.8260676832231</v>
      </c>
      <c r="O58" s="24" t="n">
        <v>25.090092096574</v>
      </c>
      <c r="P58" s="24" t="n">
        <v>25.3296945542935</v>
      </c>
      <c r="Q58" s="24" t="n">
        <v>25.5503240632621</v>
      </c>
      <c r="R58" s="24" t="n">
        <v>25.7558005200321</v>
      </c>
      <c r="S58" s="24" t="n">
        <v>25.9611871080326</v>
      </c>
      <c r="T58" s="24" t="n">
        <v>26.1458053474641</v>
      </c>
      <c r="U58" s="24" t="n">
        <v>26.3178424604182</v>
      </c>
      <c r="V58" s="24" t="n">
        <v>26.4992286930257</v>
      </c>
      <c r="W58" s="24" t="n">
        <v>26.675902418556</v>
      </c>
      <c r="X58" s="24" t="n">
        <v>26.85524894687</v>
      </c>
      <c r="Y58" s="24" t="n">
        <v>27.0098722702632</v>
      </c>
      <c r="Z58" s="24" t="n">
        <v>27.1610829084348</v>
      </c>
      <c r="AA58" s="24" t="n">
        <v>27.3104371401818</v>
      </c>
      <c r="AB58" s="24" t="n">
        <v>27.468635226746</v>
      </c>
      <c r="AC58" s="24" t="n">
        <v>27.6167120656328</v>
      </c>
      <c r="AD58" s="24" t="n">
        <v>27.7548199716978</v>
      </c>
      <c r="AE58" s="24" t="n">
        <v>27.8982539600761</v>
      </c>
      <c r="AF58" s="24" t="n">
        <v>28.0296269181785</v>
      </c>
      <c r="AG58" s="24" t="n">
        <v>28.1695824000933</v>
      </c>
      <c r="AH58" s="24" t="n">
        <v>28.3183410999224</v>
      </c>
      <c r="AI58" s="24" t="n">
        <v>28.4384641079014</v>
      </c>
      <c r="AJ58" s="24" t="n">
        <v>28.5595830549382</v>
      </c>
      <c r="AK58" s="24" t="n">
        <v>28.6855244718319</v>
      </c>
      <c r="AL58" s="24" t="n">
        <v>28.8288275470633</v>
      </c>
      <c r="AM58" s="24" t="n">
        <v>28.9524897459305</v>
      </c>
      <c r="AN58" s="24" t="n">
        <v>29.070298157121</v>
      </c>
      <c r="AO58" s="24" t="n">
        <v>29.1858327970889</v>
      </c>
      <c r="AP58" s="24" t="n">
        <v>29.2916673555112</v>
      </c>
      <c r="AQ58" s="24" t="n">
        <v>29.3976014590176</v>
      </c>
      <c r="AR58" s="24" t="n">
        <v>29.5119362704709</v>
      </c>
      <c r="AS58" s="24" t="n">
        <v>29.6193838932088</v>
      </c>
      <c r="AT58" s="24" t="n">
        <v>29.7239084532383</v>
      </c>
      <c r="AU58" s="24" t="n">
        <v>29.8404197828849</v>
      </c>
      <c r="AV58" s="24" t="n">
        <v>29.948361626213</v>
      </c>
      <c r="AW58" s="24" t="n">
        <v>30.0484550361648</v>
      </c>
      <c r="AX58" s="24" t="n">
        <v>30.1493553093995</v>
      </c>
      <c r="AY58" s="24" t="n">
        <v>30.2395010004928</v>
      </c>
      <c r="AZ58" s="24" t="n">
        <v>30.3310142770614</v>
      </c>
      <c r="BA58" s="24" t="n">
        <v>30.4266246629877</v>
      </c>
      <c r="BB58" s="24" t="n">
        <v>30.5158392987461</v>
      </c>
      <c r="BC58" s="24" t="n">
        <v>30.6129996705148</v>
      </c>
      <c r="BD58" s="24" t="n">
        <v>30.7001218048441</v>
      </c>
      <c r="BE58" s="24" t="n">
        <v>30.7828727847246</v>
      </c>
      <c r="BF58" s="24" t="n">
        <v>30.8754477015318</v>
      </c>
      <c r="BG58" s="24" t="n">
        <v>30.9668032149962</v>
      </c>
      <c r="BH58" s="24" t="n">
        <v>31.0451647189768</v>
      </c>
      <c r="BI58" s="24" t="n">
        <v>31.1281769276555</v>
      </c>
      <c r="BJ58" s="24" t="n">
        <v>31.2215042581511</v>
      </c>
      <c r="BK58" s="24" t="n">
        <v>31.2930867168059</v>
      </c>
      <c r="BL58" s="24" t="n">
        <v>31.3768260324456</v>
      </c>
      <c r="BM58" s="24" t="n">
        <v>31.4582916708305</v>
      </c>
      <c r="BN58" s="24" t="n">
        <v>31.5426141027702</v>
      </c>
      <c r="BO58" s="24" t="n">
        <v>31.6168362513603</v>
      </c>
      <c r="BP58" s="24" t="n">
        <v>31.6922911689934</v>
      </c>
      <c r="BQ58" s="24" t="n">
        <v>31.7780277786097</v>
      </c>
      <c r="BR58" s="24" t="n">
        <v>31.8557044074602</v>
      </c>
      <c r="BS58" s="24" t="n">
        <v>31.9388564254191</v>
      </c>
      <c r="BT58" s="24" t="n">
        <v>32.0166854625524</v>
      </c>
      <c r="BU58" s="24" t="n">
        <v>32.0947300144159</v>
      </c>
      <c r="BV58" s="24" t="n">
        <v>32.1665002350551</v>
      </c>
      <c r="BW58" s="24" t="n">
        <v>32.2425219223539</v>
      </c>
      <c r="BX58" s="24" t="n">
        <v>32.3144657645592</v>
      </c>
      <c r="BY58" s="24" t="n">
        <v>32.3841588014725</v>
      </c>
      <c r="BZ58" s="24" t="n">
        <v>32.4659444912477</v>
      </c>
      <c r="CA58" s="24" t="n">
        <v>32.5354328629854</v>
      </c>
      <c r="CB58" s="24" t="n">
        <v>32.6058818137144</v>
      </c>
      <c r="CC58" s="24" t="n">
        <v>32.6694413204858</v>
      </c>
      <c r="CD58" s="24" t="n">
        <v>32.7365690754767</v>
      </c>
      <c r="CE58" s="24" t="n">
        <v>32.8041234469092</v>
      </c>
      <c r="CF58" s="24" t="n">
        <v>32.8748466849477</v>
      </c>
      <c r="CG58" s="24" t="n">
        <v>32.9411704243695</v>
      </c>
      <c r="CH58" s="24" t="n">
        <v>33.0077106650754</v>
      </c>
      <c r="CI58" s="24" t="n">
        <v>33.0791471896756</v>
      </c>
      <c r="CJ58" s="24" t="n">
        <v>33.1461496973463</v>
      </c>
      <c r="CK58" s="24" t="n">
        <v>33.2006864374524</v>
      </c>
      <c r="CL58" s="24" t="n">
        <v>33.2602196006554</v>
      </c>
      <c r="CM58" s="24" t="n">
        <v>33.333309610502</v>
      </c>
      <c r="CN58" s="24" t="n">
        <v>33.4011675027507</v>
      </c>
      <c r="CO58" s="24" t="n">
        <v>33.4699324464953</v>
      </c>
      <c r="CP58" s="24" t="n">
        <v>33.5374433095024</v>
      </c>
      <c r="CQ58" s="24" t="n">
        <v>33.6039087677152</v>
      </c>
      <c r="CR58" s="24" t="n">
        <v>33.6669320084406</v>
      </c>
      <c r="CS58" s="24" t="n">
        <v>33.6928062756656</v>
      </c>
      <c r="CT58" s="24" t="n">
        <v>23.7093556283937</v>
      </c>
    </row>
    <row r="59" customFormat="false" ht="15" hidden="false" customHeight="false" outlineLevel="0" collapsed="false">
      <c r="A59" s="11" t="n">
        <v>270</v>
      </c>
      <c r="B59" s="24" t="n">
        <v>19.772364594909</v>
      </c>
      <c r="C59" s="24" t="n">
        <v>20.5454148370493</v>
      </c>
      <c r="D59" s="24" t="n">
        <v>21.2019321972397</v>
      </c>
      <c r="E59" s="24" t="n">
        <v>21.7480244166913</v>
      </c>
      <c r="F59" s="24" t="n">
        <v>22.2408223423972</v>
      </c>
      <c r="G59" s="24" t="n">
        <v>22.6607007018405</v>
      </c>
      <c r="H59" s="24" t="n">
        <v>23.0395359561286</v>
      </c>
      <c r="I59" s="24" t="n">
        <v>23.4007955685104</v>
      </c>
      <c r="J59" s="24" t="n">
        <v>23.7093556283937</v>
      </c>
      <c r="K59" s="24" t="n">
        <v>24.0269164925304</v>
      </c>
      <c r="L59" s="24" t="n">
        <v>24.3268775765776</v>
      </c>
      <c r="M59" s="24" t="n">
        <v>24.5848586431152</v>
      </c>
      <c r="N59" s="24" t="n">
        <v>24.8283150710722</v>
      </c>
      <c r="O59" s="24" t="n">
        <v>25.0920416197874</v>
      </c>
      <c r="P59" s="24" t="n">
        <v>25.3320465713354</v>
      </c>
      <c r="Q59" s="24" t="n">
        <v>25.554623739417</v>
      </c>
      <c r="R59" s="24" t="n">
        <v>25.7575571977766</v>
      </c>
      <c r="S59" s="24" t="n">
        <v>25.9632809102746</v>
      </c>
      <c r="T59" s="24" t="n">
        <v>26.1490167704782</v>
      </c>
      <c r="U59" s="24" t="n">
        <v>26.3229315797349</v>
      </c>
      <c r="V59" s="24" t="n">
        <v>26.5017838680669</v>
      </c>
      <c r="W59" s="24" t="n">
        <v>26.6798898561926</v>
      </c>
      <c r="X59" s="24" t="n">
        <v>26.8598207146848</v>
      </c>
      <c r="Y59" s="24" t="n">
        <v>27.0117629258636</v>
      </c>
      <c r="Z59" s="24" t="n">
        <v>27.1674348163189</v>
      </c>
      <c r="AA59" s="24" t="n">
        <v>27.3125441797403</v>
      </c>
      <c r="AB59" s="24" t="n">
        <v>27.4719807415565</v>
      </c>
      <c r="AC59" s="24" t="n">
        <v>27.6198902682609</v>
      </c>
      <c r="AD59" s="24" t="n">
        <v>27.7646457122803</v>
      </c>
      <c r="AE59" s="24" t="n">
        <v>27.9028858181104</v>
      </c>
      <c r="AF59" s="24" t="n">
        <v>28.0337142568937</v>
      </c>
      <c r="AG59" s="24" t="n">
        <v>28.1749305204229</v>
      </c>
      <c r="AH59" s="24" t="n">
        <v>28.3219571527823</v>
      </c>
      <c r="AI59" s="24" t="n">
        <v>28.4429345737767</v>
      </c>
      <c r="AJ59" s="24" t="n">
        <v>28.5635765698001</v>
      </c>
      <c r="AK59" s="24" t="n">
        <v>28.6905802446388</v>
      </c>
      <c r="AL59" s="24" t="n">
        <v>28.8303040053971</v>
      </c>
      <c r="AM59" s="24" t="n">
        <v>28.9576816383049</v>
      </c>
      <c r="AN59" s="24" t="n">
        <v>29.0746066828883</v>
      </c>
      <c r="AO59" s="24" t="n">
        <v>29.1908040860488</v>
      </c>
      <c r="AP59" s="24" t="n">
        <v>29.294910670019</v>
      </c>
      <c r="AQ59" s="24" t="n">
        <v>29.4001991811056</v>
      </c>
      <c r="AR59" s="24" t="n">
        <v>29.5142239661204</v>
      </c>
      <c r="AS59" s="24" t="n">
        <v>29.6213305692912</v>
      </c>
      <c r="AT59" s="24" t="n">
        <v>29.7245721725861</v>
      </c>
      <c r="AU59" s="24" t="n">
        <v>29.8424813714154</v>
      </c>
      <c r="AV59" s="24" t="n">
        <v>29.9488238135638</v>
      </c>
      <c r="AW59" s="24" t="n">
        <v>30.0502268143341</v>
      </c>
      <c r="AX59" s="24" t="n">
        <v>30.1513301333492</v>
      </c>
      <c r="AY59" s="24" t="n">
        <v>30.2413579031884</v>
      </c>
      <c r="AZ59" s="24" t="n">
        <v>30.3325819988521</v>
      </c>
      <c r="BA59" s="24" t="n">
        <v>30.4285311117362</v>
      </c>
      <c r="BB59" s="24" t="n">
        <v>30.5167318234873</v>
      </c>
      <c r="BC59" s="24" t="n">
        <v>30.6163083221702</v>
      </c>
      <c r="BD59" s="24" t="n">
        <v>30.7024594299336</v>
      </c>
      <c r="BE59" s="24" t="n">
        <v>30.7849807890142</v>
      </c>
      <c r="BF59" s="24" t="n">
        <v>30.8789594723389</v>
      </c>
      <c r="BG59" s="24" t="n">
        <v>30.9693170145104</v>
      </c>
      <c r="BH59" s="24" t="n">
        <v>31.046727292494</v>
      </c>
      <c r="BI59" s="24" t="n">
        <v>31.1299283099752</v>
      </c>
      <c r="BJ59" s="24" t="n">
        <v>31.2220021350516</v>
      </c>
      <c r="BK59" s="24" t="n">
        <v>31.295216622974</v>
      </c>
      <c r="BL59" s="24" t="n">
        <v>31.3776158321445</v>
      </c>
      <c r="BM59" s="24" t="n">
        <v>31.4589689155766</v>
      </c>
      <c r="BN59" s="24" t="n">
        <v>31.5430295599051</v>
      </c>
      <c r="BO59" s="24" t="n">
        <v>31.6170718295406</v>
      </c>
      <c r="BP59" s="24" t="n">
        <v>31.693560947109</v>
      </c>
      <c r="BQ59" s="24" t="n">
        <v>31.7783591104255</v>
      </c>
      <c r="BR59" s="24" t="n">
        <v>31.8572486468279</v>
      </c>
      <c r="BS59" s="24" t="n">
        <v>31.9392844473235</v>
      </c>
      <c r="BT59" s="24" t="n">
        <v>32.019537067108</v>
      </c>
      <c r="BU59" s="24" t="n">
        <v>32.0956716624447</v>
      </c>
      <c r="BV59" s="24" t="n">
        <v>32.1668786680164</v>
      </c>
      <c r="BW59" s="24" t="n">
        <v>32.244926464447</v>
      </c>
      <c r="BX59" s="24" t="n">
        <v>32.315533760109</v>
      </c>
      <c r="BY59" s="24" t="n">
        <v>32.3864134597487</v>
      </c>
      <c r="BZ59" s="24" t="n">
        <v>32.4679546031654</v>
      </c>
      <c r="CA59" s="24" t="n">
        <v>32.5390053959141</v>
      </c>
      <c r="CB59" s="24" t="n">
        <v>32.6070285452194</v>
      </c>
      <c r="CC59" s="24" t="n">
        <v>32.6709728436563</v>
      </c>
      <c r="CD59" s="24" t="n">
        <v>32.7377800279089</v>
      </c>
      <c r="CE59" s="24" t="n">
        <v>32.8053019058329</v>
      </c>
      <c r="CF59" s="24" t="n">
        <v>32.8796508084254</v>
      </c>
      <c r="CG59" s="24" t="n">
        <v>32.9422764614496</v>
      </c>
      <c r="CH59" s="24" t="n">
        <v>33.010316086815</v>
      </c>
      <c r="CI59" s="24" t="n">
        <v>33.0800940103726</v>
      </c>
      <c r="CJ59" s="24" t="n">
        <v>33.1480540089614</v>
      </c>
      <c r="CK59" s="24" t="n">
        <v>33.2018342366678</v>
      </c>
      <c r="CL59" s="24" t="n">
        <v>33.26301187411</v>
      </c>
      <c r="CM59" s="24" t="n">
        <v>33.3356120958935</v>
      </c>
      <c r="CN59" s="24" t="n">
        <v>33.4032000787017</v>
      </c>
      <c r="CO59" s="24" t="n">
        <v>33.4720461059789</v>
      </c>
      <c r="CP59" s="24" t="n">
        <v>33.5397568461248</v>
      </c>
      <c r="CQ59" s="24" t="n">
        <v>33.6064364398315</v>
      </c>
      <c r="CR59" s="24" t="n">
        <v>33.6684359506573</v>
      </c>
      <c r="CS59" s="24" t="n">
        <v>33.6945516474751</v>
      </c>
      <c r="CT59" s="24" t="n">
        <v>23.7106797233106</v>
      </c>
    </row>
    <row r="60" customFormat="false" ht="15" hidden="false" customHeight="false" outlineLevel="0" collapsed="false">
      <c r="A60" s="11" t="n">
        <v>275</v>
      </c>
      <c r="B60" s="24" t="n">
        <v>19.801953563892</v>
      </c>
      <c r="C60" s="24" t="n">
        <v>20.5506411270146</v>
      </c>
      <c r="D60" s="24" t="n">
        <v>21.2021209087151</v>
      </c>
      <c r="E60" s="24" t="n">
        <v>21.7497955787745</v>
      </c>
      <c r="F60" s="24" t="n">
        <v>22.2412326063456</v>
      </c>
      <c r="G60" s="24" t="n">
        <v>22.6609724884381</v>
      </c>
      <c r="H60" s="24" t="n">
        <v>23.040151416157</v>
      </c>
      <c r="I60" s="24" t="n">
        <v>23.4018957058736</v>
      </c>
      <c r="J60" s="24" t="n">
        <v>23.7101813125508</v>
      </c>
      <c r="K60" s="24" t="n">
        <v>24.0275851580247</v>
      </c>
      <c r="L60" s="24" t="n">
        <v>24.3343848678463</v>
      </c>
      <c r="M60" s="24" t="n">
        <v>24.5873513213285</v>
      </c>
      <c r="N60" s="24" t="n">
        <v>24.8331753756873</v>
      </c>
      <c r="O60" s="24" t="n">
        <v>25.095466152414</v>
      </c>
      <c r="P60" s="24" t="n">
        <v>25.3360089653584</v>
      </c>
      <c r="Q60" s="24" t="n">
        <v>25.5581038907427</v>
      </c>
      <c r="R60" s="24" t="n">
        <v>25.7615518758545</v>
      </c>
      <c r="S60" s="24" t="n">
        <v>25.965569431538</v>
      </c>
      <c r="T60" s="24" t="n">
        <v>26.1509984945699</v>
      </c>
      <c r="U60" s="24" t="n">
        <v>26.3250596015791</v>
      </c>
      <c r="V60" s="24" t="n">
        <v>26.5038645948853</v>
      </c>
      <c r="W60" s="24" t="n">
        <v>26.6833724432413</v>
      </c>
      <c r="X60" s="24" t="n">
        <v>26.8633461934729</v>
      </c>
      <c r="Y60" s="24" t="n">
        <v>27.0145782112197</v>
      </c>
      <c r="Z60" s="24" t="n">
        <v>27.1689410706733</v>
      </c>
      <c r="AA60" s="24" t="n">
        <v>27.3152221081221</v>
      </c>
      <c r="AB60" s="24" t="n">
        <v>27.4744569823332</v>
      </c>
      <c r="AC60" s="24" t="n">
        <v>27.6210526657249</v>
      </c>
      <c r="AD60" s="24" t="n">
        <v>27.7668099079543</v>
      </c>
      <c r="AE60" s="24" t="n">
        <v>27.9056862846062</v>
      </c>
      <c r="AF60" s="24" t="n">
        <v>28.0352754814399</v>
      </c>
      <c r="AG60" s="24" t="n">
        <v>28.1767370572293</v>
      </c>
      <c r="AH60" s="24" t="n">
        <v>28.3260124954639</v>
      </c>
      <c r="AI60" s="24" t="n">
        <v>28.4467771452959</v>
      </c>
      <c r="AJ60" s="24" t="n">
        <v>28.5671332053074</v>
      </c>
      <c r="AK60" s="24" t="n">
        <v>28.6931272066855</v>
      </c>
      <c r="AL60" s="24" t="n">
        <v>28.8348743560614</v>
      </c>
      <c r="AM60" s="24" t="n">
        <v>28.9618754347238</v>
      </c>
      <c r="AN60" s="24" t="n">
        <v>29.0775427149688</v>
      </c>
      <c r="AO60" s="24" t="n">
        <v>29.1954899197559</v>
      </c>
      <c r="AP60" s="24" t="n">
        <v>29.2978459696675</v>
      </c>
      <c r="AQ60" s="24" t="n">
        <v>29.4049643766054</v>
      </c>
      <c r="AR60" s="24" t="n">
        <v>29.5157516036416</v>
      </c>
      <c r="AS60" s="24" t="n">
        <v>29.6238538558795</v>
      </c>
      <c r="AT60" s="24" t="n">
        <v>29.7281370331544</v>
      </c>
      <c r="AU60" s="24" t="n">
        <v>29.8449156146768</v>
      </c>
      <c r="AV60" s="24" t="n">
        <v>29.9524071652822</v>
      </c>
      <c r="AW60" s="24" t="n">
        <v>30.0521081779706</v>
      </c>
      <c r="AX60" s="24" t="n">
        <v>30.1531577129864</v>
      </c>
      <c r="AY60" s="24" t="n">
        <v>30.2423897804425</v>
      </c>
      <c r="AZ60" s="24" t="n">
        <v>30.3339662068944</v>
      </c>
      <c r="BA60" s="24" t="n">
        <v>30.4301811437263</v>
      </c>
      <c r="BB60" s="24" t="n">
        <v>30.518930229403</v>
      </c>
      <c r="BC60" s="24" t="n">
        <v>30.6172954197383</v>
      </c>
      <c r="BD60" s="24" t="n">
        <v>30.7037900353274</v>
      </c>
      <c r="BE60" s="24" t="n">
        <v>30.7858532104961</v>
      </c>
      <c r="BF60" s="24" t="n">
        <v>30.8799665263042</v>
      </c>
      <c r="BG60" s="24" t="n">
        <v>30.9704035861184</v>
      </c>
      <c r="BH60" s="24" t="n">
        <v>31.0474969296381</v>
      </c>
      <c r="BI60" s="24" t="n">
        <v>31.1309242786477</v>
      </c>
      <c r="BJ60" s="24" t="n">
        <v>31.223842419179</v>
      </c>
      <c r="BK60" s="24" t="n">
        <v>31.296618642819</v>
      </c>
      <c r="BL60" s="24" t="n">
        <v>31.3789512192811</v>
      </c>
      <c r="BM60" s="24" t="n">
        <v>31.4601388510198</v>
      </c>
      <c r="BN60" s="24" t="n">
        <v>31.5468764466577</v>
      </c>
      <c r="BO60" s="24" t="n">
        <v>31.6179257220984</v>
      </c>
      <c r="BP60" s="24" t="n">
        <v>31.6964986558311</v>
      </c>
      <c r="BQ60" s="24" t="n">
        <v>31.7812081853059</v>
      </c>
      <c r="BR60" s="24" t="n">
        <v>31.8586830707498</v>
      </c>
      <c r="BS60" s="24" t="n">
        <v>31.940246904452</v>
      </c>
      <c r="BT60" s="24" t="n">
        <v>32.0198742130412</v>
      </c>
      <c r="BU60" s="24" t="n">
        <v>32.0964023107752</v>
      </c>
      <c r="BV60" s="24" t="n">
        <v>32.1684146662776</v>
      </c>
      <c r="BW60" s="24" t="n">
        <v>32.2455620399536</v>
      </c>
      <c r="BX60" s="24" t="n">
        <v>32.3157727909684</v>
      </c>
      <c r="BY60" s="24" t="n">
        <v>32.3871840378345</v>
      </c>
      <c r="BZ60" s="24" t="n">
        <v>32.4679683294762</v>
      </c>
      <c r="CA60" s="24" t="n">
        <v>32.5390177675963</v>
      </c>
      <c r="CB60" s="24" t="n">
        <v>32.6071446062217</v>
      </c>
      <c r="CC60" s="24" t="n">
        <v>32.6721532132284</v>
      </c>
      <c r="CD60" s="24" t="n">
        <v>32.7378894870819</v>
      </c>
      <c r="CE60" s="24" t="n">
        <v>32.805975510419</v>
      </c>
      <c r="CF60" s="24" t="n">
        <v>32.8804719542124</v>
      </c>
      <c r="CG60" s="24" t="n">
        <v>32.9429061790553</v>
      </c>
      <c r="CH60" s="24" t="n">
        <v>33.0114920345858</v>
      </c>
      <c r="CI60" s="24" t="n">
        <v>33.0819716321806</v>
      </c>
      <c r="CJ60" s="24" t="n">
        <v>33.1494683849641</v>
      </c>
      <c r="CK60" s="24" t="n">
        <v>33.2031543252065</v>
      </c>
      <c r="CL60" s="24" t="n">
        <v>33.2657062952981</v>
      </c>
      <c r="CM60" s="24" t="n">
        <v>33.3382975065982</v>
      </c>
      <c r="CN60" s="24" t="n">
        <v>33.4054043437042</v>
      </c>
      <c r="CO60" s="24" t="n">
        <v>33.4737423458936</v>
      </c>
      <c r="CP60" s="24" t="n">
        <v>33.5409665431378</v>
      </c>
      <c r="CQ60" s="24" t="n">
        <v>33.6085505423054</v>
      </c>
      <c r="CR60" s="24" t="n">
        <v>33.6715316842031</v>
      </c>
      <c r="CS60" s="24" t="n">
        <v>33.6980857490005</v>
      </c>
      <c r="CT60" s="24" t="n">
        <v>23.7112269310721</v>
      </c>
    </row>
    <row r="61" customFormat="false" ht="15" hidden="false" customHeight="false" outlineLevel="0" collapsed="false">
      <c r="A61" s="11" t="n">
        <v>280</v>
      </c>
      <c r="B61" s="24" t="n">
        <v>19.8032702503291</v>
      </c>
      <c r="C61" s="24" t="n">
        <v>20.5594388291329</v>
      </c>
      <c r="D61" s="24" t="n">
        <v>21.2093363318732</v>
      </c>
      <c r="E61" s="24" t="n">
        <v>21.7500912748888</v>
      </c>
      <c r="F61" s="24" t="n">
        <v>22.2427155800463</v>
      </c>
      <c r="G61" s="24" t="n">
        <v>22.6631733158154</v>
      </c>
      <c r="H61" s="24" t="n">
        <v>23.0412895751216</v>
      </c>
      <c r="I61" s="24" t="n">
        <v>23.4030947224069</v>
      </c>
      <c r="J61" s="24" t="n">
        <v>23.7106797233106</v>
      </c>
      <c r="K61" s="24" t="n">
        <v>24.0275902356464</v>
      </c>
      <c r="L61" s="24" t="n">
        <v>24.3361072600585</v>
      </c>
      <c r="M61" s="24" t="n">
        <v>24.5888787761803</v>
      </c>
      <c r="N61" s="24" t="n">
        <v>24.8361659724327</v>
      </c>
      <c r="O61" s="24" t="n">
        <v>25.1008494509351</v>
      </c>
      <c r="P61" s="24" t="n">
        <v>25.3375309656236</v>
      </c>
      <c r="Q61" s="24" t="n">
        <v>25.5604531646889</v>
      </c>
      <c r="R61" s="24" t="n">
        <v>25.7654958086679</v>
      </c>
      <c r="S61" s="24" t="n">
        <v>25.9672678611612</v>
      </c>
      <c r="T61" s="24" t="n">
        <v>26.1523655842657</v>
      </c>
      <c r="U61" s="24" t="n">
        <v>26.3285334913844</v>
      </c>
      <c r="V61" s="24" t="n">
        <v>26.5055187222799</v>
      </c>
      <c r="W61" s="24" t="n">
        <v>26.6868207895493</v>
      </c>
      <c r="X61" s="24" t="n">
        <v>26.8659660270042</v>
      </c>
      <c r="Y61" s="24" t="n">
        <v>27.0162325647058</v>
      </c>
      <c r="Z61" s="24" t="n">
        <v>27.170447848683</v>
      </c>
      <c r="AA61" s="24" t="n">
        <v>27.3182822846264</v>
      </c>
      <c r="AB61" s="24" t="n">
        <v>27.4796391909495</v>
      </c>
      <c r="AC61" s="24" t="n">
        <v>27.6221382572044</v>
      </c>
      <c r="AD61" s="24" t="n">
        <v>27.771110982313</v>
      </c>
      <c r="AE61" s="24" t="n">
        <v>27.9063825693953</v>
      </c>
      <c r="AF61" s="24" t="n">
        <v>28.0393656163007</v>
      </c>
      <c r="AG61" s="24" t="n">
        <v>28.1776708668087</v>
      </c>
      <c r="AH61" s="24" t="n">
        <v>28.3268021086678</v>
      </c>
      <c r="AI61" s="24" t="n">
        <v>28.4506319819667</v>
      </c>
      <c r="AJ61" s="24" t="n">
        <v>28.5697213735248</v>
      </c>
      <c r="AK61" s="24" t="n">
        <v>28.6990454524657</v>
      </c>
      <c r="AL61" s="24" t="n">
        <v>28.8361114139105</v>
      </c>
      <c r="AM61" s="24" t="n">
        <v>28.9627149923125</v>
      </c>
      <c r="AN61" s="24" t="n">
        <v>29.080605502503</v>
      </c>
      <c r="AO61" s="24" t="n">
        <v>29.2000060623136</v>
      </c>
      <c r="AP61" s="24" t="n">
        <v>29.3004869159486</v>
      </c>
      <c r="AQ61" s="24" t="n">
        <v>29.4067058509666</v>
      </c>
      <c r="AR61" s="24" t="n">
        <v>29.5191720844915</v>
      </c>
      <c r="AS61" s="24" t="n">
        <v>29.6287574818136</v>
      </c>
      <c r="AT61" s="24" t="n">
        <v>29.7324127836967</v>
      </c>
      <c r="AU61" s="24" t="n">
        <v>29.8487444028503</v>
      </c>
      <c r="AV61" s="24" t="n">
        <v>29.9550065221759</v>
      </c>
      <c r="AW61" s="24" t="n">
        <v>30.0564346802438</v>
      </c>
      <c r="AX61" s="24" t="n">
        <v>30.1574909992012</v>
      </c>
      <c r="AY61" s="24" t="n">
        <v>30.2440305689806</v>
      </c>
      <c r="AZ61" s="24" t="n">
        <v>30.3368065451751</v>
      </c>
      <c r="BA61" s="24" t="n">
        <v>30.4322909640322</v>
      </c>
      <c r="BB61" s="24" t="n">
        <v>30.5224608538573</v>
      </c>
      <c r="BC61" s="24" t="n">
        <v>30.6183956187317</v>
      </c>
      <c r="BD61" s="24" t="n">
        <v>30.7049102463211</v>
      </c>
      <c r="BE61" s="24" t="n">
        <v>30.7868464438619</v>
      </c>
      <c r="BF61" s="24" t="n">
        <v>30.8819978038294</v>
      </c>
      <c r="BG61" s="24" t="n">
        <v>30.9710399338741</v>
      </c>
      <c r="BH61" s="24" t="n">
        <v>31.0484560511824</v>
      </c>
      <c r="BI61" s="24" t="n">
        <v>31.1329344284021</v>
      </c>
      <c r="BJ61" s="24" t="n">
        <v>31.2242520698982</v>
      </c>
      <c r="BK61" s="24" t="n">
        <v>31.2995693270125</v>
      </c>
      <c r="BL61" s="24" t="n">
        <v>31.3796022847597</v>
      </c>
      <c r="BM61" s="24" t="n">
        <v>31.4615609516148</v>
      </c>
      <c r="BN61" s="24" t="n">
        <v>31.5472178052752</v>
      </c>
      <c r="BO61" s="24" t="n">
        <v>31.6191560474109</v>
      </c>
      <c r="BP61" s="24" t="n">
        <v>31.6974592092367</v>
      </c>
      <c r="BQ61" s="24" t="n">
        <v>31.7820458774507</v>
      </c>
      <c r="BR61" s="24" t="n">
        <v>31.8607052679639</v>
      </c>
      <c r="BS61" s="24" t="n">
        <v>31.9436926831605</v>
      </c>
      <c r="BT61" s="24" t="n">
        <v>32.0204523403535</v>
      </c>
      <c r="BU61" s="24" t="n">
        <v>32.0991754828929</v>
      </c>
      <c r="BV61" s="24" t="n">
        <v>32.1715013342319</v>
      </c>
      <c r="BW61" s="24" t="n">
        <v>32.2459358837763</v>
      </c>
      <c r="BX61" s="24" t="n">
        <v>32.3164279800515</v>
      </c>
      <c r="BY61" s="24" t="n">
        <v>32.3888872732295</v>
      </c>
      <c r="BZ61" s="24" t="n">
        <v>32.4696232274065</v>
      </c>
      <c r="CA61" s="24" t="n">
        <v>32.5412875650856</v>
      </c>
      <c r="CB61" s="24" t="n">
        <v>32.6082076513141</v>
      </c>
      <c r="CC61" s="24" t="n">
        <v>32.6738367637494</v>
      </c>
      <c r="CD61" s="24" t="n">
        <v>32.7390928014782</v>
      </c>
      <c r="CE61" s="24" t="n">
        <v>32.8062524491262</v>
      </c>
      <c r="CF61" s="24" t="n">
        <v>32.8815816267188</v>
      </c>
      <c r="CG61" s="24" t="n">
        <v>32.9436861277401</v>
      </c>
      <c r="CH61" s="24" t="n">
        <v>33.0121218961011</v>
      </c>
      <c r="CI61" s="24" t="n">
        <v>33.0833184991799</v>
      </c>
      <c r="CJ61" s="24" t="n">
        <v>33.149950563113</v>
      </c>
      <c r="CK61" s="24" t="n">
        <v>33.2032304416922</v>
      </c>
      <c r="CL61" s="24" t="n">
        <v>33.2660784499686</v>
      </c>
      <c r="CM61" s="24" t="n">
        <v>33.3385499907606</v>
      </c>
      <c r="CN61" s="24" t="n">
        <v>33.4057797572684</v>
      </c>
      <c r="CO61" s="24" t="n">
        <v>33.4749067380737</v>
      </c>
      <c r="CP61" s="24" t="n">
        <v>33.5411419474812</v>
      </c>
      <c r="CQ61" s="24" t="n">
        <v>33.6092207525438</v>
      </c>
      <c r="CR61" s="24" t="n">
        <v>33.671959962374</v>
      </c>
      <c r="CS61" s="24" t="n">
        <v>33.6981277339841</v>
      </c>
      <c r="CT61" s="24" t="n">
        <v>23.7115620051925</v>
      </c>
    </row>
    <row r="62" customFormat="false" ht="15" hidden="false" customHeight="false" outlineLevel="0" collapsed="false">
      <c r="A62" s="11" t="n">
        <v>285</v>
      </c>
      <c r="B62" s="24" t="n">
        <v>19.8070571415243</v>
      </c>
      <c r="C62" s="24" t="n">
        <v>20.5638161448572</v>
      </c>
      <c r="D62" s="24" t="n">
        <v>21.2116128351514</v>
      </c>
      <c r="E62" s="24" t="n">
        <v>21.7568785249838</v>
      </c>
      <c r="F62" s="24" t="n">
        <v>22.2447632736455</v>
      </c>
      <c r="G62" s="24" t="n">
        <v>22.6631733158154</v>
      </c>
      <c r="H62" s="24" t="n">
        <v>23.0430812655825</v>
      </c>
      <c r="I62" s="24" t="n">
        <v>23.4038449980966</v>
      </c>
      <c r="J62" s="24" t="n">
        <v>23.7110723768602</v>
      </c>
      <c r="K62" s="24" t="n">
        <v>24.0281837466243</v>
      </c>
      <c r="L62" s="24" t="n">
        <v>24.3365049537692</v>
      </c>
      <c r="M62" s="24" t="n">
        <v>24.5889897909896</v>
      </c>
      <c r="N62" s="24" t="n">
        <v>24.8377476284091</v>
      </c>
      <c r="O62" s="24" t="n">
        <v>25.1016748904361</v>
      </c>
      <c r="P62" s="24" t="n">
        <v>25.3400469549552</v>
      </c>
      <c r="Q62" s="24" t="n">
        <v>25.562908570794</v>
      </c>
      <c r="R62" s="24" t="n">
        <v>25.7690210258901</v>
      </c>
      <c r="S62" s="24" t="n">
        <v>25.9718024719897</v>
      </c>
      <c r="T62" s="24" t="n">
        <v>26.1558022526898</v>
      </c>
      <c r="U62" s="24" t="n">
        <v>26.3301928472846</v>
      </c>
      <c r="V62" s="24" t="n">
        <v>26.509359124656</v>
      </c>
      <c r="W62" s="24" t="n">
        <v>26.6873733375654</v>
      </c>
      <c r="X62" s="24" t="n">
        <v>26.8683479444454</v>
      </c>
      <c r="Y62" s="24" t="n">
        <v>27.0163771359254</v>
      </c>
      <c r="Z62" s="24" t="n">
        <v>27.1713510798198</v>
      </c>
      <c r="AA62" s="24" t="n">
        <v>27.3208581576021</v>
      </c>
      <c r="AB62" s="24" t="n">
        <v>27.4815252726838</v>
      </c>
      <c r="AC62" s="24" t="n">
        <v>27.6230297027624</v>
      </c>
      <c r="AD62" s="24" t="n">
        <v>27.7755273672083</v>
      </c>
      <c r="AE62" s="24" t="n">
        <v>27.9087357981913</v>
      </c>
      <c r="AF62" s="24" t="n">
        <v>28.0417956577721</v>
      </c>
      <c r="AG62" s="24" t="n">
        <v>28.1782263055875</v>
      </c>
      <c r="AH62" s="24" t="n">
        <v>28.3295751480081</v>
      </c>
      <c r="AI62" s="24" t="n">
        <v>28.4507274135186</v>
      </c>
      <c r="AJ62" s="24" t="n">
        <v>28.572409259942</v>
      </c>
      <c r="AK62" s="24" t="n">
        <v>28.7007400524589</v>
      </c>
      <c r="AL62" s="24" t="n">
        <v>28.8381971175245</v>
      </c>
      <c r="AM62" s="24" t="n">
        <v>28.9636830633711</v>
      </c>
      <c r="AN62" s="24" t="n">
        <v>29.0829419271251</v>
      </c>
      <c r="AO62" s="24" t="n">
        <v>29.2008722384882</v>
      </c>
      <c r="AP62" s="24" t="n">
        <v>29.3025883997392</v>
      </c>
      <c r="AQ62" s="24" t="n">
        <v>29.4099770002405</v>
      </c>
      <c r="AR62" s="24" t="n">
        <v>29.5222474430239</v>
      </c>
      <c r="AS62" s="24" t="n">
        <v>29.6296423042351</v>
      </c>
      <c r="AT62" s="24" t="n">
        <v>29.7333978716354</v>
      </c>
      <c r="AU62" s="24" t="n">
        <v>29.8513924334287</v>
      </c>
      <c r="AV62" s="24" t="n">
        <v>29.9557961383275</v>
      </c>
      <c r="AW62" s="24" t="n">
        <v>30.0586440562459</v>
      </c>
      <c r="AX62" s="24" t="n">
        <v>30.1588865110371</v>
      </c>
      <c r="AY62" s="24" t="n">
        <v>30.2456064688926</v>
      </c>
      <c r="AZ62" s="24" t="n">
        <v>30.337900540575</v>
      </c>
      <c r="BA62" s="24" t="n">
        <v>30.4353479971559</v>
      </c>
      <c r="BB62" s="24" t="n">
        <v>30.5247623052712</v>
      </c>
      <c r="BC62" s="24" t="n">
        <v>30.6199701963372</v>
      </c>
      <c r="BD62" s="24" t="n">
        <v>30.7089127055859</v>
      </c>
      <c r="BE62" s="24" t="n">
        <v>30.7904844585877</v>
      </c>
      <c r="BF62" s="24" t="n">
        <v>30.8840563625426</v>
      </c>
      <c r="BG62" s="24" t="n">
        <v>30.9727370563812</v>
      </c>
      <c r="BH62" s="24" t="n">
        <v>31.0505327772794</v>
      </c>
      <c r="BI62" s="24" t="n">
        <v>31.1358088446518</v>
      </c>
      <c r="BJ62" s="24" t="n">
        <v>31.226446688205</v>
      </c>
      <c r="BK62" s="24" t="n">
        <v>31.3007656567961</v>
      </c>
      <c r="BL62" s="24" t="n">
        <v>31.3806257825606</v>
      </c>
      <c r="BM62" s="24" t="n">
        <v>31.46248725931</v>
      </c>
      <c r="BN62" s="24" t="n">
        <v>31.5479622246965</v>
      </c>
      <c r="BO62" s="24" t="n">
        <v>31.6205571589122</v>
      </c>
      <c r="BP62" s="24" t="n">
        <v>31.6990607804749</v>
      </c>
      <c r="BQ62" s="24" t="n">
        <v>31.7843890176283</v>
      </c>
      <c r="BR62" s="24" t="n">
        <v>31.8636968546205</v>
      </c>
      <c r="BS62" s="24" t="n">
        <v>31.9447422621006</v>
      </c>
      <c r="BT62" s="24" t="n">
        <v>32.0214608643382</v>
      </c>
      <c r="BU62" s="24" t="n">
        <v>32.1014265503123</v>
      </c>
      <c r="BV62" s="24" t="n">
        <v>32.1717727037187</v>
      </c>
      <c r="BW62" s="24" t="n">
        <v>32.2462140042438</v>
      </c>
      <c r="BX62" s="24" t="n">
        <v>32.3166417857587</v>
      </c>
      <c r="BY62" s="24" t="n">
        <v>32.3893055529859</v>
      </c>
      <c r="BZ62" s="24" t="n">
        <v>32.4700869244001</v>
      </c>
      <c r="CA62" s="24" t="n">
        <v>32.5420488306137</v>
      </c>
      <c r="CB62" s="24" t="n">
        <v>32.6091892978608</v>
      </c>
      <c r="CC62" s="24" t="n">
        <v>32.6740368107405</v>
      </c>
      <c r="CD62" s="24" t="n">
        <v>32.7398837896163</v>
      </c>
      <c r="CE62" s="24" t="n">
        <v>32.8070231444153</v>
      </c>
      <c r="CF62" s="24" t="n">
        <v>32.8816969807874</v>
      </c>
      <c r="CG62" s="24" t="n">
        <v>32.9442220017478</v>
      </c>
      <c r="CH62" s="24" t="n">
        <v>33.0131710148987</v>
      </c>
      <c r="CI62" s="24" t="n">
        <v>33.0839236812761</v>
      </c>
      <c r="CJ62" s="24" t="n">
        <v>33.1503916668331</v>
      </c>
      <c r="CK62" s="24" t="n">
        <v>33.2043778649174</v>
      </c>
      <c r="CL62" s="24" t="n">
        <v>33.2664037830715</v>
      </c>
      <c r="CM62" s="24" t="n">
        <v>33.3409753962933</v>
      </c>
      <c r="CN62" s="24" t="n">
        <v>33.4072859157526</v>
      </c>
      <c r="CO62" s="24" t="n">
        <v>33.4760562676044</v>
      </c>
      <c r="CP62" s="24" t="n">
        <v>33.5424259953705</v>
      </c>
      <c r="CQ62" s="24" t="n">
        <v>33.6098358496449</v>
      </c>
      <c r="CR62" s="24" t="n">
        <v>33.6733361034334</v>
      </c>
      <c r="CS62" s="24" t="n">
        <v>33.6991846941607</v>
      </c>
      <c r="CT62" s="24" t="n">
        <v>23.7121228217314</v>
      </c>
    </row>
    <row r="63" customFormat="false" ht="15" hidden="false" customHeight="false" outlineLevel="0" collapsed="false">
      <c r="A63" s="11" t="n">
        <v>290</v>
      </c>
      <c r="B63" s="24" t="n">
        <v>19.819086208631</v>
      </c>
      <c r="C63" s="24" t="n">
        <v>20.5660923814391</v>
      </c>
      <c r="D63" s="24" t="n">
        <v>21.2116128351514</v>
      </c>
      <c r="E63" s="24" t="n">
        <v>21.7606993550073</v>
      </c>
      <c r="F63" s="24" t="n">
        <v>22.249542515749</v>
      </c>
      <c r="G63" s="24" t="n">
        <v>22.6671552582678</v>
      </c>
      <c r="H63" s="24" t="n">
        <v>23.0471642504785</v>
      </c>
      <c r="I63" s="24" t="n">
        <v>23.4038449980966</v>
      </c>
      <c r="J63" s="24" t="n">
        <v>23.7112269310721</v>
      </c>
      <c r="K63" s="24" t="n">
        <v>24.0294675805017</v>
      </c>
      <c r="L63" s="24" t="n">
        <v>24.3367216015693</v>
      </c>
      <c r="M63" s="24" t="n">
        <v>24.5901742224239</v>
      </c>
      <c r="N63" s="24" t="n">
        <v>24.8392126522778</v>
      </c>
      <c r="O63" s="24" t="n">
        <v>25.1016748904361</v>
      </c>
      <c r="P63" s="24" t="n">
        <v>25.3400469549552</v>
      </c>
      <c r="Q63" s="24" t="n">
        <v>25.5650853200768</v>
      </c>
      <c r="R63" s="24" t="n">
        <v>25.7713289527543</v>
      </c>
      <c r="S63" s="24" t="n">
        <v>25.9730855088649</v>
      </c>
      <c r="T63" s="24" t="n">
        <v>26.158713118252</v>
      </c>
      <c r="U63" s="24" t="n">
        <v>26.3328034844277</v>
      </c>
      <c r="V63" s="24" t="n">
        <v>26.5107066355313</v>
      </c>
      <c r="W63" s="24" t="n">
        <v>26.6895881001617</v>
      </c>
      <c r="X63" s="24" t="n">
        <v>26.8691472867104</v>
      </c>
      <c r="Y63" s="24" t="n">
        <v>27.0179884703342</v>
      </c>
      <c r="Z63" s="24" t="n">
        <v>27.1733832121358</v>
      </c>
      <c r="AA63" s="24" t="n">
        <v>27.3236363154092</v>
      </c>
      <c r="AB63" s="24" t="n">
        <v>27.4823025414548</v>
      </c>
      <c r="AC63" s="24" t="n">
        <v>27.6233642546218</v>
      </c>
      <c r="AD63" s="24" t="n">
        <v>27.7764812681934</v>
      </c>
      <c r="AE63" s="24" t="n">
        <v>27.9105221699945</v>
      </c>
      <c r="AF63" s="24" t="n">
        <v>28.0423222778764</v>
      </c>
      <c r="AG63" s="24" t="n">
        <v>28.1794163249675</v>
      </c>
      <c r="AH63" s="24" t="n">
        <v>28.3314381528759</v>
      </c>
      <c r="AI63" s="24" t="n">
        <v>28.4518797338049</v>
      </c>
      <c r="AJ63" s="24" t="n">
        <v>28.5746794432916</v>
      </c>
      <c r="AK63" s="24" t="n">
        <v>28.7046214775832</v>
      </c>
      <c r="AL63" s="24" t="n">
        <v>28.8395574171477</v>
      </c>
      <c r="AM63" s="24" t="n">
        <v>28.9646413562678</v>
      </c>
      <c r="AN63" s="24" t="n">
        <v>29.0842606144003</v>
      </c>
      <c r="AO63" s="24" t="n">
        <v>29.2022857838502</v>
      </c>
      <c r="AP63" s="24" t="n">
        <v>29.3027185050702</v>
      </c>
      <c r="AQ63" s="24" t="n">
        <v>29.4107224531083</v>
      </c>
      <c r="AR63" s="24" t="n">
        <v>29.5227878155819</v>
      </c>
      <c r="AS63" s="24" t="n">
        <v>29.6312198173785</v>
      </c>
      <c r="AT63" s="24" t="n">
        <v>29.7359620244376</v>
      </c>
      <c r="AU63" s="24" t="n">
        <v>29.8533214694361</v>
      </c>
      <c r="AV63" s="24" t="n">
        <v>29.9566121242374</v>
      </c>
      <c r="AW63" s="24" t="n">
        <v>30.0607611412866</v>
      </c>
      <c r="AX63" s="24" t="n">
        <v>30.1592137846358</v>
      </c>
      <c r="AY63" s="24" t="n">
        <v>30.2465047432887</v>
      </c>
      <c r="AZ63" s="24" t="n">
        <v>30.340301879576</v>
      </c>
      <c r="BA63" s="24" t="n">
        <v>30.437601252074</v>
      </c>
      <c r="BB63" s="24" t="n">
        <v>30.5258324841369</v>
      </c>
      <c r="BC63" s="24" t="n">
        <v>30.6207746628468</v>
      </c>
      <c r="BD63" s="24" t="n">
        <v>30.7091719154696</v>
      </c>
      <c r="BE63" s="24" t="n">
        <v>30.7917323317333</v>
      </c>
      <c r="BF63" s="24" t="n">
        <v>30.8858539668678</v>
      </c>
      <c r="BG63" s="24" t="n">
        <v>30.9754064639267</v>
      </c>
      <c r="BH63" s="24" t="n">
        <v>31.0518445964447</v>
      </c>
      <c r="BI63" s="24" t="n">
        <v>31.1390077605694</v>
      </c>
      <c r="BJ63" s="24" t="n">
        <v>31.2272812936474</v>
      </c>
      <c r="BK63" s="24" t="n">
        <v>31.3027233171964</v>
      </c>
      <c r="BL63" s="24" t="n">
        <v>31.3826337145522</v>
      </c>
      <c r="BM63" s="24" t="n">
        <v>31.4650304274713</v>
      </c>
      <c r="BN63" s="24" t="n">
        <v>31.5505703691838</v>
      </c>
      <c r="BO63" s="24" t="n">
        <v>31.6228357969163</v>
      </c>
      <c r="BP63" s="24" t="n">
        <v>31.7002229923753</v>
      </c>
      <c r="BQ63" s="24" t="n">
        <v>31.7852351700581</v>
      </c>
      <c r="BR63" s="24" t="n">
        <v>31.8645410769989</v>
      </c>
      <c r="BS63" s="24" t="n">
        <v>31.9473241025455</v>
      </c>
      <c r="BT63" s="24" t="n">
        <v>32.0226435803058</v>
      </c>
      <c r="BU63" s="24" t="n">
        <v>32.102868881781</v>
      </c>
      <c r="BV63" s="24" t="n">
        <v>32.1731938505725</v>
      </c>
      <c r="BW63" s="24" t="n">
        <v>32.24771047545</v>
      </c>
      <c r="BX63" s="24" t="n">
        <v>32.3195366916235</v>
      </c>
      <c r="BY63" s="24" t="n">
        <v>32.3902441557003</v>
      </c>
      <c r="BZ63" s="24" t="n">
        <v>32.4723788670505</v>
      </c>
      <c r="CA63" s="24" t="n">
        <v>32.5436068436199</v>
      </c>
      <c r="CB63" s="24" t="n">
        <v>32.6121053989925</v>
      </c>
      <c r="CC63" s="24" t="n">
        <v>32.6747241504484</v>
      </c>
      <c r="CD63" s="24" t="n">
        <v>32.7405057582859</v>
      </c>
      <c r="CE63" s="24" t="n">
        <v>32.8080793433238</v>
      </c>
      <c r="CF63" s="24" t="n">
        <v>32.8833074276741</v>
      </c>
      <c r="CG63" s="24" t="n">
        <v>32.9475920523208</v>
      </c>
      <c r="CH63" s="24" t="n">
        <v>33.0139661636386</v>
      </c>
      <c r="CI63" s="24" t="n">
        <v>33.0846094995258</v>
      </c>
      <c r="CJ63" s="24" t="n">
        <v>33.1510266705846</v>
      </c>
      <c r="CK63" s="24" t="n">
        <v>33.2046431244111</v>
      </c>
      <c r="CL63" s="24" t="n">
        <v>33.2666445600206</v>
      </c>
      <c r="CM63" s="24" t="n">
        <v>33.3410016397533</v>
      </c>
      <c r="CN63" s="24" t="n">
        <v>33.4075322872761</v>
      </c>
      <c r="CO63" s="24" t="n">
        <v>33.4765025798172</v>
      </c>
      <c r="CP63" s="24" t="n">
        <v>33.5427321870762</v>
      </c>
      <c r="CQ63" s="24" t="n">
        <v>33.6105085807233</v>
      </c>
      <c r="CR63" s="24" t="n">
        <v>33.6750988884435</v>
      </c>
      <c r="CS63" s="24" t="n">
        <v>33.6998368567958</v>
      </c>
      <c r="CT63" s="24" t="n">
        <v>23.7125904677563</v>
      </c>
    </row>
    <row r="64" customFormat="false" ht="15" hidden="false" customHeight="false" outlineLevel="0" collapsed="false">
      <c r="A64" s="11" t="n">
        <v>295</v>
      </c>
      <c r="B64" s="24" t="n">
        <v>19.819086208631</v>
      </c>
      <c r="C64" s="24" t="n">
        <v>20.5676197848069</v>
      </c>
      <c r="D64" s="24" t="n">
        <v>21.2124435567376</v>
      </c>
      <c r="E64" s="24" t="n">
        <v>21.7660804339998</v>
      </c>
      <c r="F64" s="24" t="n">
        <v>22.2497613055194</v>
      </c>
      <c r="G64" s="24" t="n">
        <v>22.6707660789736</v>
      </c>
      <c r="H64" s="24" t="n">
        <v>23.0516930612784</v>
      </c>
      <c r="I64" s="24" t="n">
        <v>23.4089773664502</v>
      </c>
      <c r="J64" s="24" t="n">
        <v>23.7141976389005</v>
      </c>
      <c r="K64" s="24" t="n">
        <v>24.0294874578252</v>
      </c>
      <c r="L64" s="24" t="n">
        <v>24.3367216015693</v>
      </c>
      <c r="M64" s="24" t="n">
        <v>24.5902947108377</v>
      </c>
      <c r="N64" s="24" t="n">
        <v>24.8406223048043</v>
      </c>
      <c r="O64" s="24" t="n">
        <v>25.1018497672883</v>
      </c>
      <c r="P64" s="24" t="n">
        <v>25.3400469549552</v>
      </c>
      <c r="Q64" s="24" t="n">
        <v>25.5650853200768</v>
      </c>
      <c r="R64" s="24" t="n">
        <v>25.7713289527543</v>
      </c>
      <c r="S64" s="24" t="n">
        <v>25.9730855088649</v>
      </c>
      <c r="T64" s="24" t="n">
        <v>26.158713118252</v>
      </c>
      <c r="U64" s="24" t="n">
        <v>26.3336375345701</v>
      </c>
      <c r="V64" s="24" t="n">
        <v>26.511949269896</v>
      </c>
      <c r="W64" s="24" t="n">
        <v>26.6913129178329</v>
      </c>
      <c r="X64" s="24" t="n">
        <v>26.8702702075824</v>
      </c>
      <c r="Y64" s="24" t="n">
        <v>27.0182645218743</v>
      </c>
      <c r="Z64" s="24" t="n">
        <v>27.1749309813149</v>
      </c>
      <c r="AA64" s="24" t="n">
        <v>27.3252672556588</v>
      </c>
      <c r="AB64" s="24" t="n">
        <v>27.4847098814309</v>
      </c>
      <c r="AC64" s="24" t="n">
        <v>27.6272501377588</v>
      </c>
      <c r="AD64" s="24" t="n">
        <v>27.7771855202165</v>
      </c>
      <c r="AE64" s="24" t="n">
        <v>27.9112174402209</v>
      </c>
      <c r="AF64" s="24" t="n">
        <v>28.0438392895942</v>
      </c>
      <c r="AG64" s="24" t="n">
        <v>28.1810416282953</v>
      </c>
      <c r="AH64" s="24" t="n">
        <v>28.3327898048305</v>
      </c>
      <c r="AI64" s="24" t="n">
        <v>28.4519963648272</v>
      </c>
      <c r="AJ64" s="24" t="n">
        <v>28.5750934075982</v>
      </c>
      <c r="AK64" s="24" t="n">
        <v>28.7050265983969</v>
      </c>
      <c r="AL64" s="24" t="n">
        <v>28.8410332907586</v>
      </c>
      <c r="AM64" s="24" t="n">
        <v>28.9667347196887</v>
      </c>
      <c r="AN64" s="24" t="n">
        <v>29.0849076722929</v>
      </c>
      <c r="AO64" s="24" t="n">
        <v>29.2027322439605</v>
      </c>
      <c r="AP64" s="24" t="n">
        <v>29.3029908819379</v>
      </c>
      <c r="AQ64" s="24" t="n">
        <v>29.4116452999677</v>
      </c>
      <c r="AR64" s="24" t="n">
        <v>29.5241245869342</v>
      </c>
      <c r="AS64" s="24" t="n">
        <v>29.6320652978169</v>
      </c>
      <c r="AT64" s="24" t="n">
        <v>29.7387844584889</v>
      </c>
      <c r="AU64" s="24" t="n">
        <v>29.8535722099911</v>
      </c>
      <c r="AV64" s="24" t="n">
        <v>29.9584278720595</v>
      </c>
      <c r="AW64" s="24" t="n">
        <v>30.0610718753625</v>
      </c>
      <c r="AX64" s="24" t="n">
        <v>30.1600398668505</v>
      </c>
      <c r="AY64" s="24" t="n">
        <v>30.2486151624507</v>
      </c>
      <c r="AZ64" s="24" t="n">
        <v>30.3404294901758</v>
      </c>
      <c r="BA64" s="24" t="n">
        <v>30.4384099981957</v>
      </c>
      <c r="BB64" s="24" t="n">
        <v>30.5273714685672</v>
      </c>
      <c r="BC64" s="24" t="n">
        <v>30.6220800112305</v>
      </c>
      <c r="BD64" s="24" t="n">
        <v>30.7105806587974</v>
      </c>
      <c r="BE64" s="24" t="n">
        <v>30.7925820448475</v>
      </c>
      <c r="BF64" s="24" t="n">
        <v>30.8880829849752</v>
      </c>
      <c r="BG64" s="24" t="n">
        <v>30.9763057922296</v>
      </c>
      <c r="BH64" s="24" t="n">
        <v>31.0544930810725</v>
      </c>
      <c r="BI64" s="24" t="n">
        <v>31.1402580473543</v>
      </c>
      <c r="BJ64" s="24" t="n">
        <v>31.228121252192</v>
      </c>
      <c r="BK64" s="24" t="n">
        <v>31.3037835844237</v>
      </c>
      <c r="BL64" s="24" t="n">
        <v>31.3836466605181</v>
      </c>
      <c r="BM64" s="24" t="n">
        <v>31.4702044929608</v>
      </c>
      <c r="BN64" s="24" t="n">
        <v>31.5523577029472</v>
      </c>
      <c r="BO64" s="24" t="n">
        <v>31.6233374764374</v>
      </c>
      <c r="BP64" s="24" t="n">
        <v>31.7007773733523</v>
      </c>
      <c r="BQ64" s="24" t="n">
        <v>31.7862114681949</v>
      </c>
      <c r="BR64" s="24" t="n">
        <v>31.8649686262412</v>
      </c>
      <c r="BS64" s="24" t="n">
        <v>31.9498193888878</v>
      </c>
      <c r="BT64" s="24" t="n">
        <v>32.0238546072518</v>
      </c>
      <c r="BU64" s="24" t="n">
        <v>32.1037435418171</v>
      </c>
      <c r="BV64" s="24" t="n">
        <v>32.174210240587</v>
      </c>
      <c r="BW64" s="24" t="n">
        <v>32.2485737452379</v>
      </c>
      <c r="BX64" s="24" t="n">
        <v>32.320416568473</v>
      </c>
      <c r="BY64" s="24" t="n">
        <v>32.390955782731</v>
      </c>
      <c r="BZ64" s="24" t="n">
        <v>32.4738495125286</v>
      </c>
      <c r="CA64" s="24" t="n">
        <v>32.5449409005772</v>
      </c>
      <c r="CB64" s="24" t="n">
        <v>32.6126221754728</v>
      </c>
      <c r="CC64" s="24" t="n">
        <v>32.6751361099858</v>
      </c>
      <c r="CD64" s="24" t="n">
        <v>32.7414123023023</v>
      </c>
      <c r="CE64" s="24" t="n">
        <v>32.808481566739</v>
      </c>
      <c r="CF64" s="24" t="n">
        <v>32.8839024150978</v>
      </c>
      <c r="CG64" s="24" t="n">
        <v>32.9483046093356</v>
      </c>
      <c r="CH64" s="24" t="n">
        <v>33.0139905697651</v>
      </c>
      <c r="CI64" s="24" t="n">
        <v>33.0860749238087</v>
      </c>
      <c r="CJ64" s="24" t="n">
        <v>33.1522915140986</v>
      </c>
      <c r="CK64" s="24" t="n">
        <v>33.2052137979623</v>
      </c>
      <c r="CL64" s="24" t="n">
        <v>33.2674978644563</v>
      </c>
      <c r="CM64" s="24" t="n">
        <v>33.3419221077399</v>
      </c>
      <c r="CN64" s="24" t="n">
        <v>33.4081105605861</v>
      </c>
      <c r="CO64" s="24" t="n">
        <v>33.4766394108977</v>
      </c>
      <c r="CP64" s="24" t="n">
        <v>33.5441489995975</v>
      </c>
      <c r="CQ64" s="24" t="n">
        <v>33.6111976890135</v>
      </c>
      <c r="CR64" s="24" t="n">
        <v>33.6769558680992</v>
      </c>
      <c r="CS64" s="24" t="n">
        <v>33.7016658829911</v>
      </c>
      <c r="CT64" s="24" t="n">
        <v>23.7183151081841</v>
      </c>
    </row>
    <row r="65" customFormat="false" ht="15" hidden="false" customHeight="false" outlineLevel="0" collapsed="false">
      <c r="A65" s="11" t="n">
        <v>300</v>
      </c>
      <c r="B65" s="24" t="n">
        <v>19.819086208631</v>
      </c>
      <c r="C65" s="24" t="n">
        <v>20.5676197848069</v>
      </c>
      <c r="D65" s="24" t="n">
        <v>21.2158687832254</v>
      </c>
      <c r="E65" s="24" t="n">
        <v>21.7693356796019</v>
      </c>
      <c r="F65" s="24" t="n">
        <v>22.2503771946594</v>
      </c>
      <c r="G65" s="24" t="n">
        <v>22.6709866275413</v>
      </c>
      <c r="H65" s="24" t="n">
        <v>23.0520163060275</v>
      </c>
      <c r="I65" s="24" t="n">
        <v>23.4107218271343</v>
      </c>
      <c r="J65" s="24" t="n">
        <v>23.7212048241706</v>
      </c>
      <c r="K65" s="24" t="n">
        <v>24.0344325840605</v>
      </c>
      <c r="L65" s="24" t="n">
        <v>24.3450010078554</v>
      </c>
      <c r="M65" s="24" t="n">
        <v>24.5974988299761</v>
      </c>
      <c r="N65" s="24" t="n">
        <v>24.8410902694281</v>
      </c>
      <c r="O65" s="24" t="n">
        <v>25.1018497672883</v>
      </c>
      <c r="P65" s="24" t="n">
        <v>25.3402023345288</v>
      </c>
      <c r="Q65" s="24" t="n">
        <v>25.5653381896812</v>
      </c>
      <c r="R65" s="24" t="n">
        <v>25.7729480363854</v>
      </c>
      <c r="S65" s="24" t="n">
        <v>25.973613786968</v>
      </c>
      <c r="T65" s="24" t="n">
        <v>26.158713118252</v>
      </c>
      <c r="U65" s="24" t="n">
        <v>26.3336375345701</v>
      </c>
      <c r="V65" s="24" t="n">
        <v>26.511949269896</v>
      </c>
      <c r="W65" s="24" t="n">
        <v>26.6913129178329</v>
      </c>
      <c r="X65" s="24" t="n">
        <v>26.8702702075824</v>
      </c>
      <c r="Y65" s="24" t="n">
        <v>27.0182645218743</v>
      </c>
      <c r="Z65" s="24" t="n">
        <v>27.1761574274158</v>
      </c>
      <c r="AA65" s="24" t="n">
        <v>27.3253050106397</v>
      </c>
      <c r="AB65" s="24" t="n">
        <v>27.4857398922109</v>
      </c>
      <c r="AC65" s="24" t="n">
        <v>27.6284837893517</v>
      </c>
      <c r="AD65" s="24" t="n">
        <v>27.7784834960642</v>
      </c>
      <c r="AE65" s="24" t="n">
        <v>27.9126431971543</v>
      </c>
      <c r="AF65" s="24" t="n">
        <v>28.0472493207409</v>
      </c>
      <c r="AG65" s="24" t="n">
        <v>28.1821289841329</v>
      </c>
      <c r="AH65" s="24" t="n">
        <v>28.3345468318439</v>
      </c>
      <c r="AI65" s="24" t="n">
        <v>28.4541883341318</v>
      </c>
      <c r="AJ65" s="24" t="n">
        <v>28.5790114206082</v>
      </c>
      <c r="AK65" s="24" t="n">
        <v>28.7082404191704</v>
      </c>
      <c r="AL65" s="24" t="n">
        <v>28.8426787761553</v>
      </c>
      <c r="AM65" s="24" t="n">
        <v>28.9699398144458</v>
      </c>
      <c r="AN65" s="24" t="n">
        <v>29.0858333116551</v>
      </c>
      <c r="AO65" s="24" t="n">
        <v>29.2050891329451</v>
      </c>
      <c r="AP65" s="24" t="n">
        <v>29.3031219854018</v>
      </c>
      <c r="AQ65" s="24" t="n">
        <v>29.4124362343101</v>
      </c>
      <c r="AR65" s="24" t="n">
        <v>29.5253678819964</v>
      </c>
      <c r="AS65" s="24" t="n">
        <v>29.6323804241817</v>
      </c>
      <c r="AT65" s="24" t="n">
        <v>29.7390363088705</v>
      </c>
      <c r="AU65" s="24" t="n">
        <v>29.8546981373688</v>
      </c>
      <c r="AV65" s="24" t="n">
        <v>29.9589075415834</v>
      </c>
      <c r="AW65" s="24" t="n">
        <v>30.0615152774793</v>
      </c>
      <c r="AX65" s="24" t="n">
        <v>30.1603396149484</v>
      </c>
      <c r="AY65" s="24" t="n">
        <v>30.2493899397079</v>
      </c>
      <c r="AZ65" s="24" t="n">
        <v>30.3417313709819</v>
      </c>
      <c r="BA65" s="24" t="n">
        <v>30.4387888244079</v>
      </c>
      <c r="BB65" s="24" t="n">
        <v>30.5273714685672</v>
      </c>
      <c r="BC65" s="24" t="n">
        <v>30.6229181894192</v>
      </c>
      <c r="BD65" s="24" t="n">
        <v>30.7106297126025</v>
      </c>
      <c r="BE65" s="24" t="n">
        <v>30.7927387394088</v>
      </c>
      <c r="BF65" s="24" t="n">
        <v>30.8882307119803</v>
      </c>
      <c r="BG65" s="24" t="n">
        <v>30.9773127812611</v>
      </c>
      <c r="BH65" s="24" t="n">
        <v>31.0558227629203</v>
      </c>
      <c r="BI65" s="24" t="n">
        <v>31.1407228561673</v>
      </c>
      <c r="BJ65" s="24" t="n">
        <v>31.2288523678274</v>
      </c>
      <c r="BK65" s="24" t="n">
        <v>31.3046140369805</v>
      </c>
      <c r="BL65" s="24" t="n">
        <v>31.3838767319443</v>
      </c>
      <c r="BM65" s="24" t="n">
        <v>31.4705688407123</v>
      </c>
      <c r="BN65" s="24" t="n">
        <v>31.5527993384162</v>
      </c>
      <c r="BO65" s="24" t="n">
        <v>31.624143193871</v>
      </c>
      <c r="BP65" s="24" t="n">
        <v>31.7018547711126</v>
      </c>
      <c r="BQ65" s="24" t="n">
        <v>31.7875664325129</v>
      </c>
      <c r="BR65" s="24" t="n">
        <v>31.8658997193258</v>
      </c>
      <c r="BS65" s="24" t="n">
        <v>31.9505988422329</v>
      </c>
      <c r="BT65" s="24" t="n">
        <v>32.0247681826531</v>
      </c>
      <c r="BU65" s="24" t="n">
        <v>32.1041887242466</v>
      </c>
      <c r="BV65" s="24" t="n">
        <v>32.1758820579019</v>
      </c>
      <c r="BW65" s="24" t="n">
        <v>32.2489594018364</v>
      </c>
      <c r="BX65" s="24" t="n">
        <v>32.3215232515876</v>
      </c>
      <c r="BY65" s="24" t="n">
        <v>32.3914763410094</v>
      </c>
      <c r="BZ65" s="24" t="n">
        <v>32.4742109463561</v>
      </c>
      <c r="CA65" s="24" t="n">
        <v>32.5450203204659</v>
      </c>
      <c r="CB65" s="24" t="n">
        <v>32.6139893462492</v>
      </c>
      <c r="CC65" s="24" t="n">
        <v>32.6762532132172</v>
      </c>
      <c r="CD65" s="24" t="n">
        <v>32.7421144535859</v>
      </c>
      <c r="CE65" s="24" t="n">
        <v>32.8098876270892</v>
      </c>
      <c r="CF65" s="24" t="n">
        <v>32.8841836786767</v>
      </c>
      <c r="CG65" s="24" t="n">
        <v>32.9498748634914</v>
      </c>
      <c r="CH65" s="24" t="n">
        <v>33.0145570053418</v>
      </c>
      <c r="CI65" s="24" t="n">
        <v>33.086445175191</v>
      </c>
      <c r="CJ65" s="24" t="n">
        <v>33.1535722503698</v>
      </c>
      <c r="CK65" s="24" t="n">
        <v>33.2060146503855</v>
      </c>
      <c r="CL65" s="24" t="n">
        <v>33.2690429746721</v>
      </c>
      <c r="CM65" s="24" t="n">
        <v>33.3424668328395</v>
      </c>
      <c r="CN65" s="24" t="n">
        <v>33.4085767627153</v>
      </c>
      <c r="CO65" s="24" t="n">
        <v>33.4781018200823</v>
      </c>
      <c r="CP65" s="24" t="n">
        <v>33.5445907960184</v>
      </c>
      <c r="CQ65" s="24" t="n">
        <v>33.6121509893905</v>
      </c>
      <c r="CR65" s="24" t="n">
        <v>33.6775024014684</v>
      </c>
      <c r="CS65" s="24" t="n">
        <v>33.7019297903278</v>
      </c>
      <c r="CT65" s="24" t="n">
        <v>23.7244188243801</v>
      </c>
    </row>
    <row r="66" customFormat="false" ht="15" hidden="false" customHeight="false" outlineLevel="0" collapsed="false">
      <c r="A66" s="11" t="n">
        <v>305</v>
      </c>
      <c r="B66" s="24" t="n">
        <v>19.819086208631</v>
      </c>
      <c r="C66" s="24" t="n">
        <v>20.5676197848069</v>
      </c>
      <c r="D66" s="24" t="n">
        <v>21.2158687832254</v>
      </c>
      <c r="E66" s="24" t="n">
        <v>21.7701562478982</v>
      </c>
      <c r="F66" s="24" t="n">
        <v>22.2523243887475</v>
      </c>
      <c r="G66" s="24" t="n">
        <v>22.67416849921</v>
      </c>
      <c r="H66" s="24" t="n">
        <v>23.0537233287389</v>
      </c>
      <c r="I66" s="24" t="n">
        <v>23.4111055381896</v>
      </c>
      <c r="J66" s="24" t="n">
        <v>23.7212048241706</v>
      </c>
      <c r="K66" s="24" t="n">
        <v>24.0368230791786</v>
      </c>
      <c r="L66" s="24" t="n">
        <v>24.345675671083</v>
      </c>
      <c r="M66" s="24" t="n">
        <v>24.6003985262126</v>
      </c>
      <c r="N66" s="24" t="n">
        <v>24.8471915258053</v>
      </c>
      <c r="O66" s="24" t="n">
        <v>25.1093713777416</v>
      </c>
      <c r="P66" s="24" t="n">
        <v>25.3425117037632</v>
      </c>
      <c r="Q66" s="24" t="n">
        <v>25.5669840596267</v>
      </c>
      <c r="R66" s="24" t="n">
        <v>25.7729480363854</v>
      </c>
      <c r="S66" s="24" t="n">
        <v>25.973613786968</v>
      </c>
      <c r="T66" s="24" t="n">
        <v>26.1590292068983</v>
      </c>
      <c r="U66" s="24" t="n">
        <v>26.3340305528915</v>
      </c>
      <c r="V66" s="24" t="n">
        <v>26.5119518081347</v>
      </c>
      <c r="W66" s="24" t="n">
        <v>26.6919307802981</v>
      </c>
      <c r="X66" s="24" t="n">
        <v>26.8703287245051</v>
      </c>
      <c r="Y66" s="24" t="n">
        <v>27.0182645218743</v>
      </c>
      <c r="Z66" s="24" t="n">
        <v>27.1761574274158</v>
      </c>
      <c r="AA66" s="24" t="n">
        <v>27.3253050106397</v>
      </c>
      <c r="AB66" s="24" t="n">
        <v>27.4857398922109</v>
      </c>
      <c r="AC66" s="24" t="n">
        <v>27.6284837893517</v>
      </c>
      <c r="AD66" s="24" t="n">
        <v>27.7784834960642</v>
      </c>
      <c r="AE66" s="24" t="n">
        <v>27.9126431971543</v>
      </c>
      <c r="AF66" s="24" t="n">
        <v>28.0479577896455</v>
      </c>
      <c r="AG66" s="24" t="n">
        <v>28.1832265710989</v>
      </c>
      <c r="AH66" s="24" t="n">
        <v>28.3351156223299</v>
      </c>
      <c r="AI66" s="24" t="n">
        <v>28.4542323539967</v>
      </c>
      <c r="AJ66" s="24" t="n">
        <v>28.5814480704561</v>
      </c>
      <c r="AK66" s="24" t="n">
        <v>28.7089862597886</v>
      </c>
      <c r="AL66" s="24" t="n">
        <v>28.8434511883442</v>
      </c>
      <c r="AM66" s="24" t="n">
        <v>28.9716054167602</v>
      </c>
      <c r="AN66" s="24" t="n">
        <v>29.0865101427313</v>
      </c>
      <c r="AO66" s="24" t="n">
        <v>29.2060608707757</v>
      </c>
      <c r="AP66" s="24" t="n">
        <v>29.3036410352651</v>
      </c>
      <c r="AQ66" s="24" t="n">
        <v>29.4146175331745</v>
      </c>
      <c r="AR66" s="24" t="n">
        <v>29.5268558350087</v>
      </c>
      <c r="AS66" s="24" t="n">
        <v>29.6333904763641</v>
      </c>
      <c r="AT66" s="24" t="n">
        <v>29.7413743619891</v>
      </c>
      <c r="AU66" s="24" t="n">
        <v>29.855949410071</v>
      </c>
      <c r="AV66" s="24" t="n">
        <v>29.9606273417473</v>
      </c>
      <c r="AW66" s="24" t="n">
        <v>30.0623482744315</v>
      </c>
      <c r="AX66" s="24" t="n">
        <v>30.1607131907535</v>
      </c>
      <c r="AY66" s="24" t="n">
        <v>30.2498910152284</v>
      </c>
      <c r="AZ66" s="24" t="n">
        <v>30.3436366155796</v>
      </c>
      <c r="BA66" s="24" t="n">
        <v>30.4391635811615</v>
      </c>
      <c r="BB66" s="24" t="n">
        <v>30.5292844326698</v>
      </c>
      <c r="BC66" s="24" t="n">
        <v>30.6231914286934</v>
      </c>
      <c r="BD66" s="24" t="n">
        <v>30.7110388677264</v>
      </c>
      <c r="BE66" s="24" t="n">
        <v>30.7928594753624</v>
      </c>
      <c r="BF66" s="24" t="n">
        <v>30.8891438392735</v>
      </c>
      <c r="BG66" s="24" t="n">
        <v>30.9779459271143</v>
      </c>
      <c r="BH66" s="24" t="n">
        <v>31.0560515912036</v>
      </c>
      <c r="BI66" s="24" t="n">
        <v>31.1409783302791</v>
      </c>
      <c r="BJ66" s="24" t="n">
        <v>31.2291281937004</v>
      </c>
      <c r="BK66" s="24" t="n">
        <v>31.3050632295976</v>
      </c>
      <c r="BL66" s="24" t="n">
        <v>31.3842212598827</v>
      </c>
      <c r="BM66" s="24" t="n">
        <v>31.4710835607153</v>
      </c>
      <c r="BN66" s="24" t="n">
        <v>31.5529823072981</v>
      </c>
      <c r="BO66" s="24" t="n">
        <v>31.6243609610354</v>
      </c>
      <c r="BP66" s="24" t="n">
        <v>31.7020714665923</v>
      </c>
      <c r="BQ66" s="24" t="n">
        <v>31.7883056450552</v>
      </c>
      <c r="BR66" s="24" t="n">
        <v>31.8668679586016</v>
      </c>
      <c r="BS66" s="24" t="n">
        <v>31.9511102194834</v>
      </c>
      <c r="BT66" s="24" t="n">
        <v>32.0257081702639</v>
      </c>
      <c r="BU66" s="24" t="n">
        <v>32.1044970462497</v>
      </c>
      <c r="BV66" s="24" t="n">
        <v>32.1767978104547</v>
      </c>
      <c r="BW66" s="24" t="n">
        <v>32.2491166062143</v>
      </c>
      <c r="BX66" s="24" t="n">
        <v>32.3217730233188</v>
      </c>
      <c r="BY66" s="24" t="n">
        <v>32.3917779884697</v>
      </c>
      <c r="BZ66" s="24" t="n">
        <v>32.4742591769932</v>
      </c>
      <c r="CA66" s="24" t="n">
        <v>32.5452290284843</v>
      </c>
      <c r="CB66" s="24" t="n">
        <v>32.6141726486609</v>
      </c>
      <c r="CC66" s="24" t="n">
        <v>32.6762731051957</v>
      </c>
      <c r="CD66" s="24" t="n">
        <v>32.742418389924</v>
      </c>
      <c r="CE66" s="24" t="n">
        <v>32.8101376782098</v>
      </c>
      <c r="CF66" s="24" t="n">
        <v>32.884532820568</v>
      </c>
      <c r="CG66" s="24" t="n">
        <v>32.9499709421818</v>
      </c>
      <c r="CH66" s="24" t="n">
        <v>33.0148211959214</v>
      </c>
      <c r="CI66" s="24" t="n">
        <v>33.087920766413</v>
      </c>
      <c r="CJ66" s="24" t="n">
        <v>33.1537835052995</v>
      </c>
      <c r="CK66" s="24" t="n">
        <v>33.2063152809591</v>
      </c>
      <c r="CL66" s="24" t="n">
        <v>33.2695538793022</v>
      </c>
      <c r="CM66" s="24" t="n">
        <v>33.3432699850607</v>
      </c>
      <c r="CN66" s="24" t="n">
        <v>33.4093566691956</v>
      </c>
      <c r="CO66" s="24" t="n">
        <v>33.4792983211591</v>
      </c>
      <c r="CP66" s="24" t="n">
        <v>33.5459139443058</v>
      </c>
      <c r="CQ66" s="24" t="n">
        <v>33.6126028653314</v>
      </c>
      <c r="CR66" s="24" t="n">
        <v>33.6782142978017</v>
      </c>
      <c r="CS66" s="24" t="n">
        <v>33.7028126310337</v>
      </c>
      <c r="CT66" s="24" t="n">
        <v>23.7244188243801</v>
      </c>
    </row>
    <row r="67" customFormat="false" ht="15" hidden="false" customHeight="false" outlineLevel="0" collapsed="false">
      <c r="A67" s="11" t="n">
        <v>310</v>
      </c>
      <c r="B67" s="24" t="n">
        <v>19.819086208631</v>
      </c>
      <c r="C67" s="24" t="n">
        <v>20.5676197848069</v>
      </c>
      <c r="D67" s="24" t="n">
        <v>21.2158687832254</v>
      </c>
      <c r="E67" s="24" t="n">
        <v>21.7701562478982</v>
      </c>
      <c r="F67" s="24" t="n">
        <v>22.2523243887475</v>
      </c>
      <c r="G67" s="24" t="n">
        <v>22.6760520226823</v>
      </c>
      <c r="H67" s="24" t="n">
        <v>23.0537992873317</v>
      </c>
      <c r="I67" s="24" t="n">
        <v>23.4158091201048</v>
      </c>
      <c r="J67" s="24" t="n">
        <v>23.7225447518473</v>
      </c>
      <c r="K67" s="24" t="n">
        <v>24.0372288402148</v>
      </c>
      <c r="L67" s="24" t="n">
        <v>24.3467077789193</v>
      </c>
      <c r="M67" s="24" t="n">
        <v>24.6003985262126</v>
      </c>
      <c r="N67" s="24" t="n">
        <v>24.8506493348562</v>
      </c>
      <c r="O67" s="24" t="n">
        <v>25.1128713916713</v>
      </c>
      <c r="P67" s="24" t="n">
        <v>25.345361353132</v>
      </c>
      <c r="Q67" s="24" t="n">
        <v>25.5709131491645</v>
      </c>
      <c r="R67" s="24" t="n">
        <v>25.774180135561</v>
      </c>
      <c r="S67" s="24" t="n">
        <v>25.9744838637789</v>
      </c>
      <c r="T67" s="24" t="n">
        <v>26.1597459312623</v>
      </c>
      <c r="U67" s="24" t="n">
        <v>26.3374793309555</v>
      </c>
      <c r="V67" s="24" t="n">
        <v>26.5119518081347</v>
      </c>
      <c r="W67" s="24" t="n">
        <v>26.6919307802981</v>
      </c>
      <c r="X67" s="24" t="n">
        <v>26.8703287245051</v>
      </c>
      <c r="Y67" s="24" t="n">
        <v>27.0192405204902</v>
      </c>
      <c r="Z67" s="24" t="n">
        <v>27.1762950225475</v>
      </c>
      <c r="AA67" s="24" t="n">
        <v>27.3255995279677</v>
      </c>
      <c r="AB67" s="24" t="n">
        <v>27.4863153413663</v>
      </c>
      <c r="AC67" s="24" t="n">
        <v>27.6290817196542</v>
      </c>
      <c r="AD67" s="24" t="n">
        <v>27.7784834960642</v>
      </c>
      <c r="AE67" s="24" t="n">
        <v>27.9126431971543</v>
      </c>
      <c r="AF67" s="24" t="n">
        <v>28.0479577896455</v>
      </c>
      <c r="AG67" s="24" t="n">
        <v>28.1832265710989</v>
      </c>
      <c r="AH67" s="24" t="n">
        <v>28.3351156223299</v>
      </c>
      <c r="AI67" s="24" t="n">
        <v>28.4542323539967</v>
      </c>
      <c r="AJ67" s="24" t="n">
        <v>28.5814480704561</v>
      </c>
      <c r="AK67" s="24" t="n">
        <v>28.7089862597886</v>
      </c>
      <c r="AL67" s="24" t="n">
        <v>28.8434511883442</v>
      </c>
      <c r="AM67" s="24" t="n">
        <v>28.9717070328235</v>
      </c>
      <c r="AN67" s="24" t="n">
        <v>29.0884562616781</v>
      </c>
      <c r="AO67" s="24" t="n">
        <v>29.2061065386998</v>
      </c>
      <c r="AP67" s="24" t="n">
        <v>29.3048812520244</v>
      </c>
      <c r="AQ67" s="24" t="n">
        <v>29.4152052127192</v>
      </c>
      <c r="AR67" s="24" t="n">
        <v>29.5280610658799</v>
      </c>
      <c r="AS67" s="24" t="n">
        <v>29.6340719218079</v>
      </c>
      <c r="AT67" s="24" t="n">
        <v>29.7419242060948</v>
      </c>
      <c r="AU67" s="24" t="n">
        <v>29.8575926073855</v>
      </c>
      <c r="AV67" s="24" t="n">
        <v>29.9618192131208</v>
      </c>
      <c r="AW67" s="24" t="n">
        <v>30.0635101626235</v>
      </c>
      <c r="AX67" s="24" t="n">
        <v>30.1616717468065</v>
      </c>
      <c r="AY67" s="24" t="n">
        <v>30.25182780048</v>
      </c>
      <c r="AZ67" s="24" t="n">
        <v>30.3439738875442</v>
      </c>
      <c r="BA67" s="24" t="n">
        <v>30.4392951513494</v>
      </c>
      <c r="BB67" s="24" t="n">
        <v>30.5309837785035</v>
      </c>
      <c r="BC67" s="24" t="n">
        <v>30.6239023593467</v>
      </c>
      <c r="BD67" s="24" t="n">
        <v>30.7121358502864</v>
      </c>
      <c r="BE67" s="24" t="n">
        <v>30.7933579300707</v>
      </c>
      <c r="BF67" s="24" t="n">
        <v>30.8903665706892</v>
      </c>
      <c r="BG67" s="24" t="n">
        <v>30.9782511291835</v>
      </c>
      <c r="BH67" s="24" t="n">
        <v>31.0563304139492</v>
      </c>
      <c r="BI67" s="24" t="n">
        <v>31.1417225819802</v>
      </c>
      <c r="BJ67" s="24" t="n">
        <v>31.2297839147351</v>
      </c>
      <c r="BK67" s="24" t="n">
        <v>31.3051464077374</v>
      </c>
      <c r="BL67" s="24" t="n">
        <v>31.3847654104844</v>
      </c>
      <c r="BM67" s="24" t="n">
        <v>31.4711680454312</v>
      </c>
      <c r="BN67" s="24" t="n">
        <v>31.5533539717233</v>
      </c>
      <c r="BO67" s="24" t="n">
        <v>31.6248631878923</v>
      </c>
      <c r="BP67" s="24" t="n">
        <v>31.7032727569428</v>
      </c>
      <c r="BQ67" s="24" t="n">
        <v>31.788820410081</v>
      </c>
      <c r="BR67" s="24" t="n">
        <v>31.8674766489853</v>
      </c>
      <c r="BS67" s="24" t="n">
        <v>31.9513058178948</v>
      </c>
      <c r="BT67" s="24" t="n">
        <v>32.0262853599153</v>
      </c>
      <c r="BU67" s="24" t="n">
        <v>32.1046921202896</v>
      </c>
      <c r="BV67" s="24" t="n">
        <v>32.1767978104547</v>
      </c>
      <c r="BW67" s="24" t="n">
        <v>32.2494662541535</v>
      </c>
      <c r="BX67" s="24" t="n">
        <v>32.3226666178467</v>
      </c>
      <c r="BY67" s="24" t="n">
        <v>32.3918249745993</v>
      </c>
      <c r="BZ67" s="24" t="n">
        <v>32.4743005265987</v>
      </c>
      <c r="CA67" s="24" t="n">
        <v>32.5460463448832</v>
      </c>
      <c r="CB67" s="24" t="n">
        <v>32.6151268774569</v>
      </c>
      <c r="CC67" s="24" t="n">
        <v>32.6779219593754</v>
      </c>
      <c r="CD67" s="24" t="n">
        <v>32.743045616821</v>
      </c>
      <c r="CE67" s="24" t="n">
        <v>32.8111808025377</v>
      </c>
      <c r="CF67" s="24" t="n">
        <v>32.8846104827301</v>
      </c>
      <c r="CG67" s="24" t="n">
        <v>32.9501748668845</v>
      </c>
      <c r="CH67" s="24" t="n">
        <v>33.0149146880842</v>
      </c>
      <c r="CI67" s="24" t="n">
        <v>33.0879489227625</v>
      </c>
      <c r="CJ67" s="24" t="n">
        <v>33.1539996384901</v>
      </c>
      <c r="CK67" s="24" t="n">
        <v>33.206848633218</v>
      </c>
      <c r="CL67" s="24" t="n">
        <v>33.2700026083762</v>
      </c>
      <c r="CM67" s="24" t="n">
        <v>33.3438297583351</v>
      </c>
      <c r="CN67" s="24" t="n">
        <v>33.4098328489704</v>
      </c>
      <c r="CO67" s="24" t="n">
        <v>33.4796568757002</v>
      </c>
      <c r="CP67" s="24" t="n">
        <v>33.5465854033977</v>
      </c>
      <c r="CQ67" s="24" t="n">
        <v>33.6133189357388</v>
      </c>
      <c r="CR67" s="24" t="n">
        <v>33.6785060701199</v>
      </c>
      <c r="CS67" s="24" t="n">
        <v>33.7034852158304</v>
      </c>
      <c r="CT67" s="24" t="n">
        <v>23.7248316477895</v>
      </c>
    </row>
    <row r="68" customFormat="false" ht="15" hidden="false" customHeight="false" outlineLevel="0" collapsed="false">
      <c r="A68" s="11" t="n">
        <v>315</v>
      </c>
      <c r="B68" s="24" t="n">
        <v>19.819086208631</v>
      </c>
      <c r="C68" s="24" t="n">
        <v>20.5676197848069</v>
      </c>
      <c r="D68" s="24" t="n">
        <v>21.2158687832254</v>
      </c>
      <c r="E68" s="24" t="n">
        <v>21.7701562478982</v>
      </c>
      <c r="F68" s="24" t="n">
        <v>22.2523243887475</v>
      </c>
      <c r="G68" s="24" t="n">
        <v>22.6760520226823</v>
      </c>
      <c r="H68" s="24" t="n">
        <v>23.0537992873317</v>
      </c>
      <c r="I68" s="24" t="n">
        <v>23.4158091201048</v>
      </c>
      <c r="J68" s="24" t="n">
        <v>23.7244188243801</v>
      </c>
      <c r="K68" s="24" t="n">
        <v>24.0381086377245</v>
      </c>
      <c r="L68" s="24" t="n">
        <v>24.346737593323</v>
      </c>
      <c r="M68" s="24" t="n">
        <v>24.601713716506</v>
      </c>
      <c r="N68" s="24" t="n">
        <v>24.8525721114744</v>
      </c>
      <c r="O68" s="24" t="n">
        <v>25.113373587855</v>
      </c>
      <c r="P68" s="24" t="n">
        <v>25.345361353132</v>
      </c>
      <c r="Q68" s="24" t="n">
        <v>25.571774102526</v>
      </c>
      <c r="R68" s="24" t="n">
        <v>25.7777676925534</v>
      </c>
      <c r="S68" s="24" t="n">
        <v>25.9752694654027</v>
      </c>
      <c r="T68" s="24" t="n">
        <v>26.1620040708157</v>
      </c>
      <c r="U68" s="24" t="n">
        <v>26.3405118463487</v>
      </c>
      <c r="V68" s="24" t="n">
        <v>26.5128098834924</v>
      </c>
      <c r="W68" s="24" t="n">
        <v>26.6943199182082</v>
      </c>
      <c r="X68" s="24" t="n">
        <v>26.8714038773662</v>
      </c>
      <c r="Y68" s="24" t="n">
        <v>27.0195568460196</v>
      </c>
      <c r="Z68" s="24" t="n">
        <v>27.1786948531957</v>
      </c>
      <c r="AA68" s="24" t="n">
        <v>27.3256260188047</v>
      </c>
      <c r="AB68" s="24" t="n">
        <v>27.4863153413663</v>
      </c>
      <c r="AC68" s="24" t="n">
        <v>27.6290817196542</v>
      </c>
      <c r="AD68" s="24" t="n">
        <v>27.7786587105745</v>
      </c>
      <c r="AE68" s="24" t="n">
        <v>27.9128229304513</v>
      </c>
      <c r="AF68" s="24" t="n">
        <v>28.048288765792</v>
      </c>
      <c r="AG68" s="24" t="n">
        <v>28.1833272787387</v>
      </c>
      <c r="AH68" s="24" t="n">
        <v>28.3351507762118</v>
      </c>
      <c r="AI68" s="24" t="n">
        <v>28.4543799406133</v>
      </c>
      <c r="AJ68" s="24" t="n">
        <v>28.5814480704561</v>
      </c>
      <c r="AK68" s="24" t="n">
        <v>28.7089862597886</v>
      </c>
      <c r="AL68" s="24" t="n">
        <v>28.8434511883442</v>
      </c>
      <c r="AM68" s="24" t="n">
        <v>28.9717070328235</v>
      </c>
      <c r="AN68" s="24" t="n">
        <v>29.0884562616781</v>
      </c>
      <c r="AO68" s="24" t="n">
        <v>29.2061065386998</v>
      </c>
      <c r="AP68" s="24" t="n">
        <v>29.3048812520244</v>
      </c>
      <c r="AQ68" s="24" t="n">
        <v>29.4152052127192</v>
      </c>
      <c r="AR68" s="24" t="n">
        <v>29.5280610658799</v>
      </c>
      <c r="AS68" s="24" t="n">
        <v>29.6340719218079</v>
      </c>
      <c r="AT68" s="24" t="n">
        <v>29.7419242060948</v>
      </c>
      <c r="AU68" s="24" t="n">
        <v>29.8578769112592</v>
      </c>
      <c r="AV68" s="24" t="n">
        <v>29.9620730193584</v>
      </c>
      <c r="AW68" s="24" t="n">
        <v>30.0640983577719</v>
      </c>
      <c r="AX68" s="24" t="n">
        <v>30.1623211786638</v>
      </c>
      <c r="AY68" s="24" t="n">
        <v>30.25225684569</v>
      </c>
      <c r="AZ68" s="24" t="n">
        <v>30.3460356695705</v>
      </c>
      <c r="BA68" s="24" t="n">
        <v>30.4403956829807</v>
      </c>
      <c r="BB68" s="24" t="n">
        <v>30.5324603375895</v>
      </c>
      <c r="BC68" s="24" t="n">
        <v>30.6248874256637</v>
      </c>
      <c r="BD68" s="24" t="n">
        <v>30.7127644684998</v>
      </c>
      <c r="BE68" s="24" t="n">
        <v>30.7948496527779</v>
      </c>
      <c r="BF68" s="24" t="n">
        <v>30.8920135984105</v>
      </c>
      <c r="BG68" s="24" t="n">
        <v>30.9789282532668</v>
      </c>
      <c r="BH68" s="24" t="n">
        <v>31.0580031271739</v>
      </c>
      <c r="BI68" s="24" t="n">
        <v>31.1420921583278</v>
      </c>
      <c r="BJ68" s="24" t="n">
        <v>31.2306820403288</v>
      </c>
      <c r="BK68" s="24" t="n">
        <v>31.3060308440914</v>
      </c>
      <c r="BL68" s="24" t="n">
        <v>31.3861343753584</v>
      </c>
      <c r="BM68" s="24" t="n">
        <v>31.471582528944</v>
      </c>
      <c r="BN68" s="24" t="n">
        <v>31.553371016934</v>
      </c>
      <c r="BO68" s="24" t="n">
        <v>31.6249494833101</v>
      </c>
      <c r="BP68" s="24" t="n">
        <v>31.7034254888971</v>
      </c>
      <c r="BQ68" s="24" t="n">
        <v>31.7891099168647</v>
      </c>
      <c r="BR68" s="24" t="n">
        <v>31.8675906969545</v>
      </c>
      <c r="BS68" s="24" t="n">
        <v>31.9527458106397</v>
      </c>
      <c r="BT68" s="24" t="n">
        <v>32.026618364283</v>
      </c>
      <c r="BU68" s="24" t="n">
        <v>32.1054662792911</v>
      </c>
      <c r="BV68" s="24" t="n">
        <v>32.1770095433647</v>
      </c>
      <c r="BW68" s="24" t="n">
        <v>32.2499090082315</v>
      </c>
      <c r="BX68" s="24" t="n">
        <v>32.3227531174083</v>
      </c>
      <c r="BY68" s="24" t="n">
        <v>32.3918378179896</v>
      </c>
      <c r="BZ68" s="24" t="n">
        <v>32.4747583155179</v>
      </c>
      <c r="CA68" s="24" t="n">
        <v>32.5461229850978</v>
      </c>
      <c r="CB68" s="24" t="n">
        <v>32.6153139043268</v>
      </c>
      <c r="CC68" s="24" t="n">
        <v>32.6779463513374</v>
      </c>
      <c r="CD68" s="24" t="n">
        <v>32.7431988318092</v>
      </c>
      <c r="CE68" s="24" t="n">
        <v>32.8117156515359</v>
      </c>
      <c r="CF68" s="24" t="n">
        <v>32.884731590933</v>
      </c>
      <c r="CG68" s="24" t="n">
        <v>32.9501748668845</v>
      </c>
      <c r="CH68" s="24" t="n">
        <v>33.015029210887</v>
      </c>
      <c r="CI68" s="24" t="n">
        <v>33.0881791969774</v>
      </c>
      <c r="CJ68" s="24" t="n">
        <v>33.1540977526247</v>
      </c>
      <c r="CK68" s="24" t="n">
        <v>33.206968788446</v>
      </c>
      <c r="CL68" s="24" t="n">
        <v>33.2703315079792</v>
      </c>
      <c r="CM68" s="24" t="n">
        <v>33.3438459181016</v>
      </c>
      <c r="CN68" s="24" t="n">
        <v>33.4101212377183</v>
      </c>
      <c r="CO68" s="24" t="n">
        <v>33.4802894416788</v>
      </c>
      <c r="CP68" s="24" t="n">
        <v>33.5469884117318</v>
      </c>
      <c r="CQ68" s="24" t="n">
        <v>33.6145026465582</v>
      </c>
      <c r="CR68" s="24" t="n">
        <v>33.6791059359877</v>
      </c>
      <c r="CS68" s="24" t="n">
        <v>33.7042606236684</v>
      </c>
      <c r="CT68" s="24" t="n">
        <v>23.7256760968743</v>
      </c>
    </row>
    <row r="69" customFormat="false" ht="15" hidden="false" customHeight="false" outlineLevel="0" collapsed="false">
      <c r="A69" s="11" t="n">
        <v>320</v>
      </c>
      <c r="B69" s="24" t="n">
        <v>19.8251866658232</v>
      </c>
      <c r="C69" s="24" t="n">
        <v>20.5676197848069</v>
      </c>
      <c r="D69" s="24" t="n">
        <v>21.2158687832254</v>
      </c>
      <c r="E69" s="24" t="n">
        <v>21.7701562478982</v>
      </c>
      <c r="F69" s="24" t="n">
        <v>22.2523243887475</v>
      </c>
      <c r="G69" s="24" t="n">
        <v>22.6760520226823</v>
      </c>
      <c r="H69" s="24" t="n">
        <v>23.0537992873317</v>
      </c>
      <c r="I69" s="24" t="n">
        <v>23.4158091201048</v>
      </c>
      <c r="J69" s="24" t="n">
        <v>23.7244188243801</v>
      </c>
      <c r="K69" s="24" t="n">
        <v>24.0381086377245</v>
      </c>
      <c r="L69" s="24" t="n">
        <v>24.34821651855</v>
      </c>
      <c r="M69" s="24" t="n">
        <v>24.6030242745632</v>
      </c>
      <c r="N69" s="24" t="n">
        <v>24.8529933255652</v>
      </c>
      <c r="O69" s="24" t="n">
        <v>25.1147210706186</v>
      </c>
      <c r="P69" s="24" t="n">
        <v>25.3490804753232</v>
      </c>
      <c r="Q69" s="24" t="n">
        <v>25.5728676900025</v>
      </c>
      <c r="R69" s="24" t="n">
        <v>25.7785499132228</v>
      </c>
      <c r="S69" s="24" t="n">
        <v>25.9769933973105</v>
      </c>
      <c r="T69" s="24" t="n">
        <v>26.1620040708157</v>
      </c>
      <c r="U69" s="24" t="n">
        <v>26.3405118463487</v>
      </c>
      <c r="V69" s="24" t="n">
        <v>26.5147121664587</v>
      </c>
      <c r="W69" s="24" t="n">
        <v>26.6952337065339</v>
      </c>
      <c r="X69" s="24" t="n">
        <v>26.8725577267082</v>
      </c>
      <c r="Y69" s="24" t="n">
        <v>27.0201604120316</v>
      </c>
      <c r="Z69" s="24" t="n">
        <v>27.1794852917337</v>
      </c>
      <c r="AA69" s="24" t="n">
        <v>27.3258237578983</v>
      </c>
      <c r="AB69" s="24" t="n">
        <v>27.4894978002785</v>
      </c>
      <c r="AC69" s="24" t="n">
        <v>27.6319863497712</v>
      </c>
      <c r="AD69" s="24" t="n">
        <v>27.7787453647505</v>
      </c>
      <c r="AE69" s="24" t="n">
        <v>27.913148164504</v>
      </c>
      <c r="AF69" s="24" t="n">
        <v>28.0488432008232</v>
      </c>
      <c r="AG69" s="24" t="n">
        <v>28.1833272787387</v>
      </c>
      <c r="AH69" s="24" t="n">
        <v>28.3351507762118</v>
      </c>
      <c r="AI69" s="24" t="n">
        <v>28.4543799406133</v>
      </c>
      <c r="AJ69" s="24" t="n">
        <v>28.5820873019616</v>
      </c>
      <c r="AK69" s="24" t="n">
        <v>28.7093634523811</v>
      </c>
      <c r="AL69" s="24" t="n">
        <v>28.8435612315635</v>
      </c>
      <c r="AM69" s="24" t="n">
        <v>28.9717079570343</v>
      </c>
      <c r="AN69" s="24" t="n">
        <v>29.0886840404447</v>
      </c>
      <c r="AO69" s="24" t="n">
        <v>29.2065581764886</v>
      </c>
      <c r="AP69" s="24" t="n">
        <v>29.3048903704414</v>
      </c>
      <c r="AQ69" s="24" t="n">
        <v>29.4152052127192</v>
      </c>
      <c r="AR69" s="24" t="n">
        <v>29.5280610658799</v>
      </c>
      <c r="AS69" s="24" t="n">
        <v>29.6340719218079</v>
      </c>
      <c r="AT69" s="24" t="n">
        <v>29.7419242060948</v>
      </c>
      <c r="AU69" s="24" t="n">
        <v>29.8578769112592</v>
      </c>
      <c r="AV69" s="24" t="n">
        <v>29.9620730193584</v>
      </c>
      <c r="AW69" s="24" t="n">
        <v>30.0640983577719</v>
      </c>
      <c r="AX69" s="24" t="n">
        <v>30.1623211786638</v>
      </c>
      <c r="AY69" s="24" t="n">
        <v>30.25225684569</v>
      </c>
      <c r="AZ69" s="24" t="n">
        <v>30.3460356695705</v>
      </c>
      <c r="BA69" s="24" t="n">
        <v>30.4403956829807</v>
      </c>
      <c r="BB69" s="24" t="n">
        <v>30.5324603375895</v>
      </c>
      <c r="BC69" s="24" t="n">
        <v>30.6248874256637</v>
      </c>
      <c r="BD69" s="24" t="n">
        <v>30.7131496364063</v>
      </c>
      <c r="BE69" s="24" t="n">
        <v>30.7950273169001</v>
      </c>
      <c r="BF69" s="24" t="n">
        <v>30.8922678600245</v>
      </c>
      <c r="BG69" s="24" t="n">
        <v>30.9795008034539</v>
      </c>
      <c r="BH69" s="24" t="n">
        <v>31.0590159328736</v>
      </c>
      <c r="BI69" s="24" t="n">
        <v>31.1424957279055</v>
      </c>
      <c r="BJ69" s="24" t="n">
        <v>31.2312356062068</v>
      </c>
      <c r="BK69" s="24" t="n">
        <v>31.3087096067146</v>
      </c>
      <c r="BL69" s="24" t="n">
        <v>31.3865792917395</v>
      </c>
      <c r="BM69" s="24" t="n">
        <v>31.4728103201415</v>
      </c>
      <c r="BN69" s="24" t="n">
        <v>31.5539156660802</v>
      </c>
      <c r="BO69" s="24" t="n">
        <v>31.6255430835982</v>
      </c>
      <c r="BP69" s="24" t="n">
        <v>31.7043540557913</v>
      </c>
      <c r="BQ69" s="24" t="n">
        <v>31.7898361680821</v>
      </c>
      <c r="BR69" s="24" t="n">
        <v>31.8676827693382</v>
      </c>
      <c r="BS69" s="24" t="n">
        <v>31.9530911673367</v>
      </c>
      <c r="BT69" s="24" t="n">
        <v>32.0268280908314</v>
      </c>
      <c r="BU69" s="24" t="n">
        <v>32.1055072520195</v>
      </c>
      <c r="BV69" s="24" t="n">
        <v>32.1779713433278</v>
      </c>
      <c r="BW69" s="24" t="n">
        <v>32.2503367928444</v>
      </c>
      <c r="BX69" s="24" t="n">
        <v>32.3235263267615</v>
      </c>
      <c r="BY69" s="24" t="n">
        <v>32.3919621282784</v>
      </c>
      <c r="BZ69" s="24" t="n">
        <v>32.4747727057312</v>
      </c>
      <c r="CA69" s="24" t="n">
        <v>32.5468131934847</v>
      </c>
      <c r="CB69" s="24" t="n">
        <v>32.6156131997389</v>
      </c>
      <c r="CC69" s="24" t="n">
        <v>32.6782674356303</v>
      </c>
      <c r="CD69" s="24" t="n">
        <v>32.743305474973</v>
      </c>
      <c r="CE69" s="24" t="n">
        <v>32.8119126059624</v>
      </c>
      <c r="CF69" s="24" t="n">
        <v>32.8847840988802</v>
      </c>
      <c r="CG69" s="24" t="n">
        <v>32.9506693255854</v>
      </c>
      <c r="CH69" s="24" t="n">
        <v>33.0155328073346</v>
      </c>
      <c r="CI69" s="24" t="n">
        <v>33.0885091498423</v>
      </c>
      <c r="CJ69" s="24" t="n">
        <v>33.1540979874048</v>
      </c>
      <c r="CK69" s="24" t="n">
        <v>33.2076208125276</v>
      </c>
      <c r="CL69" s="24" t="n">
        <v>33.270612196387</v>
      </c>
      <c r="CM69" s="24" t="n">
        <v>33.3438459181016</v>
      </c>
      <c r="CN69" s="24" t="n">
        <v>33.4101212377183</v>
      </c>
      <c r="CO69" s="24" t="n">
        <v>33.4802894416788</v>
      </c>
      <c r="CP69" s="24" t="n">
        <v>33.5469884117318</v>
      </c>
      <c r="CQ69" s="24" t="n">
        <v>33.6145026465582</v>
      </c>
      <c r="CR69" s="24" t="n">
        <v>33.6791059359877</v>
      </c>
      <c r="CS69" s="24" t="n">
        <v>33.7042606236684</v>
      </c>
      <c r="CT69" s="24" t="n">
        <v>23.7256760968743</v>
      </c>
    </row>
    <row r="70" customFormat="false" ht="15" hidden="false" customHeight="false" outlineLevel="0" collapsed="false">
      <c r="A70" s="11" t="n">
        <v>325</v>
      </c>
      <c r="B70" s="24" t="n">
        <v>19.8251866658232</v>
      </c>
      <c r="C70" s="24" t="n">
        <v>20.5725590514273</v>
      </c>
      <c r="D70" s="24" t="n">
        <v>21.2263635760515</v>
      </c>
      <c r="E70" s="24" t="n">
        <v>21.7701562478982</v>
      </c>
      <c r="F70" s="24" t="n">
        <v>22.2523243887475</v>
      </c>
      <c r="G70" s="24" t="n">
        <v>22.6760520226823</v>
      </c>
      <c r="H70" s="24" t="n">
        <v>23.0537992873317</v>
      </c>
      <c r="I70" s="24" t="n">
        <v>23.4158091201048</v>
      </c>
      <c r="J70" s="24" t="n">
        <v>23.7244188243801</v>
      </c>
      <c r="K70" s="24" t="n">
        <v>24.0381086377245</v>
      </c>
      <c r="L70" s="24" t="n">
        <v>24.34821651855</v>
      </c>
      <c r="M70" s="24" t="n">
        <v>24.6030242745632</v>
      </c>
      <c r="N70" s="24" t="n">
        <v>24.8529933255652</v>
      </c>
      <c r="O70" s="24" t="n">
        <v>25.1147210706186</v>
      </c>
      <c r="P70" s="24" t="n">
        <v>25.3494357230591</v>
      </c>
      <c r="Q70" s="24" t="n">
        <v>25.5756406554188</v>
      </c>
      <c r="R70" s="24" t="n">
        <v>25.7786880001065</v>
      </c>
      <c r="S70" s="24" t="n">
        <v>25.9769977098095</v>
      </c>
      <c r="T70" s="24" t="n">
        <v>26.1625647606461</v>
      </c>
      <c r="U70" s="24" t="n">
        <v>26.3419167903782</v>
      </c>
      <c r="V70" s="24" t="n">
        <v>26.5151971907608</v>
      </c>
      <c r="W70" s="24" t="n">
        <v>26.6972328570228</v>
      </c>
      <c r="X70" s="24" t="n">
        <v>26.8725577267082</v>
      </c>
      <c r="Y70" s="24" t="n">
        <v>27.0201604120316</v>
      </c>
      <c r="Z70" s="24" t="n">
        <v>27.1794852917337</v>
      </c>
      <c r="AA70" s="24" t="n">
        <v>27.3289382460542</v>
      </c>
      <c r="AB70" s="24" t="n">
        <v>27.4901970139188</v>
      </c>
      <c r="AC70" s="24" t="n">
        <v>27.6339932958192</v>
      </c>
      <c r="AD70" s="24" t="n">
        <v>27.7815414035608</v>
      </c>
      <c r="AE70" s="24" t="n">
        <v>27.916644173362</v>
      </c>
      <c r="AF70" s="24" t="n">
        <v>28.05081986635</v>
      </c>
      <c r="AG70" s="24" t="n">
        <v>28.1850574216469</v>
      </c>
      <c r="AH70" s="24" t="n">
        <v>28.336035934869</v>
      </c>
      <c r="AI70" s="24" t="n">
        <v>28.4574673196477</v>
      </c>
      <c r="AJ70" s="24" t="n">
        <v>28.5821741683082</v>
      </c>
      <c r="AK70" s="24" t="n">
        <v>28.7099265496586</v>
      </c>
      <c r="AL70" s="24" t="n">
        <v>28.8441441665155</v>
      </c>
      <c r="AM70" s="24" t="n">
        <v>28.9717079570343</v>
      </c>
      <c r="AN70" s="24" t="n">
        <v>29.0886840404447</v>
      </c>
      <c r="AO70" s="24" t="n">
        <v>29.2065581764886</v>
      </c>
      <c r="AP70" s="24" t="n">
        <v>29.3048903704414</v>
      </c>
      <c r="AQ70" s="24" t="n">
        <v>29.4154508102395</v>
      </c>
      <c r="AR70" s="24" t="n">
        <v>29.5292467583639</v>
      </c>
      <c r="AS70" s="24" t="n">
        <v>29.63411416073</v>
      </c>
      <c r="AT70" s="24" t="n">
        <v>29.7419351482026</v>
      </c>
      <c r="AU70" s="24" t="n">
        <v>29.859267757477</v>
      </c>
      <c r="AV70" s="24" t="n">
        <v>29.9629426935012</v>
      </c>
      <c r="AW70" s="24" t="n">
        <v>30.0644295048696</v>
      </c>
      <c r="AX70" s="24" t="n">
        <v>30.1623211786638</v>
      </c>
      <c r="AY70" s="24" t="n">
        <v>30.25225684569</v>
      </c>
      <c r="AZ70" s="24" t="n">
        <v>30.3460356695705</v>
      </c>
      <c r="BA70" s="24" t="n">
        <v>30.4403956829807</v>
      </c>
      <c r="BB70" s="24" t="n">
        <v>30.5324603375895</v>
      </c>
      <c r="BC70" s="24" t="n">
        <v>30.6248874256637</v>
      </c>
      <c r="BD70" s="24" t="n">
        <v>30.7131496364063</v>
      </c>
      <c r="BE70" s="24" t="n">
        <v>30.7950273169001</v>
      </c>
      <c r="BF70" s="24" t="n">
        <v>30.8922678600245</v>
      </c>
      <c r="BG70" s="24" t="n">
        <v>30.9795008034539</v>
      </c>
      <c r="BH70" s="24" t="n">
        <v>31.0590159328736</v>
      </c>
      <c r="BI70" s="24" t="n">
        <v>31.1424957279055</v>
      </c>
      <c r="BJ70" s="24" t="n">
        <v>31.2312356062068</v>
      </c>
      <c r="BK70" s="24" t="n">
        <v>31.3087096067146</v>
      </c>
      <c r="BL70" s="24" t="n">
        <v>31.3865792917395</v>
      </c>
      <c r="BM70" s="24" t="n">
        <v>31.4728103201415</v>
      </c>
      <c r="BN70" s="24" t="n">
        <v>31.5539156660802</v>
      </c>
      <c r="BO70" s="24" t="n">
        <v>31.6256963914156</v>
      </c>
      <c r="BP70" s="24" t="n">
        <v>31.7047842850074</v>
      </c>
      <c r="BQ70" s="24" t="n">
        <v>31.7903164234323</v>
      </c>
      <c r="BR70" s="24" t="n">
        <v>31.8683172549075</v>
      </c>
      <c r="BS70" s="24" t="n">
        <v>31.9536844151088</v>
      </c>
      <c r="BT70" s="24" t="n">
        <v>32.0279514136259</v>
      </c>
      <c r="BU70" s="24" t="n">
        <v>32.1065541113803</v>
      </c>
      <c r="BV70" s="24" t="n">
        <v>32.181631893092</v>
      </c>
      <c r="BW70" s="24" t="n">
        <v>32.2515799246118</v>
      </c>
      <c r="BX70" s="24" t="n">
        <v>32.3243879322025</v>
      </c>
      <c r="BY70" s="24" t="n">
        <v>32.3942420673952</v>
      </c>
      <c r="BZ70" s="24" t="n">
        <v>32.4763124902447</v>
      </c>
      <c r="CA70" s="24" t="n">
        <v>32.5474984802162</v>
      </c>
      <c r="CB70" s="24" t="n">
        <v>32.6158832283264</v>
      </c>
      <c r="CC70" s="24" t="n">
        <v>32.6791241997732</v>
      </c>
      <c r="CD70" s="24" t="n">
        <v>32.7437210883641</v>
      </c>
      <c r="CE70" s="24" t="n">
        <v>32.8123998109307</v>
      </c>
      <c r="CF70" s="24" t="n">
        <v>32.8847852541312</v>
      </c>
      <c r="CG70" s="24" t="n">
        <v>32.9508297910048</v>
      </c>
      <c r="CH70" s="24" t="n">
        <v>33.0160549320834</v>
      </c>
      <c r="CI70" s="24" t="n">
        <v>33.0891166722599</v>
      </c>
      <c r="CJ70" s="24" t="n">
        <v>33.1542361892526</v>
      </c>
      <c r="CK70" s="24" t="n">
        <v>33.2076723034142</v>
      </c>
      <c r="CL70" s="24" t="n">
        <v>33.2706297954683</v>
      </c>
      <c r="CM70" s="24" t="n">
        <v>33.3440114982913</v>
      </c>
      <c r="CN70" s="24" t="n">
        <v>33.4103436310148</v>
      </c>
      <c r="CO70" s="24" t="n">
        <v>33.4804298372954</v>
      </c>
      <c r="CP70" s="24" t="n">
        <v>33.5471167755382</v>
      </c>
      <c r="CQ70" s="24" t="n">
        <v>33.614537968017</v>
      </c>
      <c r="CR70" s="24" t="n">
        <v>33.6793403492707</v>
      </c>
      <c r="CS70" s="24" t="n">
        <v>33.7044179397062</v>
      </c>
      <c r="CT70" s="24" t="n">
        <v>23.7256760968743</v>
      </c>
    </row>
    <row r="71" customFormat="false" ht="15" hidden="false" customHeight="false" outlineLevel="0" collapsed="false">
      <c r="A71" s="11" t="n">
        <v>330</v>
      </c>
      <c r="B71" s="24" t="n">
        <v>19.8251866658232</v>
      </c>
      <c r="C71" s="24" t="n">
        <v>20.5725590514273</v>
      </c>
      <c r="D71" s="24" t="n">
        <v>21.2296562163876</v>
      </c>
      <c r="E71" s="24" t="n">
        <v>21.7767221566353</v>
      </c>
      <c r="F71" s="24" t="n">
        <v>22.2523243887475</v>
      </c>
      <c r="G71" s="24" t="n">
        <v>22.6760520226823</v>
      </c>
      <c r="H71" s="24" t="n">
        <v>23.0537992873317</v>
      </c>
      <c r="I71" s="24" t="n">
        <v>23.4158091201048</v>
      </c>
      <c r="J71" s="24" t="n">
        <v>23.7244188243801</v>
      </c>
      <c r="K71" s="24" t="n">
        <v>24.0381086377245</v>
      </c>
      <c r="L71" s="24" t="n">
        <v>24.34821651855</v>
      </c>
      <c r="M71" s="24" t="n">
        <v>24.6030242745632</v>
      </c>
      <c r="N71" s="24" t="n">
        <v>24.8529933255652</v>
      </c>
      <c r="O71" s="24" t="n">
        <v>25.1147210706186</v>
      </c>
      <c r="P71" s="24" t="n">
        <v>25.3494357230591</v>
      </c>
      <c r="Q71" s="24" t="n">
        <v>25.5756406554188</v>
      </c>
      <c r="R71" s="24" t="n">
        <v>25.7786880001065</v>
      </c>
      <c r="S71" s="24" t="n">
        <v>25.9784122389027</v>
      </c>
      <c r="T71" s="24" t="n">
        <v>26.1630334144017</v>
      </c>
      <c r="U71" s="24" t="n">
        <v>26.3421123678103</v>
      </c>
      <c r="V71" s="24" t="n">
        <v>26.5167753028092</v>
      </c>
      <c r="W71" s="24" t="n">
        <v>26.6974137036806</v>
      </c>
      <c r="X71" s="24" t="n">
        <v>26.8742650834983</v>
      </c>
      <c r="Y71" s="24" t="n">
        <v>27.0220482753183</v>
      </c>
      <c r="Z71" s="24" t="n">
        <v>27.1808479999378</v>
      </c>
      <c r="AA71" s="24" t="n">
        <v>27.3290303664865</v>
      </c>
      <c r="AB71" s="24" t="n">
        <v>27.4911627988476</v>
      </c>
      <c r="AC71" s="24" t="n">
        <v>27.6342951400324</v>
      </c>
      <c r="AD71" s="24" t="n">
        <v>27.7815414035608</v>
      </c>
      <c r="AE71" s="24" t="n">
        <v>27.916644173362</v>
      </c>
      <c r="AF71" s="24" t="n">
        <v>28.05081986635</v>
      </c>
      <c r="AG71" s="24" t="n">
        <v>28.185511280639</v>
      </c>
      <c r="AH71" s="24" t="n">
        <v>28.3361818305456</v>
      </c>
      <c r="AI71" s="24" t="n">
        <v>28.4578066351088</v>
      </c>
      <c r="AJ71" s="24" t="n">
        <v>28.5839983834411</v>
      </c>
      <c r="AK71" s="24" t="n">
        <v>28.7118875860025</v>
      </c>
      <c r="AL71" s="24" t="n">
        <v>28.8453245511903</v>
      </c>
      <c r="AM71" s="24" t="n">
        <v>28.9722941806971</v>
      </c>
      <c r="AN71" s="24" t="n">
        <v>29.0888021320158</v>
      </c>
      <c r="AO71" s="24" t="n">
        <v>29.2065977275167</v>
      </c>
      <c r="AP71" s="24" t="n">
        <v>29.3052568621385</v>
      </c>
      <c r="AQ71" s="24" t="n">
        <v>29.4162753804323</v>
      </c>
      <c r="AR71" s="24" t="n">
        <v>29.5297312771605</v>
      </c>
      <c r="AS71" s="24" t="n">
        <v>29.6347363474915</v>
      </c>
      <c r="AT71" s="24" t="n">
        <v>29.7419526874308</v>
      </c>
      <c r="AU71" s="24" t="n">
        <v>29.859267757477</v>
      </c>
      <c r="AV71" s="24" t="n">
        <v>29.9629426935012</v>
      </c>
      <c r="AW71" s="24" t="n">
        <v>30.0644295048696</v>
      </c>
      <c r="AX71" s="24" t="n">
        <v>30.1631781838138</v>
      </c>
      <c r="AY71" s="24" t="n">
        <v>30.2531133846066</v>
      </c>
      <c r="AZ71" s="24" t="n">
        <v>30.3469501731823</v>
      </c>
      <c r="BA71" s="24" t="n">
        <v>30.4408652369336</v>
      </c>
      <c r="BB71" s="24" t="n">
        <v>30.5325367782736</v>
      </c>
      <c r="BC71" s="24" t="n">
        <v>30.6249695631453</v>
      </c>
      <c r="BD71" s="24" t="n">
        <v>30.7135672297051</v>
      </c>
      <c r="BE71" s="24" t="n">
        <v>30.7958990771953</v>
      </c>
      <c r="BF71" s="24" t="n">
        <v>30.892474529974</v>
      </c>
      <c r="BG71" s="24" t="n">
        <v>30.9795008034539</v>
      </c>
      <c r="BH71" s="24" t="n">
        <v>31.0590159328736</v>
      </c>
      <c r="BI71" s="24" t="n">
        <v>31.1424957279055</v>
      </c>
      <c r="BJ71" s="24" t="n">
        <v>31.2312356062068</v>
      </c>
      <c r="BK71" s="24" t="n">
        <v>31.3087096067146</v>
      </c>
      <c r="BL71" s="24" t="n">
        <v>31.3865792917395</v>
      </c>
      <c r="BM71" s="24" t="n">
        <v>31.4728103201415</v>
      </c>
      <c r="BN71" s="24" t="n">
        <v>31.5539156660802</v>
      </c>
      <c r="BO71" s="24" t="n">
        <v>31.6256963914156</v>
      </c>
      <c r="BP71" s="24" t="n">
        <v>31.7047842850074</v>
      </c>
      <c r="BQ71" s="24" t="n">
        <v>31.7903164234323</v>
      </c>
      <c r="BR71" s="24" t="n">
        <v>31.8683172549075</v>
      </c>
      <c r="BS71" s="24" t="n">
        <v>31.9536844151088</v>
      </c>
      <c r="BT71" s="24" t="n">
        <v>32.0279514136259</v>
      </c>
      <c r="BU71" s="24" t="n">
        <v>32.1065541113803</v>
      </c>
      <c r="BV71" s="24" t="n">
        <v>32.181631893092</v>
      </c>
      <c r="BW71" s="24" t="n">
        <v>32.2515799246118</v>
      </c>
      <c r="BX71" s="24" t="n">
        <v>32.3243879322025</v>
      </c>
      <c r="BY71" s="24" t="n">
        <v>32.3942420673952</v>
      </c>
      <c r="BZ71" s="24" t="n">
        <v>32.4764149247003</v>
      </c>
      <c r="CA71" s="24" t="n">
        <v>32.5475498894244</v>
      </c>
      <c r="CB71" s="24" t="n">
        <v>32.6160635730705</v>
      </c>
      <c r="CC71" s="24" t="n">
        <v>32.679405265252</v>
      </c>
      <c r="CD71" s="24" t="n">
        <v>32.7446527519017</v>
      </c>
      <c r="CE71" s="24" t="n">
        <v>32.8129709229251</v>
      </c>
      <c r="CF71" s="24" t="n">
        <v>32.8852771169191</v>
      </c>
      <c r="CG71" s="24" t="n">
        <v>32.9512919297223</v>
      </c>
      <c r="CH71" s="24" t="n">
        <v>33.0165067716372</v>
      </c>
      <c r="CI71" s="24" t="n">
        <v>33.0899734991519</v>
      </c>
      <c r="CJ71" s="24" t="n">
        <v>33.1549814007957</v>
      </c>
      <c r="CK71" s="24" t="n">
        <v>33.2085254278149</v>
      </c>
      <c r="CL71" s="24" t="n">
        <v>33.2714901493757</v>
      </c>
      <c r="CM71" s="24" t="n">
        <v>33.3444384115112</v>
      </c>
      <c r="CN71" s="24" t="n">
        <v>33.4110637589487</v>
      </c>
      <c r="CO71" s="24" t="n">
        <v>33.4810182328895</v>
      </c>
      <c r="CP71" s="24" t="n">
        <v>33.5475959400369</v>
      </c>
      <c r="CQ71" s="24" t="n">
        <v>33.6145530236476</v>
      </c>
      <c r="CR71" s="24" t="n">
        <v>33.6795064056421</v>
      </c>
      <c r="CS71" s="24" t="n">
        <v>33.704682191525</v>
      </c>
      <c r="CT71" s="24" t="n">
        <v>23.7256760968743</v>
      </c>
    </row>
    <row r="72" customFormat="false" ht="15" hidden="false" customHeight="false" outlineLevel="0" collapsed="false">
      <c r="A72" s="11" t="n">
        <v>335</v>
      </c>
      <c r="B72" s="24" t="n">
        <v>19.8251866658232</v>
      </c>
      <c r="C72" s="24" t="n">
        <v>20.5725590514273</v>
      </c>
      <c r="D72" s="24" t="n">
        <v>21.2296562163876</v>
      </c>
      <c r="E72" s="24" t="n">
        <v>21.7767221566353</v>
      </c>
      <c r="F72" s="24" t="n">
        <v>22.2559719320982</v>
      </c>
      <c r="G72" s="24" t="n">
        <v>22.6830869364065</v>
      </c>
      <c r="H72" s="24" t="n">
        <v>23.0537992873317</v>
      </c>
      <c r="I72" s="24" t="n">
        <v>23.4158091201048</v>
      </c>
      <c r="J72" s="24" t="n">
        <v>23.7244188243801</v>
      </c>
      <c r="K72" s="24" t="n">
        <v>24.0381086377245</v>
      </c>
      <c r="L72" s="24" t="n">
        <v>24.34821651855</v>
      </c>
      <c r="M72" s="24" t="n">
        <v>24.6030242745632</v>
      </c>
      <c r="N72" s="24" t="n">
        <v>24.8529933255652</v>
      </c>
      <c r="O72" s="24" t="n">
        <v>25.1147210706186</v>
      </c>
      <c r="P72" s="24" t="n">
        <v>25.3494357230591</v>
      </c>
      <c r="Q72" s="24" t="n">
        <v>25.5756406554188</v>
      </c>
      <c r="R72" s="24" t="n">
        <v>25.7786880001065</v>
      </c>
      <c r="S72" s="24" t="n">
        <v>25.9784122389027</v>
      </c>
      <c r="T72" s="24" t="n">
        <v>26.1630334144017</v>
      </c>
      <c r="U72" s="24" t="n">
        <v>26.3421123678103</v>
      </c>
      <c r="V72" s="24" t="n">
        <v>26.5167753028092</v>
      </c>
      <c r="W72" s="24" t="n">
        <v>26.6974137036806</v>
      </c>
      <c r="X72" s="24" t="n">
        <v>26.8745879192808</v>
      </c>
      <c r="Y72" s="24" t="n">
        <v>27.0249546268618</v>
      </c>
      <c r="Z72" s="24" t="n">
        <v>27.1809456921377</v>
      </c>
      <c r="AA72" s="24" t="n">
        <v>27.3295382777359</v>
      </c>
      <c r="AB72" s="24" t="n">
        <v>27.4919898673727</v>
      </c>
      <c r="AC72" s="24" t="n">
        <v>27.6343256595448</v>
      </c>
      <c r="AD72" s="24" t="n">
        <v>27.7840347630691</v>
      </c>
      <c r="AE72" s="24" t="n">
        <v>27.9173073076765</v>
      </c>
      <c r="AF72" s="24" t="n">
        <v>28.0509783159209</v>
      </c>
      <c r="AG72" s="24" t="n">
        <v>28.1873366932283</v>
      </c>
      <c r="AH72" s="24" t="n">
        <v>28.3362879637793</v>
      </c>
      <c r="AI72" s="24" t="n">
        <v>28.4578066351088</v>
      </c>
      <c r="AJ72" s="24" t="n">
        <v>28.5839983834411</v>
      </c>
      <c r="AK72" s="24" t="n">
        <v>28.7118875860025</v>
      </c>
      <c r="AL72" s="24" t="n">
        <v>28.8453245511903</v>
      </c>
      <c r="AM72" s="24" t="n">
        <v>28.9728119211361</v>
      </c>
      <c r="AN72" s="24" t="n">
        <v>29.0894539932373</v>
      </c>
      <c r="AO72" s="24" t="n">
        <v>29.2072421379211</v>
      </c>
      <c r="AP72" s="24" t="n">
        <v>29.3055927741003</v>
      </c>
      <c r="AQ72" s="24" t="n">
        <v>29.4178469930111</v>
      </c>
      <c r="AR72" s="24" t="n">
        <v>29.5315845742823</v>
      </c>
      <c r="AS72" s="24" t="n">
        <v>29.6360267218153</v>
      </c>
      <c r="AT72" s="24" t="n">
        <v>29.7432226214416</v>
      </c>
      <c r="AU72" s="24" t="n">
        <v>29.8599754441382</v>
      </c>
      <c r="AV72" s="24" t="n">
        <v>29.9639566584308</v>
      </c>
      <c r="AW72" s="24" t="n">
        <v>30.0650458632765</v>
      </c>
      <c r="AX72" s="24" t="n">
        <v>30.1643084755833</v>
      </c>
      <c r="AY72" s="24" t="n">
        <v>30.2535570317614</v>
      </c>
      <c r="AZ72" s="24" t="n">
        <v>30.3471024442062</v>
      </c>
      <c r="BA72" s="24" t="n">
        <v>30.4415195549505</v>
      </c>
      <c r="BB72" s="24" t="n">
        <v>30.5335819885357</v>
      </c>
      <c r="BC72" s="24" t="n">
        <v>30.6250186347094</v>
      </c>
      <c r="BD72" s="24" t="n">
        <v>30.7135672297051</v>
      </c>
      <c r="BE72" s="24" t="n">
        <v>30.7958990771953</v>
      </c>
      <c r="BF72" s="24" t="n">
        <v>30.892474529974</v>
      </c>
      <c r="BG72" s="24" t="n">
        <v>30.9798199531228</v>
      </c>
      <c r="BH72" s="24" t="n">
        <v>31.0597986417618</v>
      </c>
      <c r="BI72" s="24" t="n">
        <v>31.1425231001802</v>
      </c>
      <c r="BJ72" s="24" t="n">
        <v>31.2313169196003</v>
      </c>
      <c r="BK72" s="24" t="n">
        <v>31.3089329106358</v>
      </c>
      <c r="BL72" s="24" t="n">
        <v>31.3868979179881</v>
      </c>
      <c r="BM72" s="24" t="n">
        <v>31.4731673859907</v>
      </c>
      <c r="BN72" s="24" t="n">
        <v>31.5541457585291</v>
      </c>
      <c r="BO72" s="24" t="n">
        <v>31.6257684027397</v>
      </c>
      <c r="BP72" s="24" t="n">
        <v>31.7048500578466</v>
      </c>
      <c r="BQ72" s="24" t="n">
        <v>31.7903164234323</v>
      </c>
      <c r="BR72" s="24" t="n">
        <v>31.8683172549075</v>
      </c>
      <c r="BS72" s="24" t="n">
        <v>31.9536844151088</v>
      </c>
      <c r="BT72" s="24" t="n">
        <v>32.0279514136259</v>
      </c>
      <c r="BU72" s="24" t="n">
        <v>32.1065541113803</v>
      </c>
      <c r="BV72" s="24" t="n">
        <v>32.181631893092</v>
      </c>
      <c r="BW72" s="24" t="n">
        <v>32.2515799246118</v>
      </c>
      <c r="BX72" s="24" t="n">
        <v>32.3243879322025</v>
      </c>
      <c r="BY72" s="24" t="n">
        <v>32.3942420673952</v>
      </c>
      <c r="BZ72" s="24" t="n">
        <v>32.4764149247003</v>
      </c>
      <c r="CA72" s="24" t="n">
        <v>32.5475498894244</v>
      </c>
      <c r="CB72" s="24" t="n">
        <v>32.6160635730705</v>
      </c>
      <c r="CC72" s="24" t="n">
        <v>32.679405265252</v>
      </c>
      <c r="CD72" s="24" t="n">
        <v>32.7446527519017</v>
      </c>
      <c r="CE72" s="24" t="n">
        <v>32.8129709229251</v>
      </c>
      <c r="CF72" s="24" t="n">
        <v>32.8852771169191</v>
      </c>
      <c r="CG72" s="24" t="n">
        <v>32.9512919297223</v>
      </c>
      <c r="CH72" s="24" t="n">
        <v>33.0165067716372</v>
      </c>
      <c r="CI72" s="24" t="n">
        <v>33.0899734991519</v>
      </c>
      <c r="CJ72" s="24" t="n">
        <v>33.1549814007957</v>
      </c>
      <c r="CK72" s="24" t="n">
        <v>33.2085254278149</v>
      </c>
      <c r="CL72" s="24" t="n">
        <v>33.2714901493757</v>
      </c>
      <c r="CM72" s="24" t="n">
        <v>33.3445925378876</v>
      </c>
      <c r="CN72" s="24" t="n">
        <v>33.4113736572098</v>
      </c>
      <c r="CO72" s="24" t="n">
        <v>33.4815086858704</v>
      </c>
      <c r="CP72" s="24" t="n">
        <v>33.5481176605321</v>
      </c>
      <c r="CQ72" s="24" t="n">
        <v>33.6155755974889</v>
      </c>
      <c r="CR72" s="24" t="n">
        <v>33.6799983958006</v>
      </c>
      <c r="CS72" s="24" t="n">
        <v>33.7055779619072</v>
      </c>
      <c r="CT72" s="24" t="n">
        <v>23.7256760968743</v>
      </c>
    </row>
    <row r="73" customFormat="false" ht="15" hidden="false" customHeight="false" outlineLevel="0" collapsed="false">
      <c r="A73" s="11" t="n">
        <v>340</v>
      </c>
      <c r="B73" s="24" t="n">
        <v>19.8251866658232</v>
      </c>
      <c r="C73" s="24" t="n">
        <v>20.5725590514273</v>
      </c>
      <c r="D73" s="24" t="n">
        <v>21.2296562163876</v>
      </c>
      <c r="E73" s="24" t="n">
        <v>21.7767221566353</v>
      </c>
      <c r="F73" s="24" t="n">
        <v>22.2559719320982</v>
      </c>
      <c r="G73" s="24" t="n">
        <v>22.6830869364065</v>
      </c>
      <c r="H73" s="24" t="n">
        <v>23.0562496279719</v>
      </c>
      <c r="I73" s="24" t="n">
        <v>23.4192013190395</v>
      </c>
      <c r="J73" s="24" t="n">
        <v>23.7248316477895</v>
      </c>
      <c r="K73" s="24" t="n">
        <v>24.0381086377245</v>
      </c>
      <c r="L73" s="24" t="n">
        <v>24.34821651855</v>
      </c>
      <c r="M73" s="24" t="n">
        <v>24.6030242745632</v>
      </c>
      <c r="N73" s="24" t="n">
        <v>24.8529933255652</v>
      </c>
      <c r="O73" s="24" t="n">
        <v>25.1147210706186</v>
      </c>
      <c r="P73" s="24" t="n">
        <v>25.3494357230591</v>
      </c>
      <c r="Q73" s="24" t="n">
        <v>25.5756406554188</v>
      </c>
      <c r="R73" s="24" t="n">
        <v>25.7786880001065</v>
      </c>
      <c r="S73" s="24" t="n">
        <v>25.9784122389027</v>
      </c>
      <c r="T73" s="24" t="n">
        <v>26.1630334144017</v>
      </c>
      <c r="U73" s="24" t="n">
        <v>26.3421123678103</v>
      </c>
      <c r="V73" s="24" t="n">
        <v>26.5167753028092</v>
      </c>
      <c r="W73" s="24" t="n">
        <v>26.6974137036806</v>
      </c>
      <c r="X73" s="24" t="n">
        <v>26.8745879192808</v>
      </c>
      <c r="Y73" s="24" t="n">
        <v>27.0249546268618</v>
      </c>
      <c r="Z73" s="24" t="n">
        <v>27.1809456921377</v>
      </c>
      <c r="AA73" s="24" t="n">
        <v>27.3295382777359</v>
      </c>
      <c r="AB73" s="24" t="n">
        <v>27.4919898673727</v>
      </c>
      <c r="AC73" s="24" t="n">
        <v>27.6343645717071</v>
      </c>
      <c r="AD73" s="24" t="n">
        <v>27.7843793301254</v>
      </c>
      <c r="AE73" s="24" t="n">
        <v>27.917571656578</v>
      </c>
      <c r="AF73" s="24" t="n">
        <v>28.0519386560557</v>
      </c>
      <c r="AG73" s="24" t="n">
        <v>28.1902721063965</v>
      </c>
      <c r="AH73" s="24" t="n">
        <v>28.3381544406976</v>
      </c>
      <c r="AI73" s="24" t="n">
        <v>28.4586986560758</v>
      </c>
      <c r="AJ73" s="24" t="n">
        <v>28.5846715578811</v>
      </c>
      <c r="AK73" s="24" t="n">
        <v>28.7124471674056</v>
      </c>
      <c r="AL73" s="24" t="n">
        <v>28.8465925261587</v>
      </c>
      <c r="AM73" s="24" t="n">
        <v>28.9728788135722</v>
      </c>
      <c r="AN73" s="24" t="n">
        <v>29.0895055373993</v>
      </c>
      <c r="AO73" s="24" t="n">
        <v>29.2083198004267</v>
      </c>
      <c r="AP73" s="24" t="n">
        <v>29.3055927741003</v>
      </c>
      <c r="AQ73" s="24" t="n">
        <v>29.4178469930111</v>
      </c>
      <c r="AR73" s="24" t="n">
        <v>29.5315845742823</v>
      </c>
      <c r="AS73" s="24" t="n">
        <v>29.6360267218153</v>
      </c>
      <c r="AT73" s="24" t="n">
        <v>29.7433996379523</v>
      </c>
      <c r="AU73" s="24" t="n">
        <v>29.8615419785073</v>
      </c>
      <c r="AV73" s="24" t="n">
        <v>29.9642630069462</v>
      </c>
      <c r="AW73" s="24" t="n">
        <v>30.0666376680945</v>
      </c>
      <c r="AX73" s="24" t="n">
        <v>30.1644665655619</v>
      </c>
      <c r="AY73" s="24" t="n">
        <v>30.2555784244819</v>
      </c>
      <c r="AZ73" s="24" t="n">
        <v>30.3481993653231</v>
      </c>
      <c r="BA73" s="24" t="n">
        <v>30.4430164602019</v>
      </c>
      <c r="BB73" s="24" t="n">
        <v>30.5347547397218</v>
      </c>
      <c r="BC73" s="24" t="n">
        <v>30.6254489903904</v>
      </c>
      <c r="BD73" s="24" t="n">
        <v>30.7140422588711</v>
      </c>
      <c r="BE73" s="24" t="n">
        <v>30.7967862025456</v>
      </c>
      <c r="BF73" s="24" t="n">
        <v>30.8925389260226</v>
      </c>
      <c r="BG73" s="24" t="n">
        <v>30.9805661859388</v>
      </c>
      <c r="BH73" s="24" t="n">
        <v>31.0599284978498</v>
      </c>
      <c r="BI73" s="24" t="n">
        <v>31.1425235774529</v>
      </c>
      <c r="BJ73" s="24" t="n">
        <v>31.2313845824507</v>
      </c>
      <c r="BK73" s="24" t="n">
        <v>31.309329004615</v>
      </c>
      <c r="BL73" s="24" t="n">
        <v>31.3869558866187</v>
      </c>
      <c r="BM73" s="24" t="n">
        <v>31.4734707742651</v>
      </c>
      <c r="BN73" s="24" t="n">
        <v>31.5541457585291</v>
      </c>
      <c r="BO73" s="24" t="n">
        <v>31.6257684027397</v>
      </c>
      <c r="BP73" s="24" t="n">
        <v>31.7048500578466</v>
      </c>
      <c r="BQ73" s="24" t="n">
        <v>31.7906903769201</v>
      </c>
      <c r="BR73" s="24" t="n">
        <v>31.8686166608308</v>
      </c>
      <c r="BS73" s="24" t="n">
        <v>31.9540700182229</v>
      </c>
      <c r="BT73" s="24" t="n">
        <v>32.0280376953766</v>
      </c>
      <c r="BU73" s="24" t="n">
        <v>32.1070658148534</v>
      </c>
      <c r="BV73" s="24" t="n">
        <v>32.181984794712</v>
      </c>
      <c r="BW73" s="24" t="n">
        <v>32.2527058439648</v>
      </c>
      <c r="BX73" s="24" t="n">
        <v>32.3244125590759</v>
      </c>
      <c r="BY73" s="24" t="n">
        <v>32.3942688382653</v>
      </c>
      <c r="BZ73" s="24" t="n">
        <v>32.4766190867112</v>
      </c>
      <c r="CA73" s="24" t="n">
        <v>32.5475498894244</v>
      </c>
      <c r="CB73" s="24" t="n">
        <v>32.6160635730705</v>
      </c>
      <c r="CC73" s="24" t="n">
        <v>32.679405265252</v>
      </c>
      <c r="CD73" s="24" t="n">
        <v>32.7446527519017</v>
      </c>
      <c r="CE73" s="24" t="n">
        <v>32.8129709229251</v>
      </c>
      <c r="CF73" s="24" t="n">
        <v>32.8852771169191</v>
      </c>
      <c r="CG73" s="24" t="n">
        <v>32.9512919297223</v>
      </c>
      <c r="CH73" s="24" t="n">
        <v>33.0165067716372</v>
      </c>
      <c r="CI73" s="24" t="n">
        <v>33.0899734991519</v>
      </c>
      <c r="CJ73" s="24" t="n">
        <v>33.1549814007957</v>
      </c>
      <c r="CK73" s="24" t="n">
        <v>33.2085254278149</v>
      </c>
      <c r="CL73" s="24" t="n">
        <v>33.2714901493757</v>
      </c>
      <c r="CM73" s="24" t="n">
        <v>33.3445925378876</v>
      </c>
      <c r="CN73" s="24" t="n">
        <v>33.4113736572098</v>
      </c>
      <c r="CO73" s="24" t="n">
        <v>33.4815086858704</v>
      </c>
      <c r="CP73" s="24" t="n">
        <v>33.5481176605321</v>
      </c>
      <c r="CQ73" s="24" t="n">
        <v>33.6155755974889</v>
      </c>
      <c r="CR73" s="24" t="n">
        <v>33.6799983958006</v>
      </c>
      <c r="CS73" s="24" t="n">
        <v>33.7055779619072</v>
      </c>
      <c r="CT73" s="24" t="n">
        <v>23.7272592467115</v>
      </c>
    </row>
    <row r="74" customFormat="false" ht="15" hidden="false" customHeight="false" outlineLevel="0" collapsed="false">
      <c r="A74" s="11" t="n">
        <v>345</v>
      </c>
      <c r="B74" s="24" t="n">
        <v>19.8251866658232</v>
      </c>
      <c r="C74" s="24" t="n">
        <v>20.5725590514273</v>
      </c>
      <c r="D74" s="24" t="n">
        <v>21.2296562163876</v>
      </c>
      <c r="E74" s="24" t="n">
        <v>21.7767221566353</v>
      </c>
      <c r="F74" s="24" t="n">
        <v>22.2559719320982</v>
      </c>
      <c r="G74" s="24" t="n">
        <v>22.6830869364065</v>
      </c>
      <c r="H74" s="24" t="n">
        <v>23.0562496279719</v>
      </c>
      <c r="I74" s="24" t="n">
        <v>23.4192013190395</v>
      </c>
      <c r="J74" s="24" t="n">
        <v>23.7248316477895</v>
      </c>
      <c r="K74" s="24" t="n">
        <v>24.0406920927084</v>
      </c>
      <c r="L74" s="24" t="n">
        <v>24.349023291168</v>
      </c>
      <c r="M74" s="24" t="n">
        <v>24.605473528558</v>
      </c>
      <c r="N74" s="24" t="n">
        <v>24.8529933255652</v>
      </c>
      <c r="O74" s="24" t="n">
        <v>25.1147210706186</v>
      </c>
      <c r="P74" s="24" t="n">
        <v>25.3494357230591</v>
      </c>
      <c r="Q74" s="24" t="n">
        <v>25.5756406554188</v>
      </c>
      <c r="R74" s="24" t="n">
        <v>25.7786880001065</v>
      </c>
      <c r="S74" s="24" t="n">
        <v>25.9784122389027</v>
      </c>
      <c r="T74" s="24" t="n">
        <v>26.1630334144017</v>
      </c>
      <c r="U74" s="24" t="n">
        <v>26.3421123678103</v>
      </c>
      <c r="V74" s="24" t="n">
        <v>26.5167753028092</v>
      </c>
      <c r="W74" s="24" t="n">
        <v>26.6974137036806</v>
      </c>
      <c r="X74" s="24" t="n">
        <v>26.8745879192808</v>
      </c>
      <c r="Y74" s="24" t="n">
        <v>27.0249546268618</v>
      </c>
      <c r="Z74" s="24" t="n">
        <v>27.1809456921377</v>
      </c>
      <c r="AA74" s="24" t="n">
        <v>27.3295382777359</v>
      </c>
      <c r="AB74" s="24" t="n">
        <v>27.4919898673727</v>
      </c>
      <c r="AC74" s="24" t="n">
        <v>27.6343645717071</v>
      </c>
      <c r="AD74" s="24" t="n">
        <v>27.7843793301254</v>
      </c>
      <c r="AE74" s="24" t="n">
        <v>27.917571656578</v>
      </c>
      <c r="AF74" s="24" t="n">
        <v>28.0519386560557</v>
      </c>
      <c r="AG74" s="24" t="n">
        <v>28.1902721063965</v>
      </c>
      <c r="AH74" s="24" t="n">
        <v>28.3381544406976</v>
      </c>
      <c r="AI74" s="24" t="n">
        <v>28.4586986560758</v>
      </c>
      <c r="AJ74" s="24" t="n">
        <v>28.5862148025218</v>
      </c>
      <c r="AK74" s="24" t="n">
        <v>28.7127748393642</v>
      </c>
      <c r="AL74" s="24" t="n">
        <v>28.8476695090937</v>
      </c>
      <c r="AM74" s="24" t="n">
        <v>28.9739478485204</v>
      </c>
      <c r="AN74" s="24" t="n">
        <v>29.0902905526043</v>
      </c>
      <c r="AO74" s="24" t="n">
        <v>29.2084460131313</v>
      </c>
      <c r="AP74" s="24" t="n">
        <v>29.3073271052338</v>
      </c>
      <c r="AQ74" s="24" t="n">
        <v>29.4192992933382</v>
      </c>
      <c r="AR74" s="24" t="n">
        <v>29.5327256548791</v>
      </c>
      <c r="AS74" s="24" t="n">
        <v>29.6363142927389</v>
      </c>
      <c r="AT74" s="24" t="n">
        <v>29.743541379206</v>
      </c>
      <c r="AU74" s="24" t="n">
        <v>29.8618087810103</v>
      </c>
      <c r="AV74" s="24" t="n">
        <v>29.9645970486724</v>
      </c>
      <c r="AW74" s="24" t="n">
        <v>30.0666376680945</v>
      </c>
      <c r="AX74" s="24" t="n">
        <v>30.1644665655619</v>
      </c>
      <c r="AY74" s="24" t="n">
        <v>30.2555784244819</v>
      </c>
      <c r="AZ74" s="24" t="n">
        <v>30.3481993653231</v>
      </c>
      <c r="BA74" s="24" t="n">
        <v>30.4430164602019</v>
      </c>
      <c r="BB74" s="24" t="n">
        <v>30.5349120351349</v>
      </c>
      <c r="BC74" s="24" t="n">
        <v>30.6254737945559</v>
      </c>
      <c r="BD74" s="24" t="n">
        <v>30.7143369625161</v>
      </c>
      <c r="BE74" s="24" t="n">
        <v>30.797070623847</v>
      </c>
      <c r="BF74" s="24" t="n">
        <v>30.8935294323694</v>
      </c>
      <c r="BG74" s="24" t="n">
        <v>30.9811586978847</v>
      </c>
      <c r="BH74" s="24" t="n">
        <v>31.061073032449</v>
      </c>
      <c r="BI74" s="24" t="n">
        <v>31.1439192814984</v>
      </c>
      <c r="BJ74" s="24" t="n">
        <v>31.2316744099399</v>
      </c>
      <c r="BK74" s="24" t="n">
        <v>31.3110417771202</v>
      </c>
      <c r="BL74" s="24" t="n">
        <v>31.3870518526978</v>
      </c>
      <c r="BM74" s="24" t="n">
        <v>31.4739033008983</v>
      </c>
      <c r="BN74" s="24" t="n">
        <v>31.5543023409457</v>
      </c>
      <c r="BO74" s="24" t="n">
        <v>31.6268238743115</v>
      </c>
      <c r="BP74" s="24" t="n">
        <v>31.7052189144099</v>
      </c>
      <c r="BQ74" s="24" t="n">
        <v>31.790972322339</v>
      </c>
      <c r="BR74" s="24" t="n">
        <v>31.8693985785597</v>
      </c>
      <c r="BS74" s="24" t="n">
        <v>31.9541179844029</v>
      </c>
      <c r="BT74" s="24" t="n">
        <v>32.0284513866005</v>
      </c>
      <c r="BU74" s="24" t="n">
        <v>32.1073668446316</v>
      </c>
      <c r="BV74" s="24" t="n">
        <v>32.1822559050131</v>
      </c>
      <c r="BW74" s="24" t="n">
        <v>32.2529609413649</v>
      </c>
      <c r="BX74" s="24" t="n">
        <v>32.3244125590759</v>
      </c>
      <c r="BY74" s="24" t="n">
        <v>32.3942688382653</v>
      </c>
      <c r="BZ74" s="24" t="n">
        <v>32.4766190867112</v>
      </c>
      <c r="CA74" s="24" t="n">
        <v>32.5476700059872</v>
      </c>
      <c r="CB74" s="24" t="n">
        <v>32.6162482836553</v>
      </c>
      <c r="CC74" s="24" t="n">
        <v>32.679405265252</v>
      </c>
      <c r="CD74" s="24" t="n">
        <v>32.7446527519017</v>
      </c>
      <c r="CE74" s="24" t="n">
        <v>32.8129709229251</v>
      </c>
      <c r="CF74" s="24" t="n">
        <v>32.8852771169191</v>
      </c>
      <c r="CG74" s="24" t="n">
        <v>32.9512919297223</v>
      </c>
      <c r="CH74" s="24" t="n">
        <v>33.0165067716372</v>
      </c>
      <c r="CI74" s="24" t="n">
        <v>33.0899734991519</v>
      </c>
      <c r="CJ74" s="24" t="n">
        <v>33.1549814007957</v>
      </c>
      <c r="CK74" s="24" t="n">
        <v>33.2085254278149</v>
      </c>
      <c r="CL74" s="24" t="n">
        <v>33.2714901493757</v>
      </c>
      <c r="CM74" s="24" t="n">
        <v>33.3445925378876</v>
      </c>
      <c r="CN74" s="24" t="n">
        <v>33.4113736572098</v>
      </c>
      <c r="CO74" s="24" t="n">
        <v>33.4815086858704</v>
      </c>
      <c r="CP74" s="24" t="n">
        <v>33.5481176605321</v>
      </c>
      <c r="CQ74" s="24" t="n">
        <v>33.6155755974889</v>
      </c>
      <c r="CR74" s="24" t="n">
        <v>33.6799983958006</v>
      </c>
      <c r="CS74" s="24" t="n">
        <v>33.7055779619072</v>
      </c>
      <c r="CT74" s="24" t="n">
        <v>23.7272592467115</v>
      </c>
    </row>
    <row r="75" customFormat="false" ht="15" hidden="false" customHeight="false" outlineLevel="0" collapsed="false">
      <c r="A75" s="11" t="n">
        <v>350</v>
      </c>
      <c r="B75" s="24" t="n">
        <v>19.8251866658232</v>
      </c>
      <c r="C75" s="24" t="n">
        <v>20.5725590514273</v>
      </c>
      <c r="D75" s="24" t="n">
        <v>21.2296562163876</v>
      </c>
      <c r="E75" s="24" t="n">
        <v>21.7767221566353</v>
      </c>
      <c r="F75" s="24" t="n">
        <v>22.2559719320982</v>
      </c>
      <c r="G75" s="24" t="n">
        <v>22.6830869364065</v>
      </c>
      <c r="H75" s="24" t="n">
        <v>23.0562496279719</v>
      </c>
      <c r="I75" s="24" t="n">
        <v>23.4192013190395</v>
      </c>
      <c r="J75" s="24" t="n">
        <v>23.7248316477895</v>
      </c>
      <c r="K75" s="24" t="n">
        <v>24.0406920927084</v>
      </c>
      <c r="L75" s="24" t="n">
        <v>24.349023291168</v>
      </c>
      <c r="M75" s="24" t="n">
        <v>24.605473528558</v>
      </c>
      <c r="N75" s="24" t="n">
        <v>24.8550335167845</v>
      </c>
      <c r="O75" s="24" t="n">
        <v>25.1160577525019</v>
      </c>
      <c r="P75" s="24" t="n">
        <v>25.350757516771</v>
      </c>
      <c r="Q75" s="24" t="n">
        <v>25.5756406554188</v>
      </c>
      <c r="R75" s="24" t="n">
        <v>25.7786880001065</v>
      </c>
      <c r="S75" s="24" t="n">
        <v>25.9784122389027</v>
      </c>
      <c r="T75" s="24" t="n">
        <v>26.1630334144017</v>
      </c>
      <c r="U75" s="24" t="n">
        <v>26.3421123678103</v>
      </c>
      <c r="V75" s="24" t="n">
        <v>26.5167753028092</v>
      </c>
      <c r="W75" s="24" t="n">
        <v>26.6974137036806</v>
      </c>
      <c r="X75" s="24" t="n">
        <v>26.8745879192808</v>
      </c>
      <c r="Y75" s="24" t="n">
        <v>27.0249546268618</v>
      </c>
      <c r="Z75" s="24" t="n">
        <v>27.1809456921377</v>
      </c>
      <c r="AA75" s="24" t="n">
        <v>27.3295382777359</v>
      </c>
      <c r="AB75" s="24" t="n">
        <v>27.4919898673727</v>
      </c>
      <c r="AC75" s="24" t="n">
        <v>27.6343645717071</v>
      </c>
      <c r="AD75" s="24" t="n">
        <v>27.7843793301254</v>
      </c>
      <c r="AE75" s="24" t="n">
        <v>27.917571656578</v>
      </c>
      <c r="AF75" s="24" t="n">
        <v>28.0519386560557</v>
      </c>
      <c r="AG75" s="24" t="n">
        <v>28.1902721063965</v>
      </c>
      <c r="AH75" s="24" t="n">
        <v>28.3381544406976</v>
      </c>
      <c r="AI75" s="24" t="n">
        <v>28.4586986560758</v>
      </c>
      <c r="AJ75" s="24" t="n">
        <v>28.5862148025218</v>
      </c>
      <c r="AK75" s="24" t="n">
        <v>28.7127748393642</v>
      </c>
      <c r="AL75" s="24" t="n">
        <v>28.8476695090937</v>
      </c>
      <c r="AM75" s="24" t="n">
        <v>28.9739478485204</v>
      </c>
      <c r="AN75" s="24" t="n">
        <v>29.0902905526043</v>
      </c>
      <c r="AO75" s="24" t="n">
        <v>29.2084460131313</v>
      </c>
      <c r="AP75" s="24" t="n">
        <v>29.3078602409754</v>
      </c>
      <c r="AQ75" s="24" t="n">
        <v>29.4195576962517</v>
      </c>
      <c r="AR75" s="24" t="n">
        <v>29.5331974355237</v>
      </c>
      <c r="AS75" s="24" t="n">
        <v>29.6370533145952</v>
      </c>
      <c r="AT75" s="24" t="n">
        <v>29.7439294149452</v>
      </c>
      <c r="AU75" s="24" t="n">
        <v>29.8638486894824</v>
      </c>
      <c r="AV75" s="24" t="n">
        <v>29.9653172577188</v>
      </c>
      <c r="AW75" s="24" t="n">
        <v>30.0678186500211</v>
      </c>
      <c r="AX75" s="24" t="n">
        <v>30.1645477444503</v>
      </c>
      <c r="AY75" s="24" t="n">
        <v>30.2557493997712</v>
      </c>
      <c r="AZ75" s="24" t="n">
        <v>30.3492673234594</v>
      </c>
      <c r="BA75" s="24" t="n">
        <v>30.4434184013388</v>
      </c>
      <c r="BB75" s="24" t="n">
        <v>30.5353817222741</v>
      </c>
      <c r="BC75" s="24" t="n">
        <v>30.6265402957</v>
      </c>
      <c r="BD75" s="24" t="n">
        <v>30.7143446050075</v>
      </c>
      <c r="BE75" s="24" t="n">
        <v>30.7975551899242</v>
      </c>
      <c r="BF75" s="24" t="n">
        <v>30.8935294323694</v>
      </c>
      <c r="BG75" s="24" t="n">
        <v>30.9811586978847</v>
      </c>
      <c r="BH75" s="24" t="n">
        <v>31.061073032449</v>
      </c>
      <c r="BI75" s="24" t="n">
        <v>31.1439192814984</v>
      </c>
      <c r="BJ75" s="24" t="n">
        <v>31.2316744099399</v>
      </c>
      <c r="BK75" s="24" t="n">
        <v>31.3110417771202</v>
      </c>
      <c r="BL75" s="24" t="n">
        <v>31.3871201484435</v>
      </c>
      <c r="BM75" s="24" t="n">
        <v>31.4739882176585</v>
      </c>
      <c r="BN75" s="24" t="n">
        <v>31.5552813124671</v>
      </c>
      <c r="BO75" s="24" t="n">
        <v>31.6271450994026</v>
      </c>
      <c r="BP75" s="24" t="n">
        <v>31.7059376836</v>
      </c>
      <c r="BQ75" s="24" t="n">
        <v>31.7912915985738</v>
      </c>
      <c r="BR75" s="24" t="n">
        <v>31.8700370109515</v>
      </c>
      <c r="BS75" s="24" t="n">
        <v>31.9543743393522</v>
      </c>
      <c r="BT75" s="24" t="n">
        <v>32.0300962764805</v>
      </c>
      <c r="BU75" s="24" t="n">
        <v>32.1081147721896</v>
      </c>
      <c r="BV75" s="24" t="n">
        <v>32.1827955465171</v>
      </c>
      <c r="BW75" s="24" t="n">
        <v>32.2534349094882</v>
      </c>
      <c r="BX75" s="24" t="n">
        <v>32.3256095537157</v>
      </c>
      <c r="BY75" s="24" t="n">
        <v>32.3950672210638</v>
      </c>
      <c r="BZ75" s="24" t="n">
        <v>32.4770919063426</v>
      </c>
      <c r="CA75" s="24" t="n">
        <v>32.5482559126495</v>
      </c>
      <c r="CB75" s="24" t="n">
        <v>32.6166108318069</v>
      </c>
      <c r="CC75" s="24" t="n">
        <v>32.6796447103862</v>
      </c>
      <c r="CD75" s="24" t="n">
        <v>32.7447074548148</v>
      </c>
      <c r="CE75" s="24" t="n">
        <v>32.8130158537456</v>
      </c>
      <c r="CF75" s="24" t="n">
        <v>32.8853219805282</v>
      </c>
      <c r="CG75" s="24" t="n">
        <v>32.9513777570117</v>
      </c>
      <c r="CH75" s="24" t="n">
        <v>33.0178734187188</v>
      </c>
      <c r="CI75" s="24" t="n">
        <v>33.0907500388925</v>
      </c>
      <c r="CJ75" s="24" t="n">
        <v>33.1549814007957</v>
      </c>
      <c r="CK75" s="24" t="n">
        <v>33.2085254278149</v>
      </c>
      <c r="CL75" s="24" t="n">
        <v>33.2714901493757</v>
      </c>
      <c r="CM75" s="24" t="n">
        <v>33.3445925378876</v>
      </c>
      <c r="CN75" s="24" t="n">
        <v>33.4113736572098</v>
      </c>
      <c r="CO75" s="24" t="n">
        <v>33.4815086858704</v>
      </c>
      <c r="CP75" s="24" t="n">
        <v>33.5481176605321</v>
      </c>
      <c r="CQ75" s="24" t="n">
        <v>33.6155755974889</v>
      </c>
      <c r="CR75" s="24" t="n">
        <v>33.6799983958006</v>
      </c>
      <c r="CS75" s="24" t="n">
        <v>33.7055779619072</v>
      </c>
      <c r="CT75" s="24" t="n">
        <v>23.7272592467115</v>
      </c>
    </row>
    <row r="76" customFormat="false" ht="15" hidden="false" customHeight="false" outlineLevel="0" collapsed="false">
      <c r="A76" s="11" t="n">
        <v>355</v>
      </c>
      <c r="B76" s="24" t="n">
        <v>19.8251866658232</v>
      </c>
      <c r="C76" s="24" t="n">
        <v>20.5725590514273</v>
      </c>
      <c r="D76" s="24" t="n">
        <v>21.2296562163876</v>
      </c>
      <c r="E76" s="24" t="n">
        <v>21.7767221566353</v>
      </c>
      <c r="F76" s="24" t="n">
        <v>22.2559719320982</v>
      </c>
      <c r="G76" s="24" t="n">
        <v>22.6830869364065</v>
      </c>
      <c r="H76" s="24" t="n">
        <v>23.0562496279719</v>
      </c>
      <c r="I76" s="24" t="n">
        <v>23.4192013190395</v>
      </c>
      <c r="J76" s="24" t="n">
        <v>23.7248316477895</v>
      </c>
      <c r="K76" s="24" t="n">
        <v>24.0406920927084</v>
      </c>
      <c r="L76" s="24" t="n">
        <v>24.349023291168</v>
      </c>
      <c r="M76" s="24" t="n">
        <v>24.605473528558</v>
      </c>
      <c r="N76" s="24" t="n">
        <v>24.8550335167845</v>
      </c>
      <c r="O76" s="24" t="n">
        <v>25.1160577525019</v>
      </c>
      <c r="P76" s="24" t="n">
        <v>25.350757516771</v>
      </c>
      <c r="Q76" s="24" t="n">
        <v>25.5776413453008</v>
      </c>
      <c r="R76" s="24" t="n">
        <v>25.7815183665581</v>
      </c>
      <c r="S76" s="24" t="n">
        <v>25.9821112355372</v>
      </c>
      <c r="T76" s="24" t="n">
        <v>26.1639079897429</v>
      </c>
      <c r="U76" s="24" t="n">
        <v>26.3421123678103</v>
      </c>
      <c r="V76" s="24" t="n">
        <v>26.5167753028092</v>
      </c>
      <c r="W76" s="24" t="n">
        <v>26.6974137036806</v>
      </c>
      <c r="X76" s="24" t="n">
        <v>26.8745879192808</v>
      </c>
      <c r="Y76" s="24" t="n">
        <v>27.0249546268618</v>
      </c>
      <c r="Z76" s="24" t="n">
        <v>27.1809456921377</v>
      </c>
      <c r="AA76" s="24" t="n">
        <v>27.3295382777359</v>
      </c>
      <c r="AB76" s="24" t="n">
        <v>27.4919898673727</v>
      </c>
      <c r="AC76" s="24" t="n">
        <v>27.6343645717071</v>
      </c>
      <c r="AD76" s="24" t="n">
        <v>27.7843793301254</v>
      </c>
      <c r="AE76" s="24" t="n">
        <v>27.917571656578</v>
      </c>
      <c r="AF76" s="24" t="n">
        <v>28.0519386560557</v>
      </c>
      <c r="AG76" s="24" t="n">
        <v>28.1902721063965</v>
      </c>
      <c r="AH76" s="24" t="n">
        <v>28.3381544406976</v>
      </c>
      <c r="AI76" s="24" t="n">
        <v>28.4586986560758</v>
      </c>
      <c r="AJ76" s="24" t="n">
        <v>28.5862148025218</v>
      </c>
      <c r="AK76" s="24" t="n">
        <v>28.7127748393642</v>
      </c>
      <c r="AL76" s="24" t="n">
        <v>28.8476695090937</v>
      </c>
      <c r="AM76" s="24" t="n">
        <v>28.9739478485204</v>
      </c>
      <c r="AN76" s="24" t="n">
        <v>29.0902905526043</v>
      </c>
      <c r="AO76" s="24" t="n">
        <v>29.2084460131313</v>
      </c>
      <c r="AP76" s="24" t="n">
        <v>29.3078602409754</v>
      </c>
      <c r="AQ76" s="24" t="n">
        <v>29.4195576962517</v>
      </c>
      <c r="AR76" s="24" t="n">
        <v>29.5331974355237</v>
      </c>
      <c r="AS76" s="24" t="n">
        <v>29.6370533145952</v>
      </c>
      <c r="AT76" s="24" t="n">
        <v>29.7439294149452</v>
      </c>
      <c r="AU76" s="24" t="n">
        <v>29.8638486894824</v>
      </c>
      <c r="AV76" s="24" t="n">
        <v>29.9653172577188</v>
      </c>
      <c r="AW76" s="24" t="n">
        <v>30.0678186500211</v>
      </c>
      <c r="AX76" s="24" t="n">
        <v>30.1654453555595</v>
      </c>
      <c r="AY76" s="24" t="n">
        <v>30.2557662731686</v>
      </c>
      <c r="AZ76" s="24" t="n">
        <v>30.3495429196269</v>
      </c>
      <c r="BA76" s="24" t="n">
        <v>30.4440018689667</v>
      </c>
      <c r="BB76" s="24" t="n">
        <v>30.5362379488489</v>
      </c>
      <c r="BC76" s="24" t="n">
        <v>30.62741144</v>
      </c>
      <c r="BD76" s="24" t="n">
        <v>30.7148003970644</v>
      </c>
      <c r="BE76" s="24" t="n">
        <v>30.7982070554085</v>
      </c>
      <c r="BF76" s="24" t="n">
        <v>30.8945981677564</v>
      </c>
      <c r="BG76" s="24" t="n">
        <v>30.9820089449363</v>
      </c>
      <c r="BH76" s="24" t="n">
        <v>31.0618187973052</v>
      </c>
      <c r="BI76" s="24" t="n">
        <v>31.1446767415747</v>
      </c>
      <c r="BJ76" s="24" t="n">
        <v>31.2325989781736</v>
      </c>
      <c r="BK76" s="24" t="n">
        <v>31.3122909971731</v>
      </c>
      <c r="BL76" s="24" t="n">
        <v>31.3894785032942</v>
      </c>
      <c r="BM76" s="24" t="n">
        <v>31.4742520569777</v>
      </c>
      <c r="BN76" s="24" t="n">
        <v>31.5554797227031</v>
      </c>
      <c r="BO76" s="24" t="n">
        <v>31.6285545169965</v>
      </c>
      <c r="BP76" s="24" t="n">
        <v>31.7059376836</v>
      </c>
      <c r="BQ76" s="24" t="n">
        <v>31.7912915985738</v>
      </c>
      <c r="BR76" s="24" t="n">
        <v>31.8700370109515</v>
      </c>
      <c r="BS76" s="24" t="n">
        <v>31.9543743393522</v>
      </c>
      <c r="BT76" s="24" t="n">
        <v>32.0300962764805</v>
      </c>
      <c r="BU76" s="24" t="n">
        <v>32.1081147721896</v>
      </c>
      <c r="BV76" s="24" t="n">
        <v>32.1831315396592</v>
      </c>
      <c r="BW76" s="24" t="n">
        <v>32.2541665899278</v>
      </c>
      <c r="BX76" s="24" t="n">
        <v>32.3257808201184</v>
      </c>
      <c r="BY76" s="24" t="n">
        <v>32.3955501113392</v>
      </c>
      <c r="BZ76" s="24" t="n">
        <v>32.4772079771166</v>
      </c>
      <c r="CA76" s="24" t="n">
        <v>32.5494749155486</v>
      </c>
      <c r="CB76" s="24" t="n">
        <v>32.6172903985576</v>
      </c>
      <c r="CC76" s="24" t="n">
        <v>32.6801284065333</v>
      </c>
      <c r="CD76" s="24" t="n">
        <v>32.7457966664897</v>
      </c>
      <c r="CE76" s="24" t="n">
        <v>32.8133385953689</v>
      </c>
      <c r="CF76" s="24" t="n">
        <v>32.8856776567557</v>
      </c>
      <c r="CG76" s="24" t="n">
        <v>32.9522497195486</v>
      </c>
      <c r="CH76" s="24" t="n">
        <v>33.0183267042578</v>
      </c>
      <c r="CI76" s="24" t="n">
        <v>33.0911106674033</v>
      </c>
      <c r="CJ76" s="24" t="n">
        <v>33.1550679556849</v>
      </c>
      <c r="CK76" s="24" t="n">
        <v>33.2092132913167</v>
      </c>
      <c r="CL76" s="24" t="n">
        <v>33.27188723428</v>
      </c>
      <c r="CM76" s="24" t="n">
        <v>33.3457545950579</v>
      </c>
      <c r="CN76" s="24" t="n">
        <v>33.4122986622171</v>
      </c>
      <c r="CO76" s="24" t="n">
        <v>33.4815851371909</v>
      </c>
      <c r="CP76" s="24" t="n">
        <v>33.5483801386031</v>
      </c>
      <c r="CQ76" s="24" t="n">
        <v>33.6155842769516</v>
      </c>
      <c r="CR76" s="24" t="n">
        <v>33.6802876048443</v>
      </c>
      <c r="CS76" s="24" t="n">
        <v>33.7055826082555</v>
      </c>
      <c r="CT76" s="24" t="n">
        <v>23.7272592467115</v>
      </c>
    </row>
    <row r="77" customFormat="false" ht="15" hidden="false" customHeight="false" outlineLevel="0" collapsed="false">
      <c r="A77" s="11" t="n">
        <v>360</v>
      </c>
      <c r="B77" s="24" t="n">
        <v>19.8251866658232</v>
      </c>
      <c r="C77" s="24" t="n">
        <v>20.5725590514273</v>
      </c>
      <c r="D77" s="24" t="n">
        <v>21.2296562163876</v>
      </c>
      <c r="E77" s="24" t="n">
        <v>21.7767221566353</v>
      </c>
      <c r="F77" s="24" t="n">
        <v>22.2559719320982</v>
      </c>
      <c r="G77" s="24" t="n">
        <v>22.6830869364065</v>
      </c>
      <c r="H77" s="24" t="n">
        <v>23.0562496279719</v>
      </c>
      <c r="I77" s="24" t="n">
        <v>23.4192013190395</v>
      </c>
      <c r="J77" s="24" t="n">
        <v>23.7248316477895</v>
      </c>
      <c r="K77" s="24" t="n">
        <v>24.0406920927084</v>
      </c>
      <c r="L77" s="24" t="n">
        <v>24.349023291168</v>
      </c>
      <c r="M77" s="24" t="n">
        <v>24.605473528558</v>
      </c>
      <c r="N77" s="24" t="n">
        <v>24.8550335167845</v>
      </c>
      <c r="O77" s="24" t="n">
        <v>25.1160577525019</v>
      </c>
      <c r="P77" s="24" t="n">
        <v>25.350757516771</v>
      </c>
      <c r="Q77" s="24" t="n">
        <v>25.5776413453008</v>
      </c>
      <c r="R77" s="24" t="n">
        <v>25.7815183665581</v>
      </c>
      <c r="S77" s="24" t="n">
        <v>25.9821112355372</v>
      </c>
      <c r="T77" s="24" t="n">
        <v>26.1639079897429</v>
      </c>
      <c r="U77" s="24" t="n">
        <v>26.3440055400481</v>
      </c>
      <c r="V77" s="24" t="n">
        <v>26.5172242346231</v>
      </c>
      <c r="W77" s="24" t="n">
        <v>26.6991451068909</v>
      </c>
      <c r="X77" s="24" t="n">
        <v>26.8753976181288</v>
      </c>
      <c r="Y77" s="24" t="n">
        <v>27.0257307348615</v>
      </c>
      <c r="Z77" s="24" t="n">
        <v>27.1813981935076</v>
      </c>
      <c r="AA77" s="24" t="n">
        <v>27.3295382777359</v>
      </c>
      <c r="AB77" s="24" t="n">
        <v>27.4919898673727</v>
      </c>
      <c r="AC77" s="24" t="n">
        <v>27.6343645717071</v>
      </c>
      <c r="AD77" s="24" t="n">
        <v>27.7843793301254</v>
      </c>
      <c r="AE77" s="24" t="n">
        <v>27.917571656578</v>
      </c>
      <c r="AF77" s="24" t="n">
        <v>28.0519386560557</v>
      </c>
      <c r="AG77" s="24" t="n">
        <v>28.1902721063965</v>
      </c>
      <c r="AH77" s="24" t="n">
        <v>28.3381544406976</v>
      </c>
      <c r="AI77" s="24" t="n">
        <v>28.4586986560758</v>
      </c>
      <c r="AJ77" s="24" t="n">
        <v>28.5862148025218</v>
      </c>
      <c r="AK77" s="24" t="n">
        <v>28.7127748393642</v>
      </c>
      <c r="AL77" s="24" t="n">
        <v>28.8476695090937</v>
      </c>
      <c r="AM77" s="24" t="n">
        <v>28.9739478485204</v>
      </c>
      <c r="AN77" s="24" t="n">
        <v>29.0902905526043</v>
      </c>
      <c r="AO77" s="24" t="n">
        <v>29.2084460131313</v>
      </c>
      <c r="AP77" s="24" t="n">
        <v>29.3078602409754</v>
      </c>
      <c r="AQ77" s="24" t="n">
        <v>29.4195576962517</v>
      </c>
      <c r="AR77" s="24" t="n">
        <v>29.5331974355237</v>
      </c>
      <c r="AS77" s="24" t="n">
        <v>29.6370533145952</v>
      </c>
      <c r="AT77" s="24" t="n">
        <v>29.7439294149452</v>
      </c>
      <c r="AU77" s="24" t="n">
        <v>29.8638486894824</v>
      </c>
      <c r="AV77" s="24" t="n">
        <v>29.9653172577188</v>
      </c>
      <c r="AW77" s="24" t="n">
        <v>30.0678186500211</v>
      </c>
      <c r="AX77" s="24" t="n">
        <v>30.1654453555595</v>
      </c>
      <c r="AY77" s="24" t="n">
        <v>30.2557662731686</v>
      </c>
      <c r="AZ77" s="24" t="n">
        <v>30.3495429196269</v>
      </c>
      <c r="BA77" s="24" t="n">
        <v>30.4440018689667</v>
      </c>
      <c r="BB77" s="24" t="n">
        <v>30.5362379488489</v>
      </c>
      <c r="BC77" s="24" t="n">
        <v>30.62741144</v>
      </c>
      <c r="BD77" s="24" t="n">
        <v>30.7148003970644</v>
      </c>
      <c r="BE77" s="24" t="n">
        <v>30.7982070554085</v>
      </c>
      <c r="BF77" s="24" t="n">
        <v>30.8945981677564</v>
      </c>
      <c r="BG77" s="24" t="n">
        <v>30.9823532995009</v>
      </c>
      <c r="BH77" s="24" t="n">
        <v>31.0618355947966</v>
      </c>
      <c r="BI77" s="24" t="n">
        <v>31.1446774384464</v>
      </c>
      <c r="BJ77" s="24" t="n">
        <v>31.2327987659507</v>
      </c>
      <c r="BK77" s="24" t="n">
        <v>31.3124728517763</v>
      </c>
      <c r="BL77" s="24" t="n">
        <v>31.3897917810209</v>
      </c>
      <c r="BM77" s="24" t="n">
        <v>31.4753295770141</v>
      </c>
      <c r="BN77" s="24" t="n">
        <v>31.555905212568</v>
      </c>
      <c r="BO77" s="24" t="n">
        <v>31.6288691447751</v>
      </c>
      <c r="BP77" s="24" t="n">
        <v>31.7065251597413</v>
      </c>
      <c r="BQ77" s="24" t="n">
        <v>31.7928410342331</v>
      </c>
      <c r="BR77" s="24" t="n">
        <v>31.8707944704275</v>
      </c>
      <c r="BS77" s="24" t="n">
        <v>31.9551673255847</v>
      </c>
      <c r="BT77" s="24" t="n">
        <v>32.0313472409791</v>
      </c>
      <c r="BU77" s="24" t="n">
        <v>32.1085024273586</v>
      </c>
      <c r="BV77" s="24" t="n">
        <v>32.1831977270641</v>
      </c>
      <c r="BW77" s="24" t="n">
        <v>32.2542608829817</v>
      </c>
      <c r="BX77" s="24" t="n">
        <v>32.3258609205256</v>
      </c>
      <c r="BY77" s="24" t="n">
        <v>32.3957320266617</v>
      </c>
      <c r="BZ77" s="24" t="n">
        <v>32.4772210254344</v>
      </c>
      <c r="CA77" s="24" t="n">
        <v>32.5494749155486</v>
      </c>
      <c r="CB77" s="24" t="n">
        <v>32.6172903985576</v>
      </c>
      <c r="CC77" s="24" t="n">
        <v>32.6801284065333</v>
      </c>
      <c r="CD77" s="24" t="n">
        <v>32.7457966664897</v>
      </c>
      <c r="CE77" s="24" t="n">
        <v>32.8133385953689</v>
      </c>
      <c r="CF77" s="24" t="n">
        <v>32.8856776567557</v>
      </c>
      <c r="CG77" s="24" t="n">
        <v>32.9522901682987</v>
      </c>
      <c r="CH77" s="24" t="n">
        <v>33.019176385325</v>
      </c>
      <c r="CI77" s="24" t="n">
        <v>33.0914850343324</v>
      </c>
      <c r="CJ77" s="24" t="n">
        <v>33.1551994392001</v>
      </c>
      <c r="CK77" s="24" t="n">
        <v>33.2096736977769</v>
      </c>
      <c r="CL77" s="24" t="n">
        <v>33.272852008073</v>
      </c>
      <c r="CM77" s="24" t="n">
        <v>33.3462718951061</v>
      </c>
      <c r="CN77" s="24" t="n">
        <v>33.4129893846539</v>
      </c>
      <c r="CO77" s="24" t="n">
        <v>33.4821074664725</v>
      </c>
      <c r="CP77" s="24" t="n">
        <v>33.5494677277257</v>
      </c>
      <c r="CQ77" s="24" t="n">
        <v>33.6161705116857</v>
      </c>
      <c r="CR77" s="24" t="n">
        <v>33.6812622105489</v>
      </c>
      <c r="CS77" s="24" t="n">
        <v>33.7060331019256</v>
      </c>
      <c r="CT77" s="24" t="n">
        <v>23.7272592467115</v>
      </c>
    </row>
    <row r="78" customFormat="false" ht="15" hidden="false" customHeight="false" outlineLevel="0" collapsed="false">
      <c r="A78" s="11" t="n">
        <v>365</v>
      </c>
      <c r="B78" s="24" t="n">
        <v>19.8276077954592</v>
      </c>
      <c r="C78" s="24" t="n">
        <v>20.5725590514273</v>
      </c>
      <c r="D78" s="24" t="n">
        <v>21.2296562163876</v>
      </c>
      <c r="E78" s="24" t="n">
        <v>21.7767221566353</v>
      </c>
      <c r="F78" s="24" t="n">
        <v>22.2559719320982</v>
      </c>
      <c r="G78" s="24" t="n">
        <v>22.6830869364065</v>
      </c>
      <c r="H78" s="24" t="n">
        <v>23.0562496279719</v>
      </c>
      <c r="I78" s="24" t="n">
        <v>23.4192013190395</v>
      </c>
      <c r="J78" s="24" t="n">
        <v>23.7248316477895</v>
      </c>
      <c r="K78" s="24" t="n">
        <v>24.0406920927084</v>
      </c>
      <c r="L78" s="24" t="n">
        <v>24.349023291168</v>
      </c>
      <c r="M78" s="24" t="n">
        <v>24.605473528558</v>
      </c>
      <c r="N78" s="24" t="n">
        <v>24.8550335167845</v>
      </c>
      <c r="O78" s="24" t="n">
        <v>25.1160577525019</v>
      </c>
      <c r="P78" s="24" t="n">
        <v>25.350757516771</v>
      </c>
      <c r="Q78" s="24" t="n">
        <v>25.5776413453008</v>
      </c>
      <c r="R78" s="24" t="n">
        <v>25.7815183665581</v>
      </c>
      <c r="S78" s="24" t="n">
        <v>25.9821112355372</v>
      </c>
      <c r="T78" s="24" t="n">
        <v>26.1639079897429</v>
      </c>
      <c r="U78" s="24" t="n">
        <v>26.3440055400481</v>
      </c>
      <c r="V78" s="24" t="n">
        <v>26.5172242346231</v>
      </c>
      <c r="W78" s="24" t="n">
        <v>26.6991451068909</v>
      </c>
      <c r="X78" s="24" t="n">
        <v>26.8753976181288</v>
      </c>
      <c r="Y78" s="24" t="n">
        <v>27.0257307348615</v>
      </c>
      <c r="Z78" s="24" t="n">
        <v>27.182077616876</v>
      </c>
      <c r="AA78" s="24" t="n">
        <v>27.3297035312915</v>
      </c>
      <c r="AB78" s="24" t="n">
        <v>27.4928358386613</v>
      </c>
      <c r="AC78" s="24" t="n">
        <v>27.6364528369865</v>
      </c>
      <c r="AD78" s="24" t="n">
        <v>27.7861491091863</v>
      </c>
      <c r="AE78" s="24" t="n">
        <v>27.9190328810183</v>
      </c>
      <c r="AF78" s="24" t="n">
        <v>28.0519386560557</v>
      </c>
      <c r="AG78" s="24" t="n">
        <v>28.1902721063965</v>
      </c>
      <c r="AH78" s="24" t="n">
        <v>28.3381544406976</v>
      </c>
      <c r="AI78" s="24" t="n">
        <v>28.4586986560758</v>
      </c>
      <c r="AJ78" s="24" t="n">
        <v>28.5862148025218</v>
      </c>
      <c r="AK78" s="24" t="n">
        <v>28.7127748393642</v>
      </c>
      <c r="AL78" s="24" t="n">
        <v>28.8476695090937</v>
      </c>
      <c r="AM78" s="24" t="n">
        <v>28.9739478485204</v>
      </c>
      <c r="AN78" s="24" t="n">
        <v>29.0902905526043</v>
      </c>
      <c r="AO78" s="24" t="n">
        <v>29.2084460131313</v>
      </c>
      <c r="AP78" s="24" t="n">
        <v>29.3078602409754</v>
      </c>
      <c r="AQ78" s="24" t="n">
        <v>29.4195576962517</v>
      </c>
      <c r="AR78" s="24" t="n">
        <v>29.5331974355237</v>
      </c>
      <c r="AS78" s="24" t="n">
        <v>29.6370533145952</v>
      </c>
      <c r="AT78" s="24" t="n">
        <v>29.7439294149452</v>
      </c>
      <c r="AU78" s="24" t="n">
        <v>29.8638486894824</v>
      </c>
      <c r="AV78" s="24" t="n">
        <v>29.9653172577188</v>
      </c>
      <c r="AW78" s="24" t="n">
        <v>30.0678186500211</v>
      </c>
      <c r="AX78" s="24" t="n">
        <v>30.1654453555595</v>
      </c>
      <c r="AY78" s="24" t="n">
        <v>30.2557662731686</v>
      </c>
      <c r="AZ78" s="24" t="n">
        <v>30.3495429196269</v>
      </c>
      <c r="BA78" s="24" t="n">
        <v>30.4440018689667</v>
      </c>
      <c r="BB78" s="24" t="n">
        <v>30.5362379488489</v>
      </c>
      <c r="BC78" s="24" t="n">
        <v>30.62741144</v>
      </c>
      <c r="BD78" s="24" t="n">
        <v>30.7148003970644</v>
      </c>
      <c r="BE78" s="24" t="n">
        <v>30.7982070554085</v>
      </c>
      <c r="BF78" s="24" t="n">
        <v>30.8945981677564</v>
      </c>
      <c r="BG78" s="24" t="n">
        <v>30.9823532995009</v>
      </c>
      <c r="BH78" s="24" t="n">
        <v>31.0618355947966</v>
      </c>
      <c r="BI78" s="24" t="n">
        <v>31.1446774384464</v>
      </c>
      <c r="BJ78" s="24" t="n">
        <v>31.2327987659507</v>
      </c>
      <c r="BK78" s="24" t="n">
        <v>31.3124728517763</v>
      </c>
      <c r="BL78" s="24" t="n">
        <v>31.3897917810209</v>
      </c>
      <c r="BM78" s="24" t="n">
        <v>31.4753295770141</v>
      </c>
      <c r="BN78" s="24" t="n">
        <v>31.555905212568</v>
      </c>
      <c r="BO78" s="24" t="n">
        <v>31.6288691447751</v>
      </c>
      <c r="BP78" s="24" t="n">
        <v>31.7065251597413</v>
      </c>
      <c r="BQ78" s="24" t="n">
        <v>31.7928410342331</v>
      </c>
      <c r="BR78" s="24" t="n">
        <v>31.871819475523</v>
      </c>
      <c r="BS78" s="24" t="n">
        <v>31.9552010712192</v>
      </c>
      <c r="BT78" s="24" t="n">
        <v>32.0320154532327</v>
      </c>
      <c r="BU78" s="24" t="n">
        <v>32.1099651163528</v>
      </c>
      <c r="BV78" s="24" t="n">
        <v>32.1838907222536</v>
      </c>
      <c r="BW78" s="24" t="n">
        <v>32.2549572804801</v>
      </c>
      <c r="BX78" s="24" t="n">
        <v>32.3262733737033</v>
      </c>
      <c r="BY78" s="24" t="n">
        <v>32.3960949494827</v>
      </c>
      <c r="BZ78" s="24" t="n">
        <v>32.4776322031745</v>
      </c>
      <c r="CA78" s="24" t="n">
        <v>32.5496286545934</v>
      </c>
      <c r="CB78" s="24" t="n">
        <v>32.6176581193517</v>
      </c>
      <c r="CC78" s="24" t="n">
        <v>32.6805991819063</v>
      </c>
      <c r="CD78" s="24" t="n">
        <v>32.7463336618043</v>
      </c>
      <c r="CE78" s="24" t="n">
        <v>32.8142232260691</v>
      </c>
      <c r="CF78" s="24" t="n">
        <v>32.8856776567557</v>
      </c>
      <c r="CG78" s="24" t="n">
        <v>32.9522901682987</v>
      </c>
      <c r="CH78" s="24" t="n">
        <v>33.019176385325</v>
      </c>
      <c r="CI78" s="24" t="n">
        <v>33.0914850343324</v>
      </c>
      <c r="CJ78" s="24" t="n">
        <v>33.1551994392001</v>
      </c>
      <c r="CK78" s="24" t="n">
        <v>33.2096736977769</v>
      </c>
      <c r="CL78" s="24" t="n">
        <v>33.272852008073</v>
      </c>
      <c r="CM78" s="24" t="n">
        <v>33.3462718951061</v>
      </c>
      <c r="CN78" s="24" t="n">
        <v>33.4129893846539</v>
      </c>
      <c r="CO78" s="24" t="n">
        <v>33.4821074664725</v>
      </c>
      <c r="CP78" s="24" t="n">
        <v>33.5494677277257</v>
      </c>
      <c r="CQ78" s="24" t="n">
        <v>33.6161705116857</v>
      </c>
      <c r="CR78" s="24" t="n">
        <v>33.6812622105489</v>
      </c>
      <c r="CS78" s="24" t="n">
        <v>33.7060331019256</v>
      </c>
      <c r="CT78" s="24" t="n">
        <v>23.7272592467115</v>
      </c>
    </row>
    <row r="79" customFormat="false" ht="15" hidden="false" customHeight="false" outlineLevel="0" collapsed="false">
      <c r="A79" s="11" t="n">
        <v>370</v>
      </c>
      <c r="B79" s="24" t="n">
        <v>19.8276077954592</v>
      </c>
      <c r="C79" s="24" t="n">
        <v>20.5744445536174</v>
      </c>
      <c r="D79" s="24" t="n">
        <v>21.2296562163876</v>
      </c>
      <c r="E79" s="24" t="n">
        <v>21.7767221566353</v>
      </c>
      <c r="F79" s="24" t="n">
        <v>22.2559719320982</v>
      </c>
      <c r="G79" s="24" t="n">
        <v>22.6830869364065</v>
      </c>
      <c r="H79" s="24" t="n">
        <v>23.0562496279719</v>
      </c>
      <c r="I79" s="24" t="n">
        <v>23.4192013190395</v>
      </c>
      <c r="J79" s="24" t="n">
        <v>23.7248316477895</v>
      </c>
      <c r="K79" s="24" t="n">
        <v>24.0406920927084</v>
      </c>
      <c r="L79" s="24" t="n">
        <v>24.349023291168</v>
      </c>
      <c r="M79" s="24" t="n">
        <v>24.605473528558</v>
      </c>
      <c r="N79" s="24" t="n">
        <v>24.8550335167845</v>
      </c>
      <c r="O79" s="24" t="n">
        <v>25.1160577525019</v>
      </c>
      <c r="P79" s="24" t="n">
        <v>25.350757516771</v>
      </c>
      <c r="Q79" s="24" t="n">
        <v>25.5776413453008</v>
      </c>
      <c r="R79" s="24" t="n">
        <v>25.7815183665581</v>
      </c>
      <c r="S79" s="24" t="n">
        <v>25.9821112355372</v>
      </c>
      <c r="T79" s="24" t="n">
        <v>26.1639079897429</v>
      </c>
      <c r="U79" s="24" t="n">
        <v>26.3440055400481</v>
      </c>
      <c r="V79" s="24" t="n">
        <v>26.5172242346231</v>
      </c>
      <c r="W79" s="24" t="n">
        <v>26.6991451068909</v>
      </c>
      <c r="X79" s="24" t="n">
        <v>26.8753976181288</v>
      </c>
      <c r="Y79" s="24" t="n">
        <v>27.0257307348615</v>
      </c>
      <c r="Z79" s="24" t="n">
        <v>27.182077616876</v>
      </c>
      <c r="AA79" s="24" t="n">
        <v>27.3297035312915</v>
      </c>
      <c r="AB79" s="24" t="n">
        <v>27.4928358386613</v>
      </c>
      <c r="AC79" s="24" t="n">
        <v>27.6364528369865</v>
      </c>
      <c r="AD79" s="24" t="n">
        <v>27.7861491091863</v>
      </c>
      <c r="AE79" s="24" t="n">
        <v>27.9190328810183</v>
      </c>
      <c r="AF79" s="24" t="n">
        <v>28.0529069606138</v>
      </c>
      <c r="AG79" s="24" t="n">
        <v>28.1927976152994</v>
      </c>
      <c r="AH79" s="24" t="n">
        <v>28.3392444029569</v>
      </c>
      <c r="AI79" s="24" t="n">
        <v>28.4604760234311</v>
      </c>
      <c r="AJ79" s="24" t="n">
        <v>28.5883372674776</v>
      </c>
      <c r="AK79" s="24" t="n">
        <v>28.7136844332195</v>
      </c>
      <c r="AL79" s="24" t="n">
        <v>28.8476733572479</v>
      </c>
      <c r="AM79" s="24" t="n">
        <v>28.9739478485204</v>
      </c>
      <c r="AN79" s="24" t="n">
        <v>29.0902905526043</v>
      </c>
      <c r="AO79" s="24" t="n">
        <v>29.2084460131313</v>
      </c>
      <c r="AP79" s="24" t="n">
        <v>29.3078602409754</v>
      </c>
      <c r="AQ79" s="24" t="n">
        <v>29.4195576962517</v>
      </c>
      <c r="AR79" s="24" t="n">
        <v>29.5331974355237</v>
      </c>
      <c r="AS79" s="24" t="n">
        <v>29.6370533145952</v>
      </c>
      <c r="AT79" s="24" t="n">
        <v>29.7439294149452</v>
      </c>
      <c r="AU79" s="24" t="n">
        <v>29.8638486894824</v>
      </c>
      <c r="AV79" s="24" t="n">
        <v>29.9653172577188</v>
      </c>
      <c r="AW79" s="24" t="n">
        <v>30.0678186500211</v>
      </c>
      <c r="AX79" s="24" t="n">
        <v>30.1654453555595</v>
      </c>
      <c r="AY79" s="24" t="n">
        <v>30.2557662731686</v>
      </c>
      <c r="AZ79" s="24" t="n">
        <v>30.3495429196269</v>
      </c>
      <c r="BA79" s="24" t="n">
        <v>30.4440018689667</v>
      </c>
      <c r="BB79" s="24" t="n">
        <v>30.5362379488489</v>
      </c>
      <c r="BC79" s="24" t="n">
        <v>30.62741144</v>
      </c>
      <c r="BD79" s="24" t="n">
        <v>30.7148003970644</v>
      </c>
      <c r="BE79" s="24" t="n">
        <v>30.7982070554085</v>
      </c>
      <c r="BF79" s="24" t="n">
        <v>30.8945981677564</v>
      </c>
      <c r="BG79" s="24" t="n">
        <v>30.9823532995009</v>
      </c>
      <c r="BH79" s="24" t="n">
        <v>31.0618355947966</v>
      </c>
      <c r="BI79" s="24" t="n">
        <v>31.1446774384464</v>
      </c>
      <c r="BJ79" s="24" t="n">
        <v>31.2327987659507</v>
      </c>
      <c r="BK79" s="24" t="n">
        <v>31.3124728517763</v>
      </c>
      <c r="BL79" s="24" t="n">
        <v>31.3897917810209</v>
      </c>
      <c r="BM79" s="24" t="n">
        <v>31.4753295770141</v>
      </c>
      <c r="BN79" s="24" t="n">
        <v>31.555905212568</v>
      </c>
      <c r="BO79" s="24" t="n">
        <v>31.6288691447751</v>
      </c>
      <c r="BP79" s="24" t="n">
        <v>31.7065251597413</v>
      </c>
      <c r="BQ79" s="24" t="n">
        <v>31.7928410342331</v>
      </c>
      <c r="BR79" s="24" t="n">
        <v>31.871819475523</v>
      </c>
      <c r="BS79" s="24" t="n">
        <v>31.9552010712192</v>
      </c>
      <c r="BT79" s="24" t="n">
        <v>32.0320154532327</v>
      </c>
      <c r="BU79" s="24" t="n">
        <v>32.1099651163528</v>
      </c>
      <c r="BV79" s="24" t="n">
        <v>32.1838907222536</v>
      </c>
      <c r="BW79" s="24" t="n">
        <v>32.2549572804801</v>
      </c>
      <c r="BX79" s="24" t="n">
        <v>32.3262733737033</v>
      </c>
      <c r="BY79" s="24" t="n">
        <v>32.3960949494827</v>
      </c>
      <c r="BZ79" s="24" t="n">
        <v>32.4776322031745</v>
      </c>
      <c r="CA79" s="24" t="n">
        <v>32.5496286545934</v>
      </c>
      <c r="CB79" s="24" t="n">
        <v>32.6176581193517</v>
      </c>
      <c r="CC79" s="24" t="n">
        <v>32.681349107841</v>
      </c>
      <c r="CD79" s="24" t="n">
        <v>32.7469412957158</v>
      </c>
      <c r="CE79" s="24" t="n">
        <v>32.8145166098167</v>
      </c>
      <c r="CF79" s="24" t="n">
        <v>32.8860155983709</v>
      </c>
      <c r="CG79" s="24" t="n">
        <v>32.952480504324</v>
      </c>
      <c r="CH79" s="24" t="n">
        <v>33.0196108881164</v>
      </c>
      <c r="CI79" s="24" t="n">
        <v>33.0919637597487</v>
      </c>
      <c r="CJ79" s="24" t="n">
        <v>33.1556771607427</v>
      </c>
      <c r="CK79" s="24" t="n">
        <v>33.2100045847729</v>
      </c>
      <c r="CL79" s="24" t="n">
        <v>33.2731833367013</v>
      </c>
      <c r="CM79" s="24" t="n">
        <v>33.3469699273662</v>
      </c>
      <c r="CN79" s="24" t="n">
        <v>33.4133598201463</v>
      </c>
      <c r="CO79" s="24" t="n">
        <v>33.4828145741893</v>
      </c>
      <c r="CP79" s="24" t="n">
        <v>33.5496727598536</v>
      </c>
      <c r="CQ79" s="24" t="n">
        <v>33.6161997736828</v>
      </c>
      <c r="CR79" s="24" t="n">
        <v>33.6812622105489</v>
      </c>
      <c r="CS79" s="24" t="n">
        <v>33.7060331019256</v>
      </c>
      <c r="CT79" s="24" t="n">
        <v>23.7272592467115</v>
      </c>
    </row>
    <row r="80" customFormat="false" ht="15" hidden="false" customHeight="false" outlineLevel="0" collapsed="false">
      <c r="A80" s="11" t="n">
        <v>375</v>
      </c>
      <c r="B80" s="24" t="n">
        <v>19.8276077954592</v>
      </c>
      <c r="C80" s="24" t="n">
        <v>20.5744445536174</v>
      </c>
      <c r="D80" s="24" t="n">
        <v>21.2303335910332</v>
      </c>
      <c r="E80" s="24" t="n">
        <v>21.7767221566353</v>
      </c>
      <c r="F80" s="24" t="n">
        <v>22.2559719320982</v>
      </c>
      <c r="G80" s="24" t="n">
        <v>22.6830869364065</v>
      </c>
      <c r="H80" s="24" t="n">
        <v>23.0562496279719</v>
      </c>
      <c r="I80" s="24" t="n">
        <v>23.4192013190395</v>
      </c>
      <c r="J80" s="24" t="n">
        <v>23.7248316477895</v>
      </c>
      <c r="K80" s="24" t="n">
        <v>24.0406920927084</v>
      </c>
      <c r="L80" s="24" t="n">
        <v>24.349023291168</v>
      </c>
      <c r="M80" s="24" t="n">
        <v>24.605473528558</v>
      </c>
      <c r="N80" s="24" t="n">
        <v>24.8550335167845</v>
      </c>
      <c r="O80" s="24" t="n">
        <v>25.1160577525019</v>
      </c>
      <c r="P80" s="24" t="n">
        <v>25.350757516771</v>
      </c>
      <c r="Q80" s="24" t="n">
        <v>25.5776413453008</v>
      </c>
      <c r="R80" s="24" t="n">
        <v>25.7815183665581</v>
      </c>
      <c r="S80" s="24" t="n">
        <v>25.9821112355372</v>
      </c>
      <c r="T80" s="24" t="n">
        <v>26.1639079897429</v>
      </c>
      <c r="U80" s="24" t="n">
        <v>26.3440055400481</v>
      </c>
      <c r="V80" s="24" t="n">
        <v>26.5172242346231</v>
      </c>
      <c r="W80" s="24" t="n">
        <v>26.6991451068909</v>
      </c>
      <c r="X80" s="24" t="n">
        <v>26.8753976181288</v>
      </c>
      <c r="Y80" s="24" t="n">
        <v>27.0257307348615</v>
      </c>
      <c r="Z80" s="24" t="n">
        <v>27.182077616876</v>
      </c>
      <c r="AA80" s="24" t="n">
        <v>27.3297035312915</v>
      </c>
      <c r="AB80" s="24" t="n">
        <v>27.4928358386613</v>
      </c>
      <c r="AC80" s="24" t="n">
        <v>27.6364528369865</v>
      </c>
      <c r="AD80" s="24" t="n">
        <v>27.7861491091863</v>
      </c>
      <c r="AE80" s="24" t="n">
        <v>27.9190328810183</v>
      </c>
      <c r="AF80" s="24" t="n">
        <v>28.0529069606138</v>
      </c>
      <c r="AG80" s="24" t="n">
        <v>28.1927976152994</v>
      </c>
      <c r="AH80" s="24" t="n">
        <v>28.3392444029569</v>
      </c>
      <c r="AI80" s="24" t="n">
        <v>28.4604760234311</v>
      </c>
      <c r="AJ80" s="24" t="n">
        <v>28.5883372674776</v>
      </c>
      <c r="AK80" s="24" t="n">
        <v>28.7136844332195</v>
      </c>
      <c r="AL80" s="24" t="n">
        <v>28.8477854263446</v>
      </c>
      <c r="AM80" s="24" t="n">
        <v>28.9745296106467</v>
      </c>
      <c r="AN80" s="24" t="n">
        <v>29.090720513182</v>
      </c>
      <c r="AO80" s="24" t="n">
        <v>29.2088496010029</v>
      </c>
      <c r="AP80" s="24" t="n">
        <v>29.3081028608775</v>
      </c>
      <c r="AQ80" s="24" t="n">
        <v>29.4208412506218</v>
      </c>
      <c r="AR80" s="24" t="n">
        <v>29.5343784059525</v>
      </c>
      <c r="AS80" s="24" t="n">
        <v>29.638824211359</v>
      </c>
      <c r="AT80" s="24" t="n">
        <v>29.7443091312457</v>
      </c>
      <c r="AU80" s="24" t="n">
        <v>29.8638486894824</v>
      </c>
      <c r="AV80" s="24" t="n">
        <v>29.9653172577188</v>
      </c>
      <c r="AW80" s="24" t="n">
        <v>30.0678186500211</v>
      </c>
      <c r="AX80" s="24" t="n">
        <v>30.1654453555595</v>
      </c>
      <c r="AY80" s="24" t="n">
        <v>30.2557662731686</v>
      </c>
      <c r="AZ80" s="24" t="n">
        <v>30.3495429196269</v>
      </c>
      <c r="BA80" s="24" t="n">
        <v>30.4440018689667</v>
      </c>
      <c r="BB80" s="24" t="n">
        <v>30.5362379488489</v>
      </c>
      <c r="BC80" s="24" t="n">
        <v>30.62741144</v>
      </c>
      <c r="BD80" s="24" t="n">
        <v>30.7148003970644</v>
      </c>
      <c r="BE80" s="24" t="n">
        <v>30.7982070554085</v>
      </c>
      <c r="BF80" s="24" t="n">
        <v>30.8945981677564</v>
      </c>
      <c r="BG80" s="24" t="n">
        <v>30.9823532995009</v>
      </c>
      <c r="BH80" s="24" t="n">
        <v>31.0618355947966</v>
      </c>
      <c r="BI80" s="24" t="n">
        <v>31.1446774384464</v>
      </c>
      <c r="BJ80" s="24" t="n">
        <v>31.2327987659507</v>
      </c>
      <c r="BK80" s="24" t="n">
        <v>31.3124728517763</v>
      </c>
      <c r="BL80" s="24" t="n">
        <v>31.3897917810209</v>
      </c>
      <c r="BM80" s="24" t="n">
        <v>31.4753295770141</v>
      </c>
      <c r="BN80" s="24" t="n">
        <v>31.555905212568</v>
      </c>
      <c r="BO80" s="24" t="n">
        <v>31.6288691447751</v>
      </c>
      <c r="BP80" s="24" t="n">
        <v>31.7065251597413</v>
      </c>
      <c r="BQ80" s="24" t="n">
        <v>31.7928410342331</v>
      </c>
      <c r="BR80" s="24" t="n">
        <v>31.871819475523</v>
      </c>
      <c r="BS80" s="24" t="n">
        <v>31.9552010712192</v>
      </c>
      <c r="BT80" s="24" t="n">
        <v>32.0320154532327</v>
      </c>
      <c r="BU80" s="24" t="n">
        <v>32.1099651163528</v>
      </c>
      <c r="BV80" s="24" t="n">
        <v>32.1838907222536</v>
      </c>
      <c r="BW80" s="24" t="n">
        <v>32.2549572804801</v>
      </c>
      <c r="BX80" s="24" t="n">
        <v>32.3262733737033</v>
      </c>
      <c r="BY80" s="24" t="n">
        <v>32.3960949494827</v>
      </c>
      <c r="BZ80" s="24" t="n">
        <v>32.4776322031745</v>
      </c>
      <c r="CA80" s="24" t="n">
        <v>32.5496286545934</v>
      </c>
      <c r="CB80" s="24" t="n">
        <v>32.6176581193517</v>
      </c>
      <c r="CC80" s="24" t="n">
        <v>32.681349107841</v>
      </c>
      <c r="CD80" s="24" t="n">
        <v>32.7469412957158</v>
      </c>
      <c r="CE80" s="24" t="n">
        <v>32.8145166098167</v>
      </c>
      <c r="CF80" s="24" t="n">
        <v>32.8860155983709</v>
      </c>
      <c r="CG80" s="24" t="n">
        <v>32.952480504324</v>
      </c>
      <c r="CH80" s="24" t="n">
        <v>33.0196108881164</v>
      </c>
      <c r="CI80" s="24" t="n">
        <v>33.0919637597487</v>
      </c>
      <c r="CJ80" s="24" t="n">
        <v>33.1556771607427</v>
      </c>
      <c r="CK80" s="24" t="n">
        <v>33.2100045847729</v>
      </c>
      <c r="CL80" s="24" t="n">
        <v>33.2731833367013</v>
      </c>
      <c r="CM80" s="24" t="n">
        <v>33.3469699273662</v>
      </c>
      <c r="CN80" s="24" t="n">
        <v>33.4133598201463</v>
      </c>
      <c r="CO80" s="24" t="n">
        <v>33.4828145741893</v>
      </c>
      <c r="CP80" s="24" t="n">
        <v>33.5498876883457</v>
      </c>
      <c r="CQ80" s="24" t="n">
        <v>33.6167252348404</v>
      </c>
      <c r="CR80" s="24" t="n">
        <v>33.6818351707871</v>
      </c>
      <c r="CS80" s="24" t="n">
        <v>33.7063044341508</v>
      </c>
      <c r="CT80" s="24" t="n">
        <v>23.7272592467115</v>
      </c>
    </row>
    <row r="81" customFormat="false" ht="15" hidden="false" customHeight="false" outlineLevel="0" collapsed="false">
      <c r="A81" s="11" t="n">
        <v>380</v>
      </c>
      <c r="B81" s="24" t="n">
        <v>19.8276077954592</v>
      </c>
      <c r="C81" s="24" t="n">
        <v>20.5744445536174</v>
      </c>
      <c r="D81" s="24" t="n">
        <v>21.2303335910332</v>
      </c>
      <c r="E81" s="24" t="n">
        <v>21.7781406988542</v>
      </c>
      <c r="F81" s="24" t="n">
        <v>22.2563280558849</v>
      </c>
      <c r="G81" s="24" t="n">
        <v>22.6830869364065</v>
      </c>
      <c r="H81" s="24" t="n">
        <v>23.0562496279719</v>
      </c>
      <c r="I81" s="24" t="n">
        <v>23.4192013190395</v>
      </c>
      <c r="J81" s="24" t="n">
        <v>23.7248316477895</v>
      </c>
      <c r="K81" s="24" t="n">
        <v>24.0406920927084</v>
      </c>
      <c r="L81" s="24" t="n">
        <v>24.349023291168</v>
      </c>
      <c r="M81" s="24" t="n">
        <v>24.605473528558</v>
      </c>
      <c r="N81" s="24" t="n">
        <v>24.8550335167845</v>
      </c>
      <c r="O81" s="24" t="n">
        <v>25.1160577525019</v>
      </c>
      <c r="P81" s="24" t="n">
        <v>25.350757516771</v>
      </c>
      <c r="Q81" s="24" t="n">
        <v>25.5776413453008</v>
      </c>
      <c r="R81" s="24" t="n">
        <v>25.7815183665581</v>
      </c>
      <c r="S81" s="24" t="n">
        <v>25.9821112355372</v>
      </c>
      <c r="T81" s="24" t="n">
        <v>26.1639079897429</v>
      </c>
      <c r="U81" s="24" t="n">
        <v>26.3440055400481</v>
      </c>
      <c r="V81" s="24" t="n">
        <v>26.5172242346231</v>
      </c>
      <c r="W81" s="24" t="n">
        <v>26.6991451068909</v>
      </c>
      <c r="X81" s="24" t="n">
        <v>26.8753976181288</v>
      </c>
      <c r="Y81" s="24" t="n">
        <v>27.0257307348615</v>
      </c>
      <c r="Z81" s="24" t="n">
        <v>27.182077616876</v>
      </c>
      <c r="AA81" s="24" t="n">
        <v>27.3297035312915</v>
      </c>
      <c r="AB81" s="24" t="n">
        <v>27.4928358386613</v>
      </c>
      <c r="AC81" s="24" t="n">
        <v>27.6364528369865</v>
      </c>
      <c r="AD81" s="24" t="n">
        <v>27.7861491091863</v>
      </c>
      <c r="AE81" s="24" t="n">
        <v>27.9190328810183</v>
      </c>
      <c r="AF81" s="24" t="n">
        <v>28.0529069606138</v>
      </c>
      <c r="AG81" s="24" t="n">
        <v>28.1927976152994</v>
      </c>
      <c r="AH81" s="24" t="n">
        <v>28.3392444029569</v>
      </c>
      <c r="AI81" s="24" t="n">
        <v>28.4604760234311</v>
      </c>
      <c r="AJ81" s="24" t="n">
        <v>28.5883372674776</v>
      </c>
      <c r="AK81" s="24" t="n">
        <v>28.7136844332195</v>
      </c>
      <c r="AL81" s="24" t="n">
        <v>28.8477854263446</v>
      </c>
      <c r="AM81" s="24" t="n">
        <v>28.9745296106467</v>
      </c>
      <c r="AN81" s="24" t="n">
        <v>29.090720513182</v>
      </c>
      <c r="AO81" s="24" t="n">
        <v>29.2088496010029</v>
      </c>
      <c r="AP81" s="24" t="n">
        <v>29.3081028608775</v>
      </c>
      <c r="AQ81" s="24" t="n">
        <v>29.4208412506218</v>
      </c>
      <c r="AR81" s="24" t="n">
        <v>29.5343784059525</v>
      </c>
      <c r="AS81" s="24" t="n">
        <v>29.6400499694642</v>
      </c>
      <c r="AT81" s="24" t="n">
        <v>29.7444369203254</v>
      </c>
      <c r="AU81" s="24" t="n">
        <v>29.8650027635546</v>
      </c>
      <c r="AV81" s="24" t="n">
        <v>29.965334366079</v>
      </c>
      <c r="AW81" s="24" t="n">
        <v>30.0681547440954</v>
      </c>
      <c r="AX81" s="24" t="n">
        <v>30.1667288073218</v>
      </c>
      <c r="AY81" s="24" t="n">
        <v>30.2561014274966</v>
      </c>
      <c r="AZ81" s="24" t="n">
        <v>30.3504841552623</v>
      </c>
      <c r="BA81" s="24" t="n">
        <v>30.4441594996039</v>
      </c>
      <c r="BB81" s="24" t="n">
        <v>30.5364250538014</v>
      </c>
      <c r="BC81" s="24" t="n">
        <v>30.62741144</v>
      </c>
      <c r="BD81" s="24" t="n">
        <v>30.7148003970644</v>
      </c>
      <c r="BE81" s="24" t="n">
        <v>30.7982070554085</v>
      </c>
      <c r="BF81" s="24" t="n">
        <v>30.8945981677564</v>
      </c>
      <c r="BG81" s="24" t="n">
        <v>30.9823532995009</v>
      </c>
      <c r="BH81" s="24" t="n">
        <v>31.0618355947966</v>
      </c>
      <c r="BI81" s="24" t="n">
        <v>31.1446774384464</v>
      </c>
      <c r="BJ81" s="24" t="n">
        <v>31.2327987659507</v>
      </c>
      <c r="BK81" s="24" t="n">
        <v>31.3124728517763</v>
      </c>
      <c r="BL81" s="24" t="n">
        <v>31.3897917810209</v>
      </c>
      <c r="BM81" s="24" t="n">
        <v>31.4753295770141</v>
      </c>
      <c r="BN81" s="24" t="n">
        <v>31.555905212568</v>
      </c>
      <c r="BO81" s="24" t="n">
        <v>31.6288691447751</v>
      </c>
      <c r="BP81" s="24" t="n">
        <v>31.7065251597413</v>
      </c>
      <c r="BQ81" s="24" t="n">
        <v>31.7928410342331</v>
      </c>
      <c r="BR81" s="24" t="n">
        <v>31.871819475523</v>
      </c>
      <c r="BS81" s="24" t="n">
        <v>31.9552010712192</v>
      </c>
      <c r="BT81" s="24" t="n">
        <v>32.0320154532327</v>
      </c>
      <c r="BU81" s="24" t="n">
        <v>32.1099651163528</v>
      </c>
      <c r="BV81" s="24" t="n">
        <v>32.1838907222536</v>
      </c>
      <c r="BW81" s="24" t="n">
        <v>32.2549572804801</v>
      </c>
      <c r="BX81" s="24" t="n">
        <v>32.3262733737033</v>
      </c>
      <c r="BY81" s="24" t="n">
        <v>32.3960949494827</v>
      </c>
      <c r="BZ81" s="24" t="n">
        <v>32.4776322031745</v>
      </c>
      <c r="CA81" s="24" t="n">
        <v>32.5496286545934</v>
      </c>
      <c r="CB81" s="24" t="n">
        <v>32.6176581193517</v>
      </c>
      <c r="CC81" s="24" t="n">
        <v>32.681349107841</v>
      </c>
      <c r="CD81" s="24" t="n">
        <v>32.7469412957158</v>
      </c>
      <c r="CE81" s="24" t="n">
        <v>32.8145166098167</v>
      </c>
      <c r="CF81" s="24" t="n">
        <v>32.8860155983709</v>
      </c>
      <c r="CG81" s="24" t="n">
        <v>32.952480504324</v>
      </c>
      <c r="CH81" s="24" t="n">
        <v>33.0196108881164</v>
      </c>
      <c r="CI81" s="24" t="n">
        <v>33.0919637597487</v>
      </c>
      <c r="CJ81" s="24" t="n">
        <v>33.1556771607427</v>
      </c>
      <c r="CK81" s="24" t="n">
        <v>33.2100045847729</v>
      </c>
      <c r="CL81" s="24" t="n">
        <v>33.2731833367013</v>
      </c>
      <c r="CM81" s="24" t="n">
        <v>33.3469699273662</v>
      </c>
      <c r="CN81" s="24" t="n">
        <v>33.4133598201463</v>
      </c>
      <c r="CO81" s="24" t="n">
        <v>33.4828145741893</v>
      </c>
      <c r="CP81" s="24" t="n">
        <v>33.5498876883457</v>
      </c>
      <c r="CQ81" s="24" t="n">
        <v>33.6167252348404</v>
      </c>
      <c r="CR81" s="24" t="n">
        <v>33.6818351707871</v>
      </c>
      <c r="CS81" s="24" t="n">
        <v>33.7063044341508</v>
      </c>
      <c r="CT81" s="24" t="n">
        <v>23.7272592467115</v>
      </c>
    </row>
    <row r="82" customFormat="false" ht="15" hidden="false" customHeight="false" outlineLevel="0" collapsed="false">
      <c r="A82" s="11" t="n">
        <v>385</v>
      </c>
      <c r="B82" s="24" t="n">
        <v>19.8276077954592</v>
      </c>
      <c r="C82" s="24" t="n">
        <v>20.5744445536174</v>
      </c>
      <c r="D82" s="24" t="n">
        <v>21.2303335910332</v>
      </c>
      <c r="E82" s="24" t="n">
        <v>21.7781406988542</v>
      </c>
      <c r="F82" s="24" t="n">
        <v>22.2563280558849</v>
      </c>
      <c r="G82" s="24" t="n">
        <v>22.6843282892871</v>
      </c>
      <c r="H82" s="24" t="n">
        <v>23.0570095892722</v>
      </c>
      <c r="I82" s="24" t="n">
        <v>23.4195150022404</v>
      </c>
      <c r="J82" s="24" t="n">
        <v>23.7248316477895</v>
      </c>
      <c r="K82" s="24" t="n">
        <v>24.0406920927084</v>
      </c>
      <c r="L82" s="24" t="n">
        <v>24.349023291168</v>
      </c>
      <c r="M82" s="24" t="n">
        <v>24.605473528558</v>
      </c>
      <c r="N82" s="24" t="n">
        <v>24.8550335167845</v>
      </c>
      <c r="O82" s="24" t="n">
        <v>25.1160577525019</v>
      </c>
      <c r="P82" s="24" t="n">
        <v>25.350757516771</v>
      </c>
      <c r="Q82" s="24" t="n">
        <v>25.5776413453008</v>
      </c>
      <c r="R82" s="24" t="n">
        <v>25.7815183665581</v>
      </c>
      <c r="S82" s="24" t="n">
        <v>25.9821112355372</v>
      </c>
      <c r="T82" s="24" t="n">
        <v>26.1639079897429</v>
      </c>
      <c r="U82" s="24" t="n">
        <v>26.3440055400481</v>
      </c>
      <c r="V82" s="24" t="n">
        <v>26.5172242346231</v>
      </c>
      <c r="W82" s="24" t="n">
        <v>26.6991451068909</v>
      </c>
      <c r="X82" s="24" t="n">
        <v>26.8753976181288</v>
      </c>
      <c r="Y82" s="24" t="n">
        <v>27.0257307348615</v>
      </c>
      <c r="Z82" s="24" t="n">
        <v>27.182077616876</v>
      </c>
      <c r="AA82" s="24" t="n">
        <v>27.3297035312915</v>
      </c>
      <c r="AB82" s="24" t="n">
        <v>27.4928358386613</v>
      </c>
      <c r="AC82" s="24" t="n">
        <v>27.6364528369865</v>
      </c>
      <c r="AD82" s="24" t="n">
        <v>27.7861491091863</v>
      </c>
      <c r="AE82" s="24" t="n">
        <v>27.9190328810183</v>
      </c>
      <c r="AF82" s="24" t="n">
        <v>28.0529069606138</v>
      </c>
      <c r="AG82" s="24" t="n">
        <v>28.1927976152994</v>
      </c>
      <c r="AH82" s="24" t="n">
        <v>28.3392444029569</v>
      </c>
      <c r="AI82" s="24" t="n">
        <v>28.4604760234311</v>
      </c>
      <c r="AJ82" s="24" t="n">
        <v>28.5883372674776</v>
      </c>
      <c r="AK82" s="24" t="n">
        <v>28.7136844332195</v>
      </c>
      <c r="AL82" s="24" t="n">
        <v>28.8477854263446</v>
      </c>
      <c r="AM82" s="24" t="n">
        <v>28.9745296106467</v>
      </c>
      <c r="AN82" s="24" t="n">
        <v>29.090720513182</v>
      </c>
      <c r="AO82" s="24" t="n">
        <v>29.2088496010029</v>
      </c>
      <c r="AP82" s="24" t="n">
        <v>29.3081028608775</v>
      </c>
      <c r="AQ82" s="24" t="n">
        <v>29.4208412506218</v>
      </c>
      <c r="AR82" s="24" t="n">
        <v>29.5343784059525</v>
      </c>
      <c r="AS82" s="24" t="n">
        <v>29.6400499694642</v>
      </c>
      <c r="AT82" s="24" t="n">
        <v>29.7444369203254</v>
      </c>
      <c r="AU82" s="24" t="n">
        <v>29.8650027635546</v>
      </c>
      <c r="AV82" s="24" t="n">
        <v>29.965334366079</v>
      </c>
      <c r="AW82" s="24" t="n">
        <v>30.0681547440954</v>
      </c>
      <c r="AX82" s="24" t="n">
        <v>30.1667288073218</v>
      </c>
      <c r="AY82" s="24" t="n">
        <v>30.2561014274966</v>
      </c>
      <c r="AZ82" s="24" t="n">
        <v>30.3504841552623</v>
      </c>
      <c r="BA82" s="24" t="n">
        <v>30.4441594996039</v>
      </c>
      <c r="BB82" s="24" t="n">
        <v>30.5365616286684</v>
      </c>
      <c r="BC82" s="24" t="n">
        <v>30.6276229534986</v>
      </c>
      <c r="BD82" s="24" t="n">
        <v>30.7161683264363</v>
      </c>
      <c r="BE82" s="24" t="n">
        <v>30.7983300843194</v>
      </c>
      <c r="BF82" s="24" t="n">
        <v>30.8948323980865</v>
      </c>
      <c r="BG82" s="24" t="n">
        <v>30.9825734770964</v>
      </c>
      <c r="BH82" s="24" t="n">
        <v>31.0621760531273</v>
      </c>
      <c r="BI82" s="24" t="n">
        <v>31.1457880166981</v>
      </c>
      <c r="BJ82" s="24" t="n">
        <v>31.2328207420908</v>
      </c>
      <c r="BK82" s="24" t="n">
        <v>31.3124728517763</v>
      </c>
      <c r="BL82" s="24" t="n">
        <v>31.3897917810209</v>
      </c>
      <c r="BM82" s="24" t="n">
        <v>31.4753295770141</v>
      </c>
      <c r="BN82" s="24" t="n">
        <v>31.555905212568</v>
      </c>
      <c r="BO82" s="24" t="n">
        <v>31.6288691447751</v>
      </c>
      <c r="BP82" s="24" t="n">
        <v>31.7065251597413</v>
      </c>
      <c r="BQ82" s="24" t="n">
        <v>31.7928410342331</v>
      </c>
      <c r="BR82" s="24" t="n">
        <v>31.871819475523</v>
      </c>
      <c r="BS82" s="24" t="n">
        <v>31.9552010712192</v>
      </c>
      <c r="BT82" s="24" t="n">
        <v>32.0320154532327</v>
      </c>
      <c r="BU82" s="24" t="n">
        <v>32.1099651163528</v>
      </c>
      <c r="BV82" s="24" t="n">
        <v>32.1838907222536</v>
      </c>
      <c r="BW82" s="24" t="n">
        <v>32.2549572804801</v>
      </c>
      <c r="BX82" s="24" t="n">
        <v>32.3262733737033</v>
      </c>
      <c r="BY82" s="24" t="n">
        <v>32.3960949494827</v>
      </c>
      <c r="BZ82" s="24" t="n">
        <v>32.4776322031745</v>
      </c>
      <c r="CA82" s="24" t="n">
        <v>32.5496286545934</v>
      </c>
      <c r="CB82" s="24" t="n">
        <v>32.6176581193517</v>
      </c>
      <c r="CC82" s="24" t="n">
        <v>32.681349107841</v>
      </c>
      <c r="CD82" s="24" t="n">
        <v>32.7469412957158</v>
      </c>
      <c r="CE82" s="24" t="n">
        <v>32.8145166098167</v>
      </c>
      <c r="CF82" s="24" t="n">
        <v>32.8860155983709</v>
      </c>
      <c r="CG82" s="24" t="n">
        <v>32.952480504324</v>
      </c>
      <c r="CH82" s="24" t="n">
        <v>33.0196108881164</v>
      </c>
      <c r="CI82" s="24" t="n">
        <v>33.0919637597487</v>
      </c>
      <c r="CJ82" s="24" t="n">
        <v>33.1556771607427</v>
      </c>
      <c r="CK82" s="24" t="n">
        <v>33.2100045847729</v>
      </c>
      <c r="CL82" s="24" t="n">
        <v>33.2731833367013</v>
      </c>
      <c r="CM82" s="24" t="n">
        <v>33.3469699273662</v>
      </c>
      <c r="CN82" s="24" t="n">
        <v>33.4133598201463</v>
      </c>
      <c r="CO82" s="24" t="n">
        <v>33.4828145741893</v>
      </c>
      <c r="CP82" s="24" t="n">
        <v>33.5498876883457</v>
      </c>
      <c r="CQ82" s="24" t="n">
        <v>33.6167252348404</v>
      </c>
      <c r="CR82" s="24" t="n">
        <v>33.6818351707871</v>
      </c>
      <c r="CS82" s="24" t="n">
        <v>33.7063044341508</v>
      </c>
      <c r="CT82" s="24" t="n">
        <v>23.7272592467115</v>
      </c>
    </row>
    <row r="83" customFormat="false" ht="15" hidden="false" customHeight="false" outlineLevel="0" collapsed="false">
      <c r="A83" s="11" t="n">
        <v>390</v>
      </c>
      <c r="B83" s="24" t="n">
        <v>19.8276077954592</v>
      </c>
      <c r="C83" s="24" t="n">
        <v>20.5744445536174</v>
      </c>
      <c r="D83" s="24" t="n">
        <v>21.2303335910332</v>
      </c>
      <c r="E83" s="24" t="n">
        <v>21.7781406988542</v>
      </c>
      <c r="F83" s="24" t="n">
        <v>22.2563280558849</v>
      </c>
      <c r="G83" s="24" t="n">
        <v>22.6843282892871</v>
      </c>
      <c r="H83" s="24" t="n">
        <v>23.0570095892722</v>
      </c>
      <c r="I83" s="24" t="n">
        <v>23.4195150022404</v>
      </c>
      <c r="J83" s="24" t="n">
        <v>23.7256760968743</v>
      </c>
      <c r="K83" s="24" t="n">
        <v>24.0416674831452</v>
      </c>
      <c r="L83" s="24" t="n">
        <v>24.349023291168</v>
      </c>
      <c r="M83" s="24" t="n">
        <v>24.605473528558</v>
      </c>
      <c r="N83" s="24" t="n">
        <v>24.8550335167845</v>
      </c>
      <c r="O83" s="24" t="n">
        <v>25.1160577525019</v>
      </c>
      <c r="P83" s="24" t="n">
        <v>25.350757516771</v>
      </c>
      <c r="Q83" s="24" t="n">
        <v>25.5776413453008</v>
      </c>
      <c r="R83" s="24" t="n">
        <v>25.7815183665581</v>
      </c>
      <c r="S83" s="24" t="n">
        <v>25.9821112355372</v>
      </c>
      <c r="T83" s="24" t="n">
        <v>26.1639079897429</v>
      </c>
      <c r="U83" s="24" t="n">
        <v>26.3440055400481</v>
      </c>
      <c r="V83" s="24" t="n">
        <v>26.5172242346231</v>
      </c>
      <c r="W83" s="24" t="n">
        <v>26.6991451068909</v>
      </c>
      <c r="X83" s="24" t="n">
        <v>26.8753976181288</v>
      </c>
      <c r="Y83" s="24" t="n">
        <v>27.0257307348615</v>
      </c>
      <c r="Z83" s="24" t="n">
        <v>27.182077616876</v>
      </c>
      <c r="AA83" s="24" t="n">
        <v>27.3297035312915</v>
      </c>
      <c r="AB83" s="24" t="n">
        <v>27.4928358386613</v>
      </c>
      <c r="AC83" s="24" t="n">
        <v>27.6364528369865</v>
      </c>
      <c r="AD83" s="24" t="n">
        <v>27.7861491091863</v>
      </c>
      <c r="AE83" s="24" t="n">
        <v>27.9190328810183</v>
      </c>
      <c r="AF83" s="24" t="n">
        <v>28.0529069606138</v>
      </c>
      <c r="AG83" s="24" t="n">
        <v>28.1927976152994</v>
      </c>
      <c r="AH83" s="24" t="n">
        <v>28.3392444029569</v>
      </c>
      <c r="AI83" s="24" t="n">
        <v>28.4604760234311</v>
      </c>
      <c r="AJ83" s="24" t="n">
        <v>28.5883372674776</v>
      </c>
      <c r="AK83" s="24" t="n">
        <v>28.7136844332195</v>
      </c>
      <c r="AL83" s="24" t="n">
        <v>28.8477854263446</v>
      </c>
      <c r="AM83" s="24" t="n">
        <v>28.9745296106467</v>
      </c>
      <c r="AN83" s="24" t="n">
        <v>29.090720513182</v>
      </c>
      <c r="AO83" s="24" t="n">
        <v>29.2088496010029</v>
      </c>
      <c r="AP83" s="24" t="n">
        <v>29.3081028608775</v>
      </c>
      <c r="AQ83" s="24" t="n">
        <v>29.4208412506218</v>
      </c>
      <c r="AR83" s="24" t="n">
        <v>29.5343784059525</v>
      </c>
      <c r="AS83" s="24" t="n">
        <v>29.6400499694642</v>
      </c>
      <c r="AT83" s="24" t="n">
        <v>29.7444369203254</v>
      </c>
      <c r="AU83" s="24" t="n">
        <v>29.8650027635546</v>
      </c>
      <c r="AV83" s="24" t="n">
        <v>29.965334366079</v>
      </c>
      <c r="AW83" s="24" t="n">
        <v>30.0681547440954</v>
      </c>
      <c r="AX83" s="24" t="n">
        <v>30.1667288073218</v>
      </c>
      <c r="AY83" s="24" t="n">
        <v>30.2561014274966</v>
      </c>
      <c r="AZ83" s="24" t="n">
        <v>30.3504841552623</v>
      </c>
      <c r="BA83" s="24" t="n">
        <v>30.4441594996039</v>
      </c>
      <c r="BB83" s="24" t="n">
        <v>30.5365616286684</v>
      </c>
      <c r="BC83" s="24" t="n">
        <v>30.6276229534986</v>
      </c>
      <c r="BD83" s="24" t="n">
        <v>30.7161683264363</v>
      </c>
      <c r="BE83" s="24" t="n">
        <v>30.7983300843194</v>
      </c>
      <c r="BF83" s="24" t="n">
        <v>30.8948323980865</v>
      </c>
      <c r="BG83" s="24" t="n">
        <v>30.9825734770964</v>
      </c>
      <c r="BH83" s="24" t="n">
        <v>31.0621760531273</v>
      </c>
      <c r="BI83" s="24" t="n">
        <v>31.1457880166981</v>
      </c>
      <c r="BJ83" s="24" t="n">
        <v>31.2328207420908</v>
      </c>
      <c r="BK83" s="24" t="n">
        <v>31.3125307768294</v>
      </c>
      <c r="BL83" s="24" t="n">
        <v>31.3902626685649</v>
      </c>
      <c r="BM83" s="24" t="n">
        <v>31.4755374423221</v>
      </c>
      <c r="BN83" s="24" t="n">
        <v>31.5561507096403</v>
      </c>
      <c r="BO83" s="24" t="n">
        <v>31.6289609713285</v>
      </c>
      <c r="BP83" s="24" t="n">
        <v>31.7067825140566</v>
      </c>
      <c r="BQ83" s="24" t="n">
        <v>31.7929458944944</v>
      </c>
      <c r="BR83" s="24" t="n">
        <v>31.8721914410211</v>
      </c>
      <c r="BS83" s="24" t="n">
        <v>31.955717045581</v>
      </c>
      <c r="BT83" s="24" t="n">
        <v>32.0321198859166</v>
      </c>
      <c r="BU83" s="24" t="n">
        <v>32.1099651163528</v>
      </c>
      <c r="BV83" s="24" t="n">
        <v>32.1838907222536</v>
      </c>
      <c r="BW83" s="24" t="n">
        <v>32.2549572804801</v>
      </c>
      <c r="BX83" s="24" t="n">
        <v>32.3262733737033</v>
      </c>
      <c r="BY83" s="24" t="n">
        <v>32.3960949494827</v>
      </c>
      <c r="BZ83" s="24" t="n">
        <v>32.4776322031745</v>
      </c>
      <c r="CA83" s="24" t="n">
        <v>32.5496286545934</v>
      </c>
      <c r="CB83" s="24" t="n">
        <v>32.6176581193517</v>
      </c>
      <c r="CC83" s="24" t="n">
        <v>32.681349107841</v>
      </c>
      <c r="CD83" s="24" t="n">
        <v>32.7469412957158</v>
      </c>
      <c r="CE83" s="24" t="n">
        <v>32.8145166098167</v>
      </c>
      <c r="CF83" s="24" t="n">
        <v>32.8860155983709</v>
      </c>
      <c r="CG83" s="24" t="n">
        <v>32.952480504324</v>
      </c>
      <c r="CH83" s="24" t="n">
        <v>33.0196108881164</v>
      </c>
      <c r="CI83" s="24" t="n">
        <v>33.0919637597487</v>
      </c>
      <c r="CJ83" s="24" t="n">
        <v>33.1556771607427</v>
      </c>
      <c r="CK83" s="24" t="n">
        <v>33.2100045847729</v>
      </c>
      <c r="CL83" s="24" t="n">
        <v>33.2731833367013</v>
      </c>
      <c r="CM83" s="24" t="n">
        <v>33.3469699273662</v>
      </c>
      <c r="CN83" s="24" t="n">
        <v>33.4133598201463</v>
      </c>
      <c r="CO83" s="24" t="n">
        <v>33.4828145741893</v>
      </c>
      <c r="CP83" s="24" t="n">
        <v>33.5498876883457</v>
      </c>
      <c r="CQ83" s="24" t="n">
        <v>33.6167252348404</v>
      </c>
      <c r="CR83" s="24" t="n">
        <v>33.6818351707871</v>
      </c>
      <c r="CS83" s="24" t="n">
        <v>33.7063044341508</v>
      </c>
      <c r="CT83" s="24" t="n">
        <v>23.7324493205877</v>
      </c>
    </row>
    <row r="84" customFormat="false" ht="15" hidden="false" customHeight="false" outlineLevel="0" collapsed="false">
      <c r="A84" s="11" t="n">
        <v>395</v>
      </c>
      <c r="B84" s="24" t="n">
        <v>19.8276077954592</v>
      </c>
      <c r="C84" s="24" t="n">
        <v>20.5744445536174</v>
      </c>
      <c r="D84" s="24" t="n">
        <v>21.2303335910332</v>
      </c>
      <c r="E84" s="24" t="n">
        <v>21.7781406988542</v>
      </c>
      <c r="F84" s="24" t="n">
        <v>22.2563280558849</v>
      </c>
      <c r="G84" s="24" t="n">
        <v>22.6843282892871</v>
      </c>
      <c r="H84" s="24" t="n">
        <v>23.0570095892722</v>
      </c>
      <c r="I84" s="24" t="n">
        <v>23.4195150022404</v>
      </c>
      <c r="J84" s="24" t="n">
        <v>23.7256760968743</v>
      </c>
      <c r="K84" s="24" t="n">
        <v>24.0416674831452</v>
      </c>
      <c r="L84" s="24" t="n">
        <v>24.3492588230917</v>
      </c>
      <c r="M84" s="24" t="n">
        <v>24.6054780941084</v>
      </c>
      <c r="N84" s="24" t="n">
        <v>24.8560746277788</v>
      </c>
      <c r="O84" s="24" t="n">
        <v>25.1162425419647</v>
      </c>
      <c r="P84" s="24" t="n">
        <v>25.350757516771</v>
      </c>
      <c r="Q84" s="24" t="n">
        <v>25.5776413453008</v>
      </c>
      <c r="R84" s="24" t="n">
        <v>25.7815183665581</v>
      </c>
      <c r="S84" s="24" t="n">
        <v>25.9821112355372</v>
      </c>
      <c r="T84" s="24" t="n">
        <v>26.1639079897429</v>
      </c>
      <c r="U84" s="24" t="n">
        <v>26.3440055400481</v>
      </c>
      <c r="V84" s="24" t="n">
        <v>26.5172242346231</v>
      </c>
      <c r="W84" s="24" t="n">
        <v>26.6991451068909</v>
      </c>
      <c r="X84" s="24" t="n">
        <v>26.8753976181288</v>
      </c>
      <c r="Y84" s="24" t="n">
        <v>27.0257307348615</v>
      </c>
      <c r="Z84" s="24" t="n">
        <v>27.182077616876</v>
      </c>
      <c r="AA84" s="24" t="n">
        <v>27.3297035312915</v>
      </c>
      <c r="AB84" s="24" t="n">
        <v>27.4928358386613</v>
      </c>
      <c r="AC84" s="24" t="n">
        <v>27.6364528369865</v>
      </c>
      <c r="AD84" s="24" t="n">
        <v>27.7861491091863</v>
      </c>
      <c r="AE84" s="24" t="n">
        <v>27.9190328810183</v>
      </c>
      <c r="AF84" s="24" t="n">
        <v>28.0529069606138</v>
      </c>
      <c r="AG84" s="24" t="n">
        <v>28.1927976152994</v>
      </c>
      <c r="AH84" s="24" t="n">
        <v>28.3392444029569</v>
      </c>
      <c r="AI84" s="24" t="n">
        <v>28.4604760234311</v>
      </c>
      <c r="AJ84" s="24" t="n">
        <v>28.5883372674776</v>
      </c>
      <c r="AK84" s="24" t="n">
        <v>28.7136844332195</v>
      </c>
      <c r="AL84" s="24" t="n">
        <v>28.8477854263446</v>
      </c>
      <c r="AM84" s="24" t="n">
        <v>28.9745296106467</v>
      </c>
      <c r="AN84" s="24" t="n">
        <v>29.090720513182</v>
      </c>
      <c r="AO84" s="24" t="n">
        <v>29.2088496010029</v>
      </c>
      <c r="AP84" s="24" t="n">
        <v>29.3081028608775</v>
      </c>
      <c r="AQ84" s="24" t="n">
        <v>29.4208412506218</v>
      </c>
      <c r="AR84" s="24" t="n">
        <v>29.5343784059525</v>
      </c>
      <c r="AS84" s="24" t="n">
        <v>29.6400499694642</v>
      </c>
      <c r="AT84" s="24" t="n">
        <v>29.7444369203254</v>
      </c>
      <c r="AU84" s="24" t="n">
        <v>29.8650027635546</v>
      </c>
      <c r="AV84" s="24" t="n">
        <v>29.965334366079</v>
      </c>
      <c r="AW84" s="24" t="n">
        <v>30.0681547440954</v>
      </c>
      <c r="AX84" s="24" t="n">
        <v>30.1667288073218</v>
      </c>
      <c r="AY84" s="24" t="n">
        <v>30.2561014274966</v>
      </c>
      <c r="AZ84" s="24" t="n">
        <v>30.3504841552623</v>
      </c>
      <c r="BA84" s="24" t="n">
        <v>30.4441594996039</v>
      </c>
      <c r="BB84" s="24" t="n">
        <v>30.5365616286684</v>
      </c>
      <c r="BC84" s="24" t="n">
        <v>30.6276229534986</v>
      </c>
      <c r="BD84" s="24" t="n">
        <v>30.7161683264363</v>
      </c>
      <c r="BE84" s="24" t="n">
        <v>30.7983300843194</v>
      </c>
      <c r="BF84" s="24" t="n">
        <v>30.8948323980865</v>
      </c>
      <c r="BG84" s="24" t="n">
        <v>30.9825734770964</v>
      </c>
      <c r="BH84" s="24" t="n">
        <v>31.0621760531273</v>
      </c>
      <c r="BI84" s="24" t="n">
        <v>31.1457880166981</v>
      </c>
      <c r="BJ84" s="24" t="n">
        <v>31.2328207420908</v>
      </c>
      <c r="BK84" s="24" t="n">
        <v>31.3125307768294</v>
      </c>
      <c r="BL84" s="24" t="n">
        <v>31.3902626685649</v>
      </c>
      <c r="BM84" s="24" t="n">
        <v>31.4755374423221</v>
      </c>
      <c r="BN84" s="24" t="n">
        <v>31.5561507096403</v>
      </c>
      <c r="BO84" s="24" t="n">
        <v>31.6289609713285</v>
      </c>
      <c r="BP84" s="24" t="n">
        <v>31.7067825140566</v>
      </c>
      <c r="BQ84" s="24" t="n">
        <v>31.7929458944944</v>
      </c>
      <c r="BR84" s="24" t="n">
        <v>31.8721914410211</v>
      </c>
      <c r="BS84" s="24" t="n">
        <v>31.955717045581</v>
      </c>
      <c r="BT84" s="24" t="n">
        <v>32.0321198859166</v>
      </c>
      <c r="BU84" s="24" t="n">
        <v>32.1099863897953</v>
      </c>
      <c r="BV84" s="24" t="n">
        <v>32.1841841404377</v>
      </c>
      <c r="BW84" s="24" t="n">
        <v>32.2551410539527</v>
      </c>
      <c r="BX84" s="24" t="n">
        <v>32.3265086044604</v>
      </c>
      <c r="BY84" s="24" t="n">
        <v>32.3962689411043</v>
      </c>
      <c r="BZ84" s="24" t="n">
        <v>32.4776602073905</v>
      </c>
      <c r="CA84" s="24" t="n">
        <v>32.5499477076156</v>
      </c>
      <c r="CB84" s="24" t="n">
        <v>32.6177630040145</v>
      </c>
      <c r="CC84" s="24" t="n">
        <v>32.6819968214851</v>
      </c>
      <c r="CD84" s="24" t="n">
        <v>32.74703280009</v>
      </c>
      <c r="CE84" s="24" t="n">
        <v>32.8151020504923</v>
      </c>
      <c r="CF84" s="24" t="n">
        <v>32.8863769444485</v>
      </c>
      <c r="CG84" s="24" t="n">
        <v>32.952480504324</v>
      </c>
      <c r="CH84" s="24" t="n">
        <v>33.0196108881164</v>
      </c>
      <c r="CI84" s="24" t="n">
        <v>33.0919637597487</v>
      </c>
      <c r="CJ84" s="24" t="n">
        <v>33.1556771607427</v>
      </c>
      <c r="CK84" s="24" t="n">
        <v>33.2100045847729</v>
      </c>
      <c r="CL84" s="24" t="n">
        <v>33.2731833367013</v>
      </c>
      <c r="CM84" s="24" t="n">
        <v>33.3469699273662</v>
      </c>
      <c r="CN84" s="24" t="n">
        <v>33.4133598201463</v>
      </c>
      <c r="CO84" s="24" t="n">
        <v>33.4828145741893</v>
      </c>
      <c r="CP84" s="24" t="n">
        <v>33.5498876883457</v>
      </c>
      <c r="CQ84" s="24" t="n">
        <v>33.6167252348404</v>
      </c>
      <c r="CR84" s="24" t="n">
        <v>33.6818351707871</v>
      </c>
      <c r="CS84" s="24" t="n">
        <v>33.7063044341508</v>
      </c>
      <c r="CT84" s="24" t="n">
        <v>23.7324493205877</v>
      </c>
    </row>
    <row r="85" customFormat="false" ht="15" hidden="false" customHeight="false" outlineLevel="0" collapsed="false">
      <c r="A85" s="11" t="n">
        <v>400</v>
      </c>
      <c r="B85" s="24" t="n">
        <v>19.8276077954592</v>
      </c>
      <c r="C85" s="24" t="n">
        <v>20.5744445536174</v>
      </c>
      <c r="D85" s="24" t="n">
        <v>21.2303335910332</v>
      </c>
      <c r="E85" s="24" t="n">
        <v>21.7781406988542</v>
      </c>
      <c r="F85" s="24" t="n">
        <v>22.2563280558849</v>
      </c>
      <c r="G85" s="24" t="n">
        <v>22.6843282892871</v>
      </c>
      <c r="H85" s="24" t="n">
        <v>23.0570095892722</v>
      </c>
      <c r="I85" s="24" t="n">
        <v>23.4195150022404</v>
      </c>
      <c r="J85" s="24" t="n">
        <v>23.7256760968743</v>
      </c>
      <c r="K85" s="24" t="n">
        <v>24.0416674831452</v>
      </c>
      <c r="L85" s="24" t="n">
        <v>24.3492588230917</v>
      </c>
      <c r="M85" s="24" t="n">
        <v>24.6054780941084</v>
      </c>
      <c r="N85" s="24" t="n">
        <v>24.8560746277788</v>
      </c>
      <c r="O85" s="24" t="n">
        <v>25.1162425419647</v>
      </c>
      <c r="P85" s="24" t="n">
        <v>25.3514493839704</v>
      </c>
      <c r="Q85" s="24" t="n">
        <v>25.5785888689831</v>
      </c>
      <c r="R85" s="24" t="n">
        <v>25.7815691566557</v>
      </c>
      <c r="S85" s="24" t="n">
        <v>25.9824695644818</v>
      </c>
      <c r="T85" s="24" t="n">
        <v>26.1639079897429</v>
      </c>
      <c r="U85" s="24" t="n">
        <v>26.3440055400481</v>
      </c>
      <c r="V85" s="24" t="n">
        <v>26.5172242346231</v>
      </c>
      <c r="W85" s="24" t="n">
        <v>26.6991451068909</v>
      </c>
      <c r="X85" s="24" t="n">
        <v>26.8753976181288</v>
      </c>
      <c r="Y85" s="24" t="n">
        <v>27.0257307348615</v>
      </c>
      <c r="Z85" s="24" t="n">
        <v>27.182077616876</v>
      </c>
      <c r="AA85" s="24" t="n">
        <v>27.3297035312915</v>
      </c>
      <c r="AB85" s="24" t="n">
        <v>27.4928358386613</v>
      </c>
      <c r="AC85" s="24" t="n">
        <v>27.6364528369865</v>
      </c>
      <c r="AD85" s="24" t="n">
        <v>27.7861491091863</v>
      </c>
      <c r="AE85" s="24" t="n">
        <v>27.9190328810183</v>
      </c>
      <c r="AF85" s="24" t="n">
        <v>28.0529069606138</v>
      </c>
      <c r="AG85" s="24" t="n">
        <v>28.1927976152994</v>
      </c>
      <c r="AH85" s="24" t="n">
        <v>28.3392444029569</v>
      </c>
      <c r="AI85" s="24" t="n">
        <v>28.4604760234311</v>
      </c>
      <c r="AJ85" s="24" t="n">
        <v>28.5883372674776</v>
      </c>
      <c r="AK85" s="24" t="n">
        <v>28.7136844332195</v>
      </c>
      <c r="AL85" s="24" t="n">
        <v>28.8477854263446</v>
      </c>
      <c r="AM85" s="24" t="n">
        <v>28.9745296106467</v>
      </c>
      <c r="AN85" s="24" t="n">
        <v>29.090720513182</v>
      </c>
      <c r="AO85" s="24" t="n">
        <v>29.2088496010029</v>
      </c>
      <c r="AP85" s="24" t="n">
        <v>29.3081028608775</v>
      </c>
      <c r="AQ85" s="24" t="n">
        <v>29.4208412506218</v>
      </c>
      <c r="AR85" s="24" t="n">
        <v>29.5343784059525</v>
      </c>
      <c r="AS85" s="24" t="n">
        <v>29.6400499694642</v>
      </c>
      <c r="AT85" s="24" t="n">
        <v>29.7444369203254</v>
      </c>
      <c r="AU85" s="24" t="n">
        <v>29.8650027635546</v>
      </c>
      <c r="AV85" s="24" t="n">
        <v>29.965334366079</v>
      </c>
      <c r="AW85" s="24" t="n">
        <v>30.0681547440954</v>
      </c>
      <c r="AX85" s="24" t="n">
        <v>30.1667288073218</v>
      </c>
      <c r="AY85" s="24" t="n">
        <v>30.2561014274966</v>
      </c>
      <c r="AZ85" s="24" t="n">
        <v>30.3504841552623</v>
      </c>
      <c r="BA85" s="24" t="n">
        <v>30.4441594996039</v>
      </c>
      <c r="BB85" s="24" t="n">
        <v>30.5365616286684</v>
      </c>
      <c r="BC85" s="24" t="n">
        <v>30.6276229534986</v>
      </c>
      <c r="BD85" s="24" t="n">
        <v>30.7161683264363</v>
      </c>
      <c r="BE85" s="24" t="n">
        <v>30.7983300843194</v>
      </c>
      <c r="BF85" s="24" t="n">
        <v>30.8948323980865</v>
      </c>
      <c r="BG85" s="24" t="n">
        <v>30.9825734770964</v>
      </c>
      <c r="BH85" s="24" t="n">
        <v>31.0621760531273</v>
      </c>
      <c r="BI85" s="24" t="n">
        <v>31.1457880166981</v>
      </c>
      <c r="BJ85" s="24" t="n">
        <v>31.2328207420908</v>
      </c>
      <c r="BK85" s="24" t="n">
        <v>31.3125307768294</v>
      </c>
      <c r="BL85" s="24" t="n">
        <v>31.3902626685649</v>
      </c>
      <c r="BM85" s="24" t="n">
        <v>31.4755374423221</v>
      </c>
      <c r="BN85" s="24" t="n">
        <v>31.5561507096403</v>
      </c>
      <c r="BO85" s="24" t="n">
        <v>31.6289609713285</v>
      </c>
      <c r="BP85" s="24" t="n">
        <v>31.7067825140566</v>
      </c>
      <c r="BQ85" s="24" t="n">
        <v>31.7929458944944</v>
      </c>
      <c r="BR85" s="24" t="n">
        <v>31.8721914410211</v>
      </c>
      <c r="BS85" s="24" t="n">
        <v>31.955717045581</v>
      </c>
      <c r="BT85" s="24" t="n">
        <v>32.0321198859166</v>
      </c>
      <c r="BU85" s="24" t="n">
        <v>32.1099863897953</v>
      </c>
      <c r="BV85" s="24" t="n">
        <v>32.1841841404377</v>
      </c>
      <c r="BW85" s="24" t="n">
        <v>32.2551410539527</v>
      </c>
      <c r="BX85" s="24" t="n">
        <v>32.3265086044604</v>
      </c>
      <c r="BY85" s="24" t="n">
        <v>32.3962689411043</v>
      </c>
      <c r="BZ85" s="24" t="n">
        <v>32.4776602073905</v>
      </c>
      <c r="CA85" s="24" t="n">
        <v>32.5499477076156</v>
      </c>
      <c r="CB85" s="24" t="n">
        <v>32.6177630040145</v>
      </c>
      <c r="CC85" s="24" t="n">
        <v>32.6819968214851</v>
      </c>
      <c r="CD85" s="24" t="n">
        <v>32.74703280009</v>
      </c>
      <c r="CE85" s="24" t="n">
        <v>32.8151020504923</v>
      </c>
      <c r="CF85" s="24" t="n">
        <v>32.8863769444485</v>
      </c>
      <c r="CG85" s="24" t="n">
        <v>32.9529641725155</v>
      </c>
      <c r="CH85" s="24" t="n">
        <v>33.0196405922913</v>
      </c>
      <c r="CI85" s="24" t="n">
        <v>33.0924652504271</v>
      </c>
      <c r="CJ85" s="24" t="n">
        <v>33.1558469321492</v>
      </c>
      <c r="CK85" s="24" t="n">
        <v>33.2103130487948</v>
      </c>
      <c r="CL85" s="24" t="n">
        <v>33.273205944179</v>
      </c>
      <c r="CM85" s="24" t="n">
        <v>33.3470367648291</v>
      </c>
      <c r="CN85" s="24" t="n">
        <v>33.4139480827904</v>
      </c>
      <c r="CO85" s="24" t="n">
        <v>33.4829508675572</v>
      </c>
      <c r="CP85" s="24" t="n">
        <v>33.5501903766846</v>
      </c>
      <c r="CQ85" s="24" t="n">
        <v>33.6169552316404</v>
      </c>
      <c r="CR85" s="24" t="n">
        <v>33.6819443194651</v>
      </c>
      <c r="CS85" s="24" t="n">
        <v>33.7064801303092</v>
      </c>
      <c r="CT85" s="24" t="n">
        <v>23.7324493205877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T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98" min="2" style="0" width="9"/>
  </cols>
  <sheetData>
    <row r="1" customFormat="false" ht="15" hidden="false" customHeight="false" outlineLevel="0" collapsed="false">
      <c r="A1" s="1" t="s">
        <v>144</v>
      </c>
    </row>
    <row r="2" customFormat="false" ht="15" hidden="false" customHeight="false" outlineLevel="0" collapsed="false">
      <c r="A2" s="10" t="s">
        <v>145</v>
      </c>
    </row>
    <row r="4" customFormat="false" ht="15" hidden="false" customHeight="false" outlineLevel="0" collapsed="false">
      <c r="A4" s="8" t="s">
        <v>143</v>
      </c>
      <c r="B4" s="23" t="n">
        <f aca="false">Quantiles!B4</f>
        <v>0.01</v>
      </c>
      <c r="C4" s="23" t="n">
        <f aca="false">Quantiles!C4</f>
        <v>0.0125</v>
      </c>
      <c r="D4" s="23" t="n">
        <f aca="false">Quantiles!D4</f>
        <v>0.015</v>
      </c>
      <c r="E4" s="23" t="n">
        <f aca="false">Quantiles!E4</f>
        <v>0.0175</v>
      </c>
      <c r="F4" s="23" t="n">
        <f aca="false">Quantiles!F4</f>
        <v>0.02</v>
      </c>
      <c r="G4" s="23" t="n">
        <f aca="false">Quantiles!G4</f>
        <v>0.0225</v>
      </c>
      <c r="H4" s="23" t="n">
        <f aca="false">Quantiles!H4</f>
        <v>0.025</v>
      </c>
      <c r="I4" s="23" t="n">
        <f aca="false">Quantiles!I4</f>
        <v>0.0275</v>
      </c>
      <c r="J4" s="23" t="n">
        <f aca="false">Quantiles!J4</f>
        <v>0.03</v>
      </c>
      <c r="K4" s="23" t="n">
        <f aca="false">Quantiles!K4</f>
        <v>0.0325</v>
      </c>
      <c r="L4" s="23" t="n">
        <f aca="false">Quantiles!L4</f>
        <v>0.035</v>
      </c>
      <c r="M4" s="23" t="n">
        <f aca="false">Quantiles!M4</f>
        <v>0.0375</v>
      </c>
      <c r="N4" s="23" t="n">
        <f aca="false">Quantiles!N4</f>
        <v>0.04</v>
      </c>
      <c r="O4" s="23" t="n">
        <f aca="false">Quantiles!O4</f>
        <v>0.0425</v>
      </c>
      <c r="P4" s="23" t="n">
        <f aca="false">Quantiles!P4</f>
        <v>0.045</v>
      </c>
      <c r="Q4" s="23" t="n">
        <f aca="false">Quantiles!Q4</f>
        <v>0.0475</v>
      </c>
      <c r="R4" s="23" t="n">
        <f aca="false">Quantiles!R4</f>
        <v>0.05</v>
      </c>
      <c r="S4" s="23" t="n">
        <f aca="false">Quantiles!S4</f>
        <v>0.0525</v>
      </c>
      <c r="T4" s="23" t="n">
        <f aca="false">Quantiles!T4</f>
        <v>0.055</v>
      </c>
      <c r="U4" s="23" t="n">
        <f aca="false">Quantiles!U4</f>
        <v>0.0575</v>
      </c>
      <c r="V4" s="23" t="n">
        <f aca="false">Quantiles!V4</f>
        <v>0.06</v>
      </c>
      <c r="W4" s="23" t="n">
        <f aca="false">Quantiles!W4</f>
        <v>0.0625</v>
      </c>
      <c r="X4" s="23" t="n">
        <f aca="false">Quantiles!X4</f>
        <v>0.065</v>
      </c>
      <c r="Y4" s="23" t="n">
        <f aca="false">Quantiles!Y4</f>
        <v>0.0675</v>
      </c>
      <c r="Z4" s="23" t="n">
        <f aca="false">Quantiles!Z4</f>
        <v>0.07</v>
      </c>
      <c r="AA4" s="23" t="n">
        <f aca="false">Quantiles!AA4</f>
        <v>0.0725</v>
      </c>
      <c r="AB4" s="23" t="n">
        <f aca="false">Quantiles!AB4</f>
        <v>0.075</v>
      </c>
      <c r="AC4" s="23" t="n">
        <f aca="false">Quantiles!AC4</f>
        <v>0.0775</v>
      </c>
      <c r="AD4" s="23" t="n">
        <f aca="false">Quantiles!AD4</f>
        <v>0.08</v>
      </c>
      <c r="AE4" s="23" t="n">
        <f aca="false">Quantiles!AE4</f>
        <v>0.0825</v>
      </c>
      <c r="AF4" s="23" t="n">
        <f aca="false">Quantiles!AF4</f>
        <v>0.085</v>
      </c>
      <c r="AG4" s="23" t="n">
        <f aca="false">Quantiles!AG4</f>
        <v>0.0875</v>
      </c>
      <c r="AH4" s="23" t="n">
        <f aca="false">Quantiles!AH4</f>
        <v>0.09</v>
      </c>
      <c r="AI4" s="23" t="n">
        <f aca="false">Quantiles!AI4</f>
        <v>0.0925</v>
      </c>
      <c r="AJ4" s="23" t="n">
        <f aca="false">Quantiles!AJ4</f>
        <v>0.095</v>
      </c>
      <c r="AK4" s="23" t="n">
        <f aca="false">Quantiles!AK4</f>
        <v>0.0975</v>
      </c>
      <c r="AL4" s="23" t="n">
        <f aca="false">Quantiles!AL4</f>
        <v>0.1</v>
      </c>
      <c r="AM4" s="23" t="n">
        <f aca="false">Quantiles!AM4</f>
        <v>0.1025</v>
      </c>
      <c r="AN4" s="23" t="n">
        <f aca="false">Quantiles!AN4</f>
        <v>0.105</v>
      </c>
      <c r="AO4" s="23" t="n">
        <f aca="false">Quantiles!AO4</f>
        <v>0.1075</v>
      </c>
      <c r="AP4" s="23" t="n">
        <f aca="false">Quantiles!AP4</f>
        <v>0.11</v>
      </c>
      <c r="AQ4" s="23" t="n">
        <f aca="false">Quantiles!AQ4</f>
        <v>0.1125</v>
      </c>
      <c r="AR4" s="23" t="n">
        <f aca="false">Quantiles!AR4</f>
        <v>0.115</v>
      </c>
      <c r="AS4" s="23" t="n">
        <f aca="false">Quantiles!AS4</f>
        <v>0.1175</v>
      </c>
      <c r="AT4" s="23" t="n">
        <f aca="false">Quantiles!AT4</f>
        <v>0.12</v>
      </c>
      <c r="AU4" s="23" t="n">
        <f aca="false">Quantiles!AU4</f>
        <v>0.1225</v>
      </c>
      <c r="AV4" s="23" t="n">
        <f aca="false">Quantiles!AV4</f>
        <v>0.125</v>
      </c>
      <c r="AW4" s="23" t="n">
        <f aca="false">Quantiles!AW4</f>
        <v>0.1275</v>
      </c>
      <c r="AX4" s="23" t="n">
        <f aca="false">Quantiles!AX4</f>
        <v>0.13</v>
      </c>
      <c r="AY4" s="23" t="n">
        <f aca="false">Quantiles!AY4</f>
        <v>0.1325</v>
      </c>
      <c r="AZ4" s="23" t="n">
        <f aca="false">Quantiles!AZ4</f>
        <v>0.135</v>
      </c>
      <c r="BA4" s="23" t="n">
        <f aca="false">Quantiles!BA4</f>
        <v>0.1375</v>
      </c>
      <c r="BB4" s="23" t="n">
        <f aca="false">Quantiles!BB4</f>
        <v>0.14</v>
      </c>
      <c r="BC4" s="23" t="n">
        <f aca="false">Quantiles!BC4</f>
        <v>0.1425</v>
      </c>
      <c r="BD4" s="23" t="n">
        <f aca="false">Quantiles!BD4</f>
        <v>0.145</v>
      </c>
      <c r="BE4" s="23" t="n">
        <f aca="false">Quantiles!BE4</f>
        <v>0.1475</v>
      </c>
      <c r="BF4" s="23" t="n">
        <f aca="false">Quantiles!BF4</f>
        <v>0.15</v>
      </c>
      <c r="BG4" s="23" t="n">
        <f aca="false">Quantiles!BG4</f>
        <v>0.1525</v>
      </c>
      <c r="BH4" s="23" t="n">
        <f aca="false">Quantiles!BH4</f>
        <v>0.155</v>
      </c>
      <c r="BI4" s="23" t="n">
        <f aca="false">Quantiles!BI4</f>
        <v>0.1575</v>
      </c>
      <c r="BJ4" s="23" t="n">
        <f aca="false">Quantiles!BJ4</f>
        <v>0.16</v>
      </c>
      <c r="BK4" s="23" t="n">
        <f aca="false">Quantiles!BK4</f>
        <v>0.1625</v>
      </c>
      <c r="BL4" s="23" t="n">
        <f aca="false">Quantiles!BL4</f>
        <v>0.165</v>
      </c>
      <c r="BM4" s="23" t="n">
        <f aca="false">Quantiles!BM4</f>
        <v>0.1675</v>
      </c>
      <c r="BN4" s="23" t="n">
        <f aca="false">Quantiles!BN4</f>
        <v>0.17</v>
      </c>
      <c r="BO4" s="23" t="n">
        <f aca="false">Quantiles!BO4</f>
        <v>0.1725</v>
      </c>
      <c r="BP4" s="23" t="n">
        <f aca="false">Quantiles!BP4</f>
        <v>0.175</v>
      </c>
      <c r="BQ4" s="23" t="n">
        <f aca="false">Quantiles!BQ4</f>
        <v>0.1775</v>
      </c>
      <c r="BR4" s="23" t="n">
        <f aca="false">Quantiles!BR4</f>
        <v>0.18</v>
      </c>
      <c r="BS4" s="23" t="n">
        <f aca="false">Quantiles!BS4</f>
        <v>0.1825</v>
      </c>
      <c r="BT4" s="23" t="n">
        <f aca="false">Quantiles!BT4</f>
        <v>0.185</v>
      </c>
      <c r="BU4" s="23" t="n">
        <f aca="false">Quantiles!BU4</f>
        <v>0.1875</v>
      </c>
      <c r="BV4" s="23" t="n">
        <f aca="false">Quantiles!BV4</f>
        <v>0.19</v>
      </c>
      <c r="BW4" s="23" t="n">
        <f aca="false">Quantiles!BW4</f>
        <v>0.1925</v>
      </c>
      <c r="BX4" s="23" t="n">
        <f aca="false">Quantiles!BX4</f>
        <v>0.195</v>
      </c>
      <c r="BY4" s="23" t="n">
        <f aca="false">Quantiles!BY4</f>
        <v>0.1975</v>
      </c>
      <c r="BZ4" s="23" t="n">
        <f aca="false">Quantiles!BZ4</f>
        <v>0.2</v>
      </c>
      <c r="CA4" s="23" t="n">
        <f aca="false">Quantiles!CA4</f>
        <v>0.2025</v>
      </c>
      <c r="CB4" s="23" t="n">
        <f aca="false">Quantiles!CB4</f>
        <v>0.205</v>
      </c>
      <c r="CC4" s="23" t="n">
        <f aca="false">Quantiles!CC4</f>
        <v>0.2075</v>
      </c>
      <c r="CD4" s="23" t="n">
        <f aca="false">Quantiles!CD4</f>
        <v>0.21</v>
      </c>
      <c r="CE4" s="23" t="n">
        <f aca="false">Quantiles!CE4</f>
        <v>0.2125</v>
      </c>
      <c r="CF4" s="23" t="n">
        <f aca="false">Quantiles!CF4</f>
        <v>0.215</v>
      </c>
      <c r="CG4" s="23" t="n">
        <f aca="false">Quantiles!CG4</f>
        <v>0.2175</v>
      </c>
      <c r="CH4" s="23" t="n">
        <f aca="false">Quantiles!CH4</f>
        <v>0.22</v>
      </c>
      <c r="CI4" s="23" t="n">
        <f aca="false">Quantiles!CI4</f>
        <v>0.2225</v>
      </c>
      <c r="CJ4" s="23" t="n">
        <f aca="false">Quantiles!CJ4</f>
        <v>0.225</v>
      </c>
      <c r="CK4" s="23" t="n">
        <f aca="false">Quantiles!CK4</f>
        <v>0.2275</v>
      </c>
      <c r="CL4" s="23" t="n">
        <f aca="false">Quantiles!CL4</f>
        <v>0.23</v>
      </c>
      <c r="CM4" s="23" t="n">
        <f aca="false">Quantiles!CM4</f>
        <v>0.2325</v>
      </c>
      <c r="CN4" s="23" t="n">
        <f aca="false">Quantiles!CN4</f>
        <v>0.235</v>
      </c>
      <c r="CO4" s="23" t="n">
        <f aca="false">Quantiles!CO4</f>
        <v>0.2375</v>
      </c>
      <c r="CP4" s="23" t="n">
        <f aca="false">Quantiles!CP4</f>
        <v>0.24</v>
      </c>
      <c r="CQ4" s="23" t="n">
        <f aca="false">Quantiles!CQ4</f>
        <v>0.2425</v>
      </c>
      <c r="CR4" s="23" t="n">
        <f aca="false">Quantiles!CR4</f>
        <v>0.245</v>
      </c>
      <c r="CS4" s="23" t="n">
        <f aca="false">Quantiles!CS4</f>
        <v>0.246</v>
      </c>
      <c r="CT4" s="23" t="n">
        <f aca="false">Quantiles!CT4</f>
        <v>0.03003</v>
      </c>
    </row>
    <row r="5" customFormat="false" ht="15" hidden="false" customHeight="false" outlineLevel="0" collapsed="false">
      <c r="A5" s="25" t="n">
        <f aca="false">Quantiles!A5</f>
        <v>0</v>
      </c>
      <c r="B5" s="20" t="str">
        <f aca="false">IF(Quantiles!B5&lt;0,"",(Depth0-MIN(Depth0,Quantiles!B5))/Depth_per_q)</f>
        <v/>
      </c>
      <c r="C5" s="20" t="str">
        <f aca="false">IF(Quantiles!C5&lt;0,"",(Depth0-MIN(Depth0,Quantiles!C5))/Depth_per_q)</f>
        <v/>
      </c>
      <c r="D5" s="20" t="str">
        <f aca="false">IF(Quantiles!D5&lt;0,"",(Depth0-MIN(Depth0,Quantiles!D5))/Depth_per_q)</f>
        <v/>
      </c>
      <c r="E5" s="20" t="str">
        <f aca="false">IF(Quantiles!E5&lt;0,"",(Depth0-MIN(Depth0,Quantiles!E5))/Depth_per_q)</f>
        <v/>
      </c>
      <c r="F5" s="20" t="str">
        <f aca="false">IF(Quantiles!F5&lt;0,"",(Depth0-MIN(Depth0,Quantiles!F5))/Depth_per_q)</f>
        <v/>
      </c>
      <c r="G5" s="20" t="str">
        <f aca="false">IF(Quantiles!G5&lt;0,"",(Depth0-MIN(Depth0,Quantiles!G5))/Depth_per_q)</f>
        <v/>
      </c>
      <c r="H5" s="20" t="str">
        <f aca="false">IF(Quantiles!H5&lt;0,"",(Depth0-MIN(Depth0,Quantiles!H5))/Depth_per_q)</f>
        <v/>
      </c>
      <c r="I5" s="20" t="n">
        <f aca="false">IF(Quantiles!I5&lt;0,"",(Depth0-MIN(Depth0,Quantiles!I5))/Depth_per_q)</f>
        <v>6.89754756534476</v>
      </c>
      <c r="J5" s="20" t="n">
        <f aca="false">IF(Quantiles!J5&lt;0,"",(Depth0-MIN(Depth0,Quantiles!J5))/Depth_per_q)</f>
        <v>6.6187058509202</v>
      </c>
      <c r="K5" s="20" t="n">
        <f aca="false">IF(Quantiles!K5&lt;0,"",(Depth0-MIN(Depth0,Quantiles!K5))/Depth_per_q)</f>
        <v>6.38718917522061</v>
      </c>
      <c r="L5" s="20" t="n">
        <f aca="false">IF(Quantiles!L5&lt;0,"",(Depth0-MIN(Depth0,Quantiles!L5))/Depth_per_q)</f>
        <v>6.14652937412754</v>
      </c>
      <c r="M5" s="20" t="n">
        <f aca="false">IF(Quantiles!M5&lt;0,"",(Depth0-MIN(Depth0,Quantiles!M5))/Depth_per_q)</f>
        <v>5.92796663437077</v>
      </c>
      <c r="N5" s="20" t="n">
        <f aca="false">IF(Quantiles!N5&lt;0,"",(Depth0-MIN(Depth0,Quantiles!N5))/Depth_per_q)</f>
        <v>5.75189678502368</v>
      </c>
      <c r="O5" s="20" t="n">
        <f aca="false">IF(Quantiles!O5&lt;0,"",(Depth0-MIN(Depth0,Quantiles!O5))/Depth_per_q)</f>
        <v>5.56483673035916</v>
      </c>
      <c r="P5" s="20" t="n">
        <f aca="false">IF(Quantiles!P5&lt;0,"",(Depth0-MIN(Depth0,Quantiles!P5))/Depth_per_q)</f>
        <v>5.40369714413711</v>
      </c>
      <c r="Q5" s="20" t="n">
        <f aca="false">IF(Quantiles!Q5&lt;0,"",(Depth0-MIN(Depth0,Quantiles!Q5))/Depth_per_q)</f>
        <v>5.25675237010164</v>
      </c>
      <c r="R5" s="20" t="n">
        <f aca="false">IF(Quantiles!R5&lt;0,"",(Depth0-MIN(Depth0,Quantiles!R5))/Depth_per_q)</f>
        <v>5.09467317243577</v>
      </c>
      <c r="S5" s="20" t="n">
        <f aca="false">IF(Quantiles!S5&lt;0,"",(Depth0-MIN(Depth0,Quantiles!S5))/Depth_per_q)</f>
        <v>4.94184996584158</v>
      </c>
      <c r="T5" s="20" t="n">
        <f aca="false">IF(Quantiles!T5&lt;0,"",(Depth0-MIN(Depth0,Quantiles!T5))/Depth_per_q)</f>
        <v>4.79773014336272</v>
      </c>
      <c r="U5" s="20" t="n">
        <f aca="false">IF(Quantiles!U5&lt;0,"",(Depth0-MIN(Depth0,Quantiles!U5))/Depth_per_q)</f>
        <v>4.66424863947914</v>
      </c>
      <c r="V5" s="20" t="n">
        <f aca="false">IF(Quantiles!V5&lt;0,"",(Depth0-MIN(Depth0,Quantiles!V5))/Depth_per_q)</f>
        <v>4.52149240533713</v>
      </c>
      <c r="W5" s="20" t="n">
        <f aca="false">IF(Quantiles!W5&lt;0,"",(Depth0-MIN(Depth0,Quantiles!W5))/Depth_per_q)</f>
        <v>4.40250586463064</v>
      </c>
      <c r="X5" s="20" t="n">
        <f aca="false">IF(Quantiles!X5&lt;0,"",(Depth0-MIN(Depth0,Quantiles!X5))/Depth_per_q)</f>
        <v>4.28641928378105</v>
      </c>
      <c r="Y5" s="20" t="n">
        <f aca="false">IF(Quantiles!Y5&lt;0,"",(Depth0-MIN(Depth0,Quantiles!Y5))/Depth_per_q)</f>
        <v>4.17191119905363</v>
      </c>
      <c r="Z5" s="20" t="n">
        <f aca="false">IF(Quantiles!Z5&lt;0,"",(Depth0-MIN(Depth0,Quantiles!Z5))/Depth_per_q)</f>
        <v>4.05315049941903</v>
      </c>
      <c r="AA5" s="20" t="n">
        <f aca="false">IF(Quantiles!AA5&lt;0,"",(Depth0-MIN(Depth0,Quantiles!AA5))/Depth_per_q)</f>
        <v>3.94382819861159</v>
      </c>
      <c r="AB5" s="20" t="n">
        <f aca="false">IF(Quantiles!AB5&lt;0,"",(Depth0-MIN(Depth0,Quantiles!AB5))/Depth_per_q)</f>
        <v>3.84946913590562</v>
      </c>
      <c r="AC5" s="20" t="n">
        <f aca="false">IF(Quantiles!AC5&lt;0,"",(Depth0-MIN(Depth0,Quantiles!AC5))/Depth_per_q)</f>
        <v>3.74200575099265</v>
      </c>
      <c r="AD5" s="20" t="n">
        <f aca="false">IF(Quantiles!AD5&lt;0,"",(Depth0-MIN(Depth0,Quantiles!AD5))/Depth_per_q)</f>
        <v>3.63527952632421</v>
      </c>
      <c r="AE5" s="20" t="n">
        <f aca="false">IF(Quantiles!AE5&lt;0,"",(Depth0-MIN(Depth0,Quantiles!AE5))/Depth_per_q)</f>
        <v>3.53032099568174</v>
      </c>
      <c r="AF5" s="20" t="n">
        <f aca="false">IF(Quantiles!AF5&lt;0,"",(Depth0-MIN(Depth0,Quantiles!AF5))/Depth_per_q)</f>
        <v>3.43651455503422</v>
      </c>
      <c r="AG5" s="20" t="n">
        <f aca="false">IF(Quantiles!AG5&lt;0,"",(Depth0-MIN(Depth0,Quantiles!AG5))/Depth_per_q)</f>
        <v>3.3422936520186</v>
      </c>
      <c r="AH5" s="20" t="n">
        <f aca="false">IF(Quantiles!AH5&lt;0,"",(Depth0-MIN(Depth0,Quantiles!AH5))/Depth_per_q)</f>
        <v>3.23910290934085</v>
      </c>
      <c r="AI5" s="20" t="n">
        <f aca="false">IF(Quantiles!AI5&lt;0,"",(Depth0-MIN(Depth0,Quantiles!AI5))/Depth_per_q)</f>
        <v>3.16341329494805</v>
      </c>
      <c r="AJ5" s="20" t="n">
        <f aca="false">IF(Quantiles!AJ5&lt;0,"",(Depth0-MIN(Depth0,Quantiles!AJ5))/Depth_per_q)</f>
        <v>3.06550416125622</v>
      </c>
      <c r="AK5" s="20" t="n">
        <f aca="false">IF(Quantiles!AK5&lt;0,"",(Depth0-MIN(Depth0,Quantiles!AK5))/Depth_per_q)</f>
        <v>2.97966263859743</v>
      </c>
      <c r="AL5" s="20" t="n">
        <f aca="false">IF(Quantiles!AL5&lt;0,"",(Depth0-MIN(Depth0,Quantiles!AL5))/Depth_per_q)</f>
        <v>2.9009229705527</v>
      </c>
      <c r="AM5" s="20" t="n">
        <f aca="false">IF(Quantiles!AM5&lt;0,"",(Depth0-MIN(Depth0,Quantiles!AM5))/Depth_per_q)</f>
        <v>2.82477803620744</v>
      </c>
      <c r="AN5" s="20" t="n">
        <f aca="false">IF(Quantiles!AN5&lt;0,"",(Depth0-MIN(Depth0,Quantiles!AN5))/Depth_per_q)</f>
        <v>2.73938585502437</v>
      </c>
      <c r="AO5" s="20" t="n">
        <f aca="false">IF(Quantiles!AO5&lt;0,"",(Depth0-MIN(Depth0,Quantiles!AO5))/Depth_per_q)</f>
        <v>2.65870803953435</v>
      </c>
      <c r="AP5" s="20" t="n">
        <f aca="false">IF(Quantiles!AP5&lt;0,"",(Depth0-MIN(Depth0,Quantiles!AP5))/Depth_per_q)</f>
        <v>2.58634089613794</v>
      </c>
      <c r="AQ5" s="20" t="n">
        <f aca="false">IF(Quantiles!AQ5&lt;0,"",(Depth0-MIN(Depth0,Quantiles!AQ5))/Depth_per_q)</f>
        <v>2.509877702518</v>
      </c>
      <c r="AR5" s="20" t="n">
        <f aca="false">IF(Quantiles!AR5&lt;0,"",(Depth0-MIN(Depth0,Quantiles!AR5))/Depth_per_q)</f>
        <v>2.43365966902309</v>
      </c>
      <c r="AS5" s="20" t="n">
        <f aca="false">IF(Quantiles!AS5&lt;0,"",(Depth0-MIN(Depth0,Quantiles!AS5))/Depth_per_q)</f>
        <v>2.36040509742849</v>
      </c>
      <c r="AT5" s="20" t="n">
        <f aca="false">IF(Quantiles!AT5&lt;0,"",(Depth0-MIN(Depth0,Quantiles!AT5))/Depth_per_q)</f>
        <v>2.28602082007218</v>
      </c>
      <c r="AU5" s="20" t="n">
        <f aca="false">IF(Quantiles!AU5&lt;0,"",(Depth0-MIN(Depth0,Quantiles!AU5))/Depth_per_q)</f>
        <v>2.20953252157225</v>
      </c>
      <c r="AV5" s="20" t="n">
        <f aca="false">IF(Quantiles!AV5&lt;0,"",(Depth0-MIN(Depth0,Quantiles!AV5))/Depth_per_q)</f>
        <v>2.14193660218941</v>
      </c>
      <c r="AW5" s="20" t="n">
        <f aca="false">IF(Quantiles!AW5&lt;0,"",(Depth0-MIN(Depth0,Quantiles!AW5))/Depth_per_q)</f>
        <v>2.08004882682776</v>
      </c>
      <c r="AX5" s="20" t="n">
        <f aca="false">IF(Quantiles!AX5&lt;0,"",(Depth0-MIN(Depth0,Quantiles!AX5))/Depth_per_q)</f>
        <v>2.01688661239363</v>
      </c>
      <c r="AY5" s="20" t="n">
        <f aca="false">IF(Quantiles!AY5&lt;0,"",(Depth0-MIN(Depth0,Quantiles!AY5))/Depth_per_q)</f>
        <v>1.94756895377165</v>
      </c>
      <c r="AZ5" s="20" t="n">
        <f aca="false">IF(Quantiles!AZ5&lt;0,"",(Depth0-MIN(Depth0,Quantiles!AZ5))/Depth_per_q)</f>
        <v>1.88906965831587</v>
      </c>
      <c r="BA5" s="20" t="n">
        <f aca="false">IF(Quantiles!BA5&lt;0,"",(Depth0-MIN(Depth0,Quantiles!BA5))/Depth_per_q)</f>
        <v>1.83477791746806</v>
      </c>
      <c r="BB5" s="20" t="n">
        <f aca="false">IF(Quantiles!BB5&lt;0,"",(Depth0-MIN(Depth0,Quantiles!BB5))/Depth_per_q)</f>
        <v>1.77543376827027</v>
      </c>
      <c r="BC5" s="20" t="n">
        <f aca="false">IF(Quantiles!BC5&lt;0,"",(Depth0-MIN(Depth0,Quantiles!BC5))/Depth_per_q)</f>
        <v>1.71608882326737</v>
      </c>
      <c r="BD5" s="20" t="n">
        <f aca="false">IF(Quantiles!BD5&lt;0,"",(Depth0-MIN(Depth0,Quantiles!BD5))/Depth_per_q)</f>
        <v>1.65149266151397</v>
      </c>
      <c r="BE5" s="20" t="n">
        <f aca="false">IF(Quantiles!BE5&lt;0,"",(Depth0-MIN(Depth0,Quantiles!BE5))/Depth_per_q)</f>
        <v>1.59502853981667</v>
      </c>
      <c r="BF5" s="20" t="n">
        <f aca="false">IF(Quantiles!BF5&lt;0,"",(Depth0-MIN(Depth0,Quantiles!BF5))/Depth_per_q)</f>
        <v>1.53937514168155</v>
      </c>
      <c r="BG5" s="20" t="n">
        <f aca="false">IF(Quantiles!BG5&lt;0,"",(Depth0-MIN(Depth0,Quantiles!BG5))/Depth_per_q)</f>
        <v>1.48736483916434</v>
      </c>
      <c r="BH5" s="20" t="n">
        <f aca="false">IF(Quantiles!BH5&lt;0,"",(Depth0-MIN(Depth0,Quantiles!BH5))/Depth_per_q)</f>
        <v>1.43509928396161</v>
      </c>
      <c r="BI5" s="20" t="n">
        <f aca="false">IF(Quantiles!BI5&lt;0,"",(Depth0-MIN(Depth0,Quantiles!BI5))/Depth_per_q)</f>
        <v>1.38309709548786</v>
      </c>
      <c r="BJ5" s="20" t="n">
        <f aca="false">IF(Quantiles!BJ5&lt;0,"",(Depth0-MIN(Depth0,Quantiles!BJ5))/Depth_per_q)</f>
        <v>1.33482482453987</v>
      </c>
      <c r="BK5" s="20" t="n">
        <f aca="false">IF(Quantiles!BK5&lt;0,"",(Depth0-MIN(Depth0,Quantiles!BK5))/Depth_per_q)</f>
        <v>1.28485092419161</v>
      </c>
      <c r="BL5" s="20" t="n">
        <f aca="false">IF(Quantiles!BL5&lt;0,"",(Depth0-MIN(Depth0,Quantiles!BL5))/Depth_per_q)</f>
        <v>1.23920194864518</v>
      </c>
      <c r="BM5" s="20" t="n">
        <f aca="false">IF(Quantiles!BM5&lt;0,"",(Depth0-MIN(Depth0,Quantiles!BM5))/Depth_per_q)</f>
        <v>1.18789678532705</v>
      </c>
      <c r="BN5" s="20" t="n">
        <f aca="false">IF(Quantiles!BN5&lt;0,"",(Depth0-MIN(Depth0,Quantiles!BN5))/Depth_per_q)</f>
        <v>1.13516118729527</v>
      </c>
      <c r="BO5" s="20" t="n">
        <f aca="false">IF(Quantiles!BO5&lt;0,"",(Depth0-MIN(Depth0,Quantiles!BO5))/Depth_per_q)</f>
        <v>1.0894947683814</v>
      </c>
      <c r="BP5" s="20" t="n">
        <f aca="false">IF(Quantiles!BP5&lt;0,"",(Depth0-MIN(Depth0,Quantiles!BP5))/Depth_per_q)</f>
        <v>1.04574266407558</v>
      </c>
      <c r="BQ5" s="20" t="n">
        <f aca="false">IF(Quantiles!BQ5&lt;0,"",(Depth0-MIN(Depth0,Quantiles!BQ5))/Depth_per_q)</f>
        <v>0.99565249411398</v>
      </c>
      <c r="BR5" s="20" t="n">
        <f aca="false">IF(Quantiles!BR5&lt;0,"",(Depth0-MIN(Depth0,Quantiles!BR5))/Depth_per_q)</f>
        <v>0.951694931979572</v>
      </c>
      <c r="BS5" s="20" t="n">
        <f aca="false">IF(Quantiles!BS5&lt;0,"",(Depth0-MIN(Depth0,Quantiles!BS5))/Depth_per_q)</f>
        <v>0.907318740253237</v>
      </c>
      <c r="BT5" s="20" t="n">
        <f aca="false">IF(Quantiles!BT5&lt;0,"",(Depth0-MIN(Depth0,Quantiles!BT5))/Depth_per_q)</f>
        <v>0.868147277304365</v>
      </c>
      <c r="BU5" s="20" t="n">
        <f aca="false">IF(Quantiles!BU5&lt;0,"",(Depth0-MIN(Depth0,Quantiles!BU5))/Depth_per_q)</f>
        <v>0.825532758497182</v>
      </c>
      <c r="BV5" s="20" t="n">
        <f aca="false">IF(Quantiles!BV5&lt;0,"",(Depth0-MIN(Depth0,Quantiles!BV5))/Depth_per_q)</f>
        <v>0.781653890584138</v>
      </c>
      <c r="BW5" s="20" t="n">
        <f aca="false">IF(Quantiles!BW5&lt;0,"",(Depth0-MIN(Depth0,Quantiles!BW5))/Depth_per_q)</f>
        <v>0.7378417675813</v>
      </c>
      <c r="BX5" s="20" t="n">
        <f aca="false">IF(Quantiles!BX5&lt;0,"",(Depth0-MIN(Depth0,Quantiles!BX5))/Depth_per_q)</f>
        <v>0.69847720378265</v>
      </c>
      <c r="BY5" s="20" t="n">
        <f aca="false">IF(Quantiles!BY5&lt;0,"",(Depth0-MIN(Depth0,Quantiles!BY5))/Depth_per_q)</f>
        <v>0.66070231954096</v>
      </c>
      <c r="BZ5" s="20" t="n">
        <f aca="false">IF(Quantiles!BZ5&lt;0,"",(Depth0-MIN(Depth0,Quantiles!BZ5))/Depth_per_q)</f>
        <v>0.62125773482718</v>
      </c>
      <c r="CA5" s="20" t="n">
        <f aca="false">IF(Quantiles!CA5&lt;0,"",(Depth0-MIN(Depth0,Quantiles!CA5))/Depth_per_q)</f>
        <v>0.582228471840048</v>
      </c>
      <c r="CB5" s="20" t="n">
        <f aca="false">IF(Quantiles!CB5&lt;0,"",(Depth0-MIN(Depth0,Quantiles!CB5))/Depth_per_q)</f>
        <v>0.545414968319292</v>
      </c>
      <c r="CC5" s="20" t="n">
        <f aca="false">IF(Quantiles!CC5&lt;0,"",(Depth0-MIN(Depth0,Quantiles!CC5))/Depth_per_q)</f>
        <v>0.50968448381272</v>
      </c>
      <c r="CD5" s="20" t="n">
        <f aca="false">IF(Quantiles!CD5&lt;0,"",(Depth0-MIN(Depth0,Quantiles!CD5))/Depth_per_q)</f>
        <v>0.47193520320852</v>
      </c>
      <c r="CE5" s="20" t="n">
        <f aca="false">IF(Quantiles!CE5&lt;0,"",(Depth0-MIN(Depth0,Quantiles!CE5))/Depth_per_q)</f>
        <v>0.435897474257827</v>
      </c>
      <c r="CF5" s="20" t="n">
        <f aca="false">IF(Quantiles!CF5&lt;0,"",(Depth0-MIN(Depth0,Quantiles!CF5))/Depth_per_q)</f>
        <v>0.40237246221049</v>
      </c>
      <c r="CG5" s="20" t="n">
        <f aca="false">IF(Quantiles!CG5&lt;0,"",(Depth0-MIN(Depth0,Quantiles!CG5))/Depth_per_q)</f>
        <v>0.367669704957187</v>
      </c>
      <c r="CH5" s="20" t="n">
        <f aca="false">IF(Quantiles!CH5&lt;0,"",(Depth0-MIN(Depth0,Quantiles!CH5))/Depth_per_q)</f>
        <v>0.334396138206415</v>
      </c>
      <c r="CI5" s="20" t="n">
        <f aca="false">IF(Quantiles!CI5&lt;0,"",(Depth0-MIN(Depth0,Quantiles!CI5))/Depth_per_q)</f>
        <v>0.299164172029758</v>
      </c>
      <c r="CJ5" s="20" t="n">
        <f aca="false">IF(Quantiles!CJ5&lt;0,"",(Depth0-MIN(Depth0,Quantiles!CJ5))/Depth_per_q)</f>
        <v>0.265966438152205</v>
      </c>
      <c r="CK5" s="20" t="n">
        <f aca="false">IF(Quantiles!CK5&lt;0,"",(Depth0-MIN(Depth0,Quantiles!CK5))/Depth_per_q)</f>
        <v>0.233927111111607</v>
      </c>
      <c r="CL5" s="20" t="n">
        <f aca="false">IF(Quantiles!CL5&lt;0,"",(Depth0-MIN(Depth0,Quantiles!CL5))/Depth_per_q)</f>
        <v>0.20062462205067</v>
      </c>
      <c r="CM5" s="20" t="n">
        <f aca="false">IF(Quantiles!CM5&lt;0,"",(Depth0-MIN(Depth0,Quantiles!CM5))/Depth_per_q)</f>
        <v>0.168593495298827</v>
      </c>
      <c r="CN5" s="20" t="n">
        <f aca="false">IF(Quantiles!CN5&lt;0,"",(Depth0-MIN(Depth0,Quantiles!CN5))/Depth_per_q)</f>
        <v>0.135546358718387</v>
      </c>
      <c r="CO5" s="20" t="n">
        <f aca="false">IF(Quantiles!CO5&lt;0,"",(Depth0-MIN(Depth0,Quantiles!CO5))/Depth_per_q)</f>
        <v>0.105358948015297</v>
      </c>
      <c r="CP5" s="20" t="n">
        <f aca="false">IF(Quantiles!CP5&lt;0,"",(Depth0-MIN(Depth0,Quantiles!CP5))/Depth_per_q)</f>
        <v>0.0734664043349946</v>
      </c>
      <c r="CQ5" s="20" t="n">
        <f aca="false">IF(Quantiles!CQ5&lt;0,"",(Depth0-MIN(Depth0,Quantiles!CQ5))/Depth_per_q)</f>
        <v>0.0418519149459522</v>
      </c>
      <c r="CR5" s="20" t="n">
        <f aca="false">IF(Quantiles!CR5&lt;0,"",(Depth0-MIN(Depth0,Quantiles!CR5))/Depth_per_q)</f>
        <v>0.0144552945699772</v>
      </c>
      <c r="CS5" s="20" t="n">
        <f aca="false">IF(Quantiles!CS5&lt;0,"",(Depth0-MIN(Depth0,Quantiles!CS5))/Depth_per_q)</f>
        <v>0.00248521587411243</v>
      </c>
      <c r="CT5" s="20" t="n">
        <f aca="false">IF(Quantiles!CT5&lt;0,"",(Depth0-MIN(Depth0,Quantiles!CT5))/Depth_per_q)</f>
        <v>6.61313935091143</v>
      </c>
    </row>
    <row r="6" customFormat="false" ht="15" hidden="false" customHeight="false" outlineLevel="0" collapsed="false">
      <c r="A6" s="25" t="n">
        <f aca="false">Quantiles!A6</f>
        <v>5</v>
      </c>
      <c r="B6" s="20" t="str">
        <f aca="false">IF(Quantiles!B6&lt;0,"",(Depth0-MIN(Depth0,Quantiles!B6))/Depth_per_q)</f>
        <v/>
      </c>
      <c r="C6" s="20" t="str">
        <f aca="false">IF(Quantiles!C6&lt;0,"",(Depth0-MIN(Depth0,Quantiles!C6))/Depth_per_q)</f>
        <v/>
      </c>
      <c r="D6" s="20" t="str">
        <f aca="false">IF(Quantiles!D6&lt;0,"",(Depth0-MIN(Depth0,Quantiles!D6))/Depth_per_q)</f>
        <v/>
      </c>
      <c r="E6" s="20" t="str">
        <f aca="false">IF(Quantiles!E6&lt;0,"",(Depth0-MIN(Depth0,Quantiles!E6))/Depth_per_q)</f>
        <v/>
      </c>
      <c r="F6" s="20" t="str">
        <f aca="false">IF(Quantiles!F6&lt;0,"",(Depth0-MIN(Depth0,Quantiles!F6))/Depth_per_q)</f>
        <v/>
      </c>
      <c r="G6" s="20" t="str">
        <f aca="false">IF(Quantiles!G6&lt;0,"",(Depth0-MIN(Depth0,Quantiles!G6))/Depth_per_q)</f>
        <v/>
      </c>
      <c r="H6" s="20" t="n">
        <f aca="false">IF(Quantiles!H6&lt;0,"",(Depth0-MIN(Depth0,Quantiles!H6))/Depth_per_q)</f>
        <v>6.84187914516106</v>
      </c>
      <c r="I6" s="20" t="n">
        <f aca="false">IF(Quantiles!I6&lt;0,"",(Depth0-MIN(Depth0,Quantiles!I6))/Depth_per_q)</f>
        <v>6.5820992489697</v>
      </c>
      <c r="J6" s="20" t="n">
        <f aca="false">IF(Quantiles!J6&lt;0,"",(Depth0-MIN(Depth0,Quantiles!J6))/Depth_per_q)</f>
        <v>6.32959766547625</v>
      </c>
      <c r="K6" s="20" t="n">
        <f aca="false">IF(Quantiles!K6&lt;0,"",(Depth0-MIN(Depth0,Quantiles!K6))/Depth_per_q)</f>
        <v>6.09264386628583</v>
      </c>
      <c r="L6" s="20" t="n">
        <f aca="false">IF(Quantiles!L6&lt;0,"",(Depth0-MIN(Depth0,Quantiles!L6))/Depth_per_q)</f>
        <v>5.86412297477528</v>
      </c>
      <c r="M6" s="20" t="n">
        <f aca="false">IF(Quantiles!M6&lt;0,"",(Depth0-MIN(Depth0,Quantiles!M6))/Depth_per_q)</f>
        <v>5.65107347800256</v>
      </c>
      <c r="N6" s="20" t="n">
        <f aca="false">IF(Quantiles!N6&lt;0,"",(Depth0-MIN(Depth0,Quantiles!N6))/Depth_per_q)</f>
        <v>5.47809500257496</v>
      </c>
      <c r="O6" s="20" t="n">
        <f aca="false">IF(Quantiles!O6&lt;0,"",(Depth0-MIN(Depth0,Quantiles!O6))/Depth_per_q)</f>
        <v>5.30598285463644</v>
      </c>
      <c r="P6" s="20" t="n">
        <f aca="false">IF(Quantiles!P6&lt;0,"",(Depth0-MIN(Depth0,Quantiles!P6))/Depth_per_q)</f>
        <v>5.14326798774939</v>
      </c>
      <c r="Q6" s="20" t="n">
        <f aca="false">IF(Quantiles!Q6&lt;0,"",(Depth0-MIN(Depth0,Quantiles!Q6))/Depth_per_q)</f>
        <v>4.99372027182312</v>
      </c>
      <c r="R6" s="20" t="n">
        <f aca="false">IF(Quantiles!R6&lt;0,"",(Depth0-MIN(Depth0,Quantiles!R6))/Depth_per_q)</f>
        <v>4.83066949279383</v>
      </c>
      <c r="S6" s="20" t="n">
        <f aca="false">IF(Quantiles!S6&lt;0,"",(Depth0-MIN(Depth0,Quantiles!S6))/Depth_per_q)</f>
        <v>4.67831673707905</v>
      </c>
      <c r="T6" s="20" t="n">
        <f aca="false">IF(Quantiles!T6&lt;0,"",(Depth0-MIN(Depth0,Quantiles!T6))/Depth_per_q)</f>
        <v>4.54416894174458</v>
      </c>
      <c r="U6" s="20" t="n">
        <f aca="false">IF(Quantiles!U6&lt;0,"",(Depth0-MIN(Depth0,Quantiles!U6))/Depth_per_q)</f>
        <v>4.42125934461482</v>
      </c>
      <c r="V6" s="20" t="n">
        <f aca="false">IF(Quantiles!V6&lt;0,"",(Depth0-MIN(Depth0,Quantiles!V6))/Depth_per_q)</f>
        <v>4.28539724611661</v>
      </c>
      <c r="W6" s="20" t="n">
        <f aca="false">IF(Quantiles!W6&lt;0,"",(Depth0-MIN(Depth0,Quantiles!W6))/Depth_per_q)</f>
        <v>4.16238325821339</v>
      </c>
      <c r="X6" s="20" t="n">
        <f aca="false">IF(Quantiles!X6&lt;0,"",(Depth0-MIN(Depth0,Quantiles!X6))/Depth_per_q)</f>
        <v>4.04486563800768</v>
      </c>
      <c r="Y6" s="20" t="n">
        <f aca="false">IF(Quantiles!Y6&lt;0,"",(Depth0-MIN(Depth0,Quantiles!Y6))/Depth_per_q)</f>
        <v>3.92748385761333</v>
      </c>
      <c r="Z6" s="20" t="n">
        <f aca="false">IF(Quantiles!Z6&lt;0,"",(Depth0-MIN(Depth0,Quantiles!Z6))/Depth_per_q)</f>
        <v>3.8163188004532</v>
      </c>
      <c r="AA6" s="20" t="n">
        <f aca="false">IF(Quantiles!AA6&lt;0,"",(Depth0-MIN(Depth0,Quantiles!AA6))/Depth_per_q)</f>
        <v>3.71004581032931</v>
      </c>
      <c r="AB6" s="20" t="n">
        <f aca="false">IF(Quantiles!AB6&lt;0,"",(Depth0-MIN(Depth0,Quantiles!AB6))/Depth_per_q)</f>
        <v>3.61642195675815</v>
      </c>
      <c r="AC6" s="20" t="n">
        <f aca="false">IF(Quantiles!AC6&lt;0,"",(Depth0-MIN(Depth0,Quantiles!AC6))/Depth_per_q)</f>
        <v>3.51537325037915</v>
      </c>
      <c r="AD6" s="20" t="n">
        <f aca="false">IF(Quantiles!AD6&lt;0,"",(Depth0-MIN(Depth0,Quantiles!AD6))/Depth_per_q)</f>
        <v>3.41097590223776</v>
      </c>
      <c r="AE6" s="20" t="n">
        <f aca="false">IF(Quantiles!AE6&lt;0,"",(Depth0-MIN(Depth0,Quantiles!AE6))/Depth_per_q)</f>
        <v>3.30664406289025</v>
      </c>
      <c r="AF6" s="20" t="n">
        <f aca="false">IF(Quantiles!AF6&lt;0,"",(Depth0-MIN(Depth0,Quantiles!AF6))/Depth_per_q)</f>
        <v>3.21248449154099</v>
      </c>
      <c r="AG6" s="20" t="n">
        <f aca="false">IF(Quantiles!AG6&lt;0,"",(Depth0-MIN(Depth0,Quantiles!AG6))/Depth_per_q)</f>
        <v>3.1235516937516</v>
      </c>
      <c r="AH6" s="20" t="n">
        <f aca="false">IF(Quantiles!AH6&lt;0,"",(Depth0-MIN(Depth0,Quantiles!AH6))/Depth_per_q)</f>
        <v>3.0307255129278</v>
      </c>
      <c r="AI6" s="20" t="n">
        <f aca="false">IF(Quantiles!AI6&lt;0,"",(Depth0-MIN(Depth0,Quantiles!AI6))/Depth_per_q)</f>
        <v>2.95351515115779</v>
      </c>
      <c r="AJ6" s="20" t="n">
        <f aca="false">IF(Quantiles!AJ6&lt;0,"",(Depth0-MIN(Depth0,Quantiles!AJ6))/Depth_per_q)</f>
        <v>2.86603553192552</v>
      </c>
      <c r="AK6" s="20" t="n">
        <f aca="false">IF(Quantiles!AK6&lt;0,"",(Depth0-MIN(Depth0,Quantiles!AK6))/Depth_per_q)</f>
        <v>2.7786703804728</v>
      </c>
      <c r="AL6" s="20" t="n">
        <f aca="false">IF(Quantiles!AL6&lt;0,"",(Depth0-MIN(Depth0,Quantiles!AL6))/Depth_per_q)</f>
        <v>2.70046969950503</v>
      </c>
      <c r="AM6" s="20" t="n">
        <f aca="false">IF(Quantiles!AM6&lt;0,"",(Depth0-MIN(Depth0,Quantiles!AM6))/Depth_per_q)</f>
        <v>2.62393013662289</v>
      </c>
      <c r="AN6" s="20" t="n">
        <f aca="false">IF(Quantiles!AN6&lt;0,"",(Depth0-MIN(Depth0,Quantiles!AN6))/Depth_per_q)</f>
        <v>2.54604484016819</v>
      </c>
      <c r="AO6" s="20" t="n">
        <f aca="false">IF(Quantiles!AO6&lt;0,"",(Depth0-MIN(Depth0,Quantiles!AO6))/Depth_per_q)</f>
        <v>2.4715712054809</v>
      </c>
      <c r="AP6" s="20" t="n">
        <f aca="false">IF(Quantiles!AP6&lt;0,"",(Depth0-MIN(Depth0,Quantiles!AP6))/Depth_per_q)</f>
        <v>2.4003518601658</v>
      </c>
      <c r="AQ6" s="20" t="n">
        <f aca="false">IF(Quantiles!AQ6&lt;0,"",(Depth0-MIN(Depth0,Quantiles!AQ6))/Depth_per_q)</f>
        <v>2.32728549588928</v>
      </c>
      <c r="AR6" s="20" t="n">
        <f aca="false">IF(Quantiles!AR6&lt;0,"",(Depth0-MIN(Depth0,Quantiles!AR6))/Depth_per_q)</f>
        <v>2.24737169036478</v>
      </c>
      <c r="AS6" s="20" t="n">
        <f aca="false">IF(Quantiles!AS6&lt;0,"",(Depth0-MIN(Depth0,Quantiles!AS6))/Depth_per_q)</f>
        <v>2.17498750009882</v>
      </c>
      <c r="AT6" s="20" t="n">
        <f aca="false">IF(Quantiles!AT6&lt;0,"",(Depth0-MIN(Depth0,Quantiles!AT6))/Depth_per_q)</f>
        <v>2.10856770798977</v>
      </c>
      <c r="AU6" s="20" t="n">
        <f aca="false">IF(Quantiles!AU6&lt;0,"",(Depth0-MIN(Depth0,Quantiles!AU6))/Depth_per_q)</f>
        <v>2.03697985523556</v>
      </c>
      <c r="AV6" s="20" t="n">
        <f aca="false">IF(Quantiles!AV6&lt;0,"",(Depth0-MIN(Depth0,Quantiles!AV6))/Depth_per_q)</f>
        <v>1.96495211946429</v>
      </c>
      <c r="AW6" s="20" t="n">
        <f aca="false">IF(Quantiles!AW6&lt;0,"",(Depth0-MIN(Depth0,Quantiles!AW6))/Depth_per_q)</f>
        <v>1.90974047403628</v>
      </c>
      <c r="AX6" s="20" t="n">
        <f aca="false">IF(Quantiles!AX6&lt;0,"",(Depth0-MIN(Depth0,Quantiles!AX6))/Depth_per_q)</f>
        <v>1.85412483701085</v>
      </c>
      <c r="AY6" s="20" t="n">
        <f aca="false">IF(Quantiles!AY6&lt;0,"",(Depth0-MIN(Depth0,Quantiles!AY6))/Depth_per_q)</f>
        <v>1.79221169708013</v>
      </c>
      <c r="AZ6" s="20" t="n">
        <f aca="false">IF(Quantiles!AZ6&lt;0,"",(Depth0-MIN(Depth0,Quantiles!AZ6))/Depth_per_q)</f>
        <v>1.72805650265464</v>
      </c>
      <c r="BA6" s="20" t="n">
        <f aca="false">IF(Quantiles!BA6&lt;0,"",(Depth0-MIN(Depth0,Quantiles!BA6))/Depth_per_q)</f>
        <v>1.66955274014992</v>
      </c>
      <c r="BB6" s="20" t="n">
        <f aca="false">IF(Quantiles!BB6&lt;0,"",(Depth0-MIN(Depth0,Quantiles!BB6))/Depth_per_q)</f>
        <v>1.6168619118323</v>
      </c>
      <c r="BC6" s="20" t="n">
        <f aca="false">IF(Quantiles!BC6&lt;0,"",(Depth0-MIN(Depth0,Quantiles!BC6))/Depth_per_q)</f>
        <v>1.56349876127718</v>
      </c>
      <c r="BD6" s="20" t="n">
        <f aca="false">IF(Quantiles!BD6&lt;0,"",(Depth0-MIN(Depth0,Quantiles!BD6))/Depth_per_q)</f>
        <v>1.51067102898056</v>
      </c>
      <c r="BE6" s="20" t="n">
        <f aca="false">IF(Quantiles!BE6&lt;0,"",(Depth0-MIN(Depth0,Quantiles!BE6))/Depth_per_q)</f>
        <v>1.44669893889064</v>
      </c>
      <c r="BF6" s="20" t="n">
        <f aca="false">IF(Quantiles!BF6&lt;0,"",(Depth0-MIN(Depth0,Quantiles!BF6))/Depth_per_q)</f>
        <v>1.39518957214637</v>
      </c>
      <c r="BG6" s="20" t="n">
        <f aca="false">IF(Quantiles!BG6&lt;0,"",(Depth0-MIN(Depth0,Quantiles!BG6))/Depth_per_q)</f>
        <v>1.34314202382702</v>
      </c>
      <c r="BH6" s="20" t="n">
        <f aca="false">IF(Quantiles!BH6&lt;0,"",(Depth0-MIN(Depth0,Quantiles!BH6))/Depth_per_q)</f>
        <v>1.29415306522905</v>
      </c>
      <c r="BI6" s="20" t="n">
        <f aca="false">IF(Quantiles!BI6&lt;0,"",(Depth0-MIN(Depth0,Quantiles!BI6))/Depth_per_q)</f>
        <v>1.24880961126906</v>
      </c>
      <c r="BJ6" s="20" t="n">
        <f aca="false">IF(Quantiles!BJ6&lt;0,"",(Depth0-MIN(Depth0,Quantiles!BJ6))/Depth_per_q)</f>
        <v>1.20407271742098</v>
      </c>
      <c r="BK6" s="20" t="n">
        <f aca="false">IF(Quantiles!BK6&lt;0,"",(Depth0-MIN(Depth0,Quantiles!BK6))/Depth_per_q)</f>
        <v>1.15645502006663</v>
      </c>
      <c r="BL6" s="20" t="n">
        <f aca="false">IF(Quantiles!BL6&lt;0,"",(Depth0-MIN(Depth0,Quantiles!BL6))/Depth_per_q)</f>
        <v>1.11096681475415</v>
      </c>
      <c r="BM6" s="20" t="n">
        <f aca="false">IF(Quantiles!BM6&lt;0,"",(Depth0-MIN(Depth0,Quantiles!BM6))/Depth_per_q)</f>
        <v>1.06520441648412</v>
      </c>
      <c r="BN6" s="20" t="n">
        <f aca="false">IF(Quantiles!BN6&lt;0,"",(Depth0-MIN(Depth0,Quantiles!BN6))/Depth_per_q)</f>
        <v>1.0190378405998</v>
      </c>
      <c r="BO6" s="20" t="n">
        <f aca="false">IF(Quantiles!BO6&lt;0,"",(Depth0-MIN(Depth0,Quantiles!BO6))/Depth_per_q)</f>
        <v>0.970648517054695</v>
      </c>
      <c r="BP6" s="20" t="n">
        <f aca="false">IF(Quantiles!BP6&lt;0,"",(Depth0-MIN(Depth0,Quantiles!BP6))/Depth_per_q)</f>
        <v>0.924824942254145</v>
      </c>
      <c r="BQ6" s="20" t="n">
        <f aca="false">IF(Quantiles!BQ6&lt;0,"",(Depth0-MIN(Depth0,Quantiles!BQ6))/Depth_per_q)</f>
        <v>0.883104834331813</v>
      </c>
      <c r="BR6" s="20" t="n">
        <f aca="false">IF(Quantiles!BR6&lt;0,"",(Depth0-MIN(Depth0,Quantiles!BR6))/Depth_per_q)</f>
        <v>0.840152129292653</v>
      </c>
      <c r="BS6" s="20" t="n">
        <f aca="false">IF(Quantiles!BS6&lt;0,"",(Depth0-MIN(Depth0,Quantiles!BS6))/Depth_per_q)</f>
        <v>0.802959457453333</v>
      </c>
      <c r="BT6" s="20" t="n">
        <f aca="false">IF(Quantiles!BT6&lt;0,"",(Depth0-MIN(Depth0,Quantiles!BT6))/Depth_per_q)</f>
        <v>0.756473984283202</v>
      </c>
      <c r="BU6" s="20" t="n">
        <f aca="false">IF(Quantiles!BU6&lt;0,"",(Depth0-MIN(Depth0,Quantiles!BU6))/Depth_per_q)</f>
        <v>0.712994845022125</v>
      </c>
      <c r="BV6" s="20" t="n">
        <f aca="false">IF(Quantiles!BV6&lt;0,"",(Depth0-MIN(Depth0,Quantiles!BV6))/Depth_per_q)</f>
        <v>0.673920817209565</v>
      </c>
      <c r="BW6" s="20" t="n">
        <f aca="false">IF(Quantiles!BW6&lt;0,"",(Depth0-MIN(Depth0,Quantiles!BW6))/Depth_per_q)</f>
        <v>0.63414130366915</v>
      </c>
      <c r="BX6" s="20" t="n">
        <f aca="false">IF(Quantiles!BX6&lt;0,"",(Depth0-MIN(Depth0,Quantiles!BX6))/Depth_per_q)</f>
        <v>0.596513402357435</v>
      </c>
      <c r="BY6" s="20" t="n">
        <f aca="false">IF(Quantiles!BY6&lt;0,"",(Depth0-MIN(Depth0,Quantiles!BY6))/Depth_per_q)</f>
        <v>0.556707600095328</v>
      </c>
      <c r="BZ6" s="20" t="n">
        <f aca="false">IF(Quantiles!BZ6&lt;0,"",(Depth0-MIN(Depth0,Quantiles!BZ6))/Depth_per_q)</f>
        <v>0.521376173137045</v>
      </c>
      <c r="CA6" s="20" t="n">
        <f aca="false">IF(Quantiles!CA6&lt;0,"",(Depth0-MIN(Depth0,Quantiles!CA6))/Depth_per_q)</f>
        <v>0.487156991079393</v>
      </c>
      <c r="CB6" s="20" t="n">
        <f aca="false">IF(Quantiles!CB6&lt;0,"",(Depth0-MIN(Depth0,Quantiles!CB6))/Depth_per_q)</f>
        <v>0.453196398831845</v>
      </c>
      <c r="CC6" s="20" t="n">
        <f aca="false">IF(Quantiles!CC6&lt;0,"",(Depth0-MIN(Depth0,Quantiles!CC6))/Depth_per_q)</f>
        <v>0.419022406035542</v>
      </c>
      <c r="CD6" s="20" t="n">
        <f aca="false">IF(Quantiles!CD6&lt;0,"",(Depth0-MIN(Depth0,Quantiles!CD6))/Depth_per_q)</f>
        <v>0.383585372184735</v>
      </c>
      <c r="CE6" s="20" t="n">
        <f aca="false">IF(Quantiles!CE6&lt;0,"",(Depth0-MIN(Depth0,Quantiles!CE6))/Depth_per_q)</f>
        <v>0.348998666712933</v>
      </c>
      <c r="CF6" s="20" t="n">
        <f aca="false">IF(Quantiles!CF6&lt;0,"",(Depth0-MIN(Depth0,Quantiles!CF6))/Depth_per_q)</f>
        <v>0.3156861401184</v>
      </c>
      <c r="CG6" s="20" t="n">
        <f aca="false">IF(Quantiles!CG6&lt;0,"",(Depth0-MIN(Depth0,Quantiles!CG6))/Depth_per_q)</f>
        <v>0.280494359437418</v>
      </c>
      <c r="CH6" s="20" t="n">
        <f aca="false">IF(Quantiles!CH6&lt;0,"",(Depth0-MIN(Depth0,Quantiles!CH6))/Depth_per_q)</f>
        <v>0.248357183426718</v>
      </c>
      <c r="CI6" s="20" t="n">
        <f aca="false">IF(Quantiles!CI6&lt;0,"",(Depth0-MIN(Depth0,Quantiles!CI6))/Depth_per_q)</f>
        <v>0.217086185933025</v>
      </c>
      <c r="CJ6" s="20" t="n">
        <f aca="false">IF(Quantiles!CJ6&lt;0,"",(Depth0-MIN(Depth0,Quantiles!CJ6))/Depth_per_q)</f>
        <v>0.187925983203233</v>
      </c>
      <c r="CK6" s="20" t="n">
        <f aca="false">IF(Quantiles!CK6&lt;0,"",(Depth0-MIN(Depth0,Quantiles!CK6))/Depth_per_q)</f>
        <v>0.156316869929435</v>
      </c>
      <c r="CL6" s="20" t="n">
        <f aca="false">IF(Quantiles!CL6&lt;0,"",(Depth0-MIN(Depth0,Quantiles!CL6))/Depth_per_q)</f>
        <v>0.126386052080187</v>
      </c>
      <c r="CM6" s="20" t="n">
        <f aca="false">IF(Quantiles!CM6&lt;0,"",(Depth0-MIN(Depth0,Quantiles!CM6))/Depth_per_q)</f>
        <v>0.0952946525377953</v>
      </c>
      <c r="CN6" s="20" t="n">
        <f aca="false">IF(Quantiles!CN6&lt;0,"",(Depth0-MIN(Depth0,Quantiles!CN6))/Depth_per_q)</f>
        <v>0.06270998741961</v>
      </c>
      <c r="CO6" s="20" t="n">
        <f aca="false">IF(Quantiles!CO6&lt;0,"",(Depth0-MIN(Depth0,Quantiles!CO6))/Depth_per_q)</f>
        <v>0.0328607688530704</v>
      </c>
      <c r="CP6" s="20" t="n">
        <f aca="false">IF(Quantiles!CP6&lt;0,"",(Depth0-MIN(Depth0,Quantiles!CP6))/Depth_per_q)</f>
        <v>0.00271152852709022</v>
      </c>
      <c r="CQ6" s="20" t="n">
        <f aca="false">IF(Quantiles!CQ6&lt;0,"",(Depth0-MIN(Depth0,Quantiles!CQ6))/Depth_per_q)</f>
        <v>0</v>
      </c>
      <c r="CR6" s="20" t="n">
        <f aca="false">IF(Quantiles!CR6&lt;0,"",(Depth0-MIN(Depth0,Quantiles!CR6))/Depth_per_q)</f>
        <v>0</v>
      </c>
      <c r="CS6" s="20" t="n">
        <f aca="false">IF(Quantiles!CS6&lt;0,"",(Depth0-MIN(Depth0,Quantiles!CS6))/Depth_per_q)</f>
        <v>0</v>
      </c>
      <c r="CT6" s="20" t="n">
        <f aca="false">IF(Quantiles!CT6&lt;0,"",(Depth0-MIN(Depth0,Quantiles!CT6))/Depth_per_q)</f>
        <v>6.32659737939265</v>
      </c>
    </row>
    <row r="7" customFormat="false" ht="15" hidden="false" customHeight="false" outlineLevel="0" collapsed="false">
      <c r="A7" s="25" t="n">
        <f aca="false">Quantiles!A7</f>
        <v>10</v>
      </c>
      <c r="B7" s="20" t="str">
        <f aca="false">IF(Quantiles!B7&lt;0,"",(Depth0-MIN(Depth0,Quantiles!B7))/Depth_per_q)</f>
        <v/>
      </c>
      <c r="C7" s="20" t="str">
        <f aca="false">IF(Quantiles!C7&lt;0,"",(Depth0-MIN(Depth0,Quantiles!C7))/Depth_per_q)</f>
        <v/>
      </c>
      <c r="D7" s="20" t="str">
        <f aca="false">IF(Quantiles!D7&lt;0,"",(Depth0-MIN(Depth0,Quantiles!D7))/Depth_per_q)</f>
        <v/>
      </c>
      <c r="E7" s="20" t="str">
        <f aca="false">IF(Quantiles!E7&lt;0,"",(Depth0-MIN(Depth0,Quantiles!E7))/Depth_per_q)</f>
        <v/>
      </c>
      <c r="F7" s="20" t="str">
        <f aca="false">IF(Quantiles!F7&lt;0,"",(Depth0-MIN(Depth0,Quantiles!F7))/Depth_per_q)</f>
        <v/>
      </c>
      <c r="G7" s="20" t="n">
        <f aca="false">IF(Quantiles!G7&lt;0,"",(Depth0-MIN(Depth0,Quantiles!G7))/Depth_per_q)</f>
        <v>6.79799573115365</v>
      </c>
      <c r="H7" s="20" t="n">
        <f aca="false">IF(Quantiles!H7&lt;0,"",(Depth0-MIN(Depth0,Quantiles!H7))/Depth_per_q)</f>
        <v>6.53425278168025</v>
      </c>
      <c r="I7" s="20" t="n">
        <f aca="false">IF(Quantiles!I7&lt;0,"",(Depth0-MIN(Depth0,Quantiles!I7))/Depth_per_q)</f>
        <v>6.28666096673958</v>
      </c>
      <c r="J7" s="20" t="n">
        <f aca="false">IF(Quantiles!J7&lt;0,"",(Depth0-MIN(Depth0,Quantiles!J7))/Depth_per_q)</f>
        <v>6.04552527551337</v>
      </c>
      <c r="K7" s="20" t="n">
        <f aca="false">IF(Quantiles!K7&lt;0,"",(Depth0-MIN(Depth0,Quantiles!K7))/Depth_per_q)</f>
        <v>5.80515344969137</v>
      </c>
      <c r="L7" s="20" t="n">
        <f aca="false">IF(Quantiles!L7&lt;0,"",(Depth0-MIN(Depth0,Quantiles!L7))/Depth_per_q)</f>
        <v>5.57799450425724</v>
      </c>
      <c r="M7" s="20" t="n">
        <f aca="false">IF(Quantiles!M7&lt;0,"",(Depth0-MIN(Depth0,Quantiles!M7))/Depth_per_q)</f>
        <v>5.38524570590808</v>
      </c>
      <c r="N7" s="20" t="n">
        <f aca="false">IF(Quantiles!N7&lt;0,"",(Depth0-MIN(Depth0,Quantiles!N7))/Depth_per_q)</f>
        <v>5.20062376266627</v>
      </c>
      <c r="O7" s="20" t="n">
        <f aca="false">IF(Quantiles!O7&lt;0,"",(Depth0-MIN(Depth0,Quantiles!O7))/Depth_per_q)</f>
        <v>5.03979185420801</v>
      </c>
      <c r="P7" s="20" t="n">
        <f aca="false">IF(Quantiles!P7&lt;0,"",(Depth0-MIN(Depth0,Quantiles!P7))/Depth_per_q)</f>
        <v>4.87723158672087</v>
      </c>
      <c r="Q7" s="20" t="n">
        <f aca="false">IF(Quantiles!Q7&lt;0,"",(Depth0-MIN(Depth0,Quantiles!Q7))/Depth_per_q)</f>
        <v>4.73178584083193</v>
      </c>
      <c r="R7" s="20" t="n">
        <f aca="false">IF(Quantiles!R7&lt;0,"",(Depth0-MIN(Depth0,Quantiles!R7))/Depth_per_q)</f>
        <v>4.57980904048769</v>
      </c>
      <c r="S7" s="20" t="n">
        <f aca="false">IF(Quantiles!S7&lt;0,"",(Depth0-MIN(Depth0,Quantiles!S7))/Depth_per_q)</f>
        <v>4.42881805796282</v>
      </c>
      <c r="T7" s="20" t="n">
        <f aca="false">IF(Quantiles!T7&lt;0,"",(Depth0-MIN(Depth0,Quantiles!T7))/Depth_per_q)</f>
        <v>4.29673952040592</v>
      </c>
      <c r="U7" s="20" t="n">
        <f aca="false">IF(Quantiles!U7&lt;0,"",(Depth0-MIN(Depth0,Quantiles!U7))/Depth_per_q)</f>
        <v>4.16769523327339</v>
      </c>
      <c r="V7" s="20" t="n">
        <f aca="false">IF(Quantiles!V7&lt;0,"",(Depth0-MIN(Depth0,Quantiles!V7))/Depth_per_q)</f>
        <v>4.04719708357979</v>
      </c>
      <c r="W7" s="20" t="n">
        <f aca="false">IF(Quantiles!W7&lt;0,"",(Depth0-MIN(Depth0,Quantiles!W7))/Depth_per_q)</f>
        <v>3.92185230933715</v>
      </c>
      <c r="X7" s="20" t="n">
        <f aca="false">IF(Quantiles!X7&lt;0,"",(Depth0-MIN(Depth0,Quantiles!X7))/Depth_per_q)</f>
        <v>3.80868404038912</v>
      </c>
      <c r="Y7" s="20" t="n">
        <f aca="false">IF(Quantiles!Y7&lt;0,"",(Depth0-MIN(Depth0,Quantiles!Y7))/Depth_per_q)</f>
        <v>3.68832068111826</v>
      </c>
      <c r="Z7" s="20" t="n">
        <f aca="false">IF(Quantiles!Z7&lt;0,"",(Depth0-MIN(Depth0,Quantiles!Z7))/Depth_per_q)</f>
        <v>3.57720835824598</v>
      </c>
      <c r="AA7" s="20" t="n">
        <f aca="false">IF(Quantiles!AA7&lt;0,"",(Depth0-MIN(Depth0,Quantiles!AA7))/Depth_per_q)</f>
        <v>3.48125900722749</v>
      </c>
      <c r="AB7" s="20" t="n">
        <f aca="false">IF(Quantiles!AB7&lt;0,"",(Depth0-MIN(Depth0,Quantiles!AB7))/Depth_per_q)</f>
        <v>3.38385840780963</v>
      </c>
      <c r="AC7" s="20" t="n">
        <f aca="false">IF(Quantiles!AC7&lt;0,"",(Depth0-MIN(Depth0,Quantiles!AC7))/Depth_per_q)</f>
        <v>3.29005329460397</v>
      </c>
      <c r="AD7" s="20" t="n">
        <f aca="false">IF(Quantiles!AD7&lt;0,"",(Depth0-MIN(Depth0,Quantiles!AD7))/Depth_per_q)</f>
        <v>3.18786677223318</v>
      </c>
      <c r="AE7" s="20" t="n">
        <f aca="false">IF(Quantiles!AE7&lt;0,"",(Depth0-MIN(Depth0,Quantiles!AE7))/Depth_per_q)</f>
        <v>3.09428919255522</v>
      </c>
      <c r="AF7" s="20" t="n">
        <f aca="false">IF(Quantiles!AF7&lt;0,"",(Depth0-MIN(Depth0,Quantiles!AF7))/Depth_per_q)</f>
        <v>3.00435682281659</v>
      </c>
      <c r="AG7" s="20" t="n">
        <f aca="false">IF(Quantiles!AG7&lt;0,"",(Depth0-MIN(Depth0,Quantiles!AG7))/Depth_per_q)</f>
        <v>2.91722141332242</v>
      </c>
      <c r="AH7" s="20" t="n">
        <f aca="false">IF(Quantiles!AH7&lt;0,"",(Depth0-MIN(Depth0,Quantiles!AH7))/Depth_per_q)</f>
        <v>2.82518483652012</v>
      </c>
      <c r="AI7" s="20" t="n">
        <f aca="false">IF(Quantiles!AI7&lt;0,"",(Depth0-MIN(Depth0,Quantiles!AI7))/Depth_per_q)</f>
        <v>2.74922536581806</v>
      </c>
      <c r="AJ7" s="20" t="n">
        <f aca="false">IF(Quantiles!AJ7&lt;0,"",(Depth0-MIN(Depth0,Quantiles!AJ7))/Depth_per_q)</f>
        <v>2.66136065043731</v>
      </c>
      <c r="AK7" s="20" t="n">
        <f aca="false">IF(Quantiles!AK7&lt;0,"",(Depth0-MIN(Depth0,Quantiles!AK7))/Depth_per_q)</f>
        <v>2.57889086424007</v>
      </c>
      <c r="AL7" s="20" t="n">
        <f aca="false">IF(Quantiles!AL7&lt;0,"",(Depth0-MIN(Depth0,Quantiles!AL7))/Depth_per_q)</f>
        <v>2.50709393899047</v>
      </c>
      <c r="AM7" s="20" t="n">
        <f aca="false">IF(Quantiles!AM7&lt;0,"",(Depth0-MIN(Depth0,Quantiles!AM7))/Depth_per_q)</f>
        <v>2.43933593601136</v>
      </c>
      <c r="AN7" s="20" t="n">
        <f aca="false">IF(Quantiles!AN7&lt;0,"",(Depth0-MIN(Depth0,Quantiles!AN7))/Depth_per_q)</f>
        <v>2.3552244003526</v>
      </c>
      <c r="AO7" s="20" t="n">
        <f aca="false">IF(Quantiles!AO7&lt;0,"",(Depth0-MIN(Depth0,Quantiles!AO7))/Depth_per_q)</f>
        <v>2.28294455527207</v>
      </c>
      <c r="AP7" s="20" t="n">
        <f aca="false">IF(Quantiles!AP7&lt;0,"",(Depth0-MIN(Depth0,Quantiles!AP7))/Depth_per_q)</f>
        <v>2.21304724363583</v>
      </c>
      <c r="AQ7" s="20" t="n">
        <f aca="false">IF(Quantiles!AQ7&lt;0,"",(Depth0-MIN(Depth0,Quantiles!AQ7))/Depth_per_q)</f>
        <v>2.14162314312292</v>
      </c>
      <c r="AR7" s="20" t="n">
        <f aca="false">IF(Quantiles!AR7&lt;0,"",(Depth0-MIN(Depth0,Quantiles!AR7))/Depth_per_q)</f>
        <v>2.06898602889947</v>
      </c>
      <c r="AS7" s="20" t="n">
        <f aca="false">IF(Quantiles!AS7&lt;0,"",(Depth0-MIN(Depth0,Quantiles!AS7))/Depth_per_q)</f>
        <v>2.00182624409659</v>
      </c>
      <c r="AT7" s="20" t="n">
        <f aca="false">IF(Quantiles!AT7&lt;0,"",(Depth0-MIN(Depth0,Quantiles!AT7))/Depth_per_q)</f>
        <v>1.93279999383404</v>
      </c>
      <c r="AU7" s="20" t="n">
        <f aca="false">IF(Quantiles!AU7&lt;0,"",(Depth0-MIN(Depth0,Quantiles!AU7))/Depth_per_q)</f>
        <v>1.87157487695565</v>
      </c>
      <c r="AV7" s="20" t="n">
        <f aca="false">IF(Quantiles!AV7&lt;0,"",(Depth0-MIN(Depth0,Quantiles!AV7))/Depth_per_q)</f>
        <v>1.80792746426333</v>
      </c>
      <c r="AW7" s="20" t="n">
        <f aca="false">IF(Quantiles!AW7&lt;0,"",(Depth0-MIN(Depth0,Quantiles!AW7))/Depth_per_q)</f>
        <v>1.74465447362952</v>
      </c>
      <c r="AX7" s="20" t="n">
        <f aca="false">IF(Quantiles!AX7&lt;0,"",(Depth0-MIN(Depth0,Quantiles!AX7))/Depth_per_q)</f>
        <v>1.68731711300135</v>
      </c>
      <c r="AY7" s="20" t="n">
        <f aca="false">IF(Quantiles!AY7&lt;0,"",(Depth0-MIN(Depth0,Quantiles!AY7))/Depth_per_q)</f>
        <v>1.63342484357405</v>
      </c>
      <c r="AZ7" s="20" t="n">
        <f aca="false">IF(Quantiles!AZ7&lt;0,"",(Depth0-MIN(Depth0,Quantiles!AZ7))/Depth_per_q)</f>
        <v>1.5742202079805</v>
      </c>
      <c r="BA7" s="20" t="n">
        <f aca="false">IF(Quantiles!BA7&lt;0,"",(Depth0-MIN(Depth0,Quantiles!BA7))/Depth_per_q)</f>
        <v>1.51967453361749</v>
      </c>
      <c r="BB7" s="20" t="n">
        <f aca="false">IF(Quantiles!BB7&lt;0,"",(Depth0-MIN(Depth0,Quantiles!BB7))/Depth_per_q)</f>
        <v>1.46304449881153</v>
      </c>
      <c r="BC7" s="20" t="n">
        <f aca="false">IF(Quantiles!BC7&lt;0,"",(Depth0-MIN(Depth0,Quantiles!BC7))/Depth_per_q)</f>
        <v>1.4152490086065</v>
      </c>
      <c r="BD7" s="20" t="n">
        <f aca="false">IF(Quantiles!BD7&lt;0,"",(Depth0-MIN(Depth0,Quantiles!BD7))/Depth_per_q)</f>
        <v>1.36481469126317</v>
      </c>
      <c r="BE7" s="20" t="n">
        <f aca="false">IF(Quantiles!BE7&lt;0,"",(Depth0-MIN(Depth0,Quantiles!BE7))/Depth_per_q)</f>
        <v>1.32019753771663</v>
      </c>
      <c r="BF7" s="20" t="n">
        <f aca="false">IF(Quantiles!BF7&lt;0,"",(Depth0-MIN(Depth0,Quantiles!BF7))/Depth_per_q)</f>
        <v>1.26524745614527</v>
      </c>
      <c r="BG7" s="20" t="n">
        <f aca="false">IF(Quantiles!BG7&lt;0,"",(Depth0-MIN(Depth0,Quantiles!BG7))/Depth_per_q)</f>
        <v>1.21699195464998</v>
      </c>
      <c r="BH7" s="20" t="n">
        <f aca="false">IF(Quantiles!BH7&lt;0,"",(Depth0-MIN(Depth0,Quantiles!BH7))/Depth_per_q)</f>
        <v>1.1684933416458</v>
      </c>
      <c r="BI7" s="20" t="n">
        <f aca="false">IF(Quantiles!BI7&lt;0,"",(Depth0-MIN(Depth0,Quantiles!BI7))/Depth_per_q)</f>
        <v>1.11909335996828</v>
      </c>
      <c r="BJ7" s="20" t="n">
        <f aca="false">IF(Quantiles!BJ7&lt;0,"",(Depth0-MIN(Depth0,Quantiles!BJ7))/Depth_per_q)</f>
        <v>1.07430487868563</v>
      </c>
      <c r="BK7" s="20" t="n">
        <f aca="false">IF(Quantiles!BK7&lt;0,"",(Depth0-MIN(Depth0,Quantiles!BK7))/Depth_per_q)</f>
        <v>1.02926036338912</v>
      </c>
      <c r="BL7" s="20" t="n">
        <f aca="false">IF(Quantiles!BL7&lt;0,"",(Depth0-MIN(Depth0,Quantiles!BL7))/Depth_per_q)</f>
        <v>0.985873091356202</v>
      </c>
      <c r="BM7" s="20" t="n">
        <f aca="false">IF(Quantiles!BM7&lt;0,"",(Depth0-MIN(Depth0,Quantiles!BM7))/Depth_per_q)</f>
        <v>0.94068113120134</v>
      </c>
      <c r="BN7" s="20" t="n">
        <f aca="false">IF(Quantiles!BN7&lt;0,"",(Depth0-MIN(Depth0,Quantiles!BN7))/Depth_per_q)</f>
        <v>0.900338501926978</v>
      </c>
      <c r="BO7" s="20" t="n">
        <f aca="false">IF(Quantiles!BO7&lt;0,"",(Depth0-MIN(Depth0,Quantiles!BO7))/Depth_per_q)</f>
        <v>0.860022855615495</v>
      </c>
      <c r="BP7" s="20" t="n">
        <f aca="false">IF(Quantiles!BP7&lt;0,"",(Depth0-MIN(Depth0,Quantiles!BP7))/Depth_per_q)</f>
        <v>0.8179672543788</v>
      </c>
      <c r="BQ7" s="20" t="n">
        <f aca="false">IF(Quantiles!BQ7&lt;0,"",(Depth0-MIN(Depth0,Quantiles!BQ7))/Depth_per_q)</f>
        <v>0.77461539776365</v>
      </c>
      <c r="BR7" s="20" t="n">
        <f aca="false">IF(Quantiles!BR7&lt;0,"",(Depth0-MIN(Depth0,Quantiles!BR7))/Depth_per_q)</f>
        <v>0.729564760019662</v>
      </c>
      <c r="BS7" s="20" t="n">
        <f aca="false">IF(Quantiles!BS7&lt;0,"",(Depth0-MIN(Depth0,Quantiles!BS7))/Depth_per_q)</f>
        <v>0.691215905945295</v>
      </c>
      <c r="BT7" s="20" t="n">
        <f aca="false">IF(Quantiles!BT7&lt;0,"",(Depth0-MIN(Depth0,Quantiles!BT7))/Depth_per_q)</f>
        <v>0.650965938315365</v>
      </c>
      <c r="BU7" s="20" t="n">
        <f aca="false">IF(Quantiles!BU7&lt;0,"",(Depth0-MIN(Depth0,Quantiles!BU7))/Depth_per_q)</f>
        <v>0.610258115293835</v>
      </c>
      <c r="BV7" s="20" t="n">
        <f aca="false">IF(Quantiles!BV7&lt;0,"",(Depth0-MIN(Depth0,Quantiles!BV7))/Depth_per_q)</f>
        <v>0.576409226842467</v>
      </c>
      <c r="BW7" s="20" t="n">
        <f aca="false">IF(Quantiles!BW7&lt;0,"",(Depth0-MIN(Depth0,Quantiles!BW7))/Depth_per_q)</f>
        <v>0.537477252802048</v>
      </c>
      <c r="BX7" s="20" t="n">
        <f aca="false">IF(Quantiles!BX7&lt;0,"",(Depth0-MIN(Depth0,Quantiles!BX7))/Depth_per_q)</f>
        <v>0.49985221959347</v>
      </c>
      <c r="BY7" s="20" t="n">
        <f aca="false">IF(Quantiles!BY7&lt;0,"",(Depth0-MIN(Depth0,Quantiles!BY7))/Depth_per_q)</f>
        <v>0.464876826488568</v>
      </c>
      <c r="BZ7" s="20" t="n">
        <f aca="false">IF(Quantiles!BZ7&lt;0,"",(Depth0-MIN(Depth0,Quantiles!BZ7))/Depth_per_q)</f>
        <v>0.430420750510303</v>
      </c>
      <c r="CA7" s="20" t="n">
        <f aca="false">IF(Quantiles!CA7&lt;0,"",(Depth0-MIN(Depth0,Quantiles!CA7))/Depth_per_q)</f>
        <v>0.397732602069527</v>
      </c>
      <c r="CB7" s="20" t="n">
        <f aca="false">IF(Quantiles!CB7&lt;0,"",(Depth0-MIN(Depth0,Quantiles!CB7))/Depth_per_q)</f>
        <v>0.361607006491647</v>
      </c>
      <c r="CC7" s="20" t="n">
        <f aca="false">IF(Quantiles!CC7&lt;0,"",(Depth0-MIN(Depth0,Quantiles!CC7))/Depth_per_q)</f>
        <v>0.327963668708573</v>
      </c>
      <c r="CD7" s="20" t="n">
        <f aca="false">IF(Quantiles!CD7&lt;0,"",(Depth0-MIN(Depth0,Quantiles!CD7))/Depth_per_q)</f>
        <v>0.294639602696413</v>
      </c>
      <c r="CE7" s="20" t="n">
        <f aca="false">IF(Quantiles!CE7&lt;0,"",(Depth0-MIN(Depth0,Quantiles!CE7))/Depth_per_q)</f>
        <v>0.262655190778015</v>
      </c>
      <c r="CF7" s="20" t="n">
        <f aca="false">IF(Quantiles!CF7&lt;0,"",(Depth0-MIN(Depth0,Quantiles!CF7))/Depth_per_q)</f>
        <v>0.232762086289562</v>
      </c>
      <c r="CG7" s="20" t="n">
        <f aca="false">IF(Quantiles!CG7&lt;0,"",(Depth0-MIN(Depth0,Quantiles!CG7))/Depth_per_q)</f>
        <v>0.200568642886975</v>
      </c>
      <c r="CH7" s="20" t="n">
        <f aca="false">IF(Quantiles!CH7&lt;0,"",(Depth0-MIN(Depth0,Quantiles!CH7))/Depth_per_q)</f>
        <v>0.17197864607</v>
      </c>
      <c r="CI7" s="20" t="n">
        <f aca="false">IF(Quantiles!CI7&lt;0,"",(Depth0-MIN(Depth0,Quantiles!CI7))/Depth_per_q)</f>
        <v>0.13875523655328</v>
      </c>
      <c r="CJ7" s="20" t="n">
        <f aca="false">IF(Quantiles!CJ7&lt;0,"",(Depth0-MIN(Depth0,Quantiles!CJ7))/Depth_per_q)</f>
        <v>0.108012290789063</v>
      </c>
      <c r="CK7" s="20" t="n">
        <f aca="false">IF(Quantiles!CK7&lt;0,"",(Depth0-MIN(Depth0,Quantiles!CK7))/Depth_per_q)</f>
        <v>0.0796755914861649</v>
      </c>
      <c r="CL7" s="20" t="n">
        <f aca="false">IF(Quantiles!CL7&lt;0,"",(Depth0-MIN(Depth0,Quantiles!CL7))/Depth_per_q)</f>
        <v>0.0453431906840027</v>
      </c>
      <c r="CM7" s="20" t="n">
        <f aca="false">IF(Quantiles!CM7&lt;0,"",(Depth0-MIN(Depth0,Quantiles!CM7))/Depth_per_q)</f>
        <v>0.0159391356859873</v>
      </c>
      <c r="CN7" s="20" t="n">
        <f aca="false">IF(Quantiles!CN7&lt;0,"",(Depth0-MIN(Depth0,Quantiles!CN7))/Depth_per_q)</f>
        <v>0</v>
      </c>
      <c r="CO7" s="20" t="n">
        <f aca="false">IF(Quantiles!CO7&lt;0,"",(Depth0-MIN(Depth0,Quantiles!CO7))/Depth_per_q)</f>
        <v>0</v>
      </c>
      <c r="CP7" s="20" t="n">
        <f aca="false">IF(Quantiles!CP7&lt;0,"",(Depth0-MIN(Depth0,Quantiles!CP7))/Depth_per_q)</f>
        <v>0</v>
      </c>
      <c r="CQ7" s="20" t="n">
        <f aca="false">IF(Quantiles!CQ7&lt;0,"",(Depth0-MIN(Depth0,Quantiles!CQ7))/Depth_per_q)</f>
        <v>0</v>
      </c>
      <c r="CR7" s="20" t="n">
        <f aca="false">IF(Quantiles!CR7&lt;0,"",(Depth0-MIN(Depth0,Quantiles!CR7))/Depth_per_q)</f>
        <v>0</v>
      </c>
      <c r="CS7" s="20" t="n">
        <f aca="false">IF(Quantiles!CS7&lt;0,"",(Depth0-MIN(Depth0,Quantiles!CS7))/Depth_per_q)</f>
        <v>0</v>
      </c>
      <c r="CT7" s="20" t="n">
        <f aca="false">IF(Quantiles!CT7&lt;0,"",(Depth0-MIN(Depth0,Quantiles!CT7))/Depth_per_q)</f>
        <v>6.04295954508159</v>
      </c>
    </row>
    <row r="8" customFormat="false" ht="15" hidden="false" customHeight="false" outlineLevel="0" collapsed="false">
      <c r="A8" s="25" t="n">
        <f aca="false">Quantiles!A8</f>
        <v>15</v>
      </c>
      <c r="B8" s="20" t="str">
        <f aca="false">IF(Quantiles!B8&lt;0,"",(Depth0-MIN(Depth0,Quantiles!B8))/Depth_per_q)</f>
        <v/>
      </c>
      <c r="C8" s="20" t="str">
        <f aca="false">IF(Quantiles!C8&lt;0,"",(Depth0-MIN(Depth0,Quantiles!C8))/Depth_per_q)</f>
        <v/>
      </c>
      <c r="D8" s="20" t="str">
        <f aca="false">IF(Quantiles!D8&lt;0,"",(Depth0-MIN(Depth0,Quantiles!D8))/Depth_per_q)</f>
        <v/>
      </c>
      <c r="E8" s="20" t="str">
        <f aca="false">IF(Quantiles!E8&lt;0,"",(Depth0-MIN(Depth0,Quantiles!E8))/Depth_per_q)</f>
        <v/>
      </c>
      <c r="F8" s="20" t="n">
        <f aca="false">IF(Quantiles!F8&lt;0,"",(Depth0-MIN(Depth0,Quantiles!F8))/Depth_per_q)</f>
        <v>6.80054888507449</v>
      </c>
      <c r="G8" s="20" t="n">
        <f aca="false">IF(Quantiles!G8&lt;0,"",(Depth0-MIN(Depth0,Quantiles!G8))/Depth_per_q)</f>
        <v>6.49233649500302</v>
      </c>
      <c r="H8" s="20" t="n">
        <f aca="false">IF(Quantiles!H8&lt;0,"",(Depth0-MIN(Depth0,Quantiles!H8))/Depth_per_q)</f>
        <v>6.23698748777349</v>
      </c>
      <c r="I8" s="20" t="n">
        <f aca="false">IF(Quantiles!I8&lt;0,"",(Depth0-MIN(Depth0,Quantiles!I8))/Depth_per_q)</f>
        <v>5.9758140466444</v>
      </c>
      <c r="J8" s="20" t="n">
        <f aca="false">IF(Quantiles!J8&lt;0,"",(Depth0-MIN(Depth0,Quantiles!J8))/Depth_per_q)</f>
        <v>5.75063313983889</v>
      </c>
      <c r="K8" s="20" t="n">
        <f aca="false">IF(Quantiles!K8&lt;0,"",(Depth0-MIN(Depth0,Quantiles!K8))/Depth_per_q)</f>
        <v>5.53197114556839</v>
      </c>
      <c r="L8" s="20" t="n">
        <f aca="false">IF(Quantiles!L8&lt;0,"",(Depth0-MIN(Depth0,Quantiles!L8))/Depth_per_q)</f>
        <v>5.29415847412832</v>
      </c>
      <c r="M8" s="20" t="n">
        <f aca="false">IF(Quantiles!M8&lt;0,"",(Depth0-MIN(Depth0,Quantiles!M8))/Depth_per_q)</f>
        <v>5.10554293280498</v>
      </c>
      <c r="N8" s="20" t="n">
        <f aca="false">IF(Quantiles!N8&lt;0,"",(Depth0-MIN(Depth0,Quantiles!N8))/Depth_per_q)</f>
        <v>4.92916261844107</v>
      </c>
      <c r="O8" s="20" t="n">
        <f aca="false">IF(Quantiles!O8&lt;0,"",(Depth0-MIN(Depth0,Quantiles!O8))/Depth_per_q)</f>
        <v>4.76817547340562</v>
      </c>
      <c r="P8" s="20" t="n">
        <f aca="false">IF(Quantiles!P8&lt;0,"",(Depth0-MIN(Depth0,Quantiles!P8))/Depth_per_q)</f>
        <v>4.622756614141</v>
      </c>
      <c r="Q8" s="20" t="n">
        <f aca="false">IF(Quantiles!Q8&lt;0,"",(Depth0-MIN(Depth0,Quantiles!Q8))/Depth_per_q)</f>
        <v>4.46660802479754</v>
      </c>
      <c r="R8" s="20" t="n">
        <f aca="false">IF(Quantiles!R8&lt;0,"",(Depth0-MIN(Depth0,Quantiles!R8))/Depth_per_q)</f>
        <v>4.32865082298215</v>
      </c>
      <c r="S8" s="20" t="n">
        <f aca="false">IF(Quantiles!S8&lt;0,"",(Depth0-MIN(Depth0,Quantiles!S8))/Depth_per_q)</f>
        <v>4.18321060026549</v>
      </c>
      <c r="T8" s="20" t="n">
        <f aca="false">IF(Quantiles!T8&lt;0,"",(Depth0-MIN(Depth0,Quantiles!T8))/Depth_per_q)</f>
        <v>4.05890744405939</v>
      </c>
      <c r="U8" s="20" t="n">
        <f aca="false">IF(Quantiles!U8&lt;0,"",(Depth0-MIN(Depth0,Quantiles!U8))/Depth_per_q)</f>
        <v>3.92487296934962</v>
      </c>
      <c r="V8" s="20" t="n">
        <f aca="false">IF(Quantiles!V8&lt;0,"",(Depth0-MIN(Depth0,Quantiles!V8))/Depth_per_q)</f>
        <v>3.81006095189783</v>
      </c>
      <c r="W8" s="20" t="n">
        <f aca="false">IF(Quantiles!W8&lt;0,"",(Depth0-MIN(Depth0,Quantiles!W8))/Depth_per_q)</f>
        <v>3.68560361908212</v>
      </c>
      <c r="X8" s="20" t="n">
        <f aca="false">IF(Quantiles!X8&lt;0,"",(Depth0-MIN(Depth0,Quantiles!X8))/Depth_per_q)</f>
        <v>3.57467684495495</v>
      </c>
      <c r="Y8" s="20" t="n">
        <f aca="false">IF(Quantiles!Y8&lt;0,"",(Depth0-MIN(Depth0,Quantiles!Y8))/Depth_per_q)</f>
        <v>3.46133452208542</v>
      </c>
      <c r="Z8" s="20" t="n">
        <f aca="false">IF(Quantiles!Z8&lt;0,"",(Depth0-MIN(Depth0,Quantiles!Z8))/Depth_per_q)</f>
        <v>3.35244988051432</v>
      </c>
      <c r="AA8" s="20" t="n">
        <f aca="false">IF(Quantiles!AA8&lt;0,"",(Depth0-MIN(Depth0,Quantiles!AA8))/Depth_per_q)</f>
        <v>3.25459283097041</v>
      </c>
      <c r="AB8" s="20" t="n">
        <f aca="false">IF(Quantiles!AB8&lt;0,"",(Depth0-MIN(Depth0,Quantiles!AB8))/Depth_per_q)</f>
        <v>3.15746646092803</v>
      </c>
      <c r="AC8" s="20" t="n">
        <f aca="false">IF(Quantiles!AC8&lt;0,"",(Depth0-MIN(Depth0,Quantiles!AC8))/Depth_per_q)</f>
        <v>3.06921274699669</v>
      </c>
      <c r="AD8" s="20" t="n">
        <f aca="false">IF(Quantiles!AD8&lt;0,"",(Depth0-MIN(Depth0,Quantiles!AD8))/Depth_per_q)</f>
        <v>2.96786944610665</v>
      </c>
      <c r="AE8" s="20" t="n">
        <f aca="false">IF(Quantiles!AE8&lt;0,"",(Depth0-MIN(Depth0,Quantiles!AE8))/Depth_per_q)</f>
        <v>2.88445517491456</v>
      </c>
      <c r="AF8" s="20" t="n">
        <f aca="false">IF(Quantiles!AF8&lt;0,"",(Depth0-MIN(Depth0,Quantiles!AF8))/Depth_per_q)</f>
        <v>2.79841046922165</v>
      </c>
      <c r="AG8" s="20" t="n">
        <f aca="false">IF(Quantiles!AG8&lt;0,"",(Depth0-MIN(Depth0,Quantiles!AG8))/Depth_per_q)</f>
        <v>2.71495647473867</v>
      </c>
      <c r="AH8" s="20" t="n">
        <f aca="false">IF(Quantiles!AH8&lt;0,"",(Depth0-MIN(Depth0,Quantiles!AH8))/Depth_per_q)</f>
        <v>2.627551744354</v>
      </c>
      <c r="AI8" s="20" t="n">
        <f aca="false">IF(Quantiles!AI8&lt;0,"",(Depth0-MIN(Depth0,Quantiles!AI8))/Depth_per_q)</f>
        <v>2.55437081178513</v>
      </c>
      <c r="AJ8" s="20" t="n">
        <f aca="false">IF(Quantiles!AJ8&lt;0,"",(Depth0-MIN(Depth0,Quantiles!AJ8))/Depth_per_q)</f>
        <v>2.47055495227826</v>
      </c>
      <c r="AK8" s="20" t="n">
        <f aca="false">IF(Quantiles!AK8&lt;0,"",(Depth0-MIN(Depth0,Quantiles!AK8))/Depth_per_q)</f>
        <v>2.39053857326459</v>
      </c>
      <c r="AL8" s="20" t="n">
        <f aca="false">IF(Quantiles!AL8&lt;0,"",(Depth0-MIN(Depth0,Quantiles!AL8))/Depth_per_q)</f>
        <v>2.31712799321971</v>
      </c>
      <c r="AM8" s="20" t="n">
        <f aca="false">IF(Quantiles!AM8&lt;0,"",(Depth0-MIN(Depth0,Quantiles!AM8))/Depth_per_q)</f>
        <v>2.24361528747655</v>
      </c>
      <c r="AN8" s="20" t="n">
        <f aca="false">IF(Quantiles!AN8&lt;0,"",(Depth0-MIN(Depth0,Quantiles!AN8))/Depth_per_q)</f>
        <v>2.1733423845243</v>
      </c>
      <c r="AO8" s="20" t="n">
        <f aca="false">IF(Quantiles!AO8&lt;0,"",(Depth0-MIN(Depth0,Quantiles!AO8))/Depth_per_q)</f>
        <v>2.10542744229199</v>
      </c>
      <c r="AP8" s="20" t="n">
        <f aca="false">IF(Quantiles!AP8&lt;0,"",(Depth0-MIN(Depth0,Quantiles!AP8))/Depth_per_q)</f>
        <v>2.03946727032337</v>
      </c>
      <c r="AQ8" s="20" t="n">
        <f aca="false">IF(Quantiles!AQ8&lt;0,"",(Depth0-MIN(Depth0,Quantiles!AQ8))/Depth_per_q)</f>
        <v>1.9674824919299</v>
      </c>
      <c r="AR8" s="20" t="n">
        <f aca="false">IF(Quantiles!AR8&lt;0,"",(Depth0-MIN(Depth0,Quantiles!AR8))/Depth_per_q)</f>
        <v>1.90370300789955</v>
      </c>
      <c r="AS8" s="20" t="n">
        <f aca="false">IF(Quantiles!AS8&lt;0,"",(Depth0-MIN(Depth0,Quantiles!AS8))/Depth_per_q)</f>
        <v>1.84100488053684</v>
      </c>
      <c r="AT8" s="20" t="n">
        <f aca="false">IF(Quantiles!AT8&lt;0,"",(Depth0-MIN(Depth0,Quantiles!AT8))/Depth_per_q)</f>
        <v>1.77613377415864</v>
      </c>
      <c r="AU8" s="20" t="n">
        <f aca="false">IF(Quantiles!AU8&lt;0,"",(Depth0-MIN(Depth0,Quantiles!AU8))/Depth_per_q)</f>
        <v>1.70971782805951</v>
      </c>
      <c r="AV8" s="20" t="n">
        <f aca="false">IF(Quantiles!AV8&lt;0,"",(Depth0-MIN(Depth0,Quantiles!AV8))/Depth_per_q)</f>
        <v>1.65127521773726</v>
      </c>
      <c r="AW8" s="20" t="n">
        <f aca="false">IF(Quantiles!AW8&lt;0,"",(Depth0-MIN(Depth0,Quantiles!AW8))/Depth_per_q)</f>
        <v>1.59101337415326</v>
      </c>
      <c r="AX8" s="20" t="n">
        <f aca="false">IF(Quantiles!AX8&lt;0,"",(Depth0-MIN(Depth0,Quantiles!AX8))/Depth_per_q)</f>
        <v>1.5322509953282</v>
      </c>
      <c r="AY8" s="20" t="n">
        <f aca="false">IF(Quantiles!AY8&lt;0,"",(Depth0-MIN(Depth0,Quantiles!AY8))/Depth_per_q)</f>
        <v>1.48073733594782</v>
      </c>
      <c r="AZ8" s="20" t="n">
        <f aca="false">IF(Quantiles!AZ8&lt;0,"",(Depth0-MIN(Depth0,Quantiles!AZ8))/Depth_per_q)</f>
        <v>1.43035104832777</v>
      </c>
      <c r="BA8" s="20" t="n">
        <f aca="false">IF(Quantiles!BA8&lt;0,"",(Depth0-MIN(Depth0,Quantiles!BA8))/Depth_per_q)</f>
        <v>1.37557704221437</v>
      </c>
      <c r="BB8" s="20" t="n">
        <f aca="false">IF(Quantiles!BB8&lt;0,"",(Depth0-MIN(Depth0,Quantiles!BB8))/Depth_per_q)</f>
        <v>1.32411853675404</v>
      </c>
      <c r="BC8" s="20" t="n">
        <f aca="false">IF(Quantiles!BC8&lt;0,"",(Depth0-MIN(Depth0,Quantiles!BC8))/Depth_per_q)</f>
        <v>1.27361526303226</v>
      </c>
      <c r="BD8" s="20" t="n">
        <f aca="false">IF(Quantiles!BD8&lt;0,"",(Depth0-MIN(Depth0,Quantiles!BD8))/Depth_per_q)</f>
        <v>1.22991533124465</v>
      </c>
      <c r="BE8" s="20" t="n">
        <f aca="false">IF(Quantiles!BE8&lt;0,"",(Depth0-MIN(Depth0,Quantiles!BE8))/Depth_per_q)</f>
        <v>1.1833609043169</v>
      </c>
      <c r="BF8" s="20" t="n">
        <f aca="false">IF(Quantiles!BF8&lt;0,"",(Depth0-MIN(Depth0,Quantiles!BF8))/Depth_per_q)</f>
        <v>1.13852589922956</v>
      </c>
      <c r="BG8" s="20" t="n">
        <f aca="false">IF(Quantiles!BG8&lt;0,"",(Depth0-MIN(Depth0,Quantiles!BG8))/Depth_per_q)</f>
        <v>1.09327241484614</v>
      </c>
      <c r="BH8" s="20" t="n">
        <f aca="false">IF(Quantiles!BH8&lt;0,"",(Depth0-MIN(Depth0,Quantiles!BH8))/Depth_per_q)</f>
        <v>1.0419073003076</v>
      </c>
      <c r="BI8" s="20" t="n">
        <f aca="false">IF(Quantiles!BI8&lt;0,"",(Depth0-MIN(Depth0,Quantiles!BI8))/Depth_per_q)</f>
        <v>0.995501542639797</v>
      </c>
      <c r="BJ8" s="20" t="n">
        <f aca="false">IF(Quantiles!BJ8&lt;0,"",(Depth0-MIN(Depth0,Quantiles!BJ8))/Depth_per_q)</f>
        <v>0.952815711724285</v>
      </c>
      <c r="BK8" s="20" t="n">
        <f aca="false">IF(Quantiles!BK8&lt;0,"",(Depth0-MIN(Depth0,Quantiles!BK8))/Depth_per_q)</f>
        <v>0.908552508381242</v>
      </c>
      <c r="BL8" s="20" t="n">
        <f aca="false">IF(Quantiles!BL8&lt;0,"",(Depth0-MIN(Depth0,Quantiles!BL8))/Depth_per_q)</f>
        <v>0.871005721437475</v>
      </c>
      <c r="BM8" s="20" t="n">
        <f aca="false">IF(Quantiles!BM8&lt;0,"",(Depth0-MIN(Depth0,Quantiles!BM8))/Depth_per_q)</f>
        <v>0.82800587182559</v>
      </c>
      <c r="BN8" s="20" t="n">
        <f aca="false">IF(Quantiles!BN8&lt;0,"",(Depth0-MIN(Depth0,Quantiles!BN8))/Depth_per_q)</f>
        <v>0.789818771624057</v>
      </c>
      <c r="BO8" s="20" t="n">
        <f aca="false">IF(Quantiles!BO8&lt;0,"",(Depth0-MIN(Depth0,Quantiles!BO8))/Depth_per_q)</f>
        <v>0.74553677595948</v>
      </c>
      <c r="BP8" s="20" t="n">
        <f aca="false">IF(Quantiles!BP8&lt;0,"",(Depth0-MIN(Depth0,Quantiles!BP8))/Depth_per_q)</f>
        <v>0.707918427127825</v>
      </c>
      <c r="BQ8" s="20" t="n">
        <f aca="false">IF(Quantiles!BQ8&lt;0,"",(Depth0-MIN(Depth0,Quantiles!BQ8))/Depth_per_q)</f>
        <v>0.66960724180465</v>
      </c>
      <c r="BR8" s="20" t="n">
        <f aca="false">IF(Quantiles!BR8&lt;0,"",(Depth0-MIN(Depth0,Quantiles!BR8))/Depth_per_q)</f>
        <v>0.629900421465465</v>
      </c>
      <c r="BS8" s="20" t="n">
        <f aca="false">IF(Quantiles!BS8&lt;0,"",(Depth0-MIN(Depth0,Quantiles!BS8))/Depth_per_q)</f>
        <v>0.590223952462245</v>
      </c>
      <c r="BT8" s="20" t="n">
        <f aca="false">IF(Quantiles!BT8&lt;0,"",(Depth0-MIN(Depth0,Quantiles!BT8))/Depth_per_q)</f>
        <v>0.551122205648315</v>
      </c>
      <c r="BU8" s="20" t="n">
        <f aca="false">IF(Quantiles!BU8&lt;0,"",(Depth0-MIN(Depth0,Quantiles!BU8))/Depth_per_q)</f>
        <v>0.513520526717668</v>
      </c>
      <c r="BV8" s="20" t="n">
        <f aca="false">IF(Quantiles!BV8&lt;0,"",(Depth0-MIN(Depth0,Quantiles!BV8))/Depth_per_q)</f>
        <v>0.479613061926518</v>
      </c>
      <c r="BW8" s="20" t="n">
        <f aca="false">IF(Quantiles!BW8&lt;0,"",(Depth0-MIN(Depth0,Quantiles!BW8))/Depth_per_q)</f>
        <v>0.44599298834432</v>
      </c>
      <c r="BX8" s="20" t="n">
        <f aca="false">IF(Quantiles!BX8&lt;0,"",(Depth0-MIN(Depth0,Quantiles!BX8))/Depth_per_q)</f>
        <v>0.41094990803286</v>
      </c>
      <c r="BY8" s="20" t="n">
        <f aca="false">IF(Quantiles!BY8&lt;0,"",(Depth0-MIN(Depth0,Quantiles!BY8))/Depth_per_q)</f>
        <v>0.379160769058005</v>
      </c>
      <c r="BZ8" s="20" t="n">
        <f aca="false">IF(Quantiles!BZ8&lt;0,"",(Depth0-MIN(Depth0,Quantiles!BZ8))/Depth_per_q)</f>
        <v>0.34505796678073</v>
      </c>
      <c r="CA8" s="20" t="n">
        <f aca="false">IF(Quantiles!CA8&lt;0,"",(Depth0-MIN(Depth0,Quantiles!CA8))/Depth_per_q)</f>
        <v>0.311156132747818</v>
      </c>
      <c r="CB8" s="20" t="n">
        <f aca="false">IF(Quantiles!CB8&lt;0,"",(Depth0-MIN(Depth0,Quantiles!CB8))/Depth_per_q)</f>
        <v>0.27590221841573</v>
      </c>
      <c r="CC8" s="20" t="n">
        <f aca="false">IF(Quantiles!CC8&lt;0,"",(Depth0-MIN(Depth0,Quantiles!CC8))/Depth_per_q)</f>
        <v>0.245189869877445</v>
      </c>
      <c r="CD8" s="20" t="n">
        <f aca="false">IF(Quantiles!CD8&lt;0,"",(Depth0-MIN(Depth0,Quantiles!CD8))/Depth_per_q)</f>
        <v>0.212641311779422</v>
      </c>
      <c r="CE8" s="20" t="n">
        <f aca="false">IF(Quantiles!CE8&lt;0,"",(Depth0-MIN(Depth0,Quantiles!CE8))/Depth_per_q)</f>
        <v>0.185315615626492</v>
      </c>
      <c r="CF8" s="20" t="n">
        <f aca="false">IF(Quantiles!CF8&lt;0,"",(Depth0-MIN(Depth0,Quantiles!CF8))/Depth_per_q)</f>
        <v>0.150949486628225</v>
      </c>
      <c r="CG8" s="20" t="n">
        <f aca="false">IF(Quantiles!CG8&lt;0,"",(Depth0-MIN(Depth0,Quantiles!CG8))/Depth_per_q)</f>
        <v>0.119006986760517</v>
      </c>
      <c r="CH8" s="20" t="n">
        <f aca="false">IF(Quantiles!CH8&lt;0,"",(Depth0-MIN(Depth0,Quantiles!CH8))/Depth_per_q)</f>
        <v>0.0893493995859851</v>
      </c>
      <c r="CI8" s="20" t="n">
        <f aca="false">IF(Quantiles!CI8&lt;0,"",(Depth0-MIN(Depth0,Quantiles!CI8))/Depth_per_q)</f>
        <v>0.0583377609021554</v>
      </c>
      <c r="CJ8" s="20" t="n">
        <f aca="false">IF(Quantiles!CJ8&lt;0,"",(Depth0-MIN(Depth0,Quantiles!CJ8))/Depth_per_q)</f>
        <v>0.0302153389042799</v>
      </c>
      <c r="CK8" s="20" t="n">
        <f aca="false">IF(Quantiles!CK8&lt;0,"",(Depth0-MIN(Depth0,Quantiles!CK8))/Depth_per_q)</f>
        <v>0.00255749461879784</v>
      </c>
      <c r="CL8" s="20" t="n">
        <f aca="false">IF(Quantiles!CL8&lt;0,"",(Depth0-MIN(Depth0,Quantiles!CL8))/Depth_per_q)</f>
        <v>0</v>
      </c>
      <c r="CM8" s="20" t="n">
        <f aca="false">IF(Quantiles!CM8&lt;0,"",(Depth0-MIN(Depth0,Quantiles!CM8))/Depth_per_q)</f>
        <v>0</v>
      </c>
      <c r="CN8" s="20" t="n">
        <f aca="false">IF(Quantiles!CN8&lt;0,"",(Depth0-MIN(Depth0,Quantiles!CN8))/Depth_per_q)</f>
        <v>0</v>
      </c>
      <c r="CO8" s="20" t="n">
        <f aca="false">IF(Quantiles!CO8&lt;0,"",(Depth0-MIN(Depth0,Quantiles!CO8))/Depth_per_q)</f>
        <v>0</v>
      </c>
      <c r="CP8" s="20" t="n">
        <f aca="false">IF(Quantiles!CP8&lt;0,"",(Depth0-MIN(Depth0,Quantiles!CP8))/Depth_per_q)</f>
        <v>0</v>
      </c>
      <c r="CQ8" s="20" t="n">
        <f aca="false">IF(Quantiles!CQ8&lt;0,"",(Depth0-MIN(Depth0,Quantiles!CQ8))/Depth_per_q)</f>
        <v>0</v>
      </c>
      <c r="CR8" s="20" t="n">
        <f aca="false">IF(Quantiles!CR8&lt;0,"",(Depth0-MIN(Depth0,Quantiles!CR8))/Depth_per_q)</f>
        <v>0</v>
      </c>
      <c r="CS8" s="20" t="n">
        <f aca="false">IF(Quantiles!CS8&lt;0,"",(Depth0-MIN(Depth0,Quantiles!CS8))/Depth_per_q)</f>
        <v>0</v>
      </c>
      <c r="CT8" s="20" t="n">
        <f aca="false">IF(Quantiles!CT8&lt;0,"",(Depth0-MIN(Depth0,Quantiles!CT8))/Depth_per_q)</f>
        <v>5.74892054290517</v>
      </c>
    </row>
    <row r="9" customFormat="false" ht="15" hidden="false" customHeight="false" outlineLevel="0" collapsed="false">
      <c r="A9" s="25" t="n">
        <f aca="false">Quantiles!A9</f>
        <v>20</v>
      </c>
      <c r="B9" s="20" t="str">
        <f aca="false">IF(Quantiles!B9&lt;0,"",(Depth0-MIN(Depth0,Quantiles!B9))/Depth_per_q)</f>
        <v/>
      </c>
      <c r="C9" s="20" t="str">
        <f aca="false">IF(Quantiles!C9&lt;0,"",(Depth0-MIN(Depth0,Quantiles!C9))/Depth_per_q)</f>
        <v/>
      </c>
      <c r="D9" s="20" t="str">
        <f aca="false">IF(Quantiles!D9&lt;0,"",(Depth0-MIN(Depth0,Quantiles!D9))/Depth_per_q)</f>
        <v/>
      </c>
      <c r="E9" s="20" t="n">
        <f aca="false">IF(Quantiles!E9&lt;0,"",(Depth0-MIN(Depth0,Quantiles!E9))/Depth_per_q)</f>
        <v>6.82084229242807</v>
      </c>
      <c r="F9" s="20" t="n">
        <f aca="false">IF(Quantiles!F9&lt;0,"",(Depth0-MIN(Depth0,Quantiles!F9))/Depth_per_q)</f>
        <v>6.50600085683585</v>
      </c>
      <c r="G9" s="20" t="n">
        <f aca="false">IF(Quantiles!G9&lt;0,"",(Depth0-MIN(Depth0,Quantiles!G9))/Depth_per_q)</f>
        <v>6.20961137801337</v>
      </c>
      <c r="H9" s="20" t="n">
        <f aca="false">IF(Quantiles!H9&lt;0,"",(Depth0-MIN(Depth0,Quantiles!H9))/Depth_per_q)</f>
        <v>5.92859121973866</v>
      </c>
      <c r="I9" s="20" t="n">
        <f aca="false">IF(Quantiles!I9&lt;0,"",(Depth0-MIN(Depth0,Quantiles!I9))/Depth_per_q)</f>
        <v>5.68692817771749</v>
      </c>
      <c r="J9" s="20" t="n">
        <f aca="false">IF(Quantiles!J9&lt;0,"",(Depth0-MIN(Depth0,Quantiles!J9))/Depth_per_q)</f>
        <v>5.47321846095364</v>
      </c>
      <c r="K9" s="20" t="n">
        <f aca="false">IF(Quantiles!K9&lt;0,"",(Depth0-MIN(Depth0,Quantiles!K9))/Depth_per_q)</f>
        <v>5.24606255817493</v>
      </c>
      <c r="L9" s="20" t="n">
        <f aca="false">IF(Quantiles!L9&lt;0,"",(Depth0-MIN(Depth0,Quantiles!L9))/Depth_per_q)</f>
        <v>5.02548230803262</v>
      </c>
      <c r="M9" s="20" t="n">
        <f aca="false">IF(Quantiles!M9&lt;0,"",(Depth0-MIN(Depth0,Quantiles!M9))/Depth_per_q)</f>
        <v>4.83201107745412</v>
      </c>
      <c r="N9" s="20" t="n">
        <f aca="false">IF(Quantiles!N9&lt;0,"",(Depth0-MIN(Depth0,Quantiles!N9))/Depth_per_q)</f>
        <v>4.66894298187917</v>
      </c>
      <c r="O9" s="20" t="n">
        <f aca="false">IF(Quantiles!O9&lt;0,"",(Depth0-MIN(Depth0,Quantiles!O9))/Depth_per_q)</f>
        <v>4.5018353272732</v>
      </c>
      <c r="P9" s="20" t="n">
        <f aca="false">IF(Quantiles!P9&lt;0,"",(Depth0-MIN(Depth0,Quantiles!P9))/Depth_per_q)</f>
        <v>4.36457541225464</v>
      </c>
      <c r="Q9" s="20" t="n">
        <f aca="false">IF(Quantiles!Q9&lt;0,"",(Depth0-MIN(Depth0,Quantiles!Q9))/Depth_per_q)</f>
        <v>4.21432272937825</v>
      </c>
      <c r="R9" s="20" t="n">
        <f aca="false">IF(Quantiles!R9&lt;0,"",(Depth0-MIN(Depth0,Quantiles!R9))/Depth_per_q)</f>
        <v>4.068678382969</v>
      </c>
      <c r="S9" s="20" t="n">
        <f aca="false">IF(Quantiles!S9&lt;0,"",(Depth0-MIN(Depth0,Quantiles!S9))/Depth_per_q)</f>
        <v>3.92966405437231</v>
      </c>
      <c r="T9" s="20" t="n">
        <f aca="false">IF(Quantiles!T9&lt;0,"",(Depth0-MIN(Depth0,Quantiles!T9))/Depth_per_q)</f>
        <v>3.81181662275953</v>
      </c>
      <c r="U9" s="20" t="n">
        <f aca="false">IF(Quantiles!U9&lt;0,"",(Depth0-MIN(Depth0,Quantiles!U9))/Depth_per_q)</f>
        <v>3.68700320567058</v>
      </c>
      <c r="V9" s="20" t="n">
        <f aca="false">IF(Quantiles!V9&lt;0,"",(Depth0-MIN(Depth0,Quantiles!V9))/Depth_per_q)</f>
        <v>3.57216322691515</v>
      </c>
      <c r="W9" s="20" t="n">
        <f aca="false">IF(Quantiles!W9&lt;0,"",(Depth0-MIN(Depth0,Quantiles!W9))/Depth_per_q)</f>
        <v>3.45500201969156</v>
      </c>
      <c r="X9" s="20" t="n">
        <f aca="false">IF(Quantiles!X9&lt;0,"",(Depth0-MIN(Depth0,Quantiles!X9))/Depth_per_q)</f>
        <v>3.34419196140188</v>
      </c>
      <c r="Y9" s="20" t="n">
        <f aca="false">IF(Quantiles!Y9&lt;0,"",(Depth0-MIN(Depth0,Quantiles!Y9))/Depth_per_q)</f>
        <v>3.22915612971039</v>
      </c>
      <c r="Z9" s="20" t="n">
        <f aca="false">IF(Quantiles!Z9&lt;0,"",(Depth0-MIN(Depth0,Quantiles!Z9))/Depth_per_q)</f>
        <v>3.12937284430256</v>
      </c>
      <c r="AA9" s="20" t="n">
        <f aca="false">IF(Quantiles!AA9&lt;0,"",(Depth0-MIN(Depth0,Quantiles!AA9))/Depth_per_q)</f>
        <v>3.04182319030314</v>
      </c>
      <c r="AB9" s="20" t="n">
        <f aca="false">IF(Quantiles!AB9&lt;0,"",(Depth0-MIN(Depth0,Quantiles!AB9))/Depth_per_q)</f>
        <v>2.94280812602968</v>
      </c>
      <c r="AC9" s="20" t="n">
        <f aca="false">IF(Quantiles!AC9&lt;0,"",(Depth0-MIN(Depth0,Quantiles!AC9))/Depth_per_q)</f>
        <v>2.85689978303019</v>
      </c>
      <c r="AD9" s="20" t="n">
        <f aca="false">IF(Quantiles!AD9&lt;0,"",(Depth0-MIN(Depth0,Quantiles!AD9))/Depth_per_q)</f>
        <v>2.76054337803062</v>
      </c>
      <c r="AE9" s="20" t="n">
        <f aca="false">IF(Quantiles!AE9&lt;0,"",(Depth0-MIN(Depth0,Quantiles!AE9))/Depth_per_q)</f>
        <v>2.67606991581143</v>
      </c>
      <c r="AF9" s="20" t="n">
        <f aca="false">IF(Quantiles!AF9&lt;0,"",(Depth0-MIN(Depth0,Quantiles!AF9))/Depth_per_q)</f>
        <v>2.59081478197798</v>
      </c>
      <c r="AG9" s="20" t="n">
        <f aca="false">IF(Quantiles!AG9&lt;0,"",(Depth0-MIN(Depth0,Quantiles!AG9))/Depth_per_q)</f>
        <v>2.51488837240299</v>
      </c>
      <c r="AH9" s="20" t="n">
        <f aca="false">IF(Quantiles!AH9&lt;0,"",(Depth0-MIN(Depth0,Quantiles!AH9))/Depth_per_q)</f>
        <v>2.43597190594665</v>
      </c>
      <c r="AI9" s="20" t="n">
        <f aca="false">IF(Quantiles!AI9&lt;0,"",(Depth0-MIN(Depth0,Quantiles!AI9))/Depth_per_q)</f>
        <v>2.36142908990652</v>
      </c>
      <c r="AJ9" s="20" t="n">
        <f aca="false">IF(Quantiles!AJ9&lt;0,"",(Depth0-MIN(Depth0,Quantiles!AJ9))/Depth_per_q)</f>
        <v>2.28561310638519</v>
      </c>
      <c r="AK9" s="20" t="n">
        <f aca="false">IF(Quantiles!AK9&lt;0,"",(Depth0-MIN(Depth0,Quantiles!AK9))/Depth_per_q)</f>
        <v>2.2093170174661</v>
      </c>
      <c r="AL9" s="20" t="n">
        <f aca="false">IF(Quantiles!AL9&lt;0,"",(Depth0-MIN(Depth0,Quantiles!AL9))/Depth_per_q)</f>
        <v>2.13205685745198</v>
      </c>
      <c r="AM9" s="20" t="n">
        <f aca="false">IF(Quantiles!AM9&lt;0,"",(Depth0-MIN(Depth0,Quantiles!AM9))/Depth_per_q)</f>
        <v>2.06270277317701</v>
      </c>
      <c r="AN9" s="20" t="n">
        <f aca="false">IF(Quantiles!AN9&lt;0,"",(Depth0-MIN(Depth0,Quantiles!AN9))/Depth_per_q)</f>
        <v>1.99484073952716</v>
      </c>
      <c r="AO9" s="20" t="n">
        <f aca="false">IF(Quantiles!AO9&lt;0,"",(Depth0-MIN(Depth0,Quantiles!AO9))/Depth_per_q)</f>
        <v>1.92823075699837</v>
      </c>
      <c r="AP9" s="20" t="n">
        <f aca="false">IF(Quantiles!AP9&lt;0,"",(Depth0-MIN(Depth0,Quantiles!AP9))/Depth_per_q)</f>
        <v>1.86154419988575</v>
      </c>
      <c r="AQ9" s="20" t="n">
        <f aca="false">IF(Quantiles!AQ9&lt;0,"",(Depth0-MIN(Depth0,Quantiles!AQ9))/Depth_per_q)</f>
        <v>1.80633627369505</v>
      </c>
      <c r="AR9" s="20" t="n">
        <f aca="false">IF(Quantiles!AR9&lt;0,"",(Depth0-MIN(Depth0,Quantiles!AR9))/Depth_per_q)</f>
        <v>1.74319029503592</v>
      </c>
      <c r="AS9" s="20" t="n">
        <f aca="false">IF(Quantiles!AS9&lt;0,"",(Depth0-MIN(Depth0,Quantiles!AS9))/Depth_per_q)</f>
        <v>1.68124428508689</v>
      </c>
      <c r="AT9" s="20" t="n">
        <f aca="false">IF(Quantiles!AT9&lt;0,"",(Depth0-MIN(Depth0,Quantiles!AT9))/Depth_per_q)</f>
        <v>1.62088296664822</v>
      </c>
      <c r="AU9" s="20" t="n">
        <f aca="false">IF(Quantiles!AU9&lt;0,"",(Depth0-MIN(Depth0,Quantiles!AU9))/Depth_per_q)</f>
        <v>1.56217277828467</v>
      </c>
      <c r="AV9" s="20" t="n">
        <f aca="false">IF(Quantiles!AV9&lt;0,"",(Depth0-MIN(Depth0,Quantiles!AV9))/Depth_per_q)</f>
        <v>1.50682753492676</v>
      </c>
      <c r="AW9" s="20" t="n">
        <f aca="false">IF(Quantiles!AW9&lt;0,"",(Depth0-MIN(Depth0,Quantiles!AW9))/Depth_per_q)</f>
        <v>1.44583218380436</v>
      </c>
      <c r="AX9" s="20" t="n">
        <f aca="false">IF(Quantiles!AX9&lt;0,"",(Depth0-MIN(Depth0,Quantiles!AX9))/Depth_per_q)</f>
        <v>1.39175899569542</v>
      </c>
      <c r="AY9" s="20" t="n">
        <f aca="false">IF(Quantiles!AY9&lt;0,"",(Depth0-MIN(Depth0,Quantiles!AY9))/Depth_per_q)</f>
        <v>1.3363542434396</v>
      </c>
      <c r="AZ9" s="20" t="n">
        <f aca="false">IF(Quantiles!AZ9&lt;0,"",(Depth0-MIN(Depth0,Quantiles!AZ9))/Depth_per_q)</f>
        <v>1.28485092419161</v>
      </c>
      <c r="BA9" s="20" t="n">
        <f aca="false">IF(Quantiles!BA9&lt;0,"",(Depth0-MIN(Depth0,Quantiles!BA9))/Depth_per_q)</f>
        <v>1.24235267227482</v>
      </c>
      <c r="BB9" s="20" t="n">
        <f aca="false">IF(Quantiles!BB9&lt;0,"",(Depth0-MIN(Depth0,Quantiles!BB9))/Depth_per_q)</f>
        <v>1.19650236125579</v>
      </c>
      <c r="BC9" s="20" t="n">
        <f aca="false">IF(Quantiles!BC9&lt;0,"",(Depth0-MIN(Depth0,Quantiles!BC9))/Depth_per_q)</f>
        <v>1.14534032625414</v>
      </c>
      <c r="BD9" s="20" t="n">
        <f aca="false">IF(Quantiles!BD9&lt;0,"",(Depth0-MIN(Depth0,Quantiles!BD9))/Depth_per_q)</f>
        <v>1.09861214992505</v>
      </c>
      <c r="BE9" s="20" t="n">
        <f aca="false">IF(Quantiles!BE9&lt;0,"",(Depth0-MIN(Depth0,Quantiles!BE9))/Depth_per_q)</f>
        <v>1.05448002935532</v>
      </c>
      <c r="BF9" s="20" t="n">
        <f aca="false">IF(Quantiles!BF9&lt;0,"",(Depth0-MIN(Depth0,Quantiles!BF9))/Depth_per_q)</f>
        <v>1.00906491784088</v>
      </c>
      <c r="BG9" s="20" t="n">
        <f aca="false">IF(Quantiles!BG9&lt;0,"",(Depth0-MIN(Depth0,Quantiles!BG9))/Depth_per_q)</f>
        <v>0.9674301494998</v>
      </c>
      <c r="BH9" s="20" t="n">
        <f aca="false">IF(Quantiles!BH9&lt;0,"",(Depth0-MIN(Depth0,Quantiles!BH9))/Depth_per_q)</f>
        <v>0.925464175103105</v>
      </c>
      <c r="BI9" s="20" t="n">
        <f aca="false">IF(Quantiles!BI9&lt;0,"",(Depth0-MIN(Depth0,Quantiles!BI9))/Depth_per_q)</f>
        <v>0.88417274758537</v>
      </c>
      <c r="BJ9" s="20" t="n">
        <f aca="false">IF(Quantiles!BJ9&lt;0,"",(Depth0-MIN(Depth0,Quantiles!BJ9))/Depth_per_q)</f>
        <v>0.83861645769685</v>
      </c>
      <c r="BK9" s="20" t="n">
        <f aca="false">IF(Quantiles!BK9&lt;0,"",(Depth0-MIN(Depth0,Quantiles!BK9))/Depth_per_q)</f>
        <v>0.800370792006395</v>
      </c>
      <c r="BL9" s="20" t="n">
        <f aca="false">IF(Quantiles!BL9&lt;0,"",(Depth0-MIN(Depth0,Quantiles!BL9))/Depth_per_q)</f>
        <v>0.757481026385473</v>
      </c>
      <c r="BM9" s="20" t="n">
        <f aca="false">IF(Quantiles!BM9&lt;0,"",(Depth0-MIN(Depth0,Quantiles!BM9))/Depth_per_q)</f>
        <v>0.714117039168618</v>
      </c>
      <c r="BN9" s="20" t="n">
        <f aca="false">IF(Quantiles!BN9&lt;0,"",(Depth0-MIN(Depth0,Quantiles!BN9))/Depth_per_q)</f>
        <v>0.675603574720115</v>
      </c>
      <c r="BO9" s="20" t="n">
        <f aca="false">IF(Quantiles!BO9&lt;0,"",(Depth0-MIN(Depth0,Quantiles!BO9))/Depth_per_q)</f>
        <v>0.6380496022891</v>
      </c>
      <c r="BP9" s="20" t="n">
        <f aca="false">IF(Quantiles!BP9&lt;0,"",(Depth0-MIN(Depth0,Quantiles!BP9))/Depth_per_q)</f>
        <v>0.597881109499543</v>
      </c>
      <c r="BQ9" s="20" t="n">
        <f aca="false">IF(Quantiles!BQ9&lt;0,"",(Depth0-MIN(Depth0,Quantiles!BQ9))/Depth_per_q)</f>
        <v>0.56387300503604</v>
      </c>
      <c r="BR9" s="20" t="n">
        <f aca="false">IF(Quantiles!BR9&lt;0,"",(Depth0-MIN(Depth0,Quantiles!BR9))/Depth_per_q)</f>
        <v>0.528588795490585</v>
      </c>
      <c r="BS9" s="20" t="n">
        <f aca="false">IF(Quantiles!BS9&lt;0,"",(Depth0-MIN(Depth0,Quantiles!BS9))/Depth_per_q)</f>
        <v>0.495628593846065</v>
      </c>
      <c r="BT9" s="20" t="n">
        <f aca="false">IF(Quantiles!BT9&lt;0,"",(Depth0-MIN(Depth0,Quantiles!BT9))/Depth_per_q)</f>
        <v>0.461490154156268</v>
      </c>
      <c r="BU9" s="20" t="n">
        <f aca="false">IF(Quantiles!BU9&lt;0,"",(Depth0-MIN(Depth0,Quantiles!BU9))/Depth_per_q)</f>
        <v>0.430420750510303</v>
      </c>
      <c r="BV9" s="20" t="n">
        <f aca="false">IF(Quantiles!BV9&lt;0,"",(Depth0-MIN(Depth0,Quantiles!BV9))/Depth_per_q)</f>
        <v>0.393932959623952</v>
      </c>
      <c r="BW9" s="20" t="n">
        <f aca="false">IF(Quantiles!BW9&lt;0,"",(Depth0-MIN(Depth0,Quantiles!BW9))/Depth_per_q)</f>
        <v>0.35839552284122</v>
      </c>
      <c r="BX9" s="20" t="n">
        <f aca="false">IF(Quantiles!BX9&lt;0,"",(Depth0-MIN(Depth0,Quantiles!BX9))/Depth_per_q)</f>
        <v>0.323297803703152</v>
      </c>
      <c r="BY9" s="20" t="n">
        <f aca="false">IF(Quantiles!BY9&lt;0,"",(Depth0-MIN(Depth0,Quantiles!BY9))/Depth_per_q)</f>
        <v>0.28974819928645</v>
      </c>
      <c r="BZ9" s="20" t="n">
        <f aca="false">IF(Quantiles!BZ9&lt;0,"",(Depth0-MIN(Depth0,Quantiles!BZ9))/Depth_per_q)</f>
        <v>0.257471819573433</v>
      </c>
      <c r="CA9" s="20" t="n">
        <f aca="false">IF(Quantiles!CA9&lt;0,"",(Depth0-MIN(Depth0,Quantiles!CA9))/Depth_per_q)</f>
        <v>0.22725791259417</v>
      </c>
      <c r="CB9" s="20" t="n">
        <f aca="false">IF(Quantiles!CB9&lt;0,"",(Depth0-MIN(Depth0,Quantiles!CB9))/Depth_per_q)</f>
        <v>0.19566843469615</v>
      </c>
      <c r="CC9" s="20" t="n">
        <f aca="false">IF(Quantiles!CC9&lt;0,"",(Depth0-MIN(Depth0,Quantiles!CC9))/Depth_per_q)</f>
        <v>0.16854406052543</v>
      </c>
      <c r="CD9" s="20" t="n">
        <f aca="false">IF(Quantiles!CD9&lt;0,"",(Depth0-MIN(Depth0,Quantiles!CD9))/Depth_per_q)</f>
        <v>0.135047793532572</v>
      </c>
      <c r="CE9" s="20" t="n">
        <f aca="false">IF(Quantiles!CE9&lt;0,"",(Depth0-MIN(Depth0,Quantiles!CE9))/Depth_per_q)</f>
        <v>0.1038771996782</v>
      </c>
      <c r="CF9" s="20" t="n">
        <f aca="false">IF(Quantiles!CF9&lt;0,"",(Depth0-MIN(Depth0,Quantiles!CF9))/Depth_per_q)</f>
        <v>0.07344590963603</v>
      </c>
      <c r="CG9" s="20" t="n">
        <f aca="false">IF(Quantiles!CG9&lt;0,"",(Depth0-MIN(Depth0,Quantiles!CG9))/Depth_per_q)</f>
        <v>0.0423077471116002</v>
      </c>
      <c r="CH9" s="20" t="n">
        <f aca="false">IF(Quantiles!CH9&lt;0,"",(Depth0-MIN(Depth0,Quantiles!CH9))/Depth_per_q)</f>
        <v>0.0144429370877024</v>
      </c>
      <c r="CI9" s="20" t="n">
        <f aca="false">IF(Quantiles!CI9&lt;0,"",(Depth0-MIN(Depth0,Quantiles!CI9))/Depth_per_q)</f>
        <v>0</v>
      </c>
      <c r="CJ9" s="20" t="n">
        <f aca="false">IF(Quantiles!CJ9&lt;0,"",(Depth0-MIN(Depth0,Quantiles!CJ9))/Depth_per_q)</f>
        <v>0</v>
      </c>
      <c r="CK9" s="20" t="n">
        <f aca="false">IF(Quantiles!CK9&lt;0,"",(Depth0-MIN(Depth0,Quantiles!CK9))/Depth_per_q)</f>
        <v>0</v>
      </c>
      <c r="CL9" s="20" t="n">
        <f aca="false">IF(Quantiles!CL9&lt;0,"",(Depth0-MIN(Depth0,Quantiles!CL9))/Depth_per_q)</f>
        <v>0</v>
      </c>
      <c r="CM9" s="20" t="n">
        <f aca="false">IF(Quantiles!CM9&lt;0,"",(Depth0-MIN(Depth0,Quantiles!CM9))/Depth_per_q)</f>
        <v>0</v>
      </c>
      <c r="CN9" s="20" t="n">
        <f aca="false">IF(Quantiles!CN9&lt;0,"",(Depth0-MIN(Depth0,Quantiles!CN9))/Depth_per_q)</f>
        <v>0</v>
      </c>
      <c r="CO9" s="20" t="n">
        <f aca="false">IF(Quantiles!CO9&lt;0,"",(Depth0-MIN(Depth0,Quantiles!CO9))/Depth_per_q)</f>
        <v>0</v>
      </c>
      <c r="CP9" s="20" t="n">
        <f aca="false">IF(Quantiles!CP9&lt;0,"",(Depth0-MIN(Depth0,Quantiles!CP9))/Depth_per_q)</f>
        <v>0</v>
      </c>
      <c r="CQ9" s="20" t="n">
        <f aca="false">IF(Quantiles!CQ9&lt;0,"",(Depth0-MIN(Depth0,Quantiles!CQ9))/Depth_per_q)</f>
        <v>0</v>
      </c>
      <c r="CR9" s="20" t="n">
        <f aca="false">IF(Quantiles!CR9&lt;0,"",(Depth0-MIN(Depth0,Quantiles!CR9))/Depth_per_q)</f>
        <v>0</v>
      </c>
      <c r="CS9" s="20" t="n">
        <f aca="false">IF(Quantiles!CS9&lt;0,"",(Depth0-MIN(Depth0,Quantiles!CS9))/Depth_per_q)</f>
        <v>0</v>
      </c>
      <c r="CT9" s="20" t="n">
        <f aca="false">IF(Quantiles!CT9&lt;0,"",(Depth0-MIN(Depth0,Quantiles!CT9))/Depth_per_q)</f>
        <v>5.47209095009379</v>
      </c>
    </row>
    <row r="10" customFormat="false" ht="15" hidden="false" customHeight="false" outlineLevel="0" collapsed="false">
      <c r="A10" s="25" t="n">
        <f aca="false">Quantiles!A10</f>
        <v>25</v>
      </c>
      <c r="B10" s="20" t="str">
        <f aca="false">IF(Quantiles!B10&lt;0,"",(Depth0-MIN(Depth0,Quantiles!B10))/Depth_per_q)</f>
        <v/>
      </c>
      <c r="C10" s="20" t="str">
        <f aca="false">IF(Quantiles!C10&lt;0,"",(Depth0-MIN(Depth0,Quantiles!C10))/Depth_per_q)</f>
        <v/>
      </c>
      <c r="D10" s="20" t="n">
        <f aca="false">IF(Quantiles!D10&lt;0,"",(Depth0-MIN(Depth0,Quantiles!D10))/Depth_per_q)</f>
        <v>6.87197488654972</v>
      </c>
      <c r="E10" s="20" t="n">
        <f aca="false">IF(Quantiles!E10&lt;0,"",(Depth0-MIN(Depth0,Quantiles!E10))/Depth_per_q)</f>
        <v>6.48990513232458</v>
      </c>
      <c r="F10" s="20" t="n">
        <f aca="false">IF(Quantiles!F10&lt;0,"",(Depth0-MIN(Depth0,Quantiles!F10))/Depth_per_q)</f>
        <v>6.21476956323173</v>
      </c>
      <c r="G10" s="20" t="n">
        <f aca="false">IF(Quantiles!G10&lt;0,"",(Depth0-MIN(Depth0,Quantiles!G10))/Depth_per_q)</f>
        <v>5.93079427306356</v>
      </c>
      <c r="H10" s="20" t="n">
        <f aca="false">IF(Quantiles!H10&lt;0,"",(Depth0-MIN(Depth0,Quantiles!H10))/Depth_per_q)</f>
        <v>5.6452996776478</v>
      </c>
      <c r="I10" s="20" t="n">
        <f aca="false">IF(Quantiles!I10&lt;0,"",(Depth0-MIN(Depth0,Quantiles!I10))/Depth_per_q)</f>
        <v>5.39656349413047</v>
      </c>
      <c r="J10" s="20" t="n">
        <f aca="false">IF(Quantiles!J10&lt;0,"",(Depth0-MIN(Depth0,Quantiles!J10))/Depth_per_q)</f>
        <v>5.18207256608721</v>
      </c>
      <c r="K10" s="20" t="n">
        <f aca="false">IF(Quantiles!K10&lt;0,"",(Depth0-MIN(Depth0,Quantiles!K10))/Depth_per_q)</f>
        <v>4.9564728628535</v>
      </c>
      <c r="L10" s="20" t="n">
        <f aca="false">IF(Quantiles!L10&lt;0,"",(Depth0-MIN(Depth0,Quantiles!L10))/Depth_per_q)</f>
        <v>4.75845977988574</v>
      </c>
      <c r="M10" s="20" t="n">
        <f aca="false">IF(Quantiles!M10&lt;0,"",(Depth0-MIN(Depth0,Quantiles!M10))/Depth_per_q)</f>
        <v>4.57576882412939</v>
      </c>
      <c r="N10" s="20" t="n">
        <f aca="false">IF(Quantiles!N10&lt;0,"",(Depth0-MIN(Depth0,Quantiles!N10))/Depth_per_q)</f>
        <v>4.40731492118505</v>
      </c>
      <c r="O10" s="20" t="n">
        <f aca="false">IF(Quantiles!O10&lt;0,"",(Depth0-MIN(Depth0,Quantiles!O10))/Depth_per_q)</f>
        <v>4.25490033847476</v>
      </c>
      <c r="P10" s="20" t="n">
        <f aca="false">IF(Quantiles!P10&lt;0,"",(Depth0-MIN(Depth0,Quantiles!P10))/Depth_per_q)</f>
        <v>4.11347584819744</v>
      </c>
      <c r="Q10" s="20" t="n">
        <f aca="false">IF(Quantiles!Q10&lt;0,"",(Depth0-MIN(Depth0,Quantiles!Q10))/Depth_per_q)</f>
        <v>3.96502376856994</v>
      </c>
      <c r="R10" s="20" t="n">
        <f aca="false">IF(Quantiles!R10&lt;0,"",(Depth0-MIN(Depth0,Quantiles!R10))/Depth_per_q)</f>
        <v>3.81698994797524</v>
      </c>
      <c r="S10" s="20" t="n">
        <f aca="false">IF(Quantiles!S10&lt;0,"",(Depth0-MIN(Depth0,Quantiles!S10))/Depth_per_q)</f>
        <v>3.69157691501854</v>
      </c>
      <c r="T10" s="20" t="n">
        <f aca="false">IF(Quantiles!T10&lt;0,"",(Depth0-MIN(Depth0,Quantiles!T10))/Depth_per_q)</f>
        <v>3.57129086349401</v>
      </c>
      <c r="U10" s="20" t="n">
        <f aca="false">IF(Quantiles!U10&lt;0,"",(Depth0-MIN(Depth0,Quantiles!U10))/Depth_per_q)</f>
        <v>3.4548834039789</v>
      </c>
      <c r="V10" s="20" t="n">
        <f aca="false">IF(Quantiles!V10&lt;0,"",(Depth0-MIN(Depth0,Quantiles!V10))/Depth_per_q)</f>
        <v>3.33817631585749</v>
      </c>
      <c r="W10" s="20" t="n">
        <f aca="false">IF(Quantiles!W10&lt;0,"",(Depth0-MIN(Depth0,Quantiles!W10))/Depth_per_q)</f>
        <v>3.22165816994336</v>
      </c>
      <c r="X10" s="20" t="n">
        <f aca="false">IF(Quantiles!X10&lt;0,"",(Depth0-MIN(Depth0,Quantiles!X10))/Depth_per_q)</f>
        <v>3.12165274323461</v>
      </c>
      <c r="Y10" s="20" t="n">
        <f aca="false">IF(Quantiles!Y10&lt;0,"",(Depth0-MIN(Depth0,Quantiles!Y10))/Depth_per_q)</f>
        <v>3.01981405168549</v>
      </c>
      <c r="Z10" s="20" t="n">
        <f aca="false">IF(Quantiles!Z10&lt;0,"",(Depth0-MIN(Depth0,Quantiles!Z10))/Depth_per_q)</f>
        <v>2.91662124399818</v>
      </c>
      <c r="AA10" s="20" t="n">
        <f aca="false">IF(Quantiles!AA10&lt;0,"",(Depth0-MIN(Depth0,Quantiles!AA10))/Depth_per_q)</f>
        <v>2.83016847376207</v>
      </c>
      <c r="AB10" s="20" t="n">
        <f aca="false">IF(Quantiles!AB10&lt;0,"",(Depth0-MIN(Depth0,Quantiles!AB10))/Depth_per_q)</f>
        <v>2.74346878643057</v>
      </c>
      <c r="AC10" s="20" t="n">
        <f aca="false">IF(Quantiles!AC10&lt;0,"",(Depth0-MIN(Depth0,Quantiles!AC10))/Depth_per_q)</f>
        <v>2.65631772288425</v>
      </c>
      <c r="AD10" s="20" t="n">
        <f aca="false">IF(Quantiles!AD10&lt;0,"",(Depth0-MIN(Depth0,Quantiles!AD10))/Depth_per_q)</f>
        <v>2.56289750832082</v>
      </c>
      <c r="AE10" s="20" t="n">
        <f aca="false">IF(Quantiles!AE10&lt;0,"",(Depth0-MIN(Depth0,Quantiles!AE10))/Depth_per_q)</f>
        <v>2.48222190447473</v>
      </c>
      <c r="AF10" s="20" t="n">
        <f aca="false">IF(Quantiles!AF10&lt;0,"",(Depth0-MIN(Depth0,Quantiles!AF10))/Depth_per_q)</f>
        <v>2.40198413673622</v>
      </c>
      <c r="AG10" s="20" t="n">
        <f aca="false">IF(Quantiles!AG10&lt;0,"",(Depth0-MIN(Depth0,Quantiles!AG10))/Depth_per_q)</f>
        <v>2.32339106998113</v>
      </c>
      <c r="AH10" s="20" t="n">
        <f aca="false">IF(Quantiles!AH10&lt;0,"",(Depth0-MIN(Depth0,Quantiles!AH10))/Depth_per_q)</f>
        <v>2.2398431134347</v>
      </c>
      <c r="AI10" s="20" t="n">
        <f aca="false">IF(Quantiles!AI10&lt;0,"",(Depth0-MIN(Depth0,Quantiles!AI10))/Depth_per_q)</f>
        <v>2.16843115114755</v>
      </c>
      <c r="AJ10" s="20" t="n">
        <f aca="false">IF(Quantiles!AJ10&lt;0,"",(Depth0-MIN(Depth0,Quantiles!AJ10))/Depth_per_q)</f>
        <v>2.10018062953922</v>
      </c>
      <c r="AK10" s="20" t="n">
        <f aca="false">IF(Quantiles!AK10&lt;0,"",(Depth0-MIN(Depth0,Quantiles!AK10))/Depth_per_q)</f>
        <v>2.02711527265843</v>
      </c>
      <c r="AL10" s="20" t="n">
        <f aca="false">IF(Quantiles!AL10&lt;0,"",(Depth0-MIN(Depth0,Quantiles!AL10))/Depth_per_q)</f>
        <v>1.95406989516555</v>
      </c>
      <c r="AM10" s="20" t="n">
        <f aca="false">IF(Quantiles!AM10&lt;0,"",(Depth0-MIN(Depth0,Quantiles!AM10))/Depth_per_q)</f>
        <v>1.89427780262352</v>
      </c>
      <c r="AN10" s="20" t="n">
        <f aca="false">IF(Quantiles!AN10&lt;0,"",(Depth0-MIN(Depth0,Quantiles!AN10))/Depth_per_q)</f>
        <v>1.83298849705371</v>
      </c>
      <c r="AO10" s="20" t="n">
        <f aca="false">IF(Quantiles!AO10&lt;0,"",(Depth0-MIN(Depth0,Quantiles!AO10))/Depth_per_q)</f>
        <v>1.76701138577614</v>
      </c>
      <c r="AP10" s="20" t="n">
        <f aca="false">IF(Quantiles!AP10&lt;0,"",(Depth0-MIN(Depth0,Quantiles!AP10))/Depth_per_q)</f>
        <v>1.70552815629261</v>
      </c>
      <c r="AQ10" s="20" t="n">
        <f aca="false">IF(Quantiles!AQ10&lt;0,"",(Depth0-MIN(Depth0,Quantiles!AQ10))/Depth_per_q)</f>
        <v>1.64296462906576</v>
      </c>
      <c r="AR10" s="20" t="n">
        <f aca="false">IF(Quantiles!AR10&lt;0,"",(Depth0-MIN(Depth0,Quantiles!AR10))/Depth_per_q)</f>
        <v>1.58445559530689</v>
      </c>
      <c r="AS10" s="20" t="n">
        <f aca="false">IF(Quantiles!AS10&lt;0,"",(Depth0-MIN(Depth0,Quantiles!AS10))/Depth_per_q)</f>
        <v>1.52909775709459</v>
      </c>
      <c r="AT10" s="20" t="n">
        <f aca="false">IF(Quantiles!AT10&lt;0,"",(Depth0-MIN(Depth0,Quantiles!AT10))/Depth_per_q)</f>
        <v>1.47122311316219</v>
      </c>
      <c r="AU10" s="20" t="n">
        <f aca="false">IF(Quantiles!AU10&lt;0,"",(Depth0-MIN(Depth0,Quantiles!AU10))/Depth_per_q)</f>
        <v>1.41453998190167</v>
      </c>
      <c r="AV10" s="20" t="n">
        <f aca="false">IF(Quantiles!AV10&lt;0,"",(Depth0-MIN(Depth0,Quantiles!AV10))/Depth_per_q)</f>
        <v>1.35919347402906</v>
      </c>
      <c r="AW10" s="20" t="n">
        <f aca="false">IF(Quantiles!AW10&lt;0,"",(Depth0-MIN(Depth0,Quantiles!AW10))/Depth_per_q)</f>
        <v>1.31173928108584</v>
      </c>
      <c r="AX10" s="20" t="n">
        <f aca="false">IF(Quantiles!AX10&lt;0,"",(Depth0-MIN(Depth0,Quantiles!AX10))/Depth_per_q)</f>
        <v>1.26116955991878</v>
      </c>
      <c r="AY10" s="20" t="n">
        <f aca="false">IF(Quantiles!AY10&lt;0,"",(Depth0-MIN(Depth0,Quantiles!AY10))/Depth_per_q)</f>
        <v>1.21344377211886</v>
      </c>
      <c r="AZ10" s="20" t="n">
        <f aca="false">IF(Quantiles!AZ10&lt;0,"",(Depth0-MIN(Depth0,Quantiles!AZ10))/Depth_per_q)</f>
        <v>1.16051551052027</v>
      </c>
      <c r="BA10" s="20" t="n">
        <f aca="false">IF(Quantiles!BA10&lt;0,"",(Depth0-MIN(Depth0,Quantiles!BA10))/Depth_per_q)</f>
        <v>1.11110843799645</v>
      </c>
      <c r="BB10" s="20" t="n">
        <f aca="false">IF(Quantiles!BB10&lt;0,"",(Depth0-MIN(Depth0,Quantiles!BB10))/Depth_per_q)</f>
        <v>1.0674090773523</v>
      </c>
      <c r="BC10" s="20" t="n">
        <f aca="false">IF(Quantiles!BC10&lt;0,"",(Depth0-MIN(Depth0,Quantiles!BC10))/Depth_per_q)</f>
        <v>1.02370913616997</v>
      </c>
      <c r="BD10" s="20" t="n">
        <f aca="false">IF(Quantiles!BD10&lt;0,"",(Depth0-MIN(Depth0,Quantiles!BD10))/Depth_per_q)</f>
        <v>0.976756574711358</v>
      </c>
      <c r="BE10" s="20" t="n">
        <f aca="false">IF(Quantiles!BE10&lt;0,"",(Depth0-MIN(Depth0,Quantiles!BE10))/Depth_per_q)</f>
        <v>0.930149219625123</v>
      </c>
      <c r="BF10" s="20" t="n">
        <f aca="false">IF(Quantiles!BF10&lt;0,"",(Depth0-MIN(Depth0,Quantiles!BF10))/Depth_per_q)</f>
        <v>0.889283274516957</v>
      </c>
      <c r="BG10" s="20" t="n">
        <f aca="false">IF(Quantiles!BG10&lt;0,"",(Depth0-MIN(Depth0,Quantiles!BG10))/Depth_per_q)</f>
        <v>0.847044889167875</v>
      </c>
      <c r="BH10" s="20" t="n">
        <f aca="false">IF(Quantiles!BH10&lt;0,"",(Depth0-MIN(Depth0,Quantiles!BH10))/Depth_per_q)</f>
        <v>0.809047425066988</v>
      </c>
      <c r="BI10" s="20" t="n">
        <f aca="false">IF(Quantiles!BI10&lt;0,"",(Depth0-MIN(Depth0,Quantiles!BI10))/Depth_per_q)</f>
        <v>0.770366369180742</v>
      </c>
      <c r="BJ10" s="20" t="n">
        <f aca="false">IF(Quantiles!BJ10&lt;0,"",(Depth0-MIN(Depth0,Quantiles!BJ10))/Depth_per_q)</f>
        <v>0.730374016542353</v>
      </c>
      <c r="BK10" s="20" t="n">
        <f aca="false">IF(Quantiles!BK10&lt;0,"",(Depth0-MIN(Depth0,Quantiles!BK10))/Depth_per_q)</f>
        <v>0.692244245649348</v>
      </c>
      <c r="BL10" s="20" t="n">
        <f aca="false">IF(Quantiles!BL10&lt;0,"",(Depth0-MIN(Depth0,Quantiles!BL10))/Depth_per_q)</f>
        <v>0.65266359550318</v>
      </c>
      <c r="BM10" s="20" t="n">
        <f aca="false">IF(Quantiles!BM10&lt;0,"",(Depth0-MIN(Depth0,Quantiles!BM10))/Depth_per_q)</f>
        <v>0.608354275291688</v>
      </c>
      <c r="BN10" s="20" t="n">
        <f aca="false">IF(Quantiles!BN10&lt;0,"",(Depth0-MIN(Depth0,Quantiles!BN10))/Depth_per_q)</f>
        <v>0.573764930353573</v>
      </c>
      <c r="BO10" s="20" t="n">
        <f aca="false">IF(Quantiles!BO10&lt;0,"",(Depth0-MIN(Depth0,Quantiles!BO10))/Depth_per_q)</f>
        <v>0.538022936810743</v>
      </c>
      <c r="BP10" s="20" t="n">
        <f aca="false">IF(Quantiles!BP10&lt;0,"",(Depth0-MIN(Depth0,Quantiles!BP10))/Depth_per_q)</f>
        <v>0.501781245194285</v>
      </c>
      <c r="BQ10" s="20" t="n">
        <f aca="false">IF(Quantiles!BQ10&lt;0,"",(Depth0-MIN(Depth0,Quantiles!BQ10))/Depth_per_q)</f>
        <v>0.46612652586595</v>
      </c>
      <c r="BR10" s="20" t="n">
        <f aca="false">IF(Quantiles!BR10&lt;0,"",(Depth0-MIN(Depth0,Quantiles!BR10))/Depth_per_q)</f>
        <v>0.432744550035167</v>
      </c>
      <c r="BS10" s="20" t="n">
        <f aca="false">IF(Quantiles!BS10&lt;0,"",(Depth0-MIN(Depth0,Quantiles!BS10))/Depth_per_q)</f>
        <v>0.399964238590083</v>
      </c>
      <c r="BT10" s="20" t="n">
        <f aca="false">IF(Quantiles!BT10&lt;0,"",(Depth0-MIN(Depth0,Quantiles!BT10))/Depth_per_q)</f>
        <v>0.368007309810313</v>
      </c>
      <c r="BU10" s="20" t="n">
        <f aca="false">IF(Quantiles!BU10&lt;0,"",(Depth0-MIN(Depth0,Quantiles!BU10))/Depth_per_q)</f>
        <v>0.335557396298827</v>
      </c>
      <c r="BV10" s="20" t="n">
        <f aca="false">IF(Quantiles!BV10&lt;0,"",(Depth0-MIN(Depth0,Quantiles!BV10))/Depth_per_q)</f>
        <v>0.302623768841065</v>
      </c>
      <c r="BW10" s="20" t="n">
        <f aca="false">IF(Quantiles!BW10&lt;0,"",(Depth0-MIN(Depth0,Quantiles!BW10))/Depth_per_q)</f>
        <v>0.270853278666015</v>
      </c>
      <c r="BX10" s="20" t="n">
        <f aca="false">IF(Quantiles!BX10&lt;0,"",(Depth0-MIN(Depth0,Quantiles!BX10))/Depth_per_q)</f>
        <v>0.239975426928975</v>
      </c>
      <c r="BY10" s="20" t="n">
        <f aca="false">IF(Quantiles!BY10&lt;0,"",(Depth0-MIN(Depth0,Quantiles!BY10))/Depth_per_q)</f>
        <v>0.2104733023948</v>
      </c>
      <c r="BZ10" s="20" t="n">
        <f aca="false">IF(Quantiles!BZ10&lt;0,"",(Depth0-MIN(Depth0,Quantiles!BZ10))/Depth_per_q)</f>
        <v>0.181091723567235</v>
      </c>
      <c r="CA10" s="20" t="n">
        <f aca="false">IF(Quantiles!CA10&lt;0,"",(Depth0-MIN(Depth0,Quantiles!CA10))/Depth_per_q)</f>
        <v>0.14702703643202</v>
      </c>
      <c r="CB10" s="20" t="n">
        <f aca="false">IF(Quantiles!CB10&lt;0,"",(Depth0-MIN(Depth0,Quantiles!CB10))/Depth_per_q)</f>
        <v>0.115516998868403</v>
      </c>
      <c r="CC10" s="20" t="n">
        <f aca="false">IF(Quantiles!CC10&lt;0,"",(Depth0-MIN(Depth0,Quantiles!CC10))/Depth_per_q)</f>
        <v>0.0872676977942373</v>
      </c>
      <c r="CD10" s="20" t="n">
        <f aca="false">IF(Quantiles!CD10&lt;0,"",(Depth0-MIN(Depth0,Quantiles!CD10))/Depth_per_q)</f>
        <v>0.0561181581979175</v>
      </c>
      <c r="CE10" s="20" t="n">
        <f aca="false">IF(Quantiles!CE10&lt;0,"",(Depth0-MIN(Depth0,Quantiles!CE10))/Depth_per_q)</f>
        <v>0.0271974705202203</v>
      </c>
      <c r="CF10" s="20" t="n">
        <f aca="false">IF(Quantiles!CF10&lt;0,"",(Depth0-MIN(Depth0,Quantiles!CF10))/Depth_per_q)</f>
        <v>0</v>
      </c>
      <c r="CG10" s="20" t="n">
        <f aca="false">IF(Quantiles!CG10&lt;0,"",(Depth0-MIN(Depth0,Quantiles!CG10))/Depth_per_q)</f>
        <v>0</v>
      </c>
      <c r="CH10" s="20" t="n">
        <f aca="false">IF(Quantiles!CH10&lt;0,"",(Depth0-MIN(Depth0,Quantiles!CH10))/Depth_per_q)</f>
        <v>0</v>
      </c>
      <c r="CI10" s="20" t="n">
        <f aca="false">IF(Quantiles!CI10&lt;0,"",(Depth0-MIN(Depth0,Quantiles!CI10))/Depth_per_q)</f>
        <v>0</v>
      </c>
      <c r="CJ10" s="20" t="n">
        <f aca="false">IF(Quantiles!CJ10&lt;0,"",(Depth0-MIN(Depth0,Quantiles!CJ10))/Depth_per_q)</f>
        <v>0</v>
      </c>
      <c r="CK10" s="20" t="n">
        <f aca="false">IF(Quantiles!CK10&lt;0,"",(Depth0-MIN(Depth0,Quantiles!CK10))/Depth_per_q)</f>
        <v>0</v>
      </c>
      <c r="CL10" s="20" t="n">
        <f aca="false">IF(Quantiles!CL10&lt;0,"",(Depth0-MIN(Depth0,Quantiles!CL10))/Depth_per_q)</f>
        <v>0</v>
      </c>
      <c r="CM10" s="20" t="n">
        <f aca="false">IF(Quantiles!CM10&lt;0,"",(Depth0-MIN(Depth0,Quantiles!CM10))/Depth_per_q)</f>
        <v>0</v>
      </c>
      <c r="CN10" s="20" t="n">
        <f aca="false">IF(Quantiles!CN10&lt;0,"",(Depth0-MIN(Depth0,Quantiles!CN10))/Depth_per_q)</f>
        <v>0</v>
      </c>
      <c r="CO10" s="20" t="n">
        <f aca="false">IF(Quantiles!CO10&lt;0,"",(Depth0-MIN(Depth0,Quantiles!CO10))/Depth_per_q)</f>
        <v>0</v>
      </c>
      <c r="CP10" s="20" t="n">
        <f aca="false">IF(Quantiles!CP10&lt;0,"",(Depth0-MIN(Depth0,Quantiles!CP10))/Depth_per_q)</f>
        <v>0</v>
      </c>
      <c r="CQ10" s="20" t="n">
        <f aca="false">IF(Quantiles!CQ10&lt;0,"",(Depth0-MIN(Depth0,Quantiles!CQ10))/Depth_per_q)</f>
        <v>0</v>
      </c>
      <c r="CR10" s="20" t="n">
        <f aca="false">IF(Quantiles!CR10&lt;0,"",(Depth0-MIN(Depth0,Quantiles!CR10))/Depth_per_q)</f>
        <v>0</v>
      </c>
      <c r="CS10" s="20" t="n">
        <f aca="false">IF(Quantiles!CS10&lt;0,"",(Depth0-MIN(Depth0,Quantiles!CS10))/Depth_per_q)</f>
        <v>0</v>
      </c>
      <c r="CT10" s="20" t="n">
        <f aca="false">IF(Quantiles!CT10&lt;0,"",(Depth0-MIN(Depth0,Quantiles!CT10))/Depth_per_q)</f>
        <v>5.17983104307346</v>
      </c>
    </row>
    <row r="11" customFormat="false" ht="15" hidden="false" customHeight="false" outlineLevel="0" collapsed="false">
      <c r="A11" s="25" t="n">
        <f aca="false">Quantiles!A11</f>
        <v>30</v>
      </c>
      <c r="B11" s="20" t="str">
        <f aca="false">IF(Quantiles!B11&lt;0,"",(Depth0-MIN(Depth0,Quantiles!B11))/Depth_per_q)</f>
        <v/>
      </c>
      <c r="C11" s="20" t="n">
        <f aca="false">IF(Quantiles!C11&lt;0,"",(Depth0-MIN(Depth0,Quantiles!C11))/Depth_per_q)</f>
        <v>6.99625956923723</v>
      </c>
      <c r="D11" s="20" t="n">
        <f aca="false">IF(Quantiles!D11&lt;0,"",(Depth0-MIN(Depth0,Quantiles!D11))/Depth_per_q)</f>
        <v>6.54464323989294</v>
      </c>
      <c r="E11" s="20" t="n">
        <f aca="false">IF(Quantiles!E11&lt;0,"",(Depth0-MIN(Depth0,Quantiles!E11))/Depth_per_q)</f>
        <v>6.17609363270044</v>
      </c>
      <c r="F11" s="20" t="n">
        <f aca="false">IF(Quantiles!F11&lt;0,"",(Depth0-MIN(Depth0,Quantiles!F11))/Depth_per_q)</f>
        <v>5.90429729601872</v>
      </c>
      <c r="G11" s="20" t="n">
        <f aca="false">IF(Quantiles!G11&lt;0,"",(Depth0-MIN(Depth0,Quantiles!G11))/Depth_per_q)</f>
        <v>5.63551945825179</v>
      </c>
      <c r="H11" s="20" t="n">
        <f aca="false">IF(Quantiles!H11&lt;0,"",(Depth0-MIN(Depth0,Quantiles!H11))/Depth_per_q)</f>
        <v>5.36293043040538</v>
      </c>
      <c r="I11" s="20" t="n">
        <f aca="false">IF(Quantiles!I11&lt;0,"",(Depth0-MIN(Depth0,Quantiles!I11))/Depth_per_q)</f>
        <v>5.1144558663509</v>
      </c>
      <c r="J11" s="20" t="n">
        <f aca="false">IF(Quantiles!J11&lt;0,"",(Depth0-MIN(Depth0,Quantiles!J11))/Depth_per_q)</f>
        <v>4.90788677177803</v>
      </c>
      <c r="K11" s="20" t="n">
        <f aca="false">IF(Quantiles!K11&lt;0,"",(Depth0-MIN(Depth0,Quantiles!K11))/Depth_per_q)</f>
        <v>4.68058572260971</v>
      </c>
      <c r="L11" s="20" t="n">
        <f aca="false">IF(Quantiles!L11&lt;0,"",(Depth0-MIN(Depth0,Quantiles!L11))/Depth_per_q)</f>
        <v>4.4906328734</v>
      </c>
      <c r="M11" s="20" t="n">
        <f aca="false">IF(Quantiles!M11&lt;0,"",(Depth0-MIN(Depth0,Quantiles!M11))/Depth_per_q)</f>
        <v>4.31435165611249</v>
      </c>
      <c r="N11" s="20" t="n">
        <f aca="false">IF(Quantiles!N11&lt;0,"",(Depth0-MIN(Depth0,Quantiles!N11))/Depth_per_q)</f>
        <v>4.15996961731935</v>
      </c>
      <c r="O11" s="20" t="n">
        <f aca="false">IF(Quantiles!O11&lt;0,"",(Depth0-MIN(Depth0,Quantiles!O11))/Depth_per_q)</f>
        <v>4.00838580378028</v>
      </c>
      <c r="P11" s="20" t="n">
        <f aca="false">IF(Quantiles!P11&lt;0,"",(Depth0-MIN(Depth0,Quantiles!P11))/Depth_per_q)</f>
        <v>3.86537522017512</v>
      </c>
      <c r="Q11" s="20" t="n">
        <f aca="false">IF(Quantiles!Q11&lt;0,"",(Depth0-MIN(Depth0,Quantiles!Q11))/Depth_per_q)</f>
        <v>3.71717017142353</v>
      </c>
      <c r="R11" s="20" t="n">
        <f aca="false">IF(Quantiles!R11&lt;0,"",(Depth0-MIN(Depth0,Quantiles!R11))/Depth_per_q)</f>
        <v>3.57875866137062</v>
      </c>
      <c r="S11" s="20" t="n">
        <f aca="false">IF(Quantiles!S11&lt;0,"",(Depth0-MIN(Depth0,Quantiles!S11))/Depth_per_q)</f>
        <v>3.45471029956661</v>
      </c>
      <c r="T11" s="20" t="n">
        <f aca="false">IF(Quantiles!T11&lt;0,"",(Depth0-MIN(Depth0,Quantiles!T11))/Depth_per_q)</f>
        <v>3.32941236635823</v>
      </c>
      <c r="U11" s="20" t="n">
        <f aca="false">IF(Quantiles!U11&lt;0,"",(Depth0-MIN(Depth0,Quantiles!U11))/Depth_per_q)</f>
        <v>3.22185703534725</v>
      </c>
      <c r="V11" s="20" t="n">
        <f aca="false">IF(Quantiles!V11&lt;0,"",(Depth0-MIN(Depth0,Quantiles!V11))/Depth_per_q)</f>
        <v>3.10932271612293</v>
      </c>
      <c r="W11" s="20" t="n">
        <f aca="false">IF(Quantiles!W11&lt;0,"",(Depth0-MIN(Depth0,Quantiles!W11))/Depth_per_q)</f>
        <v>3.00986140233595</v>
      </c>
      <c r="X11" s="20" t="n">
        <f aca="false">IF(Quantiles!X11&lt;0,"",(Depth0-MIN(Depth0,Quantiles!X11))/Depth_per_q)</f>
        <v>2.9075875658263</v>
      </c>
      <c r="Y11" s="20" t="n">
        <f aca="false">IF(Quantiles!Y11&lt;0,"",(Depth0-MIN(Depth0,Quantiles!Y11))/Depth_per_q)</f>
        <v>2.81207767842569</v>
      </c>
      <c r="Z11" s="20" t="n">
        <f aca="false">IF(Quantiles!Z11&lt;0,"",(Depth0-MIN(Depth0,Quantiles!Z11))/Depth_per_q)</f>
        <v>2.71085545676604</v>
      </c>
      <c r="AA11" s="20" t="n">
        <f aca="false">IF(Quantiles!AA11&lt;0,"",(Depth0-MIN(Depth0,Quantiles!AA11))/Depth_per_q)</f>
        <v>2.62466713037077</v>
      </c>
      <c r="AB11" s="20" t="n">
        <f aca="false">IF(Quantiles!AB11&lt;0,"",(Depth0-MIN(Depth0,Quantiles!AB11))/Depth_per_q)</f>
        <v>2.5433246775834</v>
      </c>
      <c r="AC11" s="20" t="n">
        <f aca="false">IF(Quantiles!AC11&lt;0,"",(Depth0-MIN(Depth0,Quantiles!AC11))/Depth_per_q)</f>
        <v>2.46244511807663</v>
      </c>
      <c r="AD11" s="20" t="n">
        <f aca="false">IF(Quantiles!AD11&lt;0,"",(Depth0-MIN(Depth0,Quantiles!AD11))/Depth_per_q)</f>
        <v>2.37666909312975</v>
      </c>
      <c r="AE11" s="20" t="n">
        <f aca="false">IF(Quantiles!AE11&lt;0,"",(Depth0-MIN(Depth0,Quantiles!AE11))/Depth_per_q)</f>
        <v>2.29037443059472</v>
      </c>
      <c r="AF11" s="20" t="n">
        <f aca="false">IF(Quantiles!AF11&lt;0,"",(Depth0-MIN(Depth0,Quantiles!AF11))/Depth_per_q)</f>
        <v>2.22007495278035</v>
      </c>
      <c r="AG11" s="20" t="n">
        <f aca="false">IF(Quantiles!AG11&lt;0,"",(Depth0-MIN(Depth0,Quantiles!AG11))/Depth_per_q)</f>
        <v>2.13565240338856</v>
      </c>
      <c r="AH11" s="20" t="n">
        <f aca="false">IF(Quantiles!AH11&lt;0,"",(Depth0-MIN(Depth0,Quantiles!AH11))/Depth_per_q)</f>
        <v>2.06229870566413</v>
      </c>
      <c r="AI11" s="20" t="n">
        <f aca="false">IF(Quantiles!AI11&lt;0,"",(Depth0-MIN(Depth0,Quantiles!AI11))/Depth_per_q)</f>
        <v>1.98906124040335</v>
      </c>
      <c r="AJ11" s="20" t="n">
        <f aca="false">IF(Quantiles!AJ11&lt;0,"",(Depth0-MIN(Depth0,Quantiles!AJ11))/Depth_per_q)</f>
        <v>1.92352928311854</v>
      </c>
      <c r="AK11" s="20" t="n">
        <f aca="false">IF(Quantiles!AK11&lt;0,"",(Depth0-MIN(Depth0,Quantiles!AK11))/Depth_per_q)</f>
        <v>1.85686926350313</v>
      </c>
      <c r="AL11" s="20" t="n">
        <f aca="false">IF(Quantiles!AL11&lt;0,"",(Depth0-MIN(Depth0,Quantiles!AL11))/Depth_per_q)</f>
        <v>1.79182255256273</v>
      </c>
      <c r="AM11" s="20" t="n">
        <f aca="false">IF(Quantiles!AM11&lt;0,"",(Depth0-MIN(Depth0,Quantiles!AM11))/Depth_per_q)</f>
        <v>1.72129805862823</v>
      </c>
      <c r="AN11" s="20" t="n">
        <f aca="false">IF(Quantiles!AN11&lt;0,"",(Depth0-MIN(Depth0,Quantiles!AN11))/Depth_per_q)</f>
        <v>1.65990371956067</v>
      </c>
      <c r="AO11" s="20" t="n">
        <f aca="false">IF(Quantiles!AO11&lt;0,"",(Depth0-MIN(Depth0,Quantiles!AO11))/Depth_per_q)</f>
        <v>1.6057537671228</v>
      </c>
      <c r="AP11" s="20" t="n">
        <f aca="false">IF(Quantiles!AP11&lt;0,"",(Depth0-MIN(Depth0,Quantiles!AP11))/Depth_per_q)</f>
        <v>1.54973818123371</v>
      </c>
      <c r="AQ11" s="20" t="n">
        <f aca="false">IF(Quantiles!AQ11&lt;0,"",(Depth0-MIN(Depth0,Quantiles!AQ11))/Depth_per_q)</f>
        <v>1.49428029761762</v>
      </c>
      <c r="AR11" s="20" t="n">
        <f aca="false">IF(Quantiles!AR11&lt;0,"",(Depth0-MIN(Depth0,Quantiles!AR11))/Depth_per_q)</f>
        <v>1.43784239391702</v>
      </c>
      <c r="AS11" s="20" t="n">
        <f aca="false">IF(Quantiles!AS11&lt;0,"",(Depth0-MIN(Depth0,Quantiles!AS11))/Depth_per_q)</f>
        <v>1.3852903425748</v>
      </c>
      <c r="AT11" s="20" t="n">
        <f aca="false">IF(Quantiles!AT11&lt;0,"",(Depth0-MIN(Depth0,Quantiles!AT11))/Depth_per_q)</f>
        <v>1.33575590820394</v>
      </c>
      <c r="AU11" s="20" t="n">
        <f aca="false">IF(Quantiles!AU11&lt;0,"",(Depth0-MIN(Depth0,Quantiles!AU11))/Depth_per_q)</f>
        <v>1.27925679136176</v>
      </c>
      <c r="AV11" s="20" t="n">
        <f aca="false">IF(Quantiles!AV11&lt;0,"",(Depth0-MIN(Depth0,Quantiles!AV11))/Depth_per_q)</f>
        <v>1.23168158402736</v>
      </c>
      <c r="AW11" s="20" t="n">
        <f aca="false">IF(Quantiles!AW11&lt;0,"",(Depth0-MIN(Depth0,Quantiles!AW11))/Depth_per_q)</f>
        <v>1.17977269917485</v>
      </c>
      <c r="AX11" s="20" t="n">
        <f aca="false">IF(Quantiles!AX11&lt;0,"",(Depth0-MIN(Depth0,Quantiles!AX11))/Depth_per_q)</f>
        <v>1.12951378533279</v>
      </c>
      <c r="AY11" s="20" t="n">
        <f aca="false">IF(Quantiles!AY11&lt;0,"",(Depth0-MIN(Depth0,Quantiles!AY11))/Depth_per_q)</f>
        <v>1.08239709453135</v>
      </c>
      <c r="AZ11" s="20" t="n">
        <f aca="false">IF(Quantiles!AZ11&lt;0,"",(Depth0-MIN(Depth0,Quantiles!AZ11))/Depth_per_q)</f>
        <v>1.03611726913267</v>
      </c>
      <c r="BA11" s="20" t="n">
        <f aca="false">IF(Quantiles!BA11&lt;0,"",(Depth0-MIN(Depth0,Quantiles!BA11))/Depth_per_q)</f>
        <v>0.99253068307304</v>
      </c>
      <c r="BB11" s="20" t="n">
        <f aca="false">IF(Quantiles!BB11&lt;0,"",(Depth0-MIN(Depth0,Quantiles!BB11))/Depth_per_q)</f>
        <v>0.94290952570154</v>
      </c>
      <c r="BC11" s="20" t="n">
        <f aca="false">IF(Quantiles!BC11&lt;0,"",(Depth0-MIN(Depth0,Quantiles!BC11))/Depth_per_q)</f>
        <v>0.901104911995985</v>
      </c>
      <c r="BD11" s="20" t="n">
        <f aca="false">IF(Quantiles!BD11&lt;0,"",(Depth0-MIN(Depth0,Quantiles!BD11))/Depth_per_q)</f>
        <v>0.86281450983403</v>
      </c>
      <c r="BE11" s="20" t="n">
        <f aca="false">IF(Quantiles!BE11&lt;0,"",(Depth0-MIN(Depth0,Quantiles!BE11))/Depth_per_q)</f>
        <v>0.821885935282213</v>
      </c>
      <c r="BF11" s="20" t="n">
        <f aca="false">IF(Quantiles!BF11&lt;0,"",(Depth0-MIN(Depth0,Quantiles!BF11))/Depth_per_q)</f>
        <v>0.780010050568315</v>
      </c>
      <c r="BG11" s="20" t="n">
        <f aca="false">IF(Quantiles!BG11&lt;0,"",(Depth0-MIN(Depth0,Quantiles!BG11))/Depth_per_q)</f>
        <v>0.736957711865857</v>
      </c>
      <c r="BH11" s="20" t="n">
        <f aca="false">IF(Quantiles!BH11&lt;0,"",(Depth0-MIN(Depth0,Quantiles!BH11))/Depth_per_q)</f>
        <v>0.69550309820498</v>
      </c>
      <c r="BI11" s="20" t="n">
        <f aca="false">IF(Quantiles!BI11&lt;0,"",(Depth0-MIN(Depth0,Quantiles!BI11))/Depth_per_q)</f>
        <v>0.658618053379535</v>
      </c>
      <c r="BJ11" s="20" t="n">
        <f aca="false">IF(Quantiles!BJ11&lt;0,"",(Depth0-MIN(Depth0,Quantiles!BJ11))/Depth_per_q)</f>
        <v>0.620101793529337</v>
      </c>
      <c r="BK11" s="20" t="n">
        <f aca="false">IF(Quantiles!BK11&lt;0,"",(Depth0-MIN(Depth0,Quantiles!BK11))/Depth_per_q)</f>
        <v>0.583644830051727</v>
      </c>
      <c r="BL11" s="20" t="n">
        <f aca="false">IF(Quantiles!BL11&lt;0,"",(Depth0-MIN(Depth0,Quantiles!BL11))/Depth_per_q)</f>
        <v>0.549112696361473</v>
      </c>
      <c r="BM11" s="20" t="n">
        <f aca="false">IF(Quantiles!BM11&lt;0,"",(Depth0-MIN(Depth0,Quantiles!BM11))/Depth_per_q)</f>
        <v>0.513520526717668</v>
      </c>
      <c r="BN11" s="20" t="n">
        <f aca="false">IF(Quantiles!BN11&lt;0,"",(Depth0-MIN(Depth0,Quantiles!BN11))/Depth_per_q)</f>
        <v>0.48018723552277</v>
      </c>
      <c r="BO11" s="20" t="n">
        <f aca="false">IF(Quantiles!BO11&lt;0,"",(Depth0-MIN(Depth0,Quantiles!BO11))/Depth_per_q)</f>
        <v>0.44599298834432</v>
      </c>
      <c r="BP11" s="20" t="n">
        <f aca="false">IF(Quantiles!BP11&lt;0,"",(Depth0-MIN(Depth0,Quantiles!BP11))/Depth_per_q)</f>
        <v>0.40981916851338</v>
      </c>
      <c r="BQ11" s="20" t="n">
        <f aca="false">IF(Quantiles!BQ11&lt;0,"",(Depth0-MIN(Depth0,Quantiles!BQ11))/Depth_per_q)</f>
        <v>0.375902026107475</v>
      </c>
      <c r="BR11" s="20" t="n">
        <f aca="false">IF(Quantiles!BR11&lt;0,"",(Depth0-MIN(Depth0,Quantiles!BR11))/Depth_per_q)</f>
        <v>0.345281337059897</v>
      </c>
      <c r="BS11" s="20" t="n">
        <f aca="false">IF(Quantiles!BS11&lt;0,"",(Depth0-MIN(Depth0,Quantiles!BS11))/Depth_per_q)</f>
        <v>0.312046717832223</v>
      </c>
      <c r="BT11" s="20" t="n">
        <f aca="false">IF(Quantiles!BT11&lt;0,"",(Depth0-MIN(Depth0,Quantiles!BT11))/Depth_per_q)</f>
        <v>0.276479522364418</v>
      </c>
      <c r="BU11" s="20" t="n">
        <f aca="false">IF(Quantiles!BU11&lt;0,"",(Depth0-MIN(Depth0,Quantiles!BU11))/Depth_per_q)</f>
        <v>0.246355447195075</v>
      </c>
      <c r="BV11" s="20" t="n">
        <f aca="false">IF(Quantiles!BV11&lt;0,"",(Depth0-MIN(Depth0,Quantiles!BV11))/Depth_per_q)</f>
        <v>0.21431352544959</v>
      </c>
      <c r="BW11" s="20" t="n">
        <f aca="false">IF(Quantiles!BW11&lt;0,"",(Depth0-MIN(Depth0,Quantiles!BW11))/Depth_per_q)</f>
        <v>0.186065776568745</v>
      </c>
      <c r="BX11" s="20" t="n">
        <f aca="false">IF(Quantiles!BX11&lt;0,"",(Depth0-MIN(Depth0,Quantiles!BX11))/Depth_per_q)</f>
        <v>0.156222416934683</v>
      </c>
      <c r="BY11" s="20" t="n">
        <f aca="false">IF(Quantiles!BY11&lt;0,"",(Depth0-MIN(Depth0,Quantiles!BY11))/Depth_per_q)</f>
        <v>0.12594977783773</v>
      </c>
      <c r="BZ11" s="20" t="n">
        <f aca="false">IF(Quantiles!BZ11&lt;0,"",(Depth0-MIN(Depth0,Quantiles!BZ11))/Depth_per_q)</f>
        <v>0.0963330490070353</v>
      </c>
      <c r="CA11" s="20" t="n">
        <f aca="false">IF(Quantiles!CA11&lt;0,"",(Depth0-MIN(Depth0,Quantiles!CA11))/Depth_per_q)</f>
        <v>0.0677933089228553</v>
      </c>
      <c r="CB11" s="20" t="n">
        <f aca="false">IF(Quantiles!CB11&lt;0,"",(Depth0-MIN(Depth0,Quantiles!CB11))/Depth_per_q)</f>
        <v>0.0376472927586047</v>
      </c>
      <c r="CC11" s="20" t="n">
        <f aca="false">IF(Quantiles!CC11&lt;0,"",(Depth0-MIN(Depth0,Quantiles!CC11))/Depth_per_q)</f>
        <v>0.0112593811084603</v>
      </c>
      <c r="CD11" s="20" t="n">
        <f aca="false">IF(Quantiles!CD11&lt;0,"",(Depth0-MIN(Depth0,Quantiles!CD11))/Depth_per_q)</f>
        <v>0</v>
      </c>
      <c r="CE11" s="20" t="n">
        <f aca="false">IF(Quantiles!CE11&lt;0,"",(Depth0-MIN(Depth0,Quantiles!CE11))/Depth_per_q)</f>
        <v>0</v>
      </c>
      <c r="CF11" s="20" t="n">
        <f aca="false">IF(Quantiles!CF11&lt;0,"",(Depth0-MIN(Depth0,Quantiles!CF11))/Depth_per_q)</f>
        <v>0</v>
      </c>
      <c r="CG11" s="20" t="n">
        <f aca="false">IF(Quantiles!CG11&lt;0,"",(Depth0-MIN(Depth0,Quantiles!CG11))/Depth_per_q)</f>
        <v>0</v>
      </c>
      <c r="CH11" s="20" t="n">
        <f aca="false">IF(Quantiles!CH11&lt;0,"",(Depth0-MIN(Depth0,Quantiles!CH11))/Depth_per_q)</f>
        <v>0</v>
      </c>
      <c r="CI11" s="20" t="n">
        <f aca="false">IF(Quantiles!CI11&lt;0,"",(Depth0-MIN(Depth0,Quantiles!CI11))/Depth_per_q)</f>
        <v>0</v>
      </c>
      <c r="CJ11" s="20" t="n">
        <f aca="false">IF(Quantiles!CJ11&lt;0,"",(Depth0-MIN(Depth0,Quantiles!CJ11))/Depth_per_q)</f>
        <v>0</v>
      </c>
      <c r="CK11" s="20" t="n">
        <f aca="false">IF(Quantiles!CK11&lt;0,"",(Depth0-MIN(Depth0,Quantiles!CK11))/Depth_per_q)</f>
        <v>0</v>
      </c>
      <c r="CL11" s="20" t="n">
        <f aca="false">IF(Quantiles!CL11&lt;0,"",(Depth0-MIN(Depth0,Quantiles!CL11))/Depth_per_q)</f>
        <v>0</v>
      </c>
      <c r="CM11" s="20" t="n">
        <f aca="false">IF(Quantiles!CM11&lt;0,"",(Depth0-MIN(Depth0,Quantiles!CM11))/Depth_per_q)</f>
        <v>0</v>
      </c>
      <c r="CN11" s="20" t="n">
        <f aca="false">IF(Quantiles!CN11&lt;0,"",(Depth0-MIN(Depth0,Quantiles!CN11))/Depth_per_q)</f>
        <v>0</v>
      </c>
      <c r="CO11" s="20" t="n">
        <f aca="false">IF(Quantiles!CO11&lt;0,"",(Depth0-MIN(Depth0,Quantiles!CO11))/Depth_per_q)</f>
        <v>0</v>
      </c>
      <c r="CP11" s="20" t="n">
        <f aca="false">IF(Quantiles!CP11&lt;0,"",(Depth0-MIN(Depth0,Quantiles!CP11))/Depth_per_q)</f>
        <v>0</v>
      </c>
      <c r="CQ11" s="20" t="n">
        <f aca="false">IF(Quantiles!CQ11&lt;0,"",(Depth0-MIN(Depth0,Quantiles!CQ11))/Depth_per_q)</f>
        <v>0</v>
      </c>
      <c r="CR11" s="20" t="n">
        <f aca="false">IF(Quantiles!CR11&lt;0,"",(Depth0-MIN(Depth0,Quantiles!CR11))/Depth_per_q)</f>
        <v>0</v>
      </c>
      <c r="CS11" s="20" t="n">
        <f aca="false">IF(Quantiles!CS11&lt;0,"",(Depth0-MIN(Depth0,Quantiles!CS11))/Depth_per_q)</f>
        <v>0</v>
      </c>
      <c r="CT11" s="20" t="n">
        <f aca="false">IF(Quantiles!CT11&lt;0,"",(Depth0-MIN(Depth0,Quantiles!CT11))/Depth_per_q)</f>
        <v>4.90578014373322</v>
      </c>
    </row>
    <row r="12" customFormat="false" ht="15" hidden="false" customHeight="false" outlineLevel="0" collapsed="false">
      <c r="A12" s="25" t="n">
        <f aca="false">Quantiles!A12</f>
        <v>35</v>
      </c>
      <c r="B12" s="20" t="str">
        <f aca="false">IF(Quantiles!B12&lt;0,"",(Depth0-MIN(Depth0,Quantiles!B12))/Depth_per_q)</f>
        <v/>
      </c>
      <c r="C12" s="20" t="n">
        <f aca="false">IF(Quantiles!C12&lt;0,"",(Depth0-MIN(Depth0,Quantiles!C12))/Depth_per_q)</f>
        <v>6.6535422861547</v>
      </c>
      <c r="D12" s="20" t="n">
        <f aca="false">IF(Quantiles!D12&lt;0,"",(Depth0-MIN(Depth0,Quantiles!D12))/Depth_per_q)</f>
        <v>6.22056358167322</v>
      </c>
      <c r="E12" s="20" t="n">
        <f aca="false">IF(Quantiles!E12&lt;0,"",(Depth0-MIN(Depth0,Quantiles!E12))/Depth_per_q)</f>
        <v>5.86838218213949</v>
      </c>
      <c r="F12" s="20" t="n">
        <f aca="false">IF(Quantiles!F12&lt;0,"",(Depth0-MIN(Depth0,Quantiles!F12))/Depth_per_q)</f>
        <v>5.59933840588358</v>
      </c>
      <c r="G12" s="20" t="n">
        <f aca="false">IF(Quantiles!G12&lt;0,"",(Depth0-MIN(Depth0,Quantiles!G12))/Depth_per_q)</f>
        <v>5.35057820245084</v>
      </c>
      <c r="H12" s="20" t="n">
        <f aca="false">IF(Quantiles!H12&lt;0,"",(Depth0-MIN(Depth0,Quantiles!H12))/Depth_per_q)</f>
        <v>5.08364486902022</v>
      </c>
      <c r="I12" s="20" t="n">
        <f aca="false">IF(Quantiles!I12&lt;0,"",(Depth0-MIN(Depth0,Quantiles!I12))/Depth_per_q)</f>
        <v>4.84817983222024</v>
      </c>
      <c r="J12" s="20" t="n">
        <f aca="false">IF(Quantiles!J12&lt;0,"",(Depth0-MIN(Depth0,Quantiles!J12))/Depth_per_q)</f>
        <v>4.61322331859377</v>
      </c>
      <c r="K12" s="20" t="n">
        <f aca="false">IF(Quantiles!K12&lt;0,"",(Depth0-MIN(Depth0,Quantiles!K12))/Depth_per_q)</f>
        <v>4.41539207011426</v>
      </c>
      <c r="L12" s="20" t="n">
        <f aca="false">IF(Quantiles!L12&lt;0,"",(Depth0-MIN(Depth0,Quantiles!L12))/Depth_per_q)</f>
        <v>4.22787666734964</v>
      </c>
      <c r="M12" s="20" t="n">
        <f aca="false">IF(Quantiles!M12&lt;0,"",(Depth0-MIN(Depth0,Quantiles!M12))/Depth_per_q)</f>
        <v>4.07228571755357</v>
      </c>
      <c r="N12" s="20" t="n">
        <f aca="false">IF(Quantiles!N12&lt;0,"",(Depth0-MIN(Depth0,Quantiles!N12))/Depth_per_q)</f>
        <v>3.91451840402506</v>
      </c>
      <c r="O12" s="20" t="n">
        <f aca="false">IF(Quantiles!O12&lt;0,"",(Depth0-MIN(Depth0,Quantiles!O12))/Depth_per_q)</f>
        <v>3.76573196483956</v>
      </c>
      <c r="P12" s="20" t="n">
        <f aca="false">IF(Quantiles!P12&lt;0,"",(Depth0-MIN(Depth0,Quantiles!P12))/Depth_per_q)</f>
        <v>3.61646885858459</v>
      </c>
      <c r="Q12" s="20" t="n">
        <f aca="false">IF(Quantiles!Q12&lt;0,"",(Depth0-MIN(Depth0,Quantiles!Q12))/Depth_per_q)</f>
        <v>3.47285501460522</v>
      </c>
      <c r="R12" s="20" t="n">
        <f aca="false">IF(Quantiles!R12&lt;0,"",(Depth0-MIN(Depth0,Quantiles!R12))/Depth_per_q)</f>
        <v>3.34703761858741</v>
      </c>
      <c r="S12" s="20" t="n">
        <f aca="false">IF(Quantiles!S12&lt;0,"",(Depth0-MIN(Depth0,Quantiles!S12))/Depth_per_q)</f>
        <v>3.22154845883411</v>
      </c>
      <c r="T12" s="20" t="n">
        <f aca="false">IF(Quantiles!T12&lt;0,"",(Depth0-MIN(Depth0,Quantiles!T12))/Depth_per_q)</f>
        <v>3.10036584900212</v>
      </c>
      <c r="U12" s="20" t="n">
        <f aca="false">IF(Quantiles!U12&lt;0,"",(Depth0-MIN(Depth0,Quantiles!U12))/Depth_per_q)</f>
        <v>3.00632450546301</v>
      </c>
      <c r="V12" s="20" t="n">
        <f aca="false">IF(Quantiles!V12&lt;0,"",(Depth0-MIN(Depth0,Quantiles!V12))/Depth_per_q)</f>
        <v>2.90036210167555</v>
      </c>
      <c r="W12" s="20" t="n">
        <f aca="false">IF(Quantiles!W12&lt;0,"",(Depth0-MIN(Depth0,Quantiles!W12))/Depth_per_q)</f>
        <v>2.79866122135129</v>
      </c>
      <c r="X12" s="20" t="n">
        <f aca="false">IF(Quantiles!X12&lt;0,"",(Depth0-MIN(Depth0,Quantiles!X12))/Depth_per_q)</f>
        <v>2.69943387863692</v>
      </c>
      <c r="Y12" s="20" t="n">
        <f aca="false">IF(Quantiles!Y12&lt;0,"",(Depth0-MIN(Depth0,Quantiles!Y12))/Depth_per_q)</f>
        <v>2.60659101180718</v>
      </c>
      <c r="Z12" s="20" t="n">
        <f aca="false">IF(Quantiles!Z12&lt;0,"",(Depth0-MIN(Depth0,Quantiles!Z12))/Depth_per_q)</f>
        <v>2.51728687243941</v>
      </c>
      <c r="AA12" s="20" t="n">
        <f aca="false">IF(Quantiles!AA12&lt;0,"",(Depth0-MIN(Depth0,Quantiles!AA12))/Depth_per_q)</f>
        <v>2.43457885454748</v>
      </c>
      <c r="AB12" s="20" t="n">
        <f aca="false">IF(Quantiles!AB12&lt;0,"",(Depth0-MIN(Depth0,Quantiles!AB12))/Depth_per_q)</f>
        <v>2.34705579068734</v>
      </c>
      <c r="AC12" s="20" t="n">
        <f aca="false">IF(Quantiles!AC12&lt;0,"",(Depth0-MIN(Depth0,Quantiles!AC12))/Depth_per_q)</f>
        <v>2.27035186543157</v>
      </c>
      <c r="AD12" s="20" t="n">
        <f aca="false">IF(Quantiles!AD12&lt;0,"",(Depth0-MIN(Depth0,Quantiles!AD12))/Depth_per_q)</f>
        <v>2.19131681187649</v>
      </c>
      <c r="AE12" s="20" t="n">
        <f aca="false">IF(Quantiles!AE12&lt;0,"",(Depth0-MIN(Depth0,Quantiles!AE12))/Depth_per_q)</f>
        <v>2.10409499273498</v>
      </c>
      <c r="AF12" s="20" t="n">
        <f aca="false">IF(Quantiles!AF12&lt;0,"",(Depth0-MIN(Depth0,Quantiles!AF12))/Depth_per_q)</f>
        <v>2.03489045605127</v>
      </c>
      <c r="AG12" s="20" t="n">
        <f aca="false">IF(Quantiles!AG12&lt;0,"",(Depth0-MIN(Depth0,Quantiles!AG12))/Depth_per_q)</f>
        <v>1.95950939000436</v>
      </c>
      <c r="AH12" s="20" t="n">
        <f aca="false">IF(Quantiles!AH12&lt;0,"",(Depth0-MIN(Depth0,Quantiles!AH12))/Depth_per_q)</f>
        <v>1.89279364102747</v>
      </c>
      <c r="AI12" s="20" t="n">
        <f aca="false">IF(Quantiles!AI12&lt;0,"",(Depth0-MIN(Depth0,Quantiles!AI12))/Depth_per_q)</f>
        <v>1.82373025755157</v>
      </c>
      <c r="AJ12" s="20" t="n">
        <f aca="false">IF(Quantiles!AJ12&lt;0,"",(Depth0-MIN(Depth0,Quantiles!AJ12))/Depth_per_q)</f>
        <v>1.76266090617315</v>
      </c>
      <c r="AK12" s="20" t="n">
        <f aca="false">IF(Quantiles!AK12&lt;0,"",(Depth0-MIN(Depth0,Quantiles!AK12))/Depth_per_q)</f>
        <v>1.69688911081561</v>
      </c>
      <c r="AL12" s="20" t="n">
        <f aca="false">IF(Quantiles!AL12&lt;0,"",(Depth0-MIN(Depth0,Quantiles!AL12))/Depth_per_q)</f>
        <v>1.63301032140548</v>
      </c>
      <c r="AM12" s="20" t="n">
        <f aca="false">IF(Quantiles!AM12&lt;0,"",(Depth0-MIN(Depth0,Quantiles!AM12))/Depth_per_q)</f>
        <v>1.56640149302321</v>
      </c>
      <c r="AN12" s="20" t="n">
        <f aca="false">IF(Quantiles!AN12&lt;0,"",(Depth0-MIN(Depth0,Quantiles!AN12))/Depth_per_q)</f>
        <v>1.50847992351821</v>
      </c>
      <c r="AO12" s="20" t="n">
        <f aca="false">IF(Quantiles!AO12&lt;0,"",(Depth0-MIN(Depth0,Quantiles!AO12))/Depth_per_q)</f>
        <v>1.45168456617514</v>
      </c>
      <c r="AP12" s="20" t="n">
        <f aca="false">IF(Quantiles!AP12&lt;0,"",(Depth0-MIN(Depth0,Quantiles!AP12))/Depth_per_q)</f>
        <v>1.39870343981458</v>
      </c>
      <c r="AQ12" s="20" t="n">
        <f aca="false">IF(Quantiles!AQ12&lt;0,"",(Depth0-MIN(Depth0,Quantiles!AQ12))/Depth_per_q)</f>
        <v>1.3448063603911</v>
      </c>
      <c r="AR12" s="20" t="n">
        <f aca="false">IF(Quantiles!AR12&lt;0,"",(Depth0-MIN(Depth0,Quantiles!AR12))/Depth_per_q)</f>
        <v>1.29388905127516</v>
      </c>
      <c r="AS12" s="20" t="n">
        <f aca="false">IF(Quantiles!AS12&lt;0,"",(Depth0-MIN(Depth0,Quantiles!AS12))/Depth_per_q)</f>
        <v>1.2424355914713</v>
      </c>
      <c r="AT12" s="20" t="n">
        <f aca="false">IF(Quantiles!AT12&lt;0,"",(Depth0-MIN(Depth0,Quantiles!AT12))/Depth_per_q)</f>
        <v>1.19943435582394</v>
      </c>
      <c r="AU12" s="20" t="n">
        <f aca="false">IF(Quantiles!AU12&lt;0,"",(Depth0-MIN(Depth0,Quantiles!AU12))/Depth_per_q)</f>
        <v>1.15102399704039</v>
      </c>
      <c r="AV12" s="20" t="n">
        <f aca="false">IF(Quantiles!AV12&lt;0,"",(Depth0-MIN(Depth0,Quantiles!AV12))/Depth_per_q)</f>
        <v>1.10570402186352</v>
      </c>
      <c r="AW12" s="20" t="n">
        <f aca="false">IF(Quantiles!AW12&lt;0,"",(Depth0-MIN(Depth0,Quantiles!AW12))/Depth_per_q)</f>
        <v>1.0548879590835</v>
      </c>
      <c r="AX12" s="20" t="n">
        <f aca="false">IF(Quantiles!AX12&lt;0,"",(Depth0-MIN(Depth0,Quantiles!AX12))/Depth_per_q)</f>
        <v>1.00781411937365</v>
      </c>
      <c r="AY12" s="20" t="n">
        <f aca="false">IF(Quantiles!AY12&lt;0,"",(Depth0-MIN(Depth0,Quantiles!AY12))/Depth_per_q)</f>
        <v>0.960960335970933</v>
      </c>
      <c r="AZ12" s="20" t="n">
        <f aca="false">IF(Quantiles!AZ12&lt;0,"",(Depth0-MIN(Depth0,Quantiles!AZ12))/Depth_per_q)</f>
        <v>0.917629471723955</v>
      </c>
      <c r="BA12" s="20" t="n">
        <f aca="false">IF(Quantiles!BA12&lt;0,"",(Depth0-MIN(Depth0,Quantiles!BA12))/Depth_per_q)</f>
        <v>0.877346321146395</v>
      </c>
      <c r="BB12" s="20" t="n">
        <f aca="false">IF(Quantiles!BB12&lt;0,"",(Depth0-MIN(Depth0,Quantiles!BB12))/Depth_per_q)</f>
        <v>0.831954451195345</v>
      </c>
      <c r="BC12" s="20" t="n">
        <f aca="false">IF(Quantiles!BC12&lt;0,"",(Depth0-MIN(Depth0,Quantiles!BC12))/Depth_per_q)</f>
        <v>0.792921232231962</v>
      </c>
      <c r="BD12" s="20" t="n">
        <f aca="false">IF(Quantiles!BD12&lt;0,"",(Depth0-MIN(Depth0,Quantiles!BD12))/Depth_per_q)</f>
        <v>0.746585859184075</v>
      </c>
      <c r="BE12" s="20" t="n">
        <f aca="false">IF(Quantiles!BE12&lt;0,"",(Depth0-MIN(Depth0,Quantiles!BE12))/Depth_per_q)</f>
        <v>0.706975153274335</v>
      </c>
      <c r="BF12" s="20" t="n">
        <f aca="false">IF(Quantiles!BF12&lt;0,"",(Depth0-MIN(Depth0,Quantiles!BF12))/Depth_per_q)</f>
        <v>0.665749624663723</v>
      </c>
      <c r="BG12" s="20" t="n">
        <f aca="false">IF(Quantiles!BG12&lt;0,"",(Depth0-MIN(Depth0,Quantiles!BG12))/Depth_per_q)</f>
        <v>0.628657424029408</v>
      </c>
      <c r="BH12" s="20" t="n">
        <f aca="false">IF(Quantiles!BH12&lt;0,"",(Depth0-MIN(Depth0,Quantiles!BH12))/Depth_per_q)</f>
        <v>0.590223952462245</v>
      </c>
      <c r="BI12" s="20" t="n">
        <f aca="false">IF(Quantiles!BI12&lt;0,"",(Depth0-MIN(Depth0,Quantiles!BI12))/Depth_per_q)</f>
        <v>0.555007990117303</v>
      </c>
      <c r="BJ12" s="20" t="n">
        <f aca="false">IF(Quantiles!BJ12&lt;0,"",(Depth0-MIN(Depth0,Quantiles!BJ12))/Depth_per_q)</f>
        <v>0.518641471621582</v>
      </c>
      <c r="BK12" s="20" t="n">
        <f aca="false">IF(Quantiles!BK12&lt;0,"",(Depth0-MIN(Depth0,Quantiles!BK12))/Depth_per_q)</f>
        <v>0.482361990092213</v>
      </c>
      <c r="BL12" s="20" t="n">
        <f aca="false">IF(Quantiles!BL12&lt;0,"",(Depth0-MIN(Depth0,Quantiles!BL12))/Depth_per_q)</f>
        <v>0.450451618784688</v>
      </c>
      <c r="BM12" s="20" t="n">
        <f aca="false">IF(Quantiles!BM12&lt;0,"",(Depth0-MIN(Depth0,Quantiles!BM12))/Depth_per_q)</f>
        <v>0.419513954027708</v>
      </c>
      <c r="BN12" s="20" t="n">
        <f aca="false">IF(Quantiles!BN12&lt;0,"",(Depth0-MIN(Depth0,Quantiles!BN12))/Depth_per_q)</f>
        <v>0.385828791228312</v>
      </c>
      <c r="BO12" s="20" t="n">
        <f aca="false">IF(Quantiles!BO12&lt;0,"",(Depth0-MIN(Depth0,Quantiles!BO12))/Depth_per_q)</f>
        <v>0.35441419944179</v>
      </c>
      <c r="BP12" s="20" t="n">
        <f aca="false">IF(Quantiles!BP12&lt;0,"",(Depth0-MIN(Depth0,Quantiles!BP12))/Depth_per_q)</f>
        <v>0.322465632613213</v>
      </c>
      <c r="BQ12" s="20" t="n">
        <f aca="false">IF(Quantiles!BQ12&lt;0,"",(Depth0-MIN(Depth0,Quantiles!BQ12))/Depth_per_q)</f>
        <v>0.290661084812262</v>
      </c>
      <c r="BR12" s="20" t="n">
        <f aca="false">IF(Quantiles!BR12&lt;0,"",(Depth0-MIN(Depth0,Quantiles!BR12))/Depth_per_q)</f>
        <v>0.25867421532057</v>
      </c>
      <c r="BS12" s="20" t="n">
        <f aca="false">IF(Quantiles!BS12&lt;0,"",(Depth0-MIN(Depth0,Quantiles!BS12))/Depth_per_q)</f>
        <v>0.225653281668425</v>
      </c>
      <c r="BT12" s="20" t="n">
        <f aca="false">IF(Quantiles!BT12&lt;0,"",(Depth0-MIN(Depth0,Quantiles!BT12))/Depth_per_q)</f>
        <v>0.195771805092248</v>
      </c>
      <c r="BU12" s="20" t="n">
        <f aca="false">IF(Quantiles!BU12&lt;0,"",(Depth0-MIN(Depth0,Quantiles!BU12))/Depth_per_q)</f>
        <v>0.165481389710218</v>
      </c>
      <c r="BV12" s="20" t="n">
        <f aca="false">IF(Quantiles!BV12&lt;0,"",(Depth0-MIN(Depth0,Quantiles!BV12))/Depth_per_q)</f>
        <v>0.13415951715269</v>
      </c>
      <c r="BW12" s="20" t="n">
        <f aca="false">IF(Quantiles!BW12&lt;0,"",(Depth0-MIN(Depth0,Quantiles!BW12))/Depth_per_q)</f>
        <v>0.105738811314472</v>
      </c>
      <c r="BX12" s="20" t="n">
        <f aca="false">IF(Quantiles!BX12&lt;0,"",(Depth0-MIN(Depth0,Quantiles!BX12))/Depth_per_q)</f>
        <v>0.0752580942832122</v>
      </c>
      <c r="BY12" s="20" t="n">
        <f aca="false">IF(Quantiles!BY12&lt;0,"",(Depth0-MIN(Depth0,Quantiles!BY12))/Depth_per_q)</f>
        <v>0.0450177352149774</v>
      </c>
      <c r="BZ12" s="20" t="n">
        <f aca="false">IF(Quantiles!BZ12&lt;0,"",(Depth0-MIN(Depth0,Quantiles!BZ12))/Depth_per_q)</f>
        <v>0.0169926439310197</v>
      </c>
      <c r="CA12" s="20" t="n">
        <f aca="false">IF(Quantiles!CA12&lt;0,"",(Depth0-MIN(Depth0,Quantiles!CA12))/Depth_per_q)</f>
        <v>0</v>
      </c>
      <c r="CB12" s="20" t="n">
        <f aca="false">IF(Quantiles!CB12&lt;0,"",(Depth0-MIN(Depth0,Quantiles!CB12))/Depth_per_q)</f>
        <v>0</v>
      </c>
      <c r="CC12" s="20" t="n">
        <f aca="false">IF(Quantiles!CC12&lt;0,"",(Depth0-MIN(Depth0,Quantiles!CC12))/Depth_per_q)</f>
        <v>0</v>
      </c>
      <c r="CD12" s="20" t="n">
        <f aca="false">IF(Quantiles!CD12&lt;0,"",(Depth0-MIN(Depth0,Quantiles!CD12))/Depth_per_q)</f>
        <v>0</v>
      </c>
      <c r="CE12" s="20" t="n">
        <f aca="false">IF(Quantiles!CE12&lt;0,"",(Depth0-MIN(Depth0,Quantiles!CE12))/Depth_per_q)</f>
        <v>0</v>
      </c>
      <c r="CF12" s="20" t="n">
        <f aca="false">IF(Quantiles!CF12&lt;0,"",(Depth0-MIN(Depth0,Quantiles!CF12))/Depth_per_q)</f>
        <v>0</v>
      </c>
      <c r="CG12" s="20" t="n">
        <f aca="false">IF(Quantiles!CG12&lt;0,"",(Depth0-MIN(Depth0,Quantiles!CG12))/Depth_per_q)</f>
        <v>0</v>
      </c>
      <c r="CH12" s="20" t="n">
        <f aca="false">IF(Quantiles!CH12&lt;0,"",(Depth0-MIN(Depth0,Quantiles!CH12))/Depth_per_q)</f>
        <v>0</v>
      </c>
      <c r="CI12" s="20" t="n">
        <f aca="false">IF(Quantiles!CI12&lt;0,"",(Depth0-MIN(Depth0,Quantiles!CI12))/Depth_per_q)</f>
        <v>0</v>
      </c>
      <c r="CJ12" s="20" t="n">
        <f aca="false">IF(Quantiles!CJ12&lt;0,"",(Depth0-MIN(Depth0,Quantiles!CJ12))/Depth_per_q)</f>
        <v>0</v>
      </c>
      <c r="CK12" s="20" t="n">
        <f aca="false">IF(Quantiles!CK12&lt;0,"",(Depth0-MIN(Depth0,Quantiles!CK12))/Depth_per_q)</f>
        <v>0</v>
      </c>
      <c r="CL12" s="20" t="n">
        <f aca="false">IF(Quantiles!CL12&lt;0,"",(Depth0-MIN(Depth0,Quantiles!CL12))/Depth_per_q)</f>
        <v>0</v>
      </c>
      <c r="CM12" s="20" t="n">
        <f aca="false">IF(Quantiles!CM12&lt;0,"",(Depth0-MIN(Depth0,Quantiles!CM12))/Depth_per_q)</f>
        <v>0</v>
      </c>
      <c r="CN12" s="20" t="n">
        <f aca="false">IF(Quantiles!CN12&lt;0,"",(Depth0-MIN(Depth0,Quantiles!CN12))/Depth_per_q)</f>
        <v>0</v>
      </c>
      <c r="CO12" s="20" t="n">
        <f aca="false">IF(Quantiles!CO12&lt;0,"",(Depth0-MIN(Depth0,Quantiles!CO12))/Depth_per_q)</f>
        <v>0</v>
      </c>
      <c r="CP12" s="20" t="n">
        <f aca="false">IF(Quantiles!CP12&lt;0,"",(Depth0-MIN(Depth0,Quantiles!CP12))/Depth_per_q)</f>
        <v>0</v>
      </c>
      <c r="CQ12" s="20" t="n">
        <f aca="false">IF(Quantiles!CQ12&lt;0,"",(Depth0-MIN(Depth0,Quantiles!CQ12))/Depth_per_q)</f>
        <v>0</v>
      </c>
      <c r="CR12" s="20" t="n">
        <f aca="false">IF(Quantiles!CR12&lt;0,"",(Depth0-MIN(Depth0,Quantiles!CR12))/Depth_per_q)</f>
        <v>0</v>
      </c>
      <c r="CS12" s="20" t="n">
        <f aca="false">IF(Quantiles!CS12&lt;0,"",(Depth0-MIN(Depth0,Quantiles!CS12))/Depth_per_q)</f>
        <v>0</v>
      </c>
      <c r="CT12" s="20" t="n">
        <f aca="false">IF(Quantiles!CT12&lt;0,"",(Depth0-MIN(Depth0,Quantiles!CT12))/Depth_per_q)</f>
        <v>4.6114286478</v>
      </c>
    </row>
    <row r="13" customFormat="false" ht="15" hidden="false" customHeight="false" outlineLevel="0" collapsed="false">
      <c r="A13" s="25" t="n">
        <f aca="false">Quantiles!A13</f>
        <v>40</v>
      </c>
      <c r="B13" s="20" t="n">
        <f aca="false">IF(Quantiles!B13&lt;0,"",(Depth0-MIN(Depth0,Quantiles!B13))/Depth_per_q)</f>
        <v>6.78848942873451</v>
      </c>
      <c r="C13" s="20" t="n">
        <f aca="false">IF(Quantiles!C13&lt;0,"",(Depth0-MIN(Depth0,Quantiles!C13))/Depth_per_q)</f>
        <v>6.31533508360328</v>
      </c>
      <c r="D13" s="20" t="n">
        <f aca="false">IF(Quantiles!D13&lt;0,"",(Depth0-MIN(Depth0,Quantiles!D13))/Depth_per_q)</f>
        <v>5.91112297719079</v>
      </c>
      <c r="E13" s="20" t="n">
        <f aca="false">IF(Quantiles!E13&lt;0,"",(Depth0-MIN(Depth0,Quantiles!E13))/Depth_per_q)</f>
        <v>5.59848631378912</v>
      </c>
      <c r="F13" s="20" t="n">
        <f aca="false">IF(Quantiles!F13&lt;0,"",(Depth0-MIN(Depth0,Quantiles!F13))/Depth_per_q)</f>
        <v>5.3097982301376</v>
      </c>
      <c r="G13" s="20" t="n">
        <f aca="false">IF(Quantiles!G13&lt;0,"",(Depth0-MIN(Depth0,Quantiles!G13))/Depth_per_q)</f>
        <v>5.05542210883636</v>
      </c>
      <c r="H13" s="20" t="n">
        <f aca="false">IF(Quantiles!H13&lt;0,"",(Depth0-MIN(Depth0,Quantiles!H13))/Depth_per_q)</f>
        <v>4.79875092600965</v>
      </c>
      <c r="I13" s="20" t="n">
        <f aca="false">IF(Quantiles!I13&lt;0,"",(Depth0-MIN(Depth0,Quantiles!I13))/Depth_per_q)</f>
        <v>4.57982873112968</v>
      </c>
      <c r="J13" s="20" t="n">
        <f aca="false">IF(Quantiles!J13&lt;0,"",(Depth0-MIN(Depth0,Quantiles!J13))/Depth_per_q)</f>
        <v>4.34713850845307</v>
      </c>
      <c r="K13" s="20" t="n">
        <f aca="false">IF(Quantiles!K13&lt;0,"",(Depth0-MIN(Depth0,Quantiles!K13))/Depth_per_q)</f>
        <v>4.14968274232172</v>
      </c>
      <c r="L13" s="20" t="n">
        <f aca="false">IF(Quantiles!L13&lt;0,"",(Depth0-MIN(Depth0,Quantiles!L13))/Depth_per_q)</f>
        <v>3.97954803235265</v>
      </c>
      <c r="M13" s="20" t="n">
        <f aca="false">IF(Quantiles!M13&lt;0,"",(Depth0-MIN(Depth0,Quantiles!M13))/Depth_per_q)</f>
        <v>3.81520265950008</v>
      </c>
      <c r="N13" s="20" t="n">
        <f aca="false">IF(Quantiles!N13&lt;0,"",(Depth0-MIN(Depth0,Quantiles!N13))/Depth_per_q)</f>
        <v>3.67257333027204</v>
      </c>
      <c r="O13" s="20" t="n">
        <f aca="false">IF(Quantiles!O13&lt;0,"",(Depth0-MIN(Depth0,Quantiles!O13))/Depth_per_q)</f>
        <v>3.52782997177928</v>
      </c>
      <c r="P13" s="20" t="n">
        <f aca="false">IF(Quantiles!P13&lt;0,"",(Depth0-MIN(Depth0,Quantiles!P13))/Depth_per_q)</f>
        <v>3.38511902656024</v>
      </c>
      <c r="Q13" s="20" t="n">
        <f aca="false">IF(Quantiles!Q13&lt;0,"",(Depth0-MIN(Depth0,Quantiles!Q13))/Depth_per_q)</f>
        <v>3.23897992075472</v>
      </c>
      <c r="R13" s="20" t="n">
        <f aca="false">IF(Quantiles!R13&lt;0,"",(Depth0-MIN(Depth0,Quantiles!R13))/Depth_per_q)</f>
        <v>3.10660480132538</v>
      </c>
      <c r="S13" s="20" t="n">
        <f aca="false">IF(Quantiles!S13&lt;0,"",(Depth0-MIN(Depth0,Quantiles!S13))/Depth_per_q)</f>
        <v>3.00818259545442</v>
      </c>
      <c r="T13" s="20" t="n">
        <f aca="false">IF(Quantiles!T13&lt;0,"",(Depth0-MIN(Depth0,Quantiles!T13))/Depth_per_q)</f>
        <v>2.89266088520684</v>
      </c>
      <c r="U13" s="20" t="n">
        <f aca="false">IF(Quantiles!U13&lt;0,"",(Depth0-MIN(Depth0,Quantiles!U13))/Depth_per_q)</f>
        <v>2.7951893970102</v>
      </c>
      <c r="V13" s="20" t="n">
        <f aca="false">IF(Quantiles!V13&lt;0,"",(Depth0-MIN(Depth0,Quantiles!V13))/Depth_per_q)</f>
        <v>2.69017692087195</v>
      </c>
      <c r="W13" s="20" t="n">
        <f aca="false">IF(Quantiles!W13&lt;0,"",(Depth0-MIN(Depth0,Quantiles!W13))/Depth_per_q)</f>
        <v>2.59199744192104</v>
      </c>
      <c r="X13" s="20" t="n">
        <f aca="false">IF(Quantiles!X13&lt;0,"",(Depth0-MIN(Depth0,Quantiles!X13))/Depth_per_q)</f>
        <v>2.50970429041039</v>
      </c>
      <c r="Y13" s="20" t="n">
        <f aca="false">IF(Quantiles!Y13&lt;0,"",(Depth0-MIN(Depth0,Quantiles!Y13))/Depth_per_q)</f>
        <v>2.41674833109467</v>
      </c>
      <c r="Z13" s="20" t="n">
        <f aca="false">IF(Quantiles!Z13&lt;0,"",(Depth0-MIN(Depth0,Quantiles!Z13))/Depth_per_q)</f>
        <v>2.32840300944629</v>
      </c>
      <c r="AA13" s="20" t="n">
        <f aca="false">IF(Quantiles!AA13&lt;0,"",(Depth0-MIN(Depth0,Quantiles!AA13))/Depth_per_q)</f>
        <v>2.2446848908192</v>
      </c>
      <c r="AB13" s="20" t="n">
        <f aca="false">IF(Quantiles!AB13&lt;0,"",(Depth0-MIN(Depth0,Quantiles!AB13))/Depth_per_q)</f>
        <v>2.16208492702157</v>
      </c>
      <c r="AC13" s="20" t="n">
        <f aca="false">IF(Quantiles!AC13&lt;0,"",(Depth0-MIN(Depth0,Quantiles!AC13))/Depth_per_q)</f>
        <v>2.09343425325956</v>
      </c>
      <c r="AD13" s="20" t="n">
        <f aca="false">IF(Quantiles!AD13&lt;0,"",(Depth0-MIN(Depth0,Quantiles!AD13))/Depth_per_q)</f>
        <v>2.0156674486868</v>
      </c>
      <c r="AE13" s="20" t="n">
        <f aca="false">IF(Quantiles!AE13&lt;0,"",(Depth0-MIN(Depth0,Quantiles!AE13))/Depth_per_q)</f>
        <v>1.93529485680496</v>
      </c>
      <c r="AF13" s="20" t="n">
        <f aca="false">IF(Quantiles!AF13&lt;0,"",(Depth0-MIN(Depth0,Quantiles!AF13))/Depth_per_q)</f>
        <v>1.86351981558508</v>
      </c>
      <c r="AG13" s="20" t="n">
        <f aca="false">IF(Quantiles!AG13&lt;0,"",(Depth0-MIN(Depth0,Quantiles!AG13))/Depth_per_q)</f>
        <v>1.80399157352911</v>
      </c>
      <c r="AH13" s="20" t="n">
        <f aca="false">IF(Quantiles!AH13&lt;0,"",(Depth0-MIN(Depth0,Quantiles!AH13))/Depth_per_q)</f>
        <v>1.73242659693695</v>
      </c>
      <c r="AI13" s="20" t="n">
        <f aca="false">IF(Quantiles!AI13&lt;0,"",(Depth0-MIN(Depth0,Quantiles!AI13))/Depth_per_q)</f>
        <v>1.66564073855739</v>
      </c>
      <c r="AJ13" s="20" t="n">
        <f aca="false">IF(Quantiles!AJ13&lt;0,"",(Depth0-MIN(Depth0,Quantiles!AJ13))/Depth_per_q)</f>
        <v>1.6005155692184</v>
      </c>
      <c r="AK13" s="20" t="n">
        <f aca="false">IF(Quantiles!AK13&lt;0,"",(Depth0-MIN(Depth0,Quantiles!AK13))/Depth_per_q)</f>
        <v>1.54623826479593</v>
      </c>
      <c r="AL13" s="20" t="n">
        <f aca="false">IF(Quantiles!AL13&lt;0,"",(Depth0-MIN(Depth0,Quantiles!AL13))/Depth_per_q)</f>
        <v>1.48701484642909</v>
      </c>
      <c r="AM13" s="20" t="n">
        <f aca="false">IF(Quantiles!AM13&lt;0,"",(Depth0-MIN(Depth0,Quantiles!AM13))/Depth_per_q)</f>
        <v>1.42874851642603</v>
      </c>
      <c r="AN13" s="20" t="n">
        <f aca="false">IF(Quantiles!AN13&lt;0,"",(Depth0-MIN(Depth0,Quantiles!AN13))/Depth_per_q)</f>
        <v>1.36908270498952</v>
      </c>
      <c r="AO13" s="20" t="n">
        <f aca="false">IF(Quantiles!AO13&lt;0,"",(Depth0-MIN(Depth0,Quantiles!AO13))/Depth_per_q)</f>
        <v>1.31350999143884</v>
      </c>
      <c r="AP13" s="20" t="n">
        <f aca="false">IF(Quantiles!AP13&lt;0,"",(Depth0-MIN(Depth0,Quantiles!AP13))/Depth_per_q)</f>
        <v>1.26146993547632</v>
      </c>
      <c r="AQ13" s="20" t="n">
        <f aca="false">IF(Quantiles!AQ13&lt;0,"",(Depth0-MIN(Depth0,Quantiles!AQ13))/Depth_per_q)</f>
        <v>1.21561813325213</v>
      </c>
      <c r="AR13" s="20" t="n">
        <f aca="false">IF(Quantiles!AR13&lt;0,"",(Depth0-MIN(Depth0,Quantiles!AR13))/Depth_per_q)</f>
        <v>1.15943903161171</v>
      </c>
      <c r="AS13" s="20" t="n">
        <f aca="false">IF(Quantiles!AS13&lt;0,"",(Depth0-MIN(Depth0,Quantiles!AS13))/Depth_per_q)</f>
        <v>1.11328501505583</v>
      </c>
      <c r="AT13" s="20" t="n">
        <f aca="false">IF(Quantiles!AT13&lt;0,"",(Depth0-MIN(Depth0,Quantiles!AT13))/Depth_per_q)</f>
        <v>1.06858097578143</v>
      </c>
      <c r="AU13" s="20" t="n">
        <f aca="false">IF(Quantiles!AU13&lt;0,"",(Depth0-MIN(Depth0,Quantiles!AU13))/Depth_per_q)</f>
        <v>1.02009057166674</v>
      </c>
      <c r="AV13" s="20" t="n">
        <f aca="false">IF(Quantiles!AV13&lt;0,"",(Depth0-MIN(Depth0,Quantiles!AV13))/Depth_per_q)</f>
        <v>0.978264993959785</v>
      </c>
      <c r="AW13" s="20" t="n">
        <f aca="false">IF(Quantiles!AW13&lt;0,"",(Depth0-MIN(Depth0,Quantiles!AW13))/Depth_per_q)</f>
        <v>0.933769297683297</v>
      </c>
      <c r="AX13" s="20" t="n">
        <f aca="false">IF(Quantiles!AX13&lt;0,"",(Depth0-MIN(Depth0,Quantiles!AX13))/Depth_per_q)</f>
        <v>0.889822896432863</v>
      </c>
      <c r="AY13" s="20" t="n">
        <f aca="false">IF(Quantiles!AY13&lt;0,"",(Depth0-MIN(Depth0,Quantiles!AY13))/Depth_per_q)</f>
        <v>0.843135715893467</v>
      </c>
      <c r="AZ13" s="20" t="n">
        <f aca="false">IF(Quantiles!AZ13&lt;0,"",(Depth0-MIN(Depth0,Quantiles!AZ13))/Depth_per_q)</f>
        <v>0.803567529595693</v>
      </c>
      <c r="BA13" s="20" t="n">
        <f aca="false">IF(Quantiles!BA13&lt;0,"",(Depth0-MIN(Depth0,Quantiles!BA13))/Depth_per_q)</f>
        <v>0.762034845630285</v>
      </c>
      <c r="BB13" s="20" t="n">
        <f aca="false">IF(Quantiles!BB13&lt;0,"",(Depth0-MIN(Depth0,Quantiles!BB13))/Depth_per_q)</f>
        <v>0.719263865157632</v>
      </c>
      <c r="BC13" s="20" t="n">
        <f aca="false">IF(Quantiles!BC13&lt;0,"",(Depth0-MIN(Depth0,Quantiles!BC13))/Depth_per_q)</f>
        <v>0.682223318179022</v>
      </c>
      <c r="BD13" s="20" t="n">
        <f aca="false">IF(Quantiles!BD13&lt;0,"",(Depth0-MIN(Depth0,Quantiles!BD13))/Depth_per_q)</f>
        <v>0.640375032907517</v>
      </c>
      <c r="BE13" s="20" t="n">
        <f aca="false">IF(Quantiles!BE13&lt;0,"",(Depth0-MIN(Depth0,Quantiles!BE13))/Depth_per_q)</f>
        <v>0.599982748396182</v>
      </c>
      <c r="BF13" s="20" t="n">
        <f aca="false">IF(Quantiles!BF13&lt;0,"",(Depth0-MIN(Depth0,Quantiles!BF13))/Depth_per_q)</f>
        <v>0.564905853560065</v>
      </c>
      <c r="BG13" s="20" t="n">
        <f aca="false">IF(Quantiles!BG13&lt;0,"",(Depth0-MIN(Depth0,Quantiles!BG13))/Depth_per_q)</f>
        <v>0.527696548163408</v>
      </c>
      <c r="BH13" s="20" t="n">
        <f aca="false">IF(Quantiles!BH13&lt;0,"",(Depth0-MIN(Depth0,Quantiles!BH13))/Depth_per_q)</f>
        <v>0.493652024472422</v>
      </c>
      <c r="BI13" s="20" t="n">
        <f aca="false">IF(Quantiles!BI13&lt;0,"",(Depth0-MIN(Depth0,Quantiles!BI13))/Depth_per_q)</f>
        <v>0.458275001203927</v>
      </c>
      <c r="BJ13" s="20" t="n">
        <f aca="false">IF(Quantiles!BJ13&lt;0,"",(Depth0-MIN(Depth0,Quantiles!BJ13))/Depth_per_q)</f>
        <v>0.427348424350655</v>
      </c>
      <c r="BK13" s="20" t="n">
        <f aca="false">IF(Quantiles!BK13&lt;0,"",(Depth0-MIN(Depth0,Quantiles!BK13))/Depth_per_q)</f>
        <v>0.392171966224265</v>
      </c>
      <c r="BL13" s="20" t="n">
        <f aca="false">IF(Quantiles!BL13&lt;0,"",(Depth0-MIN(Depth0,Quantiles!BL13))/Depth_per_q)</f>
        <v>0.357026919971577</v>
      </c>
      <c r="BM13" s="20" t="n">
        <f aca="false">IF(Quantiles!BM13&lt;0,"",(Depth0-MIN(Depth0,Quantiles!BM13))/Depth_per_q)</f>
        <v>0.324882575508012</v>
      </c>
      <c r="BN13" s="20" t="n">
        <f aca="false">IF(Quantiles!BN13&lt;0,"",(Depth0-MIN(Depth0,Quantiles!BN13))/Depth_per_q)</f>
        <v>0.292045226053755</v>
      </c>
      <c r="BO13" s="20" t="n">
        <f aca="false">IF(Quantiles!BO13&lt;0,"",(Depth0-MIN(Depth0,Quantiles!BO13))/Depth_per_q)</f>
        <v>0.258934719984955</v>
      </c>
      <c r="BP13" s="20" t="n">
        <f aca="false">IF(Quantiles!BP13&lt;0,"",(Depth0-MIN(Depth0,Quantiles!BP13))/Depth_per_q)</f>
        <v>0.229358853227033</v>
      </c>
      <c r="BQ13" s="20" t="n">
        <f aca="false">IF(Quantiles!BQ13&lt;0,"",(Depth0-MIN(Depth0,Quantiles!BQ13))/Depth_per_q)</f>
        <v>0.200097339122197</v>
      </c>
      <c r="BR13" s="20" t="n">
        <f aca="false">IF(Quantiles!BR13&lt;0,"",(Depth0-MIN(Depth0,Quantiles!BR13))/Depth_per_q)</f>
        <v>0.172676577246495</v>
      </c>
      <c r="BS13" s="20" t="n">
        <f aca="false">IF(Quantiles!BS13&lt;0,"",(Depth0-MIN(Depth0,Quantiles!BS13))/Depth_per_q)</f>
        <v>0.142963725013388</v>
      </c>
      <c r="BT13" s="20" t="n">
        <f aca="false">IF(Quantiles!BT13&lt;0,"",(Depth0-MIN(Depth0,Quantiles!BT13))/Depth_per_q)</f>
        <v>0.113436462830718</v>
      </c>
      <c r="BU13" s="20" t="n">
        <f aca="false">IF(Quantiles!BU13&lt;0,"",(Depth0-MIN(Depth0,Quantiles!BU13))/Depth_per_q)</f>
        <v>0.0856175786769402</v>
      </c>
      <c r="BV13" s="20" t="n">
        <f aca="false">IF(Quantiles!BV13&lt;0,"",(Depth0-MIN(Depth0,Quantiles!BV13))/Depth_per_q)</f>
        <v>0.0554826424835904</v>
      </c>
      <c r="BW13" s="20" t="n">
        <f aca="false">IF(Quantiles!BW13&lt;0,"",(Depth0-MIN(Depth0,Quantiles!BW13))/Depth_per_q)</f>
        <v>0.0259474170172673</v>
      </c>
      <c r="BX13" s="20" t="n">
        <f aca="false">IF(Quantiles!BX13&lt;0,"",(Depth0-MIN(Depth0,Quantiles!BX13))/Depth_per_q)</f>
        <v>0</v>
      </c>
      <c r="BY13" s="20" t="n">
        <f aca="false">IF(Quantiles!BY13&lt;0,"",(Depth0-MIN(Depth0,Quantiles!BY13))/Depth_per_q)</f>
        <v>0</v>
      </c>
      <c r="BZ13" s="20" t="n">
        <f aca="false">IF(Quantiles!BZ13&lt;0,"",(Depth0-MIN(Depth0,Quantiles!BZ13))/Depth_per_q)</f>
        <v>0</v>
      </c>
      <c r="CA13" s="20" t="n">
        <f aca="false">IF(Quantiles!CA13&lt;0,"",(Depth0-MIN(Depth0,Quantiles!CA13))/Depth_per_q)</f>
        <v>0</v>
      </c>
      <c r="CB13" s="20" t="n">
        <f aca="false">IF(Quantiles!CB13&lt;0,"",(Depth0-MIN(Depth0,Quantiles!CB13))/Depth_per_q)</f>
        <v>0</v>
      </c>
      <c r="CC13" s="20" t="n">
        <f aca="false">IF(Quantiles!CC13&lt;0,"",(Depth0-MIN(Depth0,Quantiles!CC13))/Depth_per_q)</f>
        <v>0</v>
      </c>
      <c r="CD13" s="20" t="n">
        <f aca="false">IF(Quantiles!CD13&lt;0,"",(Depth0-MIN(Depth0,Quantiles!CD13))/Depth_per_q)</f>
        <v>0</v>
      </c>
      <c r="CE13" s="20" t="n">
        <f aca="false">IF(Quantiles!CE13&lt;0,"",(Depth0-MIN(Depth0,Quantiles!CE13))/Depth_per_q)</f>
        <v>0</v>
      </c>
      <c r="CF13" s="20" t="n">
        <f aca="false">IF(Quantiles!CF13&lt;0,"",(Depth0-MIN(Depth0,Quantiles!CF13))/Depth_per_q)</f>
        <v>0</v>
      </c>
      <c r="CG13" s="20" t="n">
        <f aca="false">IF(Quantiles!CG13&lt;0,"",(Depth0-MIN(Depth0,Quantiles!CG13))/Depth_per_q)</f>
        <v>0</v>
      </c>
      <c r="CH13" s="20" t="n">
        <f aca="false">IF(Quantiles!CH13&lt;0,"",(Depth0-MIN(Depth0,Quantiles!CH13))/Depth_per_q)</f>
        <v>0</v>
      </c>
      <c r="CI13" s="20" t="n">
        <f aca="false">IF(Quantiles!CI13&lt;0,"",(Depth0-MIN(Depth0,Quantiles!CI13))/Depth_per_q)</f>
        <v>0</v>
      </c>
      <c r="CJ13" s="20" t="n">
        <f aca="false">IF(Quantiles!CJ13&lt;0,"",(Depth0-MIN(Depth0,Quantiles!CJ13))/Depth_per_q)</f>
        <v>0</v>
      </c>
      <c r="CK13" s="20" t="n">
        <f aca="false">IF(Quantiles!CK13&lt;0,"",(Depth0-MIN(Depth0,Quantiles!CK13))/Depth_per_q)</f>
        <v>0</v>
      </c>
      <c r="CL13" s="20" t="n">
        <f aca="false">IF(Quantiles!CL13&lt;0,"",(Depth0-MIN(Depth0,Quantiles!CL13))/Depth_per_q)</f>
        <v>0</v>
      </c>
      <c r="CM13" s="20" t="n">
        <f aca="false">IF(Quantiles!CM13&lt;0,"",(Depth0-MIN(Depth0,Quantiles!CM13))/Depth_per_q)</f>
        <v>0</v>
      </c>
      <c r="CN13" s="20" t="n">
        <f aca="false">IF(Quantiles!CN13&lt;0,"",(Depth0-MIN(Depth0,Quantiles!CN13))/Depth_per_q)</f>
        <v>0</v>
      </c>
      <c r="CO13" s="20" t="n">
        <f aca="false">IF(Quantiles!CO13&lt;0,"",(Depth0-MIN(Depth0,Quantiles!CO13))/Depth_per_q)</f>
        <v>0</v>
      </c>
      <c r="CP13" s="20" t="n">
        <f aca="false">IF(Quantiles!CP13&lt;0,"",(Depth0-MIN(Depth0,Quantiles!CP13))/Depth_per_q)</f>
        <v>0</v>
      </c>
      <c r="CQ13" s="20" t="n">
        <f aca="false">IF(Quantiles!CQ13&lt;0,"",(Depth0-MIN(Depth0,Quantiles!CQ13))/Depth_per_q)</f>
        <v>0</v>
      </c>
      <c r="CR13" s="20" t="n">
        <f aca="false">IF(Quantiles!CR13&lt;0,"",(Depth0-MIN(Depth0,Quantiles!CR13))/Depth_per_q)</f>
        <v>0</v>
      </c>
      <c r="CS13" s="20" t="n">
        <f aca="false">IF(Quantiles!CS13&lt;0,"",(Depth0-MIN(Depth0,Quantiles!CS13))/Depth_per_q)</f>
        <v>0</v>
      </c>
      <c r="CT13" s="20" t="n">
        <f aca="false">IF(Quantiles!CT13&lt;0,"",(Depth0-MIN(Depth0,Quantiles!CT13))/Depth_per_q)</f>
        <v>4.34481117238727</v>
      </c>
    </row>
    <row r="14" customFormat="false" ht="15" hidden="false" customHeight="false" outlineLevel="0" collapsed="false">
      <c r="A14" s="25" t="n">
        <f aca="false">Quantiles!A14</f>
        <v>45</v>
      </c>
      <c r="B14" s="20" t="n">
        <f aca="false">IF(Quantiles!B14&lt;0,"",(Depth0-MIN(Depth0,Quantiles!B14))/Depth_per_q)</f>
        <v>6.51165195024221</v>
      </c>
      <c r="C14" s="20" t="n">
        <f aca="false">IF(Quantiles!C14&lt;0,"",(Depth0-MIN(Depth0,Quantiles!C14))/Depth_per_q)</f>
        <v>6.02256799125442</v>
      </c>
      <c r="D14" s="20" t="n">
        <f aca="false">IF(Quantiles!D14&lt;0,"",(Depth0-MIN(Depth0,Quantiles!D14))/Depth_per_q)</f>
        <v>5.61174991473056</v>
      </c>
      <c r="E14" s="20" t="n">
        <f aca="false">IF(Quantiles!E14&lt;0,"",(Depth0-MIN(Depth0,Quantiles!E14))/Depth_per_q)</f>
        <v>5.29881717356382</v>
      </c>
      <c r="F14" s="20" t="n">
        <f aca="false">IF(Quantiles!F14&lt;0,"",(Depth0-MIN(Depth0,Quantiles!F14))/Depth_per_q)</f>
        <v>5.03170422762992</v>
      </c>
      <c r="G14" s="20" t="n">
        <f aca="false">IF(Quantiles!G14&lt;0,"",(Depth0-MIN(Depth0,Quantiles!G14))/Depth_per_q)</f>
        <v>4.75659538381821</v>
      </c>
      <c r="H14" s="20" t="n">
        <f aca="false">IF(Quantiles!H14&lt;0,"",(Depth0-MIN(Depth0,Quantiles!H14))/Depth_per_q)</f>
        <v>4.52240171651158</v>
      </c>
      <c r="I14" s="20" t="n">
        <f aca="false">IF(Quantiles!I14&lt;0,"",(Depth0-MIN(Depth0,Quantiles!I14))/Depth_per_q)</f>
        <v>4.31197825077047</v>
      </c>
      <c r="J14" s="20" t="n">
        <f aca="false">IF(Quantiles!J14&lt;0,"",(Depth0-MIN(Depth0,Quantiles!J14))/Depth_per_q)</f>
        <v>4.09710501522559</v>
      </c>
      <c r="K14" s="20" t="n">
        <f aca="false">IF(Quantiles!K14&lt;0,"",(Depth0-MIN(Depth0,Quantiles!K14))/Depth_per_q)</f>
        <v>3.8980018453297</v>
      </c>
      <c r="L14" s="20" t="n">
        <f aca="false">IF(Quantiles!L14&lt;0,"",(Depth0-MIN(Depth0,Quantiles!L14))/Depth_per_q)</f>
        <v>3.72446439997451</v>
      </c>
      <c r="M14" s="20" t="n">
        <f aca="false">IF(Quantiles!M14&lt;0,"",(Depth0-MIN(Depth0,Quantiles!M14))/Depth_per_q)</f>
        <v>3.57035396336638</v>
      </c>
      <c r="N14" s="20" t="n">
        <f aca="false">IF(Quantiles!N14&lt;0,"",(Depth0-MIN(Depth0,Quantiles!N14))/Depth_per_q)</f>
        <v>3.43133076736359</v>
      </c>
      <c r="O14" s="20" t="n">
        <f aca="false">IF(Quantiles!O14&lt;0,"",(Depth0-MIN(Depth0,Quantiles!O14))/Depth_per_q)</f>
        <v>3.29502590512266</v>
      </c>
      <c r="P14" s="20" t="n">
        <f aca="false">IF(Quantiles!P14&lt;0,"",(Depth0-MIN(Depth0,Quantiles!P14))/Depth_per_q)</f>
        <v>3.16608852730483</v>
      </c>
      <c r="Q14" s="20" t="n">
        <f aca="false">IF(Quantiles!Q14&lt;0,"",(Depth0-MIN(Depth0,Quantiles!Q14))/Depth_per_q)</f>
        <v>3.02944257667556</v>
      </c>
      <c r="R14" s="20" t="n">
        <f aca="false">IF(Quantiles!R14&lt;0,"",(Depth0-MIN(Depth0,Quantiles!R14))/Depth_per_q)</f>
        <v>2.90250873837426</v>
      </c>
      <c r="S14" s="20" t="n">
        <f aca="false">IF(Quantiles!S14&lt;0,"",(Depth0-MIN(Depth0,Quantiles!S14))/Depth_per_q)</f>
        <v>2.80257064429281</v>
      </c>
      <c r="T14" s="20" t="n">
        <f aca="false">IF(Quantiles!T14&lt;0,"",(Depth0-MIN(Depth0,Quantiles!T14))/Depth_per_q)</f>
        <v>2.68666471410614</v>
      </c>
      <c r="U14" s="20" t="n">
        <f aca="false">IF(Quantiles!U14&lt;0,"",(Depth0-MIN(Depth0,Quantiles!U14))/Depth_per_q)</f>
        <v>2.59274507276184</v>
      </c>
      <c r="V14" s="20" t="n">
        <f aca="false">IF(Quantiles!V14&lt;0,"",(Depth0-MIN(Depth0,Quantiles!V14))/Depth_per_q)</f>
        <v>2.50052305963638</v>
      </c>
      <c r="W14" s="20" t="n">
        <f aca="false">IF(Quantiles!W14&lt;0,"",(Depth0-MIN(Depth0,Quantiles!W14))/Depth_per_q)</f>
        <v>2.40799070695931</v>
      </c>
      <c r="X14" s="20" t="n">
        <f aca="false">IF(Quantiles!X14&lt;0,"",(Depth0-MIN(Depth0,Quantiles!X14))/Depth_per_q)</f>
        <v>2.31712289930592</v>
      </c>
      <c r="Y14" s="20" t="n">
        <f aca="false">IF(Quantiles!Y14&lt;0,"",(Depth0-MIN(Depth0,Quantiles!Y14))/Depth_per_q)</f>
        <v>2.22346751415319</v>
      </c>
      <c r="Z14" s="20" t="n">
        <f aca="false">IF(Quantiles!Z14&lt;0,"",(Depth0-MIN(Depth0,Quantiles!Z14))/Depth_per_q)</f>
        <v>2.14434698320974</v>
      </c>
      <c r="AA14" s="20" t="n">
        <f aca="false">IF(Quantiles!AA14&lt;0,"",(Depth0-MIN(Depth0,Quantiles!AA14))/Depth_per_q)</f>
        <v>2.066689046933</v>
      </c>
      <c r="AB14" s="20" t="n">
        <f aca="false">IF(Quantiles!AB14&lt;0,"",(Depth0-MIN(Depth0,Quantiles!AB14))/Depth_per_q)</f>
        <v>1.98344279932487</v>
      </c>
      <c r="AC14" s="20" t="n">
        <f aca="false">IF(Quantiles!AC14&lt;0,"",(Depth0-MIN(Depth0,Quantiles!AC14))/Depth_per_q)</f>
        <v>1.91905021009491</v>
      </c>
      <c r="AD14" s="20" t="n">
        <f aca="false">IF(Quantiles!AD14&lt;0,"",(Depth0-MIN(Depth0,Quantiles!AD14))/Depth_per_q)</f>
        <v>1.85446781822128</v>
      </c>
      <c r="AE14" s="20" t="n">
        <f aca="false">IF(Quantiles!AE14&lt;0,"",(Depth0-MIN(Depth0,Quantiles!AE14))/Depth_per_q)</f>
        <v>1.78266978606528</v>
      </c>
      <c r="AF14" s="20" t="n">
        <f aca="false">IF(Quantiles!AF14&lt;0,"",(Depth0-MIN(Depth0,Quantiles!AF14))/Depth_per_q)</f>
        <v>1.70735301364834</v>
      </c>
      <c r="AG14" s="20" t="n">
        <f aca="false">IF(Quantiles!AG14&lt;0,"",(Depth0-MIN(Depth0,Quantiles!AG14))/Depth_per_q)</f>
        <v>1.64393550224048</v>
      </c>
      <c r="AH14" s="20" t="n">
        <f aca="false">IF(Quantiles!AH14&lt;0,"",(Depth0-MIN(Depth0,Quantiles!AH14))/Depth_per_q)</f>
        <v>1.58256548242013</v>
      </c>
      <c r="AI14" s="20" t="n">
        <f aca="false">IF(Quantiles!AI14&lt;0,"",(Depth0-MIN(Depth0,Quantiles!AI14))/Depth_per_q)</f>
        <v>1.52184229455604</v>
      </c>
      <c r="AJ14" s="20" t="n">
        <f aca="false">IF(Quantiles!AJ14&lt;0,"",(Depth0-MIN(Depth0,Quantiles!AJ14))/Depth_per_q)</f>
        <v>1.4562762357329</v>
      </c>
      <c r="AK14" s="20" t="n">
        <f aca="false">IF(Quantiles!AK14&lt;0,"",(Depth0-MIN(Depth0,Quantiles!AK14))/Depth_per_q)</f>
        <v>1.3996888657699</v>
      </c>
      <c r="AL14" s="20" t="n">
        <f aca="false">IF(Quantiles!AL14&lt;0,"",(Depth0-MIN(Depth0,Quantiles!AL14))/Depth_per_q)</f>
        <v>1.34603507713655</v>
      </c>
      <c r="AM14" s="20" t="n">
        <f aca="false">IF(Quantiles!AM14&lt;0,"",(Depth0-MIN(Depth0,Quantiles!AM14))/Depth_per_q)</f>
        <v>1.28997807686891</v>
      </c>
      <c r="AN14" s="20" t="n">
        <f aca="false">IF(Quantiles!AN14&lt;0,"",(Depth0-MIN(Depth0,Quantiles!AN14))/Depth_per_q)</f>
        <v>1.23993978968498</v>
      </c>
      <c r="AO14" s="20" t="n">
        <f aca="false">IF(Quantiles!AO14&lt;0,"",(Depth0-MIN(Depth0,Quantiles!AO14))/Depth_per_q)</f>
        <v>1.18686112361449</v>
      </c>
      <c r="AP14" s="20" t="n">
        <f aca="false">IF(Quantiles!AP14&lt;0,"",(Depth0-MIN(Depth0,Quantiles!AP14))/Depth_per_q)</f>
        <v>1.1347069228131</v>
      </c>
      <c r="AQ14" s="20" t="n">
        <f aca="false">IF(Quantiles!AQ14&lt;0,"",(Depth0-MIN(Depth0,Quantiles!AQ14))/Depth_per_q)</f>
        <v>1.08578709211063</v>
      </c>
      <c r="AR14" s="20" t="n">
        <f aca="false">IF(Quantiles!AR14&lt;0,"",(Depth0-MIN(Depth0,Quantiles!AR14))/Depth_per_q)</f>
        <v>1.04080914168702</v>
      </c>
      <c r="AS14" s="20" t="n">
        <f aca="false">IF(Quantiles!AS14&lt;0,"",(Depth0-MIN(Depth0,Quantiles!AS14))/Depth_per_q)</f>
        <v>0.994591584905613</v>
      </c>
      <c r="AT14" s="20" t="n">
        <f aca="false">IF(Quantiles!AT14&lt;0,"",(Depth0-MIN(Depth0,Quantiles!AT14))/Depth_per_q)</f>
        <v>0.945847179740443</v>
      </c>
      <c r="AU14" s="20" t="n">
        <f aca="false">IF(Quantiles!AU14&lt;0,"",(Depth0-MIN(Depth0,Quantiles!AU14))/Depth_per_q)</f>
        <v>0.902945052966502</v>
      </c>
      <c r="AV14" s="20" t="n">
        <f aca="false">IF(Quantiles!AV14&lt;0,"",(Depth0-MIN(Depth0,Quantiles!AV14))/Depth_per_q)</f>
        <v>0.859556794656045</v>
      </c>
      <c r="AW14" s="20" t="n">
        <f aca="false">IF(Quantiles!AW14&lt;0,"",(Depth0-MIN(Depth0,Quantiles!AW14))/Depth_per_q)</f>
        <v>0.81609845564289</v>
      </c>
      <c r="AX14" s="20" t="n">
        <f aca="false">IF(Quantiles!AX14&lt;0,"",(Depth0-MIN(Depth0,Quantiles!AX14))/Depth_per_q)</f>
        <v>0.77646522339656</v>
      </c>
      <c r="AY14" s="20" t="n">
        <f aca="false">IF(Quantiles!AY14&lt;0,"",(Depth0-MIN(Depth0,Quantiles!AY14))/Depth_per_q)</f>
        <v>0.73379978433741</v>
      </c>
      <c r="AZ14" s="20" t="n">
        <f aca="false">IF(Quantiles!AZ14&lt;0,"",(Depth0-MIN(Depth0,Quantiles!AZ14))/Depth_per_q)</f>
        <v>0.695395163087643</v>
      </c>
      <c r="BA14" s="20" t="n">
        <f aca="false">IF(Quantiles!BA14&lt;0,"",(Depth0-MIN(Depth0,Quantiles!BA14))/Depth_per_q)</f>
        <v>0.65481570136261</v>
      </c>
      <c r="BB14" s="20" t="n">
        <f aca="false">IF(Quantiles!BB14&lt;0,"",(Depth0-MIN(Depth0,Quantiles!BB14))/Depth_per_q)</f>
        <v>0.610481490310828</v>
      </c>
      <c r="BC14" s="20" t="n">
        <f aca="false">IF(Quantiles!BC14&lt;0,"",(Depth0-MIN(Depth0,Quantiles!BC14))/Depth_per_q)</f>
        <v>0.57626508522234</v>
      </c>
      <c r="BD14" s="20" t="n">
        <f aca="false">IF(Quantiles!BD14&lt;0,"",(Depth0-MIN(Depth0,Quantiles!BD14))/Depth_per_q)</f>
        <v>0.538847279060343</v>
      </c>
      <c r="BE14" s="20" t="n">
        <f aca="false">IF(Quantiles!BE14&lt;0,"",(Depth0-MIN(Depth0,Quantiles!BE14))/Depth_per_q)</f>
        <v>0.50183650777755</v>
      </c>
      <c r="BF14" s="20" t="n">
        <f aca="false">IF(Quantiles!BF14&lt;0,"",(Depth0-MIN(Depth0,Quantiles!BF14))/Depth_per_q)</f>
        <v>0.46693787783774</v>
      </c>
      <c r="BG14" s="20" t="n">
        <f aca="false">IF(Quantiles!BG14&lt;0,"",(Depth0-MIN(Depth0,Quantiles!BG14))/Depth_per_q)</f>
        <v>0.432418324183457</v>
      </c>
      <c r="BH14" s="20" t="n">
        <f aca="false">IF(Quantiles!BH14&lt;0,"",(Depth0-MIN(Depth0,Quantiles!BH14))/Depth_per_q)</f>
        <v>0.39855306502069</v>
      </c>
      <c r="BI14" s="20" t="n">
        <f aca="false">IF(Quantiles!BI14&lt;0,"",(Depth0-MIN(Depth0,Quantiles!BI14))/Depth_per_q)</f>
        <v>0.364439501136645</v>
      </c>
      <c r="BJ14" s="20" t="n">
        <f aca="false">IF(Quantiles!BJ14&lt;0,"",(Depth0-MIN(Depth0,Quantiles!BJ14))/Depth_per_q)</f>
        <v>0.332081196192832</v>
      </c>
      <c r="BK14" s="20" t="n">
        <f aca="false">IF(Quantiles!BK14&lt;0,"",(Depth0-MIN(Depth0,Quantiles!BK14))/Depth_per_q)</f>
        <v>0.300710960691095</v>
      </c>
      <c r="BL14" s="20" t="n">
        <f aca="false">IF(Quantiles!BL14&lt;0,"",(Depth0-MIN(Depth0,Quantiles!BL14))/Depth_per_q)</f>
        <v>0.269752977859275</v>
      </c>
      <c r="BM14" s="20" t="n">
        <f aca="false">IF(Quantiles!BM14&lt;0,"",(Depth0-MIN(Depth0,Quantiles!BM14))/Depth_per_q)</f>
        <v>0.23930999909944</v>
      </c>
      <c r="BN14" s="20" t="n">
        <f aca="false">IF(Quantiles!BN14&lt;0,"",(Depth0-MIN(Depth0,Quantiles!BN14))/Depth_per_q)</f>
        <v>0.20668370996965</v>
      </c>
      <c r="BO14" s="20" t="n">
        <f aca="false">IF(Quantiles!BO14&lt;0,"",(Depth0-MIN(Depth0,Quantiles!BO14))/Depth_per_q)</f>
        <v>0.179508972622908</v>
      </c>
      <c r="BP14" s="20" t="n">
        <f aca="false">IF(Quantiles!BP14&lt;0,"",(Depth0-MIN(Depth0,Quantiles!BP14))/Depth_per_q)</f>
        <v>0.146475259268287</v>
      </c>
      <c r="BQ14" s="20" t="n">
        <f aca="false">IF(Quantiles!BQ14&lt;0,"",(Depth0-MIN(Depth0,Quantiles!BQ14))/Depth_per_q)</f>
        <v>0.117272445382565</v>
      </c>
      <c r="BR14" s="20" t="n">
        <f aca="false">IF(Quantiles!BR14&lt;0,"",(Depth0-MIN(Depth0,Quantiles!BR14))/Depth_per_q)</f>
        <v>0.0885070416008276</v>
      </c>
      <c r="BS14" s="20" t="n">
        <f aca="false">IF(Quantiles!BS14&lt;0,"",(Depth0-MIN(Depth0,Quantiles!BS14))/Depth_per_q)</f>
        <v>0.0558069517055548</v>
      </c>
      <c r="BT14" s="20" t="n">
        <f aca="false">IF(Quantiles!BT14&lt;0,"",(Depth0-MIN(Depth0,Quantiles!BT14))/Depth_per_q)</f>
        <v>0.0276555983624229</v>
      </c>
      <c r="BU14" s="20" t="n">
        <f aca="false">IF(Quantiles!BU14&lt;0,"",(Depth0-MIN(Depth0,Quantiles!BU14))/Depth_per_q)</f>
        <v>0.00255795914589729</v>
      </c>
      <c r="BV14" s="20" t="n">
        <f aca="false">IF(Quantiles!BV14&lt;0,"",(Depth0-MIN(Depth0,Quantiles!BV14))/Depth_per_q)</f>
        <v>0</v>
      </c>
      <c r="BW14" s="20" t="n">
        <f aca="false">IF(Quantiles!BW14&lt;0,"",(Depth0-MIN(Depth0,Quantiles!BW14))/Depth_per_q)</f>
        <v>0</v>
      </c>
      <c r="BX14" s="20" t="n">
        <f aca="false">IF(Quantiles!BX14&lt;0,"",(Depth0-MIN(Depth0,Quantiles!BX14))/Depth_per_q)</f>
        <v>0</v>
      </c>
      <c r="BY14" s="20" t="n">
        <f aca="false">IF(Quantiles!BY14&lt;0,"",(Depth0-MIN(Depth0,Quantiles!BY14))/Depth_per_q)</f>
        <v>0</v>
      </c>
      <c r="BZ14" s="20" t="n">
        <f aca="false">IF(Quantiles!BZ14&lt;0,"",(Depth0-MIN(Depth0,Quantiles!BZ14))/Depth_per_q)</f>
        <v>0</v>
      </c>
      <c r="CA14" s="20" t="n">
        <f aca="false">IF(Quantiles!CA14&lt;0,"",(Depth0-MIN(Depth0,Quantiles!CA14))/Depth_per_q)</f>
        <v>0</v>
      </c>
      <c r="CB14" s="20" t="n">
        <f aca="false">IF(Quantiles!CB14&lt;0,"",(Depth0-MIN(Depth0,Quantiles!CB14))/Depth_per_q)</f>
        <v>0</v>
      </c>
      <c r="CC14" s="20" t="n">
        <f aca="false">IF(Quantiles!CC14&lt;0,"",(Depth0-MIN(Depth0,Quantiles!CC14))/Depth_per_q)</f>
        <v>0</v>
      </c>
      <c r="CD14" s="20" t="n">
        <f aca="false">IF(Quantiles!CD14&lt;0,"",(Depth0-MIN(Depth0,Quantiles!CD14))/Depth_per_q)</f>
        <v>0</v>
      </c>
      <c r="CE14" s="20" t="n">
        <f aca="false">IF(Quantiles!CE14&lt;0,"",(Depth0-MIN(Depth0,Quantiles!CE14))/Depth_per_q)</f>
        <v>0</v>
      </c>
      <c r="CF14" s="20" t="n">
        <f aca="false">IF(Quantiles!CF14&lt;0,"",(Depth0-MIN(Depth0,Quantiles!CF14))/Depth_per_q)</f>
        <v>0</v>
      </c>
      <c r="CG14" s="20" t="n">
        <f aca="false">IF(Quantiles!CG14&lt;0,"",(Depth0-MIN(Depth0,Quantiles!CG14))/Depth_per_q)</f>
        <v>0</v>
      </c>
      <c r="CH14" s="20" t="n">
        <f aca="false">IF(Quantiles!CH14&lt;0,"",(Depth0-MIN(Depth0,Quantiles!CH14))/Depth_per_q)</f>
        <v>0</v>
      </c>
      <c r="CI14" s="20" t="n">
        <f aca="false">IF(Quantiles!CI14&lt;0,"",(Depth0-MIN(Depth0,Quantiles!CI14))/Depth_per_q)</f>
        <v>0</v>
      </c>
      <c r="CJ14" s="20" t="n">
        <f aca="false">IF(Quantiles!CJ14&lt;0,"",(Depth0-MIN(Depth0,Quantiles!CJ14))/Depth_per_q)</f>
        <v>0</v>
      </c>
      <c r="CK14" s="20" t="n">
        <f aca="false">IF(Quantiles!CK14&lt;0,"",(Depth0-MIN(Depth0,Quantiles!CK14))/Depth_per_q)</f>
        <v>0</v>
      </c>
      <c r="CL14" s="20" t="n">
        <f aca="false">IF(Quantiles!CL14&lt;0,"",(Depth0-MIN(Depth0,Quantiles!CL14))/Depth_per_q)</f>
        <v>0</v>
      </c>
      <c r="CM14" s="20" t="n">
        <f aca="false">IF(Quantiles!CM14&lt;0,"",(Depth0-MIN(Depth0,Quantiles!CM14))/Depth_per_q)</f>
        <v>0</v>
      </c>
      <c r="CN14" s="20" t="n">
        <f aca="false">IF(Quantiles!CN14&lt;0,"",(Depth0-MIN(Depth0,Quantiles!CN14))/Depth_per_q)</f>
        <v>0</v>
      </c>
      <c r="CO14" s="20" t="n">
        <f aca="false">IF(Quantiles!CO14&lt;0,"",(Depth0-MIN(Depth0,Quantiles!CO14))/Depth_per_q)</f>
        <v>0</v>
      </c>
      <c r="CP14" s="20" t="n">
        <f aca="false">IF(Quantiles!CP14&lt;0,"",(Depth0-MIN(Depth0,Quantiles!CP14))/Depth_per_q)</f>
        <v>0</v>
      </c>
      <c r="CQ14" s="20" t="n">
        <f aca="false">IF(Quantiles!CQ14&lt;0,"",(Depth0-MIN(Depth0,Quantiles!CQ14))/Depth_per_q)</f>
        <v>0</v>
      </c>
      <c r="CR14" s="20" t="n">
        <f aca="false">IF(Quantiles!CR14&lt;0,"",(Depth0-MIN(Depth0,Quantiles!CR14))/Depth_per_q)</f>
        <v>0</v>
      </c>
      <c r="CS14" s="20" t="n">
        <f aca="false">IF(Quantiles!CS14&lt;0,"",(Depth0-MIN(Depth0,Quantiles!CS14))/Depth_per_q)</f>
        <v>0</v>
      </c>
      <c r="CT14" s="20" t="n">
        <f aca="false">IF(Quantiles!CT14&lt;0,"",(Depth0-MIN(Depth0,Quantiles!CT14))/Depth_per_q)</f>
        <v>4.0936603835155</v>
      </c>
    </row>
    <row r="15" customFormat="false" ht="15" hidden="false" customHeight="false" outlineLevel="0" collapsed="false">
      <c r="A15" s="25" t="n">
        <f aca="false">Quantiles!A15</f>
        <v>50</v>
      </c>
      <c r="B15" s="20" t="n">
        <f aca="false">IF(Quantiles!B15&lt;0,"",(Depth0-MIN(Depth0,Quantiles!B15))/Depth_per_q)</f>
        <v>6.20446981456711</v>
      </c>
      <c r="C15" s="20" t="n">
        <f aca="false">IF(Quantiles!C15&lt;0,"",(Depth0-MIN(Depth0,Quantiles!C15))/Depth_per_q)</f>
        <v>5.71646856599272</v>
      </c>
      <c r="D15" s="20" t="n">
        <f aca="false">IF(Quantiles!D15&lt;0,"",(Depth0-MIN(Depth0,Quantiles!D15))/Depth_per_q)</f>
        <v>5.32510620582925</v>
      </c>
      <c r="E15" s="20" t="n">
        <f aca="false">IF(Quantiles!E15&lt;0,"",(Depth0-MIN(Depth0,Quantiles!E15))/Depth_per_q)</f>
        <v>5.02647395461614</v>
      </c>
      <c r="F15" s="20" t="n">
        <f aca="false">IF(Quantiles!F15&lt;0,"",(Depth0-MIN(Depth0,Quantiles!F15))/Depth_per_q)</f>
        <v>4.73498480005215</v>
      </c>
      <c r="G15" s="20" t="n">
        <f aca="false">IF(Quantiles!G15&lt;0,"",(Depth0-MIN(Depth0,Quantiles!G15))/Depth_per_q)</f>
        <v>4.48469263885569</v>
      </c>
      <c r="H15" s="20" t="n">
        <f aca="false">IF(Quantiles!H15&lt;0,"",(Depth0-MIN(Depth0,Quantiles!H15))/Depth_per_q)</f>
        <v>4.25179587127029</v>
      </c>
      <c r="I15" s="20" t="n">
        <f aca="false">IF(Quantiles!I15&lt;0,"",(Depth0-MIN(Depth0,Quantiles!I15))/Depth_per_q)</f>
        <v>4.03829819034397</v>
      </c>
      <c r="J15" s="20" t="n">
        <f aca="false">IF(Quantiles!J15&lt;0,"",(Depth0-MIN(Depth0,Quantiles!J15))/Depth_per_q)</f>
        <v>3.83456835664067</v>
      </c>
      <c r="K15" s="20" t="n">
        <f aca="false">IF(Quantiles!K15&lt;0,"",(Depth0-MIN(Depth0,Quantiles!K15))/Depth_per_q)</f>
        <v>3.65917498896666</v>
      </c>
      <c r="L15" s="20" t="n">
        <f aca="false">IF(Quantiles!L15&lt;0,"",(Depth0-MIN(Depth0,Quantiles!L15))/Depth_per_q)</f>
        <v>3.4773541803343</v>
      </c>
      <c r="M15" s="20" t="n">
        <f aca="false">IF(Quantiles!M15&lt;0,"",(Depth0-MIN(Depth0,Quantiles!M15))/Depth_per_q)</f>
        <v>3.33666520458412</v>
      </c>
      <c r="N15" s="20" t="n">
        <f aca="false">IF(Quantiles!N15&lt;0,"",(Depth0-MIN(Depth0,Quantiles!N15))/Depth_per_q)</f>
        <v>3.19833812803355</v>
      </c>
      <c r="O15" s="20" t="n">
        <f aca="false">IF(Quantiles!O15&lt;0,"",(Depth0-MIN(Depth0,Quantiles!O15))/Depth_per_q)</f>
        <v>3.07181102614289</v>
      </c>
      <c r="P15" s="20" t="n">
        <f aca="false">IF(Quantiles!P15&lt;0,"",(Depth0-MIN(Depth0,Quantiles!P15))/Depth_per_q)</f>
        <v>2.94436371887023</v>
      </c>
      <c r="Q15" s="20" t="n">
        <f aca="false">IF(Quantiles!Q15&lt;0,"",(Depth0-MIN(Depth0,Quantiles!Q15))/Depth_per_q)</f>
        <v>2.82055926686331</v>
      </c>
      <c r="R15" s="20" t="n">
        <f aca="false">IF(Quantiles!R15&lt;0,"",(Depth0-MIN(Depth0,Quantiles!R15))/Depth_per_q)</f>
        <v>2.70097618285268</v>
      </c>
      <c r="S15" s="20" t="n">
        <f aca="false">IF(Quantiles!S15&lt;0,"",(Depth0-MIN(Depth0,Quantiles!S15))/Depth_per_q)</f>
        <v>2.60598659897682</v>
      </c>
      <c r="T15" s="20" t="n">
        <f aca="false">IF(Quantiles!T15&lt;0,"",(Depth0-MIN(Depth0,Quantiles!T15))/Depth_per_q)</f>
        <v>2.49973148884331</v>
      </c>
      <c r="U15" s="20" t="n">
        <f aca="false">IF(Quantiles!U15&lt;0,"",(Depth0-MIN(Depth0,Quantiles!U15))/Depth_per_q)</f>
        <v>2.40844168382072</v>
      </c>
      <c r="V15" s="20" t="n">
        <f aca="false">IF(Quantiles!V15&lt;0,"",(Depth0-MIN(Depth0,Quantiles!V15))/Depth_per_q)</f>
        <v>2.31157845414278</v>
      </c>
      <c r="W15" s="20" t="n">
        <f aca="false">IF(Quantiles!W15&lt;0,"",(Depth0-MIN(Depth0,Quantiles!W15))/Depth_per_q)</f>
        <v>2.22558126007708</v>
      </c>
      <c r="X15" s="20" t="n">
        <f aca="false">IF(Quantiles!X15&lt;0,"",(Depth0-MIN(Depth0,Quantiles!X15))/Depth_per_q)</f>
        <v>2.13514060260141</v>
      </c>
      <c r="Y15" s="20" t="n">
        <f aca="false">IF(Quantiles!Y15&lt;0,"",(Depth0-MIN(Depth0,Quantiles!Y15))/Depth_per_q)</f>
        <v>2.0490517974871</v>
      </c>
      <c r="Z15" s="20" t="n">
        <f aca="false">IF(Quantiles!Z15&lt;0,"",(Depth0-MIN(Depth0,Quantiles!Z15))/Depth_per_q)</f>
        <v>1.9650689048151</v>
      </c>
      <c r="AA15" s="20" t="n">
        <f aca="false">IF(Quantiles!AA15&lt;0,"",(Depth0-MIN(Depth0,Quantiles!AA15))/Depth_per_q)</f>
        <v>1.89678455291827</v>
      </c>
      <c r="AB15" s="20" t="n">
        <f aca="false">IF(Quantiles!AB15&lt;0,"",(Depth0-MIN(Depth0,Quantiles!AB15))/Depth_per_q)</f>
        <v>1.82597479239371</v>
      </c>
      <c r="AC15" s="20" t="n">
        <f aca="false">IF(Quantiles!AC15&lt;0,"",(Depth0-MIN(Depth0,Quantiles!AC15))/Depth_per_q)</f>
        <v>1.75148763662807</v>
      </c>
      <c r="AD15" s="20" t="n">
        <f aca="false">IF(Quantiles!AD15&lt;0,"",(Depth0-MIN(Depth0,Quantiles!AD15))/Depth_per_q)</f>
        <v>1.68694027437466</v>
      </c>
      <c r="AE15" s="20" t="n">
        <f aca="false">IF(Quantiles!AE15&lt;0,"",(Depth0-MIN(Depth0,Quantiles!AE15))/Depth_per_q)</f>
        <v>1.62941360080221</v>
      </c>
      <c r="AF15" s="20" t="n">
        <f aca="false">IF(Quantiles!AF15&lt;0,"",(Depth0-MIN(Depth0,Quantiles!AF15))/Depth_per_q)</f>
        <v>1.56299546966264</v>
      </c>
      <c r="AG15" s="20" t="n">
        <f aca="false">IF(Quantiles!AG15&lt;0,"",(Depth0-MIN(Depth0,Quantiles!AG15))/Depth_per_q)</f>
        <v>1.49873566667708</v>
      </c>
      <c r="AH15" s="20" t="n">
        <f aca="false">IF(Quantiles!AH15&lt;0,"",(Depth0-MIN(Depth0,Quantiles!AH15))/Depth_per_q)</f>
        <v>1.43762362183825</v>
      </c>
      <c r="AI15" s="20" t="n">
        <f aca="false">IF(Quantiles!AI15&lt;0,"",(Depth0-MIN(Depth0,Quantiles!AI15))/Depth_per_q)</f>
        <v>1.38158189197287</v>
      </c>
      <c r="AJ15" s="20" t="n">
        <f aca="false">IF(Quantiles!AJ15&lt;0,"",(Depth0-MIN(Depth0,Quantiles!AJ15))/Depth_per_q)</f>
        <v>1.32480302419684</v>
      </c>
      <c r="AK15" s="20" t="n">
        <f aca="false">IF(Quantiles!AK15&lt;0,"",(Depth0-MIN(Depth0,Quantiles!AK15))/Depth_per_q)</f>
        <v>1.27096974419619</v>
      </c>
      <c r="AL15" s="20" t="n">
        <f aca="false">IF(Quantiles!AL15&lt;0,"",(Depth0-MIN(Depth0,Quantiles!AL15))/Depth_per_q)</f>
        <v>1.21955134590975</v>
      </c>
      <c r="AM15" s="20" t="n">
        <f aca="false">IF(Quantiles!AM15&lt;0,"",(Depth0-MIN(Depth0,Quantiles!AM15))/Depth_per_q)</f>
        <v>1.1688176715157</v>
      </c>
      <c r="AN15" s="20" t="n">
        <f aca="false">IF(Quantiles!AN15&lt;0,"",(Depth0-MIN(Depth0,Quantiles!AN15))/Depth_per_q)</f>
        <v>1.11740018487861</v>
      </c>
      <c r="AO15" s="20" t="n">
        <f aca="false">IF(Quantiles!AO15&lt;0,"",(Depth0-MIN(Depth0,Quantiles!AO15))/Depth_per_q)</f>
        <v>1.06818518832212</v>
      </c>
      <c r="AP15" s="20" t="n">
        <f aca="false">IF(Quantiles!AP15&lt;0,"",(Depth0-MIN(Depth0,Quantiles!AP15))/Depth_per_q)</f>
        <v>1.01751764945415</v>
      </c>
      <c r="AQ15" s="20" t="n">
        <f aca="false">IF(Quantiles!AQ15&lt;0,"",(Depth0-MIN(Depth0,Quantiles!AQ15))/Depth_per_q)</f>
        <v>0.969979774406387</v>
      </c>
      <c r="AR15" s="20" t="n">
        <f aca="false">IF(Quantiles!AR15&lt;0,"",(Depth0-MIN(Depth0,Quantiles!AR15))/Depth_per_q)</f>
        <v>0.920270643361295</v>
      </c>
      <c r="AS15" s="20" t="n">
        <f aca="false">IF(Quantiles!AS15&lt;0,"",(Depth0-MIN(Depth0,Quantiles!AS15))/Depth_per_q)</f>
        <v>0.877095055139715</v>
      </c>
      <c r="AT15" s="20" t="n">
        <f aca="false">IF(Quantiles!AT15&lt;0,"",(Depth0-MIN(Depth0,Quantiles!AT15))/Depth_per_q)</f>
        <v>0.834764471603693</v>
      </c>
      <c r="AU15" s="20" t="n">
        <f aca="false">IF(Quantiles!AU15&lt;0,"",(Depth0-MIN(Depth0,Quantiles!AU15))/Depth_per_q)</f>
        <v>0.79587464959774</v>
      </c>
      <c r="AV15" s="20" t="n">
        <f aca="false">IF(Quantiles!AV15&lt;0,"",(Depth0-MIN(Depth0,Quantiles!AV15))/Depth_per_q)</f>
        <v>0.7511937962893</v>
      </c>
      <c r="AW15" s="20" t="n">
        <f aca="false">IF(Quantiles!AW15&lt;0,"",(Depth0-MIN(Depth0,Quantiles!AW15))/Depth_per_q)</f>
        <v>0.70980836629009</v>
      </c>
      <c r="AX15" s="20" t="n">
        <f aca="false">IF(Quantiles!AX15&lt;0,"",(Depth0-MIN(Depth0,Quantiles!AX15))/Depth_per_q)</f>
        <v>0.667222742240657</v>
      </c>
      <c r="AY15" s="20" t="n">
        <f aca="false">IF(Quantiles!AY15&lt;0,"",(Depth0-MIN(Depth0,Quantiles!AY15))/Depth_per_q)</f>
        <v>0.628914300746903</v>
      </c>
      <c r="AZ15" s="20" t="n">
        <f aca="false">IF(Quantiles!AZ15&lt;0,"",(Depth0-MIN(Depth0,Quantiles!AZ15))/Depth_per_q)</f>
        <v>0.589831888747902</v>
      </c>
      <c r="BA15" s="20" t="n">
        <f aca="false">IF(Quantiles!BA15&lt;0,"",(Depth0-MIN(Depth0,Quantiles!BA15))/Depth_per_q)</f>
        <v>0.554500598831522</v>
      </c>
      <c r="BB15" s="20" t="n">
        <f aca="false">IF(Quantiles!BB15&lt;0,"",(Depth0-MIN(Depth0,Quantiles!BB15))/Depth_per_q)</f>
        <v>0.51677391594301</v>
      </c>
      <c r="BC15" s="20" t="n">
        <f aca="false">IF(Quantiles!BC15&lt;0,"",(Depth0-MIN(Depth0,Quantiles!BC15))/Depth_per_q)</f>
        <v>0.481446505870817</v>
      </c>
      <c r="BD15" s="20" t="n">
        <f aca="false">IF(Quantiles!BD15&lt;0,"",(Depth0-MIN(Depth0,Quantiles!BD15))/Depth_per_q)</f>
        <v>0.446563123824878</v>
      </c>
      <c r="BE15" s="20" t="n">
        <f aca="false">IF(Quantiles!BE15&lt;0,"",(Depth0-MIN(Depth0,Quantiles!BE15))/Depth_per_q)</f>
        <v>0.410673415926458</v>
      </c>
      <c r="BF15" s="20" t="n">
        <f aca="false">IF(Quantiles!BF15&lt;0,"",(Depth0-MIN(Depth0,Quantiles!BF15))/Depth_per_q)</f>
        <v>0.376237943104405</v>
      </c>
      <c r="BG15" s="20" t="n">
        <f aca="false">IF(Quantiles!BG15&lt;0,"",(Depth0-MIN(Depth0,Quantiles!BG15))/Depth_per_q)</f>
        <v>0.344276048508025</v>
      </c>
      <c r="BH15" s="20" t="n">
        <f aca="false">IF(Quantiles!BH15&lt;0,"",(Depth0-MIN(Depth0,Quantiles!BH15))/Depth_per_q)</f>
        <v>0.309958457678287</v>
      </c>
      <c r="BI15" s="20" t="n">
        <f aca="false">IF(Quantiles!BI15&lt;0,"",(Depth0-MIN(Depth0,Quantiles!BI15))/Depth_per_q)</f>
        <v>0.276109751393295</v>
      </c>
      <c r="BJ15" s="20" t="n">
        <f aca="false">IF(Quantiles!BJ15&lt;0,"",(Depth0-MIN(Depth0,Quantiles!BJ15))/Depth_per_q)</f>
        <v>0.245649967516005</v>
      </c>
      <c r="BK15" s="20" t="n">
        <f aca="false">IF(Quantiles!BK15&lt;0,"",(Depth0-MIN(Depth0,Quantiles!BK15))/Depth_per_q)</f>
        <v>0.214172187229107</v>
      </c>
      <c r="BL15" s="20" t="n">
        <f aca="false">IF(Quantiles!BL15&lt;0,"",(Depth0-MIN(Depth0,Quantiles!BL15))/Depth_per_q)</f>
        <v>0.186369314252072</v>
      </c>
      <c r="BM15" s="20" t="n">
        <f aca="false">IF(Quantiles!BM15&lt;0,"",(Depth0-MIN(Depth0,Quantiles!BM15))/Depth_per_q)</f>
        <v>0.153733624263747</v>
      </c>
      <c r="BN15" s="20" t="n">
        <f aca="false">IF(Quantiles!BN15&lt;0,"",(Depth0-MIN(Depth0,Quantiles!BN15))/Depth_per_q)</f>
        <v>0.12359752112772</v>
      </c>
      <c r="BO15" s="20" t="n">
        <f aca="false">IF(Quantiles!BO15&lt;0,"",(Depth0-MIN(Depth0,Quantiles!BO15))/Depth_per_q)</f>
        <v>0.0958885060563297</v>
      </c>
      <c r="BP15" s="20" t="n">
        <f aca="false">IF(Quantiles!BP15&lt;0,"",(Depth0-MIN(Depth0,Quantiles!BP15))/Depth_per_q)</f>
        <v>0.0659037324948653</v>
      </c>
      <c r="BQ15" s="20" t="n">
        <f aca="false">IF(Quantiles!BQ15&lt;0,"",(Depth0-MIN(Depth0,Quantiles!BQ15))/Depth_per_q)</f>
        <v>0.0368295204278901</v>
      </c>
      <c r="BR15" s="20" t="n">
        <f aca="false">IF(Quantiles!BR15&lt;0,"",(Depth0-MIN(Depth0,Quantiles!BR15))/Depth_per_q)</f>
        <v>0.0083476832257654</v>
      </c>
      <c r="BS15" s="20" t="n">
        <f aca="false">IF(Quantiles!BS15&lt;0,"",(Depth0-MIN(Depth0,Quantiles!BS15))/Depth_per_q)</f>
        <v>0</v>
      </c>
      <c r="BT15" s="20" t="n">
        <f aca="false">IF(Quantiles!BT15&lt;0,"",(Depth0-MIN(Depth0,Quantiles!BT15))/Depth_per_q)</f>
        <v>0</v>
      </c>
      <c r="BU15" s="20" t="n">
        <f aca="false">IF(Quantiles!BU15&lt;0,"",(Depth0-MIN(Depth0,Quantiles!BU15))/Depth_per_q)</f>
        <v>0</v>
      </c>
      <c r="BV15" s="20" t="n">
        <f aca="false">IF(Quantiles!BV15&lt;0,"",(Depth0-MIN(Depth0,Quantiles!BV15))/Depth_per_q)</f>
        <v>0</v>
      </c>
      <c r="BW15" s="20" t="n">
        <f aca="false">IF(Quantiles!BW15&lt;0,"",(Depth0-MIN(Depth0,Quantiles!BW15))/Depth_per_q)</f>
        <v>0</v>
      </c>
      <c r="BX15" s="20" t="n">
        <f aca="false">IF(Quantiles!BX15&lt;0,"",(Depth0-MIN(Depth0,Quantiles!BX15))/Depth_per_q)</f>
        <v>0</v>
      </c>
      <c r="BY15" s="20" t="n">
        <f aca="false">IF(Quantiles!BY15&lt;0,"",(Depth0-MIN(Depth0,Quantiles!BY15))/Depth_per_q)</f>
        <v>0</v>
      </c>
      <c r="BZ15" s="20" t="n">
        <f aca="false">IF(Quantiles!BZ15&lt;0,"",(Depth0-MIN(Depth0,Quantiles!BZ15))/Depth_per_q)</f>
        <v>0</v>
      </c>
      <c r="CA15" s="20" t="n">
        <f aca="false">IF(Quantiles!CA15&lt;0,"",(Depth0-MIN(Depth0,Quantiles!CA15))/Depth_per_q)</f>
        <v>0</v>
      </c>
      <c r="CB15" s="20" t="n">
        <f aca="false">IF(Quantiles!CB15&lt;0,"",(Depth0-MIN(Depth0,Quantiles!CB15))/Depth_per_q)</f>
        <v>0</v>
      </c>
      <c r="CC15" s="20" t="n">
        <f aca="false">IF(Quantiles!CC15&lt;0,"",(Depth0-MIN(Depth0,Quantiles!CC15))/Depth_per_q)</f>
        <v>0</v>
      </c>
      <c r="CD15" s="20" t="n">
        <f aca="false">IF(Quantiles!CD15&lt;0,"",(Depth0-MIN(Depth0,Quantiles!CD15))/Depth_per_q)</f>
        <v>0</v>
      </c>
      <c r="CE15" s="20" t="n">
        <f aca="false">IF(Quantiles!CE15&lt;0,"",(Depth0-MIN(Depth0,Quantiles!CE15))/Depth_per_q)</f>
        <v>0</v>
      </c>
      <c r="CF15" s="20" t="n">
        <f aca="false">IF(Quantiles!CF15&lt;0,"",(Depth0-MIN(Depth0,Quantiles!CF15))/Depth_per_q)</f>
        <v>0</v>
      </c>
      <c r="CG15" s="20" t="n">
        <f aca="false">IF(Quantiles!CG15&lt;0,"",(Depth0-MIN(Depth0,Quantiles!CG15))/Depth_per_q)</f>
        <v>0</v>
      </c>
      <c r="CH15" s="20" t="n">
        <f aca="false">IF(Quantiles!CH15&lt;0,"",(Depth0-MIN(Depth0,Quantiles!CH15))/Depth_per_q)</f>
        <v>0</v>
      </c>
      <c r="CI15" s="20" t="n">
        <f aca="false">IF(Quantiles!CI15&lt;0,"",(Depth0-MIN(Depth0,Quantiles!CI15))/Depth_per_q)</f>
        <v>0</v>
      </c>
      <c r="CJ15" s="20" t="n">
        <f aca="false">IF(Quantiles!CJ15&lt;0,"",(Depth0-MIN(Depth0,Quantiles!CJ15))/Depth_per_q)</f>
        <v>0</v>
      </c>
      <c r="CK15" s="20" t="n">
        <f aca="false">IF(Quantiles!CK15&lt;0,"",(Depth0-MIN(Depth0,Quantiles!CK15))/Depth_per_q)</f>
        <v>0</v>
      </c>
      <c r="CL15" s="20" t="n">
        <f aca="false">IF(Quantiles!CL15&lt;0,"",(Depth0-MIN(Depth0,Quantiles!CL15))/Depth_per_q)</f>
        <v>0</v>
      </c>
      <c r="CM15" s="20" t="n">
        <f aca="false">IF(Quantiles!CM15&lt;0,"",(Depth0-MIN(Depth0,Quantiles!CM15))/Depth_per_q)</f>
        <v>0</v>
      </c>
      <c r="CN15" s="20" t="n">
        <f aca="false">IF(Quantiles!CN15&lt;0,"",(Depth0-MIN(Depth0,Quantiles!CN15))/Depth_per_q)</f>
        <v>0</v>
      </c>
      <c r="CO15" s="20" t="n">
        <f aca="false">IF(Quantiles!CO15&lt;0,"",(Depth0-MIN(Depth0,Quantiles!CO15))/Depth_per_q)</f>
        <v>0</v>
      </c>
      <c r="CP15" s="20" t="n">
        <f aca="false">IF(Quantiles!CP15&lt;0,"",(Depth0-MIN(Depth0,Quantiles!CP15))/Depth_per_q)</f>
        <v>0</v>
      </c>
      <c r="CQ15" s="20" t="n">
        <f aca="false">IF(Quantiles!CQ15&lt;0,"",(Depth0-MIN(Depth0,Quantiles!CQ15))/Depth_per_q)</f>
        <v>0</v>
      </c>
      <c r="CR15" s="20" t="n">
        <f aca="false">IF(Quantiles!CR15&lt;0,"",(Depth0-MIN(Depth0,Quantiles!CR15))/Depth_per_q)</f>
        <v>0</v>
      </c>
      <c r="CS15" s="20" t="n">
        <f aca="false">IF(Quantiles!CS15&lt;0,"",(Depth0-MIN(Depth0,Quantiles!CS15))/Depth_per_q)</f>
        <v>0</v>
      </c>
      <c r="CT15" s="20" t="n">
        <f aca="false">IF(Quantiles!CT15&lt;0,"",(Depth0-MIN(Depth0,Quantiles!CT15))/Depth_per_q)</f>
        <v>3.83365162674781</v>
      </c>
    </row>
    <row r="16" customFormat="false" ht="15" hidden="false" customHeight="false" outlineLevel="0" collapsed="false">
      <c r="A16" s="25" t="n">
        <f aca="false">Quantiles!A16</f>
        <v>55</v>
      </c>
      <c r="B16" s="20" t="n">
        <f aca="false">IF(Quantiles!B16&lt;0,"",(Depth0-MIN(Depth0,Quantiles!B16))/Depth_per_q)</f>
        <v>5.8932852903026</v>
      </c>
      <c r="C16" s="20" t="n">
        <f aca="false">IF(Quantiles!C16&lt;0,"",(Depth0-MIN(Depth0,Quantiles!C16))/Depth_per_q)</f>
        <v>5.42178128295543</v>
      </c>
      <c r="D16" s="20" t="n">
        <f aca="false">IF(Quantiles!D16&lt;0,"",(Depth0-MIN(Depth0,Quantiles!D16))/Depth_per_q)</f>
        <v>5.04359592581849</v>
      </c>
      <c r="E16" s="20" t="n">
        <f aca="false">IF(Quantiles!E16&lt;0,"",(Depth0-MIN(Depth0,Quantiles!E16))/Depth_per_q)</f>
        <v>4.74185373563377</v>
      </c>
      <c r="F16" s="20" t="n">
        <f aca="false">IF(Quantiles!F16&lt;0,"",(Depth0-MIN(Depth0,Quantiles!F16))/Depth_per_q)</f>
        <v>4.46179780901049</v>
      </c>
      <c r="G16" s="20" t="n">
        <f aca="false">IF(Quantiles!G16&lt;0,"",(Depth0-MIN(Depth0,Quantiles!G16))/Depth_per_q)</f>
        <v>4.21280242180348</v>
      </c>
      <c r="H16" s="20" t="n">
        <f aca="false">IF(Quantiles!H16&lt;0,"",(Depth0-MIN(Depth0,Quantiles!H16))/Depth_per_q)</f>
        <v>3.99505775977623</v>
      </c>
      <c r="I16" s="20" t="n">
        <f aca="false">IF(Quantiles!I16&lt;0,"",(Depth0-MIN(Depth0,Quantiles!I16))/Depth_per_q)</f>
        <v>3.79107607721077</v>
      </c>
      <c r="J16" s="20" t="n">
        <f aca="false">IF(Quantiles!J16&lt;0,"",(Depth0-MIN(Depth0,Quantiles!J16))/Depth_per_q)</f>
        <v>3.59088649700233</v>
      </c>
      <c r="K16" s="20" t="n">
        <f aca="false">IF(Quantiles!K16&lt;0,"",(Depth0-MIN(Depth0,Quantiles!K16))/Depth_per_q)</f>
        <v>3.4164759169108</v>
      </c>
      <c r="L16" s="20" t="n">
        <f aca="false">IF(Quantiles!L16&lt;0,"",(Depth0-MIN(Depth0,Quantiles!L16))/Depth_per_q)</f>
        <v>3.25337356244307</v>
      </c>
      <c r="M16" s="20" t="n">
        <f aca="false">IF(Quantiles!M16&lt;0,"",(Depth0-MIN(Depth0,Quantiles!M16))/Depth_per_q)</f>
        <v>3.11464219136635</v>
      </c>
      <c r="N16" s="20" t="n">
        <f aca="false">IF(Quantiles!N16&lt;0,"",(Depth0-MIN(Depth0,Quantiles!N16))/Depth_per_q)</f>
        <v>2.97484924057019</v>
      </c>
      <c r="O16" s="20" t="n">
        <f aca="false">IF(Quantiles!O16&lt;0,"",(Depth0-MIN(Depth0,Quantiles!O16))/Depth_per_q)</f>
        <v>2.85460121092346</v>
      </c>
      <c r="P16" s="20" t="n">
        <f aca="false">IF(Quantiles!P16&lt;0,"",(Depth0-MIN(Depth0,Quantiles!P16))/Depth_per_q)</f>
        <v>2.73599391847169</v>
      </c>
      <c r="Q16" s="20" t="n">
        <f aca="false">IF(Quantiles!Q16&lt;0,"",(Depth0-MIN(Depth0,Quantiles!Q16))/Depth_per_q)</f>
        <v>2.62040406443354</v>
      </c>
      <c r="R16" s="20" t="n">
        <f aca="false">IF(Quantiles!R16&lt;0,"",(Depth0-MIN(Depth0,Quantiles!R16))/Depth_per_q)</f>
        <v>2.51212123263502</v>
      </c>
      <c r="S16" s="20" t="n">
        <f aca="false">IF(Quantiles!S16&lt;0,"",(Depth0-MIN(Depth0,Quantiles!S16))/Depth_per_q)</f>
        <v>2.41971244589096</v>
      </c>
      <c r="T16" s="20" t="n">
        <f aca="false">IF(Quantiles!T16&lt;0,"",(Depth0-MIN(Depth0,Quantiles!T16))/Depth_per_q)</f>
        <v>2.32371796240898</v>
      </c>
      <c r="U16" s="20" t="n">
        <f aca="false">IF(Quantiles!U16&lt;0,"",(Depth0-MIN(Depth0,Quantiles!U16))/Depth_per_q)</f>
        <v>2.22568423936841</v>
      </c>
      <c r="V16" s="20" t="n">
        <f aca="false">IF(Quantiles!V16&lt;0,"",(Depth0-MIN(Depth0,Quantiles!V16))/Depth_per_q)</f>
        <v>2.13532212142836</v>
      </c>
      <c r="W16" s="20" t="n">
        <f aca="false">IF(Quantiles!W16&lt;0,"",(Depth0-MIN(Depth0,Quantiles!W16))/Depth_per_q)</f>
        <v>2.05016156923113</v>
      </c>
      <c r="X16" s="20" t="n">
        <f aca="false">IF(Quantiles!X16&lt;0,"",(Depth0-MIN(Depth0,Quantiles!X16))/Depth_per_q)</f>
        <v>1.9628806520917</v>
      </c>
      <c r="Y16" s="20" t="n">
        <f aca="false">IF(Quantiles!Y16&lt;0,"",(Depth0-MIN(Depth0,Quantiles!Y16))/Depth_per_q)</f>
        <v>1.88884152886132</v>
      </c>
      <c r="Z16" s="20" t="n">
        <f aca="false">IF(Quantiles!Z16&lt;0,"",(Depth0-MIN(Depth0,Quantiles!Z16))/Depth_per_q)</f>
        <v>1.81490173284707</v>
      </c>
      <c r="AA16" s="20" t="n">
        <f aca="false">IF(Quantiles!AA16&lt;0,"",(Depth0-MIN(Depth0,Quantiles!AA16))/Depth_per_q)</f>
        <v>1.73736635702682</v>
      </c>
      <c r="AB16" s="20" t="n">
        <f aca="false">IF(Quantiles!AB16&lt;0,"",(Depth0-MIN(Depth0,Quantiles!AB16))/Depth_per_q)</f>
        <v>1.66563677160512</v>
      </c>
      <c r="AC16" s="20" t="n">
        <f aca="false">IF(Quantiles!AC16&lt;0,"",(Depth0-MIN(Depth0,Quantiles!AC16))/Depth_per_q)</f>
        <v>1.60580555777333</v>
      </c>
      <c r="AD16" s="20" t="n">
        <f aca="false">IF(Quantiles!AD16&lt;0,"",(Depth0-MIN(Depth0,Quantiles!AD16))/Depth_per_q)</f>
        <v>1.53745376047993</v>
      </c>
      <c r="AE16" s="20" t="n">
        <f aca="false">IF(Quantiles!AE16&lt;0,"",(Depth0-MIN(Depth0,Quantiles!AE16))/Depth_per_q)</f>
        <v>1.47810343538069</v>
      </c>
      <c r="AF16" s="20" t="n">
        <f aca="false">IF(Quantiles!AF16&lt;0,"",(Depth0-MIN(Depth0,Quantiles!AF16))/Depth_per_q)</f>
        <v>1.420645618226</v>
      </c>
      <c r="AG16" s="20" t="n">
        <f aca="false">IF(Quantiles!AG16&lt;0,"",(Depth0-MIN(Depth0,Quantiles!AG16))/Depth_per_q)</f>
        <v>1.36031700138409</v>
      </c>
      <c r="AH16" s="20" t="n">
        <f aca="false">IF(Quantiles!AH16&lt;0,"",(Depth0-MIN(Depth0,Quantiles!AH16))/Depth_per_q)</f>
        <v>1.30370438355828</v>
      </c>
      <c r="AI16" s="20" t="n">
        <f aca="false">IF(Quantiles!AI16&lt;0,"",(Depth0-MIN(Depth0,Quantiles!AI16))/Depth_per_q)</f>
        <v>1.24467190428696</v>
      </c>
      <c r="AJ16" s="20" t="n">
        <f aca="false">IF(Quantiles!AJ16&lt;0,"",(Depth0-MIN(Depth0,Quantiles!AJ16))/Depth_per_q)</f>
        <v>1.19622766604376</v>
      </c>
      <c r="AK16" s="20" t="n">
        <f aca="false">IF(Quantiles!AK16&lt;0,"",(Depth0-MIN(Depth0,Quantiles!AK16))/Depth_per_q)</f>
        <v>1.14784884098109</v>
      </c>
      <c r="AL16" s="20" t="n">
        <f aca="false">IF(Quantiles!AL16&lt;0,"",(Depth0-MIN(Depth0,Quantiles!AL16))/Depth_per_q)</f>
        <v>1.09609282038119</v>
      </c>
      <c r="AM16" s="20" t="n">
        <f aca="false">IF(Quantiles!AM16&lt;0,"",(Depth0-MIN(Depth0,Quantiles!AM16))/Depth_per_q)</f>
        <v>1.0464713987469</v>
      </c>
      <c r="AN16" s="20" t="n">
        <f aca="false">IF(Quantiles!AN16&lt;0,"",(Depth0-MIN(Depth0,Quantiles!AN16))/Depth_per_q)</f>
        <v>0.99749876211348</v>
      </c>
      <c r="AO16" s="20" t="n">
        <f aca="false">IF(Quantiles!AO16&lt;0,"",(Depth0-MIN(Depth0,Quantiles!AO16))/Depth_per_q)</f>
        <v>0.951290382016222</v>
      </c>
      <c r="AP16" s="20" t="n">
        <f aca="false">IF(Quantiles!AP16&lt;0,"",(Depth0-MIN(Depth0,Quantiles!AP16))/Depth_per_q)</f>
        <v>0.905862815850718</v>
      </c>
      <c r="AQ16" s="20" t="n">
        <f aca="false">IF(Quantiles!AQ16&lt;0,"",(Depth0-MIN(Depth0,Quantiles!AQ16))/Depth_per_q)</f>
        <v>0.862524472536043</v>
      </c>
      <c r="AR16" s="20" t="n">
        <f aca="false">IF(Quantiles!AR16&lt;0,"",(Depth0-MIN(Depth0,Quantiles!AR16))/Depth_per_q)</f>
        <v>0.817446997501962</v>
      </c>
      <c r="AS16" s="20" t="n">
        <f aca="false">IF(Quantiles!AS16&lt;0,"",(Depth0-MIN(Depth0,Quantiles!AS16))/Depth_per_q)</f>
        <v>0.773254258818538</v>
      </c>
      <c r="AT16" s="20" t="n">
        <f aca="false">IF(Quantiles!AT16&lt;0,"",(Depth0-MIN(Depth0,Quantiles!AT16))/Depth_per_q)</f>
        <v>0.729692583135103</v>
      </c>
      <c r="AU16" s="20" t="n">
        <f aca="false">IF(Quantiles!AU16&lt;0,"",(Depth0-MIN(Depth0,Quantiles!AU16))/Depth_per_q)</f>
        <v>0.686888420555327</v>
      </c>
      <c r="AV16" s="20" t="n">
        <f aca="false">IF(Quantiles!AV16&lt;0,"",(Depth0-MIN(Depth0,Quantiles!AV16))/Depth_per_q)</f>
        <v>0.644698854419628</v>
      </c>
      <c r="AW16" s="20" t="n">
        <f aca="false">IF(Quantiles!AW16&lt;0,"",(Depth0-MIN(Depth0,Quantiles!AW16))/Depth_per_q)</f>
        <v>0.60570752146681</v>
      </c>
      <c r="AX16" s="20" t="n">
        <f aca="false">IF(Quantiles!AX16&lt;0,"",(Depth0-MIN(Depth0,Quantiles!AX16))/Depth_per_q)</f>
        <v>0.571676990339025</v>
      </c>
      <c r="AY16" s="20" t="n">
        <f aca="false">IF(Quantiles!AY16&lt;0,"",(Depth0-MIN(Depth0,Quantiles!AY16))/Depth_per_q)</f>
        <v>0.5318578772631</v>
      </c>
      <c r="AZ16" s="20" t="n">
        <f aca="false">IF(Quantiles!AZ16&lt;0,"",(Depth0-MIN(Depth0,Quantiles!AZ16))/Depth_per_q)</f>
        <v>0.496712110799373</v>
      </c>
      <c r="BA16" s="20" t="n">
        <f aca="false">IF(Quantiles!BA16&lt;0,"",(Depth0-MIN(Depth0,Quantiles!BA16))/Depth_per_q)</f>
        <v>0.460063517184425</v>
      </c>
      <c r="BB16" s="20" t="n">
        <f aca="false">IF(Quantiles!BB16&lt;0,"",(Depth0-MIN(Depth0,Quantiles!BB16))/Depth_per_q)</f>
        <v>0.427933126357052</v>
      </c>
      <c r="BC16" s="20" t="n">
        <f aca="false">IF(Quantiles!BC16&lt;0,"",(Depth0-MIN(Depth0,Quantiles!BC16))/Depth_per_q)</f>
        <v>0.393075151584507</v>
      </c>
      <c r="BD16" s="20" t="n">
        <f aca="false">IF(Quantiles!BD16&lt;0,"",(Depth0-MIN(Depth0,Quantiles!BD16))/Depth_per_q)</f>
        <v>0.359516542117505</v>
      </c>
      <c r="BE16" s="20" t="n">
        <f aca="false">IF(Quantiles!BE16&lt;0,"",(Depth0-MIN(Depth0,Quantiles!BE16))/Depth_per_q)</f>
        <v>0.328218176966395</v>
      </c>
      <c r="BF16" s="20" t="n">
        <f aca="false">IF(Quantiles!BF16&lt;0,"",(Depth0-MIN(Depth0,Quantiles!BF16))/Depth_per_q)</f>
        <v>0.292727758016373</v>
      </c>
      <c r="BG16" s="20" t="n">
        <f aca="false">IF(Quantiles!BG16&lt;0,"",(Depth0-MIN(Depth0,Quantiles!BG16))/Depth_per_q)</f>
        <v>0.261907510564375</v>
      </c>
      <c r="BH16" s="20" t="n">
        <f aca="false">IF(Quantiles!BH16&lt;0,"",(Depth0-MIN(Depth0,Quantiles!BH16))/Depth_per_q)</f>
        <v>0.227458176439</v>
      </c>
      <c r="BI16" s="20" t="n">
        <f aca="false">IF(Quantiles!BI16&lt;0,"",(Depth0-MIN(Depth0,Quantiles!BI16))/Depth_per_q)</f>
        <v>0.196591452165625</v>
      </c>
      <c r="BJ16" s="20" t="n">
        <f aca="false">IF(Quantiles!BJ16&lt;0,"",(Depth0-MIN(Depth0,Quantiles!BJ16))/Depth_per_q)</f>
        <v>0.167590642330797</v>
      </c>
      <c r="BK16" s="20" t="n">
        <f aca="false">IF(Quantiles!BK16&lt;0,"",(Depth0-MIN(Depth0,Quantiles!BK16))/Depth_per_q)</f>
        <v>0.13533318879892</v>
      </c>
      <c r="BL16" s="20" t="n">
        <f aca="false">IF(Quantiles!BL16&lt;0,"",(Depth0-MIN(Depth0,Quantiles!BL16))/Depth_per_q)</f>
        <v>0.105738811314472</v>
      </c>
      <c r="BM16" s="20" t="n">
        <f aca="false">IF(Quantiles!BM16&lt;0,"",(Depth0-MIN(Depth0,Quantiles!BM16))/Depth_per_q)</f>
        <v>0.075888977871565</v>
      </c>
      <c r="BN16" s="20" t="n">
        <f aca="false">IF(Quantiles!BN16&lt;0,"",(Depth0-MIN(Depth0,Quantiles!BN16))/Depth_per_q)</f>
        <v>0.0427896093649798</v>
      </c>
      <c r="BO16" s="20" t="n">
        <f aca="false">IF(Quantiles!BO16&lt;0,"",(Depth0-MIN(Depth0,Quantiles!BO16))/Depth_per_q)</f>
        <v>0.0151716162509521</v>
      </c>
      <c r="BP16" s="20" t="n">
        <f aca="false">IF(Quantiles!BP16&lt;0,"",(Depth0-MIN(Depth0,Quantiles!BP16))/Depth_per_q)</f>
        <v>0</v>
      </c>
      <c r="BQ16" s="20" t="n">
        <f aca="false">IF(Quantiles!BQ16&lt;0,"",(Depth0-MIN(Depth0,Quantiles!BQ16))/Depth_per_q)</f>
        <v>0</v>
      </c>
      <c r="BR16" s="20" t="n">
        <f aca="false">IF(Quantiles!BR16&lt;0,"",(Depth0-MIN(Depth0,Quantiles!BR16))/Depth_per_q)</f>
        <v>0</v>
      </c>
      <c r="BS16" s="20" t="n">
        <f aca="false">IF(Quantiles!BS16&lt;0,"",(Depth0-MIN(Depth0,Quantiles!BS16))/Depth_per_q)</f>
        <v>0</v>
      </c>
      <c r="BT16" s="20" t="n">
        <f aca="false">IF(Quantiles!BT16&lt;0,"",(Depth0-MIN(Depth0,Quantiles!BT16))/Depth_per_q)</f>
        <v>0</v>
      </c>
      <c r="BU16" s="20" t="n">
        <f aca="false">IF(Quantiles!BU16&lt;0,"",(Depth0-MIN(Depth0,Quantiles!BU16))/Depth_per_q)</f>
        <v>0</v>
      </c>
      <c r="BV16" s="20" t="n">
        <f aca="false">IF(Quantiles!BV16&lt;0,"",(Depth0-MIN(Depth0,Quantiles!BV16))/Depth_per_q)</f>
        <v>0</v>
      </c>
      <c r="BW16" s="20" t="n">
        <f aca="false">IF(Quantiles!BW16&lt;0,"",(Depth0-MIN(Depth0,Quantiles!BW16))/Depth_per_q)</f>
        <v>0</v>
      </c>
      <c r="BX16" s="20" t="n">
        <f aca="false">IF(Quantiles!BX16&lt;0,"",(Depth0-MIN(Depth0,Quantiles!BX16))/Depth_per_q)</f>
        <v>0</v>
      </c>
      <c r="BY16" s="20" t="n">
        <f aca="false">IF(Quantiles!BY16&lt;0,"",(Depth0-MIN(Depth0,Quantiles!BY16))/Depth_per_q)</f>
        <v>0</v>
      </c>
      <c r="BZ16" s="20" t="n">
        <f aca="false">IF(Quantiles!BZ16&lt;0,"",(Depth0-MIN(Depth0,Quantiles!BZ16))/Depth_per_q)</f>
        <v>0</v>
      </c>
      <c r="CA16" s="20" t="n">
        <f aca="false">IF(Quantiles!CA16&lt;0,"",(Depth0-MIN(Depth0,Quantiles!CA16))/Depth_per_q)</f>
        <v>0</v>
      </c>
      <c r="CB16" s="20" t="n">
        <f aca="false">IF(Quantiles!CB16&lt;0,"",(Depth0-MIN(Depth0,Quantiles!CB16))/Depth_per_q)</f>
        <v>0</v>
      </c>
      <c r="CC16" s="20" t="n">
        <f aca="false">IF(Quantiles!CC16&lt;0,"",(Depth0-MIN(Depth0,Quantiles!CC16))/Depth_per_q)</f>
        <v>0</v>
      </c>
      <c r="CD16" s="20" t="n">
        <f aca="false">IF(Quantiles!CD16&lt;0,"",(Depth0-MIN(Depth0,Quantiles!CD16))/Depth_per_q)</f>
        <v>0</v>
      </c>
      <c r="CE16" s="20" t="n">
        <f aca="false">IF(Quantiles!CE16&lt;0,"",(Depth0-MIN(Depth0,Quantiles!CE16))/Depth_per_q)</f>
        <v>0</v>
      </c>
      <c r="CF16" s="20" t="n">
        <f aca="false">IF(Quantiles!CF16&lt;0,"",(Depth0-MIN(Depth0,Quantiles!CF16))/Depth_per_q)</f>
        <v>0</v>
      </c>
      <c r="CG16" s="20" t="n">
        <f aca="false">IF(Quantiles!CG16&lt;0,"",(Depth0-MIN(Depth0,Quantiles!CG16))/Depth_per_q)</f>
        <v>0</v>
      </c>
      <c r="CH16" s="20" t="n">
        <f aca="false">IF(Quantiles!CH16&lt;0,"",(Depth0-MIN(Depth0,Quantiles!CH16))/Depth_per_q)</f>
        <v>0</v>
      </c>
      <c r="CI16" s="20" t="n">
        <f aca="false">IF(Quantiles!CI16&lt;0,"",(Depth0-MIN(Depth0,Quantiles!CI16))/Depth_per_q)</f>
        <v>0</v>
      </c>
      <c r="CJ16" s="20" t="n">
        <f aca="false">IF(Quantiles!CJ16&lt;0,"",(Depth0-MIN(Depth0,Quantiles!CJ16))/Depth_per_q)</f>
        <v>0</v>
      </c>
      <c r="CK16" s="20" t="n">
        <f aca="false">IF(Quantiles!CK16&lt;0,"",(Depth0-MIN(Depth0,Quantiles!CK16))/Depth_per_q)</f>
        <v>0</v>
      </c>
      <c r="CL16" s="20" t="n">
        <f aca="false">IF(Quantiles!CL16&lt;0,"",(Depth0-MIN(Depth0,Quantiles!CL16))/Depth_per_q)</f>
        <v>0</v>
      </c>
      <c r="CM16" s="20" t="n">
        <f aca="false">IF(Quantiles!CM16&lt;0,"",(Depth0-MIN(Depth0,Quantiles!CM16))/Depth_per_q)</f>
        <v>0</v>
      </c>
      <c r="CN16" s="20" t="n">
        <f aca="false">IF(Quantiles!CN16&lt;0,"",(Depth0-MIN(Depth0,Quantiles!CN16))/Depth_per_q)</f>
        <v>0</v>
      </c>
      <c r="CO16" s="20" t="n">
        <f aca="false">IF(Quantiles!CO16&lt;0,"",(Depth0-MIN(Depth0,Quantiles!CO16))/Depth_per_q)</f>
        <v>0</v>
      </c>
      <c r="CP16" s="20" t="n">
        <f aca="false">IF(Quantiles!CP16&lt;0,"",(Depth0-MIN(Depth0,Quantiles!CP16))/Depth_per_q)</f>
        <v>0</v>
      </c>
      <c r="CQ16" s="20" t="n">
        <f aca="false">IF(Quantiles!CQ16&lt;0,"",(Depth0-MIN(Depth0,Quantiles!CQ16))/Depth_per_q)</f>
        <v>0</v>
      </c>
      <c r="CR16" s="20" t="n">
        <f aca="false">IF(Quantiles!CR16&lt;0,"",(Depth0-MIN(Depth0,Quantiles!CR16))/Depth_per_q)</f>
        <v>0</v>
      </c>
      <c r="CS16" s="20" t="n">
        <f aca="false">IF(Quantiles!CS16&lt;0,"",(Depth0-MIN(Depth0,Quantiles!CS16))/Depth_per_q)</f>
        <v>0</v>
      </c>
      <c r="CT16" s="20" t="n">
        <f aca="false">IF(Quantiles!CT16&lt;0,"",(Depth0-MIN(Depth0,Quantiles!CT16))/Depth_per_q)</f>
        <v>3.58767527249228</v>
      </c>
    </row>
    <row r="17" customFormat="false" ht="15" hidden="false" customHeight="false" outlineLevel="0" collapsed="false">
      <c r="A17" s="25" t="n">
        <f aca="false">Quantiles!A17</f>
        <v>60</v>
      </c>
      <c r="B17" s="20" t="n">
        <f aca="false">IF(Quantiles!B17&lt;0,"",(Depth0-MIN(Depth0,Quantiles!B17))/Depth_per_q)</f>
        <v>5.60441845094286</v>
      </c>
      <c r="C17" s="20" t="n">
        <f aca="false">IF(Quantiles!C17&lt;0,"",(Depth0-MIN(Depth0,Quantiles!C17))/Depth_per_q)</f>
        <v>5.13165249915334</v>
      </c>
      <c r="D17" s="20" t="n">
        <f aca="false">IF(Quantiles!D17&lt;0,"",(Depth0-MIN(Depth0,Quantiles!D17))/Depth_per_q)</f>
        <v>4.77007610091033</v>
      </c>
      <c r="E17" s="20" t="n">
        <f aca="false">IF(Quantiles!E17&lt;0,"",(Depth0-MIN(Depth0,Quantiles!E17))/Depth_per_q)</f>
        <v>4.48507347263374</v>
      </c>
      <c r="F17" s="20" t="n">
        <f aca="false">IF(Quantiles!F17&lt;0,"",(Depth0-MIN(Depth0,Quantiles!F17))/Depth_per_q)</f>
        <v>4.21344883979547</v>
      </c>
      <c r="G17" s="20" t="n">
        <f aca="false">IF(Quantiles!G17&lt;0,"",(Depth0-MIN(Depth0,Quantiles!G17))/Depth_per_q)</f>
        <v>3.96502376856994</v>
      </c>
      <c r="H17" s="20" t="n">
        <f aca="false">IF(Quantiles!H17&lt;0,"",(Depth0-MIN(Depth0,Quantiles!H17))/Depth_per_q)</f>
        <v>3.74454994851231</v>
      </c>
      <c r="I17" s="20" t="n">
        <f aca="false">IF(Quantiles!I17&lt;0,"",(Depth0-MIN(Depth0,Quantiles!I17))/Depth_per_q)</f>
        <v>3.54121551421431</v>
      </c>
      <c r="J17" s="20" t="n">
        <f aca="false">IF(Quantiles!J17&lt;0,"",(Depth0-MIN(Depth0,Quantiles!J17))/Depth_per_q)</f>
        <v>3.35287578027926</v>
      </c>
      <c r="K17" s="20" t="n">
        <f aca="false">IF(Quantiles!K17&lt;0,"",(Depth0-MIN(Depth0,Quantiles!K17))/Depth_per_q)</f>
        <v>3.19098596713344</v>
      </c>
      <c r="L17" s="20" t="n">
        <f aca="false">IF(Quantiles!L17&lt;0,"",(Depth0-MIN(Depth0,Quantiles!L17))/Depth_per_q)</f>
        <v>3.04116521271394</v>
      </c>
      <c r="M17" s="20" t="n">
        <f aca="false">IF(Quantiles!M17&lt;0,"",(Depth0-MIN(Depth0,Quantiles!M17))/Depth_per_q)</f>
        <v>2.90998150528259</v>
      </c>
      <c r="N17" s="20" t="n">
        <f aca="false">IF(Quantiles!N17&lt;0,"",(Depth0-MIN(Depth0,Quantiles!N17))/Depth_per_q)</f>
        <v>2.78295812125493</v>
      </c>
      <c r="O17" s="20" t="n">
        <f aca="false">IF(Quantiles!O17&lt;0,"",(Depth0-MIN(Depth0,Quantiles!O17))/Depth_per_q)</f>
        <v>2.65398157321911</v>
      </c>
      <c r="P17" s="20" t="n">
        <f aca="false">IF(Quantiles!P17&lt;0,"",(Depth0-MIN(Depth0,Quantiles!P17))/Depth_per_q)</f>
        <v>2.54220587604125</v>
      </c>
      <c r="Q17" s="20" t="n">
        <f aca="false">IF(Quantiles!Q17&lt;0,"",(Depth0-MIN(Depth0,Quantiles!Q17))/Depth_per_q)</f>
        <v>2.43493571343046</v>
      </c>
      <c r="R17" s="20" t="n">
        <f aca="false">IF(Quantiles!R17&lt;0,"",(Depth0-MIN(Depth0,Quantiles!R17))/Depth_per_q)</f>
        <v>2.33033611791391</v>
      </c>
      <c r="S17" s="20" t="n">
        <f aca="false">IF(Quantiles!S17&lt;0,"",(Depth0-MIN(Depth0,Quantiles!S17))/Depth_per_q)</f>
        <v>2.2287137900469</v>
      </c>
      <c r="T17" s="20" t="n">
        <f aca="false">IF(Quantiles!T17&lt;0,"",(Depth0-MIN(Depth0,Quantiles!T17))/Depth_per_q)</f>
        <v>2.13889939895649</v>
      </c>
      <c r="U17" s="20" t="n">
        <f aca="false">IF(Quantiles!U17&lt;0,"",(Depth0-MIN(Depth0,Quantiles!U17))/Depth_per_q)</f>
        <v>2.05211122814592</v>
      </c>
      <c r="V17" s="20" t="n">
        <f aca="false">IF(Quantiles!V17&lt;0,"",(Depth0-MIN(Depth0,Quantiles!V17))/Depth_per_q)</f>
        <v>1.96904629329546</v>
      </c>
      <c r="W17" s="20" t="n">
        <f aca="false">IF(Quantiles!W17&lt;0,"",(Depth0-MIN(Depth0,Quantiles!W17))/Depth_per_q)</f>
        <v>1.89318851022733</v>
      </c>
      <c r="X17" s="20" t="n">
        <f aca="false">IF(Quantiles!X17&lt;0,"",(Depth0-MIN(Depth0,Quantiles!X17))/Depth_per_q)</f>
        <v>1.81858954150436</v>
      </c>
      <c r="Y17" s="20" t="n">
        <f aca="false">IF(Quantiles!Y17&lt;0,"",(Depth0-MIN(Depth0,Quantiles!Y17))/Depth_per_q)</f>
        <v>1.73991947809172</v>
      </c>
      <c r="Z17" s="20" t="n">
        <f aca="false">IF(Quantiles!Z17&lt;0,"",(Depth0-MIN(Depth0,Quantiles!Z17))/Depth_per_q)</f>
        <v>1.66264455405458</v>
      </c>
      <c r="AA17" s="20" t="n">
        <f aca="false">IF(Quantiles!AA17&lt;0,"",(Depth0-MIN(Depth0,Quantiles!AA17))/Depth_per_q)</f>
        <v>1.59101178051443</v>
      </c>
      <c r="AB17" s="20" t="n">
        <f aca="false">IF(Quantiles!AB17&lt;0,"",(Depth0-MIN(Depth0,Quantiles!AB17))/Depth_per_q)</f>
        <v>1.52559003916756</v>
      </c>
      <c r="AC17" s="20" t="n">
        <f aca="false">IF(Quantiles!AC17&lt;0,"",(Depth0-MIN(Depth0,Quantiles!AC17))/Depth_per_q)</f>
        <v>1.46072049736645</v>
      </c>
      <c r="AD17" s="20" t="n">
        <f aca="false">IF(Quantiles!AD17&lt;0,"",(Depth0-MIN(Depth0,Quantiles!AD17))/Depth_per_q)</f>
        <v>1.4030204207884</v>
      </c>
      <c r="AE17" s="20" t="n">
        <f aca="false">IF(Quantiles!AE17&lt;0,"",(Depth0-MIN(Depth0,Quantiles!AE17))/Depth_per_q)</f>
        <v>1.33992769639714</v>
      </c>
      <c r="AF17" s="20" t="n">
        <f aca="false">IF(Quantiles!AF17&lt;0,"",(Depth0-MIN(Depth0,Quantiles!AF17))/Depth_per_q)</f>
        <v>1.28529929936479</v>
      </c>
      <c r="AG17" s="20" t="n">
        <f aca="false">IF(Quantiles!AG17&lt;0,"",(Depth0-MIN(Depth0,Quantiles!AG17))/Depth_per_q)</f>
        <v>1.23382127016761</v>
      </c>
      <c r="AH17" s="20" t="n">
        <f aca="false">IF(Quantiles!AH17&lt;0,"",(Depth0-MIN(Depth0,Quantiles!AH17))/Depth_per_q)</f>
        <v>1.18388759777724</v>
      </c>
      <c r="AI17" s="20" t="n">
        <f aca="false">IF(Quantiles!AI17&lt;0,"",(Depth0-MIN(Depth0,Quantiles!AI17))/Depth_per_q)</f>
        <v>1.13035554518718</v>
      </c>
      <c r="AJ17" s="20" t="n">
        <f aca="false">IF(Quantiles!AJ17&lt;0,"",(Depth0-MIN(Depth0,Quantiles!AJ17))/Depth_per_q)</f>
        <v>1.07598173191092</v>
      </c>
      <c r="AK17" s="20" t="n">
        <f aca="false">IF(Quantiles!AK17&lt;0,"",(Depth0-MIN(Depth0,Quantiles!AK17))/Depth_per_q)</f>
        <v>1.02656713803616</v>
      </c>
      <c r="AL17" s="20" t="n">
        <f aca="false">IF(Quantiles!AL17&lt;0,"",(Depth0-MIN(Depth0,Quantiles!AL17))/Depth_per_q)</f>
        <v>0.97738997115715</v>
      </c>
      <c r="AM17" s="20" t="n">
        <f aca="false">IF(Quantiles!AM17&lt;0,"",(Depth0-MIN(Depth0,Quantiles!AM17))/Depth_per_q)</f>
        <v>0.92989938319698</v>
      </c>
      <c r="AN17" s="20" t="n">
        <f aca="false">IF(Quantiles!AN17&lt;0,"",(Depth0-MIN(Depth0,Quantiles!AN17))/Depth_per_q)</f>
        <v>0.88878967289232</v>
      </c>
      <c r="AO17" s="20" t="n">
        <f aca="false">IF(Quantiles!AO17&lt;0,"",(Depth0-MIN(Depth0,Quantiles!AO17))/Depth_per_q)</f>
        <v>0.839142740552235</v>
      </c>
      <c r="AP17" s="20" t="n">
        <f aca="false">IF(Quantiles!AP17&lt;0,"",(Depth0-MIN(Depth0,Quantiles!AP17))/Depth_per_q)</f>
        <v>0.797948013465855</v>
      </c>
      <c r="AQ17" s="20" t="n">
        <f aca="false">IF(Quantiles!AQ17&lt;0,"",(Depth0-MIN(Depth0,Quantiles!AQ17))/Depth_per_q)</f>
        <v>0.757985265004092</v>
      </c>
      <c r="AR17" s="20" t="n">
        <f aca="false">IF(Quantiles!AR17&lt;0,"",(Depth0-MIN(Depth0,Quantiles!AR17))/Depth_per_q)</f>
        <v>0.713417896225643</v>
      </c>
      <c r="AS17" s="20" t="n">
        <f aca="false">IF(Quantiles!AS17&lt;0,"",(Depth0-MIN(Depth0,Quantiles!AS17))/Depth_per_q)</f>
        <v>0.669885298708103</v>
      </c>
      <c r="AT17" s="20" t="n">
        <f aca="false">IF(Quantiles!AT17&lt;0,"",(Depth0-MIN(Depth0,Quantiles!AT17))/Depth_per_q)</f>
        <v>0.629382813902615</v>
      </c>
      <c r="AU17" s="20" t="n">
        <f aca="false">IF(Quantiles!AU17&lt;0,"",(Depth0-MIN(Depth0,Quantiles!AU17))/Depth_per_q)</f>
        <v>0.589207103482442</v>
      </c>
      <c r="AV17" s="20" t="n">
        <f aca="false">IF(Quantiles!AV17&lt;0,"",(Depth0-MIN(Depth0,Quantiles!AV17))/Depth_per_q)</f>
        <v>0.551910381208527</v>
      </c>
      <c r="AW17" s="20" t="n">
        <f aca="false">IF(Quantiles!AW17&lt;0,"",(Depth0-MIN(Depth0,Quantiles!AW17))/Depth_per_q)</f>
        <v>0.511653689088012</v>
      </c>
      <c r="AX17" s="20" t="n">
        <f aca="false">IF(Quantiles!AX17&lt;0,"",(Depth0-MIN(Depth0,Quantiles!AX17))/Depth_per_q)</f>
        <v>0.476063645238438</v>
      </c>
      <c r="AY17" s="20" t="n">
        <f aca="false">IF(Quantiles!AY17&lt;0,"",(Depth0-MIN(Depth0,Quantiles!AY17))/Depth_per_q)</f>
        <v>0.44312191450909</v>
      </c>
      <c r="AZ17" s="20" t="n">
        <f aca="false">IF(Quantiles!AZ17&lt;0,"",(Depth0-MIN(Depth0,Quantiles!AZ17))/Depth_per_q)</f>
        <v>0.408908973608065</v>
      </c>
      <c r="BA17" s="20" t="n">
        <f aca="false">IF(Quantiles!BA17&lt;0,"",(Depth0-MIN(Depth0,Quantiles!BA17))/Depth_per_q)</f>
        <v>0.37536118511795</v>
      </c>
      <c r="BB17" s="20" t="n">
        <f aca="false">IF(Quantiles!BB17&lt;0,"",(Depth0-MIN(Depth0,Quantiles!BB17))/Depth_per_q)</f>
        <v>0.341913929522968</v>
      </c>
      <c r="BC17" s="20" t="n">
        <f aca="false">IF(Quantiles!BC17&lt;0,"",(Depth0-MIN(Depth0,Quantiles!BC17))/Depth_per_q)</f>
        <v>0.309958457678287</v>
      </c>
      <c r="BD17" s="20" t="n">
        <f aca="false">IF(Quantiles!BD17&lt;0,"",(Depth0-MIN(Depth0,Quantiles!BD17))/Depth_per_q)</f>
        <v>0.272138117445305</v>
      </c>
      <c r="BE17" s="20" t="n">
        <f aca="false">IF(Quantiles!BE17&lt;0,"",(Depth0-MIN(Depth0,Quantiles!BE17))/Depth_per_q)</f>
        <v>0.243567316284618</v>
      </c>
      <c r="BF17" s="20" t="n">
        <f aca="false">IF(Quantiles!BF17&lt;0,"",(Depth0-MIN(Depth0,Quantiles!BF17))/Depth_per_q)</f>
        <v>0.210835900820983</v>
      </c>
      <c r="BG17" s="20" t="n">
        <f aca="false">IF(Quantiles!BG17&lt;0,"",(Depth0-MIN(Depth0,Quantiles!BG17))/Depth_per_q)</f>
        <v>0.183284638146582</v>
      </c>
      <c r="BH17" s="20" t="n">
        <f aca="false">IF(Quantiles!BH17&lt;0,"",(Depth0-MIN(Depth0,Quantiles!BH17))/Depth_per_q)</f>
        <v>0.152190023648295</v>
      </c>
      <c r="BI17" s="20" t="n">
        <f aca="false">IF(Quantiles!BI17&lt;0,"",(Depth0-MIN(Depth0,Quantiles!BI17))/Depth_per_q)</f>
        <v>0.12225540750111</v>
      </c>
      <c r="BJ17" s="20" t="n">
        <f aca="false">IF(Quantiles!BJ17&lt;0,"",(Depth0-MIN(Depth0,Quantiles!BJ17))/Depth_per_q)</f>
        <v>0.0914101934793923</v>
      </c>
      <c r="BK17" s="20" t="n">
        <f aca="false">IF(Quantiles!BK17&lt;0,"",(Depth0-MIN(Depth0,Quantiles!BK17))/Depth_per_q)</f>
        <v>0.0625060246889397</v>
      </c>
      <c r="BL17" s="20" t="n">
        <f aca="false">IF(Quantiles!BL17&lt;0,"",(Depth0-MIN(Depth0,Quantiles!BL17))/Depth_per_q)</f>
        <v>0.0295185124968977</v>
      </c>
      <c r="BM17" s="20" t="n">
        <f aca="false">IF(Quantiles!BM17&lt;0,"",(Depth0-MIN(Depth0,Quantiles!BM17))/Depth_per_q)</f>
        <v>0.000551457061430227</v>
      </c>
      <c r="BN17" s="20" t="n">
        <f aca="false">IF(Quantiles!BN17&lt;0,"",(Depth0-MIN(Depth0,Quantiles!BN17))/Depth_per_q)</f>
        <v>0</v>
      </c>
      <c r="BO17" s="20" t="n">
        <f aca="false">IF(Quantiles!BO17&lt;0,"",(Depth0-MIN(Depth0,Quantiles!BO17))/Depth_per_q)</f>
        <v>0</v>
      </c>
      <c r="BP17" s="20" t="n">
        <f aca="false">IF(Quantiles!BP17&lt;0,"",(Depth0-MIN(Depth0,Quantiles!BP17))/Depth_per_q)</f>
        <v>0</v>
      </c>
      <c r="BQ17" s="20" t="n">
        <f aca="false">IF(Quantiles!BQ17&lt;0,"",(Depth0-MIN(Depth0,Quantiles!BQ17))/Depth_per_q)</f>
        <v>0</v>
      </c>
      <c r="BR17" s="20" t="n">
        <f aca="false">IF(Quantiles!BR17&lt;0,"",(Depth0-MIN(Depth0,Quantiles!BR17))/Depth_per_q)</f>
        <v>0</v>
      </c>
      <c r="BS17" s="20" t="n">
        <f aca="false">IF(Quantiles!BS17&lt;0,"",(Depth0-MIN(Depth0,Quantiles!BS17))/Depth_per_q)</f>
        <v>0</v>
      </c>
      <c r="BT17" s="20" t="n">
        <f aca="false">IF(Quantiles!BT17&lt;0,"",(Depth0-MIN(Depth0,Quantiles!BT17))/Depth_per_q)</f>
        <v>0</v>
      </c>
      <c r="BU17" s="20" t="n">
        <f aca="false">IF(Quantiles!BU17&lt;0,"",(Depth0-MIN(Depth0,Quantiles!BU17))/Depth_per_q)</f>
        <v>0</v>
      </c>
      <c r="BV17" s="20" t="n">
        <f aca="false">IF(Quantiles!BV17&lt;0,"",(Depth0-MIN(Depth0,Quantiles!BV17))/Depth_per_q)</f>
        <v>0</v>
      </c>
      <c r="BW17" s="20" t="n">
        <f aca="false">IF(Quantiles!BW17&lt;0,"",(Depth0-MIN(Depth0,Quantiles!BW17))/Depth_per_q)</f>
        <v>0</v>
      </c>
      <c r="BX17" s="20" t="n">
        <f aca="false">IF(Quantiles!BX17&lt;0,"",(Depth0-MIN(Depth0,Quantiles!BX17))/Depth_per_q)</f>
        <v>0</v>
      </c>
      <c r="BY17" s="20" t="n">
        <f aca="false">IF(Quantiles!BY17&lt;0,"",(Depth0-MIN(Depth0,Quantiles!BY17))/Depth_per_q)</f>
        <v>0</v>
      </c>
      <c r="BZ17" s="20" t="n">
        <f aca="false">IF(Quantiles!BZ17&lt;0,"",(Depth0-MIN(Depth0,Quantiles!BZ17))/Depth_per_q)</f>
        <v>0</v>
      </c>
      <c r="CA17" s="20" t="n">
        <f aca="false">IF(Quantiles!CA17&lt;0,"",(Depth0-MIN(Depth0,Quantiles!CA17))/Depth_per_q)</f>
        <v>0</v>
      </c>
      <c r="CB17" s="20" t="n">
        <f aca="false">IF(Quantiles!CB17&lt;0,"",(Depth0-MIN(Depth0,Quantiles!CB17))/Depth_per_q)</f>
        <v>0</v>
      </c>
      <c r="CC17" s="20" t="n">
        <f aca="false">IF(Quantiles!CC17&lt;0,"",(Depth0-MIN(Depth0,Quantiles!CC17))/Depth_per_q)</f>
        <v>0</v>
      </c>
      <c r="CD17" s="20" t="n">
        <f aca="false">IF(Quantiles!CD17&lt;0,"",(Depth0-MIN(Depth0,Quantiles!CD17))/Depth_per_q)</f>
        <v>0</v>
      </c>
      <c r="CE17" s="20" t="n">
        <f aca="false">IF(Quantiles!CE17&lt;0,"",(Depth0-MIN(Depth0,Quantiles!CE17))/Depth_per_q)</f>
        <v>0</v>
      </c>
      <c r="CF17" s="20" t="n">
        <f aca="false">IF(Quantiles!CF17&lt;0,"",(Depth0-MIN(Depth0,Quantiles!CF17))/Depth_per_q)</f>
        <v>0</v>
      </c>
      <c r="CG17" s="20" t="n">
        <f aca="false">IF(Quantiles!CG17&lt;0,"",(Depth0-MIN(Depth0,Quantiles!CG17))/Depth_per_q)</f>
        <v>0</v>
      </c>
      <c r="CH17" s="20" t="n">
        <f aca="false">IF(Quantiles!CH17&lt;0,"",(Depth0-MIN(Depth0,Quantiles!CH17))/Depth_per_q)</f>
        <v>0</v>
      </c>
      <c r="CI17" s="20" t="n">
        <f aca="false">IF(Quantiles!CI17&lt;0,"",(Depth0-MIN(Depth0,Quantiles!CI17))/Depth_per_q)</f>
        <v>0</v>
      </c>
      <c r="CJ17" s="20" t="n">
        <f aca="false">IF(Quantiles!CJ17&lt;0,"",(Depth0-MIN(Depth0,Quantiles!CJ17))/Depth_per_q)</f>
        <v>0</v>
      </c>
      <c r="CK17" s="20" t="n">
        <f aca="false">IF(Quantiles!CK17&lt;0,"",(Depth0-MIN(Depth0,Quantiles!CK17))/Depth_per_q)</f>
        <v>0</v>
      </c>
      <c r="CL17" s="20" t="n">
        <f aca="false">IF(Quantiles!CL17&lt;0,"",(Depth0-MIN(Depth0,Quantiles!CL17))/Depth_per_q)</f>
        <v>0</v>
      </c>
      <c r="CM17" s="20" t="n">
        <f aca="false">IF(Quantiles!CM17&lt;0,"",(Depth0-MIN(Depth0,Quantiles!CM17))/Depth_per_q)</f>
        <v>0</v>
      </c>
      <c r="CN17" s="20" t="n">
        <f aca="false">IF(Quantiles!CN17&lt;0,"",(Depth0-MIN(Depth0,Quantiles!CN17))/Depth_per_q)</f>
        <v>0</v>
      </c>
      <c r="CO17" s="20" t="n">
        <f aca="false">IF(Quantiles!CO17&lt;0,"",(Depth0-MIN(Depth0,Quantiles!CO17))/Depth_per_q)</f>
        <v>0</v>
      </c>
      <c r="CP17" s="20" t="n">
        <f aca="false">IF(Quantiles!CP17&lt;0,"",(Depth0-MIN(Depth0,Quantiles!CP17))/Depth_per_q)</f>
        <v>0</v>
      </c>
      <c r="CQ17" s="20" t="n">
        <f aca="false">IF(Quantiles!CQ17&lt;0,"",(Depth0-MIN(Depth0,Quantiles!CQ17))/Depth_per_q)</f>
        <v>0</v>
      </c>
      <c r="CR17" s="20" t="n">
        <f aca="false">IF(Quantiles!CR17&lt;0,"",(Depth0-MIN(Depth0,Quantiles!CR17))/Depth_per_q)</f>
        <v>0</v>
      </c>
      <c r="CS17" s="20" t="n">
        <f aca="false">IF(Quantiles!CS17&lt;0,"",(Depth0-MIN(Depth0,Quantiles!CS17))/Depth_per_q)</f>
        <v>0</v>
      </c>
      <c r="CT17" s="20" t="n">
        <f aca="false">IF(Quantiles!CT17&lt;0,"",(Depth0-MIN(Depth0,Quantiles!CT17))/Depth_per_q)</f>
        <v>3.35200588610173</v>
      </c>
    </row>
    <row r="18" customFormat="false" ht="15" hidden="false" customHeight="false" outlineLevel="0" collapsed="false">
      <c r="A18" s="25" t="n">
        <f aca="false">Quantiles!A18</f>
        <v>65</v>
      </c>
      <c r="B18" s="20" t="n">
        <f aca="false">IF(Quantiles!B18&lt;0,"",(Depth0-MIN(Depth0,Quantiles!B18))/Depth_per_q)</f>
        <v>5.32037136850013</v>
      </c>
      <c r="C18" s="20" t="n">
        <f aca="false">IF(Quantiles!C18&lt;0,"",(Depth0-MIN(Depth0,Quantiles!C18))/Depth_per_q)</f>
        <v>4.86268529156393</v>
      </c>
      <c r="D18" s="20" t="n">
        <f aca="false">IF(Quantiles!D18&lt;0,"",(Depth0-MIN(Depth0,Quantiles!D18))/Depth_per_q)</f>
        <v>4.5135272201602</v>
      </c>
      <c r="E18" s="20" t="n">
        <f aca="false">IF(Quantiles!E18&lt;0,"",(Depth0-MIN(Depth0,Quantiles!E18))/Depth_per_q)</f>
        <v>4.2252526147267</v>
      </c>
      <c r="F18" s="20" t="n">
        <f aca="false">IF(Quantiles!F18&lt;0,"",(Depth0-MIN(Depth0,Quantiles!F18))/Depth_per_q)</f>
        <v>3.96701567773303</v>
      </c>
      <c r="G18" s="20" t="n">
        <f aca="false">IF(Quantiles!G18&lt;0,"",(Depth0-MIN(Depth0,Quantiles!G18))/Depth_per_q)</f>
        <v>3.72244387041099</v>
      </c>
      <c r="H18" s="20" t="n">
        <f aca="false">IF(Quantiles!H18&lt;0,"",(Depth0-MIN(Depth0,Quantiles!H18))/Depth_per_q)</f>
        <v>3.5065777809611</v>
      </c>
      <c r="I18" s="20" t="n">
        <f aca="false">IF(Quantiles!I18&lt;0,"",(Depth0-MIN(Depth0,Quantiles!I18))/Depth_per_q)</f>
        <v>3.3059665963971</v>
      </c>
      <c r="J18" s="20" t="n">
        <f aca="false">IF(Quantiles!J18&lt;0,"",(Depth0-MIN(Depth0,Quantiles!J18))/Depth_per_q)</f>
        <v>3.13737532534829</v>
      </c>
      <c r="K18" s="20" t="n">
        <f aca="false">IF(Quantiles!K18&lt;0,"",(Depth0-MIN(Depth0,Quantiles!K18))/Depth_per_q)</f>
        <v>2.98430197775098</v>
      </c>
      <c r="L18" s="20" t="n">
        <f aca="false">IF(Quantiles!L18&lt;0,"",(Depth0-MIN(Depth0,Quantiles!L18))/Depth_per_q)</f>
        <v>2.83877034094964</v>
      </c>
      <c r="M18" s="20" t="n">
        <f aca="false">IF(Quantiles!M18&lt;0,"",(Depth0-MIN(Depth0,Quantiles!M18))/Depth_per_q)</f>
        <v>2.70935019930941</v>
      </c>
      <c r="N18" s="20" t="n">
        <f aca="false">IF(Quantiles!N18&lt;0,"",(Depth0-MIN(Depth0,Quantiles!N18))/Depth_per_q)</f>
        <v>2.59249155650929</v>
      </c>
      <c r="O18" s="20" t="n">
        <f aca="false">IF(Quantiles!O18&lt;0,"",(Depth0-MIN(Depth0,Quantiles!O18))/Depth_per_q)</f>
        <v>2.48322589663998</v>
      </c>
      <c r="P18" s="20" t="n">
        <f aca="false">IF(Quantiles!P18&lt;0,"",(Depth0-MIN(Depth0,Quantiles!P18))/Depth_per_q)</f>
        <v>2.3707643383501</v>
      </c>
      <c r="Q18" s="20" t="n">
        <f aca="false">IF(Quantiles!Q18&lt;0,"",(Depth0-MIN(Depth0,Quantiles!Q18))/Depth_per_q)</f>
        <v>2.25156058566689</v>
      </c>
      <c r="R18" s="20" t="n">
        <f aca="false">IF(Quantiles!R18&lt;0,"",(Depth0-MIN(Depth0,Quantiles!R18))/Depth_per_q)</f>
        <v>2.15359691351788</v>
      </c>
      <c r="S18" s="20" t="n">
        <f aca="false">IF(Quantiles!S18&lt;0,"",(Depth0-MIN(Depth0,Quantiles!S18))/Depth_per_q)</f>
        <v>2.05793886964369</v>
      </c>
      <c r="T18" s="20" t="n">
        <f aca="false">IF(Quantiles!T18&lt;0,"",(Depth0-MIN(Depth0,Quantiles!T18))/Depth_per_q)</f>
        <v>1.9674824919299</v>
      </c>
      <c r="U18" s="20" t="n">
        <f aca="false">IF(Quantiles!U18&lt;0,"",(Depth0-MIN(Depth0,Quantiles!U18))/Depth_per_q)</f>
        <v>1.88651124186402</v>
      </c>
      <c r="V18" s="20" t="n">
        <f aca="false">IF(Quantiles!V18&lt;0,"",(Depth0-MIN(Depth0,Quantiles!V18))/Depth_per_q)</f>
        <v>1.81802469130186</v>
      </c>
      <c r="W18" s="20" t="n">
        <f aca="false">IF(Quantiles!W18&lt;0,"",(Depth0-MIN(Depth0,Quantiles!W18))/Depth_per_q)</f>
        <v>1.74122090823083</v>
      </c>
      <c r="X18" s="20" t="n">
        <f aca="false">IF(Quantiles!X18&lt;0,"",(Depth0-MIN(Depth0,Quantiles!X18))/Depth_per_q)</f>
        <v>1.66258398894147</v>
      </c>
      <c r="Y18" s="20" t="n">
        <f aca="false">IF(Quantiles!Y18&lt;0,"",(Depth0-MIN(Depth0,Quantiles!Y18))/Depth_per_q)</f>
        <v>1.59581929181745</v>
      </c>
      <c r="Z18" s="20" t="n">
        <f aca="false">IF(Quantiles!Z18&lt;0,"",(Depth0-MIN(Depth0,Quantiles!Z18))/Depth_per_q)</f>
        <v>1.52868805909995</v>
      </c>
      <c r="AA18" s="20" t="n">
        <f aca="false">IF(Quantiles!AA18&lt;0,"",(Depth0-MIN(Depth0,Quantiles!AA18))/Depth_per_q)</f>
        <v>1.46148355503999</v>
      </c>
      <c r="AB18" s="20" t="n">
        <f aca="false">IF(Quantiles!AB18&lt;0,"",(Depth0-MIN(Depth0,Quantiles!AB18))/Depth_per_q)</f>
        <v>1.39611420890254</v>
      </c>
      <c r="AC18" s="20" t="n">
        <f aca="false">IF(Quantiles!AC18&lt;0,"",(Depth0-MIN(Depth0,Quantiles!AC18))/Depth_per_q)</f>
        <v>1.33476974010332</v>
      </c>
      <c r="AD18" s="20" t="n">
        <f aca="false">IF(Quantiles!AD18&lt;0,"",(Depth0-MIN(Depth0,Quantiles!AD18))/Depth_per_q)</f>
        <v>1.27565207086273</v>
      </c>
      <c r="AE18" s="20" t="n">
        <f aca="false">IF(Quantiles!AE18&lt;0,"",(Depth0-MIN(Depth0,Quantiles!AE18))/Depth_per_q)</f>
        <v>1.22349690207526</v>
      </c>
      <c r="AF18" s="20" t="n">
        <f aca="false">IF(Quantiles!AF18&lt;0,"",(Depth0-MIN(Depth0,Quantiles!AF18))/Depth_per_q)</f>
        <v>1.16581653783784</v>
      </c>
      <c r="AG18" s="20" t="n">
        <f aca="false">IF(Quantiles!AG18&lt;0,"",(Depth0-MIN(Depth0,Quantiles!AG18))/Depth_per_q)</f>
        <v>1.11206902821243</v>
      </c>
      <c r="AH18" s="20" t="n">
        <f aca="false">IF(Quantiles!AH18&lt;0,"",(Depth0-MIN(Depth0,Quantiles!AH18))/Depth_per_q)</f>
        <v>1.06319614851187</v>
      </c>
      <c r="AI18" s="20" t="n">
        <f aca="false">IF(Quantiles!AI18&lt;0,"",(Depth0-MIN(Depth0,Quantiles!AI18))/Depth_per_q)</f>
        <v>1.01489063109519</v>
      </c>
      <c r="AJ18" s="20" t="n">
        <f aca="false">IF(Quantiles!AJ18&lt;0,"",(Depth0-MIN(Depth0,Quantiles!AJ18))/Depth_per_q)</f>
        <v>0.967277303847418</v>
      </c>
      <c r="AK18" s="20" t="n">
        <f aca="false">IF(Quantiles!AK18&lt;0,"",(Depth0-MIN(Depth0,Quantiles!AK18))/Depth_per_q)</f>
        <v>0.917475344995587</v>
      </c>
      <c r="AL18" s="20" t="n">
        <f aca="false">IF(Quantiles!AL18&lt;0,"",(Depth0-MIN(Depth0,Quantiles!AL18))/Depth_per_q)</f>
        <v>0.87209347167345</v>
      </c>
      <c r="AM18" s="20" t="n">
        <f aca="false">IF(Quantiles!AM18&lt;0,"",(Depth0-MIN(Depth0,Quantiles!AM18))/Depth_per_q)</f>
        <v>0.825161310069642</v>
      </c>
      <c r="AN18" s="20" t="n">
        <f aca="false">IF(Quantiles!AN18&lt;0,"",(Depth0-MIN(Depth0,Quantiles!AN18))/Depth_per_q)</f>
        <v>0.780639325400678</v>
      </c>
      <c r="AO18" s="20" t="n">
        <f aca="false">IF(Quantiles!AO18&lt;0,"",(Depth0-MIN(Depth0,Quantiles!AO18))/Depth_per_q)</f>
        <v>0.73760214217627</v>
      </c>
      <c r="AP18" s="20" t="n">
        <f aca="false">IF(Quantiles!AP18&lt;0,"",(Depth0-MIN(Depth0,Quantiles!AP18))/Depth_per_q)</f>
        <v>0.696814151719415</v>
      </c>
      <c r="AQ18" s="20" t="n">
        <f aca="false">IF(Quantiles!AQ18&lt;0,"",(Depth0-MIN(Depth0,Quantiles!AQ18))/Depth_per_q)</f>
        <v>0.655326945898365</v>
      </c>
      <c r="AR18" s="20" t="n">
        <f aca="false">IF(Quantiles!AR18&lt;0,"",(Depth0-MIN(Depth0,Quantiles!AR18))/Depth_per_q)</f>
        <v>0.610481490310828</v>
      </c>
      <c r="AS18" s="20" t="n">
        <f aca="false">IF(Quantiles!AS18&lt;0,"",(Depth0-MIN(Depth0,Quantiles!AS18))/Depth_per_q)</f>
        <v>0.575253038950355</v>
      </c>
      <c r="AT18" s="20" t="n">
        <f aca="false">IF(Quantiles!AT18&lt;0,"",(Depth0-MIN(Depth0,Quantiles!AT18))/Depth_per_q)</f>
        <v>0.538022936810743</v>
      </c>
      <c r="AU18" s="20" t="n">
        <f aca="false">IF(Quantiles!AU18&lt;0,"",(Depth0-MIN(Depth0,Quantiles!AU18))/Depth_per_q)</f>
        <v>0.501053316173983</v>
      </c>
      <c r="AV18" s="20" t="n">
        <f aca="false">IF(Quantiles!AV18&lt;0,"",(Depth0-MIN(Depth0,Quantiles!AV18))/Depth_per_q)</f>
        <v>0.463672106526692</v>
      </c>
      <c r="AW18" s="20" t="n">
        <f aca="false">IF(Quantiles!AW18&lt;0,"",(Depth0-MIN(Depth0,Quantiles!AW18))/Depth_per_q)</f>
        <v>0.429885541967635</v>
      </c>
      <c r="AX18" s="20" t="n">
        <f aca="false">IF(Quantiles!AX18&lt;0,"",(Depth0-MIN(Depth0,Quantiles!AX18))/Depth_per_q)</f>
        <v>0.39455818115008</v>
      </c>
      <c r="AY18" s="20" t="n">
        <f aca="false">IF(Quantiles!AY18&lt;0,"",(Depth0-MIN(Depth0,Quantiles!AY18))/Depth_per_q)</f>
        <v>0.358458868289013</v>
      </c>
      <c r="AZ18" s="20" t="n">
        <f aca="false">IF(Quantiles!AZ18&lt;0,"",(Depth0-MIN(Depth0,Quantiles!AZ18))/Depth_per_q)</f>
        <v>0.324619309553428</v>
      </c>
      <c r="BA18" s="20" t="n">
        <f aca="false">IF(Quantiles!BA18&lt;0,"",(Depth0-MIN(Depth0,Quantiles!BA18))/Depth_per_q)</f>
        <v>0.2889614624107</v>
      </c>
      <c r="BB18" s="20" t="n">
        <f aca="false">IF(Quantiles!BB18&lt;0,"",(Depth0-MIN(Depth0,Quantiles!BB18))/Depth_per_q)</f>
        <v>0.257374188062595</v>
      </c>
      <c r="BC18" s="20" t="n">
        <f aca="false">IF(Quantiles!BC18&lt;0,"",(Depth0-MIN(Depth0,Quantiles!BC18))/Depth_per_q)</f>
        <v>0.22580493130949</v>
      </c>
      <c r="BD18" s="20" t="n">
        <f aca="false">IF(Quantiles!BD18&lt;0,"",(Depth0-MIN(Depth0,Quantiles!BD18))/Depth_per_q)</f>
        <v>0.196692378579815</v>
      </c>
      <c r="BE18" s="20" t="n">
        <f aca="false">IF(Quantiles!BE18&lt;0,"",(Depth0-MIN(Depth0,Quantiles!BE18))/Depth_per_q)</f>
        <v>0.167615430566038</v>
      </c>
      <c r="BF18" s="20" t="n">
        <f aca="false">IF(Quantiles!BF18&lt;0,"",(Depth0-MIN(Depth0,Quantiles!BF18))/Depth_per_q)</f>
        <v>0.134813055863653</v>
      </c>
      <c r="BG18" s="20" t="n">
        <f aca="false">IF(Quantiles!BG18&lt;0,"",(Depth0-MIN(Depth0,Quantiles!BG18))/Depth_per_q)</f>
        <v>0.10590868664102</v>
      </c>
      <c r="BH18" s="20" t="n">
        <f aca="false">IF(Quantiles!BH18&lt;0,"",(Depth0-MIN(Depth0,Quantiles!BH18))/Depth_per_q)</f>
        <v>0.0748232588495847</v>
      </c>
      <c r="BI18" s="20" t="n">
        <f aca="false">IF(Quantiles!BI18&lt;0,"",(Depth0-MIN(Depth0,Quantiles!BI18))/Depth_per_q)</f>
        <v>0.0429542701291226</v>
      </c>
      <c r="BJ18" s="20" t="n">
        <f aca="false">IF(Quantiles!BJ18&lt;0,"",(Depth0-MIN(Depth0,Quantiles!BJ18))/Depth_per_q)</f>
        <v>0.0148394489197274</v>
      </c>
      <c r="BK18" s="20" t="n">
        <f aca="false">IF(Quantiles!BK18&lt;0,"",(Depth0-MIN(Depth0,Quantiles!BK18))/Depth_per_q)</f>
        <v>0</v>
      </c>
      <c r="BL18" s="20" t="n">
        <f aca="false">IF(Quantiles!BL18&lt;0,"",(Depth0-MIN(Depth0,Quantiles!BL18))/Depth_per_q)</f>
        <v>0</v>
      </c>
      <c r="BM18" s="20" t="n">
        <f aca="false">IF(Quantiles!BM18&lt;0,"",(Depth0-MIN(Depth0,Quantiles!BM18))/Depth_per_q)</f>
        <v>0</v>
      </c>
      <c r="BN18" s="20" t="n">
        <f aca="false">IF(Quantiles!BN18&lt;0,"",(Depth0-MIN(Depth0,Quantiles!BN18))/Depth_per_q)</f>
        <v>0</v>
      </c>
      <c r="BO18" s="20" t="n">
        <f aca="false">IF(Quantiles!BO18&lt;0,"",(Depth0-MIN(Depth0,Quantiles!BO18))/Depth_per_q)</f>
        <v>0</v>
      </c>
      <c r="BP18" s="20" t="n">
        <f aca="false">IF(Quantiles!BP18&lt;0,"",(Depth0-MIN(Depth0,Quantiles!BP18))/Depth_per_q)</f>
        <v>0</v>
      </c>
      <c r="BQ18" s="20" t="n">
        <f aca="false">IF(Quantiles!BQ18&lt;0,"",(Depth0-MIN(Depth0,Quantiles!BQ18))/Depth_per_q)</f>
        <v>0</v>
      </c>
      <c r="BR18" s="20" t="n">
        <f aca="false">IF(Quantiles!BR18&lt;0,"",(Depth0-MIN(Depth0,Quantiles!BR18))/Depth_per_q)</f>
        <v>0</v>
      </c>
      <c r="BS18" s="20" t="n">
        <f aca="false">IF(Quantiles!BS18&lt;0,"",(Depth0-MIN(Depth0,Quantiles!BS18))/Depth_per_q)</f>
        <v>0</v>
      </c>
      <c r="BT18" s="20" t="n">
        <f aca="false">IF(Quantiles!BT18&lt;0,"",(Depth0-MIN(Depth0,Quantiles!BT18))/Depth_per_q)</f>
        <v>0</v>
      </c>
      <c r="BU18" s="20" t="n">
        <f aca="false">IF(Quantiles!BU18&lt;0,"",(Depth0-MIN(Depth0,Quantiles!BU18))/Depth_per_q)</f>
        <v>0</v>
      </c>
      <c r="BV18" s="20" t="n">
        <f aca="false">IF(Quantiles!BV18&lt;0,"",(Depth0-MIN(Depth0,Quantiles!BV18))/Depth_per_q)</f>
        <v>0</v>
      </c>
      <c r="BW18" s="20" t="n">
        <f aca="false">IF(Quantiles!BW18&lt;0,"",(Depth0-MIN(Depth0,Quantiles!BW18))/Depth_per_q)</f>
        <v>0</v>
      </c>
      <c r="BX18" s="20" t="n">
        <f aca="false">IF(Quantiles!BX18&lt;0,"",(Depth0-MIN(Depth0,Quantiles!BX18))/Depth_per_q)</f>
        <v>0</v>
      </c>
      <c r="BY18" s="20" t="n">
        <f aca="false">IF(Quantiles!BY18&lt;0,"",(Depth0-MIN(Depth0,Quantiles!BY18))/Depth_per_q)</f>
        <v>0</v>
      </c>
      <c r="BZ18" s="20" t="n">
        <f aca="false">IF(Quantiles!BZ18&lt;0,"",(Depth0-MIN(Depth0,Quantiles!BZ18))/Depth_per_q)</f>
        <v>0</v>
      </c>
      <c r="CA18" s="20" t="n">
        <f aca="false">IF(Quantiles!CA18&lt;0,"",(Depth0-MIN(Depth0,Quantiles!CA18))/Depth_per_q)</f>
        <v>0</v>
      </c>
      <c r="CB18" s="20" t="n">
        <f aca="false">IF(Quantiles!CB18&lt;0,"",(Depth0-MIN(Depth0,Quantiles!CB18))/Depth_per_q)</f>
        <v>0</v>
      </c>
      <c r="CC18" s="20" t="n">
        <f aca="false">IF(Quantiles!CC18&lt;0,"",(Depth0-MIN(Depth0,Quantiles!CC18))/Depth_per_q)</f>
        <v>0</v>
      </c>
      <c r="CD18" s="20" t="n">
        <f aca="false">IF(Quantiles!CD18&lt;0,"",(Depth0-MIN(Depth0,Quantiles!CD18))/Depth_per_q)</f>
        <v>0</v>
      </c>
      <c r="CE18" s="20" t="n">
        <f aca="false">IF(Quantiles!CE18&lt;0,"",(Depth0-MIN(Depth0,Quantiles!CE18))/Depth_per_q)</f>
        <v>0</v>
      </c>
      <c r="CF18" s="20" t="n">
        <f aca="false">IF(Quantiles!CF18&lt;0,"",(Depth0-MIN(Depth0,Quantiles!CF18))/Depth_per_q)</f>
        <v>0</v>
      </c>
      <c r="CG18" s="20" t="n">
        <f aca="false">IF(Quantiles!CG18&lt;0,"",(Depth0-MIN(Depth0,Quantiles!CG18))/Depth_per_q)</f>
        <v>0</v>
      </c>
      <c r="CH18" s="20" t="n">
        <f aca="false">IF(Quantiles!CH18&lt;0,"",(Depth0-MIN(Depth0,Quantiles!CH18))/Depth_per_q)</f>
        <v>0</v>
      </c>
      <c r="CI18" s="20" t="n">
        <f aca="false">IF(Quantiles!CI18&lt;0,"",(Depth0-MIN(Depth0,Quantiles!CI18))/Depth_per_q)</f>
        <v>0</v>
      </c>
      <c r="CJ18" s="20" t="n">
        <f aca="false">IF(Quantiles!CJ18&lt;0,"",(Depth0-MIN(Depth0,Quantiles!CJ18))/Depth_per_q)</f>
        <v>0</v>
      </c>
      <c r="CK18" s="20" t="n">
        <f aca="false">IF(Quantiles!CK18&lt;0,"",(Depth0-MIN(Depth0,Quantiles!CK18))/Depth_per_q)</f>
        <v>0</v>
      </c>
      <c r="CL18" s="20" t="n">
        <f aca="false">IF(Quantiles!CL18&lt;0,"",(Depth0-MIN(Depth0,Quantiles!CL18))/Depth_per_q)</f>
        <v>0</v>
      </c>
      <c r="CM18" s="20" t="n">
        <f aca="false">IF(Quantiles!CM18&lt;0,"",(Depth0-MIN(Depth0,Quantiles!CM18))/Depth_per_q)</f>
        <v>0</v>
      </c>
      <c r="CN18" s="20" t="n">
        <f aca="false">IF(Quantiles!CN18&lt;0,"",(Depth0-MIN(Depth0,Quantiles!CN18))/Depth_per_q)</f>
        <v>0</v>
      </c>
      <c r="CO18" s="20" t="n">
        <f aca="false">IF(Quantiles!CO18&lt;0,"",(Depth0-MIN(Depth0,Quantiles!CO18))/Depth_per_q)</f>
        <v>0</v>
      </c>
      <c r="CP18" s="20" t="n">
        <f aca="false">IF(Quantiles!CP18&lt;0,"",(Depth0-MIN(Depth0,Quantiles!CP18))/Depth_per_q)</f>
        <v>0</v>
      </c>
      <c r="CQ18" s="20" t="n">
        <f aca="false">IF(Quantiles!CQ18&lt;0,"",(Depth0-MIN(Depth0,Quantiles!CQ18))/Depth_per_q)</f>
        <v>0</v>
      </c>
      <c r="CR18" s="20" t="n">
        <f aca="false">IF(Quantiles!CR18&lt;0,"",(Depth0-MIN(Depth0,Quantiles!CR18))/Depth_per_q)</f>
        <v>0</v>
      </c>
      <c r="CS18" s="20" t="n">
        <f aca="false">IF(Quantiles!CS18&lt;0,"",(Depth0-MIN(Depth0,Quantiles!CS18))/Depth_per_q)</f>
        <v>0</v>
      </c>
      <c r="CT18" s="20" t="n">
        <f aca="false">IF(Quantiles!CT18&lt;0,"",(Depth0-MIN(Depth0,Quantiles!CT18))/Depth_per_q)</f>
        <v>3.1336352466834</v>
      </c>
    </row>
    <row r="19" customFormat="false" ht="15" hidden="false" customHeight="false" outlineLevel="0" collapsed="false">
      <c r="A19" s="25" t="n">
        <f aca="false">Quantiles!A19</f>
        <v>70</v>
      </c>
      <c r="B19" s="20" t="n">
        <f aca="false">IF(Quantiles!B19&lt;0,"",(Depth0-MIN(Depth0,Quantiles!B19))/Depth_per_q)</f>
        <v>5.04837028353576</v>
      </c>
      <c r="C19" s="20" t="n">
        <f aca="false">IF(Quantiles!C19&lt;0,"",(Depth0-MIN(Depth0,Quantiles!C19))/Depth_per_q)</f>
        <v>4.57039518535412</v>
      </c>
      <c r="D19" s="20" t="n">
        <f aca="false">IF(Quantiles!D19&lt;0,"",(Depth0-MIN(Depth0,Quantiles!D19))/Depth_per_q)</f>
        <v>4.26329741369726</v>
      </c>
      <c r="E19" s="20" t="n">
        <f aca="false">IF(Quantiles!E19&lt;0,"",(Depth0-MIN(Depth0,Quantiles!E19))/Depth_per_q)</f>
        <v>3.97944555685904</v>
      </c>
      <c r="F19" s="20" t="n">
        <f aca="false">IF(Quantiles!F19&lt;0,"",(Depth0-MIN(Depth0,Quantiles!F19))/Depth_per_q)</f>
        <v>3.73008427989151</v>
      </c>
      <c r="G19" s="20" t="n">
        <f aca="false">IF(Quantiles!G19&lt;0,"",(Depth0-MIN(Depth0,Quantiles!G19))/Depth_per_q)</f>
        <v>3.49457424014234</v>
      </c>
      <c r="H19" s="20" t="n">
        <f aca="false">IF(Quantiles!H19&lt;0,"",(Depth0-MIN(Depth0,Quantiles!H19))/Depth_per_q)</f>
        <v>3.28384334764408</v>
      </c>
      <c r="I19" s="20" t="n">
        <f aca="false">IF(Quantiles!I19&lt;0,"",(Depth0-MIN(Depth0,Quantiles!I19))/Depth_per_q)</f>
        <v>3.09273220183471</v>
      </c>
      <c r="J19" s="20" t="n">
        <f aca="false">IF(Quantiles!J19&lt;0,"",(Depth0-MIN(Depth0,Quantiles!J19))/Depth_per_q)</f>
        <v>2.9291424211558</v>
      </c>
      <c r="K19" s="20" t="n">
        <f aca="false">IF(Quantiles!K19&lt;0,"",(Depth0-MIN(Depth0,Quantiles!K19))/Depth_per_q)</f>
        <v>2.79023261412597</v>
      </c>
      <c r="L19" s="20" t="n">
        <f aca="false">IF(Quantiles!L19&lt;0,"",(Depth0-MIN(Depth0,Quantiles!L19))/Depth_per_q)</f>
        <v>2.65096095226231</v>
      </c>
      <c r="M19" s="20" t="n">
        <f aca="false">IF(Quantiles!M19&lt;0,"",(Depth0-MIN(Depth0,Quantiles!M19))/Depth_per_q)</f>
        <v>2.52975951156538</v>
      </c>
      <c r="N19" s="20" t="n">
        <f aca="false">IF(Quantiles!N19&lt;0,"",(Depth0-MIN(Depth0,Quantiles!N19))/Depth_per_q)</f>
        <v>2.42225677461306</v>
      </c>
      <c r="O19" s="20" t="n">
        <f aca="false">IF(Quantiles!O19&lt;0,"",(Depth0-MIN(Depth0,Quantiles!O19))/Depth_per_q)</f>
        <v>2.30168088164973</v>
      </c>
      <c r="P19" s="20" t="n">
        <f aca="false">IF(Quantiles!P19&lt;0,"",(Depth0-MIN(Depth0,Quantiles!P19))/Depth_per_q)</f>
        <v>2.19983978235484</v>
      </c>
      <c r="Q19" s="20" t="n">
        <f aca="false">IF(Quantiles!Q19&lt;0,"",(Depth0-MIN(Depth0,Quantiles!Q19))/Depth_per_q)</f>
        <v>2.09609293630882</v>
      </c>
      <c r="R19" s="20" t="n">
        <f aca="false">IF(Quantiles!R19&lt;0,"",(Depth0-MIN(Depth0,Quantiles!R19))/Depth_per_q)</f>
        <v>1.99732598978911</v>
      </c>
      <c r="S19" s="20" t="n">
        <f aca="false">IF(Quantiles!S19&lt;0,"",(Depth0-MIN(Depth0,Quantiles!S19))/Depth_per_q)</f>
        <v>1.91293801704521</v>
      </c>
      <c r="T19" s="20" t="n">
        <f aca="false">IF(Quantiles!T19&lt;0,"",(Depth0-MIN(Depth0,Quantiles!T19))/Depth_per_q)</f>
        <v>1.82432626917943</v>
      </c>
      <c r="U19" s="20" t="n">
        <f aca="false">IF(Quantiles!U19&lt;0,"",(Depth0-MIN(Depth0,Quantiles!U19))/Depth_per_q)</f>
        <v>1.74239174269666</v>
      </c>
      <c r="V19" s="20" t="n">
        <f aca="false">IF(Quantiles!V19&lt;0,"",(Depth0-MIN(Depth0,Quantiles!V19))/Depth_per_q)</f>
        <v>1.66020452373259</v>
      </c>
      <c r="W19" s="20" t="n">
        <f aca="false">IF(Quantiles!W19&lt;0,"",(Depth0-MIN(Depth0,Quantiles!W19))/Depth_per_q)</f>
        <v>1.59293260942294</v>
      </c>
      <c r="X19" s="20" t="n">
        <f aca="false">IF(Quantiles!X19&lt;0,"",(Depth0-MIN(Depth0,Quantiles!X19))/Depth_per_q)</f>
        <v>1.52586584211722</v>
      </c>
      <c r="Y19" s="20" t="n">
        <f aca="false">IF(Quantiles!Y19&lt;0,"",(Depth0-MIN(Depth0,Quantiles!Y19))/Depth_per_q)</f>
        <v>1.45772916523562</v>
      </c>
      <c r="Z19" s="20" t="n">
        <f aca="false">IF(Quantiles!Z19&lt;0,"",(Depth0-MIN(Depth0,Quantiles!Z19))/Depth_per_q)</f>
        <v>1.39518957214637</v>
      </c>
      <c r="AA19" s="20" t="n">
        <f aca="false">IF(Quantiles!AA19&lt;0,"",(Depth0-MIN(Depth0,Quantiles!AA19))/Depth_per_q)</f>
        <v>1.33475687789046</v>
      </c>
      <c r="AB19" s="20" t="n">
        <f aca="false">IF(Quantiles!AB19&lt;0,"",(Depth0-MIN(Depth0,Quantiles!AB19))/Depth_per_q)</f>
        <v>1.27427593983535</v>
      </c>
      <c r="AC19" s="20" t="n">
        <f aca="false">IF(Quantiles!AC19&lt;0,"",(Depth0-MIN(Depth0,Quantiles!AC19))/Depth_per_q)</f>
        <v>1.21955134590975</v>
      </c>
      <c r="AD19" s="20" t="n">
        <f aca="false">IF(Quantiles!AD19&lt;0,"",(Depth0-MIN(Depth0,Quantiles!AD19))/Depth_per_q)</f>
        <v>1.16053469547936</v>
      </c>
      <c r="AE19" s="20" t="n">
        <f aca="false">IF(Quantiles!AE19&lt;0,"",(Depth0-MIN(Depth0,Quantiles!AE19))/Depth_per_q)</f>
        <v>1.10884591846606</v>
      </c>
      <c r="AF19" s="20" t="n">
        <f aca="false">IF(Quantiles!AF19&lt;0,"",(Depth0-MIN(Depth0,Quantiles!AF19))/Depth_per_q)</f>
        <v>1.05779869448819</v>
      </c>
      <c r="AG19" s="20" t="n">
        <f aca="false">IF(Quantiles!AG19&lt;0,"",(Depth0-MIN(Depth0,Quantiles!AG19))/Depth_per_q)</f>
        <v>1.00378294820376</v>
      </c>
      <c r="AH19" s="20" t="n">
        <f aca="false">IF(Quantiles!AH19&lt;0,"",(Depth0-MIN(Depth0,Quantiles!AH19))/Depth_per_q)</f>
        <v>0.952668307855465</v>
      </c>
      <c r="AI19" s="20" t="n">
        <f aca="false">IF(Quantiles!AI19&lt;0,"",(Depth0-MIN(Depth0,Quantiles!AI19))/Depth_per_q)</f>
        <v>0.905913275876222</v>
      </c>
      <c r="AJ19" s="20" t="n">
        <f aca="false">IF(Quantiles!AJ19&lt;0,"",(Depth0-MIN(Depth0,Quantiles!AJ19))/Depth_per_q)</f>
        <v>0.861035966696475</v>
      </c>
      <c r="AK19" s="20" t="n">
        <f aca="false">IF(Quantiles!AK19&lt;0,"",(Depth0-MIN(Depth0,Quantiles!AK19))/Depth_per_q)</f>
        <v>0.81696729633312</v>
      </c>
      <c r="AL19" s="20" t="n">
        <f aca="false">IF(Quantiles!AL19&lt;0,"",(Depth0-MIN(Depth0,Quantiles!AL19))/Depth_per_q)</f>
        <v>0.77138330105942</v>
      </c>
      <c r="AM19" s="20" t="n">
        <f aca="false">IF(Quantiles!AM19&lt;0,"",(Depth0-MIN(Depth0,Quantiles!AM19))/Depth_per_q)</f>
        <v>0.725662882597822</v>
      </c>
      <c r="AN19" s="20" t="n">
        <f aca="false">IF(Quantiles!AN19&lt;0,"",(Depth0-MIN(Depth0,Quantiles!AN19))/Depth_per_q)</f>
        <v>0.683035274672077</v>
      </c>
      <c r="AO19" s="20" t="n">
        <f aca="false">IF(Quantiles!AO19&lt;0,"",(Depth0-MIN(Depth0,Quantiles!AO19))/Depth_per_q)</f>
        <v>0.640413722688588</v>
      </c>
      <c r="AP19" s="20" t="n">
        <f aca="false">IF(Quantiles!AP19&lt;0,"",(Depth0-MIN(Depth0,Quantiles!AP19))/Depth_per_q)</f>
        <v>0.599748985257017</v>
      </c>
      <c r="AQ19" s="20" t="n">
        <f aca="false">IF(Quantiles!AQ19&lt;0,"",(Depth0-MIN(Depth0,Quantiles!AQ19))/Depth_per_q)</f>
        <v>0.55961203103637</v>
      </c>
      <c r="AR19" s="20" t="n">
        <f aca="false">IF(Quantiles!AR19&lt;0,"",(Depth0-MIN(Depth0,Quantiles!AR19))/Depth_per_q)</f>
        <v>0.52250578467561</v>
      </c>
      <c r="AS19" s="20" t="n">
        <f aca="false">IF(Quantiles!AS19&lt;0,"",(Depth0-MIN(Depth0,Quantiles!AS19))/Depth_per_q)</f>
        <v>0.487156991079393</v>
      </c>
      <c r="AT19" s="20" t="n">
        <f aca="false">IF(Quantiles!AT19&lt;0,"",(Depth0-MIN(Depth0,Quantiles!AT19))/Depth_per_q)</f>
        <v>0.45200013452549</v>
      </c>
      <c r="AU19" s="20" t="n">
        <f aca="false">IF(Quantiles!AU19&lt;0,"",(Depth0-MIN(Depth0,Quantiles!AU19))/Depth_per_q)</f>
        <v>0.414697867155533</v>
      </c>
      <c r="AV19" s="20" t="n">
        <f aca="false">IF(Quantiles!AV19&lt;0,"",(Depth0-MIN(Depth0,Quantiles!AV19))/Depth_per_q)</f>
        <v>0.379714439073515</v>
      </c>
      <c r="AW19" s="20" t="n">
        <f aca="false">IF(Quantiles!AW19&lt;0,"",(Depth0-MIN(Depth0,Quantiles!AW19))/Depth_per_q)</f>
        <v>0.347540951341188</v>
      </c>
      <c r="AX19" s="20" t="n">
        <f aca="false">IF(Quantiles!AX19&lt;0,"",(Depth0-MIN(Depth0,Quantiles!AX19))/Depth_per_q)</f>
        <v>0.314951403524687</v>
      </c>
      <c r="AY19" s="20" t="n">
        <f aca="false">IF(Quantiles!AY19&lt;0,"",(Depth0-MIN(Depth0,Quantiles!AY19))/Depth_per_q)</f>
        <v>0.278922375382282</v>
      </c>
      <c r="AZ19" s="20" t="n">
        <f aca="false">IF(Quantiles!AZ19&lt;0,"",(Depth0-MIN(Depth0,Quantiles!AZ19))/Depth_per_q)</f>
        <v>0.246959944933377</v>
      </c>
      <c r="BA19" s="20" t="n">
        <f aca="false">IF(Quantiles!BA19&lt;0,"",(Depth0-MIN(Depth0,Quantiles!BA19))/Depth_per_q)</f>
        <v>0.21410701642495</v>
      </c>
      <c r="BB19" s="20" t="n">
        <f aca="false">IF(Quantiles!BB19&lt;0,"",(Depth0-MIN(Depth0,Quantiles!BB19))/Depth_per_q)</f>
        <v>0.185077745183025</v>
      </c>
      <c r="BC19" s="20" t="n">
        <f aca="false">IF(Quantiles!BC19&lt;0,"",(Depth0-MIN(Depth0,Quantiles!BC19))/Depth_per_q)</f>
        <v>0.151715662136885</v>
      </c>
      <c r="BD19" s="20" t="n">
        <f aca="false">IF(Quantiles!BD19&lt;0,"",(Depth0-MIN(Depth0,Quantiles!BD19))/Depth_per_q)</f>
        <v>0.120954297530668</v>
      </c>
      <c r="BE19" s="20" t="n">
        <f aca="false">IF(Quantiles!BE19&lt;0,"",(Depth0-MIN(Depth0,Quantiles!BE19))/Depth_per_q)</f>
        <v>0.089528745735425</v>
      </c>
      <c r="BF19" s="20" t="n">
        <f aca="false">IF(Quantiles!BF19&lt;0,"",(Depth0-MIN(Depth0,Quantiles!BF19))/Depth_per_q)</f>
        <v>0.0605173158301975</v>
      </c>
      <c r="BG19" s="20" t="n">
        <f aca="false">IF(Quantiles!BG19&lt;0,"",(Depth0-MIN(Depth0,Quantiles!BG19))/Depth_per_q)</f>
        <v>0.0279134323231274</v>
      </c>
      <c r="BH19" s="20" t="n">
        <f aca="false">IF(Quantiles!BH19&lt;0,"",(Depth0-MIN(Depth0,Quantiles!BH19))/Depth_per_q)</f>
        <v>0.00221051204557998</v>
      </c>
      <c r="BI19" s="20" t="n">
        <f aca="false">IF(Quantiles!BI19&lt;0,"",(Depth0-MIN(Depth0,Quantiles!BI19))/Depth_per_q)</f>
        <v>0</v>
      </c>
      <c r="BJ19" s="20" t="n">
        <f aca="false">IF(Quantiles!BJ19&lt;0,"",(Depth0-MIN(Depth0,Quantiles!BJ19))/Depth_per_q)</f>
        <v>0</v>
      </c>
      <c r="BK19" s="20" t="n">
        <f aca="false">IF(Quantiles!BK19&lt;0,"",(Depth0-MIN(Depth0,Quantiles!BK19))/Depth_per_q)</f>
        <v>0</v>
      </c>
      <c r="BL19" s="20" t="n">
        <f aca="false">IF(Quantiles!BL19&lt;0,"",(Depth0-MIN(Depth0,Quantiles!BL19))/Depth_per_q)</f>
        <v>0</v>
      </c>
      <c r="BM19" s="20" t="n">
        <f aca="false">IF(Quantiles!BM19&lt;0,"",(Depth0-MIN(Depth0,Quantiles!BM19))/Depth_per_q)</f>
        <v>0</v>
      </c>
      <c r="BN19" s="20" t="n">
        <f aca="false">IF(Quantiles!BN19&lt;0,"",(Depth0-MIN(Depth0,Quantiles!BN19))/Depth_per_q)</f>
        <v>0</v>
      </c>
      <c r="BO19" s="20" t="n">
        <f aca="false">IF(Quantiles!BO19&lt;0,"",(Depth0-MIN(Depth0,Quantiles!BO19))/Depth_per_q)</f>
        <v>0</v>
      </c>
      <c r="BP19" s="20" t="n">
        <f aca="false">IF(Quantiles!BP19&lt;0,"",(Depth0-MIN(Depth0,Quantiles!BP19))/Depth_per_q)</f>
        <v>0</v>
      </c>
      <c r="BQ19" s="20" t="n">
        <f aca="false">IF(Quantiles!BQ19&lt;0,"",(Depth0-MIN(Depth0,Quantiles!BQ19))/Depth_per_q)</f>
        <v>0</v>
      </c>
      <c r="BR19" s="20" t="n">
        <f aca="false">IF(Quantiles!BR19&lt;0,"",(Depth0-MIN(Depth0,Quantiles!BR19))/Depth_per_q)</f>
        <v>0</v>
      </c>
      <c r="BS19" s="20" t="n">
        <f aca="false">IF(Quantiles!BS19&lt;0,"",(Depth0-MIN(Depth0,Quantiles!BS19))/Depth_per_q)</f>
        <v>0</v>
      </c>
      <c r="BT19" s="20" t="n">
        <f aca="false">IF(Quantiles!BT19&lt;0,"",(Depth0-MIN(Depth0,Quantiles!BT19))/Depth_per_q)</f>
        <v>0</v>
      </c>
      <c r="BU19" s="20" t="n">
        <f aca="false">IF(Quantiles!BU19&lt;0,"",(Depth0-MIN(Depth0,Quantiles!BU19))/Depth_per_q)</f>
        <v>0</v>
      </c>
      <c r="BV19" s="20" t="n">
        <f aca="false">IF(Quantiles!BV19&lt;0,"",(Depth0-MIN(Depth0,Quantiles!BV19))/Depth_per_q)</f>
        <v>0</v>
      </c>
      <c r="BW19" s="20" t="n">
        <f aca="false">IF(Quantiles!BW19&lt;0,"",(Depth0-MIN(Depth0,Quantiles!BW19))/Depth_per_q)</f>
        <v>0</v>
      </c>
      <c r="BX19" s="20" t="n">
        <f aca="false">IF(Quantiles!BX19&lt;0,"",(Depth0-MIN(Depth0,Quantiles!BX19))/Depth_per_q)</f>
        <v>0</v>
      </c>
      <c r="BY19" s="20" t="n">
        <f aca="false">IF(Quantiles!BY19&lt;0,"",(Depth0-MIN(Depth0,Quantiles!BY19))/Depth_per_q)</f>
        <v>0</v>
      </c>
      <c r="BZ19" s="20" t="n">
        <f aca="false">IF(Quantiles!BZ19&lt;0,"",(Depth0-MIN(Depth0,Quantiles!BZ19))/Depth_per_q)</f>
        <v>0</v>
      </c>
      <c r="CA19" s="20" t="n">
        <f aca="false">IF(Quantiles!CA19&lt;0,"",(Depth0-MIN(Depth0,Quantiles!CA19))/Depth_per_q)</f>
        <v>0</v>
      </c>
      <c r="CB19" s="20" t="n">
        <f aca="false">IF(Quantiles!CB19&lt;0,"",(Depth0-MIN(Depth0,Quantiles!CB19))/Depth_per_q)</f>
        <v>0</v>
      </c>
      <c r="CC19" s="20" t="n">
        <f aca="false">IF(Quantiles!CC19&lt;0,"",(Depth0-MIN(Depth0,Quantiles!CC19))/Depth_per_q)</f>
        <v>0</v>
      </c>
      <c r="CD19" s="20" t="n">
        <f aca="false">IF(Quantiles!CD19&lt;0,"",(Depth0-MIN(Depth0,Quantiles!CD19))/Depth_per_q)</f>
        <v>0</v>
      </c>
      <c r="CE19" s="20" t="n">
        <f aca="false">IF(Quantiles!CE19&lt;0,"",(Depth0-MIN(Depth0,Quantiles!CE19))/Depth_per_q)</f>
        <v>0</v>
      </c>
      <c r="CF19" s="20" t="n">
        <f aca="false">IF(Quantiles!CF19&lt;0,"",(Depth0-MIN(Depth0,Quantiles!CF19))/Depth_per_q)</f>
        <v>0</v>
      </c>
      <c r="CG19" s="20" t="n">
        <f aca="false">IF(Quantiles!CG19&lt;0,"",(Depth0-MIN(Depth0,Quantiles!CG19))/Depth_per_q)</f>
        <v>0</v>
      </c>
      <c r="CH19" s="20" t="n">
        <f aca="false">IF(Quantiles!CH19&lt;0,"",(Depth0-MIN(Depth0,Quantiles!CH19))/Depth_per_q)</f>
        <v>0</v>
      </c>
      <c r="CI19" s="20" t="n">
        <f aca="false">IF(Quantiles!CI19&lt;0,"",(Depth0-MIN(Depth0,Quantiles!CI19))/Depth_per_q)</f>
        <v>0</v>
      </c>
      <c r="CJ19" s="20" t="n">
        <f aca="false">IF(Quantiles!CJ19&lt;0,"",(Depth0-MIN(Depth0,Quantiles!CJ19))/Depth_per_q)</f>
        <v>0</v>
      </c>
      <c r="CK19" s="20" t="n">
        <f aca="false">IF(Quantiles!CK19&lt;0,"",(Depth0-MIN(Depth0,Quantiles!CK19))/Depth_per_q)</f>
        <v>0</v>
      </c>
      <c r="CL19" s="20" t="n">
        <f aca="false">IF(Quantiles!CL19&lt;0,"",(Depth0-MIN(Depth0,Quantiles!CL19))/Depth_per_q)</f>
        <v>0</v>
      </c>
      <c r="CM19" s="20" t="n">
        <f aca="false">IF(Quantiles!CM19&lt;0,"",(Depth0-MIN(Depth0,Quantiles!CM19))/Depth_per_q)</f>
        <v>0</v>
      </c>
      <c r="CN19" s="20" t="n">
        <f aca="false">IF(Quantiles!CN19&lt;0,"",(Depth0-MIN(Depth0,Quantiles!CN19))/Depth_per_q)</f>
        <v>0</v>
      </c>
      <c r="CO19" s="20" t="n">
        <f aca="false">IF(Quantiles!CO19&lt;0,"",(Depth0-MIN(Depth0,Quantiles!CO19))/Depth_per_q)</f>
        <v>0</v>
      </c>
      <c r="CP19" s="20" t="n">
        <f aca="false">IF(Quantiles!CP19&lt;0,"",(Depth0-MIN(Depth0,Quantiles!CP19))/Depth_per_q)</f>
        <v>0</v>
      </c>
      <c r="CQ19" s="20" t="n">
        <f aca="false">IF(Quantiles!CQ19&lt;0,"",(Depth0-MIN(Depth0,Quantiles!CQ19))/Depth_per_q)</f>
        <v>0</v>
      </c>
      <c r="CR19" s="20" t="n">
        <f aca="false">IF(Quantiles!CR19&lt;0,"",(Depth0-MIN(Depth0,Quantiles!CR19))/Depth_per_q)</f>
        <v>0</v>
      </c>
      <c r="CS19" s="20" t="n">
        <f aca="false">IF(Quantiles!CS19&lt;0,"",(Depth0-MIN(Depth0,Quantiles!CS19))/Depth_per_q)</f>
        <v>0</v>
      </c>
      <c r="CT19" s="20" t="n">
        <f aca="false">IF(Quantiles!CT19&lt;0,"",(Depth0-MIN(Depth0,Quantiles!CT19))/Depth_per_q)</f>
        <v>2.92780797040747</v>
      </c>
    </row>
    <row r="20" customFormat="false" ht="15" hidden="false" customHeight="false" outlineLevel="0" collapsed="false">
      <c r="A20" s="25" t="n">
        <f aca="false">Quantiles!A20</f>
        <v>75</v>
      </c>
      <c r="B20" s="20" t="n">
        <f aca="false">IF(Quantiles!B20&lt;0,"",(Depth0-MIN(Depth0,Quantiles!B20))/Depth_per_q)</f>
        <v>4.78813579894512</v>
      </c>
      <c r="C20" s="20" t="n">
        <f aca="false">IF(Quantiles!C20&lt;0,"",(Depth0-MIN(Depth0,Quantiles!C20))/Depth_per_q)</f>
        <v>4.33988847776638</v>
      </c>
      <c r="D20" s="20" t="n">
        <f aca="false">IF(Quantiles!D20&lt;0,"",(Depth0-MIN(Depth0,Quantiles!D20))/Depth_per_q)</f>
        <v>4.01887368860369</v>
      </c>
      <c r="E20" s="20" t="n">
        <f aca="false">IF(Quantiles!E20&lt;0,"",(Depth0-MIN(Depth0,Quantiles!E20))/Depth_per_q)</f>
        <v>3.7449812560991</v>
      </c>
      <c r="F20" s="20" t="n">
        <f aca="false">IF(Quantiles!F20&lt;0,"",(Depth0-MIN(Depth0,Quantiles!F20))/Depth_per_q)</f>
        <v>3.49469764514106</v>
      </c>
      <c r="G20" s="20" t="n">
        <f aca="false">IF(Quantiles!G20&lt;0,"",(Depth0-MIN(Depth0,Quantiles!G20))/Depth_per_q)</f>
        <v>3.26998378263022</v>
      </c>
      <c r="H20" s="20" t="n">
        <f aca="false">IF(Quantiles!H20&lt;0,"",(Depth0-MIN(Depth0,Quantiles!H20))/Depth_per_q)</f>
        <v>3.07790595764477</v>
      </c>
      <c r="I20" s="20" t="n">
        <f aca="false">IF(Quantiles!I20&lt;0,"",(Depth0-MIN(Depth0,Quantiles!I20))/Depth_per_q)</f>
        <v>2.90036210167555</v>
      </c>
      <c r="J20" s="20" t="n">
        <f aca="false">IF(Quantiles!J20&lt;0,"",(Depth0-MIN(Depth0,Quantiles!J20))/Depth_per_q)</f>
        <v>2.74370339550817</v>
      </c>
      <c r="K20" s="20" t="n">
        <f aca="false">IF(Quantiles!K20&lt;0,"",(Depth0-MIN(Depth0,Quantiles!K20))/Depth_per_q)</f>
        <v>2.6035458730387</v>
      </c>
      <c r="L20" s="20" t="n">
        <f aca="false">IF(Quantiles!L20&lt;0,"",(Depth0-MIN(Depth0,Quantiles!L20))/Depth_per_q)</f>
        <v>2.4843738691677</v>
      </c>
      <c r="M20" s="20" t="n">
        <f aca="false">IF(Quantiles!M20&lt;0,"",(Depth0-MIN(Depth0,Quantiles!M20))/Depth_per_q)</f>
        <v>2.35764676580808</v>
      </c>
      <c r="N20" s="20" t="n">
        <f aca="false">IF(Quantiles!N20&lt;0,"",(Depth0-MIN(Depth0,Quantiles!N20))/Depth_per_q)</f>
        <v>2.24950996531385</v>
      </c>
      <c r="O20" s="20" t="n">
        <f aca="false">IF(Quantiles!O20&lt;0,"",(Depth0-MIN(Depth0,Quantiles!O20))/Depth_per_q)</f>
        <v>2.14091612898947</v>
      </c>
      <c r="P20" s="20" t="n">
        <f aca="false">IF(Quantiles!P20&lt;0,"",(Depth0-MIN(Depth0,Quantiles!P20))/Depth_per_q)</f>
        <v>2.0361228166017</v>
      </c>
      <c r="Q20" s="20" t="n">
        <f aca="false">IF(Quantiles!Q20&lt;0,"",(Depth0-MIN(Depth0,Quantiles!Q20))/Depth_per_q)</f>
        <v>1.94063274822182</v>
      </c>
      <c r="R20" s="20" t="n">
        <f aca="false">IF(Quantiles!R20&lt;0,"",(Depth0-MIN(Depth0,Quantiles!R20))/Depth_per_q)</f>
        <v>1.85112576681248</v>
      </c>
      <c r="S20" s="20" t="n">
        <f aca="false">IF(Quantiles!S20&lt;0,"",(Depth0-MIN(Depth0,Quantiles!S20))/Depth_per_q)</f>
        <v>1.76672145610746</v>
      </c>
      <c r="T20" s="20" t="n">
        <f aca="false">IF(Quantiles!T20&lt;0,"",(Depth0-MIN(Depth0,Quantiles!T20))/Depth_per_q)</f>
        <v>1.68263089449274</v>
      </c>
      <c r="U20" s="20" t="n">
        <f aca="false">IF(Quantiles!U20&lt;0,"",(Depth0-MIN(Depth0,Quantiles!U20))/Depth_per_q)</f>
        <v>1.60814855034124</v>
      </c>
      <c r="V20" s="20" t="n">
        <f aca="false">IF(Quantiles!V20&lt;0,"",(Depth0-MIN(Depth0,Quantiles!V20))/Depth_per_q)</f>
        <v>1.5348218625205</v>
      </c>
      <c r="W20" s="20" t="n">
        <f aca="false">IF(Quantiles!W20&lt;0,"",(Depth0-MIN(Depth0,Quantiles!W20))/Depth_per_q)</f>
        <v>1.46237448428479</v>
      </c>
      <c r="X20" s="20" t="n">
        <f aca="false">IF(Quantiles!X20&lt;0,"",(Depth0-MIN(Depth0,Quantiles!X20))/Depth_per_q)</f>
        <v>1.39901733801474</v>
      </c>
      <c r="Y20" s="20" t="n">
        <f aca="false">IF(Quantiles!Y20&lt;0,"",(Depth0-MIN(Depth0,Quantiles!Y20))/Depth_per_q)</f>
        <v>1.33725900129094</v>
      </c>
      <c r="Z20" s="20" t="n">
        <f aca="false">IF(Quantiles!Z20&lt;0,"",(Depth0-MIN(Depth0,Quantiles!Z20))/Depth_per_q)</f>
        <v>1.27581072641135</v>
      </c>
      <c r="AA20" s="20" t="n">
        <f aca="false">IF(Quantiles!AA20&lt;0,"",(Depth0-MIN(Depth0,Quantiles!AA20))/Depth_per_q)</f>
        <v>1.21955134590975</v>
      </c>
      <c r="AB20" s="20" t="n">
        <f aca="false">IF(Quantiles!AB20&lt;0,"",(Depth0-MIN(Depth0,Quantiles!AB20))/Depth_per_q)</f>
        <v>1.16132114863476</v>
      </c>
      <c r="AC20" s="20" t="n">
        <f aca="false">IF(Quantiles!AC20&lt;0,"",(Depth0-MIN(Depth0,Quantiles!AC20))/Depth_per_q)</f>
        <v>1.1091429027846</v>
      </c>
      <c r="AD20" s="20" t="n">
        <f aca="false">IF(Quantiles!AD20&lt;0,"",(Depth0-MIN(Depth0,Quantiles!AD20))/Depth_per_q)</f>
        <v>1.05796386624812</v>
      </c>
      <c r="AE20" s="20" t="n">
        <f aca="false">IF(Quantiles!AE20&lt;0,"",(Depth0-MIN(Depth0,Quantiles!AE20))/Depth_per_q)</f>
        <v>0.999996350967012</v>
      </c>
      <c r="AF20" s="20" t="n">
        <f aca="false">IF(Quantiles!AF20&lt;0,"",(Depth0-MIN(Depth0,Quantiles!AF20))/Depth_per_q)</f>
        <v>0.948082879447503</v>
      </c>
      <c r="AG20" s="20" t="n">
        <f aca="false">IF(Quantiles!AG20&lt;0,"",(Depth0-MIN(Depth0,Quantiles!AG20))/Depth_per_q)</f>
        <v>0.900338501926978</v>
      </c>
      <c r="AH20" s="20" t="n">
        <f aca="false">IF(Quantiles!AH20&lt;0,"",(Depth0-MIN(Depth0,Quantiles!AH20))/Depth_per_q)</f>
        <v>0.853353575772007</v>
      </c>
      <c r="AI20" s="20" t="n">
        <f aca="false">IF(Quantiles!AI20&lt;0,"",(Depth0-MIN(Depth0,Quantiles!AI20))/Depth_per_q)</f>
        <v>0.809204730552972</v>
      </c>
      <c r="AJ20" s="20" t="n">
        <f aca="false">IF(Quantiles!AJ20&lt;0,"",(Depth0-MIN(Depth0,Quantiles!AJ20))/Depth_per_q)</f>
        <v>0.76049710565399</v>
      </c>
      <c r="AK20" s="20" t="n">
        <f aca="false">IF(Quantiles!AK20&lt;0,"",(Depth0-MIN(Depth0,Quantiles!AK20))/Depth_per_q)</f>
        <v>0.715601456614403</v>
      </c>
      <c r="AL20" s="20" t="n">
        <f aca="false">IF(Quantiles!AL20&lt;0,"",(Depth0-MIN(Depth0,Quantiles!AL20))/Depth_per_q)</f>
        <v>0.674625513132788</v>
      </c>
      <c r="AM20" s="20" t="n">
        <f aca="false">IF(Quantiles!AM20&lt;0,"",(Depth0-MIN(Depth0,Quantiles!AM20))/Depth_per_q)</f>
        <v>0.632765972743555</v>
      </c>
      <c r="AN20" s="20" t="n">
        <f aca="false">IF(Quantiles!AN20&lt;0,"",(Depth0-MIN(Depth0,Quantiles!AN20))/Depth_per_q)</f>
        <v>0.590611875051055</v>
      </c>
      <c r="AO20" s="20" t="n">
        <f aca="false">IF(Quantiles!AO20&lt;0,"",(Depth0-MIN(Depth0,Quantiles!AO20))/Depth_per_q)</f>
        <v>0.552763373628393</v>
      </c>
      <c r="AP20" s="20" t="n">
        <f aca="false">IF(Quantiles!AP20&lt;0,"",(Depth0-MIN(Depth0,Quantiles!AP20))/Depth_per_q)</f>
        <v>0.51260536931815</v>
      </c>
      <c r="AQ20" s="20" t="n">
        <f aca="false">IF(Quantiles!AQ20&lt;0,"",(Depth0-MIN(Depth0,Quantiles!AQ20))/Depth_per_q)</f>
        <v>0.476546050778882</v>
      </c>
      <c r="AR20" s="20" t="n">
        <f aca="false">IF(Quantiles!AR20&lt;0,"",(Depth0-MIN(Depth0,Quantiles!AR20))/Depth_per_q)</f>
        <v>0.44157575179765</v>
      </c>
      <c r="AS20" s="20" t="n">
        <f aca="false">IF(Quantiles!AS20&lt;0,"",(Depth0-MIN(Depth0,Quantiles!AS20))/Depth_per_q)</f>
        <v>0.407249349842273</v>
      </c>
      <c r="AT20" s="20" t="n">
        <f aca="false">IF(Quantiles!AT20&lt;0,"",(Depth0-MIN(Depth0,Quantiles!AT20))/Depth_per_q)</f>
        <v>0.371963819133542</v>
      </c>
      <c r="AU20" s="20" t="n">
        <f aca="false">IF(Quantiles!AU20&lt;0,"",(Depth0-MIN(Depth0,Quantiles!AU20))/Depth_per_q)</f>
        <v>0.334194074217405</v>
      </c>
      <c r="AV20" s="20" t="n">
        <f aca="false">IF(Quantiles!AV20&lt;0,"",(Depth0-MIN(Depth0,Quantiles!AV20))/Depth_per_q)</f>
        <v>0.299091380434567</v>
      </c>
      <c r="AW20" s="20" t="n">
        <f aca="false">IF(Quantiles!AW20&lt;0,"",(Depth0-MIN(Depth0,Quantiles!AW20))/Depth_per_q)</f>
        <v>0.268043863092455</v>
      </c>
      <c r="AX20" s="20" t="n">
        <f aca="false">IF(Quantiles!AX20&lt;0,"",(Depth0-MIN(Depth0,Quantiles!AX20))/Depth_per_q)</f>
        <v>0.234777875523777</v>
      </c>
      <c r="AY20" s="20" t="n">
        <f aca="false">IF(Quantiles!AY20&lt;0,"",(Depth0-MIN(Depth0,Quantiles!AY20))/Depth_per_q)</f>
        <v>0.201274964795703</v>
      </c>
      <c r="AZ20" s="20" t="n">
        <f aca="false">IF(Quantiles!AZ20&lt;0,"",(Depth0-MIN(Depth0,Quantiles!AZ20))/Depth_per_q)</f>
        <v>0.173033588589455</v>
      </c>
      <c r="BA20" s="20" t="n">
        <f aca="false">IF(Quantiles!BA20&lt;0,"",(Depth0-MIN(Depth0,Quantiles!BA20))/Depth_per_q)</f>
        <v>0.142505956817175</v>
      </c>
      <c r="BB20" s="20" t="n">
        <f aca="false">IF(Quantiles!BB20&lt;0,"",(Depth0-MIN(Depth0,Quantiles!BB20))/Depth_per_q)</f>
        <v>0.112164124400865</v>
      </c>
      <c r="BC20" s="20" t="n">
        <f aca="false">IF(Quantiles!BC20&lt;0,"",(Depth0-MIN(Depth0,Quantiles!BC20))/Depth_per_q)</f>
        <v>0.0830883529974775</v>
      </c>
      <c r="BD20" s="20" t="n">
        <f aca="false">IF(Quantiles!BD20&lt;0,"",(Depth0-MIN(Depth0,Quantiles!BD20))/Depth_per_q)</f>
        <v>0.0512557032323651</v>
      </c>
      <c r="BE20" s="20" t="n">
        <f aca="false">IF(Quantiles!BE20&lt;0,"",(Depth0-MIN(Depth0,Quantiles!BE20))/Depth_per_q)</f>
        <v>0.0192056912253049</v>
      </c>
      <c r="BF20" s="20" t="n">
        <f aca="false">IF(Quantiles!BF20&lt;0,"",(Depth0-MIN(Depth0,Quantiles!BF20))/Depth_per_q)</f>
        <v>0</v>
      </c>
      <c r="BG20" s="20" t="n">
        <f aca="false">IF(Quantiles!BG20&lt;0,"",(Depth0-MIN(Depth0,Quantiles!BG20))/Depth_per_q)</f>
        <v>0</v>
      </c>
      <c r="BH20" s="20" t="n">
        <f aca="false">IF(Quantiles!BH20&lt;0,"",(Depth0-MIN(Depth0,Quantiles!BH20))/Depth_per_q)</f>
        <v>0</v>
      </c>
      <c r="BI20" s="20" t="n">
        <f aca="false">IF(Quantiles!BI20&lt;0,"",(Depth0-MIN(Depth0,Quantiles!BI20))/Depth_per_q)</f>
        <v>0</v>
      </c>
      <c r="BJ20" s="20" t="n">
        <f aca="false">IF(Quantiles!BJ20&lt;0,"",(Depth0-MIN(Depth0,Quantiles!BJ20))/Depth_per_q)</f>
        <v>0</v>
      </c>
      <c r="BK20" s="20" t="n">
        <f aca="false">IF(Quantiles!BK20&lt;0,"",(Depth0-MIN(Depth0,Quantiles!BK20))/Depth_per_q)</f>
        <v>0</v>
      </c>
      <c r="BL20" s="20" t="n">
        <f aca="false">IF(Quantiles!BL20&lt;0,"",(Depth0-MIN(Depth0,Quantiles!BL20))/Depth_per_q)</f>
        <v>0</v>
      </c>
      <c r="BM20" s="20" t="n">
        <f aca="false">IF(Quantiles!BM20&lt;0,"",(Depth0-MIN(Depth0,Quantiles!BM20))/Depth_per_q)</f>
        <v>0</v>
      </c>
      <c r="BN20" s="20" t="n">
        <f aca="false">IF(Quantiles!BN20&lt;0,"",(Depth0-MIN(Depth0,Quantiles!BN20))/Depth_per_q)</f>
        <v>0</v>
      </c>
      <c r="BO20" s="20" t="n">
        <f aca="false">IF(Quantiles!BO20&lt;0,"",(Depth0-MIN(Depth0,Quantiles!BO20))/Depth_per_q)</f>
        <v>0</v>
      </c>
      <c r="BP20" s="20" t="n">
        <f aca="false">IF(Quantiles!BP20&lt;0,"",(Depth0-MIN(Depth0,Quantiles!BP20))/Depth_per_q)</f>
        <v>0</v>
      </c>
      <c r="BQ20" s="20" t="n">
        <f aca="false">IF(Quantiles!BQ20&lt;0,"",(Depth0-MIN(Depth0,Quantiles!BQ20))/Depth_per_q)</f>
        <v>0</v>
      </c>
      <c r="BR20" s="20" t="n">
        <f aca="false">IF(Quantiles!BR20&lt;0,"",(Depth0-MIN(Depth0,Quantiles!BR20))/Depth_per_q)</f>
        <v>0</v>
      </c>
      <c r="BS20" s="20" t="n">
        <f aca="false">IF(Quantiles!BS20&lt;0,"",(Depth0-MIN(Depth0,Quantiles!BS20))/Depth_per_q)</f>
        <v>0</v>
      </c>
      <c r="BT20" s="20" t="n">
        <f aca="false">IF(Quantiles!BT20&lt;0,"",(Depth0-MIN(Depth0,Quantiles!BT20))/Depth_per_q)</f>
        <v>0</v>
      </c>
      <c r="BU20" s="20" t="n">
        <f aca="false">IF(Quantiles!BU20&lt;0,"",(Depth0-MIN(Depth0,Quantiles!BU20))/Depth_per_q)</f>
        <v>0</v>
      </c>
      <c r="BV20" s="20" t="n">
        <f aca="false">IF(Quantiles!BV20&lt;0,"",(Depth0-MIN(Depth0,Quantiles!BV20))/Depth_per_q)</f>
        <v>0</v>
      </c>
      <c r="BW20" s="20" t="n">
        <f aca="false">IF(Quantiles!BW20&lt;0,"",(Depth0-MIN(Depth0,Quantiles!BW20))/Depth_per_q)</f>
        <v>0</v>
      </c>
      <c r="BX20" s="20" t="n">
        <f aca="false">IF(Quantiles!BX20&lt;0,"",(Depth0-MIN(Depth0,Quantiles!BX20))/Depth_per_q)</f>
        <v>0</v>
      </c>
      <c r="BY20" s="20" t="n">
        <f aca="false">IF(Quantiles!BY20&lt;0,"",(Depth0-MIN(Depth0,Quantiles!BY20))/Depth_per_q)</f>
        <v>0</v>
      </c>
      <c r="BZ20" s="20" t="n">
        <f aca="false">IF(Quantiles!BZ20&lt;0,"",(Depth0-MIN(Depth0,Quantiles!BZ20))/Depth_per_q)</f>
        <v>0</v>
      </c>
      <c r="CA20" s="20" t="n">
        <f aca="false">IF(Quantiles!CA20&lt;0,"",(Depth0-MIN(Depth0,Quantiles!CA20))/Depth_per_q)</f>
        <v>0</v>
      </c>
      <c r="CB20" s="20" t="n">
        <f aca="false">IF(Quantiles!CB20&lt;0,"",(Depth0-MIN(Depth0,Quantiles!CB20))/Depth_per_q)</f>
        <v>0</v>
      </c>
      <c r="CC20" s="20" t="n">
        <f aca="false">IF(Quantiles!CC20&lt;0,"",(Depth0-MIN(Depth0,Quantiles!CC20))/Depth_per_q)</f>
        <v>0</v>
      </c>
      <c r="CD20" s="20" t="n">
        <f aca="false">IF(Quantiles!CD20&lt;0,"",(Depth0-MIN(Depth0,Quantiles!CD20))/Depth_per_q)</f>
        <v>0</v>
      </c>
      <c r="CE20" s="20" t="n">
        <f aca="false">IF(Quantiles!CE20&lt;0,"",(Depth0-MIN(Depth0,Quantiles!CE20))/Depth_per_q)</f>
        <v>0</v>
      </c>
      <c r="CF20" s="20" t="n">
        <f aca="false">IF(Quantiles!CF20&lt;0,"",(Depth0-MIN(Depth0,Quantiles!CF20))/Depth_per_q)</f>
        <v>0</v>
      </c>
      <c r="CG20" s="20" t="n">
        <f aca="false">IF(Quantiles!CG20&lt;0,"",(Depth0-MIN(Depth0,Quantiles!CG20))/Depth_per_q)</f>
        <v>0</v>
      </c>
      <c r="CH20" s="20" t="n">
        <f aca="false">IF(Quantiles!CH20&lt;0,"",(Depth0-MIN(Depth0,Quantiles!CH20))/Depth_per_q)</f>
        <v>0</v>
      </c>
      <c r="CI20" s="20" t="n">
        <f aca="false">IF(Quantiles!CI20&lt;0,"",(Depth0-MIN(Depth0,Quantiles!CI20))/Depth_per_q)</f>
        <v>0</v>
      </c>
      <c r="CJ20" s="20" t="n">
        <f aca="false">IF(Quantiles!CJ20&lt;0,"",(Depth0-MIN(Depth0,Quantiles!CJ20))/Depth_per_q)</f>
        <v>0</v>
      </c>
      <c r="CK20" s="20" t="n">
        <f aca="false">IF(Quantiles!CK20&lt;0,"",(Depth0-MIN(Depth0,Quantiles!CK20))/Depth_per_q)</f>
        <v>0</v>
      </c>
      <c r="CL20" s="20" t="n">
        <f aca="false">IF(Quantiles!CL20&lt;0,"",(Depth0-MIN(Depth0,Quantiles!CL20))/Depth_per_q)</f>
        <v>0</v>
      </c>
      <c r="CM20" s="20" t="n">
        <f aca="false">IF(Quantiles!CM20&lt;0,"",(Depth0-MIN(Depth0,Quantiles!CM20))/Depth_per_q)</f>
        <v>0</v>
      </c>
      <c r="CN20" s="20" t="n">
        <f aca="false">IF(Quantiles!CN20&lt;0,"",(Depth0-MIN(Depth0,Quantiles!CN20))/Depth_per_q)</f>
        <v>0</v>
      </c>
      <c r="CO20" s="20" t="n">
        <f aca="false">IF(Quantiles!CO20&lt;0,"",(Depth0-MIN(Depth0,Quantiles!CO20))/Depth_per_q)</f>
        <v>0</v>
      </c>
      <c r="CP20" s="20" t="n">
        <f aca="false">IF(Quantiles!CP20&lt;0,"",(Depth0-MIN(Depth0,Quantiles!CP20))/Depth_per_q)</f>
        <v>0</v>
      </c>
      <c r="CQ20" s="20" t="n">
        <f aca="false">IF(Quantiles!CQ20&lt;0,"",(Depth0-MIN(Depth0,Quantiles!CQ20))/Depth_per_q)</f>
        <v>0</v>
      </c>
      <c r="CR20" s="20" t="n">
        <f aca="false">IF(Quantiles!CR20&lt;0,"",(Depth0-MIN(Depth0,Quantiles!CR20))/Depth_per_q)</f>
        <v>0</v>
      </c>
      <c r="CS20" s="20" t="n">
        <f aca="false">IF(Quantiles!CS20&lt;0,"",(Depth0-MIN(Depth0,Quantiles!CS20))/Depth_per_q)</f>
        <v>0</v>
      </c>
      <c r="CT20" s="20" t="n">
        <f aca="false">IF(Quantiles!CT20&lt;0,"",(Depth0-MIN(Depth0,Quantiles!CT20))/Depth_per_q)</f>
        <v>2.74147111848812</v>
      </c>
    </row>
    <row r="21" customFormat="false" ht="15" hidden="false" customHeight="false" outlineLevel="0" collapsed="false">
      <c r="A21" s="25" t="n">
        <f aca="false">Quantiles!A21</f>
        <v>80</v>
      </c>
      <c r="B21" s="20" t="n">
        <f aca="false">IF(Quantiles!B21&lt;0,"",(Depth0-MIN(Depth0,Quantiles!B21))/Depth_per_q)</f>
        <v>4.5344104385157</v>
      </c>
      <c r="C21" s="20" t="n">
        <f aca="false">IF(Quantiles!C21&lt;0,"",(Depth0-MIN(Depth0,Quantiles!C21))/Depth_per_q)</f>
        <v>4.09777765576048</v>
      </c>
      <c r="D21" s="20" t="n">
        <f aca="false">IF(Quantiles!D21&lt;0,"",(Depth0-MIN(Depth0,Quantiles!D21))/Depth_per_q)</f>
        <v>3.78331097104809</v>
      </c>
      <c r="E21" s="20" t="n">
        <f aca="false">IF(Quantiles!E21&lt;0,"",(Depth0-MIN(Depth0,Quantiles!E21))/Depth_per_q)</f>
        <v>3.52131174359624</v>
      </c>
      <c r="F21" s="20" t="n">
        <f aca="false">IF(Quantiles!F21&lt;0,"",(Depth0-MIN(Depth0,Quantiles!F21))/Depth_per_q)</f>
        <v>3.2848904478568</v>
      </c>
      <c r="G21" s="20" t="n">
        <f aca="false">IF(Quantiles!G21&lt;0,"",(Depth0-MIN(Depth0,Quantiles!G21))/Depth_per_q)</f>
        <v>3.07251700009521</v>
      </c>
      <c r="H21" s="20" t="n">
        <f aca="false">IF(Quantiles!H21&lt;0,"",(Depth0-MIN(Depth0,Quantiles!H21))/Depth_per_q)</f>
        <v>2.88689290186258</v>
      </c>
      <c r="I21" s="20" t="n">
        <f aca="false">IF(Quantiles!I21&lt;0,"",(Depth0-MIN(Depth0,Quantiles!I21))/Depth_per_q)</f>
        <v>2.72217657548437</v>
      </c>
      <c r="J21" s="20" t="n">
        <f aca="false">IF(Quantiles!J21&lt;0,"",(Depth0-MIN(Depth0,Quantiles!J21))/Depth_per_q)</f>
        <v>2.57529454815222</v>
      </c>
      <c r="K21" s="20" t="n">
        <f aca="false">IF(Quantiles!K21&lt;0,"",(Depth0-MIN(Depth0,Quantiles!K21))/Depth_per_q)</f>
        <v>2.44359783479893</v>
      </c>
      <c r="L21" s="20" t="n">
        <f aca="false">IF(Quantiles!L21&lt;0,"",(Depth0-MIN(Depth0,Quantiles!L21))/Depth_per_q)</f>
        <v>2.31685241470163</v>
      </c>
      <c r="M21" s="20" t="n">
        <f aca="false">IF(Quantiles!M21&lt;0,"",(Depth0-MIN(Depth0,Quantiles!M21))/Depth_per_q)</f>
        <v>2.19995758934943</v>
      </c>
      <c r="N21" s="20" t="n">
        <f aca="false">IF(Quantiles!N21&lt;0,"",(Depth0-MIN(Depth0,Quantiles!N21))/Depth_per_q)</f>
        <v>2.08774750558406</v>
      </c>
      <c r="O21" s="20" t="n">
        <f aca="false">IF(Quantiles!O21&lt;0,"",(Depth0-MIN(Depth0,Quantiles!O21))/Depth_per_q)</f>
        <v>1.9936044474952</v>
      </c>
      <c r="P21" s="20" t="n">
        <f aca="false">IF(Quantiles!P21&lt;0,"",(Depth0-MIN(Depth0,Quantiles!P21))/Depth_per_q)</f>
        <v>1.89758521074762</v>
      </c>
      <c r="Q21" s="20" t="n">
        <f aca="false">IF(Quantiles!Q21&lt;0,"",(Depth0-MIN(Depth0,Quantiles!Q21))/Depth_per_q)</f>
        <v>1.81098128775813</v>
      </c>
      <c r="R21" s="20" t="n">
        <f aca="false">IF(Quantiles!R21&lt;0,"",(Depth0-MIN(Depth0,Quantiles!R21))/Depth_per_q)</f>
        <v>1.7187290555899</v>
      </c>
      <c r="S21" s="20" t="n">
        <f aca="false">IF(Quantiles!S21&lt;0,"",(Depth0-MIN(Depth0,Quantiles!S21))/Depth_per_q)</f>
        <v>1.63346491148443</v>
      </c>
      <c r="T21" s="20" t="n">
        <f aca="false">IF(Quantiles!T21&lt;0,"",(Depth0-MIN(Depth0,Quantiles!T21))/Depth_per_q)</f>
        <v>1.55752827469407</v>
      </c>
      <c r="U21" s="20" t="n">
        <f aca="false">IF(Quantiles!U21&lt;0,"",(Depth0-MIN(Depth0,Quantiles!U21))/Depth_per_q)</f>
        <v>1.48325663907336</v>
      </c>
      <c r="V21" s="20" t="n">
        <f aca="false">IF(Quantiles!V21&lt;0,"",(Depth0-MIN(Depth0,Quantiles!V21))/Depth_per_q)</f>
        <v>1.41223339414813</v>
      </c>
      <c r="W21" s="20" t="n">
        <f aca="false">IF(Quantiles!W21&lt;0,"",(Depth0-MIN(Depth0,Quantiles!W21))/Depth_per_q)</f>
        <v>1.34533848966155</v>
      </c>
      <c r="X21" s="20" t="n">
        <f aca="false">IF(Quantiles!X21&lt;0,"",(Depth0-MIN(Depth0,Quantiles!X21))/Depth_per_q)</f>
        <v>1.28067115440791</v>
      </c>
      <c r="Y21" s="20" t="n">
        <f aca="false">IF(Quantiles!Y21&lt;0,"",(Depth0-MIN(Depth0,Quantiles!Y21))/Depth_per_q)</f>
        <v>1.22677953977052</v>
      </c>
      <c r="Z21" s="20" t="n">
        <f aca="false">IF(Quantiles!Z21&lt;0,"",(Depth0-MIN(Depth0,Quantiles!Z21))/Depth_per_q)</f>
        <v>1.16976903357515</v>
      </c>
      <c r="AA21" s="20" t="n">
        <f aca="false">IF(Quantiles!AA21&lt;0,"",(Depth0-MIN(Depth0,Quantiles!AA21))/Depth_per_q)</f>
        <v>1.11402803252397</v>
      </c>
      <c r="AB21" s="20" t="n">
        <f aca="false">IF(Quantiles!AB21&lt;0,"",(Depth0-MIN(Depth0,Quantiles!AB21))/Depth_per_q)</f>
        <v>1.06034232965735</v>
      </c>
      <c r="AC21" s="20" t="n">
        <f aca="false">IF(Quantiles!AC21&lt;0,"",(Depth0-MIN(Depth0,Quantiles!AC21))/Depth_per_q)</f>
        <v>1.00304610557745</v>
      </c>
      <c r="AD21" s="20" t="n">
        <f aca="false">IF(Quantiles!AD21&lt;0,"",(Depth0-MIN(Depth0,Quantiles!AD21))/Depth_per_q)</f>
        <v>0.95177898533102</v>
      </c>
      <c r="AE21" s="20" t="n">
        <f aca="false">IF(Quantiles!AE21&lt;0,"",(Depth0-MIN(Depth0,Quantiles!AE21))/Depth_per_q)</f>
        <v>0.902213581827027</v>
      </c>
      <c r="AF21" s="20" t="n">
        <f aca="false">IF(Quantiles!AF21&lt;0,"",(Depth0-MIN(Depth0,Quantiles!AF21))/Depth_per_q)</f>
        <v>0.85525412696539</v>
      </c>
      <c r="AG21" s="20" t="n">
        <f aca="false">IF(Quantiles!AG21&lt;0,"",(Depth0-MIN(Depth0,Quantiles!AG21))/Depth_per_q)</f>
        <v>0.80680347530005</v>
      </c>
      <c r="AH21" s="20" t="n">
        <f aca="false">IF(Quantiles!AH21&lt;0,"",(Depth0-MIN(Depth0,Quantiles!AH21))/Depth_per_q)</f>
        <v>0.759158376988585</v>
      </c>
      <c r="AI21" s="20" t="n">
        <f aca="false">IF(Quantiles!AI21&lt;0,"",(Depth0-MIN(Depth0,Quantiles!AI21))/Depth_per_q)</f>
        <v>0.712400068557953</v>
      </c>
      <c r="AJ21" s="20" t="n">
        <f aca="false">IF(Quantiles!AJ21&lt;0,"",(Depth0-MIN(Depth0,Quantiles!AJ21))/Depth_per_q)</f>
        <v>0.667692008361118</v>
      </c>
      <c r="AK21" s="20" t="n">
        <f aca="false">IF(Quantiles!AK21&lt;0,"",(Depth0-MIN(Depth0,Quantiles!AK21))/Depth_per_q)</f>
        <v>0.628914300746903</v>
      </c>
      <c r="AL21" s="20" t="n">
        <f aca="false">IF(Quantiles!AL21&lt;0,"",(Depth0-MIN(Depth0,Quantiles!AL21))/Depth_per_q)</f>
        <v>0.587303694233032</v>
      </c>
      <c r="AM21" s="20" t="n">
        <f aca="false">IF(Quantiles!AM21&lt;0,"",(Depth0-MIN(Depth0,Quantiles!AM21))/Depth_per_q)</f>
        <v>0.5444077775946</v>
      </c>
      <c r="AN21" s="20" t="n">
        <f aca="false">IF(Quantiles!AN21&lt;0,"",(Depth0-MIN(Depth0,Quantiles!AN21))/Depth_per_q)</f>
        <v>0.506579985114097</v>
      </c>
      <c r="AO21" s="20" t="n">
        <f aca="false">IF(Quantiles!AO21&lt;0,"",(Depth0-MIN(Depth0,Quantiles!AO21))/Depth_per_q)</f>
        <v>0.47215299630013</v>
      </c>
      <c r="AP21" s="20" t="n">
        <f aca="false">IF(Quantiles!AP21&lt;0,"",(Depth0-MIN(Depth0,Quantiles!AP21))/Depth_per_q)</f>
        <v>0.435897474257827</v>
      </c>
      <c r="AQ21" s="20" t="n">
        <f aca="false">IF(Quantiles!AQ21&lt;0,"",(Depth0-MIN(Depth0,Quantiles!AQ21))/Depth_per_q)</f>
        <v>0.40263575418282</v>
      </c>
      <c r="AR21" s="20" t="n">
        <f aca="false">IF(Quantiles!AR21&lt;0,"",(Depth0-MIN(Depth0,Quantiles!AR21))/Depth_per_q)</f>
        <v>0.36518791044361</v>
      </c>
      <c r="AS21" s="20" t="n">
        <f aca="false">IF(Quantiles!AS21&lt;0,"",(Depth0-MIN(Depth0,Quantiles!AS21))/Depth_per_q)</f>
        <v>0.330349259913323</v>
      </c>
      <c r="AT21" s="20" t="n">
        <f aca="false">IF(Quantiles!AT21&lt;0,"",(Depth0-MIN(Depth0,Quantiles!AT21))/Depth_per_q)</f>
        <v>0.29534244964743</v>
      </c>
      <c r="AU21" s="20" t="n">
        <f aca="false">IF(Quantiles!AU21&lt;0,"",(Depth0-MIN(Depth0,Quantiles!AU21))/Depth_per_q)</f>
        <v>0.26052324239355</v>
      </c>
      <c r="AV21" s="20" t="n">
        <f aca="false">IF(Quantiles!AV21&lt;0,"",(Depth0-MIN(Depth0,Quantiles!AV21))/Depth_per_q)</f>
        <v>0.227273174982582</v>
      </c>
      <c r="AW21" s="20" t="n">
        <f aca="false">IF(Quantiles!AW21&lt;0,"",(Depth0-MIN(Depth0,Quantiles!AW21))/Depth_per_q)</f>
        <v>0.196767478849942</v>
      </c>
      <c r="AX21" s="20" t="n">
        <f aca="false">IF(Quantiles!AX21&lt;0,"",(Depth0-MIN(Depth0,Quantiles!AX21))/Depth_per_q)</f>
        <v>0.1669385313784</v>
      </c>
      <c r="AY21" s="20" t="n">
        <f aca="false">IF(Quantiles!AY21&lt;0,"",(Depth0-MIN(Depth0,Quantiles!AY21))/Depth_per_q)</f>
        <v>0.135047793532572</v>
      </c>
      <c r="AZ21" s="20" t="n">
        <f aca="false">IF(Quantiles!AZ21&lt;0,"",(Depth0-MIN(Depth0,Quantiles!AZ21))/Depth_per_q)</f>
        <v>0.10208400695664</v>
      </c>
      <c r="BA21" s="20" t="n">
        <f aca="false">IF(Quantiles!BA21&lt;0,"",(Depth0-MIN(Depth0,Quantiles!BA21))/Depth_per_q)</f>
        <v>0.0718521328530173</v>
      </c>
      <c r="BB21" s="20" t="n">
        <f aca="false">IF(Quantiles!BB21&lt;0,"",(Depth0-MIN(Depth0,Quantiles!BB21))/Depth_per_q)</f>
        <v>0.0398357597176853</v>
      </c>
      <c r="BC21" s="20" t="n">
        <f aca="false">IF(Quantiles!BC21&lt;0,"",(Depth0-MIN(Depth0,Quantiles!BC21))/Depth_per_q)</f>
        <v>0.0107723058921101</v>
      </c>
      <c r="BD21" s="20" t="n">
        <f aca="false">IF(Quantiles!BD21&lt;0,"",(Depth0-MIN(Depth0,Quantiles!BD21))/Depth_per_q)</f>
        <v>0</v>
      </c>
      <c r="BE21" s="20" t="n">
        <f aca="false">IF(Quantiles!BE21&lt;0,"",(Depth0-MIN(Depth0,Quantiles!BE21))/Depth_per_q)</f>
        <v>0</v>
      </c>
      <c r="BF21" s="20" t="n">
        <f aca="false">IF(Quantiles!BF21&lt;0,"",(Depth0-MIN(Depth0,Quantiles!BF21))/Depth_per_q)</f>
        <v>0</v>
      </c>
      <c r="BG21" s="20" t="n">
        <f aca="false">IF(Quantiles!BG21&lt;0,"",(Depth0-MIN(Depth0,Quantiles!BG21))/Depth_per_q)</f>
        <v>0</v>
      </c>
      <c r="BH21" s="20" t="n">
        <f aca="false">IF(Quantiles!BH21&lt;0,"",(Depth0-MIN(Depth0,Quantiles!BH21))/Depth_per_q)</f>
        <v>0</v>
      </c>
      <c r="BI21" s="20" t="n">
        <f aca="false">IF(Quantiles!BI21&lt;0,"",(Depth0-MIN(Depth0,Quantiles!BI21))/Depth_per_q)</f>
        <v>0</v>
      </c>
      <c r="BJ21" s="20" t="n">
        <f aca="false">IF(Quantiles!BJ21&lt;0,"",(Depth0-MIN(Depth0,Quantiles!BJ21))/Depth_per_q)</f>
        <v>0</v>
      </c>
      <c r="BK21" s="20" t="n">
        <f aca="false">IF(Quantiles!BK21&lt;0,"",(Depth0-MIN(Depth0,Quantiles!BK21))/Depth_per_q)</f>
        <v>0</v>
      </c>
      <c r="BL21" s="20" t="n">
        <f aca="false">IF(Quantiles!BL21&lt;0,"",(Depth0-MIN(Depth0,Quantiles!BL21))/Depth_per_q)</f>
        <v>0</v>
      </c>
      <c r="BM21" s="20" t="n">
        <f aca="false">IF(Quantiles!BM21&lt;0,"",(Depth0-MIN(Depth0,Quantiles!BM21))/Depth_per_q)</f>
        <v>0</v>
      </c>
      <c r="BN21" s="20" t="n">
        <f aca="false">IF(Quantiles!BN21&lt;0,"",(Depth0-MIN(Depth0,Quantiles!BN21))/Depth_per_q)</f>
        <v>0</v>
      </c>
      <c r="BO21" s="20" t="n">
        <f aca="false">IF(Quantiles!BO21&lt;0,"",(Depth0-MIN(Depth0,Quantiles!BO21))/Depth_per_q)</f>
        <v>0</v>
      </c>
      <c r="BP21" s="20" t="n">
        <f aca="false">IF(Quantiles!BP21&lt;0,"",(Depth0-MIN(Depth0,Quantiles!BP21))/Depth_per_q)</f>
        <v>0</v>
      </c>
      <c r="BQ21" s="20" t="n">
        <f aca="false">IF(Quantiles!BQ21&lt;0,"",(Depth0-MIN(Depth0,Quantiles!BQ21))/Depth_per_q)</f>
        <v>0</v>
      </c>
      <c r="BR21" s="20" t="n">
        <f aca="false">IF(Quantiles!BR21&lt;0,"",(Depth0-MIN(Depth0,Quantiles!BR21))/Depth_per_q)</f>
        <v>0</v>
      </c>
      <c r="BS21" s="20" t="n">
        <f aca="false">IF(Quantiles!BS21&lt;0,"",(Depth0-MIN(Depth0,Quantiles!BS21))/Depth_per_q)</f>
        <v>0</v>
      </c>
      <c r="BT21" s="20" t="n">
        <f aca="false">IF(Quantiles!BT21&lt;0,"",(Depth0-MIN(Depth0,Quantiles!BT21))/Depth_per_q)</f>
        <v>0</v>
      </c>
      <c r="BU21" s="20" t="n">
        <f aca="false">IF(Quantiles!BU21&lt;0,"",(Depth0-MIN(Depth0,Quantiles!BU21))/Depth_per_q)</f>
        <v>0</v>
      </c>
      <c r="BV21" s="20" t="n">
        <f aca="false">IF(Quantiles!BV21&lt;0,"",(Depth0-MIN(Depth0,Quantiles!BV21))/Depth_per_q)</f>
        <v>0</v>
      </c>
      <c r="BW21" s="20" t="n">
        <f aca="false">IF(Quantiles!BW21&lt;0,"",(Depth0-MIN(Depth0,Quantiles!BW21))/Depth_per_q)</f>
        <v>0</v>
      </c>
      <c r="BX21" s="20" t="n">
        <f aca="false">IF(Quantiles!BX21&lt;0,"",(Depth0-MIN(Depth0,Quantiles!BX21))/Depth_per_q)</f>
        <v>0</v>
      </c>
      <c r="BY21" s="20" t="n">
        <f aca="false">IF(Quantiles!BY21&lt;0,"",(Depth0-MIN(Depth0,Quantiles!BY21))/Depth_per_q)</f>
        <v>0</v>
      </c>
      <c r="BZ21" s="20" t="n">
        <f aca="false">IF(Quantiles!BZ21&lt;0,"",(Depth0-MIN(Depth0,Quantiles!BZ21))/Depth_per_q)</f>
        <v>0</v>
      </c>
      <c r="CA21" s="20" t="n">
        <f aca="false">IF(Quantiles!CA21&lt;0,"",(Depth0-MIN(Depth0,Quantiles!CA21))/Depth_per_q)</f>
        <v>0</v>
      </c>
      <c r="CB21" s="20" t="n">
        <f aca="false">IF(Quantiles!CB21&lt;0,"",(Depth0-MIN(Depth0,Quantiles!CB21))/Depth_per_q)</f>
        <v>0</v>
      </c>
      <c r="CC21" s="20" t="n">
        <f aca="false">IF(Quantiles!CC21&lt;0,"",(Depth0-MIN(Depth0,Quantiles!CC21))/Depth_per_q)</f>
        <v>0</v>
      </c>
      <c r="CD21" s="20" t="n">
        <f aca="false">IF(Quantiles!CD21&lt;0,"",(Depth0-MIN(Depth0,Quantiles!CD21))/Depth_per_q)</f>
        <v>0</v>
      </c>
      <c r="CE21" s="20" t="n">
        <f aca="false">IF(Quantiles!CE21&lt;0,"",(Depth0-MIN(Depth0,Quantiles!CE21))/Depth_per_q)</f>
        <v>0</v>
      </c>
      <c r="CF21" s="20" t="n">
        <f aca="false">IF(Quantiles!CF21&lt;0,"",(Depth0-MIN(Depth0,Quantiles!CF21))/Depth_per_q)</f>
        <v>0</v>
      </c>
      <c r="CG21" s="20" t="n">
        <f aca="false">IF(Quantiles!CG21&lt;0,"",(Depth0-MIN(Depth0,Quantiles!CG21))/Depth_per_q)</f>
        <v>0</v>
      </c>
      <c r="CH21" s="20" t="n">
        <f aca="false">IF(Quantiles!CH21&lt;0,"",(Depth0-MIN(Depth0,Quantiles!CH21))/Depth_per_q)</f>
        <v>0</v>
      </c>
      <c r="CI21" s="20" t="n">
        <f aca="false">IF(Quantiles!CI21&lt;0,"",(Depth0-MIN(Depth0,Quantiles!CI21))/Depth_per_q)</f>
        <v>0</v>
      </c>
      <c r="CJ21" s="20" t="n">
        <f aca="false">IF(Quantiles!CJ21&lt;0,"",(Depth0-MIN(Depth0,Quantiles!CJ21))/Depth_per_q)</f>
        <v>0</v>
      </c>
      <c r="CK21" s="20" t="n">
        <f aca="false">IF(Quantiles!CK21&lt;0,"",(Depth0-MIN(Depth0,Quantiles!CK21))/Depth_per_q)</f>
        <v>0</v>
      </c>
      <c r="CL21" s="20" t="n">
        <f aca="false">IF(Quantiles!CL21&lt;0,"",(Depth0-MIN(Depth0,Quantiles!CL21))/Depth_per_q)</f>
        <v>0</v>
      </c>
      <c r="CM21" s="20" t="n">
        <f aca="false">IF(Quantiles!CM21&lt;0,"",(Depth0-MIN(Depth0,Quantiles!CM21))/Depth_per_q)</f>
        <v>0</v>
      </c>
      <c r="CN21" s="20" t="n">
        <f aca="false">IF(Quantiles!CN21&lt;0,"",(Depth0-MIN(Depth0,Quantiles!CN21))/Depth_per_q)</f>
        <v>0</v>
      </c>
      <c r="CO21" s="20" t="n">
        <f aca="false">IF(Quantiles!CO21&lt;0,"",(Depth0-MIN(Depth0,Quantiles!CO21))/Depth_per_q)</f>
        <v>0</v>
      </c>
      <c r="CP21" s="20" t="n">
        <f aca="false">IF(Quantiles!CP21&lt;0,"",(Depth0-MIN(Depth0,Quantiles!CP21))/Depth_per_q)</f>
        <v>0</v>
      </c>
      <c r="CQ21" s="20" t="n">
        <f aca="false">IF(Quantiles!CQ21&lt;0,"",(Depth0-MIN(Depth0,Quantiles!CQ21))/Depth_per_q)</f>
        <v>0</v>
      </c>
      <c r="CR21" s="20" t="n">
        <f aca="false">IF(Quantiles!CR21&lt;0,"",(Depth0-MIN(Depth0,Quantiles!CR21))/Depth_per_q)</f>
        <v>0</v>
      </c>
      <c r="CS21" s="20" t="n">
        <f aca="false">IF(Quantiles!CS21&lt;0,"",(Depth0-MIN(Depth0,Quantiles!CS21))/Depth_per_q)</f>
        <v>0</v>
      </c>
      <c r="CT21" s="20" t="n">
        <f aca="false">IF(Quantiles!CT21&lt;0,"",(Depth0-MIN(Depth0,Quantiles!CT21))/Depth_per_q)</f>
        <v>2.5748331850741</v>
      </c>
    </row>
    <row r="22" customFormat="false" ht="15" hidden="false" customHeight="false" outlineLevel="0" collapsed="false">
      <c r="A22" s="25" t="n">
        <f aca="false">Quantiles!A22</f>
        <v>85</v>
      </c>
      <c r="B22" s="20" t="n">
        <f aca="false">IF(Quantiles!B22&lt;0,"",(Depth0-MIN(Depth0,Quantiles!B22))/Depth_per_q)</f>
        <v>4.25353505000115</v>
      </c>
      <c r="C22" s="20" t="n">
        <f aca="false">IF(Quantiles!C22&lt;0,"",(Depth0-MIN(Depth0,Quantiles!C22))/Depth_per_q)</f>
        <v>3.8739024446052</v>
      </c>
      <c r="D22" s="20" t="n">
        <f aca="false">IF(Quantiles!D22&lt;0,"",(Depth0-MIN(Depth0,Quantiles!D22))/Depth_per_q)</f>
        <v>3.5809576866643</v>
      </c>
      <c r="E22" s="20" t="n">
        <f aca="false">IF(Quantiles!E22&lt;0,"",(Depth0-MIN(Depth0,Quantiles!E22))/Depth_per_q)</f>
        <v>3.30636215217118</v>
      </c>
      <c r="F22" s="20" t="n">
        <f aca="false">IF(Quantiles!F22&lt;0,"",(Depth0-MIN(Depth0,Quantiles!F22))/Depth_per_q)</f>
        <v>3.079828239103</v>
      </c>
      <c r="G22" s="20" t="n">
        <f aca="false">IF(Quantiles!G22&lt;0,"",(Depth0-MIN(Depth0,Quantiles!G22))/Depth_per_q)</f>
        <v>2.89080752230595</v>
      </c>
      <c r="H22" s="20" t="n">
        <f aca="false">IF(Quantiles!H22&lt;0,"",(Depth0-MIN(Depth0,Quantiles!H22))/Depth_per_q)</f>
        <v>2.71146358838908</v>
      </c>
      <c r="I22" s="20" t="n">
        <f aca="false">IF(Quantiles!I22&lt;0,"",(Depth0-MIN(Depth0,Quantiles!I22))/Depth_per_q)</f>
        <v>2.56348508320955</v>
      </c>
      <c r="J22" s="20" t="n">
        <f aca="false">IF(Quantiles!J22&lt;0,"",(Depth0-MIN(Depth0,Quantiles!J22))/Depth_per_q)</f>
        <v>2.43181777136457</v>
      </c>
      <c r="K22" s="20" t="n">
        <f aca="false">IF(Quantiles!K22&lt;0,"",(Depth0-MIN(Depth0,Quantiles!K22))/Depth_per_q)</f>
        <v>2.28602082007218</v>
      </c>
      <c r="L22" s="20" t="n">
        <f aca="false">IF(Quantiles!L22&lt;0,"",(Depth0-MIN(Depth0,Quantiles!L22))/Depth_per_q)</f>
        <v>2.1620127624775</v>
      </c>
      <c r="M22" s="20" t="n">
        <f aca="false">IF(Quantiles!M22&lt;0,"",(Depth0-MIN(Depth0,Quantiles!M22))/Depth_per_q)</f>
        <v>2.05350844145307</v>
      </c>
      <c r="N22" s="20" t="n">
        <f aca="false">IF(Quantiles!N22&lt;0,"",(Depth0-MIN(Depth0,Quantiles!N22))/Depth_per_q)</f>
        <v>1.94102125664529</v>
      </c>
      <c r="O22" s="20" t="n">
        <f aca="false">IF(Quantiles!O22&lt;0,"",(Depth0-MIN(Depth0,Quantiles!O22))/Depth_per_q)</f>
        <v>1.85400551403058</v>
      </c>
      <c r="P22" s="20" t="n">
        <f aca="false">IF(Quantiles!P22&lt;0,"",(Depth0-MIN(Depth0,Quantiles!P22))/Depth_per_q)</f>
        <v>1.77009841571479</v>
      </c>
      <c r="Q22" s="20" t="n">
        <f aca="false">IF(Quantiles!Q22&lt;0,"",(Depth0-MIN(Depth0,Quantiles!Q22))/Depth_per_q)</f>
        <v>1.67521593738735</v>
      </c>
      <c r="R22" s="20" t="n">
        <f aca="false">IF(Quantiles!R22&lt;0,"",(Depth0-MIN(Depth0,Quantiles!R22))/Depth_per_q)</f>
        <v>1.59735543906326</v>
      </c>
      <c r="S22" s="20" t="n">
        <f aca="false">IF(Quantiles!S22&lt;0,"",(Depth0-MIN(Depth0,Quantiles!S22))/Depth_per_q)</f>
        <v>1.52031579033395</v>
      </c>
      <c r="T22" s="20" t="n">
        <f aca="false">IF(Quantiles!T22&lt;0,"",(Depth0-MIN(Depth0,Quantiles!T22))/Depth_per_q)</f>
        <v>1.44122885318825</v>
      </c>
      <c r="U22" s="20" t="n">
        <f aca="false">IF(Quantiles!U22&lt;0,"",(Depth0-MIN(Depth0,Quantiles!U22))/Depth_per_q)</f>
        <v>1.37156790478439</v>
      </c>
      <c r="V22" s="20" t="n">
        <f aca="false">IF(Quantiles!V22&lt;0,"",(Depth0-MIN(Depth0,Quantiles!V22))/Depth_per_q)</f>
        <v>1.3064793887382</v>
      </c>
      <c r="W22" s="20" t="n">
        <f aca="false">IF(Quantiles!W22&lt;0,"",(Depth0-MIN(Depth0,Quantiles!W22))/Depth_per_q)</f>
        <v>1.24404280787993</v>
      </c>
      <c r="X22" s="20" t="n">
        <f aca="false">IF(Quantiles!X22&lt;0,"",(Depth0-MIN(Depth0,Quantiles!X22))/Depth_per_q)</f>
        <v>1.1813496866748</v>
      </c>
      <c r="Y22" s="20" t="n">
        <f aca="false">IF(Quantiles!Y22&lt;0,"",(Depth0-MIN(Depth0,Quantiles!Y22))/Depth_per_q)</f>
        <v>1.12138053633687</v>
      </c>
      <c r="Z22" s="20" t="n">
        <f aca="false">IF(Quantiles!Z22&lt;0,"",(Depth0-MIN(Depth0,Quantiles!Z22))/Depth_per_q)</f>
        <v>1.06440068618477</v>
      </c>
      <c r="AA22" s="20" t="n">
        <f aca="false">IF(Quantiles!AA22&lt;0,"",(Depth0-MIN(Depth0,Quantiles!AA22))/Depth_per_q)</f>
        <v>1.01165825444793</v>
      </c>
      <c r="AB22" s="20" t="n">
        <f aca="false">IF(Quantiles!AB22&lt;0,"",(Depth0-MIN(Depth0,Quantiles!AB22))/Depth_per_q)</f>
        <v>0.96020603272722</v>
      </c>
      <c r="AC22" s="20" t="n">
        <f aca="false">IF(Quantiles!AC22&lt;0,"",(Depth0-MIN(Depth0,Quantiles!AC22))/Depth_per_q)</f>
        <v>0.909540454401657</v>
      </c>
      <c r="AD22" s="20" t="n">
        <f aca="false">IF(Quantiles!AD22&lt;0,"",(Depth0-MIN(Depth0,Quantiles!AD22))/Depth_per_q)</f>
        <v>0.862642689383683</v>
      </c>
      <c r="AE22" s="20" t="n">
        <f aca="false">IF(Quantiles!AE22&lt;0,"",(Depth0-MIN(Depth0,Quantiles!AE22))/Depth_per_q)</f>
        <v>0.813234877672713</v>
      </c>
      <c r="AF22" s="20" t="n">
        <f aca="false">IF(Quantiles!AF22&lt;0,"",(Depth0-MIN(Depth0,Quantiles!AF22))/Depth_per_q)</f>
        <v>0.765625299527428</v>
      </c>
      <c r="AG22" s="20" t="n">
        <f aca="false">IF(Quantiles!AG22&lt;0,"",(Depth0-MIN(Depth0,Quantiles!AG22))/Depth_per_q)</f>
        <v>0.717908710705105</v>
      </c>
      <c r="AH22" s="20" t="n">
        <f aca="false">IF(Quantiles!AH22&lt;0,"",(Depth0-MIN(Depth0,Quantiles!AH22))/Depth_per_q)</f>
        <v>0.673851140495017</v>
      </c>
      <c r="AI22" s="20" t="n">
        <f aca="false">IF(Quantiles!AI22&lt;0,"",(Depth0-MIN(Depth0,Quantiles!AI22))/Depth_per_q)</f>
        <v>0.628939991144025</v>
      </c>
      <c r="AJ22" s="20" t="n">
        <f aca="false">IF(Quantiles!AJ22&lt;0,"",(Depth0-MIN(Depth0,Quantiles!AJ22))/Depth_per_q)</f>
        <v>0.586297775806165</v>
      </c>
      <c r="AK22" s="20" t="n">
        <f aca="false">IF(Quantiles!AK22&lt;0,"",(Depth0-MIN(Depth0,Quantiles!AK22))/Depth_per_q)</f>
        <v>0.546297245867637</v>
      </c>
      <c r="AL22" s="20" t="n">
        <f aca="false">IF(Quantiles!AL22&lt;0,"",(Depth0-MIN(Depth0,Quantiles!AL22))/Depth_per_q)</f>
        <v>0.50575057254763</v>
      </c>
      <c r="AM22" s="20" t="n">
        <f aca="false">IF(Quantiles!AM22&lt;0,"",(Depth0-MIN(Depth0,Quantiles!AM22))/Depth_per_q)</f>
        <v>0.468331251163942</v>
      </c>
      <c r="AN22" s="20" t="n">
        <f aca="false">IF(Quantiles!AN22&lt;0,"",(Depth0-MIN(Depth0,Quantiles!AN22))/Depth_per_q)</f>
        <v>0.433485994064543</v>
      </c>
      <c r="AO22" s="20" t="n">
        <f aca="false">IF(Quantiles!AO22&lt;0,"",(Depth0-MIN(Depth0,Quantiles!AO22))/Depth_per_q)</f>
        <v>0.397362095927788</v>
      </c>
      <c r="AP22" s="20" t="n">
        <f aca="false">IF(Quantiles!AP22&lt;0,"",(Depth0-MIN(Depth0,Quantiles!AP22))/Depth_per_q)</f>
        <v>0.3602113165003</v>
      </c>
      <c r="AQ22" s="20" t="n">
        <f aca="false">IF(Quantiles!AQ22&lt;0,"",(Depth0-MIN(Depth0,Quantiles!AQ22))/Depth_per_q)</f>
        <v>0.323550365682998</v>
      </c>
      <c r="AR22" s="20" t="n">
        <f aca="false">IF(Quantiles!AR22&lt;0,"",(Depth0-MIN(Depth0,Quantiles!AR22))/Depth_per_q)</f>
        <v>0.289687920410725</v>
      </c>
      <c r="AS22" s="20" t="n">
        <f aca="false">IF(Quantiles!AS22&lt;0,"",(Depth0-MIN(Depth0,Quantiles!AS22))/Depth_per_q)</f>
        <v>0.25723610433947</v>
      </c>
      <c r="AT22" s="20" t="n">
        <f aca="false">IF(Quantiles!AT22&lt;0,"",(Depth0-MIN(Depth0,Quantiles!AT22))/Depth_per_q)</f>
        <v>0.2244430425989</v>
      </c>
      <c r="AU22" s="20" t="n">
        <f aca="false">IF(Quantiles!AU22&lt;0,"",(Depth0-MIN(Depth0,Quantiles!AU22))/Depth_per_q)</f>
        <v>0.19346032731401</v>
      </c>
      <c r="AV22" s="20" t="n">
        <f aca="false">IF(Quantiles!AV22&lt;0,"",(Depth0-MIN(Depth0,Quantiles!AV22))/Depth_per_q)</f>
        <v>0.164588425459115</v>
      </c>
      <c r="AW22" s="20" t="n">
        <f aca="false">IF(Quantiles!AW22&lt;0,"",(Depth0-MIN(Depth0,Quantiles!AW22))/Depth_per_q)</f>
        <v>0.129665761240575</v>
      </c>
      <c r="AX22" s="20" t="n">
        <f aca="false">IF(Quantiles!AX22&lt;0,"",(Depth0-MIN(Depth0,Quantiles!AX22))/Depth_per_q)</f>
        <v>0.0977108595490801</v>
      </c>
      <c r="AY22" s="20" t="n">
        <f aca="false">IF(Quantiles!AY22&lt;0,"",(Depth0-MIN(Depth0,Quantiles!AY22))/Depth_per_q)</f>
        <v>0.0684572148762674</v>
      </c>
      <c r="AZ22" s="20" t="n">
        <f aca="false">IF(Quantiles!AZ22&lt;0,"",(Depth0-MIN(Depth0,Quantiles!AZ22))/Depth_per_q)</f>
        <v>0.035703746472155</v>
      </c>
      <c r="BA22" s="20" t="n">
        <f aca="false">IF(Quantiles!BA22&lt;0,"",(Depth0-MIN(Depth0,Quantiles!BA22))/Depth_per_q)</f>
        <v>0.00707762256328959</v>
      </c>
      <c r="BB22" s="20" t="n">
        <f aca="false">IF(Quantiles!BB22&lt;0,"",(Depth0-MIN(Depth0,Quantiles!BB22))/Depth_per_q)</f>
        <v>0</v>
      </c>
      <c r="BC22" s="20" t="n">
        <f aca="false">IF(Quantiles!BC22&lt;0,"",(Depth0-MIN(Depth0,Quantiles!BC22))/Depth_per_q)</f>
        <v>0</v>
      </c>
      <c r="BD22" s="20" t="n">
        <f aca="false">IF(Quantiles!BD22&lt;0,"",(Depth0-MIN(Depth0,Quantiles!BD22))/Depth_per_q)</f>
        <v>0</v>
      </c>
      <c r="BE22" s="20" t="n">
        <f aca="false">IF(Quantiles!BE22&lt;0,"",(Depth0-MIN(Depth0,Quantiles!BE22))/Depth_per_q)</f>
        <v>0</v>
      </c>
      <c r="BF22" s="20" t="n">
        <f aca="false">IF(Quantiles!BF22&lt;0,"",(Depth0-MIN(Depth0,Quantiles!BF22))/Depth_per_q)</f>
        <v>0</v>
      </c>
      <c r="BG22" s="20" t="n">
        <f aca="false">IF(Quantiles!BG22&lt;0,"",(Depth0-MIN(Depth0,Quantiles!BG22))/Depth_per_q)</f>
        <v>0</v>
      </c>
      <c r="BH22" s="20" t="n">
        <f aca="false">IF(Quantiles!BH22&lt;0,"",(Depth0-MIN(Depth0,Quantiles!BH22))/Depth_per_q)</f>
        <v>0</v>
      </c>
      <c r="BI22" s="20" t="n">
        <f aca="false">IF(Quantiles!BI22&lt;0,"",(Depth0-MIN(Depth0,Quantiles!BI22))/Depth_per_q)</f>
        <v>0</v>
      </c>
      <c r="BJ22" s="20" t="n">
        <f aca="false">IF(Quantiles!BJ22&lt;0,"",(Depth0-MIN(Depth0,Quantiles!BJ22))/Depth_per_q)</f>
        <v>0</v>
      </c>
      <c r="BK22" s="20" t="n">
        <f aca="false">IF(Quantiles!BK22&lt;0,"",(Depth0-MIN(Depth0,Quantiles!BK22))/Depth_per_q)</f>
        <v>0</v>
      </c>
      <c r="BL22" s="20" t="n">
        <f aca="false">IF(Quantiles!BL22&lt;0,"",(Depth0-MIN(Depth0,Quantiles!BL22))/Depth_per_q)</f>
        <v>0</v>
      </c>
      <c r="BM22" s="20" t="n">
        <f aca="false">IF(Quantiles!BM22&lt;0,"",(Depth0-MIN(Depth0,Quantiles!BM22))/Depth_per_q)</f>
        <v>0</v>
      </c>
      <c r="BN22" s="20" t="n">
        <f aca="false">IF(Quantiles!BN22&lt;0,"",(Depth0-MIN(Depth0,Quantiles!BN22))/Depth_per_q)</f>
        <v>0</v>
      </c>
      <c r="BO22" s="20" t="n">
        <f aca="false">IF(Quantiles!BO22&lt;0,"",(Depth0-MIN(Depth0,Quantiles!BO22))/Depth_per_q)</f>
        <v>0</v>
      </c>
      <c r="BP22" s="20" t="n">
        <f aca="false">IF(Quantiles!BP22&lt;0,"",(Depth0-MIN(Depth0,Quantiles!BP22))/Depth_per_q)</f>
        <v>0</v>
      </c>
      <c r="BQ22" s="20" t="n">
        <f aca="false">IF(Quantiles!BQ22&lt;0,"",(Depth0-MIN(Depth0,Quantiles!BQ22))/Depth_per_q)</f>
        <v>0</v>
      </c>
      <c r="BR22" s="20" t="n">
        <f aca="false">IF(Quantiles!BR22&lt;0,"",(Depth0-MIN(Depth0,Quantiles!BR22))/Depth_per_q)</f>
        <v>0</v>
      </c>
      <c r="BS22" s="20" t="n">
        <f aca="false">IF(Quantiles!BS22&lt;0,"",(Depth0-MIN(Depth0,Quantiles!BS22))/Depth_per_q)</f>
        <v>0</v>
      </c>
      <c r="BT22" s="20" t="n">
        <f aca="false">IF(Quantiles!BT22&lt;0,"",(Depth0-MIN(Depth0,Quantiles!BT22))/Depth_per_q)</f>
        <v>0</v>
      </c>
      <c r="BU22" s="20" t="n">
        <f aca="false">IF(Quantiles!BU22&lt;0,"",(Depth0-MIN(Depth0,Quantiles!BU22))/Depth_per_q)</f>
        <v>0</v>
      </c>
      <c r="BV22" s="20" t="n">
        <f aca="false">IF(Quantiles!BV22&lt;0,"",(Depth0-MIN(Depth0,Quantiles!BV22))/Depth_per_q)</f>
        <v>0</v>
      </c>
      <c r="BW22" s="20" t="n">
        <f aca="false">IF(Quantiles!BW22&lt;0,"",(Depth0-MIN(Depth0,Quantiles!BW22))/Depth_per_q)</f>
        <v>0</v>
      </c>
      <c r="BX22" s="20" t="n">
        <f aca="false">IF(Quantiles!BX22&lt;0,"",(Depth0-MIN(Depth0,Quantiles!BX22))/Depth_per_q)</f>
        <v>0</v>
      </c>
      <c r="BY22" s="20" t="n">
        <f aca="false">IF(Quantiles!BY22&lt;0,"",(Depth0-MIN(Depth0,Quantiles!BY22))/Depth_per_q)</f>
        <v>0</v>
      </c>
      <c r="BZ22" s="20" t="n">
        <f aca="false">IF(Quantiles!BZ22&lt;0,"",(Depth0-MIN(Depth0,Quantiles!BZ22))/Depth_per_q)</f>
        <v>0</v>
      </c>
      <c r="CA22" s="20" t="n">
        <f aca="false">IF(Quantiles!CA22&lt;0,"",(Depth0-MIN(Depth0,Quantiles!CA22))/Depth_per_q)</f>
        <v>0</v>
      </c>
      <c r="CB22" s="20" t="n">
        <f aca="false">IF(Quantiles!CB22&lt;0,"",(Depth0-MIN(Depth0,Quantiles!CB22))/Depth_per_q)</f>
        <v>0</v>
      </c>
      <c r="CC22" s="20" t="n">
        <f aca="false">IF(Quantiles!CC22&lt;0,"",(Depth0-MIN(Depth0,Quantiles!CC22))/Depth_per_q)</f>
        <v>0</v>
      </c>
      <c r="CD22" s="20" t="n">
        <f aca="false">IF(Quantiles!CD22&lt;0,"",(Depth0-MIN(Depth0,Quantiles!CD22))/Depth_per_q)</f>
        <v>0</v>
      </c>
      <c r="CE22" s="20" t="n">
        <f aca="false">IF(Quantiles!CE22&lt;0,"",(Depth0-MIN(Depth0,Quantiles!CE22))/Depth_per_q)</f>
        <v>0</v>
      </c>
      <c r="CF22" s="20" t="n">
        <f aca="false">IF(Quantiles!CF22&lt;0,"",(Depth0-MIN(Depth0,Quantiles!CF22))/Depth_per_q)</f>
        <v>0</v>
      </c>
      <c r="CG22" s="20" t="n">
        <f aca="false">IF(Quantiles!CG22&lt;0,"",(Depth0-MIN(Depth0,Quantiles!CG22))/Depth_per_q)</f>
        <v>0</v>
      </c>
      <c r="CH22" s="20" t="n">
        <f aca="false">IF(Quantiles!CH22&lt;0,"",(Depth0-MIN(Depth0,Quantiles!CH22))/Depth_per_q)</f>
        <v>0</v>
      </c>
      <c r="CI22" s="20" t="n">
        <f aca="false">IF(Quantiles!CI22&lt;0,"",(Depth0-MIN(Depth0,Quantiles!CI22))/Depth_per_q)</f>
        <v>0</v>
      </c>
      <c r="CJ22" s="20" t="n">
        <f aca="false">IF(Quantiles!CJ22&lt;0,"",(Depth0-MIN(Depth0,Quantiles!CJ22))/Depth_per_q)</f>
        <v>0</v>
      </c>
      <c r="CK22" s="20" t="n">
        <f aca="false">IF(Quantiles!CK22&lt;0,"",(Depth0-MIN(Depth0,Quantiles!CK22))/Depth_per_q)</f>
        <v>0</v>
      </c>
      <c r="CL22" s="20" t="n">
        <f aca="false">IF(Quantiles!CL22&lt;0,"",(Depth0-MIN(Depth0,Quantiles!CL22))/Depth_per_q)</f>
        <v>0</v>
      </c>
      <c r="CM22" s="20" t="n">
        <f aca="false">IF(Quantiles!CM22&lt;0,"",(Depth0-MIN(Depth0,Quantiles!CM22))/Depth_per_q)</f>
        <v>0</v>
      </c>
      <c r="CN22" s="20" t="n">
        <f aca="false">IF(Quantiles!CN22&lt;0,"",(Depth0-MIN(Depth0,Quantiles!CN22))/Depth_per_q)</f>
        <v>0</v>
      </c>
      <c r="CO22" s="20" t="n">
        <f aca="false">IF(Quantiles!CO22&lt;0,"",(Depth0-MIN(Depth0,Quantiles!CO22))/Depth_per_q)</f>
        <v>0</v>
      </c>
      <c r="CP22" s="20" t="n">
        <f aca="false">IF(Quantiles!CP22&lt;0,"",(Depth0-MIN(Depth0,Quantiles!CP22))/Depth_per_q)</f>
        <v>0</v>
      </c>
      <c r="CQ22" s="20" t="n">
        <f aca="false">IF(Quantiles!CQ22&lt;0,"",(Depth0-MIN(Depth0,Quantiles!CQ22))/Depth_per_q)</f>
        <v>0</v>
      </c>
      <c r="CR22" s="20" t="n">
        <f aca="false">IF(Quantiles!CR22&lt;0,"",(Depth0-MIN(Depth0,Quantiles!CR22))/Depth_per_q)</f>
        <v>0</v>
      </c>
      <c r="CS22" s="20" t="n">
        <f aca="false">IF(Quantiles!CS22&lt;0,"",(Depth0-MIN(Depth0,Quantiles!CS22))/Depth_per_q)</f>
        <v>0</v>
      </c>
      <c r="CT22" s="20" t="n">
        <f aca="false">IF(Quantiles!CT22&lt;0,"",(Depth0-MIN(Depth0,Quantiles!CT22))/Depth_per_q)</f>
        <v>2.4284314740202</v>
      </c>
    </row>
    <row r="23" customFormat="false" ht="15" hidden="false" customHeight="false" outlineLevel="0" collapsed="false">
      <c r="A23" s="25" t="n">
        <f aca="false">Quantiles!A23</f>
        <v>90</v>
      </c>
      <c r="B23" s="20" t="n">
        <f aca="false">IF(Quantiles!B23&lt;0,"",(Depth0-MIN(Depth0,Quantiles!B23))/Depth_per_q)</f>
        <v>4.03108668637373</v>
      </c>
      <c r="C23" s="20" t="n">
        <f aca="false">IF(Quantiles!C23&lt;0,"",(Depth0-MIN(Depth0,Quantiles!C23))/Depth_per_q)</f>
        <v>3.65333311106186</v>
      </c>
      <c r="D23" s="20" t="n">
        <f aca="false">IF(Quantiles!D23&lt;0,"",(Depth0-MIN(Depth0,Quantiles!D23))/Depth_per_q)</f>
        <v>3.37909127349301</v>
      </c>
      <c r="E23" s="20" t="n">
        <f aca="false">IF(Quantiles!E23&lt;0,"",(Depth0-MIN(Depth0,Quantiles!E23))/Depth_per_q)</f>
        <v>3.12572215066287</v>
      </c>
      <c r="F23" s="20" t="n">
        <f aca="false">IF(Quantiles!F23&lt;0,"",(Depth0-MIN(Depth0,Quantiles!F23))/Depth_per_q)</f>
        <v>2.90992210425436</v>
      </c>
      <c r="G23" s="20" t="n">
        <f aca="false">IF(Quantiles!G23&lt;0,"",(Depth0-MIN(Depth0,Quantiles!G23))/Depth_per_q)</f>
        <v>2.72079540171405</v>
      </c>
      <c r="H23" s="20" t="n">
        <f aca="false">IF(Quantiles!H23&lt;0,"",(Depth0-MIN(Depth0,Quantiles!H23))/Depth_per_q)</f>
        <v>2.5650590726984</v>
      </c>
      <c r="I23" s="20" t="n">
        <f aca="false">IF(Quantiles!I23&lt;0,"",(Depth0-MIN(Depth0,Quantiles!I23))/Depth_per_q)</f>
        <v>2.41411036657479</v>
      </c>
      <c r="J23" s="20" t="n">
        <f aca="false">IF(Quantiles!J23&lt;0,"",(Depth0-MIN(Depth0,Quantiles!J23))/Depth_per_q)</f>
        <v>2.27432048418097</v>
      </c>
      <c r="K23" s="20" t="n">
        <f aca="false">IF(Quantiles!K23&lt;0,"",(Depth0-MIN(Depth0,Quantiles!K23))/Depth_per_q)</f>
        <v>2.14172334518705</v>
      </c>
      <c r="L23" s="20" t="n">
        <f aca="false">IF(Quantiles!L23&lt;0,"",(Depth0-MIN(Depth0,Quantiles!L23))/Depth_per_q)</f>
        <v>2.0294535780674</v>
      </c>
      <c r="M23" s="20" t="n">
        <f aca="false">IF(Quantiles!M23&lt;0,"",(Depth0-MIN(Depth0,Quantiles!M23))/Depth_per_q)</f>
        <v>1.91959159595824</v>
      </c>
      <c r="N23" s="20" t="n">
        <f aca="false">IF(Quantiles!N23&lt;0,"",(Depth0-MIN(Depth0,Quantiles!N23))/Depth_per_q)</f>
        <v>1.82685952297367</v>
      </c>
      <c r="O23" s="20" t="n">
        <f aca="false">IF(Quantiles!O23&lt;0,"",(Depth0-MIN(Depth0,Quantiles!O23))/Depth_per_q)</f>
        <v>1.72692141635544</v>
      </c>
      <c r="P23" s="20" t="n">
        <f aca="false">IF(Quantiles!P23&lt;0,"",(Depth0-MIN(Depth0,Quantiles!P23))/Depth_per_q)</f>
        <v>1.63996533096247</v>
      </c>
      <c r="Q23" s="20" t="n">
        <f aca="false">IF(Quantiles!Q23&lt;0,"",(Depth0-MIN(Depth0,Quantiles!Q23))/Depth_per_q)</f>
        <v>1.56115650643916</v>
      </c>
      <c r="R23" s="20" t="n">
        <f aca="false">IF(Quantiles!R23&lt;0,"",(Depth0-MIN(Depth0,Quantiles!R23))/Depth_per_q)</f>
        <v>1.48197331736644</v>
      </c>
      <c r="S23" s="20" t="n">
        <f aca="false">IF(Quantiles!S23&lt;0,"",(Depth0-MIN(Depth0,Quantiles!S23))/Depth_per_q)</f>
        <v>1.41087888284587</v>
      </c>
      <c r="T23" s="20" t="n">
        <f aca="false">IF(Quantiles!T23&lt;0,"",(Depth0-MIN(Depth0,Quantiles!T23))/Depth_per_q)</f>
        <v>1.34201317491395</v>
      </c>
      <c r="U23" s="20" t="n">
        <f aca="false">IF(Quantiles!U23&lt;0,"",(Depth0-MIN(Depth0,Quantiles!U23))/Depth_per_q)</f>
        <v>1.27327480949383</v>
      </c>
      <c r="V23" s="20" t="n">
        <f aca="false">IF(Quantiles!V23&lt;0,"",(Depth0-MIN(Depth0,Quantiles!V23))/Depth_per_q)</f>
        <v>1.21155579358311</v>
      </c>
      <c r="W23" s="20" t="n">
        <f aca="false">IF(Quantiles!W23&lt;0,"",(Depth0-MIN(Depth0,Quantiles!W23))/Depth_per_q)</f>
        <v>1.14868552392382</v>
      </c>
      <c r="X23" s="20" t="n">
        <f aca="false">IF(Quantiles!X23&lt;0,"",(Depth0-MIN(Depth0,Quantiles!X23))/Depth_per_q)</f>
        <v>1.08896488080329</v>
      </c>
      <c r="Y23" s="20" t="n">
        <f aca="false">IF(Quantiles!Y23&lt;0,"",(Depth0-MIN(Depth0,Quantiles!Y23))/Depth_per_q)</f>
        <v>1.03298882165392</v>
      </c>
      <c r="Z23" s="20" t="n">
        <f aca="false">IF(Quantiles!Z23&lt;0,"",(Depth0-MIN(Depth0,Quantiles!Z23))/Depth_per_q)</f>
        <v>0.973186304817753</v>
      </c>
      <c r="AA23" s="20" t="n">
        <f aca="false">IF(Quantiles!AA23&lt;0,"",(Depth0-MIN(Depth0,Quantiles!AA23))/Depth_per_q)</f>
        <v>0.91987241787942</v>
      </c>
      <c r="AB23" s="20" t="n">
        <f aca="false">IF(Quantiles!AB23&lt;0,"",(Depth0-MIN(Depth0,Quantiles!AB23))/Depth_per_q)</f>
        <v>0.871126355147393</v>
      </c>
      <c r="AC23" s="20" t="n">
        <f aca="false">IF(Quantiles!AC23&lt;0,"",(Depth0-MIN(Depth0,Quantiles!AC23))/Depth_per_q)</f>
        <v>0.822434226701063</v>
      </c>
      <c r="AD23" s="20" t="n">
        <f aca="false">IF(Quantiles!AD23&lt;0,"",(Depth0-MIN(Depth0,Quantiles!AD23))/Depth_per_q)</f>
        <v>0.77438014700177</v>
      </c>
      <c r="AE23" s="20" t="n">
        <f aca="false">IF(Quantiles!AE23&lt;0,"",(Depth0-MIN(Depth0,Quantiles!AE23))/Depth_per_q)</f>
        <v>0.726159435791145</v>
      </c>
      <c r="AF23" s="20" t="n">
        <f aca="false">IF(Quantiles!AF23&lt;0,"",(Depth0-MIN(Depth0,Quantiles!AF23))/Depth_per_q)</f>
        <v>0.68274109061397</v>
      </c>
      <c r="AG23" s="20" t="n">
        <f aca="false">IF(Quantiles!AG23&lt;0,"",(Depth0-MIN(Depth0,Quantiles!AG23))/Depth_per_q)</f>
        <v>0.639269235133155</v>
      </c>
      <c r="AH23" s="20" t="n">
        <f aca="false">IF(Quantiles!AH23&lt;0,"",(Depth0-MIN(Depth0,Quantiles!AH23))/Depth_per_q)</f>
        <v>0.59362529631128</v>
      </c>
      <c r="AI23" s="20" t="n">
        <f aca="false">IF(Quantiles!AI23&lt;0,"",(Depth0-MIN(Depth0,Quantiles!AI23))/Depth_per_q)</f>
        <v>0.5537504407303</v>
      </c>
      <c r="AJ23" s="20" t="n">
        <f aca="false">IF(Quantiles!AJ23&lt;0,"",(Depth0-MIN(Depth0,Quantiles!AJ23))/Depth_per_q)</f>
        <v>0.512196858443457</v>
      </c>
      <c r="AK23" s="20" t="n">
        <f aca="false">IF(Quantiles!AK23&lt;0,"",(Depth0-MIN(Depth0,Quantiles!AK23))/Depth_per_q)</f>
        <v>0.474152436100042</v>
      </c>
      <c r="AL23" s="20" t="n">
        <f aca="false">IF(Quantiles!AL23&lt;0,"",(Depth0-MIN(Depth0,Quantiles!AL23))/Depth_per_q)</f>
        <v>0.436993356855952</v>
      </c>
      <c r="AM23" s="20" t="n">
        <f aca="false">IF(Quantiles!AM23&lt;0,"",(Depth0-MIN(Depth0,Quantiles!AM23))/Depth_per_q)</f>
        <v>0.39857325983692</v>
      </c>
      <c r="AN23" s="20" t="n">
        <f aca="false">IF(Quantiles!AN23&lt;0,"",(Depth0-MIN(Depth0,Quantiles!AN23))/Depth_per_q)</f>
        <v>0.362399493075815</v>
      </c>
      <c r="AO23" s="20" t="n">
        <f aca="false">IF(Quantiles!AO23&lt;0,"",(Depth0-MIN(Depth0,Quantiles!AO23))/Depth_per_q)</f>
        <v>0.326335456488002</v>
      </c>
      <c r="AP23" s="20" t="n">
        <f aca="false">IF(Quantiles!AP23&lt;0,"",(Depth0-MIN(Depth0,Quantiles!AP23))/Depth_per_q)</f>
        <v>0.290190211409658</v>
      </c>
      <c r="AQ23" s="20" t="n">
        <f aca="false">IF(Quantiles!AQ23&lt;0,"",(Depth0-MIN(Depth0,Quantiles!AQ23))/Depth_per_q)</f>
        <v>0.256809591139882</v>
      </c>
      <c r="AR23" s="20" t="n">
        <f aca="false">IF(Quantiles!AR23&lt;0,"",(Depth0-MIN(Depth0,Quantiles!AR23))/Depth_per_q)</f>
        <v>0.224880280947907</v>
      </c>
      <c r="AS23" s="20" t="n">
        <f aca="false">IF(Quantiles!AS23&lt;0,"",(Depth0-MIN(Depth0,Quantiles!AS23))/Depth_per_q)</f>
        <v>0.19346032731401</v>
      </c>
      <c r="AT23" s="20" t="n">
        <f aca="false">IF(Quantiles!AT23&lt;0,"",(Depth0-MIN(Depth0,Quantiles!AT23))/Depth_per_q)</f>
        <v>0.16119110394215</v>
      </c>
      <c r="AU23" s="20" t="n">
        <f aca="false">IF(Quantiles!AU23&lt;0,"",(Depth0-MIN(Depth0,Quantiles!AU23))/Depth_per_q)</f>
        <v>0.12543292847141</v>
      </c>
      <c r="AV23" s="20" t="n">
        <f aca="false">IF(Quantiles!AV23&lt;0,"",(Depth0-MIN(Depth0,Quantiles!AV23))/Depth_per_q)</f>
        <v>0.0950274329347653</v>
      </c>
      <c r="AW23" s="20" t="n">
        <f aca="false">IF(Quantiles!AW23&lt;0,"",(Depth0-MIN(Depth0,Quantiles!AW23))/Depth_per_q)</f>
        <v>0.0659654771879721</v>
      </c>
      <c r="AX23" s="20" t="n">
        <f aca="false">IF(Quantiles!AX23&lt;0,"",(Depth0-MIN(Depth0,Quantiles!AX23))/Depth_per_q)</f>
        <v>0.0337447461754454</v>
      </c>
      <c r="AY23" s="20" t="n">
        <f aca="false">IF(Quantiles!AY23&lt;0,"",(Depth0-MIN(Depth0,Quantiles!AY23))/Depth_per_q)</f>
        <v>0.00537541991769519</v>
      </c>
      <c r="AZ23" s="20" t="n">
        <f aca="false">IF(Quantiles!AZ23&lt;0,"",(Depth0-MIN(Depth0,Quantiles!AZ23))/Depth_per_q)</f>
        <v>0</v>
      </c>
      <c r="BA23" s="20" t="n">
        <f aca="false">IF(Quantiles!BA23&lt;0,"",(Depth0-MIN(Depth0,Quantiles!BA23))/Depth_per_q)</f>
        <v>0</v>
      </c>
      <c r="BB23" s="20" t="n">
        <f aca="false">IF(Quantiles!BB23&lt;0,"",(Depth0-MIN(Depth0,Quantiles!BB23))/Depth_per_q)</f>
        <v>0</v>
      </c>
      <c r="BC23" s="20" t="n">
        <f aca="false">IF(Quantiles!BC23&lt;0,"",(Depth0-MIN(Depth0,Quantiles!BC23))/Depth_per_q)</f>
        <v>0</v>
      </c>
      <c r="BD23" s="20" t="n">
        <f aca="false">IF(Quantiles!BD23&lt;0,"",(Depth0-MIN(Depth0,Quantiles!BD23))/Depth_per_q)</f>
        <v>0</v>
      </c>
      <c r="BE23" s="20" t="n">
        <f aca="false">IF(Quantiles!BE23&lt;0,"",(Depth0-MIN(Depth0,Quantiles!BE23))/Depth_per_q)</f>
        <v>0</v>
      </c>
      <c r="BF23" s="20" t="n">
        <f aca="false">IF(Quantiles!BF23&lt;0,"",(Depth0-MIN(Depth0,Quantiles!BF23))/Depth_per_q)</f>
        <v>0</v>
      </c>
      <c r="BG23" s="20" t="n">
        <f aca="false">IF(Quantiles!BG23&lt;0,"",(Depth0-MIN(Depth0,Quantiles!BG23))/Depth_per_q)</f>
        <v>0</v>
      </c>
      <c r="BH23" s="20" t="n">
        <f aca="false">IF(Quantiles!BH23&lt;0,"",(Depth0-MIN(Depth0,Quantiles!BH23))/Depth_per_q)</f>
        <v>0</v>
      </c>
      <c r="BI23" s="20" t="n">
        <f aca="false">IF(Quantiles!BI23&lt;0,"",(Depth0-MIN(Depth0,Quantiles!BI23))/Depth_per_q)</f>
        <v>0</v>
      </c>
      <c r="BJ23" s="20" t="n">
        <f aca="false">IF(Quantiles!BJ23&lt;0,"",(Depth0-MIN(Depth0,Quantiles!BJ23))/Depth_per_q)</f>
        <v>0</v>
      </c>
      <c r="BK23" s="20" t="n">
        <f aca="false">IF(Quantiles!BK23&lt;0,"",(Depth0-MIN(Depth0,Quantiles!BK23))/Depth_per_q)</f>
        <v>0</v>
      </c>
      <c r="BL23" s="20" t="n">
        <f aca="false">IF(Quantiles!BL23&lt;0,"",(Depth0-MIN(Depth0,Quantiles!BL23))/Depth_per_q)</f>
        <v>0</v>
      </c>
      <c r="BM23" s="20" t="n">
        <f aca="false">IF(Quantiles!BM23&lt;0,"",(Depth0-MIN(Depth0,Quantiles!BM23))/Depth_per_q)</f>
        <v>0</v>
      </c>
      <c r="BN23" s="20" t="n">
        <f aca="false">IF(Quantiles!BN23&lt;0,"",(Depth0-MIN(Depth0,Quantiles!BN23))/Depth_per_q)</f>
        <v>0</v>
      </c>
      <c r="BO23" s="20" t="n">
        <f aca="false">IF(Quantiles!BO23&lt;0,"",(Depth0-MIN(Depth0,Quantiles!BO23))/Depth_per_q)</f>
        <v>0</v>
      </c>
      <c r="BP23" s="20" t="n">
        <f aca="false">IF(Quantiles!BP23&lt;0,"",(Depth0-MIN(Depth0,Quantiles!BP23))/Depth_per_q)</f>
        <v>0</v>
      </c>
      <c r="BQ23" s="20" t="n">
        <f aca="false">IF(Quantiles!BQ23&lt;0,"",(Depth0-MIN(Depth0,Quantiles!BQ23))/Depth_per_q)</f>
        <v>0</v>
      </c>
      <c r="BR23" s="20" t="n">
        <f aca="false">IF(Quantiles!BR23&lt;0,"",(Depth0-MIN(Depth0,Quantiles!BR23))/Depth_per_q)</f>
        <v>0</v>
      </c>
      <c r="BS23" s="20" t="n">
        <f aca="false">IF(Quantiles!BS23&lt;0,"",(Depth0-MIN(Depth0,Quantiles!BS23))/Depth_per_q)</f>
        <v>0</v>
      </c>
      <c r="BT23" s="20" t="n">
        <f aca="false">IF(Quantiles!BT23&lt;0,"",(Depth0-MIN(Depth0,Quantiles!BT23))/Depth_per_q)</f>
        <v>0</v>
      </c>
      <c r="BU23" s="20" t="n">
        <f aca="false">IF(Quantiles!BU23&lt;0,"",(Depth0-MIN(Depth0,Quantiles!BU23))/Depth_per_q)</f>
        <v>0</v>
      </c>
      <c r="BV23" s="20" t="n">
        <f aca="false">IF(Quantiles!BV23&lt;0,"",(Depth0-MIN(Depth0,Quantiles!BV23))/Depth_per_q)</f>
        <v>0</v>
      </c>
      <c r="BW23" s="20" t="n">
        <f aca="false">IF(Quantiles!BW23&lt;0,"",(Depth0-MIN(Depth0,Quantiles!BW23))/Depth_per_q)</f>
        <v>0</v>
      </c>
      <c r="BX23" s="20" t="n">
        <f aca="false">IF(Quantiles!BX23&lt;0,"",(Depth0-MIN(Depth0,Quantiles!BX23))/Depth_per_q)</f>
        <v>0</v>
      </c>
      <c r="BY23" s="20" t="n">
        <f aca="false">IF(Quantiles!BY23&lt;0,"",(Depth0-MIN(Depth0,Quantiles!BY23))/Depth_per_q)</f>
        <v>0</v>
      </c>
      <c r="BZ23" s="20" t="n">
        <f aca="false">IF(Quantiles!BZ23&lt;0,"",(Depth0-MIN(Depth0,Quantiles!BZ23))/Depth_per_q)</f>
        <v>0</v>
      </c>
      <c r="CA23" s="20" t="n">
        <f aca="false">IF(Quantiles!CA23&lt;0,"",(Depth0-MIN(Depth0,Quantiles!CA23))/Depth_per_q)</f>
        <v>0</v>
      </c>
      <c r="CB23" s="20" t="n">
        <f aca="false">IF(Quantiles!CB23&lt;0,"",(Depth0-MIN(Depth0,Quantiles!CB23))/Depth_per_q)</f>
        <v>0</v>
      </c>
      <c r="CC23" s="20" t="n">
        <f aca="false">IF(Quantiles!CC23&lt;0,"",(Depth0-MIN(Depth0,Quantiles!CC23))/Depth_per_q)</f>
        <v>0</v>
      </c>
      <c r="CD23" s="20" t="n">
        <f aca="false">IF(Quantiles!CD23&lt;0,"",(Depth0-MIN(Depth0,Quantiles!CD23))/Depth_per_q)</f>
        <v>0</v>
      </c>
      <c r="CE23" s="20" t="n">
        <f aca="false">IF(Quantiles!CE23&lt;0,"",(Depth0-MIN(Depth0,Quantiles!CE23))/Depth_per_q)</f>
        <v>0</v>
      </c>
      <c r="CF23" s="20" t="n">
        <f aca="false">IF(Quantiles!CF23&lt;0,"",(Depth0-MIN(Depth0,Quantiles!CF23))/Depth_per_q)</f>
        <v>0</v>
      </c>
      <c r="CG23" s="20" t="n">
        <f aca="false">IF(Quantiles!CG23&lt;0,"",(Depth0-MIN(Depth0,Quantiles!CG23))/Depth_per_q)</f>
        <v>0</v>
      </c>
      <c r="CH23" s="20" t="n">
        <f aca="false">IF(Quantiles!CH23&lt;0,"",(Depth0-MIN(Depth0,Quantiles!CH23))/Depth_per_q)</f>
        <v>0</v>
      </c>
      <c r="CI23" s="20" t="n">
        <f aca="false">IF(Quantiles!CI23&lt;0,"",(Depth0-MIN(Depth0,Quantiles!CI23))/Depth_per_q)</f>
        <v>0</v>
      </c>
      <c r="CJ23" s="20" t="n">
        <f aca="false">IF(Quantiles!CJ23&lt;0,"",(Depth0-MIN(Depth0,Quantiles!CJ23))/Depth_per_q)</f>
        <v>0</v>
      </c>
      <c r="CK23" s="20" t="n">
        <f aca="false">IF(Quantiles!CK23&lt;0,"",(Depth0-MIN(Depth0,Quantiles!CK23))/Depth_per_q)</f>
        <v>0</v>
      </c>
      <c r="CL23" s="20" t="n">
        <f aca="false">IF(Quantiles!CL23&lt;0,"",(Depth0-MIN(Depth0,Quantiles!CL23))/Depth_per_q)</f>
        <v>0</v>
      </c>
      <c r="CM23" s="20" t="n">
        <f aca="false">IF(Quantiles!CM23&lt;0,"",(Depth0-MIN(Depth0,Quantiles!CM23))/Depth_per_q)</f>
        <v>0</v>
      </c>
      <c r="CN23" s="20" t="n">
        <f aca="false">IF(Quantiles!CN23&lt;0,"",(Depth0-MIN(Depth0,Quantiles!CN23))/Depth_per_q)</f>
        <v>0</v>
      </c>
      <c r="CO23" s="20" t="n">
        <f aca="false">IF(Quantiles!CO23&lt;0,"",(Depth0-MIN(Depth0,Quantiles!CO23))/Depth_per_q)</f>
        <v>0</v>
      </c>
      <c r="CP23" s="20" t="n">
        <f aca="false">IF(Quantiles!CP23&lt;0,"",(Depth0-MIN(Depth0,Quantiles!CP23))/Depth_per_q)</f>
        <v>0</v>
      </c>
      <c r="CQ23" s="20" t="n">
        <f aca="false">IF(Quantiles!CQ23&lt;0,"",(Depth0-MIN(Depth0,Quantiles!CQ23))/Depth_per_q)</f>
        <v>0</v>
      </c>
      <c r="CR23" s="20" t="n">
        <f aca="false">IF(Quantiles!CR23&lt;0,"",(Depth0-MIN(Depth0,Quantiles!CR23))/Depth_per_q)</f>
        <v>0</v>
      </c>
      <c r="CS23" s="20" t="n">
        <f aca="false">IF(Quantiles!CS23&lt;0,"",(Depth0-MIN(Depth0,Quantiles!CS23))/Depth_per_q)</f>
        <v>0</v>
      </c>
      <c r="CT23" s="20" t="n">
        <f aca="false">IF(Quantiles!CT23&lt;0,"",(Depth0-MIN(Depth0,Quantiles!CT23))/Depth_per_q)</f>
        <v>2.2719219152214</v>
      </c>
    </row>
    <row r="24" customFormat="false" ht="15" hidden="false" customHeight="false" outlineLevel="0" collapsed="false">
      <c r="A24" s="25" t="n">
        <f aca="false">Quantiles!A24</f>
        <v>95</v>
      </c>
      <c r="B24" s="20" t="n">
        <f aca="false">IF(Quantiles!B24&lt;0,"",(Depth0-MIN(Depth0,Quantiles!B24))/Depth_per_q)</f>
        <v>3.80925125064509</v>
      </c>
      <c r="C24" s="20" t="n">
        <f aca="false">IF(Quantiles!C24&lt;0,"",(Depth0-MIN(Depth0,Quantiles!C24))/Depth_per_q)</f>
        <v>3.44607970494326</v>
      </c>
      <c r="D24" s="20" t="n">
        <f aca="false">IF(Quantiles!D24&lt;0,"",(Depth0-MIN(Depth0,Quantiles!D24))/Depth_per_q)</f>
        <v>3.18391329217622</v>
      </c>
      <c r="E24" s="20" t="n">
        <f aca="false">IF(Quantiles!E24&lt;0,"",(Depth0-MIN(Depth0,Quantiles!E24))/Depth_per_q)</f>
        <v>2.94319317075481</v>
      </c>
      <c r="F24" s="20" t="n">
        <f aca="false">IF(Quantiles!F24&lt;0,"",(Depth0-MIN(Depth0,Quantiles!F24))/Depth_per_q)</f>
        <v>2.75823294357492</v>
      </c>
      <c r="G24" s="20" t="n">
        <f aca="false">IF(Quantiles!G24&lt;0,"",(Depth0-MIN(Depth0,Quantiles!G24))/Depth_per_q)</f>
        <v>2.57359332960415</v>
      </c>
      <c r="H24" s="20" t="n">
        <f aca="false">IF(Quantiles!H24&lt;0,"",(Depth0-MIN(Depth0,Quantiles!H24))/Depth_per_q)</f>
        <v>2.41890668358409</v>
      </c>
      <c r="I24" s="20" t="n">
        <f aca="false">IF(Quantiles!I24&lt;0,"",(Depth0-MIN(Depth0,Quantiles!I24))/Depth_per_q)</f>
        <v>2.26479872399144</v>
      </c>
      <c r="J24" s="20" t="n">
        <f aca="false">IF(Quantiles!J24&lt;0,"",(Depth0-MIN(Depth0,Quantiles!J24))/Depth_per_q)</f>
        <v>2.13521220327335</v>
      </c>
      <c r="K24" s="20" t="n">
        <f aca="false">IF(Quantiles!K24&lt;0,"",(Depth0-MIN(Depth0,Quantiles!K24))/Depth_per_q)</f>
        <v>2.01915858276069</v>
      </c>
      <c r="L24" s="20" t="n">
        <f aca="false">IF(Quantiles!L24&lt;0,"",(Depth0-MIN(Depth0,Quantiles!L24))/Depth_per_q)</f>
        <v>1.90683050696667</v>
      </c>
      <c r="M24" s="20" t="n">
        <f aca="false">IF(Quantiles!M24&lt;0,"",(Depth0-MIN(Depth0,Quantiles!M24))/Depth_per_q)</f>
        <v>1.80189617949644</v>
      </c>
      <c r="N24" s="20" t="n">
        <f aca="false">IF(Quantiles!N24&lt;0,"",(Depth0-MIN(Depth0,Quantiles!N24))/Depth_per_q)</f>
        <v>1.70285609348107</v>
      </c>
      <c r="O24" s="20" t="n">
        <f aca="false">IF(Quantiles!O24&lt;0,"",(Depth0-MIN(Depth0,Quantiles!O24))/Depth_per_q)</f>
        <v>1.61862975949341</v>
      </c>
      <c r="P24" s="20" t="n">
        <f aca="false">IF(Quantiles!P24&lt;0,"",(Depth0-MIN(Depth0,Quantiles!P24))/Depth_per_q)</f>
        <v>1.5309426339229</v>
      </c>
      <c r="Q24" s="20" t="n">
        <f aca="false">IF(Quantiles!Q24&lt;0,"",(Depth0-MIN(Depth0,Quantiles!Q24))/Depth_per_q)</f>
        <v>1.4493613644492</v>
      </c>
      <c r="R24" s="20" t="n">
        <f aca="false">IF(Quantiles!R24&lt;0,"",(Depth0-MIN(Depth0,Quantiles!R24))/Depth_per_q)</f>
        <v>1.37787208740838</v>
      </c>
      <c r="S24" s="20" t="n">
        <f aca="false">IF(Quantiles!S24&lt;0,"",(Depth0-MIN(Depth0,Quantiles!S24))/Depth_per_q)</f>
        <v>1.31479021052294</v>
      </c>
      <c r="T24" s="20" t="n">
        <f aca="false">IF(Quantiles!T24&lt;0,"",(Depth0-MIN(Depth0,Quantiles!T24))/Depth_per_q)</f>
        <v>1.2450349524649</v>
      </c>
      <c r="U24" s="20" t="n">
        <f aca="false">IF(Quantiles!U24&lt;0,"",(Depth0-MIN(Depth0,Quantiles!U24))/Depth_per_q)</f>
        <v>1.18418291862942</v>
      </c>
      <c r="V24" s="20" t="n">
        <f aca="false">IF(Quantiles!V24&lt;0,"",(Depth0-MIN(Depth0,Quantiles!V24))/Depth_per_q)</f>
        <v>1.12141663579409</v>
      </c>
      <c r="W24" s="20" t="n">
        <f aca="false">IF(Quantiles!W24&lt;0,"",(Depth0-MIN(Depth0,Quantiles!W24))/Depth_per_q)</f>
        <v>1.06058856801225</v>
      </c>
      <c r="X24" s="20" t="n">
        <f aca="false">IF(Quantiles!X24&lt;0,"",(Depth0-MIN(Depth0,Quantiles!X24))/Depth_per_q)</f>
        <v>1.00173277697918</v>
      </c>
      <c r="Y24" s="20" t="n">
        <f aca="false">IF(Quantiles!Y24&lt;0,"",(Depth0-MIN(Depth0,Quantiles!Y24))/Depth_per_q)</f>
        <v>0.944586433965372</v>
      </c>
      <c r="Z24" s="20" t="n">
        <f aca="false">IF(Quantiles!Z24&lt;0,"",(Depth0-MIN(Depth0,Quantiles!Z24))/Depth_per_q)</f>
        <v>0.892586508711515</v>
      </c>
      <c r="AA24" s="20" t="n">
        <f aca="false">IF(Quantiles!AA24&lt;0,"",(Depth0-MIN(Depth0,Quantiles!AA24))/Depth_per_q)</f>
        <v>0.84566325866129</v>
      </c>
      <c r="AB24" s="20" t="n">
        <f aca="false">IF(Quantiles!AB24&lt;0,"",(Depth0-MIN(Depth0,Quantiles!AB24))/Depth_per_q)</f>
        <v>0.793969950656082</v>
      </c>
      <c r="AC24" s="20" t="n">
        <f aca="false">IF(Quantiles!AC24&lt;0,"",(Depth0-MIN(Depth0,Quantiles!AC24))/Depth_per_q)</f>
        <v>0.741293706734668</v>
      </c>
      <c r="AD24" s="20" t="n">
        <f aca="false">IF(Quantiles!AD24&lt;0,"",(Depth0-MIN(Depth0,Quantiles!AD24))/Depth_per_q)</f>
        <v>0.695395163087643</v>
      </c>
      <c r="AE24" s="20" t="n">
        <f aca="false">IF(Quantiles!AE24&lt;0,"",(Depth0-MIN(Depth0,Quantiles!AE24))/Depth_per_q)</f>
        <v>0.648866794677637</v>
      </c>
      <c r="AF24" s="20" t="n">
        <f aca="false">IF(Quantiles!AF24&lt;0,"",(Depth0-MIN(Depth0,Quantiles!AF24))/Depth_per_q)</f>
        <v>0.603929683416053</v>
      </c>
      <c r="AG24" s="20" t="n">
        <f aca="false">IF(Quantiles!AG24&lt;0,"",(Depth0-MIN(Depth0,Quantiles!AG24))/Depth_per_q)</f>
        <v>0.564811077195167</v>
      </c>
      <c r="AH24" s="20" t="n">
        <f aca="false">IF(Quantiles!AH24&lt;0,"",(Depth0-MIN(Depth0,Quantiles!AH24))/Depth_per_q)</f>
        <v>0.522810678565038</v>
      </c>
      <c r="AI24" s="20" t="n">
        <f aca="false">IF(Quantiles!AI24&lt;0,"",(Depth0-MIN(Depth0,Quantiles!AI24))/Depth_per_q)</f>
        <v>0.483603464534555</v>
      </c>
      <c r="AJ24" s="20" t="n">
        <f aca="false">IF(Quantiles!AJ24&lt;0,"",(Depth0-MIN(Depth0,Quantiles!AJ24))/Depth_per_q)</f>
        <v>0.446928251128132</v>
      </c>
      <c r="AK24" s="20" t="n">
        <f aca="false">IF(Quantiles!AK24&lt;0,"",(Depth0-MIN(Depth0,Quantiles!AK24))/Depth_per_q)</f>
        <v>0.410462003175828</v>
      </c>
      <c r="AL24" s="20" t="n">
        <f aca="false">IF(Quantiles!AL24&lt;0,"",(Depth0-MIN(Depth0,Quantiles!AL24))/Depth_per_q)</f>
        <v>0.375777491009252</v>
      </c>
      <c r="AM24" s="20" t="n">
        <f aca="false">IF(Quantiles!AM24&lt;0,"",(Depth0-MIN(Depth0,Quantiles!AM24))/Depth_per_q)</f>
        <v>0.33902849597182</v>
      </c>
      <c r="AN24" s="20" t="n">
        <f aca="false">IF(Quantiles!AN24&lt;0,"",(Depth0-MIN(Depth0,Quantiles!AN24))/Depth_per_q)</f>
        <v>0.299214492077965</v>
      </c>
      <c r="AO24" s="20" t="n">
        <f aca="false">IF(Quantiles!AO24&lt;0,"",(Depth0-MIN(Depth0,Quantiles!AO24))/Depth_per_q)</f>
        <v>0.264296543081293</v>
      </c>
      <c r="AP24" s="20" t="n">
        <f aca="false">IF(Quantiles!AP24&lt;0,"",(Depth0-MIN(Depth0,Quantiles!AP24))/Depth_per_q)</f>
        <v>0.229515444482307</v>
      </c>
      <c r="AQ24" s="20" t="n">
        <f aca="false">IF(Quantiles!AQ24&lt;0,"",(Depth0-MIN(Depth0,Quantiles!AQ24))/Depth_per_q)</f>
        <v>0.195339104503778</v>
      </c>
      <c r="AR24" s="20" t="n">
        <f aca="false">IF(Quantiles!AR24&lt;0,"",(Depth0-MIN(Depth0,Quantiles!AR24))/Depth_per_q)</f>
        <v>0.165180586893057</v>
      </c>
      <c r="AS24" s="20" t="n">
        <f aca="false">IF(Quantiles!AS24&lt;0,"",(Depth0-MIN(Depth0,Quantiles!AS24))/Depth_per_q)</f>
        <v>0.130154919368263</v>
      </c>
      <c r="AT24" s="20" t="n">
        <f aca="false">IF(Quantiles!AT24&lt;0,"",(Depth0-MIN(Depth0,Quantiles!AT24))/Depth_per_q)</f>
        <v>0.09770033465455</v>
      </c>
      <c r="AU24" s="20" t="n">
        <f aca="false">IF(Quantiles!AU24&lt;0,"",(Depth0-MIN(Depth0,Quantiles!AU24))/Depth_per_q)</f>
        <v>0.0683230145770697</v>
      </c>
      <c r="AV24" s="20" t="n">
        <f aca="false">IF(Quantiles!AV24&lt;0,"",(Depth0-MIN(Depth0,Quantiles!AV24))/Depth_per_q)</f>
        <v>0.0350228759030404</v>
      </c>
      <c r="AW24" s="20" t="n">
        <f aca="false">IF(Quantiles!AW24&lt;0,"",(Depth0-MIN(Depth0,Quantiles!AW24))/Depth_per_q)</f>
        <v>0.00706271609012532</v>
      </c>
      <c r="AX24" s="20" t="n">
        <f aca="false">IF(Quantiles!AX24&lt;0,"",(Depth0-MIN(Depth0,Quantiles!AX24))/Depth_per_q)</f>
        <v>0</v>
      </c>
      <c r="AY24" s="20" t="n">
        <f aca="false">IF(Quantiles!AY24&lt;0,"",(Depth0-MIN(Depth0,Quantiles!AY24))/Depth_per_q)</f>
        <v>0</v>
      </c>
      <c r="AZ24" s="20" t="n">
        <f aca="false">IF(Quantiles!AZ24&lt;0,"",(Depth0-MIN(Depth0,Quantiles!AZ24))/Depth_per_q)</f>
        <v>0</v>
      </c>
      <c r="BA24" s="20" t="n">
        <f aca="false">IF(Quantiles!BA24&lt;0,"",(Depth0-MIN(Depth0,Quantiles!BA24))/Depth_per_q)</f>
        <v>0</v>
      </c>
      <c r="BB24" s="20" t="n">
        <f aca="false">IF(Quantiles!BB24&lt;0,"",(Depth0-MIN(Depth0,Quantiles!BB24))/Depth_per_q)</f>
        <v>0</v>
      </c>
      <c r="BC24" s="20" t="n">
        <f aca="false">IF(Quantiles!BC24&lt;0,"",(Depth0-MIN(Depth0,Quantiles!BC24))/Depth_per_q)</f>
        <v>0</v>
      </c>
      <c r="BD24" s="20" t="n">
        <f aca="false">IF(Quantiles!BD24&lt;0,"",(Depth0-MIN(Depth0,Quantiles!BD24))/Depth_per_q)</f>
        <v>0</v>
      </c>
      <c r="BE24" s="20" t="n">
        <f aca="false">IF(Quantiles!BE24&lt;0,"",(Depth0-MIN(Depth0,Quantiles!BE24))/Depth_per_q)</f>
        <v>0</v>
      </c>
      <c r="BF24" s="20" t="n">
        <f aca="false">IF(Quantiles!BF24&lt;0,"",(Depth0-MIN(Depth0,Quantiles!BF24))/Depth_per_q)</f>
        <v>0</v>
      </c>
      <c r="BG24" s="20" t="n">
        <f aca="false">IF(Quantiles!BG24&lt;0,"",(Depth0-MIN(Depth0,Quantiles!BG24))/Depth_per_q)</f>
        <v>0</v>
      </c>
      <c r="BH24" s="20" t="n">
        <f aca="false">IF(Quantiles!BH24&lt;0,"",(Depth0-MIN(Depth0,Quantiles!BH24))/Depth_per_q)</f>
        <v>0</v>
      </c>
      <c r="BI24" s="20" t="n">
        <f aca="false">IF(Quantiles!BI24&lt;0,"",(Depth0-MIN(Depth0,Quantiles!BI24))/Depth_per_q)</f>
        <v>0</v>
      </c>
      <c r="BJ24" s="20" t="n">
        <f aca="false">IF(Quantiles!BJ24&lt;0,"",(Depth0-MIN(Depth0,Quantiles!BJ24))/Depth_per_q)</f>
        <v>0</v>
      </c>
      <c r="BK24" s="20" t="n">
        <f aca="false">IF(Quantiles!BK24&lt;0,"",(Depth0-MIN(Depth0,Quantiles!BK24))/Depth_per_q)</f>
        <v>0</v>
      </c>
      <c r="BL24" s="20" t="n">
        <f aca="false">IF(Quantiles!BL24&lt;0,"",(Depth0-MIN(Depth0,Quantiles!BL24))/Depth_per_q)</f>
        <v>0</v>
      </c>
      <c r="BM24" s="20" t="n">
        <f aca="false">IF(Quantiles!BM24&lt;0,"",(Depth0-MIN(Depth0,Quantiles!BM24))/Depth_per_q)</f>
        <v>0</v>
      </c>
      <c r="BN24" s="20" t="n">
        <f aca="false">IF(Quantiles!BN24&lt;0,"",(Depth0-MIN(Depth0,Quantiles!BN24))/Depth_per_q)</f>
        <v>0</v>
      </c>
      <c r="BO24" s="20" t="n">
        <f aca="false">IF(Quantiles!BO24&lt;0,"",(Depth0-MIN(Depth0,Quantiles!BO24))/Depth_per_q)</f>
        <v>0</v>
      </c>
      <c r="BP24" s="20" t="n">
        <f aca="false">IF(Quantiles!BP24&lt;0,"",(Depth0-MIN(Depth0,Quantiles!BP24))/Depth_per_q)</f>
        <v>0</v>
      </c>
      <c r="BQ24" s="20" t="n">
        <f aca="false">IF(Quantiles!BQ24&lt;0,"",(Depth0-MIN(Depth0,Quantiles!BQ24))/Depth_per_q)</f>
        <v>0</v>
      </c>
      <c r="BR24" s="20" t="n">
        <f aca="false">IF(Quantiles!BR24&lt;0,"",(Depth0-MIN(Depth0,Quantiles!BR24))/Depth_per_q)</f>
        <v>0</v>
      </c>
      <c r="BS24" s="20" t="n">
        <f aca="false">IF(Quantiles!BS24&lt;0,"",(Depth0-MIN(Depth0,Quantiles!BS24))/Depth_per_q)</f>
        <v>0</v>
      </c>
      <c r="BT24" s="20" t="n">
        <f aca="false">IF(Quantiles!BT24&lt;0,"",(Depth0-MIN(Depth0,Quantiles!BT24))/Depth_per_q)</f>
        <v>0</v>
      </c>
      <c r="BU24" s="20" t="n">
        <f aca="false">IF(Quantiles!BU24&lt;0,"",(Depth0-MIN(Depth0,Quantiles!BU24))/Depth_per_q)</f>
        <v>0</v>
      </c>
      <c r="BV24" s="20" t="n">
        <f aca="false">IF(Quantiles!BV24&lt;0,"",(Depth0-MIN(Depth0,Quantiles!BV24))/Depth_per_q)</f>
        <v>0</v>
      </c>
      <c r="BW24" s="20" t="n">
        <f aca="false">IF(Quantiles!BW24&lt;0,"",(Depth0-MIN(Depth0,Quantiles!BW24))/Depth_per_q)</f>
        <v>0</v>
      </c>
      <c r="BX24" s="20" t="n">
        <f aca="false">IF(Quantiles!BX24&lt;0,"",(Depth0-MIN(Depth0,Quantiles!BX24))/Depth_per_q)</f>
        <v>0</v>
      </c>
      <c r="BY24" s="20" t="n">
        <f aca="false">IF(Quantiles!BY24&lt;0,"",(Depth0-MIN(Depth0,Quantiles!BY24))/Depth_per_q)</f>
        <v>0</v>
      </c>
      <c r="BZ24" s="20" t="n">
        <f aca="false">IF(Quantiles!BZ24&lt;0,"",(Depth0-MIN(Depth0,Quantiles!BZ24))/Depth_per_q)</f>
        <v>0</v>
      </c>
      <c r="CA24" s="20" t="n">
        <f aca="false">IF(Quantiles!CA24&lt;0,"",(Depth0-MIN(Depth0,Quantiles!CA24))/Depth_per_q)</f>
        <v>0</v>
      </c>
      <c r="CB24" s="20" t="n">
        <f aca="false">IF(Quantiles!CB24&lt;0,"",(Depth0-MIN(Depth0,Quantiles!CB24))/Depth_per_q)</f>
        <v>0</v>
      </c>
      <c r="CC24" s="20" t="n">
        <f aca="false">IF(Quantiles!CC24&lt;0,"",(Depth0-MIN(Depth0,Quantiles!CC24))/Depth_per_q)</f>
        <v>0</v>
      </c>
      <c r="CD24" s="20" t="n">
        <f aca="false">IF(Quantiles!CD24&lt;0,"",(Depth0-MIN(Depth0,Quantiles!CD24))/Depth_per_q)</f>
        <v>0</v>
      </c>
      <c r="CE24" s="20" t="n">
        <f aca="false">IF(Quantiles!CE24&lt;0,"",(Depth0-MIN(Depth0,Quantiles!CE24))/Depth_per_q)</f>
        <v>0</v>
      </c>
      <c r="CF24" s="20" t="n">
        <f aca="false">IF(Quantiles!CF24&lt;0,"",(Depth0-MIN(Depth0,Quantiles!CF24))/Depth_per_q)</f>
        <v>0</v>
      </c>
      <c r="CG24" s="20" t="n">
        <f aca="false">IF(Quantiles!CG24&lt;0,"",(Depth0-MIN(Depth0,Quantiles!CG24))/Depth_per_q)</f>
        <v>0</v>
      </c>
      <c r="CH24" s="20" t="n">
        <f aca="false">IF(Quantiles!CH24&lt;0,"",(Depth0-MIN(Depth0,Quantiles!CH24))/Depth_per_q)</f>
        <v>0</v>
      </c>
      <c r="CI24" s="20" t="n">
        <f aca="false">IF(Quantiles!CI24&lt;0,"",(Depth0-MIN(Depth0,Quantiles!CI24))/Depth_per_q)</f>
        <v>0</v>
      </c>
      <c r="CJ24" s="20" t="n">
        <f aca="false">IF(Quantiles!CJ24&lt;0,"",(Depth0-MIN(Depth0,Quantiles!CJ24))/Depth_per_q)</f>
        <v>0</v>
      </c>
      <c r="CK24" s="20" t="n">
        <f aca="false">IF(Quantiles!CK24&lt;0,"",(Depth0-MIN(Depth0,Quantiles!CK24))/Depth_per_q)</f>
        <v>0</v>
      </c>
      <c r="CL24" s="20" t="n">
        <f aca="false">IF(Quantiles!CL24&lt;0,"",(Depth0-MIN(Depth0,Quantiles!CL24))/Depth_per_q)</f>
        <v>0</v>
      </c>
      <c r="CM24" s="20" t="n">
        <f aca="false">IF(Quantiles!CM24&lt;0,"",(Depth0-MIN(Depth0,Quantiles!CM24))/Depth_per_q)</f>
        <v>0</v>
      </c>
      <c r="CN24" s="20" t="n">
        <f aca="false">IF(Quantiles!CN24&lt;0,"",(Depth0-MIN(Depth0,Quantiles!CN24))/Depth_per_q)</f>
        <v>0</v>
      </c>
      <c r="CO24" s="20" t="n">
        <f aca="false">IF(Quantiles!CO24&lt;0,"",(Depth0-MIN(Depth0,Quantiles!CO24))/Depth_per_q)</f>
        <v>0</v>
      </c>
      <c r="CP24" s="20" t="n">
        <f aca="false">IF(Quantiles!CP24&lt;0,"",(Depth0-MIN(Depth0,Quantiles!CP24))/Depth_per_q)</f>
        <v>0</v>
      </c>
      <c r="CQ24" s="20" t="n">
        <f aca="false">IF(Quantiles!CQ24&lt;0,"",(Depth0-MIN(Depth0,Quantiles!CQ24))/Depth_per_q)</f>
        <v>0</v>
      </c>
      <c r="CR24" s="20" t="n">
        <f aca="false">IF(Quantiles!CR24&lt;0,"",(Depth0-MIN(Depth0,Quantiles!CR24))/Depth_per_q)</f>
        <v>0</v>
      </c>
      <c r="CS24" s="20" t="n">
        <f aca="false">IF(Quantiles!CS24&lt;0,"",(Depth0-MIN(Depth0,Quantiles!CS24))/Depth_per_q)</f>
        <v>0</v>
      </c>
      <c r="CT24" s="20" t="n">
        <f aca="false">IF(Quantiles!CT24&lt;0,"",(Depth0-MIN(Depth0,Quantiles!CT24))/Depth_per_q)</f>
        <v>2.1341573733188</v>
      </c>
    </row>
    <row r="25" customFormat="false" ht="15" hidden="false" customHeight="false" outlineLevel="0" collapsed="false">
      <c r="A25" s="25" t="n">
        <f aca="false">Quantiles!A25</f>
        <v>100</v>
      </c>
      <c r="B25" s="20" t="n">
        <f aca="false">IF(Quantiles!B25&lt;0,"",(Depth0-MIN(Depth0,Quantiles!B25))/Depth_per_q)</f>
        <v>3.59192715458324</v>
      </c>
      <c r="C25" s="20" t="n">
        <f aca="false">IF(Quantiles!C25&lt;0,"",(Depth0-MIN(Depth0,Quantiles!C25))/Depth_per_q)</f>
        <v>3.25392122092858</v>
      </c>
      <c r="D25" s="20" t="n">
        <f aca="false">IF(Quantiles!D25&lt;0,"",(Depth0-MIN(Depth0,Quantiles!D25))/Depth_per_q)</f>
        <v>3.01825050188588</v>
      </c>
      <c r="E25" s="20" t="n">
        <f aca="false">IF(Quantiles!E25&lt;0,"",(Depth0-MIN(Depth0,Quantiles!E25))/Depth_per_q)</f>
        <v>2.79954028478149</v>
      </c>
      <c r="F25" s="20" t="n">
        <f aca="false">IF(Quantiles!F25&lt;0,"",(Depth0-MIN(Depth0,Quantiles!F25))/Depth_per_q)</f>
        <v>2.60598659897682</v>
      </c>
      <c r="G25" s="20" t="n">
        <f aca="false">IF(Quantiles!G25&lt;0,"",(Depth0-MIN(Depth0,Quantiles!G25))/Depth_per_q)</f>
        <v>2.44993337739269</v>
      </c>
      <c r="H25" s="20" t="n">
        <f aca="false">IF(Quantiles!H25&lt;0,"",(Depth0-MIN(Depth0,Quantiles!H25))/Depth_per_q)</f>
        <v>2.28526090531959</v>
      </c>
      <c r="I25" s="20" t="n">
        <f aca="false">IF(Quantiles!I25&lt;0,"",(Depth0-MIN(Depth0,Quantiles!I25))/Depth_per_q)</f>
        <v>2.13521220327335</v>
      </c>
      <c r="J25" s="20" t="n">
        <f aca="false">IF(Quantiles!J25&lt;0,"",(Depth0-MIN(Depth0,Quantiles!J25))/Depth_per_q)</f>
        <v>2.00294263043559</v>
      </c>
      <c r="K25" s="20" t="n">
        <f aca="false">IF(Quantiles!K25&lt;0,"",(Depth0-MIN(Depth0,Quantiles!K25))/Depth_per_q)</f>
        <v>1.89515187959755</v>
      </c>
      <c r="L25" s="20" t="n">
        <f aca="false">IF(Quantiles!L25&lt;0,"",(Depth0-MIN(Depth0,Quantiles!L25))/Depth_per_q)</f>
        <v>1.7953741224167</v>
      </c>
      <c r="M25" s="20" t="n">
        <f aca="false">IF(Quantiles!M25&lt;0,"",(Depth0-MIN(Depth0,Quantiles!M25))/Depth_per_q)</f>
        <v>1.69241660224169</v>
      </c>
      <c r="N25" s="20" t="n">
        <f aca="false">IF(Quantiles!N25&lt;0,"",(Depth0-MIN(Depth0,Quantiles!N25))/Depth_per_q)</f>
        <v>1.5951064309758</v>
      </c>
      <c r="O25" s="20" t="n">
        <f aca="false">IF(Quantiles!O25&lt;0,"",(Depth0-MIN(Depth0,Quantiles!O25))/Depth_per_q)</f>
        <v>1.5151966972464</v>
      </c>
      <c r="P25" s="20" t="n">
        <f aca="false">IF(Quantiles!P25&lt;0,"",(Depth0-MIN(Depth0,Quantiles!P25))/Depth_per_q)</f>
        <v>1.43407483844599</v>
      </c>
      <c r="Q25" s="20" t="n">
        <f aca="false">IF(Quantiles!Q25&lt;0,"",(Depth0-MIN(Depth0,Quantiles!Q25))/Depth_per_q)</f>
        <v>1.35654780963169</v>
      </c>
      <c r="R25" s="20" t="n">
        <f aca="false">IF(Quantiles!R25&lt;0,"",(Depth0-MIN(Depth0,Quantiles!R25))/Depth_per_q)</f>
        <v>1.28711138254555</v>
      </c>
      <c r="S25" s="20" t="n">
        <f aca="false">IF(Quantiles!S25&lt;0,"",(Depth0-MIN(Depth0,Quantiles!S25))/Depth_per_q)</f>
        <v>1.22583417891637</v>
      </c>
      <c r="T25" s="20" t="n">
        <f aca="false">IF(Quantiles!T25&lt;0,"",(Depth0-MIN(Depth0,Quantiles!T25))/Depth_per_q)</f>
        <v>1.16051551052027</v>
      </c>
      <c r="U25" s="20" t="n">
        <f aca="false">IF(Quantiles!U25&lt;0,"",(Depth0-MIN(Depth0,Quantiles!U25))/Depth_per_q)</f>
        <v>1.10096310081543</v>
      </c>
      <c r="V25" s="20" t="n">
        <f aca="false">IF(Quantiles!V25&lt;0,"",(Depth0-MIN(Depth0,Quantiles!V25))/Depth_per_q)</f>
        <v>1.04059637685556</v>
      </c>
      <c r="W25" s="20" t="n">
        <f aca="false">IF(Quantiles!W25&lt;0,"",(Depth0-MIN(Depth0,Quantiles!W25))/Depth_per_q)</f>
        <v>0.981516718776675</v>
      </c>
      <c r="X25" s="20" t="n">
        <f aca="false">IF(Quantiles!X25&lt;0,"",(Depth0-MIN(Depth0,Quantiles!X25))/Depth_per_q)</f>
        <v>0.924280193766205</v>
      </c>
      <c r="Y25" s="20" t="n">
        <f aca="false">IF(Quantiles!Y25&lt;0,"",(Depth0-MIN(Depth0,Quantiles!Y25))/Depth_per_q)</f>
        <v>0.872776497318028</v>
      </c>
      <c r="Z25" s="20" t="n">
        <f aca="false">IF(Quantiles!Z25&lt;0,"",(Depth0-MIN(Depth0,Quantiles!Z25))/Depth_per_q)</f>
        <v>0.821949315857918</v>
      </c>
      <c r="AA25" s="20" t="n">
        <f aca="false">IF(Quantiles!AA25&lt;0,"",(Depth0-MIN(Depth0,Quantiles!AA25))/Depth_per_q)</f>
        <v>0.768858447884602</v>
      </c>
      <c r="AB25" s="20" t="n">
        <f aca="false">IF(Quantiles!AB25&lt;0,"",(Depth0-MIN(Depth0,Quantiles!AB25))/Depth_per_q)</f>
        <v>0.71701864531953</v>
      </c>
      <c r="AC25" s="20" t="n">
        <f aca="false">IF(Quantiles!AC25&lt;0,"",(Depth0-MIN(Depth0,Quantiles!AC25))/Depth_per_q)</f>
        <v>0.66782899856049</v>
      </c>
      <c r="AD25" s="20" t="n">
        <f aca="false">IF(Quantiles!AD25&lt;0,"",(Depth0-MIN(Depth0,Quantiles!AD25))/Depth_per_q)</f>
        <v>0.62739226937013</v>
      </c>
      <c r="AE25" s="20" t="n">
        <f aca="false">IF(Quantiles!AE25&lt;0,"",(Depth0-MIN(Depth0,Quantiles!AE25))/Depth_per_q)</f>
        <v>0.580853078899808</v>
      </c>
      <c r="AF25" s="20" t="n">
        <f aca="false">IF(Quantiles!AF25&lt;0,"",(Depth0-MIN(Depth0,Quantiles!AF25))/Depth_per_q)</f>
        <v>0.539977066313655</v>
      </c>
      <c r="AG25" s="20" t="n">
        <f aca="false">IF(Quantiles!AG25&lt;0,"",(Depth0-MIN(Depth0,Quantiles!AG25))/Depth_per_q)</f>
        <v>0.49761193481638</v>
      </c>
      <c r="AH25" s="20" t="n">
        <f aca="false">IF(Quantiles!AH25&lt;0,"",(Depth0-MIN(Depth0,Quantiles!AH25))/Depth_per_q)</f>
        <v>0.459023002564288</v>
      </c>
      <c r="AI25" s="20" t="n">
        <f aca="false">IF(Quantiles!AI25&lt;0,"",(Depth0-MIN(Depth0,Quantiles!AI25))/Depth_per_q)</f>
        <v>0.422598212579925</v>
      </c>
      <c r="AJ25" s="20" t="n">
        <f aca="false">IF(Quantiles!AJ25&lt;0,"",(Depth0-MIN(Depth0,Quantiles!AJ25))/Depth_per_q)</f>
        <v>0.384867621417808</v>
      </c>
      <c r="AK25" s="20" t="n">
        <f aca="false">IF(Quantiles!AK25&lt;0,"",(Depth0-MIN(Depth0,Quantiles!AK25))/Depth_per_q)</f>
        <v>0.348973903223173</v>
      </c>
      <c r="AL25" s="20" t="n">
        <f aca="false">IF(Quantiles!AL25&lt;0,"",(Depth0-MIN(Depth0,Quantiles!AL25))/Depth_per_q)</f>
        <v>0.31308708592364</v>
      </c>
      <c r="AM25" s="20" t="n">
        <f aca="false">IF(Quantiles!AM25&lt;0,"",(Depth0-MIN(Depth0,Quantiles!AM25))/Depth_per_q)</f>
        <v>0.274793372494565</v>
      </c>
      <c r="AN25" s="20" t="n">
        <f aca="false">IF(Quantiles!AN25&lt;0,"",(Depth0-MIN(Depth0,Quantiles!AN25))/Depth_per_q)</f>
        <v>0.242744322567345</v>
      </c>
      <c r="AO25" s="20" t="n">
        <f aca="false">IF(Quantiles!AO25&lt;0,"",(Depth0-MIN(Depth0,Quantiles!AO25))/Depth_per_q)</f>
        <v>0.20799918509974</v>
      </c>
      <c r="AP25" s="20" t="n">
        <f aca="false">IF(Quantiles!AP25&lt;0,"",(Depth0-MIN(Depth0,Quantiles!AP25))/Depth_per_q)</f>
        <v>0.17698329190645</v>
      </c>
      <c r="AQ25" s="20" t="n">
        <f aca="false">IF(Quantiles!AQ25&lt;0,"",(Depth0-MIN(Depth0,Quantiles!AQ25))/Depth_per_q)</f>
        <v>0.14465809985222</v>
      </c>
      <c r="AR25" s="20" t="n">
        <f aca="false">IF(Quantiles!AR25&lt;0,"",(Depth0-MIN(Depth0,Quantiles!AR25))/Depth_per_q)</f>
        <v>0.11083557450879</v>
      </c>
      <c r="AS25" s="20" t="n">
        <f aca="false">IF(Quantiles!AS25&lt;0,"",(Depth0-MIN(Depth0,Quantiles!AS25))/Depth_per_q)</f>
        <v>0.0788819541603099</v>
      </c>
      <c r="AT25" s="20" t="n">
        <f aca="false">IF(Quantiles!AT25&lt;0,"",(Depth0-MIN(Depth0,Quantiles!AT25))/Depth_per_q)</f>
        <v>0.0434664820104373</v>
      </c>
      <c r="AU25" s="20" t="n">
        <f aca="false">IF(Quantiles!AU25&lt;0,"",(Depth0-MIN(Depth0,Quantiles!AU25))/Depth_per_q)</f>
        <v>0.0147417637746399</v>
      </c>
      <c r="AV25" s="20" t="n">
        <f aca="false">IF(Quantiles!AV25&lt;0,"",(Depth0-MIN(Depth0,Quantiles!AV25))/Depth_per_q)</f>
        <v>0</v>
      </c>
      <c r="AW25" s="20" t="n">
        <f aca="false">IF(Quantiles!AW25&lt;0,"",(Depth0-MIN(Depth0,Quantiles!AW25))/Depth_per_q)</f>
        <v>0</v>
      </c>
      <c r="AX25" s="20" t="n">
        <f aca="false">IF(Quantiles!AX25&lt;0,"",(Depth0-MIN(Depth0,Quantiles!AX25))/Depth_per_q)</f>
        <v>0</v>
      </c>
      <c r="AY25" s="20" t="n">
        <f aca="false">IF(Quantiles!AY25&lt;0,"",(Depth0-MIN(Depth0,Quantiles!AY25))/Depth_per_q)</f>
        <v>0</v>
      </c>
      <c r="AZ25" s="20" t="n">
        <f aca="false">IF(Quantiles!AZ25&lt;0,"",(Depth0-MIN(Depth0,Quantiles!AZ25))/Depth_per_q)</f>
        <v>0</v>
      </c>
      <c r="BA25" s="20" t="n">
        <f aca="false">IF(Quantiles!BA25&lt;0,"",(Depth0-MIN(Depth0,Quantiles!BA25))/Depth_per_q)</f>
        <v>0</v>
      </c>
      <c r="BB25" s="20" t="n">
        <f aca="false">IF(Quantiles!BB25&lt;0,"",(Depth0-MIN(Depth0,Quantiles!BB25))/Depth_per_q)</f>
        <v>0</v>
      </c>
      <c r="BC25" s="20" t="n">
        <f aca="false">IF(Quantiles!BC25&lt;0,"",(Depth0-MIN(Depth0,Quantiles!BC25))/Depth_per_q)</f>
        <v>0</v>
      </c>
      <c r="BD25" s="20" t="n">
        <f aca="false">IF(Quantiles!BD25&lt;0,"",(Depth0-MIN(Depth0,Quantiles!BD25))/Depth_per_q)</f>
        <v>0</v>
      </c>
      <c r="BE25" s="20" t="n">
        <f aca="false">IF(Quantiles!BE25&lt;0,"",(Depth0-MIN(Depth0,Quantiles!BE25))/Depth_per_q)</f>
        <v>0</v>
      </c>
      <c r="BF25" s="20" t="n">
        <f aca="false">IF(Quantiles!BF25&lt;0,"",(Depth0-MIN(Depth0,Quantiles!BF25))/Depth_per_q)</f>
        <v>0</v>
      </c>
      <c r="BG25" s="20" t="n">
        <f aca="false">IF(Quantiles!BG25&lt;0,"",(Depth0-MIN(Depth0,Quantiles!BG25))/Depth_per_q)</f>
        <v>0</v>
      </c>
      <c r="BH25" s="20" t="n">
        <f aca="false">IF(Quantiles!BH25&lt;0,"",(Depth0-MIN(Depth0,Quantiles!BH25))/Depth_per_q)</f>
        <v>0</v>
      </c>
      <c r="BI25" s="20" t="n">
        <f aca="false">IF(Quantiles!BI25&lt;0,"",(Depth0-MIN(Depth0,Quantiles!BI25))/Depth_per_q)</f>
        <v>0</v>
      </c>
      <c r="BJ25" s="20" t="n">
        <f aca="false">IF(Quantiles!BJ25&lt;0,"",(Depth0-MIN(Depth0,Quantiles!BJ25))/Depth_per_q)</f>
        <v>0</v>
      </c>
      <c r="BK25" s="20" t="n">
        <f aca="false">IF(Quantiles!BK25&lt;0,"",(Depth0-MIN(Depth0,Quantiles!BK25))/Depth_per_q)</f>
        <v>0</v>
      </c>
      <c r="BL25" s="20" t="n">
        <f aca="false">IF(Quantiles!BL25&lt;0,"",(Depth0-MIN(Depth0,Quantiles!BL25))/Depth_per_q)</f>
        <v>0</v>
      </c>
      <c r="BM25" s="20" t="n">
        <f aca="false">IF(Quantiles!BM25&lt;0,"",(Depth0-MIN(Depth0,Quantiles!BM25))/Depth_per_q)</f>
        <v>0</v>
      </c>
      <c r="BN25" s="20" t="n">
        <f aca="false">IF(Quantiles!BN25&lt;0,"",(Depth0-MIN(Depth0,Quantiles!BN25))/Depth_per_q)</f>
        <v>0</v>
      </c>
      <c r="BO25" s="20" t="n">
        <f aca="false">IF(Quantiles!BO25&lt;0,"",(Depth0-MIN(Depth0,Quantiles!BO25))/Depth_per_q)</f>
        <v>0</v>
      </c>
      <c r="BP25" s="20" t="n">
        <f aca="false">IF(Quantiles!BP25&lt;0,"",(Depth0-MIN(Depth0,Quantiles!BP25))/Depth_per_q)</f>
        <v>0</v>
      </c>
      <c r="BQ25" s="20" t="n">
        <f aca="false">IF(Quantiles!BQ25&lt;0,"",(Depth0-MIN(Depth0,Quantiles!BQ25))/Depth_per_q)</f>
        <v>0</v>
      </c>
      <c r="BR25" s="20" t="n">
        <f aca="false">IF(Quantiles!BR25&lt;0,"",(Depth0-MIN(Depth0,Quantiles!BR25))/Depth_per_q)</f>
        <v>0</v>
      </c>
      <c r="BS25" s="20" t="n">
        <f aca="false">IF(Quantiles!BS25&lt;0,"",(Depth0-MIN(Depth0,Quantiles!BS25))/Depth_per_q)</f>
        <v>0</v>
      </c>
      <c r="BT25" s="20" t="n">
        <f aca="false">IF(Quantiles!BT25&lt;0,"",(Depth0-MIN(Depth0,Quantiles!BT25))/Depth_per_q)</f>
        <v>0</v>
      </c>
      <c r="BU25" s="20" t="n">
        <f aca="false">IF(Quantiles!BU25&lt;0,"",(Depth0-MIN(Depth0,Quantiles!BU25))/Depth_per_q)</f>
        <v>0</v>
      </c>
      <c r="BV25" s="20" t="n">
        <f aca="false">IF(Quantiles!BV25&lt;0,"",(Depth0-MIN(Depth0,Quantiles!BV25))/Depth_per_q)</f>
        <v>0</v>
      </c>
      <c r="BW25" s="20" t="n">
        <f aca="false">IF(Quantiles!BW25&lt;0,"",(Depth0-MIN(Depth0,Quantiles!BW25))/Depth_per_q)</f>
        <v>0</v>
      </c>
      <c r="BX25" s="20" t="n">
        <f aca="false">IF(Quantiles!BX25&lt;0,"",(Depth0-MIN(Depth0,Quantiles!BX25))/Depth_per_q)</f>
        <v>0</v>
      </c>
      <c r="BY25" s="20" t="n">
        <f aca="false">IF(Quantiles!BY25&lt;0,"",(Depth0-MIN(Depth0,Quantiles!BY25))/Depth_per_q)</f>
        <v>0</v>
      </c>
      <c r="BZ25" s="20" t="n">
        <f aca="false">IF(Quantiles!BZ25&lt;0,"",(Depth0-MIN(Depth0,Quantiles!BZ25))/Depth_per_q)</f>
        <v>0</v>
      </c>
      <c r="CA25" s="20" t="n">
        <f aca="false">IF(Quantiles!CA25&lt;0,"",(Depth0-MIN(Depth0,Quantiles!CA25))/Depth_per_q)</f>
        <v>0</v>
      </c>
      <c r="CB25" s="20" t="n">
        <f aca="false">IF(Quantiles!CB25&lt;0,"",(Depth0-MIN(Depth0,Quantiles!CB25))/Depth_per_q)</f>
        <v>0</v>
      </c>
      <c r="CC25" s="20" t="n">
        <f aca="false">IF(Quantiles!CC25&lt;0,"",(Depth0-MIN(Depth0,Quantiles!CC25))/Depth_per_q)</f>
        <v>0</v>
      </c>
      <c r="CD25" s="20" t="n">
        <f aca="false">IF(Quantiles!CD25&lt;0,"",(Depth0-MIN(Depth0,Quantiles!CD25))/Depth_per_q)</f>
        <v>0</v>
      </c>
      <c r="CE25" s="20" t="n">
        <f aca="false">IF(Quantiles!CE25&lt;0,"",(Depth0-MIN(Depth0,Quantiles!CE25))/Depth_per_q)</f>
        <v>0</v>
      </c>
      <c r="CF25" s="20" t="n">
        <f aca="false">IF(Quantiles!CF25&lt;0,"",(Depth0-MIN(Depth0,Quantiles!CF25))/Depth_per_q)</f>
        <v>0</v>
      </c>
      <c r="CG25" s="20" t="n">
        <f aca="false">IF(Quantiles!CG25&lt;0,"",(Depth0-MIN(Depth0,Quantiles!CG25))/Depth_per_q)</f>
        <v>0</v>
      </c>
      <c r="CH25" s="20" t="n">
        <f aca="false">IF(Quantiles!CH25&lt;0,"",(Depth0-MIN(Depth0,Quantiles!CH25))/Depth_per_q)</f>
        <v>0</v>
      </c>
      <c r="CI25" s="20" t="n">
        <f aca="false">IF(Quantiles!CI25&lt;0,"",(Depth0-MIN(Depth0,Quantiles!CI25))/Depth_per_q)</f>
        <v>0</v>
      </c>
      <c r="CJ25" s="20" t="n">
        <f aca="false">IF(Quantiles!CJ25&lt;0,"",(Depth0-MIN(Depth0,Quantiles!CJ25))/Depth_per_q)</f>
        <v>0</v>
      </c>
      <c r="CK25" s="20" t="n">
        <f aca="false">IF(Quantiles!CK25&lt;0,"",(Depth0-MIN(Depth0,Quantiles!CK25))/Depth_per_q)</f>
        <v>0</v>
      </c>
      <c r="CL25" s="20" t="n">
        <f aca="false">IF(Quantiles!CL25&lt;0,"",(Depth0-MIN(Depth0,Quantiles!CL25))/Depth_per_q)</f>
        <v>0</v>
      </c>
      <c r="CM25" s="20" t="n">
        <f aca="false">IF(Quantiles!CM25&lt;0,"",(Depth0-MIN(Depth0,Quantiles!CM25))/Depth_per_q)</f>
        <v>0</v>
      </c>
      <c r="CN25" s="20" t="n">
        <f aca="false">IF(Quantiles!CN25&lt;0,"",(Depth0-MIN(Depth0,Quantiles!CN25))/Depth_per_q)</f>
        <v>0</v>
      </c>
      <c r="CO25" s="20" t="n">
        <f aca="false">IF(Quantiles!CO25&lt;0,"",(Depth0-MIN(Depth0,Quantiles!CO25))/Depth_per_q)</f>
        <v>0</v>
      </c>
      <c r="CP25" s="20" t="n">
        <f aca="false">IF(Quantiles!CP25&lt;0,"",(Depth0-MIN(Depth0,Quantiles!CP25))/Depth_per_q)</f>
        <v>0</v>
      </c>
      <c r="CQ25" s="20" t="n">
        <f aca="false">IF(Quantiles!CQ25&lt;0,"",(Depth0-MIN(Depth0,Quantiles!CQ25))/Depth_per_q)</f>
        <v>0</v>
      </c>
      <c r="CR25" s="20" t="n">
        <f aca="false">IF(Quantiles!CR25&lt;0,"",(Depth0-MIN(Depth0,Quantiles!CR25))/Depth_per_q)</f>
        <v>0</v>
      </c>
      <c r="CS25" s="20" t="n">
        <f aca="false">IF(Quantiles!CS25&lt;0,"",(Depth0-MIN(Depth0,Quantiles!CS25))/Depth_per_q)</f>
        <v>0</v>
      </c>
      <c r="CT25" s="20" t="n">
        <f aca="false">IF(Quantiles!CT25&lt;0,"",(Depth0-MIN(Depth0,Quantiles!CT25))/Depth_per_q)</f>
        <v>1.99992240949001</v>
      </c>
    </row>
    <row r="26" customFormat="false" ht="15" hidden="false" customHeight="false" outlineLevel="0" collapsed="false">
      <c r="A26" s="25" t="n">
        <f aca="false">Quantiles!A26</f>
        <v>105</v>
      </c>
      <c r="B26" s="20" t="n">
        <f aca="false">IF(Quantiles!B26&lt;0,"",(Depth0-MIN(Depth0,Quantiles!B26))/Depth_per_q)</f>
        <v>3.40814803966063</v>
      </c>
      <c r="C26" s="20" t="n">
        <f aca="false">IF(Quantiles!C26&lt;0,"",(Depth0-MIN(Depth0,Quantiles!C26))/Depth_per_q)</f>
        <v>3.07908385131675</v>
      </c>
      <c r="D26" s="20" t="n">
        <f aca="false">IF(Quantiles!D26&lt;0,"",(Depth0-MIN(Depth0,Quantiles!D26))/Depth_per_q)</f>
        <v>2.86201967809743</v>
      </c>
      <c r="E26" s="20" t="n">
        <f aca="false">IF(Quantiles!E26&lt;0,"",(Depth0-MIN(Depth0,Quantiles!E26))/Depth_per_q)</f>
        <v>2.65690030991575</v>
      </c>
      <c r="F26" s="20" t="n">
        <f aca="false">IF(Quantiles!F26&lt;0,"",(Depth0-MIN(Depth0,Quantiles!F26))/Depth_per_q)</f>
        <v>2.47432569905505</v>
      </c>
      <c r="G26" s="20" t="n">
        <f aca="false">IF(Quantiles!G26&lt;0,"",(Depth0-MIN(Depth0,Quantiles!G26))/Depth_per_q)</f>
        <v>2.3155502453353</v>
      </c>
      <c r="H26" s="20" t="n">
        <f aca="false">IF(Quantiles!H26&lt;0,"",(Depth0-MIN(Depth0,Quantiles!H26))/Depth_per_q)</f>
        <v>2.16185870857729</v>
      </c>
      <c r="I26" s="20" t="n">
        <f aca="false">IF(Quantiles!I26&lt;0,"",(Depth0-MIN(Depth0,Quantiles!I26))/Depth_per_q)</f>
        <v>2.02704269812563</v>
      </c>
      <c r="J26" s="20" t="n">
        <f aca="false">IF(Quantiles!J26&lt;0,"",(Depth0-MIN(Depth0,Quantiles!J26))/Depth_per_q)</f>
        <v>1.90443016292547</v>
      </c>
      <c r="K26" s="20" t="n">
        <f aca="false">IF(Quantiles!K26&lt;0,"",(Depth0-MIN(Depth0,Quantiles!K26))/Depth_per_q)</f>
        <v>1.7867714059493</v>
      </c>
      <c r="L26" s="20" t="n">
        <f aca="false">IF(Quantiles!L26&lt;0,"",(Depth0-MIN(Depth0,Quantiles!L26))/Depth_per_q)</f>
        <v>1.68122931303313</v>
      </c>
      <c r="M26" s="20" t="n">
        <f aca="false">IF(Quantiles!M26&lt;0,"",(Depth0-MIN(Depth0,Quantiles!M26))/Depth_per_q)</f>
        <v>1.59071030505828</v>
      </c>
      <c r="N26" s="20" t="n">
        <f aca="false">IF(Quantiles!N26&lt;0,"",(Depth0-MIN(Depth0,Quantiles!N26))/Depth_per_q)</f>
        <v>1.50240448455433</v>
      </c>
      <c r="O26" s="20" t="n">
        <f aca="false">IF(Quantiles!O26&lt;0,"",(Depth0-MIN(Depth0,Quantiles!O26))/Depth_per_q)</f>
        <v>1.41809371253385</v>
      </c>
      <c r="P26" s="20" t="n">
        <f aca="false">IF(Quantiles!P26&lt;0,"",(Depth0-MIN(Depth0,Quantiles!P26))/Depth_per_q)</f>
        <v>1.3411116669365</v>
      </c>
      <c r="Q26" s="20" t="n">
        <f aca="false">IF(Quantiles!Q26&lt;0,"",(Depth0-MIN(Depth0,Quantiles!Q26))/Depth_per_q)</f>
        <v>1.27109787122925</v>
      </c>
      <c r="R26" s="20" t="n">
        <f aca="false">IF(Quantiles!R26&lt;0,"",(Depth0-MIN(Depth0,Quantiles!R26))/Depth_per_q)</f>
        <v>1.21170937234615</v>
      </c>
      <c r="S26" s="20" t="n">
        <f aca="false">IF(Quantiles!S26&lt;0,"",(Depth0-MIN(Depth0,Quantiles!S26))/Depth_per_q)</f>
        <v>1.14341239844016</v>
      </c>
      <c r="T26" s="20" t="n">
        <f aca="false">IF(Quantiles!T26&lt;0,"",(Depth0-MIN(Depth0,Quantiles!T26))/Depth_per_q)</f>
        <v>1.08103635898286</v>
      </c>
      <c r="U26" s="20" t="n">
        <f aca="false">IF(Quantiles!U26&lt;0,"",(Depth0-MIN(Depth0,Quantiles!U26))/Depth_per_q)</f>
        <v>1.01995205635978</v>
      </c>
      <c r="V26" s="20" t="n">
        <f aca="false">IF(Quantiles!V26&lt;0,"",(Depth0-MIN(Depth0,Quantiles!V26))/Depth_per_q)</f>
        <v>0.96271422981589</v>
      </c>
      <c r="W26" s="20" t="n">
        <f aca="false">IF(Quantiles!W26&lt;0,"",(Depth0-MIN(Depth0,Quantiles!W26))/Depth_per_q)</f>
        <v>0.906862229843798</v>
      </c>
      <c r="X26" s="20" t="n">
        <f aca="false">IF(Quantiles!X26&lt;0,"",(Depth0-MIN(Depth0,Quantiles!X26))/Depth_per_q)</f>
        <v>0.85391073709991</v>
      </c>
      <c r="Y26" s="20" t="n">
        <f aca="false">IF(Quantiles!Y26&lt;0,"",(Depth0-MIN(Depth0,Quantiles!Y26))/Depth_per_q)</f>
        <v>0.804338993246953</v>
      </c>
      <c r="Z26" s="20" t="n">
        <f aca="false">IF(Quantiles!Z26&lt;0,"",(Depth0-MIN(Depth0,Quantiles!Z26))/Depth_per_q)</f>
        <v>0.753922818442738</v>
      </c>
      <c r="AA26" s="20" t="n">
        <f aca="false">IF(Quantiles!AA26&lt;0,"",(Depth0-MIN(Depth0,Quantiles!AA26))/Depth_per_q)</f>
        <v>0.705619613073223</v>
      </c>
      <c r="AB26" s="20" t="n">
        <f aca="false">IF(Quantiles!AB26&lt;0,"",(Depth0-MIN(Depth0,Quantiles!AB26))/Depth_per_q)</f>
        <v>0.65481570136261</v>
      </c>
      <c r="AC26" s="20" t="n">
        <f aca="false">IF(Quantiles!AC26&lt;0,"",(Depth0-MIN(Depth0,Quantiles!AC26))/Depth_per_q)</f>
        <v>0.608343576573915</v>
      </c>
      <c r="AD26" s="20" t="n">
        <f aca="false">IF(Quantiles!AD26&lt;0,"",(Depth0-MIN(Depth0,Quantiles!AD26))/Depth_per_q)</f>
        <v>0.566233884655207</v>
      </c>
      <c r="AE26" s="20" t="n">
        <f aca="false">IF(Quantiles!AE26&lt;0,"",(Depth0-MIN(Depth0,Quantiles!AE26))/Depth_per_q)</f>
        <v>0.520647835561595</v>
      </c>
      <c r="AF26" s="20" t="n">
        <f aca="false">IF(Quantiles!AF26&lt;0,"",(Depth0-MIN(Depth0,Quantiles!AF26))/Depth_per_q)</f>
        <v>0.479431625337518</v>
      </c>
      <c r="AG26" s="20" t="n">
        <f aca="false">IF(Quantiles!AG26&lt;0,"",(Depth0-MIN(Depth0,Quantiles!AG26))/Depth_per_q)</f>
        <v>0.443610527711045</v>
      </c>
      <c r="AH26" s="20" t="n">
        <f aca="false">IF(Quantiles!AH26&lt;0,"",(Depth0-MIN(Depth0,Quantiles!AH26))/Depth_per_q)</f>
        <v>0.403604434531145</v>
      </c>
      <c r="AI26" s="20" t="n">
        <f aca="false">IF(Quantiles!AI26&lt;0,"",(Depth0-MIN(Depth0,Quantiles!AI26))/Depth_per_q)</f>
        <v>0.36404011185763</v>
      </c>
      <c r="AJ26" s="20" t="n">
        <f aca="false">IF(Quantiles!AJ26&lt;0,"",(Depth0-MIN(Depth0,Quantiles!AJ26))/Depth_per_q)</f>
        <v>0.326028433966105</v>
      </c>
      <c r="AK26" s="20" t="n">
        <f aca="false">IF(Quantiles!AK26&lt;0,"",(Depth0-MIN(Depth0,Quantiles!AK26))/Depth_per_q)</f>
        <v>0.286187763282495</v>
      </c>
      <c r="AL26" s="20" t="n">
        <f aca="false">IF(Quantiles!AL26&lt;0,"",(Depth0-MIN(Depth0,Quantiles!AL26))/Depth_per_q)</f>
        <v>0.251637461572392</v>
      </c>
      <c r="AM26" s="20" t="n">
        <f aca="false">IF(Quantiles!AM26&lt;0,"",(Depth0-MIN(Depth0,Quantiles!AM26))/Depth_per_q)</f>
        <v>0.219581659606088</v>
      </c>
      <c r="AN26" s="20" t="n">
        <f aca="false">IF(Quantiles!AN26&lt;0,"",(Depth0-MIN(Depth0,Quantiles!AN26))/Depth_per_q)</f>
        <v>0.18771443106126</v>
      </c>
      <c r="AO26" s="20" t="n">
        <f aca="false">IF(Quantiles!AO26&lt;0,"",(Depth0-MIN(Depth0,Quantiles!AO26))/Depth_per_q)</f>
        <v>0.154221020899487</v>
      </c>
      <c r="AP26" s="20" t="n">
        <f aca="false">IF(Quantiles!AP26&lt;0,"",(Depth0-MIN(Depth0,Quantiles!AP26))/Depth_per_q)</f>
        <v>0.120468978146778</v>
      </c>
      <c r="AQ26" s="20" t="n">
        <f aca="false">IF(Quantiles!AQ26&lt;0,"",(Depth0-MIN(Depth0,Quantiles!AQ26))/Depth_per_q)</f>
        <v>0.0888017541866448</v>
      </c>
      <c r="AR26" s="20" t="n">
        <f aca="false">IF(Quantiles!AR26&lt;0,"",(Depth0-MIN(Depth0,Quantiles!AR26))/Depth_per_q)</f>
        <v>0.0569319359052072</v>
      </c>
      <c r="AS26" s="20" t="n">
        <f aca="false">IF(Quantiles!AS26&lt;0,"",(Depth0-MIN(Depth0,Quantiles!AS26))/Depth_per_q)</f>
        <v>0.0260978088323078</v>
      </c>
      <c r="AT26" s="20" t="n">
        <f aca="false">IF(Quantiles!AT26&lt;0,"",(Depth0-MIN(Depth0,Quantiles!AT26))/Depth_per_q)</f>
        <v>0</v>
      </c>
      <c r="AU26" s="20" t="n">
        <f aca="false">IF(Quantiles!AU26&lt;0,"",(Depth0-MIN(Depth0,Quantiles!AU26))/Depth_per_q)</f>
        <v>0</v>
      </c>
      <c r="AV26" s="20" t="n">
        <f aca="false">IF(Quantiles!AV26&lt;0,"",(Depth0-MIN(Depth0,Quantiles!AV26))/Depth_per_q)</f>
        <v>0</v>
      </c>
      <c r="AW26" s="20" t="n">
        <f aca="false">IF(Quantiles!AW26&lt;0,"",(Depth0-MIN(Depth0,Quantiles!AW26))/Depth_per_q)</f>
        <v>0</v>
      </c>
      <c r="AX26" s="20" t="n">
        <f aca="false">IF(Quantiles!AX26&lt;0,"",(Depth0-MIN(Depth0,Quantiles!AX26))/Depth_per_q)</f>
        <v>0</v>
      </c>
      <c r="AY26" s="20" t="n">
        <f aca="false">IF(Quantiles!AY26&lt;0,"",(Depth0-MIN(Depth0,Quantiles!AY26))/Depth_per_q)</f>
        <v>0</v>
      </c>
      <c r="AZ26" s="20" t="n">
        <f aca="false">IF(Quantiles!AZ26&lt;0,"",(Depth0-MIN(Depth0,Quantiles!AZ26))/Depth_per_q)</f>
        <v>0</v>
      </c>
      <c r="BA26" s="20" t="n">
        <f aca="false">IF(Quantiles!BA26&lt;0,"",(Depth0-MIN(Depth0,Quantiles!BA26))/Depth_per_q)</f>
        <v>0</v>
      </c>
      <c r="BB26" s="20" t="n">
        <f aca="false">IF(Quantiles!BB26&lt;0,"",(Depth0-MIN(Depth0,Quantiles!BB26))/Depth_per_q)</f>
        <v>0</v>
      </c>
      <c r="BC26" s="20" t="n">
        <f aca="false">IF(Quantiles!BC26&lt;0,"",(Depth0-MIN(Depth0,Quantiles!BC26))/Depth_per_q)</f>
        <v>0</v>
      </c>
      <c r="BD26" s="20" t="n">
        <f aca="false">IF(Quantiles!BD26&lt;0,"",(Depth0-MIN(Depth0,Quantiles!BD26))/Depth_per_q)</f>
        <v>0</v>
      </c>
      <c r="BE26" s="20" t="n">
        <f aca="false">IF(Quantiles!BE26&lt;0,"",(Depth0-MIN(Depth0,Quantiles!BE26))/Depth_per_q)</f>
        <v>0</v>
      </c>
      <c r="BF26" s="20" t="n">
        <f aca="false">IF(Quantiles!BF26&lt;0,"",(Depth0-MIN(Depth0,Quantiles!BF26))/Depth_per_q)</f>
        <v>0</v>
      </c>
      <c r="BG26" s="20" t="n">
        <f aca="false">IF(Quantiles!BG26&lt;0,"",(Depth0-MIN(Depth0,Quantiles!BG26))/Depth_per_q)</f>
        <v>0</v>
      </c>
      <c r="BH26" s="20" t="n">
        <f aca="false">IF(Quantiles!BH26&lt;0,"",(Depth0-MIN(Depth0,Quantiles!BH26))/Depth_per_q)</f>
        <v>0</v>
      </c>
      <c r="BI26" s="20" t="n">
        <f aca="false">IF(Quantiles!BI26&lt;0,"",(Depth0-MIN(Depth0,Quantiles!BI26))/Depth_per_q)</f>
        <v>0</v>
      </c>
      <c r="BJ26" s="20" t="n">
        <f aca="false">IF(Quantiles!BJ26&lt;0,"",(Depth0-MIN(Depth0,Quantiles!BJ26))/Depth_per_q)</f>
        <v>0</v>
      </c>
      <c r="BK26" s="20" t="n">
        <f aca="false">IF(Quantiles!BK26&lt;0,"",(Depth0-MIN(Depth0,Quantiles!BK26))/Depth_per_q)</f>
        <v>0</v>
      </c>
      <c r="BL26" s="20" t="n">
        <f aca="false">IF(Quantiles!BL26&lt;0,"",(Depth0-MIN(Depth0,Quantiles!BL26))/Depth_per_q)</f>
        <v>0</v>
      </c>
      <c r="BM26" s="20" t="n">
        <f aca="false">IF(Quantiles!BM26&lt;0,"",(Depth0-MIN(Depth0,Quantiles!BM26))/Depth_per_q)</f>
        <v>0</v>
      </c>
      <c r="BN26" s="20" t="n">
        <f aca="false">IF(Quantiles!BN26&lt;0,"",(Depth0-MIN(Depth0,Quantiles!BN26))/Depth_per_q)</f>
        <v>0</v>
      </c>
      <c r="BO26" s="20" t="n">
        <f aca="false">IF(Quantiles!BO26&lt;0,"",(Depth0-MIN(Depth0,Quantiles!BO26))/Depth_per_q)</f>
        <v>0</v>
      </c>
      <c r="BP26" s="20" t="n">
        <f aca="false">IF(Quantiles!BP26&lt;0,"",(Depth0-MIN(Depth0,Quantiles!BP26))/Depth_per_q)</f>
        <v>0</v>
      </c>
      <c r="BQ26" s="20" t="n">
        <f aca="false">IF(Quantiles!BQ26&lt;0,"",(Depth0-MIN(Depth0,Quantiles!BQ26))/Depth_per_q)</f>
        <v>0</v>
      </c>
      <c r="BR26" s="20" t="n">
        <f aca="false">IF(Quantiles!BR26&lt;0,"",(Depth0-MIN(Depth0,Quantiles!BR26))/Depth_per_q)</f>
        <v>0</v>
      </c>
      <c r="BS26" s="20" t="n">
        <f aca="false">IF(Quantiles!BS26&lt;0,"",(Depth0-MIN(Depth0,Quantiles!BS26))/Depth_per_q)</f>
        <v>0</v>
      </c>
      <c r="BT26" s="20" t="n">
        <f aca="false">IF(Quantiles!BT26&lt;0,"",(Depth0-MIN(Depth0,Quantiles!BT26))/Depth_per_q)</f>
        <v>0</v>
      </c>
      <c r="BU26" s="20" t="n">
        <f aca="false">IF(Quantiles!BU26&lt;0,"",(Depth0-MIN(Depth0,Quantiles!BU26))/Depth_per_q)</f>
        <v>0</v>
      </c>
      <c r="BV26" s="20" t="n">
        <f aca="false">IF(Quantiles!BV26&lt;0,"",(Depth0-MIN(Depth0,Quantiles!BV26))/Depth_per_q)</f>
        <v>0</v>
      </c>
      <c r="BW26" s="20" t="n">
        <f aca="false">IF(Quantiles!BW26&lt;0,"",(Depth0-MIN(Depth0,Quantiles!BW26))/Depth_per_q)</f>
        <v>0</v>
      </c>
      <c r="BX26" s="20" t="n">
        <f aca="false">IF(Quantiles!BX26&lt;0,"",(Depth0-MIN(Depth0,Quantiles!BX26))/Depth_per_q)</f>
        <v>0</v>
      </c>
      <c r="BY26" s="20" t="n">
        <f aca="false">IF(Quantiles!BY26&lt;0,"",(Depth0-MIN(Depth0,Quantiles!BY26))/Depth_per_q)</f>
        <v>0</v>
      </c>
      <c r="BZ26" s="20" t="n">
        <f aca="false">IF(Quantiles!BZ26&lt;0,"",(Depth0-MIN(Depth0,Quantiles!BZ26))/Depth_per_q)</f>
        <v>0</v>
      </c>
      <c r="CA26" s="20" t="n">
        <f aca="false">IF(Quantiles!CA26&lt;0,"",(Depth0-MIN(Depth0,Quantiles!CA26))/Depth_per_q)</f>
        <v>0</v>
      </c>
      <c r="CB26" s="20" t="n">
        <f aca="false">IF(Quantiles!CB26&lt;0,"",(Depth0-MIN(Depth0,Quantiles!CB26))/Depth_per_q)</f>
        <v>0</v>
      </c>
      <c r="CC26" s="20" t="n">
        <f aca="false">IF(Quantiles!CC26&lt;0,"",(Depth0-MIN(Depth0,Quantiles!CC26))/Depth_per_q)</f>
        <v>0</v>
      </c>
      <c r="CD26" s="20" t="n">
        <f aca="false">IF(Quantiles!CD26&lt;0,"",(Depth0-MIN(Depth0,Quantiles!CD26))/Depth_per_q)</f>
        <v>0</v>
      </c>
      <c r="CE26" s="20" t="n">
        <f aca="false">IF(Quantiles!CE26&lt;0,"",(Depth0-MIN(Depth0,Quantiles!CE26))/Depth_per_q)</f>
        <v>0</v>
      </c>
      <c r="CF26" s="20" t="n">
        <f aca="false">IF(Quantiles!CF26&lt;0,"",(Depth0-MIN(Depth0,Quantiles!CF26))/Depth_per_q)</f>
        <v>0</v>
      </c>
      <c r="CG26" s="20" t="n">
        <f aca="false">IF(Quantiles!CG26&lt;0,"",(Depth0-MIN(Depth0,Quantiles!CG26))/Depth_per_q)</f>
        <v>0</v>
      </c>
      <c r="CH26" s="20" t="n">
        <f aca="false">IF(Quantiles!CH26&lt;0,"",(Depth0-MIN(Depth0,Quantiles!CH26))/Depth_per_q)</f>
        <v>0</v>
      </c>
      <c r="CI26" s="20" t="n">
        <f aca="false">IF(Quantiles!CI26&lt;0,"",(Depth0-MIN(Depth0,Quantiles!CI26))/Depth_per_q)</f>
        <v>0</v>
      </c>
      <c r="CJ26" s="20" t="n">
        <f aca="false">IF(Quantiles!CJ26&lt;0,"",(Depth0-MIN(Depth0,Quantiles!CJ26))/Depth_per_q)</f>
        <v>0</v>
      </c>
      <c r="CK26" s="20" t="n">
        <f aca="false">IF(Quantiles!CK26&lt;0,"",(Depth0-MIN(Depth0,Quantiles!CK26))/Depth_per_q)</f>
        <v>0</v>
      </c>
      <c r="CL26" s="20" t="n">
        <f aca="false">IF(Quantiles!CL26&lt;0,"",(Depth0-MIN(Depth0,Quantiles!CL26))/Depth_per_q)</f>
        <v>0</v>
      </c>
      <c r="CM26" s="20" t="n">
        <f aca="false">IF(Quantiles!CM26&lt;0,"",(Depth0-MIN(Depth0,Quantiles!CM26))/Depth_per_q)</f>
        <v>0</v>
      </c>
      <c r="CN26" s="20" t="n">
        <f aca="false">IF(Quantiles!CN26&lt;0,"",(Depth0-MIN(Depth0,Quantiles!CN26))/Depth_per_q)</f>
        <v>0</v>
      </c>
      <c r="CO26" s="20" t="n">
        <f aca="false">IF(Quantiles!CO26&lt;0,"",(Depth0-MIN(Depth0,Quantiles!CO26))/Depth_per_q)</f>
        <v>0</v>
      </c>
      <c r="CP26" s="20" t="n">
        <f aca="false">IF(Quantiles!CP26&lt;0,"",(Depth0-MIN(Depth0,Quantiles!CP26))/Depth_per_q)</f>
        <v>0</v>
      </c>
      <c r="CQ26" s="20" t="n">
        <f aca="false">IF(Quantiles!CQ26&lt;0,"",(Depth0-MIN(Depth0,Quantiles!CQ26))/Depth_per_q)</f>
        <v>0</v>
      </c>
      <c r="CR26" s="20" t="n">
        <f aca="false">IF(Quantiles!CR26&lt;0,"",(Depth0-MIN(Depth0,Quantiles!CR26))/Depth_per_q)</f>
        <v>0</v>
      </c>
      <c r="CS26" s="20" t="n">
        <f aca="false">IF(Quantiles!CS26&lt;0,"",(Depth0-MIN(Depth0,Quantiles!CS26))/Depth_per_q)</f>
        <v>0</v>
      </c>
      <c r="CT26" s="20" t="n">
        <f aca="false">IF(Quantiles!CT26&lt;0,"",(Depth0-MIN(Depth0,Quantiles!CT26))/Depth_per_q)</f>
        <v>1.90293888750387</v>
      </c>
    </row>
    <row r="27" customFormat="false" ht="15" hidden="false" customHeight="false" outlineLevel="0" collapsed="false">
      <c r="A27" s="25" t="n">
        <f aca="false">Quantiles!A27</f>
        <v>110</v>
      </c>
      <c r="B27" s="20" t="n">
        <f aca="false">IF(Quantiles!B27&lt;0,"",(Depth0-MIN(Depth0,Quantiles!B27))/Depth_per_q)</f>
        <v>3.25158205214188</v>
      </c>
      <c r="C27" s="20" t="n">
        <f aca="false">IF(Quantiles!C27&lt;0,"",(Depth0-MIN(Depth0,Quantiles!C27))/Depth_per_q)</f>
        <v>2.93665864703555</v>
      </c>
      <c r="D27" s="20" t="n">
        <f aca="false">IF(Quantiles!D27&lt;0,"",(Depth0-MIN(Depth0,Quantiles!D27))/Depth_per_q)</f>
        <v>2.71685273287671</v>
      </c>
      <c r="E27" s="20" t="n">
        <f aca="false">IF(Quantiles!E27&lt;0,"",(Depth0-MIN(Depth0,Quantiles!E27))/Depth_per_q)</f>
        <v>2.51983332591058</v>
      </c>
      <c r="F27" s="20" t="n">
        <f aca="false">IF(Quantiles!F27&lt;0,"",(Depth0-MIN(Depth0,Quantiles!F27))/Depth_per_q)</f>
        <v>2.34307080679853</v>
      </c>
      <c r="G27" s="20" t="n">
        <f aca="false">IF(Quantiles!G27&lt;0,"",(Depth0-MIN(Depth0,Quantiles!G27))/Depth_per_q)</f>
        <v>2.19000962594306</v>
      </c>
      <c r="H27" s="20" t="n">
        <f aca="false">IF(Quantiles!H27&lt;0,"",(Depth0-MIN(Depth0,Quantiles!H27))/Depth_per_q)</f>
        <v>2.05609172361945</v>
      </c>
      <c r="I27" s="20" t="n">
        <f aca="false">IF(Quantiles!I27&lt;0,"",(Depth0-MIN(Depth0,Quantiles!I27))/Depth_per_q)</f>
        <v>1.92746411612471</v>
      </c>
      <c r="J27" s="20" t="n">
        <f aca="false">IF(Quantiles!J27&lt;0,"",(Depth0-MIN(Depth0,Quantiles!J27))/Depth_per_q)</f>
        <v>1.81802469130186</v>
      </c>
      <c r="K27" s="20" t="n">
        <f aca="false">IF(Quantiles!K27&lt;0,"",(Depth0-MIN(Depth0,Quantiles!K27))/Depth_per_q)</f>
        <v>1.70027109538308</v>
      </c>
      <c r="L27" s="20" t="n">
        <f aca="false">IF(Quantiles!L27&lt;0,"",(Depth0-MIN(Depth0,Quantiles!L27))/Depth_per_q)</f>
        <v>1.59389655157191</v>
      </c>
      <c r="M27" s="20" t="n">
        <f aca="false">IF(Quantiles!M27&lt;0,"",(Depth0-MIN(Depth0,Quantiles!M27))/Depth_per_q)</f>
        <v>1.50627090824515</v>
      </c>
      <c r="N27" s="20" t="n">
        <f aca="false">IF(Quantiles!N27&lt;0,"",(Depth0-MIN(Depth0,Quantiles!N27))/Depth_per_q)</f>
        <v>1.41697809439859</v>
      </c>
      <c r="O27" s="20" t="n">
        <f aca="false">IF(Quantiles!O27&lt;0,"",(Depth0-MIN(Depth0,Quantiles!O27))/Depth_per_q)</f>
        <v>1.33738478647463</v>
      </c>
      <c r="P27" s="20" t="n">
        <f aca="false">IF(Quantiles!P27&lt;0,"",(Depth0-MIN(Depth0,Quantiles!P27))/Depth_per_q)</f>
        <v>1.26164849118935</v>
      </c>
      <c r="Q27" s="20" t="n">
        <f aca="false">IF(Quantiles!Q27&lt;0,"",(Depth0-MIN(Depth0,Quantiles!Q27))/Depth_per_q)</f>
        <v>1.19943435582394</v>
      </c>
      <c r="R27" s="20" t="n">
        <f aca="false">IF(Quantiles!R27&lt;0,"",(Depth0-MIN(Depth0,Quantiles!R27))/Depth_per_q)</f>
        <v>1.12541717597411</v>
      </c>
      <c r="S27" s="20" t="n">
        <f aca="false">IF(Quantiles!S27&lt;0,"",(Depth0-MIN(Depth0,Quantiles!S27))/Depth_per_q)</f>
        <v>1.06469503532422</v>
      </c>
      <c r="T27" s="20" t="n">
        <f aca="false">IF(Quantiles!T27&lt;0,"",(Depth0-MIN(Depth0,Quantiles!T27))/Depth_per_q)</f>
        <v>1.00323668441671</v>
      </c>
      <c r="U27" s="20" t="n">
        <f aca="false">IF(Quantiles!U27&lt;0,"",(Depth0-MIN(Depth0,Quantiles!U27))/Depth_per_q)</f>
        <v>0.947686001600925</v>
      </c>
      <c r="V27" s="20" t="n">
        <f aca="false">IF(Quantiles!V27&lt;0,"",(Depth0-MIN(Depth0,Quantiles!V27))/Depth_per_q)</f>
        <v>0.894930697226722</v>
      </c>
      <c r="W27" s="20" t="n">
        <f aca="false">IF(Quantiles!W27&lt;0,"",(Depth0-MIN(Depth0,Quantiles!W27))/Depth_per_q)</f>
        <v>0.839370313988343</v>
      </c>
      <c r="X27" s="20" t="n">
        <f aca="false">IF(Quantiles!X27&lt;0,"",(Depth0-MIN(Depth0,Quantiles!X27))/Depth_per_q)</f>
        <v>0.789727432642978</v>
      </c>
      <c r="Y27" s="20" t="n">
        <f aca="false">IF(Quantiles!Y27&lt;0,"",(Depth0-MIN(Depth0,Quantiles!Y27))/Depth_per_q)</f>
        <v>0.73867897291006</v>
      </c>
      <c r="Z27" s="20" t="n">
        <f aca="false">IF(Quantiles!Z27&lt;0,"",(Depth0-MIN(Depth0,Quantiles!Z27))/Depth_per_q)</f>
        <v>0.688990101041237</v>
      </c>
      <c r="AA27" s="20" t="n">
        <f aca="false">IF(Quantiles!AA27&lt;0,"",(Depth0-MIN(Depth0,Quantiles!AA27))/Depth_per_q)</f>
        <v>0.640143489650385</v>
      </c>
      <c r="AB27" s="20" t="n">
        <f aca="false">IF(Quantiles!AB27&lt;0,"",(Depth0-MIN(Depth0,Quantiles!AB27))/Depth_per_q)</f>
        <v>0.595377370141192</v>
      </c>
      <c r="AC27" s="20" t="n">
        <f aca="false">IF(Quantiles!AC27&lt;0,"",(Depth0-MIN(Depth0,Quantiles!AC27))/Depth_per_q)</f>
        <v>0.55397236992384</v>
      </c>
      <c r="AD27" s="20" t="n">
        <f aca="false">IF(Quantiles!AD27&lt;0,"",(Depth0-MIN(Depth0,Quantiles!AD27))/Depth_per_q)</f>
        <v>0.510792193396767</v>
      </c>
      <c r="AE27" s="20" t="n">
        <f aca="false">IF(Quantiles!AE27&lt;0,"",(Depth0-MIN(Depth0,Quantiles!AE27))/Depth_per_q)</f>
        <v>0.470864202824748</v>
      </c>
      <c r="AF27" s="20" t="n">
        <f aca="false">IF(Quantiles!AF27&lt;0,"",(Depth0-MIN(Depth0,Quantiles!AF27))/Depth_per_q)</f>
        <v>0.429446655696657</v>
      </c>
      <c r="AG27" s="20" t="n">
        <f aca="false">IF(Quantiles!AG27&lt;0,"",(Depth0-MIN(Depth0,Quantiles!AG27))/Depth_per_q)</f>
        <v>0.39056299599638</v>
      </c>
      <c r="AH27" s="20" t="n">
        <f aca="false">IF(Quantiles!AH27&lt;0,"",(Depth0-MIN(Depth0,Quantiles!AH27))/Depth_per_q)</f>
        <v>0.353072710664512</v>
      </c>
      <c r="AI27" s="20" t="n">
        <f aca="false">IF(Quantiles!AI27&lt;0,"",(Depth0-MIN(Depth0,Quantiles!AI27))/Depth_per_q)</f>
        <v>0.316332760600263</v>
      </c>
      <c r="AJ27" s="20" t="n">
        <f aca="false">IF(Quantiles!AJ27&lt;0,"",(Depth0-MIN(Depth0,Quantiles!AJ27))/Depth_per_q)</f>
        <v>0.276776243470905</v>
      </c>
      <c r="AK27" s="20" t="n">
        <f aca="false">IF(Quantiles!AK27&lt;0,"",(Depth0-MIN(Depth0,Quantiles!AK27))/Depth_per_q)</f>
        <v>0.24341092318444</v>
      </c>
      <c r="AL27" s="20" t="n">
        <f aca="false">IF(Quantiles!AL27&lt;0,"",(Depth0-MIN(Depth0,Quantiles!AL27))/Depth_per_q)</f>
        <v>0.206841706738515</v>
      </c>
      <c r="AM27" s="20" t="n">
        <f aca="false">IF(Quantiles!AM27&lt;0,"",(Depth0-MIN(Depth0,Quantiles!AM27))/Depth_per_q)</f>
        <v>0.174282594251762</v>
      </c>
      <c r="AN27" s="20" t="n">
        <f aca="false">IF(Quantiles!AN27&lt;0,"",(Depth0-MIN(Depth0,Quantiles!AN27))/Depth_per_q)</f>
        <v>0.13870843838079</v>
      </c>
      <c r="AO27" s="20" t="n">
        <f aca="false">IF(Quantiles!AO27&lt;0,"",(Depth0-MIN(Depth0,Quantiles!AO27))/Depth_per_q)</f>
        <v>0.104426112635442</v>
      </c>
      <c r="AP27" s="20" t="n">
        <f aca="false">IF(Quantiles!AP27&lt;0,"",(Depth0-MIN(Depth0,Quantiles!AP27))/Depth_per_q)</f>
        <v>0.0712099368000878</v>
      </c>
      <c r="AQ27" s="20" t="n">
        <f aca="false">IF(Quantiles!AQ27&lt;0,"",(Depth0-MIN(Depth0,Quantiles!AQ27))/Depth_per_q)</f>
        <v>0.0368295204278901</v>
      </c>
      <c r="AR27" s="20" t="n">
        <f aca="false">IF(Quantiles!AR27&lt;0,"",(Depth0-MIN(Depth0,Quantiles!AR27))/Depth_per_q)</f>
        <v>0.00805219797307544</v>
      </c>
      <c r="AS27" s="20" t="n">
        <f aca="false">IF(Quantiles!AS27&lt;0,"",(Depth0-MIN(Depth0,Quantiles!AS27))/Depth_per_q)</f>
        <v>0</v>
      </c>
      <c r="AT27" s="20" t="n">
        <f aca="false">IF(Quantiles!AT27&lt;0,"",(Depth0-MIN(Depth0,Quantiles!AT27))/Depth_per_q)</f>
        <v>0</v>
      </c>
      <c r="AU27" s="20" t="n">
        <f aca="false">IF(Quantiles!AU27&lt;0,"",(Depth0-MIN(Depth0,Quantiles!AU27))/Depth_per_q)</f>
        <v>0</v>
      </c>
      <c r="AV27" s="20" t="n">
        <f aca="false">IF(Quantiles!AV27&lt;0,"",(Depth0-MIN(Depth0,Quantiles!AV27))/Depth_per_q)</f>
        <v>0</v>
      </c>
      <c r="AW27" s="20" t="n">
        <f aca="false">IF(Quantiles!AW27&lt;0,"",(Depth0-MIN(Depth0,Quantiles!AW27))/Depth_per_q)</f>
        <v>0</v>
      </c>
      <c r="AX27" s="20" t="n">
        <f aca="false">IF(Quantiles!AX27&lt;0,"",(Depth0-MIN(Depth0,Quantiles!AX27))/Depth_per_q)</f>
        <v>0</v>
      </c>
      <c r="AY27" s="20" t="n">
        <f aca="false">IF(Quantiles!AY27&lt;0,"",(Depth0-MIN(Depth0,Quantiles!AY27))/Depth_per_q)</f>
        <v>0</v>
      </c>
      <c r="AZ27" s="20" t="n">
        <f aca="false">IF(Quantiles!AZ27&lt;0,"",(Depth0-MIN(Depth0,Quantiles!AZ27))/Depth_per_q)</f>
        <v>0</v>
      </c>
      <c r="BA27" s="20" t="n">
        <f aca="false">IF(Quantiles!BA27&lt;0,"",(Depth0-MIN(Depth0,Quantiles!BA27))/Depth_per_q)</f>
        <v>0</v>
      </c>
      <c r="BB27" s="20" t="n">
        <f aca="false">IF(Quantiles!BB27&lt;0,"",(Depth0-MIN(Depth0,Quantiles!BB27))/Depth_per_q)</f>
        <v>0</v>
      </c>
      <c r="BC27" s="20" t="n">
        <f aca="false">IF(Quantiles!BC27&lt;0,"",(Depth0-MIN(Depth0,Quantiles!BC27))/Depth_per_q)</f>
        <v>0</v>
      </c>
      <c r="BD27" s="20" t="n">
        <f aca="false">IF(Quantiles!BD27&lt;0,"",(Depth0-MIN(Depth0,Quantiles!BD27))/Depth_per_q)</f>
        <v>0</v>
      </c>
      <c r="BE27" s="20" t="n">
        <f aca="false">IF(Quantiles!BE27&lt;0,"",(Depth0-MIN(Depth0,Quantiles!BE27))/Depth_per_q)</f>
        <v>0</v>
      </c>
      <c r="BF27" s="20" t="n">
        <f aca="false">IF(Quantiles!BF27&lt;0,"",(Depth0-MIN(Depth0,Quantiles!BF27))/Depth_per_q)</f>
        <v>0</v>
      </c>
      <c r="BG27" s="20" t="n">
        <f aca="false">IF(Quantiles!BG27&lt;0,"",(Depth0-MIN(Depth0,Quantiles!BG27))/Depth_per_q)</f>
        <v>0</v>
      </c>
      <c r="BH27" s="20" t="n">
        <f aca="false">IF(Quantiles!BH27&lt;0,"",(Depth0-MIN(Depth0,Quantiles!BH27))/Depth_per_q)</f>
        <v>0</v>
      </c>
      <c r="BI27" s="20" t="n">
        <f aca="false">IF(Quantiles!BI27&lt;0,"",(Depth0-MIN(Depth0,Quantiles!BI27))/Depth_per_q)</f>
        <v>0</v>
      </c>
      <c r="BJ27" s="20" t="n">
        <f aca="false">IF(Quantiles!BJ27&lt;0,"",(Depth0-MIN(Depth0,Quantiles!BJ27))/Depth_per_q)</f>
        <v>0</v>
      </c>
      <c r="BK27" s="20" t="n">
        <f aca="false">IF(Quantiles!BK27&lt;0,"",(Depth0-MIN(Depth0,Quantiles!BK27))/Depth_per_q)</f>
        <v>0</v>
      </c>
      <c r="BL27" s="20" t="n">
        <f aca="false">IF(Quantiles!BL27&lt;0,"",(Depth0-MIN(Depth0,Quantiles!BL27))/Depth_per_q)</f>
        <v>0</v>
      </c>
      <c r="BM27" s="20" t="n">
        <f aca="false">IF(Quantiles!BM27&lt;0,"",(Depth0-MIN(Depth0,Quantiles!BM27))/Depth_per_q)</f>
        <v>0</v>
      </c>
      <c r="BN27" s="20" t="n">
        <f aca="false">IF(Quantiles!BN27&lt;0,"",(Depth0-MIN(Depth0,Quantiles!BN27))/Depth_per_q)</f>
        <v>0</v>
      </c>
      <c r="BO27" s="20" t="n">
        <f aca="false">IF(Quantiles!BO27&lt;0,"",(Depth0-MIN(Depth0,Quantiles!BO27))/Depth_per_q)</f>
        <v>0</v>
      </c>
      <c r="BP27" s="20" t="n">
        <f aca="false">IF(Quantiles!BP27&lt;0,"",(Depth0-MIN(Depth0,Quantiles!BP27))/Depth_per_q)</f>
        <v>0</v>
      </c>
      <c r="BQ27" s="20" t="n">
        <f aca="false">IF(Quantiles!BQ27&lt;0,"",(Depth0-MIN(Depth0,Quantiles!BQ27))/Depth_per_q)</f>
        <v>0</v>
      </c>
      <c r="BR27" s="20" t="n">
        <f aca="false">IF(Quantiles!BR27&lt;0,"",(Depth0-MIN(Depth0,Quantiles!BR27))/Depth_per_q)</f>
        <v>0</v>
      </c>
      <c r="BS27" s="20" t="n">
        <f aca="false">IF(Quantiles!BS27&lt;0,"",(Depth0-MIN(Depth0,Quantiles!BS27))/Depth_per_q)</f>
        <v>0</v>
      </c>
      <c r="BT27" s="20" t="n">
        <f aca="false">IF(Quantiles!BT27&lt;0,"",(Depth0-MIN(Depth0,Quantiles!BT27))/Depth_per_q)</f>
        <v>0</v>
      </c>
      <c r="BU27" s="20" t="n">
        <f aca="false">IF(Quantiles!BU27&lt;0,"",(Depth0-MIN(Depth0,Quantiles!BU27))/Depth_per_q)</f>
        <v>0</v>
      </c>
      <c r="BV27" s="20" t="n">
        <f aca="false">IF(Quantiles!BV27&lt;0,"",(Depth0-MIN(Depth0,Quantiles!BV27))/Depth_per_q)</f>
        <v>0</v>
      </c>
      <c r="BW27" s="20" t="n">
        <f aca="false">IF(Quantiles!BW27&lt;0,"",(Depth0-MIN(Depth0,Quantiles!BW27))/Depth_per_q)</f>
        <v>0</v>
      </c>
      <c r="BX27" s="20" t="n">
        <f aca="false">IF(Quantiles!BX27&lt;0,"",(Depth0-MIN(Depth0,Quantiles!BX27))/Depth_per_q)</f>
        <v>0</v>
      </c>
      <c r="BY27" s="20" t="n">
        <f aca="false">IF(Quantiles!BY27&lt;0,"",(Depth0-MIN(Depth0,Quantiles!BY27))/Depth_per_q)</f>
        <v>0</v>
      </c>
      <c r="BZ27" s="20" t="n">
        <f aca="false">IF(Quantiles!BZ27&lt;0,"",(Depth0-MIN(Depth0,Quantiles!BZ27))/Depth_per_q)</f>
        <v>0</v>
      </c>
      <c r="CA27" s="20" t="n">
        <f aca="false">IF(Quantiles!CA27&lt;0,"",(Depth0-MIN(Depth0,Quantiles!CA27))/Depth_per_q)</f>
        <v>0</v>
      </c>
      <c r="CB27" s="20" t="n">
        <f aca="false">IF(Quantiles!CB27&lt;0,"",(Depth0-MIN(Depth0,Quantiles!CB27))/Depth_per_q)</f>
        <v>0</v>
      </c>
      <c r="CC27" s="20" t="n">
        <f aca="false">IF(Quantiles!CC27&lt;0,"",(Depth0-MIN(Depth0,Quantiles!CC27))/Depth_per_q)</f>
        <v>0</v>
      </c>
      <c r="CD27" s="20" t="n">
        <f aca="false">IF(Quantiles!CD27&lt;0,"",(Depth0-MIN(Depth0,Quantiles!CD27))/Depth_per_q)</f>
        <v>0</v>
      </c>
      <c r="CE27" s="20" t="n">
        <f aca="false">IF(Quantiles!CE27&lt;0,"",(Depth0-MIN(Depth0,Quantiles!CE27))/Depth_per_q)</f>
        <v>0</v>
      </c>
      <c r="CF27" s="20" t="n">
        <f aca="false">IF(Quantiles!CF27&lt;0,"",(Depth0-MIN(Depth0,Quantiles!CF27))/Depth_per_q)</f>
        <v>0</v>
      </c>
      <c r="CG27" s="20" t="n">
        <f aca="false">IF(Quantiles!CG27&lt;0,"",(Depth0-MIN(Depth0,Quantiles!CG27))/Depth_per_q)</f>
        <v>0</v>
      </c>
      <c r="CH27" s="20" t="n">
        <f aca="false">IF(Quantiles!CH27&lt;0,"",(Depth0-MIN(Depth0,Quantiles!CH27))/Depth_per_q)</f>
        <v>0</v>
      </c>
      <c r="CI27" s="20" t="n">
        <f aca="false">IF(Quantiles!CI27&lt;0,"",(Depth0-MIN(Depth0,Quantiles!CI27))/Depth_per_q)</f>
        <v>0</v>
      </c>
      <c r="CJ27" s="20" t="n">
        <f aca="false">IF(Quantiles!CJ27&lt;0,"",(Depth0-MIN(Depth0,Quantiles!CJ27))/Depth_per_q)</f>
        <v>0</v>
      </c>
      <c r="CK27" s="20" t="n">
        <f aca="false">IF(Quantiles!CK27&lt;0,"",(Depth0-MIN(Depth0,Quantiles!CK27))/Depth_per_q)</f>
        <v>0</v>
      </c>
      <c r="CL27" s="20" t="n">
        <f aca="false">IF(Quantiles!CL27&lt;0,"",(Depth0-MIN(Depth0,Quantiles!CL27))/Depth_per_q)</f>
        <v>0</v>
      </c>
      <c r="CM27" s="20" t="n">
        <f aca="false">IF(Quantiles!CM27&lt;0,"",(Depth0-MIN(Depth0,Quantiles!CM27))/Depth_per_q)</f>
        <v>0</v>
      </c>
      <c r="CN27" s="20" t="n">
        <f aca="false">IF(Quantiles!CN27&lt;0,"",(Depth0-MIN(Depth0,Quantiles!CN27))/Depth_per_q)</f>
        <v>0</v>
      </c>
      <c r="CO27" s="20" t="n">
        <f aca="false">IF(Quantiles!CO27&lt;0,"",(Depth0-MIN(Depth0,Quantiles!CO27))/Depth_per_q)</f>
        <v>0</v>
      </c>
      <c r="CP27" s="20" t="n">
        <f aca="false">IF(Quantiles!CP27&lt;0,"",(Depth0-MIN(Depth0,Quantiles!CP27))/Depth_per_q)</f>
        <v>0</v>
      </c>
      <c r="CQ27" s="20" t="n">
        <f aca="false">IF(Quantiles!CQ27&lt;0,"",(Depth0-MIN(Depth0,Quantiles!CQ27))/Depth_per_q)</f>
        <v>0</v>
      </c>
      <c r="CR27" s="20" t="n">
        <f aca="false">IF(Quantiles!CR27&lt;0,"",(Depth0-MIN(Depth0,Quantiles!CR27))/Depth_per_q)</f>
        <v>0</v>
      </c>
      <c r="CS27" s="20" t="n">
        <f aca="false">IF(Quantiles!CS27&lt;0,"",(Depth0-MIN(Depth0,Quantiles!CS27))/Depth_per_q)</f>
        <v>0</v>
      </c>
      <c r="CT27" s="20" t="n">
        <f aca="false">IF(Quantiles!CT27&lt;0,"",(Depth0-MIN(Depth0,Quantiles!CT27))/Depth_per_q)</f>
        <v>1.81701346017963</v>
      </c>
    </row>
    <row r="28" customFormat="false" ht="15" hidden="false" customHeight="false" outlineLevel="0" collapsed="false">
      <c r="A28" s="25" t="n">
        <f aca="false">Quantiles!A28</f>
        <v>115</v>
      </c>
      <c r="B28" s="20" t="n">
        <f aca="false">IF(Quantiles!B28&lt;0,"",(Depth0-MIN(Depth0,Quantiles!B28))/Depth_per_q)</f>
        <v>3.11111313552639</v>
      </c>
      <c r="C28" s="20" t="n">
        <f aca="false">IF(Quantiles!C28&lt;0,"",(Depth0-MIN(Depth0,Quantiles!C28))/Depth_per_q)</f>
        <v>2.82236576404384</v>
      </c>
      <c r="D28" s="20" t="n">
        <f aca="false">IF(Quantiles!D28&lt;0,"",(Depth0-MIN(Depth0,Quantiles!D28))/Depth_per_q)</f>
        <v>2.58465122877193</v>
      </c>
      <c r="E28" s="20" t="n">
        <f aca="false">IF(Quantiles!E28&lt;0,"",(Depth0-MIN(Depth0,Quantiles!E28))/Depth_per_q)</f>
        <v>2.41671723893508</v>
      </c>
      <c r="F28" s="20" t="n">
        <f aca="false">IF(Quantiles!F28&lt;0,"",(Depth0-MIN(Depth0,Quantiles!F28))/Depth_per_q)</f>
        <v>2.23384198099232</v>
      </c>
      <c r="G28" s="20" t="n">
        <f aca="false">IF(Quantiles!G28&lt;0,"",(Depth0-MIN(Depth0,Quantiles!G28))/Depth_per_q)</f>
        <v>2.07909021009577</v>
      </c>
      <c r="H28" s="20" t="n">
        <f aca="false">IF(Quantiles!H28&lt;0,"",(Depth0-MIN(Depth0,Quantiles!H28))/Depth_per_q)</f>
        <v>1.94278999176141</v>
      </c>
      <c r="I28" s="20" t="n">
        <f aca="false">IF(Quantiles!I28&lt;0,"",(Depth0-MIN(Depth0,Quantiles!I28))/Depth_per_q)</f>
        <v>1.84073786442969</v>
      </c>
      <c r="J28" s="20" t="n">
        <f aca="false">IF(Quantiles!J28&lt;0,"",(Depth0-MIN(Depth0,Quantiles!J28))/Depth_per_q)</f>
        <v>1.72679848850848</v>
      </c>
      <c r="K28" s="20" t="n">
        <f aca="false">IF(Quantiles!K28&lt;0,"",(Depth0-MIN(Depth0,Quantiles!K28))/Depth_per_q)</f>
        <v>1.61908120721469</v>
      </c>
      <c r="L28" s="20" t="n">
        <f aca="false">IF(Quantiles!L28&lt;0,"",(Depth0-MIN(Depth0,Quantiles!L28))/Depth_per_q)</f>
        <v>1.52257148452493</v>
      </c>
      <c r="M28" s="20" t="n">
        <f aca="false">IF(Quantiles!M28&lt;0,"",(Depth0-MIN(Depth0,Quantiles!M28))/Depth_per_q)</f>
        <v>1.42785302510977</v>
      </c>
      <c r="N28" s="20" t="n">
        <f aca="false">IF(Quantiles!N28&lt;0,"",(Depth0-MIN(Depth0,Quantiles!N28))/Depth_per_q)</f>
        <v>1.34347500912761</v>
      </c>
      <c r="O28" s="20" t="n">
        <f aca="false">IF(Quantiles!O28&lt;0,"",(Depth0-MIN(Depth0,Quantiles!O28))/Depth_per_q)</f>
        <v>1.26891944780552</v>
      </c>
      <c r="P28" s="20" t="n">
        <f aca="false">IF(Quantiles!P28&lt;0,"",(Depth0-MIN(Depth0,Quantiles!P28))/Depth_per_q)</f>
        <v>1.20492923017545</v>
      </c>
      <c r="Q28" s="20" t="n">
        <f aca="false">IF(Quantiles!Q28&lt;0,"",(Depth0-MIN(Depth0,Quantiles!Q28))/Depth_per_q)</f>
        <v>1.12941208350878</v>
      </c>
      <c r="R28" s="20" t="n">
        <f aca="false">IF(Quantiles!R28&lt;0,"",(Depth0-MIN(Depth0,Quantiles!R28))/Depth_per_q)</f>
        <v>1.06440068618477</v>
      </c>
      <c r="S28" s="20" t="n">
        <f aca="false">IF(Quantiles!S28&lt;0,"",(Depth0-MIN(Depth0,Quantiles!S28))/Depth_per_q)</f>
        <v>0.998972308972777</v>
      </c>
      <c r="T28" s="20" t="n">
        <f aca="false">IF(Quantiles!T28&lt;0,"",(Depth0-MIN(Depth0,Quantiles!T28))/Depth_per_q)</f>
        <v>0.934587243189455</v>
      </c>
      <c r="U28" s="20" t="n">
        <f aca="false">IF(Quantiles!U28&lt;0,"",(Depth0-MIN(Depth0,Quantiles!U28))/Depth_per_q)</f>
        <v>0.88335128489079</v>
      </c>
      <c r="V28" s="20" t="n">
        <f aca="false">IF(Quantiles!V28&lt;0,"",(Depth0-MIN(Depth0,Quantiles!V28))/Depth_per_q)</f>
        <v>0.830400452226373</v>
      </c>
      <c r="W28" s="20" t="n">
        <f aca="false">IF(Quantiles!W28&lt;0,"",(Depth0-MIN(Depth0,Quantiles!W28))/Depth_per_q)</f>
        <v>0.777146719086565</v>
      </c>
      <c r="X28" s="20" t="n">
        <f aca="false">IF(Quantiles!X28&lt;0,"",(Depth0-MIN(Depth0,Quantiles!X28))/Depth_per_q)</f>
        <v>0.726159435791145</v>
      </c>
      <c r="Y28" s="20" t="n">
        <f aca="false">IF(Quantiles!Y28&lt;0,"",(Depth0-MIN(Depth0,Quantiles!Y28))/Depth_per_q)</f>
        <v>0.675603574720115</v>
      </c>
      <c r="Z28" s="20" t="n">
        <f aca="false">IF(Quantiles!Z28&lt;0,"",(Depth0-MIN(Depth0,Quantiles!Z28))/Depth_per_q)</f>
        <v>0.628939991144025</v>
      </c>
      <c r="AA28" s="20" t="n">
        <f aca="false">IF(Quantiles!AA28&lt;0,"",(Depth0-MIN(Depth0,Quantiles!AA28))/Depth_per_q)</f>
        <v>0.58235189994026</v>
      </c>
      <c r="AB28" s="20" t="n">
        <f aca="false">IF(Quantiles!AB28&lt;0,"",(Depth0-MIN(Depth0,Quantiles!AB28))/Depth_per_q)</f>
        <v>0.542626784331388</v>
      </c>
      <c r="AC28" s="20" t="n">
        <f aca="false">IF(Quantiles!AC28&lt;0,"",(Depth0-MIN(Depth0,Quantiles!AC28))/Depth_per_q)</f>
        <v>0.50042353176698</v>
      </c>
      <c r="AD28" s="20" t="n">
        <f aca="false">IF(Quantiles!AD28&lt;0,"",(Depth0-MIN(Depth0,Quantiles!AD28))/Depth_per_q)</f>
        <v>0.45986754374697</v>
      </c>
      <c r="AE28" s="20" t="n">
        <f aca="false">IF(Quantiles!AE28&lt;0,"",(Depth0-MIN(Depth0,Quantiles!AE28))/Depth_per_q)</f>
        <v>0.421822979647438</v>
      </c>
      <c r="AF28" s="20" t="n">
        <f aca="false">IF(Quantiles!AF28&lt;0,"",(Depth0-MIN(Depth0,Quantiles!AF28))/Depth_per_q)</f>
        <v>0.38300106296472</v>
      </c>
      <c r="AG28" s="20" t="n">
        <f aca="false">IF(Quantiles!AG28&lt;0,"",(Depth0-MIN(Depth0,Quantiles!AG28))/Depth_per_q)</f>
        <v>0.344627424704485</v>
      </c>
      <c r="AH28" s="20" t="n">
        <f aca="false">IF(Quantiles!AH28&lt;0,"",(Depth0-MIN(Depth0,Quantiles!AH28))/Depth_per_q)</f>
        <v>0.306285682351677</v>
      </c>
      <c r="AI28" s="20" t="n">
        <f aca="false">IF(Quantiles!AI28&lt;0,"",(Depth0-MIN(Depth0,Quantiles!AI28))/Depth_per_q)</f>
        <v>0.268695899342215</v>
      </c>
      <c r="AJ28" s="20" t="n">
        <f aca="false">IF(Quantiles!AJ28&lt;0,"",(Depth0-MIN(Depth0,Quantiles!AJ28))/Depth_per_q)</f>
        <v>0.231227689450687</v>
      </c>
      <c r="AK28" s="20" t="n">
        <f aca="false">IF(Quantiles!AK28&lt;0,"",(Depth0-MIN(Depth0,Quantiles!AK28))/Depth_per_q)</f>
        <v>0.196347154839898</v>
      </c>
      <c r="AL28" s="20" t="n">
        <f aca="false">IF(Quantiles!AL28&lt;0,"",(Depth0-MIN(Depth0,Quantiles!AL28))/Depth_per_q)</f>
        <v>0.164149023342068</v>
      </c>
      <c r="AM28" s="20" t="n">
        <f aca="false">IF(Quantiles!AM28&lt;0,"",(Depth0-MIN(Depth0,Quantiles!AM28))/Depth_per_q)</f>
        <v>0.127209300288103</v>
      </c>
      <c r="AN28" s="20" t="n">
        <f aca="false">IF(Quantiles!AN28&lt;0,"",(Depth0-MIN(Depth0,Quantiles!AN28))/Depth_per_q)</f>
        <v>0.0950274329347653</v>
      </c>
      <c r="AO28" s="20" t="n">
        <f aca="false">IF(Quantiles!AO28&lt;0,"",(Depth0-MIN(Depth0,Quantiles!AO28))/Depth_per_q)</f>
        <v>0.0609338677934446</v>
      </c>
      <c r="AP28" s="20" t="n">
        <f aca="false">IF(Quantiles!AP28&lt;0,"",(Depth0-MIN(Depth0,Quantiles!AP28))/Depth_per_q)</f>
        <v>0.0282502267344453</v>
      </c>
      <c r="AQ28" s="20" t="n">
        <f aca="false">IF(Quantiles!AQ28&lt;0,"",(Depth0-MIN(Depth0,Quantiles!AQ28))/Depth_per_q)</f>
        <v>0</v>
      </c>
      <c r="AR28" s="20" t="n">
        <f aca="false">IF(Quantiles!AR28&lt;0,"",(Depth0-MIN(Depth0,Quantiles!AR28))/Depth_per_q)</f>
        <v>0</v>
      </c>
      <c r="AS28" s="20" t="n">
        <f aca="false">IF(Quantiles!AS28&lt;0,"",(Depth0-MIN(Depth0,Quantiles!AS28))/Depth_per_q)</f>
        <v>0</v>
      </c>
      <c r="AT28" s="20" t="n">
        <f aca="false">IF(Quantiles!AT28&lt;0,"",(Depth0-MIN(Depth0,Quantiles!AT28))/Depth_per_q)</f>
        <v>0</v>
      </c>
      <c r="AU28" s="20" t="n">
        <f aca="false">IF(Quantiles!AU28&lt;0,"",(Depth0-MIN(Depth0,Quantiles!AU28))/Depth_per_q)</f>
        <v>0</v>
      </c>
      <c r="AV28" s="20" t="n">
        <f aca="false">IF(Quantiles!AV28&lt;0,"",(Depth0-MIN(Depth0,Quantiles!AV28))/Depth_per_q)</f>
        <v>0</v>
      </c>
      <c r="AW28" s="20" t="n">
        <f aca="false">IF(Quantiles!AW28&lt;0,"",(Depth0-MIN(Depth0,Quantiles!AW28))/Depth_per_q)</f>
        <v>0</v>
      </c>
      <c r="AX28" s="20" t="n">
        <f aca="false">IF(Quantiles!AX28&lt;0,"",(Depth0-MIN(Depth0,Quantiles!AX28))/Depth_per_q)</f>
        <v>0</v>
      </c>
      <c r="AY28" s="20" t="n">
        <f aca="false">IF(Quantiles!AY28&lt;0,"",(Depth0-MIN(Depth0,Quantiles!AY28))/Depth_per_q)</f>
        <v>0</v>
      </c>
      <c r="AZ28" s="20" t="n">
        <f aca="false">IF(Quantiles!AZ28&lt;0,"",(Depth0-MIN(Depth0,Quantiles!AZ28))/Depth_per_q)</f>
        <v>0</v>
      </c>
      <c r="BA28" s="20" t="n">
        <f aca="false">IF(Quantiles!BA28&lt;0,"",(Depth0-MIN(Depth0,Quantiles!BA28))/Depth_per_q)</f>
        <v>0</v>
      </c>
      <c r="BB28" s="20" t="n">
        <f aca="false">IF(Quantiles!BB28&lt;0,"",(Depth0-MIN(Depth0,Quantiles!BB28))/Depth_per_q)</f>
        <v>0</v>
      </c>
      <c r="BC28" s="20" t="n">
        <f aca="false">IF(Quantiles!BC28&lt;0,"",(Depth0-MIN(Depth0,Quantiles!BC28))/Depth_per_q)</f>
        <v>0</v>
      </c>
      <c r="BD28" s="20" t="n">
        <f aca="false">IF(Quantiles!BD28&lt;0,"",(Depth0-MIN(Depth0,Quantiles!BD28))/Depth_per_q)</f>
        <v>0</v>
      </c>
      <c r="BE28" s="20" t="n">
        <f aca="false">IF(Quantiles!BE28&lt;0,"",(Depth0-MIN(Depth0,Quantiles!BE28))/Depth_per_q)</f>
        <v>0</v>
      </c>
      <c r="BF28" s="20" t="n">
        <f aca="false">IF(Quantiles!BF28&lt;0,"",(Depth0-MIN(Depth0,Quantiles!BF28))/Depth_per_q)</f>
        <v>0</v>
      </c>
      <c r="BG28" s="20" t="n">
        <f aca="false">IF(Quantiles!BG28&lt;0,"",(Depth0-MIN(Depth0,Quantiles!BG28))/Depth_per_q)</f>
        <v>0</v>
      </c>
      <c r="BH28" s="20" t="n">
        <f aca="false">IF(Quantiles!BH28&lt;0,"",(Depth0-MIN(Depth0,Quantiles!BH28))/Depth_per_q)</f>
        <v>0</v>
      </c>
      <c r="BI28" s="20" t="n">
        <f aca="false">IF(Quantiles!BI28&lt;0,"",(Depth0-MIN(Depth0,Quantiles!BI28))/Depth_per_q)</f>
        <v>0</v>
      </c>
      <c r="BJ28" s="20" t="n">
        <f aca="false">IF(Quantiles!BJ28&lt;0,"",(Depth0-MIN(Depth0,Quantiles!BJ28))/Depth_per_q)</f>
        <v>0</v>
      </c>
      <c r="BK28" s="20" t="n">
        <f aca="false">IF(Quantiles!BK28&lt;0,"",(Depth0-MIN(Depth0,Quantiles!BK28))/Depth_per_q)</f>
        <v>0</v>
      </c>
      <c r="BL28" s="20" t="n">
        <f aca="false">IF(Quantiles!BL28&lt;0,"",(Depth0-MIN(Depth0,Quantiles!BL28))/Depth_per_q)</f>
        <v>0</v>
      </c>
      <c r="BM28" s="20" t="n">
        <f aca="false">IF(Quantiles!BM28&lt;0,"",(Depth0-MIN(Depth0,Quantiles!BM28))/Depth_per_q)</f>
        <v>0</v>
      </c>
      <c r="BN28" s="20" t="n">
        <f aca="false">IF(Quantiles!BN28&lt;0,"",(Depth0-MIN(Depth0,Quantiles!BN28))/Depth_per_q)</f>
        <v>0</v>
      </c>
      <c r="BO28" s="20" t="n">
        <f aca="false">IF(Quantiles!BO28&lt;0,"",(Depth0-MIN(Depth0,Quantiles!BO28))/Depth_per_q)</f>
        <v>0</v>
      </c>
      <c r="BP28" s="20" t="n">
        <f aca="false">IF(Quantiles!BP28&lt;0,"",(Depth0-MIN(Depth0,Quantiles!BP28))/Depth_per_q)</f>
        <v>0</v>
      </c>
      <c r="BQ28" s="20" t="n">
        <f aca="false">IF(Quantiles!BQ28&lt;0,"",(Depth0-MIN(Depth0,Quantiles!BQ28))/Depth_per_q)</f>
        <v>0</v>
      </c>
      <c r="BR28" s="20" t="n">
        <f aca="false">IF(Quantiles!BR28&lt;0,"",(Depth0-MIN(Depth0,Quantiles!BR28))/Depth_per_q)</f>
        <v>0</v>
      </c>
      <c r="BS28" s="20" t="n">
        <f aca="false">IF(Quantiles!BS28&lt;0,"",(Depth0-MIN(Depth0,Quantiles!BS28))/Depth_per_q)</f>
        <v>0</v>
      </c>
      <c r="BT28" s="20" t="n">
        <f aca="false">IF(Quantiles!BT28&lt;0,"",(Depth0-MIN(Depth0,Quantiles!BT28))/Depth_per_q)</f>
        <v>0</v>
      </c>
      <c r="BU28" s="20" t="n">
        <f aca="false">IF(Quantiles!BU28&lt;0,"",(Depth0-MIN(Depth0,Quantiles!BU28))/Depth_per_q)</f>
        <v>0</v>
      </c>
      <c r="BV28" s="20" t="n">
        <f aca="false">IF(Quantiles!BV28&lt;0,"",(Depth0-MIN(Depth0,Quantiles!BV28))/Depth_per_q)</f>
        <v>0</v>
      </c>
      <c r="BW28" s="20" t="n">
        <f aca="false">IF(Quantiles!BW28&lt;0,"",(Depth0-MIN(Depth0,Quantiles!BW28))/Depth_per_q)</f>
        <v>0</v>
      </c>
      <c r="BX28" s="20" t="n">
        <f aca="false">IF(Quantiles!BX28&lt;0,"",(Depth0-MIN(Depth0,Quantiles!BX28))/Depth_per_q)</f>
        <v>0</v>
      </c>
      <c r="BY28" s="20" t="n">
        <f aca="false">IF(Quantiles!BY28&lt;0,"",(Depth0-MIN(Depth0,Quantiles!BY28))/Depth_per_q)</f>
        <v>0</v>
      </c>
      <c r="BZ28" s="20" t="n">
        <f aca="false">IF(Quantiles!BZ28&lt;0,"",(Depth0-MIN(Depth0,Quantiles!BZ28))/Depth_per_q)</f>
        <v>0</v>
      </c>
      <c r="CA28" s="20" t="n">
        <f aca="false">IF(Quantiles!CA28&lt;0,"",(Depth0-MIN(Depth0,Quantiles!CA28))/Depth_per_q)</f>
        <v>0</v>
      </c>
      <c r="CB28" s="20" t="n">
        <f aca="false">IF(Quantiles!CB28&lt;0,"",(Depth0-MIN(Depth0,Quantiles!CB28))/Depth_per_q)</f>
        <v>0</v>
      </c>
      <c r="CC28" s="20" t="n">
        <f aca="false">IF(Quantiles!CC28&lt;0,"",(Depth0-MIN(Depth0,Quantiles!CC28))/Depth_per_q)</f>
        <v>0</v>
      </c>
      <c r="CD28" s="20" t="n">
        <f aca="false">IF(Quantiles!CD28&lt;0,"",(Depth0-MIN(Depth0,Quantiles!CD28))/Depth_per_q)</f>
        <v>0</v>
      </c>
      <c r="CE28" s="20" t="n">
        <f aca="false">IF(Quantiles!CE28&lt;0,"",(Depth0-MIN(Depth0,Quantiles!CE28))/Depth_per_q)</f>
        <v>0</v>
      </c>
      <c r="CF28" s="20" t="n">
        <f aca="false">IF(Quantiles!CF28&lt;0,"",(Depth0-MIN(Depth0,Quantiles!CF28))/Depth_per_q)</f>
        <v>0</v>
      </c>
      <c r="CG28" s="20" t="n">
        <f aca="false">IF(Quantiles!CG28&lt;0,"",(Depth0-MIN(Depth0,Quantiles!CG28))/Depth_per_q)</f>
        <v>0</v>
      </c>
      <c r="CH28" s="20" t="n">
        <f aca="false">IF(Quantiles!CH28&lt;0,"",(Depth0-MIN(Depth0,Quantiles!CH28))/Depth_per_q)</f>
        <v>0</v>
      </c>
      <c r="CI28" s="20" t="n">
        <f aca="false">IF(Quantiles!CI28&lt;0,"",(Depth0-MIN(Depth0,Quantiles!CI28))/Depth_per_q)</f>
        <v>0</v>
      </c>
      <c r="CJ28" s="20" t="n">
        <f aca="false">IF(Quantiles!CJ28&lt;0,"",(Depth0-MIN(Depth0,Quantiles!CJ28))/Depth_per_q)</f>
        <v>0</v>
      </c>
      <c r="CK28" s="20" t="n">
        <f aca="false">IF(Quantiles!CK28&lt;0,"",(Depth0-MIN(Depth0,Quantiles!CK28))/Depth_per_q)</f>
        <v>0</v>
      </c>
      <c r="CL28" s="20" t="n">
        <f aca="false">IF(Quantiles!CL28&lt;0,"",(Depth0-MIN(Depth0,Quantiles!CL28))/Depth_per_q)</f>
        <v>0</v>
      </c>
      <c r="CM28" s="20" t="n">
        <f aca="false">IF(Quantiles!CM28&lt;0,"",(Depth0-MIN(Depth0,Quantiles!CM28))/Depth_per_q)</f>
        <v>0</v>
      </c>
      <c r="CN28" s="20" t="n">
        <f aca="false">IF(Quantiles!CN28&lt;0,"",(Depth0-MIN(Depth0,Quantiles!CN28))/Depth_per_q)</f>
        <v>0</v>
      </c>
      <c r="CO28" s="20" t="n">
        <f aca="false">IF(Quantiles!CO28&lt;0,"",(Depth0-MIN(Depth0,Quantiles!CO28))/Depth_per_q)</f>
        <v>0</v>
      </c>
      <c r="CP28" s="20" t="n">
        <f aca="false">IF(Quantiles!CP28&lt;0,"",(Depth0-MIN(Depth0,Quantiles!CP28))/Depth_per_q)</f>
        <v>0</v>
      </c>
      <c r="CQ28" s="20" t="n">
        <f aca="false">IF(Quantiles!CQ28&lt;0,"",(Depth0-MIN(Depth0,Quantiles!CQ28))/Depth_per_q)</f>
        <v>0</v>
      </c>
      <c r="CR28" s="20" t="n">
        <f aca="false">IF(Quantiles!CR28&lt;0,"",(Depth0-MIN(Depth0,Quantiles!CR28))/Depth_per_q)</f>
        <v>0</v>
      </c>
      <c r="CS28" s="20" t="n">
        <f aca="false">IF(Quantiles!CS28&lt;0,"",(Depth0-MIN(Depth0,Quantiles!CS28))/Depth_per_q)</f>
        <v>0</v>
      </c>
      <c r="CT28" s="20" t="n">
        <f aca="false">IF(Quantiles!CT28&lt;0,"",(Depth0-MIN(Depth0,Quantiles!CT28))/Depth_per_q)</f>
        <v>1.72145607600166</v>
      </c>
    </row>
    <row r="29" customFormat="false" ht="15" hidden="false" customHeight="false" outlineLevel="0" collapsed="false">
      <c r="A29" s="25" t="n">
        <f aca="false">Quantiles!A29</f>
        <v>120</v>
      </c>
      <c r="B29" s="20" t="n">
        <f aca="false">IF(Quantiles!B29&lt;0,"",(Depth0-MIN(Depth0,Quantiles!B29))/Depth_per_q)</f>
        <v>2.97361102234174</v>
      </c>
      <c r="C29" s="20" t="n">
        <f aca="false">IF(Quantiles!C29&lt;0,"",(Depth0-MIN(Depth0,Quantiles!C29))/Depth_per_q)</f>
        <v>2.70097618285268</v>
      </c>
      <c r="D29" s="20" t="n">
        <f aca="false">IF(Quantiles!D29&lt;0,"",(Depth0-MIN(Depth0,Quantiles!D29))/Depth_per_q)</f>
        <v>2.48494929368164</v>
      </c>
      <c r="E29" s="20" t="n">
        <f aca="false">IF(Quantiles!E29&lt;0,"",(Depth0-MIN(Depth0,Quantiles!E29))/Depth_per_q)</f>
        <v>2.29749746563616</v>
      </c>
      <c r="F29" s="20" t="n">
        <f aca="false">IF(Quantiles!F29&lt;0,"",(Depth0-MIN(Depth0,Quantiles!F29))/Depth_per_q)</f>
        <v>2.13049750994198</v>
      </c>
      <c r="G29" s="20" t="n">
        <f aca="false">IF(Quantiles!G29&lt;0,"",(Depth0-MIN(Depth0,Quantiles!G29))/Depth_per_q)</f>
        <v>1.98160361562316</v>
      </c>
      <c r="H29" s="20" t="n">
        <f aca="false">IF(Quantiles!H29&lt;0,"",(Depth0-MIN(Depth0,Quantiles!H29))/Depth_per_q)</f>
        <v>1.85809505379828</v>
      </c>
      <c r="I29" s="20" t="n">
        <f aca="false">IF(Quantiles!I29&lt;0,"",(Depth0-MIN(Depth0,Quantiles!I29))/Depth_per_q)</f>
        <v>1.74864342059346</v>
      </c>
      <c r="J29" s="20" t="n">
        <f aca="false">IF(Quantiles!J29&lt;0,"",(Depth0-MIN(Depth0,Quantiles!J29))/Depth_per_q)</f>
        <v>1.64283681997861</v>
      </c>
      <c r="K29" s="20" t="n">
        <f aca="false">IF(Quantiles!K29&lt;0,"",(Depth0-MIN(Depth0,Quantiles!K29))/Depth_per_q)</f>
        <v>1.5427443173547</v>
      </c>
      <c r="L29" s="20" t="n">
        <f aca="false">IF(Quantiles!L29&lt;0,"",(Depth0-MIN(Depth0,Quantiles!L29))/Depth_per_q)</f>
        <v>1.44579625820352</v>
      </c>
      <c r="M29" s="20" t="n">
        <f aca="false">IF(Quantiles!M29&lt;0,"",(Depth0-MIN(Depth0,Quantiles!M29))/Depth_per_q)</f>
        <v>1.36115574363471</v>
      </c>
      <c r="N29" s="20" t="n">
        <f aca="false">IF(Quantiles!N29&lt;0,"",(Depth0-MIN(Depth0,Quantiles!N29))/Depth_per_q)</f>
        <v>1.2782589624607</v>
      </c>
      <c r="O29" s="20" t="n">
        <f aca="false">IF(Quantiles!O29&lt;0,"",(Depth0-MIN(Depth0,Quantiles!O29))/Depth_per_q)</f>
        <v>1.20951347804379</v>
      </c>
      <c r="P29" s="20" t="n">
        <f aca="false">IF(Quantiles!P29&lt;0,"",(Depth0-MIN(Depth0,Quantiles!P29))/Depth_per_q)</f>
        <v>1.13492330259438</v>
      </c>
      <c r="Q29" s="20" t="n">
        <f aca="false">IF(Quantiles!Q29&lt;0,"",(Depth0-MIN(Depth0,Quantiles!Q29))/Depth_per_q)</f>
        <v>1.07111498379025</v>
      </c>
      <c r="R29" s="20" t="n">
        <f aca="false">IF(Quantiles!R29&lt;0,"",(Depth0-MIN(Depth0,Quantiles!R29))/Depth_per_q)</f>
        <v>1.00377171592018</v>
      </c>
      <c r="S29" s="20" t="n">
        <f aca="false">IF(Quantiles!S29&lt;0,"",(Depth0-MIN(Depth0,Quantiles!S29))/Depth_per_q)</f>
        <v>0.942493243999</v>
      </c>
      <c r="T29" s="20" t="n">
        <f aca="false">IF(Quantiles!T29&lt;0,"",(Depth0-MIN(Depth0,Quantiles!T29))/Depth_per_q)</f>
        <v>0.8877866887688</v>
      </c>
      <c r="U29" s="20" t="n">
        <f aca="false">IF(Quantiles!U29&lt;0,"",(Depth0-MIN(Depth0,Quantiles!U29))/Depth_per_q)</f>
        <v>0.83285882940705</v>
      </c>
      <c r="V29" s="20" t="n">
        <f aca="false">IF(Quantiles!V29&lt;0,"",(Depth0-MIN(Depth0,Quantiles!V29))/Depth_per_q)</f>
        <v>0.77665407151193</v>
      </c>
      <c r="W29" s="20" t="n">
        <f aca="false">IF(Quantiles!W29&lt;0,"",(Depth0-MIN(Depth0,Quantiles!W29))/Depth_per_q)</f>
        <v>0.721947143738032</v>
      </c>
      <c r="X29" s="20" t="n">
        <f aca="false">IF(Quantiles!X29&lt;0,"",(Depth0-MIN(Depth0,Quantiles!X29))/Depth_per_q)</f>
        <v>0.67043486299175</v>
      </c>
      <c r="Y29" s="20" t="n">
        <f aca="false">IF(Quantiles!Y29&lt;0,"",(Depth0-MIN(Depth0,Quantiles!Y29))/Depth_per_q)</f>
        <v>0.621633546986632</v>
      </c>
      <c r="Z29" s="20" t="n">
        <f aca="false">IF(Quantiles!Z29&lt;0,"",(Depth0-MIN(Depth0,Quantiles!Z29))/Depth_per_q)</f>
        <v>0.5797195608809</v>
      </c>
      <c r="AA29" s="20" t="n">
        <f aca="false">IF(Quantiles!AA29&lt;0,"",(Depth0-MIN(Depth0,Quantiles!AA29))/Depth_per_q)</f>
        <v>0.536279390815582</v>
      </c>
      <c r="AB29" s="20" t="n">
        <f aca="false">IF(Quantiles!AB29&lt;0,"",(Depth0-MIN(Depth0,Quantiles!AB29))/Depth_per_q)</f>
        <v>0.496081433265553</v>
      </c>
      <c r="AC29" s="20" t="n">
        <f aca="false">IF(Quantiles!AC29&lt;0,"",(Depth0-MIN(Depth0,Quantiles!AC29))/Depth_per_q)</f>
        <v>0.45200013452549</v>
      </c>
      <c r="AD29" s="20" t="n">
        <f aca="false">IF(Quantiles!AD29&lt;0,"",(Depth0-MIN(Depth0,Quantiles!AD29))/Depth_per_q)</f>
        <v>0.410818657179798</v>
      </c>
      <c r="AE29" s="20" t="n">
        <f aca="false">IF(Quantiles!AE29&lt;0,"",(Depth0-MIN(Depth0,Quantiles!AE29))/Depth_per_q)</f>
        <v>0.37201204796633</v>
      </c>
      <c r="AF29" s="20" t="n">
        <f aca="false">IF(Quantiles!AF29&lt;0,"",(Depth0-MIN(Depth0,Quantiles!AF29))/Depth_per_q)</f>
        <v>0.333773880954635</v>
      </c>
      <c r="AG29" s="20" t="n">
        <f aca="false">IF(Quantiles!AG29&lt;0,"",(Depth0-MIN(Depth0,Quantiles!AG29))/Depth_per_q)</f>
        <v>0.296394642187282</v>
      </c>
      <c r="AH29" s="20" t="n">
        <f aca="false">IF(Quantiles!AH29&lt;0,"",(Depth0-MIN(Depth0,Quantiles!AH29))/Depth_per_q)</f>
        <v>0.25867421532057</v>
      </c>
      <c r="AI29" s="20" t="n">
        <f aca="false">IF(Quantiles!AI29&lt;0,"",(Depth0-MIN(Depth0,Quantiles!AI29))/Depth_per_q)</f>
        <v>0.222423241310958</v>
      </c>
      <c r="AJ29" s="20" t="n">
        <f aca="false">IF(Quantiles!AJ29&lt;0,"",(Depth0-MIN(Depth0,Quantiles!AJ29))/Depth_per_q)</f>
        <v>0.18992651429124</v>
      </c>
      <c r="AK29" s="20" t="n">
        <f aca="false">IF(Quantiles!AK29&lt;0,"",(Depth0-MIN(Depth0,Quantiles!AK29))/Depth_per_q)</f>
        <v>0.156316869929435</v>
      </c>
      <c r="AL29" s="20" t="n">
        <f aca="false">IF(Quantiles!AL29&lt;0,"",(Depth0-MIN(Depth0,Quantiles!AL29))/Depth_per_q)</f>
        <v>0.121129437708245</v>
      </c>
      <c r="AM29" s="20" t="n">
        <f aca="false">IF(Quantiles!AM29&lt;0,"",(Depth0-MIN(Depth0,Quantiles!AM29))/Depth_per_q)</f>
        <v>0.0868001455864249</v>
      </c>
      <c r="AN29" s="20" t="n">
        <f aca="false">IF(Quantiles!AN29&lt;0,"",(Depth0-MIN(Depth0,Quantiles!AN29))/Depth_per_q)</f>
        <v>0.0525809822675978</v>
      </c>
      <c r="AO29" s="20" t="n">
        <f aca="false">IF(Quantiles!AO29&lt;0,"",(Depth0-MIN(Depth0,Quantiles!AO29))/Depth_per_q)</f>
        <v>0.0207419540002425</v>
      </c>
      <c r="AP29" s="20" t="n">
        <f aca="false">IF(Quantiles!AP29&lt;0,"",(Depth0-MIN(Depth0,Quantiles!AP29))/Depth_per_q)</f>
        <v>0</v>
      </c>
      <c r="AQ29" s="20" t="n">
        <f aca="false">IF(Quantiles!AQ29&lt;0,"",(Depth0-MIN(Depth0,Quantiles!AQ29))/Depth_per_q)</f>
        <v>0</v>
      </c>
      <c r="AR29" s="20" t="n">
        <f aca="false">IF(Quantiles!AR29&lt;0,"",(Depth0-MIN(Depth0,Quantiles!AR29))/Depth_per_q)</f>
        <v>0</v>
      </c>
      <c r="AS29" s="20" t="n">
        <f aca="false">IF(Quantiles!AS29&lt;0,"",(Depth0-MIN(Depth0,Quantiles!AS29))/Depth_per_q)</f>
        <v>0</v>
      </c>
      <c r="AT29" s="20" t="n">
        <f aca="false">IF(Quantiles!AT29&lt;0,"",(Depth0-MIN(Depth0,Quantiles!AT29))/Depth_per_q)</f>
        <v>0</v>
      </c>
      <c r="AU29" s="20" t="n">
        <f aca="false">IF(Quantiles!AU29&lt;0,"",(Depth0-MIN(Depth0,Quantiles!AU29))/Depth_per_q)</f>
        <v>0</v>
      </c>
      <c r="AV29" s="20" t="n">
        <f aca="false">IF(Quantiles!AV29&lt;0,"",(Depth0-MIN(Depth0,Quantiles!AV29))/Depth_per_q)</f>
        <v>0</v>
      </c>
      <c r="AW29" s="20" t="n">
        <f aca="false">IF(Quantiles!AW29&lt;0,"",(Depth0-MIN(Depth0,Quantiles!AW29))/Depth_per_q)</f>
        <v>0</v>
      </c>
      <c r="AX29" s="20" t="n">
        <f aca="false">IF(Quantiles!AX29&lt;0,"",(Depth0-MIN(Depth0,Quantiles!AX29))/Depth_per_q)</f>
        <v>0</v>
      </c>
      <c r="AY29" s="20" t="n">
        <f aca="false">IF(Quantiles!AY29&lt;0,"",(Depth0-MIN(Depth0,Quantiles!AY29))/Depth_per_q)</f>
        <v>0</v>
      </c>
      <c r="AZ29" s="20" t="n">
        <f aca="false">IF(Quantiles!AZ29&lt;0,"",(Depth0-MIN(Depth0,Quantiles!AZ29))/Depth_per_q)</f>
        <v>0</v>
      </c>
      <c r="BA29" s="20" t="n">
        <f aca="false">IF(Quantiles!BA29&lt;0,"",(Depth0-MIN(Depth0,Quantiles!BA29))/Depth_per_q)</f>
        <v>0</v>
      </c>
      <c r="BB29" s="20" t="n">
        <f aca="false">IF(Quantiles!BB29&lt;0,"",(Depth0-MIN(Depth0,Quantiles!BB29))/Depth_per_q)</f>
        <v>0</v>
      </c>
      <c r="BC29" s="20" t="n">
        <f aca="false">IF(Quantiles!BC29&lt;0,"",(Depth0-MIN(Depth0,Quantiles!BC29))/Depth_per_q)</f>
        <v>0</v>
      </c>
      <c r="BD29" s="20" t="n">
        <f aca="false">IF(Quantiles!BD29&lt;0,"",(Depth0-MIN(Depth0,Quantiles!BD29))/Depth_per_q)</f>
        <v>0</v>
      </c>
      <c r="BE29" s="20" t="n">
        <f aca="false">IF(Quantiles!BE29&lt;0,"",(Depth0-MIN(Depth0,Quantiles!BE29))/Depth_per_q)</f>
        <v>0</v>
      </c>
      <c r="BF29" s="20" t="n">
        <f aca="false">IF(Quantiles!BF29&lt;0,"",(Depth0-MIN(Depth0,Quantiles!BF29))/Depth_per_q)</f>
        <v>0</v>
      </c>
      <c r="BG29" s="20" t="n">
        <f aca="false">IF(Quantiles!BG29&lt;0,"",(Depth0-MIN(Depth0,Quantiles!BG29))/Depth_per_q)</f>
        <v>0</v>
      </c>
      <c r="BH29" s="20" t="n">
        <f aca="false">IF(Quantiles!BH29&lt;0,"",(Depth0-MIN(Depth0,Quantiles!BH29))/Depth_per_q)</f>
        <v>0</v>
      </c>
      <c r="BI29" s="20" t="n">
        <f aca="false">IF(Quantiles!BI29&lt;0,"",(Depth0-MIN(Depth0,Quantiles!BI29))/Depth_per_q)</f>
        <v>0</v>
      </c>
      <c r="BJ29" s="20" t="n">
        <f aca="false">IF(Quantiles!BJ29&lt;0,"",(Depth0-MIN(Depth0,Quantiles!BJ29))/Depth_per_q)</f>
        <v>0</v>
      </c>
      <c r="BK29" s="20" t="n">
        <f aca="false">IF(Quantiles!BK29&lt;0,"",(Depth0-MIN(Depth0,Quantiles!BK29))/Depth_per_q)</f>
        <v>0</v>
      </c>
      <c r="BL29" s="20" t="n">
        <f aca="false">IF(Quantiles!BL29&lt;0,"",(Depth0-MIN(Depth0,Quantiles!BL29))/Depth_per_q)</f>
        <v>0</v>
      </c>
      <c r="BM29" s="20" t="n">
        <f aca="false">IF(Quantiles!BM29&lt;0,"",(Depth0-MIN(Depth0,Quantiles!BM29))/Depth_per_q)</f>
        <v>0</v>
      </c>
      <c r="BN29" s="20" t="n">
        <f aca="false">IF(Quantiles!BN29&lt;0,"",(Depth0-MIN(Depth0,Quantiles!BN29))/Depth_per_q)</f>
        <v>0</v>
      </c>
      <c r="BO29" s="20" t="n">
        <f aca="false">IF(Quantiles!BO29&lt;0,"",(Depth0-MIN(Depth0,Quantiles!BO29))/Depth_per_q)</f>
        <v>0</v>
      </c>
      <c r="BP29" s="20" t="n">
        <f aca="false">IF(Quantiles!BP29&lt;0,"",(Depth0-MIN(Depth0,Quantiles!BP29))/Depth_per_q)</f>
        <v>0</v>
      </c>
      <c r="BQ29" s="20" t="n">
        <f aca="false">IF(Quantiles!BQ29&lt;0,"",(Depth0-MIN(Depth0,Quantiles!BQ29))/Depth_per_q)</f>
        <v>0</v>
      </c>
      <c r="BR29" s="20" t="n">
        <f aca="false">IF(Quantiles!BR29&lt;0,"",(Depth0-MIN(Depth0,Quantiles!BR29))/Depth_per_q)</f>
        <v>0</v>
      </c>
      <c r="BS29" s="20" t="n">
        <f aca="false">IF(Quantiles!BS29&lt;0,"",(Depth0-MIN(Depth0,Quantiles!BS29))/Depth_per_q)</f>
        <v>0</v>
      </c>
      <c r="BT29" s="20" t="n">
        <f aca="false">IF(Quantiles!BT29&lt;0,"",(Depth0-MIN(Depth0,Quantiles!BT29))/Depth_per_q)</f>
        <v>0</v>
      </c>
      <c r="BU29" s="20" t="n">
        <f aca="false">IF(Quantiles!BU29&lt;0,"",(Depth0-MIN(Depth0,Quantiles!BU29))/Depth_per_q)</f>
        <v>0</v>
      </c>
      <c r="BV29" s="20" t="n">
        <f aca="false">IF(Quantiles!BV29&lt;0,"",(Depth0-MIN(Depth0,Quantiles!BV29))/Depth_per_q)</f>
        <v>0</v>
      </c>
      <c r="BW29" s="20" t="n">
        <f aca="false">IF(Quantiles!BW29&lt;0,"",(Depth0-MIN(Depth0,Quantiles!BW29))/Depth_per_q)</f>
        <v>0</v>
      </c>
      <c r="BX29" s="20" t="n">
        <f aca="false">IF(Quantiles!BX29&lt;0,"",(Depth0-MIN(Depth0,Quantiles!BX29))/Depth_per_q)</f>
        <v>0</v>
      </c>
      <c r="BY29" s="20" t="n">
        <f aca="false">IF(Quantiles!BY29&lt;0,"",(Depth0-MIN(Depth0,Quantiles!BY29))/Depth_per_q)</f>
        <v>0</v>
      </c>
      <c r="BZ29" s="20" t="n">
        <f aca="false">IF(Quantiles!BZ29&lt;0,"",(Depth0-MIN(Depth0,Quantiles!BZ29))/Depth_per_q)</f>
        <v>0</v>
      </c>
      <c r="CA29" s="20" t="n">
        <f aca="false">IF(Quantiles!CA29&lt;0,"",(Depth0-MIN(Depth0,Quantiles!CA29))/Depth_per_q)</f>
        <v>0</v>
      </c>
      <c r="CB29" s="20" t="n">
        <f aca="false">IF(Quantiles!CB29&lt;0,"",(Depth0-MIN(Depth0,Quantiles!CB29))/Depth_per_q)</f>
        <v>0</v>
      </c>
      <c r="CC29" s="20" t="n">
        <f aca="false">IF(Quantiles!CC29&lt;0,"",(Depth0-MIN(Depth0,Quantiles!CC29))/Depth_per_q)</f>
        <v>0</v>
      </c>
      <c r="CD29" s="20" t="n">
        <f aca="false">IF(Quantiles!CD29&lt;0,"",(Depth0-MIN(Depth0,Quantiles!CD29))/Depth_per_q)</f>
        <v>0</v>
      </c>
      <c r="CE29" s="20" t="n">
        <f aca="false">IF(Quantiles!CE29&lt;0,"",(Depth0-MIN(Depth0,Quantiles!CE29))/Depth_per_q)</f>
        <v>0</v>
      </c>
      <c r="CF29" s="20" t="n">
        <f aca="false">IF(Quantiles!CF29&lt;0,"",(Depth0-MIN(Depth0,Quantiles!CF29))/Depth_per_q)</f>
        <v>0</v>
      </c>
      <c r="CG29" s="20" t="n">
        <f aca="false">IF(Quantiles!CG29&lt;0,"",(Depth0-MIN(Depth0,Quantiles!CG29))/Depth_per_q)</f>
        <v>0</v>
      </c>
      <c r="CH29" s="20" t="n">
        <f aca="false">IF(Quantiles!CH29&lt;0,"",(Depth0-MIN(Depth0,Quantiles!CH29))/Depth_per_q)</f>
        <v>0</v>
      </c>
      <c r="CI29" s="20" t="n">
        <f aca="false">IF(Quantiles!CI29&lt;0,"",(Depth0-MIN(Depth0,Quantiles!CI29))/Depth_per_q)</f>
        <v>0</v>
      </c>
      <c r="CJ29" s="20" t="n">
        <f aca="false">IF(Quantiles!CJ29&lt;0,"",(Depth0-MIN(Depth0,Quantiles!CJ29))/Depth_per_q)</f>
        <v>0</v>
      </c>
      <c r="CK29" s="20" t="n">
        <f aca="false">IF(Quantiles!CK29&lt;0,"",(Depth0-MIN(Depth0,Quantiles!CK29))/Depth_per_q)</f>
        <v>0</v>
      </c>
      <c r="CL29" s="20" t="n">
        <f aca="false">IF(Quantiles!CL29&lt;0,"",(Depth0-MIN(Depth0,Quantiles!CL29))/Depth_per_q)</f>
        <v>0</v>
      </c>
      <c r="CM29" s="20" t="n">
        <f aca="false">IF(Quantiles!CM29&lt;0,"",(Depth0-MIN(Depth0,Quantiles!CM29))/Depth_per_q)</f>
        <v>0</v>
      </c>
      <c r="CN29" s="20" t="n">
        <f aca="false">IF(Quantiles!CN29&lt;0,"",(Depth0-MIN(Depth0,Quantiles!CN29))/Depth_per_q)</f>
        <v>0</v>
      </c>
      <c r="CO29" s="20" t="n">
        <f aca="false">IF(Quantiles!CO29&lt;0,"",(Depth0-MIN(Depth0,Quantiles!CO29))/Depth_per_q)</f>
        <v>0</v>
      </c>
      <c r="CP29" s="20" t="n">
        <f aca="false">IF(Quantiles!CP29&lt;0,"",(Depth0-MIN(Depth0,Quantiles!CP29))/Depth_per_q)</f>
        <v>0</v>
      </c>
      <c r="CQ29" s="20" t="n">
        <f aca="false">IF(Quantiles!CQ29&lt;0,"",(Depth0-MIN(Depth0,Quantiles!CQ29))/Depth_per_q)</f>
        <v>0</v>
      </c>
      <c r="CR29" s="20" t="n">
        <f aca="false">IF(Quantiles!CR29&lt;0,"",(Depth0-MIN(Depth0,Quantiles!CR29))/Depth_per_q)</f>
        <v>0</v>
      </c>
      <c r="CS29" s="20" t="n">
        <f aca="false">IF(Quantiles!CS29&lt;0,"",(Depth0-MIN(Depth0,Quantiles!CS29))/Depth_per_q)</f>
        <v>0</v>
      </c>
      <c r="CT29" s="20" t="n">
        <f aca="false">IF(Quantiles!CT29&lt;0,"",(Depth0-MIN(Depth0,Quantiles!CT29))/Depth_per_q)</f>
        <v>1.64217020029028</v>
      </c>
    </row>
    <row r="30" customFormat="false" ht="15" hidden="false" customHeight="false" outlineLevel="0" collapsed="false">
      <c r="A30" s="25" t="n">
        <f aca="false">Quantiles!A30</f>
        <v>125</v>
      </c>
      <c r="B30" s="20" t="n">
        <f aca="false">IF(Quantiles!B30&lt;0,"",(Depth0-MIN(Depth0,Quantiles!B30))/Depth_per_q)</f>
        <v>2.8559504733962</v>
      </c>
      <c r="C30" s="20" t="n">
        <f aca="false">IF(Quantiles!C30&lt;0,"",(Depth0-MIN(Depth0,Quantiles!C30))/Depth_per_q)</f>
        <v>2.60138531506434</v>
      </c>
      <c r="D30" s="20" t="n">
        <f aca="false">IF(Quantiles!D30&lt;0,"",(Depth0-MIN(Depth0,Quantiles!D30))/Depth_per_q)</f>
        <v>2.38749323961239</v>
      </c>
      <c r="E30" s="20" t="n">
        <f aca="false">IF(Quantiles!E30&lt;0,"",(Depth0-MIN(Depth0,Quantiles!E30))/Depth_per_q)</f>
        <v>2.19647478715221</v>
      </c>
      <c r="F30" s="20" t="n">
        <f aca="false">IF(Quantiles!F30&lt;0,"",(Depth0-MIN(Depth0,Quantiles!F30))/Depth_per_q)</f>
        <v>2.0446928546693</v>
      </c>
      <c r="G30" s="20" t="n">
        <f aca="false">IF(Quantiles!G30&lt;0,"",(Depth0-MIN(Depth0,Quantiles!G30))/Depth_per_q)</f>
        <v>1.90540274026171</v>
      </c>
      <c r="H30" s="20" t="n">
        <f aca="false">IF(Quantiles!H30&lt;0,"",(Depth0-MIN(Depth0,Quantiles!H30))/Depth_per_q)</f>
        <v>1.78506045590495</v>
      </c>
      <c r="I30" s="20" t="n">
        <f aca="false">IF(Quantiles!I30&lt;0,"",(Depth0-MIN(Depth0,Quantiles!I30))/Depth_per_q)</f>
        <v>1.66062472716439</v>
      </c>
      <c r="J30" s="20" t="n">
        <f aca="false">IF(Quantiles!J30&lt;0,"",(Depth0-MIN(Depth0,Quantiles!J30))/Depth_per_q)</f>
        <v>1.56161310322622</v>
      </c>
      <c r="K30" s="20" t="n">
        <f aca="false">IF(Quantiles!K30&lt;0,"",(Depth0-MIN(Depth0,Quantiles!K30))/Depth_per_q)</f>
        <v>1.46625788955589</v>
      </c>
      <c r="L30" s="20" t="n">
        <f aca="false">IF(Quantiles!L30&lt;0,"",(Depth0-MIN(Depth0,Quantiles!L30))/Depth_per_q)</f>
        <v>1.3790888167827</v>
      </c>
      <c r="M30" s="20" t="n">
        <f aca="false">IF(Quantiles!M30&lt;0,"",(Depth0-MIN(Depth0,Quantiles!M30))/Depth_per_q)</f>
        <v>1.29907717619774</v>
      </c>
      <c r="N30" s="20" t="n">
        <f aca="false">IF(Quantiles!N30&lt;0,"",(Depth0-MIN(Depth0,Quantiles!N30))/Depth_per_q)</f>
        <v>1.2291281305027</v>
      </c>
      <c r="O30" s="20" t="n">
        <f aca="false">IF(Quantiles!O30&lt;0,"",(Depth0-MIN(Depth0,Quantiles!O30))/Depth_per_q)</f>
        <v>1.15191699928995</v>
      </c>
      <c r="P30" s="20" t="n">
        <f aca="false">IF(Quantiles!P30&lt;0,"",(Depth0-MIN(Depth0,Quantiles!P30))/Depth_per_q)</f>
        <v>1.08641240675152</v>
      </c>
      <c r="Q30" s="20" t="n">
        <f aca="false">IF(Quantiles!Q30&lt;0,"",(Depth0-MIN(Depth0,Quantiles!Q30))/Depth_per_q)</f>
        <v>1.01336313732401</v>
      </c>
      <c r="R30" s="20" t="n">
        <f aca="false">IF(Quantiles!R30&lt;0,"",(Depth0-MIN(Depth0,Quantiles!R30))/Depth_per_q)</f>
        <v>0.950088550733665</v>
      </c>
      <c r="S30" s="20" t="n">
        <f aca="false">IF(Quantiles!S30&lt;0,"",(Depth0-MIN(Depth0,Quantiles!S30))/Depth_per_q)</f>
        <v>0.893926040654525</v>
      </c>
      <c r="T30" s="20" t="n">
        <f aca="false">IF(Quantiles!T30&lt;0,"",(Depth0-MIN(Depth0,Quantiles!T30))/Depth_per_q)</f>
        <v>0.836049288613685</v>
      </c>
      <c r="U30" s="20" t="n">
        <f aca="false">IF(Quantiles!U30&lt;0,"",(Depth0-MIN(Depth0,Quantiles!U30))/Depth_per_q)</f>
        <v>0.786453202678757</v>
      </c>
      <c r="V30" s="20" t="n">
        <f aca="false">IF(Quantiles!V30&lt;0,"",(Depth0-MIN(Depth0,Quantiles!V30))/Depth_per_q)</f>
        <v>0.728742962265995</v>
      </c>
      <c r="W30" s="20" t="n">
        <f aca="false">IF(Quantiles!W30&lt;0,"",(Depth0-MIN(Depth0,Quantiles!W30))/Depth_per_q)</f>
        <v>0.677588046449222</v>
      </c>
      <c r="X30" s="20" t="n">
        <f aca="false">IF(Quantiles!X30&lt;0,"",(Depth0-MIN(Depth0,Quantiles!X30))/Depth_per_q)</f>
        <v>0.628914300746903</v>
      </c>
      <c r="Y30" s="20" t="n">
        <f aca="false">IF(Quantiles!Y30&lt;0,"",(Depth0-MIN(Depth0,Quantiles!Y30))/Depth_per_q)</f>
        <v>0.580853078899808</v>
      </c>
      <c r="Z30" s="20" t="n">
        <f aca="false">IF(Quantiles!Z30&lt;0,"",(Depth0-MIN(Depth0,Quantiles!Z30))/Depth_per_q)</f>
        <v>0.533321373634977</v>
      </c>
      <c r="AA30" s="20" t="n">
        <f aca="false">IF(Quantiles!AA30&lt;0,"",(Depth0-MIN(Depth0,Quantiles!AA30))/Depth_per_q)</f>
        <v>0.491622786870485</v>
      </c>
      <c r="AB30" s="20" t="n">
        <f aca="false">IF(Quantiles!AB30&lt;0,"",(Depth0-MIN(Depth0,Quantiles!AB30))/Depth_per_q)</f>
        <v>0.44981255198491</v>
      </c>
      <c r="AC30" s="20" t="n">
        <f aca="false">IF(Quantiles!AC30&lt;0,"",(Depth0-MIN(Depth0,Quantiles!AC30))/Depth_per_q)</f>
        <v>0.409064338322105</v>
      </c>
      <c r="AD30" s="20" t="n">
        <f aca="false">IF(Quantiles!AD30&lt;0,"",(Depth0-MIN(Depth0,Quantiles!AD30))/Depth_per_q)</f>
        <v>0.37152406827868</v>
      </c>
      <c r="AE30" s="20" t="n">
        <f aca="false">IF(Quantiles!AE30&lt;0,"",(Depth0-MIN(Depth0,Quantiles!AE30))/Depth_per_q)</f>
        <v>0.332346619527655</v>
      </c>
      <c r="AF30" s="20" t="n">
        <f aca="false">IF(Quantiles!AF30&lt;0,"",(Depth0-MIN(Depth0,Quantiles!AF30))/Depth_per_q)</f>
        <v>0.294639602696413</v>
      </c>
      <c r="AG30" s="20" t="n">
        <f aca="false">IF(Quantiles!AG30&lt;0,"",(Depth0-MIN(Depth0,Quantiles!AG30))/Depth_per_q)</f>
        <v>0.256502069566615</v>
      </c>
      <c r="AH30" s="20" t="n">
        <f aca="false">IF(Quantiles!AH30&lt;0,"",(Depth0-MIN(Depth0,Quantiles!AH30))/Depth_per_q)</f>
        <v>0.220461927496535</v>
      </c>
      <c r="AI30" s="20" t="n">
        <f aca="false">IF(Quantiles!AI30&lt;0,"",(Depth0-MIN(Depth0,Quantiles!AI30))/Depth_per_q)</f>
        <v>0.18611046189968</v>
      </c>
      <c r="AJ30" s="20" t="n">
        <f aca="false">IF(Quantiles!AJ30&lt;0,"",(Depth0-MIN(Depth0,Quantiles!AJ30))/Depth_per_q)</f>
        <v>0.149760531924315</v>
      </c>
      <c r="AK30" s="20" t="n">
        <f aca="false">IF(Quantiles!AK30&lt;0,"",(Depth0-MIN(Depth0,Quantiles!AK30))/Depth_per_q)</f>
        <v>0.115409899457077</v>
      </c>
      <c r="AL30" s="20" t="n">
        <f aca="false">IF(Quantiles!AL30&lt;0,"",(Depth0-MIN(Depth0,Quantiles!AL30))/Depth_per_q)</f>
        <v>0.083441726792385</v>
      </c>
      <c r="AM30" s="20" t="n">
        <f aca="false">IF(Quantiles!AM30&lt;0,"",(Depth0-MIN(Depth0,Quantiles!AM30))/Depth_per_q)</f>
        <v>0.0465199740558546</v>
      </c>
      <c r="AN30" s="20" t="n">
        <f aca="false">IF(Quantiles!AN30&lt;0,"",(Depth0-MIN(Depth0,Quantiles!AN30))/Depth_per_q)</f>
        <v>0.0159391356859873</v>
      </c>
      <c r="AO30" s="20" t="n">
        <f aca="false">IF(Quantiles!AO30&lt;0,"",(Depth0-MIN(Depth0,Quantiles!AO30))/Depth_per_q)</f>
        <v>0</v>
      </c>
      <c r="AP30" s="20" t="n">
        <f aca="false">IF(Quantiles!AP30&lt;0,"",(Depth0-MIN(Depth0,Quantiles!AP30))/Depth_per_q)</f>
        <v>0</v>
      </c>
      <c r="AQ30" s="20" t="n">
        <f aca="false">IF(Quantiles!AQ30&lt;0,"",(Depth0-MIN(Depth0,Quantiles!AQ30))/Depth_per_q)</f>
        <v>0</v>
      </c>
      <c r="AR30" s="20" t="n">
        <f aca="false">IF(Quantiles!AR30&lt;0,"",(Depth0-MIN(Depth0,Quantiles!AR30))/Depth_per_q)</f>
        <v>0</v>
      </c>
      <c r="AS30" s="20" t="n">
        <f aca="false">IF(Quantiles!AS30&lt;0,"",(Depth0-MIN(Depth0,Quantiles!AS30))/Depth_per_q)</f>
        <v>0</v>
      </c>
      <c r="AT30" s="20" t="n">
        <f aca="false">IF(Quantiles!AT30&lt;0,"",(Depth0-MIN(Depth0,Quantiles!AT30))/Depth_per_q)</f>
        <v>0</v>
      </c>
      <c r="AU30" s="20" t="n">
        <f aca="false">IF(Quantiles!AU30&lt;0,"",(Depth0-MIN(Depth0,Quantiles!AU30))/Depth_per_q)</f>
        <v>0</v>
      </c>
      <c r="AV30" s="20" t="n">
        <f aca="false">IF(Quantiles!AV30&lt;0,"",(Depth0-MIN(Depth0,Quantiles!AV30))/Depth_per_q)</f>
        <v>0</v>
      </c>
      <c r="AW30" s="20" t="n">
        <f aca="false">IF(Quantiles!AW30&lt;0,"",(Depth0-MIN(Depth0,Quantiles!AW30))/Depth_per_q)</f>
        <v>0</v>
      </c>
      <c r="AX30" s="20" t="n">
        <f aca="false">IF(Quantiles!AX30&lt;0,"",(Depth0-MIN(Depth0,Quantiles!AX30))/Depth_per_q)</f>
        <v>0</v>
      </c>
      <c r="AY30" s="20" t="n">
        <f aca="false">IF(Quantiles!AY30&lt;0,"",(Depth0-MIN(Depth0,Quantiles!AY30))/Depth_per_q)</f>
        <v>0</v>
      </c>
      <c r="AZ30" s="20" t="n">
        <f aca="false">IF(Quantiles!AZ30&lt;0,"",(Depth0-MIN(Depth0,Quantiles!AZ30))/Depth_per_q)</f>
        <v>0</v>
      </c>
      <c r="BA30" s="20" t="n">
        <f aca="false">IF(Quantiles!BA30&lt;0,"",(Depth0-MIN(Depth0,Quantiles!BA30))/Depth_per_q)</f>
        <v>0</v>
      </c>
      <c r="BB30" s="20" t="n">
        <f aca="false">IF(Quantiles!BB30&lt;0,"",(Depth0-MIN(Depth0,Quantiles!BB30))/Depth_per_q)</f>
        <v>0</v>
      </c>
      <c r="BC30" s="20" t="n">
        <f aca="false">IF(Quantiles!BC30&lt;0,"",(Depth0-MIN(Depth0,Quantiles!BC30))/Depth_per_q)</f>
        <v>0</v>
      </c>
      <c r="BD30" s="20" t="n">
        <f aca="false">IF(Quantiles!BD30&lt;0,"",(Depth0-MIN(Depth0,Quantiles!BD30))/Depth_per_q)</f>
        <v>0</v>
      </c>
      <c r="BE30" s="20" t="n">
        <f aca="false">IF(Quantiles!BE30&lt;0,"",(Depth0-MIN(Depth0,Quantiles!BE30))/Depth_per_q)</f>
        <v>0</v>
      </c>
      <c r="BF30" s="20" t="n">
        <f aca="false">IF(Quantiles!BF30&lt;0,"",(Depth0-MIN(Depth0,Quantiles!BF30))/Depth_per_q)</f>
        <v>0</v>
      </c>
      <c r="BG30" s="20" t="n">
        <f aca="false">IF(Quantiles!BG30&lt;0,"",(Depth0-MIN(Depth0,Quantiles!BG30))/Depth_per_q)</f>
        <v>0</v>
      </c>
      <c r="BH30" s="20" t="n">
        <f aca="false">IF(Quantiles!BH30&lt;0,"",(Depth0-MIN(Depth0,Quantiles!BH30))/Depth_per_q)</f>
        <v>0</v>
      </c>
      <c r="BI30" s="20" t="n">
        <f aca="false">IF(Quantiles!BI30&lt;0,"",(Depth0-MIN(Depth0,Quantiles!BI30))/Depth_per_q)</f>
        <v>0</v>
      </c>
      <c r="BJ30" s="20" t="n">
        <f aca="false">IF(Quantiles!BJ30&lt;0,"",(Depth0-MIN(Depth0,Quantiles!BJ30))/Depth_per_q)</f>
        <v>0</v>
      </c>
      <c r="BK30" s="20" t="n">
        <f aca="false">IF(Quantiles!BK30&lt;0,"",(Depth0-MIN(Depth0,Quantiles!BK30))/Depth_per_q)</f>
        <v>0</v>
      </c>
      <c r="BL30" s="20" t="n">
        <f aca="false">IF(Quantiles!BL30&lt;0,"",(Depth0-MIN(Depth0,Quantiles!BL30))/Depth_per_q)</f>
        <v>0</v>
      </c>
      <c r="BM30" s="20" t="n">
        <f aca="false">IF(Quantiles!BM30&lt;0,"",(Depth0-MIN(Depth0,Quantiles!BM30))/Depth_per_q)</f>
        <v>0</v>
      </c>
      <c r="BN30" s="20" t="n">
        <f aca="false">IF(Quantiles!BN30&lt;0,"",(Depth0-MIN(Depth0,Quantiles!BN30))/Depth_per_q)</f>
        <v>0</v>
      </c>
      <c r="BO30" s="20" t="n">
        <f aca="false">IF(Quantiles!BO30&lt;0,"",(Depth0-MIN(Depth0,Quantiles!BO30))/Depth_per_q)</f>
        <v>0</v>
      </c>
      <c r="BP30" s="20" t="n">
        <f aca="false">IF(Quantiles!BP30&lt;0,"",(Depth0-MIN(Depth0,Quantiles!BP30))/Depth_per_q)</f>
        <v>0</v>
      </c>
      <c r="BQ30" s="20" t="n">
        <f aca="false">IF(Quantiles!BQ30&lt;0,"",(Depth0-MIN(Depth0,Quantiles!BQ30))/Depth_per_q)</f>
        <v>0</v>
      </c>
      <c r="BR30" s="20" t="n">
        <f aca="false">IF(Quantiles!BR30&lt;0,"",(Depth0-MIN(Depth0,Quantiles!BR30))/Depth_per_q)</f>
        <v>0</v>
      </c>
      <c r="BS30" s="20" t="n">
        <f aca="false">IF(Quantiles!BS30&lt;0,"",(Depth0-MIN(Depth0,Quantiles!BS30))/Depth_per_q)</f>
        <v>0</v>
      </c>
      <c r="BT30" s="20" t="n">
        <f aca="false">IF(Quantiles!BT30&lt;0,"",(Depth0-MIN(Depth0,Quantiles!BT30))/Depth_per_q)</f>
        <v>0</v>
      </c>
      <c r="BU30" s="20" t="n">
        <f aca="false">IF(Quantiles!BU30&lt;0,"",(Depth0-MIN(Depth0,Quantiles!BU30))/Depth_per_q)</f>
        <v>0</v>
      </c>
      <c r="BV30" s="20" t="n">
        <f aca="false">IF(Quantiles!BV30&lt;0,"",(Depth0-MIN(Depth0,Quantiles!BV30))/Depth_per_q)</f>
        <v>0</v>
      </c>
      <c r="BW30" s="20" t="n">
        <f aca="false">IF(Quantiles!BW30&lt;0,"",(Depth0-MIN(Depth0,Quantiles!BW30))/Depth_per_q)</f>
        <v>0</v>
      </c>
      <c r="BX30" s="20" t="n">
        <f aca="false">IF(Quantiles!BX30&lt;0,"",(Depth0-MIN(Depth0,Quantiles!BX30))/Depth_per_q)</f>
        <v>0</v>
      </c>
      <c r="BY30" s="20" t="n">
        <f aca="false">IF(Quantiles!BY30&lt;0,"",(Depth0-MIN(Depth0,Quantiles!BY30))/Depth_per_q)</f>
        <v>0</v>
      </c>
      <c r="BZ30" s="20" t="n">
        <f aca="false">IF(Quantiles!BZ30&lt;0,"",(Depth0-MIN(Depth0,Quantiles!BZ30))/Depth_per_q)</f>
        <v>0</v>
      </c>
      <c r="CA30" s="20" t="n">
        <f aca="false">IF(Quantiles!CA30&lt;0,"",(Depth0-MIN(Depth0,Quantiles!CA30))/Depth_per_q)</f>
        <v>0</v>
      </c>
      <c r="CB30" s="20" t="n">
        <f aca="false">IF(Quantiles!CB30&lt;0,"",(Depth0-MIN(Depth0,Quantiles!CB30))/Depth_per_q)</f>
        <v>0</v>
      </c>
      <c r="CC30" s="20" t="n">
        <f aca="false">IF(Quantiles!CC30&lt;0,"",(Depth0-MIN(Depth0,Quantiles!CC30))/Depth_per_q)</f>
        <v>0</v>
      </c>
      <c r="CD30" s="20" t="n">
        <f aca="false">IF(Quantiles!CD30&lt;0,"",(Depth0-MIN(Depth0,Quantiles!CD30))/Depth_per_q)</f>
        <v>0</v>
      </c>
      <c r="CE30" s="20" t="n">
        <f aca="false">IF(Quantiles!CE30&lt;0,"",(Depth0-MIN(Depth0,Quantiles!CE30))/Depth_per_q)</f>
        <v>0</v>
      </c>
      <c r="CF30" s="20" t="n">
        <f aca="false">IF(Quantiles!CF30&lt;0,"",(Depth0-MIN(Depth0,Quantiles!CF30))/Depth_per_q)</f>
        <v>0</v>
      </c>
      <c r="CG30" s="20" t="n">
        <f aca="false">IF(Quantiles!CG30&lt;0,"",(Depth0-MIN(Depth0,Quantiles!CG30))/Depth_per_q)</f>
        <v>0</v>
      </c>
      <c r="CH30" s="20" t="n">
        <f aca="false">IF(Quantiles!CH30&lt;0,"",(Depth0-MIN(Depth0,Quantiles!CH30))/Depth_per_q)</f>
        <v>0</v>
      </c>
      <c r="CI30" s="20" t="n">
        <f aca="false">IF(Quantiles!CI30&lt;0,"",(Depth0-MIN(Depth0,Quantiles!CI30))/Depth_per_q)</f>
        <v>0</v>
      </c>
      <c r="CJ30" s="20" t="n">
        <f aca="false">IF(Quantiles!CJ30&lt;0,"",(Depth0-MIN(Depth0,Quantiles!CJ30))/Depth_per_q)</f>
        <v>0</v>
      </c>
      <c r="CK30" s="20" t="n">
        <f aca="false">IF(Quantiles!CK30&lt;0,"",(Depth0-MIN(Depth0,Quantiles!CK30))/Depth_per_q)</f>
        <v>0</v>
      </c>
      <c r="CL30" s="20" t="n">
        <f aca="false">IF(Quantiles!CL30&lt;0,"",(Depth0-MIN(Depth0,Quantiles!CL30))/Depth_per_q)</f>
        <v>0</v>
      </c>
      <c r="CM30" s="20" t="n">
        <f aca="false">IF(Quantiles!CM30&lt;0,"",(Depth0-MIN(Depth0,Quantiles!CM30))/Depth_per_q)</f>
        <v>0</v>
      </c>
      <c r="CN30" s="20" t="n">
        <f aca="false">IF(Quantiles!CN30&lt;0,"",(Depth0-MIN(Depth0,Quantiles!CN30))/Depth_per_q)</f>
        <v>0</v>
      </c>
      <c r="CO30" s="20" t="n">
        <f aca="false">IF(Quantiles!CO30&lt;0,"",(Depth0-MIN(Depth0,Quantiles!CO30))/Depth_per_q)</f>
        <v>0</v>
      </c>
      <c r="CP30" s="20" t="n">
        <f aca="false">IF(Quantiles!CP30&lt;0,"",(Depth0-MIN(Depth0,Quantiles!CP30))/Depth_per_q)</f>
        <v>0</v>
      </c>
      <c r="CQ30" s="20" t="n">
        <f aca="false">IF(Quantiles!CQ30&lt;0,"",(Depth0-MIN(Depth0,Quantiles!CQ30))/Depth_per_q)</f>
        <v>0</v>
      </c>
      <c r="CR30" s="20" t="n">
        <f aca="false">IF(Quantiles!CR30&lt;0,"",(Depth0-MIN(Depth0,Quantiles!CR30))/Depth_per_q)</f>
        <v>0</v>
      </c>
      <c r="CS30" s="20" t="n">
        <f aca="false">IF(Quantiles!CS30&lt;0,"",(Depth0-MIN(Depth0,Quantiles!CS30))/Depth_per_q)</f>
        <v>0</v>
      </c>
      <c r="CT30" s="20" t="n">
        <f aca="false">IF(Quantiles!CT30&lt;0,"",(Depth0-MIN(Depth0,Quantiles!CT30))/Depth_per_q)</f>
        <v>1.56036756075302</v>
      </c>
    </row>
    <row r="31" customFormat="false" ht="15" hidden="false" customHeight="false" outlineLevel="0" collapsed="false">
      <c r="A31" s="25" t="n">
        <f aca="false">Quantiles!A31</f>
        <v>130</v>
      </c>
      <c r="B31" s="20" t="n">
        <f aca="false">IF(Quantiles!B31&lt;0,"",(Depth0-MIN(Depth0,Quantiles!B31))/Depth_per_q)</f>
        <v>2.76416705929807</v>
      </c>
      <c r="C31" s="20" t="n">
        <f aca="false">IF(Quantiles!C31&lt;0,"",(Depth0-MIN(Depth0,Quantiles!C31))/Depth_per_q)</f>
        <v>2.51990593705648</v>
      </c>
      <c r="D31" s="20" t="n">
        <f aca="false">IF(Quantiles!D31&lt;0,"",(Depth0-MIN(Depth0,Quantiles!D31))/Depth_per_q)</f>
        <v>2.30488600508597</v>
      </c>
      <c r="E31" s="20" t="n">
        <f aca="false">IF(Quantiles!E31&lt;0,"",(Depth0-MIN(Depth0,Quantiles!E31))/Depth_per_q)</f>
        <v>2.11460924391306</v>
      </c>
      <c r="F31" s="20" t="n">
        <f aca="false">IF(Quantiles!F31&lt;0,"",(Depth0-MIN(Depth0,Quantiles!F31))/Depth_per_q)</f>
        <v>1.9478483081563</v>
      </c>
      <c r="G31" s="20" t="n">
        <f aca="false">IF(Quantiles!G31&lt;0,"",(Depth0-MIN(Depth0,Quantiles!G31))/Depth_per_q)</f>
        <v>1.83937619899051</v>
      </c>
      <c r="H31" s="20" t="n">
        <f aca="false">IF(Quantiles!H31&lt;0,"",(Depth0-MIN(Depth0,Quantiles!H31))/Depth_per_q)</f>
        <v>1.70814808081208</v>
      </c>
      <c r="I31" s="20" t="n">
        <f aca="false">IF(Quantiles!I31&lt;0,"",(Depth0-MIN(Depth0,Quantiles!I31))/Depth_per_q)</f>
        <v>1.60428487279121</v>
      </c>
      <c r="J31" s="20" t="n">
        <f aca="false">IF(Quantiles!J31&lt;0,"",(Depth0-MIN(Depth0,Quantiles!J31))/Depth_per_q)</f>
        <v>1.49732204019988</v>
      </c>
      <c r="K31" s="20" t="n">
        <f aca="false">IF(Quantiles!K31&lt;0,"",(Depth0-MIN(Depth0,Quantiles!K31))/Depth_per_q)</f>
        <v>1.4009881226098</v>
      </c>
      <c r="L31" s="20" t="n">
        <f aca="false">IF(Quantiles!L31&lt;0,"",(Depth0-MIN(Depth0,Quantiles!L31))/Depth_per_q)</f>
        <v>1.31884491604561</v>
      </c>
      <c r="M31" s="20" t="n">
        <f aca="false">IF(Quantiles!M31&lt;0,"",(Depth0-MIN(Depth0,Quantiles!M31))/Depth_per_q)</f>
        <v>1.24430941621069</v>
      </c>
      <c r="N31" s="20" t="n">
        <f aca="false">IF(Quantiles!N31&lt;0,"",(Depth0-MIN(Depth0,Quantiles!N31))/Depth_per_q)</f>
        <v>1.17341569635395</v>
      </c>
      <c r="O31" s="20" t="n">
        <f aca="false">IF(Quantiles!O31&lt;0,"",(Depth0-MIN(Depth0,Quantiles!O31))/Depth_per_q)</f>
        <v>1.10466451014246</v>
      </c>
      <c r="P31" s="20" t="n">
        <f aca="false">IF(Quantiles!P31&lt;0,"",(Depth0-MIN(Depth0,Quantiles!P31))/Depth_per_q)</f>
        <v>1.03808487770762</v>
      </c>
      <c r="Q31" s="20" t="n">
        <f aca="false">IF(Quantiles!Q31&lt;0,"",(Depth0-MIN(Depth0,Quantiles!Q31))/Depth_per_q)</f>
        <v>0.969924429210103</v>
      </c>
      <c r="R31" s="20" t="n">
        <f aca="false">IF(Quantiles!R31&lt;0,"",(Depth0-MIN(Depth0,Quantiles!R31))/Depth_per_q)</f>
        <v>0.90665529399733</v>
      </c>
      <c r="S31" s="20" t="n">
        <f aca="false">IF(Quantiles!S31&lt;0,"",(Depth0-MIN(Depth0,Quantiles!S31))/Depth_per_q)</f>
        <v>0.84990036844685</v>
      </c>
      <c r="T31" s="20" t="n">
        <f aca="false">IF(Quantiles!T31&lt;0,"",(Depth0-MIN(Depth0,Quantiles!T31))/Depth_per_q)</f>
        <v>0.793483079194215</v>
      </c>
      <c r="U31" s="20" t="n">
        <f aca="false">IF(Quantiles!U31&lt;0,"",(Depth0-MIN(Depth0,Quantiles!U31))/Depth_per_q)</f>
        <v>0.73823894221568</v>
      </c>
      <c r="V31" s="20" t="n">
        <f aca="false">IF(Quantiles!V31&lt;0,"",(Depth0-MIN(Depth0,Quantiles!V31))/Depth_per_q)</f>
        <v>0.68622907249489</v>
      </c>
      <c r="W31" s="20" t="n">
        <f aca="false">IF(Quantiles!W31&lt;0,"",(Depth0-MIN(Depth0,Quantiles!W31))/Depth_per_q)</f>
        <v>0.634454066969417</v>
      </c>
      <c r="X31" s="20" t="n">
        <f aca="false">IF(Quantiles!X31&lt;0,"",(Depth0-MIN(Depth0,Quantiles!X31))/Depth_per_q)</f>
        <v>0.589074020084818</v>
      </c>
      <c r="Y31" s="20" t="n">
        <f aca="false">IF(Quantiles!Y31&lt;0,"",(Depth0-MIN(Depth0,Quantiles!Y31))/Depth_per_q)</f>
        <v>0.542923057248133</v>
      </c>
      <c r="Z31" s="20" t="n">
        <f aca="false">IF(Quantiles!Z31&lt;0,"",(Depth0-MIN(Depth0,Quantiles!Z31))/Depth_per_q)</f>
        <v>0.497776035957105</v>
      </c>
      <c r="AA31" s="20" t="n">
        <f aca="false">IF(Quantiles!AA31&lt;0,"",(Depth0-MIN(Depth0,Quantiles!AA31))/Depth_per_q)</f>
        <v>0.456454982156615</v>
      </c>
      <c r="AB31" s="20" t="n">
        <f aca="false">IF(Quantiles!AB31&lt;0,"",(Depth0-MIN(Depth0,Quantiles!AB31))/Depth_per_q)</f>
        <v>0.41680726471246</v>
      </c>
      <c r="AC31" s="20" t="n">
        <f aca="false">IF(Quantiles!AC31&lt;0,"",(Depth0-MIN(Depth0,Quantiles!AC31))/Depth_per_q)</f>
        <v>0.374647148377988</v>
      </c>
      <c r="AD31" s="20" t="n">
        <f aca="false">IF(Quantiles!AD31&lt;0,"",(Depth0-MIN(Depth0,Quantiles!AD31))/Depth_per_q)</f>
        <v>0.33215834201878</v>
      </c>
      <c r="AE31" s="20" t="n">
        <f aca="false">IF(Quantiles!AE31&lt;0,"",(Depth0-MIN(Depth0,Quantiles!AE31))/Depth_per_q)</f>
        <v>0.292271435888763</v>
      </c>
      <c r="AF31" s="20" t="n">
        <f aca="false">IF(Quantiles!AF31&lt;0,"",(Depth0-MIN(Depth0,Quantiles!AF31))/Depth_per_q)</f>
        <v>0.25482913664211</v>
      </c>
      <c r="AG31" s="20" t="n">
        <f aca="false">IF(Quantiles!AG31&lt;0,"",(Depth0-MIN(Depth0,Quantiles!AG31))/Depth_per_q)</f>
        <v>0.2196116490457</v>
      </c>
      <c r="AH31" s="20" t="n">
        <f aca="false">IF(Quantiles!AH31&lt;0,"",(Depth0-MIN(Depth0,Quantiles!AH31))/Depth_per_q)</f>
        <v>0.18630620088695</v>
      </c>
      <c r="AI31" s="20" t="n">
        <f aca="false">IF(Quantiles!AI31&lt;0,"",(Depth0-MIN(Depth0,Quantiles!AI31))/Depth_per_q)</f>
        <v>0.149569330374073</v>
      </c>
      <c r="AJ31" s="20" t="n">
        <f aca="false">IF(Quantiles!AJ31&lt;0,"",(Depth0-MIN(Depth0,Quantiles!AJ31))/Depth_per_q)</f>
        <v>0.114921500264352</v>
      </c>
      <c r="AK31" s="20" t="n">
        <f aca="false">IF(Quantiles!AK31&lt;0,"",(Depth0-MIN(Depth0,Quantiles!AK31))/Depth_per_q)</f>
        <v>0.0836945589948277</v>
      </c>
      <c r="AL31" s="20" t="n">
        <f aca="false">IF(Quantiles!AL31&lt;0,"",(Depth0-MIN(Depth0,Quantiles!AL31))/Depth_per_q)</f>
        <v>0.0465364090653599</v>
      </c>
      <c r="AM31" s="20" t="n">
        <f aca="false">IF(Quantiles!AM31&lt;0,"",(Depth0-MIN(Depth0,Quantiles!AM31))/Depth_per_q)</f>
        <v>0.0159391356859873</v>
      </c>
      <c r="AN31" s="20" t="n">
        <f aca="false">IF(Quantiles!AN31&lt;0,"",(Depth0-MIN(Depth0,Quantiles!AN31))/Depth_per_q)</f>
        <v>0</v>
      </c>
      <c r="AO31" s="20" t="n">
        <f aca="false">IF(Quantiles!AO31&lt;0,"",(Depth0-MIN(Depth0,Quantiles!AO31))/Depth_per_q)</f>
        <v>0</v>
      </c>
      <c r="AP31" s="20" t="n">
        <f aca="false">IF(Quantiles!AP31&lt;0,"",(Depth0-MIN(Depth0,Quantiles!AP31))/Depth_per_q)</f>
        <v>0</v>
      </c>
      <c r="AQ31" s="20" t="n">
        <f aca="false">IF(Quantiles!AQ31&lt;0,"",(Depth0-MIN(Depth0,Quantiles!AQ31))/Depth_per_q)</f>
        <v>0</v>
      </c>
      <c r="AR31" s="20" t="n">
        <f aca="false">IF(Quantiles!AR31&lt;0,"",(Depth0-MIN(Depth0,Quantiles!AR31))/Depth_per_q)</f>
        <v>0</v>
      </c>
      <c r="AS31" s="20" t="n">
        <f aca="false">IF(Quantiles!AS31&lt;0,"",(Depth0-MIN(Depth0,Quantiles!AS31))/Depth_per_q)</f>
        <v>0</v>
      </c>
      <c r="AT31" s="20" t="n">
        <f aca="false">IF(Quantiles!AT31&lt;0,"",(Depth0-MIN(Depth0,Quantiles!AT31))/Depth_per_q)</f>
        <v>0</v>
      </c>
      <c r="AU31" s="20" t="n">
        <f aca="false">IF(Quantiles!AU31&lt;0,"",(Depth0-MIN(Depth0,Quantiles!AU31))/Depth_per_q)</f>
        <v>0</v>
      </c>
      <c r="AV31" s="20" t="n">
        <f aca="false">IF(Quantiles!AV31&lt;0,"",(Depth0-MIN(Depth0,Quantiles!AV31))/Depth_per_q)</f>
        <v>0</v>
      </c>
      <c r="AW31" s="20" t="n">
        <f aca="false">IF(Quantiles!AW31&lt;0,"",(Depth0-MIN(Depth0,Quantiles!AW31))/Depth_per_q)</f>
        <v>0</v>
      </c>
      <c r="AX31" s="20" t="n">
        <f aca="false">IF(Quantiles!AX31&lt;0,"",(Depth0-MIN(Depth0,Quantiles!AX31))/Depth_per_q)</f>
        <v>0</v>
      </c>
      <c r="AY31" s="20" t="n">
        <f aca="false">IF(Quantiles!AY31&lt;0,"",(Depth0-MIN(Depth0,Quantiles!AY31))/Depth_per_q)</f>
        <v>0</v>
      </c>
      <c r="AZ31" s="20" t="n">
        <f aca="false">IF(Quantiles!AZ31&lt;0,"",(Depth0-MIN(Depth0,Quantiles!AZ31))/Depth_per_q)</f>
        <v>0</v>
      </c>
      <c r="BA31" s="20" t="n">
        <f aca="false">IF(Quantiles!BA31&lt;0,"",(Depth0-MIN(Depth0,Quantiles!BA31))/Depth_per_q)</f>
        <v>0</v>
      </c>
      <c r="BB31" s="20" t="n">
        <f aca="false">IF(Quantiles!BB31&lt;0,"",(Depth0-MIN(Depth0,Quantiles!BB31))/Depth_per_q)</f>
        <v>0</v>
      </c>
      <c r="BC31" s="20" t="n">
        <f aca="false">IF(Quantiles!BC31&lt;0,"",(Depth0-MIN(Depth0,Quantiles!BC31))/Depth_per_q)</f>
        <v>0</v>
      </c>
      <c r="BD31" s="20" t="n">
        <f aca="false">IF(Quantiles!BD31&lt;0,"",(Depth0-MIN(Depth0,Quantiles!BD31))/Depth_per_q)</f>
        <v>0</v>
      </c>
      <c r="BE31" s="20" t="n">
        <f aca="false">IF(Quantiles!BE31&lt;0,"",(Depth0-MIN(Depth0,Quantiles!BE31))/Depth_per_q)</f>
        <v>0</v>
      </c>
      <c r="BF31" s="20" t="n">
        <f aca="false">IF(Quantiles!BF31&lt;0,"",(Depth0-MIN(Depth0,Quantiles!BF31))/Depth_per_q)</f>
        <v>0</v>
      </c>
      <c r="BG31" s="20" t="n">
        <f aca="false">IF(Quantiles!BG31&lt;0,"",(Depth0-MIN(Depth0,Quantiles!BG31))/Depth_per_q)</f>
        <v>0</v>
      </c>
      <c r="BH31" s="20" t="n">
        <f aca="false">IF(Quantiles!BH31&lt;0,"",(Depth0-MIN(Depth0,Quantiles!BH31))/Depth_per_q)</f>
        <v>0</v>
      </c>
      <c r="BI31" s="20" t="n">
        <f aca="false">IF(Quantiles!BI31&lt;0,"",(Depth0-MIN(Depth0,Quantiles!BI31))/Depth_per_q)</f>
        <v>0</v>
      </c>
      <c r="BJ31" s="20" t="n">
        <f aca="false">IF(Quantiles!BJ31&lt;0,"",(Depth0-MIN(Depth0,Quantiles!BJ31))/Depth_per_q)</f>
        <v>0</v>
      </c>
      <c r="BK31" s="20" t="n">
        <f aca="false">IF(Quantiles!BK31&lt;0,"",(Depth0-MIN(Depth0,Quantiles!BK31))/Depth_per_q)</f>
        <v>0</v>
      </c>
      <c r="BL31" s="20" t="n">
        <f aca="false">IF(Quantiles!BL31&lt;0,"",(Depth0-MIN(Depth0,Quantiles!BL31))/Depth_per_q)</f>
        <v>0</v>
      </c>
      <c r="BM31" s="20" t="n">
        <f aca="false">IF(Quantiles!BM31&lt;0,"",(Depth0-MIN(Depth0,Quantiles!BM31))/Depth_per_q)</f>
        <v>0</v>
      </c>
      <c r="BN31" s="20" t="n">
        <f aca="false">IF(Quantiles!BN31&lt;0,"",(Depth0-MIN(Depth0,Quantiles!BN31))/Depth_per_q)</f>
        <v>0</v>
      </c>
      <c r="BO31" s="20" t="n">
        <f aca="false">IF(Quantiles!BO31&lt;0,"",(Depth0-MIN(Depth0,Quantiles!BO31))/Depth_per_q)</f>
        <v>0</v>
      </c>
      <c r="BP31" s="20" t="n">
        <f aca="false">IF(Quantiles!BP31&lt;0,"",(Depth0-MIN(Depth0,Quantiles!BP31))/Depth_per_q)</f>
        <v>0</v>
      </c>
      <c r="BQ31" s="20" t="n">
        <f aca="false">IF(Quantiles!BQ31&lt;0,"",(Depth0-MIN(Depth0,Quantiles!BQ31))/Depth_per_q)</f>
        <v>0</v>
      </c>
      <c r="BR31" s="20" t="n">
        <f aca="false">IF(Quantiles!BR31&lt;0,"",(Depth0-MIN(Depth0,Quantiles!BR31))/Depth_per_q)</f>
        <v>0</v>
      </c>
      <c r="BS31" s="20" t="n">
        <f aca="false">IF(Quantiles!BS31&lt;0,"",(Depth0-MIN(Depth0,Quantiles!BS31))/Depth_per_q)</f>
        <v>0</v>
      </c>
      <c r="BT31" s="20" t="n">
        <f aca="false">IF(Quantiles!BT31&lt;0,"",(Depth0-MIN(Depth0,Quantiles!BT31))/Depth_per_q)</f>
        <v>0</v>
      </c>
      <c r="BU31" s="20" t="n">
        <f aca="false">IF(Quantiles!BU31&lt;0,"",(Depth0-MIN(Depth0,Quantiles!BU31))/Depth_per_q)</f>
        <v>0</v>
      </c>
      <c r="BV31" s="20" t="n">
        <f aca="false">IF(Quantiles!BV31&lt;0,"",(Depth0-MIN(Depth0,Quantiles!BV31))/Depth_per_q)</f>
        <v>0</v>
      </c>
      <c r="BW31" s="20" t="n">
        <f aca="false">IF(Quantiles!BW31&lt;0,"",(Depth0-MIN(Depth0,Quantiles!BW31))/Depth_per_q)</f>
        <v>0</v>
      </c>
      <c r="BX31" s="20" t="n">
        <f aca="false">IF(Quantiles!BX31&lt;0,"",(Depth0-MIN(Depth0,Quantiles!BX31))/Depth_per_q)</f>
        <v>0</v>
      </c>
      <c r="BY31" s="20" t="n">
        <f aca="false">IF(Quantiles!BY31&lt;0,"",(Depth0-MIN(Depth0,Quantiles!BY31))/Depth_per_q)</f>
        <v>0</v>
      </c>
      <c r="BZ31" s="20" t="n">
        <f aca="false">IF(Quantiles!BZ31&lt;0,"",(Depth0-MIN(Depth0,Quantiles!BZ31))/Depth_per_q)</f>
        <v>0</v>
      </c>
      <c r="CA31" s="20" t="n">
        <f aca="false">IF(Quantiles!CA31&lt;0,"",(Depth0-MIN(Depth0,Quantiles!CA31))/Depth_per_q)</f>
        <v>0</v>
      </c>
      <c r="CB31" s="20" t="n">
        <f aca="false">IF(Quantiles!CB31&lt;0,"",(Depth0-MIN(Depth0,Quantiles!CB31))/Depth_per_q)</f>
        <v>0</v>
      </c>
      <c r="CC31" s="20" t="n">
        <f aca="false">IF(Quantiles!CC31&lt;0,"",(Depth0-MIN(Depth0,Quantiles!CC31))/Depth_per_q)</f>
        <v>0</v>
      </c>
      <c r="CD31" s="20" t="n">
        <f aca="false">IF(Quantiles!CD31&lt;0,"",(Depth0-MIN(Depth0,Quantiles!CD31))/Depth_per_q)</f>
        <v>0</v>
      </c>
      <c r="CE31" s="20" t="n">
        <f aca="false">IF(Quantiles!CE31&lt;0,"",(Depth0-MIN(Depth0,Quantiles!CE31))/Depth_per_q)</f>
        <v>0</v>
      </c>
      <c r="CF31" s="20" t="n">
        <f aca="false">IF(Quantiles!CF31&lt;0,"",(Depth0-MIN(Depth0,Quantiles!CF31))/Depth_per_q)</f>
        <v>0</v>
      </c>
      <c r="CG31" s="20" t="n">
        <f aca="false">IF(Quantiles!CG31&lt;0,"",(Depth0-MIN(Depth0,Quantiles!CG31))/Depth_per_q)</f>
        <v>0</v>
      </c>
      <c r="CH31" s="20" t="n">
        <f aca="false">IF(Quantiles!CH31&lt;0,"",(Depth0-MIN(Depth0,Quantiles!CH31))/Depth_per_q)</f>
        <v>0</v>
      </c>
      <c r="CI31" s="20" t="n">
        <f aca="false">IF(Quantiles!CI31&lt;0,"",(Depth0-MIN(Depth0,Quantiles!CI31))/Depth_per_q)</f>
        <v>0</v>
      </c>
      <c r="CJ31" s="20" t="n">
        <f aca="false">IF(Quantiles!CJ31&lt;0,"",(Depth0-MIN(Depth0,Quantiles!CJ31))/Depth_per_q)</f>
        <v>0</v>
      </c>
      <c r="CK31" s="20" t="n">
        <f aca="false">IF(Quantiles!CK31&lt;0,"",(Depth0-MIN(Depth0,Quantiles!CK31))/Depth_per_q)</f>
        <v>0</v>
      </c>
      <c r="CL31" s="20" t="n">
        <f aca="false">IF(Quantiles!CL31&lt;0,"",(Depth0-MIN(Depth0,Quantiles!CL31))/Depth_per_q)</f>
        <v>0</v>
      </c>
      <c r="CM31" s="20" t="n">
        <f aca="false">IF(Quantiles!CM31&lt;0,"",(Depth0-MIN(Depth0,Quantiles!CM31))/Depth_per_q)</f>
        <v>0</v>
      </c>
      <c r="CN31" s="20" t="n">
        <f aca="false">IF(Quantiles!CN31&lt;0,"",(Depth0-MIN(Depth0,Quantiles!CN31))/Depth_per_q)</f>
        <v>0</v>
      </c>
      <c r="CO31" s="20" t="n">
        <f aca="false">IF(Quantiles!CO31&lt;0,"",(Depth0-MIN(Depth0,Quantiles!CO31))/Depth_per_q)</f>
        <v>0</v>
      </c>
      <c r="CP31" s="20" t="n">
        <f aca="false">IF(Quantiles!CP31&lt;0,"",(Depth0-MIN(Depth0,Quantiles!CP31))/Depth_per_q)</f>
        <v>0</v>
      </c>
      <c r="CQ31" s="20" t="n">
        <f aca="false">IF(Quantiles!CQ31&lt;0,"",(Depth0-MIN(Depth0,Quantiles!CQ31))/Depth_per_q)</f>
        <v>0</v>
      </c>
      <c r="CR31" s="20" t="n">
        <f aca="false">IF(Quantiles!CR31&lt;0,"",(Depth0-MIN(Depth0,Quantiles!CR31))/Depth_per_q)</f>
        <v>0</v>
      </c>
      <c r="CS31" s="20" t="n">
        <f aca="false">IF(Quantiles!CS31&lt;0,"",(Depth0-MIN(Depth0,Quantiles!CS31))/Depth_per_q)</f>
        <v>0</v>
      </c>
      <c r="CT31" s="20" t="n">
        <f aca="false">IF(Quantiles!CT31&lt;0,"",(Depth0-MIN(Depth0,Quantiles!CT31))/Depth_per_q)</f>
        <v>1.49326137622781</v>
      </c>
    </row>
    <row r="32" customFormat="false" ht="15" hidden="false" customHeight="false" outlineLevel="0" collapsed="false">
      <c r="A32" s="25" t="n">
        <f aca="false">Quantiles!A32</f>
        <v>135</v>
      </c>
      <c r="B32" s="20" t="n">
        <f aca="false">IF(Quantiles!B32&lt;0,"",(Depth0-MIN(Depth0,Quantiles!B32))/Depth_per_q)</f>
        <v>2.66624467391729</v>
      </c>
      <c r="C32" s="20" t="n">
        <f aca="false">IF(Quantiles!C32&lt;0,"",(Depth0-MIN(Depth0,Quantiles!C32))/Depth_per_q)</f>
        <v>2.44378558753574</v>
      </c>
      <c r="D32" s="20" t="n">
        <f aca="false">IF(Quantiles!D32&lt;0,"",(Depth0-MIN(Depth0,Quantiles!D32))/Depth_per_q)</f>
        <v>2.22410650957939</v>
      </c>
      <c r="E32" s="20" t="n">
        <f aca="false">IF(Quantiles!E32&lt;0,"",(Depth0-MIN(Depth0,Quantiles!E32))/Depth_per_q)</f>
        <v>2.04370333354421</v>
      </c>
      <c r="F32" s="20" t="n">
        <f aca="false">IF(Quantiles!F32&lt;0,"",(Depth0-MIN(Depth0,Quantiles!F32))/Depth_per_q)</f>
        <v>1.89470642144081</v>
      </c>
      <c r="G32" s="20" t="n">
        <f aca="false">IF(Quantiles!G32&lt;0,"",(Depth0-MIN(Depth0,Quantiles!G32))/Depth_per_q)</f>
        <v>1.76523404727247</v>
      </c>
      <c r="H32" s="20" t="n">
        <f aca="false">IF(Quantiles!H32&lt;0,"",(Depth0-MIN(Depth0,Quantiles!H32))/Depth_per_q)</f>
        <v>1.6453773645733</v>
      </c>
      <c r="I32" s="20" t="n">
        <f aca="false">IF(Quantiles!I32&lt;0,"",(Depth0-MIN(Depth0,Quantiles!I32))/Depth_per_q)</f>
        <v>1.5392106355589</v>
      </c>
      <c r="J32" s="20" t="n">
        <f aca="false">IF(Quantiles!J32&lt;0,"",(Depth0-MIN(Depth0,Quantiles!J32))/Depth_per_q)</f>
        <v>1.43932110498844</v>
      </c>
      <c r="K32" s="20" t="n">
        <f aca="false">IF(Quantiles!K32&lt;0,"",(Depth0-MIN(Depth0,Quantiles!K32))/Depth_per_q)</f>
        <v>1.34953888673971</v>
      </c>
      <c r="L32" s="20" t="n">
        <f aca="false">IF(Quantiles!L32&lt;0,"",(Depth0-MIN(Depth0,Quantiles!L32))/Depth_per_q)</f>
        <v>1.26837517634486</v>
      </c>
      <c r="M32" s="20" t="n">
        <f aca="false">IF(Quantiles!M32&lt;0,"",(Depth0-MIN(Depth0,Quantiles!M32))/Depth_per_q)</f>
        <v>1.19263757405733</v>
      </c>
      <c r="N32" s="20" t="n">
        <f aca="false">IF(Quantiles!N32&lt;0,"",(Depth0-MIN(Depth0,Quantiles!N32))/Depth_per_q)</f>
        <v>1.11968076132633</v>
      </c>
      <c r="O32" s="20" t="n">
        <f aca="false">IF(Quantiles!O32&lt;0,"",(Depth0-MIN(Depth0,Quantiles!O32))/Depth_per_q)</f>
        <v>1.05732315134112</v>
      </c>
      <c r="P32" s="20" t="n">
        <f aca="false">IF(Quantiles!P32&lt;0,"",(Depth0-MIN(Depth0,Quantiles!P32))/Depth_per_q)</f>
        <v>0.98978197805143</v>
      </c>
      <c r="Q32" s="20" t="n">
        <f aca="false">IF(Quantiles!Q32&lt;0,"",(Depth0-MIN(Depth0,Quantiles!Q32))/Depth_per_q)</f>
        <v>0.924333729400358</v>
      </c>
      <c r="R32" s="20" t="n">
        <f aca="false">IF(Quantiles!R32&lt;0,"",(Depth0-MIN(Depth0,Quantiles!R32))/Depth_per_q)</f>
        <v>0.871432157288033</v>
      </c>
      <c r="S32" s="20" t="n">
        <f aca="false">IF(Quantiles!S32&lt;0,"",(Depth0-MIN(Depth0,Quantiles!S32))/Depth_per_q)</f>
        <v>0.812401502985792</v>
      </c>
      <c r="T32" s="20" t="n">
        <f aca="false">IF(Quantiles!T32&lt;0,"",(Depth0-MIN(Depth0,Quantiles!T32))/Depth_per_q)</f>
        <v>0.755903421427743</v>
      </c>
      <c r="U32" s="20" t="n">
        <f aca="false">IF(Quantiles!U32&lt;0,"",(Depth0-MIN(Depth0,Quantiles!U32))/Depth_per_q)</f>
        <v>0.702950093216235</v>
      </c>
      <c r="V32" s="20" t="n">
        <f aca="false">IF(Quantiles!V32&lt;0,"",(Depth0-MIN(Depth0,Quantiles!V32))/Depth_per_q)</f>
        <v>0.648495483336525</v>
      </c>
      <c r="W32" s="20" t="n">
        <f aca="false">IF(Quantiles!W32&lt;0,"",(Depth0-MIN(Depth0,Quantiles!W32))/Depth_per_q)</f>
        <v>0.595587867581663</v>
      </c>
      <c r="X32" s="20" t="n">
        <f aca="false">IF(Quantiles!X32&lt;0,"",(Depth0-MIN(Depth0,Quantiles!X32))/Depth_per_q)</f>
        <v>0.551759329106938</v>
      </c>
      <c r="Y32" s="20" t="n">
        <f aca="false">IF(Quantiles!Y32&lt;0,"",(Depth0-MIN(Depth0,Quantiles!Y32))/Depth_per_q)</f>
        <v>0.504472191115695</v>
      </c>
      <c r="Z32" s="20" t="n">
        <f aca="false">IF(Quantiles!Z32&lt;0,"",(Depth0-MIN(Depth0,Quantiles!Z32))/Depth_per_q)</f>
        <v>0.46259425208198</v>
      </c>
      <c r="AA32" s="20" t="n">
        <f aca="false">IF(Quantiles!AA32&lt;0,"",(Depth0-MIN(Depth0,Quantiles!AA32))/Depth_per_q)</f>
        <v>0.42243617898971</v>
      </c>
      <c r="AB32" s="20" t="n">
        <f aca="false">IF(Quantiles!AB32&lt;0,"",(Depth0-MIN(Depth0,Quantiles!AB32))/Depth_per_q)</f>
        <v>0.382224266035058</v>
      </c>
      <c r="AC32" s="20" t="n">
        <f aca="false">IF(Quantiles!AC32&lt;0,"",(Depth0-MIN(Depth0,Quantiles!AC32))/Depth_per_q)</f>
        <v>0.342218901787748</v>
      </c>
      <c r="AD32" s="20" t="n">
        <f aca="false">IF(Quantiles!AD32&lt;0,"",(Depth0-MIN(Depth0,Quantiles!AD32))/Depth_per_q)</f>
        <v>0.299091380434567</v>
      </c>
      <c r="AE32" s="20" t="n">
        <f aca="false">IF(Quantiles!AE32&lt;0,"",(Depth0-MIN(Depth0,Quantiles!AE32))/Depth_per_q)</f>
        <v>0.261353095444967</v>
      </c>
      <c r="AF32" s="20" t="n">
        <f aca="false">IF(Quantiles!AF32&lt;0,"",(Depth0-MIN(Depth0,Quantiles!AF32))/Depth_per_q)</f>
        <v>0.225541956580067</v>
      </c>
      <c r="AG32" s="20" t="n">
        <f aca="false">IF(Quantiles!AG32&lt;0,"",(Depth0-MIN(Depth0,Quantiles!AG32))/Depth_per_q)</f>
        <v>0.190752884891452</v>
      </c>
      <c r="AH32" s="20" t="n">
        <f aca="false">IF(Quantiles!AH32&lt;0,"",(Depth0-MIN(Depth0,Quantiles!AH32))/Depth_per_q)</f>
        <v>0.154297711738908</v>
      </c>
      <c r="AI32" s="20" t="n">
        <f aca="false">IF(Quantiles!AI32&lt;0,"",(Depth0-MIN(Depth0,Quantiles!AI32))/Depth_per_q)</f>
        <v>0.116179854196853</v>
      </c>
      <c r="AJ32" s="20" t="n">
        <f aca="false">IF(Quantiles!AJ32&lt;0,"",(Depth0-MIN(Depth0,Quantiles!AJ32))/Depth_per_q)</f>
        <v>0.0836945589948277</v>
      </c>
      <c r="AK32" s="20" t="n">
        <f aca="false">IF(Quantiles!AK32&lt;0,"",(Depth0-MIN(Depth0,Quantiles!AK32))/Depth_per_q)</f>
        <v>0.0461352881949821</v>
      </c>
      <c r="AL32" s="20" t="n">
        <f aca="false">IF(Quantiles!AL32&lt;0,"",(Depth0-MIN(Depth0,Quantiles!AL32))/Depth_per_q)</f>
        <v>0.0151716162509521</v>
      </c>
      <c r="AM32" s="20" t="n">
        <f aca="false">IF(Quantiles!AM32&lt;0,"",(Depth0-MIN(Depth0,Quantiles!AM32))/Depth_per_q)</f>
        <v>0</v>
      </c>
      <c r="AN32" s="20" t="n">
        <f aca="false">IF(Quantiles!AN32&lt;0,"",(Depth0-MIN(Depth0,Quantiles!AN32))/Depth_per_q)</f>
        <v>0</v>
      </c>
      <c r="AO32" s="20" t="n">
        <f aca="false">IF(Quantiles!AO32&lt;0,"",(Depth0-MIN(Depth0,Quantiles!AO32))/Depth_per_q)</f>
        <v>0</v>
      </c>
      <c r="AP32" s="20" t="n">
        <f aca="false">IF(Quantiles!AP32&lt;0,"",(Depth0-MIN(Depth0,Quantiles!AP32))/Depth_per_q)</f>
        <v>0</v>
      </c>
      <c r="AQ32" s="20" t="n">
        <f aca="false">IF(Quantiles!AQ32&lt;0,"",(Depth0-MIN(Depth0,Quantiles!AQ32))/Depth_per_q)</f>
        <v>0</v>
      </c>
      <c r="AR32" s="20" t="n">
        <f aca="false">IF(Quantiles!AR32&lt;0,"",(Depth0-MIN(Depth0,Quantiles!AR32))/Depth_per_q)</f>
        <v>0</v>
      </c>
      <c r="AS32" s="20" t="n">
        <f aca="false">IF(Quantiles!AS32&lt;0,"",(Depth0-MIN(Depth0,Quantiles!AS32))/Depth_per_q)</f>
        <v>0</v>
      </c>
      <c r="AT32" s="20" t="n">
        <f aca="false">IF(Quantiles!AT32&lt;0,"",(Depth0-MIN(Depth0,Quantiles!AT32))/Depth_per_q)</f>
        <v>0</v>
      </c>
      <c r="AU32" s="20" t="n">
        <f aca="false">IF(Quantiles!AU32&lt;0,"",(Depth0-MIN(Depth0,Quantiles!AU32))/Depth_per_q)</f>
        <v>0</v>
      </c>
      <c r="AV32" s="20" t="n">
        <f aca="false">IF(Quantiles!AV32&lt;0,"",(Depth0-MIN(Depth0,Quantiles!AV32))/Depth_per_q)</f>
        <v>0</v>
      </c>
      <c r="AW32" s="20" t="n">
        <f aca="false">IF(Quantiles!AW32&lt;0,"",(Depth0-MIN(Depth0,Quantiles!AW32))/Depth_per_q)</f>
        <v>0</v>
      </c>
      <c r="AX32" s="20" t="n">
        <f aca="false">IF(Quantiles!AX32&lt;0,"",(Depth0-MIN(Depth0,Quantiles!AX32))/Depth_per_q)</f>
        <v>0</v>
      </c>
      <c r="AY32" s="20" t="n">
        <f aca="false">IF(Quantiles!AY32&lt;0,"",(Depth0-MIN(Depth0,Quantiles!AY32))/Depth_per_q)</f>
        <v>0</v>
      </c>
      <c r="AZ32" s="20" t="n">
        <f aca="false">IF(Quantiles!AZ32&lt;0,"",(Depth0-MIN(Depth0,Quantiles!AZ32))/Depth_per_q)</f>
        <v>0</v>
      </c>
      <c r="BA32" s="20" t="n">
        <f aca="false">IF(Quantiles!BA32&lt;0,"",(Depth0-MIN(Depth0,Quantiles!BA32))/Depth_per_q)</f>
        <v>0</v>
      </c>
      <c r="BB32" s="20" t="n">
        <f aca="false">IF(Quantiles!BB32&lt;0,"",(Depth0-MIN(Depth0,Quantiles!BB32))/Depth_per_q)</f>
        <v>0</v>
      </c>
      <c r="BC32" s="20" t="n">
        <f aca="false">IF(Quantiles!BC32&lt;0,"",(Depth0-MIN(Depth0,Quantiles!BC32))/Depth_per_q)</f>
        <v>0</v>
      </c>
      <c r="BD32" s="20" t="n">
        <f aca="false">IF(Quantiles!BD32&lt;0,"",(Depth0-MIN(Depth0,Quantiles!BD32))/Depth_per_q)</f>
        <v>0</v>
      </c>
      <c r="BE32" s="20" t="n">
        <f aca="false">IF(Quantiles!BE32&lt;0,"",(Depth0-MIN(Depth0,Quantiles!BE32))/Depth_per_q)</f>
        <v>0</v>
      </c>
      <c r="BF32" s="20" t="n">
        <f aca="false">IF(Quantiles!BF32&lt;0,"",(Depth0-MIN(Depth0,Quantiles!BF32))/Depth_per_q)</f>
        <v>0</v>
      </c>
      <c r="BG32" s="20" t="n">
        <f aca="false">IF(Quantiles!BG32&lt;0,"",(Depth0-MIN(Depth0,Quantiles!BG32))/Depth_per_q)</f>
        <v>0</v>
      </c>
      <c r="BH32" s="20" t="n">
        <f aca="false">IF(Quantiles!BH32&lt;0,"",(Depth0-MIN(Depth0,Quantiles!BH32))/Depth_per_q)</f>
        <v>0</v>
      </c>
      <c r="BI32" s="20" t="n">
        <f aca="false">IF(Quantiles!BI32&lt;0,"",(Depth0-MIN(Depth0,Quantiles!BI32))/Depth_per_q)</f>
        <v>0</v>
      </c>
      <c r="BJ32" s="20" t="n">
        <f aca="false">IF(Quantiles!BJ32&lt;0,"",(Depth0-MIN(Depth0,Quantiles!BJ32))/Depth_per_q)</f>
        <v>0</v>
      </c>
      <c r="BK32" s="20" t="n">
        <f aca="false">IF(Quantiles!BK32&lt;0,"",(Depth0-MIN(Depth0,Quantiles!BK32))/Depth_per_q)</f>
        <v>0</v>
      </c>
      <c r="BL32" s="20" t="n">
        <f aca="false">IF(Quantiles!BL32&lt;0,"",(Depth0-MIN(Depth0,Quantiles!BL32))/Depth_per_q)</f>
        <v>0</v>
      </c>
      <c r="BM32" s="20" t="n">
        <f aca="false">IF(Quantiles!BM32&lt;0,"",(Depth0-MIN(Depth0,Quantiles!BM32))/Depth_per_q)</f>
        <v>0</v>
      </c>
      <c r="BN32" s="20" t="n">
        <f aca="false">IF(Quantiles!BN32&lt;0,"",(Depth0-MIN(Depth0,Quantiles!BN32))/Depth_per_q)</f>
        <v>0</v>
      </c>
      <c r="BO32" s="20" t="n">
        <f aca="false">IF(Quantiles!BO32&lt;0,"",(Depth0-MIN(Depth0,Quantiles!BO32))/Depth_per_q)</f>
        <v>0</v>
      </c>
      <c r="BP32" s="20" t="n">
        <f aca="false">IF(Quantiles!BP32&lt;0,"",(Depth0-MIN(Depth0,Quantiles!BP32))/Depth_per_q)</f>
        <v>0</v>
      </c>
      <c r="BQ32" s="20" t="n">
        <f aca="false">IF(Quantiles!BQ32&lt;0,"",(Depth0-MIN(Depth0,Quantiles!BQ32))/Depth_per_q)</f>
        <v>0</v>
      </c>
      <c r="BR32" s="20" t="n">
        <f aca="false">IF(Quantiles!BR32&lt;0,"",(Depth0-MIN(Depth0,Quantiles!BR32))/Depth_per_q)</f>
        <v>0</v>
      </c>
      <c r="BS32" s="20" t="n">
        <f aca="false">IF(Quantiles!BS32&lt;0,"",(Depth0-MIN(Depth0,Quantiles!BS32))/Depth_per_q)</f>
        <v>0</v>
      </c>
      <c r="BT32" s="20" t="n">
        <f aca="false">IF(Quantiles!BT32&lt;0,"",(Depth0-MIN(Depth0,Quantiles!BT32))/Depth_per_q)</f>
        <v>0</v>
      </c>
      <c r="BU32" s="20" t="n">
        <f aca="false">IF(Quantiles!BU32&lt;0,"",(Depth0-MIN(Depth0,Quantiles!BU32))/Depth_per_q)</f>
        <v>0</v>
      </c>
      <c r="BV32" s="20" t="n">
        <f aca="false">IF(Quantiles!BV32&lt;0,"",(Depth0-MIN(Depth0,Quantiles!BV32))/Depth_per_q)</f>
        <v>0</v>
      </c>
      <c r="BW32" s="20" t="n">
        <f aca="false">IF(Quantiles!BW32&lt;0,"",(Depth0-MIN(Depth0,Quantiles!BW32))/Depth_per_q)</f>
        <v>0</v>
      </c>
      <c r="BX32" s="20" t="n">
        <f aca="false">IF(Quantiles!BX32&lt;0,"",(Depth0-MIN(Depth0,Quantiles!BX32))/Depth_per_q)</f>
        <v>0</v>
      </c>
      <c r="BY32" s="20" t="n">
        <f aca="false">IF(Quantiles!BY32&lt;0,"",(Depth0-MIN(Depth0,Quantiles!BY32))/Depth_per_q)</f>
        <v>0</v>
      </c>
      <c r="BZ32" s="20" t="n">
        <f aca="false">IF(Quantiles!BZ32&lt;0,"",(Depth0-MIN(Depth0,Quantiles!BZ32))/Depth_per_q)</f>
        <v>0</v>
      </c>
      <c r="CA32" s="20" t="n">
        <f aca="false">IF(Quantiles!CA32&lt;0,"",(Depth0-MIN(Depth0,Quantiles!CA32))/Depth_per_q)</f>
        <v>0</v>
      </c>
      <c r="CB32" s="20" t="n">
        <f aca="false">IF(Quantiles!CB32&lt;0,"",(Depth0-MIN(Depth0,Quantiles!CB32))/Depth_per_q)</f>
        <v>0</v>
      </c>
      <c r="CC32" s="20" t="n">
        <f aca="false">IF(Quantiles!CC32&lt;0,"",(Depth0-MIN(Depth0,Quantiles!CC32))/Depth_per_q)</f>
        <v>0</v>
      </c>
      <c r="CD32" s="20" t="n">
        <f aca="false">IF(Quantiles!CD32&lt;0,"",(Depth0-MIN(Depth0,Quantiles!CD32))/Depth_per_q)</f>
        <v>0</v>
      </c>
      <c r="CE32" s="20" t="n">
        <f aca="false">IF(Quantiles!CE32&lt;0,"",(Depth0-MIN(Depth0,Quantiles!CE32))/Depth_per_q)</f>
        <v>0</v>
      </c>
      <c r="CF32" s="20" t="n">
        <f aca="false">IF(Quantiles!CF32&lt;0,"",(Depth0-MIN(Depth0,Quantiles!CF32))/Depth_per_q)</f>
        <v>0</v>
      </c>
      <c r="CG32" s="20" t="n">
        <f aca="false">IF(Quantiles!CG32&lt;0,"",(Depth0-MIN(Depth0,Quantiles!CG32))/Depth_per_q)</f>
        <v>0</v>
      </c>
      <c r="CH32" s="20" t="n">
        <f aca="false">IF(Quantiles!CH32&lt;0,"",(Depth0-MIN(Depth0,Quantiles!CH32))/Depth_per_q)</f>
        <v>0</v>
      </c>
      <c r="CI32" s="20" t="n">
        <f aca="false">IF(Quantiles!CI32&lt;0,"",(Depth0-MIN(Depth0,Quantiles!CI32))/Depth_per_q)</f>
        <v>0</v>
      </c>
      <c r="CJ32" s="20" t="n">
        <f aca="false">IF(Quantiles!CJ32&lt;0,"",(Depth0-MIN(Depth0,Quantiles!CJ32))/Depth_per_q)</f>
        <v>0</v>
      </c>
      <c r="CK32" s="20" t="n">
        <f aca="false">IF(Quantiles!CK32&lt;0,"",(Depth0-MIN(Depth0,Quantiles!CK32))/Depth_per_q)</f>
        <v>0</v>
      </c>
      <c r="CL32" s="20" t="n">
        <f aca="false">IF(Quantiles!CL32&lt;0,"",(Depth0-MIN(Depth0,Quantiles!CL32))/Depth_per_q)</f>
        <v>0</v>
      </c>
      <c r="CM32" s="20" t="n">
        <f aca="false">IF(Quantiles!CM32&lt;0,"",(Depth0-MIN(Depth0,Quantiles!CM32))/Depth_per_q)</f>
        <v>0</v>
      </c>
      <c r="CN32" s="20" t="n">
        <f aca="false">IF(Quantiles!CN32&lt;0,"",(Depth0-MIN(Depth0,Quantiles!CN32))/Depth_per_q)</f>
        <v>0</v>
      </c>
      <c r="CO32" s="20" t="n">
        <f aca="false">IF(Quantiles!CO32&lt;0,"",(Depth0-MIN(Depth0,Quantiles!CO32))/Depth_per_q)</f>
        <v>0</v>
      </c>
      <c r="CP32" s="20" t="n">
        <f aca="false">IF(Quantiles!CP32&lt;0,"",(Depth0-MIN(Depth0,Quantiles!CP32))/Depth_per_q)</f>
        <v>0</v>
      </c>
      <c r="CQ32" s="20" t="n">
        <f aca="false">IF(Quantiles!CQ32&lt;0,"",(Depth0-MIN(Depth0,Quantiles!CQ32))/Depth_per_q)</f>
        <v>0</v>
      </c>
      <c r="CR32" s="20" t="n">
        <f aca="false">IF(Quantiles!CR32&lt;0,"",(Depth0-MIN(Depth0,Quantiles!CR32))/Depth_per_q)</f>
        <v>0</v>
      </c>
      <c r="CS32" s="20" t="n">
        <f aca="false">IF(Quantiles!CS32&lt;0,"",(Depth0-MIN(Depth0,Quantiles!CS32))/Depth_per_q)</f>
        <v>0</v>
      </c>
      <c r="CT32" s="20" t="n">
        <f aca="false">IF(Quantiles!CT32&lt;0,"",(Depth0-MIN(Depth0,Quantiles!CT32))/Depth_per_q)</f>
        <v>1.43872188996035</v>
      </c>
    </row>
    <row r="33" customFormat="false" ht="15" hidden="false" customHeight="false" outlineLevel="0" collapsed="false">
      <c r="A33" s="25" t="n">
        <f aca="false">Quantiles!A33</f>
        <v>140</v>
      </c>
      <c r="B33" s="20" t="n">
        <f aca="false">IF(Quantiles!B33&lt;0,"",(Depth0-MIN(Depth0,Quantiles!B33))/Depth_per_q)</f>
        <v>2.59243277111076</v>
      </c>
      <c r="C33" s="20" t="n">
        <f aca="false">IF(Quantiles!C33&lt;0,"",(Depth0-MIN(Depth0,Quantiles!C33))/Depth_per_q)</f>
        <v>2.36127725617544</v>
      </c>
      <c r="D33" s="20" t="n">
        <f aca="false">IF(Quantiles!D33&lt;0,"",(Depth0-MIN(Depth0,Quantiles!D33))/Depth_per_q)</f>
        <v>2.15359691351788</v>
      </c>
      <c r="E33" s="20" t="n">
        <f aca="false">IF(Quantiles!E33&lt;0,"",(Depth0-MIN(Depth0,Quantiles!E33))/Depth_per_q)</f>
        <v>1.9743119814891</v>
      </c>
      <c r="F33" s="20" t="n">
        <f aca="false">IF(Quantiles!F33&lt;0,"",(Depth0-MIN(Depth0,Quantiles!F33))/Depth_per_q)</f>
        <v>1.84422882758648</v>
      </c>
      <c r="G33" s="20" t="n">
        <f aca="false">IF(Quantiles!G33&lt;0,"",(Depth0-MIN(Depth0,Quantiles!G33))/Depth_per_q)</f>
        <v>1.70752690625519</v>
      </c>
      <c r="H33" s="20" t="n">
        <f aca="false">IF(Quantiles!H33&lt;0,"",(Depth0-MIN(Depth0,Quantiles!H33))/Depth_per_q)</f>
        <v>1.58724696042879</v>
      </c>
      <c r="I33" s="20" t="n">
        <f aca="false">IF(Quantiles!I33&lt;0,"",(Depth0-MIN(Depth0,Quantiles!I33))/Depth_per_q)</f>
        <v>1.48495291211553</v>
      </c>
      <c r="J33" s="20" t="n">
        <f aca="false">IF(Quantiles!J33&lt;0,"",(Depth0-MIN(Depth0,Quantiles!J33))/Depth_per_q)</f>
        <v>1.38555408768013</v>
      </c>
      <c r="K33" s="20" t="n">
        <f aca="false">IF(Quantiles!K33&lt;0,"",(Depth0-MIN(Depth0,Quantiles!K33))/Depth_per_q)</f>
        <v>1.2998775723487</v>
      </c>
      <c r="L33" s="20" t="n">
        <f aca="false">IF(Quantiles!L33&lt;0,"",(Depth0-MIN(Depth0,Quantiles!L33))/Depth_per_q)</f>
        <v>1.22496511091436</v>
      </c>
      <c r="M33" s="20" t="n">
        <f aca="false">IF(Quantiles!M33&lt;0,"",(Depth0-MIN(Depth0,Quantiles!M33))/Depth_per_q)</f>
        <v>1.14874469634739</v>
      </c>
      <c r="N33" s="20" t="n">
        <f aca="false">IF(Quantiles!N33&lt;0,"",(Depth0-MIN(Depth0,Quantiles!N33))/Depth_per_q)</f>
        <v>1.07929206961933</v>
      </c>
      <c r="O33" s="20" t="n">
        <f aca="false">IF(Quantiles!O33&lt;0,"",(Depth0-MIN(Depth0,Quantiles!O33))/Depth_per_q)</f>
        <v>1.00765558801266</v>
      </c>
      <c r="P33" s="20" t="n">
        <f aca="false">IF(Quantiles!P33&lt;0,"",(Depth0-MIN(Depth0,Quantiles!P33))/Depth_per_q)</f>
        <v>0.943250999763648</v>
      </c>
      <c r="Q33" s="20" t="n">
        <f aca="false">IF(Quantiles!Q33&lt;0,"",(Depth0-MIN(Depth0,Quantiles!Q33))/Depth_per_q)</f>
        <v>0.8877866887688</v>
      </c>
      <c r="R33" s="20" t="n">
        <f aca="false">IF(Quantiles!R33&lt;0,"",(Depth0-MIN(Depth0,Quantiles!R33))/Depth_per_q)</f>
        <v>0.83115620000579</v>
      </c>
      <c r="S33" s="20" t="n">
        <f aca="false">IF(Quantiles!S33&lt;0,"",(Depth0-MIN(Depth0,Quantiles!S33))/Depth_per_q)</f>
        <v>0.773201288985027</v>
      </c>
      <c r="T33" s="20" t="n">
        <f aca="false">IF(Quantiles!T33&lt;0,"",(Depth0-MIN(Depth0,Quantiles!T33))/Depth_per_q)</f>
        <v>0.716678800523965</v>
      </c>
      <c r="U33" s="20" t="n">
        <f aca="false">IF(Quantiles!U33&lt;0,"",(Depth0-MIN(Depth0,Quantiles!U33))/Depth_per_q)</f>
        <v>0.664642121568518</v>
      </c>
      <c r="V33" s="20" t="n">
        <f aca="false">IF(Quantiles!V33&lt;0,"",(Depth0-MIN(Depth0,Quantiles!V33))/Depth_per_q)</f>
        <v>0.614741362077233</v>
      </c>
      <c r="W33" s="20" t="n">
        <f aca="false">IF(Quantiles!W33&lt;0,"",(Depth0-MIN(Depth0,Quantiles!W33))/Depth_per_q)</f>
        <v>0.568170841346325</v>
      </c>
      <c r="X33" s="20" t="n">
        <f aca="false">IF(Quantiles!X33&lt;0,"",(Depth0-MIN(Depth0,Quantiles!X33))/Depth_per_q)</f>
        <v>0.517567014262985</v>
      </c>
      <c r="Y33" s="20" t="n">
        <f aca="false">IF(Quantiles!Y33&lt;0,"",(Depth0-MIN(Depth0,Quantiles!Y33))/Depth_per_q)</f>
        <v>0.4761790557015</v>
      </c>
      <c r="Z33" s="20" t="n">
        <f aca="false">IF(Quantiles!Z33&lt;0,"",(Depth0-MIN(Depth0,Quantiles!Z33))/Depth_per_q)</f>
        <v>0.432199406393898</v>
      </c>
      <c r="AA33" s="20" t="n">
        <f aca="false">IF(Quantiles!AA33&lt;0,"",(Depth0-MIN(Depth0,Quantiles!AA33))/Depth_per_q)</f>
        <v>0.390368783046085</v>
      </c>
      <c r="AB33" s="20" t="n">
        <f aca="false">IF(Quantiles!AB33&lt;0,"",(Depth0-MIN(Depth0,Quantiles!AB33))/Depth_per_q)</f>
        <v>0.35016499688086</v>
      </c>
      <c r="AC33" s="20" t="n">
        <f aca="false">IF(Quantiles!AC33&lt;0,"",(Depth0-MIN(Depth0,Quantiles!AC33))/Depth_per_q)</f>
        <v>0.308739788819458</v>
      </c>
      <c r="AD33" s="20" t="n">
        <f aca="false">IF(Quantiles!AD33&lt;0,"",(Depth0-MIN(Depth0,Quantiles!AD33))/Depth_per_q)</f>
        <v>0.271056747132323</v>
      </c>
      <c r="AE33" s="20" t="n">
        <f aca="false">IF(Quantiles!AE33&lt;0,"",(Depth0-MIN(Depth0,Quantiles!AE33))/Depth_per_q)</f>
        <v>0.234308738834873</v>
      </c>
      <c r="AF33" s="20" t="n">
        <f aca="false">IF(Quantiles!AF33&lt;0,"",(Depth0-MIN(Depth0,Quantiles!AF33))/Depth_per_q)</f>
        <v>0.197172774237522</v>
      </c>
      <c r="AG33" s="20" t="n">
        <f aca="false">IF(Quantiles!AG33&lt;0,"",(Depth0-MIN(Depth0,Quantiles!AG33))/Depth_per_q)</f>
        <v>0.163111051208215</v>
      </c>
      <c r="AH33" s="20" t="n">
        <f aca="false">IF(Quantiles!AH33&lt;0,"",(Depth0-MIN(Depth0,Quantiles!AH33))/Depth_per_q)</f>
        <v>0.1248656973087</v>
      </c>
      <c r="AI33" s="20" t="n">
        <f aca="false">IF(Quantiles!AI33&lt;0,"",(Depth0-MIN(Depth0,Quantiles!AI33))/Depth_per_q)</f>
        <v>0.0900449253858202</v>
      </c>
      <c r="AJ33" s="20" t="n">
        <f aca="false">IF(Quantiles!AJ33&lt;0,"",(Depth0-MIN(Depth0,Quantiles!AJ33))/Depth_per_q)</f>
        <v>0.0534627227034248</v>
      </c>
      <c r="AK33" s="20" t="n">
        <f aca="false">IF(Quantiles!AK33&lt;0,"",(Depth0-MIN(Depth0,Quantiles!AK33))/Depth_per_q)</f>
        <v>0.02298865328037</v>
      </c>
      <c r="AL33" s="20" t="n">
        <f aca="false">IF(Quantiles!AL33&lt;0,"",(Depth0-MIN(Depth0,Quantiles!AL33))/Depth_per_q)</f>
        <v>0</v>
      </c>
      <c r="AM33" s="20" t="n">
        <f aca="false">IF(Quantiles!AM33&lt;0,"",(Depth0-MIN(Depth0,Quantiles!AM33))/Depth_per_q)</f>
        <v>0</v>
      </c>
      <c r="AN33" s="20" t="n">
        <f aca="false">IF(Quantiles!AN33&lt;0,"",(Depth0-MIN(Depth0,Quantiles!AN33))/Depth_per_q)</f>
        <v>0</v>
      </c>
      <c r="AO33" s="20" t="n">
        <f aca="false">IF(Quantiles!AO33&lt;0,"",(Depth0-MIN(Depth0,Quantiles!AO33))/Depth_per_q)</f>
        <v>0</v>
      </c>
      <c r="AP33" s="20" t="n">
        <f aca="false">IF(Quantiles!AP33&lt;0,"",(Depth0-MIN(Depth0,Quantiles!AP33))/Depth_per_q)</f>
        <v>0</v>
      </c>
      <c r="AQ33" s="20" t="n">
        <f aca="false">IF(Quantiles!AQ33&lt;0,"",(Depth0-MIN(Depth0,Quantiles!AQ33))/Depth_per_q)</f>
        <v>0</v>
      </c>
      <c r="AR33" s="20" t="n">
        <f aca="false">IF(Quantiles!AR33&lt;0,"",(Depth0-MIN(Depth0,Quantiles!AR33))/Depth_per_q)</f>
        <v>0</v>
      </c>
      <c r="AS33" s="20" t="n">
        <f aca="false">IF(Quantiles!AS33&lt;0,"",(Depth0-MIN(Depth0,Quantiles!AS33))/Depth_per_q)</f>
        <v>0</v>
      </c>
      <c r="AT33" s="20" t="n">
        <f aca="false">IF(Quantiles!AT33&lt;0,"",(Depth0-MIN(Depth0,Quantiles!AT33))/Depth_per_q)</f>
        <v>0</v>
      </c>
      <c r="AU33" s="20" t="n">
        <f aca="false">IF(Quantiles!AU33&lt;0,"",(Depth0-MIN(Depth0,Quantiles!AU33))/Depth_per_q)</f>
        <v>0</v>
      </c>
      <c r="AV33" s="20" t="n">
        <f aca="false">IF(Quantiles!AV33&lt;0,"",(Depth0-MIN(Depth0,Quantiles!AV33))/Depth_per_q)</f>
        <v>0</v>
      </c>
      <c r="AW33" s="20" t="n">
        <f aca="false">IF(Quantiles!AW33&lt;0,"",(Depth0-MIN(Depth0,Quantiles!AW33))/Depth_per_q)</f>
        <v>0</v>
      </c>
      <c r="AX33" s="20" t="n">
        <f aca="false">IF(Quantiles!AX33&lt;0,"",(Depth0-MIN(Depth0,Quantiles!AX33))/Depth_per_q)</f>
        <v>0</v>
      </c>
      <c r="AY33" s="20" t="n">
        <f aca="false">IF(Quantiles!AY33&lt;0,"",(Depth0-MIN(Depth0,Quantiles!AY33))/Depth_per_q)</f>
        <v>0</v>
      </c>
      <c r="AZ33" s="20" t="n">
        <f aca="false">IF(Quantiles!AZ33&lt;0,"",(Depth0-MIN(Depth0,Quantiles!AZ33))/Depth_per_q)</f>
        <v>0</v>
      </c>
      <c r="BA33" s="20" t="n">
        <f aca="false">IF(Quantiles!BA33&lt;0,"",(Depth0-MIN(Depth0,Quantiles!BA33))/Depth_per_q)</f>
        <v>0</v>
      </c>
      <c r="BB33" s="20" t="n">
        <f aca="false">IF(Quantiles!BB33&lt;0,"",(Depth0-MIN(Depth0,Quantiles!BB33))/Depth_per_q)</f>
        <v>0</v>
      </c>
      <c r="BC33" s="20" t="n">
        <f aca="false">IF(Quantiles!BC33&lt;0,"",(Depth0-MIN(Depth0,Quantiles!BC33))/Depth_per_q)</f>
        <v>0</v>
      </c>
      <c r="BD33" s="20" t="n">
        <f aca="false">IF(Quantiles!BD33&lt;0,"",(Depth0-MIN(Depth0,Quantiles!BD33))/Depth_per_q)</f>
        <v>0</v>
      </c>
      <c r="BE33" s="20" t="n">
        <f aca="false">IF(Quantiles!BE33&lt;0,"",(Depth0-MIN(Depth0,Quantiles!BE33))/Depth_per_q)</f>
        <v>0</v>
      </c>
      <c r="BF33" s="20" t="n">
        <f aca="false">IF(Quantiles!BF33&lt;0,"",(Depth0-MIN(Depth0,Quantiles!BF33))/Depth_per_q)</f>
        <v>0</v>
      </c>
      <c r="BG33" s="20" t="n">
        <f aca="false">IF(Quantiles!BG33&lt;0,"",(Depth0-MIN(Depth0,Quantiles!BG33))/Depth_per_q)</f>
        <v>0</v>
      </c>
      <c r="BH33" s="20" t="n">
        <f aca="false">IF(Quantiles!BH33&lt;0,"",(Depth0-MIN(Depth0,Quantiles!BH33))/Depth_per_q)</f>
        <v>0</v>
      </c>
      <c r="BI33" s="20" t="n">
        <f aca="false">IF(Quantiles!BI33&lt;0,"",(Depth0-MIN(Depth0,Quantiles!BI33))/Depth_per_q)</f>
        <v>0</v>
      </c>
      <c r="BJ33" s="20" t="n">
        <f aca="false">IF(Quantiles!BJ33&lt;0,"",(Depth0-MIN(Depth0,Quantiles!BJ33))/Depth_per_q)</f>
        <v>0</v>
      </c>
      <c r="BK33" s="20" t="n">
        <f aca="false">IF(Quantiles!BK33&lt;0,"",(Depth0-MIN(Depth0,Quantiles!BK33))/Depth_per_q)</f>
        <v>0</v>
      </c>
      <c r="BL33" s="20" t="n">
        <f aca="false">IF(Quantiles!BL33&lt;0,"",(Depth0-MIN(Depth0,Quantiles!BL33))/Depth_per_q)</f>
        <v>0</v>
      </c>
      <c r="BM33" s="20" t="n">
        <f aca="false">IF(Quantiles!BM33&lt;0,"",(Depth0-MIN(Depth0,Quantiles!BM33))/Depth_per_q)</f>
        <v>0</v>
      </c>
      <c r="BN33" s="20" t="n">
        <f aca="false">IF(Quantiles!BN33&lt;0,"",(Depth0-MIN(Depth0,Quantiles!BN33))/Depth_per_q)</f>
        <v>0</v>
      </c>
      <c r="BO33" s="20" t="n">
        <f aca="false">IF(Quantiles!BO33&lt;0,"",(Depth0-MIN(Depth0,Quantiles!BO33))/Depth_per_q)</f>
        <v>0</v>
      </c>
      <c r="BP33" s="20" t="n">
        <f aca="false">IF(Quantiles!BP33&lt;0,"",(Depth0-MIN(Depth0,Quantiles!BP33))/Depth_per_q)</f>
        <v>0</v>
      </c>
      <c r="BQ33" s="20" t="n">
        <f aca="false">IF(Quantiles!BQ33&lt;0,"",(Depth0-MIN(Depth0,Quantiles!BQ33))/Depth_per_q)</f>
        <v>0</v>
      </c>
      <c r="BR33" s="20" t="n">
        <f aca="false">IF(Quantiles!BR33&lt;0,"",(Depth0-MIN(Depth0,Quantiles!BR33))/Depth_per_q)</f>
        <v>0</v>
      </c>
      <c r="BS33" s="20" t="n">
        <f aca="false">IF(Quantiles!BS33&lt;0,"",(Depth0-MIN(Depth0,Quantiles!BS33))/Depth_per_q)</f>
        <v>0</v>
      </c>
      <c r="BT33" s="20" t="n">
        <f aca="false">IF(Quantiles!BT33&lt;0,"",(Depth0-MIN(Depth0,Quantiles!BT33))/Depth_per_q)</f>
        <v>0</v>
      </c>
      <c r="BU33" s="20" t="n">
        <f aca="false">IF(Quantiles!BU33&lt;0,"",(Depth0-MIN(Depth0,Quantiles!BU33))/Depth_per_q)</f>
        <v>0</v>
      </c>
      <c r="BV33" s="20" t="n">
        <f aca="false">IF(Quantiles!BV33&lt;0,"",(Depth0-MIN(Depth0,Quantiles!BV33))/Depth_per_q)</f>
        <v>0</v>
      </c>
      <c r="BW33" s="20" t="n">
        <f aca="false">IF(Quantiles!BW33&lt;0,"",(Depth0-MIN(Depth0,Quantiles!BW33))/Depth_per_q)</f>
        <v>0</v>
      </c>
      <c r="BX33" s="20" t="n">
        <f aca="false">IF(Quantiles!BX33&lt;0,"",(Depth0-MIN(Depth0,Quantiles!BX33))/Depth_per_q)</f>
        <v>0</v>
      </c>
      <c r="BY33" s="20" t="n">
        <f aca="false">IF(Quantiles!BY33&lt;0,"",(Depth0-MIN(Depth0,Quantiles!BY33))/Depth_per_q)</f>
        <v>0</v>
      </c>
      <c r="BZ33" s="20" t="n">
        <f aca="false">IF(Quantiles!BZ33&lt;0,"",(Depth0-MIN(Depth0,Quantiles!BZ33))/Depth_per_q)</f>
        <v>0</v>
      </c>
      <c r="CA33" s="20" t="n">
        <f aca="false">IF(Quantiles!CA33&lt;0,"",(Depth0-MIN(Depth0,Quantiles!CA33))/Depth_per_q)</f>
        <v>0</v>
      </c>
      <c r="CB33" s="20" t="n">
        <f aca="false">IF(Quantiles!CB33&lt;0,"",(Depth0-MIN(Depth0,Quantiles!CB33))/Depth_per_q)</f>
        <v>0</v>
      </c>
      <c r="CC33" s="20" t="n">
        <f aca="false">IF(Quantiles!CC33&lt;0,"",(Depth0-MIN(Depth0,Quantiles!CC33))/Depth_per_q)</f>
        <v>0</v>
      </c>
      <c r="CD33" s="20" t="n">
        <f aca="false">IF(Quantiles!CD33&lt;0,"",(Depth0-MIN(Depth0,Quantiles!CD33))/Depth_per_q)</f>
        <v>0</v>
      </c>
      <c r="CE33" s="20" t="n">
        <f aca="false">IF(Quantiles!CE33&lt;0,"",(Depth0-MIN(Depth0,Quantiles!CE33))/Depth_per_q)</f>
        <v>0</v>
      </c>
      <c r="CF33" s="20" t="n">
        <f aca="false">IF(Quantiles!CF33&lt;0,"",(Depth0-MIN(Depth0,Quantiles!CF33))/Depth_per_q)</f>
        <v>0</v>
      </c>
      <c r="CG33" s="20" t="n">
        <f aca="false">IF(Quantiles!CG33&lt;0,"",(Depth0-MIN(Depth0,Quantiles!CG33))/Depth_per_q)</f>
        <v>0</v>
      </c>
      <c r="CH33" s="20" t="n">
        <f aca="false">IF(Quantiles!CH33&lt;0,"",(Depth0-MIN(Depth0,Quantiles!CH33))/Depth_per_q)</f>
        <v>0</v>
      </c>
      <c r="CI33" s="20" t="n">
        <f aca="false">IF(Quantiles!CI33&lt;0,"",(Depth0-MIN(Depth0,Quantiles!CI33))/Depth_per_q)</f>
        <v>0</v>
      </c>
      <c r="CJ33" s="20" t="n">
        <f aca="false">IF(Quantiles!CJ33&lt;0,"",(Depth0-MIN(Depth0,Quantiles!CJ33))/Depth_per_q)</f>
        <v>0</v>
      </c>
      <c r="CK33" s="20" t="n">
        <f aca="false">IF(Quantiles!CK33&lt;0,"",(Depth0-MIN(Depth0,Quantiles!CK33))/Depth_per_q)</f>
        <v>0</v>
      </c>
      <c r="CL33" s="20" t="n">
        <f aca="false">IF(Quantiles!CL33&lt;0,"",(Depth0-MIN(Depth0,Quantiles!CL33))/Depth_per_q)</f>
        <v>0</v>
      </c>
      <c r="CM33" s="20" t="n">
        <f aca="false">IF(Quantiles!CM33&lt;0,"",(Depth0-MIN(Depth0,Quantiles!CM33))/Depth_per_q)</f>
        <v>0</v>
      </c>
      <c r="CN33" s="20" t="n">
        <f aca="false">IF(Quantiles!CN33&lt;0,"",(Depth0-MIN(Depth0,Quantiles!CN33))/Depth_per_q)</f>
        <v>0</v>
      </c>
      <c r="CO33" s="20" t="n">
        <f aca="false">IF(Quantiles!CO33&lt;0,"",(Depth0-MIN(Depth0,Quantiles!CO33))/Depth_per_q)</f>
        <v>0</v>
      </c>
      <c r="CP33" s="20" t="n">
        <f aca="false">IF(Quantiles!CP33&lt;0,"",(Depth0-MIN(Depth0,Quantiles!CP33))/Depth_per_q)</f>
        <v>0</v>
      </c>
      <c r="CQ33" s="20" t="n">
        <f aca="false">IF(Quantiles!CQ33&lt;0,"",(Depth0-MIN(Depth0,Quantiles!CQ33))/Depth_per_q)</f>
        <v>0</v>
      </c>
      <c r="CR33" s="20" t="n">
        <f aca="false">IF(Quantiles!CR33&lt;0,"",(Depth0-MIN(Depth0,Quantiles!CR33))/Depth_per_q)</f>
        <v>0</v>
      </c>
      <c r="CS33" s="20" t="n">
        <f aca="false">IF(Quantiles!CS33&lt;0,"",(Depth0-MIN(Depth0,Quantiles!CS33))/Depth_per_q)</f>
        <v>0</v>
      </c>
      <c r="CT33" s="20" t="n">
        <f aca="false">IF(Quantiles!CT33&lt;0,"",(Depth0-MIN(Depth0,Quantiles!CT33))/Depth_per_q)</f>
        <v>1.38527601480684</v>
      </c>
    </row>
    <row r="34" customFormat="false" ht="15" hidden="false" customHeight="false" outlineLevel="0" collapsed="false">
      <c r="A34" s="25" t="n">
        <f aca="false">Quantiles!A34</f>
        <v>145</v>
      </c>
      <c r="B34" s="20" t="n">
        <f aca="false">IF(Quantiles!B34&lt;0,"",(Depth0-MIN(Depth0,Quantiles!B34))/Depth_per_q)</f>
        <v>2.5194429829631</v>
      </c>
      <c r="C34" s="20" t="n">
        <f aca="false">IF(Quantiles!C34&lt;0,"",(Depth0-MIN(Depth0,Quantiles!C34))/Depth_per_q)</f>
        <v>2.28944699559527</v>
      </c>
      <c r="D34" s="20" t="n">
        <f aca="false">IF(Quantiles!D34&lt;0,"",(Depth0-MIN(Depth0,Quantiles!D34))/Depth_per_q)</f>
        <v>2.09400185866978</v>
      </c>
      <c r="E34" s="20" t="n">
        <f aca="false">IF(Quantiles!E34&lt;0,"",(Depth0-MIN(Depth0,Quantiles!E34))/Depth_per_q)</f>
        <v>1.92503234025923</v>
      </c>
      <c r="F34" s="20" t="n">
        <f aca="false">IF(Quantiles!F34&lt;0,"",(Depth0-MIN(Depth0,Quantiles!F34))/Depth_per_q)</f>
        <v>1.78682649598189</v>
      </c>
      <c r="G34" s="20" t="n">
        <f aca="false">IF(Quantiles!G34&lt;0,"",(Depth0-MIN(Depth0,Quantiles!G34))/Depth_per_q)</f>
        <v>1.65571328727093</v>
      </c>
      <c r="H34" s="20" t="n">
        <f aca="false">IF(Quantiles!H34&lt;0,"",(Depth0-MIN(Depth0,Quantiles!H34))/Depth_per_q)</f>
        <v>1.5427443173547</v>
      </c>
      <c r="I34" s="20" t="n">
        <f aca="false">IF(Quantiles!I34&lt;0,"",(Depth0-MIN(Depth0,Quantiles!I34))/Depth_per_q)</f>
        <v>1.43669753839797</v>
      </c>
      <c r="J34" s="20" t="n">
        <f aca="false">IF(Quantiles!J34&lt;0,"",(Depth0-MIN(Depth0,Quantiles!J34))/Depth_per_q)</f>
        <v>1.34270453494766</v>
      </c>
      <c r="K34" s="20" t="n">
        <f aca="false">IF(Quantiles!K34&lt;0,"",(Depth0-MIN(Depth0,Quantiles!K34))/Depth_per_q)</f>
        <v>1.25613739014129</v>
      </c>
      <c r="L34" s="20" t="n">
        <f aca="false">IF(Quantiles!L34&lt;0,"",(Depth0-MIN(Depth0,Quantiles!L34))/Depth_per_q)</f>
        <v>1.18529540873161</v>
      </c>
      <c r="M34" s="20" t="n">
        <f aca="false">IF(Quantiles!M34&lt;0,"",(Depth0-MIN(Depth0,Quantiles!M34))/Depth_per_q)</f>
        <v>1.11110843799645</v>
      </c>
      <c r="N34" s="20" t="n">
        <f aca="false">IF(Quantiles!N34&lt;0,"",(Depth0-MIN(Depth0,Quantiles!N34))/Depth_per_q)</f>
        <v>1.04096769382911</v>
      </c>
      <c r="O34" s="20" t="n">
        <f aca="false">IF(Quantiles!O34&lt;0,"",(Depth0-MIN(Depth0,Quantiles!O34))/Depth_per_q)</f>
        <v>0.970919416891713</v>
      </c>
      <c r="P34" s="20" t="n">
        <f aca="false">IF(Quantiles!P34&lt;0,"",(Depth0-MIN(Depth0,Quantiles!P34))/Depth_per_q)</f>
        <v>0.907962460228435</v>
      </c>
      <c r="Q34" s="20" t="n">
        <f aca="false">IF(Quantiles!Q34&lt;0,"",(Depth0-MIN(Depth0,Quantiles!Q34))/Depth_per_q)</f>
        <v>0.849862737763535</v>
      </c>
      <c r="R34" s="20" t="n">
        <f aca="false">IF(Quantiles!R34&lt;0,"",(Depth0-MIN(Depth0,Quantiles!R34))/Depth_per_q)</f>
        <v>0.793948655639245</v>
      </c>
      <c r="S34" s="20" t="n">
        <f aca="false">IF(Quantiles!S34&lt;0,"",(Depth0-MIN(Depth0,Quantiles!S34))/Depth_per_q)</f>
        <v>0.734070829089575</v>
      </c>
      <c r="T34" s="20" t="n">
        <f aca="false">IF(Quantiles!T34&lt;0,"",(Depth0-MIN(Depth0,Quantiles!T34))/Depth_per_q)</f>
        <v>0.68293016954983</v>
      </c>
      <c r="U34" s="20" t="n">
        <f aca="false">IF(Quantiles!U34&lt;0,"",(Depth0-MIN(Depth0,Quantiles!U34))/Depth_per_q)</f>
        <v>0.631133558919878</v>
      </c>
      <c r="V34" s="20" t="n">
        <f aca="false">IF(Quantiles!V34&lt;0,"",(Depth0-MIN(Depth0,Quantiles!V34))/Depth_per_q)</f>
        <v>0.581831108813628</v>
      </c>
      <c r="W34" s="20" t="n">
        <f aca="false">IF(Quantiles!W34&lt;0,"",(Depth0-MIN(Depth0,Quantiles!W34))/Depth_per_q)</f>
        <v>0.536516995622398</v>
      </c>
      <c r="X34" s="20" t="n">
        <f aca="false">IF(Quantiles!X34&lt;0,"",(Depth0-MIN(Depth0,Quantiles!X34))/Depth_per_q)</f>
        <v>0.489619881006978</v>
      </c>
      <c r="Y34" s="20" t="n">
        <f aca="false">IF(Quantiles!Y34&lt;0,"",(Depth0-MIN(Depth0,Quantiles!Y34))/Depth_per_q)</f>
        <v>0.449676208607925</v>
      </c>
      <c r="Z34" s="20" t="n">
        <f aca="false">IF(Quantiles!Z34&lt;0,"",(Depth0-MIN(Depth0,Quantiles!Z34))/Depth_per_q)</f>
        <v>0.407842047361543</v>
      </c>
      <c r="AA34" s="20" t="n">
        <f aca="false">IF(Quantiles!AA34&lt;0,"",(Depth0-MIN(Depth0,Quantiles!AA34))/Depth_per_q)</f>
        <v>0.366766220171885</v>
      </c>
      <c r="AB34" s="20" t="n">
        <f aca="false">IF(Quantiles!AB34&lt;0,"",(Depth0-MIN(Depth0,Quantiles!AB34))/Depth_per_q)</f>
        <v>0.324882575508012</v>
      </c>
      <c r="AC34" s="20" t="n">
        <f aca="false">IF(Quantiles!AC34&lt;0,"",(Depth0-MIN(Depth0,Quantiles!AC34))/Depth_per_q)</f>
        <v>0.282432448104403</v>
      </c>
      <c r="AD34" s="20" t="n">
        <f aca="false">IF(Quantiles!AD34&lt;0,"",(Depth0-MIN(Depth0,Quantiles!AD34))/Depth_per_q)</f>
        <v>0.246082472981907</v>
      </c>
      <c r="AE34" s="20" t="n">
        <f aca="false">IF(Quantiles!AE34&lt;0,"",(Depth0-MIN(Depth0,Quantiles!AE34))/Depth_per_q)</f>
        <v>0.207600911233983</v>
      </c>
      <c r="AF34" s="20" t="n">
        <f aca="false">IF(Quantiles!AF34&lt;0,"",(Depth0-MIN(Depth0,Quantiles!AF34))/Depth_per_q)</f>
        <v>0.172857323126372</v>
      </c>
      <c r="AG34" s="20" t="n">
        <f aca="false">IF(Quantiles!AG34&lt;0,"",(Depth0-MIN(Depth0,Quantiles!AG34))/Depth_per_q)</f>
        <v>0.135546358718387</v>
      </c>
      <c r="AH34" s="20" t="n">
        <f aca="false">IF(Quantiles!AH34&lt;0,"",(Depth0-MIN(Depth0,Quantiles!AH34))/Depth_per_q)</f>
        <v>0.0991128448717502</v>
      </c>
      <c r="AI34" s="20" t="n">
        <f aca="false">IF(Quantiles!AI34&lt;0,"",(Depth0-MIN(Depth0,Quantiles!AI34))/Depth_per_q)</f>
        <v>0.0659037324948653</v>
      </c>
      <c r="AJ34" s="20" t="n">
        <f aca="false">IF(Quantiles!AJ34&lt;0,"",(Depth0-MIN(Depth0,Quantiles!AJ34))/Depth_per_q)</f>
        <v>0.0302153389042799</v>
      </c>
      <c r="AK34" s="20" t="n">
        <f aca="false">IF(Quantiles!AK34&lt;0,"",(Depth0-MIN(Depth0,Quantiles!AK34))/Depth_per_q)</f>
        <v>0</v>
      </c>
      <c r="AL34" s="20" t="n">
        <f aca="false">IF(Quantiles!AL34&lt;0,"",(Depth0-MIN(Depth0,Quantiles!AL34))/Depth_per_q)</f>
        <v>0</v>
      </c>
      <c r="AM34" s="20" t="n">
        <f aca="false">IF(Quantiles!AM34&lt;0,"",(Depth0-MIN(Depth0,Quantiles!AM34))/Depth_per_q)</f>
        <v>0</v>
      </c>
      <c r="AN34" s="20" t="n">
        <f aca="false">IF(Quantiles!AN34&lt;0,"",(Depth0-MIN(Depth0,Quantiles!AN34))/Depth_per_q)</f>
        <v>0</v>
      </c>
      <c r="AO34" s="20" t="n">
        <f aca="false">IF(Quantiles!AO34&lt;0,"",(Depth0-MIN(Depth0,Quantiles!AO34))/Depth_per_q)</f>
        <v>0</v>
      </c>
      <c r="AP34" s="20" t="n">
        <f aca="false">IF(Quantiles!AP34&lt;0,"",(Depth0-MIN(Depth0,Quantiles!AP34))/Depth_per_q)</f>
        <v>0</v>
      </c>
      <c r="AQ34" s="20" t="n">
        <f aca="false">IF(Quantiles!AQ34&lt;0,"",(Depth0-MIN(Depth0,Quantiles!AQ34))/Depth_per_q)</f>
        <v>0</v>
      </c>
      <c r="AR34" s="20" t="n">
        <f aca="false">IF(Quantiles!AR34&lt;0,"",(Depth0-MIN(Depth0,Quantiles!AR34))/Depth_per_q)</f>
        <v>0</v>
      </c>
      <c r="AS34" s="20" t="n">
        <f aca="false">IF(Quantiles!AS34&lt;0,"",(Depth0-MIN(Depth0,Quantiles!AS34))/Depth_per_q)</f>
        <v>0</v>
      </c>
      <c r="AT34" s="20" t="n">
        <f aca="false">IF(Quantiles!AT34&lt;0,"",(Depth0-MIN(Depth0,Quantiles!AT34))/Depth_per_q)</f>
        <v>0</v>
      </c>
      <c r="AU34" s="20" t="n">
        <f aca="false">IF(Quantiles!AU34&lt;0,"",(Depth0-MIN(Depth0,Quantiles!AU34))/Depth_per_q)</f>
        <v>0</v>
      </c>
      <c r="AV34" s="20" t="n">
        <f aca="false">IF(Quantiles!AV34&lt;0,"",(Depth0-MIN(Depth0,Quantiles!AV34))/Depth_per_q)</f>
        <v>0</v>
      </c>
      <c r="AW34" s="20" t="n">
        <f aca="false">IF(Quantiles!AW34&lt;0,"",(Depth0-MIN(Depth0,Quantiles!AW34))/Depth_per_q)</f>
        <v>0</v>
      </c>
      <c r="AX34" s="20" t="n">
        <f aca="false">IF(Quantiles!AX34&lt;0,"",(Depth0-MIN(Depth0,Quantiles!AX34))/Depth_per_q)</f>
        <v>0</v>
      </c>
      <c r="AY34" s="20" t="n">
        <f aca="false">IF(Quantiles!AY34&lt;0,"",(Depth0-MIN(Depth0,Quantiles!AY34))/Depth_per_q)</f>
        <v>0</v>
      </c>
      <c r="AZ34" s="20" t="n">
        <f aca="false">IF(Quantiles!AZ34&lt;0,"",(Depth0-MIN(Depth0,Quantiles!AZ34))/Depth_per_q)</f>
        <v>0</v>
      </c>
      <c r="BA34" s="20" t="n">
        <f aca="false">IF(Quantiles!BA34&lt;0,"",(Depth0-MIN(Depth0,Quantiles!BA34))/Depth_per_q)</f>
        <v>0</v>
      </c>
      <c r="BB34" s="20" t="n">
        <f aca="false">IF(Quantiles!BB34&lt;0,"",(Depth0-MIN(Depth0,Quantiles!BB34))/Depth_per_q)</f>
        <v>0</v>
      </c>
      <c r="BC34" s="20" t="n">
        <f aca="false">IF(Quantiles!BC34&lt;0,"",(Depth0-MIN(Depth0,Quantiles!BC34))/Depth_per_q)</f>
        <v>0</v>
      </c>
      <c r="BD34" s="20" t="n">
        <f aca="false">IF(Quantiles!BD34&lt;0,"",(Depth0-MIN(Depth0,Quantiles!BD34))/Depth_per_q)</f>
        <v>0</v>
      </c>
      <c r="BE34" s="20" t="n">
        <f aca="false">IF(Quantiles!BE34&lt;0,"",(Depth0-MIN(Depth0,Quantiles!BE34))/Depth_per_q)</f>
        <v>0</v>
      </c>
      <c r="BF34" s="20" t="n">
        <f aca="false">IF(Quantiles!BF34&lt;0,"",(Depth0-MIN(Depth0,Quantiles!BF34))/Depth_per_q)</f>
        <v>0</v>
      </c>
      <c r="BG34" s="20" t="n">
        <f aca="false">IF(Quantiles!BG34&lt;0,"",(Depth0-MIN(Depth0,Quantiles!BG34))/Depth_per_q)</f>
        <v>0</v>
      </c>
      <c r="BH34" s="20" t="n">
        <f aca="false">IF(Quantiles!BH34&lt;0,"",(Depth0-MIN(Depth0,Quantiles!BH34))/Depth_per_q)</f>
        <v>0</v>
      </c>
      <c r="BI34" s="20" t="n">
        <f aca="false">IF(Quantiles!BI34&lt;0,"",(Depth0-MIN(Depth0,Quantiles!BI34))/Depth_per_q)</f>
        <v>0</v>
      </c>
      <c r="BJ34" s="20" t="n">
        <f aca="false">IF(Quantiles!BJ34&lt;0,"",(Depth0-MIN(Depth0,Quantiles!BJ34))/Depth_per_q)</f>
        <v>0</v>
      </c>
      <c r="BK34" s="20" t="n">
        <f aca="false">IF(Quantiles!BK34&lt;0,"",(Depth0-MIN(Depth0,Quantiles!BK34))/Depth_per_q)</f>
        <v>0</v>
      </c>
      <c r="BL34" s="20" t="n">
        <f aca="false">IF(Quantiles!BL34&lt;0,"",(Depth0-MIN(Depth0,Quantiles!BL34))/Depth_per_q)</f>
        <v>0</v>
      </c>
      <c r="BM34" s="20" t="n">
        <f aca="false">IF(Quantiles!BM34&lt;0,"",(Depth0-MIN(Depth0,Quantiles!BM34))/Depth_per_q)</f>
        <v>0</v>
      </c>
      <c r="BN34" s="20" t="n">
        <f aca="false">IF(Quantiles!BN34&lt;0,"",(Depth0-MIN(Depth0,Quantiles!BN34))/Depth_per_q)</f>
        <v>0</v>
      </c>
      <c r="BO34" s="20" t="n">
        <f aca="false">IF(Quantiles!BO34&lt;0,"",(Depth0-MIN(Depth0,Quantiles!BO34))/Depth_per_q)</f>
        <v>0</v>
      </c>
      <c r="BP34" s="20" t="n">
        <f aca="false">IF(Quantiles!BP34&lt;0,"",(Depth0-MIN(Depth0,Quantiles!BP34))/Depth_per_q)</f>
        <v>0</v>
      </c>
      <c r="BQ34" s="20" t="n">
        <f aca="false">IF(Quantiles!BQ34&lt;0,"",(Depth0-MIN(Depth0,Quantiles!BQ34))/Depth_per_q)</f>
        <v>0</v>
      </c>
      <c r="BR34" s="20" t="n">
        <f aca="false">IF(Quantiles!BR34&lt;0,"",(Depth0-MIN(Depth0,Quantiles!BR34))/Depth_per_q)</f>
        <v>0</v>
      </c>
      <c r="BS34" s="20" t="n">
        <f aca="false">IF(Quantiles!BS34&lt;0,"",(Depth0-MIN(Depth0,Quantiles!BS34))/Depth_per_q)</f>
        <v>0</v>
      </c>
      <c r="BT34" s="20" t="n">
        <f aca="false">IF(Quantiles!BT34&lt;0,"",(Depth0-MIN(Depth0,Quantiles!BT34))/Depth_per_q)</f>
        <v>0</v>
      </c>
      <c r="BU34" s="20" t="n">
        <f aca="false">IF(Quantiles!BU34&lt;0,"",(Depth0-MIN(Depth0,Quantiles!BU34))/Depth_per_q)</f>
        <v>0</v>
      </c>
      <c r="BV34" s="20" t="n">
        <f aca="false">IF(Quantiles!BV34&lt;0,"",(Depth0-MIN(Depth0,Quantiles!BV34))/Depth_per_q)</f>
        <v>0</v>
      </c>
      <c r="BW34" s="20" t="n">
        <f aca="false">IF(Quantiles!BW34&lt;0,"",(Depth0-MIN(Depth0,Quantiles!BW34))/Depth_per_q)</f>
        <v>0</v>
      </c>
      <c r="BX34" s="20" t="n">
        <f aca="false">IF(Quantiles!BX34&lt;0,"",(Depth0-MIN(Depth0,Quantiles!BX34))/Depth_per_q)</f>
        <v>0</v>
      </c>
      <c r="BY34" s="20" t="n">
        <f aca="false">IF(Quantiles!BY34&lt;0,"",(Depth0-MIN(Depth0,Quantiles!BY34))/Depth_per_q)</f>
        <v>0</v>
      </c>
      <c r="BZ34" s="20" t="n">
        <f aca="false">IF(Quantiles!BZ34&lt;0,"",(Depth0-MIN(Depth0,Quantiles!BZ34))/Depth_per_q)</f>
        <v>0</v>
      </c>
      <c r="CA34" s="20" t="n">
        <f aca="false">IF(Quantiles!CA34&lt;0,"",(Depth0-MIN(Depth0,Quantiles!CA34))/Depth_per_q)</f>
        <v>0</v>
      </c>
      <c r="CB34" s="20" t="n">
        <f aca="false">IF(Quantiles!CB34&lt;0,"",(Depth0-MIN(Depth0,Quantiles!CB34))/Depth_per_q)</f>
        <v>0</v>
      </c>
      <c r="CC34" s="20" t="n">
        <f aca="false">IF(Quantiles!CC34&lt;0,"",(Depth0-MIN(Depth0,Quantiles!CC34))/Depth_per_q)</f>
        <v>0</v>
      </c>
      <c r="CD34" s="20" t="n">
        <f aca="false">IF(Quantiles!CD34&lt;0,"",(Depth0-MIN(Depth0,Quantiles!CD34))/Depth_per_q)</f>
        <v>0</v>
      </c>
      <c r="CE34" s="20" t="n">
        <f aca="false">IF(Quantiles!CE34&lt;0,"",(Depth0-MIN(Depth0,Quantiles!CE34))/Depth_per_q)</f>
        <v>0</v>
      </c>
      <c r="CF34" s="20" t="n">
        <f aca="false">IF(Quantiles!CF34&lt;0,"",(Depth0-MIN(Depth0,Quantiles!CF34))/Depth_per_q)</f>
        <v>0</v>
      </c>
      <c r="CG34" s="20" t="n">
        <f aca="false">IF(Quantiles!CG34&lt;0,"",(Depth0-MIN(Depth0,Quantiles!CG34))/Depth_per_q)</f>
        <v>0</v>
      </c>
      <c r="CH34" s="20" t="n">
        <f aca="false">IF(Quantiles!CH34&lt;0,"",(Depth0-MIN(Depth0,Quantiles!CH34))/Depth_per_q)</f>
        <v>0</v>
      </c>
      <c r="CI34" s="20" t="n">
        <f aca="false">IF(Quantiles!CI34&lt;0,"",(Depth0-MIN(Depth0,Quantiles!CI34))/Depth_per_q)</f>
        <v>0</v>
      </c>
      <c r="CJ34" s="20" t="n">
        <f aca="false">IF(Quantiles!CJ34&lt;0,"",(Depth0-MIN(Depth0,Quantiles!CJ34))/Depth_per_q)</f>
        <v>0</v>
      </c>
      <c r="CK34" s="20" t="n">
        <f aca="false">IF(Quantiles!CK34&lt;0,"",(Depth0-MIN(Depth0,Quantiles!CK34))/Depth_per_q)</f>
        <v>0</v>
      </c>
      <c r="CL34" s="20" t="n">
        <f aca="false">IF(Quantiles!CL34&lt;0,"",(Depth0-MIN(Depth0,Quantiles!CL34))/Depth_per_q)</f>
        <v>0</v>
      </c>
      <c r="CM34" s="20" t="n">
        <f aca="false">IF(Quantiles!CM34&lt;0,"",(Depth0-MIN(Depth0,Quantiles!CM34))/Depth_per_q)</f>
        <v>0</v>
      </c>
      <c r="CN34" s="20" t="n">
        <f aca="false">IF(Quantiles!CN34&lt;0,"",(Depth0-MIN(Depth0,Quantiles!CN34))/Depth_per_q)</f>
        <v>0</v>
      </c>
      <c r="CO34" s="20" t="n">
        <f aca="false">IF(Quantiles!CO34&lt;0,"",(Depth0-MIN(Depth0,Quantiles!CO34))/Depth_per_q)</f>
        <v>0</v>
      </c>
      <c r="CP34" s="20" t="n">
        <f aca="false">IF(Quantiles!CP34&lt;0,"",(Depth0-MIN(Depth0,Quantiles!CP34))/Depth_per_q)</f>
        <v>0</v>
      </c>
      <c r="CQ34" s="20" t="n">
        <f aca="false">IF(Quantiles!CQ34&lt;0,"",(Depth0-MIN(Depth0,Quantiles!CQ34))/Depth_per_q)</f>
        <v>0</v>
      </c>
      <c r="CR34" s="20" t="n">
        <f aca="false">IF(Quantiles!CR34&lt;0,"",(Depth0-MIN(Depth0,Quantiles!CR34))/Depth_per_q)</f>
        <v>0</v>
      </c>
      <c r="CS34" s="20" t="n">
        <f aca="false">IF(Quantiles!CS34&lt;0,"",(Depth0-MIN(Depth0,Quantiles!CS34))/Depth_per_q)</f>
        <v>0</v>
      </c>
      <c r="CT34" s="20" t="n">
        <f aca="false">IF(Quantiles!CT34&lt;0,"",(Depth0-MIN(Depth0,Quantiles!CT34))/Depth_per_q)</f>
        <v>1.34179198860897</v>
      </c>
    </row>
    <row r="35" customFormat="false" ht="15" hidden="false" customHeight="false" outlineLevel="0" collapsed="false">
      <c r="A35" s="25" t="n">
        <f aca="false">Quantiles!A35</f>
        <v>150</v>
      </c>
      <c r="B35" s="20" t="n">
        <f aca="false">IF(Quantiles!B35&lt;0,"",(Depth0-MIN(Depth0,Quantiles!B35))/Depth_per_q)</f>
        <v>2.46485284413848</v>
      </c>
      <c r="C35" s="20" t="n">
        <f aca="false">IF(Quantiles!C35&lt;0,"",(Depth0-MIN(Depth0,Quantiles!C35))/Depth_per_q)</f>
        <v>2.22513704145841</v>
      </c>
      <c r="D35" s="20" t="n">
        <f aca="false">IF(Quantiles!D35&lt;0,"",(Depth0-MIN(Depth0,Quantiles!D35))/Depth_per_q)</f>
        <v>2.03840388377048</v>
      </c>
      <c r="E35" s="20" t="n">
        <f aca="false">IF(Quantiles!E35&lt;0,"",(Depth0-MIN(Depth0,Quantiles!E35))/Depth_per_q)</f>
        <v>1.88084244462426</v>
      </c>
      <c r="F35" s="20" t="n">
        <f aca="false">IF(Quantiles!F35&lt;0,"",(Depth0-MIN(Depth0,Quantiles!F35))/Depth_per_q)</f>
        <v>1.74284479545469</v>
      </c>
      <c r="G35" s="20" t="n">
        <f aca="false">IF(Quantiles!G35&lt;0,"",(Depth0-MIN(Depth0,Quantiles!G35))/Depth_per_q)</f>
        <v>1.61908120721469</v>
      </c>
      <c r="H35" s="20" t="n">
        <f aca="false">IF(Quantiles!H35&lt;0,"",(Depth0-MIN(Depth0,Quantiles!H35))/Depth_per_q)</f>
        <v>1.5026706154772</v>
      </c>
      <c r="I35" s="20" t="n">
        <f aca="false">IF(Quantiles!I35&lt;0,"",(Depth0-MIN(Depth0,Quantiles!I35))/Depth_per_q)</f>
        <v>1.39853359976961</v>
      </c>
      <c r="J35" s="20" t="n">
        <f aca="false">IF(Quantiles!J35&lt;0,"",(Depth0-MIN(Depth0,Quantiles!J35))/Depth_per_q)</f>
        <v>1.30679015879583</v>
      </c>
      <c r="K35" s="20" t="n">
        <f aca="false">IF(Quantiles!K35&lt;0,"",(Depth0-MIN(Depth0,Quantiles!K35))/Depth_per_q)</f>
        <v>1.22583417891637</v>
      </c>
      <c r="L35" s="20" t="n">
        <f aca="false">IF(Quantiles!L35&lt;0,"",(Depth0-MIN(Depth0,Quantiles!L35))/Depth_per_q)</f>
        <v>1.14228724436372</v>
      </c>
      <c r="M35" s="20" t="n">
        <f aca="false">IF(Quantiles!M35&lt;0,"",(Depth0-MIN(Depth0,Quantiles!M35))/Depth_per_q)</f>
        <v>1.07273077213222</v>
      </c>
      <c r="N35" s="20" t="n">
        <f aca="false">IF(Quantiles!N35&lt;0,"",(Depth0-MIN(Depth0,Quantiles!N35))/Depth_per_q)</f>
        <v>1.00023176453573</v>
      </c>
      <c r="O35" s="20" t="n">
        <f aca="false">IF(Quantiles!O35&lt;0,"",(Depth0-MIN(Depth0,Quantiles!O35))/Depth_per_q)</f>
        <v>0.9365490905627</v>
      </c>
      <c r="P35" s="20" t="n">
        <f aca="false">IF(Quantiles!P35&lt;0,"",(Depth0-MIN(Depth0,Quantiles!P35))/Depth_per_q)</f>
        <v>0.881026586891175</v>
      </c>
      <c r="Q35" s="20" t="n">
        <f aca="false">IF(Quantiles!Q35&lt;0,"",(Depth0-MIN(Depth0,Quantiles!Q35))/Depth_per_q)</f>
        <v>0.818130494753405</v>
      </c>
      <c r="R35" s="20" t="n">
        <f aca="false">IF(Quantiles!R35&lt;0,"",(Depth0-MIN(Depth0,Quantiles!R35))/Depth_per_q)</f>
        <v>0.759606323785143</v>
      </c>
      <c r="S35" s="20" t="n">
        <f aca="false">IF(Quantiles!S35&lt;0,"",(Depth0-MIN(Depth0,Quantiles!S35))/Depth_per_q)</f>
        <v>0.706905666769</v>
      </c>
      <c r="T35" s="20" t="n">
        <f aca="false">IF(Quantiles!T35&lt;0,"",(Depth0-MIN(Depth0,Quantiles!T35))/Depth_per_q)</f>
        <v>0.651789707544047</v>
      </c>
      <c r="U35" s="20" t="n">
        <f aca="false">IF(Quantiles!U35&lt;0,"",(Depth0-MIN(Depth0,Quantiles!U35))/Depth_per_q)</f>
        <v>0.597667138390863</v>
      </c>
      <c r="V35" s="20" t="n">
        <f aca="false">IF(Quantiles!V35&lt;0,"",(Depth0-MIN(Depth0,Quantiles!V35))/Depth_per_q)</f>
        <v>0.552763373628393</v>
      </c>
      <c r="W35" s="20" t="n">
        <f aca="false">IF(Quantiles!W35&lt;0,"",(Depth0-MIN(Depth0,Quantiles!W35))/Depth_per_q)</f>
        <v>0.504523933751973</v>
      </c>
      <c r="X35" s="20" t="n">
        <f aca="false">IF(Quantiles!X35&lt;0,"",(Depth0-MIN(Depth0,Quantiles!X35))/Depth_per_q)</f>
        <v>0.463503366434208</v>
      </c>
      <c r="Y35" s="20" t="n">
        <f aca="false">IF(Quantiles!Y35&lt;0,"",(Depth0-MIN(Depth0,Quantiles!Y35))/Depth_per_q)</f>
        <v>0.423798516236353</v>
      </c>
      <c r="Z35" s="20" t="n">
        <f aca="false">IF(Quantiles!Z35&lt;0,"",(Depth0-MIN(Depth0,Quantiles!Z35))/Depth_per_q)</f>
        <v>0.381564709729263</v>
      </c>
      <c r="AA35" s="20" t="n">
        <f aca="false">IF(Quantiles!AA35&lt;0,"",(Depth0-MIN(Depth0,Quantiles!AA35))/Depth_per_q)</f>
        <v>0.339740617134463</v>
      </c>
      <c r="AB35" s="20" t="n">
        <f aca="false">IF(Quantiles!AB35&lt;0,"",(Depth0-MIN(Depth0,Quantiles!AB35))/Depth_per_q)</f>
        <v>0.297665966518233</v>
      </c>
      <c r="AC35" s="20" t="n">
        <f aca="false">IF(Quantiles!AC35&lt;0,"",(Depth0-MIN(Depth0,Quantiles!AC35))/Depth_per_q)</f>
        <v>0.2596514231297</v>
      </c>
      <c r="AD35" s="20" t="n">
        <f aca="false">IF(Quantiles!AD35&lt;0,"",(Depth0-MIN(Depth0,Quantiles!AD35))/Depth_per_q)</f>
        <v>0.223595854598242</v>
      </c>
      <c r="AE35" s="20" t="n">
        <f aca="false">IF(Quantiles!AE35&lt;0,"",(Depth0-MIN(Depth0,Quantiles!AE35))/Depth_per_q)</f>
        <v>0.19027074624982</v>
      </c>
      <c r="AF35" s="20" t="n">
        <f aca="false">IF(Quantiles!AF35&lt;0,"",(Depth0-MIN(Depth0,Quantiles!AF35))/Depth_per_q)</f>
        <v>0.153540332538145</v>
      </c>
      <c r="AG35" s="20" t="n">
        <f aca="false">IF(Quantiles!AG35&lt;0,"",(Depth0-MIN(Depth0,Quantiles!AG35))/Depth_per_q)</f>
        <v>0.11521505204304</v>
      </c>
      <c r="AH35" s="20" t="n">
        <f aca="false">IF(Quantiles!AH35&lt;0,"",(Depth0-MIN(Depth0,Quantiles!AH35))/Depth_per_q)</f>
        <v>0.0819853264430321</v>
      </c>
      <c r="AI35" s="20" t="n">
        <f aca="false">IF(Quantiles!AI35&lt;0,"",(Depth0-MIN(Depth0,Quantiles!AI35))/Depth_per_q)</f>
        <v>0.0434710564132823</v>
      </c>
      <c r="AJ35" s="20" t="n">
        <f aca="false">IF(Quantiles!AJ35&lt;0,"",(Depth0-MIN(Depth0,Quantiles!AJ35))/Depth_per_q)</f>
        <v>0.0108571391247203</v>
      </c>
      <c r="AK35" s="20" t="n">
        <f aca="false">IF(Quantiles!AK35&lt;0,"",(Depth0-MIN(Depth0,Quantiles!AK35))/Depth_per_q)</f>
        <v>0</v>
      </c>
      <c r="AL35" s="20" t="n">
        <f aca="false">IF(Quantiles!AL35&lt;0,"",(Depth0-MIN(Depth0,Quantiles!AL35))/Depth_per_q)</f>
        <v>0</v>
      </c>
      <c r="AM35" s="20" t="n">
        <f aca="false">IF(Quantiles!AM35&lt;0,"",(Depth0-MIN(Depth0,Quantiles!AM35))/Depth_per_q)</f>
        <v>0</v>
      </c>
      <c r="AN35" s="20" t="n">
        <f aca="false">IF(Quantiles!AN35&lt;0,"",(Depth0-MIN(Depth0,Quantiles!AN35))/Depth_per_q)</f>
        <v>0</v>
      </c>
      <c r="AO35" s="20" t="n">
        <f aca="false">IF(Quantiles!AO35&lt;0,"",(Depth0-MIN(Depth0,Quantiles!AO35))/Depth_per_q)</f>
        <v>0</v>
      </c>
      <c r="AP35" s="20" t="n">
        <f aca="false">IF(Quantiles!AP35&lt;0,"",(Depth0-MIN(Depth0,Quantiles!AP35))/Depth_per_q)</f>
        <v>0</v>
      </c>
      <c r="AQ35" s="20" t="n">
        <f aca="false">IF(Quantiles!AQ35&lt;0,"",(Depth0-MIN(Depth0,Quantiles!AQ35))/Depth_per_q)</f>
        <v>0</v>
      </c>
      <c r="AR35" s="20" t="n">
        <f aca="false">IF(Quantiles!AR35&lt;0,"",(Depth0-MIN(Depth0,Quantiles!AR35))/Depth_per_q)</f>
        <v>0</v>
      </c>
      <c r="AS35" s="20" t="n">
        <f aca="false">IF(Quantiles!AS35&lt;0,"",(Depth0-MIN(Depth0,Quantiles!AS35))/Depth_per_q)</f>
        <v>0</v>
      </c>
      <c r="AT35" s="20" t="n">
        <f aca="false">IF(Quantiles!AT35&lt;0,"",(Depth0-MIN(Depth0,Quantiles!AT35))/Depth_per_q)</f>
        <v>0</v>
      </c>
      <c r="AU35" s="20" t="n">
        <f aca="false">IF(Quantiles!AU35&lt;0,"",(Depth0-MIN(Depth0,Quantiles!AU35))/Depth_per_q)</f>
        <v>0</v>
      </c>
      <c r="AV35" s="20" t="n">
        <f aca="false">IF(Quantiles!AV35&lt;0,"",(Depth0-MIN(Depth0,Quantiles!AV35))/Depth_per_q)</f>
        <v>0</v>
      </c>
      <c r="AW35" s="20" t="n">
        <f aca="false">IF(Quantiles!AW35&lt;0,"",(Depth0-MIN(Depth0,Quantiles!AW35))/Depth_per_q)</f>
        <v>0</v>
      </c>
      <c r="AX35" s="20" t="n">
        <f aca="false">IF(Quantiles!AX35&lt;0,"",(Depth0-MIN(Depth0,Quantiles!AX35))/Depth_per_q)</f>
        <v>0</v>
      </c>
      <c r="AY35" s="20" t="n">
        <f aca="false">IF(Quantiles!AY35&lt;0,"",(Depth0-MIN(Depth0,Quantiles!AY35))/Depth_per_q)</f>
        <v>0</v>
      </c>
      <c r="AZ35" s="20" t="n">
        <f aca="false">IF(Quantiles!AZ35&lt;0,"",(Depth0-MIN(Depth0,Quantiles!AZ35))/Depth_per_q)</f>
        <v>0</v>
      </c>
      <c r="BA35" s="20" t="n">
        <f aca="false">IF(Quantiles!BA35&lt;0,"",(Depth0-MIN(Depth0,Quantiles!BA35))/Depth_per_q)</f>
        <v>0</v>
      </c>
      <c r="BB35" s="20" t="n">
        <f aca="false">IF(Quantiles!BB35&lt;0,"",(Depth0-MIN(Depth0,Quantiles!BB35))/Depth_per_q)</f>
        <v>0</v>
      </c>
      <c r="BC35" s="20" t="n">
        <f aca="false">IF(Quantiles!BC35&lt;0,"",(Depth0-MIN(Depth0,Quantiles!BC35))/Depth_per_q)</f>
        <v>0</v>
      </c>
      <c r="BD35" s="20" t="n">
        <f aca="false">IF(Quantiles!BD35&lt;0,"",(Depth0-MIN(Depth0,Quantiles!BD35))/Depth_per_q)</f>
        <v>0</v>
      </c>
      <c r="BE35" s="20" t="n">
        <f aca="false">IF(Quantiles!BE35&lt;0,"",(Depth0-MIN(Depth0,Quantiles!BE35))/Depth_per_q)</f>
        <v>0</v>
      </c>
      <c r="BF35" s="20" t="n">
        <f aca="false">IF(Quantiles!BF35&lt;0,"",(Depth0-MIN(Depth0,Quantiles!BF35))/Depth_per_q)</f>
        <v>0</v>
      </c>
      <c r="BG35" s="20" t="n">
        <f aca="false">IF(Quantiles!BG35&lt;0,"",(Depth0-MIN(Depth0,Quantiles!BG35))/Depth_per_q)</f>
        <v>0</v>
      </c>
      <c r="BH35" s="20" t="n">
        <f aca="false">IF(Quantiles!BH35&lt;0,"",(Depth0-MIN(Depth0,Quantiles!BH35))/Depth_per_q)</f>
        <v>0</v>
      </c>
      <c r="BI35" s="20" t="n">
        <f aca="false">IF(Quantiles!BI35&lt;0,"",(Depth0-MIN(Depth0,Quantiles!BI35))/Depth_per_q)</f>
        <v>0</v>
      </c>
      <c r="BJ35" s="20" t="n">
        <f aca="false">IF(Quantiles!BJ35&lt;0,"",(Depth0-MIN(Depth0,Quantiles!BJ35))/Depth_per_q)</f>
        <v>0</v>
      </c>
      <c r="BK35" s="20" t="n">
        <f aca="false">IF(Quantiles!BK35&lt;0,"",(Depth0-MIN(Depth0,Quantiles!BK35))/Depth_per_q)</f>
        <v>0</v>
      </c>
      <c r="BL35" s="20" t="n">
        <f aca="false">IF(Quantiles!BL35&lt;0,"",(Depth0-MIN(Depth0,Quantiles!BL35))/Depth_per_q)</f>
        <v>0</v>
      </c>
      <c r="BM35" s="20" t="n">
        <f aca="false">IF(Quantiles!BM35&lt;0,"",(Depth0-MIN(Depth0,Quantiles!BM35))/Depth_per_q)</f>
        <v>0</v>
      </c>
      <c r="BN35" s="20" t="n">
        <f aca="false">IF(Quantiles!BN35&lt;0,"",(Depth0-MIN(Depth0,Quantiles!BN35))/Depth_per_q)</f>
        <v>0</v>
      </c>
      <c r="BO35" s="20" t="n">
        <f aca="false">IF(Quantiles!BO35&lt;0,"",(Depth0-MIN(Depth0,Quantiles!BO35))/Depth_per_q)</f>
        <v>0</v>
      </c>
      <c r="BP35" s="20" t="n">
        <f aca="false">IF(Quantiles!BP35&lt;0,"",(Depth0-MIN(Depth0,Quantiles!BP35))/Depth_per_q)</f>
        <v>0</v>
      </c>
      <c r="BQ35" s="20" t="n">
        <f aca="false">IF(Quantiles!BQ35&lt;0,"",(Depth0-MIN(Depth0,Quantiles!BQ35))/Depth_per_q)</f>
        <v>0</v>
      </c>
      <c r="BR35" s="20" t="n">
        <f aca="false">IF(Quantiles!BR35&lt;0,"",(Depth0-MIN(Depth0,Quantiles!BR35))/Depth_per_q)</f>
        <v>0</v>
      </c>
      <c r="BS35" s="20" t="n">
        <f aca="false">IF(Quantiles!BS35&lt;0,"",(Depth0-MIN(Depth0,Quantiles!BS35))/Depth_per_q)</f>
        <v>0</v>
      </c>
      <c r="BT35" s="20" t="n">
        <f aca="false">IF(Quantiles!BT35&lt;0,"",(Depth0-MIN(Depth0,Quantiles!BT35))/Depth_per_q)</f>
        <v>0</v>
      </c>
      <c r="BU35" s="20" t="n">
        <f aca="false">IF(Quantiles!BU35&lt;0,"",(Depth0-MIN(Depth0,Quantiles!BU35))/Depth_per_q)</f>
        <v>0</v>
      </c>
      <c r="BV35" s="20" t="n">
        <f aca="false">IF(Quantiles!BV35&lt;0,"",(Depth0-MIN(Depth0,Quantiles!BV35))/Depth_per_q)</f>
        <v>0</v>
      </c>
      <c r="BW35" s="20" t="n">
        <f aca="false">IF(Quantiles!BW35&lt;0,"",(Depth0-MIN(Depth0,Quantiles!BW35))/Depth_per_q)</f>
        <v>0</v>
      </c>
      <c r="BX35" s="20" t="n">
        <f aca="false">IF(Quantiles!BX35&lt;0,"",(Depth0-MIN(Depth0,Quantiles!BX35))/Depth_per_q)</f>
        <v>0</v>
      </c>
      <c r="BY35" s="20" t="n">
        <f aca="false">IF(Quantiles!BY35&lt;0,"",(Depth0-MIN(Depth0,Quantiles!BY35))/Depth_per_q)</f>
        <v>0</v>
      </c>
      <c r="BZ35" s="20" t="n">
        <f aca="false">IF(Quantiles!BZ35&lt;0,"",(Depth0-MIN(Depth0,Quantiles!BZ35))/Depth_per_q)</f>
        <v>0</v>
      </c>
      <c r="CA35" s="20" t="n">
        <f aca="false">IF(Quantiles!CA35&lt;0,"",(Depth0-MIN(Depth0,Quantiles!CA35))/Depth_per_q)</f>
        <v>0</v>
      </c>
      <c r="CB35" s="20" t="n">
        <f aca="false">IF(Quantiles!CB35&lt;0,"",(Depth0-MIN(Depth0,Quantiles!CB35))/Depth_per_q)</f>
        <v>0</v>
      </c>
      <c r="CC35" s="20" t="n">
        <f aca="false">IF(Quantiles!CC35&lt;0,"",(Depth0-MIN(Depth0,Quantiles!CC35))/Depth_per_q)</f>
        <v>0</v>
      </c>
      <c r="CD35" s="20" t="n">
        <f aca="false">IF(Quantiles!CD35&lt;0,"",(Depth0-MIN(Depth0,Quantiles!CD35))/Depth_per_q)</f>
        <v>0</v>
      </c>
      <c r="CE35" s="20" t="n">
        <f aca="false">IF(Quantiles!CE35&lt;0,"",(Depth0-MIN(Depth0,Quantiles!CE35))/Depth_per_q)</f>
        <v>0</v>
      </c>
      <c r="CF35" s="20" t="n">
        <f aca="false">IF(Quantiles!CF35&lt;0,"",(Depth0-MIN(Depth0,Quantiles!CF35))/Depth_per_q)</f>
        <v>0</v>
      </c>
      <c r="CG35" s="20" t="n">
        <f aca="false">IF(Quantiles!CG35&lt;0,"",(Depth0-MIN(Depth0,Quantiles!CG35))/Depth_per_q)</f>
        <v>0</v>
      </c>
      <c r="CH35" s="20" t="n">
        <f aca="false">IF(Quantiles!CH35&lt;0,"",(Depth0-MIN(Depth0,Quantiles!CH35))/Depth_per_q)</f>
        <v>0</v>
      </c>
      <c r="CI35" s="20" t="n">
        <f aca="false">IF(Quantiles!CI35&lt;0,"",(Depth0-MIN(Depth0,Quantiles!CI35))/Depth_per_q)</f>
        <v>0</v>
      </c>
      <c r="CJ35" s="20" t="n">
        <f aca="false">IF(Quantiles!CJ35&lt;0,"",(Depth0-MIN(Depth0,Quantiles!CJ35))/Depth_per_q)</f>
        <v>0</v>
      </c>
      <c r="CK35" s="20" t="n">
        <f aca="false">IF(Quantiles!CK35&lt;0,"",(Depth0-MIN(Depth0,Quantiles!CK35))/Depth_per_q)</f>
        <v>0</v>
      </c>
      <c r="CL35" s="20" t="n">
        <f aca="false">IF(Quantiles!CL35&lt;0,"",(Depth0-MIN(Depth0,Quantiles!CL35))/Depth_per_q)</f>
        <v>0</v>
      </c>
      <c r="CM35" s="20" t="n">
        <f aca="false">IF(Quantiles!CM35&lt;0,"",(Depth0-MIN(Depth0,Quantiles!CM35))/Depth_per_q)</f>
        <v>0</v>
      </c>
      <c r="CN35" s="20" t="n">
        <f aca="false">IF(Quantiles!CN35&lt;0,"",(Depth0-MIN(Depth0,Quantiles!CN35))/Depth_per_q)</f>
        <v>0</v>
      </c>
      <c r="CO35" s="20" t="n">
        <f aca="false">IF(Quantiles!CO35&lt;0,"",(Depth0-MIN(Depth0,Quantiles!CO35))/Depth_per_q)</f>
        <v>0</v>
      </c>
      <c r="CP35" s="20" t="n">
        <f aca="false">IF(Quantiles!CP35&lt;0,"",(Depth0-MIN(Depth0,Quantiles!CP35))/Depth_per_q)</f>
        <v>0</v>
      </c>
      <c r="CQ35" s="20" t="n">
        <f aca="false">IF(Quantiles!CQ35&lt;0,"",(Depth0-MIN(Depth0,Quantiles!CQ35))/Depth_per_q)</f>
        <v>0</v>
      </c>
      <c r="CR35" s="20" t="n">
        <f aca="false">IF(Quantiles!CR35&lt;0,"",(Depth0-MIN(Depth0,Quantiles!CR35))/Depth_per_q)</f>
        <v>0</v>
      </c>
      <c r="CS35" s="20" t="n">
        <f aca="false">IF(Quantiles!CS35&lt;0,"",(Depth0-MIN(Depth0,Quantiles!CS35))/Depth_per_q)</f>
        <v>0</v>
      </c>
      <c r="CT35" s="20" t="n">
        <f aca="false">IF(Quantiles!CT35&lt;0,"",(Depth0-MIN(Depth0,Quantiles!CT35))/Depth_per_q)</f>
        <v>1.30622855123269</v>
      </c>
    </row>
    <row r="36" customFormat="false" ht="15" hidden="false" customHeight="false" outlineLevel="0" collapsed="false">
      <c r="A36" s="25" t="n">
        <f aca="false">Quantiles!A36</f>
        <v>155</v>
      </c>
      <c r="B36" s="20" t="n">
        <f aca="false">IF(Quantiles!B36&lt;0,"",(Depth0-MIN(Depth0,Quantiles!B36))/Depth_per_q)</f>
        <v>2.41942328364811</v>
      </c>
      <c r="C36" s="20" t="n">
        <f aca="false">IF(Quantiles!C36&lt;0,"",(Depth0-MIN(Depth0,Quantiles!C36))/Depth_per_q)</f>
        <v>2.16561150194072</v>
      </c>
      <c r="D36" s="20" t="n">
        <f aca="false">IF(Quantiles!D36&lt;0,"",(Depth0-MIN(Depth0,Quantiles!D36))/Depth_per_q)</f>
        <v>1.98501340867478</v>
      </c>
      <c r="E36" s="20" t="n">
        <f aca="false">IF(Quantiles!E36&lt;0,"",(Depth0-MIN(Depth0,Quantiles!E36))/Depth_per_q)</f>
        <v>1.84017090835725</v>
      </c>
      <c r="F36" s="20" t="n">
        <f aca="false">IF(Quantiles!F36&lt;0,"",(Depth0-MIN(Depth0,Quantiles!F36))/Depth_per_q)</f>
        <v>1.69763308582968</v>
      </c>
      <c r="G36" s="20" t="n">
        <f aca="false">IF(Quantiles!G36&lt;0,"",(Depth0-MIN(Depth0,Quantiles!G36))/Depth_per_q)</f>
        <v>1.57731186699384</v>
      </c>
      <c r="H36" s="20" t="n">
        <f aca="false">IF(Quantiles!H36&lt;0,"",(Depth0-MIN(Depth0,Quantiles!H36))/Depth_per_q)</f>
        <v>1.46228146700602</v>
      </c>
      <c r="I36" s="20" t="n">
        <f aca="false">IF(Quantiles!I36&lt;0,"",(Depth0-MIN(Depth0,Quantiles!I36))/Depth_per_q)</f>
        <v>1.36363736364488</v>
      </c>
      <c r="J36" s="20" t="n">
        <f aca="false">IF(Quantiles!J36&lt;0,"",(Depth0-MIN(Depth0,Quantiles!J36))/Depth_per_q)</f>
        <v>1.27214269521775</v>
      </c>
      <c r="K36" s="20" t="n">
        <f aca="false">IF(Quantiles!K36&lt;0,"",(Depth0-MIN(Depth0,Quantiles!K36))/Depth_per_q)</f>
        <v>1.19929430747579</v>
      </c>
      <c r="L36" s="20" t="n">
        <f aca="false">IF(Quantiles!L36&lt;0,"",(Depth0-MIN(Depth0,Quantiles!L36))/Depth_per_q)</f>
        <v>1.11740113299299</v>
      </c>
      <c r="M36" s="20" t="n">
        <f aca="false">IF(Quantiles!M36&lt;0,"",(Depth0-MIN(Depth0,Quantiles!M36))/Depth_per_q)</f>
        <v>1.04614213676055</v>
      </c>
      <c r="N36" s="20" t="n">
        <f aca="false">IF(Quantiles!N36&lt;0,"",(Depth0-MIN(Depth0,Quantiles!N36))/Depth_per_q)</f>
        <v>0.970876005061832</v>
      </c>
      <c r="O36" s="20" t="n">
        <f aca="false">IF(Quantiles!O36&lt;0,"",(Depth0-MIN(Depth0,Quantiles!O36))/Depth_per_q)</f>
        <v>0.90670794803217</v>
      </c>
      <c r="P36" s="20" t="n">
        <f aca="false">IF(Quantiles!P36&lt;0,"",(Depth0-MIN(Depth0,Quantiles!P36))/Depth_per_q)</f>
        <v>0.84644560713579</v>
      </c>
      <c r="Q36" s="20" t="n">
        <f aca="false">IF(Quantiles!Q36&lt;0,"",(Depth0-MIN(Depth0,Quantiles!Q36))/Depth_per_q)</f>
        <v>0.79092269070839</v>
      </c>
      <c r="R36" s="20" t="n">
        <f aca="false">IF(Quantiles!R36&lt;0,"",(Depth0-MIN(Depth0,Quantiles!R36))/Depth_per_q)</f>
        <v>0.730429009669588</v>
      </c>
      <c r="S36" s="20" t="n">
        <f aca="false">IF(Quantiles!S36&lt;0,"",(Depth0-MIN(Depth0,Quantiles!S36))/Depth_per_q)</f>
        <v>0.676752529028898</v>
      </c>
      <c r="T36" s="20" t="n">
        <f aca="false">IF(Quantiles!T36&lt;0,"",(Depth0-MIN(Depth0,Quantiles!T36))/Depth_per_q)</f>
        <v>0.62399383662685</v>
      </c>
      <c r="U36" s="20" t="n">
        <f aca="false">IF(Quantiles!U36&lt;0,"",(Depth0-MIN(Depth0,Quantiles!U36))/Depth_per_q)</f>
        <v>0.573911090789038</v>
      </c>
      <c r="V36" s="20" t="n">
        <f aca="false">IF(Quantiles!V36&lt;0,"",(Depth0-MIN(Depth0,Quantiles!V36))/Depth_per_q)</f>
        <v>0.525092240185253</v>
      </c>
      <c r="W36" s="20" t="n">
        <f aca="false">IF(Quantiles!W36&lt;0,"",(Depth0-MIN(Depth0,Quantiles!W36))/Depth_per_q)</f>
        <v>0.481298158599447</v>
      </c>
      <c r="X36" s="20" t="n">
        <f aca="false">IF(Quantiles!X36&lt;0,"",(Depth0-MIN(Depth0,Quantiles!X36))/Depth_per_q)</f>
        <v>0.440677014400885</v>
      </c>
      <c r="Y36" s="20" t="n">
        <f aca="false">IF(Quantiles!Y36&lt;0,"",(Depth0-MIN(Depth0,Quantiles!Y36))/Depth_per_q)</f>
        <v>0.396072873627148</v>
      </c>
      <c r="Z36" s="20" t="n">
        <f aca="false">IF(Quantiles!Z36&lt;0,"",(Depth0-MIN(Depth0,Quantiles!Z36))/Depth_per_q)</f>
        <v>0.354458214595765</v>
      </c>
      <c r="AA36" s="20" t="n">
        <f aca="false">IF(Quantiles!AA36&lt;0,"",(Depth0-MIN(Depth0,Quantiles!AA36))/Depth_per_q)</f>
        <v>0.315552809482598</v>
      </c>
      <c r="AB36" s="20" t="n">
        <f aca="false">IF(Quantiles!AB36&lt;0,"",(Depth0-MIN(Depth0,Quantiles!AB36))/Depth_per_q)</f>
        <v>0.275351659941805</v>
      </c>
      <c r="AC36" s="20" t="n">
        <f aca="false">IF(Quantiles!AC36&lt;0,"",(Depth0-MIN(Depth0,Quantiles!AC36))/Depth_per_q)</f>
        <v>0.23849171187514</v>
      </c>
      <c r="AD36" s="20" t="n">
        <f aca="false">IF(Quantiles!AD36&lt;0,"",(Depth0-MIN(Depth0,Quantiles!AD36))/Depth_per_q)</f>
        <v>0.202163874841775</v>
      </c>
      <c r="AE36" s="20" t="n">
        <f aca="false">IF(Quantiles!AE36&lt;0,"",(Depth0-MIN(Depth0,Quantiles!AE36))/Depth_per_q)</f>
        <v>0.166692921084385</v>
      </c>
      <c r="AF36" s="20" t="n">
        <f aca="false">IF(Quantiles!AF36&lt;0,"",(Depth0-MIN(Depth0,Quantiles!AF36))/Depth_per_q)</f>
        <v>0.127015633927638</v>
      </c>
      <c r="AG36" s="20" t="n">
        <f aca="false">IF(Quantiles!AG36&lt;0,"",(Depth0-MIN(Depth0,Quantiles!AG36))/Depth_per_q)</f>
        <v>0.0937006774124152</v>
      </c>
      <c r="AH36" s="20" t="n">
        <f aca="false">IF(Quantiles!AH36&lt;0,"",(Depth0-MIN(Depth0,Quantiles!AH36))/Depth_per_q)</f>
        <v>0.0577568609967525</v>
      </c>
      <c r="AI36" s="20" t="n">
        <f aca="false">IF(Quantiles!AI36&lt;0,"",(Depth0-MIN(Depth0,Quantiles!AI36))/Depth_per_q)</f>
        <v>0.0254362566073354</v>
      </c>
      <c r="AJ36" s="20" t="n">
        <f aca="false">IF(Quantiles!AJ36&lt;0,"",(Depth0-MIN(Depth0,Quantiles!AJ36))/Depth_per_q)</f>
        <v>0</v>
      </c>
      <c r="AK36" s="20" t="n">
        <f aca="false">IF(Quantiles!AK36&lt;0,"",(Depth0-MIN(Depth0,Quantiles!AK36))/Depth_per_q)</f>
        <v>0</v>
      </c>
      <c r="AL36" s="20" t="n">
        <f aca="false">IF(Quantiles!AL36&lt;0,"",(Depth0-MIN(Depth0,Quantiles!AL36))/Depth_per_q)</f>
        <v>0</v>
      </c>
      <c r="AM36" s="20" t="n">
        <f aca="false">IF(Quantiles!AM36&lt;0,"",(Depth0-MIN(Depth0,Quantiles!AM36))/Depth_per_q)</f>
        <v>0</v>
      </c>
      <c r="AN36" s="20" t="n">
        <f aca="false">IF(Quantiles!AN36&lt;0,"",(Depth0-MIN(Depth0,Quantiles!AN36))/Depth_per_q)</f>
        <v>0</v>
      </c>
      <c r="AO36" s="20" t="n">
        <f aca="false">IF(Quantiles!AO36&lt;0,"",(Depth0-MIN(Depth0,Quantiles!AO36))/Depth_per_q)</f>
        <v>0</v>
      </c>
      <c r="AP36" s="20" t="n">
        <f aca="false">IF(Quantiles!AP36&lt;0,"",(Depth0-MIN(Depth0,Quantiles!AP36))/Depth_per_q)</f>
        <v>0</v>
      </c>
      <c r="AQ36" s="20" t="n">
        <f aca="false">IF(Quantiles!AQ36&lt;0,"",(Depth0-MIN(Depth0,Quantiles!AQ36))/Depth_per_q)</f>
        <v>0</v>
      </c>
      <c r="AR36" s="20" t="n">
        <f aca="false">IF(Quantiles!AR36&lt;0,"",(Depth0-MIN(Depth0,Quantiles!AR36))/Depth_per_q)</f>
        <v>0</v>
      </c>
      <c r="AS36" s="20" t="n">
        <f aca="false">IF(Quantiles!AS36&lt;0,"",(Depth0-MIN(Depth0,Quantiles!AS36))/Depth_per_q)</f>
        <v>0</v>
      </c>
      <c r="AT36" s="20" t="n">
        <f aca="false">IF(Quantiles!AT36&lt;0,"",(Depth0-MIN(Depth0,Quantiles!AT36))/Depth_per_q)</f>
        <v>0</v>
      </c>
      <c r="AU36" s="20" t="n">
        <f aca="false">IF(Quantiles!AU36&lt;0,"",(Depth0-MIN(Depth0,Quantiles!AU36))/Depth_per_q)</f>
        <v>0</v>
      </c>
      <c r="AV36" s="20" t="n">
        <f aca="false">IF(Quantiles!AV36&lt;0,"",(Depth0-MIN(Depth0,Quantiles!AV36))/Depth_per_q)</f>
        <v>0</v>
      </c>
      <c r="AW36" s="20" t="n">
        <f aca="false">IF(Quantiles!AW36&lt;0,"",(Depth0-MIN(Depth0,Quantiles!AW36))/Depth_per_q)</f>
        <v>0</v>
      </c>
      <c r="AX36" s="20" t="n">
        <f aca="false">IF(Quantiles!AX36&lt;0,"",(Depth0-MIN(Depth0,Quantiles!AX36))/Depth_per_q)</f>
        <v>0</v>
      </c>
      <c r="AY36" s="20" t="n">
        <f aca="false">IF(Quantiles!AY36&lt;0,"",(Depth0-MIN(Depth0,Quantiles!AY36))/Depth_per_q)</f>
        <v>0</v>
      </c>
      <c r="AZ36" s="20" t="n">
        <f aca="false">IF(Quantiles!AZ36&lt;0,"",(Depth0-MIN(Depth0,Quantiles!AZ36))/Depth_per_q)</f>
        <v>0</v>
      </c>
      <c r="BA36" s="20" t="n">
        <f aca="false">IF(Quantiles!BA36&lt;0,"",(Depth0-MIN(Depth0,Quantiles!BA36))/Depth_per_q)</f>
        <v>0</v>
      </c>
      <c r="BB36" s="20" t="n">
        <f aca="false">IF(Quantiles!BB36&lt;0,"",(Depth0-MIN(Depth0,Quantiles!BB36))/Depth_per_q)</f>
        <v>0</v>
      </c>
      <c r="BC36" s="20" t="n">
        <f aca="false">IF(Quantiles!BC36&lt;0,"",(Depth0-MIN(Depth0,Quantiles!BC36))/Depth_per_q)</f>
        <v>0</v>
      </c>
      <c r="BD36" s="20" t="n">
        <f aca="false">IF(Quantiles!BD36&lt;0,"",(Depth0-MIN(Depth0,Quantiles!BD36))/Depth_per_q)</f>
        <v>0</v>
      </c>
      <c r="BE36" s="20" t="n">
        <f aca="false">IF(Quantiles!BE36&lt;0,"",(Depth0-MIN(Depth0,Quantiles!BE36))/Depth_per_q)</f>
        <v>0</v>
      </c>
      <c r="BF36" s="20" t="n">
        <f aca="false">IF(Quantiles!BF36&lt;0,"",(Depth0-MIN(Depth0,Quantiles!BF36))/Depth_per_q)</f>
        <v>0</v>
      </c>
      <c r="BG36" s="20" t="n">
        <f aca="false">IF(Quantiles!BG36&lt;0,"",(Depth0-MIN(Depth0,Quantiles!BG36))/Depth_per_q)</f>
        <v>0</v>
      </c>
      <c r="BH36" s="20" t="n">
        <f aca="false">IF(Quantiles!BH36&lt;0,"",(Depth0-MIN(Depth0,Quantiles!BH36))/Depth_per_q)</f>
        <v>0</v>
      </c>
      <c r="BI36" s="20" t="n">
        <f aca="false">IF(Quantiles!BI36&lt;0,"",(Depth0-MIN(Depth0,Quantiles!BI36))/Depth_per_q)</f>
        <v>0</v>
      </c>
      <c r="BJ36" s="20" t="n">
        <f aca="false">IF(Quantiles!BJ36&lt;0,"",(Depth0-MIN(Depth0,Quantiles!BJ36))/Depth_per_q)</f>
        <v>0</v>
      </c>
      <c r="BK36" s="20" t="n">
        <f aca="false">IF(Quantiles!BK36&lt;0,"",(Depth0-MIN(Depth0,Quantiles!BK36))/Depth_per_q)</f>
        <v>0</v>
      </c>
      <c r="BL36" s="20" t="n">
        <f aca="false">IF(Quantiles!BL36&lt;0,"",(Depth0-MIN(Depth0,Quantiles!BL36))/Depth_per_q)</f>
        <v>0</v>
      </c>
      <c r="BM36" s="20" t="n">
        <f aca="false">IF(Quantiles!BM36&lt;0,"",(Depth0-MIN(Depth0,Quantiles!BM36))/Depth_per_q)</f>
        <v>0</v>
      </c>
      <c r="BN36" s="20" t="n">
        <f aca="false">IF(Quantiles!BN36&lt;0,"",(Depth0-MIN(Depth0,Quantiles!BN36))/Depth_per_q)</f>
        <v>0</v>
      </c>
      <c r="BO36" s="20" t="n">
        <f aca="false">IF(Quantiles!BO36&lt;0,"",(Depth0-MIN(Depth0,Quantiles!BO36))/Depth_per_q)</f>
        <v>0</v>
      </c>
      <c r="BP36" s="20" t="n">
        <f aca="false">IF(Quantiles!BP36&lt;0,"",(Depth0-MIN(Depth0,Quantiles!BP36))/Depth_per_q)</f>
        <v>0</v>
      </c>
      <c r="BQ36" s="20" t="n">
        <f aca="false">IF(Quantiles!BQ36&lt;0,"",(Depth0-MIN(Depth0,Quantiles!BQ36))/Depth_per_q)</f>
        <v>0</v>
      </c>
      <c r="BR36" s="20" t="n">
        <f aca="false">IF(Quantiles!BR36&lt;0,"",(Depth0-MIN(Depth0,Quantiles!BR36))/Depth_per_q)</f>
        <v>0</v>
      </c>
      <c r="BS36" s="20" t="n">
        <f aca="false">IF(Quantiles!BS36&lt;0,"",(Depth0-MIN(Depth0,Quantiles!BS36))/Depth_per_q)</f>
        <v>0</v>
      </c>
      <c r="BT36" s="20" t="n">
        <f aca="false">IF(Quantiles!BT36&lt;0,"",(Depth0-MIN(Depth0,Quantiles!BT36))/Depth_per_q)</f>
        <v>0</v>
      </c>
      <c r="BU36" s="20" t="n">
        <f aca="false">IF(Quantiles!BU36&lt;0,"",(Depth0-MIN(Depth0,Quantiles!BU36))/Depth_per_q)</f>
        <v>0</v>
      </c>
      <c r="BV36" s="20" t="n">
        <f aca="false">IF(Quantiles!BV36&lt;0,"",(Depth0-MIN(Depth0,Quantiles!BV36))/Depth_per_q)</f>
        <v>0</v>
      </c>
      <c r="BW36" s="20" t="n">
        <f aca="false">IF(Quantiles!BW36&lt;0,"",(Depth0-MIN(Depth0,Quantiles!BW36))/Depth_per_q)</f>
        <v>0</v>
      </c>
      <c r="BX36" s="20" t="n">
        <f aca="false">IF(Quantiles!BX36&lt;0,"",(Depth0-MIN(Depth0,Quantiles!BX36))/Depth_per_q)</f>
        <v>0</v>
      </c>
      <c r="BY36" s="20" t="n">
        <f aca="false">IF(Quantiles!BY36&lt;0,"",(Depth0-MIN(Depth0,Quantiles!BY36))/Depth_per_q)</f>
        <v>0</v>
      </c>
      <c r="BZ36" s="20" t="n">
        <f aca="false">IF(Quantiles!BZ36&lt;0,"",(Depth0-MIN(Depth0,Quantiles!BZ36))/Depth_per_q)</f>
        <v>0</v>
      </c>
      <c r="CA36" s="20" t="n">
        <f aca="false">IF(Quantiles!CA36&lt;0,"",(Depth0-MIN(Depth0,Quantiles!CA36))/Depth_per_q)</f>
        <v>0</v>
      </c>
      <c r="CB36" s="20" t="n">
        <f aca="false">IF(Quantiles!CB36&lt;0,"",(Depth0-MIN(Depth0,Quantiles!CB36))/Depth_per_q)</f>
        <v>0</v>
      </c>
      <c r="CC36" s="20" t="n">
        <f aca="false">IF(Quantiles!CC36&lt;0,"",(Depth0-MIN(Depth0,Quantiles!CC36))/Depth_per_q)</f>
        <v>0</v>
      </c>
      <c r="CD36" s="20" t="n">
        <f aca="false">IF(Quantiles!CD36&lt;0,"",(Depth0-MIN(Depth0,Quantiles!CD36))/Depth_per_q)</f>
        <v>0</v>
      </c>
      <c r="CE36" s="20" t="n">
        <f aca="false">IF(Quantiles!CE36&lt;0,"",(Depth0-MIN(Depth0,Quantiles!CE36))/Depth_per_q)</f>
        <v>0</v>
      </c>
      <c r="CF36" s="20" t="n">
        <f aca="false">IF(Quantiles!CF36&lt;0,"",(Depth0-MIN(Depth0,Quantiles!CF36))/Depth_per_q)</f>
        <v>0</v>
      </c>
      <c r="CG36" s="20" t="n">
        <f aca="false">IF(Quantiles!CG36&lt;0,"",(Depth0-MIN(Depth0,Quantiles!CG36))/Depth_per_q)</f>
        <v>0</v>
      </c>
      <c r="CH36" s="20" t="n">
        <f aca="false">IF(Quantiles!CH36&lt;0,"",(Depth0-MIN(Depth0,Quantiles!CH36))/Depth_per_q)</f>
        <v>0</v>
      </c>
      <c r="CI36" s="20" t="n">
        <f aca="false">IF(Quantiles!CI36&lt;0,"",(Depth0-MIN(Depth0,Quantiles!CI36))/Depth_per_q)</f>
        <v>0</v>
      </c>
      <c r="CJ36" s="20" t="n">
        <f aca="false">IF(Quantiles!CJ36&lt;0,"",(Depth0-MIN(Depth0,Quantiles!CJ36))/Depth_per_q)</f>
        <v>0</v>
      </c>
      <c r="CK36" s="20" t="n">
        <f aca="false">IF(Quantiles!CK36&lt;0,"",(Depth0-MIN(Depth0,Quantiles!CK36))/Depth_per_q)</f>
        <v>0</v>
      </c>
      <c r="CL36" s="20" t="n">
        <f aca="false">IF(Quantiles!CL36&lt;0,"",(Depth0-MIN(Depth0,Quantiles!CL36))/Depth_per_q)</f>
        <v>0</v>
      </c>
      <c r="CM36" s="20" t="n">
        <f aca="false">IF(Quantiles!CM36&lt;0,"",(Depth0-MIN(Depth0,Quantiles!CM36))/Depth_per_q)</f>
        <v>0</v>
      </c>
      <c r="CN36" s="20" t="n">
        <f aca="false">IF(Quantiles!CN36&lt;0,"",(Depth0-MIN(Depth0,Quantiles!CN36))/Depth_per_q)</f>
        <v>0</v>
      </c>
      <c r="CO36" s="20" t="n">
        <f aca="false">IF(Quantiles!CO36&lt;0,"",(Depth0-MIN(Depth0,Quantiles!CO36))/Depth_per_q)</f>
        <v>0</v>
      </c>
      <c r="CP36" s="20" t="n">
        <f aca="false">IF(Quantiles!CP36&lt;0,"",(Depth0-MIN(Depth0,Quantiles!CP36))/Depth_per_q)</f>
        <v>0</v>
      </c>
      <c r="CQ36" s="20" t="n">
        <f aca="false">IF(Quantiles!CQ36&lt;0,"",(Depth0-MIN(Depth0,Quantiles!CQ36))/Depth_per_q)</f>
        <v>0</v>
      </c>
      <c r="CR36" s="20" t="n">
        <f aca="false">IF(Quantiles!CR36&lt;0,"",(Depth0-MIN(Depth0,Quantiles!CR36))/Depth_per_q)</f>
        <v>0</v>
      </c>
      <c r="CS36" s="20" t="n">
        <f aca="false">IF(Quantiles!CS36&lt;0,"",(Depth0-MIN(Depth0,Quantiles!CS36))/Depth_per_q)</f>
        <v>0</v>
      </c>
      <c r="CT36" s="20" t="n">
        <f aca="false">IF(Quantiles!CT36&lt;0,"",(Depth0-MIN(Depth0,Quantiles!CT36))/Depth_per_q)</f>
        <v>1.27130625739431</v>
      </c>
    </row>
    <row r="37" customFormat="false" ht="15" hidden="false" customHeight="false" outlineLevel="0" collapsed="false">
      <c r="A37" s="25" t="n">
        <f aca="false">Quantiles!A37</f>
        <v>160</v>
      </c>
      <c r="B37" s="20" t="n">
        <f aca="false">IF(Quantiles!B37&lt;0,"",(Depth0-MIN(Depth0,Quantiles!B37))/Depth_per_q)</f>
        <v>2.36127725617544</v>
      </c>
      <c r="C37" s="20" t="n">
        <f aca="false">IF(Quantiles!C37&lt;0,"",(Depth0-MIN(Depth0,Quantiles!C37))/Depth_per_q)</f>
        <v>2.12892538413773</v>
      </c>
      <c r="D37" s="20" t="n">
        <f aca="false">IF(Quantiles!D37&lt;0,"",(Depth0-MIN(Depth0,Quantiles!D37))/Depth_per_q)</f>
        <v>1.93729791546625</v>
      </c>
      <c r="E37" s="20" t="n">
        <f aca="false">IF(Quantiles!E37&lt;0,"",(Depth0-MIN(Depth0,Quantiles!E37))/Depth_per_q)</f>
        <v>1.80399157352911</v>
      </c>
      <c r="F37" s="20" t="n">
        <f aca="false">IF(Quantiles!F37&lt;0,"",(Depth0-MIN(Depth0,Quantiles!F37))/Depth_per_q)</f>
        <v>1.65751477329311</v>
      </c>
      <c r="G37" s="20" t="n">
        <f aca="false">IF(Quantiles!G37&lt;0,"",(Depth0-MIN(Depth0,Quantiles!G37))/Depth_per_q)</f>
        <v>1.54148328781969</v>
      </c>
      <c r="H37" s="20" t="n">
        <f aca="false">IF(Quantiles!H37&lt;0,"",(Depth0-MIN(Depth0,Quantiles!H37))/Depth_per_q)</f>
        <v>1.4339888601076</v>
      </c>
      <c r="I37" s="20" t="n">
        <f aca="false">IF(Quantiles!I37&lt;0,"",(Depth0-MIN(Depth0,Quantiles!I37))/Depth_per_q)</f>
        <v>1.33475687789046</v>
      </c>
      <c r="J37" s="20" t="n">
        <f aca="false">IF(Quantiles!J37&lt;0,"",(Depth0-MIN(Depth0,Quantiles!J37))/Depth_per_q)</f>
        <v>1.24880961126906</v>
      </c>
      <c r="K37" s="20" t="n">
        <f aca="false">IF(Quantiles!K37&lt;0,"",(Depth0-MIN(Depth0,Quantiles!K37))/Depth_per_q)</f>
        <v>1.16743669911894</v>
      </c>
      <c r="L37" s="20" t="n">
        <f aca="false">IF(Quantiles!L37&lt;0,"",(Depth0-MIN(Depth0,Quantiles!L37))/Depth_per_q)</f>
        <v>1.09232266461756</v>
      </c>
      <c r="M37" s="20" t="n">
        <f aca="false">IF(Quantiles!M37&lt;0,"",(Depth0-MIN(Depth0,Quantiles!M37))/Depth_per_q)</f>
        <v>1.01893651264631</v>
      </c>
      <c r="N37" s="20" t="n">
        <f aca="false">IF(Quantiles!N37&lt;0,"",(Depth0-MIN(Depth0,Quantiles!N37))/Depth_per_q)</f>
        <v>0.946553343714452</v>
      </c>
      <c r="O37" s="20" t="n">
        <f aca="false">IF(Quantiles!O37&lt;0,"",(Depth0-MIN(Depth0,Quantiles!O37))/Depth_per_q)</f>
        <v>0.885219318823275</v>
      </c>
      <c r="P37" s="20" t="n">
        <f aca="false">IF(Quantiles!P37&lt;0,"",(Depth0-MIN(Depth0,Quantiles!P37))/Depth_per_q)</f>
        <v>0.82554201502319</v>
      </c>
      <c r="Q37" s="20" t="n">
        <f aca="false">IF(Quantiles!Q37&lt;0,"",(Depth0-MIN(Depth0,Quantiles!Q37))/Depth_per_q)</f>
        <v>0.761160835830222</v>
      </c>
      <c r="R37" s="20" t="n">
        <f aca="false">IF(Quantiles!R37&lt;0,"",(Depth0-MIN(Depth0,Quantiles!R37))/Depth_per_q)</f>
        <v>0.70663853963868</v>
      </c>
      <c r="S37" s="20" t="n">
        <f aca="false">IF(Quantiles!S37&lt;0,"",(Depth0-MIN(Depth0,Quantiles!S37))/Depth_per_q)</f>
        <v>0.651789707544047</v>
      </c>
      <c r="T37" s="20" t="n">
        <f aca="false">IF(Quantiles!T37&lt;0,"",(Depth0-MIN(Depth0,Quantiles!T37))/Depth_per_q)</f>
        <v>0.599080207564065</v>
      </c>
      <c r="U37" s="20" t="n">
        <f aca="false">IF(Quantiles!U37&lt;0,"",(Depth0-MIN(Depth0,Quantiles!U37))/Depth_per_q)</f>
        <v>0.552279482555427</v>
      </c>
      <c r="V37" s="20" t="n">
        <f aca="false">IF(Quantiles!V37&lt;0,"",(Depth0-MIN(Depth0,Quantiles!V37))/Depth_per_q)</f>
        <v>0.50242645687006</v>
      </c>
      <c r="W37" s="20" t="n">
        <f aca="false">IF(Quantiles!W37&lt;0,"",(Depth0-MIN(Depth0,Quantiles!W37))/Depth_per_q)</f>
        <v>0.460321720437007</v>
      </c>
      <c r="X37" s="20" t="n">
        <f aca="false">IF(Quantiles!X37&lt;0,"",(Depth0-MIN(Depth0,Quantiles!X37))/Depth_per_q)</f>
        <v>0.419226079872782</v>
      </c>
      <c r="Y37" s="20" t="n">
        <f aca="false">IF(Quantiles!Y37&lt;0,"",(Depth0-MIN(Depth0,Quantiles!Y37))/Depth_per_q)</f>
        <v>0.37434041130456</v>
      </c>
      <c r="Z37" s="20" t="n">
        <f aca="false">IF(Quantiles!Z37&lt;0,"",(Depth0-MIN(Depth0,Quantiles!Z37))/Depth_per_q)</f>
        <v>0.33282070094158</v>
      </c>
      <c r="AA37" s="20" t="n">
        <f aca="false">IF(Quantiles!AA37&lt;0,"",(Depth0-MIN(Depth0,Quantiles!AA37))/Depth_per_q)</f>
        <v>0.291832441692367</v>
      </c>
      <c r="AB37" s="20" t="n">
        <f aca="false">IF(Quantiles!AB37&lt;0,"",(Depth0-MIN(Depth0,Quantiles!AB37))/Depth_per_q)</f>
        <v>0.254819480203848</v>
      </c>
      <c r="AC37" s="20" t="n">
        <f aca="false">IF(Quantiles!AC37&lt;0,"",(Depth0-MIN(Depth0,Quantiles!AC37))/Depth_per_q)</f>
        <v>0.2176785488206</v>
      </c>
      <c r="AD37" s="20" t="n">
        <f aca="false">IF(Quantiles!AD37&lt;0,"",(Depth0-MIN(Depth0,Quantiles!AD37))/Depth_per_q)</f>
        <v>0.181704715334868</v>
      </c>
      <c r="AE37" s="20" t="n">
        <f aca="false">IF(Quantiles!AE37&lt;0,"",(Depth0-MIN(Depth0,Quantiles!AE37))/Depth_per_q)</f>
        <v>0.143988803332697</v>
      </c>
      <c r="AF37" s="20" t="n">
        <f aca="false">IF(Quantiles!AF37&lt;0,"",(Depth0-MIN(Depth0,Quantiles!AF37))/Depth_per_q)</f>
        <v>0.108102891233208</v>
      </c>
      <c r="AG37" s="20" t="n">
        <f aca="false">IF(Quantiles!AG37&lt;0,"",(Depth0-MIN(Depth0,Quantiles!AG37))/Depth_per_q)</f>
        <v>0.0747986311675</v>
      </c>
      <c r="AH37" s="20" t="n">
        <f aca="false">IF(Quantiles!AH37&lt;0,"",(Depth0-MIN(Depth0,Quantiles!AH37))/Depth_per_q)</f>
        <v>0.0389416242241625</v>
      </c>
      <c r="AI37" s="20" t="n">
        <f aca="false">IF(Quantiles!AI37&lt;0,"",(Depth0-MIN(Depth0,Quantiles!AI37))/Depth_per_q)</f>
        <v>0.00761224461687782</v>
      </c>
      <c r="AJ37" s="20" t="n">
        <f aca="false">IF(Quantiles!AJ37&lt;0,"",(Depth0-MIN(Depth0,Quantiles!AJ37))/Depth_per_q)</f>
        <v>0</v>
      </c>
      <c r="AK37" s="20" t="n">
        <f aca="false">IF(Quantiles!AK37&lt;0,"",(Depth0-MIN(Depth0,Quantiles!AK37))/Depth_per_q)</f>
        <v>0</v>
      </c>
      <c r="AL37" s="20" t="n">
        <f aca="false">IF(Quantiles!AL37&lt;0,"",(Depth0-MIN(Depth0,Quantiles!AL37))/Depth_per_q)</f>
        <v>0</v>
      </c>
      <c r="AM37" s="20" t="n">
        <f aca="false">IF(Quantiles!AM37&lt;0,"",(Depth0-MIN(Depth0,Quantiles!AM37))/Depth_per_q)</f>
        <v>0</v>
      </c>
      <c r="AN37" s="20" t="n">
        <f aca="false">IF(Quantiles!AN37&lt;0,"",(Depth0-MIN(Depth0,Quantiles!AN37))/Depth_per_q)</f>
        <v>0</v>
      </c>
      <c r="AO37" s="20" t="n">
        <f aca="false">IF(Quantiles!AO37&lt;0,"",(Depth0-MIN(Depth0,Quantiles!AO37))/Depth_per_q)</f>
        <v>0</v>
      </c>
      <c r="AP37" s="20" t="n">
        <f aca="false">IF(Quantiles!AP37&lt;0,"",(Depth0-MIN(Depth0,Quantiles!AP37))/Depth_per_q)</f>
        <v>0</v>
      </c>
      <c r="AQ37" s="20" t="n">
        <f aca="false">IF(Quantiles!AQ37&lt;0,"",(Depth0-MIN(Depth0,Quantiles!AQ37))/Depth_per_q)</f>
        <v>0</v>
      </c>
      <c r="AR37" s="20" t="n">
        <f aca="false">IF(Quantiles!AR37&lt;0,"",(Depth0-MIN(Depth0,Quantiles!AR37))/Depth_per_q)</f>
        <v>0</v>
      </c>
      <c r="AS37" s="20" t="n">
        <f aca="false">IF(Quantiles!AS37&lt;0,"",(Depth0-MIN(Depth0,Quantiles!AS37))/Depth_per_q)</f>
        <v>0</v>
      </c>
      <c r="AT37" s="20" t="n">
        <f aca="false">IF(Quantiles!AT37&lt;0,"",(Depth0-MIN(Depth0,Quantiles!AT37))/Depth_per_q)</f>
        <v>0</v>
      </c>
      <c r="AU37" s="20" t="n">
        <f aca="false">IF(Quantiles!AU37&lt;0,"",(Depth0-MIN(Depth0,Quantiles!AU37))/Depth_per_q)</f>
        <v>0</v>
      </c>
      <c r="AV37" s="20" t="n">
        <f aca="false">IF(Quantiles!AV37&lt;0,"",(Depth0-MIN(Depth0,Quantiles!AV37))/Depth_per_q)</f>
        <v>0</v>
      </c>
      <c r="AW37" s="20" t="n">
        <f aca="false">IF(Quantiles!AW37&lt;0,"",(Depth0-MIN(Depth0,Quantiles!AW37))/Depth_per_q)</f>
        <v>0</v>
      </c>
      <c r="AX37" s="20" t="n">
        <f aca="false">IF(Quantiles!AX37&lt;0,"",(Depth0-MIN(Depth0,Quantiles!AX37))/Depth_per_q)</f>
        <v>0</v>
      </c>
      <c r="AY37" s="20" t="n">
        <f aca="false">IF(Quantiles!AY37&lt;0,"",(Depth0-MIN(Depth0,Quantiles!AY37))/Depth_per_q)</f>
        <v>0</v>
      </c>
      <c r="AZ37" s="20" t="n">
        <f aca="false">IF(Quantiles!AZ37&lt;0,"",(Depth0-MIN(Depth0,Quantiles!AZ37))/Depth_per_q)</f>
        <v>0</v>
      </c>
      <c r="BA37" s="20" t="n">
        <f aca="false">IF(Quantiles!BA37&lt;0,"",(Depth0-MIN(Depth0,Quantiles!BA37))/Depth_per_q)</f>
        <v>0</v>
      </c>
      <c r="BB37" s="20" t="n">
        <f aca="false">IF(Quantiles!BB37&lt;0,"",(Depth0-MIN(Depth0,Quantiles!BB37))/Depth_per_q)</f>
        <v>0</v>
      </c>
      <c r="BC37" s="20" t="n">
        <f aca="false">IF(Quantiles!BC37&lt;0,"",(Depth0-MIN(Depth0,Quantiles!BC37))/Depth_per_q)</f>
        <v>0</v>
      </c>
      <c r="BD37" s="20" t="n">
        <f aca="false">IF(Quantiles!BD37&lt;0,"",(Depth0-MIN(Depth0,Quantiles!BD37))/Depth_per_q)</f>
        <v>0</v>
      </c>
      <c r="BE37" s="20" t="n">
        <f aca="false">IF(Quantiles!BE37&lt;0,"",(Depth0-MIN(Depth0,Quantiles!BE37))/Depth_per_q)</f>
        <v>0</v>
      </c>
      <c r="BF37" s="20" t="n">
        <f aca="false">IF(Quantiles!BF37&lt;0,"",(Depth0-MIN(Depth0,Quantiles!BF37))/Depth_per_q)</f>
        <v>0</v>
      </c>
      <c r="BG37" s="20" t="n">
        <f aca="false">IF(Quantiles!BG37&lt;0,"",(Depth0-MIN(Depth0,Quantiles!BG37))/Depth_per_q)</f>
        <v>0</v>
      </c>
      <c r="BH37" s="20" t="n">
        <f aca="false">IF(Quantiles!BH37&lt;0,"",(Depth0-MIN(Depth0,Quantiles!BH37))/Depth_per_q)</f>
        <v>0</v>
      </c>
      <c r="BI37" s="20" t="n">
        <f aca="false">IF(Quantiles!BI37&lt;0,"",(Depth0-MIN(Depth0,Quantiles!BI37))/Depth_per_q)</f>
        <v>0</v>
      </c>
      <c r="BJ37" s="20" t="n">
        <f aca="false">IF(Quantiles!BJ37&lt;0,"",(Depth0-MIN(Depth0,Quantiles!BJ37))/Depth_per_q)</f>
        <v>0</v>
      </c>
      <c r="BK37" s="20" t="n">
        <f aca="false">IF(Quantiles!BK37&lt;0,"",(Depth0-MIN(Depth0,Quantiles!BK37))/Depth_per_q)</f>
        <v>0</v>
      </c>
      <c r="BL37" s="20" t="n">
        <f aca="false">IF(Quantiles!BL37&lt;0,"",(Depth0-MIN(Depth0,Quantiles!BL37))/Depth_per_q)</f>
        <v>0</v>
      </c>
      <c r="BM37" s="20" t="n">
        <f aca="false">IF(Quantiles!BM37&lt;0,"",(Depth0-MIN(Depth0,Quantiles!BM37))/Depth_per_q)</f>
        <v>0</v>
      </c>
      <c r="BN37" s="20" t="n">
        <f aca="false">IF(Quantiles!BN37&lt;0,"",(Depth0-MIN(Depth0,Quantiles!BN37))/Depth_per_q)</f>
        <v>0</v>
      </c>
      <c r="BO37" s="20" t="n">
        <f aca="false">IF(Quantiles!BO37&lt;0,"",(Depth0-MIN(Depth0,Quantiles!BO37))/Depth_per_q)</f>
        <v>0</v>
      </c>
      <c r="BP37" s="20" t="n">
        <f aca="false">IF(Quantiles!BP37&lt;0,"",(Depth0-MIN(Depth0,Quantiles!BP37))/Depth_per_q)</f>
        <v>0</v>
      </c>
      <c r="BQ37" s="20" t="n">
        <f aca="false">IF(Quantiles!BQ37&lt;0,"",(Depth0-MIN(Depth0,Quantiles!BQ37))/Depth_per_q)</f>
        <v>0</v>
      </c>
      <c r="BR37" s="20" t="n">
        <f aca="false">IF(Quantiles!BR37&lt;0,"",(Depth0-MIN(Depth0,Quantiles!BR37))/Depth_per_q)</f>
        <v>0</v>
      </c>
      <c r="BS37" s="20" t="n">
        <f aca="false">IF(Quantiles!BS37&lt;0,"",(Depth0-MIN(Depth0,Quantiles!BS37))/Depth_per_q)</f>
        <v>0</v>
      </c>
      <c r="BT37" s="20" t="n">
        <f aca="false">IF(Quantiles!BT37&lt;0,"",(Depth0-MIN(Depth0,Quantiles!BT37))/Depth_per_q)</f>
        <v>0</v>
      </c>
      <c r="BU37" s="20" t="n">
        <f aca="false">IF(Quantiles!BU37&lt;0,"",(Depth0-MIN(Depth0,Quantiles!BU37))/Depth_per_q)</f>
        <v>0</v>
      </c>
      <c r="BV37" s="20" t="n">
        <f aca="false">IF(Quantiles!BV37&lt;0,"",(Depth0-MIN(Depth0,Quantiles!BV37))/Depth_per_q)</f>
        <v>0</v>
      </c>
      <c r="BW37" s="20" t="n">
        <f aca="false">IF(Quantiles!BW37&lt;0,"",(Depth0-MIN(Depth0,Quantiles!BW37))/Depth_per_q)</f>
        <v>0</v>
      </c>
      <c r="BX37" s="20" t="n">
        <f aca="false">IF(Quantiles!BX37&lt;0,"",(Depth0-MIN(Depth0,Quantiles!BX37))/Depth_per_q)</f>
        <v>0</v>
      </c>
      <c r="BY37" s="20" t="n">
        <f aca="false">IF(Quantiles!BY37&lt;0,"",(Depth0-MIN(Depth0,Quantiles!BY37))/Depth_per_q)</f>
        <v>0</v>
      </c>
      <c r="BZ37" s="20" t="n">
        <f aca="false">IF(Quantiles!BZ37&lt;0,"",(Depth0-MIN(Depth0,Quantiles!BZ37))/Depth_per_q)</f>
        <v>0</v>
      </c>
      <c r="CA37" s="20" t="n">
        <f aca="false">IF(Quantiles!CA37&lt;0,"",(Depth0-MIN(Depth0,Quantiles!CA37))/Depth_per_q)</f>
        <v>0</v>
      </c>
      <c r="CB37" s="20" t="n">
        <f aca="false">IF(Quantiles!CB37&lt;0,"",(Depth0-MIN(Depth0,Quantiles!CB37))/Depth_per_q)</f>
        <v>0</v>
      </c>
      <c r="CC37" s="20" t="n">
        <f aca="false">IF(Quantiles!CC37&lt;0,"",(Depth0-MIN(Depth0,Quantiles!CC37))/Depth_per_q)</f>
        <v>0</v>
      </c>
      <c r="CD37" s="20" t="n">
        <f aca="false">IF(Quantiles!CD37&lt;0,"",(Depth0-MIN(Depth0,Quantiles!CD37))/Depth_per_q)</f>
        <v>0</v>
      </c>
      <c r="CE37" s="20" t="n">
        <f aca="false">IF(Quantiles!CE37&lt;0,"",(Depth0-MIN(Depth0,Quantiles!CE37))/Depth_per_q)</f>
        <v>0</v>
      </c>
      <c r="CF37" s="20" t="n">
        <f aca="false">IF(Quantiles!CF37&lt;0,"",(Depth0-MIN(Depth0,Quantiles!CF37))/Depth_per_q)</f>
        <v>0</v>
      </c>
      <c r="CG37" s="20" t="n">
        <f aca="false">IF(Quantiles!CG37&lt;0,"",(Depth0-MIN(Depth0,Quantiles!CG37))/Depth_per_q)</f>
        <v>0</v>
      </c>
      <c r="CH37" s="20" t="n">
        <f aca="false">IF(Quantiles!CH37&lt;0,"",(Depth0-MIN(Depth0,Quantiles!CH37))/Depth_per_q)</f>
        <v>0</v>
      </c>
      <c r="CI37" s="20" t="n">
        <f aca="false">IF(Quantiles!CI37&lt;0,"",(Depth0-MIN(Depth0,Quantiles!CI37))/Depth_per_q)</f>
        <v>0</v>
      </c>
      <c r="CJ37" s="20" t="n">
        <f aca="false">IF(Quantiles!CJ37&lt;0,"",(Depth0-MIN(Depth0,Quantiles!CJ37))/Depth_per_q)</f>
        <v>0</v>
      </c>
      <c r="CK37" s="20" t="n">
        <f aca="false">IF(Quantiles!CK37&lt;0,"",(Depth0-MIN(Depth0,Quantiles!CK37))/Depth_per_q)</f>
        <v>0</v>
      </c>
      <c r="CL37" s="20" t="n">
        <f aca="false">IF(Quantiles!CL37&lt;0,"",(Depth0-MIN(Depth0,Quantiles!CL37))/Depth_per_q)</f>
        <v>0</v>
      </c>
      <c r="CM37" s="20" t="n">
        <f aca="false">IF(Quantiles!CM37&lt;0,"",(Depth0-MIN(Depth0,Quantiles!CM37))/Depth_per_q)</f>
        <v>0</v>
      </c>
      <c r="CN37" s="20" t="n">
        <f aca="false">IF(Quantiles!CN37&lt;0,"",(Depth0-MIN(Depth0,Quantiles!CN37))/Depth_per_q)</f>
        <v>0</v>
      </c>
      <c r="CO37" s="20" t="n">
        <f aca="false">IF(Quantiles!CO37&lt;0,"",(Depth0-MIN(Depth0,Quantiles!CO37))/Depth_per_q)</f>
        <v>0</v>
      </c>
      <c r="CP37" s="20" t="n">
        <f aca="false">IF(Quantiles!CP37&lt;0,"",(Depth0-MIN(Depth0,Quantiles!CP37))/Depth_per_q)</f>
        <v>0</v>
      </c>
      <c r="CQ37" s="20" t="n">
        <f aca="false">IF(Quantiles!CQ37&lt;0,"",(Depth0-MIN(Depth0,Quantiles!CQ37))/Depth_per_q)</f>
        <v>0</v>
      </c>
      <c r="CR37" s="20" t="n">
        <f aca="false">IF(Quantiles!CR37&lt;0,"",(Depth0-MIN(Depth0,Quantiles!CR37))/Depth_per_q)</f>
        <v>0</v>
      </c>
      <c r="CS37" s="20" t="n">
        <f aca="false">IF(Quantiles!CS37&lt;0,"",(Depth0-MIN(Depth0,Quantiles!CS37))/Depth_per_q)</f>
        <v>0</v>
      </c>
      <c r="CT37" s="20" t="n">
        <f aca="false">IF(Quantiles!CT37&lt;0,"",(Depth0-MIN(Depth0,Quantiles!CT37))/Depth_per_q)</f>
        <v>1.24859563889619</v>
      </c>
    </row>
    <row r="38" customFormat="false" ht="15" hidden="false" customHeight="false" outlineLevel="0" collapsed="false">
      <c r="A38" s="25" t="n">
        <f aca="false">Quantiles!A38</f>
        <v>165</v>
      </c>
      <c r="B38" s="20" t="n">
        <f aca="false">IF(Quantiles!B38&lt;0,"",(Depth0-MIN(Depth0,Quantiles!B38))/Depth_per_q)</f>
        <v>2.31722795025095</v>
      </c>
      <c r="C38" s="20" t="n">
        <f aca="false">IF(Quantiles!C38&lt;0,"",(Depth0-MIN(Depth0,Quantiles!C38))/Depth_per_q)</f>
        <v>2.09442448306567</v>
      </c>
      <c r="D38" s="20" t="n">
        <f aca="false">IF(Quantiles!D38&lt;0,"",(Depth0-MIN(Depth0,Quantiles!D38))/Depth_per_q)</f>
        <v>1.91185539629331</v>
      </c>
      <c r="E38" s="20" t="n">
        <f aca="false">IF(Quantiles!E38&lt;0,"",(Depth0-MIN(Depth0,Quantiles!E38))/Depth_per_q)</f>
        <v>1.76187442304457</v>
      </c>
      <c r="F38" s="20" t="n">
        <f aca="false">IF(Quantiles!F38&lt;0,"",(Depth0-MIN(Depth0,Quantiles!F38))/Depth_per_q)</f>
        <v>1.63145188146862</v>
      </c>
      <c r="G38" s="20" t="n">
        <f aca="false">IF(Quantiles!G38&lt;0,"",(Depth0-MIN(Depth0,Quantiles!G38))/Depth_per_q)</f>
        <v>1.51424632981724</v>
      </c>
      <c r="H38" s="20" t="n">
        <f aca="false">IF(Quantiles!H38&lt;0,"",(Depth0-MIN(Depth0,Quantiles!H38))/Depth_per_q)</f>
        <v>1.4032329433775</v>
      </c>
      <c r="I38" s="20" t="n">
        <f aca="false">IF(Quantiles!I38&lt;0,"",(Depth0-MIN(Depth0,Quantiles!I38))/Depth_per_q)</f>
        <v>1.3131264656399</v>
      </c>
      <c r="J38" s="20" t="n">
        <f aca="false">IF(Quantiles!J38&lt;0,"",(Depth0-MIN(Depth0,Quantiles!J38))/Depth_per_q)</f>
        <v>1.22681053864101</v>
      </c>
      <c r="K38" s="20" t="n">
        <f aca="false">IF(Quantiles!K38&lt;0,"",(Depth0-MIN(Depth0,Quantiles!K38))/Depth_per_q)</f>
        <v>1.14135045460807</v>
      </c>
      <c r="L38" s="20" t="n">
        <f aca="false">IF(Quantiles!L38&lt;0,"",(Depth0-MIN(Depth0,Quantiles!L38))/Depth_per_q)</f>
        <v>1.0713701966019</v>
      </c>
      <c r="M38" s="20" t="n">
        <f aca="false">IF(Quantiles!M38&lt;0,"",(Depth0-MIN(Depth0,Quantiles!M38))/Depth_per_q)</f>
        <v>0.995501542639797</v>
      </c>
      <c r="N38" s="20" t="n">
        <f aca="false">IF(Quantiles!N38&lt;0,"",(Depth0-MIN(Depth0,Quantiles!N38))/Depth_per_q)</f>
        <v>0.925057198980888</v>
      </c>
      <c r="O38" s="20" t="n">
        <f aca="false">IF(Quantiles!O38&lt;0,"",(Depth0-MIN(Depth0,Quantiles!O38))/Depth_per_q)</f>
        <v>0.86435581634234</v>
      </c>
      <c r="P38" s="20" t="n">
        <f aca="false">IF(Quantiles!P38&lt;0,"",(Depth0-MIN(Depth0,Quantiles!P38))/Depth_per_q)</f>
        <v>0.80481304152793</v>
      </c>
      <c r="Q38" s="20" t="n">
        <f aca="false">IF(Quantiles!Q38&lt;0,"",(Depth0-MIN(Depth0,Quantiles!Q38))/Depth_per_q)</f>
        <v>0.740763569952175</v>
      </c>
      <c r="R38" s="20" t="n">
        <f aca="false">IF(Quantiles!R38&lt;0,"",(Depth0-MIN(Depth0,Quantiles!R38))/Depth_per_q)</f>
        <v>0.68675627656484</v>
      </c>
      <c r="S38" s="20" t="n">
        <f aca="false">IF(Quantiles!S38&lt;0,"",(Depth0-MIN(Depth0,Quantiles!S38))/Depth_per_q)</f>
        <v>0.63140311364696</v>
      </c>
      <c r="T38" s="20" t="n">
        <f aca="false">IF(Quantiles!T38&lt;0,"",(Depth0-MIN(Depth0,Quantiles!T38))/Depth_per_q)</f>
        <v>0.578936193444825</v>
      </c>
      <c r="U38" s="20" t="n">
        <f aca="false">IF(Quantiles!U38&lt;0,"",(Depth0-MIN(Depth0,Quantiles!U38))/Depth_per_q)</f>
        <v>0.52827816103465</v>
      </c>
      <c r="V38" s="20" t="n">
        <f aca="false">IF(Quantiles!V38&lt;0,"",(Depth0-MIN(Depth0,Quantiles!V38))/Depth_per_q)</f>
        <v>0.483963657548935</v>
      </c>
      <c r="W38" s="20" t="n">
        <f aca="false">IF(Quantiles!W38&lt;0,"",(Depth0-MIN(Depth0,Quantiles!W38))/Depth_per_q)</f>
        <v>0.442814816015168</v>
      </c>
      <c r="X38" s="20" t="n">
        <f aca="false">IF(Quantiles!X38&lt;0,"",(Depth0-MIN(Depth0,Quantiles!X38))/Depth_per_q)</f>
        <v>0.398104884842143</v>
      </c>
      <c r="Y38" s="20" t="n">
        <f aca="false">IF(Quantiles!Y38&lt;0,"",(Depth0-MIN(Depth0,Quantiles!Y38))/Depth_per_q)</f>
        <v>0.358109085947852</v>
      </c>
      <c r="Z38" s="20" t="n">
        <f aca="false">IF(Quantiles!Z38&lt;0,"",(Depth0-MIN(Depth0,Quantiles!Z38))/Depth_per_q)</f>
        <v>0.316657413853083</v>
      </c>
      <c r="AA38" s="20" t="n">
        <f aca="false">IF(Quantiles!AA38&lt;0,"",(Depth0-MIN(Depth0,Quantiles!AA38))/Depth_per_q)</f>
        <v>0.275351659941805</v>
      </c>
      <c r="AB38" s="20" t="n">
        <f aca="false">IF(Quantiles!AB38&lt;0,"",(Depth0-MIN(Depth0,Quantiles!AB38))/Depth_per_q)</f>
        <v>0.238339052535178</v>
      </c>
      <c r="AC38" s="20" t="n">
        <f aca="false">IF(Quantiles!AC38&lt;0,"",(Depth0-MIN(Depth0,Quantiles!AC38))/Depth_per_q)</f>
        <v>0.200855933369493</v>
      </c>
      <c r="AD38" s="20" t="n">
        <f aca="false">IF(Quantiles!AD38&lt;0,"",(Depth0-MIN(Depth0,Quantiles!AD38))/Depth_per_q)</f>
        <v>0.163760496748613</v>
      </c>
      <c r="AE38" s="20" t="n">
        <f aca="false">IF(Quantiles!AE38&lt;0,"",(Depth0-MIN(Depth0,Quantiles!AE38))/Depth_per_q)</f>
        <v>0.124356548163248</v>
      </c>
      <c r="AF38" s="20" t="n">
        <f aca="false">IF(Quantiles!AF38&lt;0,"",(Depth0-MIN(Depth0,Quantiles!AF38))/Depth_per_q)</f>
        <v>0.0904289172506223</v>
      </c>
      <c r="AG38" s="20" t="n">
        <f aca="false">IF(Quantiles!AG38&lt;0,"",(Depth0-MIN(Depth0,Quantiles!AG38))/Depth_per_q)</f>
        <v>0.0553353223563846</v>
      </c>
      <c r="AH38" s="20" t="n">
        <f aca="false">IF(Quantiles!AH38&lt;0,"",(Depth0-MIN(Depth0,Quantiles!AH38))/Depth_per_q)</f>
        <v>0.0222056974843223</v>
      </c>
      <c r="AI38" s="20" t="n">
        <f aca="false">IF(Quantiles!AI38&lt;0,"",(Depth0-MIN(Depth0,Quantiles!AI38))/Depth_per_q)</f>
        <v>0</v>
      </c>
      <c r="AJ38" s="20" t="n">
        <f aca="false">IF(Quantiles!AJ38&lt;0,"",(Depth0-MIN(Depth0,Quantiles!AJ38))/Depth_per_q)</f>
        <v>0</v>
      </c>
      <c r="AK38" s="20" t="n">
        <f aca="false">IF(Quantiles!AK38&lt;0,"",(Depth0-MIN(Depth0,Quantiles!AK38))/Depth_per_q)</f>
        <v>0</v>
      </c>
      <c r="AL38" s="20" t="n">
        <f aca="false">IF(Quantiles!AL38&lt;0,"",(Depth0-MIN(Depth0,Quantiles!AL38))/Depth_per_q)</f>
        <v>0</v>
      </c>
      <c r="AM38" s="20" t="n">
        <f aca="false">IF(Quantiles!AM38&lt;0,"",(Depth0-MIN(Depth0,Quantiles!AM38))/Depth_per_q)</f>
        <v>0</v>
      </c>
      <c r="AN38" s="20" t="n">
        <f aca="false">IF(Quantiles!AN38&lt;0,"",(Depth0-MIN(Depth0,Quantiles!AN38))/Depth_per_q)</f>
        <v>0</v>
      </c>
      <c r="AO38" s="20" t="n">
        <f aca="false">IF(Quantiles!AO38&lt;0,"",(Depth0-MIN(Depth0,Quantiles!AO38))/Depth_per_q)</f>
        <v>0</v>
      </c>
      <c r="AP38" s="20" t="n">
        <f aca="false">IF(Quantiles!AP38&lt;0,"",(Depth0-MIN(Depth0,Quantiles!AP38))/Depth_per_q)</f>
        <v>0</v>
      </c>
      <c r="AQ38" s="20" t="n">
        <f aca="false">IF(Quantiles!AQ38&lt;0,"",(Depth0-MIN(Depth0,Quantiles!AQ38))/Depth_per_q)</f>
        <v>0</v>
      </c>
      <c r="AR38" s="20" t="n">
        <f aca="false">IF(Quantiles!AR38&lt;0,"",(Depth0-MIN(Depth0,Quantiles!AR38))/Depth_per_q)</f>
        <v>0</v>
      </c>
      <c r="AS38" s="20" t="n">
        <f aca="false">IF(Quantiles!AS38&lt;0,"",(Depth0-MIN(Depth0,Quantiles!AS38))/Depth_per_q)</f>
        <v>0</v>
      </c>
      <c r="AT38" s="20" t="n">
        <f aca="false">IF(Quantiles!AT38&lt;0,"",(Depth0-MIN(Depth0,Quantiles!AT38))/Depth_per_q)</f>
        <v>0</v>
      </c>
      <c r="AU38" s="20" t="n">
        <f aca="false">IF(Quantiles!AU38&lt;0,"",(Depth0-MIN(Depth0,Quantiles!AU38))/Depth_per_q)</f>
        <v>0</v>
      </c>
      <c r="AV38" s="20" t="n">
        <f aca="false">IF(Quantiles!AV38&lt;0,"",(Depth0-MIN(Depth0,Quantiles!AV38))/Depth_per_q)</f>
        <v>0</v>
      </c>
      <c r="AW38" s="20" t="n">
        <f aca="false">IF(Quantiles!AW38&lt;0,"",(Depth0-MIN(Depth0,Quantiles!AW38))/Depth_per_q)</f>
        <v>0</v>
      </c>
      <c r="AX38" s="20" t="n">
        <f aca="false">IF(Quantiles!AX38&lt;0,"",(Depth0-MIN(Depth0,Quantiles!AX38))/Depth_per_q)</f>
        <v>0</v>
      </c>
      <c r="AY38" s="20" t="n">
        <f aca="false">IF(Quantiles!AY38&lt;0,"",(Depth0-MIN(Depth0,Quantiles!AY38))/Depth_per_q)</f>
        <v>0</v>
      </c>
      <c r="AZ38" s="20" t="n">
        <f aca="false">IF(Quantiles!AZ38&lt;0,"",(Depth0-MIN(Depth0,Quantiles!AZ38))/Depth_per_q)</f>
        <v>0</v>
      </c>
      <c r="BA38" s="20" t="n">
        <f aca="false">IF(Quantiles!BA38&lt;0,"",(Depth0-MIN(Depth0,Quantiles!BA38))/Depth_per_q)</f>
        <v>0</v>
      </c>
      <c r="BB38" s="20" t="n">
        <f aca="false">IF(Quantiles!BB38&lt;0,"",(Depth0-MIN(Depth0,Quantiles!BB38))/Depth_per_q)</f>
        <v>0</v>
      </c>
      <c r="BC38" s="20" t="n">
        <f aca="false">IF(Quantiles!BC38&lt;0,"",(Depth0-MIN(Depth0,Quantiles!BC38))/Depth_per_q)</f>
        <v>0</v>
      </c>
      <c r="BD38" s="20" t="n">
        <f aca="false">IF(Quantiles!BD38&lt;0,"",(Depth0-MIN(Depth0,Quantiles!BD38))/Depth_per_q)</f>
        <v>0</v>
      </c>
      <c r="BE38" s="20" t="n">
        <f aca="false">IF(Quantiles!BE38&lt;0,"",(Depth0-MIN(Depth0,Quantiles!BE38))/Depth_per_q)</f>
        <v>0</v>
      </c>
      <c r="BF38" s="20" t="n">
        <f aca="false">IF(Quantiles!BF38&lt;0,"",(Depth0-MIN(Depth0,Quantiles!BF38))/Depth_per_q)</f>
        <v>0</v>
      </c>
      <c r="BG38" s="20" t="n">
        <f aca="false">IF(Quantiles!BG38&lt;0,"",(Depth0-MIN(Depth0,Quantiles!BG38))/Depth_per_q)</f>
        <v>0</v>
      </c>
      <c r="BH38" s="20" t="n">
        <f aca="false">IF(Quantiles!BH38&lt;0,"",(Depth0-MIN(Depth0,Quantiles!BH38))/Depth_per_q)</f>
        <v>0</v>
      </c>
      <c r="BI38" s="20" t="n">
        <f aca="false">IF(Quantiles!BI38&lt;0,"",(Depth0-MIN(Depth0,Quantiles!BI38))/Depth_per_q)</f>
        <v>0</v>
      </c>
      <c r="BJ38" s="20" t="n">
        <f aca="false">IF(Quantiles!BJ38&lt;0,"",(Depth0-MIN(Depth0,Quantiles!BJ38))/Depth_per_q)</f>
        <v>0</v>
      </c>
      <c r="BK38" s="20" t="n">
        <f aca="false">IF(Quantiles!BK38&lt;0,"",(Depth0-MIN(Depth0,Quantiles!BK38))/Depth_per_q)</f>
        <v>0</v>
      </c>
      <c r="BL38" s="20" t="n">
        <f aca="false">IF(Quantiles!BL38&lt;0,"",(Depth0-MIN(Depth0,Quantiles!BL38))/Depth_per_q)</f>
        <v>0</v>
      </c>
      <c r="BM38" s="20" t="n">
        <f aca="false">IF(Quantiles!BM38&lt;0,"",(Depth0-MIN(Depth0,Quantiles!BM38))/Depth_per_q)</f>
        <v>0</v>
      </c>
      <c r="BN38" s="20" t="n">
        <f aca="false">IF(Quantiles!BN38&lt;0,"",(Depth0-MIN(Depth0,Quantiles!BN38))/Depth_per_q)</f>
        <v>0</v>
      </c>
      <c r="BO38" s="20" t="n">
        <f aca="false">IF(Quantiles!BO38&lt;0,"",(Depth0-MIN(Depth0,Quantiles!BO38))/Depth_per_q)</f>
        <v>0</v>
      </c>
      <c r="BP38" s="20" t="n">
        <f aca="false">IF(Quantiles!BP38&lt;0,"",(Depth0-MIN(Depth0,Quantiles!BP38))/Depth_per_q)</f>
        <v>0</v>
      </c>
      <c r="BQ38" s="20" t="n">
        <f aca="false">IF(Quantiles!BQ38&lt;0,"",(Depth0-MIN(Depth0,Quantiles!BQ38))/Depth_per_q)</f>
        <v>0</v>
      </c>
      <c r="BR38" s="20" t="n">
        <f aca="false">IF(Quantiles!BR38&lt;0,"",(Depth0-MIN(Depth0,Quantiles!BR38))/Depth_per_q)</f>
        <v>0</v>
      </c>
      <c r="BS38" s="20" t="n">
        <f aca="false">IF(Quantiles!BS38&lt;0,"",(Depth0-MIN(Depth0,Quantiles!BS38))/Depth_per_q)</f>
        <v>0</v>
      </c>
      <c r="BT38" s="20" t="n">
        <f aca="false">IF(Quantiles!BT38&lt;0,"",(Depth0-MIN(Depth0,Quantiles!BT38))/Depth_per_q)</f>
        <v>0</v>
      </c>
      <c r="BU38" s="20" t="n">
        <f aca="false">IF(Quantiles!BU38&lt;0,"",(Depth0-MIN(Depth0,Quantiles!BU38))/Depth_per_q)</f>
        <v>0</v>
      </c>
      <c r="BV38" s="20" t="n">
        <f aca="false">IF(Quantiles!BV38&lt;0,"",(Depth0-MIN(Depth0,Quantiles!BV38))/Depth_per_q)</f>
        <v>0</v>
      </c>
      <c r="BW38" s="20" t="n">
        <f aca="false">IF(Quantiles!BW38&lt;0,"",(Depth0-MIN(Depth0,Quantiles!BW38))/Depth_per_q)</f>
        <v>0</v>
      </c>
      <c r="BX38" s="20" t="n">
        <f aca="false">IF(Quantiles!BX38&lt;0,"",(Depth0-MIN(Depth0,Quantiles!BX38))/Depth_per_q)</f>
        <v>0</v>
      </c>
      <c r="BY38" s="20" t="n">
        <f aca="false">IF(Quantiles!BY38&lt;0,"",(Depth0-MIN(Depth0,Quantiles!BY38))/Depth_per_q)</f>
        <v>0</v>
      </c>
      <c r="BZ38" s="20" t="n">
        <f aca="false">IF(Quantiles!BZ38&lt;0,"",(Depth0-MIN(Depth0,Quantiles!BZ38))/Depth_per_q)</f>
        <v>0</v>
      </c>
      <c r="CA38" s="20" t="n">
        <f aca="false">IF(Quantiles!CA38&lt;0,"",(Depth0-MIN(Depth0,Quantiles!CA38))/Depth_per_q)</f>
        <v>0</v>
      </c>
      <c r="CB38" s="20" t="n">
        <f aca="false">IF(Quantiles!CB38&lt;0,"",(Depth0-MIN(Depth0,Quantiles!CB38))/Depth_per_q)</f>
        <v>0</v>
      </c>
      <c r="CC38" s="20" t="n">
        <f aca="false">IF(Quantiles!CC38&lt;0,"",(Depth0-MIN(Depth0,Quantiles!CC38))/Depth_per_q)</f>
        <v>0</v>
      </c>
      <c r="CD38" s="20" t="n">
        <f aca="false">IF(Quantiles!CD38&lt;0,"",(Depth0-MIN(Depth0,Quantiles!CD38))/Depth_per_q)</f>
        <v>0</v>
      </c>
      <c r="CE38" s="20" t="n">
        <f aca="false">IF(Quantiles!CE38&lt;0,"",(Depth0-MIN(Depth0,Quantiles!CE38))/Depth_per_q)</f>
        <v>0</v>
      </c>
      <c r="CF38" s="20" t="n">
        <f aca="false">IF(Quantiles!CF38&lt;0,"",(Depth0-MIN(Depth0,Quantiles!CF38))/Depth_per_q)</f>
        <v>0</v>
      </c>
      <c r="CG38" s="20" t="n">
        <f aca="false">IF(Quantiles!CG38&lt;0,"",(Depth0-MIN(Depth0,Quantiles!CG38))/Depth_per_q)</f>
        <v>0</v>
      </c>
      <c r="CH38" s="20" t="n">
        <f aca="false">IF(Quantiles!CH38&lt;0,"",(Depth0-MIN(Depth0,Quantiles!CH38))/Depth_per_q)</f>
        <v>0</v>
      </c>
      <c r="CI38" s="20" t="n">
        <f aca="false">IF(Quantiles!CI38&lt;0,"",(Depth0-MIN(Depth0,Quantiles!CI38))/Depth_per_q)</f>
        <v>0</v>
      </c>
      <c r="CJ38" s="20" t="n">
        <f aca="false">IF(Quantiles!CJ38&lt;0,"",(Depth0-MIN(Depth0,Quantiles!CJ38))/Depth_per_q)</f>
        <v>0</v>
      </c>
      <c r="CK38" s="20" t="n">
        <f aca="false">IF(Quantiles!CK38&lt;0,"",(Depth0-MIN(Depth0,Quantiles!CK38))/Depth_per_q)</f>
        <v>0</v>
      </c>
      <c r="CL38" s="20" t="n">
        <f aca="false">IF(Quantiles!CL38&lt;0,"",(Depth0-MIN(Depth0,Quantiles!CL38))/Depth_per_q)</f>
        <v>0</v>
      </c>
      <c r="CM38" s="20" t="n">
        <f aca="false">IF(Quantiles!CM38&lt;0,"",(Depth0-MIN(Depth0,Quantiles!CM38))/Depth_per_q)</f>
        <v>0</v>
      </c>
      <c r="CN38" s="20" t="n">
        <f aca="false">IF(Quantiles!CN38&lt;0,"",(Depth0-MIN(Depth0,Quantiles!CN38))/Depth_per_q)</f>
        <v>0</v>
      </c>
      <c r="CO38" s="20" t="n">
        <f aca="false">IF(Quantiles!CO38&lt;0,"",(Depth0-MIN(Depth0,Quantiles!CO38))/Depth_per_q)</f>
        <v>0</v>
      </c>
      <c r="CP38" s="20" t="n">
        <f aca="false">IF(Quantiles!CP38&lt;0,"",(Depth0-MIN(Depth0,Quantiles!CP38))/Depth_per_q)</f>
        <v>0</v>
      </c>
      <c r="CQ38" s="20" t="n">
        <f aca="false">IF(Quantiles!CQ38&lt;0,"",(Depth0-MIN(Depth0,Quantiles!CQ38))/Depth_per_q)</f>
        <v>0</v>
      </c>
      <c r="CR38" s="20" t="n">
        <f aca="false">IF(Quantiles!CR38&lt;0,"",(Depth0-MIN(Depth0,Quantiles!CR38))/Depth_per_q)</f>
        <v>0</v>
      </c>
      <c r="CS38" s="20" t="n">
        <f aca="false">IF(Quantiles!CS38&lt;0,"",(Depth0-MIN(Depth0,Quantiles!CS38))/Depth_per_q)</f>
        <v>0</v>
      </c>
      <c r="CT38" s="20" t="n">
        <f aca="false">IF(Quantiles!CT38&lt;0,"",(Depth0-MIN(Depth0,Quantiles!CT38))/Depth_per_q)</f>
        <v>1.22596482843428</v>
      </c>
    </row>
    <row r="39" customFormat="false" ht="15" hidden="false" customHeight="false" outlineLevel="0" collapsed="false">
      <c r="A39" s="25" t="n">
        <f aca="false">Quantiles!A39</f>
        <v>170</v>
      </c>
      <c r="B39" s="20" t="n">
        <f aca="false">IF(Quantiles!B39&lt;0,"",(Depth0-MIN(Depth0,Quantiles!B39))/Depth_per_q)</f>
        <v>2.28286531999044</v>
      </c>
      <c r="C39" s="20" t="n">
        <f aca="false">IF(Quantiles!C39&lt;0,"",(Depth0-MIN(Depth0,Quantiles!C39))/Depth_per_q)</f>
        <v>2.06024511302846</v>
      </c>
      <c r="D39" s="20" t="n">
        <f aca="false">IF(Quantiles!D39&lt;0,"",(Depth0-MIN(Depth0,Quantiles!D39))/Depth_per_q)</f>
        <v>1.88412106734277</v>
      </c>
      <c r="E39" s="20" t="n">
        <f aca="false">IF(Quantiles!E39&lt;0,"",(Depth0-MIN(Depth0,Quantiles!E39))/Depth_per_q)</f>
        <v>1.73007566360144</v>
      </c>
      <c r="F39" s="20" t="n">
        <f aca="false">IF(Quantiles!F39&lt;0,"",(Depth0-MIN(Depth0,Quantiles!F39))/Depth_per_q)</f>
        <v>1.5951064309758</v>
      </c>
      <c r="G39" s="20" t="n">
        <f aca="false">IF(Quantiles!G39&lt;0,"",(Depth0-MIN(Depth0,Quantiles!G39))/Depth_per_q)</f>
        <v>1.47918686535862</v>
      </c>
      <c r="H39" s="20" t="n">
        <f aca="false">IF(Quantiles!H39&lt;0,"",(Depth0-MIN(Depth0,Quantiles!H39))/Depth_per_q)</f>
        <v>1.37640190465191</v>
      </c>
      <c r="I39" s="20" t="n">
        <f aca="false">IF(Quantiles!I39&lt;0,"",(Depth0-MIN(Depth0,Quantiles!I39))/Depth_per_q)</f>
        <v>1.27984643964378</v>
      </c>
      <c r="J39" s="20" t="n">
        <f aca="false">IF(Quantiles!J39&lt;0,"",(Depth0-MIN(Depth0,Quantiles!J39))/Depth_per_q)</f>
        <v>1.20568206371094</v>
      </c>
      <c r="K39" s="20" t="n">
        <f aca="false">IF(Quantiles!K39&lt;0,"",(Depth0-MIN(Depth0,Quantiles!K39))/Depth_per_q)</f>
        <v>1.1222454199273</v>
      </c>
      <c r="L39" s="20" t="n">
        <f aca="false">IF(Quantiles!L39&lt;0,"",(Depth0-MIN(Depth0,Quantiles!L39))/Depth_per_q)</f>
        <v>1.05139961358676</v>
      </c>
      <c r="M39" s="20" t="n">
        <f aca="false">IF(Quantiles!M39&lt;0,"",(Depth0-MIN(Depth0,Quantiles!M39))/Depth_per_q)</f>
        <v>0.976423002769622</v>
      </c>
      <c r="N39" s="20" t="n">
        <f aca="false">IF(Quantiles!N39&lt;0,"",(Depth0-MIN(Depth0,Quantiles!N39))/Depth_per_q)</f>
        <v>0.908212640605083</v>
      </c>
      <c r="O39" s="20" t="n">
        <f aca="false">IF(Quantiles!O39&lt;0,"",(Depth0-MIN(Depth0,Quantiles!O39))/Depth_per_q)</f>
        <v>0.84711702917571</v>
      </c>
      <c r="P39" s="20" t="n">
        <f aca="false">IF(Quantiles!P39&lt;0,"",(Depth0-MIN(Depth0,Quantiles!P39))/Depth_per_q)</f>
        <v>0.787635160860765</v>
      </c>
      <c r="Q39" s="20" t="n">
        <f aca="false">IF(Quantiles!Q39&lt;0,"",(Depth0-MIN(Depth0,Quantiles!Q39))/Depth_per_q)</f>
        <v>0.724787637266235</v>
      </c>
      <c r="R39" s="20" t="n">
        <f aca="false">IF(Quantiles!R39&lt;0,"",(Depth0-MIN(Depth0,Quantiles!R39))/Depth_per_q)</f>
        <v>0.667576361426625</v>
      </c>
      <c r="S39" s="20" t="n">
        <f aca="false">IF(Quantiles!S39&lt;0,"",(Depth0-MIN(Depth0,Quantiles!S39))/Depth_per_q)</f>
        <v>0.61284099702556</v>
      </c>
      <c r="T39" s="20" t="n">
        <f aca="false">IF(Quantiles!T39&lt;0,"",(Depth0-MIN(Depth0,Quantiles!T39))/Depth_per_q)</f>
        <v>0.565475333151268</v>
      </c>
      <c r="U39" s="20" t="n">
        <f aca="false">IF(Quantiles!U39&lt;0,"",(Depth0-MIN(Depth0,Quantiles!U39))/Depth_per_q)</f>
        <v>0.512205838695605</v>
      </c>
      <c r="V39" s="20" t="n">
        <f aca="false">IF(Quantiles!V39&lt;0,"",(Depth0-MIN(Depth0,Quantiles!V39))/Depth_per_q)</f>
        <v>0.468243156910723</v>
      </c>
      <c r="W39" s="20" t="n">
        <f aca="false">IF(Quantiles!W39&lt;0,"",(Depth0-MIN(Depth0,Quantiles!W39))/Depth_per_q)</f>
        <v>0.428442569219352</v>
      </c>
      <c r="X39" s="20" t="n">
        <f aca="false">IF(Quantiles!X39&lt;0,"",(Depth0-MIN(Depth0,Quantiles!X39))/Depth_per_q)</f>
        <v>0.383590579928932</v>
      </c>
      <c r="Y39" s="20" t="n">
        <f aca="false">IF(Quantiles!Y39&lt;0,"",(Depth0-MIN(Depth0,Quantiles!Y39))/Depth_per_q)</f>
        <v>0.340774814678093</v>
      </c>
      <c r="Z39" s="20" t="n">
        <f aca="false">IF(Quantiles!Z39&lt;0,"",(Depth0-MIN(Depth0,Quantiles!Z39))/Depth_per_q)</f>
        <v>0.297924988657822</v>
      </c>
      <c r="AA39" s="20" t="n">
        <f aca="false">IF(Quantiles!AA39&lt;0,"",(Depth0-MIN(Depth0,Quantiles!AA39))/Depth_per_q)</f>
        <v>0.260967457749662</v>
      </c>
      <c r="AB39" s="20" t="n">
        <f aca="false">IF(Quantiles!AB39&lt;0,"",(Depth0-MIN(Depth0,Quantiles!AB39))/Depth_per_q)</f>
        <v>0.222423241310958</v>
      </c>
      <c r="AC39" s="20" t="n">
        <f aca="false">IF(Quantiles!AC39&lt;0,"",(Depth0-MIN(Depth0,Quantiles!AC39))/Depth_per_q)</f>
        <v>0.186675726496975</v>
      </c>
      <c r="AD39" s="20" t="n">
        <f aca="false">IF(Quantiles!AD39&lt;0,"",(Depth0-MIN(Depth0,Quantiles!AD39))/Depth_per_q)</f>
        <v>0.148587844122263</v>
      </c>
      <c r="AE39" s="20" t="n">
        <f aca="false">IF(Quantiles!AE39&lt;0,"",(Depth0-MIN(Depth0,Quantiles!AE39))/Depth_per_q)</f>
        <v>0.111124065718933</v>
      </c>
      <c r="AF39" s="20" t="n">
        <f aca="false">IF(Quantiles!AF39&lt;0,"",(Depth0-MIN(Depth0,Quantiles!AF39))/Depth_per_q)</f>
        <v>0.0779482476719053</v>
      </c>
      <c r="AG39" s="20" t="n">
        <f aca="false">IF(Quantiles!AG39&lt;0,"",(Depth0-MIN(Depth0,Quantiles!AG39))/Depth_per_q)</f>
        <v>0.0407443957545528</v>
      </c>
      <c r="AH39" s="20" t="n">
        <f aca="false">IF(Quantiles!AH39&lt;0,"",(Depth0-MIN(Depth0,Quantiles!AH39))/Depth_per_q)</f>
        <v>0.00958655639966732</v>
      </c>
      <c r="AI39" s="20" t="n">
        <f aca="false">IF(Quantiles!AI39&lt;0,"",(Depth0-MIN(Depth0,Quantiles!AI39))/Depth_per_q)</f>
        <v>0</v>
      </c>
      <c r="AJ39" s="20" t="n">
        <f aca="false">IF(Quantiles!AJ39&lt;0,"",(Depth0-MIN(Depth0,Quantiles!AJ39))/Depth_per_q)</f>
        <v>0</v>
      </c>
      <c r="AK39" s="20" t="n">
        <f aca="false">IF(Quantiles!AK39&lt;0,"",(Depth0-MIN(Depth0,Quantiles!AK39))/Depth_per_q)</f>
        <v>0</v>
      </c>
      <c r="AL39" s="20" t="n">
        <f aca="false">IF(Quantiles!AL39&lt;0,"",(Depth0-MIN(Depth0,Quantiles!AL39))/Depth_per_q)</f>
        <v>0</v>
      </c>
      <c r="AM39" s="20" t="n">
        <f aca="false">IF(Quantiles!AM39&lt;0,"",(Depth0-MIN(Depth0,Quantiles!AM39))/Depth_per_q)</f>
        <v>0</v>
      </c>
      <c r="AN39" s="20" t="n">
        <f aca="false">IF(Quantiles!AN39&lt;0,"",(Depth0-MIN(Depth0,Quantiles!AN39))/Depth_per_q)</f>
        <v>0</v>
      </c>
      <c r="AO39" s="20" t="n">
        <f aca="false">IF(Quantiles!AO39&lt;0,"",(Depth0-MIN(Depth0,Quantiles!AO39))/Depth_per_q)</f>
        <v>0</v>
      </c>
      <c r="AP39" s="20" t="n">
        <f aca="false">IF(Quantiles!AP39&lt;0,"",(Depth0-MIN(Depth0,Quantiles!AP39))/Depth_per_q)</f>
        <v>0</v>
      </c>
      <c r="AQ39" s="20" t="n">
        <f aca="false">IF(Quantiles!AQ39&lt;0,"",(Depth0-MIN(Depth0,Quantiles!AQ39))/Depth_per_q)</f>
        <v>0</v>
      </c>
      <c r="AR39" s="20" t="n">
        <f aca="false">IF(Quantiles!AR39&lt;0,"",(Depth0-MIN(Depth0,Quantiles!AR39))/Depth_per_q)</f>
        <v>0</v>
      </c>
      <c r="AS39" s="20" t="n">
        <f aca="false">IF(Quantiles!AS39&lt;0,"",(Depth0-MIN(Depth0,Quantiles!AS39))/Depth_per_q)</f>
        <v>0</v>
      </c>
      <c r="AT39" s="20" t="n">
        <f aca="false">IF(Quantiles!AT39&lt;0,"",(Depth0-MIN(Depth0,Quantiles!AT39))/Depth_per_q)</f>
        <v>0</v>
      </c>
      <c r="AU39" s="20" t="n">
        <f aca="false">IF(Quantiles!AU39&lt;0,"",(Depth0-MIN(Depth0,Quantiles!AU39))/Depth_per_q)</f>
        <v>0</v>
      </c>
      <c r="AV39" s="20" t="n">
        <f aca="false">IF(Quantiles!AV39&lt;0,"",(Depth0-MIN(Depth0,Quantiles!AV39))/Depth_per_q)</f>
        <v>0</v>
      </c>
      <c r="AW39" s="20" t="n">
        <f aca="false">IF(Quantiles!AW39&lt;0,"",(Depth0-MIN(Depth0,Quantiles!AW39))/Depth_per_q)</f>
        <v>0</v>
      </c>
      <c r="AX39" s="20" t="n">
        <f aca="false">IF(Quantiles!AX39&lt;0,"",(Depth0-MIN(Depth0,Quantiles!AX39))/Depth_per_q)</f>
        <v>0</v>
      </c>
      <c r="AY39" s="20" t="n">
        <f aca="false">IF(Quantiles!AY39&lt;0,"",(Depth0-MIN(Depth0,Quantiles!AY39))/Depth_per_q)</f>
        <v>0</v>
      </c>
      <c r="AZ39" s="20" t="n">
        <f aca="false">IF(Quantiles!AZ39&lt;0,"",(Depth0-MIN(Depth0,Quantiles!AZ39))/Depth_per_q)</f>
        <v>0</v>
      </c>
      <c r="BA39" s="20" t="n">
        <f aca="false">IF(Quantiles!BA39&lt;0,"",(Depth0-MIN(Depth0,Quantiles!BA39))/Depth_per_q)</f>
        <v>0</v>
      </c>
      <c r="BB39" s="20" t="n">
        <f aca="false">IF(Quantiles!BB39&lt;0,"",(Depth0-MIN(Depth0,Quantiles!BB39))/Depth_per_q)</f>
        <v>0</v>
      </c>
      <c r="BC39" s="20" t="n">
        <f aca="false">IF(Quantiles!BC39&lt;0,"",(Depth0-MIN(Depth0,Quantiles!BC39))/Depth_per_q)</f>
        <v>0</v>
      </c>
      <c r="BD39" s="20" t="n">
        <f aca="false">IF(Quantiles!BD39&lt;0,"",(Depth0-MIN(Depth0,Quantiles!BD39))/Depth_per_q)</f>
        <v>0</v>
      </c>
      <c r="BE39" s="20" t="n">
        <f aca="false">IF(Quantiles!BE39&lt;0,"",(Depth0-MIN(Depth0,Quantiles!BE39))/Depth_per_q)</f>
        <v>0</v>
      </c>
      <c r="BF39" s="20" t="n">
        <f aca="false">IF(Quantiles!BF39&lt;0,"",(Depth0-MIN(Depth0,Quantiles!BF39))/Depth_per_q)</f>
        <v>0</v>
      </c>
      <c r="BG39" s="20" t="n">
        <f aca="false">IF(Quantiles!BG39&lt;0,"",(Depth0-MIN(Depth0,Quantiles!BG39))/Depth_per_q)</f>
        <v>0</v>
      </c>
      <c r="BH39" s="20" t="n">
        <f aca="false">IF(Quantiles!BH39&lt;0,"",(Depth0-MIN(Depth0,Quantiles!BH39))/Depth_per_q)</f>
        <v>0</v>
      </c>
      <c r="BI39" s="20" t="n">
        <f aca="false">IF(Quantiles!BI39&lt;0,"",(Depth0-MIN(Depth0,Quantiles!BI39))/Depth_per_q)</f>
        <v>0</v>
      </c>
      <c r="BJ39" s="20" t="n">
        <f aca="false">IF(Quantiles!BJ39&lt;0,"",(Depth0-MIN(Depth0,Quantiles!BJ39))/Depth_per_q)</f>
        <v>0</v>
      </c>
      <c r="BK39" s="20" t="n">
        <f aca="false">IF(Quantiles!BK39&lt;0,"",(Depth0-MIN(Depth0,Quantiles!BK39))/Depth_per_q)</f>
        <v>0</v>
      </c>
      <c r="BL39" s="20" t="n">
        <f aca="false">IF(Quantiles!BL39&lt;0,"",(Depth0-MIN(Depth0,Quantiles!BL39))/Depth_per_q)</f>
        <v>0</v>
      </c>
      <c r="BM39" s="20" t="n">
        <f aca="false">IF(Quantiles!BM39&lt;0,"",(Depth0-MIN(Depth0,Quantiles!BM39))/Depth_per_q)</f>
        <v>0</v>
      </c>
      <c r="BN39" s="20" t="n">
        <f aca="false">IF(Quantiles!BN39&lt;0,"",(Depth0-MIN(Depth0,Quantiles!BN39))/Depth_per_q)</f>
        <v>0</v>
      </c>
      <c r="BO39" s="20" t="n">
        <f aca="false">IF(Quantiles!BO39&lt;0,"",(Depth0-MIN(Depth0,Quantiles!BO39))/Depth_per_q)</f>
        <v>0</v>
      </c>
      <c r="BP39" s="20" t="n">
        <f aca="false">IF(Quantiles!BP39&lt;0,"",(Depth0-MIN(Depth0,Quantiles!BP39))/Depth_per_q)</f>
        <v>0</v>
      </c>
      <c r="BQ39" s="20" t="n">
        <f aca="false">IF(Quantiles!BQ39&lt;0,"",(Depth0-MIN(Depth0,Quantiles!BQ39))/Depth_per_q)</f>
        <v>0</v>
      </c>
      <c r="BR39" s="20" t="n">
        <f aca="false">IF(Quantiles!BR39&lt;0,"",(Depth0-MIN(Depth0,Quantiles!BR39))/Depth_per_q)</f>
        <v>0</v>
      </c>
      <c r="BS39" s="20" t="n">
        <f aca="false">IF(Quantiles!BS39&lt;0,"",(Depth0-MIN(Depth0,Quantiles!BS39))/Depth_per_q)</f>
        <v>0</v>
      </c>
      <c r="BT39" s="20" t="n">
        <f aca="false">IF(Quantiles!BT39&lt;0,"",(Depth0-MIN(Depth0,Quantiles!BT39))/Depth_per_q)</f>
        <v>0</v>
      </c>
      <c r="BU39" s="20" t="n">
        <f aca="false">IF(Quantiles!BU39&lt;0,"",(Depth0-MIN(Depth0,Quantiles!BU39))/Depth_per_q)</f>
        <v>0</v>
      </c>
      <c r="BV39" s="20" t="n">
        <f aca="false">IF(Quantiles!BV39&lt;0,"",(Depth0-MIN(Depth0,Quantiles!BV39))/Depth_per_q)</f>
        <v>0</v>
      </c>
      <c r="BW39" s="20" t="n">
        <f aca="false">IF(Quantiles!BW39&lt;0,"",(Depth0-MIN(Depth0,Quantiles!BW39))/Depth_per_q)</f>
        <v>0</v>
      </c>
      <c r="BX39" s="20" t="n">
        <f aca="false">IF(Quantiles!BX39&lt;0,"",(Depth0-MIN(Depth0,Quantiles!BX39))/Depth_per_q)</f>
        <v>0</v>
      </c>
      <c r="BY39" s="20" t="n">
        <f aca="false">IF(Quantiles!BY39&lt;0,"",(Depth0-MIN(Depth0,Quantiles!BY39))/Depth_per_q)</f>
        <v>0</v>
      </c>
      <c r="BZ39" s="20" t="n">
        <f aca="false">IF(Quantiles!BZ39&lt;0,"",(Depth0-MIN(Depth0,Quantiles!BZ39))/Depth_per_q)</f>
        <v>0</v>
      </c>
      <c r="CA39" s="20" t="n">
        <f aca="false">IF(Quantiles!CA39&lt;0,"",(Depth0-MIN(Depth0,Quantiles!CA39))/Depth_per_q)</f>
        <v>0</v>
      </c>
      <c r="CB39" s="20" t="n">
        <f aca="false">IF(Quantiles!CB39&lt;0,"",(Depth0-MIN(Depth0,Quantiles!CB39))/Depth_per_q)</f>
        <v>0</v>
      </c>
      <c r="CC39" s="20" t="n">
        <f aca="false">IF(Quantiles!CC39&lt;0,"",(Depth0-MIN(Depth0,Quantiles!CC39))/Depth_per_q)</f>
        <v>0</v>
      </c>
      <c r="CD39" s="20" t="n">
        <f aca="false">IF(Quantiles!CD39&lt;0,"",(Depth0-MIN(Depth0,Quantiles!CD39))/Depth_per_q)</f>
        <v>0</v>
      </c>
      <c r="CE39" s="20" t="n">
        <f aca="false">IF(Quantiles!CE39&lt;0,"",(Depth0-MIN(Depth0,Quantiles!CE39))/Depth_per_q)</f>
        <v>0</v>
      </c>
      <c r="CF39" s="20" t="n">
        <f aca="false">IF(Quantiles!CF39&lt;0,"",(Depth0-MIN(Depth0,Quantiles!CF39))/Depth_per_q)</f>
        <v>0</v>
      </c>
      <c r="CG39" s="20" t="n">
        <f aca="false">IF(Quantiles!CG39&lt;0,"",(Depth0-MIN(Depth0,Quantiles!CG39))/Depth_per_q)</f>
        <v>0</v>
      </c>
      <c r="CH39" s="20" t="n">
        <f aca="false">IF(Quantiles!CH39&lt;0,"",(Depth0-MIN(Depth0,Quantiles!CH39))/Depth_per_q)</f>
        <v>0</v>
      </c>
      <c r="CI39" s="20" t="n">
        <f aca="false">IF(Quantiles!CI39&lt;0,"",(Depth0-MIN(Depth0,Quantiles!CI39))/Depth_per_q)</f>
        <v>0</v>
      </c>
      <c r="CJ39" s="20" t="n">
        <f aca="false">IF(Quantiles!CJ39&lt;0,"",(Depth0-MIN(Depth0,Quantiles!CJ39))/Depth_per_q)</f>
        <v>0</v>
      </c>
      <c r="CK39" s="20" t="n">
        <f aca="false">IF(Quantiles!CK39&lt;0,"",(Depth0-MIN(Depth0,Quantiles!CK39))/Depth_per_q)</f>
        <v>0</v>
      </c>
      <c r="CL39" s="20" t="n">
        <f aca="false">IF(Quantiles!CL39&lt;0,"",(Depth0-MIN(Depth0,Quantiles!CL39))/Depth_per_q)</f>
        <v>0</v>
      </c>
      <c r="CM39" s="20" t="n">
        <f aca="false">IF(Quantiles!CM39&lt;0,"",(Depth0-MIN(Depth0,Quantiles!CM39))/Depth_per_q)</f>
        <v>0</v>
      </c>
      <c r="CN39" s="20" t="n">
        <f aca="false">IF(Quantiles!CN39&lt;0,"",(Depth0-MIN(Depth0,Quantiles!CN39))/Depth_per_q)</f>
        <v>0</v>
      </c>
      <c r="CO39" s="20" t="n">
        <f aca="false">IF(Quantiles!CO39&lt;0,"",(Depth0-MIN(Depth0,Quantiles!CO39))/Depth_per_q)</f>
        <v>0</v>
      </c>
      <c r="CP39" s="20" t="n">
        <f aca="false">IF(Quantiles!CP39&lt;0,"",(Depth0-MIN(Depth0,Quantiles!CP39))/Depth_per_q)</f>
        <v>0</v>
      </c>
      <c r="CQ39" s="20" t="n">
        <f aca="false">IF(Quantiles!CQ39&lt;0,"",(Depth0-MIN(Depth0,Quantiles!CQ39))/Depth_per_q)</f>
        <v>0</v>
      </c>
      <c r="CR39" s="20" t="n">
        <f aca="false">IF(Quantiles!CR39&lt;0,"",(Depth0-MIN(Depth0,Quantiles!CR39))/Depth_per_q)</f>
        <v>0</v>
      </c>
      <c r="CS39" s="20" t="n">
        <f aca="false">IF(Quantiles!CS39&lt;0,"",(Depth0-MIN(Depth0,Quantiles!CS39))/Depth_per_q)</f>
        <v>0</v>
      </c>
      <c r="CT39" s="20" t="n">
        <f aca="false">IF(Quantiles!CT39&lt;0,"",(Depth0-MIN(Depth0,Quantiles!CT39))/Depth_per_q)</f>
        <v>1.20492923017545</v>
      </c>
    </row>
    <row r="40" customFormat="false" ht="15" hidden="false" customHeight="false" outlineLevel="0" collapsed="false">
      <c r="A40" s="25" t="n">
        <f aca="false">Quantiles!A40</f>
        <v>175</v>
      </c>
      <c r="B40" s="20" t="n">
        <f aca="false">IF(Quantiles!B40&lt;0,"",(Depth0-MIN(Depth0,Quantiles!B40))/Depth_per_q)</f>
        <v>2.2420998633405</v>
      </c>
      <c r="C40" s="20" t="n">
        <f aca="false">IF(Quantiles!C40&lt;0,"",(Depth0-MIN(Depth0,Quantiles!C40))/Depth_per_q)</f>
        <v>2.02557905564993</v>
      </c>
      <c r="D40" s="20" t="n">
        <f aca="false">IF(Quantiles!D40&lt;0,"",(Depth0-MIN(Depth0,Quantiles!D40))/Depth_per_q)</f>
        <v>1.85904596378571</v>
      </c>
      <c r="E40" s="20" t="n">
        <f aca="false">IF(Quantiles!E40&lt;0,"",(Depth0-MIN(Depth0,Quantiles!E40))/Depth_per_q)</f>
        <v>1.70698741967541</v>
      </c>
      <c r="F40" s="20" t="n">
        <f aca="false">IF(Quantiles!F40&lt;0,"",(Depth0-MIN(Depth0,Quantiles!F40))/Depth_per_q)</f>
        <v>1.57818947440849</v>
      </c>
      <c r="G40" s="20" t="n">
        <f aca="false">IF(Quantiles!G40&lt;0,"",(Depth0-MIN(Depth0,Quantiles!G40))/Depth_per_q)</f>
        <v>1.45254698840409</v>
      </c>
      <c r="H40" s="20" t="n">
        <f aca="false">IF(Quantiles!H40&lt;0,"",(Depth0-MIN(Depth0,Quantiles!H40))/Depth_per_q)</f>
        <v>1.35371474805968</v>
      </c>
      <c r="I40" s="20" t="n">
        <f aca="false">IF(Quantiles!I40&lt;0,"",(Depth0-MIN(Depth0,Quantiles!I40))/Depth_per_q)</f>
        <v>1.2618011365086</v>
      </c>
      <c r="J40" s="20" t="n">
        <f aca="false">IF(Quantiles!J40&lt;0,"",(Depth0-MIN(Depth0,Quantiles!J40))/Depth_per_q)</f>
        <v>1.18019703114939</v>
      </c>
      <c r="K40" s="20" t="n">
        <f aca="false">IF(Quantiles!K40&lt;0,"",(Depth0-MIN(Depth0,Quantiles!K40))/Depth_per_q)</f>
        <v>1.10466451014246</v>
      </c>
      <c r="L40" s="20" t="n">
        <f aca="false">IF(Quantiles!L40&lt;0,"",(Depth0-MIN(Depth0,Quantiles!L40))/Depth_per_q)</f>
        <v>1.02825948816392</v>
      </c>
      <c r="M40" s="20" t="n">
        <f aca="false">IF(Quantiles!M40&lt;0,"",(Depth0-MIN(Depth0,Quantiles!M40))/Depth_per_q)</f>
        <v>0.957034575322592</v>
      </c>
      <c r="N40" s="20" t="n">
        <f aca="false">IF(Quantiles!N40&lt;0,"",(Depth0-MIN(Depth0,Quantiles!N40))/Depth_per_q)</f>
        <v>0.89328368176216</v>
      </c>
      <c r="O40" s="20" t="n">
        <f aca="false">IF(Quantiles!O40&lt;0,"",(Depth0-MIN(Depth0,Quantiles!O40))/Depth_per_q)</f>
        <v>0.830428866823382</v>
      </c>
      <c r="P40" s="20" t="n">
        <f aca="false">IF(Quantiles!P40&lt;0,"",(Depth0-MIN(Depth0,Quantiles!P40))/Depth_per_q)</f>
        <v>0.76883289698759</v>
      </c>
      <c r="Q40" s="20" t="n">
        <f aca="false">IF(Quantiles!Q40&lt;0,"",(Depth0-MIN(Depth0,Quantiles!Q40))/Depth_per_q)</f>
        <v>0.709595156771985</v>
      </c>
      <c r="R40" s="20" t="n">
        <f aca="false">IF(Quantiles!R40&lt;0,"",(Depth0-MIN(Depth0,Quantiles!R40))/Depth_per_q)</f>
        <v>0.65481570136261</v>
      </c>
      <c r="S40" s="20" t="n">
        <f aca="false">IF(Quantiles!S40&lt;0,"",(Depth0-MIN(Depth0,Quantiles!S40))/Depth_per_q)</f>
        <v>0.599748985257017</v>
      </c>
      <c r="T40" s="20" t="n">
        <f aca="false">IF(Quantiles!T40&lt;0,"",(Depth0-MIN(Depth0,Quantiles!T40))/Depth_per_q)</f>
        <v>0.551910381208527</v>
      </c>
      <c r="U40" s="20" t="n">
        <f aca="false">IF(Quantiles!U40&lt;0,"",(Depth0-MIN(Depth0,Quantiles!U40))/Depth_per_q)</f>
        <v>0.501719292253902</v>
      </c>
      <c r="V40" s="20" t="n">
        <f aca="false">IF(Quantiles!V40&lt;0,"",(Depth0-MIN(Depth0,Quantiles!V40))/Depth_per_q)</f>
        <v>0.457069237157425</v>
      </c>
      <c r="W40" s="20" t="n">
        <f aca="false">IF(Quantiles!W40&lt;0,"",(Depth0-MIN(Depth0,Quantiles!W40))/Depth_per_q)</f>
        <v>0.412998845042927</v>
      </c>
      <c r="X40" s="20" t="n">
        <f aca="false">IF(Quantiles!X40&lt;0,"",(Depth0-MIN(Depth0,Quantiles!X40))/Depth_per_q)</f>
        <v>0.371671773279525</v>
      </c>
      <c r="Y40" s="20" t="n">
        <f aca="false">IF(Quantiles!Y40&lt;0,"",(Depth0-MIN(Depth0,Quantiles!Y40))/Depth_per_q)</f>
        <v>0.326420020447952</v>
      </c>
      <c r="Z40" s="20" t="n">
        <f aca="false">IF(Quantiles!Z40&lt;0,"",(Depth0-MIN(Depth0,Quantiles!Z40))/Depth_per_q)</f>
        <v>0.28251810956675</v>
      </c>
      <c r="AA40" s="20" t="n">
        <f aca="false">IF(Quantiles!AA40&lt;0,"",(Depth0-MIN(Depth0,Quantiles!AA40))/Depth_per_q)</f>
        <v>0.246178160128455</v>
      </c>
      <c r="AB40" s="20" t="n">
        <f aca="false">IF(Quantiles!AB40&lt;0,"",(Depth0-MIN(Depth0,Quantiles!AB40))/Depth_per_q)</f>
        <v>0.209534923493215</v>
      </c>
      <c r="AC40" s="20" t="n">
        <f aca="false">IF(Quantiles!AC40&lt;0,"",(Depth0-MIN(Depth0,Quantiles!AC40))/Depth_per_q)</f>
        <v>0.173601183425292</v>
      </c>
      <c r="AD40" s="20" t="n">
        <f aca="false">IF(Quantiles!AD40&lt;0,"",(Depth0-MIN(Depth0,Quantiles!AD40))/Depth_per_q)</f>
        <v>0.134822622384153</v>
      </c>
      <c r="AE40" s="20" t="n">
        <f aca="false">IF(Quantiles!AE40&lt;0,"",(Depth0-MIN(Depth0,Quantiles!AE40))/Depth_per_q)</f>
        <v>0.0982085908592154</v>
      </c>
      <c r="AF40" s="20" t="n">
        <f aca="false">IF(Quantiles!AF40&lt;0,"",(Depth0-MIN(Depth0,Quantiles!AF40))/Depth_per_q)</f>
        <v>0.0655081222011722</v>
      </c>
      <c r="AG40" s="20" t="n">
        <f aca="false">IF(Quantiles!AG40&lt;0,"",(Depth0-MIN(Depth0,Quantiles!AG40))/Depth_per_q)</f>
        <v>0.028186322021595</v>
      </c>
      <c r="AH40" s="20" t="n">
        <f aca="false">IF(Quantiles!AH40&lt;0,"",(Depth0-MIN(Depth0,Quantiles!AH40))/Depth_per_q)</f>
        <v>0</v>
      </c>
      <c r="AI40" s="20" t="n">
        <f aca="false">IF(Quantiles!AI40&lt;0,"",(Depth0-MIN(Depth0,Quantiles!AI40))/Depth_per_q)</f>
        <v>0</v>
      </c>
      <c r="AJ40" s="20" t="n">
        <f aca="false">IF(Quantiles!AJ40&lt;0,"",(Depth0-MIN(Depth0,Quantiles!AJ40))/Depth_per_q)</f>
        <v>0</v>
      </c>
      <c r="AK40" s="20" t="n">
        <f aca="false">IF(Quantiles!AK40&lt;0,"",(Depth0-MIN(Depth0,Quantiles!AK40))/Depth_per_q)</f>
        <v>0</v>
      </c>
      <c r="AL40" s="20" t="n">
        <f aca="false">IF(Quantiles!AL40&lt;0,"",(Depth0-MIN(Depth0,Quantiles!AL40))/Depth_per_q)</f>
        <v>0</v>
      </c>
      <c r="AM40" s="20" t="n">
        <f aca="false">IF(Quantiles!AM40&lt;0,"",(Depth0-MIN(Depth0,Quantiles!AM40))/Depth_per_q)</f>
        <v>0</v>
      </c>
      <c r="AN40" s="20" t="n">
        <f aca="false">IF(Quantiles!AN40&lt;0,"",(Depth0-MIN(Depth0,Quantiles!AN40))/Depth_per_q)</f>
        <v>0</v>
      </c>
      <c r="AO40" s="20" t="n">
        <f aca="false">IF(Quantiles!AO40&lt;0,"",(Depth0-MIN(Depth0,Quantiles!AO40))/Depth_per_q)</f>
        <v>0</v>
      </c>
      <c r="AP40" s="20" t="n">
        <f aca="false">IF(Quantiles!AP40&lt;0,"",(Depth0-MIN(Depth0,Quantiles!AP40))/Depth_per_q)</f>
        <v>0</v>
      </c>
      <c r="AQ40" s="20" t="n">
        <f aca="false">IF(Quantiles!AQ40&lt;0,"",(Depth0-MIN(Depth0,Quantiles!AQ40))/Depth_per_q)</f>
        <v>0</v>
      </c>
      <c r="AR40" s="20" t="n">
        <f aca="false">IF(Quantiles!AR40&lt;0,"",(Depth0-MIN(Depth0,Quantiles!AR40))/Depth_per_q)</f>
        <v>0</v>
      </c>
      <c r="AS40" s="20" t="n">
        <f aca="false">IF(Quantiles!AS40&lt;0,"",(Depth0-MIN(Depth0,Quantiles!AS40))/Depth_per_q)</f>
        <v>0</v>
      </c>
      <c r="AT40" s="20" t="n">
        <f aca="false">IF(Quantiles!AT40&lt;0,"",(Depth0-MIN(Depth0,Quantiles!AT40))/Depth_per_q)</f>
        <v>0</v>
      </c>
      <c r="AU40" s="20" t="n">
        <f aca="false">IF(Quantiles!AU40&lt;0,"",(Depth0-MIN(Depth0,Quantiles!AU40))/Depth_per_q)</f>
        <v>0</v>
      </c>
      <c r="AV40" s="20" t="n">
        <f aca="false">IF(Quantiles!AV40&lt;0,"",(Depth0-MIN(Depth0,Quantiles!AV40))/Depth_per_q)</f>
        <v>0</v>
      </c>
      <c r="AW40" s="20" t="n">
        <f aca="false">IF(Quantiles!AW40&lt;0,"",(Depth0-MIN(Depth0,Quantiles!AW40))/Depth_per_q)</f>
        <v>0</v>
      </c>
      <c r="AX40" s="20" t="n">
        <f aca="false">IF(Quantiles!AX40&lt;0,"",(Depth0-MIN(Depth0,Quantiles!AX40))/Depth_per_q)</f>
        <v>0</v>
      </c>
      <c r="AY40" s="20" t="n">
        <f aca="false">IF(Quantiles!AY40&lt;0,"",(Depth0-MIN(Depth0,Quantiles!AY40))/Depth_per_q)</f>
        <v>0</v>
      </c>
      <c r="AZ40" s="20" t="n">
        <f aca="false">IF(Quantiles!AZ40&lt;0,"",(Depth0-MIN(Depth0,Quantiles!AZ40))/Depth_per_q)</f>
        <v>0</v>
      </c>
      <c r="BA40" s="20" t="n">
        <f aca="false">IF(Quantiles!BA40&lt;0,"",(Depth0-MIN(Depth0,Quantiles!BA40))/Depth_per_q)</f>
        <v>0</v>
      </c>
      <c r="BB40" s="20" t="n">
        <f aca="false">IF(Quantiles!BB40&lt;0,"",(Depth0-MIN(Depth0,Quantiles!BB40))/Depth_per_q)</f>
        <v>0</v>
      </c>
      <c r="BC40" s="20" t="n">
        <f aca="false">IF(Quantiles!BC40&lt;0,"",(Depth0-MIN(Depth0,Quantiles!BC40))/Depth_per_q)</f>
        <v>0</v>
      </c>
      <c r="BD40" s="20" t="n">
        <f aca="false">IF(Quantiles!BD40&lt;0,"",(Depth0-MIN(Depth0,Quantiles!BD40))/Depth_per_q)</f>
        <v>0</v>
      </c>
      <c r="BE40" s="20" t="n">
        <f aca="false">IF(Quantiles!BE40&lt;0,"",(Depth0-MIN(Depth0,Quantiles!BE40))/Depth_per_q)</f>
        <v>0</v>
      </c>
      <c r="BF40" s="20" t="n">
        <f aca="false">IF(Quantiles!BF40&lt;0,"",(Depth0-MIN(Depth0,Quantiles!BF40))/Depth_per_q)</f>
        <v>0</v>
      </c>
      <c r="BG40" s="20" t="n">
        <f aca="false">IF(Quantiles!BG40&lt;0,"",(Depth0-MIN(Depth0,Quantiles!BG40))/Depth_per_q)</f>
        <v>0</v>
      </c>
      <c r="BH40" s="20" t="n">
        <f aca="false">IF(Quantiles!BH40&lt;0,"",(Depth0-MIN(Depth0,Quantiles!BH40))/Depth_per_q)</f>
        <v>0</v>
      </c>
      <c r="BI40" s="20" t="n">
        <f aca="false">IF(Quantiles!BI40&lt;0,"",(Depth0-MIN(Depth0,Quantiles!BI40))/Depth_per_q)</f>
        <v>0</v>
      </c>
      <c r="BJ40" s="20" t="n">
        <f aca="false">IF(Quantiles!BJ40&lt;0,"",(Depth0-MIN(Depth0,Quantiles!BJ40))/Depth_per_q)</f>
        <v>0</v>
      </c>
      <c r="BK40" s="20" t="n">
        <f aca="false">IF(Quantiles!BK40&lt;0,"",(Depth0-MIN(Depth0,Quantiles!BK40))/Depth_per_q)</f>
        <v>0</v>
      </c>
      <c r="BL40" s="20" t="n">
        <f aca="false">IF(Quantiles!BL40&lt;0,"",(Depth0-MIN(Depth0,Quantiles!BL40))/Depth_per_q)</f>
        <v>0</v>
      </c>
      <c r="BM40" s="20" t="n">
        <f aca="false">IF(Quantiles!BM40&lt;0,"",(Depth0-MIN(Depth0,Quantiles!BM40))/Depth_per_q)</f>
        <v>0</v>
      </c>
      <c r="BN40" s="20" t="n">
        <f aca="false">IF(Quantiles!BN40&lt;0,"",(Depth0-MIN(Depth0,Quantiles!BN40))/Depth_per_q)</f>
        <v>0</v>
      </c>
      <c r="BO40" s="20" t="n">
        <f aca="false">IF(Quantiles!BO40&lt;0,"",(Depth0-MIN(Depth0,Quantiles!BO40))/Depth_per_q)</f>
        <v>0</v>
      </c>
      <c r="BP40" s="20" t="n">
        <f aca="false">IF(Quantiles!BP40&lt;0,"",(Depth0-MIN(Depth0,Quantiles!BP40))/Depth_per_q)</f>
        <v>0</v>
      </c>
      <c r="BQ40" s="20" t="n">
        <f aca="false">IF(Quantiles!BQ40&lt;0,"",(Depth0-MIN(Depth0,Quantiles!BQ40))/Depth_per_q)</f>
        <v>0</v>
      </c>
      <c r="BR40" s="20" t="n">
        <f aca="false">IF(Quantiles!BR40&lt;0,"",(Depth0-MIN(Depth0,Quantiles!BR40))/Depth_per_q)</f>
        <v>0</v>
      </c>
      <c r="BS40" s="20" t="n">
        <f aca="false">IF(Quantiles!BS40&lt;0,"",(Depth0-MIN(Depth0,Quantiles!BS40))/Depth_per_q)</f>
        <v>0</v>
      </c>
      <c r="BT40" s="20" t="n">
        <f aca="false">IF(Quantiles!BT40&lt;0,"",(Depth0-MIN(Depth0,Quantiles!BT40))/Depth_per_q)</f>
        <v>0</v>
      </c>
      <c r="BU40" s="20" t="n">
        <f aca="false">IF(Quantiles!BU40&lt;0,"",(Depth0-MIN(Depth0,Quantiles!BU40))/Depth_per_q)</f>
        <v>0</v>
      </c>
      <c r="BV40" s="20" t="n">
        <f aca="false">IF(Quantiles!BV40&lt;0,"",(Depth0-MIN(Depth0,Quantiles!BV40))/Depth_per_q)</f>
        <v>0</v>
      </c>
      <c r="BW40" s="20" t="n">
        <f aca="false">IF(Quantiles!BW40&lt;0,"",(Depth0-MIN(Depth0,Quantiles!BW40))/Depth_per_q)</f>
        <v>0</v>
      </c>
      <c r="BX40" s="20" t="n">
        <f aca="false">IF(Quantiles!BX40&lt;0,"",(Depth0-MIN(Depth0,Quantiles!BX40))/Depth_per_q)</f>
        <v>0</v>
      </c>
      <c r="BY40" s="20" t="n">
        <f aca="false">IF(Quantiles!BY40&lt;0,"",(Depth0-MIN(Depth0,Quantiles!BY40))/Depth_per_q)</f>
        <v>0</v>
      </c>
      <c r="BZ40" s="20" t="n">
        <f aca="false">IF(Quantiles!BZ40&lt;0,"",(Depth0-MIN(Depth0,Quantiles!BZ40))/Depth_per_q)</f>
        <v>0</v>
      </c>
      <c r="CA40" s="20" t="n">
        <f aca="false">IF(Quantiles!CA40&lt;0,"",(Depth0-MIN(Depth0,Quantiles!CA40))/Depth_per_q)</f>
        <v>0</v>
      </c>
      <c r="CB40" s="20" t="n">
        <f aca="false">IF(Quantiles!CB40&lt;0,"",(Depth0-MIN(Depth0,Quantiles!CB40))/Depth_per_q)</f>
        <v>0</v>
      </c>
      <c r="CC40" s="20" t="n">
        <f aca="false">IF(Quantiles!CC40&lt;0,"",(Depth0-MIN(Depth0,Quantiles!CC40))/Depth_per_q)</f>
        <v>0</v>
      </c>
      <c r="CD40" s="20" t="n">
        <f aca="false">IF(Quantiles!CD40&lt;0,"",(Depth0-MIN(Depth0,Quantiles!CD40))/Depth_per_q)</f>
        <v>0</v>
      </c>
      <c r="CE40" s="20" t="n">
        <f aca="false">IF(Quantiles!CE40&lt;0,"",(Depth0-MIN(Depth0,Quantiles!CE40))/Depth_per_q)</f>
        <v>0</v>
      </c>
      <c r="CF40" s="20" t="n">
        <f aca="false">IF(Quantiles!CF40&lt;0,"",(Depth0-MIN(Depth0,Quantiles!CF40))/Depth_per_q)</f>
        <v>0</v>
      </c>
      <c r="CG40" s="20" t="n">
        <f aca="false">IF(Quantiles!CG40&lt;0,"",(Depth0-MIN(Depth0,Quantiles!CG40))/Depth_per_q)</f>
        <v>0</v>
      </c>
      <c r="CH40" s="20" t="n">
        <f aca="false">IF(Quantiles!CH40&lt;0,"",(Depth0-MIN(Depth0,Quantiles!CH40))/Depth_per_q)</f>
        <v>0</v>
      </c>
      <c r="CI40" s="20" t="n">
        <f aca="false">IF(Quantiles!CI40&lt;0,"",(Depth0-MIN(Depth0,Quantiles!CI40))/Depth_per_q)</f>
        <v>0</v>
      </c>
      <c r="CJ40" s="20" t="n">
        <f aca="false">IF(Quantiles!CJ40&lt;0,"",(Depth0-MIN(Depth0,Quantiles!CJ40))/Depth_per_q)</f>
        <v>0</v>
      </c>
      <c r="CK40" s="20" t="n">
        <f aca="false">IF(Quantiles!CK40&lt;0,"",(Depth0-MIN(Depth0,Quantiles!CK40))/Depth_per_q)</f>
        <v>0</v>
      </c>
      <c r="CL40" s="20" t="n">
        <f aca="false">IF(Quantiles!CL40&lt;0,"",(Depth0-MIN(Depth0,Quantiles!CL40))/Depth_per_q)</f>
        <v>0</v>
      </c>
      <c r="CM40" s="20" t="n">
        <f aca="false">IF(Quantiles!CM40&lt;0,"",(Depth0-MIN(Depth0,Quantiles!CM40))/Depth_per_q)</f>
        <v>0</v>
      </c>
      <c r="CN40" s="20" t="n">
        <f aca="false">IF(Quantiles!CN40&lt;0,"",(Depth0-MIN(Depth0,Quantiles!CN40))/Depth_per_q)</f>
        <v>0</v>
      </c>
      <c r="CO40" s="20" t="n">
        <f aca="false">IF(Quantiles!CO40&lt;0,"",(Depth0-MIN(Depth0,Quantiles!CO40))/Depth_per_q)</f>
        <v>0</v>
      </c>
      <c r="CP40" s="20" t="n">
        <f aca="false">IF(Quantiles!CP40&lt;0,"",(Depth0-MIN(Depth0,Quantiles!CP40))/Depth_per_q)</f>
        <v>0</v>
      </c>
      <c r="CQ40" s="20" t="n">
        <f aca="false">IF(Quantiles!CQ40&lt;0,"",(Depth0-MIN(Depth0,Quantiles!CQ40))/Depth_per_q)</f>
        <v>0</v>
      </c>
      <c r="CR40" s="20" t="n">
        <f aca="false">IF(Quantiles!CR40&lt;0,"",(Depth0-MIN(Depth0,Quantiles!CR40))/Depth_per_q)</f>
        <v>0</v>
      </c>
      <c r="CS40" s="20" t="n">
        <f aca="false">IF(Quantiles!CS40&lt;0,"",(Depth0-MIN(Depth0,Quantiles!CS40))/Depth_per_q)</f>
        <v>0</v>
      </c>
      <c r="CT40" s="20" t="n">
        <f aca="false">IF(Quantiles!CT40&lt;0,"",(Depth0-MIN(Depth0,Quantiles!CT40))/Depth_per_q)</f>
        <v>1.17977269917485</v>
      </c>
    </row>
    <row r="41" customFormat="false" ht="15" hidden="false" customHeight="false" outlineLevel="0" collapsed="false">
      <c r="A41" s="25" t="n">
        <f aca="false">Quantiles!A41</f>
        <v>180</v>
      </c>
      <c r="B41" s="20" t="n">
        <f aca="false">IF(Quantiles!B41&lt;0,"",(Depth0-MIN(Depth0,Quantiles!B41))/Depth_per_q)</f>
        <v>2.21566567908213</v>
      </c>
      <c r="C41" s="20" t="n">
        <f aca="false">IF(Quantiles!C41&lt;0,"",(Depth0-MIN(Depth0,Quantiles!C41))/Depth_per_q)</f>
        <v>1.99992240949001</v>
      </c>
      <c r="D41" s="20" t="n">
        <f aca="false">IF(Quantiles!D41&lt;0,"",(Depth0-MIN(Depth0,Quantiles!D41))/Depth_per_q)</f>
        <v>1.84073786442969</v>
      </c>
      <c r="E41" s="20" t="n">
        <f aca="false">IF(Quantiles!E41&lt;0,"",(Depth0-MIN(Depth0,Quantiles!E41))/Depth_per_q)</f>
        <v>1.68660899810291</v>
      </c>
      <c r="F41" s="20" t="n">
        <f aca="false">IF(Quantiles!F41&lt;0,"",(Depth0-MIN(Depth0,Quantiles!F41))/Depth_per_q)</f>
        <v>1.56106293909791</v>
      </c>
      <c r="G41" s="20" t="n">
        <f aca="false">IF(Quantiles!G41&lt;0,"",(Depth0-MIN(Depth0,Quantiles!G41))/Depth_per_q)</f>
        <v>1.44097179845581</v>
      </c>
      <c r="H41" s="20" t="n">
        <f aca="false">IF(Quantiles!H41&lt;0,"",(Depth0-MIN(Depth0,Quantiles!H41))/Depth_per_q)</f>
        <v>1.33930925145309</v>
      </c>
      <c r="I41" s="20" t="n">
        <f aca="false">IF(Quantiles!I41&lt;0,"",(Depth0-MIN(Depth0,Quantiles!I41))/Depth_per_q)</f>
        <v>1.24545078683096</v>
      </c>
      <c r="J41" s="20" t="n">
        <f aca="false">IF(Quantiles!J41&lt;0,"",(Depth0-MIN(Depth0,Quantiles!J41))/Depth_per_q)</f>
        <v>1.16051551052027</v>
      </c>
      <c r="K41" s="20" t="n">
        <f aca="false">IF(Quantiles!K41&lt;0,"",(Depth0-MIN(Depth0,Quantiles!K41))/Depth_per_q)</f>
        <v>1.08711007838356</v>
      </c>
      <c r="L41" s="20" t="n">
        <f aca="false">IF(Quantiles!L41&lt;0,"",(Depth0-MIN(Depth0,Quantiles!L41))/Depth_per_q)</f>
        <v>1.00997482728563</v>
      </c>
      <c r="M41" s="20" t="n">
        <f aca="false">IF(Quantiles!M41&lt;0,"",(Depth0-MIN(Depth0,Quantiles!M41))/Depth_per_q)</f>
        <v>0.940554977096648</v>
      </c>
      <c r="N41" s="20" t="n">
        <f aca="false">IF(Quantiles!N41&lt;0,"",(Depth0-MIN(Depth0,Quantiles!N41))/Depth_per_q)</f>
        <v>0.877030043657787</v>
      </c>
      <c r="O41" s="20" t="n">
        <f aca="false">IF(Quantiles!O41&lt;0,"",(Depth0-MIN(Depth0,Quantiles!O41))/Depth_per_q)</f>
        <v>0.81268308400153</v>
      </c>
      <c r="P41" s="20" t="n">
        <f aca="false">IF(Quantiles!P41&lt;0,"",(Depth0-MIN(Depth0,Quantiles!P41))/Depth_per_q)</f>
        <v>0.75313320762582</v>
      </c>
      <c r="Q41" s="20" t="n">
        <f aca="false">IF(Quantiles!Q41&lt;0,"",(Depth0-MIN(Depth0,Quantiles!Q41))/Depth_per_q)</f>
        <v>0.697629903045125</v>
      </c>
      <c r="R41" s="20" t="n">
        <f aca="false">IF(Quantiles!R41&lt;0,"",(Depth0-MIN(Depth0,Quantiles!R41))/Depth_per_q)</f>
        <v>0.639338100988615</v>
      </c>
      <c r="S41" s="20" t="n">
        <f aca="false">IF(Quantiles!S41&lt;0,"",(Depth0-MIN(Depth0,Quantiles!S41))/Depth_per_q)</f>
        <v>0.587303694233032</v>
      </c>
      <c r="T41" s="20" t="n">
        <f aca="false">IF(Quantiles!T41&lt;0,"",(Depth0-MIN(Depth0,Quantiles!T41))/Depth_per_q)</f>
        <v>0.536705145061948</v>
      </c>
      <c r="U41" s="20" t="n">
        <f aca="false">IF(Quantiles!U41&lt;0,"",(Depth0-MIN(Depth0,Quantiles!U41))/Depth_per_q)</f>
        <v>0.488846365318418</v>
      </c>
      <c r="V41" s="20" t="n">
        <f aca="false">IF(Quantiles!V41&lt;0,"",(Depth0-MIN(Depth0,Quantiles!V41))/Depth_per_q)</f>
        <v>0.446259532844953</v>
      </c>
      <c r="W41" s="20" t="n">
        <f aca="false">IF(Quantiles!W41&lt;0,"",(Depth0-MIN(Depth0,Quantiles!W41))/Depth_per_q)</f>
        <v>0.40263575418282</v>
      </c>
      <c r="X41" s="20" t="n">
        <f aca="false">IF(Quantiles!X41&lt;0,"",(Depth0-MIN(Depth0,Quantiles!X41))/Depth_per_q)</f>
        <v>0.35838942788832</v>
      </c>
      <c r="Y41" s="20" t="n">
        <f aca="false">IF(Quantiles!Y41&lt;0,"",(Depth0-MIN(Depth0,Quantiles!Y41))/Depth_per_q)</f>
        <v>0.31774739628839</v>
      </c>
      <c r="Z41" s="20" t="n">
        <f aca="false">IF(Quantiles!Z41&lt;0,"",(Depth0-MIN(Depth0,Quantiles!Z41))/Depth_per_q)</f>
        <v>0.274150995538977</v>
      </c>
      <c r="AA41" s="20" t="n">
        <f aca="false">IF(Quantiles!AA41&lt;0,"",(Depth0-MIN(Depth0,Quantiles!AA41))/Depth_per_q)</f>
        <v>0.23683042812402</v>
      </c>
      <c r="AB41" s="20" t="n">
        <f aca="false">IF(Quantiles!AB41&lt;0,"",(Depth0-MIN(Depth0,Quantiles!AB41))/Depth_per_q)</f>
        <v>0.199394444135818</v>
      </c>
      <c r="AC41" s="20" t="n">
        <f aca="false">IF(Quantiles!AC41&lt;0,"",(Depth0-MIN(Depth0,Quantiles!AC41))/Depth_per_q)</f>
        <v>0.16339208732463</v>
      </c>
      <c r="AD41" s="20" t="n">
        <f aca="false">IF(Quantiles!AD41&lt;0,"",(Depth0-MIN(Depth0,Quantiles!AD41))/Depth_per_q)</f>
        <v>0.124116616828185</v>
      </c>
      <c r="AE41" s="20" t="n">
        <f aca="false">IF(Quantiles!AE41&lt;0,"",(Depth0-MIN(Depth0,Quantiles!AE41))/Depth_per_q)</f>
        <v>0.0888663166274775</v>
      </c>
      <c r="AF41" s="20" t="n">
        <f aca="false">IF(Quantiles!AF41&lt;0,"",(Depth0-MIN(Depth0,Quantiles!AF41))/Depth_per_q)</f>
        <v>0.05108774030505</v>
      </c>
      <c r="AG41" s="20" t="n">
        <f aca="false">IF(Quantiles!AG41&lt;0,"",(Depth0-MIN(Depth0,Quantiles!AG41))/Depth_per_q)</f>
        <v>0.0181294312392675</v>
      </c>
      <c r="AH41" s="20" t="n">
        <f aca="false">IF(Quantiles!AH41&lt;0,"",(Depth0-MIN(Depth0,Quantiles!AH41))/Depth_per_q)</f>
        <v>0</v>
      </c>
      <c r="AI41" s="20" t="n">
        <f aca="false">IF(Quantiles!AI41&lt;0,"",(Depth0-MIN(Depth0,Quantiles!AI41))/Depth_per_q)</f>
        <v>0</v>
      </c>
      <c r="AJ41" s="20" t="n">
        <f aca="false">IF(Quantiles!AJ41&lt;0,"",(Depth0-MIN(Depth0,Quantiles!AJ41))/Depth_per_q)</f>
        <v>0</v>
      </c>
      <c r="AK41" s="20" t="n">
        <f aca="false">IF(Quantiles!AK41&lt;0,"",(Depth0-MIN(Depth0,Quantiles!AK41))/Depth_per_q)</f>
        <v>0</v>
      </c>
      <c r="AL41" s="20" t="n">
        <f aca="false">IF(Quantiles!AL41&lt;0,"",(Depth0-MIN(Depth0,Quantiles!AL41))/Depth_per_q)</f>
        <v>0</v>
      </c>
      <c r="AM41" s="20" t="n">
        <f aca="false">IF(Quantiles!AM41&lt;0,"",(Depth0-MIN(Depth0,Quantiles!AM41))/Depth_per_q)</f>
        <v>0</v>
      </c>
      <c r="AN41" s="20" t="n">
        <f aca="false">IF(Quantiles!AN41&lt;0,"",(Depth0-MIN(Depth0,Quantiles!AN41))/Depth_per_q)</f>
        <v>0</v>
      </c>
      <c r="AO41" s="20" t="n">
        <f aca="false">IF(Quantiles!AO41&lt;0,"",(Depth0-MIN(Depth0,Quantiles!AO41))/Depth_per_q)</f>
        <v>0</v>
      </c>
      <c r="AP41" s="20" t="n">
        <f aca="false">IF(Quantiles!AP41&lt;0,"",(Depth0-MIN(Depth0,Quantiles!AP41))/Depth_per_q)</f>
        <v>0</v>
      </c>
      <c r="AQ41" s="20" t="n">
        <f aca="false">IF(Quantiles!AQ41&lt;0,"",(Depth0-MIN(Depth0,Quantiles!AQ41))/Depth_per_q)</f>
        <v>0</v>
      </c>
      <c r="AR41" s="20" t="n">
        <f aca="false">IF(Quantiles!AR41&lt;0,"",(Depth0-MIN(Depth0,Quantiles!AR41))/Depth_per_q)</f>
        <v>0</v>
      </c>
      <c r="AS41" s="20" t="n">
        <f aca="false">IF(Quantiles!AS41&lt;0,"",(Depth0-MIN(Depth0,Quantiles!AS41))/Depth_per_q)</f>
        <v>0</v>
      </c>
      <c r="AT41" s="20" t="n">
        <f aca="false">IF(Quantiles!AT41&lt;0,"",(Depth0-MIN(Depth0,Quantiles!AT41))/Depth_per_q)</f>
        <v>0</v>
      </c>
      <c r="AU41" s="20" t="n">
        <f aca="false">IF(Quantiles!AU41&lt;0,"",(Depth0-MIN(Depth0,Quantiles!AU41))/Depth_per_q)</f>
        <v>0</v>
      </c>
      <c r="AV41" s="20" t="n">
        <f aca="false">IF(Quantiles!AV41&lt;0,"",(Depth0-MIN(Depth0,Quantiles!AV41))/Depth_per_q)</f>
        <v>0</v>
      </c>
      <c r="AW41" s="20" t="n">
        <f aca="false">IF(Quantiles!AW41&lt;0,"",(Depth0-MIN(Depth0,Quantiles!AW41))/Depth_per_q)</f>
        <v>0</v>
      </c>
      <c r="AX41" s="20" t="n">
        <f aca="false">IF(Quantiles!AX41&lt;0,"",(Depth0-MIN(Depth0,Quantiles!AX41))/Depth_per_q)</f>
        <v>0</v>
      </c>
      <c r="AY41" s="20" t="n">
        <f aca="false">IF(Quantiles!AY41&lt;0,"",(Depth0-MIN(Depth0,Quantiles!AY41))/Depth_per_q)</f>
        <v>0</v>
      </c>
      <c r="AZ41" s="20" t="n">
        <f aca="false">IF(Quantiles!AZ41&lt;0,"",(Depth0-MIN(Depth0,Quantiles!AZ41))/Depth_per_q)</f>
        <v>0</v>
      </c>
      <c r="BA41" s="20" t="n">
        <f aca="false">IF(Quantiles!BA41&lt;0,"",(Depth0-MIN(Depth0,Quantiles!BA41))/Depth_per_q)</f>
        <v>0</v>
      </c>
      <c r="BB41" s="20" t="n">
        <f aca="false">IF(Quantiles!BB41&lt;0,"",(Depth0-MIN(Depth0,Quantiles!BB41))/Depth_per_q)</f>
        <v>0</v>
      </c>
      <c r="BC41" s="20" t="n">
        <f aca="false">IF(Quantiles!BC41&lt;0,"",(Depth0-MIN(Depth0,Quantiles!BC41))/Depth_per_q)</f>
        <v>0</v>
      </c>
      <c r="BD41" s="20" t="n">
        <f aca="false">IF(Quantiles!BD41&lt;0,"",(Depth0-MIN(Depth0,Quantiles!BD41))/Depth_per_q)</f>
        <v>0</v>
      </c>
      <c r="BE41" s="20" t="n">
        <f aca="false">IF(Quantiles!BE41&lt;0,"",(Depth0-MIN(Depth0,Quantiles!BE41))/Depth_per_q)</f>
        <v>0</v>
      </c>
      <c r="BF41" s="20" t="n">
        <f aca="false">IF(Quantiles!BF41&lt;0,"",(Depth0-MIN(Depth0,Quantiles!BF41))/Depth_per_q)</f>
        <v>0</v>
      </c>
      <c r="BG41" s="20" t="n">
        <f aca="false">IF(Quantiles!BG41&lt;0,"",(Depth0-MIN(Depth0,Quantiles!BG41))/Depth_per_q)</f>
        <v>0</v>
      </c>
      <c r="BH41" s="20" t="n">
        <f aca="false">IF(Quantiles!BH41&lt;0,"",(Depth0-MIN(Depth0,Quantiles!BH41))/Depth_per_q)</f>
        <v>0</v>
      </c>
      <c r="BI41" s="20" t="n">
        <f aca="false">IF(Quantiles!BI41&lt;0,"",(Depth0-MIN(Depth0,Quantiles!BI41))/Depth_per_q)</f>
        <v>0</v>
      </c>
      <c r="BJ41" s="20" t="n">
        <f aca="false">IF(Quantiles!BJ41&lt;0,"",(Depth0-MIN(Depth0,Quantiles!BJ41))/Depth_per_q)</f>
        <v>0</v>
      </c>
      <c r="BK41" s="20" t="n">
        <f aca="false">IF(Quantiles!BK41&lt;0,"",(Depth0-MIN(Depth0,Quantiles!BK41))/Depth_per_q)</f>
        <v>0</v>
      </c>
      <c r="BL41" s="20" t="n">
        <f aca="false">IF(Quantiles!BL41&lt;0,"",(Depth0-MIN(Depth0,Quantiles!BL41))/Depth_per_q)</f>
        <v>0</v>
      </c>
      <c r="BM41" s="20" t="n">
        <f aca="false">IF(Quantiles!BM41&lt;0,"",(Depth0-MIN(Depth0,Quantiles!BM41))/Depth_per_q)</f>
        <v>0</v>
      </c>
      <c r="BN41" s="20" t="n">
        <f aca="false">IF(Quantiles!BN41&lt;0,"",(Depth0-MIN(Depth0,Quantiles!BN41))/Depth_per_q)</f>
        <v>0</v>
      </c>
      <c r="BO41" s="20" t="n">
        <f aca="false">IF(Quantiles!BO41&lt;0,"",(Depth0-MIN(Depth0,Quantiles!BO41))/Depth_per_q)</f>
        <v>0</v>
      </c>
      <c r="BP41" s="20" t="n">
        <f aca="false">IF(Quantiles!BP41&lt;0,"",(Depth0-MIN(Depth0,Quantiles!BP41))/Depth_per_q)</f>
        <v>0</v>
      </c>
      <c r="BQ41" s="20" t="n">
        <f aca="false">IF(Quantiles!BQ41&lt;0,"",(Depth0-MIN(Depth0,Quantiles!BQ41))/Depth_per_q)</f>
        <v>0</v>
      </c>
      <c r="BR41" s="20" t="n">
        <f aca="false">IF(Quantiles!BR41&lt;0,"",(Depth0-MIN(Depth0,Quantiles!BR41))/Depth_per_q)</f>
        <v>0</v>
      </c>
      <c r="BS41" s="20" t="n">
        <f aca="false">IF(Quantiles!BS41&lt;0,"",(Depth0-MIN(Depth0,Quantiles!BS41))/Depth_per_q)</f>
        <v>0</v>
      </c>
      <c r="BT41" s="20" t="n">
        <f aca="false">IF(Quantiles!BT41&lt;0,"",(Depth0-MIN(Depth0,Quantiles!BT41))/Depth_per_q)</f>
        <v>0</v>
      </c>
      <c r="BU41" s="20" t="n">
        <f aca="false">IF(Quantiles!BU41&lt;0,"",(Depth0-MIN(Depth0,Quantiles!BU41))/Depth_per_q)</f>
        <v>0</v>
      </c>
      <c r="BV41" s="20" t="n">
        <f aca="false">IF(Quantiles!BV41&lt;0,"",(Depth0-MIN(Depth0,Quantiles!BV41))/Depth_per_q)</f>
        <v>0</v>
      </c>
      <c r="BW41" s="20" t="n">
        <f aca="false">IF(Quantiles!BW41&lt;0,"",(Depth0-MIN(Depth0,Quantiles!BW41))/Depth_per_q)</f>
        <v>0</v>
      </c>
      <c r="BX41" s="20" t="n">
        <f aca="false">IF(Quantiles!BX41&lt;0,"",(Depth0-MIN(Depth0,Quantiles!BX41))/Depth_per_q)</f>
        <v>0</v>
      </c>
      <c r="BY41" s="20" t="n">
        <f aca="false">IF(Quantiles!BY41&lt;0,"",(Depth0-MIN(Depth0,Quantiles!BY41))/Depth_per_q)</f>
        <v>0</v>
      </c>
      <c r="BZ41" s="20" t="n">
        <f aca="false">IF(Quantiles!BZ41&lt;0,"",(Depth0-MIN(Depth0,Quantiles!BZ41))/Depth_per_q)</f>
        <v>0</v>
      </c>
      <c r="CA41" s="20" t="n">
        <f aca="false">IF(Quantiles!CA41&lt;0,"",(Depth0-MIN(Depth0,Quantiles!CA41))/Depth_per_q)</f>
        <v>0</v>
      </c>
      <c r="CB41" s="20" t="n">
        <f aca="false">IF(Quantiles!CB41&lt;0,"",(Depth0-MIN(Depth0,Quantiles!CB41))/Depth_per_q)</f>
        <v>0</v>
      </c>
      <c r="CC41" s="20" t="n">
        <f aca="false">IF(Quantiles!CC41&lt;0,"",(Depth0-MIN(Depth0,Quantiles!CC41))/Depth_per_q)</f>
        <v>0</v>
      </c>
      <c r="CD41" s="20" t="n">
        <f aca="false">IF(Quantiles!CD41&lt;0,"",(Depth0-MIN(Depth0,Quantiles!CD41))/Depth_per_q)</f>
        <v>0</v>
      </c>
      <c r="CE41" s="20" t="n">
        <f aca="false">IF(Quantiles!CE41&lt;0,"",(Depth0-MIN(Depth0,Quantiles!CE41))/Depth_per_q)</f>
        <v>0</v>
      </c>
      <c r="CF41" s="20" t="n">
        <f aca="false">IF(Quantiles!CF41&lt;0,"",(Depth0-MIN(Depth0,Quantiles!CF41))/Depth_per_q)</f>
        <v>0</v>
      </c>
      <c r="CG41" s="20" t="n">
        <f aca="false">IF(Quantiles!CG41&lt;0,"",(Depth0-MIN(Depth0,Quantiles!CG41))/Depth_per_q)</f>
        <v>0</v>
      </c>
      <c r="CH41" s="20" t="n">
        <f aca="false">IF(Quantiles!CH41&lt;0,"",(Depth0-MIN(Depth0,Quantiles!CH41))/Depth_per_q)</f>
        <v>0</v>
      </c>
      <c r="CI41" s="20" t="n">
        <f aca="false">IF(Quantiles!CI41&lt;0,"",(Depth0-MIN(Depth0,Quantiles!CI41))/Depth_per_q)</f>
        <v>0</v>
      </c>
      <c r="CJ41" s="20" t="n">
        <f aca="false">IF(Quantiles!CJ41&lt;0,"",(Depth0-MIN(Depth0,Quantiles!CJ41))/Depth_per_q)</f>
        <v>0</v>
      </c>
      <c r="CK41" s="20" t="n">
        <f aca="false">IF(Quantiles!CK41&lt;0,"",(Depth0-MIN(Depth0,Quantiles!CK41))/Depth_per_q)</f>
        <v>0</v>
      </c>
      <c r="CL41" s="20" t="n">
        <f aca="false">IF(Quantiles!CL41&lt;0,"",(Depth0-MIN(Depth0,Quantiles!CL41))/Depth_per_q)</f>
        <v>0</v>
      </c>
      <c r="CM41" s="20" t="n">
        <f aca="false">IF(Quantiles!CM41&lt;0,"",(Depth0-MIN(Depth0,Quantiles!CM41))/Depth_per_q)</f>
        <v>0</v>
      </c>
      <c r="CN41" s="20" t="n">
        <f aca="false">IF(Quantiles!CN41&lt;0,"",(Depth0-MIN(Depth0,Quantiles!CN41))/Depth_per_q)</f>
        <v>0</v>
      </c>
      <c r="CO41" s="20" t="n">
        <f aca="false">IF(Quantiles!CO41&lt;0,"",(Depth0-MIN(Depth0,Quantiles!CO41))/Depth_per_q)</f>
        <v>0</v>
      </c>
      <c r="CP41" s="20" t="n">
        <f aca="false">IF(Quantiles!CP41&lt;0,"",(Depth0-MIN(Depth0,Quantiles!CP41))/Depth_per_q)</f>
        <v>0</v>
      </c>
      <c r="CQ41" s="20" t="n">
        <f aca="false">IF(Quantiles!CQ41&lt;0,"",(Depth0-MIN(Depth0,Quantiles!CQ41))/Depth_per_q)</f>
        <v>0</v>
      </c>
      <c r="CR41" s="20" t="n">
        <f aca="false">IF(Quantiles!CR41&lt;0,"",(Depth0-MIN(Depth0,Quantiles!CR41))/Depth_per_q)</f>
        <v>0</v>
      </c>
      <c r="CS41" s="20" t="n">
        <f aca="false">IF(Quantiles!CS41&lt;0,"",(Depth0-MIN(Depth0,Quantiles!CS41))/Depth_per_q)</f>
        <v>0</v>
      </c>
      <c r="CT41" s="20" t="n">
        <f aca="false">IF(Quantiles!CT41&lt;0,"",(Depth0-MIN(Depth0,Quantiles!CT41))/Depth_per_q)</f>
        <v>1.158512264636</v>
      </c>
    </row>
    <row r="42" customFormat="false" ht="15" hidden="false" customHeight="false" outlineLevel="0" collapsed="false">
      <c r="A42" s="25" t="n">
        <f aca="false">Quantiles!A42</f>
        <v>185</v>
      </c>
      <c r="B42" s="20" t="n">
        <f aca="false">IF(Quantiles!B42&lt;0,"",(Depth0-MIN(Depth0,Quantiles!B42))/Depth_per_q)</f>
        <v>2.19591132569001</v>
      </c>
      <c r="C42" s="20" t="n">
        <f aca="false">IF(Quantiles!C42&lt;0,"",(Depth0-MIN(Depth0,Quantiles!C42))/Depth_per_q)</f>
        <v>1.97345074804972</v>
      </c>
      <c r="D42" s="20" t="n">
        <f aca="false">IF(Quantiles!D42&lt;0,"",(Depth0-MIN(Depth0,Quantiles!D42))/Depth_per_q)</f>
        <v>1.82432626917943</v>
      </c>
      <c r="E42" s="20" t="n">
        <f aca="false">IF(Quantiles!E42&lt;0,"",(Depth0-MIN(Depth0,Quantiles!E42))/Depth_per_q)</f>
        <v>1.66629594786799</v>
      </c>
      <c r="F42" s="20" t="n">
        <f aca="false">IF(Quantiles!F42&lt;0,"",(Depth0-MIN(Depth0,Quantiles!F42))/Depth_per_q)</f>
        <v>1.54124642128079</v>
      </c>
      <c r="G42" s="20" t="n">
        <f aca="false">IF(Quantiles!G42&lt;0,"",(Depth0-MIN(Depth0,Quantiles!G42))/Depth_per_q)</f>
        <v>1.42924956885291</v>
      </c>
      <c r="H42" s="20" t="n">
        <f aca="false">IF(Quantiles!H42&lt;0,"",(Depth0-MIN(Depth0,Quantiles!H42))/Depth_per_q)</f>
        <v>1.32579246868469</v>
      </c>
      <c r="I42" s="20" t="n">
        <f aca="false">IF(Quantiles!I42&lt;0,"",(Depth0-MIN(Depth0,Quantiles!I42))/Depth_per_q)</f>
        <v>1.23656916781527</v>
      </c>
      <c r="J42" s="20" t="n">
        <f aca="false">IF(Quantiles!J42&lt;0,"",(Depth0-MIN(Depth0,Quantiles!J42))/Depth_per_q)</f>
        <v>1.14903875047586</v>
      </c>
      <c r="K42" s="20" t="n">
        <f aca="false">IF(Quantiles!K42&lt;0,"",(Depth0-MIN(Depth0,Quantiles!K42))/Depth_per_q)</f>
        <v>1.07266109290158</v>
      </c>
      <c r="L42" s="20" t="n">
        <f aca="false">IF(Quantiles!L42&lt;0,"",(Depth0-MIN(Depth0,Quantiles!L42))/Depth_per_q)</f>
        <v>0.99498852507881</v>
      </c>
      <c r="M42" s="20" t="n">
        <f aca="false">IF(Quantiles!M42&lt;0,"",(Depth0-MIN(Depth0,Quantiles!M42))/Depth_per_q)</f>
        <v>0.923918277158802</v>
      </c>
      <c r="N42" s="20" t="n">
        <f aca="false">IF(Quantiles!N42&lt;0,"",(Depth0-MIN(Depth0,Quantiles!N42))/Depth_per_q)</f>
        <v>0.863179638799245</v>
      </c>
      <c r="O42" s="20" t="n">
        <f aca="false">IF(Quantiles!O42&lt;0,"",(Depth0-MIN(Depth0,Quantiles!O42))/Depth_per_q)</f>
        <v>0.800670073620185</v>
      </c>
      <c r="P42" s="20" t="n">
        <f aca="false">IF(Quantiles!P42&lt;0,"",(Depth0-MIN(Depth0,Quantiles!P42))/Depth_per_q)</f>
        <v>0.739362208102057</v>
      </c>
      <c r="Q42" s="20" t="n">
        <f aca="false">IF(Quantiles!Q42&lt;0,"",(Depth0-MIN(Depth0,Quantiles!Q42))/Depth_per_q)</f>
        <v>0.68274109061397</v>
      </c>
      <c r="R42" s="20" t="n">
        <f aca="false">IF(Quantiles!R42&lt;0,"",(Depth0-MIN(Depth0,Quantiles!R42))/Depth_per_q)</f>
        <v>0.626771018008983</v>
      </c>
      <c r="S42" s="20" t="n">
        <f aca="false">IF(Quantiles!S42&lt;0,"",(Depth0-MIN(Depth0,Quantiles!S42))/Depth_per_q)</f>
        <v>0.576409226842467</v>
      </c>
      <c r="T42" s="20" t="n">
        <f aca="false">IF(Quantiles!T42&lt;0,"",(Depth0-MIN(Depth0,Quantiles!T42))/Depth_per_q)</f>
        <v>0.523962763165632</v>
      </c>
      <c r="U42" s="20" t="n">
        <f aca="false">IF(Quantiles!U42&lt;0,"",(Depth0-MIN(Depth0,Quantiles!U42))/Depth_per_q)</f>
        <v>0.478976679140275</v>
      </c>
      <c r="V42" s="20" t="n">
        <f aca="false">IF(Quantiles!V42&lt;0,"",(Depth0-MIN(Depth0,Quantiles!V42))/Depth_per_q)</f>
        <v>0.434903995508003</v>
      </c>
      <c r="W42" s="20" t="n">
        <f aca="false">IF(Quantiles!W42&lt;0,"",(Depth0-MIN(Depth0,Quantiles!W42))/Depth_per_q)</f>
        <v>0.392328001086545</v>
      </c>
      <c r="X42" s="20" t="n">
        <f aca="false">IF(Quantiles!X42&lt;0,"",(Depth0-MIN(Depth0,Quantiles!X42))/Depth_per_q)</f>
        <v>0.349297826257497</v>
      </c>
      <c r="Y42" s="20" t="n">
        <f aca="false">IF(Quantiles!Y42&lt;0,"",(Depth0-MIN(Depth0,Quantiles!Y42))/Depth_per_q)</f>
        <v>0.30578416475645</v>
      </c>
      <c r="Z42" s="20" t="n">
        <f aca="false">IF(Quantiles!Z42&lt;0,"",(Depth0-MIN(Depth0,Quantiles!Z42))/Depth_per_q)</f>
        <v>0.26610474600363</v>
      </c>
      <c r="AA42" s="20" t="n">
        <f aca="false">IF(Quantiles!AA42&lt;0,"",(Depth0-MIN(Depth0,Quantiles!AA42))/Depth_per_q)</f>
        <v>0.227458176439</v>
      </c>
      <c r="AB42" s="20" t="n">
        <f aca="false">IF(Quantiles!AB42&lt;0,"",(Depth0-MIN(Depth0,Quantiles!AB42))/Depth_per_q)</f>
        <v>0.190715354957358</v>
      </c>
      <c r="AC42" s="20" t="n">
        <f aca="false">IF(Quantiles!AC42&lt;0,"",(Depth0-MIN(Depth0,Quantiles!AC42))/Depth_per_q)</f>
        <v>0.15119648983191</v>
      </c>
      <c r="AD42" s="20" t="n">
        <f aca="false">IF(Quantiles!AD42&lt;0,"",(Depth0-MIN(Depth0,Quantiles!AD42))/Depth_per_q)</f>
        <v>0.113769600654725</v>
      </c>
      <c r="AE42" s="20" t="n">
        <f aca="false">IF(Quantiles!AE42&lt;0,"",(Depth0-MIN(Depth0,Quantiles!AE42))/Depth_per_q)</f>
        <v>0.0809549959886802</v>
      </c>
      <c r="AF42" s="20" t="n">
        <f aca="false">IF(Quantiles!AF42&lt;0,"",(Depth0-MIN(Depth0,Quantiles!AF42))/Depth_per_q)</f>
        <v>0.0423490955918826</v>
      </c>
      <c r="AG42" s="20" t="n">
        <f aca="false">IF(Quantiles!AG42&lt;0,"",(Depth0-MIN(Depth0,Quantiles!AG42))/Depth_per_q)</f>
        <v>0.00990121170854508</v>
      </c>
      <c r="AH42" s="20" t="n">
        <f aca="false">IF(Quantiles!AH42&lt;0,"",(Depth0-MIN(Depth0,Quantiles!AH42))/Depth_per_q)</f>
        <v>0</v>
      </c>
      <c r="AI42" s="20" t="n">
        <f aca="false">IF(Quantiles!AI42&lt;0,"",(Depth0-MIN(Depth0,Quantiles!AI42))/Depth_per_q)</f>
        <v>0</v>
      </c>
      <c r="AJ42" s="20" t="n">
        <f aca="false">IF(Quantiles!AJ42&lt;0,"",(Depth0-MIN(Depth0,Quantiles!AJ42))/Depth_per_q)</f>
        <v>0</v>
      </c>
      <c r="AK42" s="20" t="n">
        <f aca="false">IF(Quantiles!AK42&lt;0,"",(Depth0-MIN(Depth0,Quantiles!AK42))/Depth_per_q)</f>
        <v>0</v>
      </c>
      <c r="AL42" s="20" t="n">
        <f aca="false">IF(Quantiles!AL42&lt;0,"",(Depth0-MIN(Depth0,Quantiles!AL42))/Depth_per_q)</f>
        <v>0</v>
      </c>
      <c r="AM42" s="20" t="n">
        <f aca="false">IF(Quantiles!AM42&lt;0,"",(Depth0-MIN(Depth0,Quantiles!AM42))/Depth_per_q)</f>
        <v>0</v>
      </c>
      <c r="AN42" s="20" t="n">
        <f aca="false">IF(Quantiles!AN42&lt;0,"",(Depth0-MIN(Depth0,Quantiles!AN42))/Depth_per_q)</f>
        <v>0</v>
      </c>
      <c r="AO42" s="20" t="n">
        <f aca="false">IF(Quantiles!AO42&lt;0,"",(Depth0-MIN(Depth0,Quantiles!AO42))/Depth_per_q)</f>
        <v>0</v>
      </c>
      <c r="AP42" s="20" t="n">
        <f aca="false">IF(Quantiles!AP42&lt;0,"",(Depth0-MIN(Depth0,Quantiles!AP42))/Depth_per_q)</f>
        <v>0</v>
      </c>
      <c r="AQ42" s="20" t="n">
        <f aca="false">IF(Quantiles!AQ42&lt;0,"",(Depth0-MIN(Depth0,Quantiles!AQ42))/Depth_per_q)</f>
        <v>0</v>
      </c>
      <c r="AR42" s="20" t="n">
        <f aca="false">IF(Quantiles!AR42&lt;0,"",(Depth0-MIN(Depth0,Quantiles!AR42))/Depth_per_q)</f>
        <v>0</v>
      </c>
      <c r="AS42" s="20" t="n">
        <f aca="false">IF(Quantiles!AS42&lt;0,"",(Depth0-MIN(Depth0,Quantiles!AS42))/Depth_per_q)</f>
        <v>0</v>
      </c>
      <c r="AT42" s="20" t="n">
        <f aca="false">IF(Quantiles!AT42&lt;0,"",(Depth0-MIN(Depth0,Quantiles!AT42))/Depth_per_q)</f>
        <v>0</v>
      </c>
      <c r="AU42" s="20" t="n">
        <f aca="false">IF(Quantiles!AU42&lt;0,"",(Depth0-MIN(Depth0,Quantiles!AU42))/Depth_per_q)</f>
        <v>0</v>
      </c>
      <c r="AV42" s="20" t="n">
        <f aca="false">IF(Quantiles!AV42&lt;0,"",(Depth0-MIN(Depth0,Quantiles!AV42))/Depth_per_q)</f>
        <v>0</v>
      </c>
      <c r="AW42" s="20" t="n">
        <f aca="false">IF(Quantiles!AW42&lt;0,"",(Depth0-MIN(Depth0,Quantiles!AW42))/Depth_per_q)</f>
        <v>0</v>
      </c>
      <c r="AX42" s="20" t="n">
        <f aca="false">IF(Quantiles!AX42&lt;0,"",(Depth0-MIN(Depth0,Quantiles!AX42))/Depth_per_q)</f>
        <v>0</v>
      </c>
      <c r="AY42" s="20" t="n">
        <f aca="false">IF(Quantiles!AY42&lt;0,"",(Depth0-MIN(Depth0,Quantiles!AY42))/Depth_per_q)</f>
        <v>0</v>
      </c>
      <c r="AZ42" s="20" t="n">
        <f aca="false">IF(Quantiles!AZ42&lt;0,"",(Depth0-MIN(Depth0,Quantiles!AZ42))/Depth_per_q)</f>
        <v>0</v>
      </c>
      <c r="BA42" s="20" t="n">
        <f aca="false">IF(Quantiles!BA42&lt;0,"",(Depth0-MIN(Depth0,Quantiles!BA42))/Depth_per_q)</f>
        <v>0</v>
      </c>
      <c r="BB42" s="20" t="n">
        <f aca="false">IF(Quantiles!BB42&lt;0,"",(Depth0-MIN(Depth0,Quantiles!BB42))/Depth_per_q)</f>
        <v>0</v>
      </c>
      <c r="BC42" s="20" t="n">
        <f aca="false">IF(Quantiles!BC42&lt;0,"",(Depth0-MIN(Depth0,Quantiles!BC42))/Depth_per_q)</f>
        <v>0</v>
      </c>
      <c r="BD42" s="20" t="n">
        <f aca="false">IF(Quantiles!BD42&lt;0,"",(Depth0-MIN(Depth0,Quantiles!BD42))/Depth_per_q)</f>
        <v>0</v>
      </c>
      <c r="BE42" s="20" t="n">
        <f aca="false">IF(Quantiles!BE42&lt;0,"",(Depth0-MIN(Depth0,Quantiles!BE42))/Depth_per_q)</f>
        <v>0</v>
      </c>
      <c r="BF42" s="20" t="n">
        <f aca="false">IF(Quantiles!BF42&lt;0,"",(Depth0-MIN(Depth0,Quantiles!BF42))/Depth_per_q)</f>
        <v>0</v>
      </c>
      <c r="BG42" s="20" t="n">
        <f aca="false">IF(Quantiles!BG42&lt;0,"",(Depth0-MIN(Depth0,Quantiles!BG42))/Depth_per_q)</f>
        <v>0</v>
      </c>
      <c r="BH42" s="20" t="n">
        <f aca="false">IF(Quantiles!BH42&lt;0,"",(Depth0-MIN(Depth0,Quantiles!BH42))/Depth_per_q)</f>
        <v>0</v>
      </c>
      <c r="BI42" s="20" t="n">
        <f aca="false">IF(Quantiles!BI42&lt;0,"",(Depth0-MIN(Depth0,Quantiles!BI42))/Depth_per_q)</f>
        <v>0</v>
      </c>
      <c r="BJ42" s="20" t="n">
        <f aca="false">IF(Quantiles!BJ42&lt;0,"",(Depth0-MIN(Depth0,Quantiles!BJ42))/Depth_per_q)</f>
        <v>0</v>
      </c>
      <c r="BK42" s="20" t="n">
        <f aca="false">IF(Quantiles!BK42&lt;0,"",(Depth0-MIN(Depth0,Quantiles!BK42))/Depth_per_q)</f>
        <v>0</v>
      </c>
      <c r="BL42" s="20" t="n">
        <f aca="false">IF(Quantiles!BL42&lt;0,"",(Depth0-MIN(Depth0,Quantiles!BL42))/Depth_per_q)</f>
        <v>0</v>
      </c>
      <c r="BM42" s="20" t="n">
        <f aca="false">IF(Quantiles!BM42&lt;0,"",(Depth0-MIN(Depth0,Quantiles!BM42))/Depth_per_q)</f>
        <v>0</v>
      </c>
      <c r="BN42" s="20" t="n">
        <f aca="false">IF(Quantiles!BN42&lt;0,"",(Depth0-MIN(Depth0,Quantiles!BN42))/Depth_per_q)</f>
        <v>0</v>
      </c>
      <c r="BO42" s="20" t="n">
        <f aca="false">IF(Quantiles!BO42&lt;0,"",(Depth0-MIN(Depth0,Quantiles!BO42))/Depth_per_q)</f>
        <v>0</v>
      </c>
      <c r="BP42" s="20" t="n">
        <f aca="false">IF(Quantiles!BP42&lt;0,"",(Depth0-MIN(Depth0,Quantiles!BP42))/Depth_per_q)</f>
        <v>0</v>
      </c>
      <c r="BQ42" s="20" t="n">
        <f aca="false">IF(Quantiles!BQ42&lt;0,"",(Depth0-MIN(Depth0,Quantiles!BQ42))/Depth_per_q)</f>
        <v>0</v>
      </c>
      <c r="BR42" s="20" t="n">
        <f aca="false">IF(Quantiles!BR42&lt;0,"",(Depth0-MIN(Depth0,Quantiles!BR42))/Depth_per_q)</f>
        <v>0</v>
      </c>
      <c r="BS42" s="20" t="n">
        <f aca="false">IF(Quantiles!BS42&lt;0,"",(Depth0-MIN(Depth0,Quantiles!BS42))/Depth_per_q)</f>
        <v>0</v>
      </c>
      <c r="BT42" s="20" t="n">
        <f aca="false">IF(Quantiles!BT42&lt;0,"",(Depth0-MIN(Depth0,Quantiles!BT42))/Depth_per_q)</f>
        <v>0</v>
      </c>
      <c r="BU42" s="20" t="n">
        <f aca="false">IF(Quantiles!BU42&lt;0,"",(Depth0-MIN(Depth0,Quantiles!BU42))/Depth_per_q)</f>
        <v>0</v>
      </c>
      <c r="BV42" s="20" t="n">
        <f aca="false">IF(Quantiles!BV42&lt;0,"",(Depth0-MIN(Depth0,Quantiles!BV42))/Depth_per_q)</f>
        <v>0</v>
      </c>
      <c r="BW42" s="20" t="n">
        <f aca="false">IF(Quantiles!BW42&lt;0,"",(Depth0-MIN(Depth0,Quantiles!BW42))/Depth_per_q)</f>
        <v>0</v>
      </c>
      <c r="BX42" s="20" t="n">
        <f aca="false">IF(Quantiles!BX42&lt;0,"",(Depth0-MIN(Depth0,Quantiles!BX42))/Depth_per_q)</f>
        <v>0</v>
      </c>
      <c r="BY42" s="20" t="n">
        <f aca="false">IF(Quantiles!BY42&lt;0,"",(Depth0-MIN(Depth0,Quantiles!BY42))/Depth_per_q)</f>
        <v>0</v>
      </c>
      <c r="BZ42" s="20" t="n">
        <f aca="false">IF(Quantiles!BZ42&lt;0,"",(Depth0-MIN(Depth0,Quantiles!BZ42))/Depth_per_q)</f>
        <v>0</v>
      </c>
      <c r="CA42" s="20" t="n">
        <f aca="false">IF(Quantiles!CA42&lt;0,"",(Depth0-MIN(Depth0,Quantiles!CA42))/Depth_per_q)</f>
        <v>0</v>
      </c>
      <c r="CB42" s="20" t="n">
        <f aca="false">IF(Quantiles!CB42&lt;0,"",(Depth0-MIN(Depth0,Quantiles!CB42))/Depth_per_q)</f>
        <v>0</v>
      </c>
      <c r="CC42" s="20" t="n">
        <f aca="false">IF(Quantiles!CC42&lt;0,"",(Depth0-MIN(Depth0,Quantiles!CC42))/Depth_per_q)</f>
        <v>0</v>
      </c>
      <c r="CD42" s="20" t="n">
        <f aca="false">IF(Quantiles!CD42&lt;0,"",(Depth0-MIN(Depth0,Quantiles!CD42))/Depth_per_q)</f>
        <v>0</v>
      </c>
      <c r="CE42" s="20" t="n">
        <f aca="false">IF(Quantiles!CE42&lt;0,"",(Depth0-MIN(Depth0,Quantiles!CE42))/Depth_per_q)</f>
        <v>0</v>
      </c>
      <c r="CF42" s="20" t="n">
        <f aca="false">IF(Quantiles!CF42&lt;0,"",(Depth0-MIN(Depth0,Quantiles!CF42))/Depth_per_q)</f>
        <v>0</v>
      </c>
      <c r="CG42" s="20" t="n">
        <f aca="false">IF(Quantiles!CG42&lt;0,"",(Depth0-MIN(Depth0,Quantiles!CG42))/Depth_per_q)</f>
        <v>0</v>
      </c>
      <c r="CH42" s="20" t="n">
        <f aca="false">IF(Quantiles!CH42&lt;0,"",(Depth0-MIN(Depth0,Quantiles!CH42))/Depth_per_q)</f>
        <v>0</v>
      </c>
      <c r="CI42" s="20" t="n">
        <f aca="false">IF(Quantiles!CI42&lt;0,"",(Depth0-MIN(Depth0,Quantiles!CI42))/Depth_per_q)</f>
        <v>0</v>
      </c>
      <c r="CJ42" s="20" t="n">
        <f aca="false">IF(Quantiles!CJ42&lt;0,"",(Depth0-MIN(Depth0,Quantiles!CJ42))/Depth_per_q)</f>
        <v>0</v>
      </c>
      <c r="CK42" s="20" t="n">
        <f aca="false">IF(Quantiles!CK42&lt;0,"",(Depth0-MIN(Depth0,Quantiles!CK42))/Depth_per_q)</f>
        <v>0</v>
      </c>
      <c r="CL42" s="20" t="n">
        <f aca="false">IF(Quantiles!CL42&lt;0,"",(Depth0-MIN(Depth0,Quantiles!CL42))/Depth_per_q)</f>
        <v>0</v>
      </c>
      <c r="CM42" s="20" t="n">
        <f aca="false">IF(Quantiles!CM42&lt;0,"",(Depth0-MIN(Depth0,Quantiles!CM42))/Depth_per_q)</f>
        <v>0</v>
      </c>
      <c r="CN42" s="20" t="n">
        <f aca="false">IF(Quantiles!CN42&lt;0,"",(Depth0-MIN(Depth0,Quantiles!CN42))/Depth_per_q)</f>
        <v>0</v>
      </c>
      <c r="CO42" s="20" t="n">
        <f aca="false">IF(Quantiles!CO42&lt;0,"",(Depth0-MIN(Depth0,Quantiles!CO42))/Depth_per_q)</f>
        <v>0</v>
      </c>
      <c r="CP42" s="20" t="n">
        <f aca="false">IF(Quantiles!CP42&lt;0,"",(Depth0-MIN(Depth0,Quantiles!CP42))/Depth_per_q)</f>
        <v>0</v>
      </c>
      <c r="CQ42" s="20" t="n">
        <f aca="false">IF(Quantiles!CQ42&lt;0,"",(Depth0-MIN(Depth0,Quantiles!CQ42))/Depth_per_q)</f>
        <v>0</v>
      </c>
      <c r="CR42" s="20" t="n">
        <f aca="false">IF(Quantiles!CR42&lt;0,"",(Depth0-MIN(Depth0,Quantiles!CR42))/Depth_per_q)</f>
        <v>0</v>
      </c>
      <c r="CS42" s="20" t="n">
        <f aca="false">IF(Quantiles!CS42&lt;0,"",(Depth0-MIN(Depth0,Quantiles!CS42))/Depth_per_q)</f>
        <v>0</v>
      </c>
      <c r="CT42" s="20" t="n">
        <f aca="false">IF(Quantiles!CT42&lt;0,"",(Depth0-MIN(Depth0,Quantiles!CT42))/Depth_per_q)</f>
        <v>1.1485459257636</v>
      </c>
    </row>
    <row r="43" customFormat="false" ht="15" hidden="false" customHeight="false" outlineLevel="0" collapsed="false">
      <c r="A43" s="25" t="n">
        <f aca="false">Quantiles!A43</f>
        <v>190</v>
      </c>
      <c r="B43" s="20" t="n">
        <f aca="false">IF(Quantiles!B43&lt;0,"",(Depth0-MIN(Depth0,Quantiles!B43))/Depth_per_q)</f>
        <v>2.17366646072816</v>
      </c>
      <c r="C43" s="20" t="n">
        <f aca="false">IF(Quantiles!C43&lt;0,"",(Depth0-MIN(Depth0,Quantiles!C43))/Depth_per_q)</f>
        <v>1.95561219908044</v>
      </c>
      <c r="D43" s="20" t="n">
        <f aca="false">IF(Quantiles!D43&lt;0,"",(Depth0-MIN(Depth0,Quantiles!D43))/Depth_per_q)</f>
        <v>1.80728633317082</v>
      </c>
      <c r="E43" s="20" t="n">
        <f aca="false">IF(Quantiles!E43&lt;0,"",(Depth0-MIN(Depth0,Quantiles!E43))/Depth_per_q)</f>
        <v>1.65386764655318</v>
      </c>
      <c r="F43" s="20" t="n">
        <f aca="false">IF(Quantiles!F43&lt;0,"",(Depth0-MIN(Depth0,Quantiles!F43))/Depth_per_q)</f>
        <v>1.5252630639198</v>
      </c>
      <c r="G43" s="20" t="n">
        <f aca="false">IF(Quantiles!G43&lt;0,"",(Depth0-MIN(Depth0,Quantiles!G43))/Depth_per_q)</f>
        <v>1.41343588058306</v>
      </c>
      <c r="H43" s="20" t="n">
        <f aca="false">IF(Quantiles!H43&lt;0,"",(Depth0-MIN(Depth0,Quantiles!H43))/Depth_per_q)</f>
        <v>1.3139467937239</v>
      </c>
      <c r="I43" s="20" t="n">
        <f aca="false">IF(Quantiles!I43&lt;0,"",(Depth0-MIN(Depth0,Quantiles!I43))/Depth_per_q)</f>
        <v>1.22670256699722</v>
      </c>
      <c r="J43" s="20" t="n">
        <f aca="false">IF(Quantiles!J43&lt;0,"",(Depth0-MIN(Depth0,Quantiles!J43))/Depth_per_q)</f>
        <v>1.13787909834327</v>
      </c>
      <c r="K43" s="20" t="n">
        <f aca="false">IF(Quantiles!K43&lt;0,"",(Depth0-MIN(Depth0,Quantiles!K43))/Depth_per_q)</f>
        <v>1.06360749738712</v>
      </c>
      <c r="L43" s="20" t="n">
        <f aca="false">IF(Quantiles!L43&lt;0,"",(Depth0-MIN(Depth0,Quantiles!L43))/Depth_per_q)</f>
        <v>0.988157277403468</v>
      </c>
      <c r="M43" s="20" t="n">
        <f aca="false">IF(Quantiles!M43&lt;0,"",(Depth0-MIN(Depth0,Quantiles!M43))/Depth_per_q)</f>
        <v>0.913581082229262</v>
      </c>
      <c r="N43" s="20" t="n">
        <f aca="false">IF(Quantiles!N43&lt;0,"",(Depth0-MIN(Depth0,Quantiles!N43))/Depth_per_q)</f>
        <v>0.852426322290572</v>
      </c>
      <c r="O43" s="20" t="n">
        <f aca="false">IF(Quantiles!O43&lt;0,"",(Depth0-MIN(Depth0,Quantiles!O43))/Depth_per_q)</f>
        <v>0.79102846751621</v>
      </c>
      <c r="P43" s="20" t="n">
        <f aca="false">IF(Quantiles!P43&lt;0,"",(Depth0-MIN(Depth0,Quantiles!P43))/Depth_per_q)</f>
        <v>0.72698959505315</v>
      </c>
      <c r="Q43" s="20" t="n">
        <f aca="false">IF(Quantiles!Q43&lt;0,"",(Depth0-MIN(Depth0,Quantiles!Q43))/Depth_per_q)</f>
        <v>0.668462358795015</v>
      </c>
      <c r="R43" s="20" t="n">
        <f aca="false">IF(Quantiles!R43&lt;0,"",(Depth0-MIN(Depth0,Quantiles!R43))/Depth_per_q)</f>
        <v>0.61333349618677</v>
      </c>
      <c r="S43" s="20" t="n">
        <f aca="false">IF(Quantiles!S43&lt;0,"",(Depth0-MIN(Depth0,Quantiles!S43))/Depth_per_q)</f>
        <v>0.564837682853315</v>
      </c>
      <c r="T43" s="20" t="n">
        <f aca="false">IF(Quantiles!T43&lt;0,"",(Depth0-MIN(Depth0,Quantiles!T43))/Depth_per_q)</f>
        <v>0.51311598007878</v>
      </c>
      <c r="U43" s="20" t="n">
        <f aca="false">IF(Quantiles!U43&lt;0,"",(Depth0-MIN(Depth0,Quantiles!U43))/Depth_per_q)</f>
        <v>0.46826311866213</v>
      </c>
      <c r="V43" s="20" t="n">
        <f aca="false">IF(Quantiles!V43&lt;0,"",(Depth0-MIN(Depth0,Quantiles!V43))/Depth_per_q)</f>
        <v>0.427651749914615</v>
      </c>
      <c r="W43" s="20" t="n">
        <f aca="false">IF(Quantiles!W43&lt;0,"",(Depth0-MIN(Depth0,Quantiles!W43))/Depth_per_q)</f>
        <v>0.38356505605964</v>
      </c>
      <c r="X43" s="20" t="n">
        <f aca="false">IF(Quantiles!X43&lt;0,"",(Depth0-MIN(Depth0,Quantiles!X43))/Depth_per_q)</f>
        <v>0.339740617134463</v>
      </c>
      <c r="Y43" s="20" t="n">
        <f aca="false">IF(Quantiles!Y43&lt;0,"",(Depth0-MIN(Depth0,Quantiles!Y43))/Depth_per_q)</f>
        <v>0.296583101111567</v>
      </c>
      <c r="Z43" s="20" t="n">
        <f aca="false">IF(Quantiles!Z43&lt;0,"",(Depth0-MIN(Depth0,Quantiles!Z43))/Depth_per_q)</f>
        <v>0.25723610433947</v>
      </c>
      <c r="AA43" s="20" t="n">
        <f aca="false">IF(Quantiles!AA43&lt;0,"",(Depth0-MIN(Depth0,Quantiles!AA43))/Depth_per_q)</f>
        <v>0.219673861087455</v>
      </c>
      <c r="AB43" s="20" t="n">
        <f aca="false">IF(Quantiles!AB43&lt;0,"",(Depth0-MIN(Depth0,Quantiles!AB43))/Depth_per_q)</f>
        <v>0.183070821770305</v>
      </c>
      <c r="AC43" s="20" t="n">
        <f aca="false">IF(Quantiles!AC43&lt;0,"",(Depth0-MIN(Depth0,Quantiles!AC43))/Depth_per_q)</f>
        <v>0.143717655864127</v>
      </c>
      <c r="AD43" s="20" t="n">
        <f aca="false">IF(Quantiles!AD43&lt;0,"",(Depth0-MIN(Depth0,Quantiles!AD43))/Depth_per_q)</f>
        <v>0.1065233411136</v>
      </c>
      <c r="AE43" s="20" t="n">
        <f aca="false">IF(Quantiles!AE43&lt;0,"",(Depth0-MIN(Depth0,Quantiles!AE43))/Depth_per_q)</f>
        <v>0.0733519034109502</v>
      </c>
      <c r="AF43" s="20" t="n">
        <f aca="false">IF(Quantiles!AF43&lt;0,"",(Depth0-MIN(Depth0,Quantiles!AF43))/Depth_per_q)</f>
        <v>0.0360124093876424</v>
      </c>
      <c r="AG43" s="20" t="n">
        <f aca="false">IF(Quantiles!AG43&lt;0,"",(Depth0-MIN(Depth0,Quantiles!AG43))/Depth_per_q)</f>
        <v>0.00293918350787781</v>
      </c>
      <c r="AH43" s="20" t="n">
        <f aca="false">IF(Quantiles!AH43&lt;0,"",(Depth0-MIN(Depth0,Quantiles!AH43))/Depth_per_q)</f>
        <v>0</v>
      </c>
      <c r="AI43" s="20" t="n">
        <f aca="false">IF(Quantiles!AI43&lt;0,"",(Depth0-MIN(Depth0,Quantiles!AI43))/Depth_per_q)</f>
        <v>0</v>
      </c>
      <c r="AJ43" s="20" t="n">
        <f aca="false">IF(Quantiles!AJ43&lt;0,"",(Depth0-MIN(Depth0,Quantiles!AJ43))/Depth_per_q)</f>
        <v>0</v>
      </c>
      <c r="AK43" s="20" t="n">
        <f aca="false">IF(Quantiles!AK43&lt;0,"",(Depth0-MIN(Depth0,Quantiles!AK43))/Depth_per_q)</f>
        <v>0</v>
      </c>
      <c r="AL43" s="20" t="n">
        <f aca="false">IF(Quantiles!AL43&lt;0,"",(Depth0-MIN(Depth0,Quantiles!AL43))/Depth_per_q)</f>
        <v>0</v>
      </c>
      <c r="AM43" s="20" t="n">
        <f aca="false">IF(Quantiles!AM43&lt;0,"",(Depth0-MIN(Depth0,Quantiles!AM43))/Depth_per_q)</f>
        <v>0</v>
      </c>
      <c r="AN43" s="20" t="n">
        <f aca="false">IF(Quantiles!AN43&lt;0,"",(Depth0-MIN(Depth0,Quantiles!AN43))/Depth_per_q)</f>
        <v>0</v>
      </c>
      <c r="AO43" s="20" t="n">
        <f aca="false">IF(Quantiles!AO43&lt;0,"",(Depth0-MIN(Depth0,Quantiles!AO43))/Depth_per_q)</f>
        <v>0</v>
      </c>
      <c r="AP43" s="20" t="n">
        <f aca="false">IF(Quantiles!AP43&lt;0,"",(Depth0-MIN(Depth0,Quantiles!AP43))/Depth_per_q)</f>
        <v>0</v>
      </c>
      <c r="AQ43" s="20" t="n">
        <f aca="false">IF(Quantiles!AQ43&lt;0,"",(Depth0-MIN(Depth0,Quantiles!AQ43))/Depth_per_q)</f>
        <v>0</v>
      </c>
      <c r="AR43" s="20" t="n">
        <f aca="false">IF(Quantiles!AR43&lt;0,"",(Depth0-MIN(Depth0,Quantiles!AR43))/Depth_per_q)</f>
        <v>0</v>
      </c>
      <c r="AS43" s="20" t="n">
        <f aca="false">IF(Quantiles!AS43&lt;0,"",(Depth0-MIN(Depth0,Quantiles!AS43))/Depth_per_q)</f>
        <v>0</v>
      </c>
      <c r="AT43" s="20" t="n">
        <f aca="false">IF(Quantiles!AT43&lt;0,"",(Depth0-MIN(Depth0,Quantiles!AT43))/Depth_per_q)</f>
        <v>0</v>
      </c>
      <c r="AU43" s="20" t="n">
        <f aca="false">IF(Quantiles!AU43&lt;0,"",(Depth0-MIN(Depth0,Quantiles!AU43))/Depth_per_q)</f>
        <v>0</v>
      </c>
      <c r="AV43" s="20" t="n">
        <f aca="false">IF(Quantiles!AV43&lt;0,"",(Depth0-MIN(Depth0,Quantiles!AV43))/Depth_per_q)</f>
        <v>0</v>
      </c>
      <c r="AW43" s="20" t="n">
        <f aca="false">IF(Quantiles!AW43&lt;0,"",(Depth0-MIN(Depth0,Quantiles!AW43))/Depth_per_q)</f>
        <v>0</v>
      </c>
      <c r="AX43" s="20" t="n">
        <f aca="false">IF(Quantiles!AX43&lt;0,"",(Depth0-MIN(Depth0,Quantiles!AX43))/Depth_per_q)</f>
        <v>0</v>
      </c>
      <c r="AY43" s="20" t="n">
        <f aca="false">IF(Quantiles!AY43&lt;0,"",(Depth0-MIN(Depth0,Quantiles!AY43))/Depth_per_q)</f>
        <v>0</v>
      </c>
      <c r="AZ43" s="20" t="n">
        <f aca="false">IF(Quantiles!AZ43&lt;0,"",(Depth0-MIN(Depth0,Quantiles!AZ43))/Depth_per_q)</f>
        <v>0</v>
      </c>
      <c r="BA43" s="20" t="n">
        <f aca="false">IF(Quantiles!BA43&lt;0,"",(Depth0-MIN(Depth0,Quantiles!BA43))/Depth_per_q)</f>
        <v>0</v>
      </c>
      <c r="BB43" s="20" t="n">
        <f aca="false">IF(Quantiles!BB43&lt;0,"",(Depth0-MIN(Depth0,Quantiles!BB43))/Depth_per_q)</f>
        <v>0</v>
      </c>
      <c r="BC43" s="20" t="n">
        <f aca="false">IF(Quantiles!BC43&lt;0,"",(Depth0-MIN(Depth0,Quantiles!BC43))/Depth_per_q)</f>
        <v>0</v>
      </c>
      <c r="BD43" s="20" t="n">
        <f aca="false">IF(Quantiles!BD43&lt;0,"",(Depth0-MIN(Depth0,Quantiles!BD43))/Depth_per_q)</f>
        <v>0</v>
      </c>
      <c r="BE43" s="20" t="n">
        <f aca="false">IF(Quantiles!BE43&lt;0,"",(Depth0-MIN(Depth0,Quantiles!BE43))/Depth_per_q)</f>
        <v>0</v>
      </c>
      <c r="BF43" s="20" t="n">
        <f aca="false">IF(Quantiles!BF43&lt;0,"",(Depth0-MIN(Depth0,Quantiles!BF43))/Depth_per_q)</f>
        <v>0</v>
      </c>
      <c r="BG43" s="20" t="n">
        <f aca="false">IF(Quantiles!BG43&lt;0,"",(Depth0-MIN(Depth0,Quantiles!BG43))/Depth_per_q)</f>
        <v>0</v>
      </c>
      <c r="BH43" s="20" t="n">
        <f aca="false">IF(Quantiles!BH43&lt;0,"",(Depth0-MIN(Depth0,Quantiles!BH43))/Depth_per_q)</f>
        <v>0</v>
      </c>
      <c r="BI43" s="20" t="n">
        <f aca="false">IF(Quantiles!BI43&lt;0,"",(Depth0-MIN(Depth0,Quantiles!BI43))/Depth_per_q)</f>
        <v>0</v>
      </c>
      <c r="BJ43" s="20" t="n">
        <f aca="false">IF(Quantiles!BJ43&lt;0,"",(Depth0-MIN(Depth0,Quantiles!BJ43))/Depth_per_q)</f>
        <v>0</v>
      </c>
      <c r="BK43" s="20" t="n">
        <f aca="false">IF(Quantiles!BK43&lt;0,"",(Depth0-MIN(Depth0,Quantiles!BK43))/Depth_per_q)</f>
        <v>0</v>
      </c>
      <c r="BL43" s="20" t="n">
        <f aca="false">IF(Quantiles!BL43&lt;0,"",(Depth0-MIN(Depth0,Quantiles!BL43))/Depth_per_q)</f>
        <v>0</v>
      </c>
      <c r="BM43" s="20" t="n">
        <f aca="false">IF(Quantiles!BM43&lt;0,"",(Depth0-MIN(Depth0,Quantiles!BM43))/Depth_per_q)</f>
        <v>0</v>
      </c>
      <c r="BN43" s="20" t="n">
        <f aca="false">IF(Quantiles!BN43&lt;0,"",(Depth0-MIN(Depth0,Quantiles!BN43))/Depth_per_q)</f>
        <v>0</v>
      </c>
      <c r="BO43" s="20" t="n">
        <f aca="false">IF(Quantiles!BO43&lt;0,"",(Depth0-MIN(Depth0,Quantiles!BO43))/Depth_per_q)</f>
        <v>0</v>
      </c>
      <c r="BP43" s="20" t="n">
        <f aca="false">IF(Quantiles!BP43&lt;0,"",(Depth0-MIN(Depth0,Quantiles!BP43))/Depth_per_q)</f>
        <v>0</v>
      </c>
      <c r="BQ43" s="20" t="n">
        <f aca="false">IF(Quantiles!BQ43&lt;0,"",(Depth0-MIN(Depth0,Quantiles!BQ43))/Depth_per_q)</f>
        <v>0</v>
      </c>
      <c r="BR43" s="20" t="n">
        <f aca="false">IF(Quantiles!BR43&lt;0,"",(Depth0-MIN(Depth0,Quantiles!BR43))/Depth_per_q)</f>
        <v>0</v>
      </c>
      <c r="BS43" s="20" t="n">
        <f aca="false">IF(Quantiles!BS43&lt;0,"",(Depth0-MIN(Depth0,Quantiles!BS43))/Depth_per_q)</f>
        <v>0</v>
      </c>
      <c r="BT43" s="20" t="n">
        <f aca="false">IF(Quantiles!BT43&lt;0,"",(Depth0-MIN(Depth0,Quantiles!BT43))/Depth_per_q)</f>
        <v>0</v>
      </c>
      <c r="BU43" s="20" t="n">
        <f aca="false">IF(Quantiles!BU43&lt;0,"",(Depth0-MIN(Depth0,Quantiles!BU43))/Depth_per_q)</f>
        <v>0</v>
      </c>
      <c r="BV43" s="20" t="n">
        <f aca="false">IF(Quantiles!BV43&lt;0,"",(Depth0-MIN(Depth0,Quantiles!BV43))/Depth_per_q)</f>
        <v>0</v>
      </c>
      <c r="BW43" s="20" t="n">
        <f aca="false">IF(Quantiles!BW43&lt;0,"",(Depth0-MIN(Depth0,Quantiles!BW43))/Depth_per_q)</f>
        <v>0</v>
      </c>
      <c r="BX43" s="20" t="n">
        <f aca="false">IF(Quantiles!BX43&lt;0,"",(Depth0-MIN(Depth0,Quantiles!BX43))/Depth_per_q)</f>
        <v>0</v>
      </c>
      <c r="BY43" s="20" t="n">
        <f aca="false">IF(Quantiles!BY43&lt;0,"",(Depth0-MIN(Depth0,Quantiles!BY43))/Depth_per_q)</f>
        <v>0</v>
      </c>
      <c r="BZ43" s="20" t="n">
        <f aca="false">IF(Quantiles!BZ43&lt;0,"",(Depth0-MIN(Depth0,Quantiles!BZ43))/Depth_per_q)</f>
        <v>0</v>
      </c>
      <c r="CA43" s="20" t="n">
        <f aca="false">IF(Quantiles!CA43&lt;0,"",(Depth0-MIN(Depth0,Quantiles!CA43))/Depth_per_q)</f>
        <v>0</v>
      </c>
      <c r="CB43" s="20" t="n">
        <f aca="false">IF(Quantiles!CB43&lt;0,"",(Depth0-MIN(Depth0,Quantiles!CB43))/Depth_per_q)</f>
        <v>0</v>
      </c>
      <c r="CC43" s="20" t="n">
        <f aca="false">IF(Quantiles!CC43&lt;0,"",(Depth0-MIN(Depth0,Quantiles!CC43))/Depth_per_q)</f>
        <v>0</v>
      </c>
      <c r="CD43" s="20" t="n">
        <f aca="false">IF(Quantiles!CD43&lt;0,"",(Depth0-MIN(Depth0,Quantiles!CD43))/Depth_per_q)</f>
        <v>0</v>
      </c>
      <c r="CE43" s="20" t="n">
        <f aca="false">IF(Quantiles!CE43&lt;0,"",(Depth0-MIN(Depth0,Quantiles!CE43))/Depth_per_q)</f>
        <v>0</v>
      </c>
      <c r="CF43" s="20" t="n">
        <f aca="false">IF(Quantiles!CF43&lt;0,"",(Depth0-MIN(Depth0,Quantiles!CF43))/Depth_per_q)</f>
        <v>0</v>
      </c>
      <c r="CG43" s="20" t="n">
        <f aca="false">IF(Quantiles!CG43&lt;0,"",(Depth0-MIN(Depth0,Quantiles!CG43))/Depth_per_q)</f>
        <v>0</v>
      </c>
      <c r="CH43" s="20" t="n">
        <f aca="false">IF(Quantiles!CH43&lt;0,"",(Depth0-MIN(Depth0,Quantiles!CH43))/Depth_per_q)</f>
        <v>0</v>
      </c>
      <c r="CI43" s="20" t="n">
        <f aca="false">IF(Quantiles!CI43&lt;0,"",(Depth0-MIN(Depth0,Quantiles!CI43))/Depth_per_q)</f>
        <v>0</v>
      </c>
      <c r="CJ43" s="20" t="n">
        <f aca="false">IF(Quantiles!CJ43&lt;0,"",(Depth0-MIN(Depth0,Quantiles!CJ43))/Depth_per_q)</f>
        <v>0</v>
      </c>
      <c r="CK43" s="20" t="n">
        <f aca="false">IF(Quantiles!CK43&lt;0,"",(Depth0-MIN(Depth0,Quantiles!CK43))/Depth_per_q)</f>
        <v>0</v>
      </c>
      <c r="CL43" s="20" t="n">
        <f aca="false">IF(Quantiles!CL43&lt;0,"",(Depth0-MIN(Depth0,Quantiles!CL43))/Depth_per_q)</f>
        <v>0</v>
      </c>
      <c r="CM43" s="20" t="n">
        <f aca="false">IF(Quantiles!CM43&lt;0,"",(Depth0-MIN(Depth0,Quantiles!CM43))/Depth_per_q)</f>
        <v>0</v>
      </c>
      <c r="CN43" s="20" t="n">
        <f aca="false">IF(Quantiles!CN43&lt;0,"",(Depth0-MIN(Depth0,Quantiles!CN43))/Depth_per_q)</f>
        <v>0</v>
      </c>
      <c r="CO43" s="20" t="n">
        <f aca="false">IF(Quantiles!CO43&lt;0,"",(Depth0-MIN(Depth0,Quantiles!CO43))/Depth_per_q)</f>
        <v>0</v>
      </c>
      <c r="CP43" s="20" t="n">
        <f aca="false">IF(Quantiles!CP43&lt;0,"",(Depth0-MIN(Depth0,Quantiles!CP43))/Depth_per_q)</f>
        <v>0</v>
      </c>
      <c r="CQ43" s="20" t="n">
        <f aca="false">IF(Quantiles!CQ43&lt;0,"",(Depth0-MIN(Depth0,Quantiles!CQ43))/Depth_per_q)</f>
        <v>0</v>
      </c>
      <c r="CR43" s="20" t="n">
        <f aca="false">IF(Quantiles!CR43&lt;0,"",(Depth0-MIN(Depth0,Quantiles!CR43))/Depth_per_q)</f>
        <v>0</v>
      </c>
      <c r="CS43" s="20" t="n">
        <f aca="false">IF(Quantiles!CS43&lt;0,"",(Depth0-MIN(Depth0,Quantiles!CS43))/Depth_per_q)</f>
        <v>0</v>
      </c>
      <c r="CT43" s="20" t="n">
        <f aca="false">IF(Quantiles!CT43&lt;0,"",(Depth0-MIN(Depth0,Quantiles!CT43))/Depth_per_q)</f>
        <v>1.13713069129886</v>
      </c>
    </row>
    <row r="44" customFormat="false" ht="15" hidden="false" customHeight="false" outlineLevel="0" collapsed="false">
      <c r="A44" s="25" t="n">
        <f aca="false">Quantiles!A44</f>
        <v>195</v>
      </c>
      <c r="B44" s="20" t="n">
        <f aca="false">IF(Quantiles!B44&lt;0,"",(Depth0-MIN(Depth0,Quantiles!B44))/Depth_per_q)</f>
        <v>2.16103679531459</v>
      </c>
      <c r="C44" s="20" t="n">
        <f aca="false">IF(Quantiles!C44&lt;0,"",(Depth0-MIN(Depth0,Quantiles!C44))/Depth_per_q)</f>
        <v>1.94200302317227</v>
      </c>
      <c r="D44" s="20" t="n">
        <f aca="false">IF(Quantiles!D44&lt;0,"",(Depth0-MIN(Depth0,Quantiles!D44))/Depth_per_q)</f>
        <v>1.78675315261931</v>
      </c>
      <c r="E44" s="20" t="n">
        <f aca="false">IF(Quantiles!E44&lt;0,"",(Depth0-MIN(Depth0,Quantiles!E44))/Depth_per_q)</f>
        <v>1.64341232244694</v>
      </c>
      <c r="F44" s="20" t="n">
        <f aca="false">IF(Quantiles!F44&lt;0,"",(Depth0-MIN(Depth0,Quantiles!F44))/Depth_per_q)</f>
        <v>1.51573696274717</v>
      </c>
      <c r="G44" s="20" t="n">
        <f aca="false">IF(Quantiles!G44&lt;0,"",(Depth0-MIN(Depth0,Quantiles!G44))/Depth_per_q)</f>
        <v>1.40045775528131</v>
      </c>
      <c r="H44" s="20" t="n">
        <f aca="false">IF(Quantiles!H44&lt;0,"",(Depth0-MIN(Depth0,Quantiles!H44))/Depth_per_q)</f>
        <v>1.30149161113581</v>
      </c>
      <c r="I44" s="20" t="n">
        <f aca="false">IF(Quantiles!I44&lt;0,"",(Depth0-MIN(Depth0,Quantiles!I44))/Depth_per_q)</f>
        <v>1.21561813325213</v>
      </c>
      <c r="J44" s="20" t="n">
        <f aca="false">IF(Quantiles!J44&lt;0,"",(Depth0-MIN(Depth0,Quantiles!J44))/Depth_per_q)</f>
        <v>1.1265603097295</v>
      </c>
      <c r="K44" s="20" t="n">
        <f aca="false">IF(Quantiles!K44&lt;0,"",(Depth0-MIN(Depth0,Quantiles!K44))/Depth_per_q)</f>
        <v>1.05633936897198</v>
      </c>
      <c r="L44" s="20" t="n">
        <f aca="false">IF(Quantiles!L44&lt;0,"",(Depth0-MIN(Depth0,Quantiles!L44))/Depth_per_q)</f>
        <v>0.977746663308762</v>
      </c>
      <c r="M44" s="20" t="n">
        <f aca="false">IF(Quantiles!M44&lt;0,"",(Depth0-MIN(Depth0,Quantiles!M44))/Depth_per_q)</f>
        <v>0.907185066017307</v>
      </c>
      <c r="N44" s="20" t="n">
        <f aca="false">IF(Quantiles!N44&lt;0,"",(Depth0-MIN(Depth0,Quantiles!N44))/Depth_per_q)</f>
        <v>0.844179958226148</v>
      </c>
      <c r="O44" s="20" t="n">
        <f aca="false">IF(Quantiles!O44&lt;0,"",(Depth0-MIN(Depth0,Quantiles!O44))/Depth_per_q)</f>
        <v>0.78179555303635</v>
      </c>
      <c r="P44" s="20" t="n">
        <f aca="false">IF(Quantiles!P44&lt;0,"",(Depth0-MIN(Depth0,Quantiles!P44))/Depth_per_q)</f>
        <v>0.71931514245286</v>
      </c>
      <c r="Q44" s="20" t="n">
        <f aca="false">IF(Quantiles!Q44&lt;0,"",(Depth0-MIN(Depth0,Quantiles!Q44))/Depth_per_q)</f>
        <v>0.66078362445133</v>
      </c>
      <c r="R44" s="20" t="n">
        <f aca="false">IF(Quantiles!R44&lt;0,"",(Depth0-MIN(Depth0,Quantiles!R44))/Depth_per_q)</f>
        <v>0.603929683416053</v>
      </c>
      <c r="S44" s="20" t="n">
        <f aca="false">IF(Quantiles!S44&lt;0,"",(Depth0-MIN(Depth0,Quantiles!S44))/Depth_per_q)</f>
        <v>0.5537504407303</v>
      </c>
      <c r="T44" s="20" t="n">
        <f aca="false">IF(Quantiles!T44&lt;0,"",(Depth0-MIN(Depth0,Quantiles!T44))/Depth_per_q)</f>
        <v>0.504472191115695</v>
      </c>
      <c r="U44" s="20" t="n">
        <f aca="false">IF(Quantiles!U44&lt;0,"",(Depth0-MIN(Depth0,Quantiles!U44))/Depth_per_q)</f>
        <v>0.45986754374697</v>
      </c>
      <c r="V44" s="20" t="n">
        <f aca="false">IF(Quantiles!V44&lt;0,"",(Depth0-MIN(Depth0,Quantiles!V44))/Depth_per_q)</f>
        <v>0.417045949022937</v>
      </c>
      <c r="W44" s="20" t="n">
        <f aca="false">IF(Quantiles!W44&lt;0,"",(Depth0-MIN(Depth0,Quantiles!W44))/Depth_per_q)</f>
        <v>0.37332285408783</v>
      </c>
      <c r="X44" s="20" t="n">
        <f aca="false">IF(Quantiles!X44&lt;0,"",(Depth0-MIN(Depth0,Quantiles!X44))/Depth_per_q)</f>
        <v>0.33036163624363</v>
      </c>
      <c r="Y44" s="20" t="n">
        <f aca="false">IF(Quantiles!Y44&lt;0,"",(Depth0-MIN(Depth0,Quantiles!Y44))/Depth_per_q)</f>
        <v>0.285841099271135</v>
      </c>
      <c r="Z44" s="20" t="n">
        <f aca="false">IF(Quantiles!Z44&lt;0,"",(Depth0-MIN(Depth0,Quantiles!Z44))/Depth_per_q)</f>
        <v>0.24836792305704</v>
      </c>
      <c r="AA44" s="20" t="n">
        <f aca="false">IF(Quantiles!AA44&lt;0,"",(Depth0-MIN(Depth0,Quantiles!AA44))/Depth_per_q)</f>
        <v>0.210870068231355</v>
      </c>
      <c r="AB44" s="20" t="n">
        <f aca="false">IF(Quantiles!AB44&lt;0,"",(Depth0-MIN(Depth0,Quantiles!AB44))/Depth_per_q)</f>
        <v>0.174272608780225</v>
      </c>
      <c r="AC44" s="20" t="n">
        <f aca="false">IF(Quantiles!AC44&lt;0,"",(Depth0-MIN(Depth0,Quantiles!AC44))/Depth_per_q)</f>
        <v>0.135546358718387</v>
      </c>
      <c r="AD44" s="20" t="n">
        <f aca="false">IF(Quantiles!AD44&lt;0,"",(Depth0-MIN(Depth0,Quantiles!AD44))/Depth_per_q)</f>
        <v>0.0991128448717502</v>
      </c>
      <c r="AE44" s="20" t="n">
        <f aca="false">IF(Quantiles!AE44&lt;0,"",(Depth0-MIN(Depth0,Quantiles!AE44))/Depth_per_q)</f>
        <v>0.0656413031638277</v>
      </c>
      <c r="AF44" s="20" t="n">
        <f aca="false">IF(Quantiles!AF44&lt;0,"",(Depth0-MIN(Depth0,Quantiles!AF44))/Depth_per_q)</f>
        <v>0.0284789934655825</v>
      </c>
      <c r="AG44" s="20" t="n">
        <f aca="false">IF(Quantiles!AG44&lt;0,"",(Depth0-MIN(Depth0,Quantiles!AG44))/Depth_per_q)</f>
        <v>0</v>
      </c>
      <c r="AH44" s="20" t="n">
        <f aca="false">IF(Quantiles!AH44&lt;0,"",(Depth0-MIN(Depth0,Quantiles!AH44))/Depth_per_q)</f>
        <v>0</v>
      </c>
      <c r="AI44" s="20" t="n">
        <f aca="false">IF(Quantiles!AI44&lt;0,"",(Depth0-MIN(Depth0,Quantiles!AI44))/Depth_per_q)</f>
        <v>0</v>
      </c>
      <c r="AJ44" s="20" t="n">
        <f aca="false">IF(Quantiles!AJ44&lt;0,"",(Depth0-MIN(Depth0,Quantiles!AJ44))/Depth_per_q)</f>
        <v>0</v>
      </c>
      <c r="AK44" s="20" t="n">
        <f aca="false">IF(Quantiles!AK44&lt;0,"",(Depth0-MIN(Depth0,Quantiles!AK44))/Depth_per_q)</f>
        <v>0</v>
      </c>
      <c r="AL44" s="20" t="n">
        <f aca="false">IF(Quantiles!AL44&lt;0,"",(Depth0-MIN(Depth0,Quantiles!AL44))/Depth_per_q)</f>
        <v>0</v>
      </c>
      <c r="AM44" s="20" t="n">
        <f aca="false">IF(Quantiles!AM44&lt;0,"",(Depth0-MIN(Depth0,Quantiles!AM44))/Depth_per_q)</f>
        <v>0</v>
      </c>
      <c r="AN44" s="20" t="n">
        <f aca="false">IF(Quantiles!AN44&lt;0,"",(Depth0-MIN(Depth0,Quantiles!AN44))/Depth_per_q)</f>
        <v>0</v>
      </c>
      <c r="AO44" s="20" t="n">
        <f aca="false">IF(Quantiles!AO44&lt;0,"",(Depth0-MIN(Depth0,Quantiles!AO44))/Depth_per_q)</f>
        <v>0</v>
      </c>
      <c r="AP44" s="20" t="n">
        <f aca="false">IF(Quantiles!AP44&lt;0,"",(Depth0-MIN(Depth0,Quantiles!AP44))/Depth_per_q)</f>
        <v>0</v>
      </c>
      <c r="AQ44" s="20" t="n">
        <f aca="false">IF(Quantiles!AQ44&lt;0,"",(Depth0-MIN(Depth0,Quantiles!AQ44))/Depth_per_q)</f>
        <v>0</v>
      </c>
      <c r="AR44" s="20" t="n">
        <f aca="false">IF(Quantiles!AR44&lt;0,"",(Depth0-MIN(Depth0,Quantiles!AR44))/Depth_per_q)</f>
        <v>0</v>
      </c>
      <c r="AS44" s="20" t="n">
        <f aca="false">IF(Quantiles!AS44&lt;0,"",(Depth0-MIN(Depth0,Quantiles!AS44))/Depth_per_q)</f>
        <v>0</v>
      </c>
      <c r="AT44" s="20" t="n">
        <f aca="false">IF(Quantiles!AT44&lt;0,"",(Depth0-MIN(Depth0,Quantiles!AT44))/Depth_per_q)</f>
        <v>0</v>
      </c>
      <c r="AU44" s="20" t="n">
        <f aca="false">IF(Quantiles!AU44&lt;0,"",(Depth0-MIN(Depth0,Quantiles!AU44))/Depth_per_q)</f>
        <v>0</v>
      </c>
      <c r="AV44" s="20" t="n">
        <f aca="false">IF(Quantiles!AV44&lt;0,"",(Depth0-MIN(Depth0,Quantiles!AV44))/Depth_per_q)</f>
        <v>0</v>
      </c>
      <c r="AW44" s="20" t="n">
        <f aca="false">IF(Quantiles!AW44&lt;0,"",(Depth0-MIN(Depth0,Quantiles!AW44))/Depth_per_q)</f>
        <v>0</v>
      </c>
      <c r="AX44" s="20" t="n">
        <f aca="false">IF(Quantiles!AX44&lt;0,"",(Depth0-MIN(Depth0,Quantiles!AX44))/Depth_per_q)</f>
        <v>0</v>
      </c>
      <c r="AY44" s="20" t="n">
        <f aca="false">IF(Quantiles!AY44&lt;0,"",(Depth0-MIN(Depth0,Quantiles!AY44))/Depth_per_q)</f>
        <v>0</v>
      </c>
      <c r="AZ44" s="20" t="n">
        <f aca="false">IF(Quantiles!AZ44&lt;0,"",(Depth0-MIN(Depth0,Quantiles!AZ44))/Depth_per_q)</f>
        <v>0</v>
      </c>
      <c r="BA44" s="20" t="n">
        <f aca="false">IF(Quantiles!BA44&lt;0,"",(Depth0-MIN(Depth0,Quantiles!BA44))/Depth_per_q)</f>
        <v>0</v>
      </c>
      <c r="BB44" s="20" t="n">
        <f aca="false">IF(Quantiles!BB44&lt;0,"",(Depth0-MIN(Depth0,Quantiles!BB44))/Depth_per_q)</f>
        <v>0</v>
      </c>
      <c r="BC44" s="20" t="n">
        <f aca="false">IF(Quantiles!BC44&lt;0,"",(Depth0-MIN(Depth0,Quantiles!BC44))/Depth_per_q)</f>
        <v>0</v>
      </c>
      <c r="BD44" s="20" t="n">
        <f aca="false">IF(Quantiles!BD44&lt;0,"",(Depth0-MIN(Depth0,Quantiles!BD44))/Depth_per_q)</f>
        <v>0</v>
      </c>
      <c r="BE44" s="20" t="n">
        <f aca="false">IF(Quantiles!BE44&lt;0,"",(Depth0-MIN(Depth0,Quantiles!BE44))/Depth_per_q)</f>
        <v>0</v>
      </c>
      <c r="BF44" s="20" t="n">
        <f aca="false">IF(Quantiles!BF44&lt;0,"",(Depth0-MIN(Depth0,Quantiles!BF44))/Depth_per_q)</f>
        <v>0</v>
      </c>
      <c r="BG44" s="20" t="n">
        <f aca="false">IF(Quantiles!BG44&lt;0,"",(Depth0-MIN(Depth0,Quantiles!BG44))/Depth_per_q)</f>
        <v>0</v>
      </c>
      <c r="BH44" s="20" t="n">
        <f aca="false">IF(Quantiles!BH44&lt;0,"",(Depth0-MIN(Depth0,Quantiles!BH44))/Depth_per_q)</f>
        <v>0</v>
      </c>
      <c r="BI44" s="20" t="n">
        <f aca="false">IF(Quantiles!BI44&lt;0,"",(Depth0-MIN(Depth0,Quantiles!BI44))/Depth_per_q)</f>
        <v>0</v>
      </c>
      <c r="BJ44" s="20" t="n">
        <f aca="false">IF(Quantiles!BJ44&lt;0,"",(Depth0-MIN(Depth0,Quantiles!BJ44))/Depth_per_q)</f>
        <v>0</v>
      </c>
      <c r="BK44" s="20" t="n">
        <f aca="false">IF(Quantiles!BK44&lt;0,"",(Depth0-MIN(Depth0,Quantiles!BK44))/Depth_per_q)</f>
        <v>0</v>
      </c>
      <c r="BL44" s="20" t="n">
        <f aca="false">IF(Quantiles!BL44&lt;0,"",(Depth0-MIN(Depth0,Quantiles!BL44))/Depth_per_q)</f>
        <v>0</v>
      </c>
      <c r="BM44" s="20" t="n">
        <f aca="false">IF(Quantiles!BM44&lt;0,"",(Depth0-MIN(Depth0,Quantiles!BM44))/Depth_per_q)</f>
        <v>0</v>
      </c>
      <c r="BN44" s="20" t="n">
        <f aca="false">IF(Quantiles!BN44&lt;0,"",(Depth0-MIN(Depth0,Quantiles!BN44))/Depth_per_q)</f>
        <v>0</v>
      </c>
      <c r="BO44" s="20" t="n">
        <f aca="false">IF(Quantiles!BO44&lt;0,"",(Depth0-MIN(Depth0,Quantiles!BO44))/Depth_per_q)</f>
        <v>0</v>
      </c>
      <c r="BP44" s="20" t="n">
        <f aca="false">IF(Quantiles!BP44&lt;0,"",(Depth0-MIN(Depth0,Quantiles!BP44))/Depth_per_q)</f>
        <v>0</v>
      </c>
      <c r="BQ44" s="20" t="n">
        <f aca="false">IF(Quantiles!BQ44&lt;0,"",(Depth0-MIN(Depth0,Quantiles!BQ44))/Depth_per_q)</f>
        <v>0</v>
      </c>
      <c r="BR44" s="20" t="n">
        <f aca="false">IF(Quantiles!BR44&lt;0,"",(Depth0-MIN(Depth0,Quantiles!BR44))/Depth_per_q)</f>
        <v>0</v>
      </c>
      <c r="BS44" s="20" t="n">
        <f aca="false">IF(Quantiles!BS44&lt;0,"",(Depth0-MIN(Depth0,Quantiles!BS44))/Depth_per_q)</f>
        <v>0</v>
      </c>
      <c r="BT44" s="20" t="n">
        <f aca="false">IF(Quantiles!BT44&lt;0,"",(Depth0-MIN(Depth0,Quantiles!BT44))/Depth_per_q)</f>
        <v>0</v>
      </c>
      <c r="BU44" s="20" t="n">
        <f aca="false">IF(Quantiles!BU44&lt;0,"",(Depth0-MIN(Depth0,Quantiles!BU44))/Depth_per_q)</f>
        <v>0</v>
      </c>
      <c r="BV44" s="20" t="n">
        <f aca="false">IF(Quantiles!BV44&lt;0,"",(Depth0-MIN(Depth0,Quantiles!BV44))/Depth_per_q)</f>
        <v>0</v>
      </c>
      <c r="BW44" s="20" t="n">
        <f aca="false">IF(Quantiles!BW44&lt;0,"",(Depth0-MIN(Depth0,Quantiles!BW44))/Depth_per_q)</f>
        <v>0</v>
      </c>
      <c r="BX44" s="20" t="n">
        <f aca="false">IF(Quantiles!BX44&lt;0,"",(Depth0-MIN(Depth0,Quantiles!BX44))/Depth_per_q)</f>
        <v>0</v>
      </c>
      <c r="BY44" s="20" t="n">
        <f aca="false">IF(Quantiles!BY44&lt;0,"",(Depth0-MIN(Depth0,Quantiles!BY44))/Depth_per_q)</f>
        <v>0</v>
      </c>
      <c r="BZ44" s="20" t="n">
        <f aca="false">IF(Quantiles!BZ44&lt;0,"",(Depth0-MIN(Depth0,Quantiles!BZ44))/Depth_per_q)</f>
        <v>0</v>
      </c>
      <c r="CA44" s="20" t="n">
        <f aca="false">IF(Quantiles!CA44&lt;0,"",(Depth0-MIN(Depth0,Quantiles!CA44))/Depth_per_q)</f>
        <v>0</v>
      </c>
      <c r="CB44" s="20" t="n">
        <f aca="false">IF(Quantiles!CB44&lt;0,"",(Depth0-MIN(Depth0,Quantiles!CB44))/Depth_per_q)</f>
        <v>0</v>
      </c>
      <c r="CC44" s="20" t="n">
        <f aca="false">IF(Quantiles!CC44&lt;0,"",(Depth0-MIN(Depth0,Quantiles!CC44))/Depth_per_q)</f>
        <v>0</v>
      </c>
      <c r="CD44" s="20" t="n">
        <f aca="false">IF(Quantiles!CD44&lt;0,"",(Depth0-MIN(Depth0,Quantiles!CD44))/Depth_per_q)</f>
        <v>0</v>
      </c>
      <c r="CE44" s="20" t="n">
        <f aca="false">IF(Quantiles!CE44&lt;0,"",(Depth0-MIN(Depth0,Quantiles!CE44))/Depth_per_q)</f>
        <v>0</v>
      </c>
      <c r="CF44" s="20" t="n">
        <f aca="false">IF(Quantiles!CF44&lt;0,"",(Depth0-MIN(Depth0,Quantiles!CF44))/Depth_per_q)</f>
        <v>0</v>
      </c>
      <c r="CG44" s="20" t="n">
        <f aca="false">IF(Quantiles!CG44&lt;0,"",(Depth0-MIN(Depth0,Quantiles!CG44))/Depth_per_q)</f>
        <v>0</v>
      </c>
      <c r="CH44" s="20" t="n">
        <f aca="false">IF(Quantiles!CH44&lt;0,"",(Depth0-MIN(Depth0,Quantiles!CH44))/Depth_per_q)</f>
        <v>0</v>
      </c>
      <c r="CI44" s="20" t="n">
        <f aca="false">IF(Quantiles!CI44&lt;0,"",(Depth0-MIN(Depth0,Quantiles!CI44))/Depth_per_q)</f>
        <v>0</v>
      </c>
      <c r="CJ44" s="20" t="n">
        <f aca="false">IF(Quantiles!CJ44&lt;0,"",(Depth0-MIN(Depth0,Quantiles!CJ44))/Depth_per_q)</f>
        <v>0</v>
      </c>
      <c r="CK44" s="20" t="n">
        <f aca="false">IF(Quantiles!CK44&lt;0,"",(Depth0-MIN(Depth0,Quantiles!CK44))/Depth_per_q)</f>
        <v>0</v>
      </c>
      <c r="CL44" s="20" t="n">
        <f aca="false">IF(Quantiles!CL44&lt;0,"",(Depth0-MIN(Depth0,Quantiles!CL44))/Depth_per_q)</f>
        <v>0</v>
      </c>
      <c r="CM44" s="20" t="n">
        <f aca="false">IF(Quantiles!CM44&lt;0,"",(Depth0-MIN(Depth0,Quantiles!CM44))/Depth_per_q)</f>
        <v>0</v>
      </c>
      <c r="CN44" s="20" t="n">
        <f aca="false">IF(Quantiles!CN44&lt;0,"",(Depth0-MIN(Depth0,Quantiles!CN44))/Depth_per_q)</f>
        <v>0</v>
      </c>
      <c r="CO44" s="20" t="n">
        <f aca="false">IF(Quantiles!CO44&lt;0,"",(Depth0-MIN(Depth0,Quantiles!CO44))/Depth_per_q)</f>
        <v>0</v>
      </c>
      <c r="CP44" s="20" t="n">
        <f aca="false">IF(Quantiles!CP44&lt;0,"",(Depth0-MIN(Depth0,Quantiles!CP44))/Depth_per_q)</f>
        <v>0</v>
      </c>
      <c r="CQ44" s="20" t="n">
        <f aca="false">IF(Quantiles!CQ44&lt;0,"",(Depth0-MIN(Depth0,Quantiles!CQ44))/Depth_per_q)</f>
        <v>0</v>
      </c>
      <c r="CR44" s="20" t="n">
        <f aca="false">IF(Quantiles!CR44&lt;0,"",(Depth0-MIN(Depth0,Quantiles!CR44))/Depth_per_q)</f>
        <v>0</v>
      </c>
      <c r="CS44" s="20" t="n">
        <f aca="false">IF(Quantiles!CS44&lt;0,"",(Depth0-MIN(Depth0,Quantiles!CS44))/Depth_per_q)</f>
        <v>0</v>
      </c>
      <c r="CT44" s="20" t="n">
        <f aca="false">IF(Quantiles!CT44&lt;0,"",(Depth0-MIN(Depth0,Quantiles!CT44))/Depth_per_q)</f>
        <v>1.12573035228029</v>
      </c>
    </row>
    <row r="45" customFormat="false" ht="15" hidden="false" customHeight="false" outlineLevel="0" collapsed="false">
      <c r="A45" s="25" t="n">
        <f aca="false">Quantiles!A45</f>
        <v>200</v>
      </c>
      <c r="B45" s="20" t="n">
        <f aca="false">IF(Quantiles!B45&lt;0,"",(Depth0-MIN(Depth0,Quantiles!B45))/Depth_per_q)</f>
        <v>2.14376297435649</v>
      </c>
      <c r="C45" s="20" t="n">
        <f aca="false">IF(Quantiles!C45&lt;0,"",(Depth0-MIN(Depth0,Quantiles!C45))/Depth_per_q)</f>
        <v>1.93306384691538</v>
      </c>
      <c r="D45" s="20" t="n">
        <f aca="false">IF(Quantiles!D45&lt;0,"",(Depth0-MIN(Depth0,Quantiles!D45))/Depth_per_q)</f>
        <v>1.7768548860345</v>
      </c>
      <c r="E45" s="20" t="n">
        <f aca="false">IF(Quantiles!E45&lt;0,"",(Depth0-MIN(Depth0,Quantiles!E45))/Depth_per_q)</f>
        <v>1.63268433361315</v>
      </c>
      <c r="F45" s="20" t="n">
        <f aca="false">IF(Quantiles!F45&lt;0,"",(Depth0-MIN(Depth0,Quantiles!F45))/Depth_per_q)</f>
        <v>1.50507112341623</v>
      </c>
      <c r="G45" s="20" t="n">
        <f aca="false">IF(Quantiles!G45&lt;0,"",(Depth0-MIN(Depth0,Quantiles!G45))/Depth_per_q)</f>
        <v>1.38515132586162</v>
      </c>
      <c r="H45" s="20" t="n">
        <f aca="false">IF(Quantiles!H45&lt;0,"",(Depth0-MIN(Depth0,Quantiles!H45))/Depth_per_q)</f>
        <v>1.28700136050147</v>
      </c>
      <c r="I45" s="20" t="n">
        <f aca="false">IF(Quantiles!I45&lt;0,"",(Depth0-MIN(Depth0,Quantiles!I45))/Depth_per_q)</f>
        <v>1.20745908029874</v>
      </c>
      <c r="J45" s="20" t="n">
        <f aca="false">IF(Quantiles!J45&lt;0,"",(Depth0-MIN(Depth0,Quantiles!J45))/Depth_per_q)</f>
        <v>1.11931321306797</v>
      </c>
      <c r="K45" s="20" t="n">
        <f aca="false">IF(Quantiles!K45&lt;0,"",(Depth0-MIN(Depth0,Quantiles!K45))/Depth_per_q)</f>
        <v>1.04203951963169</v>
      </c>
      <c r="L45" s="20" t="n">
        <f aca="false">IF(Quantiles!L45&lt;0,"",(Depth0-MIN(Depth0,Quantiles!L45))/Depth_per_q)</f>
        <v>0.968975948605235</v>
      </c>
      <c r="M45" s="20" t="n">
        <f aca="false">IF(Quantiles!M45&lt;0,"",(Depth0-MIN(Depth0,Quantiles!M45))/Depth_per_q)</f>
        <v>0.89978495513925</v>
      </c>
      <c r="N45" s="20" t="n">
        <f aca="false">IF(Quantiles!N45&lt;0,"",(Depth0-MIN(Depth0,Quantiles!N45))/Depth_per_q)</f>
        <v>0.834510280039522</v>
      </c>
      <c r="O45" s="20" t="n">
        <f aca="false">IF(Quantiles!O45&lt;0,"",(Depth0-MIN(Depth0,Quantiles!O45))/Depth_per_q)</f>
        <v>0.77328627356445</v>
      </c>
      <c r="P45" s="20" t="n">
        <f aca="false">IF(Quantiles!P45&lt;0,"",(Depth0-MIN(Depth0,Quantiles!P45))/Depth_per_q)</f>
        <v>0.712116288009097</v>
      </c>
      <c r="Q45" s="20" t="n">
        <f aca="false">IF(Quantiles!Q45&lt;0,"",(Depth0-MIN(Depth0,Quantiles!Q45))/Depth_per_q)</f>
        <v>0.656337769330327</v>
      </c>
      <c r="R45" s="20" t="n">
        <f aca="false">IF(Quantiles!R45&lt;0,"",(Depth0-MIN(Depth0,Quantiles!R45))/Depth_per_q)</f>
        <v>0.599256117090068</v>
      </c>
      <c r="S45" s="20" t="n">
        <f aca="false">IF(Quantiles!S45&lt;0,"",(Depth0-MIN(Depth0,Quantiles!S45))/Depth_per_q)</f>
        <v>0.54976297039811</v>
      </c>
      <c r="T45" s="20" t="n">
        <f aca="false">IF(Quantiles!T45&lt;0,"",(Depth0-MIN(Depth0,Quantiles!T45))/Depth_per_q)</f>
        <v>0.50000021793208</v>
      </c>
      <c r="U45" s="20" t="n">
        <f aca="false">IF(Quantiles!U45&lt;0,"",(Depth0-MIN(Depth0,Quantiles!U45))/Depth_per_q)</f>
        <v>0.454069430902033</v>
      </c>
      <c r="V45" s="20" t="n">
        <f aca="false">IF(Quantiles!V45&lt;0,"",(Depth0-MIN(Depth0,Quantiles!V45))/Depth_per_q)</f>
        <v>0.409064338322105</v>
      </c>
      <c r="W45" s="20" t="n">
        <f aca="false">IF(Quantiles!W45&lt;0,"",(Depth0-MIN(Depth0,Quantiles!W45))/Depth_per_q)</f>
        <v>0.364439501136645</v>
      </c>
      <c r="X45" s="20" t="n">
        <f aca="false">IF(Quantiles!X45&lt;0,"",(Depth0-MIN(Depth0,Quantiles!X45))/Depth_per_q)</f>
        <v>0.322750161744877</v>
      </c>
      <c r="Y45" s="20" t="n">
        <f aca="false">IF(Quantiles!Y45&lt;0,"",(Depth0-MIN(Depth0,Quantiles!Y45))/Depth_per_q)</f>
        <v>0.279196092313745</v>
      </c>
      <c r="Z45" s="20" t="n">
        <f aca="false">IF(Quantiles!Z45&lt;0,"",(Depth0-MIN(Depth0,Quantiles!Z45))/Depth_per_q)</f>
        <v>0.240914697361602</v>
      </c>
      <c r="AA45" s="20" t="n">
        <f aca="false">IF(Quantiles!AA45&lt;0,"",(Depth0-MIN(Depth0,Quantiles!AA45))/Depth_per_q)</f>
        <v>0.203575938651565</v>
      </c>
      <c r="AB45" s="20" t="n">
        <f aca="false">IF(Quantiles!AB45&lt;0,"",(Depth0-MIN(Depth0,Quantiles!AB45))/Depth_per_q)</f>
        <v>0.167574117177135</v>
      </c>
      <c r="AC45" s="20" t="n">
        <f aca="false">IF(Quantiles!AC45&lt;0,"",(Depth0-MIN(Depth0,Quantiles!AC45))/Depth_per_q)</f>
        <v>0.127552338889845</v>
      </c>
      <c r="AD45" s="20" t="n">
        <f aca="false">IF(Quantiles!AD45&lt;0,"",(Depth0-MIN(Depth0,Quantiles!AD45))/Depth_per_q)</f>
        <v>0.0925374298924302</v>
      </c>
      <c r="AE45" s="20" t="n">
        <f aca="false">IF(Quantiles!AE45&lt;0,"",(Depth0-MIN(Depth0,Quantiles!AE45))/Depth_per_q)</f>
        <v>0.0557036199458674</v>
      </c>
      <c r="AF45" s="20" t="n">
        <f aca="false">IF(Quantiles!AF45&lt;0,"",(Depth0-MIN(Depth0,Quantiles!AF45))/Depth_per_q)</f>
        <v>0.0232069289019679</v>
      </c>
      <c r="AG45" s="20" t="n">
        <f aca="false">IF(Quantiles!AG45&lt;0,"",(Depth0-MIN(Depth0,Quantiles!AG45))/Depth_per_q)</f>
        <v>0</v>
      </c>
      <c r="AH45" s="20" t="n">
        <f aca="false">IF(Quantiles!AH45&lt;0,"",(Depth0-MIN(Depth0,Quantiles!AH45))/Depth_per_q)</f>
        <v>0</v>
      </c>
      <c r="AI45" s="20" t="n">
        <f aca="false">IF(Quantiles!AI45&lt;0,"",(Depth0-MIN(Depth0,Quantiles!AI45))/Depth_per_q)</f>
        <v>0</v>
      </c>
      <c r="AJ45" s="20" t="n">
        <f aca="false">IF(Quantiles!AJ45&lt;0,"",(Depth0-MIN(Depth0,Quantiles!AJ45))/Depth_per_q)</f>
        <v>0</v>
      </c>
      <c r="AK45" s="20" t="n">
        <f aca="false">IF(Quantiles!AK45&lt;0,"",(Depth0-MIN(Depth0,Quantiles!AK45))/Depth_per_q)</f>
        <v>0</v>
      </c>
      <c r="AL45" s="20" t="n">
        <f aca="false">IF(Quantiles!AL45&lt;0,"",(Depth0-MIN(Depth0,Quantiles!AL45))/Depth_per_q)</f>
        <v>0</v>
      </c>
      <c r="AM45" s="20" t="n">
        <f aca="false">IF(Quantiles!AM45&lt;0,"",(Depth0-MIN(Depth0,Quantiles!AM45))/Depth_per_q)</f>
        <v>0</v>
      </c>
      <c r="AN45" s="20" t="n">
        <f aca="false">IF(Quantiles!AN45&lt;0,"",(Depth0-MIN(Depth0,Quantiles!AN45))/Depth_per_q)</f>
        <v>0</v>
      </c>
      <c r="AO45" s="20" t="n">
        <f aca="false">IF(Quantiles!AO45&lt;0,"",(Depth0-MIN(Depth0,Quantiles!AO45))/Depth_per_q)</f>
        <v>0</v>
      </c>
      <c r="AP45" s="20" t="n">
        <f aca="false">IF(Quantiles!AP45&lt;0,"",(Depth0-MIN(Depth0,Quantiles!AP45))/Depth_per_q)</f>
        <v>0</v>
      </c>
      <c r="AQ45" s="20" t="n">
        <f aca="false">IF(Quantiles!AQ45&lt;0,"",(Depth0-MIN(Depth0,Quantiles!AQ45))/Depth_per_q)</f>
        <v>0</v>
      </c>
      <c r="AR45" s="20" t="n">
        <f aca="false">IF(Quantiles!AR45&lt;0,"",(Depth0-MIN(Depth0,Quantiles!AR45))/Depth_per_q)</f>
        <v>0</v>
      </c>
      <c r="AS45" s="20" t="n">
        <f aca="false">IF(Quantiles!AS45&lt;0,"",(Depth0-MIN(Depth0,Quantiles!AS45))/Depth_per_q)</f>
        <v>0</v>
      </c>
      <c r="AT45" s="20" t="n">
        <f aca="false">IF(Quantiles!AT45&lt;0,"",(Depth0-MIN(Depth0,Quantiles!AT45))/Depth_per_q)</f>
        <v>0</v>
      </c>
      <c r="AU45" s="20" t="n">
        <f aca="false">IF(Quantiles!AU45&lt;0,"",(Depth0-MIN(Depth0,Quantiles!AU45))/Depth_per_q)</f>
        <v>0</v>
      </c>
      <c r="AV45" s="20" t="n">
        <f aca="false">IF(Quantiles!AV45&lt;0,"",(Depth0-MIN(Depth0,Quantiles!AV45))/Depth_per_q)</f>
        <v>0</v>
      </c>
      <c r="AW45" s="20" t="n">
        <f aca="false">IF(Quantiles!AW45&lt;0,"",(Depth0-MIN(Depth0,Quantiles!AW45))/Depth_per_q)</f>
        <v>0</v>
      </c>
      <c r="AX45" s="20" t="n">
        <f aca="false">IF(Quantiles!AX45&lt;0,"",(Depth0-MIN(Depth0,Quantiles!AX45))/Depth_per_q)</f>
        <v>0</v>
      </c>
      <c r="AY45" s="20" t="n">
        <f aca="false">IF(Quantiles!AY45&lt;0,"",(Depth0-MIN(Depth0,Quantiles!AY45))/Depth_per_q)</f>
        <v>0</v>
      </c>
      <c r="AZ45" s="20" t="n">
        <f aca="false">IF(Quantiles!AZ45&lt;0,"",(Depth0-MIN(Depth0,Quantiles!AZ45))/Depth_per_q)</f>
        <v>0</v>
      </c>
      <c r="BA45" s="20" t="n">
        <f aca="false">IF(Quantiles!BA45&lt;0,"",(Depth0-MIN(Depth0,Quantiles!BA45))/Depth_per_q)</f>
        <v>0</v>
      </c>
      <c r="BB45" s="20" t="n">
        <f aca="false">IF(Quantiles!BB45&lt;0,"",(Depth0-MIN(Depth0,Quantiles!BB45))/Depth_per_q)</f>
        <v>0</v>
      </c>
      <c r="BC45" s="20" t="n">
        <f aca="false">IF(Quantiles!BC45&lt;0,"",(Depth0-MIN(Depth0,Quantiles!BC45))/Depth_per_q)</f>
        <v>0</v>
      </c>
      <c r="BD45" s="20" t="n">
        <f aca="false">IF(Quantiles!BD45&lt;0,"",(Depth0-MIN(Depth0,Quantiles!BD45))/Depth_per_q)</f>
        <v>0</v>
      </c>
      <c r="BE45" s="20" t="n">
        <f aca="false">IF(Quantiles!BE45&lt;0,"",(Depth0-MIN(Depth0,Quantiles!BE45))/Depth_per_q)</f>
        <v>0</v>
      </c>
      <c r="BF45" s="20" t="n">
        <f aca="false">IF(Quantiles!BF45&lt;0,"",(Depth0-MIN(Depth0,Quantiles!BF45))/Depth_per_q)</f>
        <v>0</v>
      </c>
      <c r="BG45" s="20" t="n">
        <f aca="false">IF(Quantiles!BG45&lt;0,"",(Depth0-MIN(Depth0,Quantiles!BG45))/Depth_per_q)</f>
        <v>0</v>
      </c>
      <c r="BH45" s="20" t="n">
        <f aca="false">IF(Quantiles!BH45&lt;0,"",(Depth0-MIN(Depth0,Quantiles!BH45))/Depth_per_q)</f>
        <v>0</v>
      </c>
      <c r="BI45" s="20" t="n">
        <f aca="false">IF(Quantiles!BI45&lt;0,"",(Depth0-MIN(Depth0,Quantiles!BI45))/Depth_per_q)</f>
        <v>0</v>
      </c>
      <c r="BJ45" s="20" t="n">
        <f aca="false">IF(Quantiles!BJ45&lt;0,"",(Depth0-MIN(Depth0,Quantiles!BJ45))/Depth_per_q)</f>
        <v>0</v>
      </c>
      <c r="BK45" s="20" t="n">
        <f aca="false">IF(Quantiles!BK45&lt;0,"",(Depth0-MIN(Depth0,Quantiles!BK45))/Depth_per_q)</f>
        <v>0</v>
      </c>
      <c r="BL45" s="20" t="n">
        <f aca="false">IF(Quantiles!BL45&lt;0,"",(Depth0-MIN(Depth0,Quantiles!BL45))/Depth_per_q)</f>
        <v>0</v>
      </c>
      <c r="BM45" s="20" t="n">
        <f aca="false">IF(Quantiles!BM45&lt;0,"",(Depth0-MIN(Depth0,Quantiles!BM45))/Depth_per_q)</f>
        <v>0</v>
      </c>
      <c r="BN45" s="20" t="n">
        <f aca="false">IF(Quantiles!BN45&lt;0,"",(Depth0-MIN(Depth0,Quantiles!BN45))/Depth_per_q)</f>
        <v>0</v>
      </c>
      <c r="BO45" s="20" t="n">
        <f aca="false">IF(Quantiles!BO45&lt;0,"",(Depth0-MIN(Depth0,Quantiles!BO45))/Depth_per_q)</f>
        <v>0</v>
      </c>
      <c r="BP45" s="20" t="n">
        <f aca="false">IF(Quantiles!BP45&lt;0,"",(Depth0-MIN(Depth0,Quantiles!BP45))/Depth_per_q)</f>
        <v>0</v>
      </c>
      <c r="BQ45" s="20" t="n">
        <f aca="false">IF(Quantiles!BQ45&lt;0,"",(Depth0-MIN(Depth0,Quantiles!BQ45))/Depth_per_q)</f>
        <v>0</v>
      </c>
      <c r="BR45" s="20" t="n">
        <f aca="false">IF(Quantiles!BR45&lt;0,"",(Depth0-MIN(Depth0,Quantiles!BR45))/Depth_per_q)</f>
        <v>0</v>
      </c>
      <c r="BS45" s="20" t="n">
        <f aca="false">IF(Quantiles!BS45&lt;0,"",(Depth0-MIN(Depth0,Quantiles!BS45))/Depth_per_q)</f>
        <v>0</v>
      </c>
      <c r="BT45" s="20" t="n">
        <f aca="false">IF(Quantiles!BT45&lt;0,"",(Depth0-MIN(Depth0,Quantiles!BT45))/Depth_per_q)</f>
        <v>0</v>
      </c>
      <c r="BU45" s="20" t="n">
        <f aca="false">IF(Quantiles!BU45&lt;0,"",(Depth0-MIN(Depth0,Quantiles!BU45))/Depth_per_q)</f>
        <v>0</v>
      </c>
      <c r="BV45" s="20" t="n">
        <f aca="false">IF(Quantiles!BV45&lt;0,"",(Depth0-MIN(Depth0,Quantiles!BV45))/Depth_per_q)</f>
        <v>0</v>
      </c>
      <c r="BW45" s="20" t="n">
        <f aca="false">IF(Quantiles!BW45&lt;0,"",(Depth0-MIN(Depth0,Quantiles!BW45))/Depth_per_q)</f>
        <v>0</v>
      </c>
      <c r="BX45" s="20" t="n">
        <f aca="false">IF(Quantiles!BX45&lt;0,"",(Depth0-MIN(Depth0,Quantiles!BX45))/Depth_per_q)</f>
        <v>0</v>
      </c>
      <c r="BY45" s="20" t="n">
        <f aca="false">IF(Quantiles!BY45&lt;0,"",(Depth0-MIN(Depth0,Quantiles!BY45))/Depth_per_q)</f>
        <v>0</v>
      </c>
      <c r="BZ45" s="20" t="n">
        <f aca="false">IF(Quantiles!BZ45&lt;0,"",(Depth0-MIN(Depth0,Quantiles!BZ45))/Depth_per_q)</f>
        <v>0</v>
      </c>
      <c r="CA45" s="20" t="n">
        <f aca="false">IF(Quantiles!CA45&lt;0,"",(Depth0-MIN(Depth0,Quantiles!CA45))/Depth_per_q)</f>
        <v>0</v>
      </c>
      <c r="CB45" s="20" t="n">
        <f aca="false">IF(Quantiles!CB45&lt;0,"",(Depth0-MIN(Depth0,Quantiles!CB45))/Depth_per_q)</f>
        <v>0</v>
      </c>
      <c r="CC45" s="20" t="n">
        <f aca="false">IF(Quantiles!CC45&lt;0,"",(Depth0-MIN(Depth0,Quantiles!CC45))/Depth_per_q)</f>
        <v>0</v>
      </c>
      <c r="CD45" s="20" t="n">
        <f aca="false">IF(Quantiles!CD45&lt;0,"",(Depth0-MIN(Depth0,Quantiles!CD45))/Depth_per_q)</f>
        <v>0</v>
      </c>
      <c r="CE45" s="20" t="n">
        <f aca="false">IF(Quantiles!CE45&lt;0,"",(Depth0-MIN(Depth0,Quantiles!CE45))/Depth_per_q)</f>
        <v>0</v>
      </c>
      <c r="CF45" s="20" t="n">
        <f aca="false">IF(Quantiles!CF45&lt;0,"",(Depth0-MIN(Depth0,Quantiles!CF45))/Depth_per_q)</f>
        <v>0</v>
      </c>
      <c r="CG45" s="20" t="n">
        <f aca="false">IF(Quantiles!CG45&lt;0,"",(Depth0-MIN(Depth0,Quantiles!CG45))/Depth_per_q)</f>
        <v>0</v>
      </c>
      <c r="CH45" s="20" t="n">
        <f aca="false">IF(Quantiles!CH45&lt;0,"",(Depth0-MIN(Depth0,Quantiles!CH45))/Depth_per_q)</f>
        <v>0</v>
      </c>
      <c r="CI45" s="20" t="n">
        <f aca="false">IF(Quantiles!CI45&lt;0,"",(Depth0-MIN(Depth0,Quantiles!CI45))/Depth_per_q)</f>
        <v>0</v>
      </c>
      <c r="CJ45" s="20" t="n">
        <f aca="false">IF(Quantiles!CJ45&lt;0,"",(Depth0-MIN(Depth0,Quantiles!CJ45))/Depth_per_q)</f>
        <v>0</v>
      </c>
      <c r="CK45" s="20" t="n">
        <f aca="false">IF(Quantiles!CK45&lt;0,"",(Depth0-MIN(Depth0,Quantiles!CK45))/Depth_per_q)</f>
        <v>0</v>
      </c>
      <c r="CL45" s="20" t="n">
        <f aca="false">IF(Quantiles!CL45&lt;0,"",(Depth0-MIN(Depth0,Quantiles!CL45))/Depth_per_q)</f>
        <v>0</v>
      </c>
      <c r="CM45" s="20" t="n">
        <f aca="false">IF(Quantiles!CM45&lt;0,"",(Depth0-MIN(Depth0,Quantiles!CM45))/Depth_per_q)</f>
        <v>0</v>
      </c>
      <c r="CN45" s="20" t="n">
        <f aca="false">IF(Quantiles!CN45&lt;0,"",(Depth0-MIN(Depth0,Quantiles!CN45))/Depth_per_q)</f>
        <v>0</v>
      </c>
      <c r="CO45" s="20" t="n">
        <f aca="false">IF(Quantiles!CO45&lt;0,"",(Depth0-MIN(Depth0,Quantiles!CO45))/Depth_per_q)</f>
        <v>0</v>
      </c>
      <c r="CP45" s="20" t="n">
        <f aca="false">IF(Quantiles!CP45&lt;0,"",(Depth0-MIN(Depth0,Quantiles!CP45))/Depth_per_q)</f>
        <v>0</v>
      </c>
      <c r="CQ45" s="20" t="n">
        <f aca="false">IF(Quantiles!CQ45&lt;0,"",(Depth0-MIN(Depth0,Quantiles!CQ45))/Depth_per_q)</f>
        <v>0</v>
      </c>
      <c r="CR45" s="20" t="n">
        <f aca="false">IF(Quantiles!CR45&lt;0,"",(Depth0-MIN(Depth0,Quantiles!CR45))/Depth_per_q)</f>
        <v>0</v>
      </c>
      <c r="CS45" s="20" t="n">
        <f aca="false">IF(Quantiles!CS45&lt;0,"",(Depth0-MIN(Depth0,Quantiles!CS45))/Depth_per_q)</f>
        <v>0</v>
      </c>
      <c r="CT45" s="20" t="n">
        <f aca="false">IF(Quantiles!CT45&lt;0,"",(Depth0-MIN(Depth0,Quantiles!CT45))/Depth_per_q)</f>
        <v>1.11897271918374</v>
      </c>
    </row>
    <row r="46" customFormat="false" ht="15" hidden="false" customHeight="false" outlineLevel="0" collapsed="false">
      <c r="A46" s="25" t="n">
        <f aca="false">Quantiles!A46</f>
        <v>205</v>
      </c>
      <c r="B46" s="20" t="n">
        <f aca="false">IF(Quantiles!B46&lt;0,"",(Depth0-MIN(Depth0,Quantiles!B46))/Depth_per_q)</f>
        <v>2.12892538413773</v>
      </c>
      <c r="C46" s="20" t="n">
        <f aca="false">IF(Quantiles!C46&lt;0,"",(Depth0-MIN(Depth0,Quantiles!C46))/Depth_per_q)</f>
        <v>1.92352928311854</v>
      </c>
      <c r="D46" s="20" t="n">
        <f aca="false">IF(Quantiles!D46&lt;0,"",(Depth0-MIN(Depth0,Quantiles!D46))/Depth_per_q)</f>
        <v>1.77169084157082</v>
      </c>
      <c r="E46" s="20" t="n">
        <f aca="false">IF(Quantiles!E46&lt;0,"",(Depth0-MIN(Depth0,Quantiles!E46))/Depth_per_q)</f>
        <v>1.6240856630631</v>
      </c>
      <c r="F46" s="20" t="n">
        <f aca="false">IF(Quantiles!F46&lt;0,"",(Depth0-MIN(Depth0,Quantiles!F46))/Depth_per_q)</f>
        <v>1.49095294491728</v>
      </c>
      <c r="G46" s="20" t="n">
        <f aca="false">IF(Quantiles!G46&lt;0,"",(Depth0-MIN(Depth0,Quantiles!G46))/Depth_per_q)</f>
        <v>1.37642984166283</v>
      </c>
      <c r="H46" s="20" t="n">
        <f aca="false">IF(Quantiles!H46&lt;0,"",(Depth0-MIN(Depth0,Quantiles!H46))/Depth_per_q)</f>
        <v>1.2782589624607</v>
      </c>
      <c r="I46" s="20" t="n">
        <f aca="false">IF(Quantiles!I46&lt;0,"",(Depth0-MIN(Depth0,Quantiles!I46))/Depth_per_q)</f>
        <v>1.1968050231051</v>
      </c>
      <c r="J46" s="20" t="n">
        <f aca="false">IF(Quantiles!J46&lt;0,"",(Depth0-MIN(Depth0,Quantiles!J46))/Depth_per_q)</f>
        <v>1.11136645079462</v>
      </c>
      <c r="K46" s="20" t="n">
        <f aca="false">IF(Quantiles!K46&lt;0,"",(Depth0-MIN(Depth0,Quantiles!K46))/Depth_per_q)</f>
        <v>1.0344754302721</v>
      </c>
      <c r="L46" s="20" t="n">
        <f aca="false">IF(Quantiles!L46&lt;0,"",(Depth0-MIN(Depth0,Quantiles!L46))/Depth_per_q)</f>
        <v>0.961742061059895</v>
      </c>
      <c r="M46" s="20" t="n">
        <f aca="false">IF(Quantiles!M46&lt;0,"",(Depth0-MIN(Depth0,Quantiles!M46))/Depth_per_q)</f>
        <v>0.893007122440575</v>
      </c>
      <c r="N46" s="20" t="n">
        <f aca="false">IF(Quantiles!N46&lt;0,"",(Depth0-MIN(Depth0,Quantiles!N46))/Depth_per_q)</f>
        <v>0.82800587182559</v>
      </c>
      <c r="O46" s="20" t="n">
        <f aca="false">IF(Quantiles!O46&lt;0,"",(Depth0-MIN(Depth0,Quantiles!O46))/Depth_per_q)</f>
        <v>0.764183717562292</v>
      </c>
      <c r="P46" s="20" t="n">
        <f aca="false">IF(Quantiles!P46&lt;0,"",(Depth0-MIN(Depth0,Quantiles!P46))/Depth_per_q)</f>
        <v>0.706579363251498</v>
      </c>
      <c r="Q46" s="20" t="n">
        <f aca="false">IF(Quantiles!Q46&lt;0,"",(Depth0-MIN(Depth0,Quantiles!Q46))/Depth_per_q)</f>
        <v>0.648363799885457</v>
      </c>
      <c r="R46" s="20" t="n">
        <f aca="false">IF(Quantiles!R46&lt;0,"",(Depth0-MIN(Depth0,Quantiles!R46))/Depth_per_q)</f>
        <v>0.593123734370423</v>
      </c>
      <c r="S46" s="20" t="n">
        <f aca="false">IF(Quantiles!S46&lt;0,"",(Depth0-MIN(Depth0,Quantiles!S46))/Depth_per_q)</f>
        <v>0.544815224627072</v>
      </c>
      <c r="T46" s="20" t="n">
        <f aca="false">IF(Quantiles!T46&lt;0,"",(Depth0-MIN(Depth0,Quantiles!T46))/Depth_per_q)</f>
        <v>0.496081433265553</v>
      </c>
      <c r="U46" s="20" t="n">
        <f aca="false">IF(Quantiles!U46&lt;0,"",(Depth0-MIN(Depth0,Quantiles!U46))/Depth_per_q)</f>
        <v>0.449520844780185</v>
      </c>
      <c r="V46" s="20" t="n">
        <f aca="false">IF(Quantiles!V46&lt;0,"",(Depth0-MIN(Depth0,Quantiles!V46))/Depth_per_q)</f>
        <v>0.40497447115284</v>
      </c>
      <c r="W46" s="20" t="n">
        <f aca="false">IF(Quantiles!W46&lt;0,"",(Depth0-MIN(Depth0,Quantiles!W46))/Depth_per_q)</f>
        <v>0.359729177641585</v>
      </c>
      <c r="X46" s="20" t="n">
        <f aca="false">IF(Quantiles!X46&lt;0,"",(Depth0-MIN(Depth0,Quantiles!X46))/Depth_per_q)</f>
        <v>0.319316319803537</v>
      </c>
      <c r="Y46" s="20" t="n">
        <f aca="false">IF(Quantiles!Y46&lt;0,"",(Depth0-MIN(Depth0,Quantiles!Y46))/Depth_per_q)</f>
        <v>0.274793372494565</v>
      </c>
      <c r="Z46" s="20" t="n">
        <f aca="false">IF(Quantiles!Z46&lt;0,"",(Depth0-MIN(Depth0,Quantiles!Z46))/Depth_per_q)</f>
        <v>0.23614662933505</v>
      </c>
      <c r="AA46" s="20" t="n">
        <f aca="false">IF(Quantiles!AA46&lt;0,"",(Depth0-MIN(Depth0,Quantiles!AA46))/Depth_per_q)</f>
        <v>0.198311591293837</v>
      </c>
      <c r="AB46" s="20" t="n">
        <f aca="false">IF(Quantiles!AB46&lt;0,"",(Depth0-MIN(Depth0,Quantiles!AB46))/Depth_per_q)</f>
        <v>0.161345636135205</v>
      </c>
      <c r="AC46" s="20" t="n">
        <f aca="false">IF(Quantiles!AC46&lt;0,"",(Depth0-MIN(Depth0,Quantiles!AC46))/Depth_per_q)</f>
        <v>0.121782503925077</v>
      </c>
      <c r="AD46" s="20" t="n">
        <f aca="false">IF(Quantiles!AD46&lt;0,"",(Depth0-MIN(Depth0,Quantiles!AD46))/Depth_per_q)</f>
        <v>0.0860329076119877</v>
      </c>
      <c r="AE46" s="20" t="n">
        <f aca="false">IF(Quantiles!AE46&lt;0,"",(Depth0-MIN(Depth0,Quantiles!AE46))/Depth_per_q)</f>
        <v>0.0486225571835979</v>
      </c>
      <c r="AF46" s="20" t="n">
        <f aca="false">IF(Quantiles!AF46&lt;0,"",(Depth0-MIN(Depth0,Quantiles!AF46))/Depth_per_q)</f>
        <v>0.0166574549487075</v>
      </c>
      <c r="AG46" s="20" t="n">
        <f aca="false">IF(Quantiles!AG46&lt;0,"",(Depth0-MIN(Depth0,Quantiles!AG46))/Depth_per_q)</f>
        <v>0</v>
      </c>
      <c r="AH46" s="20" t="n">
        <f aca="false">IF(Quantiles!AH46&lt;0,"",(Depth0-MIN(Depth0,Quantiles!AH46))/Depth_per_q)</f>
        <v>0</v>
      </c>
      <c r="AI46" s="20" t="n">
        <f aca="false">IF(Quantiles!AI46&lt;0,"",(Depth0-MIN(Depth0,Quantiles!AI46))/Depth_per_q)</f>
        <v>0</v>
      </c>
      <c r="AJ46" s="20" t="n">
        <f aca="false">IF(Quantiles!AJ46&lt;0,"",(Depth0-MIN(Depth0,Quantiles!AJ46))/Depth_per_q)</f>
        <v>0</v>
      </c>
      <c r="AK46" s="20" t="n">
        <f aca="false">IF(Quantiles!AK46&lt;0,"",(Depth0-MIN(Depth0,Quantiles!AK46))/Depth_per_q)</f>
        <v>0</v>
      </c>
      <c r="AL46" s="20" t="n">
        <f aca="false">IF(Quantiles!AL46&lt;0,"",(Depth0-MIN(Depth0,Quantiles!AL46))/Depth_per_q)</f>
        <v>0</v>
      </c>
      <c r="AM46" s="20" t="n">
        <f aca="false">IF(Quantiles!AM46&lt;0,"",(Depth0-MIN(Depth0,Quantiles!AM46))/Depth_per_q)</f>
        <v>0</v>
      </c>
      <c r="AN46" s="20" t="n">
        <f aca="false">IF(Quantiles!AN46&lt;0,"",(Depth0-MIN(Depth0,Quantiles!AN46))/Depth_per_q)</f>
        <v>0</v>
      </c>
      <c r="AO46" s="20" t="n">
        <f aca="false">IF(Quantiles!AO46&lt;0,"",(Depth0-MIN(Depth0,Quantiles!AO46))/Depth_per_q)</f>
        <v>0</v>
      </c>
      <c r="AP46" s="20" t="n">
        <f aca="false">IF(Quantiles!AP46&lt;0,"",(Depth0-MIN(Depth0,Quantiles!AP46))/Depth_per_q)</f>
        <v>0</v>
      </c>
      <c r="AQ46" s="20" t="n">
        <f aca="false">IF(Quantiles!AQ46&lt;0,"",(Depth0-MIN(Depth0,Quantiles!AQ46))/Depth_per_q)</f>
        <v>0</v>
      </c>
      <c r="AR46" s="20" t="n">
        <f aca="false">IF(Quantiles!AR46&lt;0,"",(Depth0-MIN(Depth0,Quantiles!AR46))/Depth_per_q)</f>
        <v>0</v>
      </c>
      <c r="AS46" s="20" t="n">
        <f aca="false">IF(Quantiles!AS46&lt;0,"",(Depth0-MIN(Depth0,Quantiles!AS46))/Depth_per_q)</f>
        <v>0</v>
      </c>
      <c r="AT46" s="20" t="n">
        <f aca="false">IF(Quantiles!AT46&lt;0,"",(Depth0-MIN(Depth0,Quantiles!AT46))/Depth_per_q)</f>
        <v>0</v>
      </c>
      <c r="AU46" s="20" t="n">
        <f aca="false">IF(Quantiles!AU46&lt;0,"",(Depth0-MIN(Depth0,Quantiles!AU46))/Depth_per_q)</f>
        <v>0</v>
      </c>
      <c r="AV46" s="20" t="n">
        <f aca="false">IF(Quantiles!AV46&lt;0,"",(Depth0-MIN(Depth0,Quantiles!AV46))/Depth_per_q)</f>
        <v>0</v>
      </c>
      <c r="AW46" s="20" t="n">
        <f aca="false">IF(Quantiles!AW46&lt;0,"",(Depth0-MIN(Depth0,Quantiles!AW46))/Depth_per_q)</f>
        <v>0</v>
      </c>
      <c r="AX46" s="20" t="n">
        <f aca="false">IF(Quantiles!AX46&lt;0,"",(Depth0-MIN(Depth0,Quantiles!AX46))/Depth_per_q)</f>
        <v>0</v>
      </c>
      <c r="AY46" s="20" t="n">
        <f aca="false">IF(Quantiles!AY46&lt;0,"",(Depth0-MIN(Depth0,Quantiles!AY46))/Depth_per_q)</f>
        <v>0</v>
      </c>
      <c r="AZ46" s="20" t="n">
        <f aca="false">IF(Quantiles!AZ46&lt;0,"",(Depth0-MIN(Depth0,Quantiles!AZ46))/Depth_per_q)</f>
        <v>0</v>
      </c>
      <c r="BA46" s="20" t="n">
        <f aca="false">IF(Quantiles!BA46&lt;0,"",(Depth0-MIN(Depth0,Quantiles!BA46))/Depth_per_q)</f>
        <v>0</v>
      </c>
      <c r="BB46" s="20" t="n">
        <f aca="false">IF(Quantiles!BB46&lt;0,"",(Depth0-MIN(Depth0,Quantiles!BB46))/Depth_per_q)</f>
        <v>0</v>
      </c>
      <c r="BC46" s="20" t="n">
        <f aca="false">IF(Quantiles!BC46&lt;0,"",(Depth0-MIN(Depth0,Quantiles!BC46))/Depth_per_q)</f>
        <v>0</v>
      </c>
      <c r="BD46" s="20" t="n">
        <f aca="false">IF(Quantiles!BD46&lt;0,"",(Depth0-MIN(Depth0,Quantiles!BD46))/Depth_per_q)</f>
        <v>0</v>
      </c>
      <c r="BE46" s="20" t="n">
        <f aca="false">IF(Quantiles!BE46&lt;0,"",(Depth0-MIN(Depth0,Quantiles!BE46))/Depth_per_q)</f>
        <v>0</v>
      </c>
      <c r="BF46" s="20" t="n">
        <f aca="false">IF(Quantiles!BF46&lt;0,"",(Depth0-MIN(Depth0,Quantiles!BF46))/Depth_per_q)</f>
        <v>0</v>
      </c>
      <c r="BG46" s="20" t="n">
        <f aca="false">IF(Quantiles!BG46&lt;0,"",(Depth0-MIN(Depth0,Quantiles!BG46))/Depth_per_q)</f>
        <v>0</v>
      </c>
      <c r="BH46" s="20" t="n">
        <f aca="false">IF(Quantiles!BH46&lt;0,"",(Depth0-MIN(Depth0,Quantiles!BH46))/Depth_per_q)</f>
        <v>0</v>
      </c>
      <c r="BI46" s="20" t="n">
        <f aca="false">IF(Quantiles!BI46&lt;0,"",(Depth0-MIN(Depth0,Quantiles!BI46))/Depth_per_q)</f>
        <v>0</v>
      </c>
      <c r="BJ46" s="20" t="n">
        <f aca="false">IF(Quantiles!BJ46&lt;0,"",(Depth0-MIN(Depth0,Quantiles!BJ46))/Depth_per_q)</f>
        <v>0</v>
      </c>
      <c r="BK46" s="20" t="n">
        <f aca="false">IF(Quantiles!BK46&lt;0,"",(Depth0-MIN(Depth0,Quantiles!BK46))/Depth_per_q)</f>
        <v>0</v>
      </c>
      <c r="BL46" s="20" t="n">
        <f aca="false">IF(Quantiles!BL46&lt;0,"",(Depth0-MIN(Depth0,Quantiles!BL46))/Depth_per_q)</f>
        <v>0</v>
      </c>
      <c r="BM46" s="20" t="n">
        <f aca="false">IF(Quantiles!BM46&lt;0,"",(Depth0-MIN(Depth0,Quantiles!BM46))/Depth_per_q)</f>
        <v>0</v>
      </c>
      <c r="BN46" s="20" t="n">
        <f aca="false">IF(Quantiles!BN46&lt;0,"",(Depth0-MIN(Depth0,Quantiles!BN46))/Depth_per_q)</f>
        <v>0</v>
      </c>
      <c r="BO46" s="20" t="n">
        <f aca="false">IF(Quantiles!BO46&lt;0,"",(Depth0-MIN(Depth0,Quantiles!BO46))/Depth_per_q)</f>
        <v>0</v>
      </c>
      <c r="BP46" s="20" t="n">
        <f aca="false">IF(Quantiles!BP46&lt;0,"",(Depth0-MIN(Depth0,Quantiles!BP46))/Depth_per_q)</f>
        <v>0</v>
      </c>
      <c r="BQ46" s="20" t="n">
        <f aca="false">IF(Quantiles!BQ46&lt;0,"",(Depth0-MIN(Depth0,Quantiles!BQ46))/Depth_per_q)</f>
        <v>0</v>
      </c>
      <c r="BR46" s="20" t="n">
        <f aca="false">IF(Quantiles!BR46&lt;0,"",(Depth0-MIN(Depth0,Quantiles!BR46))/Depth_per_q)</f>
        <v>0</v>
      </c>
      <c r="BS46" s="20" t="n">
        <f aca="false">IF(Quantiles!BS46&lt;0,"",(Depth0-MIN(Depth0,Quantiles!BS46))/Depth_per_q)</f>
        <v>0</v>
      </c>
      <c r="BT46" s="20" t="n">
        <f aca="false">IF(Quantiles!BT46&lt;0,"",(Depth0-MIN(Depth0,Quantiles!BT46))/Depth_per_q)</f>
        <v>0</v>
      </c>
      <c r="BU46" s="20" t="n">
        <f aca="false">IF(Quantiles!BU46&lt;0,"",(Depth0-MIN(Depth0,Quantiles!BU46))/Depth_per_q)</f>
        <v>0</v>
      </c>
      <c r="BV46" s="20" t="n">
        <f aca="false">IF(Quantiles!BV46&lt;0,"",(Depth0-MIN(Depth0,Quantiles!BV46))/Depth_per_q)</f>
        <v>0</v>
      </c>
      <c r="BW46" s="20" t="n">
        <f aca="false">IF(Quantiles!BW46&lt;0,"",(Depth0-MIN(Depth0,Quantiles!BW46))/Depth_per_q)</f>
        <v>0</v>
      </c>
      <c r="BX46" s="20" t="n">
        <f aca="false">IF(Quantiles!BX46&lt;0,"",(Depth0-MIN(Depth0,Quantiles!BX46))/Depth_per_q)</f>
        <v>0</v>
      </c>
      <c r="BY46" s="20" t="n">
        <f aca="false">IF(Quantiles!BY46&lt;0,"",(Depth0-MIN(Depth0,Quantiles!BY46))/Depth_per_q)</f>
        <v>0</v>
      </c>
      <c r="BZ46" s="20" t="n">
        <f aca="false">IF(Quantiles!BZ46&lt;0,"",(Depth0-MIN(Depth0,Quantiles!BZ46))/Depth_per_q)</f>
        <v>0</v>
      </c>
      <c r="CA46" s="20" t="n">
        <f aca="false">IF(Quantiles!CA46&lt;0,"",(Depth0-MIN(Depth0,Quantiles!CA46))/Depth_per_q)</f>
        <v>0</v>
      </c>
      <c r="CB46" s="20" t="n">
        <f aca="false">IF(Quantiles!CB46&lt;0,"",(Depth0-MIN(Depth0,Quantiles!CB46))/Depth_per_q)</f>
        <v>0</v>
      </c>
      <c r="CC46" s="20" t="n">
        <f aca="false">IF(Quantiles!CC46&lt;0,"",(Depth0-MIN(Depth0,Quantiles!CC46))/Depth_per_q)</f>
        <v>0</v>
      </c>
      <c r="CD46" s="20" t="n">
        <f aca="false">IF(Quantiles!CD46&lt;0,"",(Depth0-MIN(Depth0,Quantiles!CD46))/Depth_per_q)</f>
        <v>0</v>
      </c>
      <c r="CE46" s="20" t="n">
        <f aca="false">IF(Quantiles!CE46&lt;0,"",(Depth0-MIN(Depth0,Quantiles!CE46))/Depth_per_q)</f>
        <v>0</v>
      </c>
      <c r="CF46" s="20" t="n">
        <f aca="false">IF(Quantiles!CF46&lt;0,"",(Depth0-MIN(Depth0,Quantiles!CF46))/Depth_per_q)</f>
        <v>0</v>
      </c>
      <c r="CG46" s="20" t="n">
        <f aca="false">IF(Quantiles!CG46&lt;0,"",(Depth0-MIN(Depth0,Quantiles!CG46))/Depth_per_q)</f>
        <v>0</v>
      </c>
      <c r="CH46" s="20" t="n">
        <f aca="false">IF(Quantiles!CH46&lt;0,"",(Depth0-MIN(Depth0,Quantiles!CH46))/Depth_per_q)</f>
        <v>0</v>
      </c>
      <c r="CI46" s="20" t="n">
        <f aca="false">IF(Quantiles!CI46&lt;0,"",(Depth0-MIN(Depth0,Quantiles!CI46))/Depth_per_q)</f>
        <v>0</v>
      </c>
      <c r="CJ46" s="20" t="n">
        <f aca="false">IF(Quantiles!CJ46&lt;0,"",(Depth0-MIN(Depth0,Quantiles!CJ46))/Depth_per_q)</f>
        <v>0</v>
      </c>
      <c r="CK46" s="20" t="n">
        <f aca="false">IF(Quantiles!CK46&lt;0,"",(Depth0-MIN(Depth0,Quantiles!CK46))/Depth_per_q)</f>
        <v>0</v>
      </c>
      <c r="CL46" s="20" t="n">
        <f aca="false">IF(Quantiles!CL46&lt;0,"",(Depth0-MIN(Depth0,Quantiles!CL46))/Depth_per_q)</f>
        <v>0</v>
      </c>
      <c r="CM46" s="20" t="n">
        <f aca="false">IF(Quantiles!CM46&lt;0,"",(Depth0-MIN(Depth0,Quantiles!CM46))/Depth_per_q)</f>
        <v>0</v>
      </c>
      <c r="CN46" s="20" t="n">
        <f aca="false">IF(Quantiles!CN46&lt;0,"",(Depth0-MIN(Depth0,Quantiles!CN46))/Depth_per_q)</f>
        <v>0</v>
      </c>
      <c r="CO46" s="20" t="n">
        <f aca="false">IF(Quantiles!CO46&lt;0,"",(Depth0-MIN(Depth0,Quantiles!CO46))/Depth_per_q)</f>
        <v>0</v>
      </c>
      <c r="CP46" s="20" t="n">
        <f aca="false">IF(Quantiles!CP46&lt;0,"",(Depth0-MIN(Depth0,Quantiles!CP46))/Depth_per_q)</f>
        <v>0</v>
      </c>
      <c r="CQ46" s="20" t="n">
        <f aca="false">IF(Quantiles!CQ46&lt;0,"",(Depth0-MIN(Depth0,Quantiles!CQ46))/Depth_per_q)</f>
        <v>0</v>
      </c>
      <c r="CR46" s="20" t="n">
        <f aca="false">IF(Quantiles!CR46&lt;0,"",(Depth0-MIN(Depth0,Quantiles!CR46))/Depth_per_q)</f>
        <v>0</v>
      </c>
      <c r="CS46" s="20" t="n">
        <f aca="false">IF(Quantiles!CS46&lt;0,"",(Depth0-MIN(Depth0,Quantiles!CS46))/Depth_per_q)</f>
        <v>0</v>
      </c>
      <c r="CT46" s="20" t="n">
        <f aca="false">IF(Quantiles!CT46&lt;0,"",(Depth0-MIN(Depth0,Quantiles!CT46))/Depth_per_q)</f>
        <v>1.11096072850861</v>
      </c>
    </row>
    <row r="47" customFormat="false" ht="15" hidden="false" customHeight="false" outlineLevel="0" collapsed="false">
      <c r="A47" s="25" t="n">
        <f aca="false">Quantiles!A47</f>
        <v>210</v>
      </c>
      <c r="B47" s="20" t="n">
        <f aca="false">IF(Quantiles!B47&lt;0,"",(Depth0-MIN(Depth0,Quantiles!B47))/Depth_per_q)</f>
        <v>2.11901812955016</v>
      </c>
      <c r="C47" s="20" t="n">
        <f aca="false">IF(Quantiles!C47&lt;0,"",(Depth0-MIN(Depth0,Quantiles!C47))/Depth_per_q)</f>
        <v>1.9173826026379</v>
      </c>
      <c r="D47" s="20" t="n">
        <f aca="false">IF(Quantiles!D47&lt;0,"",(Depth0-MIN(Depth0,Quantiles!D47))/Depth_per_q)</f>
        <v>1.75804877616116</v>
      </c>
      <c r="E47" s="20" t="n">
        <f aca="false">IF(Quantiles!E47&lt;0,"",(Depth0-MIN(Depth0,Quantiles!E47))/Depth_per_q)</f>
        <v>1.6158300765457</v>
      </c>
      <c r="F47" s="20" t="n">
        <f aca="false">IF(Quantiles!F47&lt;0,"",(Depth0-MIN(Depth0,Quantiles!F47))/Depth_per_q)</f>
        <v>1.48574018372942</v>
      </c>
      <c r="G47" s="20" t="n">
        <f aca="false">IF(Quantiles!G47&lt;0,"",(Depth0-MIN(Depth0,Quantiles!G47))/Depth_per_q)</f>
        <v>1.37116817396402</v>
      </c>
      <c r="H47" s="20" t="n">
        <f aca="false">IF(Quantiles!H47&lt;0,"",(Depth0-MIN(Depth0,Quantiles!H47))/Depth_per_q)</f>
        <v>1.27327480949383</v>
      </c>
      <c r="I47" s="20" t="n">
        <f aca="false">IF(Quantiles!I47&lt;0,"",(Depth0-MIN(Depth0,Quantiles!I47))/Depth_per_q)</f>
        <v>1.18789307426528</v>
      </c>
      <c r="J47" s="20" t="n">
        <f aca="false">IF(Quantiles!J47&lt;0,"",(Depth0-MIN(Depth0,Quantiles!J47))/Depth_per_q)</f>
        <v>1.10806654367963</v>
      </c>
      <c r="K47" s="20" t="n">
        <f aca="false">IF(Quantiles!K47&lt;0,"",(Depth0-MIN(Depth0,Quantiles!K47))/Depth_per_q)</f>
        <v>1.02738792819016</v>
      </c>
      <c r="L47" s="20" t="n">
        <f aca="false">IF(Quantiles!L47&lt;0,"",(Depth0-MIN(Depth0,Quantiles!L47))/Depth_per_q)</f>
        <v>0.951199845617928</v>
      </c>
      <c r="M47" s="20" t="n">
        <f aca="false">IF(Quantiles!M47&lt;0,"",(Depth0-MIN(Depth0,Quantiles!M47))/Depth_per_q)</f>
        <v>0.88560087976846</v>
      </c>
      <c r="N47" s="20" t="n">
        <f aca="false">IF(Quantiles!N47&lt;0,"",(Depth0-MIN(Depth0,Quantiles!N47))/Depth_per_q)</f>
        <v>0.822638939688487</v>
      </c>
      <c r="O47" s="20" t="n">
        <f aca="false">IF(Quantiles!O47&lt;0,"",(Depth0-MIN(Depth0,Quantiles!O47))/Depth_per_q)</f>
        <v>0.7591969261761</v>
      </c>
      <c r="P47" s="20" t="n">
        <f aca="false">IF(Quantiles!P47&lt;0,"",(Depth0-MIN(Depth0,Quantiles!P47))/Depth_per_q)</f>
        <v>0.701233279862787</v>
      </c>
      <c r="Q47" s="20" t="n">
        <f aca="false">IF(Quantiles!Q47&lt;0,"",(Depth0-MIN(Depth0,Quantiles!Q47))/Depth_per_q)</f>
        <v>0.641085778625882</v>
      </c>
      <c r="R47" s="20" t="n">
        <f aca="false">IF(Quantiles!R47&lt;0,"",(Depth0-MIN(Depth0,Quantiles!R47))/Depth_per_q)</f>
        <v>0.588393235271282</v>
      </c>
      <c r="S47" s="20" t="n">
        <f aca="false">IF(Quantiles!S47&lt;0,"",(Depth0-MIN(Depth0,Quantiles!S47))/Depth_per_q)</f>
        <v>0.537737197175128</v>
      </c>
      <c r="T47" s="20" t="n">
        <f aca="false">IF(Quantiles!T47&lt;0,"",(Depth0-MIN(Depth0,Quantiles!T47))/Depth_per_q)</f>
        <v>0.488846365318418</v>
      </c>
      <c r="U47" s="20" t="n">
        <f aca="false">IF(Quantiles!U47&lt;0,"",(Depth0-MIN(Depth0,Quantiles!U47))/Depth_per_q)</f>
        <v>0.444996168641152</v>
      </c>
      <c r="V47" s="20" t="n">
        <f aca="false">IF(Quantiles!V47&lt;0,"",(Depth0-MIN(Depth0,Quantiles!V47))/Depth_per_q)</f>
        <v>0.400431130241557</v>
      </c>
      <c r="W47" s="20" t="n">
        <f aca="false">IF(Quantiles!W47&lt;0,"",(Depth0-MIN(Depth0,Quantiles!W47))/Depth_per_q)</f>
        <v>0.35584416655335</v>
      </c>
      <c r="X47" s="20" t="n">
        <f aca="false">IF(Quantiles!X47&lt;0,"",(Depth0-MIN(Depth0,Quantiles!X47))/Depth_per_q)</f>
        <v>0.314170884360675</v>
      </c>
      <c r="Y47" s="20" t="n">
        <f aca="false">IF(Quantiles!Y47&lt;0,"",(Depth0-MIN(Depth0,Quantiles!Y47))/Depth_per_q)</f>
        <v>0.2710580142732</v>
      </c>
      <c r="Z47" s="20" t="n">
        <f aca="false">IF(Quantiles!Z47&lt;0,"",(Depth0-MIN(Depth0,Quantiles!Z47))/Depth_per_q)</f>
        <v>0.233107295437675</v>
      </c>
      <c r="AA47" s="20" t="n">
        <f aca="false">IF(Quantiles!AA47&lt;0,"",(Depth0-MIN(Depth0,Quantiles!AA47))/Depth_per_q)</f>
        <v>0.195159804865545</v>
      </c>
      <c r="AB47" s="20" t="n">
        <f aca="false">IF(Quantiles!AB47&lt;0,"",(Depth0-MIN(Depth0,Quantiles!AB47))/Depth_per_q)</f>
        <v>0.156597225480165</v>
      </c>
      <c r="AC47" s="20" t="n">
        <f aca="false">IF(Quantiles!AC47&lt;0,"",(Depth0-MIN(Depth0,Quantiles!AC47))/Depth_per_q)</f>
        <v>0.117740453718683</v>
      </c>
      <c r="AD47" s="20" t="n">
        <f aca="false">IF(Quantiles!AD47&lt;0,"",(Depth0-MIN(Depth0,Quantiles!AD47))/Depth_per_q)</f>
        <v>0.0830883529974775</v>
      </c>
      <c r="AE47" s="20" t="n">
        <f aca="false">IF(Quantiles!AE47&lt;0,"",(Depth0-MIN(Depth0,Quantiles!AE47))/Depth_per_q)</f>
        <v>0.0447357127538375</v>
      </c>
      <c r="AF47" s="20" t="n">
        <f aca="false">IF(Quantiles!AF47&lt;0,"",(Depth0-MIN(Depth0,Quantiles!AF47))/Depth_per_q)</f>
        <v>0.0117628823403502</v>
      </c>
      <c r="AG47" s="20" t="n">
        <f aca="false">IF(Quantiles!AG47&lt;0,"",(Depth0-MIN(Depth0,Quantiles!AG47))/Depth_per_q)</f>
        <v>0</v>
      </c>
      <c r="AH47" s="20" t="n">
        <f aca="false">IF(Quantiles!AH47&lt;0,"",(Depth0-MIN(Depth0,Quantiles!AH47))/Depth_per_q)</f>
        <v>0</v>
      </c>
      <c r="AI47" s="20" t="n">
        <f aca="false">IF(Quantiles!AI47&lt;0,"",(Depth0-MIN(Depth0,Quantiles!AI47))/Depth_per_q)</f>
        <v>0</v>
      </c>
      <c r="AJ47" s="20" t="n">
        <f aca="false">IF(Quantiles!AJ47&lt;0,"",(Depth0-MIN(Depth0,Quantiles!AJ47))/Depth_per_q)</f>
        <v>0</v>
      </c>
      <c r="AK47" s="20" t="n">
        <f aca="false">IF(Quantiles!AK47&lt;0,"",(Depth0-MIN(Depth0,Quantiles!AK47))/Depth_per_q)</f>
        <v>0</v>
      </c>
      <c r="AL47" s="20" t="n">
        <f aca="false">IF(Quantiles!AL47&lt;0,"",(Depth0-MIN(Depth0,Quantiles!AL47))/Depth_per_q)</f>
        <v>0</v>
      </c>
      <c r="AM47" s="20" t="n">
        <f aca="false">IF(Quantiles!AM47&lt;0,"",(Depth0-MIN(Depth0,Quantiles!AM47))/Depth_per_q)</f>
        <v>0</v>
      </c>
      <c r="AN47" s="20" t="n">
        <f aca="false">IF(Quantiles!AN47&lt;0,"",(Depth0-MIN(Depth0,Quantiles!AN47))/Depth_per_q)</f>
        <v>0</v>
      </c>
      <c r="AO47" s="20" t="n">
        <f aca="false">IF(Quantiles!AO47&lt;0,"",(Depth0-MIN(Depth0,Quantiles!AO47))/Depth_per_q)</f>
        <v>0</v>
      </c>
      <c r="AP47" s="20" t="n">
        <f aca="false">IF(Quantiles!AP47&lt;0,"",(Depth0-MIN(Depth0,Quantiles!AP47))/Depth_per_q)</f>
        <v>0</v>
      </c>
      <c r="AQ47" s="20" t="n">
        <f aca="false">IF(Quantiles!AQ47&lt;0,"",(Depth0-MIN(Depth0,Quantiles!AQ47))/Depth_per_q)</f>
        <v>0</v>
      </c>
      <c r="AR47" s="20" t="n">
        <f aca="false">IF(Quantiles!AR47&lt;0,"",(Depth0-MIN(Depth0,Quantiles!AR47))/Depth_per_q)</f>
        <v>0</v>
      </c>
      <c r="AS47" s="20" t="n">
        <f aca="false">IF(Quantiles!AS47&lt;0,"",(Depth0-MIN(Depth0,Quantiles!AS47))/Depth_per_q)</f>
        <v>0</v>
      </c>
      <c r="AT47" s="20" t="n">
        <f aca="false">IF(Quantiles!AT47&lt;0,"",(Depth0-MIN(Depth0,Quantiles!AT47))/Depth_per_q)</f>
        <v>0</v>
      </c>
      <c r="AU47" s="20" t="n">
        <f aca="false">IF(Quantiles!AU47&lt;0,"",(Depth0-MIN(Depth0,Quantiles!AU47))/Depth_per_q)</f>
        <v>0</v>
      </c>
      <c r="AV47" s="20" t="n">
        <f aca="false">IF(Quantiles!AV47&lt;0,"",(Depth0-MIN(Depth0,Quantiles!AV47))/Depth_per_q)</f>
        <v>0</v>
      </c>
      <c r="AW47" s="20" t="n">
        <f aca="false">IF(Quantiles!AW47&lt;0,"",(Depth0-MIN(Depth0,Quantiles!AW47))/Depth_per_q)</f>
        <v>0</v>
      </c>
      <c r="AX47" s="20" t="n">
        <f aca="false">IF(Quantiles!AX47&lt;0,"",(Depth0-MIN(Depth0,Quantiles!AX47))/Depth_per_q)</f>
        <v>0</v>
      </c>
      <c r="AY47" s="20" t="n">
        <f aca="false">IF(Quantiles!AY47&lt;0,"",(Depth0-MIN(Depth0,Quantiles!AY47))/Depth_per_q)</f>
        <v>0</v>
      </c>
      <c r="AZ47" s="20" t="n">
        <f aca="false">IF(Quantiles!AZ47&lt;0,"",(Depth0-MIN(Depth0,Quantiles!AZ47))/Depth_per_q)</f>
        <v>0</v>
      </c>
      <c r="BA47" s="20" t="n">
        <f aca="false">IF(Quantiles!BA47&lt;0,"",(Depth0-MIN(Depth0,Quantiles!BA47))/Depth_per_q)</f>
        <v>0</v>
      </c>
      <c r="BB47" s="20" t="n">
        <f aca="false">IF(Quantiles!BB47&lt;0,"",(Depth0-MIN(Depth0,Quantiles!BB47))/Depth_per_q)</f>
        <v>0</v>
      </c>
      <c r="BC47" s="20" t="n">
        <f aca="false">IF(Quantiles!BC47&lt;0,"",(Depth0-MIN(Depth0,Quantiles!BC47))/Depth_per_q)</f>
        <v>0</v>
      </c>
      <c r="BD47" s="20" t="n">
        <f aca="false">IF(Quantiles!BD47&lt;0,"",(Depth0-MIN(Depth0,Quantiles!BD47))/Depth_per_q)</f>
        <v>0</v>
      </c>
      <c r="BE47" s="20" t="n">
        <f aca="false">IF(Quantiles!BE47&lt;0,"",(Depth0-MIN(Depth0,Quantiles!BE47))/Depth_per_q)</f>
        <v>0</v>
      </c>
      <c r="BF47" s="20" t="n">
        <f aca="false">IF(Quantiles!BF47&lt;0,"",(Depth0-MIN(Depth0,Quantiles!BF47))/Depth_per_q)</f>
        <v>0</v>
      </c>
      <c r="BG47" s="20" t="n">
        <f aca="false">IF(Quantiles!BG47&lt;0,"",(Depth0-MIN(Depth0,Quantiles!BG47))/Depth_per_q)</f>
        <v>0</v>
      </c>
      <c r="BH47" s="20" t="n">
        <f aca="false">IF(Quantiles!BH47&lt;0,"",(Depth0-MIN(Depth0,Quantiles!BH47))/Depth_per_q)</f>
        <v>0</v>
      </c>
      <c r="BI47" s="20" t="n">
        <f aca="false">IF(Quantiles!BI47&lt;0,"",(Depth0-MIN(Depth0,Quantiles!BI47))/Depth_per_q)</f>
        <v>0</v>
      </c>
      <c r="BJ47" s="20" t="n">
        <f aca="false">IF(Quantiles!BJ47&lt;0,"",(Depth0-MIN(Depth0,Quantiles!BJ47))/Depth_per_q)</f>
        <v>0</v>
      </c>
      <c r="BK47" s="20" t="n">
        <f aca="false">IF(Quantiles!BK47&lt;0,"",(Depth0-MIN(Depth0,Quantiles!BK47))/Depth_per_q)</f>
        <v>0</v>
      </c>
      <c r="BL47" s="20" t="n">
        <f aca="false">IF(Quantiles!BL47&lt;0,"",(Depth0-MIN(Depth0,Quantiles!BL47))/Depth_per_q)</f>
        <v>0</v>
      </c>
      <c r="BM47" s="20" t="n">
        <f aca="false">IF(Quantiles!BM47&lt;0,"",(Depth0-MIN(Depth0,Quantiles!BM47))/Depth_per_q)</f>
        <v>0</v>
      </c>
      <c r="BN47" s="20" t="n">
        <f aca="false">IF(Quantiles!BN47&lt;0,"",(Depth0-MIN(Depth0,Quantiles!BN47))/Depth_per_q)</f>
        <v>0</v>
      </c>
      <c r="BO47" s="20" t="n">
        <f aca="false">IF(Quantiles!BO47&lt;0,"",(Depth0-MIN(Depth0,Quantiles!BO47))/Depth_per_q)</f>
        <v>0</v>
      </c>
      <c r="BP47" s="20" t="n">
        <f aca="false">IF(Quantiles!BP47&lt;0,"",(Depth0-MIN(Depth0,Quantiles!BP47))/Depth_per_q)</f>
        <v>0</v>
      </c>
      <c r="BQ47" s="20" t="n">
        <f aca="false">IF(Quantiles!BQ47&lt;0,"",(Depth0-MIN(Depth0,Quantiles!BQ47))/Depth_per_q)</f>
        <v>0</v>
      </c>
      <c r="BR47" s="20" t="n">
        <f aca="false">IF(Quantiles!BR47&lt;0,"",(Depth0-MIN(Depth0,Quantiles!BR47))/Depth_per_q)</f>
        <v>0</v>
      </c>
      <c r="BS47" s="20" t="n">
        <f aca="false">IF(Quantiles!BS47&lt;0,"",(Depth0-MIN(Depth0,Quantiles!BS47))/Depth_per_q)</f>
        <v>0</v>
      </c>
      <c r="BT47" s="20" t="n">
        <f aca="false">IF(Quantiles!BT47&lt;0,"",(Depth0-MIN(Depth0,Quantiles!BT47))/Depth_per_q)</f>
        <v>0</v>
      </c>
      <c r="BU47" s="20" t="n">
        <f aca="false">IF(Quantiles!BU47&lt;0,"",(Depth0-MIN(Depth0,Quantiles!BU47))/Depth_per_q)</f>
        <v>0</v>
      </c>
      <c r="BV47" s="20" t="n">
        <f aca="false">IF(Quantiles!BV47&lt;0,"",(Depth0-MIN(Depth0,Quantiles!BV47))/Depth_per_q)</f>
        <v>0</v>
      </c>
      <c r="BW47" s="20" t="n">
        <f aca="false">IF(Quantiles!BW47&lt;0,"",(Depth0-MIN(Depth0,Quantiles!BW47))/Depth_per_q)</f>
        <v>0</v>
      </c>
      <c r="BX47" s="20" t="n">
        <f aca="false">IF(Quantiles!BX47&lt;0,"",(Depth0-MIN(Depth0,Quantiles!BX47))/Depth_per_q)</f>
        <v>0</v>
      </c>
      <c r="BY47" s="20" t="n">
        <f aca="false">IF(Quantiles!BY47&lt;0,"",(Depth0-MIN(Depth0,Quantiles!BY47))/Depth_per_q)</f>
        <v>0</v>
      </c>
      <c r="BZ47" s="20" t="n">
        <f aca="false">IF(Quantiles!BZ47&lt;0,"",(Depth0-MIN(Depth0,Quantiles!BZ47))/Depth_per_q)</f>
        <v>0</v>
      </c>
      <c r="CA47" s="20" t="n">
        <f aca="false">IF(Quantiles!CA47&lt;0,"",(Depth0-MIN(Depth0,Quantiles!CA47))/Depth_per_q)</f>
        <v>0</v>
      </c>
      <c r="CB47" s="20" t="n">
        <f aca="false">IF(Quantiles!CB47&lt;0,"",(Depth0-MIN(Depth0,Quantiles!CB47))/Depth_per_q)</f>
        <v>0</v>
      </c>
      <c r="CC47" s="20" t="n">
        <f aca="false">IF(Quantiles!CC47&lt;0,"",(Depth0-MIN(Depth0,Quantiles!CC47))/Depth_per_q)</f>
        <v>0</v>
      </c>
      <c r="CD47" s="20" t="n">
        <f aca="false">IF(Quantiles!CD47&lt;0,"",(Depth0-MIN(Depth0,Quantiles!CD47))/Depth_per_q)</f>
        <v>0</v>
      </c>
      <c r="CE47" s="20" t="n">
        <f aca="false">IF(Quantiles!CE47&lt;0,"",(Depth0-MIN(Depth0,Quantiles!CE47))/Depth_per_q)</f>
        <v>0</v>
      </c>
      <c r="CF47" s="20" t="n">
        <f aca="false">IF(Quantiles!CF47&lt;0,"",(Depth0-MIN(Depth0,Quantiles!CF47))/Depth_per_q)</f>
        <v>0</v>
      </c>
      <c r="CG47" s="20" t="n">
        <f aca="false">IF(Quantiles!CG47&lt;0,"",(Depth0-MIN(Depth0,Quantiles!CG47))/Depth_per_q)</f>
        <v>0</v>
      </c>
      <c r="CH47" s="20" t="n">
        <f aca="false">IF(Quantiles!CH47&lt;0,"",(Depth0-MIN(Depth0,Quantiles!CH47))/Depth_per_q)</f>
        <v>0</v>
      </c>
      <c r="CI47" s="20" t="n">
        <f aca="false">IF(Quantiles!CI47&lt;0,"",(Depth0-MIN(Depth0,Quantiles!CI47))/Depth_per_q)</f>
        <v>0</v>
      </c>
      <c r="CJ47" s="20" t="n">
        <f aca="false">IF(Quantiles!CJ47&lt;0,"",(Depth0-MIN(Depth0,Quantiles!CJ47))/Depth_per_q)</f>
        <v>0</v>
      </c>
      <c r="CK47" s="20" t="n">
        <f aca="false">IF(Quantiles!CK47&lt;0,"",(Depth0-MIN(Depth0,Quantiles!CK47))/Depth_per_q)</f>
        <v>0</v>
      </c>
      <c r="CL47" s="20" t="n">
        <f aca="false">IF(Quantiles!CL47&lt;0,"",(Depth0-MIN(Depth0,Quantiles!CL47))/Depth_per_q)</f>
        <v>0</v>
      </c>
      <c r="CM47" s="20" t="n">
        <f aca="false">IF(Quantiles!CM47&lt;0,"",(Depth0-MIN(Depth0,Quantiles!CM47))/Depth_per_q)</f>
        <v>0</v>
      </c>
      <c r="CN47" s="20" t="n">
        <f aca="false">IF(Quantiles!CN47&lt;0,"",(Depth0-MIN(Depth0,Quantiles!CN47))/Depth_per_q)</f>
        <v>0</v>
      </c>
      <c r="CO47" s="20" t="n">
        <f aca="false">IF(Quantiles!CO47&lt;0,"",(Depth0-MIN(Depth0,Quantiles!CO47))/Depth_per_q)</f>
        <v>0</v>
      </c>
      <c r="CP47" s="20" t="n">
        <f aca="false">IF(Quantiles!CP47&lt;0,"",(Depth0-MIN(Depth0,Quantiles!CP47))/Depth_per_q)</f>
        <v>0</v>
      </c>
      <c r="CQ47" s="20" t="n">
        <f aca="false">IF(Quantiles!CQ47&lt;0,"",(Depth0-MIN(Depth0,Quantiles!CQ47))/Depth_per_q)</f>
        <v>0</v>
      </c>
      <c r="CR47" s="20" t="n">
        <f aca="false">IF(Quantiles!CR47&lt;0,"",(Depth0-MIN(Depth0,Quantiles!CR47))/Depth_per_q)</f>
        <v>0</v>
      </c>
      <c r="CS47" s="20" t="n">
        <f aca="false">IF(Quantiles!CS47&lt;0,"",(Depth0-MIN(Depth0,Quantiles!CS47))/Depth_per_q)</f>
        <v>0</v>
      </c>
      <c r="CT47" s="20" t="n">
        <f aca="false">IF(Quantiles!CT47&lt;0,"",(Depth0-MIN(Depth0,Quantiles!CT47))/Depth_per_q)</f>
        <v>1.10691203240605</v>
      </c>
    </row>
    <row r="48" customFormat="false" ht="15" hidden="false" customHeight="false" outlineLevel="0" collapsed="false">
      <c r="A48" s="25" t="n">
        <f aca="false">Quantiles!A48</f>
        <v>215</v>
      </c>
      <c r="B48" s="20" t="n">
        <f aca="false">IF(Quantiles!B48&lt;0,"",(Depth0-MIN(Depth0,Quantiles!B48))/Depth_per_q)</f>
        <v>2.11010882158143</v>
      </c>
      <c r="C48" s="20" t="n">
        <f aca="false">IF(Quantiles!C48&lt;0,"",(Depth0-MIN(Depth0,Quantiles!C48))/Depth_per_q)</f>
        <v>1.91213865697529</v>
      </c>
      <c r="D48" s="20" t="n">
        <f aca="false">IF(Quantiles!D48&lt;0,"",(Depth0-MIN(Depth0,Quantiles!D48))/Depth_per_q)</f>
        <v>1.75181926449912</v>
      </c>
      <c r="E48" s="20" t="n">
        <f aca="false">IF(Quantiles!E48&lt;0,"",(Depth0-MIN(Depth0,Quantiles!E48))/Depth_per_q)</f>
        <v>1.60753065154533</v>
      </c>
      <c r="F48" s="20" t="n">
        <f aca="false">IF(Quantiles!F48&lt;0,"",(Depth0-MIN(Depth0,Quantiles!F48))/Depth_per_q)</f>
        <v>1.47632229590382</v>
      </c>
      <c r="G48" s="20" t="n">
        <f aca="false">IF(Quantiles!G48&lt;0,"",(Depth0-MIN(Depth0,Quantiles!G48))/Depth_per_q)</f>
        <v>1.3665962396098</v>
      </c>
      <c r="H48" s="20" t="n">
        <f aca="false">IF(Quantiles!H48&lt;0,"",(Depth0-MIN(Depth0,Quantiles!H48))/Depth_per_q)</f>
        <v>1.26876504521493</v>
      </c>
      <c r="I48" s="20" t="n">
        <f aca="false">IF(Quantiles!I48&lt;0,"",(Depth0-MIN(Depth0,Quantiles!I48))/Depth_per_q)</f>
        <v>1.18147409416924</v>
      </c>
      <c r="J48" s="20" t="n">
        <f aca="false">IF(Quantiles!J48&lt;0,"",(Depth0-MIN(Depth0,Quantiles!J48))/Depth_per_q)</f>
        <v>1.10038335854707</v>
      </c>
      <c r="K48" s="20" t="n">
        <f aca="false">IF(Quantiles!K48&lt;0,"",(Depth0-MIN(Depth0,Quantiles!K48))/Depth_per_q)</f>
        <v>1.02154039947283</v>
      </c>
      <c r="L48" s="20" t="n">
        <f aca="false">IF(Quantiles!L48&lt;0,"",(Depth0-MIN(Depth0,Quantiles!L48))/Depth_per_q)</f>
        <v>0.94781714968837</v>
      </c>
      <c r="M48" s="20" t="n">
        <f aca="false">IF(Quantiles!M48&lt;0,"",(Depth0-MIN(Depth0,Quantiles!M48))/Depth_per_q)</f>
        <v>0.88283826459608</v>
      </c>
      <c r="N48" s="20" t="n">
        <f aca="false">IF(Quantiles!N48&lt;0,"",(Depth0-MIN(Depth0,Quantiles!N48))/Depth_per_q)</f>
        <v>0.81420772660684</v>
      </c>
      <c r="O48" s="20" t="n">
        <f aca="false">IF(Quantiles!O48&lt;0,"",(Depth0-MIN(Depth0,Quantiles!O48))/Depth_per_q)</f>
        <v>0.752364834073467</v>
      </c>
      <c r="P48" s="20" t="n">
        <f aca="false">IF(Quantiles!P48&lt;0,"",(Depth0-MIN(Depth0,Quantiles!P48))/Depth_per_q)</f>
        <v>0.693825682697675</v>
      </c>
      <c r="Q48" s="20" t="n">
        <f aca="false">IF(Quantiles!Q48&lt;0,"",(Depth0-MIN(Depth0,Quantiles!Q48))/Depth_per_q)</f>
        <v>0.637463619169123</v>
      </c>
      <c r="R48" s="20" t="n">
        <f aca="false">IF(Quantiles!R48&lt;0,"",(Depth0-MIN(Depth0,Quantiles!R48))/Depth_per_q)</f>
        <v>0.581831108813628</v>
      </c>
      <c r="S48" s="20" t="n">
        <f aca="false">IF(Quantiles!S48&lt;0,"",(Depth0-MIN(Depth0,Quantiles!S48))/Depth_per_q)</f>
        <v>0.53114821680071</v>
      </c>
      <c r="T48" s="20" t="n">
        <f aca="false">IF(Quantiles!T48&lt;0,"",(Depth0-MIN(Depth0,Quantiles!T48))/Depth_per_q)</f>
        <v>0.483558120840143</v>
      </c>
      <c r="U48" s="20" t="n">
        <f aca="false">IF(Quantiles!U48&lt;0,"",(Depth0-MIN(Depth0,Quantiles!U48))/Depth_per_q)</f>
        <v>0.440709018798195</v>
      </c>
      <c r="V48" s="20" t="n">
        <f aca="false">IF(Quantiles!V48&lt;0,"",(Depth0-MIN(Depth0,Quantiles!V48))/Depth_per_q)</f>
        <v>0.395674180430125</v>
      </c>
      <c r="W48" s="20" t="n">
        <f aca="false">IF(Quantiles!W48&lt;0,"",(Depth0-MIN(Depth0,Quantiles!W48))/Depth_per_q)</f>
        <v>0.351926099856183</v>
      </c>
      <c r="X48" s="20" t="n">
        <f aca="false">IF(Quantiles!X48&lt;0,"",(Depth0-MIN(Depth0,Quantiles!X48))/Depth_per_q)</f>
        <v>0.308718146624083</v>
      </c>
      <c r="Y48" s="20" t="n">
        <f aca="false">IF(Quantiles!Y48&lt;0,"",(Depth0-MIN(Depth0,Quantiles!Y48))/Depth_per_q)</f>
        <v>0.267395987034307</v>
      </c>
      <c r="Z48" s="20" t="n">
        <f aca="false">IF(Quantiles!Z48&lt;0,"",(Depth0-MIN(Depth0,Quantiles!Z48))/Depth_per_q)</f>
        <v>0.228700386624845</v>
      </c>
      <c r="AA48" s="20" t="n">
        <f aca="false">IF(Quantiles!AA48&lt;0,"",(Depth0-MIN(Depth0,Quantiles!AA48))/Depth_per_q)</f>
        <v>0.192245334603085</v>
      </c>
      <c r="AB48" s="20" t="n">
        <f aca="false">IF(Quantiles!AB48&lt;0,"",(Depth0-MIN(Depth0,Quantiles!AB48))/Depth_per_q)</f>
        <v>0.152724250975537</v>
      </c>
      <c r="AC48" s="20" t="n">
        <f aca="false">IF(Quantiles!AC48&lt;0,"",(Depth0-MIN(Depth0,Quantiles!AC48))/Depth_per_q)</f>
        <v>0.113909261840828</v>
      </c>
      <c r="AD48" s="20" t="n">
        <f aca="false">IF(Quantiles!AD48&lt;0,"",(Depth0-MIN(Depth0,Quantiles!AD48))/Depth_per_q)</f>
        <v>0.0802605828326204</v>
      </c>
      <c r="AE48" s="20" t="n">
        <f aca="false">IF(Quantiles!AE48&lt;0,"",(Depth0-MIN(Depth0,Quantiles!AE48))/Depth_per_q)</f>
        <v>0.0420008228511497</v>
      </c>
      <c r="AF48" s="20" t="n">
        <f aca="false">IF(Quantiles!AF48&lt;0,"",(Depth0-MIN(Depth0,Quantiles!AF48))/Depth_per_q)</f>
        <v>0.00945900531135724</v>
      </c>
      <c r="AG48" s="20" t="n">
        <f aca="false">IF(Quantiles!AG48&lt;0,"",(Depth0-MIN(Depth0,Quantiles!AG48))/Depth_per_q)</f>
        <v>0</v>
      </c>
      <c r="AH48" s="20" t="n">
        <f aca="false">IF(Quantiles!AH48&lt;0,"",(Depth0-MIN(Depth0,Quantiles!AH48))/Depth_per_q)</f>
        <v>0</v>
      </c>
      <c r="AI48" s="20" t="n">
        <f aca="false">IF(Quantiles!AI48&lt;0,"",(Depth0-MIN(Depth0,Quantiles!AI48))/Depth_per_q)</f>
        <v>0</v>
      </c>
      <c r="AJ48" s="20" t="n">
        <f aca="false">IF(Quantiles!AJ48&lt;0,"",(Depth0-MIN(Depth0,Quantiles!AJ48))/Depth_per_q)</f>
        <v>0</v>
      </c>
      <c r="AK48" s="20" t="n">
        <f aca="false">IF(Quantiles!AK48&lt;0,"",(Depth0-MIN(Depth0,Quantiles!AK48))/Depth_per_q)</f>
        <v>0</v>
      </c>
      <c r="AL48" s="20" t="n">
        <f aca="false">IF(Quantiles!AL48&lt;0,"",(Depth0-MIN(Depth0,Quantiles!AL48))/Depth_per_q)</f>
        <v>0</v>
      </c>
      <c r="AM48" s="20" t="n">
        <f aca="false">IF(Quantiles!AM48&lt;0,"",(Depth0-MIN(Depth0,Quantiles!AM48))/Depth_per_q)</f>
        <v>0</v>
      </c>
      <c r="AN48" s="20" t="n">
        <f aca="false">IF(Quantiles!AN48&lt;0,"",(Depth0-MIN(Depth0,Quantiles!AN48))/Depth_per_q)</f>
        <v>0</v>
      </c>
      <c r="AO48" s="20" t="n">
        <f aca="false">IF(Quantiles!AO48&lt;0,"",(Depth0-MIN(Depth0,Quantiles!AO48))/Depth_per_q)</f>
        <v>0</v>
      </c>
      <c r="AP48" s="20" t="n">
        <f aca="false">IF(Quantiles!AP48&lt;0,"",(Depth0-MIN(Depth0,Quantiles!AP48))/Depth_per_q)</f>
        <v>0</v>
      </c>
      <c r="AQ48" s="20" t="n">
        <f aca="false">IF(Quantiles!AQ48&lt;0,"",(Depth0-MIN(Depth0,Quantiles!AQ48))/Depth_per_q)</f>
        <v>0</v>
      </c>
      <c r="AR48" s="20" t="n">
        <f aca="false">IF(Quantiles!AR48&lt;0,"",(Depth0-MIN(Depth0,Quantiles!AR48))/Depth_per_q)</f>
        <v>0</v>
      </c>
      <c r="AS48" s="20" t="n">
        <f aca="false">IF(Quantiles!AS48&lt;0,"",(Depth0-MIN(Depth0,Quantiles!AS48))/Depth_per_q)</f>
        <v>0</v>
      </c>
      <c r="AT48" s="20" t="n">
        <f aca="false">IF(Quantiles!AT48&lt;0,"",(Depth0-MIN(Depth0,Quantiles!AT48))/Depth_per_q)</f>
        <v>0</v>
      </c>
      <c r="AU48" s="20" t="n">
        <f aca="false">IF(Quantiles!AU48&lt;0,"",(Depth0-MIN(Depth0,Quantiles!AU48))/Depth_per_q)</f>
        <v>0</v>
      </c>
      <c r="AV48" s="20" t="n">
        <f aca="false">IF(Quantiles!AV48&lt;0,"",(Depth0-MIN(Depth0,Quantiles!AV48))/Depth_per_q)</f>
        <v>0</v>
      </c>
      <c r="AW48" s="20" t="n">
        <f aca="false">IF(Quantiles!AW48&lt;0,"",(Depth0-MIN(Depth0,Quantiles!AW48))/Depth_per_q)</f>
        <v>0</v>
      </c>
      <c r="AX48" s="20" t="n">
        <f aca="false">IF(Quantiles!AX48&lt;0,"",(Depth0-MIN(Depth0,Quantiles!AX48))/Depth_per_q)</f>
        <v>0</v>
      </c>
      <c r="AY48" s="20" t="n">
        <f aca="false">IF(Quantiles!AY48&lt;0,"",(Depth0-MIN(Depth0,Quantiles!AY48))/Depth_per_q)</f>
        <v>0</v>
      </c>
      <c r="AZ48" s="20" t="n">
        <f aca="false">IF(Quantiles!AZ48&lt;0,"",(Depth0-MIN(Depth0,Quantiles!AZ48))/Depth_per_q)</f>
        <v>0</v>
      </c>
      <c r="BA48" s="20" t="n">
        <f aca="false">IF(Quantiles!BA48&lt;0,"",(Depth0-MIN(Depth0,Quantiles!BA48))/Depth_per_q)</f>
        <v>0</v>
      </c>
      <c r="BB48" s="20" t="n">
        <f aca="false">IF(Quantiles!BB48&lt;0,"",(Depth0-MIN(Depth0,Quantiles!BB48))/Depth_per_q)</f>
        <v>0</v>
      </c>
      <c r="BC48" s="20" t="n">
        <f aca="false">IF(Quantiles!BC48&lt;0,"",(Depth0-MIN(Depth0,Quantiles!BC48))/Depth_per_q)</f>
        <v>0</v>
      </c>
      <c r="BD48" s="20" t="n">
        <f aca="false">IF(Quantiles!BD48&lt;0,"",(Depth0-MIN(Depth0,Quantiles!BD48))/Depth_per_q)</f>
        <v>0</v>
      </c>
      <c r="BE48" s="20" t="n">
        <f aca="false">IF(Quantiles!BE48&lt;0,"",(Depth0-MIN(Depth0,Quantiles!BE48))/Depth_per_q)</f>
        <v>0</v>
      </c>
      <c r="BF48" s="20" t="n">
        <f aca="false">IF(Quantiles!BF48&lt;0,"",(Depth0-MIN(Depth0,Quantiles!BF48))/Depth_per_q)</f>
        <v>0</v>
      </c>
      <c r="BG48" s="20" t="n">
        <f aca="false">IF(Quantiles!BG48&lt;0,"",(Depth0-MIN(Depth0,Quantiles!BG48))/Depth_per_q)</f>
        <v>0</v>
      </c>
      <c r="BH48" s="20" t="n">
        <f aca="false">IF(Quantiles!BH48&lt;0,"",(Depth0-MIN(Depth0,Quantiles!BH48))/Depth_per_q)</f>
        <v>0</v>
      </c>
      <c r="BI48" s="20" t="n">
        <f aca="false">IF(Quantiles!BI48&lt;0,"",(Depth0-MIN(Depth0,Quantiles!BI48))/Depth_per_q)</f>
        <v>0</v>
      </c>
      <c r="BJ48" s="20" t="n">
        <f aca="false">IF(Quantiles!BJ48&lt;0,"",(Depth0-MIN(Depth0,Quantiles!BJ48))/Depth_per_q)</f>
        <v>0</v>
      </c>
      <c r="BK48" s="20" t="n">
        <f aca="false">IF(Quantiles!BK48&lt;0,"",(Depth0-MIN(Depth0,Quantiles!BK48))/Depth_per_q)</f>
        <v>0</v>
      </c>
      <c r="BL48" s="20" t="n">
        <f aca="false">IF(Quantiles!BL48&lt;0,"",(Depth0-MIN(Depth0,Quantiles!BL48))/Depth_per_q)</f>
        <v>0</v>
      </c>
      <c r="BM48" s="20" t="n">
        <f aca="false">IF(Quantiles!BM48&lt;0,"",(Depth0-MIN(Depth0,Quantiles!BM48))/Depth_per_q)</f>
        <v>0</v>
      </c>
      <c r="BN48" s="20" t="n">
        <f aca="false">IF(Quantiles!BN48&lt;0,"",(Depth0-MIN(Depth0,Quantiles!BN48))/Depth_per_q)</f>
        <v>0</v>
      </c>
      <c r="BO48" s="20" t="n">
        <f aca="false">IF(Quantiles!BO48&lt;0,"",(Depth0-MIN(Depth0,Quantiles!BO48))/Depth_per_q)</f>
        <v>0</v>
      </c>
      <c r="BP48" s="20" t="n">
        <f aca="false">IF(Quantiles!BP48&lt;0,"",(Depth0-MIN(Depth0,Quantiles!BP48))/Depth_per_q)</f>
        <v>0</v>
      </c>
      <c r="BQ48" s="20" t="n">
        <f aca="false">IF(Quantiles!BQ48&lt;0,"",(Depth0-MIN(Depth0,Quantiles!BQ48))/Depth_per_q)</f>
        <v>0</v>
      </c>
      <c r="BR48" s="20" t="n">
        <f aca="false">IF(Quantiles!BR48&lt;0,"",(Depth0-MIN(Depth0,Quantiles!BR48))/Depth_per_q)</f>
        <v>0</v>
      </c>
      <c r="BS48" s="20" t="n">
        <f aca="false">IF(Quantiles!BS48&lt;0,"",(Depth0-MIN(Depth0,Quantiles!BS48))/Depth_per_q)</f>
        <v>0</v>
      </c>
      <c r="BT48" s="20" t="n">
        <f aca="false">IF(Quantiles!BT48&lt;0,"",(Depth0-MIN(Depth0,Quantiles!BT48))/Depth_per_q)</f>
        <v>0</v>
      </c>
      <c r="BU48" s="20" t="n">
        <f aca="false">IF(Quantiles!BU48&lt;0,"",(Depth0-MIN(Depth0,Quantiles!BU48))/Depth_per_q)</f>
        <v>0</v>
      </c>
      <c r="BV48" s="20" t="n">
        <f aca="false">IF(Quantiles!BV48&lt;0,"",(Depth0-MIN(Depth0,Quantiles!BV48))/Depth_per_q)</f>
        <v>0</v>
      </c>
      <c r="BW48" s="20" t="n">
        <f aca="false">IF(Quantiles!BW48&lt;0,"",(Depth0-MIN(Depth0,Quantiles!BW48))/Depth_per_q)</f>
        <v>0</v>
      </c>
      <c r="BX48" s="20" t="n">
        <f aca="false">IF(Quantiles!BX48&lt;0,"",(Depth0-MIN(Depth0,Quantiles!BX48))/Depth_per_q)</f>
        <v>0</v>
      </c>
      <c r="BY48" s="20" t="n">
        <f aca="false">IF(Quantiles!BY48&lt;0,"",(Depth0-MIN(Depth0,Quantiles!BY48))/Depth_per_q)</f>
        <v>0</v>
      </c>
      <c r="BZ48" s="20" t="n">
        <f aca="false">IF(Quantiles!BZ48&lt;0,"",(Depth0-MIN(Depth0,Quantiles!BZ48))/Depth_per_q)</f>
        <v>0</v>
      </c>
      <c r="CA48" s="20" t="n">
        <f aca="false">IF(Quantiles!CA48&lt;0,"",(Depth0-MIN(Depth0,Quantiles!CA48))/Depth_per_q)</f>
        <v>0</v>
      </c>
      <c r="CB48" s="20" t="n">
        <f aca="false">IF(Quantiles!CB48&lt;0,"",(Depth0-MIN(Depth0,Quantiles!CB48))/Depth_per_q)</f>
        <v>0</v>
      </c>
      <c r="CC48" s="20" t="n">
        <f aca="false">IF(Quantiles!CC48&lt;0,"",(Depth0-MIN(Depth0,Quantiles!CC48))/Depth_per_q)</f>
        <v>0</v>
      </c>
      <c r="CD48" s="20" t="n">
        <f aca="false">IF(Quantiles!CD48&lt;0,"",(Depth0-MIN(Depth0,Quantiles!CD48))/Depth_per_q)</f>
        <v>0</v>
      </c>
      <c r="CE48" s="20" t="n">
        <f aca="false">IF(Quantiles!CE48&lt;0,"",(Depth0-MIN(Depth0,Quantiles!CE48))/Depth_per_q)</f>
        <v>0</v>
      </c>
      <c r="CF48" s="20" t="n">
        <f aca="false">IF(Quantiles!CF48&lt;0,"",(Depth0-MIN(Depth0,Quantiles!CF48))/Depth_per_q)</f>
        <v>0</v>
      </c>
      <c r="CG48" s="20" t="n">
        <f aca="false">IF(Quantiles!CG48&lt;0,"",(Depth0-MIN(Depth0,Quantiles!CG48))/Depth_per_q)</f>
        <v>0</v>
      </c>
      <c r="CH48" s="20" t="n">
        <f aca="false">IF(Quantiles!CH48&lt;0,"",(Depth0-MIN(Depth0,Quantiles!CH48))/Depth_per_q)</f>
        <v>0</v>
      </c>
      <c r="CI48" s="20" t="n">
        <f aca="false">IF(Quantiles!CI48&lt;0,"",(Depth0-MIN(Depth0,Quantiles!CI48))/Depth_per_q)</f>
        <v>0</v>
      </c>
      <c r="CJ48" s="20" t="n">
        <f aca="false">IF(Quantiles!CJ48&lt;0,"",(Depth0-MIN(Depth0,Quantiles!CJ48))/Depth_per_q)</f>
        <v>0</v>
      </c>
      <c r="CK48" s="20" t="n">
        <f aca="false">IF(Quantiles!CK48&lt;0,"",(Depth0-MIN(Depth0,Quantiles!CK48))/Depth_per_q)</f>
        <v>0</v>
      </c>
      <c r="CL48" s="20" t="n">
        <f aca="false">IF(Quantiles!CL48&lt;0,"",(Depth0-MIN(Depth0,Quantiles!CL48))/Depth_per_q)</f>
        <v>0</v>
      </c>
      <c r="CM48" s="20" t="n">
        <f aca="false">IF(Quantiles!CM48&lt;0,"",(Depth0-MIN(Depth0,Quantiles!CM48))/Depth_per_q)</f>
        <v>0</v>
      </c>
      <c r="CN48" s="20" t="n">
        <f aca="false">IF(Quantiles!CN48&lt;0,"",(Depth0-MIN(Depth0,Quantiles!CN48))/Depth_per_q)</f>
        <v>0</v>
      </c>
      <c r="CO48" s="20" t="n">
        <f aca="false">IF(Quantiles!CO48&lt;0,"",(Depth0-MIN(Depth0,Quantiles!CO48))/Depth_per_q)</f>
        <v>0</v>
      </c>
      <c r="CP48" s="20" t="n">
        <f aca="false">IF(Quantiles!CP48&lt;0,"",(Depth0-MIN(Depth0,Quantiles!CP48))/Depth_per_q)</f>
        <v>0</v>
      </c>
      <c r="CQ48" s="20" t="n">
        <f aca="false">IF(Quantiles!CQ48&lt;0,"",(Depth0-MIN(Depth0,Quantiles!CQ48))/Depth_per_q)</f>
        <v>0</v>
      </c>
      <c r="CR48" s="20" t="n">
        <f aca="false">IF(Quantiles!CR48&lt;0,"",(Depth0-MIN(Depth0,Quantiles!CR48))/Depth_per_q)</f>
        <v>0</v>
      </c>
      <c r="CS48" s="20" t="n">
        <f aca="false">IF(Quantiles!CS48&lt;0,"",(Depth0-MIN(Depth0,Quantiles!CS48))/Depth_per_q)</f>
        <v>0</v>
      </c>
      <c r="CT48" s="20" t="n">
        <f aca="false">IF(Quantiles!CT48&lt;0,"",(Depth0-MIN(Depth0,Quantiles!CT48))/Depth_per_q)</f>
        <v>1.09956881564159</v>
      </c>
    </row>
    <row r="49" customFormat="false" ht="15" hidden="false" customHeight="false" outlineLevel="0" collapsed="false">
      <c r="A49" s="25" t="n">
        <f aca="false">Quantiles!A49</f>
        <v>220</v>
      </c>
      <c r="B49" s="20" t="n">
        <f aca="false">IF(Quantiles!B49&lt;0,"",(Depth0-MIN(Depth0,Quantiles!B49))/Depth_per_q)</f>
        <v>2.09550710305455</v>
      </c>
      <c r="C49" s="20" t="n">
        <f aca="false">IF(Quantiles!C49&lt;0,"",(Depth0-MIN(Depth0,Quantiles!C49))/Depth_per_q)</f>
        <v>1.90138554207122</v>
      </c>
      <c r="D49" s="20" t="n">
        <f aca="false">IF(Quantiles!D49&lt;0,"",(Depth0-MIN(Depth0,Quantiles!D49))/Depth_per_q)</f>
        <v>1.74465447362952</v>
      </c>
      <c r="E49" s="20" t="n">
        <f aca="false">IF(Quantiles!E49&lt;0,"",(Depth0-MIN(Depth0,Quantiles!E49))/Depth_per_q)</f>
        <v>1.59516663341686</v>
      </c>
      <c r="F49" s="20" t="n">
        <f aca="false">IF(Quantiles!F49&lt;0,"",(Depth0-MIN(Depth0,Quantiles!F49))/Depth_per_q)</f>
        <v>1.47064712879983</v>
      </c>
      <c r="G49" s="20" t="n">
        <f aca="false">IF(Quantiles!G49&lt;0,"",(Depth0-MIN(Depth0,Quantiles!G49))/Depth_per_q)</f>
        <v>1.36327536981939</v>
      </c>
      <c r="H49" s="20" t="n">
        <f aca="false">IF(Quantiles!H49&lt;0,"",(Depth0-MIN(Depth0,Quantiles!H49))/Depth_per_q)</f>
        <v>1.26342568173043</v>
      </c>
      <c r="I49" s="20" t="n">
        <f aca="false">IF(Quantiles!I49&lt;0,"",(Depth0-MIN(Depth0,Quantiles!I49))/Depth_per_q)</f>
        <v>1.17805905924155</v>
      </c>
      <c r="J49" s="20" t="n">
        <f aca="false">IF(Quantiles!J49&lt;0,"",(Depth0-MIN(Depth0,Quantiles!J49))/Depth_per_q)</f>
        <v>1.09544586039358</v>
      </c>
      <c r="K49" s="20" t="n">
        <f aca="false">IF(Quantiles!K49&lt;0,"",(Depth0-MIN(Depth0,Quantiles!K49))/Depth_per_q)</f>
        <v>1.01604223950547</v>
      </c>
      <c r="L49" s="20" t="n">
        <f aca="false">IF(Quantiles!L49&lt;0,"",(Depth0-MIN(Depth0,Quantiles!L49))/Depth_per_q)</f>
        <v>0.9420887042097</v>
      </c>
      <c r="M49" s="20" t="n">
        <f aca="false">IF(Quantiles!M49&lt;0,"",(Depth0-MIN(Depth0,Quantiles!M49))/Depth_per_q)</f>
        <v>0.876556459275805</v>
      </c>
      <c r="N49" s="20" t="n">
        <f aca="false">IF(Quantiles!N49&lt;0,"",(Depth0-MIN(Depth0,Quantiles!N49))/Depth_per_q)</f>
        <v>0.811232012620837</v>
      </c>
      <c r="O49" s="20" t="n">
        <f aca="false">IF(Quantiles!O49&lt;0,"",(Depth0-MIN(Depth0,Quantiles!O49))/Depth_per_q)</f>
        <v>0.747801648453542</v>
      </c>
      <c r="P49" s="20" t="n">
        <f aca="false">IF(Quantiles!P49&lt;0,"",(Depth0-MIN(Depth0,Quantiles!P49))/Depth_per_q)</f>
        <v>0.690278020566757</v>
      </c>
      <c r="Q49" s="20" t="n">
        <f aca="false">IF(Quantiles!Q49&lt;0,"",(Depth0-MIN(Depth0,Quantiles!Q49))/Depth_per_q)</f>
        <v>0.632765972743555</v>
      </c>
      <c r="R49" s="20" t="n">
        <f aca="false">IF(Quantiles!R49&lt;0,"",(Depth0-MIN(Depth0,Quantiles!R49))/Depth_per_q)</f>
        <v>0.57863970892705</v>
      </c>
      <c r="S49" s="20" t="n">
        <f aca="false">IF(Quantiles!S49&lt;0,"",(Depth0-MIN(Depth0,Quantiles!S49))/Depth_per_q)</f>
        <v>0.525873748549812</v>
      </c>
      <c r="T49" s="20" t="n">
        <f aca="false">IF(Quantiles!T49&lt;0,"",(Depth0-MIN(Depth0,Quantiles!T49))/Depth_per_q)</f>
        <v>0.478976679140275</v>
      </c>
      <c r="U49" s="20" t="n">
        <f aca="false">IF(Quantiles!U49&lt;0,"",(Depth0-MIN(Depth0,Quantiles!U49))/Depth_per_q)</f>
        <v>0.434849127999165</v>
      </c>
      <c r="V49" s="20" t="n">
        <f aca="false">IF(Quantiles!V49&lt;0,"",(Depth0-MIN(Depth0,Quantiles!V49))/Depth_per_q)</f>
        <v>0.3913176808683</v>
      </c>
      <c r="W49" s="20" t="n">
        <f aca="false">IF(Quantiles!W49&lt;0,"",(Depth0-MIN(Depth0,Quantiles!W49))/Depth_per_q)</f>
        <v>0.348973903223173</v>
      </c>
      <c r="X49" s="20" t="n">
        <f aca="false">IF(Quantiles!X49&lt;0,"",(Depth0-MIN(Depth0,Quantiles!X49))/Depth_per_q)</f>
        <v>0.304431869506438</v>
      </c>
      <c r="Y49" s="20" t="n">
        <f aca="false">IF(Quantiles!Y49&lt;0,"",(Depth0-MIN(Depth0,Quantiles!Y49))/Depth_per_q)</f>
        <v>0.263407812030405</v>
      </c>
      <c r="Z49" s="20" t="n">
        <f aca="false">IF(Quantiles!Z49&lt;0,"",(Depth0-MIN(Depth0,Quantiles!Z49))/Depth_per_q)</f>
        <v>0.224677400827095</v>
      </c>
      <c r="AA49" s="20" t="n">
        <f aca="false">IF(Quantiles!AA49&lt;0,"",(Depth0-MIN(Depth0,Quantiles!AA49))/Depth_per_q)</f>
        <v>0.188369041732487</v>
      </c>
      <c r="AB49" s="20" t="n">
        <f aca="false">IF(Quantiles!AB49&lt;0,"",(Depth0-MIN(Depth0,Quantiles!AB49))/Depth_per_q)</f>
        <v>0.148206678559505</v>
      </c>
      <c r="AC49" s="20" t="n">
        <f aca="false">IF(Quantiles!AC49&lt;0,"",(Depth0-MIN(Depth0,Quantiles!AC49))/Depth_per_q)</f>
        <v>0.11042493559776</v>
      </c>
      <c r="AD49" s="20" t="n">
        <f aca="false">IF(Quantiles!AD49&lt;0,"",(Depth0-MIN(Depth0,Quantiles!AD49))/Depth_per_q)</f>
        <v>0.0764357450421223</v>
      </c>
      <c r="AE49" s="20" t="n">
        <f aca="false">IF(Quantiles!AE49&lt;0,"",(Depth0-MIN(Depth0,Quantiles!AE49))/Depth_per_q)</f>
        <v>0.0389416242241625</v>
      </c>
      <c r="AF49" s="20" t="n">
        <f aca="false">IF(Quantiles!AF49&lt;0,"",(Depth0-MIN(Depth0,Quantiles!AF49))/Depth_per_q)</f>
        <v>0.005708119805095</v>
      </c>
      <c r="AG49" s="20" t="n">
        <f aca="false">IF(Quantiles!AG49&lt;0,"",(Depth0-MIN(Depth0,Quantiles!AG49))/Depth_per_q)</f>
        <v>0</v>
      </c>
      <c r="AH49" s="20" t="n">
        <f aca="false">IF(Quantiles!AH49&lt;0,"",(Depth0-MIN(Depth0,Quantiles!AH49))/Depth_per_q)</f>
        <v>0</v>
      </c>
      <c r="AI49" s="20" t="n">
        <f aca="false">IF(Quantiles!AI49&lt;0,"",(Depth0-MIN(Depth0,Quantiles!AI49))/Depth_per_q)</f>
        <v>0</v>
      </c>
      <c r="AJ49" s="20" t="n">
        <f aca="false">IF(Quantiles!AJ49&lt;0,"",(Depth0-MIN(Depth0,Quantiles!AJ49))/Depth_per_q)</f>
        <v>0</v>
      </c>
      <c r="AK49" s="20" t="n">
        <f aca="false">IF(Quantiles!AK49&lt;0,"",(Depth0-MIN(Depth0,Quantiles!AK49))/Depth_per_q)</f>
        <v>0</v>
      </c>
      <c r="AL49" s="20" t="n">
        <f aca="false">IF(Quantiles!AL49&lt;0,"",(Depth0-MIN(Depth0,Quantiles!AL49))/Depth_per_q)</f>
        <v>0</v>
      </c>
      <c r="AM49" s="20" t="n">
        <f aca="false">IF(Quantiles!AM49&lt;0,"",(Depth0-MIN(Depth0,Quantiles!AM49))/Depth_per_q)</f>
        <v>0</v>
      </c>
      <c r="AN49" s="20" t="n">
        <f aca="false">IF(Quantiles!AN49&lt;0,"",(Depth0-MIN(Depth0,Quantiles!AN49))/Depth_per_q)</f>
        <v>0</v>
      </c>
      <c r="AO49" s="20" t="n">
        <f aca="false">IF(Quantiles!AO49&lt;0,"",(Depth0-MIN(Depth0,Quantiles!AO49))/Depth_per_q)</f>
        <v>0</v>
      </c>
      <c r="AP49" s="20" t="n">
        <f aca="false">IF(Quantiles!AP49&lt;0,"",(Depth0-MIN(Depth0,Quantiles!AP49))/Depth_per_q)</f>
        <v>0</v>
      </c>
      <c r="AQ49" s="20" t="n">
        <f aca="false">IF(Quantiles!AQ49&lt;0,"",(Depth0-MIN(Depth0,Quantiles!AQ49))/Depth_per_q)</f>
        <v>0</v>
      </c>
      <c r="AR49" s="20" t="n">
        <f aca="false">IF(Quantiles!AR49&lt;0,"",(Depth0-MIN(Depth0,Quantiles!AR49))/Depth_per_q)</f>
        <v>0</v>
      </c>
      <c r="AS49" s="20" t="n">
        <f aca="false">IF(Quantiles!AS49&lt;0,"",(Depth0-MIN(Depth0,Quantiles!AS49))/Depth_per_q)</f>
        <v>0</v>
      </c>
      <c r="AT49" s="20" t="n">
        <f aca="false">IF(Quantiles!AT49&lt;0,"",(Depth0-MIN(Depth0,Quantiles!AT49))/Depth_per_q)</f>
        <v>0</v>
      </c>
      <c r="AU49" s="20" t="n">
        <f aca="false">IF(Quantiles!AU49&lt;0,"",(Depth0-MIN(Depth0,Quantiles!AU49))/Depth_per_q)</f>
        <v>0</v>
      </c>
      <c r="AV49" s="20" t="n">
        <f aca="false">IF(Quantiles!AV49&lt;0,"",(Depth0-MIN(Depth0,Quantiles!AV49))/Depth_per_q)</f>
        <v>0</v>
      </c>
      <c r="AW49" s="20" t="n">
        <f aca="false">IF(Quantiles!AW49&lt;0,"",(Depth0-MIN(Depth0,Quantiles!AW49))/Depth_per_q)</f>
        <v>0</v>
      </c>
      <c r="AX49" s="20" t="n">
        <f aca="false">IF(Quantiles!AX49&lt;0,"",(Depth0-MIN(Depth0,Quantiles!AX49))/Depth_per_q)</f>
        <v>0</v>
      </c>
      <c r="AY49" s="20" t="n">
        <f aca="false">IF(Quantiles!AY49&lt;0,"",(Depth0-MIN(Depth0,Quantiles!AY49))/Depth_per_q)</f>
        <v>0</v>
      </c>
      <c r="AZ49" s="20" t="n">
        <f aca="false">IF(Quantiles!AZ49&lt;0,"",(Depth0-MIN(Depth0,Quantiles!AZ49))/Depth_per_q)</f>
        <v>0</v>
      </c>
      <c r="BA49" s="20" t="n">
        <f aca="false">IF(Quantiles!BA49&lt;0,"",(Depth0-MIN(Depth0,Quantiles!BA49))/Depth_per_q)</f>
        <v>0</v>
      </c>
      <c r="BB49" s="20" t="n">
        <f aca="false">IF(Quantiles!BB49&lt;0,"",(Depth0-MIN(Depth0,Quantiles!BB49))/Depth_per_q)</f>
        <v>0</v>
      </c>
      <c r="BC49" s="20" t="n">
        <f aca="false">IF(Quantiles!BC49&lt;0,"",(Depth0-MIN(Depth0,Quantiles!BC49))/Depth_per_q)</f>
        <v>0</v>
      </c>
      <c r="BD49" s="20" t="n">
        <f aca="false">IF(Quantiles!BD49&lt;0,"",(Depth0-MIN(Depth0,Quantiles!BD49))/Depth_per_q)</f>
        <v>0</v>
      </c>
      <c r="BE49" s="20" t="n">
        <f aca="false">IF(Quantiles!BE49&lt;0,"",(Depth0-MIN(Depth0,Quantiles!BE49))/Depth_per_q)</f>
        <v>0</v>
      </c>
      <c r="BF49" s="20" t="n">
        <f aca="false">IF(Quantiles!BF49&lt;0,"",(Depth0-MIN(Depth0,Quantiles!BF49))/Depth_per_q)</f>
        <v>0</v>
      </c>
      <c r="BG49" s="20" t="n">
        <f aca="false">IF(Quantiles!BG49&lt;0,"",(Depth0-MIN(Depth0,Quantiles!BG49))/Depth_per_q)</f>
        <v>0</v>
      </c>
      <c r="BH49" s="20" t="n">
        <f aca="false">IF(Quantiles!BH49&lt;0,"",(Depth0-MIN(Depth0,Quantiles!BH49))/Depth_per_q)</f>
        <v>0</v>
      </c>
      <c r="BI49" s="20" t="n">
        <f aca="false">IF(Quantiles!BI49&lt;0,"",(Depth0-MIN(Depth0,Quantiles!BI49))/Depth_per_q)</f>
        <v>0</v>
      </c>
      <c r="BJ49" s="20" t="n">
        <f aca="false">IF(Quantiles!BJ49&lt;0,"",(Depth0-MIN(Depth0,Quantiles!BJ49))/Depth_per_q)</f>
        <v>0</v>
      </c>
      <c r="BK49" s="20" t="n">
        <f aca="false">IF(Quantiles!BK49&lt;0,"",(Depth0-MIN(Depth0,Quantiles!BK49))/Depth_per_q)</f>
        <v>0</v>
      </c>
      <c r="BL49" s="20" t="n">
        <f aca="false">IF(Quantiles!BL49&lt;0,"",(Depth0-MIN(Depth0,Quantiles!BL49))/Depth_per_q)</f>
        <v>0</v>
      </c>
      <c r="BM49" s="20" t="n">
        <f aca="false">IF(Quantiles!BM49&lt;0,"",(Depth0-MIN(Depth0,Quantiles!BM49))/Depth_per_q)</f>
        <v>0</v>
      </c>
      <c r="BN49" s="20" t="n">
        <f aca="false">IF(Quantiles!BN49&lt;0,"",(Depth0-MIN(Depth0,Quantiles!BN49))/Depth_per_q)</f>
        <v>0</v>
      </c>
      <c r="BO49" s="20" t="n">
        <f aca="false">IF(Quantiles!BO49&lt;0,"",(Depth0-MIN(Depth0,Quantiles!BO49))/Depth_per_q)</f>
        <v>0</v>
      </c>
      <c r="BP49" s="20" t="n">
        <f aca="false">IF(Quantiles!BP49&lt;0,"",(Depth0-MIN(Depth0,Quantiles!BP49))/Depth_per_q)</f>
        <v>0</v>
      </c>
      <c r="BQ49" s="20" t="n">
        <f aca="false">IF(Quantiles!BQ49&lt;0,"",(Depth0-MIN(Depth0,Quantiles!BQ49))/Depth_per_q)</f>
        <v>0</v>
      </c>
      <c r="BR49" s="20" t="n">
        <f aca="false">IF(Quantiles!BR49&lt;0,"",(Depth0-MIN(Depth0,Quantiles!BR49))/Depth_per_q)</f>
        <v>0</v>
      </c>
      <c r="BS49" s="20" t="n">
        <f aca="false">IF(Quantiles!BS49&lt;0,"",(Depth0-MIN(Depth0,Quantiles!BS49))/Depth_per_q)</f>
        <v>0</v>
      </c>
      <c r="BT49" s="20" t="n">
        <f aca="false">IF(Quantiles!BT49&lt;0,"",(Depth0-MIN(Depth0,Quantiles!BT49))/Depth_per_q)</f>
        <v>0</v>
      </c>
      <c r="BU49" s="20" t="n">
        <f aca="false">IF(Quantiles!BU49&lt;0,"",(Depth0-MIN(Depth0,Quantiles!BU49))/Depth_per_q)</f>
        <v>0</v>
      </c>
      <c r="BV49" s="20" t="n">
        <f aca="false">IF(Quantiles!BV49&lt;0,"",(Depth0-MIN(Depth0,Quantiles!BV49))/Depth_per_q)</f>
        <v>0</v>
      </c>
      <c r="BW49" s="20" t="n">
        <f aca="false">IF(Quantiles!BW49&lt;0,"",(Depth0-MIN(Depth0,Quantiles!BW49))/Depth_per_q)</f>
        <v>0</v>
      </c>
      <c r="BX49" s="20" t="n">
        <f aca="false">IF(Quantiles!BX49&lt;0,"",(Depth0-MIN(Depth0,Quantiles!BX49))/Depth_per_q)</f>
        <v>0</v>
      </c>
      <c r="BY49" s="20" t="n">
        <f aca="false">IF(Quantiles!BY49&lt;0,"",(Depth0-MIN(Depth0,Quantiles!BY49))/Depth_per_q)</f>
        <v>0</v>
      </c>
      <c r="BZ49" s="20" t="n">
        <f aca="false">IF(Quantiles!BZ49&lt;0,"",(Depth0-MIN(Depth0,Quantiles!BZ49))/Depth_per_q)</f>
        <v>0</v>
      </c>
      <c r="CA49" s="20" t="n">
        <f aca="false">IF(Quantiles!CA49&lt;0,"",(Depth0-MIN(Depth0,Quantiles!CA49))/Depth_per_q)</f>
        <v>0</v>
      </c>
      <c r="CB49" s="20" t="n">
        <f aca="false">IF(Quantiles!CB49&lt;0,"",(Depth0-MIN(Depth0,Quantiles!CB49))/Depth_per_q)</f>
        <v>0</v>
      </c>
      <c r="CC49" s="20" t="n">
        <f aca="false">IF(Quantiles!CC49&lt;0,"",(Depth0-MIN(Depth0,Quantiles!CC49))/Depth_per_q)</f>
        <v>0</v>
      </c>
      <c r="CD49" s="20" t="n">
        <f aca="false">IF(Quantiles!CD49&lt;0,"",(Depth0-MIN(Depth0,Quantiles!CD49))/Depth_per_q)</f>
        <v>0</v>
      </c>
      <c r="CE49" s="20" t="n">
        <f aca="false">IF(Quantiles!CE49&lt;0,"",(Depth0-MIN(Depth0,Quantiles!CE49))/Depth_per_q)</f>
        <v>0</v>
      </c>
      <c r="CF49" s="20" t="n">
        <f aca="false">IF(Quantiles!CF49&lt;0,"",(Depth0-MIN(Depth0,Quantiles!CF49))/Depth_per_q)</f>
        <v>0</v>
      </c>
      <c r="CG49" s="20" t="n">
        <f aca="false">IF(Quantiles!CG49&lt;0,"",(Depth0-MIN(Depth0,Quantiles!CG49))/Depth_per_q)</f>
        <v>0</v>
      </c>
      <c r="CH49" s="20" t="n">
        <f aca="false">IF(Quantiles!CH49&lt;0,"",(Depth0-MIN(Depth0,Quantiles!CH49))/Depth_per_q)</f>
        <v>0</v>
      </c>
      <c r="CI49" s="20" t="n">
        <f aca="false">IF(Quantiles!CI49&lt;0,"",(Depth0-MIN(Depth0,Quantiles!CI49))/Depth_per_q)</f>
        <v>0</v>
      </c>
      <c r="CJ49" s="20" t="n">
        <f aca="false">IF(Quantiles!CJ49&lt;0,"",(Depth0-MIN(Depth0,Quantiles!CJ49))/Depth_per_q)</f>
        <v>0</v>
      </c>
      <c r="CK49" s="20" t="n">
        <f aca="false">IF(Quantiles!CK49&lt;0,"",(Depth0-MIN(Depth0,Quantiles!CK49))/Depth_per_q)</f>
        <v>0</v>
      </c>
      <c r="CL49" s="20" t="n">
        <f aca="false">IF(Quantiles!CL49&lt;0,"",(Depth0-MIN(Depth0,Quantiles!CL49))/Depth_per_q)</f>
        <v>0</v>
      </c>
      <c r="CM49" s="20" t="n">
        <f aca="false">IF(Quantiles!CM49&lt;0,"",(Depth0-MIN(Depth0,Quantiles!CM49))/Depth_per_q)</f>
        <v>0</v>
      </c>
      <c r="CN49" s="20" t="n">
        <f aca="false">IF(Quantiles!CN49&lt;0,"",(Depth0-MIN(Depth0,Quantiles!CN49))/Depth_per_q)</f>
        <v>0</v>
      </c>
      <c r="CO49" s="20" t="n">
        <f aca="false">IF(Quantiles!CO49&lt;0,"",(Depth0-MIN(Depth0,Quantiles!CO49))/Depth_per_q)</f>
        <v>0</v>
      </c>
      <c r="CP49" s="20" t="n">
        <f aca="false">IF(Quantiles!CP49&lt;0,"",(Depth0-MIN(Depth0,Quantiles!CP49))/Depth_per_q)</f>
        <v>0</v>
      </c>
      <c r="CQ49" s="20" t="n">
        <f aca="false">IF(Quantiles!CQ49&lt;0,"",(Depth0-MIN(Depth0,Quantiles!CQ49))/Depth_per_q)</f>
        <v>0</v>
      </c>
      <c r="CR49" s="20" t="n">
        <f aca="false">IF(Quantiles!CR49&lt;0,"",(Depth0-MIN(Depth0,Quantiles!CR49))/Depth_per_q)</f>
        <v>0</v>
      </c>
      <c r="CS49" s="20" t="n">
        <f aca="false">IF(Quantiles!CS49&lt;0,"",(Depth0-MIN(Depth0,Quantiles!CS49))/Depth_per_q)</f>
        <v>0</v>
      </c>
      <c r="CT49" s="20" t="n">
        <f aca="false">IF(Quantiles!CT49&lt;0,"",(Depth0-MIN(Depth0,Quantiles!CT49))/Depth_per_q)</f>
        <v>1.09511815412535</v>
      </c>
    </row>
    <row r="50" customFormat="false" ht="15" hidden="false" customHeight="false" outlineLevel="0" collapsed="false">
      <c r="A50" s="25" t="n">
        <f aca="false">Quantiles!A50</f>
        <v>225</v>
      </c>
      <c r="B50" s="20" t="n">
        <f aca="false">IF(Quantiles!B50&lt;0,"",(Depth0-MIN(Depth0,Quantiles!B50))/Depth_per_q)</f>
        <v>2.08496442388975</v>
      </c>
      <c r="C50" s="20" t="n">
        <f aca="false">IF(Quantiles!C50&lt;0,"",(Depth0-MIN(Depth0,Quantiles!C50))/Depth_per_q)</f>
        <v>1.89164224297417</v>
      </c>
      <c r="D50" s="20" t="n">
        <f aca="false">IF(Quantiles!D50&lt;0,"",(Depth0-MIN(Depth0,Quantiles!D50))/Depth_per_q)</f>
        <v>1.72805650265464</v>
      </c>
      <c r="E50" s="20" t="n">
        <f aca="false">IF(Quantiles!E50&lt;0,"",(Depth0-MIN(Depth0,Quantiles!E50))/Depth_per_q)</f>
        <v>1.59101337415326</v>
      </c>
      <c r="F50" s="20" t="n">
        <f aca="false">IF(Quantiles!F50&lt;0,"",(Depth0-MIN(Depth0,Quantiles!F50))/Depth_per_q)</f>
        <v>1.46313092907383</v>
      </c>
      <c r="G50" s="20" t="n">
        <f aca="false">IF(Quantiles!G50&lt;0,"",(Depth0-MIN(Depth0,Quantiles!G50))/Depth_per_q)</f>
        <v>1.35630331914486</v>
      </c>
      <c r="H50" s="20" t="n">
        <f aca="false">IF(Quantiles!H50&lt;0,"",(Depth0-MIN(Depth0,Quantiles!H50))/Depth_per_q)</f>
        <v>1.25991299384953</v>
      </c>
      <c r="I50" s="20" t="n">
        <f aca="false">IF(Quantiles!I50&lt;0,"",(Depth0-MIN(Depth0,Quantiles!I50))/Depth_per_q)</f>
        <v>1.1726510965901</v>
      </c>
      <c r="J50" s="20" t="n">
        <f aca="false">IF(Quantiles!J50&lt;0,"",(Depth0-MIN(Depth0,Quantiles!J50))/Depth_per_q)</f>
        <v>1.09327241484614</v>
      </c>
      <c r="K50" s="20" t="n">
        <f aca="false">IF(Quantiles!K50&lt;0,"",(Depth0-MIN(Depth0,Quantiles!K50))/Depth_per_q)</f>
        <v>1.01390547311935</v>
      </c>
      <c r="L50" s="20" t="n">
        <f aca="false">IF(Quantiles!L50&lt;0,"",(Depth0-MIN(Depth0,Quantiles!L50))/Depth_per_q)</f>
        <v>0.937058715865865</v>
      </c>
      <c r="M50" s="20" t="n">
        <f aca="false">IF(Quantiles!M50&lt;0,"",(Depth0-MIN(Depth0,Quantiles!M50))/Depth_per_q)</f>
        <v>0.8745362215438</v>
      </c>
      <c r="N50" s="20" t="n">
        <f aca="false">IF(Quantiles!N50&lt;0,"",(Depth0-MIN(Depth0,Quantiles!N50))/Depth_per_q)</f>
        <v>0.807737624858375</v>
      </c>
      <c r="O50" s="20" t="n">
        <f aca="false">IF(Quantiles!O50&lt;0,"",(Depth0-MIN(Depth0,Quantiles!O50))/Depth_per_q)</f>
        <v>0.743659862550505</v>
      </c>
      <c r="P50" s="20" t="n">
        <f aca="false">IF(Quantiles!P50&lt;0,"",(Depth0-MIN(Depth0,Quantiles!P50))/Depth_per_q)</f>
        <v>0.686276803761975</v>
      </c>
      <c r="Q50" s="20" t="n">
        <f aca="false">IF(Quantiles!Q50&lt;0,"",(Depth0-MIN(Depth0,Quantiles!Q50))/Depth_per_q)</f>
        <v>0.628842181724657</v>
      </c>
      <c r="R50" s="20" t="n">
        <f aca="false">IF(Quantiles!R50&lt;0,"",(Depth0-MIN(Depth0,Quantiles!R50))/Depth_per_q)</f>
        <v>0.57626508522234</v>
      </c>
      <c r="S50" s="20" t="n">
        <f aca="false">IF(Quantiles!S50&lt;0,"",(Depth0-MIN(Depth0,Quantiles!S50))/Depth_per_q)</f>
        <v>0.523631558767687</v>
      </c>
      <c r="T50" s="20" t="n">
        <f aca="false">IF(Quantiles!T50&lt;0,"",(Depth0-MIN(Depth0,Quantiles!T50))/Depth_per_q)</f>
        <v>0.477020498819752</v>
      </c>
      <c r="U50" s="20" t="n">
        <f aca="false">IF(Quantiles!U50&lt;0,"",(Depth0-MIN(Depth0,Quantiles!U50))/Depth_per_q)</f>
        <v>0.432173202664493</v>
      </c>
      <c r="V50" s="20" t="n">
        <f aca="false">IF(Quantiles!V50&lt;0,"",(Depth0-MIN(Depth0,Quantiles!V50))/Depth_per_q)</f>
        <v>0.388151900534115</v>
      </c>
      <c r="W50" s="20" t="n">
        <f aca="false">IF(Quantiles!W50&lt;0,"",(Depth0-MIN(Depth0,Quantiles!W50))/Depth_per_q)</f>
        <v>0.344627424704485</v>
      </c>
      <c r="X50" s="20" t="n">
        <f aca="false">IF(Quantiles!X50&lt;0,"",(Depth0-MIN(Depth0,Quantiles!X50))/Depth_per_q)</f>
        <v>0.30041261464045</v>
      </c>
      <c r="Y50" s="20" t="n">
        <f aca="false">IF(Quantiles!Y50&lt;0,"",(Depth0-MIN(Depth0,Quantiles!Y50))/Depth_per_q)</f>
        <v>0.260037666678572</v>
      </c>
      <c r="Z50" s="20" t="n">
        <f aca="false">IF(Quantiles!Z50&lt;0,"",(Depth0-MIN(Depth0,Quantiles!Z50))/Depth_per_q)</f>
        <v>0.222090663209805</v>
      </c>
      <c r="AA50" s="20" t="n">
        <f aca="false">IF(Quantiles!AA50&lt;0,"",(Depth0-MIN(Depth0,Quantiles!AA50))/Depth_per_q)</f>
        <v>0.184518876729825</v>
      </c>
      <c r="AB50" s="20" t="n">
        <f aca="false">IF(Quantiles!AB50&lt;0,"",(Depth0-MIN(Depth0,Quantiles!AB50))/Depth_per_q)</f>
        <v>0.144210977645542</v>
      </c>
      <c r="AC50" s="20" t="n">
        <f aca="false">IF(Quantiles!AC50&lt;0,"",(Depth0-MIN(Depth0,Quantiles!AC50))/Depth_per_q)</f>
        <v>0.107742683072725</v>
      </c>
      <c r="AD50" s="20" t="n">
        <f aca="false">IF(Quantiles!AD50&lt;0,"",(Depth0-MIN(Depth0,Quantiles!AD50))/Depth_per_q)</f>
        <v>0.0737679238335449</v>
      </c>
      <c r="AE50" s="20" t="n">
        <f aca="false">IF(Quantiles!AE50&lt;0,"",(Depth0-MIN(Depth0,Quantiles!AE50))/Depth_per_q)</f>
        <v>0.0357572516666922</v>
      </c>
      <c r="AF50" s="20" t="n">
        <f aca="false">IF(Quantiles!AF50&lt;0,"",(Depth0-MIN(Depth0,Quantiles!AF50))/Depth_per_q)</f>
        <v>0.00255749461879784</v>
      </c>
      <c r="AG50" s="20" t="n">
        <f aca="false">IF(Quantiles!AG50&lt;0,"",(Depth0-MIN(Depth0,Quantiles!AG50))/Depth_per_q)</f>
        <v>0</v>
      </c>
      <c r="AH50" s="20" t="n">
        <f aca="false">IF(Quantiles!AH50&lt;0,"",(Depth0-MIN(Depth0,Quantiles!AH50))/Depth_per_q)</f>
        <v>0</v>
      </c>
      <c r="AI50" s="20" t="n">
        <f aca="false">IF(Quantiles!AI50&lt;0,"",(Depth0-MIN(Depth0,Quantiles!AI50))/Depth_per_q)</f>
        <v>0</v>
      </c>
      <c r="AJ50" s="20" t="n">
        <f aca="false">IF(Quantiles!AJ50&lt;0,"",(Depth0-MIN(Depth0,Quantiles!AJ50))/Depth_per_q)</f>
        <v>0</v>
      </c>
      <c r="AK50" s="20" t="n">
        <f aca="false">IF(Quantiles!AK50&lt;0,"",(Depth0-MIN(Depth0,Quantiles!AK50))/Depth_per_q)</f>
        <v>0</v>
      </c>
      <c r="AL50" s="20" t="n">
        <f aca="false">IF(Quantiles!AL50&lt;0,"",(Depth0-MIN(Depth0,Quantiles!AL50))/Depth_per_q)</f>
        <v>0</v>
      </c>
      <c r="AM50" s="20" t="n">
        <f aca="false">IF(Quantiles!AM50&lt;0,"",(Depth0-MIN(Depth0,Quantiles!AM50))/Depth_per_q)</f>
        <v>0</v>
      </c>
      <c r="AN50" s="20" t="n">
        <f aca="false">IF(Quantiles!AN50&lt;0,"",(Depth0-MIN(Depth0,Quantiles!AN50))/Depth_per_q)</f>
        <v>0</v>
      </c>
      <c r="AO50" s="20" t="n">
        <f aca="false">IF(Quantiles!AO50&lt;0,"",(Depth0-MIN(Depth0,Quantiles!AO50))/Depth_per_q)</f>
        <v>0</v>
      </c>
      <c r="AP50" s="20" t="n">
        <f aca="false">IF(Quantiles!AP50&lt;0,"",(Depth0-MIN(Depth0,Quantiles!AP50))/Depth_per_q)</f>
        <v>0</v>
      </c>
      <c r="AQ50" s="20" t="n">
        <f aca="false">IF(Quantiles!AQ50&lt;0,"",(Depth0-MIN(Depth0,Quantiles!AQ50))/Depth_per_q)</f>
        <v>0</v>
      </c>
      <c r="AR50" s="20" t="n">
        <f aca="false">IF(Quantiles!AR50&lt;0,"",(Depth0-MIN(Depth0,Quantiles!AR50))/Depth_per_q)</f>
        <v>0</v>
      </c>
      <c r="AS50" s="20" t="n">
        <f aca="false">IF(Quantiles!AS50&lt;0,"",(Depth0-MIN(Depth0,Quantiles!AS50))/Depth_per_q)</f>
        <v>0</v>
      </c>
      <c r="AT50" s="20" t="n">
        <f aca="false">IF(Quantiles!AT50&lt;0,"",(Depth0-MIN(Depth0,Quantiles!AT50))/Depth_per_q)</f>
        <v>0</v>
      </c>
      <c r="AU50" s="20" t="n">
        <f aca="false">IF(Quantiles!AU50&lt;0,"",(Depth0-MIN(Depth0,Quantiles!AU50))/Depth_per_q)</f>
        <v>0</v>
      </c>
      <c r="AV50" s="20" t="n">
        <f aca="false">IF(Quantiles!AV50&lt;0,"",(Depth0-MIN(Depth0,Quantiles!AV50))/Depth_per_q)</f>
        <v>0</v>
      </c>
      <c r="AW50" s="20" t="n">
        <f aca="false">IF(Quantiles!AW50&lt;0,"",(Depth0-MIN(Depth0,Quantiles!AW50))/Depth_per_q)</f>
        <v>0</v>
      </c>
      <c r="AX50" s="20" t="n">
        <f aca="false">IF(Quantiles!AX50&lt;0,"",(Depth0-MIN(Depth0,Quantiles!AX50))/Depth_per_q)</f>
        <v>0</v>
      </c>
      <c r="AY50" s="20" t="n">
        <f aca="false">IF(Quantiles!AY50&lt;0,"",(Depth0-MIN(Depth0,Quantiles!AY50))/Depth_per_q)</f>
        <v>0</v>
      </c>
      <c r="AZ50" s="20" t="n">
        <f aca="false">IF(Quantiles!AZ50&lt;0,"",(Depth0-MIN(Depth0,Quantiles!AZ50))/Depth_per_q)</f>
        <v>0</v>
      </c>
      <c r="BA50" s="20" t="n">
        <f aca="false">IF(Quantiles!BA50&lt;0,"",(Depth0-MIN(Depth0,Quantiles!BA50))/Depth_per_q)</f>
        <v>0</v>
      </c>
      <c r="BB50" s="20" t="n">
        <f aca="false">IF(Quantiles!BB50&lt;0,"",(Depth0-MIN(Depth0,Quantiles!BB50))/Depth_per_q)</f>
        <v>0</v>
      </c>
      <c r="BC50" s="20" t="n">
        <f aca="false">IF(Quantiles!BC50&lt;0,"",(Depth0-MIN(Depth0,Quantiles!BC50))/Depth_per_q)</f>
        <v>0</v>
      </c>
      <c r="BD50" s="20" t="n">
        <f aca="false">IF(Quantiles!BD50&lt;0,"",(Depth0-MIN(Depth0,Quantiles!BD50))/Depth_per_q)</f>
        <v>0</v>
      </c>
      <c r="BE50" s="20" t="n">
        <f aca="false">IF(Quantiles!BE50&lt;0,"",(Depth0-MIN(Depth0,Quantiles!BE50))/Depth_per_q)</f>
        <v>0</v>
      </c>
      <c r="BF50" s="20" t="n">
        <f aca="false">IF(Quantiles!BF50&lt;0,"",(Depth0-MIN(Depth0,Quantiles!BF50))/Depth_per_q)</f>
        <v>0</v>
      </c>
      <c r="BG50" s="20" t="n">
        <f aca="false">IF(Quantiles!BG50&lt;0,"",(Depth0-MIN(Depth0,Quantiles!BG50))/Depth_per_q)</f>
        <v>0</v>
      </c>
      <c r="BH50" s="20" t="n">
        <f aca="false">IF(Quantiles!BH50&lt;0,"",(Depth0-MIN(Depth0,Quantiles!BH50))/Depth_per_q)</f>
        <v>0</v>
      </c>
      <c r="BI50" s="20" t="n">
        <f aca="false">IF(Quantiles!BI50&lt;0,"",(Depth0-MIN(Depth0,Quantiles!BI50))/Depth_per_q)</f>
        <v>0</v>
      </c>
      <c r="BJ50" s="20" t="n">
        <f aca="false">IF(Quantiles!BJ50&lt;0,"",(Depth0-MIN(Depth0,Quantiles!BJ50))/Depth_per_q)</f>
        <v>0</v>
      </c>
      <c r="BK50" s="20" t="n">
        <f aca="false">IF(Quantiles!BK50&lt;0,"",(Depth0-MIN(Depth0,Quantiles!BK50))/Depth_per_q)</f>
        <v>0</v>
      </c>
      <c r="BL50" s="20" t="n">
        <f aca="false">IF(Quantiles!BL50&lt;0,"",(Depth0-MIN(Depth0,Quantiles!BL50))/Depth_per_q)</f>
        <v>0</v>
      </c>
      <c r="BM50" s="20" t="n">
        <f aca="false">IF(Quantiles!BM50&lt;0,"",(Depth0-MIN(Depth0,Quantiles!BM50))/Depth_per_q)</f>
        <v>0</v>
      </c>
      <c r="BN50" s="20" t="n">
        <f aca="false">IF(Quantiles!BN50&lt;0,"",(Depth0-MIN(Depth0,Quantiles!BN50))/Depth_per_q)</f>
        <v>0</v>
      </c>
      <c r="BO50" s="20" t="n">
        <f aca="false">IF(Quantiles!BO50&lt;0,"",(Depth0-MIN(Depth0,Quantiles!BO50))/Depth_per_q)</f>
        <v>0</v>
      </c>
      <c r="BP50" s="20" t="n">
        <f aca="false">IF(Quantiles!BP50&lt;0,"",(Depth0-MIN(Depth0,Quantiles!BP50))/Depth_per_q)</f>
        <v>0</v>
      </c>
      <c r="BQ50" s="20" t="n">
        <f aca="false">IF(Quantiles!BQ50&lt;0,"",(Depth0-MIN(Depth0,Quantiles!BQ50))/Depth_per_q)</f>
        <v>0</v>
      </c>
      <c r="BR50" s="20" t="n">
        <f aca="false">IF(Quantiles!BR50&lt;0,"",(Depth0-MIN(Depth0,Quantiles!BR50))/Depth_per_q)</f>
        <v>0</v>
      </c>
      <c r="BS50" s="20" t="n">
        <f aca="false">IF(Quantiles!BS50&lt;0,"",(Depth0-MIN(Depth0,Quantiles!BS50))/Depth_per_q)</f>
        <v>0</v>
      </c>
      <c r="BT50" s="20" t="n">
        <f aca="false">IF(Quantiles!BT50&lt;0,"",(Depth0-MIN(Depth0,Quantiles!BT50))/Depth_per_q)</f>
        <v>0</v>
      </c>
      <c r="BU50" s="20" t="n">
        <f aca="false">IF(Quantiles!BU50&lt;0,"",(Depth0-MIN(Depth0,Quantiles!BU50))/Depth_per_q)</f>
        <v>0</v>
      </c>
      <c r="BV50" s="20" t="n">
        <f aca="false">IF(Quantiles!BV50&lt;0,"",(Depth0-MIN(Depth0,Quantiles!BV50))/Depth_per_q)</f>
        <v>0</v>
      </c>
      <c r="BW50" s="20" t="n">
        <f aca="false">IF(Quantiles!BW50&lt;0,"",(Depth0-MIN(Depth0,Quantiles!BW50))/Depth_per_q)</f>
        <v>0</v>
      </c>
      <c r="BX50" s="20" t="n">
        <f aca="false">IF(Quantiles!BX50&lt;0,"",(Depth0-MIN(Depth0,Quantiles!BX50))/Depth_per_q)</f>
        <v>0</v>
      </c>
      <c r="BY50" s="20" t="n">
        <f aca="false">IF(Quantiles!BY50&lt;0,"",(Depth0-MIN(Depth0,Quantiles!BY50))/Depth_per_q)</f>
        <v>0</v>
      </c>
      <c r="BZ50" s="20" t="n">
        <f aca="false">IF(Quantiles!BZ50&lt;0,"",(Depth0-MIN(Depth0,Quantiles!BZ50))/Depth_per_q)</f>
        <v>0</v>
      </c>
      <c r="CA50" s="20" t="n">
        <f aca="false">IF(Quantiles!CA50&lt;0,"",(Depth0-MIN(Depth0,Quantiles!CA50))/Depth_per_q)</f>
        <v>0</v>
      </c>
      <c r="CB50" s="20" t="n">
        <f aca="false">IF(Quantiles!CB50&lt;0,"",(Depth0-MIN(Depth0,Quantiles!CB50))/Depth_per_q)</f>
        <v>0</v>
      </c>
      <c r="CC50" s="20" t="n">
        <f aca="false">IF(Quantiles!CC50&lt;0,"",(Depth0-MIN(Depth0,Quantiles!CC50))/Depth_per_q)</f>
        <v>0</v>
      </c>
      <c r="CD50" s="20" t="n">
        <f aca="false">IF(Quantiles!CD50&lt;0,"",(Depth0-MIN(Depth0,Quantiles!CD50))/Depth_per_q)</f>
        <v>0</v>
      </c>
      <c r="CE50" s="20" t="n">
        <f aca="false">IF(Quantiles!CE50&lt;0,"",(Depth0-MIN(Depth0,Quantiles!CE50))/Depth_per_q)</f>
        <v>0</v>
      </c>
      <c r="CF50" s="20" t="n">
        <f aca="false">IF(Quantiles!CF50&lt;0,"",(Depth0-MIN(Depth0,Quantiles!CF50))/Depth_per_q)</f>
        <v>0</v>
      </c>
      <c r="CG50" s="20" t="n">
        <f aca="false">IF(Quantiles!CG50&lt;0,"",(Depth0-MIN(Depth0,Quantiles!CG50))/Depth_per_q)</f>
        <v>0</v>
      </c>
      <c r="CH50" s="20" t="n">
        <f aca="false">IF(Quantiles!CH50&lt;0,"",(Depth0-MIN(Depth0,Quantiles!CH50))/Depth_per_q)</f>
        <v>0</v>
      </c>
      <c r="CI50" s="20" t="n">
        <f aca="false">IF(Quantiles!CI50&lt;0,"",(Depth0-MIN(Depth0,Quantiles!CI50))/Depth_per_q)</f>
        <v>0</v>
      </c>
      <c r="CJ50" s="20" t="n">
        <f aca="false">IF(Quantiles!CJ50&lt;0,"",(Depth0-MIN(Depth0,Quantiles!CJ50))/Depth_per_q)</f>
        <v>0</v>
      </c>
      <c r="CK50" s="20" t="n">
        <f aca="false">IF(Quantiles!CK50&lt;0,"",(Depth0-MIN(Depth0,Quantiles!CK50))/Depth_per_q)</f>
        <v>0</v>
      </c>
      <c r="CL50" s="20" t="n">
        <f aca="false">IF(Quantiles!CL50&lt;0,"",(Depth0-MIN(Depth0,Quantiles!CL50))/Depth_per_q)</f>
        <v>0</v>
      </c>
      <c r="CM50" s="20" t="n">
        <f aca="false">IF(Quantiles!CM50&lt;0,"",(Depth0-MIN(Depth0,Quantiles!CM50))/Depth_per_q)</f>
        <v>0</v>
      </c>
      <c r="CN50" s="20" t="n">
        <f aca="false">IF(Quantiles!CN50&lt;0,"",(Depth0-MIN(Depth0,Quantiles!CN50))/Depth_per_q)</f>
        <v>0</v>
      </c>
      <c r="CO50" s="20" t="n">
        <f aca="false">IF(Quantiles!CO50&lt;0,"",(Depth0-MIN(Depth0,Quantiles!CO50))/Depth_per_q)</f>
        <v>0</v>
      </c>
      <c r="CP50" s="20" t="n">
        <f aca="false">IF(Quantiles!CP50&lt;0,"",(Depth0-MIN(Depth0,Quantiles!CP50))/Depth_per_q)</f>
        <v>0</v>
      </c>
      <c r="CQ50" s="20" t="n">
        <f aca="false">IF(Quantiles!CQ50&lt;0,"",(Depth0-MIN(Depth0,Quantiles!CQ50))/Depth_per_q)</f>
        <v>0</v>
      </c>
      <c r="CR50" s="20" t="n">
        <f aca="false">IF(Quantiles!CR50&lt;0,"",(Depth0-MIN(Depth0,Quantiles!CR50))/Depth_per_q)</f>
        <v>0</v>
      </c>
      <c r="CS50" s="20" t="n">
        <f aca="false">IF(Quantiles!CS50&lt;0,"",(Depth0-MIN(Depth0,Quantiles!CS50))/Depth_per_q)</f>
        <v>0</v>
      </c>
      <c r="CT50" s="20" t="n">
        <f aca="false">IF(Quantiles!CT50&lt;0,"",(Depth0-MIN(Depth0,Quantiles!CT50))/Depth_per_q)</f>
        <v>1.09230738320547</v>
      </c>
    </row>
    <row r="51" customFormat="false" ht="15" hidden="false" customHeight="false" outlineLevel="0" collapsed="false">
      <c r="A51" s="25" t="n">
        <f aca="false">Quantiles!A51</f>
        <v>230</v>
      </c>
      <c r="B51" s="20" t="n">
        <f aca="false">IF(Quantiles!B51&lt;0,"",(Depth0-MIN(Depth0,Quantiles!B51))/Depth_per_q)</f>
        <v>2.07835016502887</v>
      </c>
      <c r="C51" s="20" t="n">
        <f aca="false">IF(Quantiles!C51&lt;0,"",(Depth0-MIN(Depth0,Quantiles!C51))/Depth_per_q)</f>
        <v>1.88428942975532</v>
      </c>
      <c r="D51" s="20" t="n">
        <f aca="false">IF(Quantiles!D51&lt;0,"",(Depth0-MIN(Depth0,Quantiles!D51))/Depth_per_q)</f>
        <v>1.71937283622425</v>
      </c>
      <c r="E51" s="20" t="n">
        <f aca="false">IF(Quantiles!E51&lt;0,"",(Depth0-MIN(Depth0,Quantiles!E51))/Depth_per_q)</f>
        <v>1.58632869256155</v>
      </c>
      <c r="F51" s="20" t="n">
        <f aca="false">IF(Quantiles!F51&lt;0,"",(Depth0-MIN(Depth0,Quantiles!F51))/Depth_per_q)</f>
        <v>1.45930063038297</v>
      </c>
      <c r="G51" s="20" t="n">
        <f aca="false">IF(Quantiles!G51&lt;0,"",(Depth0-MIN(Depth0,Quantiles!G51))/Depth_per_q)</f>
        <v>1.35390235665322</v>
      </c>
      <c r="H51" s="20" t="n">
        <f aca="false">IF(Quantiles!H51&lt;0,"",(Depth0-MIN(Depth0,Quantiles!H51))/Depth_per_q)</f>
        <v>1.25511050204478</v>
      </c>
      <c r="I51" s="20" t="n">
        <f aca="false">IF(Quantiles!I51&lt;0,"",(Depth0-MIN(Depth0,Quantiles!I51))/Depth_per_q)</f>
        <v>1.17076296039899</v>
      </c>
      <c r="J51" s="20" t="n">
        <f aca="false">IF(Quantiles!J51&lt;0,"",(Depth0-MIN(Depth0,Quantiles!J51))/Depth_per_q)</f>
        <v>1.08960576765816</v>
      </c>
      <c r="K51" s="20" t="n">
        <f aca="false">IF(Quantiles!K51&lt;0,"",(Depth0-MIN(Depth0,Quantiles!K51))/Depth_per_q)</f>
        <v>1.01049405294649</v>
      </c>
      <c r="L51" s="20" t="n">
        <f aca="false">IF(Quantiles!L51&lt;0,"",(Depth0-MIN(Depth0,Quantiles!L51))/Depth_per_q)</f>
        <v>0.934338477827905</v>
      </c>
      <c r="M51" s="20" t="n">
        <f aca="false">IF(Quantiles!M51&lt;0,"",(Depth0-MIN(Depth0,Quantiles!M51))/Depth_per_q)</f>
        <v>0.871975719970553</v>
      </c>
      <c r="N51" s="20" t="n">
        <f aca="false">IF(Quantiles!N51&lt;0,"",(Depth0-MIN(Depth0,Quantiles!N51))/Depth_per_q)</f>
        <v>0.80635438973182</v>
      </c>
      <c r="O51" s="20" t="n">
        <f aca="false">IF(Quantiles!O51&lt;0,"",(Depth0-MIN(Depth0,Quantiles!O51))/Depth_per_q)</f>
        <v>0.74089139353278</v>
      </c>
      <c r="P51" s="20" t="n">
        <f aca="false">IF(Quantiles!P51&lt;0,"",(Depth0-MIN(Depth0,Quantiles!P51))/Depth_per_q)</f>
        <v>0.683420973620588</v>
      </c>
      <c r="Q51" s="20" t="n">
        <f aca="false">IF(Quantiles!Q51&lt;0,"",(Depth0-MIN(Depth0,Quantiles!Q51))/Depth_per_q)</f>
        <v>0.626167680378865</v>
      </c>
      <c r="R51" s="20" t="n">
        <f aca="false">IF(Quantiles!R51&lt;0,"",(Depth0-MIN(Depth0,Quantiles!R51))/Depth_per_q)</f>
        <v>0.573764930353573</v>
      </c>
      <c r="S51" s="20" t="n">
        <f aca="false">IF(Quantiles!S51&lt;0,"",(Depth0-MIN(Depth0,Quantiles!S51))/Depth_per_q)</f>
        <v>0.520647835561595</v>
      </c>
      <c r="T51" s="20" t="n">
        <f aca="false">IF(Quantiles!T51&lt;0,"",(Depth0-MIN(Depth0,Quantiles!T51))/Depth_per_q)</f>
        <v>0.47377889722412</v>
      </c>
      <c r="U51" s="20" t="n">
        <f aca="false">IF(Quantiles!U51&lt;0,"",(Depth0-MIN(Depth0,Quantiles!U51))/Depth_per_q)</f>
        <v>0.430166291284215</v>
      </c>
      <c r="V51" s="20" t="n">
        <f aca="false">IF(Quantiles!V51&lt;0,"",(Depth0-MIN(Depth0,Quantiles!V51))/Depth_per_q)</f>
        <v>0.385828791228312</v>
      </c>
      <c r="W51" s="20" t="n">
        <f aca="false">IF(Quantiles!W51&lt;0,"",(Depth0-MIN(Depth0,Quantiles!W51))/Depth_per_q)</f>
        <v>0.342495696220435</v>
      </c>
      <c r="X51" s="20" t="n">
        <f aca="false">IF(Quantiles!X51&lt;0,"",(Depth0-MIN(Depth0,Quantiles!X51))/Depth_per_q)</f>
        <v>0.298077340643722</v>
      </c>
      <c r="Y51" s="20" t="n">
        <f aca="false">IF(Quantiles!Y51&lt;0,"",(Depth0-MIN(Depth0,Quantiles!Y51))/Depth_per_q)</f>
        <v>0.257400198234028</v>
      </c>
      <c r="Z51" s="20" t="n">
        <f aca="false">IF(Quantiles!Z51&lt;0,"",(Depth0-MIN(Depth0,Quantiles!Z51))/Depth_per_q)</f>
        <v>0.220399453276367</v>
      </c>
      <c r="AA51" s="20" t="n">
        <f aca="false">IF(Quantiles!AA51&lt;0,"",(Depth0-MIN(Depth0,Quantiles!AA51))/Depth_per_q)</f>
        <v>0.182052992912608</v>
      </c>
      <c r="AB51" s="20" t="n">
        <f aca="false">IF(Quantiles!AB51&lt;0,"",(Depth0-MIN(Depth0,Quantiles!AB51))/Depth_per_q)</f>
        <v>0.141659739539327</v>
      </c>
      <c r="AC51" s="20" t="n">
        <f aca="false">IF(Quantiles!AC51&lt;0,"",(Depth0-MIN(Depth0,Quantiles!AC51))/Depth_per_q)</f>
        <v>0.105332402210675</v>
      </c>
      <c r="AD51" s="20" t="n">
        <f aca="false">IF(Quantiles!AD51&lt;0,"",(Depth0-MIN(Depth0,Quantiles!AD51))/Depth_per_q)</f>
        <v>0.0717858143033974</v>
      </c>
      <c r="AE51" s="20" t="n">
        <f aca="false">IF(Quantiles!AE51&lt;0,"",(Depth0-MIN(Depth0,Quantiles!AE51))/Depth_per_q)</f>
        <v>0.0338831614744626</v>
      </c>
      <c r="AF51" s="20" t="n">
        <f aca="false">IF(Quantiles!AF51&lt;0,"",(Depth0-MIN(Depth0,Quantiles!AF51))/Depth_per_q)</f>
        <v>0.000980466980352368</v>
      </c>
      <c r="AG51" s="20" t="n">
        <f aca="false">IF(Quantiles!AG51&lt;0,"",(Depth0-MIN(Depth0,Quantiles!AG51))/Depth_per_q)</f>
        <v>0</v>
      </c>
      <c r="AH51" s="20" t="n">
        <f aca="false">IF(Quantiles!AH51&lt;0,"",(Depth0-MIN(Depth0,Quantiles!AH51))/Depth_per_q)</f>
        <v>0</v>
      </c>
      <c r="AI51" s="20" t="n">
        <f aca="false">IF(Quantiles!AI51&lt;0,"",(Depth0-MIN(Depth0,Quantiles!AI51))/Depth_per_q)</f>
        <v>0</v>
      </c>
      <c r="AJ51" s="20" t="n">
        <f aca="false">IF(Quantiles!AJ51&lt;0,"",(Depth0-MIN(Depth0,Quantiles!AJ51))/Depth_per_q)</f>
        <v>0</v>
      </c>
      <c r="AK51" s="20" t="n">
        <f aca="false">IF(Quantiles!AK51&lt;0,"",(Depth0-MIN(Depth0,Quantiles!AK51))/Depth_per_q)</f>
        <v>0</v>
      </c>
      <c r="AL51" s="20" t="n">
        <f aca="false">IF(Quantiles!AL51&lt;0,"",(Depth0-MIN(Depth0,Quantiles!AL51))/Depth_per_q)</f>
        <v>0</v>
      </c>
      <c r="AM51" s="20" t="n">
        <f aca="false">IF(Quantiles!AM51&lt;0,"",(Depth0-MIN(Depth0,Quantiles!AM51))/Depth_per_q)</f>
        <v>0</v>
      </c>
      <c r="AN51" s="20" t="n">
        <f aca="false">IF(Quantiles!AN51&lt;0,"",(Depth0-MIN(Depth0,Quantiles!AN51))/Depth_per_q)</f>
        <v>0</v>
      </c>
      <c r="AO51" s="20" t="n">
        <f aca="false">IF(Quantiles!AO51&lt;0,"",(Depth0-MIN(Depth0,Quantiles!AO51))/Depth_per_q)</f>
        <v>0</v>
      </c>
      <c r="AP51" s="20" t="n">
        <f aca="false">IF(Quantiles!AP51&lt;0,"",(Depth0-MIN(Depth0,Quantiles!AP51))/Depth_per_q)</f>
        <v>0</v>
      </c>
      <c r="AQ51" s="20" t="n">
        <f aca="false">IF(Quantiles!AQ51&lt;0,"",(Depth0-MIN(Depth0,Quantiles!AQ51))/Depth_per_q)</f>
        <v>0</v>
      </c>
      <c r="AR51" s="20" t="n">
        <f aca="false">IF(Quantiles!AR51&lt;0,"",(Depth0-MIN(Depth0,Quantiles!AR51))/Depth_per_q)</f>
        <v>0</v>
      </c>
      <c r="AS51" s="20" t="n">
        <f aca="false">IF(Quantiles!AS51&lt;0,"",(Depth0-MIN(Depth0,Quantiles!AS51))/Depth_per_q)</f>
        <v>0</v>
      </c>
      <c r="AT51" s="20" t="n">
        <f aca="false">IF(Quantiles!AT51&lt;0,"",(Depth0-MIN(Depth0,Quantiles!AT51))/Depth_per_q)</f>
        <v>0</v>
      </c>
      <c r="AU51" s="20" t="n">
        <f aca="false">IF(Quantiles!AU51&lt;0,"",(Depth0-MIN(Depth0,Quantiles!AU51))/Depth_per_q)</f>
        <v>0</v>
      </c>
      <c r="AV51" s="20" t="n">
        <f aca="false">IF(Quantiles!AV51&lt;0,"",(Depth0-MIN(Depth0,Quantiles!AV51))/Depth_per_q)</f>
        <v>0</v>
      </c>
      <c r="AW51" s="20" t="n">
        <f aca="false">IF(Quantiles!AW51&lt;0,"",(Depth0-MIN(Depth0,Quantiles!AW51))/Depth_per_q)</f>
        <v>0</v>
      </c>
      <c r="AX51" s="20" t="n">
        <f aca="false">IF(Quantiles!AX51&lt;0,"",(Depth0-MIN(Depth0,Quantiles!AX51))/Depth_per_q)</f>
        <v>0</v>
      </c>
      <c r="AY51" s="20" t="n">
        <f aca="false">IF(Quantiles!AY51&lt;0,"",(Depth0-MIN(Depth0,Quantiles!AY51))/Depth_per_q)</f>
        <v>0</v>
      </c>
      <c r="AZ51" s="20" t="n">
        <f aca="false">IF(Quantiles!AZ51&lt;0,"",(Depth0-MIN(Depth0,Quantiles!AZ51))/Depth_per_q)</f>
        <v>0</v>
      </c>
      <c r="BA51" s="20" t="n">
        <f aca="false">IF(Quantiles!BA51&lt;0,"",(Depth0-MIN(Depth0,Quantiles!BA51))/Depth_per_q)</f>
        <v>0</v>
      </c>
      <c r="BB51" s="20" t="n">
        <f aca="false">IF(Quantiles!BB51&lt;0,"",(Depth0-MIN(Depth0,Quantiles!BB51))/Depth_per_q)</f>
        <v>0</v>
      </c>
      <c r="BC51" s="20" t="n">
        <f aca="false">IF(Quantiles!BC51&lt;0,"",(Depth0-MIN(Depth0,Quantiles!BC51))/Depth_per_q)</f>
        <v>0</v>
      </c>
      <c r="BD51" s="20" t="n">
        <f aca="false">IF(Quantiles!BD51&lt;0,"",(Depth0-MIN(Depth0,Quantiles!BD51))/Depth_per_q)</f>
        <v>0</v>
      </c>
      <c r="BE51" s="20" t="n">
        <f aca="false">IF(Quantiles!BE51&lt;0,"",(Depth0-MIN(Depth0,Quantiles!BE51))/Depth_per_q)</f>
        <v>0</v>
      </c>
      <c r="BF51" s="20" t="n">
        <f aca="false">IF(Quantiles!BF51&lt;0,"",(Depth0-MIN(Depth0,Quantiles!BF51))/Depth_per_q)</f>
        <v>0</v>
      </c>
      <c r="BG51" s="20" t="n">
        <f aca="false">IF(Quantiles!BG51&lt;0,"",(Depth0-MIN(Depth0,Quantiles!BG51))/Depth_per_q)</f>
        <v>0</v>
      </c>
      <c r="BH51" s="20" t="n">
        <f aca="false">IF(Quantiles!BH51&lt;0,"",(Depth0-MIN(Depth0,Quantiles!BH51))/Depth_per_q)</f>
        <v>0</v>
      </c>
      <c r="BI51" s="20" t="n">
        <f aca="false">IF(Quantiles!BI51&lt;0,"",(Depth0-MIN(Depth0,Quantiles!BI51))/Depth_per_q)</f>
        <v>0</v>
      </c>
      <c r="BJ51" s="20" t="n">
        <f aca="false">IF(Quantiles!BJ51&lt;0,"",(Depth0-MIN(Depth0,Quantiles!BJ51))/Depth_per_q)</f>
        <v>0</v>
      </c>
      <c r="BK51" s="20" t="n">
        <f aca="false">IF(Quantiles!BK51&lt;0,"",(Depth0-MIN(Depth0,Quantiles!BK51))/Depth_per_q)</f>
        <v>0</v>
      </c>
      <c r="BL51" s="20" t="n">
        <f aca="false">IF(Quantiles!BL51&lt;0,"",(Depth0-MIN(Depth0,Quantiles!BL51))/Depth_per_q)</f>
        <v>0</v>
      </c>
      <c r="BM51" s="20" t="n">
        <f aca="false">IF(Quantiles!BM51&lt;0,"",(Depth0-MIN(Depth0,Quantiles!BM51))/Depth_per_q)</f>
        <v>0</v>
      </c>
      <c r="BN51" s="20" t="n">
        <f aca="false">IF(Quantiles!BN51&lt;0,"",(Depth0-MIN(Depth0,Quantiles!BN51))/Depth_per_q)</f>
        <v>0</v>
      </c>
      <c r="BO51" s="20" t="n">
        <f aca="false">IF(Quantiles!BO51&lt;0,"",(Depth0-MIN(Depth0,Quantiles!BO51))/Depth_per_q)</f>
        <v>0</v>
      </c>
      <c r="BP51" s="20" t="n">
        <f aca="false">IF(Quantiles!BP51&lt;0,"",(Depth0-MIN(Depth0,Quantiles!BP51))/Depth_per_q)</f>
        <v>0</v>
      </c>
      <c r="BQ51" s="20" t="n">
        <f aca="false">IF(Quantiles!BQ51&lt;0,"",(Depth0-MIN(Depth0,Quantiles!BQ51))/Depth_per_q)</f>
        <v>0</v>
      </c>
      <c r="BR51" s="20" t="n">
        <f aca="false">IF(Quantiles!BR51&lt;0,"",(Depth0-MIN(Depth0,Quantiles!BR51))/Depth_per_q)</f>
        <v>0</v>
      </c>
      <c r="BS51" s="20" t="n">
        <f aca="false">IF(Quantiles!BS51&lt;0,"",(Depth0-MIN(Depth0,Quantiles!BS51))/Depth_per_q)</f>
        <v>0</v>
      </c>
      <c r="BT51" s="20" t="n">
        <f aca="false">IF(Quantiles!BT51&lt;0,"",(Depth0-MIN(Depth0,Quantiles!BT51))/Depth_per_q)</f>
        <v>0</v>
      </c>
      <c r="BU51" s="20" t="n">
        <f aca="false">IF(Quantiles!BU51&lt;0,"",(Depth0-MIN(Depth0,Quantiles!BU51))/Depth_per_q)</f>
        <v>0</v>
      </c>
      <c r="BV51" s="20" t="n">
        <f aca="false">IF(Quantiles!BV51&lt;0,"",(Depth0-MIN(Depth0,Quantiles!BV51))/Depth_per_q)</f>
        <v>0</v>
      </c>
      <c r="BW51" s="20" t="n">
        <f aca="false">IF(Quantiles!BW51&lt;0,"",(Depth0-MIN(Depth0,Quantiles!BW51))/Depth_per_q)</f>
        <v>0</v>
      </c>
      <c r="BX51" s="20" t="n">
        <f aca="false">IF(Quantiles!BX51&lt;0,"",(Depth0-MIN(Depth0,Quantiles!BX51))/Depth_per_q)</f>
        <v>0</v>
      </c>
      <c r="BY51" s="20" t="n">
        <f aca="false">IF(Quantiles!BY51&lt;0,"",(Depth0-MIN(Depth0,Quantiles!BY51))/Depth_per_q)</f>
        <v>0</v>
      </c>
      <c r="BZ51" s="20" t="n">
        <f aca="false">IF(Quantiles!BZ51&lt;0,"",(Depth0-MIN(Depth0,Quantiles!BZ51))/Depth_per_q)</f>
        <v>0</v>
      </c>
      <c r="CA51" s="20" t="n">
        <f aca="false">IF(Quantiles!CA51&lt;0,"",(Depth0-MIN(Depth0,Quantiles!CA51))/Depth_per_q)</f>
        <v>0</v>
      </c>
      <c r="CB51" s="20" t="n">
        <f aca="false">IF(Quantiles!CB51&lt;0,"",(Depth0-MIN(Depth0,Quantiles!CB51))/Depth_per_q)</f>
        <v>0</v>
      </c>
      <c r="CC51" s="20" t="n">
        <f aca="false">IF(Quantiles!CC51&lt;0,"",(Depth0-MIN(Depth0,Quantiles!CC51))/Depth_per_q)</f>
        <v>0</v>
      </c>
      <c r="CD51" s="20" t="n">
        <f aca="false">IF(Quantiles!CD51&lt;0,"",(Depth0-MIN(Depth0,Quantiles!CD51))/Depth_per_q)</f>
        <v>0</v>
      </c>
      <c r="CE51" s="20" t="n">
        <f aca="false">IF(Quantiles!CE51&lt;0,"",(Depth0-MIN(Depth0,Quantiles!CE51))/Depth_per_q)</f>
        <v>0</v>
      </c>
      <c r="CF51" s="20" t="n">
        <f aca="false">IF(Quantiles!CF51&lt;0,"",(Depth0-MIN(Depth0,Quantiles!CF51))/Depth_per_q)</f>
        <v>0</v>
      </c>
      <c r="CG51" s="20" t="n">
        <f aca="false">IF(Quantiles!CG51&lt;0,"",(Depth0-MIN(Depth0,Quantiles!CG51))/Depth_per_q)</f>
        <v>0</v>
      </c>
      <c r="CH51" s="20" t="n">
        <f aca="false">IF(Quantiles!CH51&lt;0,"",(Depth0-MIN(Depth0,Quantiles!CH51))/Depth_per_q)</f>
        <v>0</v>
      </c>
      <c r="CI51" s="20" t="n">
        <f aca="false">IF(Quantiles!CI51&lt;0,"",(Depth0-MIN(Depth0,Quantiles!CI51))/Depth_per_q)</f>
        <v>0</v>
      </c>
      <c r="CJ51" s="20" t="n">
        <f aca="false">IF(Quantiles!CJ51&lt;0,"",(Depth0-MIN(Depth0,Quantiles!CJ51))/Depth_per_q)</f>
        <v>0</v>
      </c>
      <c r="CK51" s="20" t="n">
        <f aca="false">IF(Quantiles!CK51&lt;0,"",(Depth0-MIN(Depth0,Quantiles!CK51))/Depth_per_q)</f>
        <v>0</v>
      </c>
      <c r="CL51" s="20" t="n">
        <f aca="false">IF(Quantiles!CL51&lt;0,"",(Depth0-MIN(Depth0,Quantiles!CL51))/Depth_per_q)</f>
        <v>0</v>
      </c>
      <c r="CM51" s="20" t="n">
        <f aca="false">IF(Quantiles!CM51&lt;0,"",(Depth0-MIN(Depth0,Quantiles!CM51))/Depth_per_q)</f>
        <v>0</v>
      </c>
      <c r="CN51" s="20" t="n">
        <f aca="false">IF(Quantiles!CN51&lt;0,"",(Depth0-MIN(Depth0,Quantiles!CN51))/Depth_per_q)</f>
        <v>0</v>
      </c>
      <c r="CO51" s="20" t="n">
        <f aca="false">IF(Quantiles!CO51&lt;0,"",(Depth0-MIN(Depth0,Quantiles!CO51))/Depth_per_q)</f>
        <v>0</v>
      </c>
      <c r="CP51" s="20" t="n">
        <f aca="false">IF(Quantiles!CP51&lt;0,"",(Depth0-MIN(Depth0,Quantiles!CP51))/Depth_per_q)</f>
        <v>0</v>
      </c>
      <c r="CQ51" s="20" t="n">
        <f aca="false">IF(Quantiles!CQ51&lt;0,"",(Depth0-MIN(Depth0,Quantiles!CQ51))/Depth_per_q)</f>
        <v>0</v>
      </c>
      <c r="CR51" s="20" t="n">
        <f aca="false">IF(Quantiles!CR51&lt;0,"",(Depth0-MIN(Depth0,Quantiles!CR51))/Depth_per_q)</f>
        <v>0</v>
      </c>
      <c r="CS51" s="20" t="n">
        <f aca="false">IF(Quantiles!CS51&lt;0,"",(Depth0-MIN(Depth0,Quantiles!CS51))/Depth_per_q)</f>
        <v>0</v>
      </c>
      <c r="CT51" s="20" t="n">
        <f aca="false">IF(Quantiles!CT51&lt;0,"",(Depth0-MIN(Depth0,Quantiles!CT51))/Depth_per_q)</f>
        <v>1.0894947683814</v>
      </c>
    </row>
    <row r="52" customFormat="false" ht="15" hidden="false" customHeight="false" outlineLevel="0" collapsed="false">
      <c r="A52" s="25" t="n">
        <f aca="false">Quantiles!A52</f>
        <v>235</v>
      </c>
      <c r="B52" s="20" t="n">
        <f aca="false">IF(Quantiles!B52&lt;0,"",(Depth0-MIN(Depth0,Quantiles!B52))/Depth_per_q)</f>
        <v>2.07641831900885</v>
      </c>
      <c r="C52" s="20" t="n">
        <f aca="false">IF(Quantiles!C52&lt;0,"",(Depth0-MIN(Depth0,Quantiles!C52))/Depth_per_q)</f>
        <v>1.87898281049463</v>
      </c>
      <c r="D52" s="20" t="n">
        <f aca="false">IF(Quantiles!D52&lt;0,"",(Depth0-MIN(Depth0,Quantiles!D52))/Depth_per_q)</f>
        <v>1.71560538788721</v>
      </c>
      <c r="E52" s="20" t="n">
        <f aca="false">IF(Quantiles!E52&lt;0,"",(Depth0-MIN(Depth0,Quantiles!E52))/Depth_per_q)</f>
        <v>1.57500165059839</v>
      </c>
      <c r="F52" s="20" t="n">
        <f aca="false">IF(Quantiles!F52&lt;0,"",(Depth0-MIN(Depth0,Quantiles!F52))/Depth_per_q)</f>
        <v>1.45095971008003</v>
      </c>
      <c r="G52" s="20" t="n">
        <f aca="false">IF(Quantiles!G52&lt;0,"",(Depth0-MIN(Depth0,Quantiles!G52))/Depth_per_q)</f>
        <v>1.34793052655556</v>
      </c>
      <c r="H52" s="20" t="n">
        <f aca="false">IF(Quantiles!H52&lt;0,"",(Depth0-MIN(Depth0,Quantiles!H52))/Depth_per_q)</f>
        <v>1.25177699885174</v>
      </c>
      <c r="I52" s="20" t="n">
        <f aca="false">IF(Quantiles!I52&lt;0,"",(Depth0-MIN(Depth0,Quantiles!I52))/Depth_per_q)</f>
        <v>1.16503106748633</v>
      </c>
      <c r="J52" s="20" t="n">
        <f aca="false">IF(Quantiles!J52&lt;0,"",(Depth0-MIN(Depth0,Quantiles!J52))/Depth_per_q)</f>
        <v>1.0881983037944</v>
      </c>
      <c r="K52" s="20" t="n">
        <f aca="false">IF(Quantiles!K52&lt;0,"",(Depth0-MIN(Depth0,Quantiles!K52))/Depth_per_q)</f>
        <v>1.00629559362314</v>
      </c>
      <c r="L52" s="20" t="n">
        <f aca="false">IF(Quantiles!L52&lt;0,"",(Depth0-MIN(Depth0,Quantiles!L52))/Depth_per_q)</f>
        <v>0.930657436059173</v>
      </c>
      <c r="M52" s="20" t="n">
        <f aca="false">IF(Quantiles!M52&lt;0,"",(Depth0-MIN(Depth0,Quantiles!M52))/Depth_per_q)</f>
        <v>0.869787228659895</v>
      </c>
      <c r="N52" s="20" t="n">
        <f aca="false">IF(Quantiles!N52&lt;0,"",(Depth0-MIN(Depth0,Quantiles!N52))/Depth_per_q)</f>
        <v>0.80422236119012</v>
      </c>
      <c r="O52" s="20" t="n">
        <f aca="false">IF(Quantiles!O52&lt;0,"",(Depth0-MIN(Depth0,Quantiles!O52))/Depth_per_q)</f>
        <v>0.739214240614133</v>
      </c>
      <c r="P52" s="20" t="n">
        <f aca="false">IF(Quantiles!P52&lt;0,"",(Depth0-MIN(Depth0,Quantiles!P52))/Depth_per_q)</f>
        <v>0.680842149629178</v>
      </c>
      <c r="Q52" s="20" t="n">
        <f aca="false">IF(Quantiles!Q52&lt;0,"",(Depth0-MIN(Depth0,Quantiles!Q52))/Depth_per_q)</f>
        <v>0.623612372360688</v>
      </c>
      <c r="R52" s="20" t="n">
        <f aca="false">IF(Quantiles!R52&lt;0,"",(Depth0-MIN(Depth0,Quantiles!R52))/Depth_per_q)</f>
        <v>0.573317731357722</v>
      </c>
      <c r="S52" s="20" t="n">
        <f aca="false">IF(Quantiles!S52&lt;0,"",(Depth0-MIN(Depth0,Quantiles!S52))/Depth_per_q)</f>
        <v>0.517751262201435</v>
      </c>
      <c r="T52" s="20" t="n">
        <f aca="false">IF(Quantiles!T52&lt;0,"",(Depth0-MIN(Depth0,Quantiles!T52))/Depth_per_q)</f>
        <v>0.47193520320852</v>
      </c>
      <c r="U52" s="20" t="n">
        <f aca="false">IF(Quantiles!U52&lt;0,"",(Depth0-MIN(Depth0,Quantiles!U52))/Depth_per_q)</f>
        <v>0.429255191094487</v>
      </c>
      <c r="V52" s="20" t="n">
        <f aca="false">IF(Quantiles!V52&lt;0,"",(Depth0-MIN(Depth0,Quantiles!V52))/Depth_per_q)</f>
        <v>0.384252324057343</v>
      </c>
      <c r="W52" s="20" t="n">
        <f aca="false">IF(Quantiles!W52&lt;0,"",(Depth0-MIN(Depth0,Quantiles!W52))/Depth_per_q)</f>
        <v>0.33994777420144</v>
      </c>
      <c r="X52" s="20" t="n">
        <f aca="false">IF(Quantiles!X52&lt;0,"",(Depth0-MIN(Depth0,Quantiles!X52))/Depth_per_q)</f>
        <v>0.295649608400175</v>
      </c>
      <c r="Y52" s="20" t="n">
        <f aca="false">IF(Quantiles!Y52&lt;0,"",(Depth0-MIN(Depth0,Quantiles!Y52))/Depth_per_q)</f>
        <v>0.25514257035821</v>
      </c>
      <c r="Z52" s="20" t="n">
        <f aca="false">IF(Quantiles!Z52&lt;0,"",(Depth0-MIN(Depth0,Quantiles!Z52))/Depth_per_q)</f>
        <v>0.21758644993914</v>
      </c>
      <c r="AA52" s="20" t="n">
        <f aca="false">IF(Quantiles!AA52&lt;0,"",(Depth0-MIN(Depth0,Quantiles!AA52))/Depth_per_q)</f>
        <v>0.179918798989073</v>
      </c>
      <c r="AB52" s="20" t="n">
        <f aca="false">IF(Quantiles!AB52&lt;0,"",(Depth0-MIN(Depth0,Quantiles!AB52))/Depth_per_q)</f>
        <v>0.139446822685615</v>
      </c>
      <c r="AC52" s="20" t="n">
        <f aca="false">IF(Quantiles!AC52&lt;0,"",(Depth0-MIN(Depth0,Quantiles!AC52))/Depth_per_q)</f>
        <v>0.10347621701748</v>
      </c>
      <c r="AD52" s="20" t="n">
        <f aca="false">IF(Quantiles!AD52&lt;0,"",(Depth0-MIN(Depth0,Quantiles!AD52))/Depth_per_q)</f>
        <v>0.0693261722540299</v>
      </c>
      <c r="AE52" s="20" t="n">
        <f aca="false">IF(Quantiles!AE52&lt;0,"",(Depth0-MIN(Depth0,Quantiles!AE52))/Depth_per_q)</f>
        <v>0.0319528485917902</v>
      </c>
      <c r="AF52" s="20" t="n">
        <f aca="false">IF(Quantiles!AF52&lt;0,"",(Depth0-MIN(Depth0,Quantiles!AF52))/Depth_per_q)</f>
        <v>0</v>
      </c>
      <c r="AG52" s="20" t="n">
        <f aca="false">IF(Quantiles!AG52&lt;0,"",(Depth0-MIN(Depth0,Quantiles!AG52))/Depth_per_q)</f>
        <v>0</v>
      </c>
      <c r="AH52" s="20" t="n">
        <f aca="false">IF(Quantiles!AH52&lt;0,"",(Depth0-MIN(Depth0,Quantiles!AH52))/Depth_per_q)</f>
        <v>0</v>
      </c>
      <c r="AI52" s="20" t="n">
        <f aca="false">IF(Quantiles!AI52&lt;0,"",(Depth0-MIN(Depth0,Quantiles!AI52))/Depth_per_q)</f>
        <v>0</v>
      </c>
      <c r="AJ52" s="20" t="n">
        <f aca="false">IF(Quantiles!AJ52&lt;0,"",(Depth0-MIN(Depth0,Quantiles!AJ52))/Depth_per_q)</f>
        <v>0</v>
      </c>
      <c r="AK52" s="20" t="n">
        <f aca="false">IF(Quantiles!AK52&lt;0,"",(Depth0-MIN(Depth0,Quantiles!AK52))/Depth_per_q)</f>
        <v>0</v>
      </c>
      <c r="AL52" s="20" t="n">
        <f aca="false">IF(Quantiles!AL52&lt;0,"",(Depth0-MIN(Depth0,Quantiles!AL52))/Depth_per_q)</f>
        <v>0</v>
      </c>
      <c r="AM52" s="20" t="n">
        <f aca="false">IF(Quantiles!AM52&lt;0,"",(Depth0-MIN(Depth0,Quantiles!AM52))/Depth_per_q)</f>
        <v>0</v>
      </c>
      <c r="AN52" s="20" t="n">
        <f aca="false">IF(Quantiles!AN52&lt;0,"",(Depth0-MIN(Depth0,Quantiles!AN52))/Depth_per_q)</f>
        <v>0</v>
      </c>
      <c r="AO52" s="20" t="n">
        <f aca="false">IF(Quantiles!AO52&lt;0,"",(Depth0-MIN(Depth0,Quantiles!AO52))/Depth_per_q)</f>
        <v>0</v>
      </c>
      <c r="AP52" s="20" t="n">
        <f aca="false">IF(Quantiles!AP52&lt;0,"",(Depth0-MIN(Depth0,Quantiles!AP52))/Depth_per_q)</f>
        <v>0</v>
      </c>
      <c r="AQ52" s="20" t="n">
        <f aca="false">IF(Quantiles!AQ52&lt;0,"",(Depth0-MIN(Depth0,Quantiles!AQ52))/Depth_per_q)</f>
        <v>0</v>
      </c>
      <c r="AR52" s="20" t="n">
        <f aca="false">IF(Quantiles!AR52&lt;0,"",(Depth0-MIN(Depth0,Quantiles!AR52))/Depth_per_q)</f>
        <v>0</v>
      </c>
      <c r="AS52" s="20" t="n">
        <f aca="false">IF(Quantiles!AS52&lt;0,"",(Depth0-MIN(Depth0,Quantiles!AS52))/Depth_per_q)</f>
        <v>0</v>
      </c>
      <c r="AT52" s="20" t="n">
        <f aca="false">IF(Quantiles!AT52&lt;0,"",(Depth0-MIN(Depth0,Quantiles!AT52))/Depth_per_q)</f>
        <v>0</v>
      </c>
      <c r="AU52" s="20" t="n">
        <f aca="false">IF(Quantiles!AU52&lt;0,"",(Depth0-MIN(Depth0,Quantiles!AU52))/Depth_per_q)</f>
        <v>0</v>
      </c>
      <c r="AV52" s="20" t="n">
        <f aca="false">IF(Quantiles!AV52&lt;0,"",(Depth0-MIN(Depth0,Quantiles!AV52))/Depth_per_q)</f>
        <v>0</v>
      </c>
      <c r="AW52" s="20" t="n">
        <f aca="false">IF(Quantiles!AW52&lt;0,"",(Depth0-MIN(Depth0,Quantiles!AW52))/Depth_per_q)</f>
        <v>0</v>
      </c>
      <c r="AX52" s="20" t="n">
        <f aca="false">IF(Quantiles!AX52&lt;0,"",(Depth0-MIN(Depth0,Quantiles!AX52))/Depth_per_q)</f>
        <v>0</v>
      </c>
      <c r="AY52" s="20" t="n">
        <f aca="false">IF(Quantiles!AY52&lt;0,"",(Depth0-MIN(Depth0,Quantiles!AY52))/Depth_per_q)</f>
        <v>0</v>
      </c>
      <c r="AZ52" s="20" t="n">
        <f aca="false">IF(Quantiles!AZ52&lt;0,"",(Depth0-MIN(Depth0,Quantiles!AZ52))/Depth_per_q)</f>
        <v>0</v>
      </c>
      <c r="BA52" s="20" t="n">
        <f aca="false">IF(Quantiles!BA52&lt;0,"",(Depth0-MIN(Depth0,Quantiles!BA52))/Depth_per_q)</f>
        <v>0</v>
      </c>
      <c r="BB52" s="20" t="n">
        <f aca="false">IF(Quantiles!BB52&lt;0,"",(Depth0-MIN(Depth0,Quantiles!BB52))/Depth_per_q)</f>
        <v>0</v>
      </c>
      <c r="BC52" s="20" t="n">
        <f aca="false">IF(Quantiles!BC52&lt;0,"",(Depth0-MIN(Depth0,Quantiles!BC52))/Depth_per_q)</f>
        <v>0</v>
      </c>
      <c r="BD52" s="20" t="n">
        <f aca="false">IF(Quantiles!BD52&lt;0,"",(Depth0-MIN(Depth0,Quantiles!BD52))/Depth_per_q)</f>
        <v>0</v>
      </c>
      <c r="BE52" s="20" t="n">
        <f aca="false">IF(Quantiles!BE52&lt;0,"",(Depth0-MIN(Depth0,Quantiles!BE52))/Depth_per_q)</f>
        <v>0</v>
      </c>
      <c r="BF52" s="20" t="n">
        <f aca="false">IF(Quantiles!BF52&lt;0,"",(Depth0-MIN(Depth0,Quantiles!BF52))/Depth_per_q)</f>
        <v>0</v>
      </c>
      <c r="BG52" s="20" t="n">
        <f aca="false">IF(Quantiles!BG52&lt;0,"",(Depth0-MIN(Depth0,Quantiles!BG52))/Depth_per_q)</f>
        <v>0</v>
      </c>
      <c r="BH52" s="20" t="n">
        <f aca="false">IF(Quantiles!BH52&lt;0,"",(Depth0-MIN(Depth0,Quantiles!BH52))/Depth_per_q)</f>
        <v>0</v>
      </c>
      <c r="BI52" s="20" t="n">
        <f aca="false">IF(Quantiles!BI52&lt;0,"",(Depth0-MIN(Depth0,Quantiles!BI52))/Depth_per_q)</f>
        <v>0</v>
      </c>
      <c r="BJ52" s="20" t="n">
        <f aca="false">IF(Quantiles!BJ52&lt;0,"",(Depth0-MIN(Depth0,Quantiles!BJ52))/Depth_per_q)</f>
        <v>0</v>
      </c>
      <c r="BK52" s="20" t="n">
        <f aca="false">IF(Quantiles!BK52&lt;0,"",(Depth0-MIN(Depth0,Quantiles!BK52))/Depth_per_q)</f>
        <v>0</v>
      </c>
      <c r="BL52" s="20" t="n">
        <f aca="false">IF(Quantiles!BL52&lt;0,"",(Depth0-MIN(Depth0,Quantiles!BL52))/Depth_per_q)</f>
        <v>0</v>
      </c>
      <c r="BM52" s="20" t="n">
        <f aca="false">IF(Quantiles!BM52&lt;0,"",(Depth0-MIN(Depth0,Quantiles!BM52))/Depth_per_q)</f>
        <v>0</v>
      </c>
      <c r="BN52" s="20" t="n">
        <f aca="false">IF(Quantiles!BN52&lt;0,"",(Depth0-MIN(Depth0,Quantiles!BN52))/Depth_per_q)</f>
        <v>0</v>
      </c>
      <c r="BO52" s="20" t="n">
        <f aca="false">IF(Quantiles!BO52&lt;0,"",(Depth0-MIN(Depth0,Quantiles!BO52))/Depth_per_q)</f>
        <v>0</v>
      </c>
      <c r="BP52" s="20" t="n">
        <f aca="false">IF(Quantiles!BP52&lt;0,"",(Depth0-MIN(Depth0,Quantiles!BP52))/Depth_per_q)</f>
        <v>0</v>
      </c>
      <c r="BQ52" s="20" t="n">
        <f aca="false">IF(Quantiles!BQ52&lt;0,"",(Depth0-MIN(Depth0,Quantiles!BQ52))/Depth_per_q)</f>
        <v>0</v>
      </c>
      <c r="BR52" s="20" t="n">
        <f aca="false">IF(Quantiles!BR52&lt;0,"",(Depth0-MIN(Depth0,Quantiles!BR52))/Depth_per_q)</f>
        <v>0</v>
      </c>
      <c r="BS52" s="20" t="n">
        <f aca="false">IF(Quantiles!BS52&lt;0,"",(Depth0-MIN(Depth0,Quantiles!BS52))/Depth_per_q)</f>
        <v>0</v>
      </c>
      <c r="BT52" s="20" t="n">
        <f aca="false">IF(Quantiles!BT52&lt;0,"",(Depth0-MIN(Depth0,Quantiles!BT52))/Depth_per_q)</f>
        <v>0</v>
      </c>
      <c r="BU52" s="20" t="n">
        <f aca="false">IF(Quantiles!BU52&lt;0,"",(Depth0-MIN(Depth0,Quantiles!BU52))/Depth_per_q)</f>
        <v>0</v>
      </c>
      <c r="BV52" s="20" t="n">
        <f aca="false">IF(Quantiles!BV52&lt;0,"",(Depth0-MIN(Depth0,Quantiles!BV52))/Depth_per_q)</f>
        <v>0</v>
      </c>
      <c r="BW52" s="20" t="n">
        <f aca="false">IF(Quantiles!BW52&lt;0,"",(Depth0-MIN(Depth0,Quantiles!BW52))/Depth_per_q)</f>
        <v>0</v>
      </c>
      <c r="BX52" s="20" t="n">
        <f aca="false">IF(Quantiles!BX52&lt;0,"",(Depth0-MIN(Depth0,Quantiles!BX52))/Depth_per_q)</f>
        <v>0</v>
      </c>
      <c r="BY52" s="20" t="n">
        <f aca="false">IF(Quantiles!BY52&lt;0,"",(Depth0-MIN(Depth0,Quantiles!BY52))/Depth_per_q)</f>
        <v>0</v>
      </c>
      <c r="BZ52" s="20" t="n">
        <f aca="false">IF(Quantiles!BZ52&lt;0,"",(Depth0-MIN(Depth0,Quantiles!BZ52))/Depth_per_q)</f>
        <v>0</v>
      </c>
      <c r="CA52" s="20" t="n">
        <f aca="false">IF(Quantiles!CA52&lt;0,"",(Depth0-MIN(Depth0,Quantiles!CA52))/Depth_per_q)</f>
        <v>0</v>
      </c>
      <c r="CB52" s="20" t="n">
        <f aca="false">IF(Quantiles!CB52&lt;0,"",(Depth0-MIN(Depth0,Quantiles!CB52))/Depth_per_q)</f>
        <v>0</v>
      </c>
      <c r="CC52" s="20" t="n">
        <f aca="false">IF(Quantiles!CC52&lt;0,"",(Depth0-MIN(Depth0,Quantiles!CC52))/Depth_per_q)</f>
        <v>0</v>
      </c>
      <c r="CD52" s="20" t="n">
        <f aca="false">IF(Quantiles!CD52&lt;0,"",(Depth0-MIN(Depth0,Quantiles!CD52))/Depth_per_q)</f>
        <v>0</v>
      </c>
      <c r="CE52" s="20" t="n">
        <f aca="false">IF(Quantiles!CE52&lt;0,"",(Depth0-MIN(Depth0,Quantiles!CE52))/Depth_per_q)</f>
        <v>0</v>
      </c>
      <c r="CF52" s="20" t="n">
        <f aca="false">IF(Quantiles!CF52&lt;0,"",(Depth0-MIN(Depth0,Quantiles!CF52))/Depth_per_q)</f>
        <v>0</v>
      </c>
      <c r="CG52" s="20" t="n">
        <f aca="false">IF(Quantiles!CG52&lt;0,"",(Depth0-MIN(Depth0,Quantiles!CG52))/Depth_per_q)</f>
        <v>0</v>
      </c>
      <c r="CH52" s="20" t="n">
        <f aca="false">IF(Quantiles!CH52&lt;0,"",(Depth0-MIN(Depth0,Quantiles!CH52))/Depth_per_q)</f>
        <v>0</v>
      </c>
      <c r="CI52" s="20" t="n">
        <f aca="false">IF(Quantiles!CI52&lt;0,"",(Depth0-MIN(Depth0,Quantiles!CI52))/Depth_per_q)</f>
        <v>0</v>
      </c>
      <c r="CJ52" s="20" t="n">
        <f aca="false">IF(Quantiles!CJ52&lt;0,"",(Depth0-MIN(Depth0,Quantiles!CJ52))/Depth_per_q)</f>
        <v>0</v>
      </c>
      <c r="CK52" s="20" t="n">
        <f aca="false">IF(Quantiles!CK52&lt;0,"",(Depth0-MIN(Depth0,Quantiles!CK52))/Depth_per_q)</f>
        <v>0</v>
      </c>
      <c r="CL52" s="20" t="n">
        <f aca="false">IF(Quantiles!CL52&lt;0,"",(Depth0-MIN(Depth0,Quantiles!CL52))/Depth_per_q)</f>
        <v>0</v>
      </c>
      <c r="CM52" s="20" t="n">
        <f aca="false">IF(Quantiles!CM52&lt;0,"",(Depth0-MIN(Depth0,Quantiles!CM52))/Depth_per_q)</f>
        <v>0</v>
      </c>
      <c r="CN52" s="20" t="n">
        <f aca="false">IF(Quantiles!CN52&lt;0,"",(Depth0-MIN(Depth0,Quantiles!CN52))/Depth_per_q)</f>
        <v>0</v>
      </c>
      <c r="CO52" s="20" t="n">
        <f aca="false">IF(Quantiles!CO52&lt;0,"",(Depth0-MIN(Depth0,Quantiles!CO52))/Depth_per_q)</f>
        <v>0</v>
      </c>
      <c r="CP52" s="20" t="n">
        <f aca="false">IF(Quantiles!CP52&lt;0,"",(Depth0-MIN(Depth0,Quantiles!CP52))/Depth_per_q)</f>
        <v>0</v>
      </c>
      <c r="CQ52" s="20" t="n">
        <f aca="false">IF(Quantiles!CQ52&lt;0,"",(Depth0-MIN(Depth0,Quantiles!CQ52))/Depth_per_q)</f>
        <v>0</v>
      </c>
      <c r="CR52" s="20" t="n">
        <f aca="false">IF(Quantiles!CR52&lt;0,"",(Depth0-MIN(Depth0,Quantiles!CR52))/Depth_per_q)</f>
        <v>0</v>
      </c>
      <c r="CS52" s="20" t="n">
        <f aca="false">IF(Quantiles!CS52&lt;0,"",(Depth0-MIN(Depth0,Quantiles!CS52))/Depth_per_q)</f>
        <v>0</v>
      </c>
      <c r="CT52" s="20" t="n">
        <f aca="false">IF(Quantiles!CT52&lt;0,"",(Depth0-MIN(Depth0,Quantiles!CT52))/Depth_per_q)</f>
        <v>1.08748380685712</v>
      </c>
    </row>
    <row r="53" customFormat="false" ht="15" hidden="false" customHeight="false" outlineLevel="0" collapsed="false">
      <c r="A53" s="25" t="n">
        <f aca="false">Quantiles!A53</f>
        <v>240</v>
      </c>
      <c r="B53" s="20" t="n">
        <f aca="false">IF(Quantiles!B53&lt;0,"",(Depth0-MIN(Depth0,Quantiles!B53))/Depth_per_q)</f>
        <v>2.07235698632459</v>
      </c>
      <c r="C53" s="20" t="n">
        <f aca="false">IF(Quantiles!C53&lt;0,"",(Depth0-MIN(Depth0,Quantiles!C53))/Depth_per_q)</f>
        <v>1.87601416922685</v>
      </c>
      <c r="D53" s="20" t="n">
        <f aca="false">IF(Quantiles!D53&lt;0,"",(Depth0-MIN(Depth0,Quantiles!D53))/Depth_per_q)</f>
        <v>1.70933238202227</v>
      </c>
      <c r="E53" s="20" t="n">
        <f aca="false">IF(Quantiles!E53&lt;0,"",(Depth0-MIN(Depth0,Quantiles!E53))/Depth_per_q)</f>
        <v>1.57354229259955</v>
      </c>
      <c r="F53" s="20" t="n">
        <f aca="false">IF(Quantiles!F53&lt;0,"",(Depth0-MIN(Depth0,Quantiles!F53))/Depth_per_q)</f>
        <v>1.44601178308402</v>
      </c>
      <c r="G53" s="20" t="n">
        <f aca="false">IF(Quantiles!G53&lt;0,"",(Depth0-MIN(Depth0,Quantiles!G53))/Depth_per_q)</f>
        <v>1.34323148515966</v>
      </c>
      <c r="H53" s="20" t="n">
        <f aca="false">IF(Quantiles!H53&lt;0,"",(Depth0-MIN(Depth0,Quantiles!H53))/Depth_per_q)</f>
        <v>1.24857050700996</v>
      </c>
      <c r="I53" s="20" t="n">
        <f aca="false">IF(Quantiles!I53&lt;0,"",(Depth0-MIN(Depth0,Quantiles!I53))/Depth_per_q)</f>
        <v>1.16051551052027</v>
      </c>
      <c r="J53" s="20" t="n">
        <f aca="false">IF(Quantiles!J53&lt;0,"",(Depth0-MIN(Depth0,Quantiles!J53))/Depth_per_q)</f>
        <v>1.08376732647344</v>
      </c>
      <c r="K53" s="20" t="n">
        <f aca="false">IF(Quantiles!K53&lt;0,"",(Depth0-MIN(Depth0,Quantiles!K53))/Depth_per_q)</f>
        <v>1.0024506926031</v>
      </c>
      <c r="L53" s="20" t="n">
        <f aca="false">IF(Quantiles!L53&lt;0,"",(Depth0-MIN(Depth0,Quantiles!L53))/Depth_per_q)</f>
        <v>0.928541833765265</v>
      </c>
      <c r="M53" s="20" t="n">
        <f aca="false">IF(Quantiles!M53&lt;0,"",(Depth0-MIN(Depth0,Quantiles!M53))/Depth_per_q)</f>
        <v>0.866268131919718</v>
      </c>
      <c r="N53" s="20" t="n">
        <f aca="false">IF(Quantiles!N53&lt;0,"",(Depth0-MIN(Depth0,Quantiles!N53))/Depth_per_q)</f>
        <v>0.801117456376238</v>
      </c>
      <c r="O53" s="20" t="n">
        <f aca="false">IF(Quantiles!O53&lt;0,"",(Depth0-MIN(Depth0,Quantiles!O53))/Depth_per_q)</f>
        <v>0.736659209062783</v>
      </c>
      <c r="P53" s="20" t="n">
        <f aca="false">IF(Quantiles!P53&lt;0,"",(Depth0-MIN(Depth0,Quantiles!P53))/Depth_per_q)</f>
        <v>0.677400727151152</v>
      </c>
      <c r="Q53" s="20" t="n">
        <f aca="false">IF(Quantiles!Q53&lt;0,"",(Depth0-MIN(Depth0,Quantiles!Q53))/Depth_per_q)</f>
        <v>0.621145955428455</v>
      </c>
      <c r="R53" s="20" t="n">
        <f aca="false">IF(Quantiles!R53&lt;0,"",(Depth0-MIN(Depth0,Quantiles!R53))/Depth_per_q)</f>
        <v>0.571676990339025</v>
      </c>
      <c r="S53" s="20" t="n">
        <f aca="false">IF(Quantiles!S53&lt;0,"",(Depth0-MIN(Depth0,Quantiles!S53))/Depth_per_q)</f>
        <v>0.516871142548853</v>
      </c>
      <c r="T53" s="20" t="n">
        <f aca="false">IF(Quantiles!T53&lt;0,"",(Depth0-MIN(Depth0,Quantiles!T53))/Depth_per_q)</f>
        <v>0.471148039659715</v>
      </c>
      <c r="U53" s="20" t="n">
        <f aca="false">IF(Quantiles!U53&lt;0,"",(Depth0-MIN(Depth0,Quantiles!U53))/Depth_per_q)</f>
        <v>0.428442569219352</v>
      </c>
      <c r="V53" s="20" t="n">
        <f aca="false">IF(Quantiles!V53&lt;0,"",(Depth0-MIN(Depth0,Quantiles!V53))/Depth_per_q)</f>
        <v>0.38356505605964</v>
      </c>
      <c r="W53" s="20" t="n">
        <f aca="false">IF(Quantiles!W53&lt;0,"",(Depth0-MIN(Depth0,Quantiles!W53))/Depth_per_q)</f>
        <v>0.338891547194805</v>
      </c>
      <c r="X53" s="20" t="n">
        <f aca="false">IF(Quantiles!X53&lt;0,"",(Depth0-MIN(Depth0,Quantiles!X53))/Depth_per_q)</f>
        <v>0.294316296373405</v>
      </c>
      <c r="Y53" s="20" t="n">
        <f aca="false">IF(Quantiles!Y53&lt;0,"",(Depth0-MIN(Depth0,Quantiles!Y53))/Depth_per_q)</f>
        <v>0.253705260514318</v>
      </c>
      <c r="Z53" s="20" t="n">
        <f aca="false">IF(Quantiles!Z53&lt;0,"",(Depth0-MIN(Depth0,Quantiles!Z53))/Depth_per_q)</f>
        <v>0.215457496534958</v>
      </c>
      <c r="AA53" s="20" t="n">
        <f aca="false">IF(Quantiles!AA53&lt;0,"",(Depth0-MIN(Depth0,Quantiles!AA53))/Depth_per_q)</f>
        <v>0.17824616957295</v>
      </c>
      <c r="AB53" s="20" t="n">
        <f aca="false">IF(Quantiles!AB53&lt;0,"",(Depth0-MIN(Depth0,Quantiles!AB53))/Depth_per_q)</f>
        <v>0.137849963501322</v>
      </c>
      <c r="AC53" s="20" t="n">
        <f aca="false">IF(Quantiles!AC53&lt;0,"",(Depth0-MIN(Depth0,Quantiles!AC53))/Depth_per_q)</f>
        <v>0.101778691672712</v>
      </c>
      <c r="AD53" s="20" t="n">
        <f aca="false">IF(Quantiles!AD53&lt;0,"",(Depth0-MIN(Depth0,Quantiles!AD53))/Depth_per_q)</f>
        <v>0.0659198319114154</v>
      </c>
      <c r="AE53" s="20" t="n">
        <f aca="false">IF(Quantiles!AE53&lt;0,"",(Depth0-MIN(Depth0,Quantiles!AE53))/Depth_per_q)</f>
        <v>0.0290826271732954</v>
      </c>
      <c r="AF53" s="20" t="n">
        <f aca="false">IF(Quantiles!AF53&lt;0,"",(Depth0-MIN(Depth0,Quantiles!AF53))/Depth_per_q)</f>
        <v>0</v>
      </c>
      <c r="AG53" s="20" t="n">
        <f aca="false">IF(Quantiles!AG53&lt;0,"",(Depth0-MIN(Depth0,Quantiles!AG53))/Depth_per_q)</f>
        <v>0</v>
      </c>
      <c r="AH53" s="20" t="n">
        <f aca="false">IF(Quantiles!AH53&lt;0,"",(Depth0-MIN(Depth0,Quantiles!AH53))/Depth_per_q)</f>
        <v>0</v>
      </c>
      <c r="AI53" s="20" t="n">
        <f aca="false">IF(Quantiles!AI53&lt;0,"",(Depth0-MIN(Depth0,Quantiles!AI53))/Depth_per_q)</f>
        <v>0</v>
      </c>
      <c r="AJ53" s="20" t="n">
        <f aca="false">IF(Quantiles!AJ53&lt;0,"",(Depth0-MIN(Depth0,Quantiles!AJ53))/Depth_per_q)</f>
        <v>0</v>
      </c>
      <c r="AK53" s="20" t="n">
        <f aca="false">IF(Quantiles!AK53&lt;0,"",(Depth0-MIN(Depth0,Quantiles!AK53))/Depth_per_q)</f>
        <v>0</v>
      </c>
      <c r="AL53" s="20" t="n">
        <f aca="false">IF(Quantiles!AL53&lt;0,"",(Depth0-MIN(Depth0,Quantiles!AL53))/Depth_per_q)</f>
        <v>0</v>
      </c>
      <c r="AM53" s="20" t="n">
        <f aca="false">IF(Quantiles!AM53&lt;0,"",(Depth0-MIN(Depth0,Quantiles!AM53))/Depth_per_q)</f>
        <v>0</v>
      </c>
      <c r="AN53" s="20" t="n">
        <f aca="false">IF(Quantiles!AN53&lt;0,"",(Depth0-MIN(Depth0,Quantiles!AN53))/Depth_per_q)</f>
        <v>0</v>
      </c>
      <c r="AO53" s="20" t="n">
        <f aca="false">IF(Quantiles!AO53&lt;0,"",(Depth0-MIN(Depth0,Quantiles!AO53))/Depth_per_q)</f>
        <v>0</v>
      </c>
      <c r="AP53" s="20" t="n">
        <f aca="false">IF(Quantiles!AP53&lt;0,"",(Depth0-MIN(Depth0,Quantiles!AP53))/Depth_per_q)</f>
        <v>0</v>
      </c>
      <c r="AQ53" s="20" t="n">
        <f aca="false">IF(Quantiles!AQ53&lt;0,"",(Depth0-MIN(Depth0,Quantiles!AQ53))/Depth_per_q)</f>
        <v>0</v>
      </c>
      <c r="AR53" s="20" t="n">
        <f aca="false">IF(Quantiles!AR53&lt;0,"",(Depth0-MIN(Depth0,Quantiles!AR53))/Depth_per_q)</f>
        <v>0</v>
      </c>
      <c r="AS53" s="20" t="n">
        <f aca="false">IF(Quantiles!AS53&lt;0,"",(Depth0-MIN(Depth0,Quantiles!AS53))/Depth_per_q)</f>
        <v>0</v>
      </c>
      <c r="AT53" s="20" t="n">
        <f aca="false">IF(Quantiles!AT53&lt;0,"",(Depth0-MIN(Depth0,Quantiles!AT53))/Depth_per_q)</f>
        <v>0</v>
      </c>
      <c r="AU53" s="20" t="n">
        <f aca="false">IF(Quantiles!AU53&lt;0,"",(Depth0-MIN(Depth0,Quantiles!AU53))/Depth_per_q)</f>
        <v>0</v>
      </c>
      <c r="AV53" s="20" t="n">
        <f aca="false">IF(Quantiles!AV53&lt;0,"",(Depth0-MIN(Depth0,Quantiles!AV53))/Depth_per_q)</f>
        <v>0</v>
      </c>
      <c r="AW53" s="20" t="n">
        <f aca="false">IF(Quantiles!AW53&lt;0,"",(Depth0-MIN(Depth0,Quantiles!AW53))/Depth_per_q)</f>
        <v>0</v>
      </c>
      <c r="AX53" s="20" t="n">
        <f aca="false">IF(Quantiles!AX53&lt;0,"",(Depth0-MIN(Depth0,Quantiles!AX53))/Depth_per_q)</f>
        <v>0</v>
      </c>
      <c r="AY53" s="20" t="n">
        <f aca="false">IF(Quantiles!AY53&lt;0,"",(Depth0-MIN(Depth0,Quantiles!AY53))/Depth_per_q)</f>
        <v>0</v>
      </c>
      <c r="AZ53" s="20" t="n">
        <f aca="false">IF(Quantiles!AZ53&lt;0,"",(Depth0-MIN(Depth0,Quantiles!AZ53))/Depth_per_q)</f>
        <v>0</v>
      </c>
      <c r="BA53" s="20" t="n">
        <f aca="false">IF(Quantiles!BA53&lt;0,"",(Depth0-MIN(Depth0,Quantiles!BA53))/Depth_per_q)</f>
        <v>0</v>
      </c>
      <c r="BB53" s="20" t="n">
        <f aca="false">IF(Quantiles!BB53&lt;0,"",(Depth0-MIN(Depth0,Quantiles!BB53))/Depth_per_q)</f>
        <v>0</v>
      </c>
      <c r="BC53" s="20" t="n">
        <f aca="false">IF(Quantiles!BC53&lt;0,"",(Depth0-MIN(Depth0,Quantiles!BC53))/Depth_per_q)</f>
        <v>0</v>
      </c>
      <c r="BD53" s="20" t="n">
        <f aca="false">IF(Quantiles!BD53&lt;0,"",(Depth0-MIN(Depth0,Quantiles!BD53))/Depth_per_q)</f>
        <v>0</v>
      </c>
      <c r="BE53" s="20" t="n">
        <f aca="false">IF(Quantiles!BE53&lt;0,"",(Depth0-MIN(Depth0,Quantiles!BE53))/Depth_per_q)</f>
        <v>0</v>
      </c>
      <c r="BF53" s="20" t="n">
        <f aca="false">IF(Quantiles!BF53&lt;0,"",(Depth0-MIN(Depth0,Quantiles!BF53))/Depth_per_q)</f>
        <v>0</v>
      </c>
      <c r="BG53" s="20" t="n">
        <f aca="false">IF(Quantiles!BG53&lt;0,"",(Depth0-MIN(Depth0,Quantiles!BG53))/Depth_per_q)</f>
        <v>0</v>
      </c>
      <c r="BH53" s="20" t="n">
        <f aca="false">IF(Quantiles!BH53&lt;0,"",(Depth0-MIN(Depth0,Quantiles!BH53))/Depth_per_q)</f>
        <v>0</v>
      </c>
      <c r="BI53" s="20" t="n">
        <f aca="false">IF(Quantiles!BI53&lt;0,"",(Depth0-MIN(Depth0,Quantiles!BI53))/Depth_per_q)</f>
        <v>0</v>
      </c>
      <c r="BJ53" s="20" t="n">
        <f aca="false">IF(Quantiles!BJ53&lt;0,"",(Depth0-MIN(Depth0,Quantiles!BJ53))/Depth_per_q)</f>
        <v>0</v>
      </c>
      <c r="BK53" s="20" t="n">
        <f aca="false">IF(Quantiles!BK53&lt;0,"",(Depth0-MIN(Depth0,Quantiles!BK53))/Depth_per_q)</f>
        <v>0</v>
      </c>
      <c r="BL53" s="20" t="n">
        <f aca="false">IF(Quantiles!BL53&lt;0,"",(Depth0-MIN(Depth0,Quantiles!BL53))/Depth_per_q)</f>
        <v>0</v>
      </c>
      <c r="BM53" s="20" t="n">
        <f aca="false">IF(Quantiles!BM53&lt;0,"",(Depth0-MIN(Depth0,Quantiles!BM53))/Depth_per_q)</f>
        <v>0</v>
      </c>
      <c r="BN53" s="20" t="n">
        <f aca="false">IF(Quantiles!BN53&lt;0,"",(Depth0-MIN(Depth0,Quantiles!BN53))/Depth_per_q)</f>
        <v>0</v>
      </c>
      <c r="BO53" s="20" t="n">
        <f aca="false">IF(Quantiles!BO53&lt;0,"",(Depth0-MIN(Depth0,Quantiles!BO53))/Depth_per_q)</f>
        <v>0</v>
      </c>
      <c r="BP53" s="20" t="n">
        <f aca="false">IF(Quantiles!BP53&lt;0,"",(Depth0-MIN(Depth0,Quantiles!BP53))/Depth_per_q)</f>
        <v>0</v>
      </c>
      <c r="BQ53" s="20" t="n">
        <f aca="false">IF(Quantiles!BQ53&lt;0,"",(Depth0-MIN(Depth0,Quantiles!BQ53))/Depth_per_q)</f>
        <v>0</v>
      </c>
      <c r="BR53" s="20" t="n">
        <f aca="false">IF(Quantiles!BR53&lt;0,"",(Depth0-MIN(Depth0,Quantiles!BR53))/Depth_per_q)</f>
        <v>0</v>
      </c>
      <c r="BS53" s="20" t="n">
        <f aca="false">IF(Quantiles!BS53&lt;0,"",(Depth0-MIN(Depth0,Quantiles!BS53))/Depth_per_q)</f>
        <v>0</v>
      </c>
      <c r="BT53" s="20" t="n">
        <f aca="false">IF(Quantiles!BT53&lt;0,"",(Depth0-MIN(Depth0,Quantiles!BT53))/Depth_per_q)</f>
        <v>0</v>
      </c>
      <c r="BU53" s="20" t="n">
        <f aca="false">IF(Quantiles!BU53&lt;0,"",(Depth0-MIN(Depth0,Quantiles!BU53))/Depth_per_q)</f>
        <v>0</v>
      </c>
      <c r="BV53" s="20" t="n">
        <f aca="false">IF(Quantiles!BV53&lt;0,"",(Depth0-MIN(Depth0,Quantiles!BV53))/Depth_per_q)</f>
        <v>0</v>
      </c>
      <c r="BW53" s="20" t="n">
        <f aca="false">IF(Quantiles!BW53&lt;0,"",(Depth0-MIN(Depth0,Quantiles!BW53))/Depth_per_q)</f>
        <v>0</v>
      </c>
      <c r="BX53" s="20" t="n">
        <f aca="false">IF(Quantiles!BX53&lt;0,"",(Depth0-MIN(Depth0,Quantiles!BX53))/Depth_per_q)</f>
        <v>0</v>
      </c>
      <c r="BY53" s="20" t="n">
        <f aca="false">IF(Quantiles!BY53&lt;0,"",(Depth0-MIN(Depth0,Quantiles!BY53))/Depth_per_q)</f>
        <v>0</v>
      </c>
      <c r="BZ53" s="20" t="n">
        <f aca="false">IF(Quantiles!BZ53&lt;0,"",(Depth0-MIN(Depth0,Quantiles!BZ53))/Depth_per_q)</f>
        <v>0</v>
      </c>
      <c r="CA53" s="20" t="n">
        <f aca="false">IF(Quantiles!CA53&lt;0,"",(Depth0-MIN(Depth0,Quantiles!CA53))/Depth_per_q)</f>
        <v>0</v>
      </c>
      <c r="CB53" s="20" t="n">
        <f aca="false">IF(Quantiles!CB53&lt;0,"",(Depth0-MIN(Depth0,Quantiles!CB53))/Depth_per_q)</f>
        <v>0</v>
      </c>
      <c r="CC53" s="20" t="n">
        <f aca="false">IF(Quantiles!CC53&lt;0,"",(Depth0-MIN(Depth0,Quantiles!CC53))/Depth_per_q)</f>
        <v>0</v>
      </c>
      <c r="CD53" s="20" t="n">
        <f aca="false">IF(Quantiles!CD53&lt;0,"",(Depth0-MIN(Depth0,Quantiles!CD53))/Depth_per_q)</f>
        <v>0</v>
      </c>
      <c r="CE53" s="20" t="n">
        <f aca="false">IF(Quantiles!CE53&lt;0,"",(Depth0-MIN(Depth0,Quantiles!CE53))/Depth_per_q)</f>
        <v>0</v>
      </c>
      <c r="CF53" s="20" t="n">
        <f aca="false">IF(Quantiles!CF53&lt;0,"",(Depth0-MIN(Depth0,Quantiles!CF53))/Depth_per_q)</f>
        <v>0</v>
      </c>
      <c r="CG53" s="20" t="n">
        <f aca="false">IF(Quantiles!CG53&lt;0,"",(Depth0-MIN(Depth0,Quantiles!CG53))/Depth_per_q)</f>
        <v>0</v>
      </c>
      <c r="CH53" s="20" t="n">
        <f aca="false">IF(Quantiles!CH53&lt;0,"",(Depth0-MIN(Depth0,Quantiles!CH53))/Depth_per_q)</f>
        <v>0</v>
      </c>
      <c r="CI53" s="20" t="n">
        <f aca="false">IF(Quantiles!CI53&lt;0,"",(Depth0-MIN(Depth0,Quantiles!CI53))/Depth_per_q)</f>
        <v>0</v>
      </c>
      <c r="CJ53" s="20" t="n">
        <f aca="false">IF(Quantiles!CJ53&lt;0,"",(Depth0-MIN(Depth0,Quantiles!CJ53))/Depth_per_q)</f>
        <v>0</v>
      </c>
      <c r="CK53" s="20" t="n">
        <f aca="false">IF(Quantiles!CK53&lt;0,"",(Depth0-MIN(Depth0,Quantiles!CK53))/Depth_per_q)</f>
        <v>0</v>
      </c>
      <c r="CL53" s="20" t="n">
        <f aca="false">IF(Quantiles!CL53&lt;0,"",(Depth0-MIN(Depth0,Quantiles!CL53))/Depth_per_q)</f>
        <v>0</v>
      </c>
      <c r="CM53" s="20" t="n">
        <f aca="false">IF(Quantiles!CM53&lt;0,"",(Depth0-MIN(Depth0,Quantiles!CM53))/Depth_per_q)</f>
        <v>0</v>
      </c>
      <c r="CN53" s="20" t="n">
        <f aca="false">IF(Quantiles!CN53&lt;0,"",(Depth0-MIN(Depth0,Quantiles!CN53))/Depth_per_q)</f>
        <v>0</v>
      </c>
      <c r="CO53" s="20" t="n">
        <f aca="false">IF(Quantiles!CO53&lt;0,"",(Depth0-MIN(Depth0,Quantiles!CO53))/Depth_per_q)</f>
        <v>0</v>
      </c>
      <c r="CP53" s="20" t="n">
        <f aca="false">IF(Quantiles!CP53&lt;0,"",(Depth0-MIN(Depth0,Quantiles!CP53))/Depth_per_q)</f>
        <v>0</v>
      </c>
      <c r="CQ53" s="20" t="n">
        <f aca="false">IF(Quantiles!CQ53&lt;0,"",(Depth0-MIN(Depth0,Quantiles!CQ53))/Depth_per_q)</f>
        <v>0</v>
      </c>
      <c r="CR53" s="20" t="n">
        <f aca="false">IF(Quantiles!CR53&lt;0,"",(Depth0-MIN(Depth0,Quantiles!CR53))/Depth_per_q)</f>
        <v>0</v>
      </c>
      <c r="CS53" s="20" t="n">
        <f aca="false">IF(Quantiles!CS53&lt;0,"",(Depth0-MIN(Depth0,Quantiles!CS53))/Depth_per_q)</f>
        <v>0</v>
      </c>
      <c r="CT53" s="20" t="n">
        <f aca="false">IF(Quantiles!CT53&lt;0,"",(Depth0-MIN(Depth0,Quantiles!CT53))/Depth_per_q)</f>
        <v>1.08320964544095</v>
      </c>
    </row>
    <row r="54" customFormat="false" ht="15" hidden="false" customHeight="false" outlineLevel="0" collapsed="false">
      <c r="A54" s="25" t="n">
        <f aca="false">Quantiles!A54</f>
        <v>245</v>
      </c>
      <c r="B54" s="20" t="n">
        <f aca="false">IF(Quantiles!B54&lt;0,"",(Depth0-MIN(Depth0,Quantiles!B54))/Depth_per_q)</f>
        <v>2.06765850770022</v>
      </c>
      <c r="C54" s="20" t="n">
        <f aca="false">IF(Quantiles!C54&lt;0,"",(Depth0-MIN(Depth0,Quantiles!C54))/Depth_per_q)</f>
        <v>1.87382414319629</v>
      </c>
      <c r="D54" s="20" t="n">
        <f aca="false">IF(Quantiles!D54&lt;0,"",(Depth0-MIN(Depth0,Quantiles!D54))/Depth_per_q)</f>
        <v>1.70735301364834</v>
      </c>
      <c r="E54" s="20" t="n">
        <f aca="false">IF(Quantiles!E54&lt;0,"",(Depth0-MIN(Depth0,Quantiles!E54))/Depth_per_q)</f>
        <v>1.57047168273062</v>
      </c>
      <c r="F54" s="20" t="n">
        <f aca="false">IF(Quantiles!F54&lt;0,"",(Depth0-MIN(Depth0,Quantiles!F54))/Depth_per_q)</f>
        <v>1.4440966345377</v>
      </c>
      <c r="G54" s="20" t="n">
        <f aca="false">IF(Quantiles!G54&lt;0,"",(Depth0-MIN(Depth0,Quantiles!G54))/Depth_per_q)</f>
        <v>1.34201317491395</v>
      </c>
      <c r="H54" s="20" t="n">
        <f aca="false">IF(Quantiles!H54&lt;0,"",(Depth0-MIN(Depth0,Quantiles!H54))/Depth_per_q)</f>
        <v>1.24613586979997</v>
      </c>
      <c r="I54" s="20" t="n">
        <f aca="false">IF(Quantiles!I54&lt;0,"",(Depth0-MIN(Depth0,Quantiles!I54))/Depth_per_q)</f>
        <v>1.15545853399071</v>
      </c>
      <c r="J54" s="20" t="n">
        <f aca="false">IF(Quantiles!J54&lt;0,"",(Depth0-MIN(Depth0,Quantiles!J54))/Depth_per_q)</f>
        <v>1.0796384678463</v>
      </c>
      <c r="K54" s="20" t="n">
        <f aca="false">IF(Quantiles!K54&lt;0,"",(Depth0-MIN(Depth0,Quantiles!K54))/Depth_per_q)</f>
        <v>0.998972308972777</v>
      </c>
      <c r="L54" s="20" t="n">
        <f aca="false">IF(Quantiles!L54&lt;0,"",(Depth0-MIN(Depth0,Quantiles!L54))/Depth_per_q)</f>
        <v>0.925464175103105</v>
      </c>
      <c r="M54" s="20" t="n">
        <f aca="false">IF(Quantiles!M54&lt;0,"",(Depth0-MIN(Depth0,Quantiles!M54))/Depth_per_q)</f>
        <v>0.863179638799245</v>
      </c>
      <c r="N54" s="20" t="n">
        <f aca="false">IF(Quantiles!N54&lt;0,"",(Depth0-MIN(Depth0,Quantiles!N54))/Depth_per_q)</f>
        <v>0.798115046142552</v>
      </c>
      <c r="O54" s="20" t="n">
        <f aca="false">IF(Quantiles!O54&lt;0,"",(Depth0-MIN(Depth0,Quantiles!O54))/Depth_per_q)</f>
        <v>0.734547981596602</v>
      </c>
      <c r="P54" s="20" t="n">
        <f aca="false">IF(Quantiles!P54&lt;0,"",(Depth0-MIN(Depth0,Quantiles!P54))/Depth_per_q)</f>
        <v>0.675961084122397</v>
      </c>
      <c r="Q54" s="20" t="n">
        <f aca="false">IF(Quantiles!Q54&lt;0,"",(Depth0-MIN(Depth0,Quantiles!Q54))/Depth_per_q)</f>
        <v>0.620101793529337</v>
      </c>
      <c r="R54" s="20" t="n">
        <f aca="false">IF(Quantiles!R54&lt;0,"",(Depth0-MIN(Depth0,Quantiles!R54))/Depth_per_q)</f>
        <v>0.568170841346325</v>
      </c>
      <c r="S54" s="20" t="n">
        <f aca="false">IF(Quantiles!S54&lt;0,"",(Depth0-MIN(Depth0,Quantiles!S54))/Depth_per_q)</f>
        <v>0.516172670837483</v>
      </c>
      <c r="T54" s="20" t="n">
        <f aca="false">IF(Quantiles!T54&lt;0,"",(Depth0-MIN(Depth0,Quantiles!T54))/Depth_per_q)</f>
        <v>0.46850167604724</v>
      </c>
      <c r="U54" s="20" t="n">
        <f aca="false">IF(Quantiles!U54&lt;0,"",(Depth0-MIN(Depth0,Quantiles!U54))/Depth_per_q)</f>
        <v>0.425984734495875</v>
      </c>
      <c r="V54" s="20" t="n">
        <f aca="false">IF(Quantiles!V54&lt;0,"",(Depth0-MIN(Depth0,Quantiles!V54))/Depth_per_q)</f>
        <v>0.381787804813913</v>
      </c>
      <c r="W54" s="20" t="n">
        <f aca="false">IF(Quantiles!W54&lt;0,"",(Depth0-MIN(Depth0,Quantiles!W54))/Depth_per_q)</f>
        <v>0.336431225573662</v>
      </c>
      <c r="X54" s="20" t="n">
        <f aca="false">IF(Quantiles!X54&lt;0,"",(Depth0-MIN(Depth0,Quantiles!X54))/Depth_per_q)</f>
        <v>0.292759794610635</v>
      </c>
      <c r="Y54" s="20" t="n">
        <f aca="false">IF(Quantiles!Y54&lt;0,"",(Depth0-MIN(Depth0,Quantiles!Y54))/Depth_per_q)</f>
        <v>0.252510104298835</v>
      </c>
      <c r="Z54" s="20" t="n">
        <f aca="false">IF(Quantiles!Z54&lt;0,"",(Depth0-MIN(Depth0,Quantiles!Z54))/Depth_per_q)</f>
        <v>0.214326041605197</v>
      </c>
      <c r="AA54" s="20" t="n">
        <f aca="false">IF(Quantiles!AA54&lt;0,"",(Depth0-MIN(Depth0,Quantiles!AA54))/Depth_per_q)</f>
        <v>0.176338387221742</v>
      </c>
      <c r="AB54" s="20" t="n">
        <f aca="false">IF(Quantiles!AB54&lt;0,"",(Depth0-MIN(Depth0,Quantiles!AB54))/Depth_per_q)</f>
        <v>0.137362592001085</v>
      </c>
      <c r="AC54" s="20" t="n">
        <f aca="false">IF(Quantiles!AC54&lt;0,"",(Depth0-MIN(Depth0,Quantiles!AC54))/Depth_per_q)</f>
        <v>0.0996680105932475</v>
      </c>
      <c r="AD54" s="20" t="n">
        <f aca="false">IF(Quantiles!AD54&lt;0,"",(Depth0-MIN(Depth0,Quantiles!AD54))/Depth_per_q)</f>
        <v>0.0651875895334779</v>
      </c>
      <c r="AE54" s="20" t="n">
        <f aca="false">IF(Quantiles!AE54&lt;0,"",(Depth0-MIN(Depth0,Quantiles!AE54))/Depth_per_q)</f>
        <v>0.0281086925573923</v>
      </c>
      <c r="AF54" s="20" t="n">
        <f aca="false">IF(Quantiles!AF54&lt;0,"",(Depth0-MIN(Depth0,Quantiles!AF54))/Depth_per_q)</f>
        <v>0</v>
      </c>
      <c r="AG54" s="20" t="n">
        <f aca="false">IF(Quantiles!AG54&lt;0,"",(Depth0-MIN(Depth0,Quantiles!AG54))/Depth_per_q)</f>
        <v>0</v>
      </c>
      <c r="AH54" s="20" t="n">
        <f aca="false">IF(Quantiles!AH54&lt;0,"",(Depth0-MIN(Depth0,Quantiles!AH54))/Depth_per_q)</f>
        <v>0</v>
      </c>
      <c r="AI54" s="20" t="n">
        <f aca="false">IF(Quantiles!AI54&lt;0,"",(Depth0-MIN(Depth0,Quantiles!AI54))/Depth_per_q)</f>
        <v>0</v>
      </c>
      <c r="AJ54" s="20" t="n">
        <f aca="false">IF(Quantiles!AJ54&lt;0,"",(Depth0-MIN(Depth0,Quantiles!AJ54))/Depth_per_q)</f>
        <v>0</v>
      </c>
      <c r="AK54" s="20" t="n">
        <f aca="false">IF(Quantiles!AK54&lt;0,"",(Depth0-MIN(Depth0,Quantiles!AK54))/Depth_per_q)</f>
        <v>0</v>
      </c>
      <c r="AL54" s="20" t="n">
        <f aca="false">IF(Quantiles!AL54&lt;0,"",(Depth0-MIN(Depth0,Quantiles!AL54))/Depth_per_q)</f>
        <v>0</v>
      </c>
      <c r="AM54" s="20" t="n">
        <f aca="false">IF(Quantiles!AM54&lt;0,"",(Depth0-MIN(Depth0,Quantiles!AM54))/Depth_per_q)</f>
        <v>0</v>
      </c>
      <c r="AN54" s="20" t="n">
        <f aca="false">IF(Quantiles!AN54&lt;0,"",(Depth0-MIN(Depth0,Quantiles!AN54))/Depth_per_q)</f>
        <v>0</v>
      </c>
      <c r="AO54" s="20" t="n">
        <f aca="false">IF(Quantiles!AO54&lt;0,"",(Depth0-MIN(Depth0,Quantiles!AO54))/Depth_per_q)</f>
        <v>0</v>
      </c>
      <c r="AP54" s="20" t="n">
        <f aca="false">IF(Quantiles!AP54&lt;0,"",(Depth0-MIN(Depth0,Quantiles!AP54))/Depth_per_q)</f>
        <v>0</v>
      </c>
      <c r="AQ54" s="20" t="n">
        <f aca="false">IF(Quantiles!AQ54&lt;0,"",(Depth0-MIN(Depth0,Quantiles!AQ54))/Depth_per_q)</f>
        <v>0</v>
      </c>
      <c r="AR54" s="20" t="n">
        <f aca="false">IF(Quantiles!AR54&lt;0,"",(Depth0-MIN(Depth0,Quantiles!AR54))/Depth_per_q)</f>
        <v>0</v>
      </c>
      <c r="AS54" s="20" t="n">
        <f aca="false">IF(Quantiles!AS54&lt;0,"",(Depth0-MIN(Depth0,Quantiles!AS54))/Depth_per_q)</f>
        <v>0</v>
      </c>
      <c r="AT54" s="20" t="n">
        <f aca="false">IF(Quantiles!AT54&lt;0,"",(Depth0-MIN(Depth0,Quantiles!AT54))/Depth_per_q)</f>
        <v>0</v>
      </c>
      <c r="AU54" s="20" t="n">
        <f aca="false">IF(Quantiles!AU54&lt;0,"",(Depth0-MIN(Depth0,Quantiles!AU54))/Depth_per_q)</f>
        <v>0</v>
      </c>
      <c r="AV54" s="20" t="n">
        <f aca="false">IF(Quantiles!AV54&lt;0,"",(Depth0-MIN(Depth0,Quantiles!AV54))/Depth_per_q)</f>
        <v>0</v>
      </c>
      <c r="AW54" s="20" t="n">
        <f aca="false">IF(Quantiles!AW54&lt;0,"",(Depth0-MIN(Depth0,Quantiles!AW54))/Depth_per_q)</f>
        <v>0</v>
      </c>
      <c r="AX54" s="20" t="n">
        <f aca="false">IF(Quantiles!AX54&lt;0,"",(Depth0-MIN(Depth0,Quantiles!AX54))/Depth_per_q)</f>
        <v>0</v>
      </c>
      <c r="AY54" s="20" t="n">
        <f aca="false">IF(Quantiles!AY54&lt;0,"",(Depth0-MIN(Depth0,Quantiles!AY54))/Depth_per_q)</f>
        <v>0</v>
      </c>
      <c r="AZ54" s="20" t="n">
        <f aca="false">IF(Quantiles!AZ54&lt;0,"",(Depth0-MIN(Depth0,Quantiles!AZ54))/Depth_per_q)</f>
        <v>0</v>
      </c>
      <c r="BA54" s="20" t="n">
        <f aca="false">IF(Quantiles!BA54&lt;0,"",(Depth0-MIN(Depth0,Quantiles!BA54))/Depth_per_q)</f>
        <v>0</v>
      </c>
      <c r="BB54" s="20" t="n">
        <f aca="false">IF(Quantiles!BB54&lt;0,"",(Depth0-MIN(Depth0,Quantiles!BB54))/Depth_per_q)</f>
        <v>0</v>
      </c>
      <c r="BC54" s="20" t="n">
        <f aca="false">IF(Quantiles!BC54&lt;0,"",(Depth0-MIN(Depth0,Quantiles!BC54))/Depth_per_q)</f>
        <v>0</v>
      </c>
      <c r="BD54" s="20" t="n">
        <f aca="false">IF(Quantiles!BD54&lt;0,"",(Depth0-MIN(Depth0,Quantiles!BD54))/Depth_per_q)</f>
        <v>0</v>
      </c>
      <c r="BE54" s="20" t="n">
        <f aca="false">IF(Quantiles!BE54&lt;0,"",(Depth0-MIN(Depth0,Quantiles!BE54))/Depth_per_q)</f>
        <v>0</v>
      </c>
      <c r="BF54" s="20" t="n">
        <f aca="false">IF(Quantiles!BF54&lt;0,"",(Depth0-MIN(Depth0,Quantiles!BF54))/Depth_per_q)</f>
        <v>0</v>
      </c>
      <c r="BG54" s="20" t="n">
        <f aca="false">IF(Quantiles!BG54&lt;0,"",(Depth0-MIN(Depth0,Quantiles!BG54))/Depth_per_q)</f>
        <v>0</v>
      </c>
      <c r="BH54" s="20" t="n">
        <f aca="false">IF(Quantiles!BH54&lt;0,"",(Depth0-MIN(Depth0,Quantiles!BH54))/Depth_per_q)</f>
        <v>0</v>
      </c>
      <c r="BI54" s="20" t="n">
        <f aca="false">IF(Quantiles!BI54&lt;0,"",(Depth0-MIN(Depth0,Quantiles!BI54))/Depth_per_q)</f>
        <v>0</v>
      </c>
      <c r="BJ54" s="20" t="n">
        <f aca="false">IF(Quantiles!BJ54&lt;0,"",(Depth0-MIN(Depth0,Quantiles!BJ54))/Depth_per_q)</f>
        <v>0</v>
      </c>
      <c r="BK54" s="20" t="n">
        <f aca="false">IF(Quantiles!BK54&lt;0,"",(Depth0-MIN(Depth0,Quantiles!BK54))/Depth_per_q)</f>
        <v>0</v>
      </c>
      <c r="BL54" s="20" t="n">
        <f aca="false">IF(Quantiles!BL54&lt;0,"",(Depth0-MIN(Depth0,Quantiles!BL54))/Depth_per_q)</f>
        <v>0</v>
      </c>
      <c r="BM54" s="20" t="n">
        <f aca="false">IF(Quantiles!BM54&lt;0,"",(Depth0-MIN(Depth0,Quantiles!BM54))/Depth_per_q)</f>
        <v>0</v>
      </c>
      <c r="BN54" s="20" t="n">
        <f aca="false">IF(Quantiles!BN54&lt;0,"",(Depth0-MIN(Depth0,Quantiles!BN54))/Depth_per_q)</f>
        <v>0</v>
      </c>
      <c r="BO54" s="20" t="n">
        <f aca="false">IF(Quantiles!BO54&lt;0,"",(Depth0-MIN(Depth0,Quantiles!BO54))/Depth_per_q)</f>
        <v>0</v>
      </c>
      <c r="BP54" s="20" t="n">
        <f aca="false">IF(Quantiles!BP54&lt;0,"",(Depth0-MIN(Depth0,Quantiles!BP54))/Depth_per_q)</f>
        <v>0</v>
      </c>
      <c r="BQ54" s="20" t="n">
        <f aca="false">IF(Quantiles!BQ54&lt;0,"",(Depth0-MIN(Depth0,Quantiles!BQ54))/Depth_per_q)</f>
        <v>0</v>
      </c>
      <c r="BR54" s="20" t="n">
        <f aca="false">IF(Quantiles!BR54&lt;0,"",(Depth0-MIN(Depth0,Quantiles!BR54))/Depth_per_q)</f>
        <v>0</v>
      </c>
      <c r="BS54" s="20" t="n">
        <f aca="false">IF(Quantiles!BS54&lt;0,"",(Depth0-MIN(Depth0,Quantiles!BS54))/Depth_per_q)</f>
        <v>0</v>
      </c>
      <c r="BT54" s="20" t="n">
        <f aca="false">IF(Quantiles!BT54&lt;0,"",(Depth0-MIN(Depth0,Quantiles!BT54))/Depth_per_q)</f>
        <v>0</v>
      </c>
      <c r="BU54" s="20" t="n">
        <f aca="false">IF(Quantiles!BU54&lt;0,"",(Depth0-MIN(Depth0,Quantiles!BU54))/Depth_per_q)</f>
        <v>0</v>
      </c>
      <c r="BV54" s="20" t="n">
        <f aca="false">IF(Quantiles!BV54&lt;0,"",(Depth0-MIN(Depth0,Quantiles!BV54))/Depth_per_q)</f>
        <v>0</v>
      </c>
      <c r="BW54" s="20" t="n">
        <f aca="false">IF(Quantiles!BW54&lt;0,"",(Depth0-MIN(Depth0,Quantiles!BW54))/Depth_per_q)</f>
        <v>0</v>
      </c>
      <c r="BX54" s="20" t="n">
        <f aca="false">IF(Quantiles!BX54&lt;0,"",(Depth0-MIN(Depth0,Quantiles!BX54))/Depth_per_q)</f>
        <v>0</v>
      </c>
      <c r="BY54" s="20" t="n">
        <f aca="false">IF(Quantiles!BY54&lt;0,"",(Depth0-MIN(Depth0,Quantiles!BY54))/Depth_per_q)</f>
        <v>0</v>
      </c>
      <c r="BZ54" s="20" t="n">
        <f aca="false">IF(Quantiles!BZ54&lt;0,"",(Depth0-MIN(Depth0,Quantiles!BZ54))/Depth_per_q)</f>
        <v>0</v>
      </c>
      <c r="CA54" s="20" t="n">
        <f aca="false">IF(Quantiles!CA54&lt;0,"",(Depth0-MIN(Depth0,Quantiles!CA54))/Depth_per_q)</f>
        <v>0</v>
      </c>
      <c r="CB54" s="20" t="n">
        <f aca="false">IF(Quantiles!CB54&lt;0,"",(Depth0-MIN(Depth0,Quantiles!CB54))/Depth_per_q)</f>
        <v>0</v>
      </c>
      <c r="CC54" s="20" t="n">
        <f aca="false">IF(Quantiles!CC54&lt;0,"",(Depth0-MIN(Depth0,Quantiles!CC54))/Depth_per_q)</f>
        <v>0</v>
      </c>
      <c r="CD54" s="20" t="n">
        <f aca="false">IF(Quantiles!CD54&lt;0,"",(Depth0-MIN(Depth0,Quantiles!CD54))/Depth_per_q)</f>
        <v>0</v>
      </c>
      <c r="CE54" s="20" t="n">
        <f aca="false">IF(Quantiles!CE54&lt;0,"",(Depth0-MIN(Depth0,Quantiles!CE54))/Depth_per_q)</f>
        <v>0</v>
      </c>
      <c r="CF54" s="20" t="n">
        <f aca="false">IF(Quantiles!CF54&lt;0,"",(Depth0-MIN(Depth0,Quantiles!CF54))/Depth_per_q)</f>
        <v>0</v>
      </c>
      <c r="CG54" s="20" t="n">
        <f aca="false">IF(Quantiles!CG54&lt;0,"",(Depth0-MIN(Depth0,Quantiles!CG54))/Depth_per_q)</f>
        <v>0</v>
      </c>
      <c r="CH54" s="20" t="n">
        <f aca="false">IF(Quantiles!CH54&lt;0,"",(Depth0-MIN(Depth0,Quantiles!CH54))/Depth_per_q)</f>
        <v>0</v>
      </c>
      <c r="CI54" s="20" t="n">
        <f aca="false">IF(Quantiles!CI54&lt;0,"",(Depth0-MIN(Depth0,Quantiles!CI54))/Depth_per_q)</f>
        <v>0</v>
      </c>
      <c r="CJ54" s="20" t="n">
        <f aca="false">IF(Quantiles!CJ54&lt;0,"",(Depth0-MIN(Depth0,Quantiles!CJ54))/Depth_per_q)</f>
        <v>0</v>
      </c>
      <c r="CK54" s="20" t="n">
        <f aca="false">IF(Quantiles!CK54&lt;0,"",(Depth0-MIN(Depth0,Quantiles!CK54))/Depth_per_q)</f>
        <v>0</v>
      </c>
      <c r="CL54" s="20" t="n">
        <f aca="false">IF(Quantiles!CL54&lt;0,"",(Depth0-MIN(Depth0,Quantiles!CL54))/Depth_per_q)</f>
        <v>0</v>
      </c>
      <c r="CM54" s="20" t="n">
        <f aca="false">IF(Quantiles!CM54&lt;0,"",(Depth0-MIN(Depth0,Quantiles!CM54))/Depth_per_q)</f>
        <v>0</v>
      </c>
      <c r="CN54" s="20" t="n">
        <f aca="false">IF(Quantiles!CN54&lt;0,"",(Depth0-MIN(Depth0,Quantiles!CN54))/Depth_per_q)</f>
        <v>0</v>
      </c>
      <c r="CO54" s="20" t="n">
        <f aca="false">IF(Quantiles!CO54&lt;0,"",(Depth0-MIN(Depth0,Quantiles!CO54))/Depth_per_q)</f>
        <v>0</v>
      </c>
      <c r="CP54" s="20" t="n">
        <f aca="false">IF(Quantiles!CP54&lt;0,"",(Depth0-MIN(Depth0,Quantiles!CP54))/Depth_per_q)</f>
        <v>0</v>
      </c>
      <c r="CQ54" s="20" t="n">
        <f aca="false">IF(Quantiles!CQ54&lt;0,"",(Depth0-MIN(Depth0,Quantiles!CQ54))/Depth_per_q)</f>
        <v>0</v>
      </c>
      <c r="CR54" s="20" t="n">
        <f aca="false">IF(Quantiles!CR54&lt;0,"",(Depth0-MIN(Depth0,Quantiles!CR54))/Depth_per_q)</f>
        <v>0</v>
      </c>
      <c r="CS54" s="20" t="n">
        <f aca="false">IF(Quantiles!CS54&lt;0,"",(Depth0-MIN(Depth0,Quantiles!CS54))/Depth_per_q)</f>
        <v>0</v>
      </c>
      <c r="CT54" s="20" t="n">
        <f aca="false">IF(Quantiles!CT54&lt;0,"",(Depth0-MIN(Depth0,Quantiles!CT54))/Depth_per_q)</f>
        <v>1.07929206961933</v>
      </c>
    </row>
    <row r="55" customFormat="false" ht="15" hidden="false" customHeight="false" outlineLevel="0" collapsed="false">
      <c r="A55" s="25" t="n">
        <f aca="false">Quantiles!A55</f>
        <v>250</v>
      </c>
      <c r="B55" s="20" t="n">
        <f aca="false">IF(Quantiles!B55&lt;0,"",(Depth0-MIN(Depth0,Quantiles!B55))/Depth_per_q)</f>
        <v>2.06723230981703</v>
      </c>
      <c r="C55" s="20" t="n">
        <f aca="false">IF(Quantiles!C55&lt;0,"",(Depth0-MIN(Depth0,Quantiles!C55))/Depth_per_q)</f>
        <v>1.87022115553726</v>
      </c>
      <c r="D55" s="20" t="n">
        <f aca="false">IF(Quantiles!D55&lt;0,"",(Depth0-MIN(Depth0,Quantiles!D55))/Depth_per_q)</f>
        <v>1.7045743024106</v>
      </c>
      <c r="E55" s="20" t="n">
        <f aca="false">IF(Quantiles!E55&lt;0,"",(Depth0-MIN(Depth0,Quantiles!E55))/Depth_per_q)</f>
        <v>1.56788899074545</v>
      </c>
      <c r="F55" s="20" t="n">
        <f aca="false">IF(Quantiles!F55&lt;0,"",(Depth0-MIN(Depth0,Quantiles!F55))/Depth_per_q)</f>
        <v>1.44237495408</v>
      </c>
      <c r="G55" s="20" t="n">
        <f aca="false">IF(Quantiles!G55&lt;0,"",(Depth0-MIN(Depth0,Quantiles!G55))/Depth_per_q)</f>
        <v>1.34046001663054</v>
      </c>
      <c r="H55" s="20" t="n">
        <f aca="false">IF(Quantiles!H55&lt;0,"",(Depth0-MIN(Depth0,Quantiles!H55))/Depth_per_q)</f>
        <v>1.24441604431436</v>
      </c>
      <c r="I55" s="20" t="n">
        <f aca="false">IF(Quantiles!I55&lt;0,"",(Depth0-MIN(Depth0,Quantiles!I55))/Depth_per_q)</f>
        <v>1.15445134802117</v>
      </c>
      <c r="J55" s="20" t="n">
        <f aca="false">IF(Quantiles!J55&lt;0,"",(Depth0-MIN(Depth0,Quantiles!J55))/Depth_per_q)</f>
        <v>1.07865802280393</v>
      </c>
      <c r="K55" s="20" t="n">
        <f aca="false">IF(Quantiles!K55&lt;0,"",(Depth0-MIN(Depth0,Quantiles!K55))/Depth_per_q)</f>
        <v>0.997960286652195</v>
      </c>
      <c r="L55" s="20" t="n">
        <f aca="false">IF(Quantiles!L55&lt;0,"",(Depth0-MIN(Depth0,Quantiles!L55))/Depth_per_q)</f>
        <v>0.922897712446275</v>
      </c>
      <c r="M55" s="20" t="n">
        <f aca="false">IF(Quantiles!M55&lt;0,"",(Depth0-MIN(Depth0,Quantiles!M55))/Depth_per_q)</f>
        <v>0.859611991220783</v>
      </c>
      <c r="N55" s="20" t="n">
        <f aca="false">IF(Quantiles!N55&lt;0,"",(Depth0-MIN(Depth0,Quantiles!N55))/Depth_per_q)</f>
        <v>0.79713786786224</v>
      </c>
      <c r="O55" s="20" t="n">
        <f aca="false">IF(Quantiles!O55&lt;0,"",(Depth0-MIN(Depth0,Quantiles!O55))/Depth_per_q)</f>
        <v>0.731004758568088</v>
      </c>
      <c r="P55" s="20" t="n">
        <f aca="false">IF(Quantiles!P55&lt;0,"",(Depth0-MIN(Depth0,Quantiles!P55))/Depth_per_q)</f>
        <v>0.673851140495017</v>
      </c>
      <c r="Q55" s="20" t="n">
        <f aca="false">IF(Quantiles!Q55&lt;0,"",(Depth0-MIN(Depth0,Quantiles!Q55))/Depth_per_q)</f>
        <v>0.617372351692965</v>
      </c>
      <c r="R55" s="20" t="n">
        <f aca="false">IF(Quantiles!R55&lt;0,"",(Depth0-MIN(Depth0,Quantiles!R55))/Depth_per_q)</f>
        <v>0.566758590696725</v>
      </c>
      <c r="S55" s="20" t="n">
        <f aca="false">IF(Quantiles!S55&lt;0,"",(Depth0-MIN(Depth0,Quantiles!S55))/Depth_per_q)</f>
        <v>0.513934128445452</v>
      </c>
      <c r="T55" s="20" t="n">
        <f aca="false">IF(Quantiles!T55&lt;0,"",(Depth0-MIN(Depth0,Quantiles!T55))/Depth_per_q)</f>
        <v>0.46811862527365</v>
      </c>
      <c r="U55" s="20" t="n">
        <f aca="false">IF(Quantiles!U55&lt;0,"",(Depth0-MIN(Depth0,Quantiles!U55))/Depth_per_q)</f>
        <v>0.42476000339509</v>
      </c>
      <c r="V55" s="20" t="n">
        <f aca="false">IF(Quantiles!V55&lt;0,"",(Depth0-MIN(Depth0,Quantiles!V55))/Depth_per_q)</f>
        <v>0.380873708943805</v>
      </c>
      <c r="W55" s="20" t="n">
        <f aca="false">IF(Quantiles!W55&lt;0,"",(Depth0-MIN(Depth0,Quantiles!W55))/Depth_per_q)</f>
        <v>0.334263047786762</v>
      </c>
      <c r="X55" s="20" t="n">
        <f aca="false">IF(Quantiles!X55&lt;0,"",(Depth0-MIN(Depth0,Quantiles!X55))/Depth_per_q)</f>
        <v>0.290337922341163</v>
      </c>
      <c r="Y55" s="20" t="n">
        <f aca="false">IF(Quantiles!Y55&lt;0,"",(Depth0-MIN(Depth0,Quantiles!Y55))/Depth_per_q)</f>
        <v>0.250737084939647</v>
      </c>
      <c r="Z55" s="20" t="n">
        <f aca="false">IF(Quantiles!Z55&lt;0,"",(Depth0-MIN(Depth0,Quantiles!Z55))/Depth_per_q)</f>
        <v>0.213187626480275</v>
      </c>
      <c r="AA55" s="20" t="n">
        <f aca="false">IF(Quantiles!AA55&lt;0,"",(Depth0-MIN(Depth0,Quantiles!AA55))/Depth_per_q)</f>
        <v>0.175494801041205</v>
      </c>
      <c r="AB55" s="20" t="n">
        <f aca="false">IF(Quantiles!AB55&lt;0,"",(Depth0-MIN(Depth0,Quantiles!AB55))/Depth_per_q)</f>
        <v>0.136301841023165</v>
      </c>
      <c r="AC55" s="20" t="n">
        <f aca="false">IF(Quantiles!AC55&lt;0,"",(Depth0-MIN(Depth0,Quantiles!AC55))/Depth_per_q)</f>
        <v>0.0989628268258453</v>
      </c>
      <c r="AD55" s="20" t="n">
        <f aca="false">IF(Quantiles!AD55&lt;0,"",(Depth0-MIN(Depth0,Quantiles!AD55))/Depth_per_q)</f>
        <v>0.0641250363651826</v>
      </c>
      <c r="AE55" s="20" t="n">
        <f aca="false">IF(Quantiles!AE55&lt;0,"",(Depth0-MIN(Depth0,Quantiles!AE55))/Depth_per_q)</f>
        <v>0.0274547355860602</v>
      </c>
      <c r="AF55" s="20" t="n">
        <f aca="false">IF(Quantiles!AF55&lt;0,"",(Depth0-MIN(Depth0,Quantiles!AF55))/Depth_per_q)</f>
        <v>0</v>
      </c>
      <c r="AG55" s="20" t="n">
        <f aca="false">IF(Quantiles!AG55&lt;0,"",(Depth0-MIN(Depth0,Quantiles!AG55))/Depth_per_q)</f>
        <v>0</v>
      </c>
      <c r="AH55" s="20" t="n">
        <f aca="false">IF(Quantiles!AH55&lt;0,"",(Depth0-MIN(Depth0,Quantiles!AH55))/Depth_per_q)</f>
        <v>0</v>
      </c>
      <c r="AI55" s="20" t="n">
        <f aca="false">IF(Quantiles!AI55&lt;0,"",(Depth0-MIN(Depth0,Quantiles!AI55))/Depth_per_q)</f>
        <v>0</v>
      </c>
      <c r="AJ55" s="20" t="n">
        <f aca="false">IF(Quantiles!AJ55&lt;0,"",(Depth0-MIN(Depth0,Quantiles!AJ55))/Depth_per_q)</f>
        <v>0</v>
      </c>
      <c r="AK55" s="20" t="n">
        <f aca="false">IF(Quantiles!AK55&lt;0,"",(Depth0-MIN(Depth0,Quantiles!AK55))/Depth_per_q)</f>
        <v>0</v>
      </c>
      <c r="AL55" s="20" t="n">
        <f aca="false">IF(Quantiles!AL55&lt;0,"",(Depth0-MIN(Depth0,Quantiles!AL55))/Depth_per_q)</f>
        <v>0</v>
      </c>
      <c r="AM55" s="20" t="n">
        <f aca="false">IF(Quantiles!AM55&lt;0,"",(Depth0-MIN(Depth0,Quantiles!AM55))/Depth_per_q)</f>
        <v>0</v>
      </c>
      <c r="AN55" s="20" t="n">
        <f aca="false">IF(Quantiles!AN55&lt;0,"",(Depth0-MIN(Depth0,Quantiles!AN55))/Depth_per_q)</f>
        <v>0</v>
      </c>
      <c r="AO55" s="20" t="n">
        <f aca="false">IF(Quantiles!AO55&lt;0,"",(Depth0-MIN(Depth0,Quantiles!AO55))/Depth_per_q)</f>
        <v>0</v>
      </c>
      <c r="AP55" s="20" t="n">
        <f aca="false">IF(Quantiles!AP55&lt;0,"",(Depth0-MIN(Depth0,Quantiles!AP55))/Depth_per_q)</f>
        <v>0</v>
      </c>
      <c r="AQ55" s="20" t="n">
        <f aca="false">IF(Quantiles!AQ55&lt;0,"",(Depth0-MIN(Depth0,Quantiles!AQ55))/Depth_per_q)</f>
        <v>0</v>
      </c>
      <c r="AR55" s="20" t="n">
        <f aca="false">IF(Quantiles!AR55&lt;0,"",(Depth0-MIN(Depth0,Quantiles!AR55))/Depth_per_q)</f>
        <v>0</v>
      </c>
      <c r="AS55" s="20" t="n">
        <f aca="false">IF(Quantiles!AS55&lt;0,"",(Depth0-MIN(Depth0,Quantiles!AS55))/Depth_per_q)</f>
        <v>0</v>
      </c>
      <c r="AT55" s="20" t="n">
        <f aca="false">IF(Quantiles!AT55&lt;0,"",(Depth0-MIN(Depth0,Quantiles!AT55))/Depth_per_q)</f>
        <v>0</v>
      </c>
      <c r="AU55" s="20" t="n">
        <f aca="false">IF(Quantiles!AU55&lt;0,"",(Depth0-MIN(Depth0,Quantiles!AU55))/Depth_per_q)</f>
        <v>0</v>
      </c>
      <c r="AV55" s="20" t="n">
        <f aca="false">IF(Quantiles!AV55&lt;0,"",(Depth0-MIN(Depth0,Quantiles!AV55))/Depth_per_q)</f>
        <v>0</v>
      </c>
      <c r="AW55" s="20" t="n">
        <f aca="false">IF(Quantiles!AW55&lt;0,"",(Depth0-MIN(Depth0,Quantiles!AW55))/Depth_per_q)</f>
        <v>0</v>
      </c>
      <c r="AX55" s="20" t="n">
        <f aca="false">IF(Quantiles!AX55&lt;0,"",(Depth0-MIN(Depth0,Quantiles!AX55))/Depth_per_q)</f>
        <v>0</v>
      </c>
      <c r="AY55" s="20" t="n">
        <f aca="false">IF(Quantiles!AY55&lt;0,"",(Depth0-MIN(Depth0,Quantiles!AY55))/Depth_per_q)</f>
        <v>0</v>
      </c>
      <c r="AZ55" s="20" t="n">
        <f aca="false">IF(Quantiles!AZ55&lt;0,"",(Depth0-MIN(Depth0,Quantiles!AZ55))/Depth_per_q)</f>
        <v>0</v>
      </c>
      <c r="BA55" s="20" t="n">
        <f aca="false">IF(Quantiles!BA55&lt;0,"",(Depth0-MIN(Depth0,Quantiles!BA55))/Depth_per_q)</f>
        <v>0</v>
      </c>
      <c r="BB55" s="20" t="n">
        <f aca="false">IF(Quantiles!BB55&lt;0,"",(Depth0-MIN(Depth0,Quantiles!BB55))/Depth_per_q)</f>
        <v>0</v>
      </c>
      <c r="BC55" s="20" t="n">
        <f aca="false">IF(Quantiles!BC55&lt;0,"",(Depth0-MIN(Depth0,Quantiles!BC55))/Depth_per_q)</f>
        <v>0</v>
      </c>
      <c r="BD55" s="20" t="n">
        <f aca="false">IF(Quantiles!BD55&lt;0,"",(Depth0-MIN(Depth0,Quantiles!BD55))/Depth_per_q)</f>
        <v>0</v>
      </c>
      <c r="BE55" s="20" t="n">
        <f aca="false">IF(Quantiles!BE55&lt;0,"",(Depth0-MIN(Depth0,Quantiles!BE55))/Depth_per_q)</f>
        <v>0</v>
      </c>
      <c r="BF55" s="20" t="n">
        <f aca="false">IF(Quantiles!BF55&lt;0,"",(Depth0-MIN(Depth0,Quantiles!BF55))/Depth_per_q)</f>
        <v>0</v>
      </c>
      <c r="BG55" s="20" t="n">
        <f aca="false">IF(Quantiles!BG55&lt;0,"",(Depth0-MIN(Depth0,Quantiles!BG55))/Depth_per_q)</f>
        <v>0</v>
      </c>
      <c r="BH55" s="20" t="n">
        <f aca="false">IF(Quantiles!BH55&lt;0,"",(Depth0-MIN(Depth0,Quantiles!BH55))/Depth_per_q)</f>
        <v>0</v>
      </c>
      <c r="BI55" s="20" t="n">
        <f aca="false">IF(Quantiles!BI55&lt;0,"",(Depth0-MIN(Depth0,Quantiles!BI55))/Depth_per_q)</f>
        <v>0</v>
      </c>
      <c r="BJ55" s="20" t="n">
        <f aca="false">IF(Quantiles!BJ55&lt;0,"",(Depth0-MIN(Depth0,Quantiles!BJ55))/Depth_per_q)</f>
        <v>0</v>
      </c>
      <c r="BK55" s="20" t="n">
        <f aca="false">IF(Quantiles!BK55&lt;0,"",(Depth0-MIN(Depth0,Quantiles!BK55))/Depth_per_q)</f>
        <v>0</v>
      </c>
      <c r="BL55" s="20" t="n">
        <f aca="false">IF(Quantiles!BL55&lt;0,"",(Depth0-MIN(Depth0,Quantiles!BL55))/Depth_per_q)</f>
        <v>0</v>
      </c>
      <c r="BM55" s="20" t="n">
        <f aca="false">IF(Quantiles!BM55&lt;0,"",(Depth0-MIN(Depth0,Quantiles!BM55))/Depth_per_q)</f>
        <v>0</v>
      </c>
      <c r="BN55" s="20" t="n">
        <f aca="false">IF(Quantiles!BN55&lt;0,"",(Depth0-MIN(Depth0,Quantiles!BN55))/Depth_per_q)</f>
        <v>0</v>
      </c>
      <c r="BO55" s="20" t="n">
        <f aca="false">IF(Quantiles!BO55&lt;0,"",(Depth0-MIN(Depth0,Quantiles!BO55))/Depth_per_q)</f>
        <v>0</v>
      </c>
      <c r="BP55" s="20" t="n">
        <f aca="false">IF(Quantiles!BP55&lt;0,"",(Depth0-MIN(Depth0,Quantiles!BP55))/Depth_per_q)</f>
        <v>0</v>
      </c>
      <c r="BQ55" s="20" t="n">
        <f aca="false">IF(Quantiles!BQ55&lt;0,"",(Depth0-MIN(Depth0,Quantiles!BQ55))/Depth_per_q)</f>
        <v>0</v>
      </c>
      <c r="BR55" s="20" t="n">
        <f aca="false">IF(Quantiles!BR55&lt;0,"",(Depth0-MIN(Depth0,Quantiles!BR55))/Depth_per_q)</f>
        <v>0</v>
      </c>
      <c r="BS55" s="20" t="n">
        <f aca="false">IF(Quantiles!BS55&lt;0,"",(Depth0-MIN(Depth0,Quantiles!BS55))/Depth_per_q)</f>
        <v>0</v>
      </c>
      <c r="BT55" s="20" t="n">
        <f aca="false">IF(Quantiles!BT55&lt;0,"",(Depth0-MIN(Depth0,Quantiles!BT55))/Depth_per_q)</f>
        <v>0</v>
      </c>
      <c r="BU55" s="20" t="n">
        <f aca="false">IF(Quantiles!BU55&lt;0,"",(Depth0-MIN(Depth0,Quantiles!BU55))/Depth_per_q)</f>
        <v>0</v>
      </c>
      <c r="BV55" s="20" t="n">
        <f aca="false">IF(Quantiles!BV55&lt;0,"",(Depth0-MIN(Depth0,Quantiles!BV55))/Depth_per_q)</f>
        <v>0</v>
      </c>
      <c r="BW55" s="20" t="n">
        <f aca="false">IF(Quantiles!BW55&lt;0,"",(Depth0-MIN(Depth0,Quantiles!BW55))/Depth_per_q)</f>
        <v>0</v>
      </c>
      <c r="BX55" s="20" t="n">
        <f aca="false">IF(Quantiles!BX55&lt;0,"",(Depth0-MIN(Depth0,Quantiles!BX55))/Depth_per_q)</f>
        <v>0</v>
      </c>
      <c r="BY55" s="20" t="n">
        <f aca="false">IF(Quantiles!BY55&lt;0,"",(Depth0-MIN(Depth0,Quantiles!BY55))/Depth_per_q)</f>
        <v>0</v>
      </c>
      <c r="BZ55" s="20" t="n">
        <f aca="false">IF(Quantiles!BZ55&lt;0,"",(Depth0-MIN(Depth0,Quantiles!BZ55))/Depth_per_q)</f>
        <v>0</v>
      </c>
      <c r="CA55" s="20" t="n">
        <f aca="false">IF(Quantiles!CA55&lt;0,"",(Depth0-MIN(Depth0,Quantiles!CA55))/Depth_per_q)</f>
        <v>0</v>
      </c>
      <c r="CB55" s="20" t="n">
        <f aca="false">IF(Quantiles!CB55&lt;0,"",(Depth0-MIN(Depth0,Quantiles!CB55))/Depth_per_q)</f>
        <v>0</v>
      </c>
      <c r="CC55" s="20" t="n">
        <f aca="false">IF(Quantiles!CC55&lt;0,"",(Depth0-MIN(Depth0,Quantiles!CC55))/Depth_per_q)</f>
        <v>0</v>
      </c>
      <c r="CD55" s="20" t="n">
        <f aca="false">IF(Quantiles!CD55&lt;0,"",(Depth0-MIN(Depth0,Quantiles!CD55))/Depth_per_q)</f>
        <v>0</v>
      </c>
      <c r="CE55" s="20" t="n">
        <f aca="false">IF(Quantiles!CE55&lt;0,"",(Depth0-MIN(Depth0,Quantiles!CE55))/Depth_per_q)</f>
        <v>0</v>
      </c>
      <c r="CF55" s="20" t="n">
        <f aca="false">IF(Quantiles!CF55&lt;0,"",(Depth0-MIN(Depth0,Quantiles!CF55))/Depth_per_q)</f>
        <v>0</v>
      </c>
      <c r="CG55" s="20" t="n">
        <f aca="false">IF(Quantiles!CG55&lt;0,"",(Depth0-MIN(Depth0,Quantiles!CG55))/Depth_per_q)</f>
        <v>0</v>
      </c>
      <c r="CH55" s="20" t="n">
        <f aca="false">IF(Quantiles!CH55&lt;0,"",(Depth0-MIN(Depth0,Quantiles!CH55))/Depth_per_q)</f>
        <v>0</v>
      </c>
      <c r="CI55" s="20" t="n">
        <f aca="false">IF(Quantiles!CI55&lt;0,"",(Depth0-MIN(Depth0,Quantiles!CI55))/Depth_per_q)</f>
        <v>0</v>
      </c>
      <c r="CJ55" s="20" t="n">
        <f aca="false">IF(Quantiles!CJ55&lt;0,"",(Depth0-MIN(Depth0,Quantiles!CJ55))/Depth_per_q)</f>
        <v>0</v>
      </c>
      <c r="CK55" s="20" t="n">
        <f aca="false">IF(Quantiles!CK55&lt;0,"",(Depth0-MIN(Depth0,Quantiles!CK55))/Depth_per_q)</f>
        <v>0</v>
      </c>
      <c r="CL55" s="20" t="n">
        <f aca="false">IF(Quantiles!CL55&lt;0,"",(Depth0-MIN(Depth0,Quantiles!CL55))/Depth_per_q)</f>
        <v>0</v>
      </c>
      <c r="CM55" s="20" t="n">
        <f aca="false">IF(Quantiles!CM55&lt;0,"",(Depth0-MIN(Depth0,Quantiles!CM55))/Depth_per_q)</f>
        <v>0</v>
      </c>
      <c r="CN55" s="20" t="n">
        <f aca="false">IF(Quantiles!CN55&lt;0,"",(Depth0-MIN(Depth0,Quantiles!CN55))/Depth_per_q)</f>
        <v>0</v>
      </c>
      <c r="CO55" s="20" t="n">
        <f aca="false">IF(Quantiles!CO55&lt;0,"",(Depth0-MIN(Depth0,Quantiles!CO55))/Depth_per_q)</f>
        <v>0</v>
      </c>
      <c r="CP55" s="20" t="n">
        <f aca="false">IF(Quantiles!CP55&lt;0,"",(Depth0-MIN(Depth0,Quantiles!CP55))/Depth_per_q)</f>
        <v>0</v>
      </c>
      <c r="CQ55" s="20" t="n">
        <f aca="false">IF(Quantiles!CQ55&lt;0,"",(Depth0-MIN(Depth0,Quantiles!CQ55))/Depth_per_q)</f>
        <v>0</v>
      </c>
      <c r="CR55" s="20" t="n">
        <f aca="false">IF(Quantiles!CR55&lt;0,"",(Depth0-MIN(Depth0,Quantiles!CR55))/Depth_per_q)</f>
        <v>0</v>
      </c>
      <c r="CS55" s="20" t="n">
        <f aca="false">IF(Quantiles!CS55&lt;0,"",(Depth0-MIN(Depth0,Quantiles!CS55))/Depth_per_q)</f>
        <v>0</v>
      </c>
      <c r="CT55" s="20" t="n">
        <f aca="false">IF(Quantiles!CT55&lt;0,"",(Depth0-MIN(Depth0,Quantiles!CT55))/Depth_per_q)</f>
        <v>1.07828303443451</v>
      </c>
    </row>
    <row r="56" customFormat="false" ht="15" hidden="false" customHeight="false" outlineLevel="0" collapsed="false">
      <c r="A56" s="25" t="n">
        <f aca="false">Quantiles!A56</f>
        <v>255</v>
      </c>
      <c r="B56" s="20" t="n">
        <f aca="false">IF(Quantiles!B56&lt;0,"",(Depth0-MIN(Depth0,Quantiles!B56))/Depth_per_q)</f>
        <v>2.06577653293621</v>
      </c>
      <c r="C56" s="20" t="n">
        <f aca="false">IF(Quantiles!C56&lt;0,"",(Depth0-MIN(Depth0,Quantiles!C56))/Depth_per_q)</f>
        <v>1.87010740081134</v>
      </c>
      <c r="D56" s="20" t="n">
        <f aca="false">IF(Quantiles!D56&lt;0,"",(Depth0-MIN(Depth0,Quantiles!D56))/Depth_per_q)</f>
        <v>1.70232453065179</v>
      </c>
      <c r="E56" s="20" t="n">
        <f aca="false">IF(Quantiles!E56&lt;0,"",(Depth0-MIN(Depth0,Quantiles!E56))/Depth_per_q)</f>
        <v>1.56391078802906</v>
      </c>
      <c r="F56" s="20" t="n">
        <f aca="false">IF(Quantiles!F56&lt;0,"",(Depth0-MIN(Depth0,Quantiles!F56))/Depth_per_q)</f>
        <v>1.44155779768634</v>
      </c>
      <c r="G56" s="20" t="n">
        <f aca="false">IF(Quantiles!G56&lt;0,"",(Depth0-MIN(Depth0,Quantiles!G56))/Depth_per_q)</f>
        <v>1.33829898337603</v>
      </c>
      <c r="H56" s="20" t="n">
        <f aca="false">IF(Quantiles!H56&lt;0,"",(Depth0-MIN(Depth0,Quantiles!H56))/Depth_per_q)</f>
        <v>1.24244123771339</v>
      </c>
      <c r="I56" s="20" t="n">
        <f aca="false">IF(Quantiles!I56&lt;0,"",(Depth0-MIN(Depth0,Quantiles!I56))/Depth_per_q)</f>
        <v>1.15278804378468</v>
      </c>
      <c r="J56" s="20" t="n">
        <f aca="false">IF(Quantiles!J56&lt;0,"",(Depth0-MIN(Depth0,Quantiles!J56))/Depth_per_q)</f>
        <v>1.07815193923438</v>
      </c>
      <c r="K56" s="20" t="n">
        <f aca="false">IF(Quantiles!K56&lt;0,"",(Depth0-MIN(Depth0,Quantiles!K56))/Depth_per_q)</f>
        <v>0.996650658690245</v>
      </c>
      <c r="L56" s="20" t="n">
        <f aca="false">IF(Quantiles!L56&lt;0,"",(Depth0-MIN(Depth0,Quantiles!L56))/Depth_per_q)</f>
        <v>0.922574028437078</v>
      </c>
      <c r="M56" s="20" t="n">
        <f aca="false">IF(Quantiles!M56&lt;0,"",(Depth0-MIN(Depth0,Quantiles!M56))/Depth_per_q)</f>
        <v>0.857147125938197</v>
      </c>
      <c r="N56" s="20" t="n">
        <f aca="false">IF(Quantiles!N56&lt;0,"",(Depth0-MIN(Depth0,Quantiles!N56))/Depth_per_q)</f>
        <v>0.795789630562958</v>
      </c>
      <c r="O56" s="20" t="n">
        <f aca="false">IF(Quantiles!O56&lt;0,"",(Depth0-MIN(Depth0,Quantiles!O56))/Depth_per_q)</f>
        <v>0.72933822008192</v>
      </c>
      <c r="P56" s="20" t="n">
        <f aca="false">IF(Quantiles!P56&lt;0,"",(Depth0-MIN(Depth0,Quantiles!P56))/Depth_per_q)</f>
        <v>0.66988062142468</v>
      </c>
      <c r="Q56" s="20" t="n">
        <f aca="false">IF(Quantiles!Q56&lt;0,"",(Depth0-MIN(Depth0,Quantiles!Q56))/Depth_per_q)</f>
        <v>0.614741362077233</v>
      </c>
      <c r="R56" s="20" t="n">
        <f aca="false">IF(Quantiles!R56&lt;0,"",(Depth0-MIN(Depth0,Quantiles!R56))/Depth_per_q)</f>
        <v>0.564837682853315</v>
      </c>
      <c r="S56" s="20" t="n">
        <f aca="false">IF(Quantiles!S56&lt;0,"",(Depth0-MIN(Depth0,Quantiles!S56))/Depth_per_q)</f>
        <v>0.51216415821235</v>
      </c>
      <c r="T56" s="20" t="n">
        <f aca="false">IF(Quantiles!T56&lt;0,"",(Depth0-MIN(Depth0,Quantiles!T56))/Depth_per_q)</f>
        <v>0.466201173536475</v>
      </c>
      <c r="U56" s="20" t="n">
        <f aca="false">IF(Quantiles!U56&lt;0,"",(Depth0-MIN(Depth0,Quantiles!U56))/Depth_per_q)</f>
        <v>0.423125508729568</v>
      </c>
      <c r="V56" s="20" t="n">
        <f aca="false">IF(Quantiles!V56&lt;0,"",(Depth0-MIN(Depth0,Quantiles!V56))/Depth_per_q)</f>
        <v>0.377997427078142</v>
      </c>
      <c r="W56" s="20" t="n">
        <f aca="false">IF(Quantiles!W56&lt;0,"",(Depth0-MIN(Depth0,Quantiles!W56))/Depth_per_q)</f>
        <v>0.333496969552143</v>
      </c>
      <c r="X56" s="20" t="n">
        <f aca="false">IF(Quantiles!X56&lt;0,"",(Depth0-MIN(Depth0,Quantiles!X56))/Depth_per_q)</f>
        <v>0.289232095407855</v>
      </c>
      <c r="Y56" s="20" t="n">
        <f aca="false">IF(Quantiles!Y56&lt;0,"",(Depth0-MIN(Depth0,Quantiles!Y56))/Depth_per_q)</f>
        <v>0.250290744773675</v>
      </c>
      <c r="Z56" s="20" t="n">
        <f aca="false">IF(Quantiles!Z56&lt;0,"",(Depth0-MIN(Depth0,Quantiles!Z56))/Depth_per_q)</f>
        <v>0.212793593442798</v>
      </c>
      <c r="AA56" s="20" t="n">
        <f aca="false">IF(Quantiles!AA56&lt;0,"",(Depth0-MIN(Depth0,Quantiles!AA56))/Depth_per_q)</f>
        <v>0.174985536507452</v>
      </c>
      <c r="AB56" s="20" t="n">
        <f aca="false">IF(Quantiles!AB56&lt;0,"",(Depth0-MIN(Depth0,Quantiles!AB56))/Depth_per_q)</f>
        <v>0.135047793532572</v>
      </c>
      <c r="AC56" s="20" t="n">
        <f aca="false">IF(Quantiles!AC56&lt;0,"",(Depth0-MIN(Depth0,Quantiles!AC56))/Depth_per_q)</f>
        <v>0.0982085908592154</v>
      </c>
      <c r="AD56" s="20" t="n">
        <f aca="false">IF(Quantiles!AD56&lt;0,"",(Depth0-MIN(Depth0,Quantiles!AD56))/Depth_per_q)</f>
        <v>0.0632268972493426</v>
      </c>
      <c r="AE56" s="20" t="n">
        <f aca="false">IF(Quantiles!AE56&lt;0,"",(Depth0-MIN(Depth0,Quantiles!AE56))/Depth_per_q)</f>
        <v>0.0265365878536628</v>
      </c>
      <c r="AF56" s="20" t="n">
        <f aca="false">IF(Quantiles!AF56&lt;0,"",(Depth0-MIN(Depth0,Quantiles!AF56))/Depth_per_q)</f>
        <v>0</v>
      </c>
      <c r="AG56" s="20" t="n">
        <f aca="false">IF(Quantiles!AG56&lt;0,"",(Depth0-MIN(Depth0,Quantiles!AG56))/Depth_per_q)</f>
        <v>0</v>
      </c>
      <c r="AH56" s="20" t="n">
        <f aca="false">IF(Quantiles!AH56&lt;0,"",(Depth0-MIN(Depth0,Quantiles!AH56))/Depth_per_q)</f>
        <v>0</v>
      </c>
      <c r="AI56" s="20" t="n">
        <f aca="false">IF(Quantiles!AI56&lt;0,"",(Depth0-MIN(Depth0,Quantiles!AI56))/Depth_per_q)</f>
        <v>0</v>
      </c>
      <c r="AJ56" s="20" t="n">
        <f aca="false">IF(Quantiles!AJ56&lt;0,"",(Depth0-MIN(Depth0,Quantiles!AJ56))/Depth_per_q)</f>
        <v>0</v>
      </c>
      <c r="AK56" s="20" t="n">
        <f aca="false">IF(Quantiles!AK56&lt;0,"",(Depth0-MIN(Depth0,Quantiles!AK56))/Depth_per_q)</f>
        <v>0</v>
      </c>
      <c r="AL56" s="20" t="n">
        <f aca="false">IF(Quantiles!AL56&lt;0,"",(Depth0-MIN(Depth0,Quantiles!AL56))/Depth_per_q)</f>
        <v>0</v>
      </c>
      <c r="AM56" s="20" t="n">
        <f aca="false">IF(Quantiles!AM56&lt;0,"",(Depth0-MIN(Depth0,Quantiles!AM56))/Depth_per_q)</f>
        <v>0</v>
      </c>
      <c r="AN56" s="20" t="n">
        <f aca="false">IF(Quantiles!AN56&lt;0,"",(Depth0-MIN(Depth0,Quantiles!AN56))/Depth_per_q)</f>
        <v>0</v>
      </c>
      <c r="AO56" s="20" t="n">
        <f aca="false">IF(Quantiles!AO56&lt;0,"",(Depth0-MIN(Depth0,Quantiles!AO56))/Depth_per_q)</f>
        <v>0</v>
      </c>
      <c r="AP56" s="20" t="n">
        <f aca="false">IF(Quantiles!AP56&lt;0,"",(Depth0-MIN(Depth0,Quantiles!AP56))/Depth_per_q)</f>
        <v>0</v>
      </c>
      <c r="AQ56" s="20" t="n">
        <f aca="false">IF(Quantiles!AQ56&lt;0,"",(Depth0-MIN(Depth0,Quantiles!AQ56))/Depth_per_q)</f>
        <v>0</v>
      </c>
      <c r="AR56" s="20" t="n">
        <f aca="false">IF(Quantiles!AR56&lt;0,"",(Depth0-MIN(Depth0,Quantiles!AR56))/Depth_per_q)</f>
        <v>0</v>
      </c>
      <c r="AS56" s="20" t="n">
        <f aca="false">IF(Quantiles!AS56&lt;0,"",(Depth0-MIN(Depth0,Quantiles!AS56))/Depth_per_q)</f>
        <v>0</v>
      </c>
      <c r="AT56" s="20" t="n">
        <f aca="false">IF(Quantiles!AT56&lt;0,"",(Depth0-MIN(Depth0,Quantiles!AT56))/Depth_per_q)</f>
        <v>0</v>
      </c>
      <c r="AU56" s="20" t="n">
        <f aca="false">IF(Quantiles!AU56&lt;0,"",(Depth0-MIN(Depth0,Quantiles!AU56))/Depth_per_q)</f>
        <v>0</v>
      </c>
      <c r="AV56" s="20" t="n">
        <f aca="false">IF(Quantiles!AV56&lt;0,"",(Depth0-MIN(Depth0,Quantiles!AV56))/Depth_per_q)</f>
        <v>0</v>
      </c>
      <c r="AW56" s="20" t="n">
        <f aca="false">IF(Quantiles!AW56&lt;0,"",(Depth0-MIN(Depth0,Quantiles!AW56))/Depth_per_q)</f>
        <v>0</v>
      </c>
      <c r="AX56" s="20" t="n">
        <f aca="false">IF(Quantiles!AX56&lt;0,"",(Depth0-MIN(Depth0,Quantiles!AX56))/Depth_per_q)</f>
        <v>0</v>
      </c>
      <c r="AY56" s="20" t="n">
        <f aca="false">IF(Quantiles!AY56&lt;0,"",(Depth0-MIN(Depth0,Quantiles!AY56))/Depth_per_q)</f>
        <v>0</v>
      </c>
      <c r="AZ56" s="20" t="n">
        <f aca="false">IF(Quantiles!AZ56&lt;0,"",(Depth0-MIN(Depth0,Quantiles!AZ56))/Depth_per_q)</f>
        <v>0</v>
      </c>
      <c r="BA56" s="20" t="n">
        <f aca="false">IF(Quantiles!BA56&lt;0,"",(Depth0-MIN(Depth0,Quantiles!BA56))/Depth_per_q)</f>
        <v>0</v>
      </c>
      <c r="BB56" s="20" t="n">
        <f aca="false">IF(Quantiles!BB56&lt;0,"",(Depth0-MIN(Depth0,Quantiles!BB56))/Depth_per_q)</f>
        <v>0</v>
      </c>
      <c r="BC56" s="20" t="n">
        <f aca="false">IF(Quantiles!BC56&lt;0,"",(Depth0-MIN(Depth0,Quantiles!BC56))/Depth_per_q)</f>
        <v>0</v>
      </c>
      <c r="BD56" s="20" t="n">
        <f aca="false">IF(Quantiles!BD56&lt;0,"",(Depth0-MIN(Depth0,Quantiles!BD56))/Depth_per_q)</f>
        <v>0</v>
      </c>
      <c r="BE56" s="20" t="n">
        <f aca="false">IF(Quantiles!BE56&lt;0,"",(Depth0-MIN(Depth0,Quantiles!BE56))/Depth_per_q)</f>
        <v>0</v>
      </c>
      <c r="BF56" s="20" t="n">
        <f aca="false">IF(Quantiles!BF56&lt;0,"",(Depth0-MIN(Depth0,Quantiles!BF56))/Depth_per_q)</f>
        <v>0</v>
      </c>
      <c r="BG56" s="20" t="n">
        <f aca="false">IF(Quantiles!BG56&lt;0,"",(Depth0-MIN(Depth0,Quantiles!BG56))/Depth_per_q)</f>
        <v>0</v>
      </c>
      <c r="BH56" s="20" t="n">
        <f aca="false">IF(Quantiles!BH56&lt;0,"",(Depth0-MIN(Depth0,Quantiles!BH56))/Depth_per_q)</f>
        <v>0</v>
      </c>
      <c r="BI56" s="20" t="n">
        <f aca="false">IF(Quantiles!BI56&lt;0,"",(Depth0-MIN(Depth0,Quantiles!BI56))/Depth_per_q)</f>
        <v>0</v>
      </c>
      <c r="BJ56" s="20" t="n">
        <f aca="false">IF(Quantiles!BJ56&lt;0,"",(Depth0-MIN(Depth0,Quantiles!BJ56))/Depth_per_q)</f>
        <v>0</v>
      </c>
      <c r="BK56" s="20" t="n">
        <f aca="false">IF(Quantiles!BK56&lt;0,"",(Depth0-MIN(Depth0,Quantiles!BK56))/Depth_per_q)</f>
        <v>0</v>
      </c>
      <c r="BL56" s="20" t="n">
        <f aca="false">IF(Quantiles!BL56&lt;0,"",(Depth0-MIN(Depth0,Quantiles!BL56))/Depth_per_q)</f>
        <v>0</v>
      </c>
      <c r="BM56" s="20" t="n">
        <f aca="false">IF(Quantiles!BM56&lt;0,"",(Depth0-MIN(Depth0,Quantiles!BM56))/Depth_per_q)</f>
        <v>0</v>
      </c>
      <c r="BN56" s="20" t="n">
        <f aca="false">IF(Quantiles!BN56&lt;0,"",(Depth0-MIN(Depth0,Quantiles!BN56))/Depth_per_q)</f>
        <v>0</v>
      </c>
      <c r="BO56" s="20" t="n">
        <f aca="false">IF(Quantiles!BO56&lt;0,"",(Depth0-MIN(Depth0,Quantiles!BO56))/Depth_per_q)</f>
        <v>0</v>
      </c>
      <c r="BP56" s="20" t="n">
        <f aca="false">IF(Quantiles!BP56&lt;0,"",(Depth0-MIN(Depth0,Quantiles!BP56))/Depth_per_q)</f>
        <v>0</v>
      </c>
      <c r="BQ56" s="20" t="n">
        <f aca="false">IF(Quantiles!BQ56&lt;0,"",(Depth0-MIN(Depth0,Quantiles!BQ56))/Depth_per_q)</f>
        <v>0</v>
      </c>
      <c r="BR56" s="20" t="n">
        <f aca="false">IF(Quantiles!BR56&lt;0,"",(Depth0-MIN(Depth0,Quantiles!BR56))/Depth_per_q)</f>
        <v>0</v>
      </c>
      <c r="BS56" s="20" t="n">
        <f aca="false">IF(Quantiles!BS56&lt;0,"",(Depth0-MIN(Depth0,Quantiles!BS56))/Depth_per_q)</f>
        <v>0</v>
      </c>
      <c r="BT56" s="20" t="n">
        <f aca="false">IF(Quantiles!BT56&lt;0,"",(Depth0-MIN(Depth0,Quantiles!BT56))/Depth_per_q)</f>
        <v>0</v>
      </c>
      <c r="BU56" s="20" t="n">
        <f aca="false">IF(Quantiles!BU56&lt;0,"",(Depth0-MIN(Depth0,Quantiles!BU56))/Depth_per_q)</f>
        <v>0</v>
      </c>
      <c r="BV56" s="20" t="n">
        <f aca="false">IF(Quantiles!BV56&lt;0,"",(Depth0-MIN(Depth0,Quantiles!BV56))/Depth_per_q)</f>
        <v>0</v>
      </c>
      <c r="BW56" s="20" t="n">
        <f aca="false">IF(Quantiles!BW56&lt;0,"",(Depth0-MIN(Depth0,Quantiles!BW56))/Depth_per_q)</f>
        <v>0</v>
      </c>
      <c r="BX56" s="20" t="n">
        <f aca="false">IF(Quantiles!BX56&lt;0,"",(Depth0-MIN(Depth0,Quantiles!BX56))/Depth_per_q)</f>
        <v>0</v>
      </c>
      <c r="BY56" s="20" t="n">
        <f aca="false">IF(Quantiles!BY56&lt;0,"",(Depth0-MIN(Depth0,Quantiles!BY56))/Depth_per_q)</f>
        <v>0</v>
      </c>
      <c r="BZ56" s="20" t="n">
        <f aca="false">IF(Quantiles!BZ56&lt;0,"",(Depth0-MIN(Depth0,Quantiles!BZ56))/Depth_per_q)</f>
        <v>0</v>
      </c>
      <c r="CA56" s="20" t="n">
        <f aca="false">IF(Quantiles!CA56&lt;0,"",(Depth0-MIN(Depth0,Quantiles!CA56))/Depth_per_q)</f>
        <v>0</v>
      </c>
      <c r="CB56" s="20" t="n">
        <f aca="false">IF(Quantiles!CB56&lt;0,"",(Depth0-MIN(Depth0,Quantiles!CB56))/Depth_per_q)</f>
        <v>0</v>
      </c>
      <c r="CC56" s="20" t="n">
        <f aca="false">IF(Quantiles!CC56&lt;0,"",(Depth0-MIN(Depth0,Quantiles!CC56))/Depth_per_q)</f>
        <v>0</v>
      </c>
      <c r="CD56" s="20" t="n">
        <f aca="false">IF(Quantiles!CD56&lt;0,"",(Depth0-MIN(Depth0,Quantiles!CD56))/Depth_per_q)</f>
        <v>0</v>
      </c>
      <c r="CE56" s="20" t="n">
        <f aca="false">IF(Quantiles!CE56&lt;0,"",(Depth0-MIN(Depth0,Quantiles!CE56))/Depth_per_q)</f>
        <v>0</v>
      </c>
      <c r="CF56" s="20" t="n">
        <f aca="false">IF(Quantiles!CF56&lt;0,"",(Depth0-MIN(Depth0,Quantiles!CF56))/Depth_per_q)</f>
        <v>0</v>
      </c>
      <c r="CG56" s="20" t="n">
        <f aca="false">IF(Quantiles!CG56&lt;0,"",(Depth0-MIN(Depth0,Quantiles!CG56))/Depth_per_q)</f>
        <v>0</v>
      </c>
      <c r="CH56" s="20" t="n">
        <f aca="false">IF(Quantiles!CH56&lt;0,"",(Depth0-MIN(Depth0,Quantiles!CH56))/Depth_per_q)</f>
        <v>0</v>
      </c>
      <c r="CI56" s="20" t="n">
        <f aca="false">IF(Quantiles!CI56&lt;0,"",(Depth0-MIN(Depth0,Quantiles!CI56))/Depth_per_q)</f>
        <v>0</v>
      </c>
      <c r="CJ56" s="20" t="n">
        <f aca="false">IF(Quantiles!CJ56&lt;0,"",(Depth0-MIN(Depth0,Quantiles!CJ56))/Depth_per_q)</f>
        <v>0</v>
      </c>
      <c r="CK56" s="20" t="n">
        <f aca="false">IF(Quantiles!CK56&lt;0,"",(Depth0-MIN(Depth0,Quantiles!CK56))/Depth_per_q)</f>
        <v>0</v>
      </c>
      <c r="CL56" s="20" t="n">
        <f aca="false">IF(Quantiles!CL56&lt;0,"",(Depth0-MIN(Depth0,Quantiles!CL56))/Depth_per_q)</f>
        <v>0</v>
      </c>
      <c r="CM56" s="20" t="n">
        <f aca="false">IF(Quantiles!CM56&lt;0,"",(Depth0-MIN(Depth0,Quantiles!CM56))/Depth_per_q)</f>
        <v>0</v>
      </c>
      <c r="CN56" s="20" t="n">
        <f aca="false">IF(Quantiles!CN56&lt;0,"",(Depth0-MIN(Depth0,Quantiles!CN56))/Depth_per_q)</f>
        <v>0</v>
      </c>
      <c r="CO56" s="20" t="n">
        <f aca="false">IF(Quantiles!CO56&lt;0,"",(Depth0-MIN(Depth0,Quantiles!CO56))/Depth_per_q)</f>
        <v>0</v>
      </c>
      <c r="CP56" s="20" t="n">
        <f aca="false">IF(Quantiles!CP56&lt;0,"",(Depth0-MIN(Depth0,Quantiles!CP56))/Depth_per_q)</f>
        <v>0</v>
      </c>
      <c r="CQ56" s="20" t="n">
        <f aca="false">IF(Quantiles!CQ56&lt;0,"",(Depth0-MIN(Depth0,Quantiles!CQ56))/Depth_per_q)</f>
        <v>0</v>
      </c>
      <c r="CR56" s="20" t="n">
        <f aca="false">IF(Quantiles!CR56&lt;0,"",(Depth0-MIN(Depth0,Quantiles!CR56))/Depth_per_q)</f>
        <v>0</v>
      </c>
      <c r="CS56" s="20" t="n">
        <f aca="false">IF(Quantiles!CS56&lt;0,"",(Depth0-MIN(Depth0,Quantiles!CS56))/Depth_per_q)</f>
        <v>0</v>
      </c>
      <c r="CT56" s="20" t="n">
        <f aca="false">IF(Quantiles!CT56&lt;0,"",(Depth0-MIN(Depth0,Quantiles!CT56))/Depth_per_q)</f>
        <v>1.0764886949401</v>
      </c>
    </row>
    <row r="57" customFormat="false" ht="15" hidden="false" customHeight="false" outlineLevel="0" collapsed="false">
      <c r="A57" s="25" t="n">
        <f aca="false">Quantiles!A57</f>
        <v>260</v>
      </c>
      <c r="B57" s="20" t="n">
        <f aca="false">IF(Quantiles!B57&lt;0,"",(Depth0-MIN(Depth0,Quantiles!B57))/Depth_per_q)</f>
        <v>2.06250761828118</v>
      </c>
      <c r="C57" s="20" t="n">
        <f aca="false">IF(Quantiles!C57&lt;0,"",(Depth0-MIN(Depth0,Quantiles!C57))/Depth_per_q)</f>
        <v>1.86783607508464</v>
      </c>
      <c r="D57" s="20" t="n">
        <f aca="false">IF(Quantiles!D57&lt;0,"",(Depth0-MIN(Depth0,Quantiles!D57))/Depth_per_q)</f>
        <v>1.70120445609401</v>
      </c>
      <c r="E57" s="20" t="n">
        <f aca="false">IF(Quantiles!E57&lt;0,"",(Depth0-MIN(Depth0,Quantiles!E57))/Depth_per_q)</f>
        <v>1.56380422810921</v>
      </c>
      <c r="F57" s="20" t="n">
        <f aca="false">IF(Quantiles!F57&lt;0,"",(Depth0-MIN(Depth0,Quantiles!F57))/Depth_per_q)</f>
        <v>1.44075124692576</v>
      </c>
      <c r="G57" s="20" t="n">
        <f aca="false">IF(Quantiles!G57&lt;0,"",(Depth0-MIN(Depth0,Quantiles!G57))/Depth_per_q)</f>
        <v>1.33746090682758</v>
      </c>
      <c r="H57" s="20" t="n">
        <f aca="false">IF(Quantiles!H57&lt;0,"",(Depth0-MIN(Depth0,Quantiles!H57))/Depth_per_q)</f>
        <v>1.24137199305849</v>
      </c>
      <c r="I57" s="20" t="n">
        <f aca="false">IF(Quantiles!I57&lt;0,"",(Depth0-MIN(Depth0,Quantiles!I57))/Depth_per_q)</f>
        <v>1.15106159459276</v>
      </c>
      <c r="J57" s="20" t="n">
        <f aca="false">IF(Quantiles!J57&lt;0,"",(Depth0-MIN(Depth0,Quantiles!J57))/Depth_per_q)</f>
        <v>1.07607369380615</v>
      </c>
      <c r="K57" s="20" t="n">
        <f aca="false">IF(Quantiles!K57&lt;0,"",(Depth0-MIN(Depth0,Quantiles!K57))/Depth_per_q)</f>
        <v>0.995155682548223</v>
      </c>
      <c r="L57" s="20" t="n">
        <f aca="false">IF(Quantiles!L57&lt;0,"",(Depth0-MIN(Depth0,Quantiles!L57))/Depth_per_q)</f>
        <v>0.920949500486493</v>
      </c>
      <c r="M57" s="20" t="n">
        <f aca="false">IF(Quantiles!M57&lt;0,"",(Depth0-MIN(Depth0,Quantiles!M57))/Depth_per_q)</f>
        <v>0.856125230750918</v>
      </c>
      <c r="N57" s="20" t="n">
        <f aca="false">IF(Quantiles!N57&lt;0,"",(Depth0-MIN(Depth0,Quantiles!N57))/Depth_per_q)</f>
        <v>0.795139837797453</v>
      </c>
      <c r="O57" s="20" t="n">
        <f aca="false">IF(Quantiles!O57&lt;0,"",(Depth0-MIN(Depth0,Quantiles!O57))/Depth_per_q)</f>
        <v>0.728742962265995</v>
      </c>
      <c r="P57" s="20" t="n">
        <f aca="false">IF(Quantiles!P57&lt;0,"",(Depth0-MIN(Depth0,Quantiles!P57))/Depth_per_q)</f>
        <v>0.668632776368352</v>
      </c>
      <c r="Q57" s="20" t="n">
        <f aca="false">IF(Quantiles!Q57&lt;0,"",(Depth0-MIN(Depth0,Quantiles!Q57))/Depth_per_q)</f>
        <v>0.61333349618677</v>
      </c>
      <c r="R57" s="20" t="n">
        <f aca="false">IF(Quantiles!R57&lt;0,"",(Depth0-MIN(Depth0,Quantiles!R57))/Depth_per_q)</f>
        <v>0.562351818122383</v>
      </c>
      <c r="S57" s="20" t="n">
        <f aca="false">IF(Quantiles!S57&lt;0,"",(Depth0-MIN(Depth0,Quantiles!S57))/Depth_per_q)</f>
        <v>0.510812459148872</v>
      </c>
      <c r="T57" s="20" t="n">
        <f aca="false">IF(Quantiles!T57&lt;0,"",(Depth0-MIN(Depth0,Quantiles!T57))/Depth_per_q)</f>
        <v>0.464148952975495</v>
      </c>
      <c r="U57" s="20" t="n">
        <f aca="false">IF(Quantiles!U57&lt;0,"",(Depth0-MIN(Depth0,Quantiles!U57))/Depth_per_q)</f>
        <v>0.421682054933997</v>
      </c>
      <c r="V57" s="20" t="n">
        <f aca="false">IF(Quantiles!V57&lt;0,"",(Depth0-MIN(Depth0,Quantiles!V57))/Depth_per_q)</f>
        <v>0.375893529756665</v>
      </c>
      <c r="W57" s="20" t="n">
        <f aca="false">IF(Quantiles!W57&lt;0,"",(Depth0-MIN(Depth0,Quantiles!W57))/Depth_per_q)</f>
        <v>0.332081196192832</v>
      </c>
      <c r="X57" s="20" t="n">
        <f aca="false">IF(Quantiles!X57&lt;0,"",(Depth0-MIN(Depth0,Quantiles!X57))/Depth_per_q)</f>
        <v>0.28764962185774</v>
      </c>
      <c r="Y57" s="20" t="n">
        <f aca="false">IF(Quantiles!Y57&lt;0,"",(Depth0-MIN(Depth0,Quantiles!Y57))/Depth_per_q)</f>
        <v>0.248549220084542</v>
      </c>
      <c r="Z57" s="20" t="n">
        <f aca="false">IF(Quantiles!Z57&lt;0,"",(Depth0-MIN(Depth0,Quantiles!Z57))/Depth_per_q)</f>
        <v>0.210835900820983</v>
      </c>
      <c r="AA57" s="20" t="n">
        <f aca="false">IF(Quantiles!AA57&lt;0,"",(Depth0-MIN(Depth0,Quantiles!AA57))/Depth_per_q)</f>
        <v>0.174116795960792</v>
      </c>
      <c r="AB57" s="20" t="n">
        <f aca="false">IF(Quantiles!AB57&lt;0,"",(Depth0-MIN(Depth0,Quantiles!AB57))/Depth_per_q)</f>
        <v>0.134088389726918</v>
      </c>
      <c r="AC57" s="20" t="n">
        <f aca="false">IF(Quantiles!AC57&lt;0,"",(Depth0-MIN(Depth0,Quantiles!AC57))/Depth_per_q)</f>
        <v>0.0973431422565954</v>
      </c>
      <c r="AD57" s="20" t="n">
        <f aca="false">IF(Quantiles!AD57&lt;0,"",(Depth0-MIN(Depth0,Quantiles!AD57))/Depth_per_q)</f>
        <v>0.0625060246889397</v>
      </c>
      <c r="AE57" s="20" t="n">
        <f aca="false">IF(Quantiles!AE57&lt;0,"",(Depth0-MIN(Depth0,Quantiles!AE57))/Depth_per_q)</f>
        <v>0.0263909556940947</v>
      </c>
      <c r="AF57" s="20" t="n">
        <f aca="false">IF(Quantiles!AF57&lt;0,"",(Depth0-MIN(Depth0,Quantiles!AF57))/Depth_per_q)</f>
        <v>0</v>
      </c>
      <c r="AG57" s="20" t="n">
        <f aca="false">IF(Quantiles!AG57&lt;0,"",(Depth0-MIN(Depth0,Quantiles!AG57))/Depth_per_q)</f>
        <v>0</v>
      </c>
      <c r="AH57" s="20" t="n">
        <f aca="false">IF(Quantiles!AH57&lt;0,"",(Depth0-MIN(Depth0,Quantiles!AH57))/Depth_per_q)</f>
        <v>0</v>
      </c>
      <c r="AI57" s="20" t="n">
        <f aca="false">IF(Quantiles!AI57&lt;0,"",(Depth0-MIN(Depth0,Quantiles!AI57))/Depth_per_q)</f>
        <v>0</v>
      </c>
      <c r="AJ57" s="20" t="n">
        <f aca="false">IF(Quantiles!AJ57&lt;0,"",(Depth0-MIN(Depth0,Quantiles!AJ57))/Depth_per_q)</f>
        <v>0</v>
      </c>
      <c r="AK57" s="20" t="n">
        <f aca="false">IF(Quantiles!AK57&lt;0,"",(Depth0-MIN(Depth0,Quantiles!AK57))/Depth_per_q)</f>
        <v>0</v>
      </c>
      <c r="AL57" s="20" t="n">
        <f aca="false">IF(Quantiles!AL57&lt;0,"",(Depth0-MIN(Depth0,Quantiles!AL57))/Depth_per_q)</f>
        <v>0</v>
      </c>
      <c r="AM57" s="20" t="n">
        <f aca="false">IF(Quantiles!AM57&lt;0,"",(Depth0-MIN(Depth0,Quantiles!AM57))/Depth_per_q)</f>
        <v>0</v>
      </c>
      <c r="AN57" s="20" t="n">
        <f aca="false">IF(Quantiles!AN57&lt;0,"",(Depth0-MIN(Depth0,Quantiles!AN57))/Depth_per_q)</f>
        <v>0</v>
      </c>
      <c r="AO57" s="20" t="n">
        <f aca="false">IF(Quantiles!AO57&lt;0,"",(Depth0-MIN(Depth0,Quantiles!AO57))/Depth_per_q)</f>
        <v>0</v>
      </c>
      <c r="AP57" s="20" t="n">
        <f aca="false">IF(Quantiles!AP57&lt;0,"",(Depth0-MIN(Depth0,Quantiles!AP57))/Depth_per_q)</f>
        <v>0</v>
      </c>
      <c r="AQ57" s="20" t="n">
        <f aca="false">IF(Quantiles!AQ57&lt;0,"",(Depth0-MIN(Depth0,Quantiles!AQ57))/Depth_per_q)</f>
        <v>0</v>
      </c>
      <c r="AR57" s="20" t="n">
        <f aca="false">IF(Quantiles!AR57&lt;0,"",(Depth0-MIN(Depth0,Quantiles!AR57))/Depth_per_q)</f>
        <v>0</v>
      </c>
      <c r="AS57" s="20" t="n">
        <f aca="false">IF(Quantiles!AS57&lt;0,"",(Depth0-MIN(Depth0,Quantiles!AS57))/Depth_per_q)</f>
        <v>0</v>
      </c>
      <c r="AT57" s="20" t="n">
        <f aca="false">IF(Quantiles!AT57&lt;0,"",(Depth0-MIN(Depth0,Quantiles!AT57))/Depth_per_q)</f>
        <v>0</v>
      </c>
      <c r="AU57" s="20" t="n">
        <f aca="false">IF(Quantiles!AU57&lt;0,"",(Depth0-MIN(Depth0,Quantiles!AU57))/Depth_per_q)</f>
        <v>0</v>
      </c>
      <c r="AV57" s="20" t="n">
        <f aca="false">IF(Quantiles!AV57&lt;0,"",(Depth0-MIN(Depth0,Quantiles!AV57))/Depth_per_q)</f>
        <v>0</v>
      </c>
      <c r="AW57" s="20" t="n">
        <f aca="false">IF(Quantiles!AW57&lt;0,"",(Depth0-MIN(Depth0,Quantiles!AW57))/Depth_per_q)</f>
        <v>0</v>
      </c>
      <c r="AX57" s="20" t="n">
        <f aca="false">IF(Quantiles!AX57&lt;0,"",(Depth0-MIN(Depth0,Quantiles!AX57))/Depth_per_q)</f>
        <v>0</v>
      </c>
      <c r="AY57" s="20" t="n">
        <f aca="false">IF(Quantiles!AY57&lt;0,"",(Depth0-MIN(Depth0,Quantiles!AY57))/Depth_per_q)</f>
        <v>0</v>
      </c>
      <c r="AZ57" s="20" t="n">
        <f aca="false">IF(Quantiles!AZ57&lt;0,"",(Depth0-MIN(Depth0,Quantiles!AZ57))/Depth_per_q)</f>
        <v>0</v>
      </c>
      <c r="BA57" s="20" t="n">
        <f aca="false">IF(Quantiles!BA57&lt;0,"",(Depth0-MIN(Depth0,Quantiles!BA57))/Depth_per_q)</f>
        <v>0</v>
      </c>
      <c r="BB57" s="20" t="n">
        <f aca="false">IF(Quantiles!BB57&lt;0,"",(Depth0-MIN(Depth0,Quantiles!BB57))/Depth_per_q)</f>
        <v>0</v>
      </c>
      <c r="BC57" s="20" t="n">
        <f aca="false">IF(Quantiles!BC57&lt;0,"",(Depth0-MIN(Depth0,Quantiles!BC57))/Depth_per_q)</f>
        <v>0</v>
      </c>
      <c r="BD57" s="20" t="n">
        <f aca="false">IF(Quantiles!BD57&lt;0,"",(Depth0-MIN(Depth0,Quantiles!BD57))/Depth_per_q)</f>
        <v>0</v>
      </c>
      <c r="BE57" s="20" t="n">
        <f aca="false">IF(Quantiles!BE57&lt;0,"",(Depth0-MIN(Depth0,Quantiles!BE57))/Depth_per_q)</f>
        <v>0</v>
      </c>
      <c r="BF57" s="20" t="n">
        <f aca="false">IF(Quantiles!BF57&lt;0,"",(Depth0-MIN(Depth0,Quantiles!BF57))/Depth_per_q)</f>
        <v>0</v>
      </c>
      <c r="BG57" s="20" t="n">
        <f aca="false">IF(Quantiles!BG57&lt;0,"",(Depth0-MIN(Depth0,Quantiles!BG57))/Depth_per_q)</f>
        <v>0</v>
      </c>
      <c r="BH57" s="20" t="n">
        <f aca="false">IF(Quantiles!BH57&lt;0,"",(Depth0-MIN(Depth0,Quantiles!BH57))/Depth_per_q)</f>
        <v>0</v>
      </c>
      <c r="BI57" s="20" t="n">
        <f aca="false">IF(Quantiles!BI57&lt;0,"",(Depth0-MIN(Depth0,Quantiles!BI57))/Depth_per_q)</f>
        <v>0</v>
      </c>
      <c r="BJ57" s="20" t="n">
        <f aca="false">IF(Quantiles!BJ57&lt;0,"",(Depth0-MIN(Depth0,Quantiles!BJ57))/Depth_per_q)</f>
        <v>0</v>
      </c>
      <c r="BK57" s="20" t="n">
        <f aca="false">IF(Quantiles!BK57&lt;0,"",(Depth0-MIN(Depth0,Quantiles!BK57))/Depth_per_q)</f>
        <v>0</v>
      </c>
      <c r="BL57" s="20" t="n">
        <f aca="false">IF(Quantiles!BL57&lt;0,"",(Depth0-MIN(Depth0,Quantiles!BL57))/Depth_per_q)</f>
        <v>0</v>
      </c>
      <c r="BM57" s="20" t="n">
        <f aca="false">IF(Quantiles!BM57&lt;0,"",(Depth0-MIN(Depth0,Quantiles!BM57))/Depth_per_q)</f>
        <v>0</v>
      </c>
      <c r="BN57" s="20" t="n">
        <f aca="false">IF(Quantiles!BN57&lt;0,"",(Depth0-MIN(Depth0,Quantiles!BN57))/Depth_per_q)</f>
        <v>0</v>
      </c>
      <c r="BO57" s="20" t="n">
        <f aca="false">IF(Quantiles!BO57&lt;0,"",(Depth0-MIN(Depth0,Quantiles!BO57))/Depth_per_q)</f>
        <v>0</v>
      </c>
      <c r="BP57" s="20" t="n">
        <f aca="false">IF(Quantiles!BP57&lt;0,"",(Depth0-MIN(Depth0,Quantiles!BP57))/Depth_per_q)</f>
        <v>0</v>
      </c>
      <c r="BQ57" s="20" t="n">
        <f aca="false">IF(Quantiles!BQ57&lt;0,"",(Depth0-MIN(Depth0,Quantiles!BQ57))/Depth_per_q)</f>
        <v>0</v>
      </c>
      <c r="BR57" s="20" t="n">
        <f aca="false">IF(Quantiles!BR57&lt;0,"",(Depth0-MIN(Depth0,Quantiles!BR57))/Depth_per_q)</f>
        <v>0</v>
      </c>
      <c r="BS57" s="20" t="n">
        <f aca="false">IF(Quantiles!BS57&lt;0,"",(Depth0-MIN(Depth0,Quantiles!BS57))/Depth_per_q)</f>
        <v>0</v>
      </c>
      <c r="BT57" s="20" t="n">
        <f aca="false">IF(Quantiles!BT57&lt;0,"",(Depth0-MIN(Depth0,Quantiles!BT57))/Depth_per_q)</f>
        <v>0</v>
      </c>
      <c r="BU57" s="20" t="n">
        <f aca="false">IF(Quantiles!BU57&lt;0,"",(Depth0-MIN(Depth0,Quantiles!BU57))/Depth_per_q)</f>
        <v>0</v>
      </c>
      <c r="BV57" s="20" t="n">
        <f aca="false">IF(Quantiles!BV57&lt;0,"",(Depth0-MIN(Depth0,Quantiles!BV57))/Depth_per_q)</f>
        <v>0</v>
      </c>
      <c r="BW57" s="20" t="n">
        <f aca="false">IF(Quantiles!BW57&lt;0,"",(Depth0-MIN(Depth0,Quantiles!BW57))/Depth_per_q)</f>
        <v>0</v>
      </c>
      <c r="BX57" s="20" t="n">
        <f aca="false">IF(Quantiles!BX57&lt;0,"",(Depth0-MIN(Depth0,Quantiles!BX57))/Depth_per_q)</f>
        <v>0</v>
      </c>
      <c r="BY57" s="20" t="n">
        <f aca="false">IF(Quantiles!BY57&lt;0,"",(Depth0-MIN(Depth0,Quantiles!BY57))/Depth_per_q)</f>
        <v>0</v>
      </c>
      <c r="BZ57" s="20" t="n">
        <f aca="false">IF(Quantiles!BZ57&lt;0,"",(Depth0-MIN(Depth0,Quantiles!BZ57))/Depth_per_q)</f>
        <v>0</v>
      </c>
      <c r="CA57" s="20" t="n">
        <f aca="false">IF(Quantiles!CA57&lt;0,"",(Depth0-MIN(Depth0,Quantiles!CA57))/Depth_per_q)</f>
        <v>0</v>
      </c>
      <c r="CB57" s="20" t="n">
        <f aca="false">IF(Quantiles!CB57&lt;0,"",(Depth0-MIN(Depth0,Quantiles!CB57))/Depth_per_q)</f>
        <v>0</v>
      </c>
      <c r="CC57" s="20" t="n">
        <f aca="false">IF(Quantiles!CC57&lt;0,"",(Depth0-MIN(Depth0,Quantiles!CC57))/Depth_per_q)</f>
        <v>0</v>
      </c>
      <c r="CD57" s="20" t="n">
        <f aca="false">IF(Quantiles!CD57&lt;0,"",(Depth0-MIN(Depth0,Quantiles!CD57))/Depth_per_q)</f>
        <v>0</v>
      </c>
      <c r="CE57" s="20" t="n">
        <f aca="false">IF(Quantiles!CE57&lt;0,"",(Depth0-MIN(Depth0,Quantiles!CE57))/Depth_per_q)</f>
        <v>0</v>
      </c>
      <c r="CF57" s="20" t="n">
        <f aca="false">IF(Quantiles!CF57&lt;0,"",(Depth0-MIN(Depth0,Quantiles!CF57))/Depth_per_q)</f>
        <v>0</v>
      </c>
      <c r="CG57" s="20" t="n">
        <f aca="false">IF(Quantiles!CG57&lt;0,"",(Depth0-MIN(Depth0,Quantiles!CG57))/Depth_per_q)</f>
        <v>0</v>
      </c>
      <c r="CH57" s="20" t="n">
        <f aca="false">IF(Quantiles!CH57&lt;0,"",(Depth0-MIN(Depth0,Quantiles!CH57))/Depth_per_q)</f>
        <v>0</v>
      </c>
      <c r="CI57" s="20" t="n">
        <f aca="false">IF(Quantiles!CI57&lt;0,"",(Depth0-MIN(Depth0,Quantiles!CI57))/Depth_per_q)</f>
        <v>0</v>
      </c>
      <c r="CJ57" s="20" t="n">
        <f aca="false">IF(Quantiles!CJ57&lt;0,"",(Depth0-MIN(Depth0,Quantiles!CJ57))/Depth_per_q)</f>
        <v>0</v>
      </c>
      <c r="CK57" s="20" t="n">
        <f aca="false">IF(Quantiles!CK57&lt;0,"",(Depth0-MIN(Depth0,Quantiles!CK57))/Depth_per_q)</f>
        <v>0</v>
      </c>
      <c r="CL57" s="20" t="n">
        <f aca="false">IF(Quantiles!CL57&lt;0,"",(Depth0-MIN(Depth0,Quantiles!CL57))/Depth_per_q)</f>
        <v>0</v>
      </c>
      <c r="CM57" s="20" t="n">
        <f aca="false">IF(Quantiles!CM57&lt;0,"",(Depth0-MIN(Depth0,Quantiles!CM57))/Depth_per_q)</f>
        <v>0</v>
      </c>
      <c r="CN57" s="20" t="n">
        <f aca="false">IF(Quantiles!CN57&lt;0,"",(Depth0-MIN(Depth0,Quantiles!CN57))/Depth_per_q)</f>
        <v>0</v>
      </c>
      <c r="CO57" s="20" t="n">
        <f aca="false">IF(Quantiles!CO57&lt;0,"",(Depth0-MIN(Depth0,Quantiles!CO57))/Depth_per_q)</f>
        <v>0</v>
      </c>
      <c r="CP57" s="20" t="n">
        <f aca="false">IF(Quantiles!CP57&lt;0,"",(Depth0-MIN(Depth0,Quantiles!CP57))/Depth_per_q)</f>
        <v>0</v>
      </c>
      <c r="CQ57" s="20" t="n">
        <f aca="false">IF(Quantiles!CQ57&lt;0,"",(Depth0-MIN(Depth0,Quantiles!CQ57))/Depth_per_q)</f>
        <v>0</v>
      </c>
      <c r="CR57" s="20" t="n">
        <f aca="false">IF(Quantiles!CR57&lt;0,"",(Depth0-MIN(Depth0,Quantiles!CR57))/Depth_per_q)</f>
        <v>0</v>
      </c>
      <c r="CS57" s="20" t="n">
        <f aca="false">IF(Quantiles!CS57&lt;0,"",(Depth0-MIN(Depth0,Quantiles!CS57))/Depth_per_q)</f>
        <v>0</v>
      </c>
      <c r="CT57" s="20" t="n">
        <f aca="false">IF(Quantiles!CT57&lt;0,"",(Depth0-MIN(Depth0,Quantiles!CT57))/Depth_per_q)</f>
        <v>1.07441656461105</v>
      </c>
    </row>
    <row r="58" customFormat="false" ht="15" hidden="false" customHeight="false" outlineLevel="0" collapsed="false">
      <c r="A58" s="25" t="n">
        <f aca="false">Quantiles!A58</f>
        <v>265</v>
      </c>
      <c r="B58" s="20" t="n">
        <f aca="false">IF(Quantiles!B58&lt;0,"",(Depth0-MIN(Depth0,Quantiles!B58))/Depth_per_q)</f>
        <v>2.05705985136852</v>
      </c>
      <c r="C58" s="20" t="n">
        <f aca="false">IF(Quantiles!C58&lt;0,"",(Depth0-MIN(Depth0,Quantiles!C58))/Depth_per_q)</f>
        <v>1.86495817404796</v>
      </c>
      <c r="D58" s="20" t="n">
        <f aca="false">IF(Quantiles!D58&lt;0,"",(Depth0-MIN(Depth0,Quantiles!D58))/Depth_per_q)</f>
        <v>1.69990685717774</v>
      </c>
      <c r="E58" s="20" t="n">
        <f aca="false">IF(Quantiles!E58&lt;0,"",(Depth0-MIN(Depth0,Quantiles!E58))/Depth_per_q)</f>
        <v>1.56299546966264</v>
      </c>
      <c r="F58" s="20" t="n">
        <f aca="false">IF(Quantiles!F58&lt;0,"",(Depth0-MIN(Depth0,Quantiles!F58))/Depth_per_q)</f>
        <v>1.44015622921592</v>
      </c>
      <c r="G58" s="20" t="n">
        <f aca="false">IF(Quantiles!G58&lt;0,"",(Depth0-MIN(Depth0,Quantiles!G58))/Depth_per_q)</f>
        <v>1.33498197954494</v>
      </c>
      <c r="H58" s="20" t="n">
        <f aca="false">IF(Quantiles!H58&lt;0,"",(Depth0-MIN(Depth0,Quantiles!H58))/Depth_per_q)</f>
        <v>1.24025235880382</v>
      </c>
      <c r="I58" s="20" t="n">
        <f aca="false">IF(Quantiles!I58&lt;0,"",(Depth0-MIN(Depth0,Quantiles!I58))/Depth_per_q)</f>
        <v>1.15001797521317</v>
      </c>
      <c r="J58" s="20" t="n">
        <f aca="false">IF(Quantiles!J58&lt;0,"",(Depth0-MIN(Depth0,Quantiles!J58))/Depth_per_q)</f>
        <v>1.07430487868563</v>
      </c>
      <c r="K58" s="20" t="n">
        <f aca="false">IF(Quantiles!K58&lt;0,"",(Depth0-MIN(Depth0,Quantiles!K58))/Depth_per_q)</f>
        <v>0.9942172001663</v>
      </c>
      <c r="L58" s="20" t="n">
        <f aca="false">IF(Quantiles!L58&lt;0,"",(Depth0-MIN(Depth0,Quantiles!L58))/Depth_per_q)</f>
        <v>0.919516143329625</v>
      </c>
      <c r="M58" s="20" t="n">
        <f aca="false">IF(Quantiles!M58&lt;0,"",(Depth0-MIN(Depth0,Quantiles!M58))/Depth_per_q)</f>
        <v>0.85525412696539</v>
      </c>
      <c r="N58" s="20" t="n">
        <f aca="false">IF(Quantiles!N58&lt;0,"",(Depth0-MIN(Depth0,Quantiles!N58))/Depth_per_q)</f>
        <v>0.793483079194215</v>
      </c>
      <c r="O58" s="20" t="n">
        <f aca="false">IF(Quantiles!O58&lt;0,"",(Depth0-MIN(Depth0,Quantiles!O58))/Depth_per_q)</f>
        <v>0.72747697585651</v>
      </c>
      <c r="P58" s="20" t="n">
        <f aca="false">IF(Quantiles!P58&lt;0,"",(Depth0-MIN(Depth0,Quantiles!P58))/Depth_per_q)</f>
        <v>0.667576361426625</v>
      </c>
      <c r="Q58" s="20" t="n">
        <f aca="false">IF(Quantiles!Q58&lt;0,"",(Depth0-MIN(Depth0,Quantiles!Q58))/Depth_per_q)</f>
        <v>0.612418984184473</v>
      </c>
      <c r="R58" s="20" t="n">
        <f aca="false">IF(Quantiles!R58&lt;0,"",(Depth0-MIN(Depth0,Quantiles!R58))/Depth_per_q)</f>
        <v>0.561049869991965</v>
      </c>
      <c r="S58" s="20" t="n">
        <f aca="false">IF(Quantiles!S58&lt;0,"",(Depth0-MIN(Depth0,Quantiles!S58))/Depth_per_q)</f>
        <v>0.50970322299186</v>
      </c>
      <c r="T58" s="20" t="n">
        <f aca="false">IF(Quantiles!T58&lt;0,"",(Depth0-MIN(Depth0,Quantiles!T58))/Depth_per_q)</f>
        <v>0.46354866313398</v>
      </c>
      <c r="U58" s="20" t="n">
        <f aca="false">IF(Quantiles!U58&lt;0,"",(Depth0-MIN(Depth0,Quantiles!U58))/Depth_per_q)</f>
        <v>0.420539384895463</v>
      </c>
      <c r="V58" s="20" t="n">
        <f aca="false">IF(Quantiles!V58&lt;0,"",(Depth0-MIN(Depth0,Quantiles!V58))/Depth_per_q)</f>
        <v>0.37519282674358</v>
      </c>
      <c r="W58" s="20" t="n">
        <f aca="false">IF(Quantiles!W58&lt;0,"",(Depth0-MIN(Depth0,Quantiles!W58))/Depth_per_q)</f>
        <v>0.33102439536101</v>
      </c>
      <c r="X58" s="20" t="n">
        <f aca="false">IF(Quantiles!X58&lt;0,"",(Depth0-MIN(Depth0,Quantiles!X58))/Depth_per_q)</f>
        <v>0.286187763282495</v>
      </c>
      <c r="Y58" s="20" t="n">
        <f aca="false">IF(Quantiles!Y58&lt;0,"",(Depth0-MIN(Depth0,Quantiles!Y58))/Depth_per_q)</f>
        <v>0.247531932434192</v>
      </c>
      <c r="Z58" s="20" t="n">
        <f aca="false">IF(Quantiles!Z58&lt;0,"",(Depth0-MIN(Depth0,Quantiles!Z58))/Depth_per_q)</f>
        <v>0.209729272891307</v>
      </c>
      <c r="AA58" s="20" t="n">
        <f aca="false">IF(Quantiles!AA58&lt;0,"",(Depth0-MIN(Depth0,Quantiles!AA58))/Depth_per_q)</f>
        <v>0.17239071495454</v>
      </c>
      <c r="AB58" s="20" t="n">
        <f aca="false">IF(Quantiles!AB58&lt;0,"",(Depth0-MIN(Depth0,Quantiles!AB58))/Depth_per_q)</f>
        <v>0.132841193313507</v>
      </c>
      <c r="AC58" s="20" t="n">
        <f aca="false">IF(Quantiles!AC58&lt;0,"",(Depth0-MIN(Depth0,Quantiles!AC58))/Depth_per_q)</f>
        <v>0.0958219835918053</v>
      </c>
      <c r="AD58" s="20" t="n">
        <f aca="false">IF(Quantiles!AD58&lt;0,"",(Depth0-MIN(Depth0,Quantiles!AD58))/Depth_per_q)</f>
        <v>0.0612950070755449</v>
      </c>
      <c r="AE58" s="20" t="n">
        <f aca="false">IF(Quantiles!AE58&lt;0,"",(Depth0-MIN(Depth0,Quantiles!AE58))/Depth_per_q)</f>
        <v>0.0254365099809801</v>
      </c>
      <c r="AF58" s="20" t="n">
        <f aca="false">IF(Quantiles!AF58&lt;0,"",(Depth0-MIN(Depth0,Quantiles!AF58))/Depth_per_q)</f>
        <v>0</v>
      </c>
      <c r="AG58" s="20" t="n">
        <f aca="false">IF(Quantiles!AG58&lt;0,"",(Depth0-MIN(Depth0,Quantiles!AG58))/Depth_per_q)</f>
        <v>0</v>
      </c>
      <c r="AH58" s="20" t="n">
        <f aca="false">IF(Quantiles!AH58&lt;0,"",(Depth0-MIN(Depth0,Quantiles!AH58))/Depth_per_q)</f>
        <v>0</v>
      </c>
      <c r="AI58" s="20" t="n">
        <f aca="false">IF(Quantiles!AI58&lt;0,"",(Depth0-MIN(Depth0,Quantiles!AI58))/Depth_per_q)</f>
        <v>0</v>
      </c>
      <c r="AJ58" s="20" t="n">
        <f aca="false">IF(Quantiles!AJ58&lt;0,"",(Depth0-MIN(Depth0,Quantiles!AJ58))/Depth_per_q)</f>
        <v>0</v>
      </c>
      <c r="AK58" s="20" t="n">
        <f aca="false">IF(Quantiles!AK58&lt;0,"",(Depth0-MIN(Depth0,Quantiles!AK58))/Depth_per_q)</f>
        <v>0</v>
      </c>
      <c r="AL58" s="20" t="n">
        <f aca="false">IF(Quantiles!AL58&lt;0,"",(Depth0-MIN(Depth0,Quantiles!AL58))/Depth_per_q)</f>
        <v>0</v>
      </c>
      <c r="AM58" s="20" t="n">
        <f aca="false">IF(Quantiles!AM58&lt;0,"",(Depth0-MIN(Depth0,Quantiles!AM58))/Depth_per_q)</f>
        <v>0</v>
      </c>
      <c r="AN58" s="20" t="n">
        <f aca="false">IF(Quantiles!AN58&lt;0,"",(Depth0-MIN(Depth0,Quantiles!AN58))/Depth_per_q)</f>
        <v>0</v>
      </c>
      <c r="AO58" s="20" t="n">
        <f aca="false">IF(Quantiles!AO58&lt;0,"",(Depth0-MIN(Depth0,Quantiles!AO58))/Depth_per_q)</f>
        <v>0</v>
      </c>
      <c r="AP58" s="20" t="n">
        <f aca="false">IF(Quantiles!AP58&lt;0,"",(Depth0-MIN(Depth0,Quantiles!AP58))/Depth_per_q)</f>
        <v>0</v>
      </c>
      <c r="AQ58" s="20" t="n">
        <f aca="false">IF(Quantiles!AQ58&lt;0,"",(Depth0-MIN(Depth0,Quantiles!AQ58))/Depth_per_q)</f>
        <v>0</v>
      </c>
      <c r="AR58" s="20" t="n">
        <f aca="false">IF(Quantiles!AR58&lt;0,"",(Depth0-MIN(Depth0,Quantiles!AR58))/Depth_per_q)</f>
        <v>0</v>
      </c>
      <c r="AS58" s="20" t="n">
        <f aca="false">IF(Quantiles!AS58&lt;0,"",(Depth0-MIN(Depth0,Quantiles!AS58))/Depth_per_q)</f>
        <v>0</v>
      </c>
      <c r="AT58" s="20" t="n">
        <f aca="false">IF(Quantiles!AT58&lt;0,"",(Depth0-MIN(Depth0,Quantiles!AT58))/Depth_per_q)</f>
        <v>0</v>
      </c>
      <c r="AU58" s="20" t="n">
        <f aca="false">IF(Quantiles!AU58&lt;0,"",(Depth0-MIN(Depth0,Quantiles!AU58))/Depth_per_q)</f>
        <v>0</v>
      </c>
      <c r="AV58" s="20" t="n">
        <f aca="false">IF(Quantiles!AV58&lt;0,"",(Depth0-MIN(Depth0,Quantiles!AV58))/Depth_per_q)</f>
        <v>0</v>
      </c>
      <c r="AW58" s="20" t="n">
        <f aca="false">IF(Quantiles!AW58&lt;0,"",(Depth0-MIN(Depth0,Quantiles!AW58))/Depth_per_q)</f>
        <v>0</v>
      </c>
      <c r="AX58" s="20" t="n">
        <f aca="false">IF(Quantiles!AX58&lt;0,"",(Depth0-MIN(Depth0,Quantiles!AX58))/Depth_per_q)</f>
        <v>0</v>
      </c>
      <c r="AY58" s="20" t="n">
        <f aca="false">IF(Quantiles!AY58&lt;0,"",(Depth0-MIN(Depth0,Quantiles!AY58))/Depth_per_q)</f>
        <v>0</v>
      </c>
      <c r="AZ58" s="20" t="n">
        <f aca="false">IF(Quantiles!AZ58&lt;0,"",(Depth0-MIN(Depth0,Quantiles!AZ58))/Depth_per_q)</f>
        <v>0</v>
      </c>
      <c r="BA58" s="20" t="n">
        <f aca="false">IF(Quantiles!BA58&lt;0,"",(Depth0-MIN(Depth0,Quantiles!BA58))/Depth_per_q)</f>
        <v>0</v>
      </c>
      <c r="BB58" s="20" t="n">
        <f aca="false">IF(Quantiles!BB58&lt;0,"",(Depth0-MIN(Depth0,Quantiles!BB58))/Depth_per_q)</f>
        <v>0</v>
      </c>
      <c r="BC58" s="20" t="n">
        <f aca="false">IF(Quantiles!BC58&lt;0,"",(Depth0-MIN(Depth0,Quantiles!BC58))/Depth_per_q)</f>
        <v>0</v>
      </c>
      <c r="BD58" s="20" t="n">
        <f aca="false">IF(Quantiles!BD58&lt;0,"",(Depth0-MIN(Depth0,Quantiles!BD58))/Depth_per_q)</f>
        <v>0</v>
      </c>
      <c r="BE58" s="20" t="n">
        <f aca="false">IF(Quantiles!BE58&lt;0,"",(Depth0-MIN(Depth0,Quantiles!BE58))/Depth_per_q)</f>
        <v>0</v>
      </c>
      <c r="BF58" s="20" t="n">
        <f aca="false">IF(Quantiles!BF58&lt;0,"",(Depth0-MIN(Depth0,Quantiles!BF58))/Depth_per_q)</f>
        <v>0</v>
      </c>
      <c r="BG58" s="20" t="n">
        <f aca="false">IF(Quantiles!BG58&lt;0,"",(Depth0-MIN(Depth0,Quantiles!BG58))/Depth_per_q)</f>
        <v>0</v>
      </c>
      <c r="BH58" s="20" t="n">
        <f aca="false">IF(Quantiles!BH58&lt;0,"",(Depth0-MIN(Depth0,Quantiles!BH58))/Depth_per_q)</f>
        <v>0</v>
      </c>
      <c r="BI58" s="20" t="n">
        <f aca="false">IF(Quantiles!BI58&lt;0,"",(Depth0-MIN(Depth0,Quantiles!BI58))/Depth_per_q)</f>
        <v>0</v>
      </c>
      <c r="BJ58" s="20" t="n">
        <f aca="false">IF(Quantiles!BJ58&lt;0,"",(Depth0-MIN(Depth0,Quantiles!BJ58))/Depth_per_q)</f>
        <v>0</v>
      </c>
      <c r="BK58" s="20" t="n">
        <f aca="false">IF(Quantiles!BK58&lt;0,"",(Depth0-MIN(Depth0,Quantiles!BK58))/Depth_per_q)</f>
        <v>0</v>
      </c>
      <c r="BL58" s="20" t="n">
        <f aca="false">IF(Quantiles!BL58&lt;0,"",(Depth0-MIN(Depth0,Quantiles!BL58))/Depth_per_q)</f>
        <v>0</v>
      </c>
      <c r="BM58" s="20" t="n">
        <f aca="false">IF(Quantiles!BM58&lt;0,"",(Depth0-MIN(Depth0,Quantiles!BM58))/Depth_per_q)</f>
        <v>0</v>
      </c>
      <c r="BN58" s="20" t="n">
        <f aca="false">IF(Quantiles!BN58&lt;0,"",(Depth0-MIN(Depth0,Quantiles!BN58))/Depth_per_q)</f>
        <v>0</v>
      </c>
      <c r="BO58" s="20" t="n">
        <f aca="false">IF(Quantiles!BO58&lt;0,"",(Depth0-MIN(Depth0,Quantiles!BO58))/Depth_per_q)</f>
        <v>0</v>
      </c>
      <c r="BP58" s="20" t="n">
        <f aca="false">IF(Quantiles!BP58&lt;0,"",(Depth0-MIN(Depth0,Quantiles!BP58))/Depth_per_q)</f>
        <v>0</v>
      </c>
      <c r="BQ58" s="20" t="n">
        <f aca="false">IF(Quantiles!BQ58&lt;0,"",(Depth0-MIN(Depth0,Quantiles!BQ58))/Depth_per_q)</f>
        <v>0</v>
      </c>
      <c r="BR58" s="20" t="n">
        <f aca="false">IF(Quantiles!BR58&lt;0,"",(Depth0-MIN(Depth0,Quantiles!BR58))/Depth_per_q)</f>
        <v>0</v>
      </c>
      <c r="BS58" s="20" t="n">
        <f aca="false">IF(Quantiles!BS58&lt;0,"",(Depth0-MIN(Depth0,Quantiles!BS58))/Depth_per_q)</f>
        <v>0</v>
      </c>
      <c r="BT58" s="20" t="n">
        <f aca="false">IF(Quantiles!BT58&lt;0,"",(Depth0-MIN(Depth0,Quantiles!BT58))/Depth_per_q)</f>
        <v>0</v>
      </c>
      <c r="BU58" s="20" t="n">
        <f aca="false">IF(Quantiles!BU58&lt;0,"",(Depth0-MIN(Depth0,Quantiles!BU58))/Depth_per_q)</f>
        <v>0</v>
      </c>
      <c r="BV58" s="20" t="n">
        <f aca="false">IF(Quantiles!BV58&lt;0,"",(Depth0-MIN(Depth0,Quantiles!BV58))/Depth_per_q)</f>
        <v>0</v>
      </c>
      <c r="BW58" s="20" t="n">
        <f aca="false">IF(Quantiles!BW58&lt;0,"",(Depth0-MIN(Depth0,Quantiles!BW58))/Depth_per_q)</f>
        <v>0</v>
      </c>
      <c r="BX58" s="20" t="n">
        <f aca="false">IF(Quantiles!BX58&lt;0,"",(Depth0-MIN(Depth0,Quantiles!BX58))/Depth_per_q)</f>
        <v>0</v>
      </c>
      <c r="BY58" s="20" t="n">
        <f aca="false">IF(Quantiles!BY58&lt;0,"",(Depth0-MIN(Depth0,Quantiles!BY58))/Depth_per_q)</f>
        <v>0</v>
      </c>
      <c r="BZ58" s="20" t="n">
        <f aca="false">IF(Quantiles!BZ58&lt;0,"",(Depth0-MIN(Depth0,Quantiles!BZ58))/Depth_per_q)</f>
        <v>0</v>
      </c>
      <c r="CA58" s="20" t="n">
        <f aca="false">IF(Quantiles!CA58&lt;0,"",(Depth0-MIN(Depth0,Quantiles!CA58))/Depth_per_q)</f>
        <v>0</v>
      </c>
      <c r="CB58" s="20" t="n">
        <f aca="false">IF(Quantiles!CB58&lt;0,"",(Depth0-MIN(Depth0,Quantiles!CB58))/Depth_per_q)</f>
        <v>0</v>
      </c>
      <c r="CC58" s="20" t="n">
        <f aca="false">IF(Quantiles!CC58&lt;0,"",(Depth0-MIN(Depth0,Quantiles!CC58))/Depth_per_q)</f>
        <v>0</v>
      </c>
      <c r="CD58" s="20" t="n">
        <f aca="false">IF(Quantiles!CD58&lt;0,"",(Depth0-MIN(Depth0,Quantiles!CD58))/Depth_per_q)</f>
        <v>0</v>
      </c>
      <c r="CE58" s="20" t="n">
        <f aca="false">IF(Quantiles!CE58&lt;0,"",(Depth0-MIN(Depth0,Quantiles!CE58))/Depth_per_q)</f>
        <v>0</v>
      </c>
      <c r="CF58" s="20" t="n">
        <f aca="false">IF(Quantiles!CF58&lt;0,"",(Depth0-MIN(Depth0,Quantiles!CF58))/Depth_per_q)</f>
        <v>0</v>
      </c>
      <c r="CG58" s="20" t="n">
        <f aca="false">IF(Quantiles!CG58&lt;0,"",(Depth0-MIN(Depth0,Quantiles!CG58))/Depth_per_q)</f>
        <v>0</v>
      </c>
      <c r="CH58" s="20" t="n">
        <f aca="false">IF(Quantiles!CH58&lt;0,"",(Depth0-MIN(Depth0,Quantiles!CH58))/Depth_per_q)</f>
        <v>0</v>
      </c>
      <c r="CI58" s="20" t="n">
        <f aca="false">IF(Quantiles!CI58&lt;0,"",(Depth0-MIN(Depth0,Quantiles!CI58))/Depth_per_q)</f>
        <v>0</v>
      </c>
      <c r="CJ58" s="20" t="n">
        <f aca="false">IF(Quantiles!CJ58&lt;0,"",(Depth0-MIN(Depth0,Quantiles!CJ58))/Depth_per_q)</f>
        <v>0</v>
      </c>
      <c r="CK58" s="20" t="n">
        <f aca="false">IF(Quantiles!CK58&lt;0,"",(Depth0-MIN(Depth0,Quantiles!CK58))/Depth_per_q)</f>
        <v>0</v>
      </c>
      <c r="CL58" s="20" t="n">
        <f aca="false">IF(Quantiles!CL58&lt;0,"",(Depth0-MIN(Depth0,Quantiles!CL58))/Depth_per_q)</f>
        <v>0</v>
      </c>
      <c r="CM58" s="20" t="n">
        <f aca="false">IF(Quantiles!CM58&lt;0,"",(Depth0-MIN(Depth0,Quantiles!CM58))/Depth_per_q)</f>
        <v>0</v>
      </c>
      <c r="CN58" s="20" t="n">
        <f aca="false">IF(Quantiles!CN58&lt;0,"",(Depth0-MIN(Depth0,Quantiles!CN58))/Depth_per_q)</f>
        <v>0</v>
      </c>
      <c r="CO58" s="20" t="n">
        <f aca="false">IF(Quantiles!CO58&lt;0,"",(Depth0-MIN(Depth0,Quantiles!CO58))/Depth_per_q)</f>
        <v>0</v>
      </c>
      <c r="CP58" s="20" t="n">
        <f aca="false">IF(Quantiles!CP58&lt;0,"",(Depth0-MIN(Depth0,Quantiles!CP58))/Depth_per_q)</f>
        <v>0</v>
      </c>
      <c r="CQ58" s="20" t="n">
        <f aca="false">IF(Quantiles!CQ58&lt;0,"",(Depth0-MIN(Depth0,Quantiles!CQ58))/Depth_per_q)</f>
        <v>0</v>
      </c>
      <c r="CR58" s="20" t="n">
        <f aca="false">IF(Quantiles!CR58&lt;0,"",(Depth0-MIN(Depth0,Quantiles!CR58))/Depth_per_q)</f>
        <v>0</v>
      </c>
      <c r="CS58" s="20" t="n">
        <f aca="false">IF(Quantiles!CS58&lt;0,"",(Depth0-MIN(Depth0,Quantiles!CS58))/Depth_per_q)</f>
        <v>0</v>
      </c>
      <c r="CT58" s="20" t="n">
        <f aca="false">IF(Quantiles!CT58&lt;0,"",(Depth0-MIN(Depth0,Quantiles!CT58))/Depth_per_q)</f>
        <v>1.07266109290158</v>
      </c>
    </row>
    <row r="59" customFormat="false" ht="15" hidden="false" customHeight="false" outlineLevel="0" collapsed="false">
      <c r="A59" s="25" t="n">
        <f aca="false">Quantiles!A59</f>
        <v>270</v>
      </c>
      <c r="B59" s="20" t="n">
        <f aca="false">IF(Quantiles!B59&lt;0,"",(Depth0-MIN(Depth0,Quantiles!B59))/Depth_per_q)</f>
        <v>2.05690885127276</v>
      </c>
      <c r="C59" s="20" t="n">
        <f aca="false">IF(Quantiles!C59&lt;0,"",(Depth0-MIN(Depth0,Quantiles!C59))/Depth_per_q)</f>
        <v>1.86364629073768</v>
      </c>
      <c r="D59" s="20" t="n">
        <f aca="false">IF(Quantiles!D59&lt;0,"",(Depth0-MIN(Depth0,Quantiles!D59))/Depth_per_q)</f>
        <v>1.69951695069009</v>
      </c>
      <c r="E59" s="20" t="n">
        <f aca="false">IF(Quantiles!E59&lt;0,"",(Depth0-MIN(Depth0,Quantiles!E59))/Depth_per_q)</f>
        <v>1.56299389582718</v>
      </c>
      <c r="F59" s="20" t="n">
        <f aca="false">IF(Quantiles!F59&lt;0,"",(Depth0-MIN(Depth0,Quantiles!F59))/Depth_per_q)</f>
        <v>1.43979441440071</v>
      </c>
      <c r="G59" s="20" t="n">
        <f aca="false">IF(Quantiles!G59&lt;0,"",(Depth0-MIN(Depth0,Quantiles!G59))/Depth_per_q)</f>
        <v>1.33482482453987</v>
      </c>
      <c r="H59" s="20" t="n">
        <f aca="false">IF(Quantiles!H59&lt;0,"",(Depth0-MIN(Depth0,Quantiles!H59))/Depth_per_q)</f>
        <v>1.24011601096785</v>
      </c>
      <c r="I59" s="20" t="n">
        <f aca="false">IF(Quantiles!I59&lt;0,"",(Depth0-MIN(Depth0,Quantiles!I59))/Depth_per_q)</f>
        <v>1.14980110787239</v>
      </c>
      <c r="J59" s="20" t="n">
        <f aca="false">IF(Quantiles!J59&lt;0,"",(Depth0-MIN(Depth0,Quantiles!J59))/Depth_per_q)</f>
        <v>1.07266109290158</v>
      </c>
      <c r="K59" s="20" t="n">
        <f aca="false">IF(Quantiles!K59&lt;0,"",(Depth0-MIN(Depth0,Quantiles!K59))/Depth_per_q)</f>
        <v>0.993270876867393</v>
      </c>
      <c r="L59" s="20" t="n">
        <f aca="false">IF(Quantiles!L59&lt;0,"",(Depth0-MIN(Depth0,Quantiles!L59))/Depth_per_q)</f>
        <v>0.91828060585559</v>
      </c>
      <c r="M59" s="20" t="n">
        <f aca="false">IF(Quantiles!M59&lt;0,"",(Depth0-MIN(Depth0,Quantiles!M59))/Depth_per_q)</f>
        <v>0.853785339221195</v>
      </c>
      <c r="N59" s="20" t="n">
        <f aca="false">IF(Quantiles!N59&lt;0,"",(Depth0-MIN(Depth0,Quantiles!N59))/Depth_per_q)</f>
        <v>0.792921232231962</v>
      </c>
      <c r="O59" s="20" t="n">
        <f aca="false">IF(Quantiles!O59&lt;0,"",(Depth0-MIN(Depth0,Quantiles!O59))/Depth_per_q)</f>
        <v>0.72698959505315</v>
      </c>
      <c r="P59" s="20" t="n">
        <f aca="false">IF(Quantiles!P59&lt;0,"",(Depth0-MIN(Depth0,Quantiles!P59))/Depth_per_q)</f>
        <v>0.666988357166158</v>
      </c>
      <c r="Q59" s="20" t="n">
        <f aca="false">IF(Quantiles!Q59&lt;0,"",(Depth0-MIN(Depth0,Quantiles!Q59))/Depth_per_q)</f>
        <v>0.611344065145762</v>
      </c>
      <c r="R59" s="20" t="n">
        <f aca="false">IF(Quantiles!R59&lt;0,"",(Depth0-MIN(Depth0,Quantiles!R59))/Depth_per_q)</f>
        <v>0.560610700555848</v>
      </c>
      <c r="S59" s="20" t="n">
        <f aca="false">IF(Quantiles!S59&lt;0,"",(Depth0-MIN(Depth0,Quantiles!S59))/Depth_per_q)</f>
        <v>0.50917977243135</v>
      </c>
      <c r="T59" s="20" t="n">
        <f aca="false">IF(Quantiles!T59&lt;0,"",(Depth0-MIN(Depth0,Quantiles!T59))/Depth_per_q)</f>
        <v>0.462745807380455</v>
      </c>
      <c r="U59" s="20" t="n">
        <f aca="false">IF(Quantiles!U59&lt;0,"",(Depth0-MIN(Depth0,Quantiles!U59))/Depth_per_q)</f>
        <v>0.419267105066273</v>
      </c>
      <c r="V59" s="20" t="n">
        <f aca="false">IF(Quantiles!V59&lt;0,"",(Depth0-MIN(Depth0,Quantiles!V59))/Depth_per_q)</f>
        <v>0.374554032983277</v>
      </c>
      <c r="W59" s="20" t="n">
        <f aca="false">IF(Quantiles!W59&lt;0,"",(Depth0-MIN(Depth0,Quantiles!W59))/Depth_per_q)</f>
        <v>0.33002753595184</v>
      </c>
      <c r="X59" s="20" t="n">
        <f aca="false">IF(Quantiles!X59&lt;0,"",(Depth0-MIN(Depth0,Quantiles!X59))/Depth_per_q)</f>
        <v>0.28504482132881</v>
      </c>
      <c r="Y59" s="20" t="n">
        <f aca="false">IF(Quantiles!Y59&lt;0,"",(Depth0-MIN(Depth0,Quantiles!Y59))/Depth_per_q)</f>
        <v>0.247059268534097</v>
      </c>
      <c r="Z59" s="20" t="n">
        <f aca="false">IF(Quantiles!Z59&lt;0,"",(Depth0-MIN(Depth0,Quantiles!Z59))/Depth_per_q)</f>
        <v>0.208141295920277</v>
      </c>
      <c r="AA59" s="20" t="n">
        <f aca="false">IF(Quantiles!AA59&lt;0,"",(Depth0-MIN(Depth0,Quantiles!AA59))/Depth_per_q)</f>
        <v>0.171863955064922</v>
      </c>
      <c r="AB59" s="20" t="n">
        <f aca="false">IF(Quantiles!AB59&lt;0,"",(Depth0-MIN(Depth0,Quantiles!AB59))/Depth_per_q)</f>
        <v>0.132004814610885</v>
      </c>
      <c r="AC59" s="20" t="n">
        <f aca="false">IF(Quantiles!AC59&lt;0,"",(Depth0-MIN(Depth0,Quantiles!AC59))/Depth_per_q)</f>
        <v>0.0950274329347653</v>
      </c>
      <c r="AD59" s="20" t="n">
        <f aca="false">IF(Quantiles!AD59&lt;0,"",(Depth0-MIN(Depth0,Quantiles!AD59))/Depth_per_q)</f>
        <v>0.0588385719299378</v>
      </c>
      <c r="AE59" s="20" t="n">
        <f aca="false">IF(Quantiles!AE59&lt;0,"",(Depth0-MIN(Depth0,Quantiles!AE59))/Depth_per_q)</f>
        <v>0.0242785454724048</v>
      </c>
      <c r="AF59" s="20" t="n">
        <f aca="false">IF(Quantiles!AF59&lt;0,"",(Depth0-MIN(Depth0,Quantiles!AF59))/Depth_per_q)</f>
        <v>0</v>
      </c>
      <c r="AG59" s="20" t="n">
        <f aca="false">IF(Quantiles!AG59&lt;0,"",(Depth0-MIN(Depth0,Quantiles!AG59))/Depth_per_q)</f>
        <v>0</v>
      </c>
      <c r="AH59" s="20" t="n">
        <f aca="false">IF(Quantiles!AH59&lt;0,"",(Depth0-MIN(Depth0,Quantiles!AH59))/Depth_per_q)</f>
        <v>0</v>
      </c>
      <c r="AI59" s="20" t="n">
        <f aca="false">IF(Quantiles!AI59&lt;0,"",(Depth0-MIN(Depth0,Quantiles!AI59))/Depth_per_q)</f>
        <v>0</v>
      </c>
      <c r="AJ59" s="20" t="n">
        <f aca="false">IF(Quantiles!AJ59&lt;0,"",(Depth0-MIN(Depth0,Quantiles!AJ59))/Depth_per_q)</f>
        <v>0</v>
      </c>
      <c r="AK59" s="20" t="n">
        <f aca="false">IF(Quantiles!AK59&lt;0,"",(Depth0-MIN(Depth0,Quantiles!AK59))/Depth_per_q)</f>
        <v>0</v>
      </c>
      <c r="AL59" s="20" t="n">
        <f aca="false">IF(Quantiles!AL59&lt;0,"",(Depth0-MIN(Depth0,Quantiles!AL59))/Depth_per_q)</f>
        <v>0</v>
      </c>
      <c r="AM59" s="20" t="n">
        <f aca="false">IF(Quantiles!AM59&lt;0,"",(Depth0-MIN(Depth0,Quantiles!AM59))/Depth_per_q)</f>
        <v>0</v>
      </c>
      <c r="AN59" s="20" t="n">
        <f aca="false">IF(Quantiles!AN59&lt;0,"",(Depth0-MIN(Depth0,Quantiles!AN59))/Depth_per_q)</f>
        <v>0</v>
      </c>
      <c r="AO59" s="20" t="n">
        <f aca="false">IF(Quantiles!AO59&lt;0,"",(Depth0-MIN(Depth0,Quantiles!AO59))/Depth_per_q)</f>
        <v>0</v>
      </c>
      <c r="AP59" s="20" t="n">
        <f aca="false">IF(Quantiles!AP59&lt;0,"",(Depth0-MIN(Depth0,Quantiles!AP59))/Depth_per_q)</f>
        <v>0</v>
      </c>
      <c r="AQ59" s="20" t="n">
        <f aca="false">IF(Quantiles!AQ59&lt;0,"",(Depth0-MIN(Depth0,Quantiles!AQ59))/Depth_per_q)</f>
        <v>0</v>
      </c>
      <c r="AR59" s="20" t="n">
        <f aca="false">IF(Quantiles!AR59&lt;0,"",(Depth0-MIN(Depth0,Quantiles!AR59))/Depth_per_q)</f>
        <v>0</v>
      </c>
      <c r="AS59" s="20" t="n">
        <f aca="false">IF(Quantiles!AS59&lt;0,"",(Depth0-MIN(Depth0,Quantiles!AS59))/Depth_per_q)</f>
        <v>0</v>
      </c>
      <c r="AT59" s="20" t="n">
        <f aca="false">IF(Quantiles!AT59&lt;0,"",(Depth0-MIN(Depth0,Quantiles!AT59))/Depth_per_q)</f>
        <v>0</v>
      </c>
      <c r="AU59" s="20" t="n">
        <f aca="false">IF(Quantiles!AU59&lt;0,"",(Depth0-MIN(Depth0,Quantiles!AU59))/Depth_per_q)</f>
        <v>0</v>
      </c>
      <c r="AV59" s="20" t="n">
        <f aca="false">IF(Quantiles!AV59&lt;0,"",(Depth0-MIN(Depth0,Quantiles!AV59))/Depth_per_q)</f>
        <v>0</v>
      </c>
      <c r="AW59" s="20" t="n">
        <f aca="false">IF(Quantiles!AW59&lt;0,"",(Depth0-MIN(Depth0,Quantiles!AW59))/Depth_per_q)</f>
        <v>0</v>
      </c>
      <c r="AX59" s="20" t="n">
        <f aca="false">IF(Quantiles!AX59&lt;0,"",(Depth0-MIN(Depth0,Quantiles!AX59))/Depth_per_q)</f>
        <v>0</v>
      </c>
      <c r="AY59" s="20" t="n">
        <f aca="false">IF(Quantiles!AY59&lt;0,"",(Depth0-MIN(Depth0,Quantiles!AY59))/Depth_per_q)</f>
        <v>0</v>
      </c>
      <c r="AZ59" s="20" t="n">
        <f aca="false">IF(Quantiles!AZ59&lt;0,"",(Depth0-MIN(Depth0,Quantiles!AZ59))/Depth_per_q)</f>
        <v>0</v>
      </c>
      <c r="BA59" s="20" t="n">
        <f aca="false">IF(Quantiles!BA59&lt;0,"",(Depth0-MIN(Depth0,Quantiles!BA59))/Depth_per_q)</f>
        <v>0</v>
      </c>
      <c r="BB59" s="20" t="n">
        <f aca="false">IF(Quantiles!BB59&lt;0,"",(Depth0-MIN(Depth0,Quantiles!BB59))/Depth_per_q)</f>
        <v>0</v>
      </c>
      <c r="BC59" s="20" t="n">
        <f aca="false">IF(Quantiles!BC59&lt;0,"",(Depth0-MIN(Depth0,Quantiles!BC59))/Depth_per_q)</f>
        <v>0</v>
      </c>
      <c r="BD59" s="20" t="n">
        <f aca="false">IF(Quantiles!BD59&lt;0,"",(Depth0-MIN(Depth0,Quantiles!BD59))/Depth_per_q)</f>
        <v>0</v>
      </c>
      <c r="BE59" s="20" t="n">
        <f aca="false">IF(Quantiles!BE59&lt;0,"",(Depth0-MIN(Depth0,Quantiles!BE59))/Depth_per_q)</f>
        <v>0</v>
      </c>
      <c r="BF59" s="20" t="n">
        <f aca="false">IF(Quantiles!BF59&lt;0,"",(Depth0-MIN(Depth0,Quantiles!BF59))/Depth_per_q)</f>
        <v>0</v>
      </c>
      <c r="BG59" s="20" t="n">
        <f aca="false">IF(Quantiles!BG59&lt;0,"",(Depth0-MIN(Depth0,Quantiles!BG59))/Depth_per_q)</f>
        <v>0</v>
      </c>
      <c r="BH59" s="20" t="n">
        <f aca="false">IF(Quantiles!BH59&lt;0,"",(Depth0-MIN(Depth0,Quantiles!BH59))/Depth_per_q)</f>
        <v>0</v>
      </c>
      <c r="BI59" s="20" t="n">
        <f aca="false">IF(Quantiles!BI59&lt;0,"",(Depth0-MIN(Depth0,Quantiles!BI59))/Depth_per_q)</f>
        <v>0</v>
      </c>
      <c r="BJ59" s="20" t="n">
        <f aca="false">IF(Quantiles!BJ59&lt;0,"",(Depth0-MIN(Depth0,Quantiles!BJ59))/Depth_per_q)</f>
        <v>0</v>
      </c>
      <c r="BK59" s="20" t="n">
        <f aca="false">IF(Quantiles!BK59&lt;0,"",(Depth0-MIN(Depth0,Quantiles!BK59))/Depth_per_q)</f>
        <v>0</v>
      </c>
      <c r="BL59" s="20" t="n">
        <f aca="false">IF(Quantiles!BL59&lt;0,"",(Depth0-MIN(Depth0,Quantiles!BL59))/Depth_per_q)</f>
        <v>0</v>
      </c>
      <c r="BM59" s="20" t="n">
        <f aca="false">IF(Quantiles!BM59&lt;0,"",(Depth0-MIN(Depth0,Quantiles!BM59))/Depth_per_q)</f>
        <v>0</v>
      </c>
      <c r="BN59" s="20" t="n">
        <f aca="false">IF(Quantiles!BN59&lt;0,"",(Depth0-MIN(Depth0,Quantiles!BN59))/Depth_per_q)</f>
        <v>0</v>
      </c>
      <c r="BO59" s="20" t="n">
        <f aca="false">IF(Quantiles!BO59&lt;0,"",(Depth0-MIN(Depth0,Quantiles!BO59))/Depth_per_q)</f>
        <v>0</v>
      </c>
      <c r="BP59" s="20" t="n">
        <f aca="false">IF(Quantiles!BP59&lt;0,"",(Depth0-MIN(Depth0,Quantiles!BP59))/Depth_per_q)</f>
        <v>0</v>
      </c>
      <c r="BQ59" s="20" t="n">
        <f aca="false">IF(Quantiles!BQ59&lt;0,"",(Depth0-MIN(Depth0,Quantiles!BQ59))/Depth_per_q)</f>
        <v>0</v>
      </c>
      <c r="BR59" s="20" t="n">
        <f aca="false">IF(Quantiles!BR59&lt;0,"",(Depth0-MIN(Depth0,Quantiles!BR59))/Depth_per_q)</f>
        <v>0</v>
      </c>
      <c r="BS59" s="20" t="n">
        <f aca="false">IF(Quantiles!BS59&lt;0,"",(Depth0-MIN(Depth0,Quantiles!BS59))/Depth_per_q)</f>
        <v>0</v>
      </c>
      <c r="BT59" s="20" t="n">
        <f aca="false">IF(Quantiles!BT59&lt;0,"",(Depth0-MIN(Depth0,Quantiles!BT59))/Depth_per_q)</f>
        <v>0</v>
      </c>
      <c r="BU59" s="20" t="n">
        <f aca="false">IF(Quantiles!BU59&lt;0,"",(Depth0-MIN(Depth0,Quantiles!BU59))/Depth_per_q)</f>
        <v>0</v>
      </c>
      <c r="BV59" s="20" t="n">
        <f aca="false">IF(Quantiles!BV59&lt;0,"",(Depth0-MIN(Depth0,Quantiles!BV59))/Depth_per_q)</f>
        <v>0</v>
      </c>
      <c r="BW59" s="20" t="n">
        <f aca="false">IF(Quantiles!BW59&lt;0,"",(Depth0-MIN(Depth0,Quantiles!BW59))/Depth_per_q)</f>
        <v>0</v>
      </c>
      <c r="BX59" s="20" t="n">
        <f aca="false">IF(Quantiles!BX59&lt;0,"",(Depth0-MIN(Depth0,Quantiles!BX59))/Depth_per_q)</f>
        <v>0</v>
      </c>
      <c r="BY59" s="20" t="n">
        <f aca="false">IF(Quantiles!BY59&lt;0,"",(Depth0-MIN(Depth0,Quantiles!BY59))/Depth_per_q)</f>
        <v>0</v>
      </c>
      <c r="BZ59" s="20" t="n">
        <f aca="false">IF(Quantiles!BZ59&lt;0,"",(Depth0-MIN(Depth0,Quantiles!BZ59))/Depth_per_q)</f>
        <v>0</v>
      </c>
      <c r="CA59" s="20" t="n">
        <f aca="false">IF(Quantiles!CA59&lt;0,"",(Depth0-MIN(Depth0,Quantiles!CA59))/Depth_per_q)</f>
        <v>0</v>
      </c>
      <c r="CB59" s="20" t="n">
        <f aca="false">IF(Quantiles!CB59&lt;0,"",(Depth0-MIN(Depth0,Quantiles!CB59))/Depth_per_q)</f>
        <v>0</v>
      </c>
      <c r="CC59" s="20" t="n">
        <f aca="false">IF(Quantiles!CC59&lt;0,"",(Depth0-MIN(Depth0,Quantiles!CC59))/Depth_per_q)</f>
        <v>0</v>
      </c>
      <c r="CD59" s="20" t="n">
        <f aca="false">IF(Quantiles!CD59&lt;0,"",(Depth0-MIN(Depth0,Quantiles!CD59))/Depth_per_q)</f>
        <v>0</v>
      </c>
      <c r="CE59" s="20" t="n">
        <f aca="false">IF(Quantiles!CE59&lt;0,"",(Depth0-MIN(Depth0,Quantiles!CE59))/Depth_per_q)</f>
        <v>0</v>
      </c>
      <c r="CF59" s="20" t="n">
        <f aca="false">IF(Quantiles!CF59&lt;0,"",(Depth0-MIN(Depth0,Quantiles!CF59))/Depth_per_q)</f>
        <v>0</v>
      </c>
      <c r="CG59" s="20" t="n">
        <f aca="false">IF(Quantiles!CG59&lt;0,"",(Depth0-MIN(Depth0,Quantiles!CG59))/Depth_per_q)</f>
        <v>0</v>
      </c>
      <c r="CH59" s="20" t="n">
        <f aca="false">IF(Quantiles!CH59&lt;0,"",(Depth0-MIN(Depth0,Quantiles!CH59))/Depth_per_q)</f>
        <v>0</v>
      </c>
      <c r="CI59" s="20" t="n">
        <f aca="false">IF(Quantiles!CI59&lt;0,"",(Depth0-MIN(Depth0,Quantiles!CI59))/Depth_per_q)</f>
        <v>0</v>
      </c>
      <c r="CJ59" s="20" t="n">
        <f aca="false">IF(Quantiles!CJ59&lt;0,"",(Depth0-MIN(Depth0,Quantiles!CJ59))/Depth_per_q)</f>
        <v>0</v>
      </c>
      <c r="CK59" s="20" t="n">
        <f aca="false">IF(Quantiles!CK59&lt;0,"",(Depth0-MIN(Depth0,Quantiles!CK59))/Depth_per_q)</f>
        <v>0</v>
      </c>
      <c r="CL59" s="20" t="n">
        <f aca="false">IF(Quantiles!CL59&lt;0,"",(Depth0-MIN(Depth0,Quantiles!CL59))/Depth_per_q)</f>
        <v>0</v>
      </c>
      <c r="CM59" s="20" t="n">
        <f aca="false">IF(Quantiles!CM59&lt;0,"",(Depth0-MIN(Depth0,Quantiles!CM59))/Depth_per_q)</f>
        <v>0</v>
      </c>
      <c r="CN59" s="20" t="n">
        <f aca="false">IF(Quantiles!CN59&lt;0,"",(Depth0-MIN(Depth0,Quantiles!CN59))/Depth_per_q)</f>
        <v>0</v>
      </c>
      <c r="CO59" s="20" t="n">
        <f aca="false">IF(Quantiles!CO59&lt;0,"",(Depth0-MIN(Depth0,Quantiles!CO59))/Depth_per_q)</f>
        <v>0</v>
      </c>
      <c r="CP59" s="20" t="n">
        <f aca="false">IF(Quantiles!CP59&lt;0,"",(Depth0-MIN(Depth0,Quantiles!CP59))/Depth_per_q)</f>
        <v>0</v>
      </c>
      <c r="CQ59" s="20" t="n">
        <f aca="false">IF(Quantiles!CQ59&lt;0,"",(Depth0-MIN(Depth0,Quantiles!CQ59))/Depth_per_q)</f>
        <v>0</v>
      </c>
      <c r="CR59" s="20" t="n">
        <f aca="false">IF(Quantiles!CR59&lt;0,"",(Depth0-MIN(Depth0,Quantiles!CR59))/Depth_per_q)</f>
        <v>0</v>
      </c>
      <c r="CS59" s="20" t="n">
        <f aca="false">IF(Quantiles!CS59&lt;0,"",(Depth0-MIN(Depth0,Quantiles!CS59))/Depth_per_q)</f>
        <v>0</v>
      </c>
      <c r="CT59" s="20" t="n">
        <f aca="false">IF(Quantiles!CT59&lt;0,"",(Depth0-MIN(Depth0,Quantiles!CT59))/Depth_per_q)</f>
        <v>1.07233006917235</v>
      </c>
    </row>
    <row r="60" customFormat="false" ht="15" hidden="false" customHeight="false" outlineLevel="0" collapsed="false">
      <c r="A60" s="25" t="n">
        <f aca="false">Quantiles!A60</f>
        <v>275</v>
      </c>
      <c r="B60" s="20" t="n">
        <f aca="false">IF(Quantiles!B60&lt;0,"",(Depth0-MIN(Depth0,Quantiles!B60))/Depth_per_q)</f>
        <v>2.04951160902701</v>
      </c>
      <c r="C60" s="20" t="n">
        <f aca="false">IF(Quantiles!C60&lt;0,"",(Depth0-MIN(Depth0,Quantiles!C60))/Depth_per_q)</f>
        <v>1.86233971824636</v>
      </c>
      <c r="D60" s="20" t="n">
        <f aca="false">IF(Quantiles!D60&lt;0,"",(Depth0-MIN(Depth0,Quantiles!D60))/Depth_per_q)</f>
        <v>1.69946977282122</v>
      </c>
      <c r="E60" s="20" t="n">
        <f aca="false">IF(Quantiles!E60&lt;0,"",(Depth0-MIN(Depth0,Quantiles!E60))/Depth_per_q)</f>
        <v>1.56255110530637</v>
      </c>
      <c r="F60" s="20" t="n">
        <f aca="false">IF(Quantiles!F60&lt;0,"",(Depth0-MIN(Depth0,Quantiles!F60))/Depth_per_q)</f>
        <v>1.4396918484136</v>
      </c>
      <c r="G60" s="20" t="n">
        <f aca="false">IF(Quantiles!G60&lt;0,"",(Depth0-MIN(Depth0,Quantiles!G60))/Depth_per_q)</f>
        <v>1.33475687789046</v>
      </c>
      <c r="H60" s="20" t="n">
        <f aca="false">IF(Quantiles!H60&lt;0,"",(Depth0-MIN(Depth0,Quantiles!H60))/Depth_per_q)</f>
        <v>1.23996214596075</v>
      </c>
      <c r="I60" s="20" t="n">
        <f aca="false">IF(Quantiles!I60&lt;0,"",(Depth0-MIN(Depth0,Quantiles!I60))/Depth_per_q)</f>
        <v>1.1495260735316</v>
      </c>
      <c r="J60" s="20" t="n">
        <f aca="false">IF(Quantiles!J60&lt;0,"",(Depth0-MIN(Depth0,Quantiles!J60))/Depth_per_q)</f>
        <v>1.07245467186229</v>
      </c>
      <c r="K60" s="20" t="n">
        <f aca="false">IF(Quantiles!K60&lt;0,"",(Depth0-MIN(Depth0,Quantiles!K60))/Depth_per_q)</f>
        <v>0.993103710493823</v>
      </c>
      <c r="L60" s="20" t="n">
        <f aca="false">IF(Quantiles!L60&lt;0,"",(Depth0-MIN(Depth0,Quantiles!L60))/Depth_per_q)</f>
        <v>0.916403783038428</v>
      </c>
      <c r="M60" s="20" t="n">
        <f aca="false">IF(Quantiles!M60&lt;0,"",(Depth0-MIN(Depth0,Quantiles!M60))/Depth_per_q)</f>
        <v>0.85316216966787</v>
      </c>
      <c r="N60" s="20" t="n">
        <f aca="false">IF(Quantiles!N60&lt;0,"",(Depth0-MIN(Depth0,Quantiles!N60))/Depth_per_q)</f>
        <v>0.79170615607817</v>
      </c>
      <c r="O60" s="20" t="n">
        <f aca="false">IF(Quantiles!O60&lt;0,"",(Depth0-MIN(Depth0,Quantiles!O60))/Depth_per_q)</f>
        <v>0.726133461896502</v>
      </c>
      <c r="P60" s="20" t="n">
        <f aca="false">IF(Quantiles!P60&lt;0,"",(Depth0-MIN(Depth0,Quantiles!P60))/Depth_per_q)</f>
        <v>0.665997758660413</v>
      </c>
      <c r="Q60" s="20" t="n">
        <f aca="false">IF(Quantiles!Q60&lt;0,"",(Depth0-MIN(Depth0,Quantiles!Q60))/Depth_per_q)</f>
        <v>0.610474027314337</v>
      </c>
      <c r="R60" s="20" t="n">
        <f aca="false">IF(Quantiles!R60&lt;0,"",(Depth0-MIN(Depth0,Quantiles!R60))/Depth_per_q)</f>
        <v>0.55961203103637</v>
      </c>
      <c r="S60" s="20" t="n">
        <f aca="false">IF(Quantiles!S60&lt;0,"",(Depth0-MIN(Depth0,Quantiles!S60))/Depth_per_q)</f>
        <v>0.508607642115497</v>
      </c>
      <c r="T60" s="20" t="n">
        <f aca="false">IF(Quantiles!T60&lt;0,"",(Depth0-MIN(Depth0,Quantiles!T60))/Depth_per_q)</f>
        <v>0.46225037635752</v>
      </c>
      <c r="U60" s="20" t="n">
        <f aca="false">IF(Quantiles!U60&lt;0,"",(Depth0-MIN(Depth0,Quantiles!U60))/Depth_per_q)</f>
        <v>0.418735099605223</v>
      </c>
      <c r="V60" s="20" t="n">
        <f aca="false">IF(Quantiles!V60&lt;0,"",(Depth0-MIN(Depth0,Quantiles!V60))/Depth_per_q)</f>
        <v>0.374033851278678</v>
      </c>
      <c r="W60" s="20" t="n">
        <f aca="false">IF(Quantiles!W60&lt;0,"",(Depth0-MIN(Depth0,Quantiles!W60))/Depth_per_q)</f>
        <v>0.32915688918967</v>
      </c>
      <c r="X60" s="20" t="n">
        <f aca="false">IF(Quantiles!X60&lt;0,"",(Depth0-MIN(Depth0,Quantiles!X60))/Depth_per_q)</f>
        <v>0.284163451631778</v>
      </c>
      <c r="Y60" s="20" t="n">
        <f aca="false">IF(Quantiles!Y60&lt;0,"",(Depth0-MIN(Depth0,Quantiles!Y60))/Depth_per_q)</f>
        <v>0.246355447195075</v>
      </c>
      <c r="Z60" s="20" t="n">
        <f aca="false">IF(Quantiles!Z60&lt;0,"",(Depth0-MIN(Depth0,Quantiles!Z60))/Depth_per_q)</f>
        <v>0.20776473233168</v>
      </c>
      <c r="AA60" s="20" t="n">
        <f aca="false">IF(Quantiles!AA60&lt;0,"",(Depth0-MIN(Depth0,Quantiles!AA60))/Depth_per_q)</f>
        <v>0.171194472969475</v>
      </c>
      <c r="AB60" s="20" t="n">
        <f aca="false">IF(Quantiles!AB60&lt;0,"",(Depth0-MIN(Depth0,Quantiles!AB60))/Depth_per_q)</f>
        <v>0.131385754416705</v>
      </c>
      <c r="AC60" s="20" t="n">
        <f aca="false">IF(Quantiles!AC60&lt;0,"",(Depth0-MIN(Depth0,Quantiles!AC60))/Depth_per_q)</f>
        <v>0.0947368335687822</v>
      </c>
      <c r="AD60" s="20" t="n">
        <f aca="false">IF(Quantiles!AD60&lt;0,"",(Depth0-MIN(Depth0,Quantiles!AD60))/Depth_per_q)</f>
        <v>0.0582975230114373</v>
      </c>
      <c r="AE60" s="20" t="n">
        <f aca="false">IF(Quantiles!AE60&lt;0,"",(Depth0-MIN(Depth0,Quantiles!AE60))/Depth_per_q)</f>
        <v>0.0235784288484604</v>
      </c>
      <c r="AF60" s="20" t="n">
        <f aca="false">IF(Quantiles!AF60&lt;0,"",(Depth0-MIN(Depth0,Quantiles!AF60))/Depth_per_q)</f>
        <v>0</v>
      </c>
      <c r="AG60" s="20" t="n">
        <f aca="false">IF(Quantiles!AG60&lt;0,"",(Depth0-MIN(Depth0,Quantiles!AG60))/Depth_per_q)</f>
        <v>0</v>
      </c>
      <c r="AH60" s="20" t="n">
        <f aca="false">IF(Quantiles!AH60&lt;0,"",(Depth0-MIN(Depth0,Quantiles!AH60))/Depth_per_q)</f>
        <v>0</v>
      </c>
      <c r="AI60" s="20" t="n">
        <f aca="false">IF(Quantiles!AI60&lt;0,"",(Depth0-MIN(Depth0,Quantiles!AI60))/Depth_per_q)</f>
        <v>0</v>
      </c>
      <c r="AJ60" s="20" t="n">
        <f aca="false">IF(Quantiles!AJ60&lt;0,"",(Depth0-MIN(Depth0,Quantiles!AJ60))/Depth_per_q)</f>
        <v>0</v>
      </c>
      <c r="AK60" s="20" t="n">
        <f aca="false">IF(Quantiles!AK60&lt;0,"",(Depth0-MIN(Depth0,Quantiles!AK60))/Depth_per_q)</f>
        <v>0</v>
      </c>
      <c r="AL60" s="20" t="n">
        <f aca="false">IF(Quantiles!AL60&lt;0,"",(Depth0-MIN(Depth0,Quantiles!AL60))/Depth_per_q)</f>
        <v>0</v>
      </c>
      <c r="AM60" s="20" t="n">
        <f aca="false">IF(Quantiles!AM60&lt;0,"",(Depth0-MIN(Depth0,Quantiles!AM60))/Depth_per_q)</f>
        <v>0</v>
      </c>
      <c r="AN60" s="20" t="n">
        <f aca="false">IF(Quantiles!AN60&lt;0,"",(Depth0-MIN(Depth0,Quantiles!AN60))/Depth_per_q)</f>
        <v>0</v>
      </c>
      <c r="AO60" s="20" t="n">
        <f aca="false">IF(Quantiles!AO60&lt;0,"",(Depth0-MIN(Depth0,Quantiles!AO60))/Depth_per_q)</f>
        <v>0</v>
      </c>
      <c r="AP60" s="20" t="n">
        <f aca="false">IF(Quantiles!AP60&lt;0,"",(Depth0-MIN(Depth0,Quantiles!AP60))/Depth_per_q)</f>
        <v>0</v>
      </c>
      <c r="AQ60" s="20" t="n">
        <f aca="false">IF(Quantiles!AQ60&lt;0,"",(Depth0-MIN(Depth0,Quantiles!AQ60))/Depth_per_q)</f>
        <v>0</v>
      </c>
      <c r="AR60" s="20" t="n">
        <f aca="false">IF(Quantiles!AR60&lt;0,"",(Depth0-MIN(Depth0,Quantiles!AR60))/Depth_per_q)</f>
        <v>0</v>
      </c>
      <c r="AS60" s="20" t="n">
        <f aca="false">IF(Quantiles!AS60&lt;0,"",(Depth0-MIN(Depth0,Quantiles!AS60))/Depth_per_q)</f>
        <v>0</v>
      </c>
      <c r="AT60" s="20" t="n">
        <f aca="false">IF(Quantiles!AT60&lt;0,"",(Depth0-MIN(Depth0,Quantiles!AT60))/Depth_per_q)</f>
        <v>0</v>
      </c>
      <c r="AU60" s="20" t="n">
        <f aca="false">IF(Quantiles!AU60&lt;0,"",(Depth0-MIN(Depth0,Quantiles!AU60))/Depth_per_q)</f>
        <v>0</v>
      </c>
      <c r="AV60" s="20" t="n">
        <f aca="false">IF(Quantiles!AV60&lt;0,"",(Depth0-MIN(Depth0,Quantiles!AV60))/Depth_per_q)</f>
        <v>0</v>
      </c>
      <c r="AW60" s="20" t="n">
        <f aca="false">IF(Quantiles!AW60&lt;0,"",(Depth0-MIN(Depth0,Quantiles!AW60))/Depth_per_q)</f>
        <v>0</v>
      </c>
      <c r="AX60" s="20" t="n">
        <f aca="false">IF(Quantiles!AX60&lt;0,"",(Depth0-MIN(Depth0,Quantiles!AX60))/Depth_per_q)</f>
        <v>0</v>
      </c>
      <c r="AY60" s="20" t="n">
        <f aca="false">IF(Quantiles!AY60&lt;0,"",(Depth0-MIN(Depth0,Quantiles!AY60))/Depth_per_q)</f>
        <v>0</v>
      </c>
      <c r="AZ60" s="20" t="n">
        <f aca="false">IF(Quantiles!AZ60&lt;0,"",(Depth0-MIN(Depth0,Quantiles!AZ60))/Depth_per_q)</f>
        <v>0</v>
      </c>
      <c r="BA60" s="20" t="n">
        <f aca="false">IF(Quantiles!BA60&lt;0,"",(Depth0-MIN(Depth0,Quantiles!BA60))/Depth_per_q)</f>
        <v>0</v>
      </c>
      <c r="BB60" s="20" t="n">
        <f aca="false">IF(Quantiles!BB60&lt;0,"",(Depth0-MIN(Depth0,Quantiles!BB60))/Depth_per_q)</f>
        <v>0</v>
      </c>
      <c r="BC60" s="20" t="n">
        <f aca="false">IF(Quantiles!BC60&lt;0,"",(Depth0-MIN(Depth0,Quantiles!BC60))/Depth_per_q)</f>
        <v>0</v>
      </c>
      <c r="BD60" s="20" t="n">
        <f aca="false">IF(Quantiles!BD60&lt;0,"",(Depth0-MIN(Depth0,Quantiles!BD60))/Depth_per_q)</f>
        <v>0</v>
      </c>
      <c r="BE60" s="20" t="n">
        <f aca="false">IF(Quantiles!BE60&lt;0,"",(Depth0-MIN(Depth0,Quantiles!BE60))/Depth_per_q)</f>
        <v>0</v>
      </c>
      <c r="BF60" s="20" t="n">
        <f aca="false">IF(Quantiles!BF60&lt;0,"",(Depth0-MIN(Depth0,Quantiles!BF60))/Depth_per_q)</f>
        <v>0</v>
      </c>
      <c r="BG60" s="20" t="n">
        <f aca="false">IF(Quantiles!BG60&lt;0,"",(Depth0-MIN(Depth0,Quantiles!BG60))/Depth_per_q)</f>
        <v>0</v>
      </c>
      <c r="BH60" s="20" t="n">
        <f aca="false">IF(Quantiles!BH60&lt;0,"",(Depth0-MIN(Depth0,Quantiles!BH60))/Depth_per_q)</f>
        <v>0</v>
      </c>
      <c r="BI60" s="20" t="n">
        <f aca="false">IF(Quantiles!BI60&lt;0,"",(Depth0-MIN(Depth0,Quantiles!BI60))/Depth_per_q)</f>
        <v>0</v>
      </c>
      <c r="BJ60" s="20" t="n">
        <f aca="false">IF(Quantiles!BJ60&lt;0,"",(Depth0-MIN(Depth0,Quantiles!BJ60))/Depth_per_q)</f>
        <v>0</v>
      </c>
      <c r="BK60" s="20" t="n">
        <f aca="false">IF(Quantiles!BK60&lt;0,"",(Depth0-MIN(Depth0,Quantiles!BK60))/Depth_per_q)</f>
        <v>0</v>
      </c>
      <c r="BL60" s="20" t="n">
        <f aca="false">IF(Quantiles!BL60&lt;0,"",(Depth0-MIN(Depth0,Quantiles!BL60))/Depth_per_q)</f>
        <v>0</v>
      </c>
      <c r="BM60" s="20" t="n">
        <f aca="false">IF(Quantiles!BM60&lt;0,"",(Depth0-MIN(Depth0,Quantiles!BM60))/Depth_per_q)</f>
        <v>0</v>
      </c>
      <c r="BN60" s="20" t="n">
        <f aca="false">IF(Quantiles!BN60&lt;0,"",(Depth0-MIN(Depth0,Quantiles!BN60))/Depth_per_q)</f>
        <v>0</v>
      </c>
      <c r="BO60" s="20" t="n">
        <f aca="false">IF(Quantiles!BO60&lt;0,"",(Depth0-MIN(Depth0,Quantiles!BO60))/Depth_per_q)</f>
        <v>0</v>
      </c>
      <c r="BP60" s="20" t="n">
        <f aca="false">IF(Quantiles!BP60&lt;0,"",(Depth0-MIN(Depth0,Quantiles!BP60))/Depth_per_q)</f>
        <v>0</v>
      </c>
      <c r="BQ60" s="20" t="n">
        <f aca="false">IF(Quantiles!BQ60&lt;0,"",(Depth0-MIN(Depth0,Quantiles!BQ60))/Depth_per_q)</f>
        <v>0</v>
      </c>
      <c r="BR60" s="20" t="n">
        <f aca="false">IF(Quantiles!BR60&lt;0,"",(Depth0-MIN(Depth0,Quantiles!BR60))/Depth_per_q)</f>
        <v>0</v>
      </c>
      <c r="BS60" s="20" t="n">
        <f aca="false">IF(Quantiles!BS60&lt;0,"",(Depth0-MIN(Depth0,Quantiles!BS60))/Depth_per_q)</f>
        <v>0</v>
      </c>
      <c r="BT60" s="20" t="n">
        <f aca="false">IF(Quantiles!BT60&lt;0,"",(Depth0-MIN(Depth0,Quantiles!BT60))/Depth_per_q)</f>
        <v>0</v>
      </c>
      <c r="BU60" s="20" t="n">
        <f aca="false">IF(Quantiles!BU60&lt;0,"",(Depth0-MIN(Depth0,Quantiles!BU60))/Depth_per_q)</f>
        <v>0</v>
      </c>
      <c r="BV60" s="20" t="n">
        <f aca="false">IF(Quantiles!BV60&lt;0,"",(Depth0-MIN(Depth0,Quantiles!BV60))/Depth_per_q)</f>
        <v>0</v>
      </c>
      <c r="BW60" s="20" t="n">
        <f aca="false">IF(Quantiles!BW60&lt;0,"",(Depth0-MIN(Depth0,Quantiles!BW60))/Depth_per_q)</f>
        <v>0</v>
      </c>
      <c r="BX60" s="20" t="n">
        <f aca="false">IF(Quantiles!BX60&lt;0,"",(Depth0-MIN(Depth0,Quantiles!BX60))/Depth_per_q)</f>
        <v>0</v>
      </c>
      <c r="BY60" s="20" t="n">
        <f aca="false">IF(Quantiles!BY60&lt;0,"",(Depth0-MIN(Depth0,Quantiles!BY60))/Depth_per_q)</f>
        <v>0</v>
      </c>
      <c r="BZ60" s="20" t="n">
        <f aca="false">IF(Quantiles!BZ60&lt;0,"",(Depth0-MIN(Depth0,Quantiles!BZ60))/Depth_per_q)</f>
        <v>0</v>
      </c>
      <c r="CA60" s="20" t="n">
        <f aca="false">IF(Quantiles!CA60&lt;0,"",(Depth0-MIN(Depth0,Quantiles!CA60))/Depth_per_q)</f>
        <v>0</v>
      </c>
      <c r="CB60" s="20" t="n">
        <f aca="false">IF(Quantiles!CB60&lt;0,"",(Depth0-MIN(Depth0,Quantiles!CB60))/Depth_per_q)</f>
        <v>0</v>
      </c>
      <c r="CC60" s="20" t="n">
        <f aca="false">IF(Quantiles!CC60&lt;0,"",(Depth0-MIN(Depth0,Quantiles!CC60))/Depth_per_q)</f>
        <v>0</v>
      </c>
      <c r="CD60" s="20" t="n">
        <f aca="false">IF(Quantiles!CD60&lt;0,"",(Depth0-MIN(Depth0,Quantiles!CD60))/Depth_per_q)</f>
        <v>0</v>
      </c>
      <c r="CE60" s="20" t="n">
        <f aca="false">IF(Quantiles!CE60&lt;0,"",(Depth0-MIN(Depth0,Quantiles!CE60))/Depth_per_q)</f>
        <v>0</v>
      </c>
      <c r="CF60" s="20" t="n">
        <f aca="false">IF(Quantiles!CF60&lt;0,"",(Depth0-MIN(Depth0,Quantiles!CF60))/Depth_per_q)</f>
        <v>0</v>
      </c>
      <c r="CG60" s="20" t="n">
        <f aca="false">IF(Quantiles!CG60&lt;0,"",(Depth0-MIN(Depth0,Quantiles!CG60))/Depth_per_q)</f>
        <v>0</v>
      </c>
      <c r="CH60" s="20" t="n">
        <f aca="false">IF(Quantiles!CH60&lt;0,"",(Depth0-MIN(Depth0,Quantiles!CH60))/Depth_per_q)</f>
        <v>0</v>
      </c>
      <c r="CI60" s="20" t="n">
        <f aca="false">IF(Quantiles!CI60&lt;0,"",(Depth0-MIN(Depth0,Quantiles!CI60))/Depth_per_q)</f>
        <v>0</v>
      </c>
      <c r="CJ60" s="20" t="n">
        <f aca="false">IF(Quantiles!CJ60&lt;0,"",(Depth0-MIN(Depth0,Quantiles!CJ60))/Depth_per_q)</f>
        <v>0</v>
      </c>
      <c r="CK60" s="20" t="n">
        <f aca="false">IF(Quantiles!CK60&lt;0,"",(Depth0-MIN(Depth0,Quantiles!CK60))/Depth_per_q)</f>
        <v>0</v>
      </c>
      <c r="CL60" s="20" t="n">
        <f aca="false">IF(Quantiles!CL60&lt;0,"",(Depth0-MIN(Depth0,Quantiles!CL60))/Depth_per_q)</f>
        <v>0</v>
      </c>
      <c r="CM60" s="20" t="n">
        <f aca="false">IF(Quantiles!CM60&lt;0,"",(Depth0-MIN(Depth0,Quantiles!CM60))/Depth_per_q)</f>
        <v>0</v>
      </c>
      <c r="CN60" s="20" t="n">
        <f aca="false">IF(Quantiles!CN60&lt;0,"",(Depth0-MIN(Depth0,Quantiles!CN60))/Depth_per_q)</f>
        <v>0</v>
      </c>
      <c r="CO60" s="20" t="n">
        <f aca="false">IF(Quantiles!CO60&lt;0,"",(Depth0-MIN(Depth0,Quantiles!CO60))/Depth_per_q)</f>
        <v>0</v>
      </c>
      <c r="CP60" s="20" t="n">
        <f aca="false">IF(Quantiles!CP60&lt;0,"",(Depth0-MIN(Depth0,Quantiles!CP60))/Depth_per_q)</f>
        <v>0</v>
      </c>
      <c r="CQ60" s="20" t="n">
        <f aca="false">IF(Quantiles!CQ60&lt;0,"",(Depth0-MIN(Depth0,Quantiles!CQ60))/Depth_per_q)</f>
        <v>0</v>
      </c>
      <c r="CR60" s="20" t="n">
        <f aca="false">IF(Quantiles!CR60&lt;0,"",(Depth0-MIN(Depth0,Quantiles!CR60))/Depth_per_q)</f>
        <v>0</v>
      </c>
      <c r="CS60" s="20" t="n">
        <f aca="false">IF(Quantiles!CS60&lt;0,"",(Depth0-MIN(Depth0,Quantiles!CS60))/Depth_per_q)</f>
        <v>0</v>
      </c>
      <c r="CT60" s="20" t="n">
        <f aca="false">IF(Quantiles!CT60&lt;0,"",(Depth0-MIN(Depth0,Quantiles!CT60))/Depth_per_q)</f>
        <v>1.07219326723199</v>
      </c>
    </row>
    <row r="61" customFormat="false" ht="15" hidden="false" customHeight="false" outlineLevel="0" collapsed="false">
      <c r="A61" s="25" t="n">
        <f aca="false">Quantiles!A61</f>
        <v>280</v>
      </c>
      <c r="B61" s="20" t="n">
        <f aca="false">IF(Quantiles!B61&lt;0,"",(Depth0-MIN(Depth0,Quantiles!B61))/Depth_per_q)</f>
        <v>2.04918243741774</v>
      </c>
      <c r="C61" s="20" t="n">
        <f aca="false">IF(Quantiles!C61&lt;0,"",(Depth0-MIN(Depth0,Quantiles!C61))/Depth_per_q)</f>
        <v>1.86014029271677</v>
      </c>
      <c r="D61" s="20" t="n">
        <f aca="false">IF(Quantiles!D61&lt;0,"",(Depth0-MIN(Depth0,Quantiles!D61))/Depth_per_q)</f>
        <v>1.6976659170317</v>
      </c>
      <c r="E61" s="20" t="n">
        <f aca="false">IF(Quantiles!E61&lt;0,"",(Depth0-MIN(Depth0,Quantiles!E61))/Depth_per_q)</f>
        <v>1.5624771812778</v>
      </c>
      <c r="F61" s="20" t="n">
        <f aca="false">IF(Quantiles!F61&lt;0,"",(Depth0-MIN(Depth0,Quantiles!F61))/Depth_per_q)</f>
        <v>1.43932110498844</v>
      </c>
      <c r="G61" s="20" t="n">
        <f aca="false">IF(Quantiles!G61&lt;0,"",(Depth0-MIN(Depth0,Quantiles!G61))/Depth_per_q)</f>
        <v>1.33420667104616</v>
      </c>
      <c r="H61" s="20" t="n">
        <f aca="false">IF(Quantiles!H61&lt;0,"",(Depth0-MIN(Depth0,Quantiles!H61))/Depth_per_q)</f>
        <v>1.23967760621961</v>
      </c>
      <c r="I61" s="20" t="n">
        <f aca="false">IF(Quantiles!I61&lt;0,"",(Depth0-MIN(Depth0,Quantiles!I61))/Depth_per_q)</f>
        <v>1.14922631939828</v>
      </c>
      <c r="J61" s="20" t="n">
        <f aca="false">IF(Quantiles!J61&lt;0,"",(Depth0-MIN(Depth0,Quantiles!J61))/Depth_per_q)</f>
        <v>1.07233006917235</v>
      </c>
      <c r="K61" s="20" t="n">
        <f aca="false">IF(Quantiles!K61&lt;0,"",(Depth0-MIN(Depth0,Quantiles!K61))/Depth_per_q)</f>
        <v>0.993102441088393</v>
      </c>
      <c r="L61" s="20" t="n">
        <f aca="false">IF(Quantiles!L61&lt;0,"",(Depth0-MIN(Depth0,Quantiles!L61))/Depth_per_q)</f>
        <v>0.915973184985372</v>
      </c>
      <c r="M61" s="20" t="n">
        <f aca="false">IF(Quantiles!M61&lt;0,"",(Depth0-MIN(Depth0,Quantiles!M61))/Depth_per_q)</f>
        <v>0.85278030595492</v>
      </c>
      <c r="N61" s="20" t="n">
        <f aca="false">IF(Quantiles!N61&lt;0,"",(Depth0-MIN(Depth0,Quantiles!N61))/Depth_per_q)</f>
        <v>0.790958506891823</v>
      </c>
      <c r="O61" s="20" t="n">
        <f aca="false">IF(Quantiles!O61&lt;0,"",(Depth0-MIN(Depth0,Quantiles!O61))/Depth_per_q)</f>
        <v>0.724787637266235</v>
      </c>
      <c r="P61" s="20" t="n">
        <f aca="false">IF(Quantiles!P61&lt;0,"",(Depth0-MIN(Depth0,Quantiles!P61))/Depth_per_q)</f>
        <v>0.665617258594113</v>
      </c>
      <c r="Q61" s="20" t="n">
        <f aca="false">IF(Quantiles!Q61&lt;0,"",(Depth0-MIN(Depth0,Quantiles!Q61))/Depth_per_q)</f>
        <v>0.609886708827777</v>
      </c>
      <c r="R61" s="20" t="n">
        <f aca="false">IF(Quantiles!R61&lt;0,"",(Depth0-MIN(Depth0,Quantiles!R61))/Depth_per_q)</f>
        <v>0.558626047833028</v>
      </c>
      <c r="S61" s="20" t="n">
        <f aca="false">IF(Quantiles!S61&lt;0,"",(Depth0-MIN(Depth0,Quantiles!S61))/Depth_per_q)</f>
        <v>0.50818303470969</v>
      </c>
      <c r="T61" s="20" t="n">
        <f aca="false">IF(Quantiles!T61&lt;0,"",(Depth0-MIN(Depth0,Quantiles!T61))/Depth_per_q)</f>
        <v>0.46190860393358</v>
      </c>
      <c r="U61" s="20" t="n">
        <f aca="false">IF(Quantiles!U61&lt;0,"",(Depth0-MIN(Depth0,Quantiles!U61))/Depth_per_q)</f>
        <v>0.417866627153892</v>
      </c>
      <c r="V61" s="20" t="n">
        <f aca="false">IF(Quantiles!V61&lt;0,"",(Depth0-MIN(Depth0,Quantiles!V61))/Depth_per_q)</f>
        <v>0.373620319430015</v>
      </c>
      <c r="W61" s="20" t="n">
        <f aca="false">IF(Quantiles!W61&lt;0,"",(Depth0-MIN(Depth0,Quantiles!W61))/Depth_per_q)</f>
        <v>0.328294802612668</v>
      </c>
      <c r="X61" s="20" t="n">
        <f aca="false">IF(Quantiles!X61&lt;0,"",(Depth0-MIN(Depth0,Quantiles!X61))/Depth_per_q)</f>
        <v>0.283508493248942</v>
      </c>
      <c r="Y61" s="20" t="n">
        <f aca="false">IF(Quantiles!Y61&lt;0,"",(Depth0-MIN(Depth0,Quantiles!Y61))/Depth_per_q)</f>
        <v>0.245941858823548</v>
      </c>
      <c r="Z61" s="20" t="n">
        <f aca="false">IF(Quantiles!Z61&lt;0,"",(Depth0-MIN(Depth0,Quantiles!Z61))/Depth_per_q)</f>
        <v>0.207388037829243</v>
      </c>
      <c r="AA61" s="20" t="n">
        <f aca="false">IF(Quantiles!AA61&lt;0,"",(Depth0-MIN(Depth0,Quantiles!AA61))/Depth_per_q)</f>
        <v>0.170429428843413</v>
      </c>
      <c r="AB61" s="20" t="n">
        <f aca="false">IF(Quantiles!AB61&lt;0,"",(Depth0-MIN(Depth0,Quantiles!AB61))/Depth_per_q)</f>
        <v>0.13009020226263</v>
      </c>
      <c r="AC61" s="20" t="n">
        <f aca="false">IF(Quantiles!AC61&lt;0,"",(Depth0-MIN(Depth0,Quantiles!AC61))/Depth_per_q)</f>
        <v>0.0944654356988899</v>
      </c>
      <c r="AD61" s="20" t="n">
        <f aca="false">IF(Quantiles!AD61&lt;0,"",(Depth0-MIN(Depth0,Quantiles!AD61))/Depth_per_q)</f>
        <v>0.0572222544217578</v>
      </c>
      <c r="AE61" s="20" t="n">
        <f aca="false">IF(Quantiles!AE61&lt;0,"",(Depth0-MIN(Depth0,Quantiles!AE61))/Depth_per_q)</f>
        <v>0.0234043576511729</v>
      </c>
      <c r="AF61" s="20" t="n">
        <f aca="false">IF(Quantiles!AF61&lt;0,"",(Depth0-MIN(Depth0,Quantiles!AF61))/Depth_per_q)</f>
        <v>0</v>
      </c>
      <c r="AG61" s="20" t="n">
        <f aca="false">IF(Quantiles!AG61&lt;0,"",(Depth0-MIN(Depth0,Quantiles!AG61))/Depth_per_q)</f>
        <v>0</v>
      </c>
      <c r="AH61" s="20" t="n">
        <f aca="false">IF(Quantiles!AH61&lt;0,"",(Depth0-MIN(Depth0,Quantiles!AH61))/Depth_per_q)</f>
        <v>0</v>
      </c>
      <c r="AI61" s="20" t="n">
        <f aca="false">IF(Quantiles!AI61&lt;0,"",(Depth0-MIN(Depth0,Quantiles!AI61))/Depth_per_q)</f>
        <v>0</v>
      </c>
      <c r="AJ61" s="20" t="n">
        <f aca="false">IF(Quantiles!AJ61&lt;0,"",(Depth0-MIN(Depth0,Quantiles!AJ61))/Depth_per_q)</f>
        <v>0</v>
      </c>
      <c r="AK61" s="20" t="n">
        <f aca="false">IF(Quantiles!AK61&lt;0,"",(Depth0-MIN(Depth0,Quantiles!AK61))/Depth_per_q)</f>
        <v>0</v>
      </c>
      <c r="AL61" s="20" t="n">
        <f aca="false">IF(Quantiles!AL61&lt;0,"",(Depth0-MIN(Depth0,Quantiles!AL61))/Depth_per_q)</f>
        <v>0</v>
      </c>
      <c r="AM61" s="20" t="n">
        <f aca="false">IF(Quantiles!AM61&lt;0,"",(Depth0-MIN(Depth0,Quantiles!AM61))/Depth_per_q)</f>
        <v>0</v>
      </c>
      <c r="AN61" s="20" t="n">
        <f aca="false">IF(Quantiles!AN61&lt;0,"",(Depth0-MIN(Depth0,Quantiles!AN61))/Depth_per_q)</f>
        <v>0</v>
      </c>
      <c r="AO61" s="20" t="n">
        <f aca="false">IF(Quantiles!AO61&lt;0,"",(Depth0-MIN(Depth0,Quantiles!AO61))/Depth_per_q)</f>
        <v>0</v>
      </c>
      <c r="AP61" s="20" t="n">
        <f aca="false">IF(Quantiles!AP61&lt;0,"",(Depth0-MIN(Depth0,Quantiles!AP61))/Depth_per_q)</f>
        <v>0</v>
      </c>
      <c r="AQ61" s="20" t="n">
        <f aca="false">IF(Quantiles!AQ61&lt;0,"",(Depth0-MIN(Depth0,Quantiles!AQ61))/Depth_per_q)</f>
        <v>0</v>
      </c>
      <c r="AR61" s="20" t="n">
        <f aca="false">IF(Quantiles!AR61&lt;0,"",(Depth0-MIN(Depth0,Quantiles!AR61))/Depth_per_q)</f>
        <v>0</v>
      </c>
      <c r="AS61" s="20" t="n">
        <f aca="false">IF(Quantiles!AS61&lt;0,"",(Depth0-MIN(Depth0,Quantiles!AS61))/Depth_per_q)</f>
        <v>0</v>
      </c>
      <c r="AT61" s="20" t="n">
        <f aca="false">IF(Quantiles!AT61&lt;0,"",(Depth0-MIN(Depth0,Quantiles!AT61))/Depth_per_q)</f>
        <v>0</v>
      </c>
      <c r="AU61" s="20" t="n">
        <f aca="false">IF(Quantiles!AU61&lt;0,"",(Depth0-MIN(Depth0,Quantiles!AU61))/Depth_per_q)</f>
        <v>0</v>
      </c>
      <c r="AV61" s="20" t="n">
        <f aca="false">IF(Quantiles!AV61&lt;0,"",(Depth0-MIN(Depth0,Quantiles!AV61))/Depth_per_q)</f>
        <v>0</v>
      </c>
      <c r="AW61" s="20" t="n">
        <f aca="false">IF(Quantiles!AW61&lt;0,"",(Depth0-MIN(Depth0,Quantiles!AW61))/Depth_per_q)</f>
        <v>0</v>
      </c>
      <c r="AX61" s="20" t="n">
        <f aca="false">IF(Quantiles!AX61&lt;0,"",(Depth0-MIN(Depth0,Quantiles!AX61))/Depth_per_q)</f>
        <v>0</v>
      </c>
      <c r="AY61" s="20" t="n">
        <f aca="false">IF(Quantiles!AY61&lt;0,"",(Depth0-MIN(Depth0,Quantiles!AY61))/Depth_per_q)</f>
        <v>0</v>
      </c>
      <c r="AZ61" s="20" t="n">
        <f aca="false">IF(Quantiles!AZ61&lt;0,"",(Depth0-MIN(Depth0,Quantiles!AZ61))/Depth_per_q)</f>
        <v>0</v>
      </c>
      <c r="BA61" s="20" t="n">
        <f aca="false">IF(Quantiles!BA61&lt;0,"",(Depth0-MIN(Depth0,Quantiles!BA61))/Depth_per_q)</f>
        <v>0</v>
      </c>
      <c r="BB61" s="20" t="n">
        <f aca="false">IF(Quantiles!BB61&lt;0,"",(Depth0-MIN(Depth0,Quantiles!BB61))/Depth_per_q)</f>
        <v>0</v>
      </c>
      <c r="BC61" s="20" t="n">
        <f aca="false">IF(Quantiles!BC61&lt;0,"",(Depth0-MIN(Depth0,Quantiles!BC61))/Depth_per_q)</f>
        <v>0</v>
      </c>
      <c r="BD61" s="20" t="n">
        <f aca="false">IF(Quantiles!BD61&lt;0,"",(Depth0-MIN(Depth0,Quantiles!BD61))/Depth_per_q)</f>
        <v>0</v>
      </c>
      <c r="BE61" s="20" t="n">
        <f aca="false">IF(Quantiles!BE61&lt;0,"",(Depth0-MIN(Depth0,Quantiles!BE61))/Depth_per_q)</f>
        <v>0</v>
      </c>
      <c r="BF61" s="20" t="n">
        <f aca="false">IF(Quantiles!BF61&lt;0,"",(Depth0-MIN(Depth0,Quantiles!BF61))/Depth_per_q)</f>
        <v>0</v>
      </c>
      <c r="BG61" s="20" t="n">
        <f aca="false">IF(Quantiles!BG61&lt;0,"",(Depth0-MIN(Depth0,Quantiles!BG61))/Depth_per_q)</f>
        <v>0</v>
      </c>
      <c r="BH61" s="20" t="n">
        <f aca="false">IF(Quantiles!BH61&lt;0,"",(Depth0-MIN(Depth0,Quantiles!BH61))/Depth_per_q)</f>
        <v>0</v>
      </c>
      <c r="BI61" s="20" t="n">
        <f aca="false">IF(Quantiles!BI61&lt;0,"",(Depth0-MIN(Depth0,Quantiles!BI61))/Depth_per_q)</f>
        <v>0</v>
      </c>
      <c r="BJ61" s="20" t="n">
        <f aca="false">IF(Quantiles!BJ61&lt;0,"",(Depth0-MIN(Depth0,Quantiles!BJ61))/Depth_per_q)</f>
        <v>0</v>
      </c>
      <c r="BK61" s="20" t="n">
        <f aca="false">IF(Quantiles!BK61&lt;0,"",(Depth0-MIN(Depth0,Quantiles!BK61))/Depth_per_q)</f>
        <v>0</v>
      </c>
      <c r="BL61" s="20" t="n">
        <f aca="false">IF(Quantiles!BL61&lt;0,"",(Depth0-MIN(Depth0,Quantiles!BL61))/Depth_per_q)</f>
        <v>0</v>
      </c>
      <c r="BM61" s="20" t="n">
        <f aca="false">IF(Quantiles!BM61&lt;0,"",(Depth0-MIN(Depth0,Quantiles!BM61))/Depth_per_q)</f>
        <v>0</v>
      </c>
      <c r="BN61" s="20" t="n">
        <f aca="false">IF(Quantiles!BN61&lt;0,"",(Depth0-MIN(Depth0,Quantiles!BN61))/Depth_per_q)</f>
        <v>0</v>
      </c>
      <c r="BO61" s="20" t="n">
        <f aca="false">IF(Quantiles!BO61&lt;0,"",(Depth0-MIN(Depth0,Quantiles!BO61))/Depth_per_q)</f>
        <v>0</v>
      </c>
      <c r="BP61" s="20" t="n">
        <f aca="false">IF(Quantiles!BP61&lt;0,"",(Depth0-MIN(Depth0,Quantiles!BP61))/Depth_per_q)</f>
        <v>0</v>
      </c>
      <c r="BQ61" s="20" t="n">
        <f aca="false">IF(Quantiles!BQ61&lt;0,"",(Depth0-MIN(Depth0,Quantiles!BQ61))/Depth_per_q)</f>
        <v>0</v>
      </c>
      <c r="BR61" s="20" t="n">
        <f aca="false">IF(Quantiles!BR61&lt;0,"",(Depth0-MIN(Depth0,Quantiles!BR61))/Depth_per_q)</f>
        <v>0</v>
      </c>
      <c r="BS61" s="20" t="n">
        <f aca="false">IF(Quantiles!BS61&lt;0,"",(Depth0-MIN(Depth0,Quantiles!BS61))/Depth_per_q)</f>
        <v>0</v>
      </c>
      <c r="BT61" s="20" t="n">
        <f aca="false">IF(Quantiles!BT61&lt;0,"",(Depth0-MIN(Depth0,Quantiles!BT61))/Depth_per_q)</f>
        <v>0</v>
      </c>
      <c r="BU61" s="20" t="n">
        <f aca="false">IF(Quantiles!BU61&lt;0,"",(Depth0-MIN(Depth0,Quantiles!BU61))/Depth_per_q)</f>
        <v>0</v>
      </c>
      <c r="BV61" s="20" t="n">
        <f aca="false">IF(Quantiles!BV61&lt;0,"",(Depth0-MIN(Depth0,Quantiles!BV61))/Depth_per_q)</f>
        <v>0</v>
      </c>
      <c r="BW61" s="20" t="n">
        <f aca="false">IF(Quantiles!BW61&lt;0,"",(Depth0-MIN(Depth0,Quantiles!BW61))/Depth_per_q)</f>
        <v>0</v>
      </c>
      <c r="BX61" s="20" t="n">
        <f aca="false">IF(Quantiles!BX61&lt;0,"",(Depth0-MIN(Depth0,Quantiles!BX61))/Depth_per_q)</f>
        <v>0</v>
      </c>
      <c r="BY61" s="20" t="n">
        <f aca="false">IF(Quantiles!BY61&lt;0,"",(Depth0-MIN(Depth0,Quantiles!BY61))/Depth_per_q)</f>
        <v>0</v>
      </c>
      <c r="BZ61" s="20" t="n">
        <f aca="false">IF(Quantiles!BZ61&lt;0,"",(Depth0-MIN(Depth0,Quantiles!BZ61))/Depth_per_q)</f>
        <v>0</v>
      </c>
      <c r="CA61" s="20" t="n">
        <f aca="false">IF(Quantiles!CA61&lt;0,"",(Depth0-MIN(Depth0,Quantiles!CA61))/Depth_per_q)</f>
        <v>0</v>
      </c>
      <c r="CB61" s="20" t="n">
        <f aca="false">IF(Quantiles!CB61&lt;0,"",(Depth0-MIN(Depth0,Quantiles!CB61))/Depth_per_q)</f>
        <v>0</v>
      </c>
      <c r="CC61" s="20" t="n">
        <f aca="false">IF(Quantiles!CC61&lt;0,"",(Depth0-MIN(Depth0,Quantiles!CC61))/Depth_per_q)</f>
        <v>0</v>
      </c>
      <c r="CD61" s="20" t="n">
        <f aca="false">IF(Quantiles!CD61&lt;0,"",(Depth0-MIN(Depth0,Quantiles!CD61))/Depth_per_q)</f>
        <v>0</v>
      </c>
      <c r="CE61" s="20" t="n">
        <f aca="false">IF(Quantiles!CE61&lt;0,"",(Depth0-MIN(Depth0,Quantiles!CE61))/Depth_per_q)</f>
        <v>0</v>
      </c>
      <c r="CF61" s="20" t="n">
        <f aca="false">IF(Quantiles!CF61&lt;0,"",(Depth0-MIN(Depth0,Quantiles!CF61))/Depth_per_q)</f>
        <v>0</v>
      </c>
      <c r="CG61" s="20" t="n">
        <f aca="false">IF(Quantiles!CG61&lt;0,"",(Depth0-MIN(Depth0,Quantiles!CG61))/Depth_per_q)</f>
        <v>0</v>
      </c>
      <c r="CH61" s="20" t="n">
        <f aca="false">IF(Quantiles!CH61&lt;0,"",(Depth0-MIN(Depth0,Quantiles!CH61))/Depth_per_q)</f>
        <v>0</v>
      </c>
      <c r="CI61" s="20" t="n">
        <f aca="false">IF(Quantiles!CI61&lt;0,"",(Depth0-MIN(Depth0,Quantiles!CI61))/Depth_per_q)</f>
        <v>0</v>
      </c>
      <c r="CJ61" s="20" t="n">
        <f aca="false">IF(Quantiles!CJ61&lt;0,"",(Depth0-MIN(Depth0,Quantiles!CJ61))/Depth_per_q)</f>
        <v>0</v>
      </c>
      <c r="CK61" s="20" t="n">
        <f aca="false">IF(Quantiles!CK61&lt;0,"",(Depth0-MIN(Depth0,Quantiles!CK61))/Depth_per_q)</f>
        <v>0</v>
      </c>
      <c r="CL61" s="20" t="n">
        <f aca="false">IF(Quantiles!CL61&lt;0,"",(Depth0-MIN(Depth0,Quantiles!CL61))/Depth_per_q)</f>
        <v>0</v>
      </c>
      <c r="CM61" s="20" t="n">
        <f aca="false">IF(Quantiles!CM61&lt;0,"",(Depth0-MIN(Depth0,Quantiles!CM61))/Depth_per_q)</f>
        <v>0</v>
      </c>
      <c r="CN61" s="20" t="n">
        <f aca="false">IF(Quantiles!CN61&lt;0,"",(Depth0-MIN(Depth0,Quantiles!CN61))/Depth_per_q)</f>
        <v>0</v>
      </c>
      <c r="CO61" s="20" t="n">
        <f aca="false">IF(Quantiles!CO61&lt;0,"",(Depth0-MIN(Depth0,Quantiles!CO61))/Depth_per_q)</f>
        <v>0</v>
      </c>
      <c r="CP61" s="20" t="n">
        <f aca="false">IF(Quantiles!CP61&lt;0,"",(Depth0-MIN(Depth0,Quantiles!CP61))/Depth_per_q)</f>
        <v>0</v>
      </c>
      <c r="CQ61" s="20" t="n">
        <f aca="false">IF(Quantiles!CQ61&lt;0,"",(Depth0-MIN(Depth0,Quantiles!CQ61))/Depth_per_q)</f>
        <v>0</v>
      </c>
      <c r="CR61" s="20" t="n">
        <f aca="false">IF(Quantiles!CR61&lt;0,"",(Depth0-MIN(Depth0,Quantiles!CR61))/Depth_per_q)</f>
        <v>0</v>
      </c>
      <c r="CS61" s="20" t="n">
        <f aca="false">IF(Quantiles!CS61&lt;0,"",(Depth0-MIN(Depth0,Quantiles!CS61))/Depth_per_q)</f>
        <v>0</v>
      </c>
      <c r="CT61" s="20" t="n">
        <f aca="false">IF(Quantiles!CT61&lt;0,"",(Depth0-MIN(Depth0,Quantiles!CT61))/Depth_per_q)</f>
        <v>1.07210949870189</v>
      </c>
    </row>
    <row r="62" customFormat="false" ht="15" hidden="false" customHeight="false" outlineLevel="0" collapsed="false">
      <c r="A62" s="25" t="n">
        <f aca="false">Quantiles!A62</f>
        <v>285</v>
      </c>
      <c r="B62" s="20" t="n">
        <f aca="false">IF(Quantiles!B62&lt;0,"",(Depth0-MIN(Depth0,Quantiles!B62))/Depth_per_q)</f>
        <v>2.04823571461892</v>
      </c>
      <c r="C62" s="20" t="n">
        <f aca="false">IF(Quantiles!C62&lt;0,"",(Depth0-MIN(Depth0,Quantiles!C62))/Depth_per_q)</f>
        <v>1.85904596378571</v>
      </c>
      <c r="D62" s="20" t="n">
        <f aca="false">IF(Quantiles!D62&lt;0,"",(Depth0-MIN(Depth0,Quantiles!D62))/Depth_per_q)</f>
        <v>1.69709679121215</v>
      </c>
      <c r="E62" s="20" t="n">
        <f aca="false">IF(Quantiles!E62&lt;0,"",(Depth0-MIN(Depth0,Quantiles!E62))/Depth_per_q)</f>
        <v>1.56078036875405</v>
      </c>
      <c r="F62" s="20" t="n">
        <f aca="false">IF(Quantiles!F62&lt;0,"",(Depth0-MIN(Depth0,Quantiles!F62))/Depth_per_q)</f>
        <v>1.43880918158863</v>
      </c>
      <c r="G62" s="20" t="n">
        <f aca="false">IF(Quantiles!G62&lt;0,"",(Depth0-MIN(Depth0,Quantiles!G62))/Depth_per_q)</f>
        <v>1.33420667104616</v>
      </c>
      <c r="H62" s="20" t="n">
        <f aca="false">IF(Quantiles!H62&lt;0,"",(Depth0-MIN(Depth0,Quantiles!H62))/Depth_per_q)</f>
        <v>1.23922968360437</v>
      </c>
      <c r="I62" s="20" t="n">
        <f aca="false">IF(Quantiles!I62&lt;0,"",(Depth0-MIN(Depth0,Quantiles!I62))/Depth_per_q)</f>
        <v>1.14903875047586</v>
      </c>
      <c r="J62" s="20" t="n">
        <f aca="false">IF(Quantiles!J62&lt;0,"",(Depth0-MIN(Depth0,Quantiles!J62))/Depth_per_q)</f>
        <v>1.07223190578495</v>
      </c>
      <c r="K62" s="20" t="n">
        <f aca="false">IF(Quantiles!K62&lt;0,"",(Depth0-MIN(Depth0,Quantiles!K62))/Depth_per_q)</f>
        <v>0.99295406334392</v>
      </c>
      <c r="L62" s="20" t="n">
        <f aca="false">IF(Quantiles!L62&lt;0,"",(Depth0-MIN(Depth0,Quantiles!L62))/Depth_per_q)</f>
        <v>0.915873761557708</v>
      </c>
      <c r="M62" s="20" t="n">
        <f aca="false">IF(Quantiles!M62&lt;0,"",(Depth0-MIN(Depth0,Quantiles!M62))/Depth_per_q)</f>
        <v>0.852752552252595</v>
      </c>
      <c r="N62" s="20" t="n">
        <f aca="false">IF(Quantiles!N62&lt;0,"",(Depth0-MIN(Depth0,Quantiles!N62))/Depth_per_q)</f>
        <v>0.790563092897733</v>
      </c>
      <c r="O62" s="20" t="n">
        <f aca="false">IF(Quantiles!O62&lt;0,"",(Depth0-MIN(Depth0,Quantiles!O62))/Depth_per_q)</f>
        <v>0.724581277390965</v>
      </c>
      <c r="P62" s="20" t="n">
        <f aca="false">IF(Quantiles!P62&lt;0,"",(Depth0-MIN(Depth0,Quantiles!P62))/Depth_per_q)</f>
        <v>0.664988261261192</v>
      </c>
      <c r="Q62" s="20" t="n">
        <f aca="false">IF(Quantiles!Q62&lt;0,"",(Depth0-MIN(Depth0,Quantiles!Q62))/Depth_per_q)</f>
        <v>0.609272857301495</v>
      </c>
      <c r="R62" s="20" t="n">
        <f aca="false">IF(Quantiles!R62&lt;0,"",(Depth0-MIN(Depth0,Quantiles!R62))/Depth_per_q)</f>
        <v>0.557744743527477</v>
      </c>
      <c r="S62" s="20" t="n">
        <f aca="false">IF(Quantiles!S62&lt;0,"",(Depth0-MIN(Depth0,Quantiles!S62))/Depth_per_q)</f>
        <v>0.507049382002587</v>
      </c>
      <c r="T62" s="20" t="n">
        <f aca="false">IF(Quantiles!T62&lt;0,"",(Depth0-MIN(Depth0,Quantiles!T62))/Depth_per_q)</f>
        <v>0.46104943682755</v>
      </c>
      <c r="U62" s="20" t="n">
        <f aca="false">IF(Quantiles!U62&lt;0,"",(Depth0-MIN(Depth0,Quantiles!U62))/Depth_per_q)</f>
        <v>0.417451788178857</v>
      </c>
      <c r="V62" s="20" t="n">
        <f aca="false">IF(Quantiles!V62&lt;0,"",(Depth0-MIN(Depth0,Quantiles!V62))/Depth_per_q)</f>
        <v>0.372660218836012</v>
      </c>
      <c r="W62" s="20" t="n">
        <f aca="false">IF(Quantiles!W62&lt;0,"",(Depth0-MIN(Depth0,Quantiles!W62))/Depth_per_q)</f>
        <v>0.328156665608647</v>
      </c>
      <c r="X62" s="20" t="n">
        <f aca="false">IF(Quantiles!X62&lt;0,"",(Depth0-MIN(Depth0,Quantiles!X62))/Depth_per_q)</f>
        <v>0.282913013888655</v>
      </c>
      <c r="Y62" s="20" t="n">
        <f aca="false">IF(Quantiles!Y62&lt;0,"",(Depth0-MIN(Depth0,Quantiles!Y62))/Depth_per_q)</f>
        <v>0.24590571601864</v>
      </c>
      <c r="Z62" s="20" t="n">
        <f aca="false">IF(Quantiles!Z62&lt;0,"",(Depth0-MIN(Depth0,Quantiles!Z62))/Depth_per_q)</f>
        <v>0.207162230045055</v>
      </c>
      <c r="AA62" s="20" t="n">
        <f aca="false">IF(Quantiles!AA62&lt;0,"",(Depth0-MIN(Depth0,Quantiles!AA62))/Depth_per_q)</f>
        <v>0.16978546059947</v>
      </c>
      <c r="AB62" s="20" t="n">
        <f aca="false">IF(Quantiles!AB62&lt;0,"",(Depth0-MIN(Depth0,Quantiles!AB62))/Depth_per_q)</f>
        <v>0.12961868182904</v>
      </c>
      <c r="AC62" s="20" t="n">
        <f aca="false">IF(Quantiles!AC62&lt;0,"",(Depth0-MIN(Depth0,Quantiles!AC62))/Depth_per_q)</f>
        <v>0.0942425743094102</v>
      </c>
      <c r="AD62" s="20" t="n">
        <f aca="false">IF(Quantiles!AD62&lt;0,"",(Depth0-MIN(Depth0,Quantiles!AD62))/Depth_per_q)</f>
        <v>0.0561181581979175</v>
      </c>
      <c r="AE62" s="20" t="n">
        <f aca="false">IF(Quantiles!AE62&lt;0,"",(Depth0-MIN(Depth0,Quantiles!AE62))/Depth_per_q)</f>
        <v>0.0228160504521853</v>
      </c>
      <c r="AF62" s="20" t="n">
        <f aca="false">IF(Quantiles!AF62&lt;0,"",(Depth0-MIN(Depth0,Quantiles!AF62))/Depth_per_q)</f>
        <v>0</v>
      </c>
      <c r="AG62" s="20" t="n">
        <f aca="false">IF(Quantiles!AG62&lt;0,"",(Depth0-MIN(Depth0,Quantiles!AG62))/Depth_per_q)</f>
        <v>0</v>
      </c>
      <c r="AH62" s="20" t="n">
        <f aca="false">IF(Quantiles!AH62&lt;0,"",(Depth0-MIN(Depth0,Quantiles!AH62))/Depth_per_q)</f>
        <v>0</v>
      </c>
      <c r="AI62" s="20" t="n">
        <f aca="false">IF(Quantiles!AI62&lt;0,"",(Depth0-MIN(Depth0,Quantiles!AI62))/Depth_per_q)</f>
        <v>0</v>
      </c>
      <c r="AJ62" s="20" t="n">
        <f aca="false">IF(Quantiles!AJ62&lt;0,"",(Depth0-MIN(Depth0,Quantiles!AJ62))/Depth_per_q)</f>
        <v>0</v>
      </c>
      <c r="AK62" s="20" t="n">
        <f aca="false">IF(Quantiles!AK62&lt;0,"",(Depth0-MIN(Depth0,Quantiles!AK62))/Depth_per_q)</f>
        <v>0</v>
      </c>
      <c r="AL62" s="20" t="n">
        <f aca="false">IF(Quantiles!AL62&lt;0,"",(Depth0-MIN(Depth0,Quantiles!AL62))/Depth_per_q)</f>
        <v>0</v>
      </c>
      <c r="AM62" s="20" t="n">
        <f aca="false">IF(Quantiles!AM62&lt;0,"",(Depth0-MIN(Depth0,Quantiles!AM62))/Depth_per_q)</f>
        <v>0</v>
      </c>
      <c r="AN62" s="20" t="n">
        <f aca="false">IF(Quantiles!AN62&lt;0,"",(Depth0-MIN(Depth0,Quantiles!AN62))/Depth_per_q)</f>
        <v>0</v>
      </c>
      <c r="AO62" s="20" t="n">
        <f aca="false">IF(Quantiles!AO62&lt;0,"",(Depth0-MIN(Depth0,Quantiles!AO62))/Depth_per_q)</f>
        <v>0</v>
      </c>
      <c r="AP62" s="20" t="n">
        <f aca="false">IF(Quantiles!AP62&lt;0,"",(Depth0-MIN(Depth0,Quantiles!AP62))/Depth_per_q)</f>
        <v>0</v>
      </c>
      <c r="AQ62" s="20" t="n">
        <f aca="false">IF(Quantiles!AQ62&lt;0,"",(Depth0-MIN(Depth0,Quantiles!AQ62))/Depth_per_q)</f>
        <v>0</v>
      </c>
      <c r="AR62" s="20" t="n">
        <f aca="false">IF(Quantiles!AR62&lt;0,"",(Depth0-MIN(Depth0,Quantiles!AR62))/Depth_per_q)</f>
        <v>0</v>
      </c>
      <c r="AS62" s="20" t="n">
        <f aca="false">IF(Quantiles!AS62&lt;0,"",(Depth0-MIN(Depth0,Quantiles!AS62))/Depth_per_q)</f>
        <v>0</v>
      </c>
      <c r="AT62" s="20" t="n">
        <f aca="false">IF(Quantiles!AT62&lt;0,"",(Depth0-MIN(Depth0,Quantiles!AT62))/Depth_per_q)</f>
        <v>0</v>
      </c>
      <c r="AU62" s="20" t="n">
        <f aca="false">IF(Quantiles!AU62&lt;0,"",(Depth0-MIN(Depth0,Quantiles!AU62))/Depth_per_q)</f>
        <v>0</v>
      </c>
      <c r="AV62" s="20" t="n">
        <f aca="false">IF(Quantiles!AV62&lt;0,"",(Depth0-MIN(Depth0,Quantiles!AV62))/Depth_per_q)</f>
        <v>0</v>
      </c>
      <c r="AW62" s="20" t="n">
        <f aca="false">IF(Quantiles!AW62&lt;0,"",(Depth0-MIN(Depth0,Quantiles!AW62))/Depth_per_q)</f>
        <v>0</v>
      </c>
      <c r="AX62" s="20" t="n">
        <f aca="false">IF(Quantiles!AX62&lt;0,"",(Depth0-MIN(Depth0,Quantiles!AX62))/Depth_per_q)</f>
        <v>0</v>
      </c>
      <c r="AY62" s="20" t="n">
        <f aca="false">IF(Quantiles!AY62&lt;0,"",(Depth0-MIN(Depth0,Quantiles!AY62))/Depth_per_q)</f>
        <v>0</v>
      </c>
      <c r="AZ62" s="20" t="n">
        <f aca="false">IF(Quantiles!AZ62&lt;0,"",(Depth0-MIN(Depth0,Quantiles!AZ62))/Depth_per_q)</f>
        <v>0</v>
      </c>
      <c r="BA62" s="20" t="n">
        <f aca="false">IF(Quantiles!BA62&lt;0,"",(Depth0-MIN(Depth0,Quantiles!BA62))/Depth_per_q)</f>
        <v>0</v>
      </c>
      <c r="BB62" s="20" t="n">
        <f aca="false">IF(Quantiles!BB62&lt;0,"",(Depth0-MIN(Depth0,Quantiles!BB62))/Depth_per_q)</f>
        <v>0</v>
      </c>
      <c r="BC62" s="20" t="n">
        <f aca="false">IF(Quantiles!BC62&lt;0,"",(Depth0-MIN(Depth0,Quantiles!BC62))/Depth_per_q)</f>
        <v>0</v>
      </c>
      <c r="BD62" s="20" t="n">
        <f aca="false">IF(Quantiles!BD62&lt;0,"",(Depth0-MIN(Depth0,Quantiles!BD62))/Depth_per_q)</f>
        <v>0</v>
      </c>
      <c r="BE62" s="20" t="n">
        <f aca="false">IF(Quantiles!BE62&lt;0,"",(Depth0-MIN(Depth0,Quantiles!BE62))/Depth_per_q)</f>
        <v>0</v>
      </c>
      <c r="BF62" s="20" t="n">
        <f aca="false">IF(Quantiles!BF62&lt;0,"",(Depth0-MIN(Depth0,Quantiles!BF62))/Depth_per_q)</f>
        <v>0</v>
      </c>
      <c r="BG62" s="20" t="n">
        <f aca="false">IF(Quantiles!BG62&lt;0,"",(Depth0-MIN(Depth0,Quantiles!BG62))/Depth_per_q)</f>
        <v>0</v>
      </c>
      <c r="BH62" s="20" t="n">
        <f aca="false">IF(Quantiles!BH62&lt;0,"",(Depth0-MIN(Depth0,Quantiles!BH62))/Depth_per_q)</f>
        <v>0</v>
      </c>
      <c r="BI62" s="20" t="n">
        <f aca="false">IF(Quantiles!BI62&lt;0,"",(Depth0-MIN(Depth0,Quantiles!BI62))/Depth_per_q)</f>
        <v>0</v>
      </c>
      <c r="BJ62" s="20" t="n">
        <f aca="false">IF(Quantiles!BJ62&lt;0,"",(Depth0-MIN(Depth0,Quantiles!BJ62))/Depth_per_q)</f>
        <v>0</v>
      </c>
      <c r="BK62" s="20" t="n">
        <f aca="false">IF(Quantiles!BK62&lt;0,"",(Depth0-MIN(Depth0,Quantiles!BK62))/Depth_per_q)</f>
        <v>0</v>
      </c>
      <c r="BL62" s="20" t="n">
        <f aca="false">IF(Quantiles!BL62&lt;0,"",(Depth0-MIN(Depth0,Quantiles!BL62))/Depth_per_q)</f>
        <v>0</v>
      </c>
      <c r="BM62" s="20" t="n">
        <f aca="false">IF(Quantiles!BM62&lt;0,"",(Depth0-MIN(Depth0,Quantiles!BM62))/Depth_per_q)</f>
        <v>0</v>
      </c>
      <c r="BN62" s="20" t="n">
        <f aca="false">IF(Quantiles!BN62&lt;0,"",(Depth0-MIN(Depth0,Quantiles!BN62))/Depth_per_q)</f>
        <v>0</v>
      </c>
      <c r="BO62" s="20" t="n">
        <f aca="false">IF(Quantiles!BO62&lt;0,"",(Depth0-MIN(Depth0,Quantiles!BO62))/Depth_per_q)</f>
        <v>0</v>
      </c>
      <c r="BP62" s="20" t="n">
        <f aca="false">IF(Quantiles!BP62&lt;0,"",(Depth0-MIN(Depth0,Quantiles!BP62))/Depth_per_q)</f>
        <v>0</v>
      </c>
      <c r="BQ62" s="20" t="n">
        <f aca="false">IF(Quantiles!BQ62&lt;0,"",(Depth0-MIN(Depth0,Quantiles!BQ62))/Depth_per_q)</f>
        <v>0</v>
      </c>
      <c r="BR62" s="20" t="n">
        <f aca="false">IF(Quantiles!BR62&lt;0,"",(Depth0-MIN(Depth0,Quantiles!BR62))/Depth_per_q)</f>
        <v>0</v>
      </c>
      <c r="BS62" s="20" t="n">
        <f aca="false">IF(Quantiles!BS62&lt;0,"",(Depth0-MIN(Depth0,Quantiles!BS62))/Depth_per_q)</f>
        <v>0</v>
      </c>
      <c r="BT62" s="20" t="n">
        <f aca="false">IF(Quantiles!BT62&lt;0,"",(Depth0-MIN(Depth0,Quantiles!BT62))/Depth_per_q)</f>
        <v>0</v>
      </c>
      <c r="BU62" s="20" t="n">
        <f aca="false">IF(Quantiles!BU62&lt;0,"",(Depth0-MIN(Depth0,Quantiles!BU62))/Depth_per_q)</f>
        <v>0</v>
      </c>
      <c r="BV62" s="20" t="n">
        <f aca="false">IF(Quantiles!BV62&lt;0,"",(Depth0-MIN(Depth0,Quantiles!BV62))/Depth_per_q)</f>
        <v>0</v>
      </c>
      <c r="BW62" s="20" t="n">
        <f aca="false">IF(Quantiles!BW62&lt;0,"",(Depth0-MIN(Depth0,Quantiles!BW62))/Depth_per_q)</f>
        <v>0</v>
      </c>
      <c r="BX62" s="20" t="n">
        <f aca="false">IF(Quantiles!BX62&lt;0,"",(Depth0-MIN(Depth0,Quantiles!BX62))/Depth_per_q)</f>
        <v>0</v>
      </c>
      <c r="BY62" s="20" t="n">
        <f aca="false">IF(Quantiles!BY62&lt;0,"",(Depth0-MIN(Depth0,Quantiles!BY62))/Depth_per_q)</f>
        <v>0</v>
      </c>
      <c r="BZ62" s="20" t="n">
        <f aca="false">IF(Quantiles!BZ62&lt;0,"",(Depth0-MIN(Depth0,Quantiles!BZ62))/Depth_per_q)</f>
        <v>0</v>
      </c>
      <c r="CA62" s="20" t="n">
        <f aca="false">IF(Quantiles!CA62&lt;0,"",(Depth0-MIN(Depth0,Quantiles!CA62))/Depth_per_q)</f>
        <v>0</v>
      </c>
      <c r="CB62" s="20" t="n">
        <f aca="false">IF(Quantiles!CB62&lt;0,"",(Depth0-MIN(Depth0,Quantiles!CB62))/Depth_per_q)</f>
        <v>0</v>
      </c>
      <c r="CC62" s="20" t="n">
        <f aca="false">IF(Quantiles!CC62&lt;0,"",(Depth0-MIN(Depth0,Quantiles!CC62))/Depth_per_q)</f>
        <v>0</v>
      </c>
      <c r="CD62" s="20" t="n">
        <f aca="false">IF(Quantiles!CD62&lt;0,"",(Depth0-MIN(Depth0,Quantiles!CD62))/Depth_per_q)</f>
        <v>0</v>
      </c>
      <c r="CE62" s="20" t="n">
        <f aca="false">IF(Quantiles!CE62&lt;0,"",(Depth0-MIN(Depth0,Quantiles!CE62))/Depth_per_q)</f>
        <v>0</v>
      </c>
      <c r="CF62" s="20" t="n">
        <f aca="false">IF(Quantiles!CF62&lt;0,"",(Depth0-MIN(Depth0,Quantiles!CF62))/Depth_per_q)</f>
        <v>0</v>
      </c>
      <c r="CG62" s="20" t="n">
        <f aca="false">IF(Quantiles!CG62&lt;0,"",(Depth0-MIN(Depth0,Quantiles!CG62))/Depth_per_q)</f>
        <v>0</v>
      </c>
      <c r="CH62" s="20" t="n">
        <f aca="false">IF(Quantiles!CH62&lt;0,"",(Depth0-MIN(Depth0,Quantiles!CH62))/Depth_per_q)</f>
        <v>0</v>
      </c>
      <c r="CI62" s="20" t="n">
        <f aca="false">IF(Quantiles!CI62&lt;0,"",(Depth0-MIN(Depth0,Quantiles!CI62))/Depth_per_q)</f>
        <v>0</v>
      </c>
      <c r="CJ62" s="20" t="n">
        <f aca="false">IF(Quantiles!CJ62&lt;0,"",(Depth0-MIN(Depth0,Quantiles!CJ62))/Depth_per_q)</f>
        <v>0</v>
      </c>
      <c r="CK62" s="20" t="n">
        <f aca="false">IF(Quantiles!CK62&lt;0,"",(Depth0-MIN(Depth0,Quantiles!CK62))/Depth_per_q)</f>
        <v>0</v>
      </c>
      <c r="CL62" s="20" t="n">
        <f aca="false">IF(Quantiles!CL62&lt;0,"",(Depth0-MIN(Depth0,Quantiles!CL62))/Depth_per_q)</f>
        <v>0</v>
      </c>
      <c r="CM62" s="20" t="n">
        <f aca="false">IF(Quantiles!CM62&lt;0,"",(Depth0-MIN(Depth0,Quantiles!CM62))/Depth_per_q)</f>
        <v>0</v>
      </c>
      <c r="CN62" s="20" t="n">
        <f aca="false">IF(Quantiles!CN62&lt;0,"",(Depth0-MIN(Depth0,Quantiles!CN62))/Depth_per_q)</f>
        <v>0</v>
      </c>
      <c r="CO62" s="20" t="n">
        <f aca="false">IF(Quantiles!CO62&lt;0,"",(Depth0-MIN(Depth0,Quantiles!CO62))/Depth_per_q)</f>
        <v>0</v>
      </c>
      <c r="CP62" s="20" t="n">
        <f aca="false">IF(Quantiles!CP62&lt;0,"",(Depth0-MIN(Depth0,Quantiles!CP62))/Depth_per_q)</f>
        <v>0</v>
      </c>
      <c r="CQ62" s="20" t="n">
        <f aca="false">IF(Quantiles!CQ62&lt;0,"",(Depth0-MIN(Depth0,Quantiles!CQ62))/Depth_per_q)</f>
        <v>0</v>
      </c>
      <c r="CR62" s="20" t="n">
        <f aca="false">IF(Quantiles!CR62&lt;0,"",(Depth0-MIN(Depth0,Quantiles!CR62))/Depth_per_q)</f>
        <v>0</v>
      </c>
      <c r="CS62" s="20" t="n">
        <f aca="false">IF(Quantiles!CS62&lt;0,"",(Depth0-MIN(Depth0,Quantiles!CS62))/Depth_per_q)</f>
        <v>0</v>
      </c>
      <c r="CT62" s="20" t="n">
        <f aca="false">IF(Quantiles!CT62&lt;0,"",(Depth0-MIN(Depth0,Quantiles!CT62))/Depth_per_q)</f>
        <v>1.07196929456714</v>
      </c>
    </row>
    <row r="63" customFormat="false" ht="15" hidden="false" customHeight="false" outlineLevel="0" collapsed="false">
      <c r="A63" s="25" t="n">
        <f aca="false">Quantiles!A63</f>
        <v>290</v>
      </c>
      <c r="B63" s="20" t="n">
        <f aca="false">IF(Quantiles!B63&lt;0,"",(Depth0-MIN(Depth0,Quantiles!B63))/Depth_per_q)</f>
        <v>2.04522844784225</v>
      </c>
      <c r="C63" s="20" t="n">
        <f aca="false">IF(Quantiles!C63&lt;0,"",(Depth0-MIN(Depth0,Quantiles!C63))/Depth_per_q)</f>
        <v>1.85847690464022</v>
      </c>
      <c r="D63" s="20" t="n">
        <f aca="false">IF(Quantiles!D63&lt;0,"",(Depth0-MIN(Depth0,Quantiles!D63))/Depth_per_q)</f>
        <v>1.69709679121215</v>
      </c>
      <c r="E63" s="20" t="n">
        <f aca="false">IF(Quantiles!E63&lt;0,"",(Depth0-MIN(Depth0,Quantiles!E63))/Depth_per_q)</f>
        <v>1.55982516124817</v>
      </c>
      <c r="F63" s="20" t="n">
        <f aca="false">IF(Quantiles!F63&lt;0,"",(Depth0-MIN(Depth0,Quantiles!F63))/Depth_per_q)</f>
        <v>1.43761437106275</v>
      </c>
      <c r="G63" s="20" t="n">
        <f aca="false">IF(Quantiles!G63&lt;0,"",(Depth0-MIN(Depth0,Quantiles!G63))/Depth_per_q)</f>
        <v>1.33321118543305</v>
      </c>
      <c r="H63" s="20" t="n">
        <f aca="false">IF(Quantiles!H63&lt;0,"",(Depth0-MIN(Depth0,Quantiles!H63))/Depth_per_q)</f>
        <v>1.23820893738036</v>
      </c>
      <c r="I63" s="20" t="n">
        <f aca="false">IF(Quantiles!I63&lt;0,"",(Depth0-MIN(Depth0,Quantiles!I63))/Depth_per_q)</f>
        <v>1.14903875047586</v>
      </c>
      <c r="J63" s="20" t="n">
        <f aca="false">IF(Quantiles!J63&lt;0,"",(Depth0-MIN(Depth0,Quantiles!J63))/Depth_per_q)</f>
        <v>1.07219326723199</v>
      </c>
      <c r="K63" s="20" t="n">
        <f aca="false">IF(Quantiles!K63&lt;0,"",(Depth0-MIN(Depth0,Quantiles!K63))/Depth_per_q)</f>
        <v>0.99263310487457</v>
      </c>
      <c r="L63" s="20" t="n">
        <f aca="false">IF(Quantiles!L63&lt;0,"",(Depth0-MIN(Depth0,Quantiles!L63))/Depth_per_q)</f>
        <v>0.915819599607683</v>
      </c>
      <c r="M63" s="20" t="n">
        <f aca="false">IF(Quantiles!M63&lt;0,"",(Depth0-MIN(Depth0,Quantiles!M63))/Depth_per_q)</f>
        <v>0.852456444394018</v>
      </c>
      <c r="N63" s="20" t="n">
        <f aca="false">IF(Quantiles!N63&lt;0,"",(Depth0-MIN(Depth0,Quantiles!N63))/Depth_per_q)</f>
        <v>0.790196836930558</v>
      </c>
      <c r="O63" s="20" t="n">
        <f aca="false">IF(Quantiles!O63&lt;0,"",(Depth0-MIN(Depth0,Quantiles!O63))/Depth_per_q)</f>
        <v>0.724581277390965</v>
      </c>
      <c r="P63" s="20" t="n">
        <f aca="false">IF(Quantiles!P63&lt;0,"",(Depth0-MIN(Depth0,Quantiles!P63))/Depth_per_q)</f>
        <v>0.664988261261192</v>
      </c>
      <c r="Q63" s="20" t="n">
        <f aca="false">IF(Quantiles!Q63&lt;0,"",(Depth0-MIN(Depth0,Quantiles!Q63))/Depth_per_q)</f>
        <v>0.608728669980812</v>
      </c>
      <c r="R63" s="20" t="n">
        <f aca="false">IF(Quantiles!R63&lt;0,"",(Depth0-MIN(Depth0,Quantiles!R63))/Depth_per_q)</f>
        <v>0.557167761811425</v>
      </c>
      <c r="S63" s="20" t="n">
        <f aca="false">IF(Quantiles!S63&lt;0,"",(Depth0-MIN(Depth0,Quantiles!S63))/Depth_per_q)</f>
        <v>0.50672862278378</v>
      </c>
      <c r="T63" s="20" t="n">
        <f aca="false">IF(Quantiles!T63&lt;0,"",(Depth0-MIN(Depth0,Quantiles!T63))/Depth_per_q)</f>
        <v>0.460321720437007</v>
      </c>
      <c r="U63" s="20" t="n">
        <f aca="false">IF(Quantiles!U63&lt;0,"",(Depth0-MIN(Depth0,Quantiles!U63))/Depth_per_q)</f>
        <v>0.416799128893065</v>
      </c>
      <c r="V63" s="20" t="n">
        <f aca="false">IF(Quantiles!V63&lt;0,"",(Depth0-MIN(Depth0,Quantiles!V63))/Depth_per_q)</f>
        <v>0.372323341117172</v>
      </c>
      <c r="W63" s="20" t="n">
        <f aca="false">IF(Quantiles!W63&lt;0,"",(Depth0-MIN(Depth0,Quantiles!W63))/Depth_per_q)</f>
        <v>0.327602974959575</v>
      </c>
      <c r="X63" s="20" t="n">
        <f aca="false">IF(Quantiles!X63&lt;0,"",(Depth0-MIN(Depth0,Quantiles!X63))/Depth_per_q)</f>
        <v>0.282713178322397</v>
      </c>
      <c r="Y63" s="20" t="n">
        <f aca="false">IF(Quantiles!Y63&lt;0,"",(Depth0-MIN(Depth0,Quantiles!Y63))/Depth_per_q)</f>
        <v>0.245502882416445</v>
      </c>
      <c r="Z63" s="20" t="n">
        <f aca="false">IF(Quantiles!Z63&lt;0,"",(Depth0-MIN(Depth0,Quantiles!Z63))/Depth_per_q)</f>
        <v>0.206654196966047</v>
      </c>
      <c r="AA63" s="20" t="n">
        <f aca="false">IF(Quantiles!AA63&lt;0,"",(Depth0-MIN(Depth0,Quantiles!AA63))/Depth_per_q)</f>
        <v>0.169090921147707</v>
      </c>
      <c r="AB63" s="20" t="n">
        <f aca="false">IF(Quantiles!AB63&lt;0,"",(Depth0-MIN(Depth0,Quantiles!AB63))/Depth_per_q)</f>
        <v>0.129424364636293</v>
      </c>
      <c r="AC63" s="20" t="n">
        <f aca="false">IF(Quantiles!AC63&lt;0,"",(Depth0-MIN(Depth0,Quantiles!AC63))/Depth_per_q)</f>
        <v>0.0941589363445399</v>
      </c>
      <c r="AD63" s="20" t="n">
        <f aca="false">IF(Quantiles!AD63&lt;0,"",(Depth0-MIN(Depth0,Quantiles!AD63))/Depth_per_q)</f>
        <v>0.0558796829516552</v>
      </c>
      <c r="AE63" s="20" t="n">
        <f aca="false">IF(Quantiles!AE63&lt;0,"",(Depth0-MIN(Depth0,Quantiles!AE63))/Depth_per_q)</f>
        <v>0.0223694575013722</v>
      </c>
      <c r="AF63" s="20" t="n">
        <f aca="false">IF(Quantiles!AF63&lt;0,"",(Depth0-MIN(Depth0,Quantiles!AF63))/Depth_per_q)</f>
        <v>0</v>
      </c>
      <c r="AG63" s="20" t="n">
        <f aca="false">IF(Quantiles!AG63&lt;0,"",(Depth0-MIN(Depth0,Quantiles!AG63))/Depth_per_q)</f>
        <v>0</v>
      </c>
      <c r="AH63" s="20" t="n">
        <f aca="false">IF(Quantiles!AH63&lt;0,"",(Depth0-MIN(Depth0,Quantiles!AH63))/Depth_per_q)</f>
        <v>0</v>
      </c>
      <c r="AI63" s="20" t="n">
        <f aca="false">IF(Quantiles!AI63&lt;0,"",(Depth0-MIN(Depth0,Quantiles!AI63))/Depth_per_q)</f>
        <v>0</v>
      </c>
      <c r="AJ63" s="20" t="n">
        <f aca="false">IF(Quantiles!AJ63&lt;0,"",(Depth0-MIN(Depth0,Quantiles!AJ63))/Depth_per_q)</f>
        <v>0</v>
      </c>
      <c r="AK63" s="20" t="n">
        <f aca="false">IF(Quantiles!AK63&lt;0,"",(Depth0-MIN(Depth0,Quantiles!AK63))/Depth_per_q)</f>
        <v>0</v>
      </c>
      <c r="AL63" s="20" t="n">
        <f aca="false">IF(Quantiles!AL63&lt;0,"",(Depth0-MIN(Depth0,Quantiles!AL63))/Depth_per_q)</f>
        <v>0</v>
      </c>
      <c r="AM63" s="20" t="n">
        <f aca="false">IF(Quantiles!AM63&lt;0,"",(Depth0-MIN(Depth0,Quantiles!AM63))/Depth_per_q)</f>
        <v>0</v>
      </c>
      <c r="AN63" s="20" t="n">
        <f aca="false">IF(Quantiles!AN63&lt;0,"",(Depth0-MIN(Depth0,Quantiles!AN63))/Depth_per_q)</f>
        <v>0</v>
      </c>
      <c r="AO63" s="20" t="n">
        <f aca="false">IF(Quantiles!AO63&lt;0,"",(Depth0-MIN(Depth0,Quantiles!AO63))/Depth_per_q)</f>
        <v>0</v>
      </c>
      <c r="AP63" s="20" t="n">
        <f aca="false">IF(Quantiles!AP63&lt;0,"",(Depth0-MIN(Depth0,Quantiles!AP63))/Depth_per_q)</f>
        <v>0</v>
      </c>
      <c r="AQ63" s="20" t="n">
        <f aca="false">IF(Quantiles!AQ63&lt;0,"",(Depth0-MIN(Depth0,Quantiles!AQ63))/Depth_per_q)</f>
        <v>0</v>
      </c>
      <c r="AR63" s="20" t="n">
        <f aca="false">IF(Quantiles!AR63&lt;0,"",(Depth0-MIN(Depth0,Quantiles!AR63))/Depth_per_q)</f>
        <v>0</v>
      </c>
      <c r="AS63" s="20" t="n">
        <f aca="false">IF(Quantiles!AS63&lt;0,"",(Depth0-MIN(Depth0,Quantiles!AS63))/Depth_per_q)</f>
        <v>0</v>
      </c>
      <c r="AT63" s="20" t="n">
        <f aca="false">IF(Quantiles!AT63&lt;0,"",(Depth0-MIN(Depth0,Quantiles!AT63))/Depth_per_q)</f>
        <v>0</v>
      </c>
      <c r="AU63" s="20" t="n">
        <f aca="false">IF(Quantiles!AU63&lt;0,"",(Depth0-MIN(Depth0,Quantiles!AU63))/Depth_per_q)</f>
        <v>0</v>
      </c>
      <c r="AV63" s="20" t="n">
        <f aca="false">IF(Quantiles!AV63&lt;0,"",(Depth0-MIN(Depth0,Quantiles!AV63))/Depth_per_q)</f>
        <v>0</v>
      </c>
      <c r="AW63" s="20" t="n">
        <f aca="false">IF(Quantiles!AW63&lt;0,"",(Depth0-MIN(Depth0,Quantiles!AW63))/Depth_per_q)</f>
        <v>0</v>
      </c>
      <c r="AX63" s="20" t="n">
        <f aca="false">IF(Quantiles!AX63&lt;0,"",(Depth0-MIN(Depth0,Quantiles!AX63))/Depth_per_q)</f>
        <v>0</v>
      </c>
      <c r="AY63" s="20" t="n">
        <f aca="false">IF(Quantiles!AY63&lt;0,"",(Depth0-MIN(Depth0,Quantiles!AY63))/Depth_per_q)</f>
        <v>0</v>
      </c>
      <c r="AZ63" s="20" t="n">
        <f aca="false">IF(Quantiles!AZ63&lt;0,"",(Depth0-MIN(Depth0,Quantiles!AZ63))/Depth_per_q)</f>
        <v>0</v>
      </c>
      <c r="BA63" s="20" t="n">
        <f aca="false">IF(Quantiles!BA63&lt;0,"",(Depth0-MIN(Depth0,Quantiles!BA63))/Depth_per_q)</f>
        <v>0</v>
      </c>
      <c r="BB63" s="20" t="n">
        <f aca="false">IF(Quantiles!BB63&lt;0,"",(Depth0-MIN(Depth0,Quantiles!BB63))/Depth_per_q)</f>
        <v>0</v>
      </c>
      <c r="BC63" s="20" t="n">
        <f aca="false">IF(Quantiles!BC63&lt;0,"",(Depth0-MIN(Depth0,Quantiles!BC63))/Depth_per_q)</f>
        <v>0</v>
      </c>
      <c r="BD63" s="20" t="n">
        <f aca="false">IF(Quantiles!BD63&lt;0,"",(Depth0-MIN(Depth0,Quantiles!BD63))/Depth_per_q)</f>
        <v>0</v>
      </c>
      <c r="BE63" s="20" t="n">
        <f aca="false">IF(Quantiles!BE63&lt;0,"",(Depth0-MIN(Depth0,Quantiles!BE63))/Depth_per_q)</f>
        <v>0</v>
      </c>
      <c r="BF63" s="20" t="n">
        <f aca="false">IF(Quantiles!BF63&lt;0,"",(Depth0-MIN(Depth0,Quantiles!BF63))/Depth_per_q)</f>
        <v>0</v>
      </c>
      <c r="BG63" s="20" t="n">
        <f aca="false">IF(Quantiles!BG63&lt;0,"",(Depth0-MIN(Depth0,Quantiles!BG63))/Depth_per_q)</f>
        <v>0</v>
      </c>
      <c r="BH63" s="20" t="n">
        <f aca="false">IF(Quantiles!BH63&lt;0,"",(Depth0-MIN(Depth0,Quantiles!BH63))/Depth_per_q)</f>
        <v>0</v>
      </c>
      <c r="BI63" s="20" t="n">
        <f aca="false">IF(Quantiles!BI63&lt;0,"",(Depth0-MIN(Depth0,Quantiles!BI63))/Depth_per_q)</f>
        <v>0</v>
      </c>
      <c r="BJ63" s="20" t="n">
        <f aca="false">IF(Quantiles!BJ63&lt;0,"",(Depth0-MIN(Depth0,Quantiles!BJ63))/Depth_per_q)</f>
        <v>0</v>
      </c>
      <c r="BK63" s="20" t="n">
        <f aca="false">IF(Quantiles!BK63&lt;0,"",(Depth0-MIN(Depth0,Quantiles!BK63))/Depth_per_q)</f>
        <v>0</v>
      </c>
      <c r="BL63" s="20" t="n">
        <f aca="false">IF(Quantiles!BL63&lt;0,"",(Depth0-MIN(Depth0,Quantiles!BL63))/Depth_per_q)</f>
        <v>0</v>
      </c>
      <c r="BM63" s="20" t="n">
        <f aca="false">IF(Quantiles!BM63&lt;0,"",(Depth0-MIN(Depth0,Quantiles!BM63))/Depth_per_q)</f>
        <v>0</v>
      </c>
      <c r="BN63" s="20" t="n">
        <f aca="false">IF(Quantiles!BN63&lt;0,"",(Depth0-MIN(Depth0,Quantiles!BN63))/Depth_per_q)</f>
        <v>0</v>
      </c>
      <c r="BO63" s="20" t="n">
        <f aca="false">IF(Quantiles!BO63&lt;0,"",(Depth0-MIN(Depth0,Quantiles!BO63))/Depth_per_q)</f>
        <v>0</v>
      </c>
      <c r="BP63" s="20" t="n">
        <f aca="false">IF(Quantiles!BP63&lt;0,"",(Depth0-MIN(Depth0,Quantiles!BP63))/Depth_per_q)</f>
        <v>0</v>
      </c>
      <c r="BQ63" s="20" t="n">
        <f aca="false">IF(Quantiles!BQ63&lt;0,"",(Depth0-MIN(Depth0,Quantiles!BQ63))/Depth_per_q)</f>
        <v>0</v>
      </c>
      <c r="BR63" s="20" t="n">
        <f aca="false">IF(Quantiles!BR63&lt;0,"",(Depth0-MIN(Depth0,Quantiles!BR63))/Depth_per_q)</f>
        <v>0</v>
      </c>
      <c r="BS63" s="20" t="n">
        <f aca="false">IF(Quantiles!BS63&lt;0,"",(Depth0-MIN(Depth0,Quantiles!BS63))/Depth_per_q)</f>
        <v>0</v>
      </c>
      <c r="BT63" s="20" t="n">
        <f aca="false">IF(Quantiles!BT63&lt;0,"",(Depth0-MIN(Depth0,Quantiles!BT63))/Depth_per_q)</f>
        <v>0</v>
      </c>
      <c r="BU63" s="20" t="n">
        <f aca="false">IF(Quantiles!BU63&lt;0,"",(Depth0-MIN(Depth0,Quantiles!BU63))/Depth_per_q)</f>
        <v>0</v>
      </c>
      <c r="BV63" s="20" t="n">
        <f aca="false">IF(Quantiles!BV63&lt;0,"",(Depth0-MIN(Depth0,Quantiles!BV63))/Depth_per_q)</f>
        <v>0</v>
      </c>
      <c r="BW63" s="20" t="n">
        <f aca="false">IF(Quantiles!BW63&lt;0,"",(Depth0-MIN(Depth0,Quantiles!BW63))/Depth_per_q)</f>
        <v>0</v>
      </c>
      <c r="BX63" s="20" t="n">
        <f aca="false">IF(Quantiles!BX63&lt;0,"",(Depth0-MIN(Depth0,Quantiles!BX63))/Depth_per_q)</f>
        <v>0</v>
      </c>
      <c r="BY63" s="20" t="n">
        <f aca="false">IF(Quantiles!BY63&lt;0,"",(Depth0-MIN(Depth0,Quantiles!BY63))/Depth_per_q)</f>
        <v>0</v>
      </c>
      <c r="BZ63" s="20" t="n">
        <f aca="false">IF(Quantiles!BZ63&lt;0,"",(Depth0-MIN(Depth0,Quantiles!BZ63))/Depth_per_q)</f>
        <v>0</v>
      </c>
      <c r="CA63" s="20" t="n">
        <f aca="false">IF(Quantiles!CA63&lt;0,"",(Depth0-MIN(Depth0,Quantiles!CA63))/Depth_per_q)</f>
        <v>0</v>
      </c>
      <c r="CB63" s="20" t="n">
        <f aca="false">IF(Quantiles!CB63&lt;0,"",(Depth0-MIN(Depth0,Quantiles!CB63))/Depth_per_q)</f>
        <v>0</v>
      </c>
      <c r="CC63" s="20" t="n">
        <f aca="false">IF(Quantiles!CC63&lt;0,"",(Depth0-MIN(Depth0,Quantiles!CC63))/Depth_per_q)</f>
        <v>0</v>
      </c>
      <c r="CD63" s="20" t="n">
        <f aca="false">IF(Quantiles!CD63&lt;0,"",(Depth0-MIN(Depth0,Quantiles!CD63))/Depth_per_q)</f>
        <v>0</v>
      </c>
      <c r="CE63" s="20" t="n">
        <f aca="false">IF(Quantiles!CE63&lt;0,"",(Depth0-MIN(Depth0,Quantiles!CE63))/Depth_per_q)</f>
        <v>0</v>
      </c>
      <c r="CF63" s="20" t="n">
        <f aca="false">IF(Quantiles!CF63&lt;0,"",(Depth0-MIN(Depth0,Quantiles!CF63))/Depth_per_q)</f>
        <v>0</v>
      </c>
      <c r="CG63" s="20" t="n">
        <f aca="false">IF(Quantiles!CG63&lt;0,"",(Depth0-MIN(Depth0,Quantiles!CG63))/Depth_per_q)</f>
        <v>0</v>
      </c>
      <c r="CH63" s="20" t="n">
        <f aca="false">IF(Quantiles!CH63&lt;0,"",(Depth0-MIN(Depth0,Quantiles!CH63))/Depth_per_q)</f>
        <v>0</v>
      </c>
      <c r="CI63" s="20" t="n">
        <f aca="false">IF(Quantiles!CI63&lt;0,"",(Depth0-MIN(Depth0,Quantiles!CI63))/Depth_per_q)</f>
        <v>0</v>
      </c>
      <c r="CJ63" s="20" t="n">
        <f aca="false">IF(Quantiles!CJ63&lt;0,"",(Depth0-MIN(Depth0,Quantiles!CJ63))/Depth_per_q)</f>
        <v>0</v>
      </c>
      <c r="CK63" s="20" t="n">
        <f aca="false">IF(Quantiles!CK63&lt;0,"",(Depth0-MIN(Depth0,Quantiles!CK63))/Depth_per_q)</f>
        <v>0</v>
      </c>
      <c r="CL63" s="20" t="n">
        <f aca="false">IF(Quantiles!CL63&lt;0,"",(Depth0-MIN(Depth0,Quantiles!CL63))/Depth_per_q)</f>
        <v>0</v>
      </c>
      <c r="CM63" s="20" t="n">
        <f aca="false">IF(Quantiles!CM63&lt;0,"",(Depth0-MIN(Depth0,Quantiles!CM63))/Depth_per_q)</f>
        <v>0</v>
      </c>
      <c r="CN63" s="20" t="n">
        <f aca="false">IF(Quantiles!CN63&lt;0,"",(Depth0-MIN(Depth0,Quantiles!CN63))/Depth_per_q)</f>
        <v>0</v>
      </c>
      <c r="CO63" s="20" t="n">
        <f aca="false">IF(Quantiles!CO63&lt;0,"",(Depth0-MIN(Depth0,Quantiles!CO63))/Depth_per_q)</f>
        <v>0</v>
      </c>
      <c r="CP63" s="20" t="n">
        <f aca="false">IF(Quantiles!CP63&lt;0,"",(Depth0-MIN(Depth0,Quantiles!CP63))/Depth_per_q)</f>
        <v>0</v>
      </c>
      <c r="CQ63" s="20" t="n">
        <f aca="false">IF(Quantiles!CQ63&lt;0,"",(Depth0-MIN(Depth0,Quantiles!CQ63))/Depth_per_q)</f>
        <v>0</v>
      </c>
      <c r="CR63" s="20" t="n">
        <f aca="false">IF(Quantiles!CR63&lt;0,"",(Depth0-MIN(Depth0,Quantiles!CR63))/Depth_per_q)</f>
        <v>0</v>
      </c>
      <c r="CS63" s="20" t="n">
        <f aca="false">IF(Quantiles!CS63&lt;0,"",(Depth0-MIN(Depth0,Quantiles!CS63))/Depth_per_q)</f>
        <v>0</v>
      </c>
      <c r="CT63" s="20" t="n">
        <f aca="false">IF(Quantiles!CT63&lt;0,"",(Depth0-MIN(Depth0,Quantiles!CT63))/Depth_per_q)</f>
        <v>1.07185238306093</v>
      </c>
    </row>
    <row r="64" customFormat="false" ht="15" hidden="false" customHeight="false" outlineLevel="0" collapsed="false">
      <c r="A64" s="25" t="n">
        <f aca="false">Quantiles!A64</f>
        <v>295</v>
      </c>
      <c r="B64" s="20" t="n">
        <f aca="false">IF(Quantiles!B64&lt;0,"",(Depth0-MIN(Depth0,Quantiles!B64))/Depth_per_q)</f>
        <v>2.04522844784225</v>
      </c>
      <c r="C64" s="20" t="n">
        <f aca="false">IF(Quantiles!C64&lt;0,"",(Depth0-MIN(Depth0,Quantiles!C64))/Depth_per_q)</f>
        <v>1.85809505379828</v>
      </c>
      <c r="D64" s="20" t="n">
        <f aca="false">IF(Quantiles!D64&lt;0,"",(Depth0-MIN(Depth0,Quantiles!D64))/Depth_per_q)</f>
        <v>1.69688911081561</v>
      </c>
      <c r="E64" s="20" t="n">
        <f aca="false">IF(Quantiles!E64&lt;0,"",(Depth0-MIN(Depth0,Quantiles!E64))/Depth_per_q)</f>
        <v>1.55847989150006</v>
      </c>
      <c r="F64" s="20" t="n">
        <f aca="false">IF(Quantiles!F64&lt;0,"",(Depth0-MIN(Depth0,Quantiles!F64))/Depth_per_q)</f>
        <v>1.43755967362015</v>
      </c>
      <c r="G64" s="20" t="n">
        <f aca="false">IF(Quantiles!G64&lt;0,"",(Depth0-MIN(Depth0,Quantiles!G64))/Depth_per_q)</f>
        <v>1.3323084802566</v>
      </c>
      <c r="H64" s="20" t="n">
        <f aca="false">IF(Quantiles!H64&lt;0,"",(Depth0-MIN(Depth0,Quantiles!H64))/Depth_per_q)</f>
        <v>1.2370767346804</v>
      </c>
      <c r="I64" s="20" t="n">
        <f aca="false">IF(Quantiles!I64&lt;0,"",(Depth0-MIN(Depth0,Quantiles!I64))/Depth_per_q)</f>
        <v>1.14775565838745</v>
      </c>
      <c r="J64" s="20" t="n">
        <f aca="false">IF(Quantiles!J64&lt;0,"",(Depth0-MIN(Depth0,Quantiles!J64))/Depth_per_q)</f>
        <v>1.07145059027487</v>
      </c>
      <c r="K64" s="20" t="n">
        <f aca="false">IF(Quantiles!K64&lt;0,"",(Depth0-MIN(Depth0,Quantiles!K64))/Depth_per_q)</f>
        <v>0.992628135543698</v>
      </c>
      <c r="L64" s="20" t="n">
        <f aca="false">IF(Quantiles!L64&lt;0,"",(Depth0-MIN(Depth0,Quantiles!L64))/Depth_per_q)</f>
        <v>0.915819599607683</v>
      </c>
      <c r="M64" s="20" t="n">
        <f aca="false">IF(Quantiles!M64&lt;0,"",(Depth0-MIN(Depth0,Quantiles!M64))/Depth_per_q)</f>
        <v>0.852426322290572</v>
      </c>
      <c r="N64" s="20" t="n">
        <f aca="false">IF(Quantiles!N64&lt;0,"",(Depth0-MIN(Depth0,Quantiles!N64))/Depth_per_q)</f>
        <v>0.789844423798932</v>
      </c>
      <c r="O64" s="20" t="n">
        <f aca="false">IF(Quantiles!O64&lt;0,"",(Depth0-MIN(Depth0,Quantiles!O64))/Depth_per_q)</f>
        <v>0.724537558177932</v>
      </c>
      <c r="P64" s="20" t="n">
        <f aca="false">IF(Quantiles!P64&lt;0,"",(Depth0-MIN(Depth0,Quantiles!P64))/Depth_per_q)</f>
        <v>0.664988261261192</v>
      </c>
      <c r="Q64" s="20" t="n">
        <f aca="false">IF(Quantiles!Q64&lt;0,"",(Depth0-MIN(Depth0,Quantiles!Q64))/Depth_per_q)</f>
        <v>0.608728669980812</v>
      </c>
      <c r="R64" s="20" t="n">
        <f aca="false">IF(Quantiles!R64&lt;0,"",(Depth0-MIN(Depth0,Quantiles!R64))/Depth_per_q)</f>
        <v>0.557167761811425</v>
      </c>
      <c r="S64" s="20" t="n">
        <f aca="false">IF(Quantiles!S64&lt;0,"",(Depth0-MIN(Depth0,Quantiles!S64))/Depth_per_q)</f>
        <v>0.50672862278378</v>
      </c>
      <c r="T64" s="20" t="n">
        <f aca="false">IF(Quantiles!T64&lt;0,"",(Depth0-MIN(Depth0,Quantiles!T64))/Depth_per_q)</f>
        <v>0.460321720437007</v>
      </c>
      <c r="U64" s="20" t="n">
        <f aca="false">IF(Quantiles!U64&lt;0,"",(Depth0-MIN(Depth0,Quantiles!U64))/Depth_per_q)</f>
        <v>0.41659061635748</v>
      </c>
      <c r="V64" s="20" t="n">
        <f aca="false">IF(Quantiles!V64&lt;0,"",(Depth0-MIN(Depth0,Quantiles!V64))/Depth_per_q)</f>
        <v>0.37201268252599</v>
      </c>
      <c r="W64" s="20" t="n">
        <f aca="false">IF(Quantiles!W64&lt;0,"",(Depth0-MIN(Depth0,Quantiles!W64))/Depth_per_q)</f>
        <v>0.327171770541773</v>
      </c>
      <c r="X64" s="20" t="n">
        <f aca="false">IF(Quantiles!X64&lt;0,"",(Depth0-MIN(Depth0,Quantiles!X64))/Depth_per_q)</f>
        <v>0.282432448104403</v>
      </c>
      <c r="Y64" s="20" t="n">
        <f aca="false">IF(Quantiles!Y64&lt;0,"",(Depth0-MIN(Depth0,Quantiles!Y64))/Depth_per_q)</f>
        <v>0.24543386953142</v>
      </c>
      <c r="Z64" s="20" t="n">
        <f aca="false">IF(Quantiles!Z64&lt;0,"",(Depth0-MIN(Depth0,Quantiles!Z64))/Depth_per_q)</f>
        <v>0.206267254671285</v>
      </c>
      <c r="AA64" s="20" t="n">
        <f aca="false">IF(Quantiles!AA64&lt;0,"",(Depth0-MIN(Depth0,Quantiles!AA64))/Depth_per_q)</f>
        <v>0.168683186085308</v>
      </c>
      <c r="AB64" s="20" t="n">
        <f aca="false">IF(Quantiles!AB64&lt;0,"",(Depth0-MIN(Depth0,Quantiles!AB64))/Depth_per_q)</f>
        <v>0.12882252964227</v>
      </c>
      <c r="AC64" s="20" t="n">
        <f aca="false">IF(Quantiles!AC64&lt;0,"",(Depth0-MIN(Depth0,Quantiles!AC64))/Depth_per_q)</f>
        <v>0.0931874655603098</v>
      </c>
      <c r="AD64" s="20" t="n">
        <f aca="false">IF(Quantiles!AD64&lt;0,"",(Depth0-MIN(Depth0,Quantiles!AD64))/Depth_per_q)</f>
        <v>0.0557036199458674</v>
      </c>
      <c r="AE64" s="20" t="n">
        <f aca="false">IF(Quantiles!AE64&lt;0,"",(Depth0-MIN(Depth0,Quantiles!AE64))/Depth_per_q)</f>
        <v>0.0221956399447674</v>
      </c>
      <c r="AF64" s="20" t="n">
        <f aca="false">IF(Quantiles!AF64&lt;0,"",(Depth0-MIN(Depth0,Quantiles!AF64))/Depth_per_q)</f>
        <v>0</v>
      </c>
      <c r="AG64" s="20" t="n">
        <f aca="false">IF(Quantiles!AG64&lt;0,"",(Depth0-MIN(Depth0,Quantiles!AG64))/Depth_per_q)</f>
        <v>0</v>
      </c>
      <c r="AH64" s="20" t="n">
        <f aca="false">IF(Quantiles!AH64&lt;0,"",(Depth0-MIN(Depth0,Quantiles!AH64))/Depth_per_q)</f>
        <v>0</v>
      </c>
      <c r="AI64" s="20" t="n">
        <f aca="false">IF(Quantiles!AI64&lt;0,"",(Depth0-MIN(Depth0,Quantiles!AI64))/Depth_per_q)</f>
        <v>0</v>
      </c>
      <c r="AJ64" s="20" t="n">
        <f aca="false">IF(Quantiles!AJ64&lt;0,"",(Depth0-MIN(Depth0,Quantiles!AJ64))/Depth_per_q)</f>
        <v>0</v>
      </c>
      <c r="AK64" s="20" t="n">
        <f aca="false">IF(Quantiles!AK64&lt;0,"",(Depth0-MIN(Depth0,Quantiles!AK64))/Depth_per_q)</f>
        <v>0</v>
      </c>
      <c r="AL64" s="20" t="n">
        <f aca="false">IF(Quantiles!AL64&lt;0,"",(Depth0-MIN(Depth0,Quantiles!AL64))/Depth_per_q)</f>
        <v>0</v>
      </c>
      <c r="AM64" s="20" t="n">
        <f aca="false">IF(Quantiles!AM64&lt;0,"",(Depth0-MIN(Depth0,Quantiles!AM64))/Depth_per_q)</f>
        <v>0</v>
      </c>
      <c r="AN64" s="20" t="n">
        <f aca="false">IF(Quantiles!AN64&lt;0,"",(Depth0-MIN(Depth0,Quantiles!AN64))/Depth_per_q)</f>
        <v>0</v>
      </c>
      <c r="AO64" s="20" t="n">
        <f aca="false">IF(Quantiles!AO64&lt;0,"",(Depth0-MIN(Depth0,Quantiles!AO64))/Depth_per_q)</f>
        <v>0</v>
      </c>
      <c r="AP64" s="20" t="n">
        <f aca="false">IF(Quantiles!AP64&lt;0,"",(Depth0-MIN(Depth0,Quantiles!AP64))/Depth_per_q)</f>
        <v>0</v>
      </c>
      <c r="AQ64" s="20" t="n">
        <f aca="false">IF(Quantiles!AQ64&lt;0,"",(Depth0-MIN(Depth0,Quantiles!AQ64))/Depth_per_q)</f>
        <v>0</v>
      </c>
      <c r="AR64" s="20" t="n">
        <f aca="false">IF(Quantiles!AR64&lt;0,"",(Depth0-MIN(Depth0,Quantiles!AR64))/Depth_per_q)</f>
        <v>0</v>
      </c>
      <c r="AS64" s="20" t="n">
        <f aca="false">IF(Quantiles!AS64&lt;0,"",(Depth0-MIN(Depth0,Quantiles!AS64))/Depth_per_q)</f>
        <v>0</v>
      </c>
      <c r="AT64" s="20" t="n">
        <f aca="false">IF(Quantiles!AT64&lt;0,"",(Depth0-MIN(Depth0,Quantiles!AT64))/Depth_per_q)</f>
        <v>0</v>
      </c>
      <c r="AU64" s="20" t="n">
        <f aca="false">IF(Quantiles!AU64&lt;0,"",(Depth0-MIN(Depth0,Quantiles!AU64))/Depth_per_q)</f>
        <v>0</v>
      </c>
      <c r="AV64" s="20" t="n">
        <f aca="false">IF(Quantiles!AV64&lt;0,"",(Depth0-MIN(Depth0,Quantiles!AV64))/Depth_per_q)</f>
        <v>0</v>
      </c>
      <c r="AW64" s="20" t="n">
        <f aca="false">IF(Quantiles!AW64&lt;0,"",(Depth0-MIN(Depth0,Quantiles!AW64))/Depth_per_q)</f>
        <v>0</v>
      </c>
      <c r="AX64" s="20" t="n">
        <f aca="false">IF(Quantiles!AX64&lt;0,"",(Depth0-MIN(Depth0,Quantiles!AX64))/Depth_per_q)</f>
        <v>0</v>
      </c>
      <c r="AY64" s="20" t="n">
        <f aca="false">IF(Quantiles!AY64&lt;0,"",(Depth0-MIN(Depth0,Quantiles!AY64))/Depth_per_q)</f>
        <v>0</v>
      </c>
      <c r="AZ64" s="20" t="n">
        <f aca="false">IF(Quantiles!AZ64&lt;0,"",(Depth0-MIN(Depth0,Quantiles!AZ64))/Depth_per_q)</f>
        <v>0</v>
      </c>
      <c r="BA64" s="20" t="n">
        <f aca="false">IF(Quantiles!BA64&lt;0,"",(Depth0-MIN(Depth0,Quantiles!BA64))/Depth_per_q)</f>
        <v>0</v>
      </c>
      <c r="BB64" s="20" t="n">
        <f aca="false">IF(Quantiles!BB64&lt;0,"",(Depth0-MIN(Depth0,Quantiles!BB64))/Depth_per_q)</f>
        <v>0</v>
      </c>
      <c r="BC64" s="20" t="n">
        <f aca="false">IF(Quantiles!BC64&lt;0,"",(Depth0-MIN(Depth0,Quantiles!BC64))/Depth_per_q)</f>
        <v>0</v>
      </c>
      <c r="BD64" s="20" t="n">
        <f aca="false">IF(Quantiles!BD64&lt;0,"",(Depth0-MIN(Depth0,Quantiles!BD64))/Depth_per_q)</f>
        <v>0</v>
      </c>
      <c r="BE64" s="20" t="n">
        <f aca="false">IF(Quantiles!BE64&lt;0,"",(Depth0-MIN(Depth0,Quantiles!BE64))/Depth_per_q)</f>
        <v>0</v>
      </c>
      <c r="BF64" s="20" t="n">
        <f aca="false">IF(Quantiles!BF64&lt;0,"",(Depth0-MIN(Depth0,Quantiles!BF64))/Depth_per_q)</f>
        <v>0</v>
      </c>
      <c r="BG64" s="20" t="n">
        <f aca="false">IF(Quantiles!BG64&lt;0,"",(Depth0-MIN(Depth0,Quantiles!BG64))/Depth_per_q)</f>
        <v>0</v>
      </c>
      <c r="BH64" s="20" t="n">
        <f aca="false">IF(Quantiles!BH64&lt;0,"",(Depth0-MIN(Depth0,Quantiles!BH64))/Depth_per_q)</f>
        <v>0</v>
      </c>
      <c r="BI64" s="20" t="n">
        <f aca="false">IF(Quantiles!BI64&lt;0,"",(Depth0-MIN(Depth0,Quantiles!BI64))/Depth_per_q)</f>
        <v>0</v>
      </c>
      <c r="BJ64" s="20" t="n">
        <f aca="false">IF(Quantiles!BJ64&lt;0,"",(Depth0-MIN(Depth0,Quantiles!BJ64))/Depth_per_q)</f>
        <v>0</v>
      </c>
      <c r="BK64" s="20" t="n">
        <f aca="false">IF(Quantiles!BK64&lt;0,"",(Depth0-MIN(Depth0,Quantiles!BK64))/Depth_per_q)</f>
        <v>0</v>
      </c>
      <c r="BL64" s="20" t="n">
        <f aca="false">IF(Quantiles!BL64&lt;0,"",(Depth0-MIN(Depth0,Quantiles!BL64))/Depth_per_q)</f>
        <v>0</v>
      </c>
      <c r="BM64" s="20" t="n">
        <f aca="false">IF(Quantiles!BM64&lt;0,"",(Depth0-MIN(Depth0,Quantiles!BM64))/Depth_per_q)</f>
        <v>0</v>
      </c>
      <c r="BN64" s="20" t="n">
        <f aca="false">IF(Quantiles!BN64&lt;0,"",(Depth0-MIN(Depth0,Quantiles!BN64))/Depth_per_q)</f>
        <v>0</v>
      </c>
      <c r="BO64" s="20" t="n">
        <f aca="false">IF(Quantiles!BO64&lt;0,"",(Depth0-MIN(Depth0,Quantiles!BO64))/Depth_per_q)</f>
        <v>0</v>
      </c>
      <c r="BP64" s="20" t="n">
        <f aca="false">IF(Quantiles!BP64&lt;0,"",(Depth0-MIN(Depth0,Quantiles!BP64))/Depth_per_q)</f>
        <v>0</v>
      </c>
      <c r="BQ64" s="20" t="n">
        <f aca="false">IF(Quantiles!BQ64&lt;0,"",(Depth0-MIN(Depth0,Quantiles!BQ64))/Depth_per_q)</f>
        <v>0</v>
      </c>
      <c r="BR64" s="20" t="n">
        <f aca="false">IF(Quantiles!BR64&lt;0,"",(Depth0-MIN(Depth0,Quantiles!BR64))/Depth_per_q)</f>
        <v>0</v>
      </c>
      <c r="BS64" s="20" t="n">
        <f aca="false">IF(Quantiles!BS64&lt;0,"",(Depth0-MIN(Depth0,Quantiles!BS64))/Depth_per_q)</f>
        <v>0</v>
      </c>
      <c r="BT64" s="20" t="n">
        <f aca="false">IF(Quantiles!BT64&lt;0,"",(Depth0-MIN(Depth0,Quantiles!BT64))/Depth_per_q)</f>
        <v>0</v>
      </c>
      <c r="BU64" s="20" t="n">
        <f aca="false">IF(Quantiles!BU64&lt;0,"",(Depth0-MIN(Depth0,Quantiles!BU64))/Depth_per_q)</f>
        <v>0</v>
      </c>
      <c r="BV64" s="20" t="n">
        <f aca="false">IF(Quantiles!BV64&lt;0,"",(Depth0-MIN(Depth0,Quantiles!BV64))/Depth_per_q)</f>
        <v>0</v>
      </c>
      <c r="BW64" s="20" t="n">
        <f aca="false">IF(Quantiles!BW64&lt;0,"",(Depth0-MIN(Depth0,Quantiles!BW64))/Depth_per_q)</f>
        <v>0</v>
      </c>
      <c r="BX64" s="20" t="n">
        <f aca="false">IF(Quantiles!BX64&lt;0,"",(Depth0-MIN(Depth0,Quantiles!BX64))/Depth_per_q)</f>
        <v>0</v>
      </c>
      <c r="BY64" s="20" t="n">
        <f aca="false">IF(Quantiles!BY64&lt;0,"",(Depth0-MIN(Depth0,Quantiles!BY64))/Depth_per_q)</f>
        <v>0</v>
      </c>
      <c r="BZ64" s="20" t="n">
        <f aca="false">IF(Quantiles!BZ64&lt;0,"",(Depth0-MIN(Depth0,Quantiles!BZ64))/Depth_per_q)</f>
        <v>0</v>
      </c>
      <c r="CA64" s="20" t="n">
        <f aca="false">IF(Quantiles!CA64&lt;0,"",(Depth0-MIN(Depth0,Quantiles!CA64))/Depth_per_q)</f>
        <v>0</v>
      </c>
      <c r="CB64" s="20" t="n">
        <f aca="false">IF(Quantiles!CB64&lt;0,"",(Depth0-MIN(Depth0,Quantiles!CB64))/Depth_per_q)</f>
        <v>0</v>
      </c>
      <c r="CC64" s="20" t="n">
        <f aca="false">IF(Quantiles!CC64&lt;0,"",(Depth0-MIN(Depth0,Quantiles!CC64))/Depth_per_q)</f>
        <v>0</v>
      </c>
      <c r="CD64" s="20" t="n">
        <f aca="false">IF(Quantiles!CD64&lt;0,"",(Depth0-MIN(Depth0,Quantiles!CD64))/Depth_per_q)</f>
        <v>0</v>
      </c>
      <c r="CE64" s="20" t="n">
        <f aca="false">IF(Quantiles!CE64&lt;0,"",(Depth0-MIN(Depth0,Quantiles!CE64))/Depth_per_q)</f>
        <v>0</v>
      </c>
      <c r="CF64" s="20" t="n">
        <f aca="false">IF(Quantiles!CF64&lt;0,"",(Depth0-MIN(Depth0,Quantiles!CF64))/Depth_per_q)</f>
        <v>0</v>
      </c>
      <c r="CG64" s="20" t="n">
        <f aca="false">IF(Quantiles!CG64&lt;0,"",(Depth0-MIN(Depth0,Quantiles!CG64))/Depth_per_q)</f>
        <v>0</v>
      </c>
      <c r="CH64" s="20" t="n">
        <f aca="false">IF(Quantiles!CH64&lt;0,"",(Depth0-MIN(Depth0,Quantiles!CH64))/Depth_per_q)</f>
        <v>0</v>
      </c>
      <c r="CI64" s="20" t="n">
        <f aca="false">IF(Quantiles!CI64&lt;0,"",(Depth0-MIN(Depth0,Quantiles!CI64))/Depth_per_q)</f>
        <v>0</v>
      </c>
      <c r="CJ64" s="20" t="n">
        <f aca="false">IF(Quantiles!CJ64&lt;0,"",(Depth0-MIN(Depth0,Quantiles!CJ64))/Depth_per_q)</f>
        <v>0</v>
      </c>
      <c r="CK64" s="20" t="n">
        <f aca="false">IF(Quantiles!CK64&lt;0,"",(Depth0-MIN(Depth0,Quantiles!CK64))/Depth_per_q)</f>
        <v>0</v>
      </c>
      <c r="CL64" s="20" t="n">
        <f aca="false">IF(Quantiles!CL64&lt;0,"",(Depth0-MIN(Depth0,Quantiles!CL64))/Depth_per_q)</f>
        <v>0</v>
      </c>
      <c r="CM64" s="20" t="n">
        <f aca="false">IF(Quantiles!CM64&lt;0,"",(Depth0-MIN(Depth0,Quantiles!CM64))/Depth_per_q)</f>
        <v>0</v>
      </c>
      <c r="CN64" s="20" t="n">
        <f aca="false">IF(Quantiles!CN64&lt;0,"",(Depth0-MIN(Depth0,Quantiles!CN64))/Depth_per_q)</f>
        <v>0</v>
      </c>
      <c r="CO64" s="20" t="n">
        <f aca="false">IF(Quantiles!CO64&lt;0,"",(Depth0-MIN(Depth0,Quantiles!CO64))/Depth_per_q)</f>
        <v>0</v>
      </c>
      <c r="CP64" s="20" t="n">
        <f aca="false">IF(Quantiles!CP64&lt;0,"",(Depth0-MIN(Depth0,Quantiles!CP64))/Depth_per_q)</f>
        <v>0</v>
      </c>
      <c r="CQ64" s="20" t="n">
        <f aca="false">IF(Quantiles!CQ64&lt;0,"",(Depth0-MIN(Depth0,Quantiles!CQ64))/Depth_per_q)</f>
        <v>0</v>
      </c>
      <c r="CR64" s="20" t="n">
        <f aca="false">IF(Quantiles!CR64&lt;0,"",(Depth0-MIN(Depth0,Quantiles!CR64))/Depth_per_q)</f>
        <v>0</v>
      </c>
      <c r="CS64" s="20" t="n">
        <f aca="false">IF(Quantiles!CS64&lt;0,"",(Depth0-MIN(Depth0,Quantiles!CS64))/Depth_per_q)</f>
        <v>0</v>
      </c>
      <c r="CT64" s="20" t="n">
        <f aca="false">IF(Quantiles!CT64&lt;0,"",(Depth0-MIN(Depth0,Quantiles!CT64))/Depth_per_q)</f>
        <v>1.07042122295397</v>
      </c>
    </row>
    <row r="65" customFormat="false" ht="15" hidden="false" customHeight="false" outlineLevel="0" collapsed="false">
      <c r="A65" s="25" t="n">
        <f aca="false">Quantiles!A65</f>
        <v>300</v>
      </c>
      <c r="B65" s="20" t="n">
        <f aca="false">IF(Quantiles!B65&lt;0,"",(Depth0-MIN(Depth0,Quantiles!B65))/Depth_per_q)</f>
        <v>2.04522844784225</v>
      </c>
      <c r="C65" s="20" t="n">
        <f aca="false">IF(Quantiles!C65&lt;0,"",(Depth0-MIN(Depth0,Quantiles!C65))/Depth_per_q)</f>
        <v>1.85809505379828</v>
      </c>
      <c r="D65" s="20" t="n">
        <f aca="false">IF(Quantiles!D65&lt;0,"",(Depth0-MIN(Depth0,Quantiles!D65))/Depth_per_q)</f>
        <v>1.69603280419365</v>
      </c>
      <c r="E65" s="20" t="n">
        <f aca="false">IF(Quantiles!E65&lt;0,"",(Depth0-MIN(Depth0,Quantiles!E65))/Depth_per_q)</f>
        <v>1.55766608009951</v>
      </c>
      <c r="F65" s="20" t="n">
        <f aca="false">IF(Quantiles!F65&lt;0,"",(Depth0-MIN(Depth0,Quantiles!F65))/Depth_per_q)</f>
        <v>1.43740570133515</v>
      </c>
      <c r="G65" s="20" t="n">
        <f aca="false">IF(Quantiles!G65&lt;0,"",(Depth0-MIN(Depth0,Quantiles!G65))/Depth_per_q)</f>
        <v>1.33225334311468</v>
      </c>
      <c r="H65" s="20" t="n">
        <f aca="false">IF(Quantiles!H65&lt;0,"",(Depth0-MIN(Depth0,Quantiles!H65))/Depth_per_q)</f>
        <v>1.23699592349313</v>
      </c>
      <c r="I65" s="20" t="n">
        <f aca="false">IF(Quantiles!I65&lt;0,"",(Depth0-MIN(Depth0,Quantiles!I65))/Depth_per_q)</f>
        <v>1.14731954321644</v>
      </c>
      <c r="J65" s="20" t="n">
        <f aca="false">IF(Quantiles!J65&lt;0,"",(Depth0-MIN(Depth0,Quantiles!J65))/Depth_per_q)</f>
        <v>1.06969879395735</v>
      </c>
      <c r="K65" s="20" t="n">
        <f aca="false">IF(Quantiles!K65&lt;0,"",(Depth0-MIN(Depth0,Quantiles!K65))/Depth_per_q)</f>
        <v>0.991391853984883</v>
      </c>
      <c r="L65" s="20" t="n">
        <f aca="false">IF(Quantiles!L65&lt;0,"",(Depth0-MIN(Depth0,Quantiles!L65))/Depth_per_q)</f>
        <v>0.913749748036152</v>
      </c>
      <c r="M65" s="20" t="n">
        <f aca="false">IF(Quantiles!M65&lt;0,"",(Depth0-MIN(Depth0,Quantiles!M65))/Depth_per_q)</f>
        <v>0.850625292505987</v>
      </c>
      <c r="N65" s="20" t="n">
        <f aca="false">IF(Quantiles!N65&lt;0,"",(Depth0-MIN(Depth0,Quantiles!N65))/Depth_per_q)</f>
        <v>0.789727432642978</v>
      </c>
      <c r="O65" s="20" t="n">
        <f aca="false">IF(Quantiles!O65&lt;0,"",(Depth0-MIN(Depth0,Quantiles!O65))/Depth_per_q)</f>
        <v>0.724537558177932</v>
      </c>
      <c r="P65" s="20" t="n">
        <f aca="false">IF(Quantiles!P65&lt;0,"",(Depth0-MIN(Depth0,Quantiles!P65))/Depth_per_q)</f>
        <v>0.66494941636779</v>
      </c>
      <c r="Q65" s="20" t="n">
        <f aca="false">IF(Quantiles!Q65&lt;0,"",(Depth0-MIN(Depth0,Quantiles!Q65))/Depth_per_q)</f>
        <v>0.608665452579698</v>
      </c>
      <c r="R65" s="20" t="n">
        <f aca="false">IF(Quantiles!R65&lt;0,"",(Depth0-MIN(Depth0,Quantiles!R65))/Depth_per_q)</f>
        <v>0.55676299090365</v>
      </c>
      <c r="S65" s="20" t="n">
        <f aca="false">IF(Quantiles!S65&lt;0,"",(Depth0-MIN(Depth0,Quantiles!S65))/Depth_per_q)</f>
        <v>0.506596553257992</v>
      </c>
      <c r="T65" s="20" t="n">
        <f aca="false">IF(Quantiles!T65&lt;0,"",(Depth0-MIN(Depth0,Quantiles!T65))/Depth_per_q)</f>
        <v>0.460321720437007</v>
      </c>
      <c r="U65" s="20" t="n">
        <f aca="false">IF(Quantiles!U65&lt;0,"",(Depth0-MIN(Depth0,Quantiles!U65))/Depth_per_q)</f>
        <v>0.41659061635748</v>
      </c>
      <c r="V65" s="20" t="n">
        <f aca="false">IF(Quantiles!V65&lt;0,"",(Depth0-MIN(Depth0,Quantiles!V65))/Depth_per_q)</f>
        <v>0.37201268252599</v>
      </c>
      <c r="W65" s="20" t="n">
        <f aca="false">IF(Quantiles!W65&lt;0,"",(Depth0-MIN(Depth0,Quantiles!W65))/Depth_per_q)</f>
        <v>0.327171770541773</v>
      </c>
      <c r="X65" s="20" t="n">
        <f aca="false">IF(Quantiles!X65&lt;0,"",(Depth0-MIN(Depth0,Quantiles!X65))/Depth_per_q)</f>
        <v>0.282432448104403</v>
      </c>
      <c r="Y65" s="20" t="n">
        <f aca="false">IF(Quantiles!Y65&lt;0,"",(Depth0-MIN(Depth0,Quantiles!Y65))/Depth_per_q)</f>
        <v>0.24543386953142</v>
      </c>
      <c r="Z65" s="20" t="n">
        <f aca="false">IF(Quantiles!Z65&lt;0,"",(Depth0-MIN(Depth0,Quantiles!Z65))/Depth_per_q)</f>
        <v>0.205960643146042</v>
      </c>
      <c r="AA65" s="20" t="n">
        <f aca="false">IF(Quantiles!AA65&lt;0,"",(Depth0-MIN(Depth0,Quantiles!AA65))/Depth_per_q)</f>
        <v>0.168673747340088</v>
      </c>
      <c r="AB65" s="20" t="n">
        <f aca="false">IF(Quantiles!AB65&lt;0,"",(Depth0-MIN(Depth0,Quantiles!AB65))/Depth_per_q)</f>
        <v>0.128565026947273</v>
      </c>
      <c r="AC65" s="20" t="n">
        <f aca="false">IF(Quantiles!AC65&lt;0,"",(Depth0-MIN(Depth0,Quantiles!AC65))/Depth_per_q)</f>
        <v>0.0928790526620702</v>
      </c>
      <c r="AD65" s="20" t="n">
        <f aca="false">IF(Quantiles!AD65&lt;0,"",(Depth0-MIN(Depth0,Quantiles!AD65))/Depth_per_q)</f>
        <v>0.0553791259839453</v>
      </c>
      <c r="AE65" s="20" t="n">
        <f aca="false">IF(Quantiles!AE65&lt;0,"",(Depth0-MIN(Depth0,Quantiles!AE65))/Depth_per_q)</f>
        <v>0.0218392007114376</v>
      </c>
      <c r="AF65" s="20" t="n">
        <f aca="false">IF(Quantiles!AF65&lt;0,"",(Depth0-MIN(Depth0,Quantiles!AF65))/Depth_per_q)</f>
        <v>0</v>
      </c>
      <c r="AG65" s="20" t="n">
        <f aca="false">IF(Quantiles!AG65&lt;0,"",(Depth0-MIN(Depth0,Quantiles!AG65))/Depth_per_q)</f>
        <v>0</v>
      </c>
      <c r="AH65" s="20" t="n">
        <f aca="false">IF(Quantiles!AH65&lt;0,"",(Depth0-MIN(Depth0,Quantiles!AH65))/Depth_per_q)</f>
        <v>0</v>
      </c>
      <c r="AI65" s="20" t="n">
        <f aca="false">IF(Quantiles!AI65&lt;0,"",(Depth0-MIN(Depth0,Quantiles!AI65))/Depth_per_q)</f>
        <v>0</v>
      </c>
      <c r="AJ65" s="20" t="n">
        <f aca="false">IF(Quantiles!AJ65&lt;0,"",(Depth0-MIN(Depth0,Quantiles!AJ65))/Depth_per_q)</f>
        <v>0</v>
      </c>
      <c r="AK65" s="20" t="n">
        <f aca="false">IF(Quantiles!AK65&lt;0,"",(Depth0-MIN(Depth0,Quantiles!AK65))/Depth_per_q)</f>
        <v>0</v>
      </c>
      <c r="AL65" s="20" t="n">
        <f aca="false">IF(Quantiles!AL65&lt;0,"",(Depth0-MIN(Depth0,Quantiles!AL65))/Depth_per_q)</f>
        <v>0</v>
      </c>
      <c r="AM65" s="20" t="n">
        <f aca="false">IF(Quantiles!AM65&lt;0,"",(Depth0-MIN(Depth0,Quantiles!AM65))/Depth_per_q)</f>
        <v>0</v>
      </c>
      <c r="AN65" s="20" t="n">
        <f aca="false">IF(Quantiles!AN65&lt;0,"",(Depth0-MIN(Depth0,Quantiles!AN65))/Depth_per_q)</f>
        <v>0</v>
      </c>
      <c r="AO65" s="20" t="n">
        <f aca="false">IF(Quantiles!AO65&lt;0,"",(Depth0-MIN(Depth0,Quantiles!AO65))/Depth_per_q)</f>
        <v>0</v>
      </c>
      <c r="AP65" s="20" t="n">
        <f aca="false">IF(Quantiles!AP65&lt;0,"",(Depth0-MIN(Depth0,Quantiles!AP65))/Depth_per_q)</f>
        <v>0</v>
      </c>
      <c r="AQ65" s="20" t="n">
        <f aca="false">IF(Quantiles!AQ65&lt;0,"",(Depth0-MIN(Depth0,Quantiles!AQ65))/Depth_per_q)</f>
        <v>0</v>
      </c>
      <c r="AR65" s="20" t="n">
        <f aca="false">IF(Quantiles!AR65&lt;0,"",(Depth0-MIN(Depth0,Quantiles!AR65))/Depth_per_q)</f>
        <v>0</v>
      </c>
      <c r="AS65" s="20" t="n">
        <f aca="false">IF(Quantiles!AS65&lt;0,"",(Depth0-MIN(Depth0,Quantiles!AS65))/Depth_per_q)</f>
        <v>0</v>
      </c>
      <c r="AT65" s="20" t="n">
        <f aca="false">IF(Quantiles!AT65&lt;0,"",(Depth0-MIN(Depth0,Quantiles!AT65))/Depth_per_q)</f>
        <v>0</v>
      </c>
      <c r="AU65" s="20" t="n">
        <f aca="false">IF(Quantiles!AU65&lt;0,"",(Depth0-MIN(Depth0,Quantiles!AU65))/Depth_per_q)</f>
        <v>0</v>
      </c>
      <c r="AV65" s="20" t="n">
        <f aca="false">IF(Quantiles!AV65&lt;0,"",(Depth0-MIN(Depth0,Quantiles!AV65))/Depth_per_q)</f>
        <v>0</v>
      </c>
      <c r="AW65" s="20" t="n">
        <f aca="false">IF(Quantiles!AW65&lt;0,"",(Depth0-MIN(Depth0,Quantiles!AW65))/Depth_per_q)</f>
        <v>0</v>
      </c>
      <c r="AX65" s="20" t="n">
        <f aca="false">IF(Quantiles!AX65&lt;0,"",(Depth0-MIN(Depth0,Quantiles!AX65))/Depth_per_q)</f>
        <v>0</v>
      </c>
      <c r="AY65" s="20" t="n">
        <f aca="false">IF(Quantiles!AY65&lt;0,"",(Depth0-MIN(Depth0,Quantiles!AY65))/Depth_per_q)</f>
        <v>0</v>
      </c>
      <c r="AZ65" s="20" t="n">
        <f aca="false">IF(Quantiles!AZ65&lt;0,"",(Depth0-MIN(Depth0,Quantiles!AZ65))/Depth_per_q)</f>
        <v>0</v>
      </c>
      <c r="BA65" s="20" t="n">
        <f aca="false">IF(Quantiles!BA65&lt;0,"",(Depth0-MIN(Depth0,Quantiles!BA65))/Depth_per_q)</f>
        <v>0</v>
      </c>
      <c r="BB65" s="20" t="n">
        <f aca="false">IF(Quantiles!BB65&lt;0,"",(Depth0-MIN(Depth0,Quantiles!BB65))/Depth_per_q)</f>
        <v>0</v>
      </c>
      <c r="BC65" s="20" t="n">
        <f aca="false">IF(Quantiles!BC65&lt;0,"",(Depth0-MIN(Depth0,Quantiles!BC65))/Depth_per_q)</f>
        <v>0</v>
      </c>
      <c r="BD65" s="20" t="n">
        <f aca="false">IF(Quantiles!BD65&lt;0,"",(Depth0-MIN(Depth0,Quantiles!BD65))/Depth_per_q)</f>
        <v>0</v>
      </c>
      <c r="BE65" s="20" t="n">
        <f aca="false">IF(Quantiles!BE65&lt;0,"",(Depth0-MIN(Depth0,Quantiles!BE65))/Depth_per_q)</f>
        <v>0</v>
      </c>
      <c r="BF65" s="20" t="n">
        <f aca="false">IF(Quantiles!BF65&lt;0,"",(Depth0-MIN(Depth0,Quantiles!BF65))/Depth_per_q)</f>
        <v>0</v>
      </c>
      <c r="BG65" s="20" t="n">
        <f aca="false">IF(Quantiles!BG65&lt;0,"",(Depth0-MIN(Depth0,Quantiles!BG65))/Depth_per_q)</f>
        <v>0</v>
      </c>
      <c r="BH65" s="20" t="n">
        <f aca="false">IF(Quantiles!BH65&lt;0,"",(Depth0-MIN(Depth0,Quantiles!BH65))/Depth_per_q)</f>
        <v>0</v>
      </c>
      <c r="BI65" s="20" t="n">
        <f aca="false">IF(Quantiles!BI65&lt;0,"",(Depth0-MIN(Depth0,Quantiles!BI65))/Depth_per_q)</f>
        <v>0</v>
      </c>
      <c r="BJ65" s="20" t="n">
        <f aca="false">IF(Quantiles!BJ65&lt;0,"",(Depth0-MIN(Depth0,Quantiles!BJ65))/Depth_per_q)</f>
        <v>0</v>
      </c>
      <c r="BK65" s="20" t="n">
        <f aca="false">IF(Quantiles!BK65&lt;0,"",(Depth0-MIN(Depth0,Quantiles!BK65))/Depth_per_q)</f>
        <v>0</v>
      </c>
      <c r="BL65" s="20" t="n">
        <f aca="false">IF(Quantiles!BL65&lt;0,"",(Depth0-MIN(Depth0,Quantiles!BL65))/Depth_per_q)</f>
        <v>0</v>
      </c>
      <c r="BM65" s="20" t="n">
        <f aca="false">IF(Quantiles!BM65&lt;0,"",(Depth0-MIN(Depth0,Quantiles!BM65))/Depth_per_q)</f>
        <v>0</v>
      </c>
      <c r="BN65" s="20" t="n">
        <f aca="false">IF(Quantiles!BN65&lt;0,"",(Depth0-MIN(Depth0,Quantiles!BN65))/Depth_per_q)</f>
        <v>0</v>
      </c>
      <c r="BO65" s="20" t="n">
        <f aca="false">IF(Quantiles!BO65&lt;0,"",(Depth0-MIN(Depth0,Quantiles!BO65))/Depth_per_q)</f>
        <v>0</v>
      </c>
      <c r="BP65" s="20" t="n">
        <f aca="false">IF(Quantiles!BP65&lt;0,"",(Depth0-MIN(Depth0,Quantiles!BP65))/Depth_per_q)</f>
        <v>0</v>
      </c>
      <c r="BQ65" s="20" t="n">
        <f aca="false">IF(Quantiles!BQ65&lt;0,"",(Depth0-MIN(Depth0,Quantiles!BQ65))/Depth_per_q)</f>
        <v>0</v>
      </c>
      <c r="BR65" s="20" t="n">
        <f aca="false">IF(Quantiles!BR65&lt;0,"",(Depth0-MIN(Depth0,Quantiles!BR65))/Depth_per_q)</f>
        <v>0</v>
      </c>
      <c r="BS65" s="20" t="n">
        <f aca="false">IF(Quantiles!BS65&lt;0,"",(Depth0-MIN(Depth0,Quantiles!BS65))/Depth_per_q)</f>
        <v>0</v>
      </c>
      <c r="BT65" s="20" t="n">
        <f aca="false">IF(Quantiles!BT65&lt;0,"",(Depth0-MIN(Depth0,Quantiles!BT65))/Depth_per_q)</f>
        <v>0</v>
      </c>
      <c r="BU65" s="20" t="n">
        <f aca="false">IF(Quantiles!BU65&lt;0,"",(Depth0-MIN(Depth0,Quantiles!BU65))/Depth_per_q)</f>
        <v>0</v>
      </c>
      <c r="BV65" s="20" t="n">
        <f aca="false">IF(Quantiles!BV65&lt;0,"",(Depth0-MIN(Depth0,Quantiles!BV65))/Depth_per_q)</f>
        <v>0</v>
      </c>
      <c r="BW65" s="20" t="n">
        <f aca="false">IF(Quantiles!BW65&lt;0,"",(Depth0-MIN(Depth0,Quantiles!BW65))/Depth_per_q)</f>
        <v>0</v>
      </c>
      <c r="BX65" s="20" t="n">
        <f aca="false">IF(Quantiles!BX65&lt;0,"",(Depth0-MIN(Depth0,Quantiles!BX65))/Depth_per_q)</f>
        <v>0</v>
      </c>
      <c r="BY65" s="20" t="n">
        <f aca="false">IF(Quantiles!BY65&lt;0,"",(Depth0-MIN(Depth0,Quantiles!BY65))/Depth_per_q)</f>
        <v>0</v>
      </c>
      <c r="BZ65" s="20" t="n">
        <f aca="false">IF(Quantiles!BZ65&lt;0,"",(Depth0-MIN(Depth0,Quantiles!BZ65))/Depth_per_q)</f>
        <v>0</v>
      </c>
      <c r="CA65" s="20" t="n">
        <f aca="false">IF(Quantiles!CA65&lt;0,"",(Depth0-MIN(Depth0,Quantiles!CA65))/Depth_per_q)</f>
        <v>0</v>
      </c>
      <c r="CB65" s="20" t="n">
        <f aca="false">IF(Quantiles!CB65&lt;0,"",(Depth0-MIN(Depth0,Quantiles!CB65))/Depth_per_q)</f>
        <v>0</v>
      </c>
      <c r="CC65" s="20" t="n">
        <f aca="false">IF(Quantiles!CC65&lt;0,"",(Depth0-MIN(Depth0,Quantiles!CC65))/Depth_per_q)</f>
        <v>0</v>
      </c>
      <c r="CD65" s="20" t="n">
        <f aca="false">IF(Quantiles!CD65&lt;0,"",(Depth0-MIN(Depth0,Quantiles!CD65))/Depth_per_q)</f>
        <v>0</v>
      </c>
      <c r="CE65" s="20" t="n">
        <f aca="false">IF(Quantiles!CE65&lt;0,"",(Depth0-MIN(Depth0,Quantiles!CE65))/Depth_per_q)</f>
        <v>0</v>
      </c>
      <c r="CF65" s="20" t="n">
        <f aca="false">IF(Quantiles!CF65&lt;0,"",(Depth0-MIN(Depth0,Quantiles!CF65))/Depth_per_q)</f>
        <v>0</v>
      </c>
      <c r="CG65" s="20" t="n">
        <f aca="false">IF(Quantiles!CG65&lt;0,"",(Depth0-MIN(Depth0,Quantiles!CG65))/Depth_per_q)</f>
        <v>0</v>
      </c>
      <c r="CH65" s="20" t="n">
        <f aca="false">IF(Quantiles!CH65&lt;0,"",(Depth0-MIN(Depth0,Quantiles!CH65))/Depth_per_q)</f>
        <v>0</v>
      </c>
      <c r="CI65" s="20" t="n">
        <f aca="false">IF(Quantiles!CI65&lt;0,"",(Depth0-MIN(Depth0,Quantiles!CI65))/Depth_per_q)</f>
        <v>0</v>
      </c>
      <c r="CJ65" s="20" t="n">
        <f aca="false">IF(Quantiles!CJ65&lt;0,"",(Depth0-MIN(Depth0,Quantiles!CJ65))/Depth_per_q)</f>
        <v>0</v>
      </c>
      <c r="CK65" s="20" t="n">
        <f aca="false">IF(Quantiles!CK65&lt;0,"",(Depth0-MIN(Depth0,Quantiles!CK65))/Depth_per_q)</f>
        <v>0</v>
      </c>
      <c r="CL65" s="20" t="n">
        <f aca="false">IF(Quantiles!CL65&lt;0,"",(Depth0-MIN(Depth0,Quantiles!CL65))/Depth_per_q)</f>
        <v>0</v>
      </c>
      <c r="CM65" s="20" t="n">
        <f aca="false">IF(Quantiles!CM65&lt;0,"",(Depth0-MIN(Depth0,Quantiles!CM65))/Depth_per_q)</f>
        <v>0</v>
      </c>
      <c r="CN65" s="20" t="n">
        <f aca="false">IF(Quantiles!CN65&lt;0,"",(Depth0-MIN(Depth0,Quantiles!CN65))/Depth_per_q)</f>
        <v>0</v>
      </c>
      <c r="CO65" s="20" t="n">
        <f aca="false">IF(Quantiles!CO65&lt;0,"",(Depth0-MIN(Depth0,Quantiles!CO65))/Depth_per_q)</f>
        <v>0</v>
      </c>
      <c r="CP65" s="20" t="n">
        <f aca="false">IF(Quantiles!CP65&lt;0,"",(Depth0-MIN(Depth0,Quantiles!CP65))/Depth_per_q)</f>
        <v>0</v>
      </c>
      <c r="CQ65" s="20" t="n">
        <f aca="false">IF(Quantiles!CQ65&lt;0,"",(Depth0-MIN(Depth0,Quantiles!CQ65))/Depth_per_q)</f>
        <v>0</v>
      </c>
      <c r="CR65" s="20" t="n">
        <f aca="false">IF(Quantiles!CR65&lt;0,"",(Depth0-MIN(Depth0,Quantiles!CR65))/Depth_per_q)</f>
        <v>0</v>
      </c>
      <c r="CS65" s="20" t="n">
        <f aca="false">IF(Quantiles!CS65&lt;0,"",(Depth0-MIN(Depth0,Quantiles!CS65))/Depth_per_q)</f>
        <v>0</v>
      </c>
      <c r="CT65" s="20" t="n">
        <f aca="false">IF(Quantiles!CT65&lt;0,"",(Depth0-MIN(Depth0,Quantiles!CT65))/Depth_per_q)</f>
        <v>1.06889529390498</v>
      </c>
    </row>
    <row r="66" customFormat="false" ht="15" hidden="false" customHeight="false" outlineLevel="0" collapsed="false">
      <c r="A66" s="25" t="n">
        <f aca="false">Quantiles!A66</f>
        <v>305</v>
      </c>
      <c r="B66" s="20" t="n">
        <f aca="false">IF(Quantiles!B66&lt;0,"",(Depth0-MIN(Depth0,Quantiles!B66))/Depth_per_q)</f>
        <v>2.04522844784225</v>
      </c>
      <c r="C66" s="20" t="n">
        <f aca="false">IF(Quantiles!C66&lt;0,"",(Depth0-MIN(Depth0,Quantiles!C66))/Depth_per_q)</f>
        <v>1.85809505379828</v>
      </c>
      <c r="D66" s="20" t="n">
        <f aca="false">IF(Quantiles!D66&lt;0,"",(Depth0-MIN(Depth0,Quantiles!D66))/Depth_per_q)</f>
        <v>1.69603280419365</v>
      </c>
      <c r="E66" s="20" t="n">
        <f aca="false">IF(Quantiles!E66&lt;0,"",(Depth0-MIN(Depth0,Quantiles!E66))/Depth_per_q)</f>
        <v>1.55746093802545</v>
      </c>
      <c r="F66" s="20" t="n">
        <f aca="false">IF(Quantiles!F66&lt;0,"",(Depth0-MIN(Depth0,Quantiles!F66))/Depth_per_q)</f>
        <v>1.43691890281313</v>
      </c>
      <c r="G66" s="20" t="n">
        <f aca="false">IF(Quantiles!G66&lt;0,"",(Depth0-MIN(Depth0,Quantiles!G66))/Depth_per_q)</f>
        <v>1.33145787519751</v>
      </c>
      <c r="H66" s="20" t="n">
        <f aca="false">IF(Quantiles!H66&lt;0,"",(Depth0-MIN(Depth0,Quantiles!H66))/Depth_per_q)</f>
        <v>1.23656916781527</v>
      </c>
      <c r="I66" s="20" t="n">
        <f aca="false">IF(Quantiles!I66&lt;0,"",(Depth0-MIN(Depth0,Quantiles!I66))/Depth_per_q)</f>
        <v>1.1472236154526</v>
      </c>
      <c r="J66" s="20" t="n">
        <f aca="false">IF(Quantiles!J66&lt;0,"",(Depth0-MIN(Depth0,Quantiles!J66))/Depth_per_q)</f>
        <v>1.06969879395735</v>
      </c>
      <c r="K66" s="20" t="n">
        <f aca="false">IF(Quantiles!K66&lt;0,"",(Depth0-MIN(Depth0,Quantiles!K66))/Depth_per_q)</f>
        <v>0.99079423020534</v>
      </c>
      <c r="L66" s="20" t="n">
        <f aca="false">IF(Quantiles!L66&lt;0,"",(Depth0-MIN(Depth0,Quantiles!L66))/Depth_per_q)</f>
        <v>0.913581082229262</v>
      </c>
      <c r="M66" s="20" t="n">
        <f aca="false">IF(Quantiles!M66&lt;0,"",(Depth0-MIN(Depth0,Quantiles!M66))/Depth_per_q)</f>
        <v>0.84990036844685</v>
      </c>
      <c r="N66" s="20" t="n">
        <f aca="false">IF(Quantiles!N66&lt;0,"",(Depth0-MIN(Depth0,Quantiles!N66))/Depth_per_q)</f>
        <v>0.788202118548685</v>
      </c>
      <c r="O66" s="20" t="n">
        <f aca="false">IF(Quantiles!O66&lt;0,"",(Depth0-MIN(Depth0,Quantiles!O66))/Depth_per_q)</f>
        <v>0.7226571555646</v>
      </c>
      <c r="P66" s="20" t="n">
        <f aca="false">IF(Quantiles!P66&lt;0,"",(Depth0-MIN(Depth0,Quantiles!P66))/Depth_per_q)</f>
        <v>0.66437207405919</v>
      </c>
      <c r="Q66" s="20" t="n">
        <f aca="false">IF(Quantiles!Q66&lt;0,"",(Depth0-MIN(Depth0,Quantiles!Q66))/Depth_per_q)</f>
        <v>0.60825398509332</v>
      </c>
      <c r="R66" s="20" t="n">
        <f aca="false">IF(Quantiles!R66&lt;0,"",(Depth0-MIN(Depth0,Quantiles!R66))/Depth_per_q)</f>
        <v>0.55676299090365</v>
      </c>
      <c r="S66" s="20" t="n">
        <f aca="false">IF(Quantiles!S66&lt;0,"",(Depth0-MIN(Depth0,Quantiles!S66))/Depth_per_q)</f>
        <v>0.506596553257992</v>
      </c>
      <c r="T66" s="20" t="n">
        <f aca="false">IF(Quantiles!T66&lt;0,"",(Depth0-MIN(Depth0,Quantiles!T66))/Depth_per_q)</f>
        <v>0.460242698275438</v>
      </c>
      <c r="U66" s="20" t="n">
        <f aca="false">IF(Quantiles!U66&lt;0,"",(Depth0-MIN(Depth0,Quantiles!U66))/Depth_per_q)</f>
        <v>0.416492361777125</v>
      </c>
      <c r="V66" s="20" t="n">
        <f aca="false">IF(Quantiles!V66&lt;0,"",(Depth0-MIN(Depth0,Quantiles!V66))/Depth_per_q)</f>
        <v>0.37201204796633</v>
      </c>
      <c r="W66" s="20" t="n">
        <f aca="false">IF(Quantiles!W66&lt;0,"",(Depth0-MIN(Depth0,Quantiles!W66))/Depth_per_q)</f>
        <v>0.327017304925487</v>
      </c>
      <c r="X66" s="20" t="n">
        <f aca="false">IF(Quantiles!X66&lt;0,"",(Depth0-MIN(Depth0,Quantiles!X66))/Depth_per_q)</f>
        <v>0.282417818873732</v>
      </c>
      <c r="Y66" s="20" t="n">
        <f aca="false">IF(Quantiles!Y66&lt;0,"",(Depth0-MIN(Depth0,Quantiles!Y66))/Depth_per_q)</f>
        <v>0.24543386953142</v>
      </c>
      <c r="Z66" s="20" t="n">
        <f aca="false">IF(Quantiles!Z66&lt;0,"",(Depth0-MIN(Depth0,Quantiles!Z66))/Depth_per_q)</f>
        <v>0.205960643146042</v>
      </c>
      <c r="AA66" s="20" t="n">
        <f aca="false">IF(Quantiles!AA66&lt;0,"",(Depth0-MIN(Depth0,Quantiles!AA66))/Depth_per_q)</f>
        <v>0.168673747340088</v>
      </c>
      <c r="AB66" s="20" t="n">
        <f aca="false">IF(Quantiles!AB66&lt;0,"",(Depth0-MIN(Depth0,Quantiles!AB66))/Depth_per_q)</f>
        <v>0.128565026947273</v>
      </c>
      <c r="AC66" s="20" t="n">
        <f aca="false">IF(Quantiles!AC66&lt;0,"",(Depth0-MIN(Depth0,Quantiles!AC66))/Depth_per_q)</f>
        <v>0.0928790526620702</v>
      </c>
      <c r="AD66" s="20" t="n">
        <f aca="false">IF(Quantiles!AD66&lt;0,"",(Depth0-MIN(Depth0,Quantiles!AD66))/Depth_per_q)</f>
        <v>0.0553791259839453</v>
      </c>
      <c r="AE66" s="20" t="n">
        <f aca="false">IF(Quantiles!AE66&lt;0,"",(Depth0-MIN(Depth0,Quantiles!AE66))/Depth_per_q)</f>
        <v>0.0218392007114376</v>
      </c>
      <c r="AF66" s="20" t="n">
        <f aca="false">IF(Quantiles!AF66&lt;0,"",(Depth0-MIN(Depth0,Quantiles!AF66))/Depth_per_q)</f>
        <v>0</v>
      </c>
      <c r="AG66" s="20" t="n">
        <f aca="false">IF(Quantiles!AG66&lt;0,"",(Depth0-MIN(Depth0,Quantiles!AG66))/Depth_per_q)</f>
        <v>0</v>
      </c>
      <c r="AH66" s="20" t="n">
        <f aca="false">IF(Quantiles!AH66&lt;0,"",(Depth0-MIN(Depth0,Quantiles!AH66))/Depth_per_q)</f>
        <v>0</v>
      </c>
      <c r="AI66" s="20" t="n">
        <f aca="false">IF(Quantiles!AI66&lt;0,"",(Depth0-MIN(Depth0,Quantiles!AI66))/Depth_per_q)</f>
        <v>0</v>
      </c>
      <c r="AJ66" s="20" t="n">
        <f aca="false">IF(Quantiles!AJ66&lt;0,"",(Depth0-MIN(Depth0,Quantiles!AJ66))/Depth_per_q)</f>
        <v>0</v>
      </c>
      <c r="AK66" s="20" t="n">
        <f aca="false">IF(Quantiles!AK66&lt;0,"",(Depth0-MIN(Depth0,Quantiles!AK66))/Depth_per_q)</f>
        <v>0</v>
      </c>
      <c r="AL66" s="20" t="n">
        <f aca="false">IF(Quantiles!AL66&lt;0,"",(Depth0-MIN(Depth0,Quantiles!AL66))/Depth_per_q)</f>
        <v>0</v>
      </c>
      <c r="AM66" s="20" t="n">
        <f aca="false">IF(Quantiles!AM66&lt;0,"",(Depth0-MIN(Depth0,Quantiles!AM66))/Depth_per_q)</f>
        <v>0</v>
      </c>
      <c r="AN66" s="20" t="n">
        <f aca="false">IF(Quantiles!AN66&lt;0,"",(Depth0-MIN(Depth0,Quantiles!AN66))/Depth_per_q)</f>
        <v>0</v>
      </c>
      <c r="AO66" s="20" t="n">
        <f aca="false">IF(Quantiles!AO66&lt;0,"",(Depth0-MIN(Depth0,Quantiles!AO66))/Depth_per_q)</f>
        <v>0</v>
      </c>
      <c r="AP66" s="20" t="n">
        <f aca="false">IF(Quantiles!AP66&lt;0,"",(Depth0-MIN(Depth0,Quantiles!AP66))/Depth_per_q)</f>
        <v>0</v>
      </c>
      <c r="AQ66" s="20" t="n">
        <f aca="false">IF(Quantiles!AQ66&lt;0,"",(Depth0-MIN(Depth0,Quantiles!AQ66))/Depth_per_q)</f>
        <v>0</v>
      </c>
      <c r="AR66" s="20" t="n">
        <f aca="false">IF(Quantiles!AR66&lt;0,"",(Depth0-MIN(Depth0,Quantiles!AR66))/Depth_per_q)</f>
        <v>0</v>
      </c>
      <c r="AS66" s="20" t="n">
        <f aca="false">IF(Quantiles!AS66&lt;0,"",(Depth0-MIN(Depth0,Quantiles!AS66))/Depth_per_q)</f>
        <v>0</v>
      </c>
      <c r="AT66" s="20" t="n">
        <f aca="false">IF(Quantiles!AT66&lt;0,"",(Depth0-MIN(Depth0,Quantiles!AT66))/Depth_per_q)</f>
        <v>0</v>
      </c>
      <c r="AU66" s="20" t="n">
        <f aca="false">IF(Quantiles!AU66&lt;0,"",(Depth0-MIN(Depth0,Quantiles!AU66))/Depth_per_q)</f>
        <v>0</v>
      </c>
      <c r="AV66" s="20" t="n">
        <f aca="false">IF(Quantiles!AV66&lt;0,"",(Depth0-MIN(Depth0,Quantiles!AV66))/Depth_per_q)</f>
        <v>0</v>
      </c>
      <c r="AW66" s="20" t="n">
        <f aca="false">IF(Quantiles!AW66&lt;0,"",(Depth0-MIN(Depth0,Quantiles!AW66))/Depth_per_q)</f>
        <v>0</v>
      </c>
      <c r="AX66" s="20" t="n">
        <f aca="false">IF(Quantiles!AX66&lt;0,"",(Depth0-MIN(Depth0,Quantiles!AX66))/Depth_per_q)</f>
        <v>0</v>
      </c>
      <c r="AY66" s="20" t="n">
        <f aca="false">IF(Quantiles!AY66&lt;0,"",(Depth0-MIN(Depth0,Quantiles!AY66))/Depth_per_q)</f>
        <v>0</v>
      </c>
      <c r="AZ66" s="20" t="n">
        <f aca="false">IF(Quantiles!AZ66&lt;0,"",(Depth0-MIN(Depth0,Quantiles!AZ66))/Depth_per_q)</f>
        <v>0</v>
      </c>
      <c r="BA66" s="20" t="n">
        <f aca="false">IF(Quantiles!BA66&lt;0,"",(Depth0-MIN(Depth0,Quantiles!BA66))/Depth_per_q)</f>
        <v>0</v>
      </c>
      <c r="BB66" s="20" t="n">
        <f aca="false">IF(Quantiles!BB66&lt;0,"",(Depth0-MIN(Depth0,Quantiles!BB66))/Depth_per_q)</f>
        <v>0</v>
      </c>
      <c r="BC66" s="20" t="n">
        <f aca="false">IF(Quantiles!BC66&lt;0,"",(Depth0-MIN(Depth0,Quantiles!BC66))/Depth_per_q)</f>
        <v>0</v>
      </c>
      <c r="BD66" s="20" t="n">
        <f aca="false">IF(Quantiles!BD66&lt;0,"",(Depth0-MIN(Depth0,Quantiles!BD66))/Depth_per_q)</f>
        <v>0</v>
      </c>
      <c r="BE66" s="20" t="n">
        <f aca="false">IF(Quantiles!BE66&lt;0,"",(Depth0-MIN(Depth0,Quantiles!BE66))/Depth_per_q)</f>
        <v>0</v>
      </c>
      <c r="BF66" s="20" t="n">
        <f aca="false">IF(Quantiles!BF66&lt;0,"",(Depth0-MIN(Depth0,Quantiles!BF66))/Depth_per_q)</f>
        <v>0</v>
      </c>
      <c r="BG66" s="20" t="n">
        <f aca="false">IF(Quantiles!BG66&lt;0,"",(Depth0-MIN(Depth0,Quantiles!BG66))/Depth_per_q)</f>
        <v>0</v>
      </c>
      <c r="BH66" s="20" t="n">
        <f aca="false">IF(Quantiles!BH66&lt;0,"",(Depth0-MIN(Depth0,Quantiles!BH66))/Depth_per_q)</f>
        <v>0</v>
      </c>
      <c r="BI66" s="20" t="n">
        <f aca="false">IF(Quantiles!BI66&lt;0,"",(Depth0-MIN(Depth0,Quantiles!BI66))/Depth_per_q)</f>
        <v>0</v>
      </c>
      <c r="BJ66" s="20" t="n">
        <f aca="false">IF(Quantiles!BJ66&lt;0,"",(Depth0-MIN(Depth0,Quantiles!BJ66))/Depth_per_q)</f>
        <v>0</v>
      </c>
      <c r="BK66" s="20" t="n">
        <f aca="false">IF(Quantiles!BK66&lt;0,"",(Depth0-MIN(Depth0,Quantiles!BK66))/Depth_per_q)</f>
        <v>0</v>
      </c>
      <c r="BL66" s="20" t="n">
        <f aca="false">IF(Quantiles!BL66&lt;0,"",(Depth0-MIN(Depth0,Quantiles!BL66))/Depth_per_q)</f>
        <v>0</v>
      </c>
      <c r="BM66" s="20" t="n">
        <f aca="false">IF(Quantiles!BM66&lt;0,"",(Depth0-MIN(Depth0,Quantiles!BM66))/Depth_per_q)</f>
        <v>0</v>
      </c>
      <c r="BN66" s="20" t="n">
        <f aca="false">IF(Quantiles!BN66&lt;0,"",(Depth0-MIN(Depth0,Quantiles!BN66))/Depth_per_q)</f>
        <v>0</v>
      </c>
      <c r="BO66" s="20" t="n">
        <f aca="false">IF(Quantiles!BO66&lt;0,"",(Depth0-MIN(Depth0,Quantiles!BO66))/Depth_per_q)</f>
        <v>0</v>
      </c>
      <c r="BP66" s="20" t="n">
        <f aca="false">IF(Quantiles!BP66&lt;0,"",(Depth0-MIN(Depth0,Quantiles!BP66))/Depth_per_q)</f>
        <v>0</v>
      </c>
      <c r="BQ66" s="20" t="n">
        <f aca="false">IF(Quantiles!BQ66&lt;0,"",(Depth0-MIN(Depth0,Quantiles!BQ66))/Depth_per_q)</f>
        <v>0</v>
      </c>
      <c r="BR66" s="20" t="n">
        <f aca="false">IF(Quantiles!BR66&lt;0,"",(Depth0-MIN(Depth0,Quantiles!BR66))/Depth_per_q)</f>
        <v>0</v>
      </c>
      <c r="BS66" s="20" t="n">
        <f aca="false">IF(Quantiles!BS66&lt;0,"",(Depth0-MIN(Depth0,Quantiles!BS66))/Depth_per_q)</f>
        <v>0</v>
      </c>
      <c r="BT66" s="20" t="n">
        <f aca="false">IF(Quantiles!BT66&lt;0,"",(Depth0-MIN(Depth0,Quantiles!BT66))/Depth_per_q)</f>
        <v>0</v>
      </c>
      <c r="BU66" s="20" t="n">
        <f aca="false">IF(Quantiles!BU66&lt;0,"",(Depth0-MIN(Depth0,Quantiles!BU66))/Depth_per_q)</f>
        <v>0</v>
      </c>
      <c r="BV66" s="20" t="n">
        <f aca="false">IF(Quantiles!BV66&lt;0,"",(Depth0-MIN(Depth0,Quantiles!BV66))/Depth_per_q)</f>
        <v>0</v>
      </c>
      <c r="BW66" s="20" t="n">
        <f aca="false">IF(Quantiles!BW66&lt;0,"",(Depth0-MIN(Depth0,Quantiles!BW66))/Depth_per_q)</f>
        <v>0</v>
      </c>
      <c r="BX66" s="20" t="n">
        <f aca="false">IF(Quantiles!BX66&lt;0,"",(Depth0-MIN(Depth0,Quantiles!BX66))/Depth_per_q)</f>
        <v>0</v>
      </c>
      <c r="BY66" s="20" t="n">
        <f aca="false">IF(Quantiles!BY66&lt;0,"",(Depth0-MIN(Depth0,Quantiles!BY66))/Depth_per_q)</f>
        <v>0</v>
      </c>
      <c r="BZ66" s="20" t="n">
        <f aca="false">IF(Quantiles!BZ66&lt;0,"",(Depth0-MIN(Depth0,Quantiles!BZ66))/Depth_per_q)</f>
        <v>0</v>
      </c>
      <c r="CA66" s="20" t="n">
        <f aca="false">IF(Quantiles!CA66&lt;0,"",(Depth0-MIN(Depth0,Quantiles!CA66))/Depth_per_q)</f>
        <v>0</v>
      </c>
      <c r="CB66" s="20" t="n">
        <f aca="false">IF(Quantiles!CB66&lt;0,"",(Depth0-MIN(Depth0,Quantiles!CB66))/Depth_per_q)</f>
        <v>0</v>
      </c>
      <c r="CC66" s="20" t="n">
        <f aca="false">IF(Quantiles!CC66&lt;0,"",(Depth0-MIN(Depth0,Quantiles!CC66))/Depth_per_q)</f>
        <v>0</v>
      </c>
      <c r="CD66" s="20" t="n">
        <f aca="false">IF(Quantiles!CD66&lt;0,"",(Depth0-MIN(Depth0,Quantiles!CD66))/Depth_per_q)</f>
        <v>0</v>
      </c>
      <c r="CE66" s="20" t="n">
        <f aca="false">IF(Quantiles!CE66&lt;0,"",(Depth0-MIN(Depth0,Quantiles!CE66))/Depth_per_q)</f>
        <v>0</v>
      </c>
      <c r="CF66" s="20" t="n">
        <f aca="false">IF(Quantiles!CF66&lt;0,"",(Depth0-MIN(Depth0,Quantiles!CF66))/Depth_per_q)</f>
        <v>0</v>
      </c>
      <c r="CG66" s="20" t="n">
        <f aca="false">IF(Quantiles!CG66&lt;0,"",(Depth0-MIN(Depth0,Quantiles!CG66))/Depth_per_q)</f>
        <v>0</v>
      </c>
      <c r="CH66" s="20" t="n">
        <f aca="false">IF(Quantiles!CH66&lt;0,"",(Depth0-MIN(Depth0,Quantiles!CH66))/Depth_per_q)</f>
        <v>0</v>
      </c>
      <c r="CI66" s="20" t="n">
        <f aca="false">IF(Quantiles!CI66&lt;0,"",(Depth0-MIN(Depth0,Quantiles!CI66))/Depth_per_q)</f>
        <v>0</v>
      </c>
      <c r="CJ66" s="20" t="n">
        <f aca="false">IF(Quantiles!CJ66&lt;0,"",(Depth0-MIN(Depth0,Quantiles!CJ66))/Depth_per_q)</f>
        <v>0</v>
      </c>
      <c r="CK66" s="20" t="n">
        <f aca="false">IF(Quantiles!CK66&lt;0,"",(Depth0-MIN(Depth0,Quantiles!CK66))/Depth_per_q)</f>
        <v>0</v>
      </c>
      <c r="CL66" s="20" t="n">
        <f aca="false">IF(Quantiles!CL66&lt;0,"",(Depth0-MIN(Depth0,Quantiles!CL66))/Depth_per_q)</f>
        <v>0</v>
      </c>
      <c r="CM66" s="20" t="n">
        <f aca="false">IF(Quantiles!CM66&lt;0,"",(Depth0-MIN(Depth0,Quantiles!CM66))/Depth_per_q)</f>
        <v>0</v>
      </c>
      <c r="CN66" s="20" t="n">
        <f aca="false">IF(Quantiles!CN66&lt;0,"",(Depth0-MIN(Depth0,Quantiles!CN66))/Depth_per_q)</f>
        <v>0</v>
      </c>
      <c r="CO66" s="20" t="n">
        <f aca="false">IF(Quantiles!CO66&lt;0,"",(Depth0-MIN(Depth0,Quantiles!CO66))/Depth_per_q)</f>
        <v>0</v>
      </c>
      <c r="CP66" s="20" t="n">
        <f aca="false">IF(Quantiles!CP66&lt;0,"",(Depth0-MIN(Depth0,Quantiles!CP66))/Depth_per_q)</f>
        <v>0</v>
      </c>
      <c r="CQ66" s="20" t="n">
        <f aca="false">IF(Quantiles!CQ66&lt;0,"",(Depth0-MIN(Depth0,Quantiles!CQ66))/Depth_per_q)</f>
        <v>0</v>
      </c>
      <c r="CR66" s="20" t="n">
        <f aca="false">IF(Quantiles!CR66&lt;0,"",(Depth0-MIN(Depth0,Quantiles!CR66))/Depth_per_q)</f>
        <v>0</v>
      </c>
      <c r="CS66" s="20" t="n">
        <f aca="false">IF(Quantiles!CS66&lt;0,"",(Depth0-MIN(Depth0,Quantiles!CS66))/Depth_per_q)</f>
        <v>0</v>
      </c>
      <c r="CT66" s="20" t="n">
        <f aca="false">IF(Quantiles!CT66&lt;0,"",(Depth0-MIN(Depth0,Quantiles!CT66))/Depth_per_q)</f>
        <v>1.06889529390498</v>
      </c>
    </row>
    <row r="67" customFormat="false" ht="15" hidden="false" customHeight="false" outlineLevel="0" collapsed="false">
      <c r="A67" s="25" t="n">
        <f aca="false">Quantiles!A67</f>
        <v>310</v>
      </c>
      <c r="B67" s="20" t="n">
        <f aca="false">IF(Quantiles!B67&lt;0,"",(Depth0-MIN(Depth0,Quantiles!B67))/Depth_per_q)</f>
        <v>2.04522844784225</v>
      </c>
      <c r="C67" s="20" t="n">
        <f aca="false">IF(Quantiles!C67&lt;0,"",(Depth0-MIN(Depth0,Quantiles!C67))/Depth_per_q)</f>
        <v>1.85809505379828</v>
      </c>
      <c r="D67" s="20" t="n">
        <f aca="false">IF(Quantiles!D67&lt;0,"",(Depth0-MIN(Depth0,Quantiles!D67))/Depth_per_q)</f>
        <v>1.69603280419365</v>
      </c>
      <c r="E67" s="20" t="n">
        <f aca="false">IF(Quantiles!E67&lt;0,"",(Depth0-MIN(Depth0,Quantiles!E67))/Depth_per_q)</f>
        <v>1.55746093802545</v>
      </c>
      <c r="F67" s="20" t="n">
        <f aca="false">IF(Quantiles!F67&lt;0,"",(Depth0-MIN(Depth0,Quantiles!F67))/Depth_per_q)</f>
        <v>1.43691890281313</v>
      </c>
      <c r="G67" s="20" t="n">
        <f aca="false">IF(Quantiles!G67&lt;0,"",(Depth0-MIN(Depth0,Quantiles!G67))/Depth_per_q)</f>
        <v>1.33098699432944</v>
      </c>
      <c r="H67" s="20" t="n">
        <f aca="false">IF(Quantiles!H67&lt;0,"",(Depth0-MIN(Depth0,Quantiles!H67))/Depth_per_q)</f>
        <v>1.23655017816707</v>
      </c>
      <c r="I67" s="20" t="n">
        <f aca="false">IF(Quantiles!I67&lt;0,"",(Depth0-MIN(Depth0,Quantiles!I67))/Depth_per_q)</f>
        <v>1.14604771997381</v>
      </c>
      <c r="J67" s="20" t="n">
        <f aca="false">IF(Quantiles!J67&lt;0,"",(Depth0-MIN(Depth0,Quantiles!J67))/Depth_per_q)</f>
        <v>1.06936381203818</v>
      </c>
      <c r="K67" s="20" t="n">
        <f aca="false">IF(Quantiles!K67&lt;0,"",(Depth0-MIN(Depth0,Quantiles!K67))/Depth_per_q)</f>
        <v>0.990692789946308</v>
      </c>
      <c r="L67" s="20" t="n">
        <f aca="false">IF(Quantiles!L67&lt;0,"",(Depth0-MIN(Depth0,Quantiles!L67))/Depth_per_q)</f>
        <v>0.913323055270175</v>
      </c>
      <c r="M67" s="20" t="n">
        <f aca="false">IF(Quantiles!M67&lt;0,"",(Depth0-MIN(Depth0,Quantiles!M67))/Depth_per_q)</f>
        <v>0.84990036844685</v>
      </c>
      <c r="N67" s="20" t="n">
        <f aca="false">IF(Quantiles!N67&lt;0,"",(Depth0-MIN(Depth0,Quantiles!N67))/Depth_per_q)</f>
        <v>0.787337666285962</v>
      </c>
      <c r="O67" s="20" t="n">
        <f aca="false">IF(Quantiles!O67&lt;0,"",(Depth0-MIN(Depth0,Quantiles!O67))/Depth_per_q)</f>
        <v>0.721782152082173</v>
      </c>
      <c r="P67" s="20" t="n">
        <f aca="false">IF(Quantiles!P67&lt;0,"",(Depth0-MIN(Depth0,Quantiles!P67))/Depth_per_q)</f>
        <v>0.663659661716998</v>
      </c>
      <c r="Q67" s="20" t="n">
        <f aca="false">IF(Quantiles!Q67&lt;0,"",(Depth0-MIN(Depth0,Quantiles!Q67))/Depth_per_q)</f>
        <v>0.607271712708875</v>
      </c>
      <c r="R67" s="20" t="n">
        <f aca="false">IF(Quantiles!R67&lt;0,"",(Depth0-MIN(Depth0,Quantiles!R67))/Depth_per_q)</f>
        <v>0.55645496610976</v>
      </c>
      <c r="S67" s="20" t="n">
        <f aca="false">IF(Quantiles!S67&lt;0,"",(Depth0-MIN(Depth0,Quantiles!S67))/Depth_per_q)</f>
        <v>0.506379034055272</v>
      </c>
      <c r="T67" s="20" t="n">
        <f aca="false">IF(Quantiles!T67&lt;0,"",(Depth0-MIN(Depth0,Quantiles!T67))/Depth_per_q)</f>
        <v>0.460063517184425</v>
      </c>
      <c r="U67" s="20" t="n">
        <f aca="false">IF(Quantiles!U67&lt;0,"",(Depth0-MIN(Depth0,Quantiles!U67))/Depth_per_q)</f>
        <v>0.415630167261117</v>
      </c>
      <c r="V67" s="20" t="n">
        <f aca="false">IF(Quantiles!V67&lt;0,"",(Depth0-MIN(Depth0,Quantiles!V67))/Depth_per_q)</f>
        <v>0.37201204796633</v>
      </c>
      <c r="W67" s="20" t="n">
        <f aca="false">IF(Quantiles!W67&lt;0,"",(Depth0-MIN(Depth0,Quantiles!W67))/Depth_per_q)</f>
        <v>0.327017304925487</v>
      </c>
      <c r="X67" s="20" t="n">
        <f aca="false">IF(Quantiles!X67&lt;0,"",(Depth0-MIN(Depth0,Quantiles!X67))/Depth_per_q)</f>
        <v>0.282417818873732</v>
      </c>
      <c r="Y67" s="20" t="n">
        <f aca="false">IF(Quantiles!Y67&lt;0,"",(Depth0-MIN(Depth0,Quantiles!Y67))/Depth_per_q)</f>
        <v>0.245189869877445</v>
      </c>
      <c r="Z67" s="20" t="n">
        <f aca="false">IF(Quantiles!Z67&lt;0,"",(Depth0-MIN(Depth0,Quantiles!Z67))/Depth_per_q)</f>
        <v>0.205926244363128</v>
      </c>
      <c r="AA67" s="20" t="n">
        <f aca="false">IF(Quantiles!AA67&lt;0,"",(Depth0-MIN(Depth0,Quantiles!AA67))/Depth_per_q)</f>
        <v>0.168600118008075</v>
      </c>
      <c r="AB67" s="20" t="n">
        <f aca="false">IF(Quantiles!AB67&lt;0,"",(Depth0-MIN(Depth0,Quantiles!AB67))/Depth_per_q)</f>
        <v>0.128421164658437</v>
      </c>
      <c r="AC67" s="20" t="n">
        <f aca="false">IF(Quantiles!AC67&lt;0,"",(Depth0-MIN(Depth0,Quantiles!AC67))/Depth_per_q)</f>
        <v>0.0927295700864574</v>
      </c>
      <c r="AD67" s="20" t="n">
        <f aca="false">IF(Quantiles!AD67&lt;0,"",(Depth0-MIN(Depth0,Quantiles!AD67))/Depth_per_q)</f>
        <v>0.0553791259839453</v>
      </c>
      <c r="AE67" s="20" t="n">
        <f aca="false">IF(Quantiles!AE67&lt;0,"",(Depth0-MIN(Depth0,Quantiles!AE67))/Depth_per_q)</f>
        <v>0.0218392007114376</v>
      </c>
      <c r="AF67" s="20" t="n">
        <f aca="false">IF(Quantiles!AF67&lt;0,"",(Depth0-MIN(Depth0,Quantiles!AF67))/Depth_per_q)</f>
        <v>0</v>
      </c>
      <c r="AG67" s="20" t="n">
        <f aca="false">IF(Quantiles!AG67&lt;0,"",(Depth0-MIN(Depth0,Quantiles!AG67))/Depth_per_q)</f>
        <v>0</v>
      </c>
      <c r="AH67" s="20" t="n">
        <f aca="false">IF(Quantiles!AH67&lt;0,"",(Depth0-MIN(Depth0,Quantiles!AH67))/Depth_per_q)</f>
        <v>0</v>
      </c>
      <c r="AI67" s="20" t="n">
        <f aca="false">IF(Quantiles!AI67&lt;0,"",(Depth0-MIN(Depth0,Quantiles!AI67))/Depth_per_q)</f>
        <v>0</v>
      </c>
      <c r="AJ67" s="20" t="n">
        <f aca="false">IF(Quantiles!AJ67&lt;0,"",(Depth0-MIN(Depth0,Quantiles!AJ67))/Depth_per_q)</f>
        <v>0</v>
      </c>
      <c r="AK67" s="20" t="n">
        <f aca="false">IF(Quantiles!AK67&lt;0,"",(Depth0-MIN(Depth0,Quantiles!AK67))/Depth_per_q)</f>
        <v>0</v>
      </c>
      <c r="AL67" s="20" t="n">
        <f aca="false">IF(Quantiles!AL67&lt;0,"",(Depth0-MIN(Depth0,Quantiles!AL67))/Depth_per_q)</f>
        <v>0</v>
      </c>
      <c r="AM67" s="20" t="n">
        <f aca="false">IF(Quantiles!AM67&lt;0,"",(Depth0-MIN(Depth0,Quantiles!AM67))/Depth_per_q)</f>
        <v>0</v>
      </c>
      <c r="AN67" s="20" t="n">
        <f aca="false">IF(Quantiles!AN67&lt;0,"",(Depth0-MIN(Depth0,Quantiles!AN67))/Depth_per_q)</f>
        <v>0</v>
      </c>
      <c r="AO67" s="20" t="n">
        <f aca="false">IF(Quantiles!AO67&lt;0,"",(Depth0-MIN(Depth0,Quantiles!AO67))/Depth_per_q)</f>
        <v>0</v>
      </c>
      <c r="AP67" s="20" t="n">
        <f aca="false">IF(Quantiles!AP67&lt;0,"",(Depth0-MIN(Depth0,Quantiles!AP67))/Depth_per_q)</f>
        <v>0</v>
      </c>
      <c r="AQ67" s="20" t="n">
        <f aca="false">IF(Quantiles!AQ67&lt;0,"",(Depth0-MIN(Depth0,Quantiles!AQ67))/Depth_per_q)</f>
        <v>0</v>
      </c>
      <c r="AR67" s="20" t="n">
        <f aca="false">IF(Quantiles!AR67&lt;0,"",(Depth0-MIN(Depth0,Quantiles!AR67))/Depth_per_q)</f>
        <v>0</v>
      </c>
      <c r="AS67" s="20" t="n">
        <f aca="false">IF(Quantiles!AS67&lt;0,"",(Depth0-MIN(Depth0,Quantiles!AS67))/Depth_per_q)</f>
        <v>0</v>
      </c>
      <c r="AT67" s="20" t="n">
        <f aca="false">IF(Quantiles!AT67&lt;0,"",(Depth0-MIN(Depth0,Quantiles!AT67))/Depth_per_q)</f>
        <v>0</v>
      </c>
      <c r="AU67" s="20" t="n">
        <f aca="false">IF(Quantiles!AU67&lt;0,"",(Depth0-MIN(Depth0,Quantiles!AU67))/Depth_per_q)</f>
        <v>0</v>
      </c>
      <c r="AV67" s="20" t="n">
        <f aca="false">IF(Quantiles!AV67&lt;0,"",(Depth0-MIN(Depth0,Quantiles!AV67))/Depth_per_q)</f>
        <v>0</v>
      </c>
      <c r="AW67" s="20" t="n">
        <f aca="false">IF(Quantiles!AW67&lt;0,"",(Depth0-MIN(Depth0,Quantiles!AW67))/Depth_per_q)</f>
        <v>0</v>
      </c>
      <c r="AX67" s="20" t="n">
        <f aca="false">IF(Quantiles!AX67&lt;0,"",(Depth0-MIN(Depth0,Quantiles!AX67))/Depth_per_q)</f>
        <v>0</v>
      </c>
      <c r="AY67" s="20" t="n">
        <f aca="false">IF(Quantiles!AY67&lt;0,"",(Depth0-MIN(Depth0,Quantiles!AY67))/Depth_per_q)</f>
        <v>0</v>
      </c>
      <c r="AZ67" s="20" t="n">
        <f aca="false">IF(Quantiles!AZ67&lt;0,"",(Depth0-MIN(Depth0,Quantiles!AZ67))/Depth_per_q)</f>
        <v>0</v>
      </c>
      <c r="BA67" s="20" t="n">
        <f aca="false">IF(Quantiles!BA67&lt;0,"",(Depth0-MIN(Depth0,Quantiles!BA67))/Depth_per_q)</f>
        <v>0</v>
      </c>
      <c r="BB67" s="20" t="n">
        <f aca="false">IF(Quantiles!BB67&lt;0,"",(Depth0-MIN(Depth0,Quantiles!BB67))/Depth_per_q)</f>
        <v>0</v>
      </c>
      <c r="BC67" s="20" t="n">
        <f aca="false">IF(Quantiles!BC67&lt;0,"",(Depth0-MIN(Depth0,Quantiles!BC67))/Depth_per_q)</f>
        <v>0</v>
      </c>
      <c r="BD67" s="20" t="n">
        <f aca="false">IF(Quantiles!BD67&lt;0,"",(Depth0-MIN(Depth0,Quantiles!BD67))/Depth_per_q)</f>
        <v>0</v>
      </c>
      <c r="BE67" s="20" t="n">
        <f aca="false">IF(Quantiles!BE67&lt;0,"",(Depth0-MIN(Depth0,Quantiles!BE67))/Depth_per_q)</f>
        <v>0</v>
      </c>
      <c r="BF67" s="20" t="n">
        <f aca="false">IF(Quantiles!BF67&lt;0,"",(Depth0-MIN(Depth0,Quantiles!BF67))/Depth_per_q)</f>
        <v>0</v>
      </c>
      <c r="BG67" s="20" t="n">
        <f aca="false">IF(Quantiles!BG67&lt;0,"",(Depth0-MIN(Depth0,Quantiles!BG67))/Depth_per_q)</f>
        <v>0</v>
      </c>
      <c r="BH67" s="20" t="n">
        <f aca="false">IF(Quantiles!BH67&lt;0,"",(Depth0-MIN(Depth0,Quantiles!BH67))/Depth_per_q)</f>
        <v>0</v>
      </c>
      <c r="BI67" s="20" t="n">
        <f aca="false">IF(Quantiles!BI67&lt;0,"",(Depth0-MIN(Depth0,Quantiles!BI67))/Depth_per_q)</f>
        <v>0</v>
      </c>
      <c r="BJ67" s="20" t="n">
        <f aca="false">IF(Quantiles!BJ67&lt;0,"",(Depth0-MIN(Depth0,Quantiles!BJ67))/Depth_per_q)</f>
        <v>0</v>
      </c>
      <c r="BK67" s="20" t="n">
        <f aca="false">IF(Quantiles!BK67&lt;0,"",(Depth0-MIN(Depth0,Quantiles!BK67))/Depth_per_q)</f>
        <v>0</v>
      </c>
      <c r="BL67" s="20" t="n">
        <f aca="false">IF(Quantiles!BL67&lt;0,"",(Depth0-MIN(Depth0,Quantiles!BL67))/Depth_per_q)</f>
        <v>0</v>
      </c>
      <c r="BM67" s="20" t="n">
        <f aca="false">IF(Quantiles!BM67&lt;0,"",(Depth0-MIN(Depth0,Quantiles!BM67))/Depth_per_q)</f>
        <v>0</v>
      </c>
      <c r="BN67" s="20" t="n">
        <f aca="false">IF(Quantiles!BN67&lt;0,"",(Depth0-MIN(Depth0,Quantiles!BN67))/Depth_per_q)</f>
        <v>0</v>
      </c>
      <c r="BO67" s="20" t="n">
        <f aca="false">IF(Quantiles!BO67&lt;0,"",(Depth0-MIN(Depth0,Quantiles!BO67))/Depth_per_q)</f>
        <v>0</v>
      </c>
      <c r="BP67" s="20" t="n">
        <f aca="false">IF(Quantiles!BP67&lt;0,"",(Depth0-MIN(Depth0,Quantiles!BP67))/Depth_per_q)</f>
        <v>0</v>
      </c>
      <c r="BQ67" s="20" t="n">
        <f aca="false">IF(Quantiles!BQ67&lt;0,"",(Depth0-MIN(Depth0,Quantiles!BQ67))/Depth_per_q)</f>
        <v>0</v>
      </c>
      <c r="BR67" s="20" t="n">
        <f aca="false">IF(Quantiles!BR67&lt;0,"",(Depth0-MIN(Depth0,Quantiles!BR67))/Depth_per_q)</f>
        <v>0</v>
      </c>
      <c r="BS67" s="20" t="n">
        <f aca="false">IF(Quantiles!BS67&lt;0,"",(Depth0-MIN(Depth0,Quantiles!BS67))/Depth_per_q)</f>
        <v>0</v>
      </c>
      <c r="BT67" s="20" t="n">
        <f aca="false">IF(Quantiles!BT67&lt;0,"",(Depth0-MIN(Depth0,Quantiles!BT67))/Depth_per_q)</f>
        <v>0</v>
      </c>
      <c r="BU67" s="20" t="n">
        <f aca="false">IF(Quantiles!BU67&lt;0,"",(Depth0-MIN(Depth0,Quantiles!BU67))/Depth_per_q)</f>
        <v>0</v>
      </c>
      <c r="BV67" s="20" t="n">
        <f aca="false">IF(Quantiles!BV67&lt;0,"",(Depth0-MIN(Depth0,Quantiles!BV67))/Depth_per_q)</f>
        <v>0</v>
      </c>
      <c r="BW67" s="20" t="n">
        <f aca="false">IF(Quantiles!BW67&lt;0,"",(Depth0-MIN(Depth0,Quantiles!BW67))/Depth_per_q)</f>
        <v>0</v>
      </c>
      <c r="BX67" s="20" t="n">
        <f aca="false">IF(Quantiles!BX67&lt;0,"",(Depth0-MIN(Depth0,Quantiles!BX67))/Depth_per_q)</f>
        <v>0</v>
      </c>
      <c r="BY67" s="20" t="n">
        <f aca="false">IF(Quantiles!BY67&lt;0,"",(Depth0-MIN(Depth0,Quantiles!BY67))/Depth_per_q)</f>
        <v>0</v>
      </c>
      <c r="BZ67" s="20" t="n">
        <f aca="false">IF(Quantiles!BZ67&lt;0,"",(Depth0-MIN(Depth0,Quantiles!BZ67))/Depth_per_q)</f>
        <v>0</v>
      </c>
      <c r="CA67" s="20" t="n">
        <f aca="false">IF(Quantiles!CA67&lt;0,"",(Depth0-MIN(Depth0,Quantiles!CA67))/Depth_per_q)</f>
        <v>0</v>
      </c>
      <c r="CB67" s="20" t="n">
        <f aca="false">IF(Quantiles!CB67&lt;0,"",(Depth0-MIN(Depth0,Quantiles!CB67))/Depth_per_q)</f>
        <v>0</v>
      </c>
      <c r="CC67" s="20" t="n">
        <f aca="false">IF(Quantiles!CC67&lt;0,"",(Depth0-MIN(Depth0,Quantiles!CC67))/Depth_per_q)</f>
        <v>0</v>
      </c>
      <c r="CD67" s="20" t="n">
        <f aca="false">IF(Quantiles!CD67&lt;0,"",(Depth0-MIN(Depth0,Quantiles!CD67))/Depth_per_q)</f>
        <v>0</v>
      </c>
      <c r="CE67" s="20" t="n">
        <f aca="false">IF(Quantiles!CE67&lt;0,"",(Depth0-MIN(Depth0,Quantiles!CE67))/Depth_per_q)</f>
        <v>0</v>
      </c>
      <c r="CF67" s="20" t="n">
        <f aca="false">IF(Quantiles!CF67&lt;0,"",(Depth0-MIN(Depth0,Quantiles!CF67))/Depth_per_q)</f>
        <v>0</v>
      </c>
      <c r="CG67" s="20" t="n">
        <f aca="false">IF(Quantiles!CG67&lt;0,"",(Depth0-MIN(Depth0,Quantiles!CG67))/Depth_per_q)</f>
        <v>0</v>
      </c>
      <c r="CH67" s="20" t="n">
        <f aca="false">IF(Quantiles!CH67&lt;0,"",(Depth0-MIN(Depth0,Quantiles!CH67))/Depth_per_q)</f>
        <v>0</v>
      </c>
      <c r="CI67" s="20" t="n">
        <f aca="false">IF(Quantiles!CI67&lt;0,"",(Depth0-MIN(Depth0,Quantiles!CI67))/Depth_per_q)</f>
        <v>0</v>
      </c>
      <c r="CJ67" s="20" t="n">
        <f aca="false">IF(Quantiles!CJ67&lt;0,"",(Depth0-MIN(Depth0,Quantiles!CJ67))/Depth_per_q)</f>
        <v>0</v>
      </c>
      <c r="CK67" s="20" t="n">
        <f aca="false">IF(Quantiles!CK67&lt;0,"",(Depth0-MIN(Depth0,Quantiles!CK67))/Depth_per_q)</f>
        <v>0</v>
      </c>
      <c r="CL67" s="20" t="n">
        <f aca="false">IF(Quantiles!CL67&lt;0,"",(Depth0-MIN(Depth0,Quantiles!CL67))/Depth_per_q)</f>
        <v>0</v>
      </c>
      <c r="CM67" s="20" t="n">
        <f aca="false">IF(Quantiles!CM67&lt;0,"",(Depth0-MIN(Depth0,Quantiles!CM67))/Depth_per_q)</f>
        <v>0</v>
      </c>
      <c r="CN67" s="20" t="n">
        <f aca="false">IF(Quantiles!CN67&lt;0,"",(Depth0-MIN(Depth0,Quantiles!CN67))/Depth_per_q)</f>
        <v>0</v>
      </c>
      <c r="CO67" s="20" t="n">
        <f aca="false">IF(Quantiles!CO67&lt;0,"",(Depth0-MIN(Depth0,Quantiles!CO67))/Depth_per_q)</f>
        <v>0</v>
      </c>
      <c r="CP67" s="20" t="n">
        <f aca="false">IF(Quantiles!CP67&lt;0,"",(Depth0-MIN(Depth0,Quantiles!CP67))/Depth_per_q)</f>
        <v>0</v>
      </c>
      <c r="CQ67" s="20" t="n">
        <f aca="false">IF(Quantiles!CQ67&lt;0,"",(Depth0-MIN(Depth0,Quantiles!CQ67))/Depth_per_q)</f>
        <v>0</v>
      </c>
      <c r="CR67" s="20" t="n">
        <f aca="false">IF(Quantiles!CR67&lt;0,"",(Depth0-MIN(Depth0,Quantiles!CR67))/Depth_per_q)</f>
        <v>0</v>
      </c>
      <c r="CS67" s="20" t="n">
        <f aca="false">IF(Quantiles!CS67&lt;0,"",(Depth0-MIN(Depth0,Quantiles!CS67))/Depth_per_q)</f>
        <v>0</v>
      </c>
      <c r="CT67" s="20" t="n">
        <f aca="false">IF(Quantiles!CT67&lt;0,"",(Depth0-MIN(Depth0,Quantiles!CT67))/Depth_per_q)</f>
        <v>1.06879208805264</v>
      </c>
    </row>
    <row r="68" customFormat="false" ht="15" hidden="false" customHeight="false" outlineLevel="0" collapsed="false">
      <c r="A68" s="25" t="n">
        <f aca="false">Quantiles!A68</f>
        <v>315</v>
      </c>
      <c r="B68" s="20" t="n">
        <f aca="false">IF(Quantiles!B68&lt;0,"",(Depth0-MIN(Depth0,Quantiles!B68))/Depth_per_q)</f>
        <v>2.04522844784225</v>
      </c>
      <c r="C68" s="20" t="n">
        <f aca="false">IF(Quantiles!C68&lt;0,"",(Depth0-MIN(Depth0,Quantiles!C68))/Depth_per_q)</f>
        <v>1.85809505379828</v>
      </c>
      <c r="D68" s="20" t="n">
        <f aca="false">IF(Quantiles!D68&lt;0,"",(Depth0-MIN(Depth0,Quantiles!D68))/Depth_per_q)</f>
        <v>1.69603280419365</v>
      </c>
      <c r="E68" s="20" t="n">
        <f aca="false">IF(Quantiles!E68&lt;0,"",(Depth0-MIN(Depth0,Quantiles!E68))/Depth_per_q)</f>
        <v>1.55746093802545</v>
      </c>
      <c r="F68" s="20" t="n">
        <f aca="false">IF(Quantiles!F68&lt;0,"",(Depth0-MIN(Depth0,Quantiles!F68))/Depth_per_q)</f>
        <v>1.43691890281313</v>
      </c>
      <c r="G68" s="20" t="n">
        <f aca="false">IF(Quantiles!G68&lt;0,"",(Depth0-MIN(Depth0,Quantiles!G68))/Depth_per_q)</f>
        <v>1.33098699432944</v>
      </c>
      <c r="H68" s="20" t="n">
        <f aca="false">IF(Quantiles!H68&lt;0,"",(Depth0-MIN(Depth0,Quantiles!H68))/Depth_per_q)</f>
        <v>1.23655017816707</v>
      </c>
      <c r="I68" s="20" t="n">
        <f aca="false">IF(Quantiles!I68&lt;0,"",(Depth0-MIN(Depth0,Quantiles!I68))/Depth_per_q)</f>
        <v>1.14604771997381</v>
      </c>
      <c r="J68" s="20" t="n">
        <f aca="false">IF(Quantiles!J68&lt;0,"",(Depth0-MIN(Depth0,Quantiles!J68))/Depth_per_q)</f>
        <v>1.06889529390498</v>
      </c>
      <c r="K68" s="20" t="n">
        <f aca="false">IF(Quantiles!K68&lt;0,"",(Depth0-MIN(Depth0,Quantiles!K68))/Depth_per_q)</f>
        <v>0.990472840568888</v>
      </c>
      <c r="L68" s="20" t="n">
        <f aca="false">IF(Quantiles!L68&lt;0,"",(Depth0-MIN(Depth0,Quantiles!L68))/Depth_per_q)</f>
        <v>0.913315601669245</v>
      </c>
      <c r="M68" s="20" t="n">
        <f aca="false">IF(Quantiles!M68&lt;0,"",(Depth0-MIN(Depth0,Quantiles!M68))/Depth_per_q)</f>
        <v>0.84957157087351</v>
      </c>
      <c r="N68" s="20" t="n">
        <f aca="false">IF(Quantiles!N68&lt;0,"",(Depth0-MIN(Depth0,Quantiles!N68))/Depth_per_q)</f>
        <v>0.786856972131398</v>
      </c>
      <c r="O68" s="20" t="n">
        <f aca="false">IF(Quantiles!O68&lt;0,"",(Depth0-MIN(Depth0,Quantiles!O68))/Depth_per_q)</f>
        <v>0.72165660303625</v>
      </c>
      <c r="P68" s="20" t="n">
        <f aca="false">IF(Quantiles!P68&lt;0,"",(Depth0-MIN(Depth0,Quantiles!P68))/Depth_per_q)</f>
        <v>0.663659661716998</v>
      </c>
      <c r="Q68" s="20" t="n">
        <f aca="false">IF(Quantiles!Q68&lt;0,"",(Depth0-MIN(Depth0,Quantiles!Q68))/Depth_per_q)</f>
        <v>0.607056474368513</v>
      </c>
      <c r="R68" s="20" t="n">
        <f aca="false">IF(Quantiles!R68&lt;0,"",(Depth0-MIN(Depth0,Quantiles!R68))/Depth_per_q)</f>
        <v>0.555558076861643</v>
      </c>
      <c r="S68" s="20" t="n">
        <f aca="false">IF(Quantiles!S68&lt;0,"",(Depth0-MIN(Depth0,Quantiles!S68))/Depth_per_q)</f>
        <v>0.506182633649337</v>
      </c>
      <c r="T68" s="20" t="n">
        <f aca="false">IF(Quantiles!T68&lt;0,"",(Depth0-MIN(Depth0,Quantiles!T68))/Depth_per_q)</f>
        <v>0.459498982296085</v>
      </c>
      <c r="U68" s="20" t="n">
        <f aca="false">IF(Quantiles!U68&lt;0,"",(Depth0-MIN(Depth0,Quantiles!U68))/Depth_per_q)</f>
        <v>0.414872038412828</v>
      </c>
      <c r="V68" s="20" t="n">
        <f aca="false">IF(Quantiles!V68&lt;0,"",(Depth0-MIN(Depth0,Quantiles!V68))/Depth_per_q)</f>
        <v>0.371797529126905</v>
      </c>
      <c r="W68" s="20" t="n">
        <f aca="false">IF(Quantiles!W68&lt;0,"",(Depth0-MIN(Depth0,Quantiles!W68))/Depth_per_q)</f>
        <v>0.326420020447952</v>
      </c>
      <c r="X68" s="20" t="n">
        <f aca="false">IF(Quantiles!X68&lt;0,"",(Depth0-MIN(Depth0,Quantiles!X68))/Depth_per_q)</f>
        <v>0.282149030658455</v>
      </c>
      <c r="Y68" s="20" t="n">
        <f aca="false">IF(Quantiles!Y68&lt;0,"",(Depth0-MIN(Depth0,Quantiles!Y68))/Depth_per_q)</f>
        <v>0.2451107884951</v>
      </c>
      <c r="Z68" s="20" t="n">
        <f aca="false">IF(Quantiles!Z68&lt;0,"",(Depth0-MIN(Depth0,Quantiles!Z68))/Depth_per_q)</f>
        <v>0.205326286701068</v>
      </c>
      <c r="AA68" s="20" t="n">
        <f aca="false">IF(Quantiles!AA68&lt;0,"",(Depth0-MIN(Depth0,Quantiles!AA68))/Depth_per_q)</f>
        <v>0.168593495298827</v>
      </c>
      <c r="AB68" s="20" t="n">
        <f aca="false">IF(Quantiles!AB68&lt;0,"",(Depth0-MIN(Depth0,Quantiles!AB68))/Depth_per_q)</f>
        <v>0.128421164658437</v>
      </c>
      <c r="AC68" s="20" t="n">
        <f aca="false">IF(Quantiles!AC68&lt;0,"",(Depth0-MIN(Depth0,Quantiles!AC68))/Depth_per_q)</f>
        <v>0.0927295700864574</v>
      </c>
      <c r="AD68" s="20" t="n">
        <f aca="false">IF(Quantiles!AD68&lt;0,"",(Depth0-MIN(Depth0,Quantiles!AD68))/Depth_per_q)</f>
        <v>0.0553353223563846</v>
      </c>
      <c r="AE68" s="20" t="n">
        <f aca="false">IF(Quantiles!AE68&lt;0,"",(Depth0-MIN(Depth0,Quantiles!AE68))/Depth_per_q)</f>
        <v>0.0217942673871825</v>
      </c>
      <c r="AF68" s="20" t="n">
        <f aca="false">IF(Quantiles!AF68&lt;0,"",(Depth0-MIN(Depth0,Quantiles!AF68))/Depth_per_q)</f>
        <v>0</v>
      </c>
      <c r="AG68" s="20" t="n">
        <f aca="false">IF(Quantiles!AG68&lt;0,"",(Depth0-MIN(Depth0,Quantiles!AG68))/Depth_per_q)</f>
        <v>0</v>
      </c>
      <c r="AH68" s="20" t="n">
        <f aca="false">IF(Quantiles!AH68&lt;0,"",(Depth0-MIN(Depth0,Quantiles!AH68))/Depth_per_q)</f>
        <v>0</v>
      </c>
      <c r="AI68" s="20" t="n">
        <f aca="false">IF(Quantiles!AI68&lt;0,"",(Depth0-MIN(Depth0,Quantiles!AI68))/Depth_per_q)</f>
        <v>0</v>
      </c>
      <c r="AJ68" s="20" t="n">
        <f aca="false">IF(Quantiles!AJ68&lt;0,"",(Depth0-MIN(Depth0,Quantiles!AJ68))/Depth_per_q)</f>
        <v>0</v>
      </c>
      <c r="AK68" s="20" t="n">
        <f aca="false">IF(Quantiles!AK68&lt;0,"",(Depth0-MIN(Depth0,Quantiles!AK68))/Depth_per_q)</f>
        <v>0</v>
      </c>
      <c r="AL68" s="20" t="n">
        <f aca="false">IF(Quantiles!AL68&lt;0,"",(Depth0-MIN(Depth0,Quantiles!AL68))/Depth_per_q)</f>
        <v>0</v>
      </c>
      <c r="AM68" s="20" t="n">
        <f aca="false">IF(Quantiles!AM68&lt;0,"",(Depth0-MIN(Depth0,Quantiles!AM68))/Depth_per_q)</f>
        <v>0</v>
      </c>
      <c r="AN68" s="20" t="n">
        <f aca="false">IF(Quantiles!AN68&lt;0,"",(Depth0-MIN(Depth0,Quantiles!AN68))/Depth_per_q)</f>
        <v>0</v>
      </c>
      <c r="AO68" s="20" t="n">
        <f aca="false">IF(Quantiles!AO68&lt;0,"",(Depth0-MIN(Depth0,Quantiles!AO68))/Depth_per_q)</f>
        <v>0</v>
      </c>
      <c r="AP68" s="20" t="n">
        <f aca="false">IF(Quantiles!AP68&lt;0,"",(Depth0-MIN(Depth0,Quantiles!AP68))/Depth_per_q)</f>
        <v>0</v>
      </c>
      <c r="AQ68" s="20" t="n">
        <f aca="false">IF(Quantiles!AQ68&lt;0,"",(Depth0-MIN(Depth0,Quantiles!AQ68))/Depth_per_q)</f>
        <v>0</v>
      </c>
      <c r="AR68" s="20" t="n">
        <f aca="false">IF(Quantiles!AR68&lt;0,"",(Depth0-MIN(Depth0,Quantiles!AR68))/Depth_per_q)</f>
        <v>0</v>
      </c>
      <c r="AS68" s="20" t="n">
        <f aca="false">IF(Quantiles!AS68&lt;0,"",(Depth0-MIN(Depth0,Quantiles!AS68))/Depth_per_q)</f>
        <v>0</v>
      </c>
      <c r="AT68" s="20" t="n">
        <f aca="false">IF(Quantiles!AT68&lt;0,"",(Depth0-MIN(Depth0,Quantiles!AT68))/Depth_per_q)</f>
        <v>0</v>
      </c>
      <c r="AU68" s="20" t="n">
        <f aca="false">IF(Quantiles!AU68&lt;0,"",(Depth0-MIN(Depth0,Quantiles!AU68))/Depth_per_q)</f>
        <v>0</v>
      </c>
      <c r="AV68" s="20" t="n">
        <f aca="false">IF(Quantiles!AV68&lt;0,"",(Depth0-MIN(Depth0,Quantiles!AV68))/Depth_per_q)</f>
        <v>0</v>
      </c>
      <c r="AW68" s="20" t="n">
        <f aca="false">IF(Quantiles!AW68&lt;0,"",(Depth0-MIN(Depth0,Quantiles!AW68))/Depth_per_q)</f>
        <v>0</v>
      </c>
      <c r="AX68" s="20" t="n">
        <f aca="false">IF(Quantiles!AX68&lt;0,"",(Depth0-MIN(Depth0,Quantiles!AX68))/Depth_per_q)</f>
        <v>0</v>
      </c>
      <c r="AY68" s="20" t="n">
        <f aca="false">IF(Quantiles!AY68&lt;0,"",(Depth0-MIN(Depth0,Quantiles!AY68))/Depth_per_q)</f>
        <v>0</v>
      </c>
      <c r="AZ68" s="20" t="n">
        <f aca="false">IF(Quantiles!AZ68&lt;0,"",(Depth0-MIN(Depth0,Quantiles!AZ68))/Depth_per_q)</f>
        <v>0</v>
      </c>
      <c r="BA68" s="20" t="n">
        <f aca="false">IF(Quantiles!BA68&lt;0,"",(Depth0-MIN(Depth0,Quantiles!BA68))/Depth_per_q)</f>
        <v>0</v>
      </c>
      <c r="BB68" s="20" t="n">
        <f aca="false">IF(Quantiles!BB68&lt;0,"",(Depth0-MIN(Depth0,Quantiles!BB68))/Depth_per_q)</f>
        <v>0</v>
      </c>
      <c r="BC68" s="20" t="n">
        <f aca="false">IF(Quantiles!BC68&lt;0,"",(Depth0-MIN(Depth0,Quantiles!BC68))/Depth_per_q)</f>
        <v>0</v>
      </c>
      <c r="BD68" s="20" t="n">
        <f aca="false">IF(Quantiles!BD68&lt;0,"",(Depth0-MIN(Depth0,Quantiles!BD68))/Depth_per_q)</f>
        <v>0</v>
      </c>
      <c r="BE68" s="20" t="n">
        <f aca="false">IF(Quantiles!BE68&lt;0,"",(Depth0-MIN(Depth0,Quantiles!BE68))/Depth_per_q)</f>
        <v>0</v>
      </c>
      <c r="BF68" s="20" t="n">
        <f aca="false">IF(Quantiles!BF68&lt;0,"",(Depth0-MIN(Depth0,Quantiles!BF68))/Depth_per_q)</f>
        <v>0</v>
      </c>
      <c r="BG68" s="20" t="n">
        <f aca="false">IF(Quantiles!BG68&lt;0,"",(Depth0-MIN(Depth0,Quantiles!BG68))/Depth_per_q)</f>
        <v>0</v>
      </c>
      <c r="BH68" s="20" t="n">
        <f aca="false">IF(Quantiles!BH68&lt;0,"",(Depth0-MIN(Depth0,Quantiles!BH68))/Depth_per_q)</f>
        <v>0</v>
      </c>
      <c r="BI68" s="20" t="n">
        <f aca="false">IF(Quantiles!BI68&lt;0,"",(Depth0-MIN(Depth0,Quantiles!BI68))/Depth_per_q)</f>
        <v>0</v>
      </c>
      <c r="BJ68" s="20" t="n">
        <f aca="false">IF(Quantiles!BJ68&lt;0,"",(Depth0-MIN(Depth0,Quantiles!BJ68))/Depth_per_q)</f>
        <v>0</v>
      </c>
      <c r="BK68" s="20" t="n">
        <f aca="false">IF(Quantiles!BK68&lt;0,"",(Depth0-MIN(Depth0,Quantiles!BK68))/Depth_per_q)</f>
        <v>0</v>
      </c>
      <c r="BL68" s="20" t="n">
        <f aca="false">IF(Quantiles!BL68&lt;0,"",(Depth0-MIN(Depth0,Quantiles!BL68))/Depth_per_q)</f>
        <v>0</v>
      </c>
      <c r="BM68" s="20" t="n">
        <f aca="false">IF(Quantiles!BM68&lt;0,"",(Depth0-MIN(Depth0,Quantiles!BM68))/Depth_per_q)</f>
        <v>0</v>
      </c>
      <c r="BN68" s="20" t="n">
        <f aca="false">IF(Quantiles!BN68&lt;0,"",(Depth0-MIN(Depth0,Quantiles!BN68))/Depth_per_q)</f>
        <v>0</v>
      </c>
      <c r="BO68" s="20" t="n">
        <f aca="false">IF(Quantiles!BO68&lt;0,"",(Depth0-MIN(Depth0,Quantiles!BO68))/Depth_per_q)</f>
        <v>0</v>
      </c>
      <c r="BP68" s="20" t="n">
        <f aca="false">IF(Quantiles!BP68&lt;0,"",(Depth0-MIN(Depth0,Quantiles!BP68))/Depth_per_q)</f>
        <v>0</v>
      </c>
      <c r="BQ68" s="20" t="n">
        <f aca="false">IF(Quantiles!BQ68&lt;0,"",(Depth0-MIN(Depth0,Quantiles!BQ68))/Depth_per_q)</f>
        <v>0</v>
      </c>
      <c r="BR68" s="20" t="n">
        <f aca="false">IF(Quantiles!BR68&lt;0,"",(Depth0-MIN(Depth0,Quantiles!BR68))/Depth_per_q)</f>
        <v>0</v>
      </c>
      <c r="BS68" s="20" t="n">
        <f aca="false">IF(Quantiles!BS68&lt;0,"",(Depth0-MIN(Depth0,Quantiles!BS68))/Depth_per_q)</f>
        <v>0</v>
      </c>
      <c r="BT68" s="20" t="n">
        <f aca="false">IF(Quantiles!BT68&lt;0,"",(Depth0-MIN(Depth0,Quantiles!BT68))/Depth_per_q)</f>
        <v>0</v>
      </c>
      <c r="BU68" s="20" t="n">
        <f aca="false">IF(Quantiles!BU68&lt;0,"",(Depth0-MIN(Depth0,Quantiles!BU68))/Depth_per_q)</f>
        <v>0</v>
      </c>
      <c r="BV68" s="20" t="n">
        <f aca="false">IF(Quantiles!BV68&lt;0,"",(Depth0-MIN(Depth0,Quantiles!BV68))/Depth_per_q)</f>
        <v>0</v>
      </c>
      <c r="BW68" s="20" t="n">
        <f aca="false">IF(Quantiles!BW68&lt;0,"",(Depth0-MIN(Depth0,Quantiles!BW68))/Depth_per_q)</f>
        <v>0</v>
      </c>
      <c r="BX68" s="20" t="n">
        <f aca="false">IF(Quantiles!BX68&lt;0,"",(Depth0-MIN(Depth0,Quantiles!BX68))/Depth_per_q)</f>
        <v>0</v>
      </c>
      <c r="BY68" s="20" t="n">
        <f aca="false">IF(Quantiles!BY68&lt;0,"",(Depth0-MIN(Depth0,Quantiles!BY68))/Depth_per_q)</f>
        <v>0</v>
      </c>
      <c r="BZ68" s="20" t="n">
        <f aca="false">IF(Quantiles!BZ68&lt;0,"",(Depth0-MIN(Depth0,Quantiles!BZ68))/Depth_per_q)</f>
        <v>0</v>
      </c>
      <c r="CA68" s="20" t="n">
        <f aca="false">IF(Quantiles!CA68&lt;0,"",(Depth0-MIN(Depth0,Quantiles!CA68))/Depth_per_q)</f>
        <v>0</v>
      </c>
      <c r="CB68" s="20" t="n">
        <f aca="false">IF(Quantiles!CB68&lt;0,"",(Depth0-MIN(Depth0,Quantiles!CB68))/Depth_per_q)</f>
        <v>0</v>
      </c>
      <c r="CC68" s="20" t="n">
        <f aca="false">IF(Quantiles!CC68&lt;0,"",(Depth0-MIN(Depth0,Quantiles!CC68))/Depth_per_q)</f>
        <v>0</v>
      </c>
      <c r="CD68" s="20" t="n">
        <f aca="false">IF(Quantiles!CD68&lt;0,"",(Depth0-MIN(Depth0,Quantiles!CD68))/Depth_per_q)</f>
        <v>0</v>
      </c>
      <c r="CE68" s="20" t="n">
        <f aca="false">IF(Quantiles!CE68&lt;0,"",(Depth0-MIN(Depth0,Quantiles!CE68))/Depth_per_q)</f>
        <v>0</v>
      </c>
      <c r="CF68" s="20" t="n">
        <f aca="false">IF(Quantiles!CF68&lt;0,"",(Depth0-MIN(Depth0,Quantiles!CF68))/Depth_per_q)</f>
        <v>0</v>
      </c>
      <c r="CG68" s="20" t="n">
        <f aca="false">IF(Quantiles!CG68&lt;0,"",(Depth0-MIN(Depth0,Quantiles!CG68))/Depth_per_q)</f>
        <v>0</v>
      </c>
      <c r="CH68" s="20" t="n">
        <f aca="false">IF(Quantiles!CH68&lt;0,"",(Depth0-MIN(Depth0,Quantiles!CH68))/Depth_per_q)</f>
        <v>0</v>
      </c>
      <c r="CI68" s="20" t="n">
        <f aca="false">IF(Quantiles!CI68&lt;0,"",(Depth0-MIN(Depth0,Quantiles!CI68))/Depth_per_q)</f>
        <v>0</v>
      </c>
      <c r="CJ68" s="20" t="n">
        <f aca="false">IF(Quantiles!CJ68&lt;0,"",(Depth0-MIN(Depth0,Quantiles!CJ68))/Depth_per_q)</f>
        <v>0</v>
      </c>
      <c r="CK68" s="20" t="n">
        <f aca="false">IF(Quantiles!CK68&lt;0,"",(Depth0-MIN(Depth0,Quantiles!CK68))/Depth_per_q)</f>
        <v>0</v>
      </c>
      <c r="CL68" s="20" t="n">
        <f aca="false">IF(Quantiles!CL68&lt;0,"",(Depth0-MIN(Depth0,Quantiles!CL68))/Depth_per_q)</f>
        <v>0</v>
      </c>
      <c r="CM68" s="20" t="n">
        <f aca="false">IF(Quantiles!CM68&lt;0,"",(Depth0-MIN(Depth0,Quantiles!CM68))/Depth_per_q)</f>
        <v>0</v>
      </c>
      <c r="CN68" s="20" t="n">
        <f aca="false">IF(Quantiles!CN68&lt;0,"",(Depth0-MIN(Depth0,Quantiles!CN68))/Depth_per_q)</f>
        <v>0</v>
      </c>
      <c r="CO68" s="20" t="n">
        <f aca="false">IF(Quantiles!CO68&lt;0,"",(Depth0-MIN(Depth0,Quantiles!CO68))/Depth_per_q)</f>
        <v>0</v>
      </c>
      <c r="CP68" s="20" t="n">
        <f aca="false">IF(Quantiles!CP68&lt;0,"",(Depth0-MIN(Depth0,Quantiles!CP68))/Depth_per_q)</f>
        <v>0</v>
      </c>
      <c r="CQ68" s="20" t="n">
        <f aca="false">IF(Quantiles!CQ68&lt;0,"",(Depth0-MIN(Depth0,Quantiles!CQ68))/Depth_per_q)</f>
        <v>0</v>
      </c>
      <c r="CR68" s="20" t="n">
        <f aca="false">IF(Quantiles!CR68&lt;0,"",(Depth0-MIN(Depth0,Quantiles!CR68))/Depth_per_q)</f>
        <v>0</v>
      </c>
      <c r="CS68" s="20" t="n">
        <f aca="false">IF(Quantiles!CS68&lt;0,"",(Depth0-MIN(Depth0,Quantiles!CS68))/Depth_per_q)</f>
        <v>0</v>
      </c>
      <c r="CT68" s="20" t="n">
        <f aca="false">IF(Quantiles!CT68&lt;0,"",(Depth0-MIN(Depth0,Quantiles!CT68))/Depth_per_q)</f>
        <v>1.06858097578143</v>
      </c>
    </row>
    <row r="69" customFormat="false" ht="15" hidden="false" customHeight="false" outlineLevel="0" collapsed="false">
      <c r="A69" s="25" t="n">
        <f aca="false">Quantiles!A69</f>
        <v>320</v>
      </c>
      <c r="B69" s="20" t="n">
        <f aca="false">IF(Quantiles!B69&lt;0,"",(Depth0-MIN(Depth0,Quantiles!B69))/Depth_per_q)</f>
        <v>2.04370333354421</v>
      </c>
      <c r="C69" s="20" t="n">
        <f aca="false">IF(Quantiles!C69&lt;0,"",(Depth0-MIN(Depth0,Quantiles!C69))/Depth_per_q)</f>
        <v>1.85809505379828</v>
      </c>
      <c r="D69" s="20" t="n">
        <f aca="false">IF(Quantiles!D69&lt;0,"",(Depth0-MIN(Depth0,Quantiles!D69))/Depth_per_q)</f>
        <v>1.69603280419365</v>
      </c>
      <c r="E69" s="20" t="n">
        <f aca="false">IF(Quantiles!E69&lt;0,"",(Depth0-MIN(Depth0,Quantiles!E69))/Depth_per_q)</f>
        <v>1.55746093802545</v>
      </c>
      <c r="F69" s="20" t="n">
        <f aca="false">IF(Quantiles!F69&lt;0,"",(Depth0-MIN(Depth0,Quantiles!F69))/Depth_per_q)</f>
        <v>1.43691890281313</v>
      </c>
      <c r="G69" s="20" t="n">
        <f aca="false">IF(Quantiles!G69&lt;0,"",(Depth0-MIN(Depth0,Quantiles!G69))/Depth_per_q)</f>
        <v>1.33098699432944</v>
      </c>
      <c r="H69" s="20" t="n">
        <f aca="false">IF(Quantiles!H69&lt;0,"",(Depth0-MIN(Depth0,Quantiles!H69))/Depth_per_q)</f>
        <v>1.23655017816707</v>
      </c>
      <c r="I69" s="20" t="n">
        <f aca="false">IF(Quantiles!I69&lt;0,"",(Depth0-MIN(Depth0,Quantiles!I69))/Depth_per_q)</f>
        <v>1.14604771997381</v>
      </c>
      <c r="J69" s="20" t="n">
        <f aca="false">IF(Quantiles!J69&lt;0,"",(Depth0-MIN(Depth0,Quantiles!J69))/Depth_per_q)</f>
        <v>1.06889529390498</v>
      </c>
      <c r="K69" s="20" t="n">
        <f aca="false">IF(Quantiles!K69&lt;0,"",(Depth0-MIN(Depth0,Quantiles!K69))/Depth_per_q)</f>
        <v>0.990472840568888</v>
      </c>
      <c r="L69" s="20" t="n">
        <f aca="false">IF(Quantiles!L69&lt;0,"",(Depth0-MIN(Depth0,Quantiles!L69))/Depth_per_q)</f>
        <v>0.912945870362512</v>
      </c>
      <c r="M69" s="20" t="n">
        <f aca="false">IF(Quantiles!M69&lt;0,"",(Depth0-MIN(Depth0,Quantiles!M69))/Depth_per_q)</f>
        <v>0.849243931359205</v>
      </c>
      <c r="N69" s="20" t="n">
        <f aca="false">IF(Quantiles!N69&lt;0,"",(Depth0-MIN(Depth0,Quantiles!N69))/Depth_per_q)</f>
        <v>0.786751668608693</v>
      </c>
      <c r="O69" s="20" t="n">
        <f aca="false">IF(Quantiles!O69&lt;0,"",(Depth0-MIN(Depth0,Quantiles!O69))/Depth_per_q)</f>
        <v>0.721319732345355</v>
      </c>
      <c r="P69" s="20" t="n">
        <f aca="false">IF(Quantiles!P69&lt;0,"",(Depth0-MIN(Depth0,Quantiles!P69))/Depth_per_q)</f>
        <v>0.662729881169202</v>
      </c>
      <c r="Q69" s="20" t="n">
        <f aca="false">IF(Quantiles!Q69&lt;0,"",(Depth0-MIN(Depth0,Quantiles!Q69))/Depth_per_q)</f>
        <v>0.606783077499365</v>
      </c>
      <c r="R69" s="20" t="n">
        <f aca="false">IF(Quantiles!R69&lt;0,"",(Depth0-MIN(Depth0,Quantiles!R69))/Depth_per_q)</f>
        <v>0.5553625216943</v>
      </c>
      <c r="S69" s="20" t="n">
        <f aca="false">IF(Quantiles!S69&lt;0,"",(Depth0-MIN(Depth0,Quantiles!S69))/Depth_per_q)</f>
        <v>0.50575165067237</v>
      </c>
      <c r="T69" s="20" t="n">
        <f aca="false">IF(Quantiles!T69&lt;0,"",(Depth0-MIN(Depth0,Quantiles!T69))/Depth_per_q)</f>
        <v>0.459498982296085</v>
      </c>
      <c r="U69" s="20" t="n">
        <f aca="false">IF(Quantiles!U69&lt;0,"",(Depth0-MIN(Depth0,Quantiles!U69))/Depth_per_q)</f>
        <v>0.414872038412828</v>
      </c>
      <c r="V69" s="20" t="n">
        <f aca="false">IF(Quantiles!V69&lt;0,"",(Depth0-MIN(Depth0,Quantiles!V69))/Depth_per_q)</f>
        <v>0.371321958385322</v>
      </c>
      <c r="W69" s="20" t="n">
        <f aca="false">IF(Quantiles!W69&lt;0,"",(Depth0-MIN(Depth0,Quantiles!W69))/Depth_per_q)</f>
        <v>0.326191573366525</v>
      </c>
      <c r="X69" s="20" t="n">
        <f aca="false">IF(Quantiles!X69&lt;0,"",(Depth0-MIN(Depth0,Quantiles!X69))/Depth_per_q)</f>
        <v>0.281860568322958</v>
      </c>
      <c r="Y69" s="20" t="n">
        <f aca="false">IF(Quantiles!Y69&lt;0,"",(Depth0-MIN(Depth0,Quantiles!Y69))/Depth_per_q)</f>
        <v>0.244959896992093</v>
      </c>
      <c r="Z69" s="20" t="n">
        <f aca="false">IF(Quantiles!Z69&lt;0,"",(Depth0-MIN(Depth0,Quantiles!Z69))/Depth_per_q)</f>
        <v>0.205128677066577</v>
      </c>
      <c r="AA69" s="20" t="n">
        <f aca="false">IF(Quantiles!AA69&lt;0,"",(Depth0-MIN(Depth0,Quantiles!AA69))/Depth_per_q)</f>
        <v>0.16854406052543</v>
      </c>
      <c r="AB69" s="20" t="n">
        <f aca="false">IF(Quantiles!AB69&lt;0,"",(Depth0-MIN(Depth0,Quantiles!AB69))/Depth_per_q)</f>
        <v>0.127625549930372</v>
      </c>
      <c r="AC69" s="20" t="n">
        <f aca="false">IF(Quantiles!AC69&lt;0,"",(Depth0-MIN(Depth0,Quantiles!AC69))/Depth_per_q)</f>
        <v>0.0920034125571903</v>
      </c>
      <c r="AD69" s="20" t="n">
        <f aca="false">IF(Quantiles!AD69&lt;0,"",(Depth0-MIN(Depth0,Quantiles!AD69))/Depth_per_q)</f>
        <v>0.0553136588123797</v>
      </c>
      <c r="AE69" s="20" t="n">
        <f aca="false">IF(Quantiles!AE69&lt;0,"",(Depth0-MIN(Depth0,Quantiles!AE69))/Depth_per_q)</f>
        <v>0.0217129588740024</v>
      </c>
      <c r="AF69" s="20" t="n">
        <f aca="false">IF(Quantiles!AF69&lt;0,"",(Depth0-MIN(Depth0,Quantiles!AF69))/Depth_per_q)</f>
        <v>0</v>
      </c>
      <c r="AG69" s="20" t="n">
        <f aca="false">IF(Quantiles!AG69&lt;0,"",(Depth0-MIN(Depth0,Quantiles!AG69))/Depth_per_q)</f>
        <v>0</v>
      </c>
      <c r="AH69" s="20" t="n">
        <f aca="false">IF(Quantiles!AH69&lt;0,"",(Depth0-MIN(Depth0,Quantiles!AH69))/Depth_per_q)</f>
        <v>0</v>
      </c>
      <c r="AI69" s="20" t="n">
        <f aca="false">IF(Quantiles!AI69&lt;0,"",(Depth0-MIN(Depth0,Quantiles!AI69))/Depth_per_q)</f>
        <v>0</v>
      </c>
      <c r="AJ69" s="20" t="n">
        <f aca="false">IF(Quantiles!AJ69&lt;0,"",(Depth0-MIN(Depth0,Quantiles!AJ69))/Depth_per_q)</f>
        <v>0</v>
      </c>
      <c r="AK69" s="20" t="n">
        <f aca="false">IF(Quantiles!AK69&lt;0,"",(Depth0-MIN(Depth0,Quantiles!AK69))/Depth_per_q)</f>
        <v>0</v>
      </c>
      <c r="AL69" s="20" t="n">
        <f aca="false">IF(Quantiles!AL69&lt;0,"",(Depth0-MIN(Depth0,Quantiles!AL69))/Depth_per_q)</f>
        <v>0</v>
      </c>
      <c r="AM69" s="20" t="n">
        <f aca="false">IF(Quantiles!AM69&lt;0,"",(Depth0-MIN(Depth0,Quantiles!AM69))/Depth_per_q)</f>
        <v>0</v>
      </c>
      <c r="AN69" s="20" t="n">
        <f aca="false">IF(Quantiles!AN69&lt;0,"",(Depth0-MIN(Depth0,Quantiles!AN69))/Depth_per_q)</f>
        <v>0</v>
      </c>
      <c r="AO69" s="20" t="n">
        <f aca="false">IF(Quantiles!AO69&lt;0,"",(Depth0-MIN(Depth0,Quantiles!AO69))/Depth_per_q)</f>
        <v>0</v>
      </c>
      <c r="AP69" s="20" t="n">
        <f aca="false">IF(Quantiles!AP69&lt;0,"",(Depth0-MIN(Depth0,Quantiles!AP69))/Depth_per_q)</f>
        <v>0</v>
      </c>
      <c r="AQ69" s="20" t="n">
        <f aca="false">IF(Quantiles!AQ69&lt;0,"",(Depth0-MIN(Depth0,Quantiles!AQ69))/Depth_per_q)</f>
        <v>0</v>
      </c>
      <c r="AR69" s="20" t="n">
        <f aca="false">IF(Quantiles!AR69&lt;0,"",(Depth0-MIN(Depth0,Quantiles!AR69))/Depth_per_q)</f>
        <v>0</v>
      </c>
      <c r="AS69" s="20" t="n">
        <f aca="false">IF(Quantiles!AS69&lt;0,"",(Depth0-MIN(Depth0,Quantiles!AS69))/Depth_per_q)</f>
        <v>0</v>
      </c>
      <c r="AT69" s="20" t="n">
        <f aca="false">IF(Quantiles!AT69&lt;0,"",(Depth0-MIN(Depth0,Quantiles!AT69))/Depth_per_q)</f>
        <v>0</v>
      </c>
      <c r="AU69" s="20" t="n">
        <f aca="false">IF(Quantiles!AU69&lt;0,"",(Depth0-MIN(Depth0,Quantiles!AU69))/Depth_per_q)</f>
        <v>0</v>
      </c>
      <c r="AV69" s="20" t="n">
        <f aca="false">IF(Quantiles!AV69&lt;0,"",(Depth0-MIN(Depth0,Quantiles!AV69))/Depth_per_q)</f>
        <v>0</v>
      </c>
      <c r="AW69" s="20" t="n">
        <f aca="false">IF(Quantiles!AW69&lt;0,"",(Depth0-MIN(Depth0,Quantiles!AW69))/Depth_per_q)</f>
        <v>0</v>
      </c>
      <c r="AX69" s="20" t="n">
        <f aca="false">IF(Quantiles!AX69&lt;0,"",(Depth0-MIN(Depth0,Quantiles!AX69))/Depth_per_q)</f>
        <v>0</v>
      </c>
      <c r="AY69" s="20" t="n">
        <f aca="false">IF(Quantiles!AY69&lt;0,"",(Depth0-MIN(Depth0,Quantiles!AY69))/Depth_per_q)</f>
        <v>0</v>
      </c>
      <c r="AZ69" s="20" t="n">
        <f aca="false">IF(Quantiles!AZ69&lt;0,"",(Depth0-MIN(Depth0,Quantiles!AZ69))/Depth_per_q)</f>
        <v>0</v>
      </c>
      <c r="BA69" s="20" t="n">
        <f aca="false">IF(Quantiles!BA69&lt;0,"",(Depth0-MIN(Depth0,Quantiles!BA69))/Depth_per_q)</f>
        <v>0</v>
      </c>
      <c r="BB69" s="20" t="n">
        <f aca="false">IF(Quantiles!BB69&lt;0,"",(Depth0-MIN(Depth0,Quantiles!BB69))/Depth_per_q)</f>
        <v>0</v>
      </c>
      <c r="BC69" s="20" t="n">
        <f aca="false">IF(Quantiles!BC69&lt;0,"",(Depth0-MIN(Depth0,Quantiles!BC69))/Depth_per_q)</f>
        <v>0</v>
      </c>
      <c r="BD69" s="20" t="n">
        <f aca="false">IF(Quantiles!BD69&lt;0,"",(Depth0-MIN(Depth0,Quantiles!BD69))/Depth_per_q)</f>
        <v>0</v>
      </c>
      <c r="BE69" s="20" t="n">
        <f aca="false">IF(Quantiles!BE69&lt;0,"",(Depth0-MIN(Depth0,Quantiles!BE69))/Depth_per_q)</f>
        <v>0</v>
      </c>
      <c r="BF69" s="20" t="n">
        <f aca="false">IF(Quantiles!BF69&lt;0,"",(Depth0-MIN(Depth0,Quantiles!BF69))/Depth_per_q)</f>
        <v>0</v>
      </c>
      <c r="BG69" s="20" t="n">
        <f aca="false">IF(Quantiles!BG69&lt;0,"",(Depth0-MIN(Depth0,Quantiles!BG69))/Depth_per_q)</f>
        <v>0</v>
      </c>
      <c r="BH69" s="20" t="n">
        <f aca="false">IF(Quantiles!BH69&lt;0,"",(Depth0-MIN(Depth0,Quantiles!BH69))/Depth_per_q)</f>
        <v>0</v>
      </c>
      <c r="BI69" s="20" t="n">
        <f aca="false">IF(Quantiles!BI69&lt;0,"",(Depth0-MIN(Depth0,Quantiles!BI69))/Depth_per_q)</f>
        <v>0</v>
      </c>
      <c r="BJ69" s="20" t="n">
        <f aca="false">IF(Quantiles!BJ69&lt;0,"",(Depth0-MIN(Depth0,Quantiles!BJ69))/Depth_per_q)</f>
        <v>0</v>
      </c>
      <c r="BK69" s="20" t="n">
        <f aca="false">IF(Quantiles!BK69&lt;0,"",(Depth0-MIN(Depth0,Quantiles!BK69))/Depth_per_q)</f>
        <v>0</v>
      </c>
      <c r="BL69" s="20" t="n">
        <f aca="false">IF(Quantiles!BL69&lt;0,"",(Depth0-MIN(Depth0,Quantiles!BL69))/Depth_per_q)</f>
        <v>0</v>
      </c>
      <c r="BM69" s="20" t="n">
        <f aca="false">IF(Quantiles!BM69&lt;0,"",(Depth0-MIN(Depth0,Quantiles!BM69))/Depth_per_q)</f>
        <v>0</v>
      </c>
      <c r="BN69" s="20" t="n">
        <f aca="false">IF(Quantiles!BN69&lt;0,"",(Depth0-MIN(Depth0,Quantiles!BN69))/Depth_per_q)</f>
        <v>0</v>
      </c>
      <c r="BO69" s="20" t="n">
        <f aca="false">IF(Quantiles!BO69&lt;0,"",(Depth0-MIN(Depth0,Quantiles!BO69))/Depth_per_q)</f>
        <v>0</v>
      </c>
      <c r="BP69" s="20" t="n">
        <f aca="false">IF(Quantiles!BP69&lt;0,"",(Depth0-MIN(Depth0,Quantiles!BP69))/Depth_per_q)</f>
        <v>0</v>
      </c>
      <c r="BQ69" s="20" t="n">
        <f aca="false">IF(Quantiles!BQ69&lt;0,"",(Depth0-MIN(Depth0,Quantiles!BQ69))/Depth_per_q)</f>
        <v>0</v>
      </c>
      <c r="BR69" s="20" t="n">
        <f aca="false">IF(Quantiles!BR69&lt;0,"",(Depth0-MIN(Depth0,Quantiles!BR69))/Depth_per_q)</f>
        <v>0</v>
      </c>
      <c r="BS69" s="20" t="n">
        <f aca="false">IF(Quantiles!BS69&lt;0,"",(Depth0-MIN(Depth0,Quantiles!BS69))/Depth_per_q)</f>
        <v>0</v>
      </c>
      <c r="BT69" s="20" t="n">
        <f aca="false">IF(Quantiles!BT69&lt;0,"",(Depth0-MIN(Depth0,Quantiles!BT69))/Depth_per_q)</f>
        <v>0</v>
      </c>
      <c r="BU69" s="20" t="n">
        <f aca="false">IF(Quantiles!BU69&lt;0,"",(Depth0-MIN(Depth0,Quantiles!BU69))/Depth_per_q)</f>
        <v>0</v>
      </c>
      <c r="BV69" s="20" t="n">
        <f aca="false">IF(Quantiles!BV69&lt;0,"",(Depth0-MIN(Depth0,Quantiles!BV69))/Depth_per_q)</f>
        <v>0</v>
      </c>
      <c r="BW69" s="20" t="n">
        <f aca="false">IF(Quantiles!BW69&lt;0,"",(Depth0-MIN(Depth0,Quantiles!BW69))/Depth_per_q)</f>
        <v>0</v>
      </c>
      <c r="BX69" s="20" t="n">
        <f aca="false">IF(Quantiles!BX69&lt;0,"",(Depth0-MIN(Depth0,Quantiles!BX69))/Depth_per_q)</f>
        <v>0</v>
      </c>
      <c r="BY69" s="20" t="n">
        <f aca="false">IF(Quantiles!BY69&lt;0,"",(Depth0-MIN(Depth0,Quantiles!BY69))/Depth_per_q)</f>
        <v>0</v>
      </c>
      <c r="BZ69" s="20" t="n">
        <f aca="false">IF(Quantiles!BZ69&lt;0,"",(Depth0-MIN(Depth0,Quantiles!BZ69))/Depth_per_q)</f>
        <v>0</v>
      </c>
      <c r="CA69" s="20" t="n">
        <f aca="false">IF(Quantiles!CA69&lt;0,"",(Depth0-MIN(Depth0,Quantiles!CA69))/Depth_per_q)</f>
        <v>0</v>
      </c>
      <c r="CB69" s="20" t="n">
        <f aca="false">IF(Quantiles!CB69&lt;0,"",(Depth0-MIN(Depth0,Quantiles!CB69))/Depth_per_q)</f>
        <v>0</v>
      </c>
      <c r="CC69" s="20" t="n">
        <f aca="false">IF(Quantiles!CC69&lt;0,"",(Depth0-MIN(Depth0,Quantiles!CC69))/Depth_per_q)</f>
        <v>0</v>
      </c>
      <c r="CD69" s="20" t="n">
        <f aca="false">IF(Quantiles!CD69&lt;0,"",(Depth0-MIN(Depth0,Quantiles!CD69))/Depth_per_q)</f>
        <v>0</v>
      </c>
      <c r="CE69" s="20" t="n">
        <f aca="false">IF(Quantiles!CE69&lt;0,"",(Depth0-MIN(Depth0,Quantiles!CE69))/Depth_per_q)</f>
        <v>0</v>
      </c>
      <c r="CF69" s="20" t="n">
        <f aca="false">IF(Quantiles!CF69&lt;0,"",(Depth0-MIN(Depth0,Quantiles!CF69))/Depth_per_q)</f>
        <v>0</v>
      </c>
      <c r="CG69" s="20" t="n">
        <f aca="false">IF(Quantiles!CG69&lt;0,"",(Depth0-MIN(Depth0,Quantiles!CG69))/Depth_per_q)</f>
        <v>0</v>
      </c>
      <c r="CH69" s="20" t="n">
        <f aca="false">IF(Quantiles!CH69&lt;0,"",(Depth0-MIN(Depth0,Quantiles!CH69))/Depth_per_q)</f>
        <v>0</v>
      </c>
      <c r="CI69" s="20" t="n">
        <f aca="false">IF(Quantiles!CI69&lt;0,"",(Depth0-MIN(Depth0,Quantiles!CI69))/Depth_per_q)</f>
        <v>0</v>
      </c>
      <c r="CJ69" s="20" t="n">
        <f aca="false">IF(Quantiles!CJ69&lt;0,"",(Depth0-MIN(Depth0,Quantiles!CJ69))/Depth_per_q)</f>
        <v>0</v>
      </c>
      <c r="CK69" s="20" t="n">
        <f aca="false">IF(Quantiles!CK69&lt;0,"",(Depth0-MIN(Depth0,Quantiles!CK69))/Depth_per_q)</f>
        <v>0</v>
      </c>
      <c r="CL69" s="20" t="n">
        <f aca="false">IF(Quantiles!CL69&lt;0,"",(Depth0-MIN(Depth0,Quantiles!CL69))/Depth_per_q)</f>
        <v>0</v>
      </c>
      <c r="CM69" s="20" t="n">
        <f aca="false">IF(Quantiles!CM69&lt;0,"",(Depth0-MIN(Depth0,Quantiles!CM69))/Depth_per_q)</f>
        <v>0</v>
      </c>
      <c r="CN69" s="20" t="n">
        <f aca="false">IF(Quantiles!CN69&lt;0,"",(Depth0-MIN(Depth0,Quantiles!CN69))/Depth_per_q)</f>
        <v>0</v>
      </c>
      <c r="CO69" s="20" t="n">
        <f aca="false">IF(Quantiles!CO69&lt;0,"",(Depth0-MIN(Depth0,Quantiles!CO69))/Depth_per_q)</f>
        <v>0</v>
      </c>
      <c r="CP69" s="20" t="n">
        <f aca="false">IF(Quantiles!CP69&lt;0,"",(Depth0-MIN(Depth0,Quantiles!CP69))/Depth_per_q)</f>
        <v>0</v>
      </c>
      <c r="CQ69" s="20" t="n">
        <f aca="false">IF(Quantiles!CQ69&lt;0,"",(Depth0-MIN(Depth0,Quantiles!CQ69))/Depth_per_q)</f>
        <v>0</v>
      </c>
      <c r="CR69" s="20" t="n">
        <f aca="false">IF(Quantiles!CR69&lt;0,"",(Depth0-MIN(Depth0,Quantiles!CR69))/Depth_per_q)</f>
        <v>0</v>
      </c>
      <c r="CS69" s="20" t="n">
        <f aca="false">IF(Quantiles!CS69&lt;0,"",(Depth0-MIN(Depth0,Quantiles!CS69))/Depth_per_q)</f>
        <v>0</v>
      </c>
      <c r="CT69" s="20" t="n">
        <f aca="false">IF(Quantiles!CT69&lt;0,"",(Depth0-MIN(Depth0,Quantiles!CT69))/Depth_per_q)</f>
        <v>1.06858097578143</v>
      </c>
    </row>
    <row r="70" customFormat="false" ht="15" hidden="false" customHeight="false" outlineLevel="0" collapsed="false">
      <c r="A70" s="25" t="n">
        <f aca="false">Quantiles!A70</f>
        <v>325</v>
      </c>
      <c r="B70" s="20" t="n">
        <f aca="false">IF(Quantiles!B70&lt;0,"",(Depth0-MIN(Depth0,Quantiles!B70))/Depth_per_q)</f>
        <v>2.04370333354421</v>
      </c>
      <c r="C70" s="20" t="n">
        <f aca="false">IF(Quantiles!C70&lt;0,"",(Depth0-MIN(Depth0,Quantiles!C70))/Depth_per_q)</f>
        <v>1.85686023714316</v>
      </c>
      <c r="D70" s="20" t="n">
        <f aca="false">IF(Quantiles!D70&lt;0,"",(Depth0-MIN(Depth0,Quantiles!D70))/Depth_per_q)</f>
        <v>1.69340910598712</v>
      </c>
      <c r="E70" s="20" t="n">
        <f aca="false">IF(Quantiles!E70&lt;0,"",(Depth0-MIN(Depth0,Quantiles!E70))/Depth_per_q)</f>
        <v>1.55746093802545</v>
      </c>
      <c r="F70" s="20" t="n">
        <f aca="false">IF(Quantiles!F70&lt;0,"",(Depth0-MIN(Depth0,Quantiles!F70))/Depth_per_q)</f>
        <v>1.43691890281313</v>
      </c>
      <c r="G70" s="20" t="n">
        <f aca="false">IF(Quantiles!G70&lt;0,"",(Depth0-MIN(Depth0,Quantiles!G70))/Depth_per_q)</f>
        <v>1.33098699432944</v>
      </c>
      <c r="H70" s="20" t="n">
        <f aca="false">IF(Quantiles!H70&lt;0,"",(Depth0-MIN(Depth0,Quantiles!H70))/Depth_per_q)</f>
        <v>1.23655017816707</v>
      </c>
      <c r="I70" s="20" t="n">
        <f aca="false">IF(Quantiles!I70&lt;0,"",(Depth0-MIN(Depth0,Quantiles!I70))/Depth_per_q)</f>
        <v>1.14604771997381</v>
      </c>
      <c r="J70" s="20" t="n">
        <f aca="false">IF(Quantiles!J70&lt;0,"",(Depth0-MIN(Depth0,Quantiles!J70))/Depth_per_q)</f>
        <v>1.06889529390498</v>
      </c>
      <c r="K70" s="20" t="n">
        <f aca="false">IF(Quantiles!K70&lt;0,"",(Depth0-MIN(Depth0,Quantiles!K70))/Depth_per_q)</f>
        <v>0.990472840568888</v>
      </c>
      <c r="L70" s="20" t="n">
        <f aca="false">IF(Quantiles!L70&lt;0,"",(Depth0-MIN(Depth0,Quantiles!L70))/Depth_per_q)</f>
        <v>0.912945870362512</v>
      </c>
      <c r="M70" s="20" t="n">
        <f aca="false">IF(Quantiles!M70&lt;0,"",(Depth0-MIN(Depth0,Quantiles!M70))/Depth_per_q)</f>
        <v>0.849243931359205</v>
      </c>
      <c r="N70" s="20" t="n">
        <f aca="false">IF(Quantiles!N70&lt;0,"",(Depth0-MIN(Depth0,Quantiles!N70))/Depth_per_q)</f>
        <v>0.786751668608693</v>
      </c>
      <c r="O70" s="20" t="n">
        <f aca="false">IF(Quantiles!O70&lt;0,"",(Depth0-MIN(Depth0,Quantiles!O70))/Depth_per_q)</f>
        <v>0.721319732345355</v>
      </c>
      <c r="P70" s="20" t="n">
        <f aca="false">IF(Quantiles!P70&lt;0,"",(Depth0-MIN(Depth0,Quantiles!P70))/Depth_per_q)</f>
        <v>0.662641069235227</v>
      </c>
      <c r="Q70" s="20" t="n">
        <f aca="false">IF(Quantiles!Q70&lt;0,"",(Depth0-MIN(Depth0,Quantiles!Q70))/Depth_per_q)</f>
        <v>0.606089836145298</v>
      </c>
      <c r="R70" s="20" t="n">
        <f aca="false">IF(Quantiles!R70&lt;0,"",(Depth0-MIN(Depth0,Quantiles!R70))/Depth_per_q)</f>
        <v>0.555327999973367</v>
      </c>
      <c r="S70" s="20" t="n">
        <f aca="false">IF(Quantiles!S70&lt;0,"",(Depth0-MIN(Depth0,Quantiles!S70))/Depth_per_q)</f>
        <v>0.50575057254763</v>
      </c>
      <c r="T70" s="20" t="n">
        <f aca="false">IF(Quantiles!T70&lt;0,"",(Depth0-MIN(Depth0,Quantiles!T70))/Depth_per_q)</f>
        <v>0.459358809838482</v>
      </c>
      <c r="U70" s="20" t="n">
        <f aca="false">IF(Quantiles!U70&lt;0,"",(Depth0-MIN(Depth0,Quantiles!U70))/Depth_per_q)</f>
        <v>0.41452080240545</v>
      </c>
      <c r="V70" s="20" t="n">
        <f aca="false">IF(Quantiles!V70&lt;0,"",(Depth0-MIN(Depth0,Quantiles!V70))/Depth_per_q)</f>
        <v>0.37120070230981</v>
      </c>
      <c r="W70" s="20" t="n">
        <f aca="false">IF(Quantiles!W70&lt;0,"",(Depth0-MIN(Depth0,Quantiles!W70))/Depth_per_q)</f>
        <v>0.325691785744297</v>
      </c>
      <c r="X70" s="20" t="n">
        <f aca="false">IF(Quantiles!X70&lt;0,"",(Depth0-MIN(Depth0,Quantiles!X70))/Depth_per_q)</f>
        <v>0.281860568322958</v>
      </c>
      <c r="Y70" s="20" t="n">
        <f aca="false">IF(Quantiles!Y70&lt;0,"",(Depth0-MIN(Depth0,Quantiles!Y70))/Depth_per_q)</f>
        <v>0.244959896992093</v>
      </c>
      <c r="Z70" s="20" t="n">
        <f aca="false">IF(Quantiles!Z70&lt;0,"",(Depth0-MIN(Depth0,Quantiles!Z70))/Depth_per_q)</f>
        <v>0.205128677066577</v>
      </c>
      <c r="AA70" s="20" t="n">
        <f aca="false">IF(Quantiles!AA70&lt;0,"",(Depth0-MIN(Depth0,Quantiles!AA70))/Depth_per_q)</f>
        <v>0.167765438486455</v>
      </c>
      <c r="AB70" s="20" t="n">
        <f aca="false">IF(Quantiles!AB70&lt;0,"",(Depth0-MIN(Depth0,Quantiles!AB70))/Depth_per_q)</f>
        <v>0.127450746520307</v>
      </c>
      <c r="AC70" s="20" t="n">
        <f aca="false">IF(Quantiles!AC70&lt;0,"",(Depth0-MIN(Depth0,Quantiles!AC70))/Depth_per_q)</f>
        <v>0.091501676045195</v>
      </c>
      <c r="AD70" s="20" t="n">
        <f aca="false">IF(Quantiles!AD70&lt;0,"",(Depth0-MIN(Depth0,Quantiles!AD70))/Depth_per_q)</f>
        <v>0.0546146491098076</v>
      </c>
      <c r="AE70" s="20" t="n">
        <f aca="false">IF(Quantiles!AE70&lt;0,"",(Depth0-MIN(Depth0,Quantiles!AE70))/Depth_per_q)</f>
        <v>0.0208389566594978</v>
      </c>
      <c r="AF70" s="20" t="n">
        <f aca="false">IF(Quantiles!AF70&lt;0,"",(Depth0-MIN(Depth0,Quantiles!AF70))/Depth_per_q)</f>
        <v>0</v>
      </c>
      <c r="AG70" s="20" t="n">
        <f aca="false">IF(Quantiles!AG70&lt;0,"",(Depth0-MIN(Depth0,Quantiles!AG70))/Depth_per_q)</f>
        <v>0</v>
      </c>
      <c r="AH70" s="20" t="n">
        <f aca="false">IF(Quantiles!AH70&lt;0,"",(Depth0-MIN(Depth0,Quantiles!AH70))/Depth_per_q)</f>
        <v>0</v>
      </c>
      <c r="AI70" s="20" t="n">
        <f aca="false">IF(Quantiles!AI70&lt;0,"",(Depth0-MIN(Depth0,Quantiles!AI70))/Depth_per_q)</f>
        <v>0</v>
      </c>
      <c r="AJ70" s="20" t="n">
        <f aca="false">IF(Quantiles!AJ70&lt;0,"",(Depth0-MIN(Depth0,Quantiles!AJ70))/Depth_per_q)</f>
        <v>0</v>
      </c>
      <c r="AK70" s="20" t="n">
        <f aca="false">IF(Quantiles!AK70&lt;0,"",(Depth0-MIN(Depth0,Quantiles!AK70))/Depth_per_q)</f>
        <v>0</v>
      </c>
      <c r="AL70" s="20" t="n">
        <f aca="false">IF(Quantiles!AL70&lt;0,"",(Depth0-MIN(Depth0,Quantiles!AL70))/Depth_per_q)</f>
        <v>0</v>
      </c>
      <c r="AM70" s="20" t="n">
        <f aca="false">IF(Quantiles!AM70&lt;0,"",(Depth0-MIN(Depth0,Quantiles!AM70))/Depth_per_q)</f>
        <v>0</v>
      </c>
      <c r="AN70" s="20" t="n">
        <f aca="false">IF(Quantiles!AN70&lt;0,"",(Depth0-MIN(Depth0,Quantiles!AN70))/Depth_per_q)</f>
        <v>0</v>
      </c>
      <c r="AO70" s="20" t="n">
        <f aca="false">IF(Quantiles!AO70&lt;0,"",(Depth0-MIN(Depth0,Quantiles!AO70))/Depth_per_q)</f>
        <v>0</v>
      </c>
      <c r="AP70" s="20" t="n">
        <f aca="false">IF(Quantiles!AP70&lt;0,"",(Depth0-MIN(Depth0,Quantiles!AP70))/Depth_per_q)</f>
        <v>0</v>
      </c>
      <c r="AQ70" s="20" t="n">
        <f aca="false">IF(Quantiles!AQ70&lt;0,"",(Depth0-MIN(Depth0,Quantiles!AQ70))/Depth_per_q)</f>
        <v>0</v>
      </c>
      <c r="AR70" s="20" t="n">
        <f aca="false">IF(Quantiles!AR70&lt;0,"",(Depth0-MIN(Depth0,Quantiles!AR70))/Depth_per_q)</f>
        <v>0</v>
      </c>
      <c r="AS70" s="20" t="n">
        <f aca="false">IF(Quantiles!AS70&lt;0,"",(Depth0-MIN(Depth0,Quantiles!AS70))/Depth_per_q)</f>
        <v>0</v>
      </c>
      <c r="AT70" s="20" t="n">
        <f aca="false">IF(Quantiles!AT70&lt;0,"",(Depth0-MIN(Depth0,Quantiles!AT70))/Depth_per_q)</f>
        <v>0</v>
      </c>
      <c r="AU70" s="20" t="n">
        <f aca="false">IF(Quantiles!AU70&lt;0,"",(Depth0-MIN(Depth0,Quantiles!AU70))/Depth_per_q)</f>
        <v>0</v>
      </c>
      <c r="AV70" s="20" t="n">
        <f aca="false">IF(Quantiles!AV70&lt;0,"",(Depth0-MIN(Depth0,Quantiles!AV70))/Depth_per_q)</f>
        <v>0</v>
      </c>
      <c r="AW70" s="20" t="n">
        <f aca="false">IF(Quantiles!AW70&lt;0,"",(Depth0-MIN(Depth0,Quantiles!AW70))/Depth_per_q)</f>
        <v>0</v>
      </c>
      <c r="AX70" s="20" t="n">
        <f aca="false">IF(Quantiles!AX70&lt;0,"",(Depth0-MIN(Depth0,Quantiles!AX70))/Depth_per_q)</f>
        <v>0</v>
      </c>
      <c r="AY70" s="20" t="n">
        <f aca="false">IF(Quantiles!AY70&lt;0,"",(Depth0-MIN(Depth0,Quantiles!AY70))/Depth_per_q)</f>
        <v>0</v>
      </c>
      <c r="AZ70" s="20" t="n">
        <f aca="false">IF(Quantiles!AZ70&lt;0,"",(Depth0-MIN(Depth0,Quantiles!AZ70))/Depth_per_q)</f>
        <v>0</v>
      </c>
      <c r="BA70" s="20" t="n">
        <f aca="false">IF(Quantiles!BA70&lt;0,"",(Depth0-MIN(Depth0,Quantiles!BA70))/Depth_per_q)</f>
        <v>0</v>
      </c>
      <c r="BB70" s="20" t="n">
        <f aca="false">IF(Quantiles!BB70&lt;0,"",(Depth0-MIN(Depth0,Quantiles!BB70))/Depth_per_q)</f>
        <v>0</v>
      </c>
      <c r="BC70" s="20" t="n">
        <f aca="false">IF(Quantiles!BC70&lt;0,"",(Depth0-MIN(Depth0,Quantiles!BC70))/Depth_per_q)</f>
        <v>0</v>
      </c>
      <c r="BD70" s="20" t="n">
        <f aca="false">IF(Quantiles!BD70&lt;0,"",(Depth0-MIN(Depth0,Quantiles!BD70))/Depth_per_q)</f>
        <v>0</v>
      </c>
      <c r="BE70" s="20" t="n">
        <f aca="false">IF(Quantiles!BE70&lt;0,"",(Depth0-MIN(Depth0,Quantiles!BE70))/Depth_per_q)</f>
        <v>0</v>
      </c>
      <c r="BF70" s="20" t="n">
        <f aca="false">IF(Quantiles!BF70&lt;0,"",(Depth0-MIN(Depth0,Quantiles!BF70))/Depth_per_q)</f>
        <v>0</v>
      </c>
      <c r="BG70" s="20" t="n">
        <f aca="false">IF(Quantiles!BG70&lt;0,"",(Depth0-MIN(Depth0,Quantiles!BG70))/Depth_per_q)</f>
        <v>0</v>
      </c>
      <c r="BH70" s="20" t="n">
        <f aca="false">IF(Quantiles!BH70&lt;0,"",(Depth0-MIN(Depth0,Quantiles!BH70))/Depth_per_q)</f>
        <v>0</v>
      </c>
      <c r="BI70" s="20" t="n">
        <f aca="false">IF(Quantiles!BI70&lt;0,"",(Depth0-MIN(Depth0,Quantiles!BI70))/Depth_per_q)</f>
        <v>0</v>
      </c>
      <c r="BJ70" s="20" t="n">
        <f aca="false">IF(Quantiles!BJ70&lt;0,"",(Depth0-MIN(Depth0,Quantiles!BJ70))/Depth_per_q)</f>
        <v>0</v>
      </c>
      <c r="BK70" s="20" t="n">
        <f aca="false">IF(Quantiles!BK70&lt;0,"",(Depth0-MIN(Depth0,Quantiles!BK70))/Depth_per_q)</f>
        <v>0</v>
      </c>
      <c r="BL70" s="20" t="n">
        <f aca="false">IF(Quantiles!BL70&lt;0,"",(Depth0-MIN(Depth0,Quantiles!BL70))/Depth_per_q)</f>
        <v>0</v>
      </c>
      <c r="BM70" s="20" t="n">
        <f aca="false">IF(Quantiles!BM70&lt;0,"",(Depth0-MIN(Depth0,Quantiles!BM70))/Depth_per_q)</f>
        <v>0</v>
      </c>
      <c r="BN70" s="20" t="n">
        <f aca="false">IF(Quantiles!BN70&lt;0,"",(Depth0-MIN(Depth0,Quantiles!BN70))/Depth_per_q)</f>
        <v>0</v>
      </c>
      <c r="BO70" s="20" t="n">
        <f aca="false">IF(Quantiles!BO70&lt;0,"",(Depth0-MIN(Depth0,Quantiles!BO70))/Depth_per_q)</f>
        <v>0</v>
      </c>
      <c r="BP70" s="20" t="n">
        <f aca="false">IF(Quantiles!BP70&lt;0,"",(Depth0-MIN(Depth0,Quantiles!BP70))/Depth_per_q)</f>
        <v>0</v>
      </c>
      <c r="BQ70" s="20" t="n">
        <f aca="false">IF(Quantiles!BQ70&lt;0,"",(Depth0-MIN(Depth0,Quantiles!BQ70))/Depth_per_q)</f>
        <v>0</v>
      </c>
      <c r="BR70" s="20" t="n">
        <f aca="false">IF(Quantiles!BR70&lt;0,"",(Depth0-MIN(Depth0,Quantiles!BR70))/Depth_per_q)</f>
        <v>0</v>
      </c>
      <c r="BS70" s="20" t="n">
        <f aca="false">IF(Quantiles!BS70&lt;0,"",(Depth0-MIN(Depth0,Quantiles!BS70))/Depth_per_q)</f>
        <v>0</v>
      </c>
      <c r="BT70" s="20" t="n">
        <f aca="false">IF(Quantiles!BT70&lt;0,"",(Depth0-MIN(Depth0,Quantiles!BT70))/Depth_per_q)</f>
        <v>0</v>
      </c>
      <c r="BU70" s="20" t="n">
        <f aca="false">IF(Quantiles!BU70&lt;0,"",(Depth0-MIN(Depth0,Quantiles!BU70))/Depth_per_q)</f>
        <v>0</v>
      </c>
      <c r="BV70" s="20" t="n">
        <f aca="false">IF(Quantiles!BV70&lt;0,"",(Depth0-MIN(Depth0,Quantiles!BV70))/Depth_per_q)</f>
        <v>0</v>
      </c>
      <c r="BW70" s="20" t="n">
        <f aca="false">IF(Quantiles!BW70&lt;0,"",(Depth0-MIN(Depth0,Quantiles!BW70))/Depth_per_q)</f>
        <v>0</v>
      </c>
      <c r="BX70" s="20" t="n">
        <f aca="false">IF(Quantiles!BX70&lt;0,"",(Depth0-MIN(Depth0,Quantiles!BX70))/Depth_per_q)</f>
        <v>0</v>
      </c>
      <c r="BY70" s="20" t="n">
        <f aca="false">IF(Quantiles!BY70&lt;0,"",(Depth0-MIN(Depth0,Quantiles!BY70))/Depth_per_q)</f>
        <v>0</v>
      </c>
      <c r="BZ70" s="20" t="n">
        <f aca="false">IF(Quantiles!BZ70&lt;0,"",(Depth0-MIN(Depth0,Quantiles!BZ70))/Depth_per_q)</f>
        <v>0</v>
      </c>
      <c r="CA70" s="20" t="n">
        <f aca="false">IF(Quantiles!CA70&lt;0,"",(Depth0-MIN(Depth0,Quantiles!CA70))/Depth_per_q)</f>
        <v>0</v>
      </c>
      <c r="CB70" s="20" t="n">
        <f aca="false">IF(Quantiles!CB70&lt;0,"",(Depth0-MIN(Depth0,Quantiles!CB70))/Depth_per_q)</f>
        <v>0</v>
      </c>
      <c r="CC70" s="20" t="n">
        <f aca="false">IF(Quantiles!CC70&lt;0,"",(Depth0-MIN(Depth0,Quantiles!CC70))/Depth_per_q)</f>
        <v>0</v>
      </c>
      <c r="CD70" s="20" t="n">
        <f aca="false">IF(Quantiles!CD70&lt;0,"",(Depth0-MIN(Depth0,Quantiles!CD70))/Depth_per_q)</f>
        <v>0</v>
      </c>
      <c r="CE70" s="20" t="n">
        <f aca="false">IF(Quantiles!CE70&lt;0,"",(Depth0-MIN(Depth0,Quantiles!CE70))/Depth_per_q)</f>
        <v>0</v>
      </c>
      <c r="CF70" s="20" t="n">
        <f aca="false">IF(Quantiles!CF70&lt;0,"",(Depth0-MIN(Depth0,Quantiles!CF70))/Depth_per_q)</f>
        <v>0</v>
      </c>
      <c r="CG70" s="20" t="n">
        <f aca="false">IF(Quantiles!CG70&lt;0,"",(Depth0-MIN(Depth0,Quantiles!CG70))/Depth_per_q)</f>
        <v>0</v>
      </c>
      <c r="CH70" s="20" t="n">
        <f aca="false">IF(Quantiles!CH70&lt;0,"",(Depth0-MIN(Depth0,Quantiles!CH70))/Depth_per_q)</f>
        <v>0</v>
      </c>
      <c r="CI70" s="20" t="n">
        <f aca="false">IF(Quantiles!CI70&lt;0,"",(Depth0-MIN(Depth0,Quantiles!CI70))/Depth_per_q)</f>
        <v>0</v>
      </c>
      <c r="CJ70" s="20" t="n">
        <f aca="false">IF(Quantiles!CJ70&lt;0,"",(Depth0-MIN(Depth0,Quantiles!CJ70))/Depth_per_q)</f>
        <v>0</v>
      </c>
      <c r="CK70" s="20" t="n">
        <f aca="false">IF(Quantiles!CK70&lt;0,"",(Depth0-MIN(Depth0,Quantiles!CK70))/Depth_per_q)</f>
        <v>0</v>
      </c>
      <c r="CL70" s="20" t="n">
        <f aca="false">IF(Quantiles!CL70&lt;0,"",(Depth0-MIN(Depth0,Quantiles!CL70))/Depth_per_q)</f>
        <v>0</v>
      </c>
      <c r="CM70" s="20" t="n">
        <f aca="false">IF(Quantiles!CM70&lt;0,"",(Depth0-MIN(Depth0,Quantiles!CM70))/Depth_per_q)</f>
        <v>0</v>
      </c>
      <c r="CN70" s="20" t="n">
        <f aca="false">IF(Quantiles!CN70&lt;0,"",(Depth0-MIN(Depth0,Quantiles!CN70))/Depth_per_q)</f>
        <v>0</v>
      </c>
      <c r="CO70" s="20" t="n">
        <f aca="false">IF(Quantiles!CO70&lt;0,"",(Depth0-MIN(Depth0,Quantiles!CO70))/Depth_per_q)</f>
        <v>0</v>
      </c>
      <c r="CP70" s="20" t="n">
        <f aca="false">IF(Quantiles!CP70&lt;0,"",(Depth0-MIN(Depth0,Quantiles!CP70))/Depth_per_q)</f>
        <v>0</v>
      </c>
      <c r="CQ70" s="20" t="n">
        <f aca="false">IF(Quantiles!CQ70&lt;0,"",(Depth0-MIN(Depth0,Quantiles!CQ70))/Depth_per_q)</f>
        <v>0</v>
      </c>
      <c r="CR70" s="20" t="n">
        <f aca="false">IF(Quantiles!CR70&lt;0,"",(Depth0-MIN(Depth0,Quantiles!CR70))/Depth_per_q)</f>
        <v>0</v>
      </c>
      <c r="CS70" s="20" t="n">
        <f aca="false">IF(Quantiles!CS70&lt;0,"",(Depth0-MIN(Depth0,Quantiles!CS70))/Depth_per_q)</f>
        <v>0</v>
      </c>
      <c r="CT70" s="20" t="n">
        <f aca="false">IF(Quantiles!CT70&lt;0,"",(Depth0-MIN(Depth0,Quantiles!CT70))/Depth_per_q)</f>
        <v>1.06858097578143</v>
      </c>
    </row>
    <row r="71" customFormat="false" ht="15" hidden="false" customHeight="false" outlineLevel="0" collapsed="false">
      <c r="A71" s="25" t="n">
        <f aca="false">Quantiles!A71</f>
        <v>330</v>
      </c>
      <c r="B71" s="20" t="n">
        <f aca="false">IF(Quantiles!B71&lt;0,"",(Depth0-MIN(Depth0,Quantiles!B71))/Depth_per_q)</f>
        <v>2.04370333354421</v>
      </c>
      <c r="C71" s="20" t="n">
        <f aca="false">IF(Quantiles!C71&lt;0,"",(Depth0-MIN(Depth0,Quantiles!C71))/Depth_per_q)</f>
        <v>1.85686023714316</v>
      </c>
      <c r="D71" s="20" t="n">
        <f aca="false">IF(Quantiles!D71&lt;0,"",(Depth0-MIN(Depth0,Quantiles!D71))/Depth_per_q)</f>
        <v>1.6925859459031</v>
      </c>
      <c r="E71" s="20" t="n">
        <f aca="false">IF(Quantiles!E71&lt;0,"",(Depth0-MIN(Depth0,Quantiles!E71))/Depth_per_q)</f>
        <v>1.55581946084116</v>
      </c>
      <c r="F71" s="20" t="n">
        <f aca="false">IF(Quantiles!F71&lt;0,"",(Depth0-MIN(Depth0,Quantiles!F71))/Depth_per_q)</f>
        <v>1.43691890281313</v>
      </c>
      <c r="G71" s="20" t="n">
        <f aca="false">IF(Quantiles!G71&lt;0,"",(Depth0-MIN(Depth0,Quantiles!G71))/Depth_per_q)</f>
        <v>1.33098699432944</v>
      </c>
      <c r="H71" s="20" t="n">
        <f aca="false">IF(Quantiles!H71&lt;0,"",(Depth0-MIN(Depth0,Quantiles!H71))/Depth_per_q)</f>
        <v>1.23655017816707</v>
      </c>
      <c r="I71" s="20" t="n">
        <f aca="false">IF(Quantiles!I71&lt;0,"",(Depth0-MIN(Depth0,Quantiles!I71))/Depth_per_q)</f>
        <v>1.14604771997381</v>
      </c>
      <c r="J71" s="20" t="n">
        <f aca="false">IF(Quantiles!J71&lt;0,"",(Depth0-MIN(Depth0,Quantiles!J71))/Depth_per_q)</f>
        <v>1.06889529390498</v>
      </c>
      <c r="K71" s="20" t="n">
        <f aca="false">IF(Quantiles!K71&lt;0,"",(Depth0-MIN(Depth0,Quantiles!K71))/Depth_per_q)</f>
        <v>0.990472840568888</v>
      </c>
      <c r="L71" s="20" t="n">
        <f aca="false">IF(Quantiles!L71&lt;0,"",(Depth0-MIN(Depth0,Quantiles!L71))/Depth_per_q)</f>
        <v>0.912945870362512</v>
      </c>
      <c r="M71" s="20" t="n">
        <f aca="false">IF(Quantiles!M71&lt;0,"",(Depth0-MIN(Depth0,Quantiles!M71))/Depth_per_q)</f>
        <v>0.849243931359205</v>
      </c>
      <c r="N71" s="20" t="n">
        <f aca="false">IF(Quantiles!N71&lt;0,"",(Depth0-MIN(Depth0,Quantiles!N71))/Depth_per_q)</f>
        <v>0.786751668608693</v>
      </c>
      <c r="O71" s="20" t="n">
        <f aca="false">IF(Quantiles!O71&lt;0,"",(Depth0-MIN(Depth0,Quantiles!O71))/Depth_per_q)</f>
        <v>0.721319732345355</v>
      </c>
      <c r="P71" s="20" t="n">
        <f aca="false">IF(Quantiles!P71&lt;0,"",(Depth0-MIN(Depth0,Quantiles!P71))/Depth_per_q)</f>
        <v>0.662641069235227</v>
      </c>
      <c r="Q71" s="20" t="n">
        <f aca="false">IF(Quantiles!Q71&lt;0,"",(Depth0-MIN(Depth0,Quantiles!Q71))/Depth_per_q)</f>
        <v>0.606089836145298</v>
      </c>
      <c r="R71" s="20" t="n">
        <f aca="false">IF(Quantiles!R71&lt;0,"",(Depth0-MIN(Depth0,Quantiles!R71))/Depth_per_q)</f>
        <v>0.555327999973367</v>
      </c>
      <c r="S71" s="20" t="n">
        <f aca="false">IF(Quantiles!S71&lt;0,"",(Depth0-MIN(Depth0,Quantiles!S71))/Depth_per_q)</f>
        <v>0.505396940274335</v>
      </c>
      <c r="T71" s="20" t="n">
        <f aca="false">IF(Quantiles!T71&lt;0,"",(Depth0-MIN(Depth0,Quantiles!T71))/Depth_per_q)</f>
        <v>0.459241646399573</v>
      </c>
      <c r="U71" s="20" t="n">
        <f aca="false">IF(Quantiles!U71&lt;0,"",(Depth0-MIN(Depth0,Quantiles!U71))/Depth_per_q)</f>
        <v>0.414471908047415</v>
      </c>
      <c r="V71" s="20" t="n">
        <f aca="false">IF(Quantiles!V71&lt;0,"",(Depth0-MIN(Depth0,Quantiles!V71))/Depth_per_q)</f>
        <v>0.37080617429769</v>
      </c>
      <c r="W71" s="20" t="n">
        <f aca="false">IF(Quantiles!W71&lt;0,"",(Depth0-MIN(Depth0,Quantiles!W71))/Depth_per_q)</f>
        <v>0.325646574079848</v>
      </c>
      <c r="X71" s="20" t="n">
        <f aca="false">IF(Quantiles!X71&lt;0,"",(Depth0-MIN(Depth0,Quantiles!X71))/Depth_per_q)</f>
        <v>0.281433729125427</v>
      </c>
      <c r="Y71" s="20" t="n">
        <f aca="false">IF(Quantiles!Y71&lt;0,"",(Depth0-MIN(Depth0,Quantiles!Y71))/Depth_per_q)</f>
        <v>0.244487931170437</v>
      </c>
      <c r="Z71" s="20" t="n">
        <f aca="false">IF(Quantiles!Z71&lt;0,"",(Depth0-MIN(Depth0,Quantiles!Z71))/Depth_per_q)</f>
        <v>0.204788000015562</v>
      </c>
      <c r="AA71" s="20" t="n">
        <f aca="false">IF(Quantiles!AA71&lt;0,"",(Depth0-MIN(Depth0,Quantiles!AA71))/Depth_per_q)</f>
        <v>0.16774240837837</v>
      </c>
      <c r="AB71" s="20" t="n">
        <f aca="false">IF(Quantiles!AB71&lt;0,"",(Depth0-MIN(Depth0,Quantiles!AB71))/Depth_per_q)</f>
        <v>0.127209300288103</v>
      </c>
      <c r="AC71" s="20" t="n">
        <f aca="false">IF(Quantiles!AC71&lt;0,"",(Depth0-MIN(Depth0,Quantiles!AC71))/Depth_per_q)</f>
        <v>0.0914262149918947</v>
      </c>
      <c r="AD71" s="20" t="n">
        <f aca="false">IF(Quantiles!AD71&lt;0,"",(Depth0-MIN(Depth0,Quantiles!AD71))/Depth_per_q)</f>
        <v>0.0546146491098076</v>
      </c>
      <c r="AE71" s="20" t="n">
        <f aca="false">IF(Quantiles!AE71&lt;0,"",(Depth0-MIN(Depth0,Quantiles!AE71))/Depth_per_q)</f>
        <v>0.0208389566594978</v>
      </c>
      <c r="AF71" s="20" t="n">
        <f aca="false">IF(Quantiles!AF71&lt;0,"",(Depth0-MIN(Depth0,Quantiles!AF71))/Depth_per_q)</f>
        <v>0</v>
      </c>
      <c r="AG71" s="20" t="n">
        <f aca="false">IF(Quantiles!AG71&lt;0,"",(Depth0-MIN(Depth0,Quantiles!AG71))/Depth_per_q)</f>
        <v>0</v>
      </c>
      <c r="AH71" s="20" t="n">
        <f aca="false">IF(Quantiles!AH71&lt;0,"",(Depth0-MIN(Depth0,Quantiles!AH71))/Depth_per_q)</f>
        <v>0</v>
      </c>
      <c r="AI71" s="20" t="n">
        <f aca="false">IF(Quantiles!AI71&lt;0,"",(Depth0-MIN(Depth0,Quantiles!AI71))/Depth_per_q)</f>
        <v>0</v>
      </c>
      <c r="AJ71" s="20" t="n">
        <f aca="false">IF(Quantiles!AJ71&lt;0,"",(Depth0-MIN(Depth0,Quantiles!AJ71))/Depth_per_q)</f>
        <v>0</v>
      </c>
      <c r="AK71" s="20" t="n">
        <f aca="false">IF(Quantiles!AK71&lt;0,"",(Depth0-MIN(Depth0,Quantiles!AK71))/Depth_per_q)</f>
        <v>0</v>
      </c>
      <c r="AL71" s="20" t="n">
        <f aca="false">IF(Quantiles!AL71&lt;0,"",(Depth0-MIN(Depth0,Quantiles!AL71))/Depth_per_q)</f>
        <v>0</v>
      </c>
      <c r="AM71" s="20" t="n">
        <f aca="false">IF(Quantiles!AM71&lt;0,"",(Depth0-MIN(Depth0,Quantiles!AM71))/Depth_per_q)</f>
        <v>0</v>
      </c>
      <c r="AN71" s="20" t="n">
        <f aca="false">IF(Quantiles!AN71&lt;0,"",(Depth0-MIN(Depth0,Quantiles!AN71))/Depth_per_q)</f>
        <v>0</v>
      </c>
      <c r="AO71" s="20" t="n">
        <f aca="false">IF(Quantiles!AO71&lt;0,"",(Depth0-MIN(Depth0,Quantiles!AO71))/Depth_per_q)</f>
        <v>0</v>
      </c>
      <c r="AP71" s="20" t="n">
        <f aca="false">IF(Quantiles!AP71&lt;0,"",(Depth0-MIN(Depth0,Quantiles!AP71))/Depth_per_q)</f>
        <v>0</v>
      </c>
      <c r="AQ71" s="20" t="n">
        <f aca="false">IF(Quantiles!AQ71&lt;0,"",(Depth0-MIN(Depth0,Quantiles!AQ71))/Depth_per_q)</f>
        <v>0</v>
      </c>
      <c r="AR71" s="20" t="n">
        <f aca="false">IF(Quantiles!AR71&lt;0,"",(Depth0-MIN(Depth0,Quantiles!AR71))/Depth_per_q)</f>
        <v>0</v>
      </c>
      <c r="AS71" s="20" t="n">
        <f aca="false">IF(Quantiles!AS71&lt;0,"",(Depth0-MIN(Depth0,Quantiles!AS71))/Depth_per_q)</f>
        <v>0</v>
      </c>
      <c r="AT71" s="20" t="n">
        <f aca="false">IF(Quantiles!AT71&lt;0,"",(Depth0-MIN(Depth0,Quantiles!AT71))/Depth_per_q)</f>
        <v>0</v>
      </c>
      <c r="AU71" s="20" t="n">
        <f aca="false">IF(Quantiles!AU71&lt;0,"",(Depth0-MIN(Depth0,Quantiles!AU71))/Depth_per_q)</f>
        <v>0</v>
      </c>
      <c r="AV71" s="20" t="n">
        <f aca="false">IF(Quantiles!AV71&lt;0,"",(Depth0-MIN(Depth0,Quantiles!AV71))/Depth_per_q)</f>
        <v>0</v>
      </c>
      <c r="AW71" s="20" t="n">
        <f aca="false">IF(Quantiles!AW71&lt;0,"",(Depth0-MIN(Depth0,Quantiles!AW71))/Depth_per_q)</f>
        <v>0</v>
      </c>
      <c r="AX71" s="20" t="n">
        <f aca="false">IF(Quantiles!AX71&lt;0,"",(Depth0-MIN(Depth0,Quantiles!AX71))/Depth_per_q)</f>
        <v>0</v>
      </c>
      <c r="AY71" s="20" t="n">
        <f aca="false">IF(Quantiles!AY71&lt;0,"",(Depth0-MIN(Depth0,Quantiles!AY71))/Depth_per_q)</f>
        <v>0</v>
      </c>
      <c r="AZ71" s="20" t="n">
        <f aca="false">IF(Quantiles!AZ71&lt;0,"",(Depth0-MIN(Depth0,Quantiles!AZ71))/Depth_per_q)</f>
        <v>0</v>
      </c>
      <c r="BA71" s="20" t="n">
        <f aca="false">IF(Quantiles!BA71&lt;0,"",(Depth0-MIN(Depth0,Quantiles!BA71))/Depth_per_q)</f>
        <v>0</v>
      </c>
      <c r="BB71" s="20" t="n">
        <f aca="false">IF(Quantiles!BB71&lt;0,"",(Depth0-MIN(Depth0,Quantiles!BB71))/Depth_per_q)</f>
        <v>0</v>
      </c>
      <c r="BC71" s="20" t="n">
        <f aca="false">IF(Quantiles!BC71&lt;0,"",(Depth0-MIN(Depth0,Quantiles!BC71))/Depth_per_q)</f>
        <v>0</v>
      </c>
      <c r="BD71" s="20" t="n">
        <f aca="false">IF(Quantiles!BD71&lt;0,"",(Depth0-MIN(Depth0,Quantiles!BD71))/Depth_per_q)</f>
        <v>0</v>
      </c>
      <c r="BE71" s="20" t="n">
        <f aca="false">IF(Quantiles!BE71&lt;0,"",(Depth0-MIN(Depth0,Quantiles!BE71))/Depth_per_q)</f>
        <v>0</v>
      </c>
      <c r="BF71" s="20" t="n">
        <f aca="false">IF(Quantiles!BF71&lt;0,"",(Depth0-MIN(Depth0,Quantiles!BF71))/Depth_per_q)</f>
        <v>0</v>
      </c>
      <c r="BG71" s="20" t="n">
        <f aca="false">IF(Quantiles!BG71&lt;0,"",(Depth0-MIN(Depth0,Quantiles!BG71))/Depth_per_q)</f>
        <v>0</v>
      </c>
      <c r="BH71" s="20" t="n">
        <f aca="false">IF(Quantiles!BH71&lt;0,"",(Depth0-MIN(Depth0,Quantiles!BH71))/Depth_per_q)</f>
        <v>0</v>
      </c>
      <c r="BI71" s="20" t="n">
        <f aca="false">IF(Quantiles!BI71&lt;0,"",(Depth0-MIN(Depth0,Quantiles!BI71))/Depth_per_q)</f>
        <v>0</v>
      </c>
      <c r="BJ71" s="20" t="n">
        <f aca="false">IF(Quantiles!BJ71&lt;0,"",(Depth0-MIN(Depth0,Quantiles!BJ71))/Depth_per_q)</f>
        <v>0</v>
      </c>
      <c r="BK71" s="20" t="n">
        <f aca="false">IF(Quantiles!BK71&lt;0,"",(Depth0-MIN(Depth0,Quantiles!BK71))/Depth_per_q)</f>
        <v>0</v>
      </c>
      <c r="BL71" s="20" t="n">
        <f aca="false">IF(Quantiles!BL71&lt;0,"",(Depth0-MIN(Depth0,Quantiles!BL71))/Depth_per_q)</f>
        <v>0</v>
      </c>
      <c r="BM71" s="20" t="n">
        <f aca="false">IF(Quantiles!BM71&lt;0,"",(Depth0-MIN(Depth0,Quantiles!BM71))/Depth_per_q)</f>
        <v>0</v>
      </c>
      <c r="BN71" s="20" t="n">
        <f aca="false">IF(Quantiles!BN71&lt;0,"",(Depth0-MIN(Depth0,Quantiles!BN71))/Depth_per_q)</f>
        <v>0</v>
      </c>
      <c r="BO71" s="20" t="n">
        <f aca="false">IF(Quantiles!BO71&lt;0,"",(Depth0-MIN(Depth0,Quantiles!BO71))/Depth_per_q)</f>
        <v>0</v>
      </c>
      <c r="BP71" s="20" t="n">
        <f aca="false">IF(Quantiles!BP71&lt;0,"",(Depth0-MIN(Depth0,Quantiles!BP71))/Depth_per_q)</f>
        <v>0</v>
      </c>
      <c r="BQ71" s="20" t="n">
        <f aca="false">IF(Quantiles!BQ71&lt;0,"",(Depth0-MIN(Depth0,Quantiles!BQ71))/Depth_per_q)</f>
        <v>0</v>
      </c>
      <c r="BR71" s="20" t="n">
        <f aca="false">IF(Quantiles!BR71&lt;0,"",(Depth0-MIN(Depth0,Quantiles!BR71))/Depth_per_q)</f>
        <v>0</v>
      </c>
      <c r="BS71" s="20" t="n">
        <f aca="false">IF(Quantiles!BS71&lt;0,"",(Depth0-MIN(Depth0,Quantiles!BS71))/Depth_per_q)</f>
        <v>0</v>
      </c>
      <c r="BT71" s="20" t="n">
        <f aca="false">IF(Quantiles!BT71&lt;0,"",(Depth0-MIN(Depth0,Quantiles!BT71))/Depth_per_q)</f>
        <v>0</v>
      </c>
      <c r="BU71" s="20" t="n">
        <f aca="false">IF(Quantiles!BU71&lt;0,"",(Depth0-MIN(Depth0,Quantiles!BU71))/Depth_per_q)</f>
        <v>0</v>
      </c>
      <c r="BV71" s="20" t="n">
        <f aca="false">IF(Quantiles!BV71&lt;0,"",(Depth0-MIN(Depth0,Quantiles!BV71))/Depth_per_q)</f>
        <v>0</v>
      </c>
      <c r="BW71" s="20" t="n">
        <f aca="false">IF(Quantiles!BW71&lt;0,"",(Depth0-MIN(Depth0,Quantiles!BW71))/Depth_per_q)</f>
        <v>0</v>
      </c>
      <c r="BX71" s="20" t="n">
        <f aca="false">IF(Quantiles!BX71&lt;0,"",(Depth0-MIN(Depth0,Quantiles!BX71))/Depth_per_q)</f>
        <v>0</v>
      </c>
      <c r="BY71" s="20" t="n">
        <f aca="false">IF(Quantiles!BY71&lt;0,"",(Depth0-MIN(Depth0,Quantiles!BY71))/Depth_per_q)</f>
        <v>0</v>
      </c>
      <c r="BZ71" s="20" t="n">
        <f aca="false">IF(Quantiles!BZ71&lt;0,"",(Depth0-MIN(Depth0,Quantiles!BZ71))/Depth_per_q)</f>
        <v>0</v>
      </c>
      <c r="CA71" s="20" t="n">
        <f aca="false">IF(Quantiles!CA71&lt;0,"",(Depth0-MIN(Depth0,Quantiles!CA71))/Depth_per_q)</f>
        <v>0</v>
      </c>
      <c r="CB71" s="20" t="n">
        <f aca="false">IF(Quantiles!CB71&lt;0,"",(Depth0-MIN(Depth0,Quantiles!CB71))/Depth_per_q)</f>
        <v>0</v>
      </c>
      <c r="CC71" s="20" t="n">
        <f aca="false">IF(Quantiles!CC71&lt;0,"",(Depth0-MIN(Depth0,Quantiles!CC71))/Depth_per_q)</f>
        <v>0</v>
      </c>
      <c r="CD71" s="20" t="n">
        <f aca="false">IF(Quantiles!CD71&lt;0,"",(Depth0-MIN(Depth0,Quantiles!CD71))/Depth_per_q)</f>
        <v>0</v>
      </c>
      <c r="CE71" s="20" t="n">
        <f aca="false">IF(Quantiles!CE71&lt;0,"",(Depth0-MIN(Depth0,Quantiles!CE71))/Depth_per_q)</f>
        <v>0</v>
      </c>
      <c r="CF71" s="20" t="n">
        <f aca="false">IF(Quantiles!CF71&lt;0,"",(Depth0-MIN(Depth0,Quantiles!CF71))/Depth_per_q)</f>
        <v>0</v>
      </c>
      <c r="CG71" s="20" t="n">
        <f aca="false">IF(Quantiles!CG71&lt;0,"",(Depth0-MIN(Depth0,Quantiles!CG71))/Depth_per_q)</f>
        <v>0</v>
      </c>
      <c r="CH71" s="20" t="n">
        <f aca="false">IF(Quantiles!CH71&lt;0,"",(Depth0-MIN(Depth0,Quantiles!CH71))/Depth_per_q)</f>
        <v>0</v>
      </c>
      <c r="CI71" s="20" t="n">
        <f aca="false">IF(Quantiles!CI71&lt;0,"",(Depth0-MIN(Depth0,Quantiles!CI71))/Depth_per_q)</f>
        <v>0</v>
      </c>
      <c r="CJ71" s="20" t="n">
        <f aca="false">IF(Quantiles!CJ71&lt;0,"",(Depth0-MIN(Depth0,Quantiles!CJ71))/Depth_per_q)</f>
        <v>0</v>
      </c>
      <c r="CK71" s="20" t="n">
        <f aca="false">IF(Quantiles!CK71&lt;0,"",(Depth0-MIN(Depth0,Quantiles!CK71))/Depth_per_q)</f>
        <v>0</v>
      </c>
      <c r="CL71" s="20" t="n">
        <f aca="false">IF(Quantiles!CL71&lt;0,"",(Depth0-MIN(Depth0,Quantiles!CL71))/Depth_per_q)</f>
        <v>0</v>
      </c>
      <c r="CM71" s="20" t="n">
        <f aca="false">IF(Quantiles!CM71&lt;0,"",(Depth0-MIN(Depth0,Quantiles!CM71))/Depth_per_q)</f>
        <v>0</v>
      </c>
      <c r="CN71" s="20" t="n">
        <f aca="false">IF(Quantiles!CN71&lt;0,"",(Depth0-MIN(Depth0,Quantiles!CN71))/Depth_per_q)</f>
        <v>0</v>
      </c>
      <c r="CO71" s="20" t="n">
        <f aca="false">IF(Quantiles!CO71&lt;0,"",(Depth0-MIN(Depth0,Quantiles!CO71))/Depth_per_q)</f>
        <v>0</v>
      </c>
      <c r="CP71" s="20" t="n">
        <f aca="false">IF(Quantiles!CP71&lt;0,"",(Depth0-MIN(Depth0,Quantiles!CP71))/Depth_per_q)</f>
        <v>0</v>
      </c>
      <c r="CQ71" s="20" t="n">
        <f aca="false">IF(Quantiles!CQ71&lt;0,"",(Depth0-MIN(Depth0,Quantiles!CQ71))/Depth_per_q)</f>
        <v>0</v>
      </c>
      <c r="CR71" s="20" t="n">
        <f aca="false">IF(Quantiles!CR71&lt;0,"",(Depth0-MIN(Depth0,Quantiles!CR71))/Depth_per_q)</f>
        <v>0</v>
      </c>
      <c r="CS71" s="20" t="n">
        <f aca="false">IF(Quantiles!CS71&lt;0,"",(Depth0-MIN(Depth0,Quantiles!CS71))/Depth_per_q)</f>
        <v>0</v>
      </c>
      <c r="CT71" s="20" t="n">
        <f aca="false">IF(Quantiles!CT71&lt;0,"",(Depth0-MIN(Depth0,Quantiles!CT71))/Depth_per_q)</f>
        <v>1.06858097578143</v>
      </c>
    </row>
    <row r="72" customFormat="false" ht="15" hidden="false" customHeight="false" outlineLevel="0" collapsed="false">
      <c r="A72" s="25" t="n">
        <f aca="false">Quantiles!A72</f>
        <v>335</v>
      </c>
      <c r="B72" s="20" t="n">
        <f aca="false">IF(Quantiles!B72&lt;0,"",(Depth0-MIN(Depth0,Quantiles!B72))/Depth_per_q)</f>
        <v>2.04370333354421</v>
      </c>
      <c r="C72" s="20" t="n">
        <f aca="false">IF(Quantiles!C72&lt;0,"",(Depth0-MIN(Depth0,Quantiles!C72))/Depth_per_q)</f>
        <v>1.85686023714316</v>
      </c>
      <c r="D72" s="20" t="n">
        <f aca="false">IF(Quantiles!D72&lt;0,"",(Depth0-MIN(Depth0,Quantiles!D72))/Depth_per_q)</f>
        <v>1.6925859459031</v>
      </c>
      <c r="E72" s="20" t="n">
        <f aca="false">IF(Quantiles!E72&lt;0,"",(Depth0-MIN(Depth0,Quantiles!E72))/Depth_per_q)</f>
        <v>1.55581946084116</v>
      </c>
      <c r="F72" s="20" t="n">
        <f aca="false">IF(Quantiles!F72&lt;0,"",(Depth0-MIN(Depth0,Quantiles!F72))/Depth_per_q)</f>
        <v>1.43600701697545</v>
      </c>
      <c r="G72" s="20" t="n">
        <f aca="false">IF(Quantiles!G72&lt;0,"",(Depth0-MIN(Depth0,Quantiles!G72))/Depth_per_q)</f>
        <v>1.32922826589838</v>
      </c>
      <c r="H72" s="20" t="n">
        <f aca="false">IF(Quantiles!H72&lt;0,"",(Depth0-MIN(Depth0,Quantiles!H72))/Depth_per_q)</f>
        <v>1.23655017816707</v>
      </c>
      <c r="I72" s="20" t="n">
        <f aca="false">IF(Quantiles!I72&lt;0,"",(Depth0-MIN(Depth0,Quantiles!I72))/Depth_per_q)</f>
        <v>1.14604771997381</v>
      </c>
      <c r="J72" s="20" t="n">
        <f aca="false">IF(Quantiles!J72&lt;0,"",(Depth0-MIN(Depth0,Quantiles!J72))/Depth_per_q)</f>
        <v>1.06889529390498</v>
      </c>
      <c r="K72" s="20" t="n">
        <f aca="false">IF(Quantiles!K72&lt;0,"",(Depth0-MIN(Depth0,Quantiles!K72))/Depth_per_q)</f>
        <v>0.990472840568888</v>
      </c>
      <c r="L72" s="20" t="n">
        <f aca="false">IF(Quantiles!L72&lt;0,"",(Depth0-MIN(Depth0,Quantiles!L72))/Depth_per_q)</f>
        <v>0.912945870362512</v>
      </c>
      <c r="M72" s="20" t="n">
        <f aca="false">IF(Quantiles!M72&lt;0,"",(Depth0-MIN(Depth0,Quantiles!M72))/Depth_per_q)</f>
        <v>0.849243931359205</v>
      </c>
      <c r="N72" s="20" t="n">
        <f aca="false">IF(Quantiles!N72&lt;0,"",(Depth0-MIN(Depth0,Quantiles!N72))/Depth_per_q)</f>
        <v>0.786751668608693</v>
      </c>
      <c r="O72" s="20" t="n">
        <f aca="false">IF(Quantiles!O72&lt;0,"",(Depth0-MIN(Depth0,Quantiles!O72))/Depth_per_q)</f>
        <v>0.721319732345355</v>
      </c>
      <c r="P72" s="20" t="n">
        <f aca="false">IF(Quantiles!P72&lt;0,"",(Depth0-MIN(Depth0,Quantiles!P72))/Depth_per_q)</f>
        <v>0.662641069235227</v>
      </c>
      <c r="Q72" s="20" t="n">
        <f aca="false">IF(Quantiles!Q72&lt;0,"",(Depth0-MIN(Depth0,Quantiles!Q72))/Depth_per_q)</f>
        <v>0.606089836145298</v>
      </c>
      <c r="R72" s="20" t="n">
        <f aca="false">IF(Quantiles!R72&lt;0,"",(Depth0-MIN(Depth0,Quantiles!R72))/Depth_per_q)</f>
        <v>0.555327999973367</v>
      </c>
      <c r="S72" s="20" t="n">
        <f aca="false">IF(Quantiles!S72&lt;0,"",(Depth0-MIN(Depth0,Quantiles!S72))/Depth_per_q)</f>
        <v>0.505396940274335</v>
      </c>
      <c r="T72" s="20" t="n">
        <f aca="false">IF(Quantiles!T72&lt;0,"",(Depth0-MIN(Depth0,Quantiles!T72))/Depth_per_q)</f>
        <v>0.459241646399573</v>
      </c>
      <c r="U72" s="20" t="n">
        <f aca="false">IF(Quantiles!U72&lt;0,"",(Depth0-MIN(Depth0,Quantiles!U72))/Depth_per_q)</f>
        <v>0.414471908047415</v>
      </c>
      <c r="V72" s="20" t="n">
        <f aca="false">IF(Quantiles!V72&lt;0,"",(Depth0-MIN(Depth0,Quantiles!V72))/Depth_per_q)</f>
        <v>0.37080617429769</v>
      </c>
      <c r="W72" s="20" t="n">
        <f aca="false">IF(Quantiles!W72&lt;0,"",(Depth0-MIN(Depth0,Quantiles!W72))/Depth_per_q)</f>
        <v>0.325646574079848</v>
      </c>
      <c r="X72" s="20" t="n">
        <f aca="false">IF(Quantiles!X72&lt;0,"",(Depth0-MIN(Depth0,Quantiles!X72))/Depth_per_q)</f>
        <v>0.281353020179813</v>
      </c>
      <c r="Y72" s="20" t="n">
        <f aca="false">IF(Quantiles!Y72&lt;0,"",(Depth0-MIN(Depth0,Quantiles!Y72))/Depth_per_q)</f>
        <v>0.24376134328454</v>
      </c>
      <c r="Z72" s="20" t="n">
        <f aca="false">IF(Quantiles!Z72&lt;0,"",(Depth0-MIN(Depth0,Quantiles!Z72))/Depth_per_q)</f>
        <v>0.20476357696557</v>
      </c>
      <c r="AA72" s="20" t="n">
        <f aca="false">IF(Quantiles!AA72&lt;0,"",(Depth0-MIN(Depth0,Quantiles!AA72))/Depth_per_q)</f>
        <v>0.167615430566038</v>
      </c>
      <c r="AB72" s="20" t="n">
        <f aca="false">IF(Quantiles!AB72&lt;0,"",(Depth0-MIN(Depth0,Quantiles!AB72))/Depth_per_q)</f>
        <v>0.127002533156835</v>
      </c>
      <c r="AC72" s="20" t="n">
        <f aca="false">IF(Quantiles!AC72&lt;0,"",(Depth0-MIN(Depth0,Quantiles!AC72))/Depth_per_q)</f>
        <v>0.0914185851138099</v>
      </c>
      <c r="AD72" s="20" t="n">
        <f aca="false">IF(Quantiles!AD72&lt;0,"",(Depth0-MIN(Depth0,Quantiles!AD72))/Depth_per_q)</f>
        <v>0.0539913092327371</v>
      </c>
      <c r="AE72" s="20" t="n">
        <f aca="false">IF(Quantiles!AE72&lt;0,"",(Depth0-MIN(Depth0,Quantiles!AE72))/Depth_per_q)</f>
        <v>0.0206731730808727</v>
      </c>
      <c r="AF72" s="20" t="n">
        <f aca="false">IF(Quantiles!AF72&lt;0,"",(Depth0-MIN(Depth0,Quantiles!AF72))/Depth_per_q)</f>
        <v>0</v>
      </c>
      <c r="AG72" s="20" t="n">
        <f aca="false">IF(Quantiles!AG72&lt;0,"",(Depth0-MIN(Depth0,Quantiles!AG72))/Depth_per_q)</f>
        <v>0</v>
      </c>
      <c r="AH72" s="20" t="n">
        <f aca="false">IF(Quantiles!AH72&lt;0,"",(Depth0-MIN(Depth0,Quantiles!AH72))/Depth_per_q)</f>
        <v>0</v>
      </c>
      <c r="AI72" s="20" t="n">
        <f aca="false">IF(Quantiles!AI72&lt;0,"",(Depth0-MIN(Depth0,Quantiles!AI72))/Depth_per_q)</f>
        <v>0</v>
      </c>
      <c r="AJ72" s="20" t="n">
        <f aca="false">IF(Quantiles!AJ72&lt;0,"",(Depth0-MIN(Depth0,Quantiles!AJ72))/Depth_per_q)</f>
        <v>0</v>
      </c>
      <c r="AK72" s="20" t="n">
        <f aca="false">IF(Quantiles!AK72&lt;0,"",(Depth0-MIN(Depth0,Quantiles!AK72))/Depth_per_q)</f>
        <v>0</v>
      </c>
      <c r="AL72" s="20" t="n">
        <f aca="false">IF(Quantiles!AL72&lt;0,"",(Depth0-MIN(Depth0,Quantiles!AL72))/Depth_per_q)</f>
        <v>0</v>
      </c>
      <c r="AM72" s="20" t="n">
        <f aca="false">IF(Quantiles!AM72&lt;0,"",(Depth0-MIN(Depth0,Quantiles!AM72))/Depth_per_q)</f>
        <v>0</v>
      </c>
      <c r="AN72" s="20" t="n">
        <f aca="false">IF(Quantiles!AN72&lt;0,"",(Depth0-MIN(Depth0,Quantiles!AN72))/Depth_per_q)</f>
        <v>0</v>
      </c>
      <c r="AO72" s="20" t="n">
        <f aca="false">IF(Quantiles!AO72&lt;0,"",(Depth0-MIN(Depth0,Quantiles!AO72))/Depth_per_q)</f>
        <v>0</v>
      </c>
      <c r="AP72" s="20" t="n">
        <f aca="false">IF(Quantiles!AP72&lt;0,"",(Depth0-MIN(Depth0,Quantiles!AP72))/Depth_per_q)</f>
        <v>0</v>
      </c>
      <c r="AQ72" s="20" t="n">
        <f aca="false">IF(Quantiles!AQ72&lt;0,"",(Depth0-MIN(Depth0,Quantiles!AQ72))/Depth_per_q)</f>
        <v>0</v>
      </c>
      <c r="AR72" s="20" t="n">
        <f aca="false">IF(Quantiles!AR72&lt;0,"",(Depth0-MIN(Depth0,Quantiles!AR72))/Depth_per_q)</f>
        <v>0</v>
      </c>
      <c r="AS72" s="20" t="n">
        <f aca="false">IF(Quantiles!AS72&lt;0,"",(Depth0-MIN(Depth0,Quantiles!AS72))/Depth_per_q)</f>
        <v>0</v>
      </c>
      <c r="AT72" s="20" t="n">
        <f aca="false">IF(Quantiles!AT72&lt;0,"",(Depth0-MIN(Depth0,Quantiles!AT72))/Depth_per_q)</f>
        <v>0</v>
      </c>
      <c r="AU72" s="20" t="n">
        <f aca="false">IF(Quantiles!AU72&lt;0,"",(Depth0-MIN(Depth0,Quantiles!AU72))/Depth_per_q)</f>
        <v>0</v>
      </c>
      <c r="AV72" s="20" t="n">
        <f aca="false">IF(Quantiles!AV72&lt;0,"",(Depth0-MIN(Depth0,Quantiles!AV72))/Depth_per_q)</f>
        <v>0</v>
      </c>
      <c r="AW72" s="20" t="n">
        <f aca="false">IF(Quantiles!AW72&lt;0,"",(Depth0-MIN(Depth0,Quantiles!AW72))/Depth_per_q)</f>
        <v>0</v>
      </c>
      <c r="AX72" s="20" t="n">
        <f aca="false">IF(Quantiles!AX72&lt;0,"",(Depth0-MIN(Depth0,Quantiles!AX72))/Depth_per_q)</f>
        <v>0</v>
      </c>
      <c r="AY72" s="20" t="n">
        <f aca="false">IF(Quantiles!AY72&lt;0,"",(Depth0-MIN(Depth0,Quantiles!AY72))/Depth_per_q)</f>
        <v>0</v>
      </c>
      <c r="AZ72" s="20" t="n">
        <f aca="false">IF(Quantiles!AZ72&lt;0,"",(Depth0-MIN(Depth0,Quantiles!AZ72))/Depth_per_q)</f>
        <v>0</v>
      </c>
      <c r="BA72" s="20" t="n">
        <f aca="false">IF(Quantiles!BA72&lt;0,"",(Depth0-MIN(Depth0,Quantiles!BA72))/Depth_per_q)</f>
        <v>0</v>
      </c>
      <c r="BB72" s="20" t="n">
        <f aca="false">IF(Quantiles!BB72&lt;0,"",(Depth0-MIN(Depth0,Quantiles!BB72))/Depth_per_q)</f>
        <v>0</v>
      </c>
      <c r="BC72" s="20" t="n">
        <f aca="false">IF(Quantiles!BC72&lt;0,"",(Depth0-MIN(Depth0,Quantiles!BC72))/Depth_per_q)</f>
        <v>0</v>
      </c>
      <c r="BD72" s="20" t="n">
        <f aca="false">IF(Quantiles!BD72&lt;0,"",(Depth0-MIN(Depth0,Quantiles!BD72))/Depth_per_q)</f>
        <v>0</v>
      </c>
      <c r="BE72" s="20" t="n">
        <f aca="false">IF(Quantiles!BE72&lt;0,"",(Depth0-MIN(Depth0,Quantiles!BE72))/Depth_per_q)</f>
        <v>0</v>
      </c>
      <c r="BF72" s="20" t="n">
        <f aca="false">IF(Quantiles!BF72&lt;0,"",(Depth0-MIN(Depth0,Quantiles!BF72))/Depth_per_q)</f>
        <v>0</v>
      </c>
      <c r="BG72" s="20" t="n">
        <f aca="false">IF(Quantiles!BG72&lt;0,"",(Depth0-MIN(Depth0,Quantiles!BG72))/Depth_per_q)</f>
        <v>0</v>
      </c>
      <c r="BH72" s="20" t="n">
        <f aca="false">IF(Quantiles!BH72&lt;0,"",(Depth0-MIN(Depth0,Quantiles!BH72))/Depth_per_q)</f>
        <v>0</v>
      </c>
      <c r="BI72" s="20" t="n">
        <f aca="false">IF(Quantiles!BI72&lt;0,"",(Depth0-MIN(Depth0,Quantiles!BI72))/Depth_per_q)</f>
        <v>0</v>
      </c>
      <c r="BJ72" s="20" t="n">
        <f aca="false">IF(Quantiles!BJ72&lt;0,"",(Depth0-MIN(Depth0,Quantiles!BJ72))/Depth_per_q)</f>
        <v>0</v>
      </c>
      <c r="BK72" s="20" t="n">
        <f aca="false">IF(Quantiles!BK72&lt;0,"",(Depth0-MIN(Depth0,Quantiles!BK72))/Depth_per_q)</f>
        <v>0</v>
      </c>
      <c r="BL72" s="20" t="n">
        <f aca="false">IF(Quantiles!BL72&lt;0,"",(Depth0-MIN(Depth0,Quantiles!BL72))/Depth_per_q)</f>
        <v>0</v>
      </c>
      <c r="BM72" s="20" t="n">
        <f aca="false">IF(Quantiles!BM72&lt;0,"",(Depth0-MIN(Depth0,Quantiles!BM72))/Depth_per_q)</f>
        <v>0</v>
      </c>
      <c r="BN72" s="20" t="n">
        <f aca="false">IF(Quantiles!BN72&lt;0,"",(Depth0-MIN(Depth0,Quantiles!BN72))/Depth_per_q)</f>
        <v>0</v>
      </c>
      <c r="BO72" s="20" t="n">
        <f aca="false">IF(Quantiles!BO72&lt;0,"",(Depth0-MIN(Depth0,Quantiles!BO72))/Depth_per_q)</f>
        <v>0</v>
      </c>
      <c r="BP72" s="20" t="n">
        <f aca="false">IF(Quantiles!BP72&lt;0,"",(Depth0-MIN(Depth0,Quantiles!BP72))/Depth_per_q)</f>
        <v>0</v>
      </c>
      <c r="BQ72" s="20" t="n">
        <f aca="false">IF(Quantiles!BQ72&lt;0,"",(Depth0-MIN(Depth0,Quantiles!BQ72))/Depth_per_q)</f>
        <v>0</v>
      </c>
      <c r="BR72" s="20" t="n">
        <f aca="false">IF(Quantiles!BR72&lt;0,"",(Depth0-MIN(Depth0,Quantiles!BR72))/Depth_per_q)</f>
        <v>0</v>
      </c>
      <c r="BS72" s="20" t="n">
        <f aca="false">IF(Quantiles!BS72&lt;0,"",(Depth0-MIN(Depth0,Quantiles!BS72))/Depth_per_q)</f>
        <v>0</v>
      </c>
      <c r="BT72" s="20" t="n">
        <f aca="false">IF(Quantiles!BT72&lt;0,"",(Depth0-MIN(Depth0,Quantiles!BT72))/Depth_per_q)</f>
        <v>0</v>
      </c>
      <c r="BU72" s="20" t="n">
        <f aca="false">IF(Quantiles!BU72&lt;0,"",(Depth0-MIN(Depth0,Quantiles!BU72))/Depth_per_q)</f>
        <v>0</v>
      </c>
      <c r="BV72" s="20" t="n">
        <f aca="false">IF(Quantiles!BV72&lt;0,"",(Depth0-MIN(Depth0,Quantiles!BV72))/Depth_per_q)</f>
        <v>0</v>
      </c>
      <c r="BW72" s="20" t="n">
        <f aca="false">IF(Quantiles!BW72&lt;0,"",(Depth0-MIN(Depth0,Quantiles!BW72))/Depth_per_q)</f>
        <v>0</v>
      </c>
      <c r="BX72" s="20" t="n">
        <f aca="false">IF(Quantiles!BX72&lt;0,"",(Depth0-MIN(Depth0,Quantiles!BX72))/Depth_per_q)</f>
        <v>0</v>
      </c>
      <c r="BY72" s="20" t="n">
        <f aca="false">IF(Quantiles!BY72&lt;0,"",(Depth0-MIN(Depth0,Quantiles!BY72))/Depth_per_q)</f>
        <v>0</v>
      </c>
      <c r="BZ72" s="20" t="n">
        <f aca="false">IF(Quantiles!BZ72&lt;0,"",(Depth0-MIN(Depth0,Quantiles!BZ72))/Depth_per_q)</f>
        <v>0</v>
      </c>
      <c r="CA72" s="20" t="n">
        <f aca="false">IF(Quantiles!CA72&lt;0,"",(Depth0-MIN(Depth0,Quantiles!CA72))/Depth_per_q)</f>
        <v>0</v>
      </c>
      <c r="CB72" s="20" t="n">
        <f aca="false">IF(Quantiles!CB72&lt;0,"",(Depth0-MIN(Depth0,Quantiles!CB72))/Depth_per_q)</f>
        <v>0</v>
      </c>
      <c r="CC72" s="20" t="n">
        <f aca="false">IF(Quantiles!CC72&lt;0,"",(Depth0-MIN(Depth0,Quantiles!CC72))/Depth_per_q)</f>
        <v>0</v>
      </c>
      <c r="CD72" s="20" t="n">
        <f aca="false">IF(Quantiles!CD72&lt;0,"",(Depth0-MIN(Depth0,Quantiles!CD72))/Depth_per_q)</f>
        <v>0</v>
      </c>
      <c r="CE72" s="20" t="n">
        <f aca="false">IF(Quantiles!CE72&lt;0,"",(Depth0-MIN(Depth0,Quantiles!CE72))/Depth_per_q)</f>
        <v>0</v>
      </c>
      <c r="CF72" s="20" t="n">
        <f aca="false">IF(Quantiles!CF72&lt;0,"",(Depth0-MIN(Depth0,Quantiles!CF72))/Depth_per_q)</f>
        <v>0</v>
      </c>
      <c r="CG72" s="20" t="n">
        <f aca="false">IF(Quantiles!CG72&lt;0,"",(Depth0-MIN(Depth0,Quantiles!CG72))/Depth_per_q)</f>
        <v>0</v>
      </c>
      <c r="CH72" s="20" t="n">
        <f aca="false">IF(Quantiles!CH72&lt;0,"",(Depth0-MIN(Depth0,Quantiles!CH72))/Depth_per_q)</f>
        <v>0</v>
      </c>
      <c r="CI72" s="20" t="n">
        <f aca="false">IF(Quantiles!CI72&lt;0,"",(Depth0-MIN(Depth0,Quantiles!CI72))/Depth_per_q)</f>
        <v>0</v>
      </c>
      <c r="CJ72" s="20" t="n">
        <f aca="false">IF(Quantiles!CJ72&lt;0,"",(Depth0-MIN(Depth0,Quantiles!CJ72))/Depth_per_q)</f>
        <v>0</v>
      </c>
      <c r="CK72" s="20" t="n">
        <f aca="false">IF(Quantiles!CK72&lt;0,"",(Depth0-MIN(Depth0,Quantiles!CK72))/Depth_per_q)</f>
        <v>0</v>
      </c>
      <c r="CL72" s="20" t="n">
        <f aca="false">IF(Quantiles!CL72&lt;0,"",(Depth0-MIN(Depth0,Quantiles!CL72))/Depth_per_q)</f>
        <v>0</v>
      </c>
      <c r="CM72" s="20" t="n">
        <f aca="false">IF(Quantiles!CM72&lt;0,"",(Depth0-MIN(Depth0,Quantiles!CM72))/Depth_per_q)</f>
        <v>0</v>
      </c>
      <c r="CN72" s="20" t="n">
        <f aca="false">IF(Quantiles!CN72&lt;0,"",(Depth0-MIN(Depth0,Quantiles!CN72))/Depth_per_q)</f>
        <v>0</v>
      </c>
      <c r="CO72" s="20" t="n">
        <f aca="false">IF(Quantiles!CO72&lt;0,"",(Depth0-MIN(Depth0,Quantiles!CO72))/Depth_per_q)</f>
        <v>0</v>
      </c>
      <c r="CP72" s="20" t="n">
        <f aca="false">IF(Quantiles!CP72&lt;0,"",(Depth0-MIN(Depth0,Quantiles!CP72))/Depth_per_q)</f>
        <v>0</v>
      </c>
      <c r="CQ72" s="20" t="n">
        <f aca="false">IF(Quantiles!CQ72&lt;0,"",(Depth0-MIN(Depth0,Quantiles!CQ72))/Depth_per_q)</f>
        <v>0</v>
      </c>
      <c r="CR72" s="20" t="n">
        <f aca="false">IF(Quantiles!CR72&lt;0,"",(Depth0-MIN(Depth0,Quantiles!CR72))/Depth_per_q)</f>
        <v>0</v>
      </c>
      <c r="CS72" s="20" t="n">
        <f aca="false">IF(Quantiles!CS72&lt;0,"",(Depth0-MIN(Depth0,Quantiles!CS72))/Depth_per_q)</f>
        <v>0</v>
      </c>
      <c r="CT72" s="20" t="n">
        <f aca="false">IF(Quantiles!CT72&lt;0,"",(Depth0-MIN(Depth0,Quantiles!CT72))/Depth_per_q)</f>
        <v>1.06858097578143</v>
      </c>
    </row>
    <row r="73" customFormat="false" ht="15" hidden="false" customHeight="false" outlineLevel="0" collapsed="false">
      <c r="A73" s="25" t="n">
        <f aca="false">Quantiles!A73</f>
        <v>340</v>
      </c>
      <c r="B73" s="20" t="n">
        <f aca="false">IF(Quantiles!B73&lt;0,"",(Depth0-MIN(Depth0,Quantiles!B73))/Depth_per_q)</f>
        <v>2.04370333354421</v>
      </c>
      <c r="C73" s="20" t="n">
        <f aca="false">IF(Quantiles!C73&lt;0,"",(Depth0-MIN(Depth0,Quantiles!C73))/Depth_per_q)</f>
        <v>1.85686023714316</v>
      </c>
      <c r="D73" s="20" t="n">
        <f aca="false">IF(Quantiles!D73&lt;0,"",(Depth0-MIN(Depth0,Quantiles!D73))/Depth_per_q)</f>
        <v>1.6925859459031</v>
      </c>
      <c r="E73" s="20" t="n">
        <f aca="false">IF(Quantiles!E73&lt;0,"",(Depth0-MIN(Depth0,Quantiles!E73))/Depth_per_q)</f>
        <v>1.55581946084116</v>
      </c>
      <c r="F73" s="20" t="n">
        <f aca="false">IF(Quantiles!F73&lt;0,"",(Depth0-MIN(Depth0,Quantiles!F73))/Depth_per_q)</f>
        <v>1.43600701697545</v>
      </c>
      <c r="G73" s="20" t="n">
        <f aca="false">IF(Quantiles!G73&lt;0,"",(Depth0-MIN(Depth0,Quantiles!G73))/Depth_per_q)</f>
        <v>1.32922826589838</v>
      </c>
      <c r="H73" s="20" t="n">
        <f aca="false">IF(Quantiles!H73&lt;0,"",(Depth0-MIN(Depth0,Quantiles!H73))/Depth_per_q)</f>
        <v>1.23593759300702</v>
      </c>
      <c r="I73" s="20" t="n">
        <f aca="false">IF(Quantiles!I73&lt;0,"",(Depth0-MIN(Depth0,Quantiles!I73))/Depth_per_q)</f>
        <v>1.14519967024012</v>
      </c>
      <c r="J73" s="20" t="n">
        <f aca="false">IF(Quantiles!J73&lt;0,"",(Depth0-MIN(Depth0,Quantiles!J73))/Depth_per_q)</f>
        <v>1.06879208805264</v>
      </c>
      <c r="K73" s="20" t="n">
        <f aca="false">IF(Quantiles!K73&lt;0,"",(Depth0-MIN(Depth0,Quantiles!K73))/Depth_per_q)</f>
        <v>0.990472840568888</v>
      </c>
      <c r="L73" s="20" t="n">
        <f aca="false">IF(Quantiles!L73&lt;0,"",(Depth0-MIN(Depth0,Quantiles!L73))/Depth_per_q)</f>
        <v>0.912945870362512</v>
      </c>
      <c r="M73" s="20" t="n">
        <f aca="false">IF(Quantiles!M73&lt;0,"",(Depth0-MIN(Depth0,Quantiles!M73))/Depth_per_q)</f>
        <v>0.849243931359205</v>
      </c>
      <c r="N73" s="20" t="n">
        <f aca="false">IF(Quantiles!N73&lt;0,"",(Depth0-MIN(Depth0,Quantiles!N73))/Depth_per_q)</f>
        <v>0.786751668608693</v>
      </c>
      <c r="O73" s="20" t="n">
        <f aca="false">IF(Quantiles!O73&lt;0,"",(Depth0-MIN(Depth0,Quantiles!O73))/Depth_per_q)</f>
        <v>0.721319732345355</v>
      </c>
      <c r="P73" s="20" t="n">
        <f aca="false">IF(Quantiles!P73&lt;0,"",(Depth0-MIN(Depth0,Quantiles!P73))/Depth_per_q)</f>
        <v>0.662641069235227</v>
      </c>
      <c r="Q73" s="20" t="n">
        <f aca="false">IF(Quantiles!Q73&lt;0,"",(Depth0-MIN(Depth0,Quantiles!Q73))/Depth_per_q)</f>
        <v>0.606089836145298</v>
      </c>
      <c r="R73" s="20" t="n">
        <f aca="false">IF(Quantiles!R73&lt;0,"",(Depth0-MIN(Depth0,Quantiles!R73))/Depth_per_q)</f>
        <v>0.555327999973367</v>
      </c>
      <c r="S73" s="20" t="n">
        <f aca="false">IF(Quantiles!S73&lt;0,"",(Depth0-MIN(Depth0,Quantiles!S73))/Depth_per_q)</f>
        <v>0.505396940274335</v>
      </c>
      <c r="T73" s="20" t="n">
        <f aca="false">IF(Quantiles!T73&lt;0,"",(Depth0-MIN(Depth0,Quantiles!T73))/Depth_per_q)</f>
        <v>0.459241646399573</v>
      </c>
      <c r="U73" s="20" t="n">
        <f aca="false">IF(Quantiles!U73&lt;0,"",(Depth0-MIN(Depth0,Quantiles!U73))/Depth_per_q)</f>
        <v>0.414471908047415</v>
      </c>
      <c r="V73" s="20" t="n">
        <f aca="false">IF(Quantiles!V73&lt;0,"",(Depth0-MIN(Depth0,Quantiles!V73))/Depth_per_q)</f>
        <v>0.37080617429769</v>
      </c>
      <c r="W73" s="20" t="n">
        <f aca="false">IF(Quantiles!W73&lt;0,"",(Depth0-MIN(Depth0,Quantiles!W73))/Depth_per_q)</f>
        <v>0.325646574079848</v>
      </c>
      <c r="X73" s="20" t="n">
        <f aca="false">IF(Quantiles!X73&lt;0,"",(Depth0-MIN(Depth0,Quantiles!X73))/Depth_per_q)</f>
        <v>0.281353020179813</v>
      </c>
      <c r="Y73" s="20" t="n">
        <f aca="false">IF(Quantiles!Y73&lt;0,"",(Depth0-MIN(Depth0,Quantiles!Y73))/Depth_per_q)</f>
        <v>0.24376134328454</v>
      </c>
      <c r="Z73" s="20" t="n">
        <f aca="false">IF(Quantiles!Z73&lt;0,"",(Depth0-MIN(Depth0,Quantiles!Z73))/Depth_per_q)</f>
        <v>0.20476357696557</v>
      </c>
      <c r="AA73" s="20" t="n">
        <f aca="false">IF(Quantiles!AA73&lt;0,"",(Depth0-MIN(Depth0,Quantiles!AA73))/Depth_per_q)</f>
        <v>0.167615430566038</v>
      </c>
      <c r="AB73" s="20" t="n">
        <f aca="false">IF(Quantiles!AB73&lt;0,"",(Depth0-MIN(Depth0,Quantiles!AB73))/Depth_per_q)</f>
        <v>0.127002533156835</v>
      </c>
      <c r="AC73" s="20" t="n">
        <f aca="false">IF(Quantiles!AC73&lt;0,"",(Depth0-MIN(Depth0,Quantiles!AC73))/Depth_per_q)</f>
        <v>0.0914088570732323</v>
      </c>
      <c r="AD73" s="20" t="n">
        <f aca="false">IF(Quantiles!AD73&lt;0,"",(Depth0-MIN(Depth0,Quantiles!AD73))/Depth_per_q)</f>
        <v>0.0539051674686499</v>
      </c>
      <c r="AE73" s="20" t="n">
        <f aca="false">IF(Quantiles!AE73&lt;0,"",(Depth0-MIN(Depth0,Quantiles!AE73))/Depth_per_q)</f>
        <v>0.0206070858555121</v>
      </c>
      <c r="AF73" s="20" t="n">
        <f aca="false">IF(Quantiles!AF73&lt;0,"",(Depth0-MIN(Depth0,Quantiles!AF73))/Depth_per_q)</f>
        <v>0</v>
      </c>
      <c r="AG73" s="20" t="n">
        <f aca="false">IF(Quantiles!AG73&lt;0,"",(Depth0-MIN(Depth0,Quantiles!AG73))/Depth_per_q)</f>
        <v>0</v>
      </c>
      <c r="AH73" s="20" t="n">
        <f aca="false">IF(Quantiles!AH73&lt;0,"",(Depth0-MIN(Depth0,Quantiles!AH73))/Depth_per_q)</f>
        <v>0</v>
      </c>
      <c r="AI73" s="20" t="n">
        <f aca="false">IF(Quantiles!AI73&lt;0,"",(Depth0-MIN(Depth0,Quantiles!AI73))/Depth_per_q)</f>
        <v>0</v>
      </c>
      <c r="AJ73" s="20" t="n">
        <f aca="false">IF(Quantiles!AJ73&lt;0,"",(Depth0-MIN(Depth0,Quantiles!AJ73))/Depth_per_q)</f>
        <v>0</v>
      </c>
      <c r="AK73" s="20" t="n">
        <f aca="false">IF(Quantiles!AK73&lt;0,"",(Depth0-MIN(Depth0,Quantiles!AK73))/Depth_per_q)</f>
        <v>0</v>
      </c>
      <c r="AL73" s="20" t="n">
        <f aca="false">IF(Quantiles!AL73&lt;0,"",(Depth0-MIN(Depth0,Quantiles!AL73))/Depth_per_q)</f>
        <v>0</v>
      </c>
      <c r="AM73" s="20" t="n">
        <f aca="false">IF(Quantiles!AM73&lt;0,"",(Depth0-MIN(Depth0,Quantiles!AM73))/Depth_per_q)</f>
        <v>0</v>
      </c>
      <c r="AN73" s="20" t="n">
        <f aca="false">IF(Quantiles!AN73&lt;0,"",(Depth0-MIN(Depth0,Quantiles!AN73))/Depth_per_q)</f>
        <v>0</v>
      </c>
      <c r="AO73" s="20" t="n">
        <f aca="false">IF(Quantiles!AO73&lt;0,"",(Depth0-MIN(Depth0,Quantiles!AO73))/Depth_per_q)</f>
        <v>0</v>
      </c>
      <c r="AP73" s="20" t="n">
        <f aca="false">IF(Quantiles!AP73&lt;0,"",(Depth0-MIN(Depth0,Quantiles!AP73))/Depth_per_q)</f>
        <v>0</v>
      </c>
      <c r="AQ73" s="20" t="n">
        <f aca="false">IF(Quantiles!AQ73&lt;0,"",(Depth0-MIN(Depth0,Quantiles!AQ73))/Depth_per_q)</f>
        <v>0</v>
      </c>
      <c r="AR73" s="20" t="n">
        <f aca="false">IF(Quantiles!AR73&lt;0,"",(Depth0-MIN(Depth0,Quantiles!AR73))/Depth_per_q)</f>
        <v>0</v>
      </c>
      <c r="AS73" s="20" t="n">
        <f aca="false">IF(Quantiles!AS73&lt;0,"",(Depth0-MIN(Depth0,Quantiles!AS73))/Depth_per_q)</f>
        <v>0</v>
      </c>
      <c r="AT73" s="20" t="n">
        <f aca="false">IF(Quantiles!AT73&lt;0,"",(Depth0-MIN(Depth0,Quantiles!AT73))/Depth_per_q)</f>
        <v>0</v>
      </c>
      <c r="AU73" s="20" t="n">
        <f aca="false">IF(Quantiles!AU73&lt;0,"",(Depth0-MIN(Depth0,Quantiles!AU73))/Depth_per_q)</f>
        <v>0</v>
      </c>
      <c r="AV73" s="20" t="n">
        <f aca="false">IF(Quantiles!AV73&lt;0,"",(Depth0-MIN(Depth0,Quantiles!AV73))/Depth_per_q)</f>
        <v>0</v>
      </c>
      <c r="AW73" s="20" t="n">
        <f aca="false">IF(Quantiles!AW73&lt;0,"",(Depth0-MIN(Depth0,Quantiles!AW73))/Depth_per_q)</f>
        <v>0</v>
      </c>
      <c r="AX73" s="20" t="n">
        <f aca="false">IF(Quantiles!AX73&lt;0,"",(Depth0-MIN(Depth0,Quantiles!AX73))/Depth_per_q)</f>
        <v>0</v>
      </c>
      <c r="AY73" s="20" t="n">
        <f aca="false">IF(Quantiles!AY73&lt;0,"",(Depth0-MIN(Depth0,Quantiles!AY73))/Depth_per_q)</f>
        <v>0</v>
      </c>
      <c r="AZ73" s="20" t="n">
        <f aca="false">IF(Quantiles!AZ73&lt;0,"",(Depth0-MIN(Depth0,Quantiles!AZ73))/Depth_per_q)</f>
        <v>0</v>
      </c>
      <c r="BA73" s="20" t="n">
        <f aca="false">IF(Quantiles!BA73&lt;0,"",(Depth0-MIN(Depth0,Quantiles!BA73))/Depth_per_q)</f>
        <v>0</v>
      </c>
      <c r="BB73" s="20" t="n">
        <f aca="false">IF(Quantiles!BB73&lt;0,"",(Depth0-MIN(Depth0,Quantiles!BB73))/Depth_per_q)</f>
        <v>0</v>
      </c>
      <c r="BC73" s="20" t="n">
        <f aca="false">IF(Quantiles!BC73&lt;0,"",(Depth0-MIN(Depth0,Quantiles!BC73))/Depth_per_q)</f>
        <v>0</v>
      </c>
      <c r="BD73" s="20" t="n">
        <f aca="false">IF(Quantiles!BD73&lt;0,"",(Depth0-MIN(Depth0,Quantiles!BD73))/Depth_per_q)</f>
        <v>0</v>
      </c>
      <c r="BE73" s="20" t="n">
        <f aca="false">IF(Quantiles!BE73&lt;0,"",(Depth0-MIN(Depth0,Quantiles!BE73))/Depth_per_q)</f>
        <v>0</v>
      </c>
      <c r="BF73" s="20" t="n">
        <f aca="false">IF(Quantiles!BF73&lt;0,"",(Depth0-MIN(Depth0,Quantiles!BF73))/Depth_per_q)</f>
        <v>0</v>
      </c>
      <c r="BG73" s="20" t="n">
        <f aca="false">IF(Quantiles!BG73&lt;0,"",(Depth0-MIN(Depth0,Quantiles!BG73))/Depth_per_q)</f>
        <v>0</v>
      </c>
      <c r="BH73" s="20" t="n">
        <f aca="false">IF(Quantiles!BH73&lt;0,"",(Depth0-MIN(Depth0,Quantiles!BH73))/Depth_per_q)</f>
        <v>0</v>
      </c>
      <c r="BI73" s="20" t="n">
        <f aca="false">IF(Quantiles!BI73&lt;0,"",(Depth0-MIN(Depth0,Quantiles!BI73))/Depth_per_q)</f>
        <v>0</v>
      </c>
      <c r="BJ73" s="20" t="n">
        <f aca="false">IF(Quantiles!BJ73&lt;0,"",(Depth0-MIN(Depth0,Quantiles!BJ73))/Depth_per_q)</f>
        <v>0</v>
      </c>
      <c r="BK73" s="20" t="n">
        <f aca="false">IF(Quantiles!BK73&lt;0,"",(Depth0-MIN(Depth0,Quantiles!BK73))/Depth_per_q)</f>
        <v>0</v>
      </c>
      <c r="BL73" s="20" t="n">
        <f aca="false">IF(Quantiles!BL73&lt;0,"",(Depth0-MIN(Depth0,Quantiles!BL73))/Depth_per_q)</f>
        <v>0</v>
      </c>
      <c r="BM73" s="20" t="n">
        <f aca="false">IF(Quantiles!BM73&lt;0,"",(Depth0-MIN(Depth0,Quantiles!BM73))/Depth_per_q)</f>
        <v>0</v>
      </c>
      <c r="BN73" s="20" t="n">
        <f aca="false">IF(Quantiles!BN73&lt;0,"",(Depth0-MIN(Depth0,Quantiles!BN73))/Depth_per_q)</f>
        <v>0</v>
      </c>
      <c r="BO73" s="20" t="n">
        <f aca="false">IF(Quantiles!BO73&lt;0,"",(Depth0-MIN(Depth0,Quantiles!BO73))/Depth_per_q)</f>
        <v>0</v>
      </c>
      <c r="BP73" s="20" t="n">
        <f aca="false">IF(Quantiles!BP73&lt;0,"",(Depth0-MIN(Depth0,Quantiles!BP73))/Depth_per_q)</f>
        <v>0</v>
      </c>
      <c r="BQ73" s="20" t="n">
        <f aca="false">IF(Quantiles!BQ73&lt;0,"",(Depth0-MIN(Depth0,Quantiles!BQ73))/Depth_per_q)</f>
        <v>0</v>
      </c>
      <c r="BR73" s="20" t="n">
        <f aca="false">IF(Quantiles!BR73&lt;0,"",(Depth0-MIN(Depth0,Quantiles!BR73))/Depth_per_q)</f>
        <v>0</v>
      </c>
      <c r="BS73" s="20" t="n">
        <f aca="false">IF(Quantiles!BS73&lt;0,"",(Depth0-MIN(Depth0,Quantiles!BS73))/Depth_per_q)</f>
        <v>0</v>
      </c>
      <c r="BT73" s="20" t="n">
        <f aca="false">IF(Quantiles!BT73&lt;0,"",(Depth0-MIN(Depth0,Quantiles!BT73))/Depth_per_q)</f>
        <v>0</v>
      </c>
      <c r="BU73" s="20" t="n">
        <f aca="false">IF(Quantiles!BU73&lt;0,"",(Depth0-MIN(Depth0,Quantiles!BU73))/Depth_per_q)</f>
        <v>0</v>
      </c>
      <c r="BV73" s="20" t="n">
        <f aca="false">IF(Quantiles!BV73&lt;0,"",(Depth0-MIN(Depth0,Quantiles!BV73))/Depth_per_q)</f>
        <v>0</v>
      </c>
      <c r="BW73" s="20" t="n">
        <f aca="false">IF(Quantiles!BW73&lt;0,"",(Depth0-MIN(Depth0,Quantiles!BW73))/Depth_per_q)</f>
        <v>0</v>
      </c>
      <c r="BX73" s="20" t="n">
        <f aca="false">IF(Quantiles!BX73&lt;0,"",(Depth0-MIN(Depth0,Quantiles!BX73))/Depth_per_q)</f>
        <v>0</v>
      </c>
      <c r="BY73" s="20" t="n">
        <f aca="false">IF(Quantiles!BY73&lt;0,"",(Depth0-MIN(Depth0,Quantiles!BY73))/Depth_per_q)</f>
        <v>0</v>
      </c>
      <c r="BZ73" s="20" t="n">
        <f aca="false">IF(Quantiles!BZ73&lt;0,"",(Depth0-MIN(Depth0,Quantiles!BZ73))/Depth_per_q)</f>
        <v>0</v>
      </c>
      <c r="CA73" s="20" t="n">
        <f aca="false">IF(Quantiles!CA73&lt;0,"",(Depth0-MIN(Depth0,Quantiles!CA73))/Depth_per_q)</f>
        <v>0</v>
      </c>
      <c r="CB73" s="20" t="n">
        <f aca="false">IF(Quantiles!CB73&lt;0,"",(Depth0-MIN(Depth0,Quantiles!CB73))/Depth_per_q)</f>
        <v>0</v>
      </c>
      <c r="CC73" s="20" t="n">
        <f aca="false">IF(Quantiles!CC73&lt;0,"",(Depth0-MIN(Depth0,Quantiles!CC73))/Depth_per_q)</f>
        <v>0</v>
      </c>
      <c r="CD73" s="20" t="n">
        <f aca="false">IF(Quantiles!CD73&lt;0,"",(Depth0-MIN(Depth0,Quantiles!CD73))/Depth_per_q)</f>
        <v>0</v>
      </c>
      <c r="CE73" s="20" t="n">
        <f aca="false">IF(Quantiles!CE73&lt;0,"",(Depth0-MIN(Depth0,Quantiles!CE73))/Depth_per_q)</f>
        <v>0</v>
      </c>
      <c r="CF73" s="20" t="n">
        <f aca="false">IF(Quantiles!CF73&lt;0,"",(Depth0-MIN(Depth0,Quantiles!CF73))/Depth_per_q)</f>
        <v>0</v>
      </c>
      <c r="CG73" s="20" t="n">
        <f aca="false">IF(Quantiles!CG73&lt;0,"",(Depth0-MIN(Depth0,Quantiles!CG73))/Depth_per_q)</f>
        <v>0</v>
      </c>
      <c r="CH73" s="20" t="n">
        <f aca="false">IF(Quantiles!CH73&lt;0,"",(Depth0-MIN(Depth0,Quantiles!CH73))/Depth_per_q)</f>
        <v>0</v>
      </c>
      <c r="CI73" s="20" t="n">
        <f aca="false">IF(Quantiles!CI73&lt;0,"",(Depth0-MIN(Depth0,Quantiles!CI73))/Depth_per_q)</f>
        <v>0</v>
      </c>
      <c r="CJ73" s="20" t="n">
        <f aca="false">IF(Quantiles!CJ73&lt;0,"",(Depth0-MIN(Depth0,Quantiles!CJ73))/Depth_per_q)</f>
        <v>0</v>
      </c>
      <c r="CK73" s="20" t="n">
        <f aca="false">IF(Quantiles!CK73&lt;0,"",(Depth0-MIN(Depth0,Quantiles!CK73))/Depth_per_q)</f>
        <v>0</v>
      </c>
      <c r="CL73" s="20" t="n">
        <f aca="false">IF(Quantiles!CL73&lt;0,"",(Depth0-MIN(Depth0,Quantiles!CL73))/Depth_per_q)</f>
        <v>0</v>
      </c>
      <c r="CM73" s="20" t="n">
        <f aca="false">IF(Quantiles!CM73&lt;0,"",(Depth0-MIN(Depth0,Quantiles!CM73))/Depth_per_q)</f>
        <v>0</v>
      </c>
      <c r="CN73" s="20" t="n">
        <f aca="false">IF(Quantiles!CN73&lt;0,"",(Depth0-MIN(Depth0,Quantiles!CN73))/Depth_per_q)</f>
        <v>0</v>
      </c>
      <c r="CO73" s="20" t="n">
        <f aca="false">IF(Quantiles!CO73&lt;0,"",(Depth0-MIN(Depth0,Quantiles!CO73))/Depth_per_q)</f>
        <v>0</v>
      </c>
      <c r="CP73" s="20" t="n">
        <f aca="false">IF(Quantiles!CP73&lt;0,"",(Depth0-MIN(Depth0,Quantiles!CP73))/Depth_per_q)</f>
        <v>0</v>
      </c>
      <c r="CQ73" s="20" t="n">
        <f aca="false">IF(Quantiles!CQ73&lt;0,"",(Depth0-MIN(Depth0,Quantiles!CQ73))/Depth_per_q)</f>
        <v>0</v>
      </c>
      <c r="CR73" s="20" t="n">
        <f aca="false">IF(Quantiles!CR73&lt;0,"",(Depth0-MIN(Depth0,Quantiles!CR73))/Depth_per_q)</f>
        <v>0</v>
      </c>
      <c r="CS73" s="20" t="n">
        <f aca="false">IF(Quantiles!CS73&lt;0,"",(Depth0-MIN(Depth0,Quantiles!CS73))/Depth_per_q)</f>
        <v>0</v>
      </c>
      <c r="CT73" s="20" t="n">
        <f aca="false">IF(Quantiles!CT73&lt;0,"",(Depth0-MIN(Depth0,Quantiles!CT73))/Depth_per_q)</f>
        <v>1.06818518832212</v>
      </c>
    </row>
    <row r="74" customFormat="false" ht="15" hidden="false" customHeight="false" outlineLevel="0" collapsed="false">
      <c r="A74" s="25" t="n">
        <f aca="false">Quantiles!A74</f>
        <v>345</v>
      </c>
      <c r="B74" s="20" t="n">
        <f aca="false">IF(Quantiles!B74&lt;0,"",(Depth0-MIN(Depth0,Quantiles!B74))/Depth_per_q)</f>
        <v>2.04370333354421</v>
      </c>
      <c r="C74" s="20" t="n">
        <f aca="false">IF(Quantiles!C74&lt;0,"",(Depth0-MIN(Depth0,Quantiles!C74))/Depth_per_q)</f>
        <v>1.85686023714316</v>
      </c>
      <c r="D74" s="20" t="n">
        <f aca="false">IF(Quantiles!D74&lt;0,"",(Depth0-MIN(Depth0,Quantiles!D74))/Depth_per_q)</f>
        <v>1.6925859459031</v>
      </c>
      <c r="E74" s="20" t="n">
        <f aca="false">IF(Quantiles!E74&lt;0,"",(Depth0-MIN(Depth0,Quantiles!E74))/Depth_per_q)</f>
        <v>1.55581946084116</v>
      </c>
      <c r="F74" s="20" t="n">
        <f aca="false">IF(Quantiles!F74&lt;0,"",(Depth0-MIN(Depth0,Quantiles!F74))/Depth_per_q)</f>
        <v>1.43600701697545</v>
      </c>
      <c r="G74" s="20" t="n">
        <f aca="false">IF(Quantiles!G74&lt;0,"",(Depth0-MIN(Depth0,Quantiles!G74))/Depth_per_q)</f>
        <v>1.32922826589838</v>
      </c>
      <c r="H74" s="20" t="n">
        <f aca="false">IF(Quantiles!H74&lt;0,"",(Depth0-MIN(Depth0,Quantiles!H74))/Depth_per_q)</f>
        <v>1.23593759300702</v>
      </c>
      <c r="I74" s="20" t="n">
        <f aca="false">IF(Quantiles!I74&lt;0,"",(Depth0-MIN(Depth0,Quantiles!I74))/Depth_per_q)</f>
        <v>1.14519967024012</v>
      </c>
      <c r="J74" s="20" t="n">
        <f aca="false">IF(Quantiles!J74&lt;0,"",(Depth0-MIN(Depth0,Quantiles!J74))/Depth_per_q)</f>
        <v>1.06879208805264</v>
      </c>
      <c r="K74" s="20" t="n">
        <f aca="false">IF(Quantiles!K74&lt;0,"",(Depth0-MIN(Depth0,Quantiles!K74))/Depth_per_q)</f>
        <v>0.98982697682291</v>
      </c>
      <c r="L74" s="20" t="n">
        <f aca="false">IF(Quantiles!L74&lt;0,"",(Depth0-MIN(Depth0,Quantiles!L74))/Depth_per_q)</f>
        <v>0.912744177208</v>
      </c>
      <c r="M74" s="20" t="n">
        <f aca="false">IF(Quantiles!M74&lt;0,"",(Depth0-MIN(Depth0,Quantiles!M74))/Depth_per_q)</f>
        <v>0.848631617860503</v>
      </c>
      <c r="N74" s="20" t="n">
        <f aca="false">IF(Quantiles!N74&lt;0,"",(Depth0-MIN(Depth0,Quantiles!N74))/Depth_per_q)</f>
        <v>0.786751668608693</v>
      </c>
      <c r="O74" s="20" t="n">
        <f aca="false">IF(Quantiles!O74&lt;0,"",(Depth0-MIN(Depth0,Quantiles!O74))/Depth_per_q)</f>
        <v>0.721319732345355</v>
      </c>
      <c r="P74" s="20" t="n">
        <f aca="false">IF(Quantiles!P74&lt;0,"",(Depth0-MIN(Depth0,Quantiles!P74))/Depth_per_q)</f>
        <v>0.662641069235227</v>
      </c>
      <c r="Q74" s="20" t="n">
        <f aca="false">IF(Quantiles!Q74&lt;0,"",(Depth0-MIN(Depth0,Quantiles!Q74))/Depth_per_q)</f>
        <v>0.606089836145298</v>
      </c>
      <c r="R74" s="20" t="n">
        <f aca="false">IF(Quantiles!R74&lt;0,"",(Depth0-MIN(Depth0,Quantiles!R74))/Depth_per_q)</f>
        <v>0.555327999973367</v>
      </c>
      <c r="S74" s="20" t="n">
        <f aca="false">IF(Quantiles!S74&lt;0,"",(Depth0-MIN(Depth0,Quantiles!S74))/Depth_per_q)</f>
        <v>0.505396940274335</v>
      </c>
      <c r="T74" s="20" t="n">
        <f aca="false">IF(Quantiles!T74&lt;0,"",(Depth0-MIN(Depth0,Quantiles!T74))/Depth_per_q)</f>
        <v>0.459241646399573</v>
      </c>
      <c r="U74" s="20" t="n">
        <f aca="false">IF(Quantiles!U74&lt;0,"",(Depth0-MIN(Depth0,Quantiles!U74))/Depth_per_q)</f>
        <v>0.414471908047415</v>
      </c>
      <c r="V74" s="20" t="n">
        <f aca="false">IF(Quantiles!V74&lt;0,"",(Depth0-MIN(Depth0,Quantiles!V74))/Depth_per_q)</f>
        <v>0.37080617429769</v>
      </c>
      <c r="W74" s="20" t="n">
        <f aca="false">IF(Quantiles!W74&lt;0,"",(Depth0-MIN(Depth0,Quantiles!W74))/Depth_per_q)</f>
        <v>0.325646574079848</v>
      </c>
      <c r="X74" s="20" t="n">
        <f aca="false">IF(Quantiles!X74&lt;0,"",(Depth0-MIN(Depth0,Quantiles!X74))/Depth_per_q)</f>
        <v>0.281353020179813</v>
      </c>
      <c r="Y74" s="20" t="n">
        <f aca="false">IF(Quantiles!Y74&lt;0,"",(Depth0-MIN(Depth0,Quantiles!Y74))/Depth_per_q)</f>
        <v>0.24376134328454</v>
      </c>
      <c r="Z74" s="20" t="n">
        <f aca="false">IF(Quantiles!Z74&lt;0,"",(Depth0-MIN(Depth0,Quantiles!Z74))/Depth_per_q)</f>
        <v>0.20476357696557</v>
      </c>
      <c r="AA74" s="20" t="n">
        <f aca="false">IF(Quantiles!AA74&lt;0,"",(Depth0-MIN(Depth0,Quantiles!AA74))/Depth_per_q)</f>
        <v>0.167615430566038</v>
      </c>
      <c r="AB74" s="20" t="n">
        <f aca="false">IF(Quantiles!AB74&lt;0,"",(Depth0-MIN(Depth0,Quantiles!AB74))/Depth_per_q)</f>
        <v>0.127002533156835</v>
      </c>
      <c r="AC74" s="20" t="n">
        <f aca="false">IF(Quantiles!AC74&lt;0,"",(Depth0-MIN(Depth0,Quantiles!AC74))/Depth_per_q)</f>
        <v>0.0914088570732323</v>
      </c>
      <c r="AD74" s="20" t="n">
        <f aca="false">IF(Quantiles!AD74&lt;0,"",(Depth0-MIN(Depth0,Quantiles!AD74))/Depth_per_q)</f>
        <v>0.0539051674686499</v>
      </c>
      <c r="AE74" s="20" t="n">
        <f aca="false">IF(Quantiles!AE74&lt;0,"",(Depth0-MIN(Depth0,Quantiles!AE74))/Depth_per_q)</f>
        <v>0.0206070858555121</v>
      </c>
      <c r="AF74" s="20" t="n">
        <f aca="false">IF(Quantiles!AF74&lt;0,"",(Depth0-MIN(Depth0,Quantiles!AF74))/Depth_per_q)</f>
        <v>0</v>
      </c>
      <c r="AG74" s="20" t="n">
        <f aca="false">IF(Quantiles!AG74&lt;0,"",(Depth0-MIN(Depth0,Quantiles!AG74))/Depth_per_q)</f>
        <v>0</v>
      </c>
      <c r="AH74" s="20" t="n">
        <f aca="false">IF(Quantiles!AH74&lt;0,"",(Depth0-MIN(Depth0,Quantiles!AH74))/Depth_per_q)</f>
        <v>0</v>
      </c>
      <c r="AI74" s="20" t="n">
        <f aca="false">IF(Quantiles!AI74&lt;0,"",(Depth0-MIN(Depth0,Quantiles!AI74))/Depth_per_q)</f>
        <v>0</v>
      </c>
      <c r="AJ74" s="20" t="n">
        <f aca="false">IF(Quantiles!AJ74&lt;0,"",(Depth0-MIN(Depth0,Quantiles!AJ74))/Depth_per_q)</f>
        <v>0</v>
      </c>
      <c r="AK74" s="20" t="n">
        <f aca="false">IF(Quantiles!AK74&lt;0,"",(Depth0-MIN(Depth0,Quantiles!AK74))/Depth_per_q)</f>
        <v>0</v>
      </c>
      <c r="AL74" s="20" t="n">
        <f aca="false">IF(Quantiles!AL74&lt;0,"",(Depth0-MIN(Depth0,Quantiles!AL74))/Depth_per_q)</f>
        <v>0</v>
      </c>
      <c r="AM74" s="20" t="n">
        <f aca="false">IF(Quantiles!AM74&lt;0,"",(Depth0-MIN(Depth0,Quantiles!AM74))/Depth_per_q)</f>
        <v>0</v>
      </c>
      <c r="AN74" s="20" t="n">
        <f aca="false">IF(Quantiles!AN74&lt;0,"",(Depth0-MIN(Depth0,Quantiles!AN74))/Depth_per_q)</f>
        <v>0</v>
      </c>
      <c r="AO74" s="20" t="n">
        <f aca="false">IF(Quantiles!AO74&lt;0,"",(Depth0-MIN(Depth0,Quantiles!AO74))/Depth_per_q)</f>
        <v>0</v>
      </c>
      <c r="AP74" s="20" t="n">
        <f aca="false">IF(Quantiles!AP74&lt;0,"",(Depth0-MIN(Depth0,Quantiles!AP74))/Depth_per_q)</f>
        <v>0</v>
      </c>
      <c r="AQ74" s="20" t="n">
        <f aca="false">IF(Quantiles!AQ74&lt;0,"",(Depth0-MIN(Depth0,Quantiles!AQ74))/Depth_per_q)</f>
        <v>0</v>
      </c>
      <c r="AR74" s="20" t="n">
        <f aca="false">IF(Quantiles!AR74&lt;0,"",(Depth0-MIN(Depth0,Quantiles!AR74))/Depth_per_q)</f>
        <v>0</v>
      </c>
      <c r="AS74" s="20" t="n">
        <f aca="false">IF(Quantiles!AS74&lt;0,"",(Depth0-MIN(Depth0,Quantiles!AS74))/Depth_per_q)</f>
        <v>0</v>
      </c>
      <c r="AT74" s="20" t="n">
        <f aca="false">IF(Quantiles!AT74&lt;0,"",(Depth0-MIN(Depth0,Quantiles!AT74))/Depth_per_q)</f>
        <v>0</v>
      </c>
      <c r="AU74" s="20" t="n">
        <f aca="false">IF(Quantiles!AU74&lt;0,"",(Depth0-MIN(Depth0,Quantiles!AU74))/Depth_per_q)</f>
        <v>0</v>
      </c>
      <c r="AV74" s="20" t="n">
        <f aca="false">IF(Quantiles!AV74&lt;0,"",(Depth0-MIN(Depth0,Quantiles!AV74))/Depth_per_q)</f>
        <v>0</v>
      </c>
      <c r="AW74" s="20" t="n">
        <f aca="false">IF(Quantiles!AW74&lt;0,"",(Depth0-MIN(Depth0,Quantiles!AW74))/Depth_per_q)</f>
        <v>0</v>
      </c>
      <c r="AX74" s="20" t="n">
        <f aca="false">IF(Quantiles!AX74&lt;0,"",(Depth0-MIN(Depth0,Quantiles!AX74))/Depth_per_q)</f>
        <v>0</v>
      </c>
      <c r="AY74" s="20" t="n">
        <f aca="false">IF(Quantiles!AY74&lt;0,"",(Depth0-MIN(Depth0,Quantiles!AY74))/Depth_per_q)</f>
        <v>0</v>
      </c>
      <c r="AZ74" s="20" t="n">
        <f aca="false">IF(Quantiles!AZ74&lt;0,"",(Depth0-MIN(Depth0,Quantiles!AZ74))/Depth_per_q)</f>
        <v>0</v>
      </c>
      <c r="BA74" s="20" t="n">
        <f aca="false">IF(Quantiles!BA74&lt;0,"",(Depth0-MIN(Depth0,Quantiles!BA74))/Depth_per_q)</f>
        <v>0</v>
      </c>
      <c r="BB74" s="20" t="n">
        <f aca="false">IF(Quantiles!BB74&lt;0,"",(Depth0-MIN(Depth0,Quantiles!BB74))/Depth_per_q)</f>
        <v>0</v>
      </c>
      <c r="BC74" s="20" t="n">
        <f aca="false">IF(Quantiles!BC74&lt;0,"",(Depth0-MIN(Depth0,Quantiles!BC74))/Depth_per_q)</f>
        <v>0</v>
      </c>
      <c r="BD74" s="20" t="n">
        <f aca="false">IF(Quantiles!BD74&lt;0,"",(Depth0-MIN(Depth0,Quantiles!BD74))/Depth_per_q)</f>
        <v>0</v>
      </c>
      <c r="BE74" s="20" t="n">
        <f aca="false">IF(Quantiles!BE74&lt;0,"",(Depth0-MIN(Depth0,Quantiles!BE74))/Depth_per_q)</f>
        <v>0</v>
      </c>
      <c r="BF74" s="20" t="n">
        <f aca="false">IF(Quantiles!BF74&lt;0,"",(Depth0-MIN(Depth0,Quantiles!BF74))/Depth_per_q)</f>
        <v>0</v>
      </c>
      <c r="BG74" s="20" t="n">
        <f aca="false">IF(Quantiles!BG74&lt;0,"",(Depth0-MIN(Depth0,Quantiles!BG74))/Depth_per_q)</f>
        <v>0</v>
      </c>
      <c r="BH74" s="20" t="n">
        <f aca="false">IF(Quantiles!BH74&lt;0,"",(Depth0-MIN(Depth0,Quantiles!BH74))/Depth_per_q)</f>
        <v>0</v>
      </c>
      <c r="BI74" s="20" t="n">
        <f aca="false">IF(Quantiles!BI74&lt;0,"",(Depth0-MIN(Depth0,Quantiles!BI74))/Depth_per_q)</f>
        <v>0</v>
      </c>
      <c r="BJ74" s="20" t="n">
        <f aca="false">IF(Quantiles!BJ74&lt;0,"",(Depth0-MIN(Depth0,Quantiles!BJ74))/Depth_per_q)</f>
        <v>0</v>
      </c>
      <c r="BK74" s="20" t="n">
        <f aca="false">IF(Quantiles!BK74&lt;0,"",(Depth0-MIN(Depth0,Quantiles!BK74))/Depth_per_q)</f>
        <v>0</v>
      </c>
      <c r="BL74" s="20" t="n">
        <f aca="false">IF(Quantiles!BL74&lt;0,"",(Depth0-MIN(Depth0,Quantiles!BL74))/Depth_per_q)</f>
        <v>0</v>
      </c>
      <c r="BM74" s="20" t="n">
        <f aca="false">IF(Quantiles!BM74&lt;0,"",(Depth0-MIN(Depth0,Quantiles!BM74))/Depth_per_q)</f>
        <v>0</v>
      </c>
      <c r="BN74" s="20" t="n">
        <f aca="false">IF(Quantiles!BN74&lt;0,"",(Depth0-MIN(Depth0,Quantiles!BN74))/Depth_per_q)</f>
        <v>0</v>
      </c>
      <c r="BO74" s="20" t="n">
        <f aca="false">IF(Quantiles!BO74&lt;0,"",(Depth0-MIN(Depth0,Quantiles!BO74))/Depth_per_q)</f>
        <v>0</v>
      </c>
      <c r="BP74" s="20" t="n">
        <f aca="false">IF(Quantiles!BP74&lt;0,"",(Depth0-MIN(Depth0,Quantiles!BP74))/Depth_per_q)</f>
        <v>0</v>
      </c>
      <c r="BQ74" s="20" t="n">
        <f aca="false">IF(Quantiles!BQ74&lt;0,"",(Depth0-MIN(Depth0,Quantiles!BQ74))/Depth_per_q)</f>
        <v>0</v>
      </c>
      <c r="BR74" s="20" t="n">
        <f aca="false">IF(Quantiles!BR74&lt;0,"",(Depth0-MIN(Depth0,Quantiles!BR74))/Depth_per_q)</f>
        <v>0</v>
      </c>
      <c r="BS74" s="20" t="n">
        <f aca="false">IF(Quantiles!BS74&lt;0,"",(Depth0-MIN(Depth0,Quantiles!BS74))/Depth_per_q)</f>
        <v>0</v>
      </c>
      <c r="BT74" s="20" t="n">
        <f aca="false">IF(Quantiles!BT74&lt;0,"",(Depth0-MIN(Depth0,Quantiles!BT74))/Depth_per_q)</f>
        <v>0</v>
      </c>
      <c r="BU74" s="20" t="n">
        <f aca="false">IF(Quantiles!BU74&lt;0,"",(Depth0-MIN(Depth0,Quantiles!BU74))/Depth_per_q)</f>
        <v>0</v>
      </c>
      <c r="BV74" s="20" t="n">
        <f aca="false">IF(Quantiles!BV74&lt;0,"",(Depth0-MIN(Depth0,Quantiles!BV74))/Depth_per_q)</f>
        <v>0</v>
      </c>
      <c r="BW74" s="20" t="n">
        <f aca="false">IF(Quantiles!BW74&lt;0,"",(Depth0-MIN(Depth0,Quantiles!BW74))/Depth_per_q)</f>
        <v>0</v>
      </c>
      <c r="BX74" s="20" t="n">
        <f aca="false">IF(Quantiles!BX74&lt;0,"",(Depth0-MIN(Depth0,Quantiles!BX74))/Depth_per_q)</f>
        <v>0</v>
      </c>
      <c r="BY74" s="20" t="n">
        <f aca="false">IF(Quantiles!BY74&lt;0,"",(Depth0-MIN(Depth0,Quantiles!BY74))/Depth_per_q)</f>
        <v>0</v>
      </c>
      <c r="BZ74" s="20" t="n">
        <f aca="false">IF(Quantiles!BZ74&lt;0,"",(Depth0-MIN(Depth0,Quantiles!BZ74))/Depth_per_q)</f>
        <v>0</v>
      </c>
      <c r="CA74" s="20" t="n">
        <f aca="false">IF(Quantiles!CA74&lt;0,"",(Depth0-MIN(Depth0,Quantiles!CA74))/Depth_per_q)</f>
        <v>0</v>
      </c>
      <c r="CB74" s="20" t="n">
        <f aca="false">IF(Quantiles!CB74&lt;0,"",(Depth0-MIN(Depth0,Quantiles!CB74))/Depth_per_q)</f>
        <v>0</v>
      </c>
      <c r="CC74" s="20" t="n">
        <f aca="false">IF(Quantiles!CC74&lt;0,"",(Depth0-MIN(Depth0,Quantiles!CC74))/Depth_per_q)</f>
        <v>0</v>
      </c>
      <c r="CD74" s="20" t="n">
        <f aca="false">IF(Quantiles!CD74&lt;0,"",(Depth0-MIN(Depth0,Quantiles!CD74))/Depth_per_q)</f>
        <v>0</v>
      </c>
      <c r="CE74" s="20" t="n">
        <f aca="false">IF(Quantiles!CE74&lt;0,"",(Depth0-MIN(Depth0,Quantiles!CE74))/Depth_per_q)</f>
        <v>0</v>
      </c>
      <c r="CF74" s="20" t="n">
        <f aca="false">IF(Quantiles!CF74&lt;0,"",(Depth0-MIN(Depth0,Quantiles!CF74))/Depth_per_q)</f>
        <v>0</v>
      </c>
      <c r="CG74" s="20" t="n">
        <f aca="false">IF(Quantiles!CG74&lt;0,"",(Depth0-MIN(Depth0,Quantiles!CG74))/Depth_per_q)</f>
        <v>0</v>
      </c>
      <c r="CH74" s="20" t="n">
        <f aca="false">IF(Quantiles!CH74&lt;0,"",(Depth0-MIN(Depth0,Quantiles!CH74))/Depth_per_q)</f>
        <v>0</v>
      </c>
      <c r="CI74" s="20" t="n">
        <f aca="false">IF(Quantiles!CI74&lt;0,"",(Depth0-MIN(Depth0,Quantiles!CI74))/Depth_per_q)</f>
        <v>0</v>
      </c>
      <c r="CJ74" s="20" t="n">
        <f aca="false">IF(Quantiles!CJ74&lt;0,"",(Depth0-MIN(Depth0,Quantiles!CJ74))/Depth_per_q)</f>
        <v>0</v>
      </c>
      <c r="CK74" s="20" t="n">
        <f aca="false">IF(Quantiles!CK74&lt;0,"",(Depth0-MIN(Depth0,Quantiles!CK74))/Depth_per_q)</f>
        <v>0</v>
      </c>
      <c r="CL74" s="20" t="n">
        <f aca="false">IF(Quantiles!CL74&lt;0,"",(Depth0-MIN(Depth0,Quantiles!CL74))/Depth_per_q)</f>
        <v>0</v>
      </c>
      <c r="CM74" s="20" t="n">
        <f aca="false">IF(Quantiles!CM74&lt;0,"",(Depth0-MIN(Depth0,Quantiles!CM74))/Depth_per_q)</f>
        <v>0</v>
      </c>
      <c r="CN74" s="20" t="n">
        <f aca="false">IF(Quantiles!CN74&lt;0,"",(Depth0-MIN(Depth0,Quantiles!CN74))/Depth_per_q)</f>
        <v>0</v>
      </c>
      <c r="CO74" s="20" t="n">
        <f aca="false">IF(Quantiles!CO74&lt;0,"",(Depth0-MIN(Depth0,Quantiles!CO74))/Depth_per_q)</f>
        <v>0</v>
      </c>
      <c r="CP74" s="20" t="n">
        <f aca="false">IF(Quantiles!CP74&lt;0,"",(Depth0-MIN(Depth0,Quantiles!CP74))/Depth_per_q)</f>
        <v>0</v>
      </c>
      <c r="CQ74" s="20" t="n">
        <f aca="false">IF(Quantiles!CQ74&lt;0,"",(Depth0-MIN(Depth0,Quantiles!CQ74))/Depth_per_q)</f>
        <v>0</v>
      </c>
      <c r="CR74" s="20" t="n">
        <f aca="false">IF(Quantiles!CR74&lt;0,"",(Depth0-MIN(Depth0,Quantiles!CR74))/Depth_per_q)</f>
        <v>0</v>
      </c>
      <c r="CS74" s="20" t="n">
        <f aca="false">IF(Quantiles!CS74&lt;0,"",(Depth0-MIN(Depth0,Quantiles!CS74))/Depth_per_q)</f>
        <v>0</v>
      </c>
      <c r="CT74" s="20" t="n">
        <f aca="false">IF(Quantiles!CT74&lt;0,"",(Depth0-MIN(Depth0,Quantiles!CT74))/Depth_per_q)</f>
        <v>1.06818518832212</v>
      </c>
    </row>
    <row r="75" customFormat="false" ht="15" hidden="false" customHeight="false" outlineLevel="0" collapsed="false">
      <c r="A75" s="25" t="n">
        <f aca="false">Quantiles!A75</f>
        <v>350</v>
      </c>
      <c r="B75" s="20" t="n">
        <f aca="false">IF(Quantiles!B75&lt;0,"",(Depth0-MIN(Depth0,Quantiles!B75))/Depth_per_q)</f>
        <v>2.04370333354421</v>
      </c>
      <c r="C75" s="20" t="n">
        <f aca="false">IF(Quantiles!C75&lt;0,"",(Depth0-MIN(Depth0,Quantiles!C75))/Depth_per_q)</f>
        <v>1.85686023714316</v>
      </c>
      <c r="D75" s="20" t="n">
        <f aca="false">IF(Quantiles!D75&lt;0,"",(Depth0-MIN(Depth0,Quantiles!D75))/Depth_per_q)</f>
        <v>1.6925859459031</v>
      </c>
      <c r="E75" s="20" t="n">
        <f aca="false">IF(Quantiles!E75&lt;0,"",(Depth0-MIN(Depth0,Quantiles!E75))/Depth_per_q)</f>
        <v>1.55581946084116</v>
      </c>
      <c r="F75" s="20" t="n">
        <f aca="false">IF(Quantiles!F75&lt;0,"",(Depth0-MIN(Depth0,Quantiles!F75))/Depth_per_q)</f>
        <v>1.43600701697545</v>
      </c>
      <c r="G75" s="20" t="n">
        <f aca="false">IF(Quantiles!G75&lt;0,"",(Depth0-MIN(Depth0,Quantiles!G75))/Depth_per_q)</f>
        <v>1.32922826589838</v>
      </c>
      <c r="H75" s="20" t="n">
        <f aca="false">IF(Quantiles!H75&lt;0,"",(Depth0-MIN(Depth0,Quantiles!H75))/Depth_per_q)</f>
        <v>1.23593759300702</v>
      </c>
      <c r="I75" s="20" t="n">
        <f aca="false">IF(Quantiles!I75&lt;0,"",(Depth0-MIN(Depth0,Quantiles!I75))/Depth_per_q)</f>
        <v>1.14519967024012</v>
      </c>
      <c r="J75" s="20" t="n">
        <f aca="false">IF(Quantiles!J75&lt;0,"",(Depth0-MIN(Depth0,Quantiles!J75))/Depth_per_q)</f>
        <v>1.06879208805264</v>
      </c>
      <c r="K75" s="20" t="n">
        <f aca="false">IF(Quantiles!K75&lt;0,"",(Depth0-MIN(Depth0,Quantiles!K75))/Depth_per_q)</f>
        <v>0.98982697682291</v>
      </c>
      <c r="L75" s="20" t="n">
        <f aca="false">IF(Quantiles!L75&lt;0,"",(Depth0-MIN(Depth0,Quantiles!L75))/Depth_per_q)</f>
        <v>0.912744177208</v>
      </c>
      <c r="M75" s="20" t="n">
        <f aca="false">IF(Quantiles!M75&lt;0,"",(Depth0-MIN(Depth0,Quantiles!M75))/Depth_per_q)</f>
        <v>0.848631617860503</v>
      </c>
      <c r="N75" s="20" t="n">
        <f aca="false">IF(Quantiles!N75&lt;0,"",(Depth0-MIN(Depth0,Quantiles!N75))/Depth_per_q)</f>
        <v>0.786241620803883</v>
      </c>
      <c r="O75" s="20" t="n">
        <f aca="false">IF(Quantiles!O75&lt;0,"",(Depth0-MIN(Depth0,Quantiles!O75))/Depth_per_q)</f>
        <v>0.720985561874532</v>
      </c>
      <c r="P75" s="20" t="n">
        <f aca="false">IF(Quantiles!P75&lt;0,"",(Depth0-MIN(Depth0,Quantiles!P75))/Depth_per_q)</f>
        <v>0.66231062080724</v>
      </c>
      <c r="Q75" s="20" t="n">
        <f aca="false">IF(Quantiles!Q75&lt;0,"",(Depth0-MIN(Depth0,Quantiles!Q75))/Depth_per_q)</f>
        <v>0.606089836145298</v>
      </c>
      <c r="R75" s="20" t="n">
        <f aca="false">IF(Quantiles!R75&lt;0,"",(Depth0-MIN(Depth0,Quantiles!R75))/Depth_per_q)</f>
        <v>0.555327999973367</v>
      </c>
      <c r="S75" s="20" t="n">
        <f aca="false">IF(Quantiles!S75&lt;0,"",(Depth0-MIN(Depth0,Quantiles!S75))/Depth_per_q)</f>
        <v>0.505396940274335</v>
      </c>
      <c r="T75" s="20" t="n">
        <f aca="false">IF(Quantiles!T75&lt;0,"",(Depth0-MIN(Depth0,Quantiles!T75))/Depth_per_q)</f>
        <v>0.459241646399573</v>
      </c>
      <c r="U75" s="20" t="n">
        <f aca="false">IF(Quantiles!U75&lt;0,"",(Depth0-MIN(Depth0,Quantiles!U75))/Depth_per_q)</f>
        <v>0.414471908047415</v>
      </c>
      <c r="V75" s="20" t="n">
        <f aca="false">IF(Quantiles!V75&lt;0,"",(Depth0-MIN(Depth0,Quantiles!V75))/Depth_per_q)</f>
        <v>0.37080617429769</v>
      </c>
      <c r="W75" s="20" t="n">
        <f aca="false">IF(Quantiles!W75&lt;0,"",(Depth0-MIN(Depth0,Quantiles!W75))/Depth_per_q)</f>
        <v>0.325646574079848</v>
      </c>
      <c r="X75" s="20" t="n">
        <f aca="false">IF(Quantiles!X75&lt;0,"",(Depth0-MIN(Depth0,Quantiles!X75))/Depth_per_q)</f>
        <v>0.281353020179813</v>
      </c>
      <c r="Y75" s="20" t="n">
        <f aca="false">IF(Quantiles!Y75&lt;0,"",(Depth0-MIN(Depth0,Quantiles!Y75))/Depth_per_q)</f>
        <v>0.24376134328454</v>
      </c>
      <c r="Z75" s="20" t="n">
        <f aca="false">IF(Quantiles!Z75&lt;0,"",(Depth0-MIN(Depth0,Quantiles!Z75))/Depth_per_q)</f>
        <v>0.20476357696557</v>
      </c>
      <c r="AA75" s="20" t="n">
        <f aca="false">IF(Quantiles!AA75&lt;0,"",(Depth0-MIN(Depth0,Quantiles!AA75))/Depth_per_q)</f>
        <v>0.167615430566038</v>
      </c>
      <c r="AB75" s="20" t="n">
        <f aca="false">IF(Quantiles!AB75&lt;0,"",(Depth0-MIN(Depth0,Quantiles!AB75))/Depth_per_q)</f>
        <v>0.127002533156835</v>
      </c>
      <c r="AC75" s="20" t="n">
        <f aca="false">IF(Quantiles!AC75&lt;0,"",(Depth0-MIN(Depth0,Quantiles!AC75))/Depth_per_q)</f>
        <v>0.0914088570732323</v>
      </c>
      <c r="AD75" s="20" t="n">
        <f aca="false">IF(Quantiles!AD75&lt;0,"",(Depth0-MIN(Depth0,Quantiles!AD75))/Depth_per_q)</f>
        <v>0.0539051674686499</v>
      </c>
      <c r="AE75" s="20" t="n">
        <f aca="false">IF(Quantiles!AE75&lt;0,"",(Depth0-MIN(Depth0,Quantiles!AE75))/Depth_per_q)</f>
        <v>0.0206070858555121</v>
      </c>
      <c r="AF75" s="20" t="n">
        <f aca="false">IF(Quantiles!AF75&lt;0,"",(Depth0-MIN(Depth0,Quantiles!AF75))/Depth_per_q)</f>
        <v>0</v>
      </c>
      <c r="AG75" s="20" t="n">
        <f aca="false">IF(Quantiles!AG75&lt;0,"",(Depth0-MIN(Depth0,Quantiles!AG75))/Depth_per_q)</f>
        <v>0</v>
      </c>
      <c r="AH75" s="20" t="n">
        <f aca="false">IF(Quantiles!AH75&lt;0,"",(Depth0-MIN(Depth0,Quantiles!AH75))/Depth_per_q)</f>
        <v>0</v>
      </c>
      <c r="AI75" s="20" t="n">
        <f aca="false">IF(Quantiles!AI75&lt;0,"",(Depth0-MIN(Depth0,Quantiles!AI75))/Depth_per_q)</f>
        <v>0</v>
      </c>
      <c r="AJ75" s="20" t="n">
        <f aca="false">IF(Quantiles!AJ75&lt;0,"",(Depth0-MIN(Depth0,Quantiles!AJ75))/Depth_per_q)</f>
        <v>0</v>
      </c>
      <c r="AK75" s="20" t="n">
        <f aca="false">IF(Quantiles!AK75&lt;0,"",(Depth0-MIN(Depth0,Quantiles!AK75))/Depth_per_q)</f>
        <v>0</v>
      </c>
      <c r="AL75" s="20" t="n">
        <f aca="false">IF(Quantiles!AL75&lt;0,"",(Depth0-MIN(Depth0,Quantiles!AL75))/Depth_per_q)</f>
        <v>0</v>
      </c>
      <c r="AM75" s="20" t="n">
        <f aca="false">IF(Quantiles!AM75&lt;0,"",(Depth0-MIN(Depth0,Quantiles!AM75))/Depth_per_q)</f>
        <v>0</v>
      </c>
      <c r="AN75" s="20" t="n">
        <f aca="false">IF(Quantiles!AN75&lt;0,"",(Depth0-MIN(Depth0,Quantiles!AN75))/Depth_per_q)</f>
        <v>0</v>
      </c>
      <c r="AO75" s="20" t="n">
        <f aca="false">IF(Quantiles!AO75&lt;0,"",(Depth0-MIN(Depth0,Quantiles!AO75))/Depth_per_q)</f>
        <v>0</v>
      </c>
      <c r="AP75" s="20" t="n">
        <f aca="false">IF(Quantiles!AP75&lt;0,"",(Depth0-MIN(Depth0,Quantiles!AP75))/Depth_per_q)</f>
        <v>0</v>
      </c>
      <c r="AQ75" s="20" t="n">
        <f aca="false">IF(Quantiles!AQ75&lt;0,"",(Depth0-MIN(Depth0,Quantiles!AQ75))/Depth_per_q)</f>
        <v>0</v>
      </c>
      <c r="AR75" s="20" t="n">
        <f aca="false">IF(Quantiles!AR75&lt;0,"",(Depth0-MIN(Depth0,Quantiles!AR75))/Depth_per_q)</f>
        <v>0</v>
      </c>
      <c r="AS75" s="20" t="n">
        <f aca="false">IF(Quantiles!AS75&lt;0,"",(Depth0-MIN(Depth0,Quantiles!AS75))/Depth_per_q)</f>
        <v>0</v>
      </c>
      <c r="AT75" s="20" t="n">
        <f aca="false">IF(Quantiles!AT75&lt;0,"",(Depth0-MIN(Depth0,Quantiles!AT75))/Depth_per_q)</f>
        <v>0</v>
      </c>
      <c r="AU75" s="20" t="n">
        <f aca="false">IF(Quantiles!AU75&lt;0,"",(Depth0-MIN(Depth0,Quantiles!AU75))/Depth_per_q)</f>
        <v>0</v>
      </c>
      <c r="AV75" s="20" t="n">
        <f aca="false">IF(Quantiles!AV75&lt;0,"",(Depth0-MIN(Depth0,Quantiles!AV75))/Depth_per_q)</f>
        <v>0</v>
      </c>
      <c r="AW75" s="20" t="n">
        <f aca="false">IF(Quantiles!AW75&lt;0,"",(Depth0-MIN(Depth0,Quantiles!AW75))/Depth_per_q)</f>
        <v>0</v>
      </c>
      <c r="AX75" s="20" t="n">
        <f aca="false">IF(Quantiles!AX75&lt;0,"",(Depth0-MIN(Depth0,Quantiles!AX75))/Depth_per_q)</f>
        <v>0</v>
      </c>
      <c r="AY75" s="20" t="n">
        <f aca="false">IF(Quantiles!AY75&lt;0,"",(Depth0-MIN(Depth0,Quantiles!AY75))/Depth_per_q)</f>
        <v>0</v>
      </c>
      <c r="AZ75" s="20" t="n">
        <f aca="false">IF(Quantiles!AZ75&lt;0,"",(Depth0-MIN(Depth0,Quantiles!AZ75))/Depth_per_q)</f>
        <v>0</v>
      </c>
      <c r="BA75" s="20" t="n">
        <f aca="false">IF(Quantiles!BA75&lt;0,"",(Depth0-MIN(Depth0,Quantiles!BA75))/Depth_per_q)</f>
        <v>0</v>
      </c>
      <c r="BB75" s="20" t="n">
        <f aca="false">IF(Quantiles!BB75&lt;0,"",(Depth0-MIN(Depth0,Quantiles!BB75))/Depth_per_q)</f>
        <v>0</v>
      </c>
      <c r="BC75" s="20" t="n">
        <f aca="false">IF(Quantiles!BC75&lt;0,"",(Depth0-MIN(Depth0,Quantiles!BC75))/Depth_per_q)</f>
        <v>0</v>
      </c>
      <c r="BD75" s="20" t="n">
        <f aca="false">IF(Quantiles!BD75&lt;0,"",(Depth0-MIN(Depth0,Quantiles!BD75))/Depth_per_q)</f>
        <v>0</v>
      </c>
      <c r="BE75" s="20" t="n">
        <f aca="false">IF(Quantiles!BE75&lt;0,"",(Depth0-MIN(Depth0,Quantiles!BE75))/Depth_per_q)</f>
        <v>0</v>
      </c>
      <c r="BF75" s="20" t="n">
        <f aca="false">IF(Quantiles!BF75&lt;0,"",(Depth0-MIN(Depth0,Quantiles!BF75))/Depth_per_q)</f>
        <v>0</v>
      </c>
      <c r="BG75" s="20" t="n">
        <f aca="false">IF(Quantiles!BG75&lt;0,"",(Depth0-MIN(Depth0,Quantiles!BG75))/Depth_per_q)</f>
        <v>0</v>
      </c>
      <c r="BH75" s="20" t="n">
        <f aca="false">IF(Quantiles!BH75&lt;0,"",(Depth0-MIN(Depth0,Quantiles!BH75))/Depth_per_q)</f>
        <v>0</v>
      </c>
      <c r="BI75" s="20" t="n">
        <f aca="false">IF(Quantiles!BI75&lt;0,"",(Depth0-MIN(Depth0,Quantiles!BI75))/Depth_per_q)</f>
        <v>0</v>
      </c>
      <c r="BJ75" s="20" t="n">
        <f aca="false">IF(Quantiles!BJ75&lt;0,"",(Depth0-MIN(Depth0,Quantiles!BJ75))/Depth_per_q)</f>
        <v>0</v>
      </c>
      <c r="BK75" s="20" t="n">
        <f aca="false">IF(Quantiles!BK75&lt;0,"",(Depth0-MIN(Depth0,Quantiles!BK75))/Depth_per_q)</f>
        <v>0</v>
      </c>
      <c r="BL75" s="20" t="n">
        <f aca="false">IF(Quantiles!BL75&lt;0,"",(Depth0-MIN(Depth0,Quantiles!BL75))/Depth_per_q)</f>
        <v>0</v>
      </c>
      <c r="BM75" s="20" t="n">
        <f aca="false">IF(Quantiles!BM75&lt;0,"",(Depth0-MIN(Depth0,Quantiles!BM75))/Depth_per_q)</f>
        <v>0</v>
      </c>
      <c r="BN75" s="20" t="n">
        <f aca="false">IF(Quantiles!BN75&lt;0,"",(Depth0-MIN(Depth0,Quantiles!BN75))/Depth_per_q)</f>
        <v>0</v>
      </c>
      <c r="BO75" s="20" t="n">
        <f aca="false">IF(Quantiles!BO75&lt;0,"",(Depth0-MIN(Depth0,Quantiles!BO75))/Depth_per_q)</f>
        <v>0</v>
      </c>
      <c r="BP75" s="20" t="n">
        <f aca="false">IF(Quantiles!BP75&lt;0,"",(Depth0-MIN(Depth0,Quantiles!BP75))/Depth_per_q)</f>
        <v>0</v>
      </c>
      <c r="BQ75" s="20" t="n">
        <f aca="false">IF(Quantiles!BQ75&lt;0,"",(Depth0-MIN(Depth0,Quantiles!BQ75))/Depth_per_q)</f>
        <v>0</v>
      </c>
      <c r="BR75" s="20" t="n">
        <f aca="false">IF(Quantiles!BR75&lt;0,"",(Depth0-MIN(Depth0,Quantiles!BR75))/Depth_per_q)</f>
        <v>0</v>
      </c>
      <c r="BS75" s="20" t="n">
        <f aca="false">IF(Quantiles!BS75&lt;0,"",(Depth0-MIN(Depth0,Quantiles!BS75))/Depth_per_q)</f>
        <v>0</v>
      </c>
      <c r="BT75" s="20" t="n">
        <f aca="false">IF(Quantiles!BT75&lt;0,"",(Depth0-MIN(Depth0,Quantiles!BT75))/Depth_per_q)</f>
        <v>0</v>
      </c>
      <c r="BU75" s="20" t="n">
        <f aca="false">IF(Quantiles!BU75&lt;0,"",(Depth0-MIN(Depth0,Quantiles!BU75))/Depth_per_q)</f>
        <v>0</v>
      </c>
      <c r="BV75" s="20" t="n">
        <f aca="false">IF(Quantiles!BV75&lt;0,"",(Depth0-MIN(Depth0,Quantiles!BV75))/Depth_per_q)</f>
        <v>0</v>
      </c>
      <c r="BW75" s="20" t="n">
        <f aca="false">IF(Quantiles!BW75&lt;0,"",(Depth0-MIN(Depth0,Quantiles!BW75))/Depth_per_q)</f>
        <v>0</v>
      </c>
      <c r="BX75" s="20" t="n">
        <f aca="false">IF(Quantiles!BX75&lt;0,"",(Depth0-MIN(Depth0,Quantiles!BX75))/Depth_per_q)</f>
        <v>0</v>
      </c>
      <c r="BY75" s="20" t="n">
        <f aca="false">IF(Quantiles!BY75&lt;0,"",(Depth0-MIN(Depth0,Quantiles!BY75))/Depth_per_q)</f>
        <v>0</v>
      </c>
      <c r="BZ75" s="20" t="n">
        <f aca="false">IF(Quantiles!BZ75&lt;0,"",(Depth0-MIN(Depth0,Quantiles!BZ75))/Depth_per_q)</f>
        <v>0</v>
      </c>
      <c r="CA75" s="20" t="n">
        <f aca="false">IF(Quantiles!CA75&lt;0,"",(Depth0-MIN(Depth0,Quantiles!CA75))/Depth_per_q)</f>
        <v>0</v>
      </c>
      <c r="CB75" s="20" t="n">
        <f aca="false">IF(Quantiles!CB75&lt;0,"",(Depth0-MIN(Depth0,Quantiles!CB75))/Depth_per_q)</f>
        <v>0</v>
      </c>
      <c r="CC75" s="20" t="n">
        <f aca="false">IF(Quantiles!CC75&lt;0,"",(Depth0-MIN(Depth0,Quantiles!CC75))/Depth_per_q)</f>
        <v>0</v>
      </c>
      <c r="CD75" s="20" t="n">
        <f aca="false">IF(Quantiles!CD75&lt;0,"",(Depth0-MIN(Depth0,Quantiles!CD75))/Depth_per_q)</f>
        <v>0</v>
      </c>
      <c r="CE75" s="20" t="n">
        <f aca="false">IF(Quantiles!CE75&lt;0,"",(Depth0-MIN(Depth0,Quantiles!CE75))/Depth_per_q)</f>
        <v>0</v>
      </c>
      <c r="CF75" s="20" t="n">
        <f aca="false">IF(Quantiles!CF75&lt;0,"",(Depth0-MIN(Depth0,Quantiles!CF75))/Depth_per_q)</f>
        <v>0</v>
      </c>
      <c r="CG75" s="20" t="n">
        <f aca="false">IF(Quantiles!CG75&lt;0,"",(Depth0-MIN(Depth0,Quantiles!CG75))/Depth_per_q)</f>
        <v>0</v>
      </c>
      <c r="CH75" s="20" t="n">
        <f aca="false">IF(Quantiles!CH75&lt;0,"",(Depth0-MIN(Depth0,Quantiles!CH75))/Depth_per_q)</f>
        <v>0</v>
      </c>
      <c r="CI75" s="20" t="n">
        <f aca="false">IF(Quantiles!CI75&lt;0,"",(Depth0-MIN(Depth0,Quantiles!CI75))/Depth_per_q)</f>
        <v>0</v>
      </c>
      <c r="CJ75" s="20" t="n">
        <f aca="false">IF(Quantiles!CJ75&lt;0,"",(Depth0-MIN(Depth0,Quantiles!CJ75))/Depth_per_q)</f>
        <v>0</v>
      </c>
      <c r="CK75" s="20" t="n">
        <f aca="false">IF(Quantiles!CK75&lt;0,"",(Depth0-MIN(Depth0,Quantiles!CK75))/Depth_per_q)</f>
        <v>0</v>
      </c>
      <c r="CL75" s="20" t="n">
        <f aca="false">IF(Quantiles!CL75&lt;0,"",(Depth0-MIN(Depth0,Quantiles!CL75))/Depth_per_q)</f>
        <v>0</v>
      </c>
      <c r="CM75" s="20" t="n">
        <f aca="false">IF(Quantiles!CM75&lt;0,"",(Depth0-MIN(Depth0,Quantiles!CM75))/Depth_per_q)</f>
        <v>0</v>
      </c>
      <c r="CN75" s="20" t="n">
        <f aca="false">IF(Quantiles!CN75&lt;0,"",(Depth0-MIN(Depth0,Quantiles!CN75))/Depth_per_q)</f>
        <v>0</v>
      </c>
      <c r="CO75" s="20" t="n">
        <f aca="false">IF(Quantiles!CO75&lt;0,"",(Depth0-MIN(Depth0,Quantiles!CO75))/Depth_per_q)</f>
        <v>0</v>
      </c>
      <c r="CP75" s="20" t="n">
        <f aca="false">IF(Quantiles!CP75&lt;0,"",(Depth0-MIN(Depth0,Quantiles!CP75))/Depth_per_q)</f>
        <v>0</v>
      </c>
      <c r="CQ75" s="20" t="n">
        <f aca="false">IF(Quantiles!CQ75&lt;0,"",(Depth0-MIN(Depth0,Quantiles!CQ75))/Depth_per_q)</f>
        <v>0</v>
      </c>
      <c r="CR75" s="20" t="n">
        <f aca="false">IF(Quantiles!CR75&lt;0,"",(Depth0-MIN(Depth0,Quantiles!CR75))/Depth_per_q)</f>
        <v>0</v>
      </c>
      <c r="CS75" s="20" t="n">
        <f aca="false">IF(Quantiles!CS75&lt;0,"",(Depth0-MIN(Depth0,Quantiles!CS75))/Depth_per_q)</f>
        <v>0</v>
      </c>
      <c r="CT75" s="20" t="n">
        <f aca="false">IF(Quantiles!CT75&lt;0,"",(Depth0-MIN(Depth0,Quantiles!CT75))/Depth_per_q)</f>
        <v>1.06818518832212</v>
      </c>
    </row>
    <row r="76" customFormat="false" ht="15" hidden="false" customHeight="false" outlineLevel="0" collapsed="false">
      <c r="A76" s="25" t="n">
        <f aca="false">Quantiles!A76</f>
        <v>355</v>
      </c>
      <c r="B76" s="20" t="n">
        <f aca="false">IF(Quantiles!B76&lt;0,"",(Depth0-MIN(Depth0,Quantiles!B76))/Depth_per_q)</f>
        <v>2.04370333354421</v>
      </c>
      <c r="C76" s="20" t="n">
        <f aca="false">IF(Quantiles!C76&lt;0,"",(Depth0-MIN(Depth0,Quantiles!C76))/Depth_per_q)</f>
        <v>1.85686023714316</v>
      </c>
      <c r="D76" s="20" t="n">
        <f aca="false">IF(Quantiles!D76&lt;0,"",(Depth0-MIN(Depth0,Quantiles!D76))/Depth_per_q)</f>
        <v>1.6925859459031</v>
      </c>
      <c r="E76" s="20" t="n">
        <f aca="false">IF(Quantiles!E76&lt;0,"",(Depth0-MIN(Depth0,Quantiles!E76))/Depth_per_q)</f>
        <v>1.55581946084116</v>
      </c>
      <c r="F76" s="20" t="n">
        <f aca="false">IF(Quantiles!F76&lt;0,"",(Depth0-MIN(Depth0,Quantiles!F76))/Depth_per_q)</f>
        <v>1.43600701697545</v>
      </c>
      <c r="G76" s="20" t="n">
        <f aca="false">IF(Quantiles!G76&lt;0,"",(Depth0-MIN(Depth0,Quantiles!G76))/Depth_per_q)</f>
        <v>1.32922826589838</v>
      </c>
      <c r="H76" s="20" t="n">
        <f aca="false">IF(Quantiles!H76&lt;0,"",(Depth0-MIN(Depth0,Quantiles!H76))/Depth_per_q)</f>
        <v>1.23593759300702</v>
      </c>
      <c r="I76" s="20" t="n">
        <f aca="false">IF(Quantiles!I76&lt;0,"",(Depth0-MIN(Depth0,Quantiles!I76))/Depth_per_q)</f>
        <v>1.14519967024012</v>
      </c>
      <c r="J76" s="20" t="n">
        <f aca="false">IF(Quantiles!J76&lt;0,"",(Depth0-MIN(Depth0,Quantiles!J76))/Depth_per_q)</f>
        <v>1.06879208805264</v>
      </c>
      <c r="K76" s="20" t="n">
        <f aca="false">IF(Quantiles!K76&lt;0,"",(Depth0-MIN(Depth0,Quantiles!K76))/Depth_per_q)</f>
        <v>0.98982697682291</v>
      </c>
      <c r="L76" s="20" t="n">
        <f aca="false">IF(Quantiles!L76&lt;0,"",(Depth0-MIN(Depth0,Quantiles!L76))/Depth_per_q)</f>
        <v>0.912744177208</v>
      </c>
      <c r="M76" s="20" t="n">
        <f aca="false">IF(Quantiles!M76&lt;0,"",(Depth0-MIN(Depth0,Quantiles!M76))/Depth_per_q)</f>
        <v>0.848631617860503</v>
      </c>
      <c r="N76" s="20" t="n">
        <f aca="false">IF(Quantiles!N76&lt;0,"",(Depth0-MIN(Depth0,Quantiles!N76))/Depth_per_q)</f>
        <v>0.786241620803883</v>
      </c>
      <c r="O76" s="20" t="n">
        <f aca="false">IF(Quantiles!O76&lt;0,"",(Depth0-MIN(Depth0,Quantiles!O76))/Depth_per_q)</f>
        <v>0.720985561874532</v>
      </c>
      <c r="P76" s="20" t="n">
        <f aca="false">IF(Quantiles!P76&lt;0,"",(Depth0-MIN(Depth0,Quantiles!P76))/Depth_per_q)</f>
        <v>0.66231062080724</v>
      </c>
      <c r="Q76" s="20" t="n">
        <f aca="false">IF(Quantiles!Q76&lt;0,"",(Depth0-MIN(Depth0,Quantiles!Q76))/Depth_per_q)</f>
        <v>0.605589663674802</v>
      </c>
      <c r="R76" s="20" t="n">
        <f aca="false">IF(Quantiles!R76&lt;0,"",(Depth0-MIN(Depth0,Quantiles!R76))/Depth_per_q)</f>
        <v>0.554620408360475</v>
      </c>
      <c r="S76" s="20" t="n">
        <f aca="false">IF(Quantiles!S76&lt;0,"",(Depth0-MIN(Depth0,Quantiles!S76))/Depth_per_q)</f>
        <v>0.504472191115695</v>
      </c>
      <c r="T76" s="20" t="n">
        <f aca="false">IF(Quantiles!T76&lt;0,"",(Depth0-MIN(Depth0,Quantiles!T76))/Depth_per_q)</f>
        <v>0.459023002564288</v>
      </c>
      <c r="U76" s="20" t="n">
        <f aca="false">IF(Quantiles!U76&lt;0,"",(Depth0-MIN(Depth0,Quantiles!U76))/Depth_per_q)</f>
        <v>0.414471908047415</v>
      </c>
      <c r="V76" s="20" t="n">
        <f aca="false">IF(Quantiles!V76&lt;0,"",(Depth0-MIN(Depth0,Quantiles!V76))/Depth_per_q)</f>
        <v>0.37080617429769</v>
      </c>
      <c r="W76" s="20" t="n">
        <f aca="false">IF(Quantiles!W76&lt;0,"",(Depth0-MIN(Depth0,Quantiles!W76))/Depth_per_q)</f>
        <v>0.325646574079848</v>
      </c>
      <c r="X76" s="20" t="n">
        <f aca="false">IF(Quantiles!X76&lt;0,"",(Depth0-MIN(Depth0,Quantiles!X76))/Depth_per_q)</f>
        <v>0.281353020179813</v>
      </c>
      <c r="Y76" s="20" t="n">
        <f aca="false">IF(Quantiles!Y76&lt;0,"",(Depth0-MIN(Depth0,Quantiles!Y76))/Depth_per_q)</f>
        <v>0.24376134328454</v>
      </c>
      <c r="Z76" s="20" t="n">
        <f aca="false">IF(Quantiles!Z76&lt;0,"",(Depth0-MIN(Depth0,Quantiles!Z76))/Depth_per_q)</f>
        <v>0.20476357696557</v>
      </c>
      <c r="AA76" s="20" t="n">
        <f aca="false">IF(Quantiles!AA76&lt;0,"",(Depth0-MIN(Depth0,Quantiles!AA76))/Depth_per_q)</f>
        <v>0.167615430566038</v>
      </c>
      <c r="AB76" s="20" t="n">
        <f aca="false">IF(Quantiles!AB76&lt;0,"",(Depth0-MIN(Depth0,Quantiles!AB76))/Depth_per_q)</f>
        <v>0.127002533156835</v>
      </c>
      <c r="AC76" s="20" t="n">
        <f aca="false">IF(Quantiles!AC76&lt;0,"",(Depth0-MIN(Depth0,Quantiles!AC76))/Depth_per_q)</f>
        <v>0.0914088570732323</v>
      </c>
      <c r="AD76" s="20" t="n">
        <f aca="false">IF(Quantiles!AD76&lt;0,"",(Depth0-MIN(Depth0,Quantiles!AD76))/Depth_per_q)</f>
        <v>0.0539051674686499</v>
      </c>
      <c r="AE76" s="20" t="n">
        <f aca="false">IF(Quantiles!AE76&lt;0,"",(Depth0-MIN(Depth0,Quantiles!AE76))/Depth_per_q)</f>
        <v>0.0206070858555121</v>
      </c>
      <c r="AF76" s="20" t="n">
        <f aca="false">IF(Quantiles!AF76&lt;0,"",(Depth0-MIN(Depth0,Quantiles!AF76))/Depth_per_q)</f>
        <v>0</v>
      </c>
      <c r="AG76" s="20" t="n">
        <f aca="false">IF(Quantiles!AG76&lt;0,"",(Depth0-MIN(Depth0,Quantiles!AG76))/Depth_per_q)</f>
        <v>0</v>
      </c>
      <c r="AH76" s="20" t="n">
        <f aca="false">IF(Quantiles!AH76&lt;0,"",(Depth0-MIN(Depth0,Quantiles!AH76))/Depth_per_q)</f>
        <v>0</v>
      </c>
      <c r="AI76" s="20" t="n">
        <f aca="false">IF(Quantiles!AI76&lt;0,"",(Depth0-MIN(Depth0,Quantiles!AI76))/Depth_per_q)</f>
        <v>0</v>
      </c>
      <c r="AJ76" s="20" t="n">
        <f aca="false">IF(Quantiles!AJ76&lt;0,"",(Depth0-MIN(Depth0,Quantiles!AJ76))/Depth_per_q)</f>
        <v>0</v>
      </c>
      <c r="AK76" s="20" t="n">
        <f aca="false">IF(Quantiles!AK76&lt;0,"",(Depth0-MIN(Depth0,Quantiles!AK76))/Depth_per_q)</f>
        <v>0</v>
      </c>
      <c r="AL76" s="20" t="n">
        <f aca="false">IF(Quantiles!AL76&lt;0,"",(Depth0-MIN(Depth0,Quantiles!AL76))/Depth_per_q)</f>
        <v>0</v>
      </c>
      <c r="AM76" s="20" t="n">
        <f aca="false">IF(Quantiles!AM76&lt;0,"",(Depth0-MIN(Depth0,Quantiles!AM76))/Depth_per_q)</f>
        <v>0</v>
      </c>
      <c r="AN76" s="20" t="n">
        <f aca="false">IF(Quantiles!AN76&lt;0,"",(Depth0-MIN(Depth0,Quantiles!AN76))/Depth_per_q)</f>
        <v>0</v>
      </c>
      <c r="AO76" s="20" t="n">
        <f aca="false">IF(Quantiles!AO76&lt;0,"",(Depth0-MIN(Depth0,Quantiles!AO76))/Depth_per_q)</f>
        <v>0</v>
      </c>
      <c r="AP76" s="20" t="n">
        <f aca="false">IF(Quantiles!AP76&lt;0,"",(Depth0-MIN(Depth0,Quantiles!AP76))/Depth_per_q)</f>
        <v>0</v>
      </c>
      <c r="AQ76" s="20" t="n">
        <f aca="false">IF(Quantiles!AQ76&lt;0,"",(Depth0-MIN(Depth0,Quantiles!AQ76))/Depth_per_q)</f>
        <v>0</v>
      </c>
      <c r="AR76" s="20" t="n">
        <f aca="false">IF(Quantiles!AR76&lt;0,"",(Depth0-MIN(Depth0,Quantiles!AR76))/Depth_per_q)</f>
        <v>0</v>
      </c>
      <c r="AS76" s="20" t="n">
        <f aca="false">IF(Quantiles!AS76&lt;0,"",(Depth0-MIN(Depth0,Quantiles!AS76))/Depth_per_q)</f>
        <v>0</v>
      </c>
      <c r="AT76" s="20" t="n">
        <f aca="false">IF(Quantiles!AT76&lt;0,"",(Depth0-MIN(Depth0,Quantiles!AT76))/Depth_per_q)</f>
        <v>0</v>
      </c>
      <c r="AU76" s="20" t="n">
        <f aca="false">IF(Quantiles!AU76&lt;0,"",(Depth0-MIN(Depth0,Quantiles!AU76))/Depth_per_q)</f>
        <v>0</v>
      </c>
      <c r="AV76" s="20" t="n">
        <f aca="false">IF(Quantiles!AV76&lt;0,"",(Depth0-MIN(Depth0,Quantiles!AV76))/Depth_per_q)</f>
        <v>0</v>
      </c>
      <c r="AW76" s="20" t="n">
        <f aca="false">IF(Quantiles!AW76&lt;0,"",(Depth0-MIN(Depth0,Quantiles!AW76))/Depth_per_q)</f>
        <v>0</v>
      </c>
      <c r="AX76" s="20" t="n">
        <f aca="false">IF(Quantiles!AX76&lt;0,"",(Depth0-MIN(Depth0,Quantiles!AX76))/Depth_per_q)</f>
        <v>0</v>
      </c>
      <c r="AY76" s="20" t="n">
        <f aca="false">IF(Quantiles!AY76&lt;0,"",(Depth0-MIN(Depth0,Quantiles!AY76))/Depth_per_q)</f>
        <v>0</v>
      </c>
      <c r="AZ76" s="20" t="n">
        <f aca="false">IF(Quantiles!AZ76&lt;0,"",(Depth0-MIN(Depth0,Quantiles!AZ76))/Depth_per_q)</f>
        <v>0</v>
      </c>
      <c r="BA76" s="20" t="n">
        <f aca="false">IF(Quantiles!BA76&lt;0,"",(Depth0-MIN(Depth0,Quantiles!BA76))/Depth_per_q)</f>
        <v>0</v>
      </c>
      <c r="BB76" s="20" t="n">
        <f aca="false">IF(Quantiles!BB76&lt;0,"",(Depth0-MIN(Depth0,Quantiles!BB76))/Depth_per_q)</f>
        <v>0</v>
      </c>
      <c r="BC76" s="20" t="n">
        <f aca="false">IF(Quantiles!BC76&lt;0,"",(Depth0-MIN(Depth0,Quantiles!BC76))/Depth_per_q)</f>
        <v>0</v>
      </c>
      <c r="BD76" s="20" t="n">
        <f aca="false">IF(Quantiles!BD76&lt;0,"",(Depth0-MIN(Depth0,Quantiles!BD76))/Depth_per_q)</f>
        <v>0</v>
      </c>
      <c r="BE76" s="20" t="n">
        <f aca="false">IF(Quantiles!BE76&lt;0,"",(Depth0-MIN(Depth0,Quantiles!BE76))/Depth_per_q)</f>
        <v>0</v>
      </c>
      <c r="BF76" s="20" t="n">
        <f aca="false">IF(Quantiles!BF76&lt;0,"",(Depth0-MIN(Depth0,Quantiles!BF76))/Depth_per_q)</f>
        <v>0</v>
      </c>
      <c r="BG76" s="20" t="n">
        <f aca="false">IF(Quantiles!BG76&lt;0,"",(Depth0-MIN(Depth0,Quantiles!BG76))/Depth_per_q)</f>
        <v>0</v>
      </c>
      <c r="BH76" s="20" t="n">
        <f aca="false">IF(Quantiles!BH76&lt;0,"",(Depth0-MIN(Depth0,Quantiles!BH76))/Depth_per_q)</f>
        <v>0</v>
      </c>
      <c r="BI76" s="20" t="n">
        <f aca="false">IF(Quantiles!BI76&lt;0,"",(Depth0-MIN(Depth0,Quantiles!BI76))/Depth_per_q)</f>
        <v>0</v>
      </c>
      <c r="BJ76" s="20" t="n">
        <f aca="false">IF(Quantiles!BJ76&lt;0,"",(Depth0-MIN(Depth0,Quantiles!BJ76))/Depth_per_q)</f>
        <v>0</v>
      </c>
      <c r="BK76" s="20" t="n">
        <f aca="false">IF(Quantiles!BK76&lt;0,"",(Depth0-MIN(Depth0,Quantiles!BK76))/Depth_per_q)</f>
        <v>0</v>
      </c>
      <c r="BL76" s="20" t="n">
        <f aca="false">IF(Quantiles!BL76&lt;0,"",(Depth0-MIN(Depth0,Quantiles!BL76))/Depth_per_q)</f>
        <v>0</v>
      </c>
      <c r="BM76" s="20" t="n">
        <f aca="false">IF(Quantiles!BM76&lt;0,"",(Depth0-MIN(Depth0,Quantiles!BM76))/Depth_per_q)</f>
        <v>0</v>
      </c>
      <c r="BN76" s="20" t="n">
        <f aca="false">IF(Quantiles!BN76&lt;0,"",(Depth0-MIN(Depth0,Quantiles!BN76))/Depth_per_q)</f>
        <v>0</v>
      </c>
      <c r="BO76" s="20" t="n">
        <f aca="false">IF(Quantiles!BO76&lt;0,"",(Depth0-MIN(Depth0,Quantiles!BO76))/Depth_per_q)</f>
        <v>0</v>
      </c>
      <c r="BP76" s="20" t="n">
        <f aca="false">IF(Quantiles!BP76&lt;0,"",(Depth0-MIN(Depth0,Quantiles!BP76))/Depth_per_q)</f>
        <v>0</v>
      </c>
      <c r="BQ76" s="20" t="n">
        <f aca="false">IF(Quantiles!BQ76&lt;0,"",(Depth0-MIN(Depth0,Quantiles!BQ76))/Depth_per_q)</f>
        <v>0</v>
      </c>
      <c r="BR76" s="20" t="n">
        <f aca="false">IF(Quantiles!BR76&lt;0,"",(Depth0-MIN(Depth0,Quantiles!BR76))/Depth_per_q)</f>
        <v>0</v>
      </c>
      <c r="BS76" s="20" t="n">
        <f aca="false">IF(Quantiles!BS76&lt;0,"",(Depth0-MIN(Depth0,Quantiles!BS76))/Depth_per_q)</f>
        <v>0</v>
      </c>
      <c r="BT76" s="20" t="n">
        <f aca="false">IF(Quantiles!BT76&lt;0,"",(Depth0-MIN(Depth0,Quantiles!BT76))/Depth_per_q)</f>
        <v>0</v>
      </c>
      <c r="BU76" s="20" t="n">
        <f aca="false">IF(Quantiles!BU76&lt;0,"",(Depth0-MIN(Depth0,Quantiles!BU76))/Depth_per_q)</f>
        <v>0</v>
      </c>
      <c r="BV76" s="20" t="n">
        <f aca="false">IF(Quantiles!BV76&lt;0,"",(Depth0-MIN(Depth0,Quantiles!BV76))/Depth_per_q)</f>
        <v>0</v>
      </c>
      <c r="BW76" s="20" t="n">
        <f aca="false">IF(Quantiles!BW76&lt;0,"",(Depth0-MIN(Depth0,Quantiles!BW76))/Depth_per_q)</f>
        <v>0</v>
      </c>
      <c r="BX76" s="20" t="n">
        <f aca="false">IF(Quantiles!BX76&lt;0,"",(Depth0-MIN(Depth0,Quantiles!BX76))/Depth_per_q)</f>
        <v>0</v>
      </c>
      <c r="BY76" s="20" t="n">
        <f aca="false">IF(Quantiles!BY76&lt;0,"",(Depth0-MIN(Depth0,Quantiles!BY76))/Depth_per_q)</f>
        <v>0</v>
      </c>
      <c r="BZ76" s="20" t="n">
        <f aca="false">IF(Quantiles!BZ76&lt;0,"",(Depth0-MIN(Depth0,Quantiles!BZ76))/Depth_per_q)</f>
        <v>0</v>
      </c>
      <c r="CA76" s="20" t="n">
        <f aca="false">IF(Quantiles!CA76&lt;0,"",(Depth0-MIN(Depth0,Quantiles!CA76))/Depth_per_q)</f>
        <v>0</v>
      </c>
      <c r="CB76" s="20" t="n">
        <f aca="false">IF(Quantiles!CB76&lt;0,"",(Depth0-MIN(Depth0,Quantiles!CB76))/Depth_per_q)</f>
        <v>0</v>
      </c>
      <c r="CC76" s="20" t="n">
        <f aca="false">IF(Quantiles!CC76&lt;0,"",(Depth0-MIN(Depth0,Quantiles!CC76))/Depth_per_q)</f>
        <v>0</v>
      </c>
      <c r="CD76" s="20" t="n">
        <f aca="false">IF(Quantiles!CD76&lt;0,"",(Depth0-MIN(Depth0,Quantiles!CD76))/Depth_per_q)</f>
        <v>0</v>
      </c>
      <c r="CE76" s="20" t="n">
        <f aca="false">IF(Quantiles!CE76&lt;0,"",(Depth0-MIN(Depth0,Quantiles!CE76))/Depth_per_q)</f>
        <v>0</v>
      </c>
      <c r="CF76" s="20" t="n">
        <f aca="false">IF(Quantiles!CF76&lt;0,"",(Depth0-MIN(Depth0,Quantiles!CF76))/Depth_per_q)</f>
        <v>0</v>
      </c>
      <c r="CG76" s="20" t="n">
        <f aca="false">IF(Quantiles!CG76&lt;0,"",(Depth0-MIN(Depth0,Quantiles!CG76))/Depth_per_q)</f>
        <v>0</v>
      </c>
      <c r="CH76" s="20" t="n">
        <f aca="false">IF(Quantiles!CH76&lt;0,"",(Depth0-MIN(Depth0,Quantiles!CH76))/Depth_per_q)</f>
        <v>0</v>
      </c>
      <c r="CI76" s="20" t="n">
        <f aca="false">IF(Quantiles!CI76&lt;0,"",(Depth0-MIN(Depth0,Quantiles!CI76))/Depth_per_q)</f>
        <v>0</v>
      </c>
      <c r="CJ76" s="20" t="n">
        <f aca="false">IF(Quantiles!CJ76&lt;0,"",(Depth0-MIN(Depth0,Quantiles!CJ76))/Depth_per_q)</f>
        <v>0</v>
      </c>
      <c r="CK76" s="20" t="n">
        <f aca="false">IF(Quantiles!CK76&lt;0,"",(Depth0-MIN(Depth0,Quantiles!CK76))/Depth_per_q)</f>
        <v>0</v>
      </c>
      <c r="CL76" s="20" t="n">
        <f aca="false">IF(Quantiles!CL76&lt;0,"",(Depth0-MIN(Depth0,Quantiles!CL76))/Depth_per_q)</f>
        <v>0</v>
      </c>
      <c r="CM76" s="20" t="n">
        <f aca="false">IF(Quantiles!CM76&lt;0,"",(Depth0-MIN(Depth0,Quantiles!CM76))/Depth_per_q)</f>
        <v>0</v>
      </c>
      <c r="CN76" s="20" t="n">
        <f aca="false">IF(Quantiles!CN76&lt;0,"",(Depth0-MIN(Depth0,Quantiles!CN76))/Depth_per_q)</f>
        <v>0</v>
      </c>
      <c r="CO76" s="20" t="n">
        <f aca="false">IF(Quantiles!CO76&lt;0,"",(Depth0-MIN(Depth0,Quantiles!CO76))/Depth_per_q)</f>
        <v>0</v>
      </c>
      <c r="CP76" s="20" t="n">
        <f aca="false">IF(Quantiles!CP76&lt;0,"",(Depth0-MIN(Depth0,Quantiles!CP76))/Depth_per_q)</f>
        <v>0</v>
      </c>
      <c r="CQ76" s="20" t="n">
        <f aca="false">IF(Quantiles!CQ76&lt;0,"",(Depth0-MIN(Depth0,Quantiles!CQ76))/Depth_per_q)</f>
        <v>0</v>
      </c>
      <c r="CR76" s="20" t="n">
        <f aca="false">IF(Quantiles!CR76&lt;0,"",(Depth0-MIN(Depth0,Quantiles!CR76))/Depth_per_q)</f>
        <v>0</v>
      </c>
      <c r="CS76" s="20" t="n">
        <f aca="false">IF(Quantiles!CS76&lt;0,"",(Depth0-MIN(Depth0,Quantiles!CS76))/Depth_per_q)</f>
        <v>0</v>
      </c>
      <c r="CT76" s="20" t="n">
        <f aca="false">IF(Quantiles!CT76&lt;0,"",(Depth0-MIN(Depth0,Quantiles!CT76))/Depth_per_q)</f>
        <v>1.06818518832212</v>
      </c>
    </row>
    <row r="77" customFormat="false" ht="15" hidden="false" customHeight="false" outlineLevel="0" collapsed="false">
      <c r="A77" s="25" t="n">
        <f aca="false">Quantiles!A77</f>
        <v>360</v>
      </c>
      <c r="B77" s="20" t="n">
        <f aca="false">IF(Quantiles!B77&lt;0,"",(Depth0-MIN(Depth0,Quantiles!B77))/Depth_per_q)</f>
        <v>2.04370333354421</v>
      </c>
      <c r="C77" s="20" t="n">
        <f aca="false">IF(Quantiles!C77&lt;0,"",(Depth0-MIN(Depth0,Quantiles!C77))/Depth_per_q)</f>
        <v>1.85686023714316</v>
      </c>
      <c r="D77" s="20" t="n">
        <f aca="false">IF(Quantiles!D77&lt;0,"",(Depth0-MIN(Depth0,Quantiles!D77))/Depth_per_q)</f>
        <v>1.6925859459031</v>
      </c>
      <c r="E77" s="20" t="n">
        <f aca="false">IF(Quantiles!E77&lt;0,"",(Depth0-MIN(Depth0,Quantiles!E77))/Depth_per_q)</f>
        <v>1.55581946084116</v>
      </c>
      <c r="F77" s="20" t="n">
        <f aca="false">IF(Quantiles!F77&lt;0,"",(Depth0-MIN(Depth0,Quantiles!F77))/Depth_per_q)</f>
        <v>1.43600701697545</v>
      </c>
      <c r="G77" s="20" t="n">
        <f aca="false">IF(Quantiles!G77&lt;0,"",(Depth0-MIN(Depth0,Quantiles!G77))/Depth_per_q)</f>
        <v>1.32922826589838</v>
      </c>
      <c r="H77" s="20" t="n">
        <f aca="false">IF(Quantiles!H77&lt;0,"",(Depth0-MIN(Depth0,Quantiles!H77))/Depth_per_q)</f>
        <v>1.23593759300702</v>
      </c>
      <c r="I77" s="20" t="n">
        <f aca="false">IF(Quantiles!I77&lt;0,"",(Depth0-MIN(Depth0,Quantiles!I77))/Depth_per_q)</f>
        <v>1.14519967024012</v>
      </c>
      <c r="J77" s="20" t="n">
        <f aca="false">IF(Quantiles!J77&lt;0,"",(Depth0-MIN(Depth0,Quantiles!J77))/Depth_per_q)</f>
        <v>1.06879208805264</v>
      </c>
      <c r="K77" s="20" t="n">
        <f aca="false">IF(Quantiles!K77&lt;0,"",(Depth0-MIN(Depth0,Quantiles!K77))/Depth_per_q)</f>
        <v>0.98982697682291</v>
      </c>
      <c r="L77" s="20" t="n">
        <f aca="false">IF(Quantiles!L77&lt;0,"",(Depth0-MIN(Depth0,Quantiles!L77))/Depth_per_q)</f>
        <v>0.912744177208</v>
      </c>
      <c r="M77" s="20" t="n">
        <f aca="false">IF(Quantiles!M77&lt;0,"",(Depth0-MIN(Depth0,Quantiles!M77))/Depth_per_q)</f>
        <v>0.848631617860503</v>
      </c>
      <c r="N77" s="20" t="n">
        <f aca="false">IF(Quantiles!N77&lt;0,"",(Depth0-MIN(Depth0,Quantiles!N77))/Depth_per_q)</f>
        <v>0.786241620803883</v>
      </c>
      <c r="O77" s="20" t="n">
        <f aca="false">IF(Quantiles!O77&lt;0,"",(Depth0-MIN(Depth0,Quantiles!O77))/Depth_per_q)</f>
        <v>0.720985561874532</v>
      </c>
      <c r="P77" s="20" t="n">
        <f aca="false">IF(Quantiles!P77&lt;0,"",(Depth0-MIN(Depth0,Quantiles!P77))/Depth_per_q)</f>
        <v>0.66231062080724</v>
      </c>
      <c r="Q77" s="20" t="n">
        <f aca="false">IF(Quantiles!Q77&lt;0,"",(Depth0-MIN(Depth0,Quantiles!Q77))/Depth_per_q)</f>
        <v>0.605589663674802</v>
      </c>
      <c r="R77" s="20" t="n">
        <f aca="false">IF(Quantiles!R77&lt;0,"",(Depth0-MIN(Depth0,Quantiles!R77))/Depth_per_q)</f>
        <v>0.554620408360475</v>
      </c>
      <c r="S77" s="20" t="n">
        <f aca="false">IF(Quantiles!S77&lt;0,"",(Depth0-MIN(Depth0,Quantiles!S77))/Depth_per_q)</f>
        <v>0.504472191115695</v>
      </c>
      <c r="T77" s="20" t="n">
        <f aca="false">IF(Quantiles!T77&lt;0,"",(Depth0-MIN(Depth0,Quantiles!T77))/Depth_per_q)</f>
        <v>0.459023002564288</v>
      </c>
      <c r="U77" s="20" t="n">
        <f aca="false">IF(Quantiles!U77&lt;0,"",(Depth0-MIN(Depth0,Quantiles!U77))/Depth_per_q)</f>
        <v>0.413998614987965</v>
      </c>
      <c r="V77" s="20" t="n">
        <f aca="false">IF(Quantiles!V77&lt;0,"",(Depth0-MIN(Depth0,Quantiles!V77))/Depth_per_q)</f>
        <v>0.370693941344228</v>
      </c>
      <c r="W77" s="20" t="n">
        <f aca="false">IF(Quantiles!W77&lt;0,"",(Depth0-MIN(Depth0,Quantiles!W77))/Depth_per_q)</f>
        <v>0.325213723277267</v>
      </c>
      <c r="X77" s="20" t="n">
        <f aca="false">IF(Quantiles!X77&lt;0,"",(Depth0-MIN(Depth0,Quantiles!X77))/Depth_per_q)</f>
        <v>0.281150595467793</v>
      </c>
      <c r="Y77" s="20" t="n">
        <f aca="false">IF(Quantiles!Y77&lt;0,"",(Depth0-MIN(Depth0,Quantiles!Y77))/Depth_per_q)</f>
        <v>0.243567316284618</v>
      </c>
      <c r="Z77" s="20" t="n">
        <f aca="false">IF(Quantiles!Z77&lt;0,"",(Depth0-MIN(Depth0,Quantiles!Z77))/Depth_per_q)</f>
        <v>0.204650451623095</v>
      </c>
      <c r="AA77" s="20" t="n">
        <f aca="false">IF(Quantiles!AA77&lt;0,"",(Depth0-MIN(Depth0,Quantiles!AA77))/Depth_per_q)</f>
        <v>0.167615430566038</v>
      </c>
      <c r="AB77" s="20" t="n">
        <f aca="false">IF(Quantiles!AB77&lt;0,"",(Depth0-MIN(Depth0,Quantiles!AB77))/Depth_per_q)</f>
        <v>0.127002533156835</v>
      </c>
      <c r="AC77" s="20" t="n">
        <f aca="false">IF(Quantiles!AC77&lt;0,"",(Depth0-MIN(Depth0,Quantiles!AC77))/Depth_per_q)</f>
        <v>0.0914088570732323</v>
      </c>
      <c r="AD77" s="20" t="n">
        <f aca="false">IF(Quantiles!AD77&lt;0,"",(Depth0-MIN(Depth0,Quantiles!AD77))/Depth_per_q)</f>
        <v>0.0539051674686499</v>
      </c>
      <c r="AE77" s="20" t="n">
        <f aca="false">IF(Quantiles!AE77&lt;0,"",(Depth0-MIN(Depth0,Quantiles!AE77))/Depth_per_q)</f>
        <v>0.0206070858555121</v>
      </c>
      <c r="AF77" s="20" t="n">
        <f aca="false">IF(Quantiles!AF77&lt;0,"",(Depth0-MIN(Depth0,Quantiles!AF77))/Depth_per_q)</f>
        <v>0</v>
      </c>
      <c r="AG77" s="20" t="n">
        <f aca="false">IF(Quantiles!AG77&lt;0,"",(Depth0-MIN(Depth0,Quantiles!AG77))/Depth_per_q)</f>
        <v>0</v>
      </c>
      <c r="AH77" s="20" t="n">
        <f aca="false">IF(Quantiles!AH77&lt;0,"",(Depth0-MIN(Depth0,Quantiles!AH77))/Depth_per_q)</f>
        <v>0</v>
      </c>
      <c r="AI77" s="20" t="n">
        <f aca="false">IF(Quantiles!AI77&lt;0,"",(Depth0-MIN(Depth0,Quantiles!AI77))/Depth_per_q)</f>
        <v>0</v>
      </c>
      <c r="AJ77" s="20" t="n">
        <f aca="false">IF(Quantiles!AJ77&lt;0,"",(Depth0-MIN(Depth0,Quantiles!AJ77))/Depth_per_q)</f>
        <v>0</v>
      </c>
      <c r="AK77" s="20" t="n">
        <f aca="false">IF(Quantiles!AK77&lt;0,"",(Depth0-MIN(Depth0,Quantiles!AK77))/Depth_per_q)</f>
        <v>0</v>
      </c>
      <c r="AL77" s="20" t="n">
        <f aca="false">IF(Quantiles!AL77&lt;0,"",(Depth0-MIN(Depth0,Quantiles!AL77))/Depth_per_q)</f>
        <v>0</v>
      </c>
      <c r="AM77" s="20" t="n">
        <f aca="false">IF(Quantiles!AM77&lt;0,"",(Depth0-MIN(Depth0,Quantiles!AM77))/Depth_per_q)</f>
        <v>0</v>
      </c>
      <c r="AN77" s="20" t="n">
        <f aca="false">IF(Quantiles!AN77&lt;0,"",(Depth0-MIN(Depth0,Quantiles!AN77))/Depth_per_q)</f>
        <v>0</v>
      </c>
      <c r="AO77" s="20" t="n">
        <f aca="false">IF(Quantiles!AO77&lt;0,"",(Depth0-MIN(Depth0,Quantiles!AO77))/Depth_per_q)</f>
        <v>0</v>
      </c>
      <c r="AP77" s="20" t="n">
        <f aca="false">IF(Quantiles!AP77&lt;0,"",(Depth0-MIN(Depth0,Quantiles!AP77))/Depth_per_q)</f>
        <v>0</v>
      </c>
      <c r="AQ77" s="20" t="n">
        <f aca="false">IF(Quantiles!AQ77&lt;0,"",(Depth0-MIN(Depth0,Quantiles!AQ77))/Depth_per_q)</f>
        <v>0</v>
      </c>
      <c r="AR77" s="20" t="n">
        <f aca="false">IF(Quantiles!AR77&lt;0,"",(Depth0-MIN(Depth0,Quantiles!AR77))/Depth_per_q)</f>
        <v>0</v>
      </c>
      <c r="AS77" s="20" t="n">
        <f aca="false">IF(Quantiles!AS77&lt;0,"",(Depth0-MIN(Depth0,Quantiles!AS77))/Depth_per_q)</f>
        <v>0</v>
      </c>
      <c r="AT77" s="20" t="n">
        <f aca="false">IF(Quantiles!AT77&lt;0,"",(Depth0-MIN(Depth0,Quantiles!AT77))/Depth_per_q)</f>
        <v>0</v>
      </c>
      <c r="AU77" s="20" t="n">
        <f aca="false">IF(Quantiles!AU77&lt;0,"",(Depth0-MIN(Depth0,Quantiles!AU77))/Depth_per_q)</f>
        <v>0</v>
      </c>
      <c r="AV77" s="20" t="n">
        <f aca="false">IF(Quantiles!AV77&lt;0,"",(Depth0-MIN(Depth0,Quantiles!AV77))/Depth_per_q)</f>
        <v>0</v>
      </c>
      <c r="AW77" s="20" t="n">
        <f aca="false">IF(Quantiles!AW77&lt;0,"",(Depth0-MIN(Depth0,Quantiles!AW77))/Depth_per_q)</f>
        <v>0</v>
      </c>
      <c r="AX77" s="20" t="n">
        <f aca="false">IF(Quantiles!AX77&lt;0,"",(Depth0-MIN(Depth0,Quantiles!AX77))/Depth_per_q)</f>
        <v>0</v>
      </c>
      <c r="AY77" s="20" t="n">
        <f aca="false">IF(Quantiles!AY77&lt;0,"",(Depth0-MIN(Depth0,Quantiles!AY77))/Depth_per_q)</f>
        <v>0</v>
      </c>
      <c r="AZ77" s="20" t="n">
        <f aca="false">IF(Quantiles!AZ77&lt;0,"",(Depth0-MIN(Depth0,Quantiles!AZ77))/Depth_per_q)</f>
        <v>0</v>
      </c>
      <c r="BA77" s="20" t="n">
        <f aca="false">IF(Quantiles!BA77&lt;0,"",(Depth0-MIN(Depth0,Quantiles!BA77))/Depth_per_q)</f>
        <v>0</v>
      </c>
      <c r="BB77" s="20" t="n">
        <f aca="false">IF(Quantiles!BB77&lt;0,"",(Depth0-MIN(Depth0,Quantiles!BB77))/Depth_per_q)</f>
        <v>0</v>
      </c>
      <c r="BC77" s="20" t="n">
        <f aca="false">IF(Quantiles!BC77&lt;0,"",(Depth0-MIN(Depth0,Quantiles!BC77))/Depth_per_q)</f>
        <v>0</v>
      </c>
      <c r="BD77" s="20" t="n">
        <f aca="false">IF(Quantiles!BD77&lt;0,"",(Depth0-MIN(Depth0,Quantiles!BD77))/Depth_per_q)</f>
        <v>0</v>
      </c>
      <c r="BE77" s="20" t="n">
        <f aca="false">IF(Quantiles!BE77&lt;0,"",(Depth0-MIN(Depth0,Quantiles!BE77))/Depth_per_q)</f>
        <v>0</v>
      </c>
      <c r="BF77" s="20" t="n">
        <f aca="false">IF(Quantiles!BF77&lt;0,"",(Depth0-MIN(Depth0,Quantiles!BF77))/Depth_per_q)</f>
        <v>0</v>
      </c>
      <c r="BG77" s="20" t="n">
        <f aca="false">IF(Quantiles!BG77&lt;0,"",(Depth0-MIN(Depth0,Quantiles!BG77))/Depth_per_q)</f>
        <v>0</v>
      </c>
      <c r="BH77" s="20" t="n">
        <f aca="false">IF(Quantiles!BH77&lt;0,"",(Depth0-MIN(Depth0,Quantiles!BH77))/Depth_per_q)</f>
        <v>0</v>
      </c>
      <c r="BI77" s="20" t="n">
        <f aca="false">IF(Quantiles!BI77&lt;0,"",(Depth0-MIN(Depth0,Quantiles!BI77))/Depth_per_q)</f>
        <v>0</v>
      </c>
      <c r="BJ77" s="20" t="n">
        <f aca="false">IF(Quantiles!BJ77&lt;0,"",(Depth0-MIN(Depth0,Quantiles!BJ77))/Depth_per_q)</f>
        <v>0</v>
      </c>
      <c r="BK77" s="20" t="n">
        <f aca="false">IF(Quantiles!BK77&lt;0,"",(Depth0-MIN(Depth0,Quantiles!BK77))/Depth_per_q)</f>
        <v>0</v>
      </c>
      <c r="BL77" s="20" t="n">
        <f aca="false">IF(Quantiles!BL77&lt;0,"",(Depth0-MIN(Depth0,Quantiles!BL77))/Depth_per_q)</f>
        <v>0</v>
      </c>
      <c r="BM77" s="20" t="n">
        <f aca="false">IF(Quantiles!BM77&lt;0,"",(Depth0-MIN(Depth0,Quantiles!BM77))/Depth_per_q)</f>
        <v>0</v>
      </c>
      <c r="BN77" s="20" t="n">
        <f aca="false">IF(Quantiles!BN77&lt;0,"",(Depth0-MIN(Depth0,Quantiles!BN77))/Depth_per_q)</f>
        <v>0</v>
      </c>
      <c r="BO77" s="20" t="n">
        <f aca="false">IF(Quantiles!BO77&lt;0,"",(Depth0-MIN(Depth0,Quantiles!BO77))/Depth_per_q)</f>
        <v>0</v>
      </c>
      <c r="BP77" s="20" t="n">
        <f aca="false">IF(Quantiles!BP77&lt;0,"",(Depth0-MIN(Depth0,Quantiles!BP77))/Depth_per_q)</f>
        <v>0</v>
      </c>
      <c r="BQ77" s="20" t="n">
        <f aca="false">IF(Quantiles!BQ77&lt;0,"",(Depth0-MIN(Depth0,Quantiles!BQ77))/Depth_per_q)</f>
        <v>0</v>
      </c>
      <c r="BR77" s="20" t="n">
        <f aca="false">IF(Quantiles!BR77&lt;0,"",(Depth0-MIN(Depth0,Quantiles!BR77))/Depth_per_q)</f>
        <v>0</v>
      </c>
      <c r="BS77" s="20" t="n">
        <f aca="false">IF(Quantiles!BS77&lt;0,"",(Depth0-MIN(Depth0,Quantiles!BS77))/Depth_per_q)</f>
        <v>0</v>
      </c>
      <c r="BT77" s="20" t="n">
        <f aca="false">IF(Quantiles!BT77&lt;0,"",(Depth0-MIN(Depth0,Quantiles!BT77))/Depth_per_q)</f>
        <v>0</v>
      </c>
      <c r="BU77" s="20" t="n">
        <f aca="false">IF(Quantiles!BU77&lt;0,"",(Depth0-MIN(Depth0,Quantiles!BU77))/Depth_per_q)</f>
        <v>0</v>
      </c>
      <c r="BV77" s="20" t="n">
        <f aca="false">IF(Quantiles!BV77&lt;0,"",(Depth0-MIN(Depth0,Quantiles!BV77))/Depth_per_q)</f>
        <v>0</v>
      </c>
      <c r="BW77" s="20" t="n">
        <f aca="false">IF(Quantiles!BW77&lt;0,"",(Depth0-MIN(Depth0,Quantiles!BW77))/Depth_per_q)</f>
        <v>0</v>
      </c>
      <c r="BX77" s="20" t="n">
        <f aca="false">IF(Quantiles!BX77&lt;0,"",(Depth0-MIN(Depth0,Quantiles!BX77))/Depth_per_q)</f>
        <v>0</v>
      </c>
      <c r="BY77" s="20" t="n">
        <f aca="false">IF(Quantiles!BY77&lt;0,"",(Depth0-MIN(Depth0,Quantiles!BY77))/Depth_per_q)</f>
        <v>0</v>
      </c>
      <c r="BZ77" s="20" t="n">
        <f aca="false">IF(Quantiles!BZ77&lt;0,"",(Depth0-MIN(Depth0,Quantiles!BZ77))/Depth_per_q)</f>
        <v>0</v>
      </c>
      <c r="CA77" s="20" t="n">
        <f aca="false">IF(Quantiles!CA77&lt;0,"",(Depth0-MIN(Depth0,Quantiles!CA77))/Depth_per_q)</f>
        <v>0</v>
      </c>
      <c r="CB77" s="20" t="n">
        <f aca="false">IF(Quantiles!CB77&lt;0,"",(Depth0-MIN(Depth0,Quantiles!CB77))/Depth_per_q)</f>
        <v>0</v>
      </c>
      <c r="CC77" s="20" t="n">
        <f aca="false">IF(Quantiles!CC77&lt;0,"",(Depth0-MIN(Depth0,Quantiles!CC77))/Depth_per_q)</f>
        <v>0</v>
      </c>
      <c r="CD77" s="20" t="n">
        <f aca="false">IF(Quantiles!CD77&lt;0,"",(Depth0-MIN(Depth0,Quantiles!CD77))/Depth_per_q)</f>
        <v>0</v>
      </c>
      <c r="CE77" s="20" t="n">
        <f aca="false">IF(Quantiles!CE77&lt;0,"",(Depth0-MIN(Depth0,Quantiles!CE77))/Depth_per_q)</f>
        <v>0</v>
      </c>
      <c r="CF77" s="20" t="n">
        <f aca="false">IF(Quantiles!CF77&lt;0,"",(Depth0-MIN(Depth0,Quantiles!CF77))/Depth_per_q)</f>
        <v>0</v>
      </c>
      <c r="CG77" s="20" t="n">
        <f aca="false">IF(Quantiles!CG77&lt;0,"",(Depth0-MIN(Depth0,Quantiles!CG77))/Depth_per_q)</f>
        <v>0</v>
      </c>
      <c r="CH77" s="20" t="n">
        <f aca="false">IF(Quantiles!CH77&lt;0,"",(Depth0-MIN(Depth0,Quantiles!CH77))/Depth_per_q)</f>
        <v>0</v>
      </c>
      <c r="CI77" s="20" t="n">
        <f aca="false">IF(Quantiles!CI77&lt;0,"",(Depth0-MIN(Depth0,Quantiles!CI77))/Depth_per_q)</f>
        <v>0</v>
      </c>
      <c r="CJ77" s="20" t="n">
        <f aca="false">IF(Quantiles!CJ77&lt;0,"",(Depth0-MIN(Depth0,Quantiles!CJ77))/Depth_per_q)</f>
        <v>0</v>
      </c>
      <c r="CK77" s="20" t="n">
        <f aca="false">IF(Quantiles!CK77&lt;0,"",(Depth0-MIN(Depth0,Quantiles!CK77))/Depth_per_q)</f>
        <v>0</v>
      </c>
      <c r="CL77" s="20" t="n">
        <f aca="false">IF(Quantiles!CL77&lt;0,"",(Depth0-MIN(Depth0,Quantiles!CL77))/Depth_per_q)</f>
        <v>0</v>
      </c>
      <c r="CM77" s="20" t="n">
        <f aca="false">IF(Quantiles!CM77&lt;0,"",(Depth0-MIN(Depth0,Quantiles!CM77))/Depth_per_q)</f>
        <v>0</v>
      </c>
      <c r="CN77" s="20" t="n">
        <f aca="false">IF(Quantiles!CN77&lt;0,"",(Depth0-MIN(Depth0,Quantiles!CN77))/Depth_per_q)</f>
        <v>0</v>
      </c>
      <c r="CO77" s="20" t="n">
        <f aca="false">IF(Quantiles!CO77&lt;0,"",(Depth0-MIN(Depth0,Quantiles!CO77))/Depth_per_q)</f>
        <v>0</v>
      </c>
      <c r="CP77" s="20" t="n">
        <f aca="false">IF(Quantiles!CP77&lt;0,"",(Depth0-MIN(Depth0,Quantiles!CP77))/Depth_per_q)</f>
        <v>0</v>
      </c>
      <c r="CQ77" s="20" t="n">
        <f aca="false">IF(Quantiles!CQ77&lt;0,"",(Depth0-MIN(Depth0,Quantiles!CQ77))/Depth_per_q)</f>
        <v>0</v>
      </c>
      <c r="CR77" s="20" t="n">
        <f aca="false">IF(Quantiles!CR77&lt;0,"",(Depth0-MIN(Depth0,Quantiles!CR77))/Depth_per_q)</f>
        <v>0</v>
      </c>
      <c r="CS77" s="20" t="n">
        <f aca="false">IF(Quantiles!CS77&lt;0,"",(Depth0-MIN(Depth0,Quantiles!CS77))/Depth_per_q)</f>
        <v>0</v>
      </c>
      <c r="CT77" s="20" t="n">
        <f aca="false">IF(Quantiles!CT77&lt;0,"",(Depth0-MIN(Depth0,Quantiles!CT77))/Depth_per_q)</f>
        <v>1.06818518832212</v>
      </c>
    </row>
    <row r="78" customFormat="false" ht="15" hidden="false" customHeight="false" outlineLevel="0" collapsed="false">
      <c r="A78" s="25" t="n">
        <f aca="false">Quantiles!A78</f>
        <v>365</v>
      </c>
      <c r="B78" s="20" t="n">
        <f aca="false">IF(Quantiles!B78&lt;0,"",(Depth0-MIN(Depth0,Quantiles!B78))/Depth_per_q)</f>
        <v>2.0430980511352</v>
      </c>
      <c r="C78" s="20" t="n">
        <f aca="false">IF(Quantiles!C78&lt;0,"",(Depth0-MIN(Depth0,Quantiles!C78))/Depth_per_q)</f>
        <v>1.85686023714316</v>
      </c>
      <c r="D78" s="20" t="n">
        <f aca="false">IF(Quantiles!D78&lt;0,"",(Depth0-MIN(Depth0,Quantiles!D78))/Depth_per_q)</f>
        <v>1.6925859459031</v>
      </c>
      <c r="E78" s="20" t="n">
        <f aca="false">IF(Quantiles!E78&lt;0,"",(Depth0-MIN(Depth0,Quantiles!E78))/Depth_per_q)</f>
        <v>1.55581946084116</v>
      </c>
      <c r="F78" s="20" t="n">
        <f aca="false">IF(Quantiles!F78&lt;0,"",(Depth0-MIN(Depth0,Quantiles!F78))/Depth_per_q)</f>
        <v>1.43600701697545</v>
      </c>
      <c r="G78" s="20" t="n">
        <f aca="false">IF(Quantiles!G78&lt;0,"",(Depth0-MIN(Depth0,Quantiles!G78))/Depth_per_q)</f>
        <v>1.32922826589838</v>
      </c>
      <c r="H78" s="20" t="n">
        <f aca="false">IF(Quantiles!H78&lt;0,"",(Depth0-MIN(Depth0,Quantiles!H78))/Depth_per_q)</f>
        <v>1.23593759300702</v>
      </c>
      <c r="I78" s="20" t="n">
        <f aca="false">IF(Quantiles!I78&lt;0,"",(Depth0-MIN(Depth0,Quantiles!I78))/Depth_per_q)</f>
        <v>1.14519967024012</v>
      </c>
      <c r="J78" s="20" t="n">
        <f aca="false">IF(Quantiles!J78&lt;0,"",(Depth0-MIN(Depth0,Quantiles!J78))/Depth_per_q)</f>
        <v>1.06879208805264</v>
      </c>
      <c r="K78" s="20" t="n">
        <f aca="false">IF(Quantiles!K78&lt;0,"",(Depth0-MIN(Depth0,Quantiles!K78))/Depth_per_q)</f>
        <v>0.98982697682291</v>
      </c>
      <c r="L78" s="20" t="n">
        <f aca="false">IF(Quantiles!L78&lt;0,"",(Depth0-MIN(Depth0,Quantiles!L78))/Depth_per_q)</f>
        <v>0.912744177208</v>
      </c>
      <c r="M78" s="20" t="n">
        <f aca="false">IF(Quantiles!M78&lt;0,"",(Depth0-MIN(Depth0,Quantiles!M78))/Depth_per_q)</f>
        <v>0.848631617860503</v>
      </c>
      <c r="N78" s="20" t="n">
        <f aca="false">IF(Quantiles!N78&lt;0,"",(Depth0-MIN(Depth0,Quantiles!N78))/Depth_per_q)</f>
        <v>0.786241620803883</v>
      </c>
      <c r="O78" s="20" t="n">
        <f aca="false">IF(Quantiles!O78&lt;0,"",(Depth0-MIN(Depth0,Quantiles!O78))/Depth_per_q)</f>
        <v>0.720985561874532</v>
      </c>
      <c r="P78" s="20" t="n">
        <f aca="false">IF(Quantiles!P78&lt;0,"",(Depth0-MIN(Depth0,Quantiles!P78))/Depth_per_q)</f>
        <v>0.66231062080724</v>
      </c>
      <c r="Q78" s="20" t="n">
        <f aca="false">IF(Quantiles!Q78&lt;0,"",(Depth0-MIN(Depth0,Quantiles!Q78))/Depth_per_q)</f>
        <v>0.605589663674802</v>
      </c>
      <c r="R78" s="20" t="n">
        <f aca="false">IF(Quantiles!R78&lt;0,"",(Depth0-MIN(Depth0,Quantiles!R78))/Depth_per_q)</f>
        <v>0.554620408360475</v>
      </c>
      <c r="S78" s="20" t="n">
        <f aca="false">IF(Quantiles!S78&lt;0,"",(Depth0-MIN(Depth0,Quantiles!S78))/Depth_per_q)</f>
        <v>0.504472191115695</v>
      </c>
      <c r="T78" s="20" t="n">
        <f aca="false">IF(Quantiles!T78&lt;0,"",(Depth0-MIN(Depth0,Quantiles!T78))/Depth_per_q)</f>
        <v>0.459023002564288</v>
      </c>
      <c r="U78" s="20" t="n">
        <f aca="false">IF(Quantiles!U78&lt;0,"",(Depth0-MIN(Depth0,Quantiles!U78))/Depth_per_q)</f>
        <v>0.413998614987965</v>
      </c>
      <c r="V78" s="20" t="n">
        <f aca="false">IF(Quantiles!V78&lt;0,"",(Depth0-MIN(Depth0,Quantiles!V78))/Depth_per_q)</f>
        <v>0.370693941344228</v>
      </c>
      <c r="W78" s="20" t="n">
        <f aca="false">IF(Quantiles!W78&lt;0,"",(Depth0-MIN(Depth0,Quantiles!W78))/Depth_per_q)</f>
        <v>0.325213723277267</v>
      </c>
      <c r="X78" s="20" t="n">
        <f aca="false">IF(Quantiles!X78&lt;0,"",(Depth0-MIN(Depth0,Quantiles!X78))/Depth_per_q)</f>
        <v>0.281150595467793</v>
      </c>
      <c r="Y78" s="20" t="n">
        <f aca="false">IF(Quantiles!Y78&lt;0,"",(Depth0-MIN(Depth0,Quantiles!Y78))/Depth_per_q)</f>
        <v>0.243567316284618</v>
      </c>
      <c r="Z78" s="20" t="n">
        <f aca="false">IF(Quantiles!Z78&lt;0,"",(Depth0-MIN(Depth0,Quantiles!Z78))/Depth_per_q)</f>
        <v>0.20448059578099</v>
      </c>
      <c r="AA78" s="20" t="n">
        <f aca="false">IF(Quantiles!AA78&lt;0,"",(Depth0-MIN(Depth0,Quantiles!AA78))/Depth_per_q)</f>
        <v>0.167574117177135</v>
      </c>
      <c r="AB78" s="20" t="n">
        <f aca="false">IF(Quantiles!AB78&lt;0,"",(Depth0-MIN(Depth0,Quantiles!AB78))/Depth_per_q)</f>
        <v>0.126791040334687</v>
      </c>
      <c r="AC78" s="20" t="n">
        <f aca="false">IF(Quantiles!AC78&lt;0,"",(Depth0-MIN(Depth0,Quantiles!AC78))/Depth_per_q)</f>
        <v>0.0908867907533821</v>
      </c>
      <c r="AD78" s="20" t="n">
        <f aca="false">IF(Quantiles!AD78&lt;0,"",(Depth0-MIN(Depth0,Quantiles!AD78))/Depth_per_q)</f>
        <v>0.0534627227034248</v>
      </c>
      <c r="AE78" s="20" t="n">
        <f aca="false">IF(Quantiles!AE78&lt;0,"",(Depth0-MIN(Depth0,Quantiles!AE78))/Depth_per_q)</f>
        <v>0.0202417797454197</v>
      </c>
      <c r="AF78" s="20" t="n">
        <f aca="false">IF(Quantiles!AF78&lt;0,"",(Depth0-MIN(Depth0,Quantiles!AF78))/Depth_per_q)</f>
        <v>0</v>
      </c>
      <c r="AG78" s="20" t="n">
        <f aca="false">IF(Quantiles!AG78&lt;0,"",(Depth0-MIN(Depth0,Quantiles!AG78))/Depth_per_q)</f>
        <v>0</v>
      </c>
      <c r="AH78" s="20" t="n">
        <f aca="false">IF(Quantiles!AH78&lt;0,"",(Depth0-MIN(Depth0,Quantiles!AH78))/Depth_per_q)</f>
        <v>0</v>
      </c>
      <c r="AI78" s="20" t="n">
        <f aca="false">IF(Quantiles!AI78&lt;0,"",(Depth0-MIN(Depth0,Quantiles!AI78))/Depth_per_q)</f>
        <v>0</v>
      </c>
      <c r="AJ78" s="20" t="n">
        <f aca="false">IF(Quantiles!AJ78&lt;0,"",(Depth0-MIN(Depth0,Quantiles!AJ78))/Depth_per_q)</f>
        <v>0</v>
      </c>
      <c r="AK78" s="20" t="n">
        <f aca="false">IF(Quantiles!AK78&lt;0,"",(Depth0-MIN(Depth0,Quantiles!AK78))/Depth_per_q)</f>
        <v>0</v>
      </c>
      <c r="AL78" s="20" t="n">
        <f aca="false">IF(Quantiles!AL78&lt;0,"",(Depth0-MIN(Depth0,Quantiles!AL78))/Depth_per_q)</f>
        <v>0</v>
      </c>
      <c r="AM78" s="20" t="n">
        <f aca="false">IF(Quantiles!AM78&lt;0,"",(Depth0-MIN(Depth0,Quantiles!AM78))/Depth_per_q)</f>
        <v>0</v>
      </c>
      <c r="AN78" s="20" t="n">
        <f aca="false">IF(Quantiles!AN78&lt;0,"",(Depth0-MIN(Depth0,Quantiles!AN78))/Depth_per_q)</f>
        <v>0</v>
      </c>
      <c r="AO78" s="20" t="n">
        <f aca="false">IF(Quantiles!AO78&lt;0,"",(Depth0-MIN(Depth0,Quantiles!AO78))/Depth_per_q)</f>
        <v>0</v>
      </c>
      <c r="AP78" s="20" t="n">
        <f aca="false">IF(Quantiles!AP78&lt;0,"",(Depth0-MIN(Depth0,Quantiles!AP78))/Depth_per_q)</f>
        <v>0</v>
      </c>
      <c r="AQ78" s="20" t="n">
        <f aca="false">IF(Quantiles!AQ78&lt;0,"",(Depth0-MIN(Depth0,Quantiles!AQ78))/Depth_per_q)</f>
        <v>0</v>
      </c>
      <c r="AR78" s="20" t="n">
        <f aca="false">IF(Quantiles!AR78&lt;0,"",(Depth0-MIN(Depth0,Quantiles!AR78))/Depth_per_q)</f>
        <v>0</v>
      </c>
      <c r="AS78" s="20" t="n">
        <f aca="false">IF(Quantiles!AS78&lt;0,"",(Depth0-MIN(Depth0,Quantiles!AS78))/Depth_per_q)</f>
        <v>0</v>
      </c>
      <c r="AT78" s="20" t="n">
        <f aca="false">IF(Quantiles!AT78&lt;0,"",(Depth0-MIN(Depth0,Quantiles!AT78))/Depth_per_q)</f>
        <v>0</v>
      </c>
      <c r="AU78" s="20" t="n">
        <f aca="false">IF(Quantiles!AU78&lt;0,"",(Depth0-MIN(Depth0,Quantiles!AU78))/Depth_per_q)</f>
        <v>0</v>
      </c>
      <c r="AV78" s="20" t="n">
        <f aca="false">IF(Quantiles!AV78&lt;0,"",(Depth0-MIN(Depth0,Quantiles!AV78))/Depth_per_q)</f>
        <v>0</v>
      </c>
      <c r="AW78" s="20" t="n">
        <f aca="false">IF(Quantiles!AW78&lt;0,"",(Depth0-MIN(Depth0,Quantiles!AW78))/Depth_per_q)</f>
        <v>0</v>
      </c>
      <c r="AX78" s="20" t="n">
        <f aca="false">IF(Quantiles!AX78&lt;0,"",(Depth0-MIN(Depth0,Quantiles!AX78))/Depth_per_q)</f>
        <v>0</v>
      </c>
      <c r="AY78" s="20" t="n">
        <f aca="false">IF(Quantiles!AY78&lt;0,"",(Depth0-MIN(Depth0,Quantiles!AY78))/Depth_per_q)</f>
        <v>0</v>
      </c>
      <c r="AZ78" s="20" t="n">
        <f aca="false">IF(Quantiles!AZ78&lt;0,"",(Depth0-MIN(Depth0,Quantiles!AZ78))/Depth_per_q)</f>
        <v>0</v>
      </c>
      <c r="BA78" s="20" t="n">
        <f aca="false">IF(Quantiles!BA78&lt;0,"",(Depth0-MIN(Depth0,Quantiles!BA78))/Depth_per_q)</f>
        <v>0</v>
      </c>
      <c r="BB78" s="20" t="n">
        <f aca="false">IF(Quantiles!BB78&lt;0,"",(Depth0-MIN(Depth0,Quantiles!BB78))/Depth_per_q)</f>
        <v>0</v>
      </c>
      <c r="BC78" s="20" t="n">
        <f aca="false">IF(Quantiles!BC78&lt;0,"",(Depth0-MIN(Depth0,Quantiles!BC78))/Depth_per_q)</f>
        <v>0</v>
      </c>
      <c r="BD78" s="20" t="n">
        <f aca="false">IF(Quantiles!BD78&lt;0,"",(Depth0-MIN(Depth0,Quantiles!BD78))/Depth_per_q)</f>
        <v>0</v>
      </c>
      <c r="BE78" s="20" t="n">
        <f aca="false">IF(Quantiles!BE78&lt;0,"",(Depth0-MIN(Depth0,Quantiles!BE78))/Depth_per_q)</f>
        <v>0</v>
      </c>
      <c r="BF78" s="20" t="n">
        <f aca="false">IF(Quantiles!BF78&lt;0,"",(Depth0-MIN(Depth0,Quantiles!BF78))/Depth_per_q)</f>
        <v>0</v>
      </c>
      <c r="BG78" s="20" t="n">
        <f aca="false">IF(Quantiles!BG78&lt;0,"",(Depth0-MIN(Depth0,Quantiles!BG78))/Depth_per_q)</f>
        <v>0</v>
      </c>
      <c r="BH78" s="20" t="n">
        <f aca="false">IF(Quantiles!BH78&lt;0,"",(Depth0-MIN(Depth0,Quantiles!BH78))/Depth_per_q)</f>
        <v>0</v>
      </c>
      <c r="BI78" s="20" t="n">
        <f aca="false">IF(Quantiles!BI78&lt;0,"",(Depth0-MIN(Depth0,Quantiles!BI78))/Depth_per_q)</f>
        <v>0</v>
      </c>
      <c r="BJ78" s="20" t="n">
        <f aca="false">IF(Quantiles!BJ78&lt;0,"",(Depth0-MIN(Depth0,Quantiles!BJ78))/Depth_per_q)</f>
        <v>0</v>
      </c>
      <c r="BK78" s="20" t="n">
        <f aca="false">IF(Quantiles!BK78&lt;0,"",(Depth0-MIN(Depth0,Quantiles!BK78))/Depth_per_q)</f>
        <v>0</v>
      </c>
      <c r="BL78" s="20" t="n">
        <f aca="false">IF(Quantiles!BL78&lt;0,"",(Depth0-MIN(Depth0,Quantiles!BL78))/Depth_per_q)</f>
        <v>0</v>
      </c>
      <c r="BM78" s="20" t="n">
        <f aca="false">IF(Quantiles!BM78&lt;0,"",(Depth0-MIN(Depth0,Quantiles!BM78))/Depth_per_q)</f>
        <v>0</v>
      </c>
      <c r="BN78" s="20" t="n">
        <f aca="false">IF(Quantiles!BN78&lt;0,"",(Depth0-MIN(Depth0,Quantiles!BN78))/Depth_per_q)</f>
        <v>0</v>
      </c>
      <c r="BO78" s="20" t="n">
        <f aca="false">IF(Quantiles!BO78&lt;0,"",(Depth0-MIN(Depth0,Quantiles!BO78))/Depth_per_q)</f>
        <v>0</v>
      </c>
      <c r="BP78" s="20" t="n">
        <f aca="false">IF(Quantiles!BP78&lt;0,"",(Depth0-MIN(Depth0,Quantiles!BP78))/Depth_per_q)</f>
        <v>0</v>
      </c>
      <c r="BQ78" s="20" t="n">
        <f aca="false">IF(Quantiles!BQ78&lt;0,"",(Depth0-MIN(Depth0,Quantiles!BQ78))/Depth_per_q)</f>
        <v>0</v>
      </c>
      <c r="BR78" s="20" t="n">
        <f aca="false">IF(Quantiles!BR78&lt;0,"",(Depth0-MIN(Depth0,Quantiles!BR78))/Depth_per_q)</f>
        <v>0</v>
      </c>
      <c r="BS78" s="20" t="n">
        <f aca="false">IF(Quantiles!BS78&lt;0,"",(Depth0-MIN(Depth0,Quantiles!BS78))/Depth_per_q)</f>
        <v>0</v>
      </c>
      <c r="BT78" s="20" t="n">
        <f aca="false">IF(Quantiles!BT78&lt;0,"",(Depth0-MIN(Depth0,Quantiles!BT78))/Depth_per_q)</f>
        <v>0</v>
      </c>
      <c r="BU78" s="20" t="n">
        <f aca="false">IF(Quantiles!BU78&lt;0,"",(Depth0-MIN(Depth0,Quantiles!BU78))/Depth_per_q)</f>
        <v>0</v>
      </c>
      <c r="BV78" s="20" t="n">
        <f aca="false">IF(Quantiles!BV78&lt;0,"",(Depth0-MIN(Depth0,Quantiles!BV78))/Depth_per_q)</f>
        <v>0</v>
      </c>
      <c r="BW78" s="20" t="n">
        <f aca="false">IF(Quantiles!BW78&lt;0,"",(Depth0-MIN(Depth0,Quantiles!BW78))/Depth_per_q)</f>
        <v>0</v>
      </c>
      <c r="BX78" s="20" t="n">
        <f aca="false">IF(Quantiles!BX78&lt;0,"",(Depth0-MIN(Depth0,Quantiles!BX78))/Depth_per_q)</f>
        <v>0</v>
      </c>
      <c r="BY78" s="20" t="n">
        <f aca="false">IF(Quantiles!BY78&lt;0,"",(Depth0-MIN(Depth0,Quantiles!BY78))/Depth_per_q)</f>
        <v>0</v>
      </c>
      <c r="BZ78" s="20" t="n">
        <f aca="false">IF(Quantiles!BZ78&lt;0,"",(Depth0-MIN(Depth0,Quantiles!BZ78))/Depth_per_q)</f>
        <v>0</v>
      </c>
      <c r="CA78" s="20" t="n">
        <f aca="false">IF(Quantiles!CA78&lt;0,"",(Depth0-MIN(Depth0,Quantiles!CA78))/Depth_per_q)</f>
        <v>0</v>
      </c>
      <c r="CB78" s="20" t="n">
        <f aca="false">IF(Quantiles!CB78&lt;0,"",(Depth0-MIN(Depth0,Quantiles!CB78))/Depth_per_q)</f>
        <v>0</v>
      </c>
      <c r="CC78" s="20" t="n">
        <f aca="false">IF(Quantiles!CC78&lt;0,"",(Depth0-MIN(Depth0,Quantiles!CC78))/Depth_per_q)</f>
        <v>0</v>
      </c>
      <c r="CD78" s="20" t="n">
        <f aca="false">IF(Quantiles!CD78&lt;0,"",(Depth0-MIN(Depth0,Quantiles!CD78))/Depth_per_q)</f>
        <v>0</v>
      </c>
      <c r="CE78" s="20" t="n">
        <f aca="false">IF(Quantiles!CE78&lt;0,"",(Depth0-MIN(Depth0,Quantiles!CE78))/Depth_per_q)</f>
        <v>0</v>
      </c>
      <c r="CF78" s="20" t="n">
        <f aca="false">IF(Quantiles!CF78&lt;0,"",(Depth0-MIN(Depth0,Quantiles!CF78))/Depth_per_q)</f>
        <v>0</v>
      </c>
      <c r="CG78" s="20" t="n">
        <f aca="false">IF(Quantiles!CG78&lt;0,"",(Depth0-MIN(Depth0,Quantiles!CG78))/Depth_per_q)</f>
        <v>0</v>
      </c>
      <c r="CH78" s="20" t="n">
        <f aca="false">IF(Quantiles!CH78&lt;0,"",(Depth0-MIN(Depth0,Quantiles!CH78))/Depth_per_q)</f>
        <v>0</v>
      </c>
      <c r="CI78" s="20" t="n">
        <f aca="false">IF(Quantiles!CI78&lt;0,"",(Depth0-MIN(Depth0,Quantiles!CI78))/Depth_per_q)</f>
        <v>0</v>
      </c>
      <c r="CJ78" s="20" t="n">
        <f aca="false">IF(Quantiles!CJ78&lt;0,"",(Depth0-MIN(Depth0,Quantiles!CJ78))/Depth_per_q)</f>
        <v>0</v>
      </c>
      <c r="CK78" s="20" t="n">
        <f aca="false">IF(Quantiles!CK78&lt;0,"",(Depth0-MIN(Depth0,Quantiles!CK78))/Depth_per_q)</f>
        <v>0</v>
      </c>
      <c r="CL78" s="20" t="n">
        <f aca="false">IF(Quantiles!CL78&lt;0,"",(Depth0-MIN(Depth0,Quantiles!CL78))/Depth_per_q)</f>
        <v>0</v>
      </c>
      <c r="CM78" s="20" t="n">
        <f aca="false">IF(Quantiles!CM78&lt;0,"",(Depth0-MIN(Depth0,Quantiles!CM78))/Depth_per_q)</f>
        <v>0</v>
      </c>
      <c r="CN78" s="20" t="n">
        <f aca="false">IF(Quantiles!CN78&lt;0,"",(Depth0-MIN(Depth0,Quantiles!CN78))/Depth_per_q)</f>
        <v>0</v>
      </c>
      <c r="CO78" s="20" t="n">
        <f aca="false">IF(Quantiles!CO78&lt;0,"",(Depth0-MIN(Depth0,Quantiles!CO78))/Depth_per_q)</f>
        <v>0</v>
      </c>
      <c r="CP78" s="20" t="n">
        <f aca="false">IF(Quantiles!CP78&lt;0,"",(Depth0-MIN(Depth0,Quantiles!CP78))/Depth_per_q)</f>
        <v>0</v>
      </c>
      <c r="CQ78" s="20" t="n">
        <f aca="false">IF(Quantiles!CQ78&lt;0,"",(Depth0-MIN(Depth0,Quantiles!CQ78))/Depth_per_q)</f>
        <v>0</v>
      </c>
      <c r="CR78" s="20" t="n">
        <f aca="false">IF(Quantiles!CR78&lt;0,"",(Depth0-MIN(Depth0,Quantiles!CR78))/Depth_per_q)</f>
        <v>0</v>
      </c>
      <c r="CS78" s="20" t="n">
        <f aca="false">IF(Quantiles!CS78&lt;0,"",(Depth0-MIN(Depth0,Quantiles!CS78))/Depth_per_q)</f>
        <v>0</v>
      </c>
      <c r="CT78" s="20" t="n">
        <f aca="false">IF(Quantiles!CT78&lt;0,"",(Depth0-MIN(Depth0,Quantiles!CT78))/Depth_per_q)</f>
        <v>1.06818518832212</v>
      </c>
    </row>
    <row r="79" customFormat="false" ht="15" hidden="false" customHeight="false" outlineLevel="0" collapsed="false">
      <c r="A79" s="25" t="n">
        <f aca="false">Quantiles!A79</f>
        <v>370</v>
      </c>
      <c r="B79" s="20" t="n">
        <f aca="false">IF(Quantiles!B79&lt;0,"",(Depth0-MIN(Depth0,Quantiles!B79))/Depth_per_q)</f>
        <v>2.0430980511352</v>
      </c>
      <c r="C79" s="20" t="n">
        <f aca="false">IF(Quantiles!C79&lt;0,"",(Depth0-MIN(Depth0,Quantiles!C79))/Depth_per_q)</f>
        <v>1.85638886159566</v>
      </c>
      <c r="D79" s="20" t="n">
        <f aca="false">IF(Quantiles!D79&lt;0,"",(Depth0-MIN(Depth0,Quantiles!D79))/Depth_per_q)</f>
        <v>1.6925859459031</v>
      </c>
      <c r="E79" s="20" t="n">
        <f aca="false">IF(Quantiles!E79&lt;0,"",(Depth0-MIN(Depth0,Quantiles!E79))/Depth_per_q)</f>
        <v>1.55581946084116</v>
      </c>
      <c r="F79" s="20" t="n">
        <f aca="false">IF(Quantiles!F79&lt;0,"",(Depth0-MIN(Depth0,Quantiles!F79))/Depth_per_q)</f>
        <v>1.43600701697545</v>
      </c>
      <c r="G79" s="20" t="n">
        <f aca="false">IF(Quantiles!G79&lt;0,"",(Depth0-MIN(Depth0,Quantiles!G79))/Depth_per_q)</f>
        <v>1.32922826589838</v>
      </c>
      <c r="H79" s="20" t="n">
        <f aca="false">IF(Quantiles!H79&lt;0,"",(Depth0-MIN(Depth0,Quantiles!H79))/Depth_per_q)</f>
        <v>1.23593759300702</v>
      </c>
      <c r="I79" s="20" t="n">
        <f aca="false">IF(Quantiles!I79&lt;0,"",(Depth0-MIN(Depth0,Quantiles!I79))/Depth_per_q)</f>
        <v>1.14519967024012</v>
      </c>
      <c r="J79" s="20" t="n">
        <f aca="false">IF(Quantiles!J79&lt;0,"",(Depth0-MIN(Depth0,Quantiles!J79))/Depth_per_q)</f>
        <v>1.06879208805264</v>
      </c>
      <c r="K79" s="20" t="n">
        <f aca="false">IF(Quantiles!K79&lt;0,"",(Depth0-MIN(Depth0,Quantiles!K79))/Depth_per_q)</f>
        <v>0.98982697682291</v>
      </c>
      <c r="L79" s="20" t="n">
        <f aca="false">IF(Quantiles!L79&lt;0,"",(Depth0-MIN(Depth0,Quantiles!L79))/Depth_per_q)</f>
        <v>0.912744177208</v>
      </c>
      <c r="M79" s="20" t="n">
        <f aca="false">IF(Quantiles!M79&lt;0,"",(Depth0-MIN(Depth0,Quantiles!M79))/Depth_per_q)</f>
        <v>0.848631617860503</v>
      </c>
      <c r="N79" s="20" t="n">
        <f aca="false">IF(Quantiles!N79&lt;0,"",(Depth0-MIN(Depth0,Quantiles!N79))/Depth_per_q)</f>
        <v>0.786241620803883</v>
      </c>
      <c r="O79" s="20" t="n">
        <f aca="false">IF(Quantiles!O79&lt;0,"",(Depth0-MIN(Depth0,Quantiles!O79))/Depth_per_q)</f>
        <v>0.720985561874532</v>
      </c>
      <c r="P79" s="20" t="n">
        <f aca="false">IF(Quantiles!P79&lt;0,"",(Depth0-MIN(Depth0,Quantiles!P79))/Depth_per_q)</f>
        <v>0.66231062080724</v>
      </c>
      <c r="Q79" s="20" t="n">
        <f aca="false">IF(Quantiles!Q79&lt;0,"",(Depth0-MIN(Depth0,Quantiles!Q79))/Depth_per_q)</f>
        <v>0.605589663674802</v>
      </c>
      <c r="R79" s="20" t="n">
        <f aca="false">IF(Quantiles!R79&lt;0,"",(Depth0-MIN(Depth0,Quantiles!R79))/Depth_per_q)</f>
        <v>0.554620408360475</v>
      </c>
      <c r="S79" s="20" t="n">
        <f aca="false">IF(Quantiles!S79&lt;0,"",(Depth0-MIN(Depth0,Quantiles!S79))/Depth_per_q)</f>
        <v>0.504472191115695</v>
      </c>
      <c r="T79" s="20" t="n">
        <f aca="false">IF(Quantiles!T79&lt;0,"",(Depth0-MIN(Depth0,Quantiles!T79))/Depth_per_q)</f>
        <v>0.459023002564288</v>
      </c>
      <c r="U79" s="20" t="n">
        <f aca="false">IF(Quantiles!U79&lt;0,"",(Depth0-MIN(Depth0,Quantiles!U79))/Depth_per_q)</f>
        <v>0.413998614987965</v>
      </c>
      <c r="V79" s="20" t="n">
        <f aca="false">IF(Quantiles!V79&lt;0,"",(Depth0-MIN(Depth0,Quantiles!V79))/Depth_per_q)</f>
        <v>0.370693941344228</v>
      </c>
      <c r="W79" s="20" t="n">
        <f aca="false">IF(Quantiles!W79&lt;0,"",(Depth0-MIN(Depth0,Quantiles!W79))/Depth_per_q)</f>
        <v>0.325213723277267</v>
      </c>
      <c r="X79" s="20" t="n">
        <f aca="false">IF(Quantiles!X79&lt;0,"",(Depth0-MIN(Depth0,Quantiles!X79))/Depth_per_q)</f>
        <v>0.281150595467793</v>
      </c>
      <c r="Y79" s="20" t="n">
        <f aca="false">IF(Quantiles!Y79&lt;0,"",(Depth0-MIN(Depth0,Quantiles!Y79))/Depth_per_q)</f>
        <v>0.243567316284618</v>
      </c>
      <c r="Z79" s="20" t="n">
        <f aca="false">IF(Quantiles!Z79&lt;0,"",(Depth0-MIN(Depth0,Quantiles!Z79))/Depth_per_q)</f>
        <v>0.20448059578099</v>
      </c>
      <c r="AA79" s="20" t="n">
        <f aca="false">IF(Quantiles!AA79&lt;0,"",(Depth0-MIN(Depth0,Quantiles!AA79))/Depth_per_q)</f>
        <v>0.167574117177135</v>
      </c>
      <c r="AB79" s="20" t="n">
        <f aca="false">IF(Quantiles!AB79&lt;0,"",(Depth0-MIN(Depth0,Quantiles!AB79))/Depth_per_q)</f>
        <v>0.126791040334687</v>
      </c>
      <c r="AC79" s="20" t="n">
        <f aca="false">IF(Quantiles!AC79&lt;0,"",(Depth0-MIN(Depth0,Quantiles!AC79))/Depth_per_q)</f>
        <v>0.0908867907533821</v>
      </c>
      <c r="AD79" s="20" t="n">
        <f aca="false">IF(Quantiles!AD79&lt;0,"",(Depth0-MIN(Depth0,Quantiles!AD79))/Depth_per_q)</f>
        <v>0.0534627227034248</v>
      </c>
      <c r="AE79" s="20" t="n">
        <f aca="false">IF(Quantiles!AE79&lt;0,"",(Depth0-MIN(Depth0,Quantiles!AE79))/Depth_per_q)</f>
        <v>0.0202417797454197</v>
      </c>
      <c r="AF79" s="20" t="n">
        <f aca="false">IF(Quantiles!AF79&lt;0,"",(Depth0-MIN(Depth0,Quantiles!AF79))/Depth_per_q)</f>
        <v>0</v>
      </c>
      <c r="AG79" s="20" t="n">
        <f aca="false">IF(Quantiles!AG79&lt;0,"",(Depth0-MIN(Depth0,Quantiles!AG79))/Depth_per_q)</f>
        <v>0</v>
      </c>
      <c r="AH79" s="20" t="n">
        <f aca="false">IF(Quantiles!AH79&lt;0,"",(Depth0-MIN(Depth0,Quantiles!AH79))/Depth_per_q)</f>
        <v>0</v>
      </c>
      <c r="AI79" s="20" t="n">
        <f aca="false">IF(Quantiles!AI79&lt;0,"",(Depth0-MIN(Depth0,Quantiles!AI79))/Depth_per_q)</f>
        <v>0</v>
      </c>
      <c r="AJ79" s="20" t="n">
        <f aca="false">IF(Quantiles!AJ79&lt;0,"",(Depth0-MIN(Depth0,Quantiles!AJ79))/Depth_per_q)</f>
        <v>0</v>
      </c>
      <c r="AK79" s="20" t="n">
        <f aca="false">IF(Quantiles!AK79&lt;0,"",(Depth0-MIN(Depth0,Quantiles!AK79))/Depth_per_q)</f>
        <v>0</v>
      </c>
      <c r="AL79" s="20" t="n">
        <f aca="false">IF(Quantiles!AL79&lt;0,"",(Depth0-MIN(Depth0,Quantiles!AL79))/Depth_per_q)</f>
        <v>0</v>
      </c>
      <c r="AM79" s="20" t="n">
        <f aca="false">IF(Quantiles!AM79&lt;0,"",(Depth0-MIN(Depth0,Quantiles!AM79))/Depth_per_q)</f>
        <v>0</v>
      </c>
      <c r="AN79" s="20" t="n">
        <f aca="false">IF(Quantiles!AN79&lt;0,"",(Depth0-MIN(Depth0,Quantiles!AN79))/Depth_per_q)</f>
        <v>0</v>
      </c>
      <c r="AO79" s="20" t="n">
        <f aca="false">IF(Quantiles!AO79&lt;0,"",(Depth0-MIN(Depth0,Quantiles!AO79))/Depth_per_q)</f>
        <v>0</v>
      </c>
      <c r="AP79" s="20" t="n">
        <f aca="false">IF(Quantiles!AP79&lt;0,"",(Depth0-MIN(Depth0,Quantiles!AP79))/Depth_per_q)</f>
        <v>0</v>
      </c>
      <c r="AQ79" s="20" t="n">
        <f aca="false">IF(Quantiles!AQ79&lt;0,"",(Depth0-MIN(Depth0,Quantiles!AQ79))/Depth_per_q)</f>
        <v>0</v>
      </c>
      <c r="AR79" s="20" t="n">
        <f aca="false">IF(Quantiles!AR79&lt;0,"",(Depth0-MIN(Depth0,Quantiles!AR79))/Depth_per_q)</f>
        <v>0</v>
      </c>
      <c r="AS79" s="20" t="n">
        <f aca="false">IF(Quantiles!AS79&lt;0,"",(Depth0-MIN(Depth0,Quantiles!AS79))/Depth_per_q)</f>
        <v>0</v>
      </c>
      <c r="AT79" s="20" t="n">
        <f aca="false">IF(Quantiles!AT79&lt;0,"",(Depth0-MIN(Depth0,Quantiles!AT79))/Depth_per_q)</f>
        <v>0</v>
      </c>
      <c r="AU79" s="20" t="n">
        <f aca="false">IF(Quantiles!AU79&lt;0,"",(Depth0-MIN(Depth0,Quantiles!AU79))/Depth_per_q)</f>
        <v>0</v>
      </c>
      <c r="AV79" s="20" t="n">
        <f aca="false">IF(Quantiles!AV79&lt;0,"",(Depth0-MIN(Depth0,Quantiles!AV79))/Depth_per_q)</f>
        <v>0</v>
      </c>
      <c r="AW79" s="20" t="n">
        <f aca="false">IF(Quantiles!AW79&lt;0,"",(Depth0-MIN(Depth0,Quantiles!AW79))/Depth_per_q)</f>
        <v>0</v>
      </c>
      <c r="AX79" s="20" t="n">
        <f aca="false">IF(Quantiles!AX79&lt;0,"",(Depth0-MIN(Depth0,Quantiles!AX79))/Depth_per_q)</f>
        <v>0</v>
      </c>
      <c r="AY79" s="20" t="n">
        <f aca="false">IF(Quantiles!AY79&lt;0,"",(Depth0-MIN(Depth0,Quantiles!AY79))/Depth_per_q)</f>
        <v>0</v>
      </c>
      <c r="AZ79" s="20" t="n">
        <f aca="false">IF(Quantiles!AZ79&lt;0,"",(Depth0-MIN(Depth0,Quantiles!AZ79))/Depth_per_q)</f>
        <v>0</v>
      </c>
      <c r="BA79" s="20" t="n">
        <f aca="false">IF(Quantiles!BA79&lt;0,"",(Depth0-MIN(Depth0,Quantiles!BA79))/Depth_per_q)</f>
        <v>0</v>
      </c>
      <c r="BB79" s="20" t="n">
        <f aca="false">IF(Quantiles!BB79&lt;0,"",(Depth0-MIN(Depth0,Quantiles!BB79))/Depth_per_q)</f>
        <v>0</v>
      </c>
      <c r="BC79" s="20" t="n">
        <f aca="false">IF(Quantiles!BC79&lt;0,"",(Depth0-MIN(Depth0,Quantiles!BC79))/Depth_per_q)</f>
        <v>0</v>
      </c>
      <c r="BD79" s="20" t="n">
        <f aca="false">IF(Quantiles!BD79&lt;0,"",(Depth0-MIN(Depth0,Quantiles!BD79))/Depth_per_q)</f>
        <v>0</v>
      </c>
      <c r="BE79" s="20" t="n">
        <f aca="false">IF(Quantiles!BE79&lt;0,"",(Depth0-MIN(Depth0,Quantiles!BE79))/Depth_per_q)</f>
        <v>0</v>
      </c>
      <c r="BF79" s="20" t="n">
        <f aca="false">IF(Quantiles!BF79&lt;0,"",(Depth0-MIN(Depth0,Quantiles!BF79))/Depth_per_q)</f>
        <v>0</v>
      </c>
      <c r="BG79" s="20" t="n">
        <f aca="false">IF(Quantiles!BG79&lt;0,"",(Depth0-MIN(Depth0,Quantiles!BG79))/Depth_per_q)</f>
        <v>0</v>
      </c>
      <c r="BH79" s="20" t="n">
        <f aca="false">IF(Quantiles!BH79&lt;0,"",(Depth0-MIN(Depth0,Quantiles!BH79))/Depth_per_q)</f>
        <v>0</v>
      </c>
      <c r="BI79" s="20" t="n">
        <f aca="false">IF(Quantiles!BI79&lt;0,"",(Depth0-MIN(Depth0,Quantiles!BI79))/Depth_per_q)</f>
        <v>0</v>
      </c>
      <c r="BJ79" s="20" t="n">
        <f aca="false">IF(Quantiles!BJ79&lt;0,"",(Depth0-MIN(Depth0,Quantiles!BJ79))/Depth_per_q)</f>
        <v>0</v>
      </c>
      <c r="BK79" s="20" t="n">
        <f aca="false">IF(Quantiles!BK79&lt;0,"",(Depth0-MIN(Depth0,Quantiles!BK79))/Depth_per_q)</f>
        <v>0</v>
      </c>
      <c r="BL79" s="20" t="n">
        <f aca="false">IF(Quantiles!BL79&lt;0,"",(Depth0-MIN(Depth0,Quantiles!BL79))/Depth_per_q)</f>
        <v>0</v>
      </c>
      <c r="BM79" s="20" t="n">
        <f aca="false">IF(Quantiles!BM79&lt;0,"",(Depth0-MIN(Depth0,Quantiles!BM79))/Depth_per_q)</f>
        <v>0</v>
      </c>
      <c r="BN79" s="20" t="n">
        <f aca="false">IF(Quantiles!BN79&lt;0,"",(Depth0-MIN(Depth0,Quantiles!BN79))/Depth_per_q)</f>
        <v>0</v>
      </c>
      <c r="BO79" s="20" t="n">
        <f aca="false">IF(Quantiles!BO79&lt;0,"",(Depth0-MIN(Depth0,Quantiles!BO79))/Depth_per_q)</f>
        <v>0</v>
      </c>
      <c r="BP79" s="20" t="n">
        <f aca="false">IF(Quantiles!BP79&lt;0,"",(Depth0-MIN(Depth0,Quantiles!BP79))/Depth_per_q)</f>
        <v>0</v>
      </c>
      <c r="BQ79" s="20" t="n">
        <f aca="false">IF(Quantiles!BQ79&lt;0,"",(Depth0-MIN(Depth0,Quantiles!BQ79))/Depth_per_q)</f>
        <v>0</v>
      </c>
      <c r="BR79" s="20" t="n">
        <f aca="false">IF(Quantiles!BR79&lt;0,"",(Depth0-MIN(Depth0,Quantiles!BR79))/Depth_per_q)</f>
        <v>0</v>
      </c>
      <c r="BS79" s="20" t="n">
        <f aca="false">IF(Quantiles!BS79&lt;0,"",(Depth0-MIN(Depth0,Quantiles!BS79))/Depth_per_q)</f>
        <v>0</v>
      </c>
      <c r="BT79" s="20" t="n">
        <f aca="false">IF(Quantiles!BT79&lt;0,"",(Depth0-MIN(Depth0,Quantiles!BT79))/Depth_per_q)</f>
        <v>0</v>
      </c>
      <c r="BU79" s="20" t="n">
        <f aca="false">IF(Quantiles!BU79&lt;0,"",(Depth0-MIN(Depth0,Quantiles!BU79))/Depth_per_q)</f>
        <v>0</v>
      </c>
      <c r="BV79" s="20" t="n">
        <f aca="false">IF(Quantiles!BV79&lt;0,"",(Depth0-MIN(Depth0,Quantiles!BV79))/Depth_per_q)</f>
        <v>0</v>
      </c>
      <c r="BW79" s="20" t="n">
        <f aca="false">IF(Quantiles!BW79&lt;0,"",(Depth0-MIN(Depth0,Quantiles!BW79))/Depth_per_q)</f>
        <v>0</v>
      </c>
      <c r="BX79" s="20" t="n">
        <f aca="false">IF(Quantiles!BX79&lt;0,"",(Depth0-MIN(Depth0,Quantiles!BX79))/Depth_per_q)</f>
        <v>0</v>
      </c>
      <c r="BY79" s="20" t="n">
        <f aca="false">IF(Quantiles!BY79&lt;0,"",(Depth0-MIN(Depth0,Quantiles!BY79))/Depth_per_q)</f>
        <v>0</v>
      </c>
      <c r="BZ79" s="20" t="n">
        <f aca="false">IF(Quantiles!BZ79&lt;0,"",(Depth0-MIN(Depth0,Quantiles!BZ79))/Depth_per_q)</f>
        <v>0</v>
      </c>
      <c r="CA79" s="20" t="n">
        <f aca="false">IF(Quantiles!CA79&lt;0,"",(Depth0-MIN(Depth0,Quantiles!CA79))/Depth_per_q)</f>
        <v>0</v>
      </c>
      <c r="CB79" s="20" t="n">
        <f aca="false">IF(Quantiles!CB79&lt;0,"",(Depth0-MIN(Depth0,Quantiles!CB79))/Depth_per_q)</f>
        <v>0</v>
      </c>
      <c r="CC79" s="20" t="n">
        <f aca="false">IF(Quantiles!CC79&lt;0,"",(Depth0-MIN(Depth0,Quantiles!CC79))/Depth_per_q)</f>
        <v>0</v>
      </c>
      <c r="CD79" s="20" t="n">
        <f aca="false">IF(Quantiles!CD79&lt;0,"",(Depth0-MIN(Depth0,Quantiles!CD79))/Depth_per_q)</f>
        <v>0</v>
      </c>
      <c r="CE79" s="20" t="n">
        <f aca="false">IF(Quantiles!CE79&lt;0,"",(Depth0-MIN(Depth0,Quantiles!CE79))/Depth_per_q)</f>
        <v>0</v>
      </c>
      <c r="CF79" s="20" t="n">
        <f aca="false">IF(Quantiles!CF79&lt;0,"",(Depth0-MIN(Depth0,Quantiles!CF79))/Depth_per_q)</f>
        <v>0</v>
      </c>
      <c r="CG79" s="20" t="n">
        <f aca="false">IF(Quantiles!CG79&lt;0,"",(Depth0-MIN(Depth0,Quantiles!CG79))/Depth_per_q)</f>
        <v>0</v>
      </c>
      <c r="CH79" s="20" t="n">
        <f aca="false">IF(Quantiles!CH79&lt;0,"",(Depth0-MIN(Depth0,Quantiles!CH79))/Depth_per_q)</f>
        <v>0</v>
      </c>
      <c r="CI79" s="20" t="n">
        <f aca="false">IF(Quantiles!CI79&lt;0,"",(Depth0-MIN(Depth0,Quantiles!CI79))/Depth_per_q)</f>
        <v>0</v>
      </c>
      <c r="CJ79" s="20" t="n">
        <f aca="false">IF(Quantiles!CJ79&lt;0,"",(Depth0-MIN(Depth0,Quantiles!CJ79))/Depth_per_q)</f>
        <v>0</v>
      </c>
      <c r="CK79" s="20" t="n">
        <f aca="false">IF(Quantiles!CK79&lt;0,"",(Depth0-MIN(Depth0,Quantiles!CK79))/Depth_per_q)</f>
        <v>0</v>
      </c>
      <c r="CL79" s="20" t="n">
        <f aca="false">IF(Quantiles!CL79&lt;0,"",(Depth0-MIN(Depth0,Quantiles!CL79))/Depth_per_q)</f>
        <v>0</v>
      </c>
      <c r="CM79" s="20" t="n">
        <f aca="false">IF(Quantiles!CM79&lt;0,"",(Depth0-MIN(Depth0,Quantiles!CM79))/Depth_per_q)</f>
        <v>0</v>
      </c>
      <c r="CN79" s="20" t="n">
        <f aca="false">IF(Quantiles!CN79&lt;0,"",(Depth0-MIN(Depth0,Quantiles!CN79))/Depth_per_q)</f>
        <v>0</v>
      </c>
      <c r="CO79" s="20" t="n">
        <f aca="false">IF(Quantiles!CO79&lt;0,"",(Depth0-MIN(Depth0,Quantiles!CO79))/Depth_per_q)</f>
        <v>0</v>
      </c>
      <c r="CP79" s="20" t="n">
        <f aca="false">IF(Quantiles!CP79&lt;0,"",(Depth0-MIN(Depth0,Quantiles!CP79))/Depth_per_q)</f>
        <v>0</v>
      </c>
      <c r="CQ79" s="20" t="n">
        <f aca="false">IF(Quantiles!CQ79&lt;0,"",(Depth0-MIN(Depth0,Quantiles!CQ79))/Depth_per_q)</f>
        <v>0</v>
      </c>
      <c r="CR79" s="20" t="n">
        <f aca="false">IF(Quantiles!CR79&lt;0,"",(Depth0-MIN(Depth0,Quantiles!CR79))/Depth_per_q)</f>
        <v>0</v>
      </c>
      <c r="CS79" s="20" t="n">
        <f aca="false">IF(Quantiles!CS79&lt;0,"",(Depth0-MIN(Depth0,Quantiles!CS79))/Depth_per_q)</f>
        <v>0</v>
      </c>
      <c r="CT79" s="20" t="n">
        <f aca="false">IF(Quantiles!CT79&lt;0,"",(Depth0-MIN(Depth0,Quantiles!CT79))/Depth_per_q)</f>
        <v>1.06818518832212</v>
      </c>
    </row>
    <row r="80" customFormat="false" ht="15" hidden="false" customHeight="false" outlineLevel="0" collapsed="false">
      <c r="A80" s="25" t="n">
        <f aca="false">Quantiles!A80</f>
        <v>375</v>
      </c>
      <c r="B80" s="20" t="n">
        <f aca="false">IF(Quantiles!B80&lt;0,"",(Depth0-MIN(Depth0,Quantiles!B80))/Depth_per_q)</f>
        <v>2.0430980511352</v>
      </c>
      <c r="C80" s="20" t="n">
        <f aca="false">IF(Quantiles!C80&lt;0,"",(Depth0-MIN(Depth0,Quantiles!C80))/Depth_per_q)</f>
        <v>1.85638886159566</v>
      </c>
      <c r="D80" s="20" t="n">
        <f aca="false">IF(Quantiles!D80&lt;0,"",(Depth0-MIN(Depth0,Quantiles!D80))/Depth_per_q)</f>
        <v>1.69241660224169</v>
      </c>
      <c r="E80" s="20" t="n">
        <f aca="false">IF(Quantiles!E80&lt;0,"",(Depth0-MIN(Depth0,Quantiles!E80))/Depth_per_q)</f>
        <v>1.55581946084116</v>
      </c>
      <c r="F80" s="20" t="n">
        <f aca="false">IF(Quantiles!F80&lt;0,"",(Depth0-MIN(Depth0,Quantiles!F80))/Depth_per_q)</f>
        <v>1.43600701697545</v>
      </c>
      <c r="G80" s="20" t="n">
        <f aca="false">IF(Quantiles!G80&lt;0,"",(Depth0-MIN(Depth0,Quantiles!G80))/Depth_per_q)</f>
        <v>1.32922826589838</v>
      </c>
      <c r="H80" s="20" t="n">
        <f aca="false">IF(Quantiles!H80&lt;0,"",(Depth0-MIN(Depth0,Quantiles!H80))/Depth_per_q)</f>
        <v>1.23593759300702</v>
      </c>
      <c r="I80" s="20" t="n">
        <f aca="false">IF(Quantiles!I80&lt;0,"",(Depth0-MIN(Depth0,Quantiles!I80))/Depth_per_q)</f>
        <v>1.14519967024012</v>
      </c>
      <c r="J80" s="20" t="n">
        <f aca="false">IF(Quantiles!J80&lt;0,"",(Depth0-MIN(Depth0,Quantiles!J80))/Depth_per_q)</f>
        <v>1.06879208805264</v>
      </c>
      <c r="K80" s="20" t="n">
        <f aca="false">IF(Quantiles!K80&lt;0,"",(Depth0-MIN(Depth0,Quantiles!K80))/Depth_per_q)</f>
        <v>0.98982697682291</v>
      </c>
      <c r="L80" s="20" t="n">
        <f aca="false">IF(Quantiles!L80&lt;0,"",(Depth0-MIN(Depth0,Quantiles!L80))/Depth_per_q)</f>
        <v>0.912744177208</v>
      </c>
      <c r="M80" s="20" t="n">
        <f aca="false">IF(Quantiles!M80&lt;0,"",(Depth0-MIN(Depth0,Quantiles!M80))/Depth_per_q)</f>
        <v>0.848631617860503</v>
      </c>
      <c r="N80" s="20" t="n">
        <f aca="false">IF(Quantiles!N80&lt;0,"",(Depth0-MIN(Depth0,Quantiles!N80))/Depth_per_q)</f>
        <v>0.786241620803883</v>
      </c>
      <c r="O80" s="20" t="n">
        <f aca="false">IF(Quantiles!O80&lt;0,"",(Depth0-MIN(Depth0,Quantiles!O80))/Depth_per_q)</f>
        <v>0.720985561874532</v>
      </c>
      <c r="P80" s="20" t="n">
        <f aca="false">IF(Quantiles!P80&lt;0,"",(Depth0-MIN(Depth0,Quantiles!P80))/Depth_per_q)</f>
        <v>0.66231062080724</v>
      </c>
      <c r="Q80" s="20" t="n">
        <f aca="false">IF(Quantiles!Q80&lt;0,"",(Depth0-MIN(Depth0,Quantiles!Q80))/Depth_per_q)</f>
        <v>0.605589663674802</v>
      </c>
      <c r="R80" s="20" t="n">
        <f aca="false">IF(Quantiles!R80&lt;0,"",(Depth0-MIN(Depth0,Quantiles!R80))/Depth_per_q)</f>
        <v>0.554620408360475</v>
      </c>
      <c r="S80" s="20" t="n">
        <f aca="false">IF(Quantiles!S80&lt;0,"",(Depth0-MIN(Depth0,Quantiles!S80))/Depth_per_q)</f>
        <v>0.504472191115695</v>
      </c>
      <c r="T80" s="20" t="n">
        <f aca="false">IF(Quantiles!T80&lt;0,"",(Depth0-MIN(Depth0,Quantiles!T80))/Depth_per_q)</f>
        <v>0.459023002564288</v>
      </c>
      <c r="U80" s="20" t="n">
        <f aca="false">IF(Quantiles!U80&lt;0,"",(Depth0-MIN(Depth0,Quantiles!U80))/Depth_per_q)</f>
        <v>0.413998614987965</v>
      </c>
      <c r="V80" s="20" t="n">
        <f aca="false">IF(Quantiles!V80&lt;0,"",(Depth0-MIN(Depth0,Quantiles!V80))/Depth_per_q)</f>
        <v>0.370693941344228</v>
      </c>
      <c r="W80" s="20" t="n">
        <f aca="false">IF(Quantiles!W80&lt;0,"",(Depth0-MIN(Depth0,Quantiles!W80))/Depth_per_q)</f>
        <v>0.325213723277267</v>
      </c>
      <c r="X80" s="20" t="n">
        <f aca="false">IF(Quantiles!X80&lt;0,"",(Depth0-MIN(Depth0,Quantiles!X80))/Depth_per_q)</f>
        <v>0.281150595467793</v>
      </c>
      <c r="Y80" s="20" t="n">
        <f aca="false">IF(Quantiles!Y80&lt;0,"",(Depth0-MIN(Depth0,Quantiles!Y80))/Depth_per_q)</f>
        <v>0.243567316284618</v>
      </c>
      <c r="Z80" s="20" t="n">
        <f aca="false">IF(Quantiles!Z80&lt;0,"",(Depth0-MIN(Depth0,Quantiles!Z80))/Depth_per_q)</f>
        <v>0.20448059578099</v>
      </c>
      <c r="AA80" s="20" t="n">
        <f aca="false">IF(Quantiles!AA80&lt;0,"",(Depth0-MIN(Depth0,Quantiles!AA80))/Depth_per_q)</f>
        <v>0.167574117177135</v>
      </c>
      <c r="AB80" s="20" t="n">
        <f aca="false">IF(Quantiles!AB80&lt;0,"",(Depth0-MIN(Depth0,Quantiles!AB80))/Depth_per_q)</f>
        <v>0.126791040334687</v>
      </c>
      <c r="AC80" s="20" t="n">
        <f aca="false">IF(Quantiles!AC80&lt;0,"",(Depth0-MIN(Depth0,Quantiles!AC80))/Depth_per_q)</f>
        <v>0.0908867907533821</v>
      </c>
      <c r="AD80" s="20" t="n">
        <f aca="false">IF(Quantiles!AD80&lt;0,"",(Depth0-MIN(Depth0,Quantiles!AD80))/Depth_per_q)</f>
        <v>0.0534627227034248</v>
      </c>
      <c r="AE80" s="20" t="n">
        <f aca="false">IF(Quantiles!AE80&lt;0,"",(Depth0-MIN(Depth0,Quantiles!AE80))/Depth_per_q)</f>
        <v>0.0202417797454197</v>
      </c>
      <c r="AF80" s="20" t="n">
        <f aca="false">IF(Quantiles!AF80&lt;0,"",(Depth0-MIN(Depth0,Quantiles!AF80))/Depth_per_q)</f>
        <v>0</v>
      </c>
      <c r="AG80" s="20" t="n">
        <f aca="false">IF(Quantiles!AG80&lt;0,"",(Depth0-MIN(Depth0,Quantiles!AG80))/Depth_per_q)</f>
        <v>0</v>
      </c>
      <c r="AH80" s="20" t="n">
        <f aca="false">IF(Quantiles!AH80&lt;0,"",(Depth0-MIN(Depth0,Quantiles!AH80))/Depth_per_q)</f>
        <v>0</v>
      </c>
      <c r="AI80" s="20" t="n">
        <f aca="false">IF(Quantiles!AI80&lt;0,"",(Depth0-MIN(Depth0,Quantiles!AI80))/Depth_per_q)</f>
        <v>0</v>
      </c>
      <c r="AJ80" s="20" t="n">
        <f aca="false">IF(Quantiles!AJ80&lt;0,"",(Depth0-MIN(Depth0,Quantiles!AJ80))/Depth_per_q)</f>
        <v>0</v>
      </c>
      <c r="AK80" s="20" t="n">
        <f aca="false">IF(Quantiles!AK80&lt;0,"",(Depth0-MIN(Depth0,Quantiles!AK80))/Depth_per_q)</f>
        <v>0</v>
      </c>
      <c r="AL80" s="20" t="n">
        <f aca="false">IF(Quantiles!AL80&lt;0,"",(Depth0-MIN(Depth0,Quantiles!AL80))/Depth_per_q)</f>
        <v>0</v>
      </c>
      <c r="AM80" s="20" t="n">
        <f aca="false">IF(Quantiles!AM80&lt;0,"",(Depth0-MIN(Depth0,Quantiles!AM80))/Depth_per_q)</f>
        <v>0</v>
      </c>
      <c r="AN80" s="20" t="n">
        <f aca="false">IF(Quantiles!AN80&lt;0,"",(Depth0-MIN(Depth0,Quantiles!AN80))/Depth_per_q)</f>
        <v>0</v>
      </c>
      <c r="AO80" s="20" t="n">
        <f aca="false">IF(Quantiles!AO80&lt;0,"",(Depth0-MIN(Depth0,Quantiles!AO80))/Depth_per_q)</f>
        <v>0</v>
      </c>
      <c r="AP80" s="20" t="n">
        <f aca="false">IF(Quantiles!AP80&lt;0,"",(Depth0-MIN(Depth0,Quantiles!AP80))/Depth_per_q)</f>
        <v>0</v>
      </c>
      <c r="AQ80" s="20" t="n">
        <f aca="false">IF(Quantiles!AQ80&lt;0,"",(Depth0-MIN(Depth0,Quantiles!AQ80))/Depth_per_q)</f>
        <v>0</v>
      </c>
      <c r="AR80" s="20" t="n">
        <f aca="false">IF(Quantiles!AR80&lt;0,"",(Depth0-MIN(Depth0,Quantiles!AR80))/Depth_per_q)</f>
        <v>0</v>
      </c>
      <c r="AS80" s="20" t="n">
        <f aca="false">IF(Quantiles!AS80&lt;0,"",(Depth0-MIN(Depth0,Quantiles!AS80))/Depth_per_q)</f>
        <v>0</v>
      </c>
      <c r="AT80" s="20" t="n">
        <f aca="false">IF(Quantiles!AT80&lt;0,"",(Depth0-MIN(Depth0,Quantiles!AT80))/Depth_per_q)</f>
        <v>0</v>
      </c>
      <c r="AU80" s="20" t="n">
        <f aca="false">IF(Quantiles!AU80&lt;0,"",(Depth0-MIN(Depth0,Quantiles!AU80))/Depth_per_q)</f>
        <v>0</v>
      </c>
      <c r="AV80" s="20" t="n">
        <f aca="false">IF(Quantiles!AV80&lt;0,"",(Depth0-MIN(Depth0,Quantiles!AV80))/Depth_per_q)</f>
        <v>0</v>
      </c>
      <c r="AW80" s="20" t="n">
        <f aca="false">IF(Quantiles!AW80&lt;0,"",(Depth0-MIN(Depth0,Quantiles!AW80))/Depth_per_q)</f>
        <v>0</v>
      </c>
      <c r="AX80" s="20" t="n">
        <f aca="false">IF(Quantiles!AX80&lt;0,"",(Depth0-MIN(Depth0,Quantiles!AX80))/Depth_per_q)</f>
        <v>0</v>
      </c>
      <c r="AY80" s="20" t="n">
        <f aca="false">IF(Quantiles!AY80&lt;0,"",(Depth0-MIN(Depth0,Quantiles!AY80))/Depth_per_q)</f>
        <v>0</v>
      </c>
      <c r="AZ80" s="20" t="n">
        <f aca="false">IF(Quantiles!AZ80&lt;0,"",(Depth0-MIN(Depth0,Quantiles!AZ80))/Depth_per_q)</f>
        <v>0</v>
      </c>
      <c r="BA80" s="20" t="n">
        <f aca="false">IF(Quantiles!BA80&lt;0,"",(Depth0-MIN(Depth0,Quantiles!BA80))/Depth_per_q)</f>
        <v>0</v>
      </c>
      <c r="BB80" s="20" t="n">
        <f aca="false">IF(Quantiles!BB80&lt;0,"",(Depth0-MIN(Depth0,Quantiles!BB80))/Depth_per_q)</f>
        <v>0</v>
      </c>
      <c r="BC80" s="20" t="n">
        <f aca="false">IF(Quantiles!BC80&lt;0,"",(Depth0-MIN(Depth0,Quantiles!BC80))/Depth_per_q)</f>
        <v>0</v>
      </c>
      <c r="BD80" s="20" t="n">
        <f aca="false">IF(Quantiles!BD80&lt;0,"",(Depth0-MIN(Depth0,Quantiles!BD80))/Depth_per_q)</f>
        <v>0</v>
      </c>
      <c r="BE80" s="20" t="n">
        <f aca="false">IF(Quantiles!BE80&lt;0,"",(Depth0-MIN(Depth0,Quantiles!BE80))/Depth_per_q)</f>
        <v>0</v>
      </c>
      <c r="BF80" s="20" t="n">
        <f aca="false">IF(Quantiles!BF80&lt;0,"",(Depth0-MIN(Depth0,Quantiles!BF80))/Depth_per_q)</f>
        <v>0</v>
      </c>
      <c r="BG80" s="20" t="n">
        <f aca="false">IF(Quantiles!BG80&lt;0,"",(Depth0-MIN(Depth0,Quantiles!BG80))/Depth_per_q)</f>
        <v>0</v>
      </c>
      <c r="BH80" s="20" t="n">
        <f aca="false">IF(Quantiles!BH80&lt;0,"",(Depth0-MIN(Depth0,Quantiles!BH80))/Depth_per_q)</f>
        <v>0</v>
      </c>
      <c r="BI80" s="20" t="n">
        <f aca="false">IF(Quantiles!BI80&lt;0,"",(Depth0-MIN(Depth0,Quantiles!BI80))/Depth_per_q)</f>
        <v>0</v>
      </c>
      <c r="BJ80" s="20" t="n">
        <f aca="false">IF(Quantiles!BJ80&lt;0,"",(Depth0-MIN(Depth0,Quantiles!BJ80))/Depth_per_q)</f>
        <v>0</v>
      </c>
      <c r="BK80" s="20" t="n">
        <f aca="false">IF(Quantiles!BK80&lt;0,"",(Depth0-MIN(Depth0,Quantiles!BK80))/Depth_per_q)</f>
        <v>0</v>
      </c>
      <c r="BL80" s="20" t="n">
        <f aca="false">IF(Quantiles!BL80&lt;0,"",(Depth0-MIN(Depth0,Quantiles!BL80))/Depth_per_q)</f>
        <v>0</v>
      </c>
      <c r="BM80" s="20" t="n">
        <f aca="false">IF(Quantiles!BM80&lt;0,"",(Depth0-MIN(Depth0,Quantiles!BM80))/Depth_per_q)</f>
        <v>0</v>
      </c>
      <c r="BN80" s="20" t="n">
        <f aca="false">IF(Quantiles!BN80&lt;0,"",(Depth0-MIN(Depth0,Quantiles!BN80))/Depth_per_q)</f>
        <v>0</v>
      </c>
      <c r="BO80" s="20" t="n">
        <f aca="false">IF(Quantiles!BO80&lt;0,"",(Depth0-MIN(Depth0,Quantiles!BO80))/Depth_per_q)</f>
        <v>0</v>
      </c>
      <c r="BP80" s="20" t="n">
        <f aca="false">IF(Quantiles!BP80&lt;0,"",(Depth0-MIN(Depth0,Quantiles!BP80))/Depth_per_q)</f>
        <v>0</v>
      </c>
      <c r="BQ80" s="20" t="n">
        <f aca="false">IF(Quantiles!BQ80&lt;0,"",(Depth0-MIN(Depth0,Quantiles!BQ80))/Depth_per_q)</f>
        <v>0</v>
      </c>
      <c r="BR80" s="20" t="n">
        <f aca="false">IF(Quantiles!BR80&lt;0,"",(Depth0-MIN(Depth0,Quantiles!BR80))/Depth_per_q)</f>
        <v>0</v>
      </c>
      <c r="BS80" s="20" t="n">
        <f aca="false">IF(Quantiles!BS80&lt;0,"",(Depth0-MIN(Depth0,Quantiles!BS80))/Depth_per_q)</f>
        <v>0</v>
      </c>
      <c r="BT80" s="20" t="n">
        <f aca="false">IF(Quantiles!BT80&lt;0,"",(Depth0-MIN(Depth0,Quantiles!BT80))/Depth_per_q)</f>
        <v>0</v>
      </c>
      <c r="BU80" s="20" t="n">
        <f aca="false">IF(Quantiles!BU80&lt;0,"",(Depth0-MIN(Depth0,Quantiles!BU80))/Depth_per_q)</f>
        <v>0</v>
      </c>
      <c r="BV80" s="20" t="n">
        <f aca="false">IF(Quantiles!BV80&lt;0,"",(Depth0-MIN(Depth0,Quantiles!BV80))/Depth_per_q)</f>
        <v>0</v>
      </c>
      <c r="BW80" s="20" t="n">
        <f aca="false">IF(Quantiles!BW80&lt;0,"",(Depth0-MIN(Depth0,Quantiles!BW80))/Depth_per_q)</f>
        <v>0</v>
      </c>
      <c r="BX80" s="20" t="n">
        <f aca="false">IF(Quantiles!BX80&lt;0,"",(Depth0-MIN(Depth0,Quantiles!BX80))/Depth_per_q)</f>
        <v>0</v>
      </c>
      <c r="BY80" s="20" t="n">
        <f aca="false">IF(Quantiles!BY80&lt;0,"",(Depth0-MIN(Depth0,Quantiles!BY80))/Depth_per_q)</f>
        <v>0</v>
      </c>
      <c r="BZ80" s="20" t="n">
        <f aca="false">IF(Quantiles!BZ80&lt;0,"",(Depth0-MIN(Depth0,Quantiles!BZ80))/Depth_per_q)</f>
        <v>0</v>
      </c>
      <c r="CA80" s="20" t="n">
        <f aca="false">IF(Quantiles!CA80&lt;0,"",(Depth0-MIN(Depth0,Quantiles!CA80))/Depth_per_q)</f>
        <v>0</v>
      </c>
      <c r="CB80" s="20" t="n">
        <f aca="false">IF(Quantiles!CB80&lt;0,"",(Depth0-MIN(Depth0,Quantiles!CB80))/Depth_per_q)</f>
        <v>0</v>
      </c>
      <c r="CC80" s="20" t="n">
        <f aca="false">IF(Quantiles!CC80&lt;0,"",(Depth0-MIN(Depth0,Quantiles!CC80))/Depth_per_q)</f>
        <v>0</v>
      </c>
      <c r="CD80" s="20" t="n">
        <f aca="false">IF(Quantiles!CD80&lt;0,"",(Depth0-MIN(Depth0,Quantiles!CD80))/Depth_per_q)</f>
        <v>0</v>
      </c>
      <c r="CE80" s="20" t="n">
        <f aca="false">IF(Quantiles!CE80&lt;0,"",(Depth0-MIN(Depth0,Quantiles!CE80))/Depth_per_q)</f>
        <v>0</v>
      </c>
      <c r="CF80" s="20" t="n">
        <f aca="false">IF(Quantiles!CF80&lt;0,"",(Depth0-MIN(Depth0,Quantiles!CF80))/Depth_per_q)</f>
        <v>0</v>
      </c>
      <c r="CG80" s="20" t="n">
        <f aca="false">IF(Quantiles!CG80&lt;0,"",(Depth0-MIN(Depth0,Quantiles!CG80))/Depth_per_q)</f>
        <v>0</v>
      </c>
      <c r="CH80" s="20" t="n">
        <f aca="false">IF(Quantiles!CH80&lt;0,"",(Depth0-MIN(Depth0,Quantiles!CH80))/Depth_per_q)</f>
        <v>0</v>
      </c>
      <c r="CI80" s="20" t="n">
        <f aca="false">IF(Quantiles!CI80&lt;0,"",(Depth0-MIN(Depth0,Quantiles!CI80))/Depth_per_q)</f>
        <v>0</v>
      </c>
      <c r="CJ80" s="20" t="n">
        <f aca="false">IF(Quantiles!CJ80&lt;0,"",(Depth0-MIN(Depth0,Quantiles!CJ80))/Depth_per_q)</f>
        <v>0</v>
      </c>
      <c r="CK80" s="20" t="n">
        <f aca="false">IF(Quantiles!CK80&lt;0,"",(Depth0-MIN(Depth0,Quantiles!CK80))/Depth_per_q)</f>
        <v>0</v>
      </c>
      <c r="CL80" s="20" t="n">
        <f aca="false">IF(Quantiles!CL80&lt;0,"",(Depth0-MIN(Depth0,Quantiles!CL80))/Depth_per_q)</f>
        <v>0</v>
      </c>
      <c r="CM80" s="20" t="n">
        <f aca="false">IF(Quantiles!CM80&lt;0,"",(Depth0-MIN(Depth0,Quantiles!CM80))/Depth_per_q)</f>
        <v>0</v>
      </c>
      <c r="CN80" s="20" t="n">
        <f aca="false">IF(Quantiles!CN80&lt;0,"",(Depth0-MIN(Depth0,Quantiles!CN80))/Depth_per_q)</f>
        <v>0</v>
      </c>
      <c r="CO80" s="20" t="n">
        <f aca="false">IF(Quantiles!CO80&lt;0,"",(Depth0-MIN(Depth0,Quantiles!CO80))/Depth_per_q)</f>
        <v>0</v>
      </c>
      <c r="CP80" s="20" t="n">
        <f aca="false">IF(Quantiles!CP80&lt;0,"",(Depth0-MIN(Depth0,Quantiles!CP80))/Depth_per_q)</f>
        <v>0</v>
      </c>
      <c r="CQ80" s="20" t="n">
        <f aca="false">IF(Quantiles!CQ80&lt;0,"",(Depth0-MIN(Depth0,Quantiles!CQ80))/Depth_per_q)</f>
        <v>0</v>
      </c>
      <c r="CR80" s="20" t="n">
        <f aca="false">IF(Quantiles!CR80&lt;0,"",(Depth0-MIN(Depth0,Quantiles!CR80))/Depth_per_q)</f>
        <v>0</v>
      </c>
      <c r="CS80" s="20" t="n">
        <f aca="false">IF(Quantiles!CS80&lt;0,"",(Depth0-MIN(Depth0,Quantiles!CS80))/Depth_per_q)</f>
        <v>0</v>
      </c>
      <c r="CT80" s="20" t="n">
        <f aca="false">IF(Quantiles!CT80&lt;0,"",(Depth0-MIN(Depth0,Quantiles!CT80))/Depth_per_q)</f>
        <v>1.06818518832212</v>
      </c>
    </row>
    <row r="81" customFormat="false" ht="15" hidden="false" customHeight="false" outlineLevel="0" collapsed="false">
      <c r="A81" s="25" t="n">
        <f aca="false">Quantiles!A81</f>
        <v>380</v>
      </c>
      <c r="B81" s="20" t="n">
        <f aca="false">IF(Quantiles!B81&lt;0,"",(Depth0-MIN(Depth0,Quantiles!B81))/Depth_per_q)</f>
        <v>2.0430980511352</v>
      </c>
      <c r="C81" s="20" t="n">
        <f aca="false">IF(Quantiles!C81&lt;0,"",(Depth0-MIN(Depth0,Quantiles!C81))/Depth_per_q)</f>
        <v>1.85638886159566</v>
      </c>
      <c r="D81" s="20" t="n">
        <f aca="false">IF(Quantiles!D81&lt;0,"",(Depth0-MIN(Depth0,Quantiles!D81))/Depth_per_q)</f>
        <v>1.69241660224169</v>
      </c>
      <c r="E81" s="20" t="n">
        <f aca="false">IF(Quantiles!E81&lt;0,"",(Depth0-MIN(Depth0,Quantiles!E81))/Depth_per_q)</f>
        <v>1.55546482528646</v>
      </c>
      <c r="F81" s="20" t="n">
        <f aca="false">IF(Quantiles!F81&lt;0,"",(Depth0-MIN(Depth0,Quantiles!F81))/Depth_per_q)</f>
        <v>1.43591798602878</v>
      </c>
      <c r="G81" s="20" t="n">
        <f aca="false">IF(Quantiles!G81&lt;0,"",(Depth0-MIN(Depth0,Quantiles!G81))/Depth_per_q)</f>
        <v>1.32922826589838</v>
      </c>
      <c r="H81" s="20" t="n">
        <f aca="false">IF(Quantiles!H81&lt;0,"",(Depth0-MIN(Depth0,Quantiles!H81))/Depth_per_q)</f>
        <v>1.23593759300702</v>
      </c>
      <c r="I81" s="20" t="n">
        <f aca="false">IF(Quantiles!I81&lt;0,"",(Depth0-MIN(Depth0,Quantiles!I81))/Depth_per_q)</f>
        <v>1.14519967024012</v>
      </c>
      <c r="J81" s="20" t="n">
        <f aca="false">IF(Quantiles!J81&lt;0,"",(Depth0-MIN(Depth0,Quantiles!J81))/Depth_per_q)</f>
        <v>1.06879208805264</v>
      </c>
      <c r="K81" s="20" t="n">
        <f aca="false">IF(Quantiles!K81&lt;0,"",(Depth0-MIN(Depth0,Quantiles!K81))/Depth_per_q)</f>
        <v>0.98982697682291</v>
      </c>
      <c r="L81" s="20" t="n">
        <f aca="false">IF(Quantiles!L81&lt;0,"",(Depth0-MIN(Depth0,Quantiles!L81))/Depth_per_q)</f>
        <v>0.912744177208</v>
      </c>
      <c r="M81" s="20" t="n">
        <f aca="false">IF(Quantiles!M81&lt;0,"",(Depth0-MIN(Depth0,Quantiles!M81))/Depth_per_q)</f>
        <v>0.848631617860503</v>
      </c>
      <c r="N81" s="20" t="n">
        <f aca="false">IF(Quantiles!N81&lt;0,"",(Depth0-MIN(Depth0,Quantiles!N81))/Depth_per_q)</f>
        <v>0.786241620803883</v>
      </c>
      <c r="O81" s="20" t="n">
        <f aca="false">IF(Quantiles!O81&lt;0,"",(Depth0-MIN(Depth0,Quantiles!O81))/Depth_per_q)</f>
        <v>0.720985561874532</v>
      </c>
      <c r="P81" s="20" t="n">
        <f aca="false">IF(Quantiles!P81&lt;0,"",(Depth0-MIN(Depth0,Quantiles!P81))/Depth_per_q)</f>
        <v>0.66231062080724</v>
      </c>
      <c r="Q81" s="20" t="n">
        <f aca="false">IF(Quantiles!Q81&lt;0,"",(Depth0-MIN(Depth0,Quantiles!Q81))/Depth_per_q)</f>
        <v>0.605589663674802</v>
      </c>
      <c r="R81" s="20" t="n">
        <f aca="false">IF(Quantiles!R81&lt;0,"",(Depth0-MIN(Depth0,Quantiles!R81))/Depth_per_q)</f>
        <v>0.554620408360475</v>
      </c>
      <c r="S81" s="20" t="n">
        <f aca="false">IF(Quantiles!S81&lt;0,"",(Depth0-MIN(Depth0,Quantiles!S81))/Depth_per_q)</f>
        <v>0.504472191115695</v>
      </c>
      <c r="T81" s="20" t="n">
        <f aca="false">IF(Quantiles!T81&lt;0,"",(Depth0-MIN(Depth0,Quantiles!T81))/Depth_per_q)</f>
        <v>0.459023002564288</v>
      </c>
      <c r="U81" s="20" t="n">
        <f aca="false">IF(Quantiles!U81&lt;0,"",(Depth0-MIN(Depth0,Quantiles!U81))/Depth_per_q)</f>
        <v>0.413998614987965</v>
      </c>
      <c r="V81" s="20" t="n">
        <f aca="false">IF(Quantiles!V81&lt;0,"",(Depth0-MIN(Depth0,Quantiles!V81))/Depth_per_q)</f>
        <v>0.370693941344228</v>
      </c>
      <c r="W81" s="20" t="n">
        <f aca="false">IF(Quantiles!W81&lt;0,"",(Depth0-MIN(Depth0,Quantiles!W81))/Depth_per_q)</f>
        <v>0.325213723277267</v>
      </c>
      <c r="X81" s="20" t="n">
        <f aca="false">IF(Quantiles!X81&lt;0,"",(Depth0-MIN(Depth0,Quantiles!X81))/Depth_per_q)</f>
        <v>0.281150595467793</v>
      </c>
      <c r="Y81" s="20" t="n">
        <f aca="false">IF(Quantiles!Y81&lt;0,"",(Depth0-MIN(Depth0,Quantiles!Y81))/Depth_per_q)</f>
        <v>0.243567316284618</v>
      </c>
      <c r="Z81" s="20" t="n">
        <f aca="false">IF(Quantiles!Z81&lt;0,"",(Depth0-MIN(Depth0,Quantiles!Z81))/Depth_per_q)</f>
        <v>0.20448059578099</v>
      </c>
      <c r="AA81" s="20" t="n">
        <f aca="false">IF(Quantiles!AA81&lt;0,"",(Depth0-MIN(Depth0,Quantiles!AA81))/Depth_per_q)</f>
        <v>0.167574117177135</v>
      </c>
      <c r="AB81" s="20" t="n">
        <f aca="false">IF(Quantiles!AB81&lt;0,"",(Depth0-MIN(Depth0,Quantiles!AB81))/Depth_per_q)</f>
        <v>0.126791040334687</v>
      </c>
      <c r="AC81" s="20" t="n">
        <f aca="false">IF(Quantiles!AC81&lt;0,"",(Depth0-MIN(Depth0,Quantiles!AC81))/Depth_per_q)</f>
        <v>0.0908867907533821</v>
      </c>
      <c r="AD81" s="20" t="n">
        <f aca="false">IF(Quantiles!AD81&lt;0,"",(Depth0-MIN(Depth0,Quantiles!AD81))/Depth_per_q)</f>
        <v>0.0534627227034248</v>
      </c>
      <c r="AE81" s="20" t="n">
        <f aca="false">IF(Quantiles!AE81&lt;0,"",(Depth0-MIN(Depth0,Quantiles!AE81))/Depth_per_q)</f>
        <v>0.0202417797454197</v>
      </c>
      <c r="AF81" s="20" t="n">
        <f aca="false">IF(Quantiles!AF81&lt;0,"",(Depth0-MIN(Depth0,Quantiles!AF81))/Depth_per_q)</f>
        <v>0</v>
      </c>
      <c r="AG81" s="20" t="n">
        <f aca="false">IF(Quantiles!AG81&lt;0,"",(Depth0-MIN(Depth0,Quantiles!AG81))/Depth_per_q)</f>
        <v>0</v>
      </c>
      <c r="AH81" s="20" t="n">
        <f aca="false">IF(Quantiles!AH81&lt;0,"",(Depth0-MIN(Depth0,Quantiles!AH81))/Depth_per_q)</f>
        <v>0</v>
      </c>
      <c r="AI81" s="20" t="n">
        <f aca="false">IF(Quantiles!AI81&lt;0,"",(Depth0-MIN(Depth0,Quantiles!AI81))/Depth_per_q)</f>
        <v>0</v>
      </c>
      <c r="AJ81" s="20" t="n">
        <f aca="false">IF(Quantiles!AJ81&lt;0,"",(Depth0-MIN(Depth0,Quantiles!AJ81))/Depth_per_q)</f>
        <v>0</v>
      </c>
      <c r="AK81" s="20" t="n">
        <f aca="false">IF(Quantiles!AK81&lt;0,"",(Depth0-MIN(Depth0,Quantiles!AK81))/Depth_per_q)</f>
        <v>0</v>
      </c>
      <c r="AL81" s="20" t="n">
        <f aca="false">IF(Quantiles!AL81&lt;0,"",(Depth0-MIN(Depth0,Quantiles!AL81))/Depth_per_q)</f>
        <v>0</v>
      </c>
      <c r="AM81" s="20" t="n">
        <f aca="false">IF(Quantiles!AM81&lt;0,"",(Depth0-MIN(Depth0,Quantiles!AM81))/Depth_per_q)</f>
        <v>0</v>
      </c>
      <c r="AN81" s="20" t="n">
        <f aca="false">IF(Quantiles!AN81&lt;0,"",(Depth0-MIN(Depth0,Quantiles!AN81))/Depth_per_q)</f>
        <v>0</v>
      </c>
      <c r="AO81" s="20" t="n">
        <f aca="false">IF(Quantiles!AO81&lt;0,"",(Depth0-MIN(Depth0,Quantiles!AO81))/Depth_per_q)</f>
        <v>0</v>
      </c>
      <c r="AP81" s="20" t="n">
        <f aca="false">IF(Quantiles!AP81&lt;0,"",(Depth0-MIN(Depth0,Quantiles!AP81))/Depth_per_q)</f>
        <v>0</v>
      </c>
      <c r="AQ81" s="20" t="n">
        <f aca="false">IF(Quantiles!AQ81&lt;0,"",(Depth0-MIN(Depth0,Quantiles!AQ81))/Depth_per_q)</f>
        <v>0</v>
      </c>
      <c r="AR81" s="20" t="n">
        <f aca="false">IF(Quantiles!AR81&lt;0,"",(Depth0-MIN(Depth0,Quantiles!AR81))/Depth_per_q)</f>
        <v>0</v>
      </c>
      <c r="AS81" s="20" t="n">
        <f aca="false">IF(Quantiles!AS81&lt;0,"",(Depth0-MIN(Depth0,Quantiles!AS81))/Depth_per_q)</f>
        <v>0</v>
      </c>
      <c r="AT81" s="20" t="n">
        <f aca="false">IF(Quantiles!AT81&lt;0,"",(Depth0-MIN(Depth0,Quantiles!AT81))/Depth_per_q)</f>
        <v>0</v>
      </c>
      <c r="AU81" s="20" t="n">
        <f aca="false">IF(Quantiles!AU81&lt;0,"",(Depth0-MIN(Depth0,Quantiles!AU81))/Depth_per_q)</f>
        <v>0</v>
      </c>
      <c r="AV81" s="20" t="n">
        <f aca="false">IF(Quantiles!AV81&lt;0,"",(Depth0-MIN(Depth0,Quantiles!AV81))/Depth_per_q)</f>
        <v>0</v>
      </c>
      <c r="AW81" s="20" t="n">
        <f aca="false">IF(Quantiles!AW81&lt;0,"",(Depth0-MIN(Depth0,Quantiles!AW81))/Depth_per_q)</f>
        <v>0</v>
      </c>
      <c r="AX81" s="20" t="n">
        <f aca="false">IF(Quantiles!AX81&lt;0,"",(Depth0-MIN(Depth0,Quantiles!AX81))/Depth_per_q)</f>
        <v>0</v>
      </c>
      <c r="AY81" s="20" t="n">
        <f aca="false">IF(Quantiles!AY81&lt;0,"",(Depth0-MIN(Depth0,Quantiles!AY81))/Depth_per_q)</f>
        <v>0</v>
      </c>
      <c r="AZ81" s="20" t="n">
        <f aca="false">IF(Quantiles!AZ81&lt;0,"",(Depth0-MIN(Depth0,Quantiles!AZ81))/Depth_per_q)</f>
        <v>0</v>
      </c>
      <c r="BA81" s="20" t="n">
        <f aca="false">IF(Quantiles!BA81&lt;0,"",(Depth0-MIN(Depth0,Quantiles!BA81))/Depth_per_q)</f>
        <v>0</v>
      </c>
      <c r="BB81" s="20" t="n">
        <f aca="false">IF(Quantiles!BB81&lt;0,"",(Depth0-MIN(Depth0,Quantiles!BB81))/Depth_per_q)</f>
        <v>0</v>
      </c>
      <c r="BC81" s="20" t="n">
        <f aca="false">IF(Quantiles!BC81&lt;0,"",(Depth0-MIN(Depth0,Quantiles!BC81))/Depth_per_q)</f>
        <v>0</v>
      </c>
      <c r="BD81" s="20" t="n">
        <f aca="false">IF(Quantiles!BD81&lt;0,"",(Depth0-MIN(Depth0,Quantiles!BD81))/Depth_per_q)</f>
        <v>0</v>
      </c>
      <c r="BE81" s="20" t="n">
        <f aca="false">IF(Quantiles!BE81&lt;0,"",(Depth0-MIN(Depth0,Quantiles!BE81))/Depth_per_q)</f>
        <v>0</v>
      </c>
      <c r="BF81" s="20" t="n">
        <f aca="false">IF(Quantiles!BF81&lt;0,"",(Depth0-MIN(Depth0,Quantiles!BF81))/Depth_per_q)</f>
        <v>0</v>
      </c>
      <c r="BG81" s="20" t="n">
        <f aca="false">IF(Quantiles!BG81&lt;0,"",(Depth0-MIN(Depth0,Quantiles!BG81))/Depth_per_q)</f>
        <v>0</v>
      </c>
      <c r="BH81" s="20" t="n">
        <f aca="false">IF(Quantiles!BH81&lt;0,"",(Depth0-MIN(Depth0,Quantiles!BH81))/Depth_per_q)</f>
        <v>0</v>
      </c>
      <c r="BI81" s="20" t="n">
        <f aca="false">IF(Quantiles!BI81&lt;0,"",(Depth0-MIN(Depth0,Quantiles!BI81))/Depth_per_q)</f>
        <v>0</v>
      </c>
      <c r="BJ81" s="20" t="n">
        <f aca="false">IF(Quantiles!BJ81&lt;0,"",(Depth0-MIN(Depth0,Quantiles!BJ81))/Depth_per_q)</f>
        <v>0</v>
      </c>
      <c r="BK81" s="20" t="n">
        <f aca="false">IF(Quantiles!BK81&lt;0,"",(Depth0-MIN(Depth0,Quantiles!BK81))/Depth_per_q)</f>
        <v>0</v>
      </c>
      <c r="BL81" s="20" t="n">
        <f aca="false">IF(Quantiles!BL81&lt;0,"",(Depth0-MIN(Depth0,Quantiles!BL81))/Depth_per_q)</f>
        <v>0</v>
      </c>
      <c r="BM81" s="20" t="n">
        <f aca="false">IF(Quantiles!BM81&lt;0,"",(Depth0-MIN(Depth0,Quantiles!BM81))/Depth_per_q)</f>
        <v>0</v>
      </c>
      <c r="BN81" s="20" t="n">
        <f aca="false">IF(Quantiles!BN81&lt;0,"",(Depth0-MIN(Depth0,Quantiles!BN81))/Depth_per_q)</f>
        <v>0</v>
      </c>
      <c r="BO81" s="20" t="n">
        <f aca="false">IF(Quantiles!BO81&lt;0,"",(Depth0-MIN(Depth0,Quantiles!BO81))/Depth_per_q)</f>
        <v>0</v>
      </c>
      <c r="BP81" s="20" t="n">
        <f aca="false">IF(Quantiles!BP81&lt;0,"",(Depth0-MIN(Depth0,Quantiles!BP81))/Depth_per_q)</f>
        <v>0</v>
      </c>
      <c r="BQ81" s="20" t="n">
        <f aca="false">IF(Quantiles!BQ81&lt;0,"",(Depth0-MIN(Depth0,Quantiles!BQ81))/Depth_per_q)</f>
        <v>0</v>
      </c>
      <c r="BR81" s="20" t="n">
        <f aca="false">IF(Quantiles!BR81&lt;0,"",(Depth0-MIN(Depth0,Quantiles!BR81))/Depth_per_q)</f>
        <v>0</v>
      </c>
      <c r="BS81" s="20" t="n">
        <f aca="false">IF(Quantiles!BS81&lt;0,"",(Depth0-MIN(Depth0,Quantiles!BS81))/Depth_per_q)</f>
        <v>0</v>
      </c>
      <c r="BT81" s="20" t="n">
        <f aca="false">IF(Quantiles!BT81&lt;0,"",(Depth0-MIN(Depth0,Quantiles!BT81))/Depth_per_q)</f>
        <v>0</v>
      </c>
      <c r="BU81" s="20" t="n">
        <f aca="false">IF(Quantiles!BU81&lt;0,"",(Depth0-MIN(Depth0,Quantiles!BU81))/Depth_per_q)</f>
        <v>0</v>
      </c>
      <c r="BV81" s="20" t="n">
        <f aca="false">IF(Quantiles!BV81&lt;0,"",(Depth0-MIN(Depth0,Quantiles!BV81))/Depth_per_q)</f>
        <v>0</v>
      </c>
      <c r="BW81" s="20" t="n">
        <f aca="false">IF(Quantiles!BW81&lt;0,"",(Depth0-MIN(Depth0,Quantiles!BW81))/Depth_per_q)</f>
        <v>0</v>
      </c>
      <c r="BX81" s="20" t="n">
        <f aca="false">IF(Quantiles!BX81&lt;0,"",(Depth0-MIN(Depth0,Quantiles!BX81))/Depth_per_q)</f>
        <v>0</v>
      </c>
      <c r="BY81" s="20" t="n">
        <f aca="false">IF(Quantiles!BY81&lt;0,"",(Depth0-MIN(Depth0,Quantiles!BY81))/Depth_per_q)</f>
        <v>0</v>
      </c>
      <c r="BZ81" s="20" t="n">
        <f aca="false">IF(Quantiles!BZ81&lt;0,"",(Depth0-MIN(Depth0,Quantiles!BZ81))/Depth_per_q)</f>
        <v>0</v>
      </c>
      <c r="CA81" s="20" t="n">
        <f aca="false">IF(Quantiles!CA81&lt;0,"",(Depth0-MIN(Depth0,Quantiles!CA81))/Depth_per_q)</f>
        <v>0</v>
      </c>
      <c r="CB81" s="20" t="n">
        <f aca="false">IF(Quantiles!CB81&lt;0,"",(Depth0-MIN(Depth0,Quantiles!CB81))/Depth_per_q)</f>
        <v>0</v>
      </c>
      <c r="CC81" s="20" t="n">
        <f aca="false">IF(Quantiles!CC81&lt;0,"",(Depth0-MIN(Depth0,Quantiles!CC81))/Depth_per_q)</f>
        <v>0</v>
      </c>
      <c r="CD81" s="20" t="n">
        <f aca="false">IF(Quantiles!CD81&lt;0,"",(Depth0-MIN(Depth0,Quantiles!CD81))/Depth_per_q)</f>
        <v>0</v>
      </c>
      <c r="CE81" s="20" t="n">
        <f aca="false">IF(Quantiles!CE81&lt;0,"",(Depth0-MIN(Depth0,Quantiles!CE81))/Depth_per_q)</f>
        <v>0</v>
      </c>
      <c r="CF81" s="20" t="n">
        <f aca="false">IF(Quantiles!CF81&lt;0,"",(Depth0-MIN(Depth0,Quantiles!CF81))/Depth_per_q)</f>
        <v>0</v>
      </c>
      <c r="CG81" s="20" t="n">
        <f aca="false">IF(Quantiles!CG81&lt;0,"",(Depth0-MIN(Depth0,Quantiles!CG81))/Depth_per_q)</f>
        <v>0</v>
      </c>
      <c r="CH81" s="20" t="n">
        <f aca="false">IF(Quantiles!CH81&lt;0,"",(Depth0-MIN(Depth0,Quantiles!CH81))/Depth_per_q)</f>
        <v>0</v>
      </c>
      <c r="CI81" s="20" t="n">
        <f aca="false">IF(Quantiles!CI81&lt;0,"",(Depth0-MIN(Depth0,Quantiles!CI81))/Depth_per_q)</f>
        <v>0</v>
      </c>
      <c r="CJ81" s="20" t="n">
        <f aca="false">IF(Quantiles!CJ81&lt;0,"",(Depth0-MIN(Depth0,Quantiles!CJ81))/Depth_per_q)</f>
        <v>0</v>
      </c>
      <c r="CK81" s="20" t="n">
        <f aca="false">IF(Quantiles!CK81&lt;0,"",(Depth0-MIN(Depth0,Quantiles!CK81))/Depth_per_q)</f>
        <v>0</v>
      </c>
      <c r="CL81" s="20" t="n">
        <f aca="false">IF(Quantiles!CL81&lt;0,"",(Depth0-MIN(Depth0,Quantiles!CL81))/Depth_per_q)</f>
        <v>0</v>
      </c>
      <c r="CM81" s="20" t="n">
        <f aca="false">IF(Quantiles!CM81&lt;0,"",(Depth0-MIN(Depth0,Quantiles!CM81))/Depth_per_q)</f>
        <v>0</v>
      </c>
      <c r="CN81" s="20" t="n">
        <f aca="false">IF(Quantiles!CN81&lt;0,"",(Depth0-MIN(Depth0,Quantiles!CN81))/Depth_per_q)</f>
        <v>0</v>
      </c>
      <c r="CO81" s="20" t="n">
        <f aca="false">IF(Quantiles!CO81&lt;0,"",(Depth0-MIN(Depth0,Quantiles!CO81))/Depth_per_q)</f>
        <v>0</v>
      </c>
      <c r="CP81" s="20" t="n">
        <f aca="false">IF(Quantiles!CP81&lt;0,"",(Depth0-MIN(Depth0,Quantiles!CP81))/Depth_per_q)</f>
        <v>0</v>
      </c>
      <c r="CQ81" s="20" t="n">
        <f aca="false">IF(Quantiles!CQ81&lt;0,"",(Depth0-MIN(Depth0,Quantiles!CQ81))/Depth_per_q)</f>
        <v>0</v>
      </c>
      <c r="CR81" s="20" t="n">
        <f aca="false">IF(Quantiles!CR81&lt;0,"",(Depth0-MIN(Depth0,Quantiles!CR81))/Depth_per_q)</f>
        <v>0</v>
      </c>
      <c r="CS81" s="20" t="n">
        <f aca="false">IF(Quantiles!CS81&lt;0,"",(Depth0-MIN(Depth0,Quantiles!CS81))/Depth_per_q)</f>
        <v>0</v>
      </c>
      <c r="CT81" s="20" t="n">
        <f aca="false">IF(Quantiles!CT81&lt;0,"",(Depth0-MIN(Depth0,Quantiles!CT81))/Depth_per_q)</f>
        <v>1.06818518832212</v>
      </c>
    </row>
    <row r="82" customFormat="false" ht="15" hidden="false" customHeight="false" outlineLevel="0" collapsed="false">
      <c r="A82" s="25" t="n">
        <f aca="false">Quantiles!A82</f>
        <v>385</v>
      </c>
      <c r="B82" s="20" t="n">
        <f aca="false">IF(Quantiles!B82&lt;0,"",(Depth0-MIN(Depth0,Quantiles!B82))/Depth_per_q)</f>
        <v>2.0430980511352</v>
      </c>
      <c r="C82" s="20" t="n">
        <f aca="false">IF(Quantiles!C82&lt;0,"",(Depth0-MIN(Depth0,Quantiles!C82))/Depth_per_q)</f>
        <v>1.85638886159566</v>
      </c>
      <c r="D82" s="20" t="n">
        <f aca="false">IF(Quantiles!D82&lt;0,"",(Depth0-MIN(Depth0,Quantiles!D82))/Depth_per_q)</f>
        <v>1.69241660224169</v>
      </c>
      <c r="E82" s="20" t="n">
        <f aca="false">IF(Quantiles!E82&lt;0,"",(Depth0-MIN(Depth0,Quantiles!E82))/Depth_per_q)</f>
        <v>1.55546482528646</v>
      </c>
      <c r="F82" s="20" t="n">
        <f aca="false">IF(Quantiles!F82&lt;0,"",(Depth0-MIN(Depth0,Quantiles!F82))/Depth_per_q)</f>
        <v>1.43591798602878</v>
      </c>
      <c r="G82" s="20" t="n">
        <f aca="false">IF(Quantiles!G82&lt;0,"",(Depth0-MIN(Depth0,Quantiles!G82))/Depth_per_q)</f>
        <v>1.32891792767821</v>
      </c>
      <c r="H82" s="20" t="n">
        <f aca="false">IF(Quantiles!H82&lt;0,"",(Depth0-MIN(Depth0,Quantiles!H82))/Depth_per_q)</f>
        <v>1.23574760268194</v>
      </c>
      <c r="I82" s="20" t="n">
        <f aca="false">IF(Quantiles!I82&lt;0,"",(Depth0-MIN(Depth0,Quantiles!I82))/Depth_per_q)</f>
        <v>1.1451212494399</v>
      </c>
      <c r="J82" s="20" t="n">
        <f aca="false">IF(Quantiles!J82&lt;0,"",(Depth0-MIN(Depth0,Quantiles!J82))/Depth_per_q)</f>
        <v>1.06879208805264</v>
      </c>
      <c r="K82" s="20" t="n">
        <f aca="false">IF(Quantiles!K82&lt;0,"",(Depth0-MIN(Depth0,Quantiles!K82))/Depth_per_q)</f>
        <v>0.98982697682291</v>
      </c>
      <c r="L82" s="20" t="n">
        <f aca="false">IF(Quantiles!L82&lt;0,"",(Depth0-MIN(Depth0,Quantiles!L82))/Depth_per_q)</f>
        <v>0.912744177208</v>
      </c>
      <c r="M82" s="20" t="n">
        <f aca="false">IF(Quantiles!M82&lt;0,"",(Depth0-MIN(Depth0,Quantiles!M82))/Depth_per_q)</f>
        <v>0.848631617860503</v>
      </c>
      <c r="N82" s="20" t="n">
        <f aca="false">IF(Quantiles!N82&lt;0,"",(Depth0-MIN(Depth0,Quantiles!N82))/Depth_per_q)</f>
        <v>0.786241620803883</v>
      </c>
      <c r="O82" s="20" t="n">
        <f aca="false">IF(Quantiles!O82&lt;0,"",(Depth0-MIN(Depth0,Quantiles!O82))/Depth_per_q)</f>
        <v>0.720985561874532</v>
      </c>
      <c r="P82" s="20" t="n">
        <f aca="false">IF(Quantiles!P82&lt;0,"",(Depth0-MIN(Depth0,Quantiles!P82))/Depth_per_q)</f>
        <v>0.66231062080724</v>
      </c>
      <c r="Q82" s="20" t="n">
        <f aca="false">IF(Quantiles!Q82&lt;0,"",(Depth0-MIN(Depth0,Quantiles!Q82))/Depth_per_q)</f>
        <v>0.605589663674802</v>
      </c>
      <c r="R82" s="20" t="n">
        <f aca="false">IF(Quantiles!R82&lt;0,"",(Depth0-MIN(Depth0,Quantiles!R82))/Depth_per_q)</f>
        <v>0.554620408360475</v>
      </c>
      <c r="S82" s="20" t="n">
        <f aca="false">IF(Quantiles!S82&lt;0,"",(Depth0-MIN(Depth0,Quantiles!S82))/Depth_per_q)</f>
        <v>0.504472191115695</v>
      </c>
      <c r="T82" s="20" t="n">
        <f aca="false">IF(Quantiles!T82&lt;0,"",(Depth0-MIN(Depth0,Quantiles!T82))/Depth_per_q)</f>
        <v>0.459023002564288</v>
      </c>
      <c r="U82" s="20" t="n">
        <f aca="false">IF(Quantiles!U82&lt;0,"",(Depth0-MIN(Depth0,Quantiles!U82))/Depth_per_q)</f>
        <v>0.413998614987965</v>
      </c>
      <c r="V82" s="20" t="n">
        <f aca="false">IF(Quantiles!V82&lt;0,"",(Depth0-MIN(Depth0,Quantiles!V82))/Depth_per_q)</f>
        <v>0.370693941344228</v>
      </c>
      <c r="W82" s="20" t="n">
        <f aca="false">IF(Quantiles!W82&lt;0,"",(Depth0-MIN(Depth0,Quantiles!W82))/Depth_per_q)</f>
        <v>0.325213723277267</v>
      </c>
      <c r="X82" s="20" t="n">
        <f aca="false">IF(Quantiles!X82&lt;0,"",(Depth0-MIN(Depth0,Quantiles!X82))/Depth_per_q)</f>
        <v>0.281150595467793</v>
      </c>
      <c r="Y82" s="20" t="n">
        <f aca="false">IF(Quantiles!Y82&lt;0,"",(Depth0-MIN(Depth0,Quantiles!Y82))/Depth_per_q)</f>
        <v>0.243567316284618</v>
      </c>
      <c r="Z82" s="20" t="n">
        <f aca="false">IF(Quantiles!Z82&lt;0,"",(Depth0-MIN(Depth0,Quantiles!Z82))/Depth_per_q)</f>
        <v>0.20448059578099</v>
      </c>
      <c r="AA82" s="20" t="n">
        <f aca="false">IF(Quantiles!AA82&lt;0,"",(Depth0-MIN(Depth0,Quantiles!AA82))/Depth_per_q)</f>
        <v>0.167574117177135</v>
      </c>
      <c r="AB82" s="20" t="n">
        <f aca="false">IF(Quantiles!AB82&lt;0,"",(Depth0-MIN(Depth0,Quantiles!AB82))/Depth_per_q)</f>
        <v>0.126791040334687</v>
      </c>
      <c r="AC82" s="20" t="n">
        <f aca="false">IF(Quantiles!AC82&lt;0,"",(Depth0-MIN(Depth0,Quantiles!AC82))/Depth_per_q)</f>
        <v>0.0908867907533821</v>
      </c>
      <c r="AD82" s="20" t="n">
        <f aca="false">IF(Quantiles!AD82&lt;0,"",(Depth0-MIN(Depth0,Quantiles!AD82))/Depth_per_q)</f>
        <v>0.0534627227034248</v>
      </c>
      <c r="AE82" s="20" t="n">
        <f aca="false">IF(Quantiles!AE82&lt;0,"",(Depth0-MIN(Depth0,Quantiles!AE82))/Depth_per_q)</f>
        <v>0.0202417797454197</v>
      </c>
      <c r="AF82" s="20" t="n">
        <f aca="false">IF(Quantiles!AF82&lt;0,"",(Depth0-MIN(Depth0,Quantiles!AF82))/Depth_per_q)</f>
        <v>0</v>
      </c>
      <c r="AG82" s="20" t="n">
        <f aca="false">IF(Quantiles!AG82&lt;0,"",(Depth0-MIN(Depth0,Quantiles!AG82))/Depth_per_q)</f>
        <v>0</v>
      </c>
      <c r="AH82" s="20" t="n">
        <f aca="false">IF(Quantiles!AH82&lt;0,"",(Depth0-MIN(Depth0,Quantiles!AH82))/Depth_per_q)</f>
        <v>0</v>
      </c>
      <c r="AI82" s="20" t="n">
        <f aca="false">IF(Quantiles!AI82&lt;0,"",(Depth0-MIN(Depth0,Quantiles!AI82))/Depth_per_q)</f>
        <v>0</v>
      </c>
      <c r="AJ82" s="20" t="n">
        <f aca="false">IF(Quantiles!AJ82&lt;0,"",(Depth0-MIN(Depth0,Quantiles!AJ82))/Depth_per_q)</f>
        <v>0</v>
      </c>
      <c r="AK82" s="20" t="n">
        <f aca="false">IF(Quantiles!AK82&lt;0,"",(Depth0-MIN(Depth0,Quantiles!AK82))/Depth_per_q)</f>
        <v>0</v>
      </c>
      <c r="AL82" s="20" t="n">
        <f aca="false">IF(Quantiles!AL82&lt;0,"",(Depth0-MIN(Depth0,Quantiles!AL82))/Depth_per_q)</f>
        <v>0</v>
      </c>
      <c r="AM82" s="20" t="n">
        <f aca="false">IF(Quantiles!AM82&lt;0,"",(Depth0-MIN(Depth0,Quantiles!AM82))/Depth_per_q)</f>
        <v>0</v>
      </c>
      <c r="AN82" s="20" t="n">
        <f aca="false">IF(Quantiles!AN82&lt;0,"",(Depth0-MIN(Depth0,Quantiles!AN82))/Depth_per_q)</f>
        <v>0</v>
      </c>
      <c r="AO82" s="20" t="n">
        <f aca="false">IF(Quantiles!AO82&lt;0,"",(Depth0-MIN(Depth0,Quantiles!AO82))/Depth_per_q)</f>
        <v>0</v>
      </c>
      <c r="AP82" s="20" t="n">
        <f aca="false">IF(Quantiles!AP82&lt;0,"",(Depth0-MIN(Depth0,Quantiles!AP82))/Depth_per_q)</f>
        <v>0</v>
      </c>
      <c r="AQ82" s="20" t="n">
        <f aca="false">IF(Quantiles!AQ82&lt;0,"",(Depth0-MIN(Depth0,Quantiles!AQ82))/Depth_per_q)</f>
        <v>0</v>
      </c>
      <c r="AR82" s="20" t="n">
        <f aca="false">IF(Quantiles!AR82&lt;0,"",(Depth0-MIN(Depth0,Quantiles!AR82))/Depth_per_q)</f>
        <v>0</v>
      </c>
      <c r="AS82" s="20" t="n">
        <f aca="false">IF(Quantiles!AS82&lt;0,"",(Depth0-MIN(Depth0,Quantiles!AS82))/Depth_per_q)</f>
        <v>0</v>
      </c>
      <c r="AT82" s="20" t="n">
        <f aca="false">IF(Quantiles!AT82&lt;0,"",(Depth0-MIN(Depth0,Quantiles!AT82))/Depth_per_q)</f>
        <v>0</v>
      </c>
      <c r="AU82" s="20" t="n">
        <f aca="false">IF(Quantiles!AU82&lt;0,"",(Depth0-MIN(Depth0,Quantiles!AU82))/Depth_per_q)</f>
        <v>0</v>
      </c>
      <c r="AV82" s="20" t="n">
        <f aca="false">IF(Quantiles!AV82&lt;0,"",(Depth0-MIN(Depth0,Quantiles!AV82))/Depth_per_q)</f>
        <v>0</v>
      </c>
      <c r="AW82" s="20" t="n">
        <f aca="false">IF(Quantiles!AW82&lt;0,"",(Depth0-MIN(Depth0,Quantiles!AW82))/Depth_per_q)</f>
        <v>0</v>
      </c>
      <c r="AX82" s="20" t="n">
        <f aca="false">IF(Quantiles!AX82&lt;0,"",(Depth0-MIN(Depth0,Quantiles!AX82))/Depth_per_q)</f>
        <v>0</v>
      </c>
      <c r="AY82" s="20" t="n">
        <f aca="false">IF(Quantiles!AY82&lt;0,"",(Depth0-MIN(Depth0,Quantiles!AY82))/Depth_per_q)</f>
        <v>0</v>
      </c>
      <c r="AZ82" s="20" t="n">
        <f aca="false">IF(Quantiles!AZ82&lt;0,"",(Depth0-MIN(Depth0,Quantiles!AZ82))/Depth_per_q)</f>
        <v>0</v>
      </c>
      <c r="BA82" s="20" t="n">
        <f aca="false">IF(Quantiles!BA82&lt;0,"",(Depth0-MIN(Depth0,Quantiles!BA82))/Depth_per_q)</f>
        <v>0</v>
      </c>
      <c r="BB82" s="20" t="n">
        <f aca="false">IF(Quantiles!BB82&lt;0,"",(Depth0-MIN(Depth0,Quantiles!BB82))/Depth_per_q)</f>
        <v>0</v>
      </c>
      <c r="BC82" s="20" t="n">
        <f aca="false">IF(Quantiles!BC82&lt;0,"",(Depth0-MIN(Depth0,Quantiles!BC82))/Depth_per_q)</f>
        <v>0</v>
      </c>
      <c r="BD82" s="20" t="n">
        <f aca="false">IF(Quantiles!BD82&lt;0,"",(Depth0-MIN(Depth0,Quantiles!BD82))/Depth_per_q)</f>
        <v>0</v>
      </c>
      <c r="BE82" s="20" t="n">
        <f aca="false">IF(Quantiles!BE82&lt;0,"",(Depth0-MIN(Depth0,Quantiles!BE82))/Depth_per_q)</f>
        <v>0</v>
      </c>
      <c r="BF82" s="20" t="n">
        <f aca="false">IF(Quantiles!BF82&lt;0,"",(Depth0-MIN(Depth0,Quantiles!BF82))/Depth_per_q)</f>
        <v>0</v>
      </c>
      <c r="BG82" s="20" t="n">
        <f aca="false">IF(Quantiles!BG82&lt;0,"",(Depth0-MIN(Depth0,Quantiles!BG82))/Depth_per_q)</f>
        <v>0</v>
      </c>
      <c r="BH82" s="20" t="n">
        <f aca="false">IF(Quantiles!BH82&lt;0,"",(Depth0-MIN(Depth0,Quantiles!BH82))/Depth_per_q)</f>
        <v>0</v>
      </c>
      <c r="BI82" s="20" t="n">
        <f aca="false">IF(Quantiles!BI82&lt;0,"",(Depth0-MIN(Depth0,Quantiles!BI82))/Depth_per_q)</f>
        <v>0</v>
      </c>
      <c r="BJ82" s="20" t="n">
        <f aca="false">IF(Quantiles!BJ82&lt;0,"",(Depth0-MIN(Depth0,Quantiles!BJ82))/Depth_per_q)</f>
        <v>0</v>
      </c>
      <c r="BK82" s="20" t="n">
        <f aca="false">IF(Quantiles!BK82&lt;0,"",(Depth0-MIN(Depth0,Quantiles!BK82))/Depth_per_q)</f>
        <v>0</v>
      </c>
      <c r="BL82" s="20" t="n">
        <f aca="false">IF(Quantiles!BL82&lt;0,"",(Depth0-MIN(Depth0,Quantiles!BL82))/Depth_per_q)</f>
        <v>0</v>
      </c>
      <c r="BM82" s="20" t="n">
        <f aca="false">IF(Quantiles!BM82&lt;0,"",(Depth0-MIN(Depth0,Quantiles!BM82))/Depth_per_q)</f>
        <v>0</v>
      </c>
      <c r="BN82" s="20" t="n">
        <f aca="false">IF(Quantiles!BN82&lt;0,"",(Depth0-MIN(Depth0,Quantiles!BN82))/Depth_per_q)</f>
        <v>0</v>
      </c>
      <c r="BO82" s="20" t="n">
        <f aca="false">IF(Quantiles!BO82&lt;0,"",(Depth0-MIN(Depth0,Quantiles!BO82))/Depth_per_q)</f>
        <v>0</v>
      </c>
      <c r="BP82" s="20" t="n">
        <f aca="false">IF(Quantiles!BP82&lt;0,"",(Depth0-MIN(Depth0,Quantiles!BP82))/Depth_per_q)</f>
        <v>0</v>
      </c>
      <c r="BQ82" s="20" t="n">
        <f aca="false">IF(Quantiles!BQ82&lt;0,"",(Depth0-MIN(Depth0,Quantiles!BQ82))/Depth_per_q)</f>
        <v>0</v>
      </c>
      <c r="BR82" s="20" t="n">
        <f aca="false">IF(Quantiles!BR82&lt;0,"",(Depth0-MIN(Depth0,Quantiles!BR82))/Depth_per_q)</f>
        <v>0</v>
      </c>
      <c r="BS82" s="20" t="n">
        <f aca="false">IF(Quantiles!BS82&lt;0,"",(Depth0-MIN(Depth0,Quantiles!BS82))/Depth_per_q)</f>
        <v>0</v>
      </c>
      <c r="BT82" s="20" t="n">
        <f aca="false">IF(Quantiles!BT82&lt;0,"",(Depth0-MIN(Depth0,Quantiles!BT82))/Depth_per_q)</f>
        <v>0</v>
      </c>
      <c r="BU82" s="20" t="n">
        <f aca="false">IF(Quantiles!BU82&lt;0,"",(Depth0-MIN(Depth0,Quantiles!BU82))/Depth_per_q)</f>
        <v>0</v>
      </c>
      <c r="BV82" s="20" t="n">
        <f aca="false">IF(Quantiles!BV82&lt;0,"",(Depth0-MIN(Depth0,Quantiles!BV82))/Depth_per_q)</f>
        <v>0</v>
      </c>
      <c r="BW82" s="20" t="n">
        <f aca="false">IF(Quantiles!BW82&lt;0,"",(Depth0-MIN(Depth0,Quantiles!BW82))/Depth_per_q)</f>
        <v>0</v>
      </c>
      <c r="BX82" s="20" t="n">
        <f aca="false">IF(Quantiles!BX82&lt;0,"",(Depth0-MIN(Depth0,Quantiles!BX82))/Depth_per_q)</f>
        <v>0</v>
      </c>
      <c r="BY82" s="20" t="n">
        <f aca="false">IF(Quantiles!BY82&lt;0,"",(Depth0-MIN(Depth0,Quantiles!BY82))/Depth_per_q)</f>
        <v>0</v>
      </c>
      <c r="BZ82" s="20" t="n">
        <f aca="false">IF(Quantiles!BZ82&lt;0,"",(Depth0-MIN(Depth0,Quantiles!BZ82))/Depth_per_q)</f>
        <v>0</v>
      </c>
      <c r="CA82" s="20" t="n">
        <f aca="false">IF(Quantiles!CA82&lt;0,"",(Depth0-MIN(Depth0,Quantiles!CA82))/Depth_per_q)</f>
        <v>0</v>
      </c>
      <c r="CB82" s="20" t="n">
        <f aca="false">IF(Quantiles!CB82&lt;0,"",(Depth0-MIN(Depth0,Quantiles!CB82))/Depth_per_q)</f>
        <v>0</v>
      </c>
      <c r="CC82" s="20" t="n">
        <f aca="false">IF(Quantiles!CC82&lt;0,"",(Depth0-MIN(Depth0,Quantiles!CC82))/Depth_per_q)</f>
        <v>0</v>
      </c>
      <c r="CD82" s="20" t="n">
        <f aca="false">IF(Quantiles!CD82&lt;0,"",(Depth0-MIN(Depth0,Quantiles!CD82))/Depth_per_q)</f>
        <v>0</v>
      </c>
      <c r="CE82" s="20" t="n">
        <f aca="false">IF(Quantiles!CE82&lt;0,"",(Depth0-MIN(Depth0,Quantiles!CE82))/Depth_per_q)</f>
        <v>0</v>
      </c>
      <c r="CF82" s="20" t="n">
        <f aca="false">IF(Quantiles!CF82&lt;0,"",(Depth0-MIN(Depth0,Quantiles!CF82))/Depth_per_q)</f>
        <v>0</v>
      </c>
      <c r="CG82" s="20" t="n">
        <f aca="false">IF(Quantiles!CG82&lt;0,"",(Depth0-MIN(Depth0,Quantiles!CG82))/Depth_per_q)</f>
        <v>0</v>
      </c>
      <c r="CH82" s="20" t="n">
        <f aca="false">IF(Quantiles!CH82&lt;0,"",(Depth0-MIN(Depth0,Quantiles!CH82))/Depth_per_q)</f>
        <v>0</v>
      </c>
      <c r="CI82" s="20" t="n">
        <f aca="false">IF(Quantiles!CI82&lt;0,"",(Depth0-MIN(Depth0,Quantiles!CI82))/Depth_per_q)</f>
        <v>0</v>
      </c>
      <c r="CJ82" s="20" t="n">
        <f aca="false">IF(Quantiles!CJ82&lt;0,"",(Depth0-MIN(Depth0,Quantiles!CJ82))/Depth_per_q)</f>
        <v>0</v>
      </c>
      <c r="CK82" s="20" t="n">
        <f aca="false">IF(Quantiles!CK82&lt;0,"",(Depth0-MIN(Depth0,Quantiles!CK82))/Depth_per_q)</f>
        <v>0</v>
      </c>
      <c r="CL82" s="20" t="n">
        <f aca="false">IF(Quantiles!CL82&lt;0,"",(Depth0-MIN(Depth0,Quantiles!CL82))/Depth_per_q)</f>
        <v>0</v>
      </c>
      <c r="CM82" s="20" t="n">
        <f aca="false">IF(Quantiles!CM82&lt;0,"",(Depth0-MIN(Depth0,Quantiles!CM82))/Depth_per_q)</f>
        <v>0</v>
      </c>
      <c r="CN82" s="20" t="n">
        <f aca="false">IF(Quantiles!CN82&lt;0,"",(Depth0-MIN(Depth0,Quantiles!CN82))/Depth_per_q)</f>
        <v>0</v>
      </c>
      <c r="CO82" s="20" t="n">
        <f aca="false">IF(Quantiles!CO82&lt;0,"",(Depth0-MIN(Depth0,Quantiles!CO82))/Depth_per_q)</f>
        <v>0</v>
      </c>
      <c r="CP82" s="20" t="n">
        <f aca="false">IF(Quantiles!CP82&lt;0,"",(Depth0-MIN(Depth0,Quantiles!CP82))/Depth_per_q)</f>
        <v>0</v>
      </c>
      <c r="CQ82" s="20" t="n">
        <f aca="false">IF(Quantiles!CQ82&lt;0,"",(Depth0-MIN(Depth0,Quantiles!CQ82))/Depth_per_q)</f>
        <v>0</v>
      </c>
      <c r="CR82" s="20" t="n">
        <f aca="false">IF(Quantiles!CR82&lt;0,"",(Depth0-MIN(Depth0,Quantiles!CR82))/Depth_per_q)</f>
        <v>0</v>
      </c>
      <c r="CS82" s="20" t="n">
        <f aca="false">IF(Quantiles!CS82&lt;0,"",(Depth0-MIN(Depth0,Quantiles!CS82))/Depth_per_q)</f>
        <v>0</v>
      </c>
      <c r="CT82" s="20" t="n">
        <f aca="false">IF(Quantiles!CT82&lt;0,"",(Depth0-MIN(Depth0,Quantiles!CT82))/Depth_per_q)</f>
        <v>1.06818518832212</v>
      </c>
    </row>
    <row r="83" customFormat="false" ht="15" hidden="false" customHeight="false" outlineLevel="0" collapsed="false">
      <c r="A83" s="25" t="n">
        <f aca="false">Quantiles!A83</f>
        <v>390</v>
      </c>
      <c r="B83" s="20" t="n">
        <f aca="false">IF(Quantiles!B83&lt;0,"",(Depth0-MIN(Depth0,Quantiles!B83))/Depth_per_q)</f>
        <v>2.0430980511352</v>
      </c>
      <c r="C83" s="20" t="n">
        <f aca="false">IF(Quantiles!C83&lt;0,"",(Depth0-MIN(Depth0,Quantiles!C83))/Depth_per_q)</f>
        <v>1.85638886159566</v>
      </c>
      <c r="D83" s="20" t="n">
        <f aca="false">IF(Quantiles!D83&lt;0,"",(Depth0-MIN(Depth0,Quantiles!D83))/Depth_per_q)</f>
        <v>1.69241660224169</v>
      </c>
      <c r="E83" s="20" t="n">
        <f aca="false">IF(Quantiles!E83&lt;0,"",(Depth0-MIN(Depth0,Quantiles!E83))/Depth_per_q)</f>
        <v>1.55546482528646</v>
      </c>
      <c r="F83" s="20" t="n">
        <f aca="false">IF(Quantiles!F83&lt;0,"",(Depth0-MIN(Depth0,Quantiles!F83))/Depth_per_q)</f>
        <v>1.43591798602878</v>
      </c>
      <c r="G83" s="20" t="n">
        <f aca="false">IF(Quantiles!G83&lt;0,"",(Depth0-MIN(Depth0,Quantiles!G83))/Depth_per_q)</f>
        <v>1.32891792767821</v>
      </c>
      <c r="H83" s="20" t="n">
        <f aca="false">IF(Quantiles!H83&lt;0,"",(Depth0-MIN(Depth0,Quantiles!H83))/Depth_per_q)</f>
        <v>1.23574760268194</v>
      </c>
      <c r="I83" s="20" t="n">
        <f aca="false">IF(Quantiles!I83&lt;0,"",(Depth0-MIN(Depth0,Quantiles!I83))/Depth_per_q)</f>
        <v>1.1451212494399</v>
      </c>
      <c r="J83" s="20" t="n">
        <f aca="false">IF(Quantiles!J83&lt;0,"",(Depth0-MIN(Depth0,Quantiles!J83))/Depth_per_q)</f>
        <v>1.06858097578143</v>
      </c>
      <c r="K83" s="20" t="n">
        <f aca="false">IF(Quantiles!K83&lt;0,"",(Depth0-MIN(Depth0,Quantiles!K83))/Depth_per_q)</f>
        <v>0.98958312921369</v>
      </c>
      <c r="L83" s="20" t="n">
        <f aca="false">IF(Quantiles!L83&lt;0,"",(Depth0-MIN(Depth0,Quantiles!L83))/Depth_per_q)</f>
        <v>0.912744177208</v>
      </c>
      <c r="M83" s="20" t="n">
        <f aca="false">IF(Quantiles!M83&lt;0,"",(Depth0-MIN(Depth0,Quantiles!M83))/Depth_per_q)</f>
        <v>0.848631617860503</v>
      </c>
      <c r="N83" s="20" t="n">
        <f aca="false">IF(Quantiles!N83&lt;0,"",(Depth0-MIN(Depth0,Quantiles!N83))/Depth_per_q)</f>
        <v>0.786241620803883</v>
      </c>
      <c r="O83" s="20" t="n">
        <f aca="false">IF(Quantiles!O83&lt;0,"",(Depth0-MIN(Depth0,Quantiles!O83))/Depth_per_q)</f>
        <v>0.720985561874532</v>
      </c>
      <c r="P83" s="20" t="n">
        <f aca="false">IF(Quantiles!P83&lt;0,"",(Depth0-MIN(Depth0,Quantiles!P83))/Depth_per_q)</f>
        <v>0.66231062080724</v>
      </c>
      <c r="Q83" s="20" t="n">
        <f aca="false">IF(Quantiles!Q83&lt;0,"",(Depth0-MIN(Depth0,Quantiles!Q83))/Depth_per_q)</f>
        <v>0.605589663674802</v>
      </c>
      <c r="R83" s="20" t="n">
        <f aca="false">IF(Quantiles!R83&lt;0,"",(Depth0-MIN(Depth0,Quantiles!R83))/Depth_per_q)</f>
        <v>0.554620408360475</v>
      </c>
      <c r="S83" s="20" t="n">
        <f aca="false">IF(Quantiles!S83&lt;0,"",(Depth0-MIN(Depth0,Quantiles!S83))/Depth_per_q)</f>
        <v>0.504472191115695</v>
      </c>
      <c r="T83" s="20" t="n">
        <f aca="false">IF(Quantiles!T83&lt;0,"",(Depth0-MIN(Depth0,Quantiles!T83))/Depth_per_q)</f>
        <v>0.459023002564288</v>
      </c>
      <c r="U83" s="20" t="n">
        <f aca="false">IF(Quantiles!U83&lt;0,"",(Depth0-MIN(Depth0,Quantiles!U83))/Depth_per_q)</f>
        <v>0.413998614987965</v>
      </c>
      <c r="V83" s="20" t="n">
        <f aca="false">IF(Quantiles!V83&lt;0,"",(Depth0-MIN(Depth0,Quantiles!V83))/Depth_per_q)</f>
        <v>0.370693941344228</v>
      </c>
      <c r="W83" s="20" t="n">
        <f aca="false">IF(Quantiles!W83&lt;0,"",(Depth0-MIN(Depth0,Quantiles!W83))/Depth_per_q)</f>
        <v>0.325213723277267</v>
      </c>
      <c r="X83" s="20" t="n">
        <f aca="false">IF(Quantiles!X83&lt;0,"",(Depth0-MIN(Depth0,Quantiles!X83))/Depth_per_q)</f>
        <v>0.281150595467793</v>
      </c>
      <c r="Y83" s="20" t="n">
        <f aca="false">IF(Quantiles!Y83&lt;0,"",(Depth0-MIN(Depth0,Quantiles!Y83))/Depth_per_q)</f>
        <v>0.243567316284618</v>
      </c>
      <c r="Z83" s="20" t="n">
        <f aca="false">IF(Quantiles!Z83&lt;0,"",(Depth0-MIN(Depth0,Quantiles!Z83))/Depth_per_q)</f>
        <v>0.20448059578099</v>
      </c>
      <c r="AA83" s="20" t="n">
        <f aca="false">IF(Quantiles!AA83&lt;0,"",(Depth0-MIN(Depth0,Quantiles!AA83))/Depth_per_q)</f>
        <v>0.167574117177135</v>
      </c>
      <c r="AB83" s="20" t="n">
        <f aca="false">IF(Quantiles!AB83&lt;0,"",(Depth0-MIN(Depth0,Quantiles!AB83))/Depth_per_q)</f>
        <v>0.126791040334687</v>
      </c>
      <c r="AC83" s="20" t="n">
        <f aca="false">IF(Quantiles!AC83&lt;0,"",(Depth0-MIN(Depth0,Quantiles!AC83))/Depth_per_q)</f>
        <v>0.0908867907533821</v>
      </c>
      <c r="AD83" s="20" t="n">
        <f aca="false">IF(Quantiles!AD83&lt;0,"",(Depth0-MIN(Depth0,Quantiles!AD83))/Depth_per_q)</f>
        <v>0.0534627227034248</v>
      </c>
      <c r="AE83" s="20" t="n">
        <f aca="false">IF(Quantiles!AE83&lt;0,"",(Depth0-MIN(Depth0,Quantiles!AE83))/Depth_per_q)</f>
        <v>0.0202417797454197</v>
      </c>
      <c r="AF83" s="20" t="n">
        <f aca="false">IF(Quantiles!AF83&lt;0,"",(Depth0-MIN(Depth0,Quantiles!AF83))/Depth_per_q)</f>
        <v>0</v>
      </c>
      <c r="AG83" s="20" t="n">
        <f aca="false">IF(Quantiles!AG83&lt;0,"",(Depth0-MIN(Depth0,Quantiles!AG83))/Depth_per_q)</f>
        <v>0</v>
      </c>
      <c r="AH83" s="20" t="n">
        <f aca="false">IF(Quantiles!AH83&lt;0,"",(Depth0-MIN(Depth0,Quantiles!AH83))/Depth_per_q)</f>
        <v>0</v>
      </c>
      <c r="AI83" s="20" t="n">
        <f aca="false">IF(Quantiles!AI83&lt;0,"",(Depth0-MIN(Depth0,Quantiles!AI83))/Depth_per_q)</f>
        <v>0</v>
      </c>
      <c r="AJ83" s="20" t="n">
        <f aca="false">IF(Quantiles!AJ83&lt;0,"",(Depth0-MIN(Depth0,Quantiles!AJ83))/Depth_per_q)</f>
        <v>0</v>
      </c>
      <c r="AK83" s="20" t="n">
        <f aca="false">IF(Quantiles!AK83&lt;0,"",(Depth0-MIN(Depth0,Quantiles!AK83))/Depth_per_q)</f>
        <v>0</v>
      </c>
      <c r="AL83" s="20" t="n">
        <f aca="false">IF(Quantiles!AL83&lt;0,"",(Depth0-MIN(Depth0,Quantiles!AL83))/Depth_per_q)</f>
        <v>0</v>
      </c>
      <c r="AM83" s="20" t="n">
        <f aca="false">IF(Quantiles!AM83&lt;0,"",(Depth0-MIN(Depth0,Quantiles!AM83))/Depth_per_q)</f>
        <v>0</v>
      </c>
      <c r="AN83" s="20" t="n">
        <f aca="false">IF(Quantiles!AN83&lt;0,"",(Depth0-MIN(Depth0,Quantiles!AN83))/Depth_per_q)</f>
        <v>0</v>
      </c>
      <c r="AO83" s="20" t="n">
        <f aca="false">IF(Quantiles!AO83&lt;0,"",(Depth0-MIN(Depth0,Quantiles!AO83))/Depth_per_q)</f>
        <v>0</v>
      </c>
      <c r="AP83" s="20" t="n">
        <f aca="false">IF(Quantiles!AP83&lt;0,"",(Depth0-MIN(Depth0,Quantiles!AP83))/Depth_per_q)</f>
        <v>0</v>
      </c>
      <c r="AQ83" s="20" t="n">
        <f aca="false">IF(Quantiles!AQ83&lt;0,"",(Depth0-MIN(Depth0,Quantiles!AQ83))/Depth_per_q)</f>
        <v>0</v>
      </c>
      <c r="AR83" s="20" t="n">
        <f aca="false">IF(Quantiles!AR83&lt;0,"",(Depth0-MIN(Depth0,Quantiles!AR83))/Depth_per_q)</f>
        <v>0</v>
      </c>
      <c r="AS83" s="20" t="n">
        <f aca="false">IF(Quantiles!AS83&lt;0,"",(Depth0-MIN(Depth0,Quantiles!AS83))/Depth_per_q)</f>
        <v>0</v>
      </c>
      <c r="AT83" s="20" t="n">
        <f aca="false">IF(Quantiles!AT83&lt;0,"",(Depth0-MIN(Depth0,Quantiles!AT83))/Depth_per_q)</f>
        <v>0</v>
      </c>
      <c r="AU83" s="20" t="n">
        <f aca="false">IF(Quantiles!AU83&lt;0,"",(Depth0-MIN(Depth0,Quantiles!AU83))/Depth_per_q)</f>
        <v>0</v>
      </c>
      <c r="AV83" s="20" t="n">
        <f aca="false">IF(Quantiles!AV83&lt;0,"",(Depth0-MIN(Depth0,Quantiles!AV83))/Depth_per_q)</f>
        <v>0</v>
      </c>
      <c r="AW83" s="20" t="n">
        <f aca="false">IF(Quantiles!AW83&lt;0,"",(Depth0-MIN(Depth0,Quantiles!AW83))/Depth_per_q)</f>
        <v>0</v>
      </c>
      <c r="AX83" s="20" t="n">
        <f aca="false">IF(Quantiles!AX83&lt;0,"",(Depth0-MIN(Depth0,Quantiles!AX83))/Depth_per_q)</f>
        <v>0</v>
      </c>
      <c r="AY83" s="20" t="n">
        <f aca="false">IF(Quantiles!AY83&lt;0,"",(Depth0-MIN(Depth0,Quantiles!AY83))/Depth_per_q)</f>
        <v>0</v>
      </c>
      <c r="AZ83" s="20" t="n">
        <f aca="false">IF(Quantiles!AZ83&lt;0,"",(Depth0-MIN(Depth0,Quantiles!AZ83))/Depth_per_q)</f>
        <v>0</v>
      </c>
      <c r="BA83" s="20" t="n">
        <f aca="false">IF(Quantiles!BA83&lt;0,"",(Depth0-MIN(Depth0,Quantiles!BA83))/Depth_per_q)</f>
        <v>0</v>
      </c>
      <c r="BB83" s="20" t="n">
        <f aca="false">IF(Quantiles!BB83&lt;0,"",(Depth0-MIN(Depth0,Quantiles!BB83))/Depth_per_q)</f>
        <v>0</v>
      </c>
      <c r="BC83" s="20" t="n">
        <f aca="false">IF(Quantiles!BC83&lt;0,"",(Depth0-MIN(Depth0,Quantiles!BC83))/Depth_per_q)</f>
        <v>0</v>
      </c>
      <c r="BD83" s="20" t="n">
        <f aca="false">IF(Quantiles!BD83&lt;0,"",(Depth0-MIN(Depth0,Quantiles!BD83))/Depth_per_q)</f>
        <v>0</v>
      </c>
      <c r="BE83" s="20" t="n">
        <f aca="false">IF(Quantiles!BE83&lt;0,"",(Depth0-MIN(Depth0,Quantiles!BE83))/Depth_per_q)</f>
        <v>0</v>
      </c>
      <c r="BF83" s="20" t="n">
        <f aca="false">IF(Quantiles!BF83&lt;0,"",(Depth0-MIN(Depth0,Quantiles!BF83))/Depth_per_q)</f>
        <v>0</v>
      </c>
      <c r="BG83" s="20" t="n">
        <f aca="false">IF(Quantiles!BG83&lt;0,"",(Depth0-MIN(Depth0,Quantiles!BG83))/Depth_per_q)</f>
        <v>0</v>
      </c>
      <c r="BH83" s="20" t="n">
        <f aca="false">IF(Quantiles!BH83&lt;0,"",(Depth0-MIN(Depth0,Quantiles!BH83))/Depth_per_q)</f>
        <v>0</v>
      </c>
      <c r="BI83" s="20" t="n">
        <f aca="false">IF(Quantiles!BI83&lt;0,"",(Depth0-MIN(Depth0,Quantiles!BI83))/Depth_per_q)</f>
        <v>0</v>
      </c>
      <c r="BJ83" s="20" t="n">
        <f aca="false">IF(Quantiles!BJ83&lt;0,"",(Depth0-MIN(Depth0,Quantiles!BJ83))/Depth_per_q)</f>
        <v>0</v>
      </c>
      <c r="BK83" s="20" t="n">
        <f aca="false">IF(Quantiles!BK83&lt;0,"",(Depth0-MIN(Depth0,Quantiles!BK83))/Depth_per_q)</f>
        <v>0</v>
      </c>
      <c r="BL83" s="20" t="n">
        <f aca="false">IF(Quantiles!BL83&lt;0,"",(Depth0-MIN(Depth0,Quantiles!BL83))/Depth_per_q)</f>
        <v>0</v>
      </c>
      <c r="BM83" s="20" t="n">
        <f aca="false">IF(Quantiles!BM83&lt;0,"",(Depth0-MIN(Depth0,Quantiles!BM83))/Depth_per_q)</f>
        <v>0</v>
      </c>
      <c r="BN83" s="20" t="n">
        <f aca="false">IF(Quantiles!BN83&lt;0,"",(Depth0-MIN(Depth0,Quantiles!BN83))/Depth_per_q)</f>
        <v>0</v>
      </c>
      <c r="BO83" s="20" t="n">
        <f aca="false">IF(Quantiles!BO83&lt;0,"",(Depth0-MIN(Depth0,Quantiles!BO83))/Depth_per_q)</f>
        <v>0</v>
      </c>
      <c r="BP83" s="20" t="n">
        <f aca="false">IF(Quantiles!BP83&lt;0,"",(Depth0-MIN(Depth0,Quantiles!BP83))/Depth_per_q)</f>
        <v>0</v>
      </c>
      <c r="BQ83" s="20" t="n">
        <f aca="false">IF(Quantiles!BQ83&lt;0,"",(Depth0-MIN(Depth0,Quantiles!BQ83))/Depth_per_q)</f>
        <v>0</v>
      </c>
      <c r="BR83" s="20" t="n">
        <f aca="false">IF(Quantiles!BR83&lt;0,"",(Depth0-MIN(Depth0,Quantiles!BR83))/Depth_per_q)</f>
        <v>0</v>
      </c>
      <c r="BS83" s="20" t="n">
        <f aca="false">IF(Quantiles!BS83&lt;0,"",(Depth0-MIN(Depth0,Quantiles!BS83))/Depth_per_q)</f>
        <v>0</v>
      </c>
      <c r="BT83" s="20" t="n">
        <f aca="false">IF(Quantiles!BT83&lt;0,"",(Depth0-MIN(Depth0,Quantiles!BT83))/Depth_per_q)</f>
        <v>0</v>
      </c>
      <c r="BU83" s="20" t="n">
        <f aca="false">IF(Quantiles!BU83&lt;0,"",(Depth0-MIN(Depth0,Quantiles!BU83))/Depth_per_q)</f>
        <v>0</v>
      </c>
      <c r="BV83" s="20" t="n">
        <f aca="false">IF(Quantiles!BV83&lt;0,"",(Depth0-MIN(Depth0,Quantiles!BV83))/Depth_per_q)</f>
        <v>0</v>
      </c>
      <c r="BW83" s="20" t="n">
        <f aca="false">IF(Quantiles!BW83&lt;0,"",(Depth0-MIN(Depth0,Quantiles!BW83))/Depth_per_q)</f>
        <v>0</v>
      </c>
      <c r="BX83" s="20" t="n">
        <f aca="false">IF(Quantiles!BX83&lt;0,"",(Depth0-MIN(Depth0,Quantiles!BX83))/Depth_per_q)</f>
        <v>0</v>
      </c>
      <c r="BY83" s="20" t="n">
        <f aca="false">IF(Quantiles!BY83&lt;0,"",(Depth0-MIN(Depth0,Quantiles!BY83))/Depth_per_q)</f>
        <v>0</v>
      </c>
      <c r="BZ83" s="20" t="n">
        <f aca="false">IF(Quantiles!BZ83&lt;0,"",(Depth0-MIN(Depth0,Quantiles!BZ83))/Depth_per_q)</f>
        <v>0</v>
      </c>
      <c r="CA83" s="20" t="n">
        <f aca="false">IF(Quantiles!CA83&lt;0,"",(Depth0-MIN(Depth0,Quantiles!CA83))/Depth_per_q)</f>
        <v>0</v>
      </c>
      <c r="CB83" s="20" t="n">
        <f aca="false">IF(Quantiles!CB83&lt;0,"",(Depth0-MIN(Depth0,Quantiles!CB83))/Depth_per_q)</f>
        <v>0</v>
      </c>
      <c r="CC83" s="20" t="n">
        <f aca="false">IF(Quantiles!CC83&lt;0,"",(Depth0-MIN(Depth0,Quantiles!CC83))/Depth_per_q)</f>
        <v>0</v>
      </c>
      <c r="CD83" s="20" t="n">
        <f aca="false">IF(Quantiles!CD83&lt;0,"",(Depth0-MIN(Depth0,Quantiles!CD83))/Depth_per_q)</f>
        <v>0</v>
      </c>
      <c r="CE83" s="20" t="n">
        <f aca="false">IF(Quantiles!CE83&lt;0,"",(Depth0-MIN(Depth0,Quantiles!CE83))/Depth_per_q)</f>
        <v>0</v>
      </c>
      <c r="CF83" s="20" t="n">
        <f aca="false">IF(Quantiles!CF83&lt;0,"",(Depth0-MIN(Depth0,Quantiles!CF83))/Depth_per_q)</f>
        <v>0</v>
      </c>
      <c r="CG83" s="20" t="n">
        <f aca="false">IF(Quantiles!CG83&lt;0,"",(Depth0-MIN(Depth0,Quantiles!CG83))/Depth_per_q)</f>
        <v>0</v>
      </c>
      <c r="CH83" s="20" t="n">
        <f aca="false">IF(Quantiles!CH83&lt;0,"",(Depth0-MIN(Depth0,Quantiles!CH83))/Depth_per_q)</f>
        <v>0</v>
      </c>
      <c r="CI83" s="20" t="n">
        <f aca="false">IF(Quantiles!CI83&lt;0,"",(Depth0-MIN(Depth0,Quantiles!CI83))/Depth_per_q)</f>
        <v>0</v>
      </c>
      <c r="CJ83" s="20" t="n">
        <f aca="false">IF(Quantiles!CJ83&lt;0,"",(Depth0-MIN(Depth0,Quantiles!CJ83))/Depth_per_q)</f>
        <v>0</v>
      </c>
      <c r="CK83" s="20" t="n">
        <f aca="false">IF(Quantiles!CK83&lt;0,"",(Depth0-MIN(Depth0,Quantiles!CK83))/Depth_per_q)</f>
        <v>0</v>
      </c>
      <c r="CL83" s="20" t="n">
        <f aca="false">IF(Quantiles!CL83&lt;0,"",(Depth0-MIN(Depth0,Quantiles!CL83))/Depth_per_q)</f>
        <v>0</v>
      </c>
      <c r="CM83" s="20" t="n">
        <f aca="false">IF(Quantiles!CM83&lt;0,"",(Depth0-MIN(Depth0,Quantiles!CM83))/Depth_per_q)</f>
        <v>0</v>
      </c>
      <c r="CN83" s="20" t="n">
        <f aca="false">IF(Quantiles!CN83&lt;0,"",(Depth0-MIN(Depth0,Quantiles!CN83))/Depth_per_q)</f>
        <v>0</v>
      </c>
      <c r="CO83" s="20" t="n">
        <f aca="false">IF(Quantiles!CO83&lt;0,"",(Depth0-MIN(Depth0,Quantiles!CO83))/Depth_per_q)</f>
        <v>0</v>
      </c>
      <c r="CP83" s="20" t="n">
        <f aca="false">IF(Quantiles!CP83&lt;0,"",(Depth0-MIN(Depth0,Quantiles!CP83))/Depth_per_q)</f>
        <v>0</v>
      </c>
      <c r="CQ83" s="20" t="n">
        <f aca="false">IF(Quantiles!CQ83&lt;0,"",(Depth0-MIN(Depth0,Quantiles!CQ83))/Depth_per_q)</f>
        <v>0</v>
      </c>
      <c r="CR83" s="20" t="n">
        <f aca="false">IF(Quantiles!CR83&lt;0,"",(Depth0-MIN(Depth0,Quantiles!CR83))/Depth_per_q)</f>
        <v>0</v>
      </c>
      <c r="CS83" s="20" t="n">
        <f aca="false">IF(Quantiles!CS83&lt;0,"",(Depth0-MIN(Depth0,Quantiles!CS83))/Depth_per_q)</f>
        <v>0</v>
      </c>
      <c r="CT83" s="20" t="n">
        <f aca="false">IF(Quantiles!CT83&lt;0,"",(Depth0-MIN(Depth0,Quantiles!CT83))/Depth_per_q)</f>
        <v>1.06688766985307</v>
      </c>
    </row>
    <row r="84" customFormat="false" ht="15" hidden="false" customHeight="false" outlineLevel="0" collapsed="false">
      <c r="A84" s="25" t="n">
        <f aca="false">Quantiles!A84</f>
        <v>395</v>
      </c>
      <c r="B84" s="20" t="n">
        <f aca="false">IF(Quantiles!B84&lt;0,"",(Depth0-MIN(Depth0,Quantiles!B84))/Depth_per_q)</f>
        <v>2.0430980511352</v>
      </c>
      <c r="C84" s="20" t="n">
        <f aca="false">IF(Quantiles!C84&lt;0,"",(Depth0-MIN(Depth0,Quantiles!C84))/Depth_per_q)</f>
        <v>1.85638886159566</v>
      </c>
      <c r="D84" s="20" t="n">
        <f aca="false">IF(Quantiles!D84&lt;0,"",(Depth0-MIN(Depth0,Quantiles!D84))/Depth_per_q)</f>
        <v>1.69241660224169</v>
      </c>
      <c r="E84" s="20" t="n">
        <f aca="false">IF(Quantiles!E84&lt;0,"",(Depth0-MIN(Depth0,Quantiles!E84))/Depth_per_q)</f>
        <v>1.55546482528646</v>
      </c>
      <c r="F84" s="20" t="n">
        <f aca="false">IF(Quantiles!F84&lt;0,"",(Depth0-MIN(Depth0,Quantiles!F84))/Depth_per_q)</f>
        <v>1.43591798602878</v>
      </c>
      <c r="G84" s="20" t="n">
        <f aca="false">IF(Quantiles!G84&lt;0,"",(Depth0-MIN(Depth0,Quantiles!G84))/Depth_per_q)</f>
        <v>1.32891792767821</v>
      </c>
      <c r="H84" s="20" t="n">
        <f aca="false">IF(Quantiles!H84&lt;0,"",(Depth0-MIN(Depth0,Quantiles!H84))/Depth_per_q)</f>
        <v>1.23574760268194</v>
      </c>
      <c r="I84" s="20" t="n">
        <f aca="false">IF(Quantiles!I84&lt;0,"",(Depth0-MIN(Depth0,Quantiles!I84))/Depth_per_q)</f>
        <v>1.1451212494399</v>
      </c>
      <c r="J84" s="20" t="n">
        <f aca="false">IF(Quantiles!J84&lt;0,"",(Depth0-MIN(Depth0,Quantiles!J84))/Depth_per_q)</f>
        <v>1.06858097578143</v>
      </c>
      <c r="K84" s="20" t="n">
        <f aca="false">IF(Quantiles!K84&lt;0,"",(Depth0-MIN(Depth0,Quantiles!K84))/Depth_per_q)</f>
        <v>0.98958312921369</v>
      </c>
      <c r="L84" s="20" t="n">
        <f aca="false">IF(Quantiles!L84&lt;0,"",(Depth0-MIN(Depth0,Quantiles!L84))/Depth_per_q)</f>
        <v>0.912685294227082</v>
      </c>
      <c r="M84" s="20" t="n">
        <f aca="false">IF(Quantiles!M84&lt;0,"",(Depth0-MIN(Depth0,Quantiles!M84))/Depth_per_q)</f>
        <v>0.848630476472895</v>
      </c>
      <c r="N84" s="20" t="n">
        <f aca="false">IF(Quantiles!N84&lt;0,"",(Depth0-MIN(Depth0,Quantiles!N84))/Depth_per_q)</f>
        <v>0.785981343055313</v>
      </c>
      <c r="O84" s="20" t="n">
        <f aca="false">IF(Quantiles!O84&lt;0,"",(Depth0-MIN(Depth0,Quantiles!O84))/Depth_per_q)</f>
        <v>0.720939364508815</v>
      </c>
      <c r="P84" s="20" t="n">
        <f aca="false">IF(Quantiles!P84&lt;0,"",(Depth0-MIN(Depth0,Quantiles!P84))/Depth_per_q)</f>
        <v>0.66231062080724</v>
      </c>
      <c r="Q84" s="20" t="n">
        <f aca="false">IF(Quantiles!Q84&lt;0,"",(Depth0-MIN(Depth0,Quantiles!Q84))/Depth_per_q)</f>
        <v>0.605589663674802</v>
      </c>
      <c r="R84" s="20" t="n">
        <f aca="false">IF(Quantiles!R84&lt;0,"",(Depth0-MIN(Depth0,Quantiles!R84))/Depth_per_q)</f>
        <v>0.554620408360475</v>
      </c>
      <c r="S84" s="20" t="n">
        <f aca="false">IF(Quantiles!S84&lt;0,"",(Depth0-MIN(Depth0,Quantiles!S84))/Depth_per_q)</f>
        <v>0.504472191115695</v>
      </c>
      <c r="T84" s="20" t="n">
        <f aca="false">IF(Quantiles!T84&lt;0,"",(Depth0-MIN(Depth0,Quantiles!T84))/Depth_per_q)</f>
        <v>0.459023002564288</v>
      </c>
      <c r="U84" s="20" t="n">
        <f aca="false">IF(Quantiles!U84&lt;0,"",(Depth0-MIN(Depth0,Quantiles!U84))/Depth_per_q)</f>
        <v>0.413998614987965</v>
      </c>
      <c r="V84" s="20" t="n">
        <f aca="false">IF(Quantiles!V84&lt;0,"",(Depth0-MIN(Depth0,Quantiles!V84))/Depth_per_q)</f>
        <v>0.370693941344228</v>
      </c>
      <c r="W84" s="20" t="n">
        <f aca="false">IF(Quantiles!W84&lt;0,"",(Depth0-MIN(Depth0,Quantiles!W84))/Depth_per_q)</f>
        <v>0.325213723277267</v>
      </c>
      <c r="X84" s="20" t="n">
        <f aca="false">IF(Quantiles!X84&lt;0,"",(Depth0-MIN(Depth0,Quantiles!X84))/Depth_per_q)</f>
        <v>0.281150595467793</v>
      </c>
      <c r="Y84" s="20" t="n">
        <f aca="false">IF(Quantiles!Y84&lt;0,"",(Depth0-MIN(Depth0,Quantiles!Y84))/Depth_per_q)</f>
        <v>0.243567316284618</v>
      </c>
      <c r="Z84" s="20" t="n">
        <f aca="false">IF(Quantiles!Z84&lt;0,"",(Depth0-MIN(Depth0,Quantiles!Z84))/Depth_per_q)</f>
        <v>0.20448059578099</v>
      </c>
      <c r="AA84" s="20" t="n">
        <f aca="false">IF(Quantiles!AA84&lt;0,"",(Depth0-MIN(Depth0,Quantiles!AA84))/Depth_per_q)</f>
        <v>0.167574117177135</v>
      </c>
      <c r="AB84" s="20" t="n">
        <f aca="false">IF(Quantiles!AB84&lt;0,"",(Depth0-MIN(Depth0,Quantiles!AB84))/Depth_per_q)</f>
        <v>0.126791040334687</v>
      </c>
      <c r="AC84" s="20" t="n">
        <f aca="false">IF(Quantiles!AC84&lt;0,"",(Depth0-MIN(Depth0,Quantiles!AC84))/Depth_per_q)</f>
        <v>0.0908867907533821</v>
      </c>
      <c r="AD84" s="20" t="n">
        <f aca="false">IF(Quantiles!AD84&lt;0,"",(Depth0-MIN(Depth0,Quantiles!AD84))/Depth_per_q)</f>
        <v>0.0534627227034248</v>
      </c>
      <c r="AE84" s="20" t="n">
        <f aca="false">IF(Quantiles!AE84&lt;0,"",(Depth0-MIN(Depth0,Quantiles!AE84))/Depth_per_q)</f>
        <v>0.0202417797454197</v>
      </c>
      <c r="AF84" s="20" t="n">
        <f aca="false">IF(Quantiles!AF84&lt;0,"",(Depth0-MIN(Depth0,Quantiles!AF84))/Depth_per_q)</f>
        <v>0</v>
      </c>
      <c r="AG84" s="20" t="n">
        <f aca="false">IF(Quantiles!AG84&lt;0,"",(Depth0-MIN(Depth0,Quantiles!AG84))/Depth_per_q)</f>
        <v>0</v>
      </c>
      <c r="AH84" s="20" t="n">
        <f aca="false">IF(Quantiles!AH84&lt;0,"",(Depth0-MIN(Depth0,Quantiles!AH84))/Depth_per_q)</f>
        <v>0</v>
      </c>
      <c r="AI84" s="20" t="n">
        <f aca="false">IF(Quantiles!AI84&lt;0,"",(Depth0-MIN(Depth0,Quantiles!AI84))/Depth_per_q)</f>
        <v>0</v>
      </c>
      <c r="AJ84" s="20" t="n">
        <f aca="false">IF(Quantiles!AJ84&lt;0,"",(Depth0-MIN(Depth0,Quantiles!AJ84))/Depth_per_q)</f>
        <v>0</v>
      </c>
      <c r="AK84" s="20" t="n">
        <f aca="false">IF(Quantiles!AK84&lt;0,"",(Depth0-MIN(Depth0,Quantiles!AK84))/Depth_per_q)</f>
        <v>0</v>
      </c>
      <c r="AL84" s="20" t="n">
        <f aca="false">IF(Quantiles!AL84&lt;0,"",(Depth0-MIN(Depth0,Quantiles!AL84))/Depth_per_q)</f>
        <v>0</v>
      </c>
      <c r="AM84" s="20" t="n">
        <f aca="false">IF(Quantiles!AM84&lt;0,"",(Depth0-MIN(Depth0,Quantiles!AM84))/Depth_per_q)</f>
        <v>0</v>
      </c>
      <c r="AN84" s="20" t="n">
        <f aca="false">IF(Quantiles!AN84&lt;0,"",(Depth0-MIN(Depth0,Quantiles!AN84))/Depth_per_q)</f>
        <v>0</v>
      </c>
      <c r="AO84" s="20" t="n">
        <f aca="false">IF(Quantiles!AO84&lt;0,"",(Depth0-MIN(Depth0,Quantiles!AO84))/Depth_per_q)</f>
        <v>0</v>
      </c>
      <c r="AP84" s="20" t="n">
        <f aca="false">IF(Quantiles!AP84&lt;0,"",(Depth0-MIN(Depth0,Quantiles!AP84))/Depth_per_q)</f>
        <v>0</v>
      </c>
      <c r="AQ84" s="20" t="n">
        <f aca="false">IF(Quantiles!AQ84&lt;0,"",(Depth0-MIN(Depth0,Quantiles!AQ84))/Depth_per_q)</f>
        <v>0</v>
      </c>
      <c r="AR84" s="20" t="n">
        <f aca="false">IF(Quantiles!AR84&lt;0,"",(Depth0-MIN(Depth0,Quantiles!AR84))/Depth_per_q)</f>
        <v>0</v>
      </c>
      <c r="AS84" s="20" t="n">
        <f aca="false">IF(Quantiles!AS84&lt;0,"",(Depth0-MIN(Depth0,Quantiles!AS84))/Depth_per_q)</f>
        <v>0</v>
      </c>
      <c r="AT84" s="20" t="n">
        <f aca="false">IF(Quantiles!AT84&lt;0,"",(Depth0-MIN(Depth0,Quantiles!AT84))/Depth_per_q)</f>
        <v>0</v>
      </c>
      <c r="AU84" s="20" t="n">
        <f aca="false">IF(Quantiles!AU84&lt;0,"",(Depth0-MIN(Depth0,Quantiles!AU84))/Depth_per_q)</f>
        <v>0</v>
      </c>
      <c r="AV84" s="20" t="n">
        <f aca="false">IF(Quantiles!AV84&lt;0,"",(Depth0-MIN(Depth0,Quantiles!AV84))/Depth_per_q)</f>
        <v>0</v>
      </c>
      <c r="AW84" s="20" t="n">
        <f aca="false">IF(Quantiles!AW84&lt;0,"",(Depth0-MIN(Depth0,Quantiles!AW84))/Depth_per_q)</f>
        <v>0</v>
      </c>
      <c r="AX84" s="20" t="n">
        <f aca="false">IF(Quantiles!AX84&lt;0,"",(Depth0-MIN(Depth0,Quantiles!AX84))/Depth_per_q)</f>
        <v>0</v>
      </c>
      <c r="AY84" s="20" t="n">
        <f aca="false">IF(Quantiles!AY84&lt;0,"",(Depth0-MIN(Depth0,Quantiles!AY84))/Depth_per_q)</f>
        <v>0</v>
      </c>
      <c r="AZ84" s="20" t="n">
        <f aca="false">IF(Quantiles!AZ84&lt;0,"",(Depth0-MIN(Depth0,Quantiles!AZ84))/Depth_per_q)</f>
        <v>0</v>
      </c>
      <c r="BA84" s="20" t="n">
        <f aca="false">IF(Quantiles!BA84&lt;0,"",(Depth0-MIN(Depth0,Quantiles!BA84))/Depth_per_q)</f>
        <v>0</v>
      </c>
      <c r="BB84" s="20" t="n">
        <f aca="false">IF(Quantiles!BB84&lt;0,"",(Depth0-MIN(Depth0,Quantiles!BB84))/Depth_per_q)</f>
        <v>0</v>
      </c>
      <c r="BC84" s="20" t="n">
        <f aca="false">IF(Quantiles!BC84&lt;0,"",(Depth0-MIN(Depth0,Quantiles!BC84))/Depth_per_q)</f>
        <v>0</v>
      </c>
      <c r="BD84" s="20" t="n">
        <f aca="false">IF(Quantiles!BD84&lt;0,"",(Depth0-MIN(Depth0,Quantiles!BD84))/Depth_per_q)</f>
        <v>0</v>
      </c>
      <c r="BE84" s="20" t="n">
        <f aca="false">IF(Quantiles!BE84&lt;0,"",(Depth0-MIN(Depth0,Quantiles!BE84))/Depth_per_q)</f>
        <v>0</v>
      </c>
      <c r="BF84" s="20" t="n">
        <f aca="false">IF(Quantiles!BF84&lt;0,"",(Depth0-MIN(Depth0,Quantiles!BF84))/Depth_per_q)</f>
        <v>0</v>
      </c>
      <c r="BG84" s="20" t="n">
        <f aca="false">IF(Quantiles!BG84&lt;0,"",(Depth0-MIN(Depth0,Quantiles!BG84))/Depth_per_q)</f>
        <v>0</v>
      </c>
      <c r="BH84" s="20" t="n">
        <f aca="false">IF(Quantiles!BH84&lt;0,"",(Depth0-MIN(Depth0,Quantiles!BH84))/Depth_per_q)</f>
        <v>0</v>
      </c>
      <c r="BI84" s="20" t="n">
        <f aca="false">IF(Quantiles!BI84&lt;0,"",(Depth0-MIN(Depth0,Quantiles!BI84))/Depth_per_q)</f>
        <v>0</v>
      </c>
      <c r="BJ84" s="20" t="n">
        <f aca="false">IF(Quantiles!BJ84&lt;0,"",(Depth0-MIN(Depth0,Quantiles!BJ84))/Depth_per_q)</f>
        <v>0</v>
      </c>
      <c r="BK84" s="20" t="n">
        <f aca="false">IF(Quantiles!BK84&lt;0,"",(Depth0-MIN(Depth0,Quantiles!BK84))/Depth_per_q)</f>
        <v>0</v>
      </c>
      <c r="BL84" s="20" t="n">
        <f aca="false">IF(Quantiles!BL84&lt;0,"",(Depth0-MIN(Depth0,Quantiles!BL84))/Depth_per_q)</f>
        <v>0</v>
      </c>
      <c r="BM84" s="20" t="n">
        <f aca="false">IF(Quantiles!BM84&lt;0,"",(Depth0-MIN(Depth0,Quantiles!BM84))/Depth_per_q)</f>
        <v>0</v>
      </c>
      <c r="BN84" s="20" t="n">
        <f aca="false">IF(Quantiles!BN84&lt;0,"",(Depth0-MIN(Depth0,Quantiles!BN84))/Depth_per_q)</f>
        <v>0</v>
      </c>
      <c r="BO84" s="20" t="n">
        <f aca="false">IF(Quantiles!BO84&lt;0,"",(Depth0-MIN(Depth0,Quantiles!BO84))/Depth_per_q)</f>
        <v>0</v>
      </c>
      <c r="BP84" s="20" t="n">
        <f aca="false">IF(Quantiles!BP84&lt;0,"",(Depth0-MIN(Depth0,Quantiles!BP84))/Depth_per_q)</f>
        <v>0</v>
      </c>
      <c r="BQ84" s="20" t="n">
        <f aca="false">IF(Quantiles!BQ84&lt;0,"",(Depth0-MIN(Depth0,Quantiles!BQ84))/Depth_per_q)</f>
        <v>0</v>
      </c>
      <c r="BR84" s="20" t="n">
        <f aca="false">IF(Quantiles!BR84&lt;0,"",(Depth0-MIN(Depth0,Quantiles!BR84))/Depth_per_q)</f>
        <v>0</v>
      </c>
      <c r="BS84" s="20" t="n">
        <f aca="false">IF(Quantiles!BS84&lt;0,"",(Depth0-MIN(Depth0,Quantiles!BS84))/Depth_per_q)</f>
        <v>0</v>
      </c>
      <c r="BT84" s="20" t="n">
        <f aca="false">IF(Quantiles!BT84&lt;0,"",(Depth0-MIN(Depth0,Quantiles!BT84))/Depth_per_q)</f>
        <v>0</v>
      </c>
      <c r="BU84" s="20" t="n">
        <f aca="false">IF(Quantiles!BU84&lt;0,"",(Depth0-MIN(Depth0,Quantiles!BU84))/Depth_per_q)</f>
        <v>0</v>
      </c>
      <c r="BV84" s="20" t="n">
        <f aca="false">IF(Quantiles!BV84&lt;0,"",(Depth0-MIN(Depth0,Quantiles!BV84))/Depth_per_q)</f>
        <v>0</v>
      </c>
      <c r="BW84" s="20" t="n">
        <f aca="false">IF(Quantiles!BW84&lt;0,"",(Depth0-MIN(Depth0,Quantiles!BW84))/Depth_per_q)</f>
        <v>0</v>
      </c>
      <c r="BX84" s="20" t="n">
        <f aca="false">IF(Quantiles!BX84&lt;0,"",(Depth0-MIN(Depth0,Quantiles!BX84))/Depth_per_q)</f>
        <v>0</v>
      </c>
      <c r="BY84" s="20" t="n">
        <f aca="false">IF(Quantiles!BY84&lt;0,"",(Depth0-MIN(Depth0,Quantiles!BY84))/Depth_per_q)</f>
        <v>0</v>
      </c>
      <c r="BZ84" s="20" t="n">
        <f aca="false">IF(Quantiles!BZ84&lt;0,"",(Depth0-MIN(Depth0,Quantiles!BZ84))/Depth_per_q)</f>
        <v>0</v>
      </c>
      <c r="CA84" s="20" t="n">
        <f aca="false">IF(Quantiles!CA84&lt;0,"",(Depth0-MIN(Depth0,Quantiles!CA84))/Depth_per_q)</f>
        <v>0</v>
      </c>
      <c r="CB84" s="20" t="n">
        <f aca="false">IF(Quantiles!CB84&lt;0,"",(Depth0-MIN(Depth0,Quantiles!CB84))/Depth_per_q)</f>
        <v>0</v>
      </c>
      <c r="CC84" s="20" t="n">
        <f aca="false">IF(Quantiles!CC84&lt;0,"",(Depth0-MIN(Depth0,Quantiles!CC84))/Depth_per_q)</f>
        <v>0</v>
      </c>
      <c r="CD84" s="20" t="n">
        <f aca="false">IF(Quantiles!CD84&lt;0,"",(Depth0-MIN(Depth0,Quantiles!CD84))/Depth_per_q)</f>
        <v>0</v>
      </c>
      <c r="CE84" s="20" t="n">
        <f aca="false">IF(Quantiles!CE84&lt;0,"",(Depth0-MIN(Depth0,Quantiles!CE84))/Depth_per_q)</f>
        <v>0</v>
      </c>
      <c r="CF84" s="20" t="n">
        <f aca="false">IF(Quantiles!CF84&lt;0,"",(Depth0-MIN(Depth0,Quantiles!CF84))/Depth_per_q)</f>
        <v>0</v>
      </c>
      <c r="CG84" s="20" t="n">
        <f aca="false">IF(Quantiles!CG84&lt;0,"",(Depth0-MIN(Depth0,Quantiles!CG84))/Depth_per_q)</f>
        <v>0</v>
      </c>
      <c r="CH84" s="20" t="n">
        <f aca="false">IF(Quantiles!CH84&lt;0,"",(Depth0-MIN(Depth0,Quantiles!CH84))/Depth_per_q)</f>
        <v>0</v>
      </c>
      <c r="CI84" s="20" t="n">
        <f aca="false">IF(Quantiles!CI84&lt;0,"",(Depth0-MIN(Depth0,Quantiles!CI84))/Depth_per_q)</f>
        <v>0</v>
      </c>
      <c r="CJ84" s="20" t="n">
        <f aca="false">IF(Quantiles!CJ84&lt;0,"",(Depth0-MIN(Depth0,Quantiles!CJ84))/Depth_per_q)</f>
        <v>0</v>
      </c>
      <c r="CK84" s="20" t="n">
        <f aca="false">IF(Quantiles!CK84&lt;0,"",(Depth0-MIN(Depth0,Quantiles!CK84))/Depth_per_q)</f>
        <v>0</v>
      </c>
      <c r="CL84" s="20" t="n">
        <f aca="false">IF(Quantiles!CL84&lt;0,"",(Depth0-MIN(Depth0,Quantiles!CL84))/Depth_per_q)</f>
        <v>0</v>
      </c>
      <c r="CM84" s="20" t="n">
        <f aca="false">IF(Quantiles!CM84&lt;0,"",(Depth0-MIN(Depth0,Quantiles!CM84))/Depth_per_q)</f>
        <v>0</v>
      </c>
      <c r="CN84" s="20" t="n">
        <f aca="false">IF(Quantiles!CN84&lt;0,"",(Depth0-MIN(Depth0,Quantiles!CN84))/Depth_per_q)</f>
        <v>0</v>
      </c>
      <c r="CO84" s="20" t="n">
        <f aca="false">IF(Quantiles!CO84&lt;0,"",(Depth0-MIN(Depth0,Quantiles!CO84))/Depth_per_q)</f>
        <v>0</v>
      </c>
      <c r="CP84" s="20" t="n">
        <f aca="false">IF(Quantiles!CP84&lt;0,"",(Depth0-MIN(Depth0,Quantiles!CP84))/Depth_per_q)</f>
        <v>0</v>
      </c>
      <c r="CQ84" s="20" t="n">
        <f aca="false">IF(Quantiles!CQ84&lt;0,"",(Depth0-MIN(Depth0,Quantiles!CQ84))/Depth_per_q)</f>
        <v>0</v>
      </c>
      <c r="CR84" s="20" t="n">
        <f aca="false">IF(Quantiles!CR84&lt;0,"",(Depth0-MIN(Depth0,Quantiles!CR84))/Depth_per_q)</f>
        <v>0</v>
      </c>
      <c r="CS84" s="20" t="n">
        <f aca="false">IF(Quantiles!CS84&lt;0,"",(Depth0-MIN(Depth0,Quantiles!CS84))/Depth_per_q)</f>
        <v>0</v>
      </c>
      <c r="CT84" s="20" t="n">
        <f aca="false">IF(Quantiles!CT84&lt;0,"",(Depth0-MIN(Depth0,Quantiles!CT84))/Depth_per_q)</f>
        <v>1.06688766985307</v>
      </c>
    </row>
    <row r="85" customFormat="false" ht="15" hidden="false" customHeight="false" outlineLevel="0" collapsed="false">
      <c r="A85" s="25" t="n">
        <f aca="false">Quantiles!A85</f>
        <v>400</v>
      </c>
      <c r="B85" s="20" t="n">
        <f aca="false">IF(Quantiles!B85&lt;0,"",(Depth0-MIN(Depth0,Quantiles!B85))/Depth_per_q)</f>
        <v>2.0430980511352</v>
      </c>
      <c r="C85" s="20" t="n">
        <f aca="false">IF(Quantiles!C85&lt;0,"",(Depth0-MIN(Depth0,Quantiles!C85))/Depth_per_q)</f>
        <v>1.85638886159566</v>
      </c>
      <c r="D85" s="20" t="n">
        <f aca="false">IF(Quantiles!D85&lt;0,"",(Depth0-MIN(Depth0,Quantiles!D85))/Depth_per_q)</f>
        <v>1.69241660224169</v>
      </c>
      <c r="E85" s="20" t="n">
        <f aca="false">IF(Quantiles!E85&lt;0,"",(Depth0-MIN(Depth0,Quantiles!E85))/Depth_per_q)</f>
        <v>1.55546482528646</v>
      </c>
      <c r="F85" s="20" t="n">
        <f aca="false">IF(Quantiles!F85&lt;0,"",(Depth0-MIN(Depth0,Quantiles!F85))/Depth_per_q)</f>
        <v>1.43591798602878</v>
      </c>
      <c r="G85" s="20" t="n">
        <f aca="false">IF(Quantiles!G85&lt;0,"",(Depth0-MIN(Depth0,Quantiles!G85))/Depth_per_q)</f>
        <v>1.32891792767821</v>
      </c>
      <c r="H85" s="20" t="n">
        <f aca="false">IF(Quantiles!H85&lt;0,"",(Depth0-MIN(Depth0,Quantiles!H85))/Depth_per_q)</f>
        <v>1.23574760268194</v>
      </c>
      <c r="I85" s="20" t="n">
        <f aca="false">IF(Quantiles!I85&lt;0,"",(Depth0-MIN(Depth0,Quantiles!I85))/Depth_per_q)</f>
        <v>1.1451212494399</v>
      </c>
      <c r="J85" s="20" t="n">
        <f aca="false">IF(Quantiles!J85&lt;0,"",(Depth0-MIN(Depth0,Quantiles!J85))/Depth_per_q)</f>
        <v>1.06858097578143</v>
      </c>
      <c r="K85" s="20" t="n">
        <f aca="false">IF(Quantiles!K85&lt;0,"",(Depth0-MIN(Depth0,Quantiles!K85))/Depth_per_q)</f>
        <v>0.98958312921369</v>
      </c>
      <c r="L85" s="20" t="n">
        <f aca="false">IF(Quantiles!L85&lt;0,"",(Depth0-MIN(Depth0,Quantiles!L85))/Depth_per_q)</f>
        <v>0.912685294227082</v>
      </c>
      <c r="M85" s="20" t="n">
        <f aca="false">IF(Quantiles!M85&lt;0,"",(Depth0-MIN(Depth0,Quantiles!M85))/Depth_per_q)</f>
        <v>0.848630476472895</v>
      </c>
      <c r="N85" s="20" t="n">
        <f aca="false">IF(Quantiles!N85&lt;0,"",(Depth0-MIN(Depth0,Quantiles!N85))/Depth_per_q)</f>
        <v>0.785981343055313</v>
      </c>
      <c r="O85" s="20" t="n">
        <f aca="false">IF(Quantiles!O85&lt;0,"",(Depth0-MIN(Depth0,Quantiles!O85))/Depth_per_q)</f>
        <v>0.720939364508815</v>
      </c>
      <c r="P85" s="20" t="n">
        <f aca="false">IF(Quantiles!P85&lt;0,"",(Depth0-MIN(Depth0,Quantiles!P85))/Depth_per_q)</f>
        <v>0.662137654007397</v>
      </c>
      <c r="Q85" s="20" t="n">
        <f aca="false">IF(Quantiles!Q85&lt;0,"",(Depth0-MIN(Depth0,Quantiles!Q85))/Depth_per_q)</f>
        <v>0.605352782754233</v>
      </c>
      <c r="R85" s="20" t="n">
        <f aca="false">IF(Quantiles!R85&lt;0,"",(Depth0-MIN(Depth0,Quantiles!R85))/Depth_per_q)</f>
        <v>0.554607710836082</v>
      </c>
      <c r="S85" s="20" t="n">
        <f aca="false">IF(Quantiles!S85&lt;0,"",(Depth0-MIN(Depth0,Quantiles!S85))/Depth_per_q)</f>
        <v>0.504382608879545</v>
      </c>
      <c r="T85" s="20" t="n">
        <f aca="false">IF(Quantiles!T85&lt;0,"",(Depth0-MIN(Depth0,Quantiles!T85))/Depth_per_q)</f>
        <v>0.459023002564288</v>
      </c>
      <c r="U85" s="20" t="n">
        <f aca="false">IF(Quantiles!U85&lt;0,"",(Depth0-MIN(Depth0,Quantiles!U85))/Depth_per_q)</f>
        <v>0.413998614987965</v>
      </c>
      <c r="V85" s="20" t="n">
        <f aca="false">IF(Quantiles!V85&lt;0,"",(Depth0-MIN(Depth0,Quantiles!V85))/Depth_per_q)</f>
        <v>0.370693941344228</v>
      </c>
      <c r="W85" s="20" t="n">
        <f aca="false">IF(Quantiles!W85&lt;0,"",(Depth0-MIN(Depth0,Quantiles!W85))/Depth_per_q)</f>
        <v>0.325213723277267</v>
      </c>
      <c r="X85" s="20" t="n">
        <f aca="false">IF(Quantiles!X85&lt;0,"",(Depth0-MIN(Depth0,Quantiles!X85))/Depth_per_q)</f>
        <v>0.281150595467793</v>
      </c>
      <c r="Y85" s="20" t="n">
        <f aca="false">IF(Quantiles!Y85&lt;0,"",(Depth0-MIN(Depth0,Quantiles!Y85))/Depth_per_q)</f>
        <v>0.243567316284618</v>
      </c>
      <c r="Z85" s="20" t="n">
        <f aca="false">IF(Quantiles!Z85&lt;0,"",(Depth0-MIN(Depth0,Quantiles!Z85))/Depth_per_q)</f>
        <v>0.20448059578099</v>
      </c>
      <c r="AA85" s="20" t="n">
        <f aca="false">IF(Quantiles!AA85&lt;0,"",(Depth0-MIN(Depth0,Quantiles!AA85))/Depth_per_q)</f>
        <v>0.167574117177135</v>
      </c>
      <c r="AB85" s="20" t="n">
        <f aca="false">IF(Quantiles!AB85&lt;0,"",(Depth0-MIN(Depth0,Quantiles!AB85))/Depth_per_q)</f>
        <v>0.126791040334687</v>
      </c>
      <c r="AC85" s="20" t="n">
        <f aca="false">IF(Quantiles!AC85&lt;0,"",(Depth0-MIN(Depth0,Quantiles!AC85))/Depth_per_q)</f>
        <v>0.0908867907533821</v>
      </c>
      <c r="AD85" s="20" t="n">
        <f aca="false">IF(Quantiles!AD85&lt;0,"",(Depth0-MIN(Depth0,Quantiles!AD85))/Depth_per_q)</f>
        <v>0.0534627227034248</v>
      </c>
      <c r="AE85" s="20" t="n">
        <f aca="false">IF(Quantiles!AE85&lt;0,"",(Depth0-MIN(Depth0,Quantiles!AE85))/Depth_per_q)</f>
        <v>0.0202417797454197</v>
      </c>
      <c r="AF85" s="20" t="n">
        <f aca="false">IF(Quantiles!AF85&lt;0,"",(Depth0-MIN(Depth0,Quantiles!AF85))/Depth_per_q)</f>
        <v>0</v>
      </c>
      <c r="AG85" s="20" t="n">
        <f aca="false">IF(Quantiles!AG85&lt;0,"",(Depth0-MIN(Depth0,Quantiles!AG85))/Depth_per_q)</f>
        <v>0</v>
      </c>
      <c r="AH85" s="20" t="n">
        <f aca="false">IF(Quantiles!AH85&lt;0,"",(Depth0-MIN(Depth0,Quantiles!AH85))/Depth_per_q)</f>
        <v>0</v>
      </c>
      <c r="AI85" s="20" t="n">
        <f aca="false">IF(Quantiles!AI85&lt;0,"",(Depth0-MIN(Depth0,Quantiles!AI85))/Depth_per_q)</f>
        <v>0</v>
      </c>
      <c r="AJ85" s="20" t="n">
        <f aca="false">IF(Quantiles!AJ85&lt;0,"",(Depth0-MIN(Depth0,Quantiles!AJ85))/Depth_per_q)</f>
        <v>0</v>
      </c>
      <c r="AK85" s="20" t="n">
        <f aca="false">IF(Quantiles!AK85&lt;0,"",(Depth0-MIN(Depth0,Quantiles!AK85))/Depth_per_q)</f>
        <v>0</v>
      </c>
      <c r="AL85" s="20" t="n">
        <f aca="false">IF(Quantiles!AL85&lt;0,"",(Depth0-MIN(Depth0,Quantiles!AL85))/Depth_per_q)</f>
        <v>0</v>
      </c>
      <c r="AM85" s="20" t="n">
        <f aca="false">IF(Quantiles!AM85&lt;0,"",(Depth0-MIN(Depth0,Quantiles!AM85))/Depth_per_q)</f>
        <v>0</v>
      </c>
      <c r="AN85" s="20" t="n">
        <f aca="false">IF(Quantiles!AN85&lt;0,"",(Depth0-MIN(Depth0,Quantiles!AN85))/Depth_per_q)</f>
        <v>0</v>
      </c>
      <c r="AO85" s="20" t="n">
        <f aca="false">IF(Quantiles!AO85&lt;0,"",(Depth0-MIN(Depth0,Quantiles!AO85))/Depth_per_q)</f>
        <v>0</v>
      </c>
      <c r="AP85" s="20" t="n">
        <f aca="false">IF(Quantiles!AP85&lt;0,"",(Depth0-MIN(Depth0,Quantiles!AP85))/Depth_per_q)</f>
        <v>0</v>
      </c>
      <c r="AQ85" s="20" t="n">
        <f aca="false">IF(Quantiles!AQ85&lt;0,"",(Depth0-MIN(Depth0,Quantiles!AQ85))/Depth_per_q)</f>
        <v>0</v>
      </c>
      <c r="AR85" s="20" t="n">
        <f aca="false">IF(Quantiles!AR85&lt;0,"",(Depth0-MIN(Depth0,Quantiles!AR85))/Depth_per_q)</f>
        <v>0</v>
      </c>
      <c r="AS85" s="20" t="n">
        <f aca="false">IF(Quantiles!AS85&lt;0,"",(Depth0-MIN(Depth0,Quantiles!AS85))/Depth_per_q)</f>
        <v>0</v>
      </c>
      <c r="AT85" s="20" t="n">
        <f aca="false">IF(Quantiles!AT85&lt;0,"",(Depth0-MIN(Depth0,Quantiles!AT85))/Depth_per_q)</f>
        <v>0</v>
      </c>
      <c r="AU85" s="20" t="n">
        <f aca="false">IF(Quantiles!AU85&lt;0,"",(Depth0-MIN(Depth0,Quantiles!AU85))/Depth_per_q)</f>
        <v>0</v>
      </c>
      <c r="AV85" s="20" t="n">
        <f aca="false">IF(Quantiles!AV85&lt;0,"",(Depth0-MIN(Depth0,Quantiles!AV85))/Depth_per_q)</f>
        <v>0</v>
      </c>
      <c r="AW85" s="20" t="n">
        <f aca="false">IF(Quantiles!AW85&lt;0,"",(Depth0-MIN(Depth0,Quantiles!AW85))/Depth_per_q)</f>
        <v>0</v>
      </c>
      <c r="AX85" s="20" t="n">
        <f aca="false">IF(Quantiles!AX85&lt;0,"",(Depth0-MIN(Depth0,Quantiles!AX85))/Depth_per_q)</f>
        <v>0</v>
      </c>
      <c r="AY85" s="20" t="n">
        <f aca="false">IF(Quantiles!AY85&lt;0,"",(Depth0-MIN(Depth0,Quantiles!AY85))/Depth_per_q)</f>
        <v>0</v>
      </c>
      <c r="AZ85" s="20" t="n">
        <f aca="false">IF(Quantiles!AZ85&lt;0,"",(Depth0-MIN(Depth0,Quantiles!AZ85))/Depth_per_q)</f>
        <v>0</v>
      </c>
      <c r="BA85" s="20" t="n">
        <f aca="false">IF(Quantiles!BA85&lt;0,"",(Depth0-MIN(Depth0,Quantiles!BA85))/Depth_per_q)</f>
        <v>0</v>
      </c>
      <c r="BB85" s="20" t="n">
        <f aca="false">IF(Quantiles!BB85&lt;0,"",(Depth0-MIN(Depth0,Quantiles!BB85))/Depth_per_q)</f>
        <v>0</v>
      </c>
      <c r="BC85" s="20" t="n">
        <f aca="false">IF(Quantiles!BC85&lt;0,"",(Depth0-MIN(Depth0,Quantiles!BC85))/Depth_per_q)</f>
        <v>0</v>
      </c>
      <c r="BD85" s="20" t="n">
        <f aca="false">IF(Quantiles!BD85&lt;0,"",(Depth0-MIN(Depth0,Quantiles!BD85))/Depth_per_q)</f>
        <v>0</v>
      </c>
      <c r="BE85" s="20" t="n">
        <f aca="false">IF(Quantiles!BE85&lt;0,"",(Depth0-MIN(Depth0,Quantiles!BE85))/Depth_per_q)</f>
        <v>0</v>
      </c>
      <c r="BF85" s="20" t="n">
        <f aca="false">IF(Quantiles!BF85&lt;0,"",(Depth0-MIN(Depth0,Quantiles!BF85))/Depth_per_q)</f>
        <v>0</v>
      </c>
      <c r="BG85" s="20" t="n">
        <f aca="false">IF(Quantiles!BG85&lt;0,"",(Depth0-MIN(Depth0,Quantiles!BG85))/Depth_per_q)</f>
        <v>0</v>
      </c>
      <c r="BH85" s="20" t="n">
        <f aca="false">IF(Quantiles!BH85&lt;0,"",(Depth0-MIN(Depth0,Quantiles!BH85))/Depth_per_q)</f>
        <v>0</v>
      </c>
      <c r="BI85" s="20" t="n">
        <f aca="false">IF(Quantiles!BI85&lt;0,"",(Depth0-MIN(Depth0,Quantiles!BI85))/Depth_per_q)</f>
        <v>0</v>
      </c>
      <c r="BJ85" s="20" t="n">
        <f aca="false">IF(Quantiles!BJ85&lt;0,"",(Depth0-MIN(Depth0,Quantiles!BJ85))/Depth_per_q)</f>
        <v>0</v>
      </c>
      <c r="BK85" s="20" t="n">
        <f aca="false">IF(Quantiles!BK85&lt;0,"",(Depth0-MIN(Depth0,Quantiles!BK85))/Depth_per_q)</f>
        <v>0</v>
      </c>
      <c r="BL85" s="20" t="n">
        <f aca="false">IF(Quantiles!BL85&lt;0,"",(Depth0-MIN(Depth0,Quantiles!BL85))/Depth_per_q)</f>
        <v>0</v>
      </c>
      <c r="BM85" s="20" t="n">
        <f aca="false">IF(Quantiles!BM85&lt;0,"",(Depth0-MIN(Depth0,Quantiles!BM85))/Depth_per_q)</f>
        <v>0</v>
      </c>
      <c r="BN85" s="20" t="n">
        <f aca="false">IF(Quantiles!BN85&lt;0,"",(Depth0-MIN(Depth0,Quantiles!BN85))/Depth_per_q)</f>
        <v>0</v>
      </c>
      <c r="BO85" s="20" t="n">
        <f aca="false">IF(Quantiles!BO85&lt;0,"",(Depth0-MIN(Depth0,Quantiles!BO85))/Depth_per_q)</f>
        <v>0</v>
      </c>
      <c r="BP85" s="20" t="n">
        <f aca="false">IF(Quantiles!BP85&lt;0,"",(Depth0-MIN(Depth0,Quantiles!BP85))/Depth_per_q)</f>
        <v>0</v>
      </c>
      <c r="BQ85" s="20" t="n">
        <f aca="false">IF(Quantiles!BQ85&lt;0,"",(Depth0-MIN(Depth0,Quantiles!BQ85))/Depth_per_q)</f>
        <v>0</v>
      </c>
      <c r="BR85" s="20" t="n">
        <f aca="false">IF(Quantiles!BR85&lt;0,"",(Depth0-MIN(Depth0,Quantiles!BR85))/Depth_per_q)</f>
        <v>0</v>
      </c>
      <c r="BS85" s="20" t="n">
        <f aca="false">IF(Quantiles!BS85&lt;0,"",(Depth0-MIN(Depth0,Quantiles!BS85))/Depth_per_q)</f>
        <v>0</v>
      </c>
      <c r="BT85" s="20" t="n">
        <f aca="false">IF(Quantiles!BT85&lt;0,"",(Depth0-MIN(Depth0,Quantiles!BT85))/Depth_per_q)</f>
        <v>0</v>
      </c>
      <c r="BU85" s="20" t="n">
        <f aca="false">IF(Quantiles!BU85&lt;0,"",(Depth0-MIN(Depth0,Quantiles!BU85))/Depth_per_q)</f>
        <v>0</v>
      </c>
      <c r="BV85" s="20" t="n">
        <f aca="false">IF(Quantiles!BV85&lt;0,"",(Depth0-MIN(Depth0,Quantiles!BV85))/Depth_per_q)</f>
        <v>0</v>
      </c>
      <c r="BW85" s="20" t="n">
        <f aca="false">IF(Quantiles!BW85&lt;0,"",(Depth0-MIN(Depth0,Quantiles!BW85))/Depth_per_q)</f>
        <v>0</v>
      </c>
      <c r="BX85" s="20" t="n">
        <f aca="false">IF(Quantiles!BX85&lt;0,"",(Depth0-MIN(Depth0,Quantiles!BX85))/Depth_per_q)</f>
        <v>0</v>
      </c>
      <c r="BY85" s="20" t="n">
        <f aca="false">IF(Quantiles!BY85&lt;0,"",(Depth0-MIN(Depth0,Quantiles!BY85))/Depth_per_q)</f>
        <v>0</v>
      </c>
      <c r="BZ85" s="20" t="n">
        <f aca="false">IF(Quantiles!BZ85&lt;0,"",(Depth0-MIN(Depth0,Quantiles!BZ85))/Depth_per_q)</f>
        <v>0</v>
      </c>
      <c r="CA85" s="20" t="n">
        <f aca="false">IF(Quantiles!CA85&lt;0,"",(Depth0-MIN(Depth0,Quantiles!CA85))/Depth_per_q)</f>
        <v>0</v>
      </c>
      <c r="CB85" s="20" t="n">
        <f aca="false">IF(Quantiles!CB85&lt;0,"",(Depth0-MIN(Depth0,Quantiles!CB85))/Depth_per_q)</f>
        <v>0</v>
      </c>
      <c r="CC85" s="20" t="n">
        <f aca="false">IF(Quantiles!CC85&lt;0,"",(Depth0-MIN(Depth0,Quantiles!CC85))/Depth_per_q)</f>
        <v>0</v>
      </c>
      <c r="CD85" s="20" t="n">
        <f aca="false">IF(Quantiles!CD85&lt;0,"",(Depth0-MIN(Depth0,Quantiles!CD85))/Depth_per_q)</f>
        <v>0</v>
      </c>
      <c r="CE85" s="20" t="n">
        <f aca="false">IF(Quantiles!CE85&lt;0,"",(Depth0-MIN(Depth0,Quantiles!CE85))/Depth_per_q)</f>
        <v>0</v>
      </c>
      <c r="CF85" s="20" t="n">
        <f aca="false">IF(Quantiles!CF85&lt;0,"",(Depth0-MIN(Depth0,Quantiles!CF85))/Depth_per_q)</f>
        <v>0</v>
      </c>
      <c r="CG85" s="20" t="n">
        <f aca="false">IF(Quantiles!CG85&lt;0,"",(Depth0-MIN(Depth0,Quantiles!CG85))/Depth_per_q)</f>
        <v>0</v>
      </c>
      <c r="CH85" s="20" t="n">
        <f aca="false">IF(Quantiles!CH85&lt;0,"",(Depth0-MIN(Depth0,Quantiles!CH85))/Depth_per_q)</f>
        <v>0</v>
      </c>
      <c r="CI85" s="20" t="n">
        <f aca="false">IF(Quantiles!CI85&lt;0,"",(Depth0-MIN(Depth0,Quantiles!CI85))/Depth_per_q)</f>
        <v>0</v>
      </c>
      <c r="CJ85" s="20" t="n">
        <f aca="false">IF(Quantiles!CJ85&lt;0,"",(Depth0-MIN(Depth0,Quantiles!CJ85))/Depth_per_q)</f>
        <v>0</v>
      </c>
      <c r="CK85" s="20" t="n">
        <f aca="false">IF(Quantiles!CK85&lt;0,"",(Depth0-MIN(Depth0,Quantiles!CK85))/Depth_per_q)</f>
        <v>0</v>
      </c>
      <c r="CL85" s="20" t="n">
        <f aca="false">IF(Quantiles!CL85&lt;0,"",(Depth0-MIN(Depth0,Quantiles!CL85))/Depth_per_q)</f>
        <v>0</v>
      </c>
      <c r="CM85" s="20" t="n">
        <f aca="false">IF(Quantiles!CM85&lt;0,"",(Depth0-MIN(Depth0,Quantiles!CM85))/Depth_per_q)</f>
        <v>0</v>
      </c>
      <c r="CN85" s="20" t="n">
        <f aca="false">IF(Quantiles!CN85&lt;0,"",(Depth0-MIN(Depth0,Quantiles!CN85))/Depth_per_q)</f>
        <v>0</v>
      </c>
      <c r="CO85" s="20" t="n">
        <f aca="false">IF(Quantiles!CO85&lt;0,"",(Depth0-MIN(Depth0,Quantiles!CO85))/Depth_per_q)</f>
        <v>0</v>
      </c>
      <c r="CP85" s="20" t="n">
        <f aca="false">IF(Quantiles!CP85&lt;0,"",(Depth0-MIN(Depth0,Quantiles!CP85))/Depth_per_q)</f>
        <v>0</v>
      </c>
      <c r="CQ85" s="20" t="n">
        <f aca="false">IF(Quantiles!CQ85&lt;0,"",(Depth0-MIN(Depth0,Quantiles!CQ85))/Depth_per_q)</f>
        <v>0</v>
      </c>
      <c r="CR85" s="20" t="n">
        <f aca="false">IF(Quantiles!CR85&lt;0,"",(Depth0-MIN(Depth0,Quantiles!CR85))/Depth_per_q)</f>
        <v>0</v>
      </c>
      <c r="CS85" s="20" t="n">
        <f aca="false">IF(Quantiles!CS85&lt;0,"",(Depth0-MIN(Depth0,Quantiles!CS85))/Depth_per_q)</f>
        <v>0</v>
      </c>
      <c r="CT85" s="20" t="n">
        <f aca="false">IF(Quantiles!CT85&lt;0,"",(Depth0-MIN(Depth0,Quantiles!CT85))/Depth_per_q)</f>
        <v>1.06688766985307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T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98" min="2" style="0" width="9"/>
  </cols>
  <sheetData>
    <row r="1" customFormat="false" ht="15" hidden="false" customHeight="false" outlineLevel="0" collapsed="false">
      <c r="A1" s="1" t="s">
        <v>146</v>
      </c>
    </row>
    <row r="2" customFormat="false" ht="15" hidden="false" customHeight="false" outlineLevel="0" collapsed="false">
      <c r="A2" s="10" t="s">
        <v>147</v>
      </c>
    </row>
    <row r="4" customFormat="false" ht="15" hidden="false" customHeight="false" outlineLevel="0" collapsed="false">
      <c r="A4" s="8" t="s">
        <v>143</v>
      </c>
      <c r="B4" s="23" t="n">
        <f aca="false">Quantiles!B4</f>
        <v>0.01</v>
      </c>
      <c r="C4" s="23" t="n">
        <f aca="false">Quantiles!C4</f>
        <v>0.0125</v>
      </c>
      <c r="D4" s="23" t="n">
        <f aca="false">Quantiles!D4</f>
        <v>0.015</v>
      </c>
      <c r="E4" s="23" t="n">
        <f aca="false">Quantiles!E4</f>
        <v>0.0175</v>
      </c>
      <c r="F4" s="23" t="n">
        <f aca="false">Quantiles!F4</f>
        <v>0.02</v>
      </c>
      <c r="G4" s="23" t="n">
        <f aca="false">Quantiles!G4</f>
        <v>0.0225</v>
      </c>
      <c r="H4" s="23" t="n">
        <f aca="false">Quantiles!H4</f>
        <v>0.025</v>
      </c>
      <c r="I4" s="23" t="n">
        <f aca="false">Quantiles!I4</f>
        <v>0.0275</v>
      </c>
      <c r="J4" s="23" t="n">
        <f aca="false">Quantiles!J4</f>
        <v>0.03</v>
      </c>
      <c r="K4" s="23" t="n">
        <f aca="false">Quantiles!K4</f>
        <v>0.0325</v>
      </c>
      <c r="L4" s="23" t="n">
        <f aca="false">Quantiles!L4</f>
        <v>0.035</v>
      </c>
      <c r="M4" s="23" t="n">
        <f aca="false">Quantiles!M4</f>
        <v>0.0375</v>
      </c>
      <c r="N4" s="23" t="n">
        <f aca="false">Quantiles!N4</f>
        <v>0.04</v>
      </c>
      <c r="O4" s="23" t="n">
        <f aca="false">Quantiles!O4</f>
        <v>0.0425</v>
      </c>
      <c r="P4" s="23" t="n">
        <f aca="false">Quantiles!P4</f>
        <v>0.045</v>
      </c>
      <c r="Q4" s="23" t="n">
        <f aca="false">Quantiles!Q4</f>
        <v>0.0475</v>
      </c>
      <c r="R4" s="23" t="n">
        <f aca="false">Quantiles!R4</f>
        <v>0.05</v>
      </c>
      <c r="S4" s="23" t="n">
        <f aca="false">Quantiles!S4</f>
        <v>0.0525</v>
      </c>
      <c r="T4" s="23" t="n">
        <f aca="false">Quantiles!T4</f>
        <v>0.055</v>
      </c>
      <c r="U4" s="23" t="n">
        <f aca="false">Quantiles!U4</f>
        <v>0.0575</v>
      </c>
      <c r="V4" s="23" t="n">
        <f aca="false">Quantiles!V4</f>
        <v>0.06</v>
      </c>
      <c r="W4" s="23" t="n">
        <f aca="false">Quantiles!W4</f>
        <v>0.0625</v>
      </c>
      <c r="X4" s="23" t="n">
        <f aca="false">Quantiles!X4</f>
        <v>0.065</v>
      </c>
      <c r="Y4" s="23" t="n">
        <f aca="false">Quantiles!Y4</f>
        <v>0.0675</v>
      </c>
      <c r="Z4" s="23" t="n">
        <f aca="false">Quantiles!Z4</f>
        <v>0.07</v>
      </c>
      <c r="AA4" s="23" t="n">
        <f aca="false">Quantiles!AA4</f>
        <v>0.0725</v>
      </c>
      <c r="AB4" s="23" t="n">
        <f aca="false">Quantiles!AB4</f>
        <v>0.075</v>
      </c>
      <c r="AC4" s="23" t="n">
        <f aca="false">Quantiles!AC4</f>
        <v>0.0775</v>
      </c>
      <c r="AD4" s="23" t="n">
        <f aca="false">Quantiles!AD4</f>
        <v>0.08</v>
      </c>
      <c r="AE4" s="23" t="n">
        <f aca="false">Quantiles!AE4</f>
        <v>0.0825</v>
      </c>
      <c r="AF4" s="23" t="n">
        <f aca="false">Quantiles!AF4</f>
        <v>0.085</v>
      </c>
      <c r="AG4" s="23" t="n">
        <f aca="false">Quantiles!AG4</f>
        <v>0.0875</v>
      </c>
      <c r="AH4" s="23" t="n">
        <f aca="false">Quantiles!AH4</f>
        <v>0.09</v>
      </c>
      <c r="AI4" s="23" t="n">
        <f aca="false">Quantiles!AI4</f>
        <v>0.0925</v>
      </c>
      <c r="AJ4" s="23" t="n">
        <f aca="false">Quantiles!AJ4</f>
        <v>0.095</v>
      </c>
      <c r="AK4" s="23" t="n">
        <f aca="false">Quantiles!AK4</f>
        <v>0.0975</v>
      </c>
      <c r="AL4" s="23" t="n">
        <f aca="false">Quantiles!AL4</f>
        <v>0.1</v>
      </c>
      <c r="AM4" s="23" t="n">
        <f aca="false">Quantiles!AM4</f>
        <v>0.1025</v>
      </c>
      <c r="AN4" s="23" t="n">
        <f aca="false">Quantiles!AN4</f>
        <v>0.105</v>
      </c>
      <c r="AO4" s="23" t="n">
        <f aca="false">Quantiles!AO4</f>
        <v>0.1075</v>
      </c>
      <c r="AP4" s="23" t="n">
        <f aca="false">Quantiles!AP4</f>
        <v>0.11</v>
      </c>
      <c r="AQ4" s="23" t="n">
        <f aca="false">Quantiles!AQ4</f>
        <v>0.1125</v>
      </c>
      <c r="AR4" s="23" t="n">
        <f aca="false">Quantiles!AR4</f>
        <v>0.115</v>
      </c>
      <c r="AS4" s="23" t="n">
        <f aca="false">Quantiles!AS4</f>
        <v>0.1175</v>
      </c>
      <c r="AT4" s="23" t="n">
        <f aca="false">Quantiles!AT4</f>
        <v>0.12</v>
      </c>
      <c r="AU4" s="23" t="n">
        <f aca="false">Quantiles!AU4</f>
        <v>0.1225</v>
      </c>
      <c r="AV4" s="23" t="n">
        <f aca="false">Quantiles!AV4</f>
        <v>0.125</v>
      </c>
      <c r="AW4" s="23" t="n">
        <f aca="false">Quantiles!AW4</f>
        <v>0.1275</v>
      </c>
      <c r="AX4" s="23" t="n">
        <f aca="false">Quantiles!AX4</f>
        <v>0.13</v>
      </c>
      <c r="AY4" s="23" t="n">
        <f aca="false">Quantiles!AY4</f>
        <v>0.1325</v>
      </c>
      <c r="AZ4" s="23" t="n">
        <f aca="false">Quantiles!AZ4</f>
        <v>0.135</v>
      </c>
      <c r="BA4" s="23" t="n">
        <f aca="false">Quantiles!BA4</f>
        <v>0.1375</v>
      </c>
      <c r="BB4" s="23" t="n">
        <f aca="false">Quantiles!BB4</f>
        <v>0.14</v>
      </c>
      <c r="BC4" s="23" t="n">
        <f aca="false">Quantiles!BC4</f>
        <v>0.1425</v>
      </c>
      <c r="BD4" s="23" t="n">
        <f aca="false">Quantiles!BD4</f>
        <v>0.145</v>
      </c>
      <c r="BE4" s="23" t="n">
        <f aca="false">Quantiles!BE4</f>
        <v>0.1475</v>
      </c>
      <c r="BF4" s="23" t="n">
        <f aca="false">Quantiles!BF4</f>
        <v>0.15</v>
      </c>
      <c r="BG4" s="23" t="n">
        <f aca="false">Quantiles!BG4</f>
        <v>0.1525</v>
      </c>
      <c r="BH4" s="23" t="n">
        <f aca="false">Quantiles!BH4</f>
        <v>0.155</v>
      </c>
      <c r="BI4" s="23" t="n">
        <f aca="false">Quantiles!BI4</f>
        <v>0.1575</v>
      </c>
      <c r="BJ4" s="23" t="n">
        <f aca="false">Quantiles!BJ4</f>
        <v>0.16</v>
      </c>
      <c r="BK4" s="23" t="n">
        <f aca="false">Quantiles!BK4</f>
        <v>0.1625</v>
      </c>
      <c r="BL4" s="23" t="n">
        <f aca="false">Quantiles!BL4</f>
        <v>0.165</v>
      </c>
      <c r="BM4" s="23" t="n">
        <f aca="false">Quantiles!BM4</f>
        <v>0.1675</v>
      </c>
      <c r="BN4" s="23" t="n">
        <f aca="false">Quantiles!BN4</f>
        <v>0.17</v>
      </c>
      <c r="BO4" s="23" t="n">
        <f aca="false">Quantiles!BO4</f>
        <v>0.1725</v>
      </c>
      <c r="BP4" s="23" t="n">
        <f aca="false">Quantiles!BP4</f>
        <v>0.175</v>
      </c>
      <c r="BQ4" s="23" t="n">
        <f aca="false">Quantiles!BQ4</f>
        <v>0.1775</v>
      </c>
      <c r="BR4" s="23" t="n">
        <f aca="false">Quantiles!BR4</f>
        <v>0.18</v>
      </c>
      <c r="BS4" s="23" t="n">
        <f aca="false">Quantiles!BS4</f>
        <v>0.1825</v>
      </c>
      <c r="BT4" s="23" t="n">
        <f aca="false">Quantiles!BT4</f>
        <v>0.185</v>
      </c>
      <c r="BU4" s="23" t="n">
        <f aca="false">Quantiles!BU4</f>
        <v>0.1875</v>
      </c>
      <c r="BV4" s="23" t="n">
        <f aca="false">Quantiles!BV4</f>
        <v>0.19</v>
      </c>
      <c r="BW4" s="23" t="n">
        <f aca="false">Quantiles!BW4</f>
        <v>0.1925</v>
      </c>
      <c r="BX4" s="23" t="n">
        <f aca="false">Quantiles!BX4</f>
        <v>0.195</v>
      </c>
      <c r="BY4" s="23" t="n">
        <f aca="false">Quantiles!BY4</f>
        <v>0.1975</v>
      </c>
      <c r="BZ4" s="23" t="n">
        <f aca="false">Quantiles!BZ4</f>
        <v>0.2</v>
      </c>
      <c r="CA4" s="23" t="n">
        <f aca="false">Quantiles!CA4</f>
        <v>0.2025</v>
      </c>
      <c r="CB4" s="23" t="n">
        <f aca="false">Quantiles!CB4</f>
        <v>0.205</v>
      </c>
      <c r="CC4" s="23" t="n">
        <f aca="false">Quantiles!CC4</f>
        <v>0.2075</v>
      </c>
      <c r="CD4" s="23" t="n">
        <f aca="false">Quantiles!CD4</f>
        <v>0.21</v>
      </c>
      <c r="CE4" s="23" t="n">
        <f aca="false">Quantiles!CE4</f>
        <v>0.2125</v>
      </c>
      <c r="CF4" s="23" t="n">
        <f aca="false">Quantiles!CF4</f>
        <v>0.215</v>
      </c>
      <c r="CG4" s="23" t="n">
        <f aca="false">Quantiles!CG4</f>
        <v>0.2175</v>
      </c>
      <c r="CH4" s="23" t="n">
        <f aca="false">Quantiles!CH4</f>
        <v>0.22</v>
      </c>
      <c r="CI4" s="23" t="n">
        <f aca="false">Quantiles!CI4</f>
        <v>0.2225</v>
      </c>
      <c r="CJ4" s="23" t="n">
        <f aca="false">Quantiles!CJ4</f>
        <v>0.225</v>
      </c>
      <c r="CK4" s="23" t="n">
        <f aca="false">Quantiles!CK4</f>
        <v>0.2275</v>
      </c>
      <c r="CL4" s="23" t="n">
        <f aca="false">Quantiles!CL4</f>
        <v>0.23</v>
      </c>
      <c r="CM4" s="23" t="n">
        <f aca="false">Quantiles!CM4</f>
        <v>0.2325</v>
      </c>
      <c r="CN4" s="23" t="n">
        <f aca="false">Quantiles!CN4</f>
        <v>0.235</v>
      </c>
      <c r="CO4" s="23" t="n">
        <f aca="false">Quantiles!CO4</f>
        <v>0.2375</v>
      </c>
      <c r="CP4" s="23" t="n">
        <f aca="false">Quantiles!CP4</f>
        <v>0.24</v>
      </c>
      <c r="CQ4" s="23" t="n">
        <f aca="false">Quantiles!CQ4</f>
        <v>0.2425</v>
      </c>
      <c r="CR4" s="23" t="n">
        <f aca="false">Quantiles!CR4</f>
        <v>0.245</v>
      </c>
      <c r="CS4" s="23" t="n">
        <f aca="false">Quantiles!CS4</f>
        <v>0.246</v>
      </c>
      <c r="CT4" s="23" t="n">
        <f aca="false">Quantiles!CT4</f>
        <v>0.03003</v>
      </c>
    </row>
    <row r="5" customFormat="false" ht="15" hidden="false" customHeight="false" outlineLevel="0" collapsed="false">
      <c r="A5" s="25" t="n">
        <f aca="false">Quantiles!A5</f>
        <v>0</v>
      </c>
      <c r="B5" s="19" t="str">
        <f aca="false">IF(Delay!B5="","",Fee*$A5+Vq*Delay!B5)</f>
        <v/>
      </c>
      <c r="C5" s="19" t="str">
        <f aca="false">IF(Delay!C5="","",Fee*$A5+Vq*Delay!C5)</f>
        <v/>
      </c>
      <c r="D5" s="19" t="str">
        <f aca="false">IF(Delay!D5="","",Fee*$A5+Vq*Delay!D5)</f>
        <v/>
      </c>
      <c r="E5" s="19" t="str">
        <f aca="false">IF(Delay!E5="","",Fee*$A5+Vq*Delay!E5)</f>
        <v/>
      </c>
      <c r="F5" s="19" t="str">
        <f aca="false">IF(Delay!F5="","",Fee*$A5+Vq*Delay!F5)</f>
        <v/>
      </c>
      <c r="G5" s="19" t="str">
        <f aca="false">IF(Delay!G5="","",Fee*$A5+Vq*Delay!G5)</f>
        <v/>
      </c>
      <c r="H5" s="19" t="str">
        <f aca="false">IF(Delay!H5="","",Fee*$A5+Vq*Delay!H5)</f>
        <v/>
      </c>
      <c r="I5" s="19" t="n">
        <f aca="false">IF(Delay!I5="","",Fee*$A5+Vq*Delay!I5)</f>
        <v>55.1803805227581</v>
      </c>
      <c r="J5" s="19" t="n">
        <f aca="false">IF(Delay!J5="","",Fee*$A5+Vq*Delay!J5)</f>
        <v>52.9496468073616</v>
      </c>
      <c r="K5" s="19" t="n">
        <f aca="false">IF(Delay!K5="","",Fee*$A5+Vq*Delay!K5)</f>
        <v>51.0975134017648</v>
      </c>
      <c r="L5" s="19" t="n">
        <f aca="false">IF(Delay!L5="","",Fee*$A5+Vq*Delay!L5)</f>
        <v>49.1722349930203</v>
      </c>
      <c r="M5" s="19" t="n">
        <f aca="false">IF(Delay!M5="","",Fee*$A5+Vq*Delay!M5)</f>
        <v>47.4237330749662</v>
      </c>
      <c r="N5" s="19" t="n">
        <f aca="false">IF(Delay!N5="","",Fee*$A5+Vq*Delay!N5)</f>
        <v>46.0151742801895</v>
      </c>
      <c r="O5" s="19" t="n">
        <f aca="false">IF(Delay!O5="","",Fee*$A5+Vq*Delay!O5)</f>
        <v>44.5186938428733</v>
      </c>
      <c r="P5" s="19" t="n">
        <f aca="false">IF(Delay!P5="","",Fee*$A5+Vq*Delay!P5)</f>
        <v>43.2295771530968</v>
      </c>
      <c r="Q5" s="19" t="n">
        <f aca="false">IF(Delay!Q5="","",Fee*$A5+Vq*Delay!Q5)</f>
        <v>42.0540189608131</v>
      </c>
      <c r="R5" s="19" t="n">
        <f aca="false">IF(Delay!R5="","",Fee*$A5+Vq*Delay!R5)</f>
        <v>40.7573853794861</v>
      </c>
      <c r="S5" s="19" t="n">
        <f aca="false">IF(Delay!S5="","",Fee*$A5+Vq*Delay!S5)</f>
        <v>39.5347997267326</v>
      </c>
      <c r="T5" s="19" t="n">
        <f aca="false">IF(Delay!T5="","",Fee*$A5+Vq*Delay!T5)</f>
        <v>38.3818411469018</v>
      </c>
      <c r="U5" s="19" t="n">
        <f aca="false">IF(Delay!U5="","",Fee*$A5+Vq*Delay!U5)</f>
        <v>37.3139891158331</v>
      </c>
      <c r="V5" s="19" t="n">
        <f aca="false">IF(Delay!V5="","",Fee*$A5+Vq*Delay!V5)</f>
        <v>36.171939242697</v>
      </c>
      <c r="W5" s="19" t="n">
        <f aca="false">IF(Delay!W5="","",Fee*$A5+Vq*Delay!W5)</f>
        <v>35.2200469170451</v>
      </c>
      <c r="X5" s="19" t="n">
        <f aca="false">IF(Delay!X5="","",Fee*$A5+Vq*Delay!X5)</f>
        <v>34.2913542702484</v>
      </c>
      <c r="Y5" s="19" t="n">
        <f aca="false">IF(Delay!Y5="","",Fee*$A5+Vq*Delay!Y5)</f>
        <v>33.375289592429</v>
      </c>
      <c r="Z5" s="19" t="n">
        <f aca="false">IF(Delay!Z5="","",Fee*$A5+Vq*Delay!Z5)</f>
        <v>32.4252039953522</v>
      </c>
      <c r="AA5" s="19" t="n">
        <f aca="false">IF(Delay!AA5="","",Fee*$A5+Vq*Delay!AA5)</f>
        <v>31.5506255888927</v>
      </c>
      <c r="AB5" s="19" t="n">
        <f aca="false">IF(Delay!AB5="","",Fee*$A5+Vq*Delay!AB5)</f>
        <v>30.795753087245</v>
      </c>
      <c r="AC5" s="19" t="n">
        <f aca="false">IF(Delay!AC5="","",Fee*$A5+Vq*Delay!AC5)</f>
        <v>29.9360460079412</v>
      </c>
      <c r="AD5" s="19" t="n">
        <f aca="false">IF(Delay!AD5="","",Fee*$A5+Vq*Delay!AD5)</f>
        <v>29.0822362105937</v>
      </c>
      <c r="AE5" s="19" t="n">
        <f aca="false">IF(Delay!AE5="","",Fee*$A5+Vq*Delay!AE5)</f>
        <v>28.2425679654539</v>
      </c>
      <c r="AF5" s="19" t="n">
        <f aca="false">IF(Delay!AF5="","",Fee*$A5+Vq*Delay!AF5)</f>
        <v>27.4921164402737</v>
      </c>
      <c r="AG5" s="19" t="n">
        <f aca="false">IF(Delay!AG5="","",Fee*$A5+Vq*Delay!AG5)</f>
        <v>26.7383492161488</v>
      </c>
      <c r="AH5" s="19" t="n">
        <f aca="false">IF(Delay!AH5="","",Fee*$A5+Vq*Delay!AH5)</f>
        <v>25.9128232747268</v>
      </c>
      <c r="AI5" s="19" t="n">
        <f aca="false">IF(Delay!AI5="","",Fee*$A5+Vq*Delay!AI5)</f>
        <v>25.3073063595844</v>
      </c>
      <c r="AJ5" s="19" t="n">
        <f aca="false">IF(Delay!AJ5="","",Fee*$A5+Vq*Delay!AJ5)</f>
        <v>24.5240332900498</v>
      </c>
      <c r="AK5" s="19" t="n">
        <f aca="false">IF(Delay!AK5="","",Fee*$A5+Vq*Delay!AK5)</f>
        <v>23.8373011087795</v>
      </c>
      <c r="AL5" s="19" t="n">
        <f aca="false">IF(Delay!AL5="","",Fee*$A5+Vq*Delay!AL5)</f>
        <v>23.2073837644216</v>
      </c>
      <c r="AM5" s="19" t="n">
        <f aca="false">IF(Delay!AM5="","",Fee*$A5+Vq*Delay!AM5)</f>
        <v>22.5982242896595</v>
      </c>
      <c r="AN5" s="19" t="n">
        <f aca="false">IF(Delay!AN5="","",Fee*$A5+Vq*Delay!AN5)</f>
        <v>21.915086840195</v>
      </c>
      <c r="AO5" s="19" t="n">
        <f aca="false">IF(Delay!AO5="","",Fee*$A5+Vq*Delay!AO5)</f>
        <v>21.2696643162748</v>
      </c>
      <c r="AP5" s="19" t="n">
        <f aca="false">IF(Delay!AP5="","",Fee*$A5+Vq*Delay!AP5)</f>
        <v>20.6907271691035</v>
      </c>
      <c r="AQ5" s="19" t="n">
        <f aca="false">IF(Delay!AQ5="","",Fee*$A5+Vq*Delay!AQ5)</f>
        <v>20.079021620144</v>
      </c>
      <c r="AR5" s="19" t="n">
        <f aca="false">IF(Delay!AR5="","",Fee*$A5+Vq*Delay!AR5)</f>
        <v>19.4692773521847</v>
      </c>
      <c r="AS5" s="19" t="n">
        <f aca="false">IF(Delay!AS5="","",Fee*$A5+Vq*Delay!AS5)</f>
        <v>18.883240779428</v>
      </c>
      <c r="AT5" s="19" t="n">
        <f aca="false">IF(Delay!AT5="","",Fee*$A5+Vq*Delay!AT5)</f>
        <v>18.2881665605774</v>
      </c>
      <c r="AU5" s="19" t="n">
        <f aca="false">IF(Delay!AU5="","",Fee*$A5+Vq*Delay!AU5)</f>
        <v>17.676260172578</v>
      </c>
      <c r="AV5" s="19" t="n">
        <f aca="false">IF(Delay!AV5="","",Fee*$A5+Vq*Delay!AV5)</f>
        <v>17.1354928175153</v>
      </c>
      <c r="AW5" s="19" t="n">
        <f aca="false">IF(Delay!AW5="","",Fee*$A5+Vq*Delay!AW5)</f>
        <v>16.6403906146221</v>
      </c>
      <c r="AX5" s="19" t="n">
        <f aca="false">IF(Delay!AX5="","",Fee*$A5+Vq*Delay!AX5)</f>
        <v>16.135092899149</v>
      </c>
      <c r="AY5" s="19" t="n">
        <f aca="false">IF(Delay!AY5="","",Fee*$A5+Vq*Delay!AY5)</f>
        <v>15.5805516301732</v>
      </c>
      <c r="AZ5" s="19" t="n">
        <f aca="false">IF(Delay!AZ5="","",Fee*$A5+Vq*Delay!AZ5)</f>
        <v>15.1125572665269</v>
      </c>
      <c r="BA5" s="19" t="n">
        <f aca="false">IF(Delay!BA5="","",Fee*$A5+Vq*Delay!BA5)</f>
        <v>14.6782233397445</v>
      </c>
      <c r="BB5" s="19" t="n">
        <f aca="false">IF(Delay!BB5="","",Fee*$A5+Vq*Delay!BB5)</f>
        <v>14.2034701461622</v>
      </c>
      <c r="BC5" s="19" t="n">
        <f aca="false">IF(Delay!BC5="","",Fee*$A5+Vq*Delay!BC5)</f>
        <v>13.728710586139</v>
      </c>
      <c r="BD5" s="19" t="n">
        <f aca="false">IF(Delay!BD5="","",Fee*$A5+Vq*Delay!BD5)</f>
        <v>13.2119412921118</v>
      </c>
      <c r="BE5" s="19" t="n">
        <f aca="false">IF(Delay!BE5="","",Fee*$A5+Vq*Delay!BE5)</f>
        <v>12.7602283185334</v>
      </c>
      <c r="BF5" s="19" t="n">
        <f aca="false">IF(Delay!BF5="","",Fee*$A5+Vq*Delay!BF5)</f>
        <v>12.3150011334524</v>
      </c>
      <c r="BG5" s="19" t="n">
        <f aca="false">IF(Delay!BG5="","",Fee*$A5+Vq*Delay!BG5)</f>
        <v>11.8989187133147</v>
      </c>
      <c r="BH5" s="19" t="n">
        <f aca="false">IF(Delay!BH5="","",Fee*$A5+Vq*Delay!BH5)</f>
        <v>11.4807942716929</v>
      </c>
      <c r="BI5" s="19" t="n">
        <f aca="false">IF(Delay!BI5="","",Fee*$A5+Vq*Delay!BI5)</f>
        <v>11.0647767639028</v>
      </c>
      <c r="BJ5" s="19" t="n">
        <f aca="false">IF(Delay!BJ5="","",Fee*$A5+Vq*Delay!BJ5)</f>
        <v>10.6785985963189</v>
      </c>
      <c r="BK5" s="19" t="n">
        <f aca="false">IF(Delay!BK5="","",Fee*$A5+Vq*Delay!BK5)</f>
        <v>10.2788073935329</v>
      </c>
      <c r="BL5" s="19" t="n">
        <f aca="false">IF(Delay!BL5="","",Fee*$A5+Vq*Delay!BL5)</f>
        <v>9.91361558916144</v>
      </c>
      <c r="BM5" s="19" t="n">
        <f aca="false">IF(Delay!BM5="","",Fee*$A5+Vq*Delay!BM5)</f>
        <v>9.50317428261638</v>
      </c>
      <c r="BN5" s="19" t="n">
        <f aca="false">IF(Delay!BN5="","",Fee*$A5+Vq*Delay!BN5)</f>
        <v>9.08128949836218</v>
      </c>
      <c r="BO5" s="19" t="n">
        <f aca="false">IF(Delay!BO5="","",Fee*$A5+Vq*Delay!BO5)</f>
        <v>8.71595814705122</v>
      </c>
      <c r="BP5" s="19" t="n">
        <f aca="false">IF(Delay!BP5="","",Fee*$A5+Vq*Delay!BP5)</f>
        <v>8.36594131260466</v>
      </c>
      <c r="BQ5" s="19" t="n">
        <f aca="false">IF(Delay!BQ5="","",Fee*$A5+Vq*Delay!BQ5)</f>
        <v>7.96521995291184</v>
      </c>
      <c r="BR5" s="19" t="n">
        <f aca="false">IF(Delay!BR5="","",Fee*$A5+Vq*Delay!BR5)</f>
        <v>7.61355945583658</v>
      </c>
      <c r="BS5" s="19" t="n">
        <f aca="false">IF(Delay!BS5="","",Fee*$A5+Vq*Delay!BS5)</f>
        <v>7.2585499220259</v>
      </c>
      <c r="BT5" s="19" t="n">
        <f aca="false">IF(Delay!BT5="","",Fee*$A5+Vq*Delay!BT5)</f>
        <v>6.94517821843492</v>
      </c>
      <c r="BU5" s="19" t="n">
        <f aca="false">IF(Delay!BU5="","",Fee*$A5+Vq*Delay!BU5)</f>
        <v>6.60426206797746</v>
      </c>
      <c r="BV5" s="19" t="n">
        <f aca="false">IF(Delay!BV5="","",Fee*$A5+Vq*Delay!BV5)</f>
        <v>6.2532311246731</v>
      </c>
      <c r="BW5" s="19" t="n">
        <f aca="false">IF(Delay!BW5="","",Fee*$A5+Vq*Delay!BW5)</f>
        <v>5.9027341406504</v>
      </c>
      <c r="BX5" s="19" t="n">
        <f aca="false">IF(Delay!BX5="","",Fee*$A5+Vq*Delay!BX5)</f>
        <v>5.5878176302612</v>
      </c>
      <c r="BY5" s="19" t="n">
        <f aca="false">IF(Delay!BY5="","",Fee*$A5+Vq*Delay!BY5)</f>
        <v>5.28561855632768</v>
      </c>
      <c r="BZ5" s="19" t="n">
        <f aca="false">IF(Delay!BZ5="","",Fee*$A5+Vq*Delay!BZ5)</f>
        <v>4.97006187861744</v>
      </c>
      <c r="CA5" s="19" t="n">
        <f aca="false">IF(Delay!CA5="","",Fee*$A5+Vq*Delay!CA5)</f>
        <v>4.65782777472038</v>
      </c>
      <c r="CB5" s="19" t="n">
        <f aca="false">IF(Delay!CB5="","",Fee*$A5+Vq*Delay!CB5)</f>
        <v>4.36331974655434</v>
      </c>
      <c r="CC5" s="19" t="n">
        <f aca="false">IF(Delay!CC5="","",Fee*$A5+Vq*Delay!CC5)</f>
        <v>4.07747587050176</v>
      </c>
      <c r="CD5" s="19" t="n">
        <f aca="false">IF(Delay!CD5="","",Fee*$A5+Vq*Delay!CD5)</f>
        <v>3.77548162566816</v>
      </c>
      <c r="CE5" s="19" t="n">
        <f aca="false">IF(Delay!CE5="","",Fee*$A5+Vq*Delay!CE5)</f>
        <v>3.48717979406262</v>
      </c>
      <c r="CF5" s="19" t="n">
        <f aca="false">IF(Delay!CF5="","",Fee*$A5+Vq*Delay!CF5)</f>
        <v>3.21897969768392</v>
      </c>
      <c r="CG5" s="19" t="n">
        <f aca="false">IF(Delay!CG5="","",Fee*$A5+Vq*Delay!CG5)</f>
        <v>2.9413576396575</v>
      </c>
      <c r="CH5" s="19" t="n">
        <f aca="false">IF(Delay!CH5="","",Fee*$A5+Vq*Delay!CH5)</f>
        <v>2.67516910565132</v>
      </c>
      <c r="CI5" s="19" t="n">
        <f aca="false">IF(Delay!CI5="","",Fee*$A5+Vq*Delay!CI5)</f>
        <v>2.39331337623806</v>
      </c>
      <c r="CJ5" s="19" t="n">
        <f aca="false">IF(Delay!CJ5="","",Fee*$A5+Vq*Delay!CJ5)</f>
        <v>2.12773150521764</v>
      </c>
      <c r="CK5" s="19" t="n">
        <f aca="false">IF(Delay!CK5="","",Fee*$A5+Vq*Delay!CK5)</f>
        <v>1.87141688889286</v>
      </c>
      <c r="CL5" s="19" t="n">
        <f aca="false">IF(Delay!CL5="","",Fee*$A5+Vq*Delay!CL5)</f>
        <v>1.60499697640536</v>
      </c>
      <c r="CM5" s="19" t="n">
        <f aca="false">IF(Delay!CM5="","",Fee*$A5+Vq*Delay!CM5)</f>
        <v>1.34874796239062</v>
      </c>
      <c r="CN5" s="19" t="n">
        <f aca="false">IF(Delay!CN5="","",Fee*$A5+Vq*Delay!CN5)</f>
        <v>1.0843708697471</v>
      </c>
      <c r="CO5" s="19" t="n">
        <f aca="false">IF(Delay!CO5="","",Fee*$A5+Vq*Delay!CO5)</f>
        <v>0.842871584122378</v>
      </c>
      <c r="CP5" s="19" t="n">
        <f aca="false">IF(Delay!CP5="","",Fee*$A5+Vq*Delay!CP5)</f>
        <v>0.587731234679957</v>
      </c>
      <c r="CQ5" s="19" t="n">
        <f aca="false">IF(Delay!CQ5="","",Fee*$A5+Vq*Delay!CQ5)</f>
        <v>0.334815319567618</v>
      </c>
      <c r="CR5" s="19" t="n">
        <f aca="false">IF(Delay!CR5="","",Fee*$A5+Vq*Delay!CR5)</f>
        <v>0.115642356559817</v>
      </c>
      <c r="CS5" s="19" t="n">
        <f aca="false">IF(Delay!CS5="","",Fee*$A5+Vq*Delay!CS5)</f>
        <v>0.0198817269928995</v>
      </c>
      <c r="CT5" s="19" t="n">
        <f aca="false">IF(Delay!CT5="","",Fee*$A5+Vq*Delay!CT5)</f>
        <v>52.9051148072914</v>
      </c>
    </row>
    <row r="6" customFormat="false" ht="15" hidden="false" customHeight="false" outlineLevel="0" collapsed="false">
      <c r="A6" s="25" t="n">
        <f aca="false">Quantiles!A6</f>
        <v>5</v>
      </c>
      <c r="B6" s="19" t="str">
        <f aca="false">IF(Delay!B6="","",Fee*$A6+Vq*Delay!B6)</f>
        <v/>
      </c>
      <c r="C6" s="19" t="str">
        <f aca="false">IF(Delay!C6="","",Fee*$A6+Vq*Delay!C6)</f>
        <v/>
      </c>
      <c r="D6" s="19" t="str">
        <f aca="false">IF(Delay!D6="","",Fee*$A6+Vq*Delay!D6)</f>
        <v/>
      </c>
      <c r="E6" s="19" t="str">
        <f aca="false">IF(Delay!E6="","",Fee*$A6+Vq*Delay!E6)</f>
        <v/>
      </c>
      <c r="F6" s="19" t="str">
        <f aca="false">IF(Delay!F6="","",Fee*$A6+Vq*Delay!F6)</f>
        <v/>
      </c>
      <c r="G6" s="19" t="str">
        <f aca="false">IF(Delay!G6="","",Fee*$A6+Vq*Delay!G6)</f>
        <v/>
      </c>
      <c r="H6" s="19" t="n">
        <f aca="false">IF(Delay!H6="","",Fee*$A6+Vq*Delay!H6)</f>
        <v>54.8850331612884</v>
      </c>
      <c r="I6" s="19" t="n">
        <f aca="false">IF(Delay!I6="","",Fee*$A6+Vq*Delay!I6)</f>
        <v>52.8067939917576</v>
      </c>
      <c r="J6" s="19" t="n">
        <f aca="false">IF(Delay!J6="","",Fee*$A6+Vq*Delay!J6)</f>
        <v>50.78678132381</v>
      </c>
      <c r="K6" s="19" t="n">
        <f aca="false">IF(Delay!K6="","",Fee*$A6+Vq*Delay!K6)</f>
        <v>48.8911509302866</v>
      </c>
      <c r="L6" s="19" t="n">
        <f aca="false">IF(Delay!L6="","",Fee*$A6+Vq*Delay!L6)</f>
        <v>47.0629837982022</v>
      </c>
      <c r="M6" s="19" t="n">
        <f aca="false">IF(Delay!M6="","",Fee*$A6+Vq*Delay!M6)</f>
        <v>45.3585878240205</v>
      </c>
      <c r="N6" s="19" t="n">
        <f aca="false">IF(Delay!N6="","",Fee*$A6+Vq*Delay!N6)</f>
        <v>43.9747600205997</v>
      </c>
      <c r="O6" s="19" t="n">
        <f aca="false">IF(Delay!O6="","",Fee*$A6+Vq*Delay!O6)</f>
        <v>42.5978628370915</v>
      </c>
      <c r="P6" s="19" t="n">
        <f aca="false">IF(Delay!P6="","",Fee*$A6+Vq*Delay!P6)</f>
        <v>41.2961439019951</v>
      </c>
      <c r="Q6" s="19" t="n">
        <f aca="false">IF(Delay!Q6="","",Fee*$A6+Vq*Delay!Q6)</f>
        <v>40.099762174585</v>
      </c>
      <c r="R6" s="19" t="n">
        <f aca="false">IF(Delay!R6="","",Fee*$A6+Vq*Delay!R6)</f>
        <v>38.7953559423506</v>
      </c>
      <c r="S6" s="19" t="n">
        <f aca="false">IF(Delay!S6="","",Fee*$A6+Vq*Delay!S6)</f>
        <v>37.5765338966324</v>
      </c>
      <c r="T6" s="19" t="n">
        <f aca="false">IF(Delay!T6="","",Fee*$A6+Vq*Delay!T6)</f>
        <v>36.5033515339566</v>
      </c>
      <c r="U6" s="19" t="n">
        <f aca="false">IF(Delay!U6="","",Fee*$A6+Vq*Delay!U6)</f>
        <v>35.5200747569186</v>
      </c>
      <c r="V6" s="19" t="n">
        <f aca="false">IF(Delay!V6="","",Fee*$A6+Vq*Delay!V6)</f>
        <v>34.4331779689329</v>
      </c>
      <c r="W6" s="19" t="n">
        <f aca="false">IF(Delay!W6="","",Fee*$A6+Vq*Delay!W6)</f>
        <v>33.4490660657071</v>
      </c>
      <c r="X6" s="19" t="n">
        <f aca="false">IF(Delay!X6="","",Fee*$A6+Vq*Delay!X6)</f>
        <v>32.5089251040615</v>
      </c>
      <c r="Y6" s="19" t="n">
        <f aca="false">IF(Delay!Y6="","",Fee*$A6+Vq*Delay!Y6)</f>
        <v>31.5698708609067</v>
      </c>
      <c r="Z6" s="19" t="n">
        <f aca="false">IF(Delay!Z6="","",Fee*$A6+Vq*Delay!Z6)</f>
        <v>30.6805504036256</v>
      </c>
      <c r="AA6" s="19" t="n">
        <f aca="false">IF(Delay!AA6="","",Fee*$A6+Vq*Delay!AA6)</f>
        <v>29.8303664826345</v>
      </c>
      <c r="AB6" s="19" t="n">
        <f aca="false">IF(Delay!AB6="","",Fee*$A6+Vq*Delay!AB6)</f>
        <v>29.0813756540652</v>
      </c>
      <c r="AC6" s="19" t="n">
        <f aca="false">IF(Delay!AC6="","",Fee*$A6+Vq*Delay!AC6)</f>
        <v>28.2729860030332</v>
      </c>
      <c r="AD6" s="19" t="n">
        <f aca="false">IF(Delay!AD6="","",Fee*$A6+Vq*Delay!AD6)</f>
        <v>27.437807217902</v>
      </c>
      <c r="AE6" s="19" t="n">
        <f aca="false">IF(Delay!AE6="","",Fee*$A6+Vq*Delay!AE6)</f>
        <v>26.603152503122</v>
      </c>
      <c r="AF6" s="19" t="n">
        <f aca="false">IF(Delay!AF6="","",Fee*$A6+Vq*Delay!AF6)</f>
        <v>25.8498759323279</v>
      </c>
      <c r="AG6" s="19" t="n">
        <f aca="false">IF(Delay!AG6="","",Fee*$A6+Vq*Delay!AG6)</f>
        <v>25.1384135500128</v>
      </c>
      <c r="AH6" s="19" t="n">
        <f aca="false">IF(Delay!AH6="","",Fee*$A6+Vq*Delay!AH6)</f>
        <v>24.3958041034224</v>
      </c>
      <c r="AI6" s="19" t="n">
        <f aca="false">IF(Delay!AI6="","",Fee*$A6+Vq*Delay!AI6)</f>
        <v>23.7781212092623</v>
      </c>
      <c r="AJ6" s="19" t="n">
        <f aca="false">IF(Delay!AJ6="","",Fee*$A6+Vq*Delay!AJ6)</f>
        <v>23.0782842554042</v>
      </c>
      <c r="AK6" s="19" t="n">
        <f aca="false">IF(Delay!AK6="","",Fee*$A6+Vq*Delay!AK6)</f>
        <v>22.3793630437824</v>
      </c>
      <c r="AL6" s="19" t="n">
        <f aca="false">IF(Delay!AL6="","",Fee*$A6+Vq*Delay!AL6)</f>
        <v>21.7537575960403</v>
      </c>
      <c r="AM6" s="19" t="n">
        <f aca="false">IF(Delay!AM6="","",Fee*$A6+Vq*Delay!AM6)</f>
        <v>21.1414410929831</v>
      </c>
      <c r="AN6" s="19" t="n">
        <f aca="false">IF(Delay!AN6="","",Fee*$A6+Vq*Delay!AN6)</f>
        <v>20.5183587213456</v>
      </c>
      <c r="AO6" s="19" t="n">
        <f aca="false">IF(Delay!AO6="","",Fee*$A6+Vq*Delay!AO6)</f>
        <v>19.9225696438472</v>
      </c>
      <c r="AP6" s="19" t="n">
        <f aca="false">IF(Delay!AP6="","",Fee*$A6+Vq*Delay!AP6)</f>
        <v>19.3528148813264</v>
      </c>
      <c r="AQ6" s="19" t="n">
        <f aca="false">IF(Delay!AQ6="","",Fee*$A6+Vq*Delay!AQ6)</f>
        <v>18.7682839671143</v>
      </c>
      <c r="AR6" s="19" t="n">
        <f aca="false">IF(Delay!AR6="","",Fee*$A6+Vq*Delay!AR6)</f>
        <v>18.1289735229183</v>
      </c>
      <c r="AS6" s="19" t="n">
        <f aca="false">IF(Delay!AS6="","",Fee*$A6+Vq*Delay!AS6)</f>
        <v>17.5499000007906</v>
      </c>
      <c r="AT6" s="19" t="n">
        <f aca="false">IF(Delay!AT6="","",Fee*$A6+Vq*Delay!AT6)</f>
        <v>17.0185416639181</v>
      </c>
      <c r="AU6" s="19" t="n">
        <f aca="false">IF(Delay!AU6="","",Fee*$A6+Vq*Delay!AU6)</f>
        <v>16.4458388418845</v>
      </c>
      <c r="AV6" s="19" t="n">
        <f aca="false">IF(Delay!AV6="","",Fee*$A6+Vq*Delay!AV6)</f>
        <v>15.8696169557143</v>
      </c>
      <c r="AW6" s="19" t="n">
        <f aca="false">IF(Delay!AW6="","",Fee*$A6+Vq*Delay!AW6)</f>
        <v>15.4279237922902</v>
      </c>
      <c r="AX6" s="19" t="n">
        <f aca="false">IF(Delay!AX6="","",Fee*$A6+Vq*Delay!AX6)</f>
        <v>14.9829986960868</v>
      </c>
      <c r="AY6" s="19" t="n">
        <f aca="false">IF(Delay!AY6="","",Fee*$A6+Vq*Delay!AY6)</f>
        <v>14.4876935766411</v>
      </c>
      <c r="AZ6" s="19" t="n">
        <f aca="false">IF(Delay!AZ6="","",Fee*$A6+Vq*Delay!AZ6)</f>
        <v>13.9744520212371</v>
      </c>
      <c r="BA6" s="19" t="n">
        <f aca="false">IF(Delay!BA6="","",Fee*$A6+Vq*Delay!BA6)</f>
        <v>13.5064219211993</v>
      </c>
      <c r="BB6" s="19" t="n">
        <f aca="false">IF(Delay!BB6="","",Fee*$A6+Vq*Delay!BB6)</f>
        <v>13.0848952946584</v>
      </c>
      <c r="BC6" s="19" t="n">
        <f aca="false">IF(Delay!BC6="","",Fee*$A6+Vq*Delay!BC6)</f>
        <v>12.6579900902174</v>
      </c>
      <c r="BD6" s="19" t="n">
        <f aca="false">IF(Delay!BD6="","",Fee*$A6+Vq*Delay!BD6)</f>
        <v>12.2353682318445</v>
      </c>
      <c r="BE6" s="19" t="n">
        <f aca="false">IF(Delay!BE6="","",Fee*$A6+Vq*Delay!BE6)</f>
        <v>11.7235915111252</v>
      </c>
      <c r="BF6" s="19" t="n">
        <f aca="false">IF(Delay!BF6="","",Fee*$A6+Vq*Delay!BF6)</f>
        <v>11.311516577171</v>
      </c>
      <c r="BG6" s="19" t="n">
        <f aca="false">IF(Delay!BG6="","",Fee*$A6+Vq*Delay!BG6)</f>
        <v>10.8951361906162</v>
      </c>
      <c r="BH6" s="19" t="n">
        <f aca="false">IF(Delay!BH6="","",Fee*$A6+Vq*Delay!BH6)</f>
        <v>10.5032245218324</v>
      </c>
      <c r="BI6" s="19" t="n">
        <f aca="false">IF(Delay!BI6="","",Fee*$A6+Vq*Delay!BI6)</f>
        <v>10.1404768901525</v>
      </c>
      <c r="BJ6" s="19" t="n">
        <f aca="false">IF(Delay!BJ6="","",Fee*$A6+Vq*Delay!BJ6)</f>
        <v>9.7825817393678</v>
      </c>
      <c r="BK6" s="19" t="n">
        <f aca="false">IF(Delay!BK6="","",Fee*$A6+Vq*Delay!BK6)</f>
        <v>9.40164016053308</v>
      </c>
      <c r="BL6" s="19" t="n">
        <f aca="false">IF(Delay!BL6="","",Fee*$A6+Vq*Delay!BL6)</f>
        <v>9.0377345180332</v>
      </c>
      <c r="BM6" s="19" t="n">
        <f aca="false">IF(Delay!BM6="","",Fee*$A6+Vq*Delay!BM6)</f>
        <v>8.67163533187292</v>
      </c>
      <c r="BN6" s="19" t="n">
        <f aca="false">IF(Delay!BN6="","",Fee*$A6+Vq*Delay!BN6)</f>
        <v>8.30230272479844</v>
      </c>
      <c r="BO6" s="19" t="n">
        <f aca="false">IF(Delay!BO6="","",Fee*$A6+Vq*Delay!BO6)</f>
        <v>7.91518813643756</v>
      </c>
      <c r="BP6" s="19" t="n">
        <f aca="false">IF(Delay!BP6="","",Fee*$A6+Vq*Delay!BP6)</f>
        <v>7.54859953803316</v>
      </c>
      <c r="BQ6" s="19" t="n">
        <f aca="false">IF(Delay!BQ6="","",Fee*$A6+Vq*Delay!BQ6)</f>
        <v>7.2148386746545</v>
      </c>
      <c r="BR6" s="19" t="n">
        <f aca="false">IF(Delay!BR6="","",Fee*$A6+Vq*Delay!BR6)</f>
        <v>6.87121703434122</v>
      </c>
      <c r="BS6" s="19" t="n">
        <f aca="false">IF(Delay!BS6="","",Fee*$A6+Vq*Delay!BS6)</f>
        <v>6.57367565962666</v>
      </c>
      <c r="BT6" s="19" t="n">
        <f aca="false">IF(Delay!BT6="","",Fee*$A6+Vq*Delay!BT6)</f>
        <v>6.20179187426562</v>
      </c>
      <c r="BU6" s="19" t="n">
        <f aca="false">IF(Delay!BU6="","",Fee*$A6+Vq*Delay!BU6)</f>
        <v>5.853958760177</v>
      </c>
      <c r="BV6" s="19" t="n">
        <f aca="false">IF(Delay!BV6="","",Fee*$A6+Vq*Delay!BV6)</f>
        <v>5.54136653767652</v>
      </c>
      <c r="BW6" s="19" t="n">
        <f aca="false">IF(Delay!BW6="","",Fee*$A6+Vq*Delay!BW6)</f>
        <v>5.2231304293532</v>
      </c>
      <c r="BX6" s="19" t="n">
        <f aca="false">IF(Delay!BX6="","",Fee*$A6+Vq*Delay!BX6)</f>
        <v>4.92210721885948</v>
      </c>
      <c r="BY6" s="19" t="n">
        <f aca="false">IF(Delay!BY6="","",Fee*$A6+Vq*Delay!BY6)</f>
        <v>4.60366080076262</v>
      </c>
      <c r="BZ6" s="19" t="n">
        <f aca="false">IF(Delay!BZ6="","",Fee*$A6+Vq*Delay!BZ6)</f>
        <v>4.32100938509636</v>
      </c>
      <c r="CA6" s="19" t="n">
        <f aca="false">IF(Delay!CA6="","",Fee*$A6+Vq*Delay!CA6)</f>
        <v>4.04725592863514</v>
      </c>
      <c r="CB6" s="19" t="n">
        <f aca="false">IF(Delay!CB6="","",Fee*$A6+Vq*Delay!CB6)</f>
        <v>3.77557119065476</v>
      </c>
      <c r="CC6" s="19" t="n">
        <f aca="false">IF(Delay!CC6="","",Fee*$A6+Vq*Delay!CC6)</f>
        <v>3.50217924828434</v>
      </c>
      <c r="CD6" s="19" t="n">
        <f aca="false">IF(Delay!CD6="","",Fee*$A6+Vq*Delay!CD6)</f>
        <v>3.21868297747788</v>
      </c>
      <c r="CE6" s="19" t="n">
        <f aca="false">IF(Delay!CE6="","",Fee*$A6+Vq*Delay!CE6)</f>
        <v>2.94198933370346</v>
      </c>
      <c r="CF6" s="19" t="n">
        <f aca="false">IF(Delay!CF6="","",Fee*$A6+Vq*Delay!CF6)</f>
        <v>2.6754891209472</v>
      </c>
      <c r="CG6" s="19" t="n">
        <f aca="false">IF(Delay!CG6="","",Fee*$A6+Vq*Delay!CG6)</f>
        <v>2.39395487549934</v>
      </c>
      <c r="CH6" s="19" t="n">
        <f aca="false">IF(Delay!CH6="","",Fee*$A6+Vq*Delay!CH6)</f>
        <v>2.13685746741374</v>
      </c>
      <c r="CI6" s="19" t="n">
        <f aca="false">IF(Delay!CI6="","",Fee*$A6+Vq*Delay!CI6)</f>
        <v>1.8866894874642</v>
      </c>
      <c r="CJ6" s="19" t="n">
        <f aca="false">IF(Delay!CJ6="","",Fee*$A6+Vq*Delay!CJ6)</f>
        <v>1.65340786562586</v>
      </c>
      <c r="CK6" s="19" t="n">
        <f aca="false">IF(Delay!CK6="","",Fee*$A6+Vq*Delay!CK6)</f>
        <v>1.40053495943548</v>
      </c>
      <c r="CL6" s="19" t="n">
        <f aca="false">IF(Delay!CL6="","",Fee*$A6+Vq*Delay!CL6)</f>
        <v>1.1610884166415</v>
      </c>
      <c r="CM6" s="19" t="n">
        <f aca="false">IF(Delay!CM6="","",Fee*$A6+Vq*Delay!CM6)</f>
        <v>0.912357220302363</v>
      </c>
      <c r="CN6" s="19" t="n">
        <f aca="false">IF(Delay!CN6="","",Fee*$A6+Vq*Delay!CN6)</f>
        <v>0.65167989935688</v>
      </c>
      <c r="CO6" s="19" t="n">
        <f aca="false">IF(Delay!CO6="","",Fee*$A6+Vq*Delay!CO6)</f>
        <v>0.412886150824564</v>
      </c>
      <c r="CP6" s="19" t="n">
        <f aca="false">IF(Delay!CP6="","",Fee*$A6+Vq*Delay!CP6)</f>
        <v>0.171692228216722</v>
      </c>
      <c r="CQ6" s="19" t="n">
        <f aca="false">IF(Delay!CQ6="","",Fee*$A6+Vq*Delay!CQ6)</f>
        <v>0.15</v>
      </c>
      <c r="CR6" s="19" t="n">
        <f aca="false">IF(Delay!CR6="","",Fee*$A6+Vq*Delay!CR6)</f>
        <v>0.15</v>
      </c>
      <c r="CS6" s="19" t="n">
        <f aca="false">IF(Delay!CS6="","",Fee*$A6+Vq*Delay!CS6)</f>
        <v>0.15</v>
      </c>
      <c r="CT6" s="19" t="n">
        <f aca="false">IF(Delay!CT6="","",Fee*$A6+Vq*Delay!CT6)</f>
        <v>50.7627790351412</v>
      </c>
    </row>
    <row r="7" customFormat="false" ht="15" hidden="false" customHeight="false" outlineLevel="0" collapsed="false">
      <c r="A7" s="25" t="n">
        <f aca="false">Quantiles!A7</f>
        <v>10</v>
      </c>
      <c r="B7" s="19" t="str">
        <f aca="false">IF(Delay!B7="","",Fee*$A7+Vq*Delay!B7)</f>
        <v/>
      </c>
      <c r="C7" s="19" t="str">
        <f aca="false">IF(Delay!C7="","",Fee*$A7+Vq*Delay!C7)</f>
        <v/>
      </c>
      <c r="D7" s="19" t="str">
        <f aca="false">IF(Delay!D7="","",Fee*$A7+Vq*Delay!D7)</f>
        <v/>
      </c>
      <c r="E7" s="19" t="str">
        <f aca="false">IF(Delay!E7="","",Fee*$A7+Vq*Delay!E7)</f>
        <v/>
      </c>
      <c r="F7" s="19" t="str">
        <f aca="false">IF(Delay!F7="","",Fee*$A7+Vq*Delay!F7)</f>
        <v/>
      </c>
      <c r="G7" s="19" t="n">
        <f aca="false">IF(Delay!G7="","",Fee*$A7+Vq*Delay!G7)</f>
        <v>54.6839658492292</v>
      </c>
      <c r="H7" s="19" t="n">
        <f aca="false">IF(Delay!H7="","",Fee*$A7+Vq*Delay!H7)</f>
        <v>52.574022253442</v>
      </c>
      <c r="I7" s="19" t="n">
        <f aca="false">IF(Delay!I7="","",Fee*$A7+Vq*Delay!I7)</f>
        <v>50.5932877339166</v>
      </c>
      <c r="J7" s="19" t="n">
        <f aca="false">IF(Delay!J7="","",Fee*$A7+Vq*Delay!J7)</f>
        <v>48.664202204107</v>
      </c>
      <c r="K7" s="19" t="n">
        <f aca="false">IF(Delay!K7="","",Fee*$A7+Vq*Delay!K7)</f>
        <v>46.741227597531</v>
      </c>
      <c r="L7" s="19" t="n">
        <f aca="false">IF(Delay!L7="","",Fee*$A7+Vq*Delay!L7)</f>
        <v>44.9239560340579</v>
      </c>
      <c r="M7" s="19" t="n">
        <f aca="false">IF(Delay!M7="","",Fee*$A7+Vq*Delay!M7)</f>
        <v>43.3819656472646</v>
      </c>
      <c r="N7" s="19" t="n">
        <f aca="false">IF(Delay!N7="","",Fee*$A7+Vq*Delay!N7)</f>
        <v>41.9049901013301</v>
      </c>
      <c r="O7" s="19" t="n">
        <f aca="false">IF(Delay!O7="","",Fee*$A7+Vq*Delay!O7)</f>
        <v>40.6183348336641</v>
      </c>
      <c r="P7" s="19" t="n">
        <f aca="false">IF(Delay!P7="","",Fee*$A7+Vq*Delay!P7)</f>
        <v>39.317852693767</v>
      </c>
      <c r="Q7" s="19" t="n">
        <f aca="false">IF(Delay!Q7="","",Fee*$A7+Vq*Delay!Q7)</f>
        <v>38.1542867266554</v>
      </c>
      <c r="R7" s="19" t="n">
        <f aca="false">IF(Delay!R7="","",Fee*$A7+Vq*Delay!R7)</f>
        <v>36.9384723239015</v>
      </c>
      <c r="S7" s="19" t="n">
        <f aca="false">IF(Delay!S7="","",Fee*$A7+Vq*Delay!S7)</f>
        <v>35.7305444637025</v>
      </c>
      <c r="T7" s="19" t="n">
        <f aca="false">IF(Delay!T7="","",Fee*$A7+Vq*Delay!T7)</f>
        <v>34.6739161632474</v>
      </c>
      <c r="U7" s="19" t="n">
        <f aca="false">IF(Delay!U7="","",Fee*$A7+Vq*Delay!U7)</f>
        <v>33.6415618661871</v>
      </c>
      <c r="V7" s="19" t="n">
        <f aca="false">IF(Delay!V7="","",Fee*$A7+Vq*Delay!V7)</f>
        <v>32.6775766686383</v>
      </c>
      <c r="W7" s="19" t="n">
        <f aca="false">IF(Delay!W7="","",Fee*$A7+Vq*Delay!W7)</f>
        <v>31.6748184746972</v>
      </c>
      <c r="X7" s="19" t="n">
        <f aca="false">IF(Delay!X7="","",Fee*$A7+Vq*Delay!X7)</f>
        <v>30.7694723231129</v>
      </c>
      <c r="Y7" s="19" t="n">
        <f aca="false">IF(Delay!Y7="","",Fee*$A7+Vq*Delay!Y7)</f>
        <v>29.8065654489461</v>
      </c>
      <c r="Z7" s="19" t="n">
        <f aca="false">IF(Delay!Z7="","",Fee*$A7+Vq*Delay!Z7)</f>
        <v>28.9176668659678</v>
      </c>
      <c r="AA7" s="19" t="n">
        <f aca="false">IF(Delay!AA7="","",Fee*$A7+Vq*Delay!AA7)</f>
        <v>28.1500720578199</v>
      </c>
      <c r="AB7" s="19" t="n">
        <f aca="false">IF(Delay!AB7="","",Fee*$A7+Vq*Delay!AB7)</f>
        <v>27.370867262477</v>
      </c>
      <c r="AC7" s="19" t="n">
        <f aca="false">IF(Delay!AC7="","",Fee*$A7+Vq*Delay!AC7)</f>
        <v>26.6204263568318</v>
      </c>
      <c r="AD7" s="19" t="n">
        <f aca="false">IF(Delay!AD7="","",Fee*$A7+Vq*Delay!AD7)</f>
        <v>25.8029341778654</v>
      </c>
      <c r="AE7" s="19" t="n">
        <f aca="false">IF(Delay!AE7="","",Fee*$A7+Vq*Delay!AE7)</f>
        <v>25.0543135404417</v>
      </c>
      <c r="AF7" s="19" t="n">
        <f aca="false">IF(Delay!AF7="","",Fee*$A7+Vq*Delay!AF7)</f>
        <v>24.3348545825327</v>
      </c>
      <c r="AG7" s="19" t="n">
        <f aca="false">IF(Delay!AG7="","",Fee*$A7+Vq*Delay!AG7)</f>
        <v>23.6377713065794</v>
      </c>
      <c r="AH7" s="19" t="n">
        <f aca="false">IF(Delay!AH7="","",Fee*$A7+Vq*Delay!AH7)</f>
        <v>22.901478692161</v>
      </c>
      <c r="AI7" s="19" t="n">
        <f aca="false">IF(Delay!AI7="","",Fee*$A7+Vq*Delay!AI7)</f>
        <v>22.2938029265445</v>
      </c>
      <c r="AJ7" s="19" t="n">
        <f aca="false">IF(Delay!AJ7="","",Fee*$A7+Vq*Delay!AJ7)</f>
        <v>21.5908852034985</v>
      </c>
      <c r="AK7" s="19" t="n">
        <f aca="false">IF(Delay!AK7="","",Fee*$A7+Vq*Delay!AK7)</f>
        <v>20.9311269139206</v>
      </c>
      <c r="AL7" s="19" t="n">
        <f aca="false">IF(Delay!AL7="","",Fee*$A7+Vq*Delay!AL7)</f>
        <v>20.3567515119238</v>
      </c>
      <c r="AM7" s="19" t="n">
        <f aca="false">IF(Delay!AM7="","",Fee*$A7+Vq*Delay!AM7)</f>
        <v>19.8146874880909</v>
      </c>
      <c r="AN7" s="19" t="n">
        <f aca="false">IF(Delay!AN7="","",Fee*$A7+Vq*Delay!AN7)</f>
        <v>19.1417952028208</v>
      </c>
      <c r="AO7" s="19" t="n">
        <f aca="false">IF(Delay!AO7="","",Fee*$A7+Vq*Delay!AO7)</f>
        <v>18.5635564421766</v>
      </c>
      <c r="AP7" s="19" t="n">
        <f aca="false">IF(Delay!AP7="","",Fee*$A7+Vq*Delay!AP7)</f>
        <v>18.0043779490866</v>
      </c>
      <c r="AQ7" s="19" t="n">
        <f aca="false">IF(Delay!AQ7="","",Fee*$A7+Vq*Delay!AQ7)</f>
        <v>17.4329851449834</v>
      </c>
      <c r="AR7" s="19" t="n">
        <f aca="false">IF(Delay!AR7="","",Fee*$A7+Vq*Delay!AR7)</f>
        <v>16.8518882311957</v>
      </c>
      <c r="AS7" s="19" t="n">
        <f aca="false">IF(Delay!AS7="","",Fee*$A7+Vq*Delay!AS7)</f>
        <v>16.3146099527727</v>
      </c>
      <c r="AT7" s="19" t="n">
        <f aca="false">IF(Delay!AT7="","",Fee*$A7+Vq*Delay!AT7)</f>
        <v>15.7623999506723</v>
      </c>
      <c r="AU7" s="19" t="n">
        <f aca="false">IF(Delay!AU7="","",Fee*$A7+Vq*Delay!AU7)</f>
        <v>15.2725990156452</v>
      </c>
      <c r="AV7" s="19" t="n">
        <f aca="false">IF(Delay!AV7="","",Fee*$A7+Vq*Delay!AV7)</f>
        <v>14.7634197141066</v>
      </c>
      <c r="AW7" s="19" t="n">
        <f aca="false">IF(Delay!AW7="","",Fee*$A7+Vq*Delay!AW7)</f>
        <v>14.2572357890362</v>
      </c>
      <c r="AX7" s="19" t="n">
        <f aca="false">IF(Delay!AX7="","",Fee*$A7+Vq*Delay!AX7)</f>
        <v>13.7985369040108</v>
      </c>
      <c r="AY7" s="19" t="n">
        <f aca="false">IF(Delay!AY7="","",Fee*$A7+Vq*Delay!AY7)</f>
        <v>13.3673987485924</v>
      </c>
      <c r="AZ7" s="19" t="n">
        <f aca="false">IF(Delay!AZ7="","",Fee*$A7+Vq*Delay!AZ7)</f>
        <v>12.893761663844</v>
      </c>
      <c r="BA7" s="19" t="n">
        <f aca="false">IF(Delay!BA7="","",Fee*$A7+Vq*Delay!BA7)</f>
        <v>12.4573962689399</v>
      </c>
      <c r="BB7" s="19" t="n">
        <f aca="false">IF(Delay!BB7="","",Fee*$A7+Vq*Delay!BB7)</f>
        <v>12.0043559904922</v>
      </c>
      <c r="BC7" s="19" t="n">
        <f aca="false">IF(Delay!BC7="","",Fee*$A7+Vq*Delay!BC7)</f>
        <v>11.621992068852</v>
      </c>
      <c r="BD7" s="19" t="n">
        <f aca="false">IF(Delay!BD7="","",Fee*$A7+Vq*Delay!BD7)</f>
        <v>11.2185175301053</v>
      </c>
      <c r="BE7" s="19" t="n">
        <f aca="false">IF(Delay!BE7="","",Fee*$A7+Vq*Delay!BE7)</f>
        <v>10.861580301733</v>
      </c>
      <c r="BF7" s="19" t="n">
        <f aca="false">IF(Delay!BF7="","",Fee*$A7+Vq*Delay!BF7)</f>
        <v>10.4219796491622</v>
      </c>
      <c r="BG7" s="19" t="n">
        <f aca="false">IF(Delay!BG7="","",Fee*$A7+Vq*Delay!BG7)</f>
        <v>10.0359356371998</v>
      </c>
      <c r="BH7" s="19" t="n">
        <f aca="false">IF(Delay!BH7="","",Fee*$A7+Vq*Delay!BH7)</f>
        <v>9.6479467331664</v>
      </c>
      <c r="BI7" s="19" t="n">
        <f aca="false">IF(Delay!BI7="","",Fee*$A7+Vq*Delay!BI7)</f>
        <v>9.25274687974626</v>
      </c>
      <c r="BJ7" s="19" t="n">
        <f aca="false">IF(Delay!BJ7="","",Fee*$A7+Vq*Delay!BJ7)</f>
        <v>8.894439029485</v>
      </c>
      <c r="BK7" s="19" t="n">
        <f aca="false">IF(Delay!BK7="","",Fee*$A7+Vq*Delay!BK7)</f>
        <v>8.53408290711292</v>
      </c>
      <c r="BL7" s="19" t="n">
        <f aca="false">IF(Delay!BL7="","",Fee*$A7+Vq*Delay!BL7)</f>
        <v>8.18698473084962</v>
      </c>
      <c r="BM7" s="19" t="n">
        <f aca="false">IF(Delay!BM7="","",Fee*$A7+Vq*Delay!BM7)</f>
        <v>7.82544904961072</v>
      </c>
      <c r="BN7" s="19" t="n">
        <f aca="false">IF(Delay!BN7="","",Fee*$A7+Vq*Delay!BN7)</f>
        <v>7.50270801541582</v>
      </c>
      <c r="BO7" s="19" t="n">
        <f aca="false">IF(Delay!BO7="","",Fee*$A7+Vq*Delay!BO7)</f>
        <v>7.18018284492396</v>
      </c>
      <c r="BP7" s="19" t="n">
        <f aca="false">IF(Delay!BP7="","",Fee*$A7+Vq*Delay!BP7)</f>
        <v>6.8437380350304</v>
      </c>
      <c r="BQ7" s="19" t="n">
        <f aca="false">IF(Delay!BQ7="","",Fee*$A7+Vq*Delay!BQ7)</f>
        <v>6.4969231821092</v>
      </c>
      <c r="BR7" s="19" t="n">
        <f aca="false">IF(Delay!BR7="","",Fee*$A7+Vq*Delay!BR7)</f>
        <v>6.1365180801573</v>
      </c>
      <c r="BS7" s="19" t="n">
        <f aca="false">IF(Delay!BS7="","",Fee*$A7+Vq*Delay!BS7)</f>
        <v>5.82972724756236</v>
      </c>
      <c r="BT7" s="19" t="n">
        <f aca="false">IF(Delay!BT7="","",Fee*$A7+Vq*Delay!BT7)</f>
        <v>5.50772750652292</v>
      </c>
      <c r="BU7" s="19" t="n">
        <f aca="false">IF(Delay!BU7="","",Fee*$A7+Vq*Delay!BU7)</f>
        <v>5.18206492235068</v>
      </c>
      <c r="BV7" s="19" t="n">
        <f aca="false">IF(Delay!BV7="","",Fee*$A7+Vq*Delay!BV7)</f>
        <v>4.91127381473974</v>
      </c>
      <c r="BW7" s="19" t="n">
        <f aca="false">IF(Delay!BW7="","",Fee*$A7+Vq*Delay!BW7)</f>
        <v>4.59981802241638</v>
      </c>
      <c r="BX7" s="19" t="n">
        <f aca="false">IF(Delay!BX7="","",Fee*$A7+Vq*Delay!BX7)</f>
        <v>4.29881775674776</v>
      </c>
      <c r="BY7" s="19" t="n">
        <f aca="false">IF(Delay!BY7="","",Fee*$A7+Vq*Delay!BY7)</f>
        <v>4.01901461190854</v>
      </c>
      <c r="BZ7" s="19" t="n">
        <f aca="false">IF(Delay!BZ7="","",Fee*$A7+Vq*Delay!BZ7)</f>
        <v>3.74336600408242</v>
      </c>
      <c r="CA7" s="19" t="n">
        <f aca="false">IF(Delay!CA7="","",Fee*$A7+Vq*Delay!CA7)</f>
        <v>3.48186081655622</v>
      </c>
      <c r="CB7" s="19" t="n">
        <f aca="false">IF(Delay!CB7="","",Fee*$A7+Vq*Delay!CB7)</f>
        <v>3.19285605193318</v>
      </c>
      <c r="CC7" s="19" t="n">
        <f aca="false">IF(Delay!CC7="","",Fee*$A7+Vq*Delay!CC7)</f>
        <v>2.92370934966858</v>
      </c>
      <c r="CD7" s="19" t="n">
        <f aca="false">IF(Delay!CD7="","",Fee*$A7+Vq*Delay!CD7)</f>
        <v>2.6571168215713</v>
      </c>
      <c r="CE7" s="19" t="n">
        <f aca="false">IF(Delay!CE7="","",Fee*$A7+Vq*Delay!CE7)</f>
        <v>2.40124152622412</v>
      </c>
      <c r="CF7" s="19" t="n">
        <f aca="false">IF(Delay!CF7="","",Fee*$A7+Vq*Delay!CF7)</f>
        <v>2.1620966903165</v>
      </c>
      <c r="CG7" s="19" t="n">
        <f aca="false">IF(Delay!CG7="","",Fee*$A7+Vq*Delay!CG7)</f>
        <v>1.9045491430958</v>
      </c>
      <c r="CH7" s="19" t="n">
        <f aca="false">IF(Delay!CH7="","",Fee*$A7+Vq*Delay!CH7)</f>
        <v>1.67582916856</v>
      </c>
      <c r="CI7" s="19" t="n">
        <f aca="false">IF(Delay!CI7="","",Fee*$A7+Vq*Delay!CI7)</f>
        <v>1.41004189242624</v>
      </c>
      <c r="CJ7" s="19" t="n">
        <f aca="false">IF(Delay!CJ7="","",Fee*$A7+Vq*Delay!CJ7)</f>
        <v>1.1640983263125</v>
      </c>
      <c r="CK7" s="19" t="n">
        <f aca="false">IF(Delay!CK7="","",Fee*$A7+Vq*Delay!CK7)</f>
        <v>0.937404731889319</v>
      </c>
      <c r="CL7" s="19" t="n">
        <f aca="false">IF(Delay!CL7="","",Fee*$A7+Vq*Delay!CL7)</f>
        <v>0.662745525472022</v>
      </c>
      <c r="CM7" s="19" t="n">
        <f aca="false">IF(Delay!CM7="","",Fee*$A7+Vq*Delay!CM7)</f>
        <v>0.427513085487898</v>
      </c>
      <c r="CN7" s="19" t="n">
        <f aca="false">IF(Delay!CN7="","",Fee*$A7+Vq*Delay!CN7)</f>
        <v>0.3</v>
      </c>
      <c r="CO7" s="19" t="n">
        <f aca="false">IF(Delay!CO7="","",Fee*$A7+Vq*Delay!CO7)</f>
        <v>0.3</v>
      </c>
      <c r="CP7" s="19" t="n">
        <f aca="false">IF(Delay!CP7="","",Fee*$A7+Vq*Delay!CP7)</f>
        <v>0.3</v>
      </c>
      <c r="CQ7" s="19" t="n">
        <f aca="false">IF(Delay!CQ7="","",Fee*$A7+Vq*Delay!CQ7)</f>
        <v>0.3</v>
      </c>
      <c r="CR7" s="19" t="n">
        <f aca="false">IF(Delay!CR7="","",Fee*$A7+Vq*Delay!CR7)</f>
        <v>0.3</v>
      </c>
      <c r="CS7" s="19" t="n">
        <f aca="false">IF(Delay!CS7="","",Fee*$A7+Vq*Delay!CS7)</f>
        <v>0.3</v>
      </c>
      <c r="CT7" s="19" t="n">
        <f aca="false">IF(Delay!CT7="","",Fee*$A7+Vq*Delay!CT7)</f>
        <v>48.6436763606527</v>
      </c>
    </row>
    <row r="8" customFormat="false" ht="15" hidden="false" customHeight="false" outlineLevel="0" collapsed="false">
      <c r="A8" s="25" t="n">
        <f aca="false">Quantiles!A8</f>
        <v>15</v>
      </c>
      <c r="B8" s="19" t="str">
        <f aca="false">IF(Delay!B8="","",Fee*$A8+Vq*Delay!B8)</f>
        <v/>
      </c>
      <c r="C8" s="19" t="str">
        <f aca="false">IF(Delay!C8="","",Fee*$A8+Vq*Delay!C8)</f>
        <v/>
      </c>
      <c r="D8" s="19" t="str">
        <f aca="false">IF(Delay!D8="","",Fee*$A8+Vq*Delay!D8)</f>
        <v/>
      </c>
      <c r="E8" s="19" t="str">
        <f aca="false">IF(Delay!E8="","",Fee*$A8+Vq*Delay!E8)</f>
        <v/>
      </c>
      <c r="F8" s="19" t="n">
        <f aca="false">IF(Delay!F8="","",Fee*$A8+Vq*Delay!F8)</f>
        <v>54.8543910805959</v>
      </c>
      <c r="G8" s="19" t="n">
        <f aca="false">IF(Delay!G8="","",Fee*$A8+Vq*Delay!G8)</f>
        <v>52.3886919600241</v>
      </c>
      <c r="H8" s="19" t="n">
        <f aca="false">IF(Delay!H8="","",Fee*$A8+Vq*Delay!H8)</f>
        <v>50.3458999021879</v>
      </c>
      <c r="I8" s="19" t="n">
        <f aca="false">IF(Delay!I8="","",Fee*$A8+Vq*Delay!I8)</f>
        <v>48.2565123731552</v>
      </c>
      <c r="J8" s="19" t="n">
        <f aca="false">IF(Delay!J8="","",Fee*$A8+Vq*Delay!J8)</f>
        <v>46.4550651187111</v>
      </c>
      <c r="K8" s="19" t="n">
        <f aca="false">IF(Delay!K8="","",Fee*$A8+Vq*Delay!K8)</f>
        <v>44.7057691645471</v>
      </c>
      <c r="L8" s="19" t="n">
        <f aca="false">IF(Delay!L8="","",Fee*$A8+Vq*Delay!L8)</f>
        <v>42.8032677930266</v>
      </c>
      <c r="M8" s="19" t="n">
        <f aca="false">IF(Delay!M8="","",Fee*$A8+Vq*Delay!M8)</f>
        <v>41.2943434624399</v>
      </c>
      <c r="N8" s="19" t="n">
        <f aca="false">IF(Delay!N8="","",Fee*$A8+Vq*Delay!N8)</f>
        <v>39.8833009475286</v>
      </c>
      <c r="O8" s="19" t="n">
        <f aca="false">IF(Delay!O8="","",Fee*$A8+Vq*Delay!O8)</f>
        <v>38.595403787245</v>
      </c>
      <c r="P8" s="19" t="n">
        <f aca="false">IF(Delay!P8="","",Fee*$A8+Vq*Delay!P8)</f>
        <v>37.432052913128</v>
      </c>
      <c r="Q8" s="19" t="n">
        <f aca="false">IF(Delay!Q8="","",Fee*$A8+Vq*Delay!Q8)</f>
        <v>36.1828641983803</v>
      </c>
      <c r="R8" s="19" t="n">
        <f aca="false">IF(Delay!R8="","",Fee*$A8+Vq*Delay!R8)</f>
        <v>35.0792065838572</v>
      </c>
      <c r="S8" s="19" t="n">
        <f aca="false">IF(Delay!S8="","",Fee*$A8+Vq*Delay!S8)</f>
        <v>33.9156848021239</v>
      </c>
      <c r="T8" s="19" t="n">
        <f aca="false">IF(Delay!T8="","",Fee*$A8+Vq*Delay!T8)</f>
        <v>32.9212595524751</v>
      </c>
      <c r="U8" s="19" t="n">
        <f aca="false">IF(Delay!U8="","",Fee*$A8+Vq*Delay!U8)</f>
        <v>31.8489837547969</v>
      </c>
      <c r="V8" s="19" t="n">
        <f aca="false">IF(Delay!V8="","",Fee*$A8+Vq*Delay!V8)</f>
        <v>30.9304876151826</v>
      </c>
      <c r="W8" s="19" t="n">
        <f aca="false">IF(Delay!W8="","",Fee*$A8+Vq*Delay!W8)</f>
        <v>29.934828952657</v>
      </c>
      <c r="X8" s="19" t="n">
        <f aca="false">IF(Delay!X8="","",Fee*$A8+Vq*Delay!X8)</f>
        <v>29.0474147596396</v>
      </c>
      <c r="Y8" s="19" t="n">
        <f aca="false">IF(Delay!Y8="","",Fee*$A8+Vq*Delay!Y8)</f>
        <v>28.1406761766834</v>
      </c>
      <c r="Z8" s="19" t="n">
        <f aca="false">IF(Delay!Z8="","",Fee*$A8+Vq*Delay!Z8)</f>
        <v>27.2695990441146</v>
      </c>
      <c r="AA8" s="19" t="n">
        <f aca="false">IF(Delay!AA8="","",Fee*$A8+Vq*Delay!AA8)</f>
        <v>26.4867426477633</v>
      </c>
      <c r="AB8" s="19" t="n">
        <f aca="false">IF(Delay!AB8="","",Fee*$A8+Vq*Delay!AB8)</f>
        <v>25.7097316874242</v>
      </c>
      <c r="AC8" s="19" t="n">
        <f aca="false">IF(Delay!AC8="","",Fee*$A8+Vq*Delay!AC8)</f>
        <v>25.0037019759735</v>
      </c>
      <c r="AD8" s="19" t="n">
        <f aca="false">IF(Delay!AD8="","",Fee*$A8+Vq*Delay!AD8)</f>
        <v>24.1929555688532</v>
      </c>
      <c r="AE8" s="19" t="n">
        <f aca="false">IF(Delay!AE8="","",Fee*$A8+Vq*Delay!AE8)</f>
        <v>23.5256413993165</v>
      </c>
      <c r="AF8" s="19" t="n">
        <f aca="false">IF(Delay!AF8="","",Fee*$A8+Vq*Delay!AF8)</f>
        <v>22.8372837537732</v>
      </c>
      <c r="AG8" s="19" t="n">
        <f aca="false">IF(Delay!AG8="","",Fee*$A8+Vq*Delay!AG8)</f>
        <v>22.1696517979094</v>
      </c>
      <c r="AH8" s="19" t="n">
        <f aca="false">IF(Delay!AH8="","",Fee*$A8+Vq*Delay!AH8)</f>
        <v>21.470413954832</v>
      </c>
      <c r="AI8" s="19" t="n">
        <f aca="false">IF(Delay!AI8="","",Fee*$A8+Vq*Delay!AI8)</f>
        <v>20.8849664942811</v>
      </c>
      <c r="AJ8" s="19" t="n">
        <f aca="false">IF(Delay!AJ8="","",Fee*$A8+Vq*Delay!AJ8)</f>
        <v>20.2144396182261</v>
      </c>
      <c r="AK8" s="19" t="n">
        <f aca="false">IF(Delay!AK8="","",Fee*$A8+Vq*Delay!AK8)</f>
        <v>19.5743085861167</v>
      </c>
      <c r="AL8" s="19" t="n">
        <f aca="false">IF(Delay!AL8="","",Fee*$A8+Vq*Delay!AL8)</f>
        <v>18.9870239457577</v>
      </c>
      <c r="AM8" s="19" t="n">
        <f aca="false">IF(Delay!AM8="","",Fee*$A8+Vq*Delay!AM8)</f>
        <v>18.3989222998124</v>
      </c>
      <c r="AN8" s="19" t="n">
        <f aca="false">IF(Delay!AN8="","",Fee*$A8+Vq*Delay!AN8)</f>
        <v>17.8367390761944</v>
      </c>
      <c r="AO8" s="19" t="n">
        <f aca="false">IF(Delay!AO8="","",Fee*$A8+Vq*Delay!AO8)</f>
        <v>17.2934195383359</v>
      </c>
      <c r="AP8" s="19" t="n">
        <f aca="false">IF(Delay!AP8="","",Fee*$A8+Vq*Delay!AP8)</f>
        <v>16.7657381625869</v>
      </c>
      <c r="AQ8" s="19" t="n">
        <f aca="false">IF(Delay!AQ8="","",Fee*$A8+Vq*Delay!AQ8)</f>
        <v>16.1898599354392</v>
      </c>
      <c r="AR8" s="19" t="n">
        <f aca="false">IF(Delay!AR8="","",Fee*$A8+Vq*Delay!AR8)</f>
        <v>15.6796240631964</v>
      </c>
      <c r="AS8" s="19" t="n">
        <f aca="false">IF(Delay!AS8="","",Fee*$A8+Vq*Delay!AS8)</f>
        <v>15.1780390442947</v>
      </c>
      <c r="AT8" s="19" t="n">
        <f aca="false">IF(Delay!AT8="","",Fee*$A8+Vq*Delay!AT8)</f>
        <v>14.6590701932691</v>
      </c>
      <c r="AU8" s="19" t="n">
        <f aca="false">IF(Delay!AU8="","",Fee*$A8+Vq*Delay!AU8)</f>
        <v>14.1277426244761</v>
      </c>
      <c r="AV8" s="19" t="n">
        <f aca="false">IF(Delay!AV8="","",Fee*$A8+Vq*Delay!AV8)</f>
        <v>13.6602017418981</v>
      </c>
      <c r="AW8" s="19" t="n">
        <f aca="false">IF(Delay!AW8="","",Fee*$A8+Vq*Delay!AW8)</f>
        <v>13.1781069932261</v>
      </c>
      <c r="AX8" s="19" t="n">
        <f aca="false">IF(Delay!AX8="","",Fee*$A8+Vq*Delay!AX8)</f>
        <v>12.7080079626256</v>
      </c>
      <c r="AY8" s="19" t="n">
        <f aca="false">IF(Delay!AY8="","",Fee*$A8+Vq*Delay!AY8)</f>
        <v>12.2958986875825</v>
      </c>
      <c r="AZ8" s="19" t="n">
        <f aca="false">IF(Delay!AZ8="","",Fee*$A8+Vq*Delay!AZ8)</f>
        <v>11.8928083866222</v>
      </c>
      <c r="BA8" s="19" t="n">
        <f aca="false">IF(Delay!BA8="","",Fee*$A8+Vq*Delay!BA8)</f>
        <v>11.4546163377149</v>
      </c>
      <c r="BB8" s="19" t="n">
        <f aca="false">IF(Delay!BB8="","",Fee*$A8+Vq*Delay!BB8)</f>
        <v>11.0429482940323</v>
      </c>
      <c r="BC8" s="19" t="n">
        <f aca="false">IF(Delay!BC8="","",Fee*$A8+Vq*Delay!BC8)</f>
        <v>10.638922104258</v>
      </c>
      <c r="BD8" s="19" t="n">
        <f aca="false">IF(Delay!BD8="","",Fee*$A8+Vq*Delay!BD8)</f>
        <v>10.2893226499572</v>
      </c>
      <c r="BE8" s="19" t="n">
        <f aca="false">IF(Delay!BE8="","",Fee*$A8+Vq*Delay!BE8)</f>
        <v>9.91688723453518</v>
      </c>
      <c r="BF8" s="19" t="n">
        <f aca="false">IF(Delay!BF8="","",Fee*$A8+Vq*Delay!BF8)</f>
        <v>9.55820719383644</v>
      </c>
      <c r="BG8" s="19" t="n">
        <f aca="false">IF(Delay!BG8="","",Fee*$A8+Vq*Delay!BG8)</f>
        <v>9.1961793187691</v>
      </c>
      <c r="BH8" s="19" t="n">
        <f aca="false">IF(Delay!BH8="","",Fee*$A8+Vq*Delay!BH8)</f>
        <v>8.78525840246082</v>
      </c>
      <c r="BI8" s="19" t="n">
        <f aca="false">IF(Delay!BI8="","",Fee*$A8+Vq*Delay!BI8)</f>
        <v>8.41401234111838</v>
      </c>
      <c r="BJ8" s="19" t="n">
        <f aca="false">IF(Delay!BJ8="","",Fee*$A8+Vq*Delay!BJ8)</f>
        <v>8.07252569379428</v>
      </c>
      <c r="BK8" s="19" t="n">
        <f aca="false">IF(Delay!BK8="","",Fee*$A8+Vq*Delay!BK8)</f>
        <v>7.71842006704994</v>
      </c>
      <c r="BL8" s="19" t="n">
        <f aca="false">IF(Delay!BL8="","",Fee*$A8+Vq*Delay!BL8)</f>
        <v>7.4180457714998</v>
      </c>
      <c r="BM8" s="19" t="n">
        <f aca="false">IF(Delay!BM8="","",Fee*$A8+Vq*Delay!BM8)</f>
        <v>7.07404697460472</v>
      </c>
      <c r="BN8" s="19" t="n">
        <f aca="false">IF(Delay!BN8="","",Fee*$A8+Vq*Delay!BN8)</f>
        <v>6.76855017299246</v>
      </c>
      <c r="BO8" s="19" t="n">
        <f aca="false">IF(Delay!BO8="","",Fee*$A8+Vq*Delay!BO8)</f>
        <v>6.41429420767584</v>
      </c>
      <c r="BP8" s="19" t="n">
        <f aca="false">IF(Delay!BP8="","",Fee*$A8+Vq*Delay!BP8)</f>
        <v>6.1133474170226</v>
      </c>
      <c r="BQ8" s="19" t="n">
        <f aca="false">IF(Delay!BQ8="","",Fee*$A8+Vq*Delay!BQ8)</f>
        <v>5.8068579344372</v>
      </c>
      <c r="BR8" s="19" t="n">
        <f aca="false">IF(Delay!BR8="","",Fee*$A8+Vq*Delay!BR8)</f>
        <v>5.48920337172372</v>
      </c>
      <c r="BS8" s="19" t="n">
        <f aca="false">IF(Delay!BS8="","",Fee*$A8+Vq*Delay!BS8)</f>
        <v>5.17179161969796</v>
      </c>
      <c r="BT8" s="19" t="n">
        <f aca="false">IF(Delay!BT8="","",Fee*$A8+Vq*Delay!BT8)</f>
        <v>4.85897764518652</v>
      </c>
      <c r="BU8" s="19" t="n">
        <f aca="false">IF(Delay!BU8="","",Fee*$A8+Vq*Delay!BU8)</f>
        <v>4.55816421374134</v>
      </c>
      <c r="BV8" s="19" t="n">
        <f aca="false">IF(Delay!BV8="","",Fee*$A8+Vq*Delay!BV8)</f>
        <v>4.28690449541214</v>
      </c>
      <c r="BW8" s="19" t="n">
        <f aca="false">IF(Delay!BW8="","",Fee*$A8+Vq*Delay!BW8)</f>
        <v>4.01794390675456</v>
      </c>
      <c r="BX8" s="19" t="n">
        <f aca="false">IF(Delay!BX8="","",Fee*$A8+Vq*Delay!BX8)</f>
        <v>3.73759926426288</v>
      </c>
      <c r="BY8" s="19" t="n">
        <f aca="false">IF(Delay!BY8="","",Fee*$A8+Vq*Delay!BY8)</f>
        <v>3.48328615246404</v>
      </c>
      <c r="BZ8" s="19" t="n">
        <f aca="false">IF(Delay!BZ8="","",Fee*$A8+Vq*Delay!BZ8)</f>
        <v>3.21046373424584</v>
      </c>
      <c r="CA8" s="19" t="n">
        <f aca="false">IF(Delay!CA8="","",Fee*$A8+Vq*Delay!CA8)</f>
        <v>2.93924906198254</v>
      </c>
      <c r="CB8" s="19" t="n">
        <f aca="false">IF(Delay!CB8="","",Fee*$A8+Vq*Delay!CB8)</f>
        <v>2.65721774732584</v>
      </c>
      <c r="CC8" s="19" t="n">
        <f aca="false">IF(Delay!CC8="","",Fee*$A8+Vq*Delay!CC8)</f>
        <v>2.41151895901956</v>
      </c>
      <c r="CD8" s="19" t="n">
        <f aca="false">IF(Delay!CD8="","",Fee*$A8+Vq*Delay!CD8)</f>
        <v>2.15113049423538</v>
      </c>
      <c r="CE8" s="19" t="n">
        <f aca="false">IF(Delay!CE8="","",Fee*$A8+Vq*Delay!CE8)</f>
        <v>1.93252492501194</v>
      </c>
      <c r="CF8" s="19" t="n">
        <f aca="false">IF(Delay!CF8="","",Fee*$A8+Vq*Delay!CF8)</f>
        <v>1.6575958930258</v>
      </c>
      <c r="CG8" s="19" t="n">
        <f aca="false">IF(Delay!CG8="","",Fee*$A8+Vq*Delay!CG8)</f>
        <v>1.40205589408414</v>
      </c>
      <c r="CH8" s="19" t="n">
        <f aca="false">IF(Delay!CH8="","",Fee*$A8+Vq*Delay!CH8)</f>
        <v>1.16479519668788</v>
      </c>
      <c r="CI8" s="19" t="n">
        <f aca="false">IF(Delay!CI8="","",Fee*$A8+Vq*Delay!CI8)</f>
        <v>0.916702087217243</v>
      </c>
      <c r="CJ8" s="19" t="n">
        <f aca="false">IF(Delay!CJ8="","",Fee*$A8+Vq*Delay!CJ8)</f>
        <v>0.691722711234239</v>
      </c>
      <c r="CK8" s="19" t="n">
        <f aca="false">IF(Delay!CK8="","",Fee*$A8+Vq*Delay!CK8)</f>
        <v>0.470459956950383</v>
      </c>
      <c r="CL8" s="19" t="n">
        <f aca="false">IF(Delay!CL8="","",Fee*$A8+Vq*Delay!CL8)</f>
        <v>0.45</v>
      </c>
      <c r="CM8" s="19" t="n">
        <f aca="false">IF(Delay!CM8="","",Fee*$A8+Vq*Delay!CM8)</f>
        <v>0.45</v>
      </c>
      <c r="CN8" s="19" t="n">
        <f aca="false">IF(Delay!CN8="","",Fee*$A8+Vq*Delay!CN8)</f>
        <v>0.45</v>
      </c>
      <c r="CO8" s="19" t="n">
        <f aca="false">IF(Delay!CO8="","",Fee*$A8+Vq*Delay!CO8)</f>
        <v>0.45</v>
      </c>
      <c r="CP8" s="19" t="n">
        <f aca="false">IF(Delay!CP8="","",Fee*$A8+Vq*Delay!CP8)</f>
        <v>0.45</v>
      </c>
      <c r="CQ8" s="19" t="n">
        <f aca="false">IF(Delay!CQ8="","",Fee*$A8+Vq*Delay!CQ8)</f>
        <v>0.45</v>
      </c>
      <c r="CR8" s="19" t="n">
        <f aca="false">IF(Delay!CR8="","",Fee*$A8+Vq*Delay!CR8)</f>
        <v>0.45</v>
      </c>
      <c r="CS8" s="19" t="n">
        <f aca="false">IF(Delay!CS8="","",Fee*$A8+Vq*Delay!CS8)</f>
        <v>0.45</v>
      </c>
      <c r="CT8" s="19" t="n">
        <f aca="false">IF(Delay!CT8="","",Fee*$A8+Vq*Delay!CT8)</f>
        <v>46.4413643432413</v>
      </c>
    </row>
    <row r="9" customFormat="false" ht="15" hidden="false" customHeight="false" outlineLevel="0" collapsed="false">
      <c r="A9" s="25" t="n">
        <f aca="false">Quantiles!A9</f>
        <v>20</v>
      </c>
      <c r="B9" s="19" t="str">
        <f aca="false">IF(Delay!B9="","",Fee*$A9+Vq*Delay!B9)</f>
        <v/>
      </c>
      <c r="C9" s="19" t="str">
        <f aca="false">IF(Delay!C9="","",Fee*$A9+Vq*Delay!C9)</f>
        <v/>
      </c>
      <c r="D9" s="19" t="str">
        <f aca="false">IF(Delay!D9="","",Fee*$A9+Vq*Delay!D9)</f>
        <v/>
      </c>
      <c r="E9" s="19" t="n">
        <f aca="false">IF(Delay!E9="","",Fee*$A9+Vq*Delay!E9)</f>
        <v>55.1667383394246</v>
      </c>
      <c r="F9" s="19" t="n">
        <f aca="false">IF(Delay!F9="","",Fee*$A9+Vq*Delay!F9)</f>
        <v>52.6480068546868</v>
      </c>
      <c r="G9" s="19" t="n">
        <f aca="false">IF(Delay!G9="","",Fee*$A9+Vq*Delay!G9)</f>
        <v>50.2768910241069</v>
      </c>
      <c r="H9" s="19" t="n">
        <f aca="false">IF(Delay!H9="","",Fee*$A9+Vq*Delay!H9)</f>
        <v>48.0287297579093</v>
      </c>
      <c r="I9" s="19" t="n">
        <f aca="false">IF(Delay!I9="","",Fee*$A9+Vq*Delay!I9)</f>
        <v>46.0954254217399</v>
      </c>
      <c r="J9" s="19" t="n">
        <f aca="false">IF(Delay!J9="","",Fee*$A9+Vq*Delay!J9)</f>
        <v>44.3857476876292</v>
      </c>
      <c r="K9" s="19" t="n">
        <f aca="false">IF(Delay!K9="","",Fee*$A9+Vq*Delay!K9)</f>
        <v>42.5685004653994</v>
      </c>
      <c r="L9" s="19" t="n">
        <f aca="false">IF(Delay!L9="","",Fee*$A9+Vq*Delay!L9)</f>
        <v>40.8038584642609</v>
      </c>
      <c r="M9" s="19" t="n">
        <f aca="false">IF(Delay!M9="","",Fee*$A9+Vq*Delay!M9)</f>
        <v>39.256088619633</v>
      </c>
      <c r="N9" s="19" t="n">
        <f aca="false">IF(Delay!N9="","",Fee*$A9+Vq*Delay!N9)</f>
        <v>37.9515438550334</v>
      </c>
      <c r="O9" s="19" t="n">
        <f aca="false">IF(Delay!O9="","",Fee*$A9+Vq*Delay!O9)</f>
        <v>36.6146826181856</v>
      </c>
      <c r="P9" s="19" t="n">
        <f aca="false">IF(Delay!P9="","",Fee*$A9+Vq*Delay!P9)</f>
        <v>35.5166032980371</v>
      </c>
      <c r="Q9" s="19" t="n">
        <f aca="false">IF(Delay!Q9="","",Fee*$A9+Vq*Delay!Q9)</f>
        <v>34.314581835026</v>
      </c>
      <c r="R9" s="19" t="n">
        <f aca="false">IF(Delay!R9="","",Fee*$A9+Vq*Delay!R9)</f>
        <v>33.149427063752</v>
      </c>
      <c r="S9" s="19" t="n">
        <f aca="false">IF(Delay!S9="","",Fee*$A9+Vq*Delay!S9)</f>
        <v>32.0373124349784</v>
      </c>
      <c r="T9" s="19" t="n">
        <f aca="false">IF(Delay!T9="","",Fee*$A9+Vq*Delay!T9)</f>
        <v>31.0945329820762</v>
      </c>
      <c r="U9" s="19" t="n">
        <f aca="false">IF(Delay!U9="","",Fee*$A9+Vq*Delay!U9)</f>
        <v>30.0960256453646</v>
      </c>
      <c r="V9" s="19" t="n">
        <f aca="false">IF(Delay!V9="","",Fee*$A9+Vq*Delay!V9)</f>
        <v>29.1773058153212</v>
      </c>
      <c r="W9" s="19" t="n">
        <f aca="false">IF(Delay!W9="","",Fee*$A9+Vq*Delay!W9)</f>
        <v>28.2400161575325</v>
      </c>
      <c r="X9" s="19" t="n">
        <f aca="false">IF(Delay!X9="","",Fee*$A9+Vq*Delay!X9)</f>
        <v>27.3535356912151</v>
      </c>
      <c r="Y9" s="19" t="n">
        <f aca="false">IF(Delay!Y9="","",Fee*$A9+Vq*Delay!Y9)</f>
        <v>26.4332490376831</v>
      </c>
      <c r="Z9" s="19" t="n">
        <f aca="false">IF(Delay!Z9="","",Fee*$A9+Vq*Delay!Z9)</f>
        <v>25.6349827544205</v>
      </c>
      <c r="AA9" s="19" t="n">
        <f aca="false">IF(Delay!AA9="","",Fee*$A9+Vq*Delay!AA9)</f>
        <v>24.9345855224251</v>
      </c>
      <c r="AB9" s="19" t="n">
        <f aca="false">IF(Delay!AB9="","",Fee*$A9+Vq*Delay!AB9)</f>
        <v>24.1424650082374</v>
      </c>
      <c r="AC9" s="19" t="n">
        <f aca="false">IF(Delay!AC9="","",Fee*$A9+Vq*Delay!AC9)</f>
        <v>23.4551982642415</v>
      </c>
      <c r="AD9" s="19" t="n">
        <f aca="false">IF(Delay!AD9="","",Fee*$A9+Vq*Delay!AD9)</f>
        <v>22.6843470242449</v>
      </c>
      <c r="AE9" s="19" t="n">
        <f aca="false">IF(Delay!AE9="","",Fee*$A9+Vq*Delay!AE9)</f>
        <v>22.0085593264914</v>
      </c>
      <c r="AF9" s="19" t="n">
        <f aca="false">IF(Delay!AF9="","",Fee*$A9+Vq*Delay!AF9)</f>
        <v>21.3265182558239</v>
      </c>
      <c r="AG9" s="19" t="n">
        <f aca="false">IF(Delay!AG9="","",Fee*$A9+Vq*Delay!AG9)</f>
        <v>20.7191069792239</v>
      </c>
      <c r="AH9" s="19" t="n">
        <f aca="false">IF(Delay!AH9="","",Fee*$A9+Vq*Delay!AH9)</f>
        <v>20.0877752475732</v>
      </c>
      <c r="AI9" s="19" t="n">
        <f aca="false">IF(Delay!AI9="","",Fee*$A9+Vq*Delay!AI9)</f>
        <v>19.4914327192522</v>
      </c>
      <c r="AJ9" s="19" t="n">
        <f aca="false">IF(Delay!AJ9="","",Fee*$A9+Vq*Delay!AJ9)</f>
        <v>18.8849048510815</v>
      </c>
      <c r="AK9" s="19" t="n">
        <f aca="false">IF(Delay!AK9="","",Fee*$A9+Vq*Delay!AK9)</f>
        <v>18.2745361397288</v>
      </c>
      <c r="AL9" s="19" t="n">
        <f aca="false">IF(Delay!AL9="","",Fee*$A9+Vq*Delay!AL9)</f>
        <v>17.6564548596158</v>
      </c>
      <c r="AM9" s="19" t="n">
        <f aca="false">IF(Delay!AM9="","",Fee*$A9+Vq*Delay!AM9)</f>
        <v>17.1016221854161</v>
      </c>
      <c r="AN9" s="19" t="n">
        <f aca="false">IF(Delay!AN9="","",Fee*$A9+Vq*Delay!AN9)</f>
        <v>16.5587259162173</v>
      </c>
      <c r="AO9" s="19" t="n">
        <f aca="false">IF(Delay!AO9="","",Fee*$A9+Vq*Delay!AO9)</f>
        <v>16.0258460559869</v>
      </c>
      <c r="AP9" s="19" t="n">
        <f aca="false">IF(Delay!AP9="","",Fee*$A9+Vq*Delay!AP9)</f>
        <v>15.492353599086</v>
      </c>
      <c r="AQ9" s="19" t="n">
        <f aca="false">IF(Delay!AQ9="","",Fee*$A9+Vq*Delay!AQ9)</f>
        <v>15.0506901895604</v>
      </c>
      <c r="AR9" s="19" t="n">
        <f aca="false">IF(Delay!AR9="","",Fee*$A9+Vq*Delay!AR9)</f>
        <v>14.5455223602873</v>
      </c>
      <c r="AS9" s="19" t="n">
        <f aca="false">IF(Delay!AS9="","",Fee*$A9+Vq*Delay!AS9)</f>
        <v>14.0499542806951</v>
      </c>
      <c r="AT9" s="19" t="n">
        <f aca="false">IF(Delay!AT9="","",Fee*$A9+Vq*Delay!AT9)</f>
        <v>13.5670637331858</v>
      </c>
      <c r="AU9" s="19" t="n">
        <f aca="false">IF(Delay!AU9="","",Fee*$A9+Vq*Delay!AU9)</f>
        <v>13.0973822262774</v>
      </c>
      <c r="AV9" s="19" t="n">
        <f aca="false">IF(Delay!AV9="","",Fee*$A9+Vq*Delay!AV9)</f>
        <v>12.6546202794141</v>
      </c>
      <c r="AW9" s="19" t="n">
        <f aca="false">IF(Delay!AW9="","",Fee*$A9+Vq*Delay!AW9)</f>
        <v>12.1666574704348</v>
      </c>
      <c r="AX9" s="19" t="n">
        <f aca="false">IF(Delay!AX9="","",Fee*$A9+Vq*Delay!AX9)</f>
        <v>11.7340719655634</v>
      </c>
      <c r="AY9" s="19" t="n">
        <f aca="false">IF(Delay!AY9="","",Fee*$A9+Vq*Delay!AY9)</f>
        <v>11.2908339475168</v>
      </c>
      <c r="AZ9" s="19" t="n">
        <f aca="false">IF(Delay!AZ9="","",Fee*$A9+Vq*Delay!AZ9)</f>
        <v>10.8788073935329</v>
      </c>
      <c r="BA9" s="19" t="n">
        <f aca="false">IF(Delay!BA9="","",Fee*$A9+Vq*Delay!BA9)</f>
        <v>10.5388213781986</v>
      </c>
      <c r="BB9" s="19" t="n">
        <f aca="false">IF(Delay!BB9="","",Fee*$A9+Vq*Delay!BB9)</f>
        <v>10.1720188900463</v>
      </c>
      <c r="BC9" s="19" t="n">
        <f aca="false">IF(Delay!BC9="","",Fee*$A9+Vq*Delay!BC9)</f>
        <v>9.76272261003312</v>
      </c>
      <c r="BD9" s="19" t="n">
        <f aca="false">IF(Delay!BD9="","",Fee*$A9+Vq*Delay!BD9)</f>
        <v>9.38889719940042</v>
      </c>
      <c r="BE9" s="19" t="n">
        <f aca="false">IF(Delay!BE9="","",Fee*$A9+Vq*Delay!BE9)</f>
        <v>9.03584023484258</v>
      </c>
      <c r="BF9" s="19" t="n">
        <f aca="false">IF(Delay!BF9="","",Fee*$A9+Vq*Delay!BF9)</f>
        <v>8.67251934272708</v>
      </c>
      <c r="BG9" s="19" t="n">
        <f aca="false">IF(Delay!BG9="","",Fee*$A9+Vq*Delay!BG9)</f>
        <v>8.3394411959984</v>
      </c>
      <c r="BH9" s="19" t="n">
        <f aca="false">IF(Delay!BH9="","",Fee*$A9+Vq*Delay!BH9)</f>
        <v>8.00371340082484</v>
      </c>
      <c r="BI9" s="19" t="n">
        <f aca="false">IF(Delay!BI9="","",Fee*$A9+Vq*Delay!BI9)</f>
        <v>7.67338198068296</v>
      </c>
      <c r="BJ9" s="19" t="n">
        <f aca="false">IF(Delay!BJ9="","",Fee*$A9+Vq*Delay!BJ9)</f>
        <v>7.3089316615748</v>
      </c>
      <c r="BK9" s="19" t="n">
        <f aca="false">IF(Delay!BK9="","",Fee*$A9+Vq*Delay!BK9)</f>
        <v>7.00296633605116</v>
      </c>
      <c r="BL9" s="19" t="n">
        <f aca="false">IF(Delay!BL9="","",Fee*$A9+Vq*Delay!BL9)</f>
        <v>6.65984821108378</v>
      </c>
      <c r="BM9" s="19" t="n">
        <f aca="false">IF(Delay!BM9="","",Fee*$A9+Vq*Delay!BM9)</f>
        <v>6.31293631334894</v>
      </c>
      <c r="BN9" s="19" t="n">
        <f aca="false">IF(Delay!BN9="","",Fee*$A9+Vq*Delay!BN9)</f>
        <v>6.00482859776092</v>
      </c>
      <c r="BO9" s="19" t="n">
        <f aca="false">IF(Delay!BO9="","",Fee*$A9+Vq*Delay!BO9)</f>
        <v>5.7043968183128</v>
      </c>
      <c r="BP9" s="19" t="n">
        <f aca="false">IF(Delay!BP9="","",Fee*$A9+Vq*Delay!BP9)</f>
        <v>5.38304887599634</v>
      </c>
      <c r="BQ9" s="19" t="n">
        <f aca="false">IF(Delay!BQ9="","",Fee*$A9+Vq*Delay!BQ9)</f>
        <v>5.11098404028832</v>
      </c>
      <c r="BR9" s="19" t="n">
        <f aca="false">IF(Delay!BR9="","",Fee*$A9+Vq*Delay!BR9)</f>
        <v>4.82871036392468</v>
      </c>
      <c r="BS9" s="19" t="n">
        <f aca="false">IF(Delay!BS9="","",Fee*$A9+Vq*Delay!BS9)</f>
        <v>4.56502875076852</v>
      </c>
      <c r="BT9" s="19" t="n">
        <f aca="false">IF(Delay!BT9="","",Fee*$A9+Vq*Delay!BT9)</f>
        <v>4.29192123325014</v>
      </c>
      <c r="BU9" s="19" t="n">
        <f aca="false">IF(Delay!BU9="","",Fee*$A9+Vq*Delay!BU9)</f>
        <v>4.04336600408242</v>
      </c>
      <c r="BV9" s="19" t="n">
        <f aca="false">IF(Delay!BV9="","",Fee*$A9+Vq*Delay!BV9)</f>
        <v>3.75146367699162</v>
      </c>
      <c r="BW9" s="19" t="n">
        <f aca="false">IF(Delay!BW9="","",Fee*$A9+Vq*Delay!BW9)</f>
        <v>3.46716418272976</v>
      </c>
      <c r="BX9" s="19" t="n">
        <f aca="false">IF(Delay!BX9="","",Fee*$A9+Vq*Delay!BX9)</f>
        <v>3.18638242962522</v>
      </c>
      <c r="BY9" s="19" t="n">
        <f aca="false">IF(Delay!BY9="","",Fee*$A9+Vq*Delay!BY9)</f>
        <v>2.9179855942916</v>
      </c>
      <c r="BZ9" s="19" t="n">
        <f aca="false">IF(Delay!BZ9="","",Fee*$A9+Vq*Delay!BZ9)</f>
        <v>2.65977455658746</v>
      </c>
      <c r="CA9" s="19" t="n">
        <f aca="false">IF(Delay!CA9="","",Fee*$A9+Vq*Delay!CA9)</f>
        <v>2.41806330075336</v>
      </c>
      <c r="CB9" s="19" t="n">
        <f aca="false">IF(Delay!CB9="","",Fee*$A9+Vq*Delay!CB9)</f>
        <v>2.1653474775692</v>
      </c>
      <c r="CC9" s="19" t="n">
        <f aca="false">IF(Delay!CC9="","",Fee*$A9+Vq*Delay!CC9)</f>
        <v>1.94835248420344</v>
      </c>
      <c r="CD9" s="19" t="n">
        <f aca="false">IF(Delay!CD9="","",Fee*$A9+Vq*Delay!CD9)</f>
        <v>1.68038234826058</v>
      </c>
      <c r="CE9" s="19" t="n">
        <f aca="false">IF(Delay!CE9="","",Fee*$A9+Vq*Delay!CE9)</f>
        <v>1.4310175974256</v>
      </c>
      <c r="CF9" s="19" t="n">
        <f aca="false">IF(Delay!CF9="","",Fee*$A9+Vq*Delay!CF9)</f>
        <v>1.18756727708824</v>
      </c>
      <c r="CG9" s="19" t="n">
        <f aca="false">IF(Delay!CG9="","",Fee*$A9+Vq*Delay!CG9)</f>
        <v>0.938461976892802</v>
      </c>
      <c r="CH9" s="19" t="n">
        <f aca="false">IF(Delay!CH9="","",Fee*$A9+Vq*Delay!CH9)</f>
        <v>0.715543496701619</v>
      </c>
      <c r="CI9" s="19" t="n">
        <f aca="false">IF(Delay!CI9="","",Fee*$A9+Vq*Delay!CI9)</f>
        <v>0.6</v>
      </c>
      <c r="CJ9" s="19" t="n">
        <f aca="false">IF(Delay!CJ9="","",Fee*$A9+Vq*Delay!CJ9)</f>
        <v>0.6</v>
      </c>
      <c r="CK9" s="19" t="n">
        <f aca="false">IF(Delay!CK9="","",Fee*$A9+Vq*Delay!CK9)</f>
        <v>0.6</v>
      </c>
      <c r="CL9" s="19" t="n">
        <f aca="false">IF(Delay!CL9="","",Fee*$A9+Vq*Delay!CL9)</f>
        <v>0.6</v>
      </c>
      <c r="CM9" s="19" t="n">
        <f aca="false">IF(Delay!CM9="","",Fee*$A9+Vq*Delay!CM9)</f>
        <v>0.6</v>
      </c>
      <c r="CN9" s="19" t="n">
        <f aca="false">IF(Delay!CN9="","",Fee*$A9+Vq*Delay!CN9)</f>
        <v>0.6</v>
      </c>
      <c r="CO9" s="19" t="n">
        <f aca="false">IF(Delay!CO9="","",Fee*$A9+Vq*Delay!CO9)</f>
        <v>0.6</v>
      </c>
      <c r="CP9" s="19" t="n">
        <f aca="false">IF(Delay!CP9="","",Fee*$A9+Vq*Delay!CP9)</f>
        <v>0.6</v>
      </c>
      <c r="CQ9" s="19" t="n">
        <f aca="false">IF(Delay!CQ9="","",Fee*$A9+Vq*Delay!CQ9)</f>
        <v>0.6</v>
      </c>
      <c r="CR9" s="19" t="n">
        <f aca="false">IF(Delay!CR9="","",Fee*$A9+Vq*Delay!CR9)</f>
        <v>0.6</v>
      </c>
      <c r="CS9" s="19" t="n">
        <f aca="false">IF(Delay!CS9="","",Fee*$A9+Vq*Delay!CS9)</f>
        <v>0.6</v>
      </c>
      <c r="CT9" s="19" t="n">
        <f aca="false">IF(Delay!CT9="","",Fee*$A9+Vq*Delay!CT9)</f>
        <v>44.3767276007503</v>
      </c>
    </row>
    <row r="10" customFormat="false" ht="15" hidden="false" customHeight="false" outlineLevel="0" collapsed="false">
      <c r="A10" s="25" t="n">
        <f aca="false">Quantiles!A10</f>
        <v>25</v>
      </c>
      <c r="B10" s="19" t="str">
        <f aca="false">IF(Delay!B10="","",Fee*$A10+Vq*Delay!B10)</f>
        <v/>
      </c>
      <c r="C10" s="19" t="str">
        <f aca="false">IF(Delay!C10="","",Fee*$A10+Vq*Delay!C10)</f>
        <v/>
      </c>
      <c r="D10" s="19" t="n">
        <f aca="false">IF(Delay!D10="","",Fee*$A10+Vq*Delay!D10)</f>
        <v>55.7257990923977</v>
      </c>
      <c r="E10" s="19" t="n">
        <f aca="false">IF(Delay!E10="","",Fee*$A10+Vq*Delay!E10)</f>
        <v>52.6692410585966</v>
      </c>
      <c r="F10" s="19" t="n">
        <f aca="false">IF(Delay!F10="","",Fee*$A10+Vq*Delay!F10)</f>
        <v>50.4681565058538</v>
      </c>
      <c r="G10" s="19" t="n">
        <f aca="false">IF(Delay!G10="","",Fee*$A10+Vq*Delay!G10)</f>
        <v>48.1963541845085</v>
      </c>
      <c r="H10" s="19" t="n">
        <f aca="false">IF(Delay!H10="","",Fee*$A10+Vq*Delay!H10)</f>
        <v>45.9123974211824</v>
      </c>
      <c r="I10" s="19" t="n">
        <f aca="false">IF(Delay!I10="","",Fee*$A10+Vq*Delay!I10)</f>
        <v>43.9225079530438</v>
      </c>
      <c r="J10" s="19" t="n">
        <f aca="false">IF(Delay!J10="","",Fee*$A10+Vq*Delay!J10)</f>
        <v>42.2065805286977</v>
      </c>
      <c r="K10" s="19" t="n">
        <f aca="false">IF(Delay!K10="","",Fee*$A10+Vq*Delay!K10)</f>
        <v>40.401782902828</v>
      </c>
      <c r="L10" s="19" t="n">
        <f aca="false">IF(Delay!L10="","",Fee*$A10+Vq*Delay!L10)</f>
        <v>38.8176782390859</v>
      </c>
      <c r="M10" s="19" t="n">
        <f aca="false">IF(Delay!M10="","",Fee*$A10+Vq*Delay!M10)</f>
        <v>37.3561505930351</v>
      </c>
      <c r="N10" s="19" t="n">
        <f aca="false">IF(Delay!N10="","",Fee*$A10+Vq*Delay!N10)</f>
        <v>36.0085193694804</v>
      </c>
      <c r="O10" s="19" t="n">
        <f aca="false">IF(Delay!O10="","",Fee*$A10+Vq*Delay!O10)</f>
        <v>34.7892027077981</v>
      </c>
      <c r="P10" s="19" t="n">
        <f aca="false">IF(Delay!P10="","",Fee*$A10+Vq*Delay!P10)</f>
        <v>33.6578067855795</v>
      </c>
      <c r="Q10" s="19" t="n">
        <f aca="false">IF(Delay!Q10="","",Fee*$A10+Vq*Delay!Q10)</f>
        <v>32.4701901485595</v>
      </c>
      <c r="R10" s="19" t="n">
        <f aca="false">IF(Delay!R10="","",Fee*$A10+Vq*Delay!R10)</f>
        <v>31.2859195838019</v>
      </c>
      <c r="S10" s="19" t="n">
        <f aca="false">IF(Delay!S10="","",Fee*$A10+Vq*Delay!S10)</f>
        <v>30.2826153201483</v>
      </c>
      <c r="T10" s="19" t="n">
        <f aca="false">IF(Delay!T10="","",Fee*$A10+Vq*Delay!T10)</f>
        <v>29.3203269079521</v>
      </c>
      <c r="U10" s="19" t="n">
        <f aca="false">IF(Delay!U10="","",Fee*$A10+Vq*Delay!U10)</f>
        <v>28.3890672318312</v>
      </c>
      <c r="V10" s="19" t="n">
        <f aca="false">IF(Delay!V10="","",Fee*$A10+Vq*Delay!V10)</f>
        <v>27.4554105268599</v>
      </c>
      <c r="W10" s="19" t="n">
        <f aca="false">IF(Delay!W10="","",Fee*$A10+Vq*Delay!W10)</f>
        <v>26.5232653595468</v>
      </c>
      <c r="X10" s="19" t="n">
        <f aca="false">IF(Delay!X10="","",Fee*$A10+Vq*Delay!X10)</f>
        <v>25.7232219458769</v>
      </c>
      <c r="Y10" s="19" t="n">
        <f aca="false">IF(Delay!Y10="","",Fee*$A10+Vq*Delay!Y10)</f>
        <v>24.9085124134839</v>
      </c>
      <c r="Z10" s="19" t="n">
        <f aca="false">IF(Delay!Z10="","",Fee*$A10+Vq*Delay!Z10)</f>
        <v>24.0829699519854</v>
      </c>
      <c r="AA10" s="19" t="n">
        <f aca="false">IF(Delay!AA10="","",Fee*$A10+Vq*Delay!AA10)</f>
        <v>23.3913477900966</v>
      </c>
      <c r="AB10" s="19" t="n">
        <f aca="false">IF(Delay!AB10="","",Fee*$A10+Vq*Delay!AB10)</f>
        <v>22.6977502914445</v>
      </c>
      <c r="AC10" s="19" t="n">
        <f aca="false">IF(Delay!AC10="","",Fee*$A10+Vq*Delay!AC10)</f>
        <v>22.000541783074</v>
      </c>
      <c r="AD10" s="19" t="n">
        <f aca="false">IF(Delay!AD10="","",Fee*$A10+Vq*Delay!AD10)</f>
        <v>21.2531800665665</v>
      </c>
      <c r="AE10" s="19" t="n">
        <f aca="false">IF(Delay!AE10="","",Fee*$A10+Vq*Delay!AE10)</f>
        <v>20.6077752357978</v>
      </c>
      <c r="AF10" s="19" t="n">
        <f aca="false">IF(Delay!AF10="","",Fee*$A10+Vq*Delay!AF10)</f>
        <v>19.9658730938897</v>
      </c>
      <c r="AG10" s="19" t="n">
        <f aca="false">IF(Delay!AG10="","",Fee*$A10+Vq*Delay!AG10)</f>
        <v>19.337128559849</v>
      </c>
      <c r="AH10" s="19" t="n">
        <f aca="false">IF(Delay!AH10="","",Fee*$A10+Vq*Delay!AH10)</f>
        <v>18.6687449074776</v>
      </c>
      <c r="AI10" s="19" t="n">
        <f aca="false">IF(Delay!AI10="","",Fee*$A10+Vq*Delay!AI10)</f>
        <v>18.0974492091804</v>
      </c>
      <c r="AJ10" s="19" t="n">
        <f aca="false">IF(Delay!AJ10="","",Fee*$A10+Vq*Delay!AJ10)</f>
        <v>17.5514450363138</v>
      </c>
      <c r="AK10" s="19" t="n">
        <f aca="false">IF(Delay!AK10="","",Fee*$A10+Vq*Delay!AK10)</f>
        <v>16.9669221812674</v>
      </c>
      <c r="AL10" s="19" t="n">
        <f aca="false">IF(Delay!AL10="","",Fee*$A10+Vq*Delay!AL10)</f>
        <v>16.3825591613244</v>
      </c>
      <c r="AM10" s="19" t="n">
        <f aca="false">IF(Delay!AM10="","",Fee*$A10+Vq*Delay!AM10)</f>
        <v>15.9042224209882</v>
      </c>
      <c r="AN10" s="19" t="n">
        <f aca="false">IF(Delay!AN10="","",Fee*$A10+Vq*Delay!AN10)</f>
        <v>15.4139079764296</v>
      </c>
      <c r="AO10" s="19" t="n">
        <f aca="false">IF(Delay!AO10="","",Fee*$A10+Vq*Delay!AO10)</f>
        <v>14.8860910862091</v>
      </c>
      <c r="AP10" s="19" t="n">
        <f aca="false">IF(Delay!AP10="","",Fee*$A10+Vq*Delay!AP10)</f>
        <v>14.3942252503409</v>
      </c>
      <c r="AQ10" s="19" t="n">
        <f aca="false">IF(Delay!AQ10="","",Fee*$A10+Vq*Delay!AQ10)</f>
        <v>13.8937170325261</v>
      </c>
      <c r="AR10" s="19" t="n">
        <f aca="false">IF(Delay!AR10="","",Fee*$A10+Vq*Delay!AR10)</f>
        <v>13.4256447624551</v>
      </c>
      <c r="AS10" s="19" t="n">
        <f aca="false">IF(Delay!AS10="","",Fee*$A10+Vq*Delay!AS10)</f>
        <v>12.9827820567567</v>
      </c>
      <c r="AT10" s="19" t="n">
        <f aca="false">IF(Delay!AT10="","",Fee*$A10+Vq*Delay!AT10)</f>
        <v>12.5197849052975</v>
      </c>
      <c r="AU10" s="19" t="n">
        <f aca="false">IF(Delay!AU10="","",Fee*$A10+Vq*Delay!AU10)</f>
        <v>12.0663198552134</v>
      </c>
      <c r="AV10" s="19" t="n">
        <f aca="false">IF(Delay!AV10="","",Fee*$A10+Vq*Delay!AV10)</f>
        <v>11.6235477922325</v>
      </c>
      <c r="AW10" s="19" t="n">
        <f aca="false">IF(Delay!AW10="","",Fee*$A10+Vq*Delay!AW10)</f>
        <v>11.2439142486867</v>
      </c>
      <c r="AX10" s="19" t="n">
        <f aca="false">IF(Delay!AX10="","",Fee*$A10+Vq*Delay!AX10)</f>
        <v>10.8393564793502</v>
      </c>
      <c r="AY10" s="19" t="n">
        <f aca="false">IF(Delay!AY10="","",Fee*$A10+Vq*Delay!AY10)</f>
        <v>10.4575501769509</v>
      </c>
      <c r="AZ10" s="19" t="n">
        <f aca="false">IF(Delay!AZ10="","",Fee*$A10+Vq*Delay!AZ10)</f>
        <v>10.0341240841621</v>
      </c>
      <c r="BA10" s="19" t="n">
        <f aca="false">IF(Delay!BA10="","",Fee*$A10+Vq*Delay!BA10)</f>
        <v>9.63886750397164</v>
      </c>
      <c r="BB10" s="19" t="n">
        <f aca="false">IF(Delay!BB10="","",Fee*$A10+Vq*Delay!BB10)</f>
        <v>9.28927261881838</v>
      </c>
      <c r="BC10" s="19" t="n">
        <f aca="false">IF(Delay!BC10="","",Fee*$A10+Vq*Delay!BC10)</f>
        <v>8.93967308935976</v>
      </c>
      <c r="BD10" s="19" t="n">
        <f aca="false">IF(Delay!BD10="","",Fee*$A10+Vq*Delay!BD10)</f>
        <v>8.56405259769086</v>
      </c>
      <c r="BE10" s="19" t="n">
        <f aca="false">IF(Delay!BE10="","",Fee*$A10+Vq*Delay!BE10)</f>
        <v>8.19119375700098</v>
      </c>
      <c r="BF10" s="19" t="n">
        <f aca="false">IF(Delay!BF10="","",Fee*$A10+Vq*Delay!BF10)</f>
        <v>7.86426619613566</v>
      </c>
      <c r="BG10" s="19" t="n">
        <f aca="false">IF(Delay!BG10="","",Fee*$A10+Vq*Delay!BG10)</f>
        <v>7.526359113343</v>
      </c>
      <c r="BH10" s="19" t="n">
        <f aca="false">IF(Delay!BH10="","",Fee*$A10+Vq*Delay!BH10)</f>
        <v>7.2223794005359</v>
      </c>
      <c r="BI10" s="19" t="n">
        <f aca="false">IF(Delay!BI10="","",Fee*$A10+Vq*Delay!BI10)</f>
        <v>6.91293095344594</v>
      </c>
      <c r="BJ10" s="19" t="n">
        <f aca="false">IF(Delay!BJ10="","",Fee*$A10+Vq*Delay!BJ10)</f>
        <v>6.59299213233882</v>
      </c>
      <c r="BK10" s="19" t="n">
        <f aca="false">IF(Delay!BK10="","",Fee*$A10+Vq*Delay!BK10)</f>
        <v>6.28795396519478</v>
      </c>
      <c r="BL10" s="19" t="n">
        <f aca="false">IF(Delay!BL10="","",Fee*$A10+Vq*Delay!BL10)</f>
        <v>5.97130876402544</v>
      </c>
      <c r="BM10" s="19" t="n">
        <f aca="false">IF(Delay!BM10="","",Fee*$A10+Vq*Delay!BM10)</f>
        <v>5.6168342023335</v>
      </c>
      <c r="BN10" s="19" t="n">
        <f aca="false">IF(Delay!BN10="","",Fee*$A10+Vq*Delay!BN10)</f>
        <v>5.34011944282858</v>
      </c>
      <c r="BO10" s="19" t="n">
        <f aca="false">IF(Delay!BO10="","",Fee*$A10+Vq*Delay!BO10)</f>
        <v>5.05418349448594</v>
      </c>
      <c r="BP10" s="19" t="n">
        <f aca="false">IF(Delay!BP10="","",Fee*$A10+Vq*Delay!BP10)</f>
        <v>4.76424996155428</v>
      </c>
      <c r="BQ10" s="19" t="n">
        <f aca="false">IF(Delay!BQ10="","",Fee*$A10+Vq*Delay!BQ10)</f>
        <v>4.4790122069276</v>
      </c>
      <c r="BR10" s="19" t="n">
        <f aca="false">IF(Delay!BR10="","",Fee*$A10+Vq*Delay!BR10)</f>
        <v>4.21195640028134</v>
      </c>
      <c r="BS10" s="19" t="n">
        <f aca="false">IF(Delay!BS10="","",Fee*$A10+Vq*Delay!BS10)</f>
        <v>3.94971390872066</v>
      </c>
      <c r="BT10" s="19" t="n">
        <f aca="false">IF(Delay!BT10="","",Fee*$A10+Vq*Delay!BT10)</f>
        <v>3.6940584784825</v>
      </c>
      <c r="BU10" s="19" t="n">
        <f aca="false">IF(Delay!BU10="","",Fee*$A10+Vq*Delay!BU10)</f>
        <v>3.43445917039062</v>
      </c>
      <c r="BV10" s="19" t="n">
        <f aca="false">IF(Delay!BV10="","",Fee*$A10+Vq*Delay!BV10)</f>
        <v>3.17099015072852</v>
      </c>
      <c r="BW10" s="19" t="n">
        <f aca="false">IF(Delay!BW10="","",Fee*$A10+Vq*Delay!BW10)</f>
        <v>2.91682622932812</v>
      </c>
      <c r="BX10" s="19" t="n">
        <f aca="false">IF(Delay!BX10="","",Fee*$A10+Vq*Delay!BX10)</f>
        <v>2.6698034154318</v>
      </c>
      <c r="BY10" s="19" t="n">
        <f aca="false">IF(Delay!BY10="","",Fee*$A10+Vq*Delay!BY10)</f>
        <v>2.4337864191584</v>
      </c>
      <c r="BZ10" s="19" t="n">
        <f aca="false">IF(Delay!BZ10="","",Fee*$A10+Vq*Delay!BZ10)</f>
        <v>2.19873378853788</v>
      </c>
      <c r="CA10" s="19" t="n">
        <f aca="false">IF(Delay!CA10="","",Fee*$A10+Vq*Delay!CA10)</f>
        <v>1.92621629145616</v>
      </c>
      <c r="CB10" s="19" t="n">
        <f aca="false">IF(Delay!CB10="","",Fee*$A10+Vq*Delay!CB10)</f>
        <v>1.67413599094722</v>
      </c>
      <c r="CC10" s="19" t="n">
        <f aca="false">IF(Delay!CC10="","",Fee*$A10+Vq*Delay!CC10)</f>
        <v>1.4481415823539</v>
      </c>
      <c r="CD10" s="19" t="n">
        <f aca="false">IF(Delay!CD10="","",Fee*$A10+Vq*Delay!CD10)</f>
        <v>1.19894526558334</v>
      </c>
      <c r="CE10" s="19" t="n">
        <f aca="false">IF(Delay!CE10="","",Fee*$A10+Vq*Delay!CE10)</f>
        <v>0.967579764161762</v>
      </c>
      <c r="CF10" s="19" t="n">
        <f aca="false">IF(Delay!CF10="","",Fee*$A10+Vq*Delay!CF10)</f>
        <v>0.75</v>
      </c>
      <c r="CG10" s="19" t="n">
        <f aca="false">IF(Delay!CG10="","",Fee*$A10+Vq*Delay!CG10)</f>
        <v>0.75</v>
      </c>
      <c r="CH10" s="19" t="n">
        <f aca="false">IF(Delay!CH10="","",Fee*$A10+Vq*Delay!CH10)</f>
        <v>0.75</v>
      </c>
      <c r="CI10" s="19" t="n">
        <f aca="false">IF(Delay!CI10="","",Fee*$A10+Vq*Delay!CI10)</f>
        <v>0.75</v>
      </c>
      <c r="CJ10" s="19" t="n">
        <f aca="false">IF(Delay!CJ10="","",Fee*$A10+Vq*Delay!CJ10)</f>
        <v>0.75</v>
      </c>
      <c r="CK10" s="19" t="n">
        <f aca="false">IF(Delay!CK10="","",Fee*$A10+Vq*Delay!CK10)</f>
        <v>0.75</v>
      </c>
      <c r="CL10" s="19" t="n">
        <f aca="false">IF(Delay!CL10="","",Fee*$A10+Vq*Delay!CL10)</f>
        <v>0.75</v>
      </c>
      <c r="CM10" s="19" t="n">
        <f aca="false">IF(Delay!CM10="","",Fee*$A10+Vq*Delay!CM10)</f>
        <v>0.75</v>
      </c>
      <c r="CN10" s="19" t="n">
        <f aca="false">IF(Delay!CN10="","",Fee*$A10+Vq*Delay!CN10)</f>
        <v>0.75</v>
      </c>
      <c r="CO10" s="19" t="n">
        <f aca="false">IF(Delay!CO10="","",Fee*$A10+Vq*Delay!CO10)</f>
        <v>0.75</v>
      </c>
      <c r="CP10" s="19" t="n">
        <f aca="false">IF(Delay!CP10="","",Fee*$A10+Vq*Delay!CP10)</f>
        <v>0.75</v>
      </c>
      <c r="CQ10" s="19" t="n">
        <f aca="false">IF(Delay!CQ10="","",Fee*$A10+Vq*Delay!CQ10)</f>
        <v>0.75</v>
      </c>
      <c r="CR10" s="19" t="n">
        <f aca="false">IF(Delay!CR10="","",Fee*$A10+Vq*Delay!CR10)</f>
        <v>0.75</v>
      </c>
      <c r="CS10" s="19" t="n">
        <f aca="false">IF(Delay!CS10="","",Fee*$A10+Vq*Delay!CS10)</f>
        <v>0.75</v>
      </c>
      <c r="CT10" s="19" t="n">
        <f aca="false">IF(Delay!CT10="","",Fee*$A10+Vq*Delay!CT10)</f>
        <v>42.1886483445876</v>
      </c>
    </row>
    <row r="11" customFormat="false" ht="15" hidden="false" customHeight="false" outlineLevel="0" collapsed="false">
      <c r="A11" s="25" t="n">
        <f aca="false">Quantiles!A11</f>
        <v>30</v>
      </c>
      <c r="B11" s="19" t="str">
        <f aca="false">IF(Delay!B11="","",Fee*$A11+Vq*Delay!B11)</f>
        <v/>
      </c>
      <c r="C11" s="19" t="n">
        <f aca="false">IF(Delay!C11="","",Fee*$A11+Vq*Delay!C11)</f>
        <v>56.8700765538978</v>
      </c>
      <c r="D11" s="19" t="n">
        <f aca="false">IF(Delay!D11="","",Fee*$A11+Vq*Delay!D11)</f>
        <v>53.2571459191435</v>
      </c>
      <c r="E11" s="19" t="n">
        <f aca="false">IF(Delay!E11="","",Fee*$A11+Vq*Delay!E11)</f>
        <v>50.3087490616035</v>
      </c>
      <c r="F11" s="19" t="n">
        <f aca="false">IF(Delay!F11="","",Fee*$A11+Vq*Delay!F11)</f>
        <v>48.1343783681497</v>
      </c>
      <c r="G11" s="19" t="n">
        <f aca="false">IF(Delay!G11="","",Fee*$A11+Vq*Delay!G11)</f>
        <v>45.9841556660143</v>
      </c>
      <c r="H11" s="19" t="n">
        <f aca="false">IF(Delay!H11="","",Fee*$A11+Vq*Delay!H11)</f>
        <v>43.8034434432431</v>
      </c>
      <c r="I11" s="19" t="n">
        <f aca="false">IF(Delay!I11="","",Fee*$A11+Vq*Delay!I11)</f>
        <v>41.8156469308072</v>
      </c>
      <c r="J11" s="19" t="n">
        <f aca="false">IF(Delay!J11="","",Fee*$A11+Vq*Delay!J11)</f>
        <v>40.1630941742242</v>
      </c>
      <c r="K11" s="19" t="n">
        <f aca="false">IF(Delay!K11="","",Fee*$A11+Vq*Delay!K11)</f>
        <v>38.3446857808777</v>
      </c>
      <c r="L11" s="19" t="n">
        <f aca="false">IF(Delay!L11="","",Fee*$A11+Vq*Delay!L11)</f>
        <v>36.8250629872</v>
      </c>
      <c r="M11" s="19" t="n">
        <f aca="false">IF(Delay!M11="","",Fee*$A11+Vq*Delay!M11)</f>
        <v>35.4148132488999</v>
      </c>
      <c r="N11" s="19" t="n">
        <f aca="false">IF(Delay!N11="","",Fee*$A11+Vq*Delay!N11)</f>
        <v>34.1797569385548</v>
      </c>
      <c r="O11" s="19" t="n">
        <f aca="false">IF(Delay!O11="","",Fee*$A11+Vq*Delay!O11)</f>
        <v>32.9670864302422</v>
      </c>
      <c r="P11" s="19" t="n">
        <f aca="false">IF(Delay!P11="","",Fee*$A11+Vq*Delay!P11)</f>
        <v>31.8230017614009</v>
      </c>
      <c r="Q11" s="19" t="n">
        <f aca="false">IF(Delay!Q11="","",Fee*$A11+Vq*Delay!Q11)</f>
        <v>30.6373613713882</v>
      </c>
      <c r="R11" s="19" t="n">
        <f aca="false">IF(Delay!R11="","",Fee*$A11+Vq*Delay!R11)</f>
        <v>29.530069290965</v>
      </c>
      <c r="S11" s="19" t="n">
        <f aca="false">IF(Delay!S11="","",Fee*$A11+Vq*Delay!S11)</f>
        <v>28.5376823965329</v>
      </c>
      <c r="T11" s="19" t="n">
        <f aca="false">IF(Delay!T11="","",Fee*$A11+Vq*Delay!T11)</f>
        <v>27.5352989308658</v>
      </c>
      <c r="U11" s="19" t="n">
        <f aca="false">IF(Delay!U11="","",Fee*$A11+Vq*Delay!U11)</f>
        <v>26.674856282778</v>
      </c>
      <c r="V11" s="19" t="n">
        <f aca="false">IF(Delay!V11="","",Fee*$A11+Vq*Delay!V11)</f>
        <v>25.7745817289834</v>
      </c>
      <c r="W11" s="19" t="n">
        <f aca="false">IF(Delay!W11="","",Fee*$A11+Vq*Delay!W11)</f>
        <v>24.9788912186876</v>
      </c>
      <c r="X11" s="19" t="n">
        <f aca="false">IF(Delay!X11="","",Fee*$A11+Vq*Delay!X11)</f>
        <v>24.1607005266104</v>
      </c>
      <c r="Y11" s="19" t="n">
        <f aca="false">IF(Delay!Y11="","",Fee*$A11+Vq*Delay!Y11)</f>
        <v>23.3966214274055</v>
      </c>
      <c r="Z11" s="19" t="n">
        <f aca="false">IF(Delay!Z11="","",Fee*$A11+Vq*Delay!Z11)</f>
        <v>22.5868436541283</v>
      </c>
      <c r="AA11" s="19" t="n">
        <f aca="false">IF(Delay!AA11="","",Fee*$A11+Vq*Delay!AA11)</f>
        <v>21.8973370429661</v>
      </c>
      <c r="AB11" s="19" t="n">
        <f aca="false">IF(Delay!AB11="","",Fee*$A11+Vq*Delay!AB11)</f>
        <v>21.2465974206672</v>
      </c>
      <c r="AC11" s="19" t="n">
        <f aca="false">IF(Delay!AC11="","",Fee*$A11+Vq*Delay!AC11)</f>
        <v>20.599560944613</v>
      </c>
      <c r="AD11" s="19" t="n">
        <f aca="false">IF(Delay!AD11="","",Fee*$A11+Vq*Delay!AD11)</f>
        <v>19.913352745038</v>
      </c>
      <c r="AE11" s="19" t="n">
        <f aca="false">IF(Delay!AE11="","",Fee*$A11+Vq*Delay!AE11)</f>
        <v>19.2229954447577</v>
      </c>
      <c r="AF11" s="19" t="n">
        <f aca="false">IF(Delay!AF11="","",Fee*$A11+Vq*Delay!AF11)</f>
        <v>18.6605996222428</v>
      </c>
      <c r="AG11" s="19" t="n">
        <f aca="false">IF(Delay!AG11="","",Fee*$A11+Vq*Delay!AG11)</f>
        <v>17.9852192271085</v>
      </c>
      <c r="AH11" s="19" t="n">
        <f aca="false">IF(Delay!AH11="","",Fee*$A11+Vq*Delay!AH11)</f>
        <v>17.398389645313</v>
      </c>
      <c r="AI11" s="19" t="n">
        <f aca="false">IF(Delay!AI11="","",Fee*$A11+Vq*Delay!AI11)</f>
        <v>16.8124899232268</v>
      </c>
      <c r="AJ11" s="19" t="n">
        <f aca="false">IF(Delay!AJ11="","",Fee*$A11+Vq*Delay!AJ11)</f>
        <v>16.2882342649483</v>
      </c>
      <c r="AK11" s="19" t="n">
        <f aca="false">IF(Delay!AK11="","",Fee*$A11+Vq*Delay!AK11)</f>
        <v>15.7549541080251</v>
      </c>
      <c r="AL11" s="19" t="n">
        <f aca="false">IF(Delay!AL11="","",Fee*$A11+Vq*Delay!AL11)</f>
        <v>15.2345804205019</v>
      </c>
      <c r="AM11" s="19" t="n">
        <f aca="false">IF(Delay!AM11="","",Fee*$A11+Vq*Delay!AM11)</f>
        <v>14.6703844690258</v>
      </c>
      <c r="AN11" s="19" t="n">
        <f aca="false">IF(Delay!AN11="","",Fee*$A11+Vq*Delay!AN11)</f>
        <v>14.1792297564854</v>
      </c>
      <c r="AO11" s="19" t="n">
        <f aca="false">IF(Delay!AO11="","",Fee*$A11+Vq*Delay!AO11)</f>
        <v>13.7460301369824</v>
      </c>
      <c r="AP11" s="19" t="n">
        <f aca="false">IF(Delay!AP11="","",Fee*$A11+Vq*Delay!AP11)</f>
        <v>13.2979054498697</v>
      </c>
      <c r="AQ11" s="19" t="n">
        <f aca="false">IF(Delay!AQ11="","",Fee*$A11+Vq*Delay!AQ11)</f>
        <v>12.854242380941</v>
      </c>
      <c r="AR11" s="19" t="n">
        <f aca="false">IF(Delay!AR11="","",Fee*$A11+Vq*Delay!AR11)</f>
        <v>12.4027391513362</v>
      </c>
      <c r="AS11" s="19" t="n">
        <f aca="false">IF(Delay!AS11="","",Fee*$A11+Vq*Delay!AS11)</f>
        <v>11.9823227405984</v>
      </c>
      <c r="AT11" s="19" t="n">
        <f aca="false">IF(Delay!AT11="","",Fee*$A11+Vq*Delay!AT11)</f>
        <v>11.5860472656315</v>
      </c>
      <c r="AU11" s="19" t="n">
        <f aca="false">IF(Delay!AU11="","",Fee*$A11+Vq*Delay!AU11)</f>
        <v>11.1340543308941</v>
      </c>
      <c r="AV11" s="19" t="n">
        <f aca="false">IF(Delay!AV11="","",Fee*$A11+Vq*Delay!AV11)</f>
        <v>10.7534526722189</v>
      </c>
      <c r="AW11" s="19" t="n">
        <f aca="false">IF(Delay!AW11="","",Fee*$A11+Vq*Delay!AW11)</f>
        <v>10.3381815933988</v>
      </c>
      <c r="AX11" s="19" t="n">
        <f aca="false">IF(Delay!AX11="","",Fee*$A11+Vq*Delay!AX11)</f>
        <v>9.93611028266232</v>
      </c>
      <c r="AY11" s="19" t="n">
        <f aca="false">IF(Delay!AY11="","",Fee*$A11+Vq*Delay!AY11)</f>
        <v>9.55917675625078</v>
      </c>
      <c r="AZ11" s="19" t="n">
        <f aca="false">IF(Delay!AZ11="","",Fee*$A11+Vq*Delay!AZ11)</f>
        <v>9.18893815306136</v>
      </c>
      <c r="BA11" s="19" t="n">
        <f aca="false">IF(Delay!BA11="","",Fee*$A11+Vq*Delay!BA11)</f>
        <v>8.84024546458432</v>
      </c>
      <c r="BB11" s="19" t="n">
        <f aca="false">IF(Delay!BB11="","",Fee*$A11+Vq*Delay!BB11)</f>
        <v>8.44327620561232</v>
      </c>
      <c r="BC11" s="19" t="n">
        <f aca="false">IF(Delay!BC11="","",Fee*$A11+Vq*Delay!BC11)</f>
        <v>8.10883929596788</v>
      </c>
      <c r="BD11" s="19" t="n">
        <f aca="false">IF(Delay!BD11="","",Fee*$A11+Vq*Delay!BD11)</f>
        <v>7.80251607867224</v>
      </c>
      <c r="BE11" s="19" t="n">
        <f aca="false">IF(Delay!BE11="","",Fee*$A11+Vq*Delay!BE11)</f>
        <v>7.4750874822577</v>
      </c>
      <c r="BF11" s="19" t="n">
        <f aca="false">IF(Delay!BF11="","",Fee*$A11+Vq*Delay!BF11)</f>
        <v>7.14008040454652</v>
      </c>
      <c r="BG11" s="19" t="n">
        <f aca="false">IF(Delay!BG11="","",Fee*$A11+Vq*Delay!BG11)</f>
        <v>6.79566169492686</v>
      </c>
      <c r="BH11" s="19" t="n">
        <f aca="false">IF(Delay!BH11="","",Fee*$A11+Vq*Delay!BH11)</f>
        <v>6.46402478563984</v>
      </c>
      <c r="BI11" s="19" t="n">
        <f aca="false">IF(Delay!BI11="","",Fee*$A11+Vq*Delay!BI11)</f>
        <v>6.16894442703628</v>
      </c>
      <c r="BJ11" s="19" t="n">
        <f aca="false">IF(Delay!BJ11="","",Fee*$A11+Vq*Delay!BJ11)</f>
        <v>5.8608143482347</v>
      </c>
      <c r="BK11" s="19" t="n">
        <f aca="false">IF(Delay!BK11="","",Fee*$A11+Vq*Delay!BK11)</f>
        <v>5.56915864041382</v>
      </c>
      <c r="BL11" s="19" t="n">
        <f aca="false">IF(Delay!BL11="","",Fee*$A11+Vq*Delay!BL11)</f>
        <v>5.29290157089178</v>
      </c>
      <c r="BM11" s="19" t="n">
        <f aca="false">IF(Delay!BM11="","",Fee*$A11+Vq*Delay!BM11)</f>
        <v>5.00816421374134</v>
      </c>
      <c r="BN11" s="19" t="n">
        <f aca="false">IF(Delay!BN11="","",Fee*$A11+Vq*Delay!BN11)</f>
        <v>4.74149788418216</v>
      </c>
      <c r="BO11" s="19" t="n">
        <f aca="false">IF(Delay!BO11="","",Fee*$A11+Vq*Delay!BO11)</f>
        <v>4.46794390675456</v>
      </c>
      <c r="BP11" s="19" t="n">
        <f aca="false">IF(Delay!BP11="","",Fee*$A11+Vq*Delay!BP11)</f>
        <v>4.17855334810704</v>
      </c>
      <c r="BQ11" s="19" t="n">
        <f aca="false">IF(Delay!BQ11="","",Fee*$A11+Vq*Delay!BQ11)</f>
        <v>3.9072162088598</v>
      </c>
      <c r="BR11" s="19" t="n">
        <f aca="false">IF(Delay!BR11="","",Fee*$A11+Vq*Delay!BR11)</f>
        <v>3.66225069647918</v>
      </c>
      <c r="BS11" s="19" t="n">
        <f aca="false">IF(Delay!BS11="","",Fee*$A11+Vq*Delay!BS11)</f>
        <v>3.39637374265778</v>
      </c>
      <c r="BT11" s="19" t="n">
        <f aca="false">IF(Delay!BT11="","",Fee*$A11+Vq*Delay!BT11)</f>
        <v>3.11183617891534</v>
      </c>
      <c r="BU11" s="19" t="n">
        <f aca="false">IF(Delay!BU11="","",Fee*$A11+Vq*Delay!BU11)</f>
        <v>2.8708435775606</v>
      </c>
      <c r="BV11" s="19" t="n">
        <f aca="false">IF(Delay!BV11="","",Fee*$A11+Vq*Delay!BV11)</f>
        <v>2.61450820359672</v>
      </c>
      <c r="BW11" s="19" t="n">
        <f aca="false">IF(Delay!BW11="","",Fee*$A11+Vq*Delay!BW11)</f>
        <v>2.38852621254996</v>
      </c>
      <c r="BX11" s="19" t="n">
        <f aca="false">IF(Delay!BX11="","",Fee*$A11+Vq*Delay!BX11)</f>
        <v>2.14977933547746</v>
      </c>
      <c r="BY11" s="19" t="n">
        <f aca="false">IF(Delay!BY11="","",Fee*$A11+Vq*Delay!BY11)</f>
        <v>1.90759822270184</v>
      </c>
      <c r="BZ11" s="19" t="n">
        <f aca="false">IF(Delay!BZ11="","",Fee*$A11+Vq*Delay!BZ11)</f>
        <v>1.67066439205628</v>
      </c>
      <c r="CA11" s="19" t="n">
        <f aca="false">IF(Delay!CA11="","",Fee*$A11+Vq*Delay!CA11)</f>
        <v>1.44234647138284</v>
      </c>
      <c r="CB11" s="19" t="n">
        <f aca="false">IF(Delay!CB11="","",Fee*$A11+Vq*Delay!CB11)</f>
        <v>1.20117834206884</v>
      </c>
      <c r="CC11" s="19" t="n">
        <f aca="false">IF(Delay!CC11="","",Fee*$A11+Vq*Delay!CC11)</f>
        <v>0.990075048867682</v>
      </c>
      <c r="CD11" s="19" t="n">
        <f aca="false">IF(Delay!CD11="","",Fee*$A11+Vq*Delay!CD11)</f>
        <v>0.9</v>
      </c>
      <c r="CE11" s="19" t="n">
        <f aca="false">IF(Delay!CE11="","",Fee*$A11+Vq*Delay!CE11)</f>
        <v>0.9</v>
      </c>
      <c r="CF11" s="19" t="n">
        <f aca="false">IF(Delay!CF11="","",Fee*$A11+Vq*Delay!CF11)</f>
        <v>0.9</v>
      </c>
      <c r="CG11" s="19" t="n">
        <f aca="false">IF(Delay!CG11="","",Fee*$A11+Vq*Delay!CG11)</f>
        <v>0.9</v>
      </c>
      <c r="CH11" s="19" t="n">
        <f aca="false">IF(Delay!CH11="","",Fee*$A11+Vq*Delay!CH11)</f>
        <v>0.9</v>
      </c>
      <c r="CI11" s="19" t="n">
        <f aca="false">IF(Delay!CI11="","",Fee*$A11+Vq*Delay!CI11)</f>
        <v>0.9</v>
      </c>
      <c r="CJ11" s="19" t="n">
        <f aca="false">IF(Delay!CJ11="","",Fee*$A11+Vq*Delay!CJ11)</f>
        <v>0.9</v>
      </c>
      <c r="CK11" s="19" t="n">
        <f aca="false">IF(Delay!CK11="","",Fee*$A11+Vq*Delay!CK11)</f>
        <v>0.9</v>
      </c>
      <c r="CL11" s="19" t="n">
        <f aca="false">IF(Delay!CL11="","",Fee*$A11+Vq*Delay!CL11)</f>
        <v>0.9</v>
      </c>
      <c r="CM11" s="19" t="n">
        <f aca="false">IF(Delay!CM11="","",Fee*$A11+Vq*Delay!CM11)</f>
        <v>0.9</v>
      </c>
      <c r="CN11" s="19" t="n">
        <f aca="false">IF(Delay!CN11="","",Fee*$A11+Vq*Delay!CN11)</f>
        <v>0.9</v>
      </c>
      <c r="CO11" s="19" t="n">
        <f aca="false">IF(Delay!CO11="","",Fee*$A11+Vq*Delay!CO11)</f>
        <v>0.9</v>
      </c>
      <c r="CP11" s="19" t="n">
        <f aca="false">IF(Delay!CP11="","",Fee*$A11+Vq*Delay!CP11)</f>
        <v>0.9</v>
      </c>
      <c r="CQ11" s="19" t="n">
        <f aca="false">IF(Delay!CQ11="","",Fee*$A11+Vq*Delay!CQ11)</f>
        <v>0.9</v>
      </c>
      <c r="CR11" s="19" t="n">
        <f aca="false">IF(Delay!CR11="","",Fee*$A11+Vq*Delay!CR11)</f>
        <v>0.9</v>
      </c>
      <c r="CS11" s="19" t="n">
        <f aca="false">IF(Delay!CS11="","",Fee*$A11+Vq*Delay!CS11)</f>
        <v>0.9</v>
      </c>
      <c r="CT11" s="19" t="n">
        <f aca="false">IF(Delay!CT11="","",Fee*$A11+Vq*Delay!CT11)</f>
        <v>40.1462411498658</v>
      </c>
    </row>
    <row r="12" customFormat="false" ht="15" hidden="false" customHeight="false" outlineLevel="0" collapsed="false">
      <c r="A12" s="25" t="n">
        <f aca="false">Quantiles!A12</f>
        <v>35</v>
      </c>
      <c r="B12" s="19" t="str">
        <f aca="false">IF(Delay!B12="","",Fee*$A12+Vq*Delay!B12)</f>
        <v/>
      </c>
      <c r="C12" s="19" t="n">
        <f aca="false">IF(Delay!C12="","",Fee*$A12+Vq*Delay!C12)</f>
        <v>54.2783382892376</v>
      </c>
      <c r="D12" s="19" t="n">
        <f aca="false">IF(Delay!D12="","",Fee*$A12+Vq*Delay!D12)</f>
        <v>50.8145086533858</v>
      </c>
      <c r="E12" s="19" t="n">
        <f aca="false">IF(Delay!E12="","",Fee*$A12+Vq*Delay!E12)</f>
        <v>47.9970574571159</v>
      </c>
      <c r="F12" s="19" t="n">
        <f aca="false">IF(Delay!F12="","",Fee*$A12+Vq*Delay!F12)</f>
        <v>45.8447072470686</v>
      </c>
      <c r="G12" s="19" t="n">
        <f aca="false">IF(Delay!G12="","",Fee*$A12+Vq*Delay!G12)</f>
        <v>43.8546256196067</v>
      </c>
      <c r="H12" s="19" t="n">
        <f aca="false">IF(Delay!H12="","",Fee*$A12+Vq*Delay!H12)</f>
        <v>41.7191589521618</v>
      </c>
      <c r="I12" s="19" t="n">
        <f aca="false">IF(Delay!I12="","",Fee*$A12+Vq*Delay!I12)</f>
        <v>39.8354386577619</v>
      </c>
      <c r="J12" s="19" t="n">
        <f aca="false">IF(Delay!J12="","",Fee*$A12+Vq*Delay!J12)</f>
        <v>37.9557865487502</v>
      </c>
      <c r="K12" s="19" t="n">
        <f aca="false">IF(Delay!K12="","",Fee*$A12+Vq*Delay!K12)</f>
        <v>36.3731365609141</v>
      </c>
      <c r="L12" s="19" t="n">
        <f aca="false">IF(Delay!L12="","",Fee*$A12+Vq*Delay!L12)</f>
        <v>34.8730133387971</v>
      </c>
      <c r="M12" s="19" t="n">
        <f aca="false">IF(Delay!M12="","",Fee*$A12+Vq*Delay!M12)</f>
        <v>33.6282857404285</v>
      </c>
      <c r="N12" s="19" t="n">
        <f aca="false">IF(Delay!N12="","",Fee*$A12+Vq*Delay!N12)</f>
        <v>32.3661472322005</v>
      </c>
      <c r="O12" s="19" t="n">
        <f aca="false">IF(Delay!O12="","",Fee*$A12+Vq*Delay!O12)</f>
        <v>31.1758557187164</v>
      </c>
      <c r="P12" s="19" t="n">
        <f aca="false">IF(Delay!P12="","",Fee*$A12+Vq*Delay!P12)</f>
        <v>29.9817508686767</v>
      </c>
      <c r="Q12" s="19" t="n">
        <f aca="false">IF(Delay!Q12="","",Fee*$A12+Vq*Delay!Q12)</f>
        <v>28.8328401168418</v>
      </c>
      <c r="R12" s="19" t="n">
        <f aca="false">IF(Delay!R12="","",Fee*$A12+Vq*Delay!R12)</f>
        <v>27.8263009486993</v>
      </c>
      <c r="S12" s="19" t="n">
        <f aca="false">IF(Delay!S12="","",Fee*$A12+Vq*Delay!S12)</f>
        <v>26.8223876706729</v>
      </c>
      <c r="T12" s="19" t="n">
        <f aca="false">IF(Delay!T12="","",Fee*$A12+Vq*Delay!T12)</f>
        <v>25.852926792017</v>
      </c>
      <c r="U12" s="19" t="n">
        <f aca="false">IF(Delay!U12="","",Fee*$A12+Vq*Delay!U12)</f>
        <v>25.100596043704</v>
      </c>
      <c r="V12" s="19" t="n">
        <f aca="false">IF(Delay!V12="","",Fee*$A12+Vq*Delay!V12)</f>
        <v>24.2528968134044</v>
      </c>
      <c r="W12" s="19" t="n">
        <f aca="false">IF(Delay!W12="","",Fee*$A12+Vq*Delay!W12)</f>
        <v>23.4392897708103</v>
      </c>
      <c r="X12" s="19" t="n">
        <f aca="false">IF(Delay!X12="","",Fee*$A12+Vq*Delay!X12)</f>
        <v>22.6454710290954</v>
      </c>
      <c r="Y12" s="19" t="n">
        <f aca="false">IF(Delay!Y12="","",Fee*$A12+Vq*Delay!Y12)</f>
        <v>21.9027280944574</v>
      </c>
      <c r="Z12" s="19" t="n">
        <f aca="false">IF(Delay!Z12="","",Fee*$A12+Vq*Delay!Z12)</f>
        <v>21.1882949795153</v>
      </c>
      <c r="AA12" s="19" t="n">
        <f aca="false">IF(Delay!AA12="","",Fee*$A12+Vq*Delay!AA12)</f>
        <v>20.5266308363799</v>
      </c>
      <c r="AB12" s="19" t="n">
        <f aca="false">IF(Delay!AB12="","",Fee*$A12+Vq*Delay!AB12)</f>
        <v>19.8264463254987</v>
      </c>
      <c r="AC12" s="19" t="n">
        <f aca="false">IF(Delay!AC12="","",Fee*$A12+Vq*Delay!AC12)</f>
        <v>19.2128149234525</v>
      </c>
      <c r="AD12" s="19" t="n">
        <f aca="false">IF(Delay!AD12="","",Fee*$A12+Vq*Delay!AD12)</f>
        <v>18.5805344950119</v>
      </c>
      <c r="AE12" s="19" t="n">
        <f aca="false">IF(Delay!AE12="","",Fee*$A12+Vq*Delay!AE12)</f>
        <v>17.8827599418798</v>
      </c>
      <c r="AF12" s="19" t="n">
        <f aca="false">IF(Delay!AF12="","",Fee*$A12+Vq*Delay!AF12)</f>
        <v>17.3291236484101</v>
      </c>
      <c r="AG12" s="19" t="n">
        <f aca="false">IF(Delay!AG12="","",Fee*$A12+Vq*Delay!AG12)</f>
        <v>16.7260751200349</v>
      </c>
      <c r="AH12" s="19" t="n">
        <f aca="false">IF(Delay!AH12="","",Fee*$A12+Vq*Delay!AH12)</f>
        <v>16.1923491282198</v>
      </c>
      <c r="AI12" s="19" t="n">
        <f aca="false">IF(Delay!AI12="","",Fee*$A12+Vq*Delay!AI12)</f>
        <v>15.6398420604125</v>
      </c>
      <c r="AJ12" s="19" t="n">
        <f aca="false">IF(Delay!AJ12="","",Fee*$A12+Vq*Delay!AJ12)</f>
        <v>15.1512872493852</v>
      </c>
      <c r="AK12" s="19" t="n">
        <f aca="false">IF(Delay!AK12="","",Fee*$A12+Vq*Delay!AK12)</f>
        <v>14.6251128865248</v>
      </c>
      <c r="AL12" s="19" t="n">
        <f aca="false">IF(Delay!AL12="","",Fee*$A12+Vq*Delay!AL12)</f>
        <v>14.1140825712439</v>
      </c>
      <c r="AM12" s="19" t="n">
        <f aca="false">IF(Delay!AM12="","",Fee*$A12+Vq*Delay!AM12)</f>
        <v>13.5812119441856</v>
      </c>
      <c r="AN12" s="19" t="n">
        <f aca="false">IF(Delay!AN12="","",Fee*$A12+Vq*Delay!AN12)</f>
        <v>13.1178393881457</v>
      </c>
      <c r="AO12" s="19" t="n">
        <f aca="false">IF(Delay!AO12="","",Fee*$A12+Vq*Delay!AO12)</f>
        <v>12.6634765294011</v>
      </c>
      <c r="AP12" s="19" t="n">
        <f aca="false">IF(Delay!AP12="","",Fee*$A12+Vq*Delay!AP12)</f>
        <v>12.2396275185166</v>
      </c>
      <c r="AQ12" s="19" t="n">
        <f aca="false">IF(Delay!AQ12="","",Fee*$A12+Vq*Delay!AQ12)</f>
        <v>11.8084508831288</v>
      </c>
      <c r="AR12" s="19" t="n">
        <f aca="false">IF(Delay!AR12="","",Fee*$A12+Vq*Delay!AR12)</f>
        <v>11.4011124102013</v>
      </c>
      <c r="AS12" s="19" t="n">
        <f aca="false">IF(Delay!AS12="","",Fee*$A12+Vq*Delay!AS12)</f>
        <v>10.9894847317704</v>
      </c>
      <c r="AT12" s="19" t="n">
        <f aca="false">IF(Delay!AT12="","",Fee*$A12+Vq*Delay!AT12)</f>
        <v>10.6454748465915</v>
      </c>
      <c r="AU12" s="19" t="n">
        <f aca="false">IF(Delay!AU12="","",Fee*$A12+Vq*Delay!AU12)</f>
        <v>10.2581919763232</v>
      </c>
      <c r="AV12" s="19" t="n">
        <f aca="false">IF(Delay!AV12="","",Fee*$A12+Vq*Delay!AV12)</f>
        <v>9.89563217490816</v>
      </c>
      <c r="AW12" s="19" t="n">
        <f aca="false">IF(Delay!AW12="","",Fee*$A12+Vq*Delay!AW12)</f>
        <v>9.48910367266798</v>
      </c>
      <c r="AX12" s="19" t="n">
        <f aca="false">IF(Delay!AX12="","",Fee*$A12+Vq*Delay!AX12)</f>
        <v>9.11251295498924</v>
      </c>
      <c r="AY12" s="19" t="n">
        <f aca="false">IF(Delay!AY12="","",Fee*$A12+Vq*Delay!AY12)</f>
        <v>8.73768268776746</v>
      </c>
      <c r="AZ12" s="19" t="n">
        <f aca="false">IF(Delay!AZ12="","",Fee*$A12+Vq*Delay!AZ12)</f>
        <v>8.39103577379164</v>
      </c>
      <c r="BA12" s="19" t="n">
        <f aca="false">IF(Delay!BA12="","",Fee*$A12+Vq*Delay!BA12)</f>
        <v>8.06877056917116</v>
      </c>
      <c r="BB12" s="19" t="n">
        <f aca="false">IF(Delay!BB12="","",Fee*$A12+Vq*Delay!BB12)</f>
        <v>7.70563560956276</v>
      </c>
      <c r="BC12" s="19" t="n">
        <f aca="false">IF(Delay!BC12="","",Fee*$A12+Vq*Delay!BC12)</f>
        <v>7.3933698578557</v>
      </c>
      <c r="BD12" s="19" t="n">
        <f aca="false">IF(Delay!BD12="","",Fee*$A12+Vq*Delay!BD12)</f>
        <v>7.0226868734726</v>
      </c>
      <c r="BE12" s="19" t="n">
        <f aca="false">IF(Delay!BE12="","",Fee*$A12+Vq*Delay!BE12)</f>
        <v>6.70580122619468</v>
      </c>
      <c r="BF12" s="19" t="n">
        <f aca="false">IF(Delay!BF12="","",Fee*$A12+Vq*Delay!BF12)</f>
        <v>6.37599699730978</v>
      </c>
      <c r="BG12" s="19" t="n">
        <f aca="false">IF(Delay!BG12="","",Fee*$A12+Vq*Delay!BG12)</f>
        <v>6.07925939223526</v>
      </c>
      <c r="BH12" s="19" t="n">
        <f aca="false">IF(Delay!BH12="","",Fee*$A12+Vq*Delay!BH12)</f>
        <v>5.77179161969796</v>
      </c>
      <c r="BI12" s="19" t="n">
        <f aca="false">IF(Delay!BI12="","",Fee*$A12+Vq*Delay!BI12)</f>
        <v>5.49006392093842</v>
      </c>
      <c r="BJ12" s="19" t="n">
        <f aca="false">IF(Delay!BJ12="","",Fee*$A12+Vq*Delay!BJ12)</f>
        <v>5.19913177297266</v>
      </c>
      <c r="BK12" s="19" t="n">
        <f aca="false">IF(Delay!BK12="","",Fee*$A12+Vq*Delay!BK12)</f>
        <v>4.9088959207377</v>
      </c>
      <c r="BL12" s="19" t="n">
        <f aca="false">IF(Delay!BL12="","",Fee*$A12+Vq*Delay!BL12)</f>
        <v>4.6536129502775</v>
      </c>
      <c r="BM12" s="19" t="n">
        <f aca="false">IF(Delay!BM12="","",Fee*$A12+Vq*Delay!BM12)</f>
        <v>4.40611163222166</v>
      </c>
      <c r="BN12" s="19" t="n">
        <f aca="false">IF(Delay!BN12="","",Fee*$A12+Vq*Delay!BN12)</f>
        <v>4.1366303298265</v>
      </c>
      <c r="BO12" s="19" t="n">
        <f aca="false">IF(Delay!BO12="","",Fee*$A12+Vq*Delay!BO12)</f>
        <v>3.88531359553432</v>
      </c>
      <c r="BP12" s="19" t="n">
        <f aca="false">IF(Delay!BP12="","",Fee*$A12+Vq*Delay!BP12)</f>
        <v>3.6297250609057</v>
      </c>
      <c r="BQ12" s="19" t="n">
        <f aca="false">IF(Delay!BQ12="","",Fee*$A12+Vq*Delay!BQ12)</f>
        <v>3.3752886784981</v>
      </c>
      <c r="BR12" s="19" t="n">
        <f aca="false">IF(Delay!BR12="","",Fee*$A12+Vq*Delay!BR12)</f>
        <v>3.11939372256456</v>
      </c>
      <c r="BS12" s="19" t="n">
        <f aca="false">IF(Delay!BS12="","",Fee*$A12+Vq*Delay!BS12)</f>
        <v>2.8552262533474</v>
      </c>
      <c r="BT12" s="19" t="n">
        <f aca="false">IF(Delay!BT12="","",Fee*$A12+Vq*Delay!BT12)</f>
        <v>2.61617444073798</v>
      </c>
      <c r="BU12" s="19" t="n">
        <f aca="false">IF(Delay!BU12="","",Fee*$A12+Vq*Delay!BU12)</f>
        <v>2.37385111768174</v>
      </c>
      <c r="BV12" s="19" t="n">
        <f aca="false">IF(Delay!BV12="","",Fee*$A12+Vq*Delay!BV12)</f>
        <v>2.12327613722152</v>
      </c>
      <c r="BW12" s="19" t="n">
        <f aca="false">IF(Delay!BW12="","",Fee*$A12+Vq*Delay!BW12)</f>
        <v>1.89591049051578</v>
      </c>
      <c r="BX12" s="19" t="n">
        <f aca="false">IF(Delay!BX12="","",Fee*$A12+Vq*Delay!BX12)</f>
        <v>1.6520647542657</v>
      </c>
      <c r="BY12" s="19" t="n">
        <f aca="false">IF(Delay!BY12="","",Fee*$A12+Vq*Delay!BY12)</f>
        <v>1.41014188171982</v>
      </c>
      <c r="BZ12" s="19" t="n">
        <f aca="false">IF(Delay!BZ12="","",Fee*$A12+Vq*Delay!BZ12)</f>
        <v>1.18594115144816</v>
      </c>
      <c r="CA12" s="19" t="n">
        <f aca="false">IF(Delay!CA12="","",Fee*$A12+Vq*Delay!CA12)</f>
        <v>1.05</v>
      </c>
      <c r="CB12" s="19" t="n">
        <f aca="false">IF(Delay!CB12="","",Fee*$A12+Vq*Delay!CB12)</f>
        <v>1.05</v>
      </c>
      <c r="CC12" s="19" t="n">
        <f aca="false">IF(Delay!CC12="","",Fee*$A12+Vq*Delay!CC12)</f>
        <v>1.05</v>
      </c>
      <c r="CD12" s="19" t="n">
        <f aca="false">IF(Delay!CD12="","",Fee*$A12+Vq*Delay!CD12)</f>
        <v>1.05</v>
      </c>
      <c r="CE12" s="19" t="n">
        <f aca="false">IF(Delay!CE12="","",Fee*$A12+Vq*Delay!CE12)</f>
        <v>1.05</v>
      </c>
      <c r="CF12" s="19" t="n">
        <f aca="false">IF(Delay!CF12="","",Fee*$A12+Vq*Delay!CF12)</f>
        <v>1.05</v>
      </c>
      <c r="CG12" s="19" t="n">
        <f aca="false">IF(Delay!CG12="","",Fee*$A12+Vq*Delay!CG12)</f>
        <v>1.05</v>
      </c>
      <c r="CH12" s="19" t="n">
        <f aca="false">IF(Delay!CH12="","",Fee*$A12+Vq*Delay!CH12)</f>
        <v>1.05</v>
      </c>
      <c r="CI12" s="19" t="n">
        <f aca="false">IF(Delay!CI12="","",Fee*$A12+Vq*Delay!CI12)</f>
        <v>1.05</v>
      </c>
      <c r="CJ12" s="19" t="n">
        <f aca="false">IF(Delay!CJ12="","",Fee*$A12+Vq*Delay!CJ12)</f>
        <v>1.05</v>
      </c>
      <c r="CK12" s="19" t="n">
        <f aca="false">IF(Delay!CK12="","",Fee*$A12+Vq*Delay!CK12)</f>
        <v>1.05</v>
      </c>
      <c r="CL12" s="19" t="n">
        <f aca="false">IF(Delay!CL12="","",Fee*$A12+Vq*Delay!CL12)</f>
        <v>1.05</v>
      </c>
      <c r="CM12" s="19" t="n">
        <f aca="false">IF(Delay!CM12="","",Fee*$A12+Vq*Delay!CM12)</f>
        <v>1.05</v>
      </c>
      <c r="CN12" s="19" t="n">
        <f aca="false">IF(Delay!CN12="","",Fee*$A12+Vq*Delay!CN12)</f>
        <v>1.05</v>
      </c>
      <c r="CO12" s="19" t="n">
        <f aca="false">IF(Delay!CO12="","",Fee*$A12+Vq*Delay!CO12)</f>
        <v>1.05</v>
      </c>
      <c r="CP12" s="19" t="n">
        <f aca="false">IF(Delay!CP12="","",Fee*$A12+Vq*Delay!CP12)</f>
        <v>1.05</v>
      </c>
      <c r="CQ12" s="19" t="n">
        <f aca="false">IF(Delay!CQ12="","",Fee*$A12+Vq*Delay!CQ12)</f>
        <v>1.05</v>
      </c>
      <c r="CR12" s="19" t="n">
        <f aca="false">IF(Delay!CR12="","",Fee*$A12+Vq*Delay!CR12)</f>
        <v>1.05</v>
      </c>
      <c r="CS12" s="19" t="n">
        <f aca="false">IF(Delay!CS12="","",Fee*$A12+Vq*Delay!CS12)</f>
        <v>1.05</v>
      </c>
      <c r="CT12" s="19" t="n">
        <f aca="false">IF(Delay!CT12="","",Fee*$A12+Vq*Delay!CT12)</f>
        <v>37.9414291824</v>
      </c>
    </row>
    <row r="13" customFormat="false" ht="15" hidden="false" customHeight="false" outlineLevel="0" collapsed="false">
      <c r="A13" s="25" t="n">
        <f aca="false">Quantiles!A13</f>
        <v>40</v>
      </c>
      <c r="B13" s="19" t="n">
        <f aca="false">IF(Delay!B13="","",Fee*$A13+Vq*Delay!B13)</f>
        <v>55.5079154298761</v>
      </c>
      <c r="C13" s="19" t="n">
        <f aca="false">IF(Delay!C13="","",Fee*$A13+Vq*Delay!C13)</f>
        <v>51.7226806688263</v>
      </c>
      <c r="D13" s="19" t="n">
        <f aca="false">IF(Delay!D13="","",Fee*$A13+Vq*Delay!D13)</f>
        <v>48.4889838175264</v>
      </c>
      <c r="E13" s="19" t="n">
        <f aca="false">IF(Delay!E13="","",Fee*$A13+Vq*Delay!E13)</f>
        <v>45.9878905103129</v>
      </c>
      <c r="F13" s="19" t="n">
        <f aca="false">IF(Delay!F13="","",Fee*$A13+Vq*Delay!F13)</f>
        <v>43.6783858411008</v>
      </c>
      <c r="G13" s="19" t="n">
        <f aca="false">IF(Delay!G13="","",Fee*$A13+Vq*Delay!G13)</f>
        <v>41.6433768706909</v>
      </c>
      <c r="H13" s="19" t="n">
        <f aca="false">IF(Delay!H13="","",Fee*$A13+Vq*Delay!H13)</f>
        <v>39.5900074080772</v>
      </c>
      <c r="I13" s="19" t="n">
        <f aca="false">IF(Delay!I13="","",Fee*$A13+Vq*Delay!I13)</f>
        <v>37.8386298490374</v>
      </c>
      <c r="J13" s="19" t="n">
        <f aca="false">IF(Delay!J13="","",Fee*$A13+Vq*Delay!J13)</f>
        <v>35.9771080676246</v>
      </c>
      <c r="K13" s="19" t="n">
        <f aca="false">IF(Delay!K13="","",Fee*$A13+Vq*Delay!K13)</f>
        <v>34.3974619385738</v>
      </c>
      <c r="L13" s="19" t="n">
        <f aca="false">IF(Delay!L13="","",Fee*$A13+Vq*Delay!L13)</f>
        <v>33.0363842588212</v>
      </c>
      <c r="M13" s="19" t="n">
        <f aca="false">IF(Delay!M13="","",Fee*$A13+Vq*Delay!M13)</f>
        <v>31.7216212760006</v>
      </c>
      <c r="N13" s="19" t="n">
        <f aca="false">IF(Delay!N13="","",Fee*$A13+Vq*Delay!N13)</f>
        <v>30.5805866421763</v>
      </c>
      <c r="O13" s="19" t="n">
        <f aca="false">IF(Delay!O13="","",Fee*$A13+Vq*Delay!O13)</f>
        <v>29.4226397742343</v>
      </c>
      <c r="P13" s="19" t="n">
        <f aca="false">IF(Delay!P13="","",Fee*$A13+Vq*Delay!P13)</f>
        <v>28.2809522124819</v>
      </c>
      <c r="Q13" s="19" t="n">
        <f aca="false">IF(Delay!Q13="","",Fee*$A13+Vq*Delay!Q13)</f>
        <v>27.1118393660378</v>
      </c>
      <c r="R13" s="19" t="n">
        <f aca="false">IF(Delay!R13="","",Fee*$A13+Vq*Delay!R13)</f>
        <v>26.052838410603</v>
      </c>
      <c r="S13" s="19" t="n">
        <f aca="false">IF(Delay!S13="","",Fee*$A13+Vq*Delay!S13)</f>
        <v>25.2654607636354</v>
      </c>
      <c r="T13" s="19" t="n">
        <f aca="false">IF(Delay!T13="","",Fee*$A13+Vq*Delay!T13)</f>
        <v>24.3412870816547</v>
      </c>
      <c r="U13" s="19" t="n">
        <f aca="false">IF(Delay!U13="","",Fee*$A13+Vq*Delay!U13)</f>
        <v>23.5615151760816</v>
      </c>
      <c r="V13" s="19" t="n">
        <f aca="false">IF(Delay!V13="","",Fee*$A13+Vq*Delay!V13)</f>
        <v>22.7214153669756</v>
      </c>
      <c r="W13" s="19" t="n">
        <f aca="false">IF(Delay!W13="","",Fee*$A13+Vq*Delay!W13)</f>
        <v>21.9359795353683</v>
      </c>
      <c r="X13" s="19" t="n">
        <f aca="false">IF(Delay!X13="","",Fee*$A13+Vq*Delay!X13)</f>
        <v>21.2776343232831</v>
      </c>
      <c r="Y13" s="19" t="n">
        <f aca="false">IF(Delay!Y13="","",Fee*$A13+Vq*Delay!Y13)</f>
        <v>20.5339866487573</v>
      </c>
      <c r="Z13" s="19" t="n">
        <f aca="false">IF(Delay!Z13="","",Fee*$A13+Vq*Delay!Z13)</f>
        <v>19.8272240755703</v>
      </c>
      <c r="AA13" s="19" t="n">
        <f aca="false">IF(Delay!AA13="","",Fee*$A13+Vq*Delay!AA13)</f>
        <v>19.1574791265536</v>
      </c>
      <c r="AB13" s="19" t="n">
        <f aca="false">IF(Delay!AB13="","",Fee*$A13+Vq*Delay!AB13)</f>
        <v>18.4966794161726</v>
      </c>
      <c r="AC13" s="19" t="n">
        <f aca="false">IF(Delay!AC13="","",Fee*$A13+Vq*Delay!AC13)</f>
        <v>17.9474740260764</v>
      </c>
      <c r="AD13" s="19" t="n">
        <f aca="false">IF(Delay!AD13="","",Fee*$A13+Vq*Delay!AD13)</f>
        <v>17.3253395894944</v>
      </c>
      <c r="AE13" s="19" t="n">
        <f aca="false">IF(Delay!AE13="","",Fee*$A13+Vq*Delay!AE13)</f>
        <v>16.6823588544397</v>
      </c>
      <c r="AF13" s="19" t="n">
        <f aca="false">IF(Delay!AF13="","",Fee*$A13+Vq*Delay!AF13)</f>
        <v>16.1081585246806</v>
      </c>
      <c r="AG13" s="19" t="n">
        <f aca="false">IF(Delay!AG13="","",Fee*$A13+Vq*Delay!AG13)</f>
        <v>15.6319325882329</v>
      </c>
      <c r="AH13" s="19" t="n">
        <f aca="false">IF(Delay!AH13="","",Fee*$A13+Vq*Delay!AH13)</f>
        <v>15.0594127754956</v>
      </c>
      <c r="AI13" s="19" t="n">
        <f aca="false">IF(Delay!AI13="","",Fee*$A13+Vq*Delay!AI13)</f>
        <v>14.5251259084591</v>
      </c>
      <c r="AJ13" s="19" t="n">
        <f aca="false">IF(Delay!AJ13="","",Fee*$A13+Vq*Delay!AJ13)</f>
        <v>14.0041245537472</v>
      </c>
      <c r="AK13" s="19" t="n">
        <f aca="false">IF(Delay!AK13="","",Fee*$A13+Vq*Delay!AK13)</f>
        <v>13.5699061183674</v>
      </c>
      <c r="AL13" s="19" t="n">
        <f aca="false">IF(Delay!AL13="","",Fee*$A13+Vq*Delay!AL13)</f>
        <v>13.0961187714327</v>
      </c>
      <c r="AM13" s="19" t="n">
        <f aca="false">IF(Delay!AM13="","",Fee*$A13+Vq*Delay!AM13)</f>
        <v>12.6299881314083</v>
      </c>
      <c r="AN13" s="19" t="n">
        <f aca="false">IF(Delay!AN13="","",Fee*$A13+Vq*Delay!AN13)</f>
        <v>12.1526616399161</v>
      </c>
      <c r="AO13" s="19" t="n">
        <f aca="false">IF(Delay!AO13="","",Fee*$A13+Vq*Delay!AO13)</f>
        <v>11.7080799315107</v>
      </c>
      <c r="AP13" s="19" t="n">
        <f aca="false">IF(Delay!AP13="","",Fee*$A13+Vq*Delay!AP13)</f>
        <v>11.2917594838106</v>
      </c>
      <c r="AQ13" s="19" t="n">
        <f aca="false">IF(Delay!AQ13="","",Fee*$A13+Vq*Delay!AQ13)</f>
        <v>10.924945066017</v>
      </c>
      <c r="AR13" s="19" t="n">
        <f aca="false">IF(Delay!AR13="","",Fee*$A13+Vq*Delay!AR13)</f>
        <v>10.4755122528937</v>
      </c>
      <c r="AS13" s="19" t="n">
        <f aca="false">IF(Delay!AS13="","",Fee*$A13+Vq*Delay!AS13)</f>
        <v>10.1062801204466</v>
      </c>
      <c r="AT13" s="19" t="n">
        <f aca="false">IF(Delay!AT13="","",Fee*$A13+Vq*Delay!AT13)</f>
        <v>9.74864780625146</v>
      </c>
      <c r="AU13" s="19" t="n">
        <f aca="false">IF(Delay!AU13="","",Fee*$A13+Vq*Delay!AU13)</f>
        <v>9.3607245733339</v>
      </c>
      <c r="AV13" s="19" t="n">
        <f aca="false">IF(Delay!AV13="","",Fee*$A13+Vq*Delay!AV13)</f>
        <v>9.02611995167828</v>
      </c>
      <c r="AW13" s="19" t="n">
        <f aca="false">IF(Delay!AW13="","",Fee*$A13+Vq*Delay!AW13)</f>
        <v>8.67015438146638</v>
      </c>
      <c r="AX13" s="19" t="n">
        <f aca="false">IF(Delay!AX13="","",Fee*$A13+Vq*Delay!AX13)</f>
        <v>8.3185831714629</v>
      </c>
      <c r="AY13" s="19" t="n">
        <f aca="false">IF(Delay!AY13="","",Fee*$A13+Vq*Delay!AY13)</f>
        <v>7.94508572714774</v>
      </c>
      <c r="AZ13" s="19" t="n">
        <f aca="false">IF(Delay!AZ13="","",Fee*$A13+Vq*Delay!AZ13)</f>
        <v>7.62854023676554</v>
      </c>
      <c r="BA13" s="19" t="n">
        <f aca="false">IF(Delay!BA13="","",Fee*$A13+Vq*Delay!BA13)</f>
        <v>7.29627876504228</v>
      </c>
      <c r="BB13" s="19" t="n">
        <f aca="false">IF(Delay!BB13="","",Fee*$A13+Vq*Delay!BB13)</f>
        <v>6.95411092126106</v>
      </c>
      <c r="BC13" s="19" t="n">
        <f aca="false">IF(Delay!BC13="","",Fee*$A13+Vq*Delay!BC13)</f>
        <v>6.65778654543218</v>
      </c>
      <c r="BD13" s="19" t="n">
        <f aca="false">IF(Delay!BD13="","",Fee*$A13+Vq*Delay!BD13)</f>
        <v>6.32300026326014</v>
      </c>
      <c r="BE13" s="19" t="n">
        <f aca="false">IF(Delay!BE13="","",Fee*$A13+Vq*Delay!BE13)</f>
        <v>5.99986198716946</v>
      </c>
      <c r="BF13" s="19" t="n">
        <f aca="false">IF(Delay!BF13="","",Fee*$A13+Vq*Delay!BF13)</f>
        <v>5.71924682848052</v>
      </c>
      <c r="BG13" s="19" t="n">
        <f aca="false">IF(Delay!BG13="","",Fee*$A13+Vq*Delay!BG13)</f>
        <v>5.42157238530726</v>
      </c>
      <c r="BH13" s="19" t="n">
        <f aca="false">IF(Delay!BH13="","",Fee*$A13+Vq*Delay!BH13)</f>
        <v>5.14921619577938</v>
      </c>
      <c r="BI13" s="19" t="n">
        <f aca="false">IF(Delay!BI13="","",Fee*$A13+Vq*Delay!BI13)</f>
        <v>4.86620000963142</v>
      </c>
      <c r="BJ13" s="19" t="n">
        <f aca="false">IF(Delay!BJ13="","",Fee*$A13+Vq*Delay!BJ13)</f>
        <v>4.61878739480524</v>
      </c>
      <c r="BK13" s="19" t="n">
        <f aca="false">IF(Delay!BK13="","",Fee*$A13+Vq*Delay!BK13)</f>
        <v>4.33737572979412</v>
      </c>
      <c r="BL13" s="19" t="n">
        <f aca="false">IF(Delay!BL13="","",Fee*$A13+Vq*Delay!BL13)</f>
        <v>4.05621535977262</v>
      </c>
      <c r="BM13" s="19" t="n">
        <f aca="false">IF(Delay!BM13="","",Fee*$A13+Vq*Delay!BM13)</f>
        <v>3.7990606040641</v>
      </c>
      <c r="BN13" s="19" t="n">
        <f aca="false">IF(Delay!BN13="","",Fee*$A13+Vq*Delay!BN13)</f>
        <v>3.53636180843004</v>
      </c>
      <c r="BO13" s="19" t="n">
        <f aca="false">IF(Delay!BO13="","",Fee*$A13+Vq*Delay!BO13)</f>
        <v>3.27147775987964</v>
      </c>
      <c r="BP13" s="19" t="n">
        <f aca="false">IF(Delay!BP13="","",Fee*$A13+Vq*Delay!BP13)</f>
        <v>3.03487082581626</v>
      </c>
      <c r="BQ13" s="19" t="n">
        <f aca="false">IF(Delay!BQ13="","",Fee*$A13+Vq*Delay!BQ13)</f>
        <v>2.80077871297758</v>
      </c>
      <c r="BR13" s="19" t="n">
        <f aca="false">IF(Delay!BR13="","",Fee*$A13+Vq*Delay!BR13)</f>
        <v>2.58141261797196</v>
      </c>
      <c r="BS13" s="19" t="n">
        <f aca="false">IF(Delay!BS13="","",Fee*$A13+Vq*Delay!BS13)</f>
        <v>2.3437098001071</v>
      </c>
      <c r="BT13" s="19" t="n">
        <f aca="false">IF(Delay!BT13="","",Fee*$A13+Vq*Delay!BT13)</f>
        <v>2.10749170264574</v>
      </c>
      <c r="BU13" s="19" t="n">
        <f aca="false">IF(Delay!BU13="","",Fee*$A13+Vq*Delay!BU13)</f>
        <v>1.88494062941552</v>
      </c>
      <c r="BV13" s="19" t="n">
        <f aca="false">IF(Delay!BV13="","",Fee*$A13+Vq*Delay!BV13)</f>
        <v>1.64386113986872</v>
      </c>
      <c r="BW13" s="19" t="n">
        <f aca="false">IF(Delay!BW13="","",Fee*$A13+Vq*Delay!BW13)</f>
        <v>1.40757933613814</v>
      </c>
      <c r="BX13" s="19" t="n">
        <f aca="false">IF(Delay!BX13="","",Fee*$A13+Vq*Delay!BX13)</f>
        <v>1.2</v>
      </c>
      <c r="BY13" s="19" t="n">
        <f aca="false">IF(Delay!BY13="","",Fee*$A13+Vq*Delay!BY13)</f>
        <v>1.2</v>
      </c>
      <c r="BZ13" s="19" t="n">
        <f aca="false">IF(Delay!BZ13="","",Fee*$A13+Vq*Delay!BZ13)</f>
        <v>1.2</v>
      </c>
      <c r="CA13" s="19" t="n">
        <f aca="false">IF(Delay!CA13="","",Fee*$A13+Vq*Delay!CA13)</f>
        <v>1.2</v>
      </c>
      <c r="CB13" s="19" t="n">
        <f aca="false">IF(Delay!CB13="","",Fee*$A13+Vq*Delay!CB13)</f>
        <v>1.2</v>
      </c>
      <c r="CC13" s="19" t="n">
        <f aca="false">IF(Delay!CC13="","",Fee*$A13+Vq*Delay!CC13)</f>
        <v>1.2</v>
      </c>
      <c r="CD13" s="19" t="n">
        <f aca="false">IF(Delay!CD13="","",Fee*$A13+Vq*Delay!CD13)</f>
        <v>1.2</v>
      </c>
      <c r="CE13" s="19" t="n">
        <f aca="false">IF(Delay!CE13="","",Fee*$A13+Vq*Delay!CE13)</f>
        <v>1.2</v>
      </c>
      <c r="CF13" s="19" t="n">
        <f aca="false">IF(Delay!CF13="","",Fee*$A13+Vq*Delay!CF13)</f>
        <v>1.2</v>
      </c>
      <c r="CG13" s="19" t="n">
        <f aca="false">IF(Delay!CG13="","",Fee*$A13+Vq*Delay!CG13)</f>
        <v>1.2</v>
      </c>
      <c r="CH13" s="19" t="n">
        <f aca="false">IF(Delay!CH13="","",Fee*$A13+Vq*Delay!CH13)</f>
        <v>1.2</v>
      </c>
      <c r="CI13" s="19" t="n">
        <f aca="false">IF(Delay!CI13="","",Fee*$A13+Vq*Delay!CI13)</f>
        <v>1.2</v>
      </c>
      <c r="CJ13" s="19" t="n">
        <f aca="false">IF(Delay!CJ13="","",Fee*$A13+Vq*Delay!CJ13)</f>
        <v>1.2</v>
      </c>
      <c r="CK13" s="19" t="n">
        <f aca="false">IF(Delay!CK13="","",Fee*$A13+Vq*Delay!CK13)</f>
        <v>1.2</v>
      </c>
      <c r="CL13" s="19" t="n">
        <f aca="false">IF(Delay!CL13="","",Fee*$A13+Vq*Delay!CL13)</f>
        <v>1.2</v>
      </c>
      <c r="CM13" s="19" t="n">
        <f aca="false">IF(Delay!CM13="","",Fee*$A13+Vq*Delay!CM13)</f>
        <v>1.2</v>
      </c>
      <c r="CN13" s="19" t="n">
        <f aca="false">IF(Delay!CN13="","",Fee*$A13+Vq*Delay!CN13)</f>
        <v>1.2</v>
      </c>
      <c r="CO13" s="19" t="n">
        <f aca="false">IF(Delay!CO13="","",Fee*$A13+Vq*Delay!CO13)</f>
        <v>1.2</v>
      </c>
      <c r="CP13" s="19" t="n">
        <f aca="false">IF(Delay!CP13="","",Fee*$A13+Vq*Delay!CP13)</f>
        <v>1.2</v>
      </c>
      <c r="CQ13" s="19" t="n">
        <f aca="false">IF(Delay!CQ13="","",Fee*$A13+Vq*Delay!CQ13)</f>
        <v>1.2</v>
      </c>
      <c r="CR13" s="19" t="n">
        <f aca="false">IF(Delay!CR13="","",Fee*$A13+Vq*Delay!CR13)</f>
        <v>1.2</v>
      </c>
      <c r="CS13" s="19" t="n">
        <f aca="false">IF(Delay!CS13="","",Fee*$A13+Vq*Delay!CS13)</f>
        <v>1.2</v>
      </c>
      <c r="CT13" s="19" t="n">
        <f aca="false">IF(Delay!CT13="","",Fee*$A13+Vq*Delay!CT13)</f>
        <v>35.9584893790982</v>
      </c>
    </row>
    <row r="14" customFormat="false" ht="15" hidden="false" customHeight="false" outlineLevel="0" collapsed="false">
      <c r="A14" s="25" t="n">
        <f aca="false">Quantiles!A14</f>
        <v>45</v>
      </c>
      <c r="B14" s="19" t="n">
        <f aca="false">IF(Delay!B14="","",Fee*$A14+Vq*Delay!B14)</f>
        <v>53.4432156019377</v>
      </c>
      <c r="C14" s="19" t="n">
        <f aca="false">IF(Delay!C14="","",Fee*$A14+Vq*Delay!C14)</f>
        <v>49.5305439300353</v>
      </c>
      <c r="D14" s="19" t="n">
        <f aca="false">IF(Delay!D14="","",Fee*$A14+Vq*Delay!D14)</f>
        <v>46.2439993178444</v>
      </c>
      <c r="E14" s="19" t="n">
        <f aca="false">IF(Delay!E14="","",Fee*$A14+Vq*Delay!E14)</f>
        <v>43.7405373885105</v>
      </c>
      <c r="F14" s="19" t="n">
        <f aca="false">IF(Delay!F14="","",Fee*$A14+Vq*Delay!F14)</f>
        <v>41.6036338210394</v>
      </c>
      <c r="G14" s="19" t="n">
        <f aca="false">IF(Delay!G14="","",Fee*$A14+Vq*Delay!G14)</f>
        <v>39.4027630705457</v>
      </c>
      <c r="H14" s="19" t="n">
        <f aca="false">IF(Delay!H14="","",Fee*$A14+Vq*Delay!H14)</f>
        <v>37.5292137320926</v>
      </c>
      <c r="I14" s="19" t="n">
        <f aca="false">IF(Delay!I14="","",Fee*$A14+Vq*Delay!I14)</f>
        <v>35.8458260061638</v>
      </c>
      <c r="J14" s="19" t="n">
        <f aca="false">IF(Delay!J14="","",Fee*$A14+Vq*Delay!J14)</f>
        <v>34.1268401218047</v>
      </c>
      <c r="K14" s="19" t="n">
        <f aca="false">IF(Delay!K14="","",Fee*$A14+Vq*Delay!K14)</f>
        <v>32.5340147626376</v>
      </c>
      <c r="L14" s="19" t="n">
        <f aca="false">IF(Delay!L14="","",Fee*$A14+Vq*Delay!L14)</f>
        <v>31.1457151997961</v>
      </c>
      <c r="M14" s="19" t="n">
        <f aca="false">IF(Delay!M14="","",Fee*$A14+Vq*Delay!M14)</f>
        <v>29.912831706931</v>
      </c>
      <c r="N14" s="19" t="n">
        <f aca="false">IF(Delay!N14="","",Fee*$A14+Vq*Delay!N14)</f>
        <v>28.8006461389087</v>
      </c>
      <c r="O14" s="19" t="n">
        <f aca="false">IF(Delay!O14="","",Fee*$A14+Vq*Delay!O14)</f>
        <v>27.7102072409812</v>
      </c>
      <c r="P14" s="19" t="n">
        <f aca="false">IF(Delay!P14="","",Fee*$A14+Vq*Delay!P14)</f>
        <v>26.6787082184386</v>
      </c>
      <c r="Q14" s="19" t="n">
        <f aca="false">IF(Delay!Q14="","",Fee*$A14+Vq*Delay!Q14)</f>
        <v>25.5855406134045</v>
      </c>
      <c r="R14" s="19" t="n">
        <f aca="false">IF(Delay!R14="","",Fee*$A14+Vq*Delay!R14)</f>
        <v>24.5700699069941</v>
      </c>
      <c r="S14" s="19" t="n">
        <f aca="false">IF(Delay!S14="","",Fee*$A14+Vq*Delay!S14)</f>
        <v>23.7705651543425</v>
      </c>
      <c r="T14" s="19" t="n">
        <f aca="false">IF(Delay!T14="","",Fee*$A14+Vq*Delay!T14)</f>
        <v>22.8433177128491</v>
      </c>
      <c r="U14" s="19" t="n">
        <f aca="false">IF(Delay!U14="","",Fee*$A14+Vq*Delay!U14)</f>
        <v>22.0919605820947</v>
      </c>
      <c r="V14" s="19" t="n">
        <f aca="false">IF(Delay!V14="","",Fee*$A14+Vq*Delay!V14)</f>
        <v>21.3541844770911</v>
      </c>
      <c r="W14" s="19" t="n">
        <f aca="false">IF(Delay!W14="","",Fee*$A14+Vq*Delay!W14)</f>
        <v>20.6139256556745</v>
      </c>
      <c r="X14" s="19" t="n">
        <f aca="false">IF(Delay!X14="","",Fee*$A14+Vq*Delay!X14)</f>
        <v>19.8869831944473</v>
      </c>
      <c r="Y14" s="19" t="n">
        <f aca="false">IF(Delay!Y14="","",Fee*$A14+Vq*Delay!Y14)</f>
        <v>19.1377401132255</v>
      </c>
      <c r="Z14" s="19" t="n">
        <f aca="false">IF(Delay!Z14="","",Fee*$A14+Vq*Delay!Z14)</f>
        <v>18.5047758656779</v>
      </c>
      <c r="AA14" s="19" t="n">
        <f aca="false">IF(Delay!AA14="","",Fee*$A14+Vq*Delay!AA14)</f>
        <v>17.883512375464</v>
      </c>
      <c r="AB14" s="19" t="n">
        <f aca="false">IF(Delay!AB14="","",Fee*$A14+Vq*Delay!AB14)</f>
        <v>17.2175423945989</v>
      </c>
      <c r="AC14" s="19" t="n">
        <f aca="false">IF(Delay!AC14="","",Fee*$A14+Vq*Delay!AC14)</f>
        <v>16.7024016807592</v>
      </c>
      <c r="AD14" s="19" t="n">
        <f aca="false">IF(Delay!AD14="","",Fee*$A14+Vq*Delay!AD14)</f>
        <v>16.1857425457702</v>
      </c>
      <c r="AE14" s="19" t="n">
        <f aca="false">IF(Delay!AE14="","",Fee*$A14+Vq*Delay!AE14)</f>
        <v>15.6113582885222</v>
      </c>
      <c r="AF14" s="19" t="n">
        <f aca="false">IF(Delay!AF14="","",Fee*$A14+Vq*Delay!AF14)</f>
        <v>15.0088241091867</v>
      </c>
      <c r="AG14" s="19" t="n">
        <f aca="false">IF(Delay!AG14="","",Fee*$A14+Vq*Delay!AG14)</f>
        <v>14.5014840179238</v>
      </c>
      <c r="AH14" s="19" t="n">
        <f aca="false">IF(Delay!AH14="","",Fee*$A14+Vq*Delay!AH14)</f>
        <v>14.010523859361</v>
      </c>
      <c r="AI14" s="19" t="n">
        <f aca="false">IF(Delay!AI14="","",Fee*$A14+Vq*Delay!AI14)</f>
        <v>13.5247383564484</v>
      </c>
      <c r="AJ14" s="19" t="n">
        <f aca="false">IF(Delay!AJ14="","",Fee*$A14+Vq*Delay!AJ14)</f>
        <v>13.0002098858632</v>
      </c>
      <c r="AK14" s="19" t="n">
        <f aca="false">IF(Delay!AK14="","",Fee*$A14+Vq*Delay!AK14)</f>
        <v>12.5475109261592</v>
      </c>
      <c r="AL14" s="19" t="n">
        <f aca="false">IF(Delay!AL14="","",Fee*$A14+Vq*Delay!AL14)</f>
        <v>12.1182806170924</v>
      </c>
      <c r="AM14" s="19" t="n">
        <f aca="false">IF(Delay!AM14="","",Fee*$A14+Vq*Delay!AM14)</f>
        <v>11.6698246149513</v>
      </c>
      <c r="AN14" s="19" t="n">
        <f aca="false">IF(Delay!AN14="","",Fee*$A14+Vq*Delay!AN14)</f>
        <v>11.2695183174798</v>
      </c>
      <c r="AO14" s="19" t="n">
        <f aca="false">IF(Delay!AO14="","",Fee*$A14+Vq*Delay!AO14)</f>
        <v>10.8448889889159</v>
      </c>
      <c r="AP14" s="19" t="n">
        <f aca="false">IF(Delay!AP14="","",Fee*$A14+Vq*Delay!AP14)</f>
        <v>10.4276553825048</v>
      </c>
      <c r="AQ14" s="19" t="n">
        <f aca="false">IF(Delay!AQ14="","",Fee*$A14+Vq*Delay!AQ14)</f>
        <v>10.0362967368851</v>
      </c>
      <c r="AR14" s="19" t="n">
        <f aca="false">IF(Delay!AR14="","",Fee*$A14+Vq*Delay!AR14)</f>
        <v>9.67647313349616</v>
      </c>
      <c r="AS14" s="19" t="n">
        <f aca="false">IF(Delay!AS14="","",Fee*$A14+Vq*Delay!AS14)</f>
        <v>9.3067326792449</v>
      </c>
      <c r="AT14" s="19" t="n">
        <f aca="false">IF(Delay!AT14="","",Fee*$A14+Vq*Delay!AT14)</f>
        <v>8.91677743792354</v>
      </c>
      <c r="AU14" s="19" t="n">
        <f aca="false">IF(Delay!AU14="","",Fee*$A14+Vq*Delay!AU14)</f>
        <v>8.57356042373202</v>
      </c>
      <c r="AV14" s="19" t="n">
        <f aca="false">IF(Delay!AV14="","",Fee*$A14+Vq*Delay!AV14)</f>
        <v>8.22645435724836</v>
      </c>
      <c r="AW14" s="19" t="n">
        <f aca="false">IF(Delay!AW14="","",Fee*$A14+Vq*Delay!AW14)</f>
        <v>7.87878764514312</v>
      </c>
      <c r="AX14" s="19" t="n">
        <f aca="false">IF(Delay!AX14="","",Fee*$A14+Vq*Delay!AX14)</f>
        <v>7.56172178717248</v>
      </c>
      <c r="AY14" s="19" t="n">
        <f aca="false">IF(Delay!AY14="","",Fee*$A14+Vq*Delay!AY14)</f>
        <v>7.22039827469928</v>
      </c>
      <c r="AZ14" s="19" t="n">
        <f aca="false">IF(Delay!AZ14="","",Fee*$A14+Vq*Delay!AZ14)</f>
        <v>6.91316130470114</v>
      </c>
      <c r="BA14" s="19" t="n">
        <f aca="false">IF(Delay!BA14="","",Fee*$A14+Vq*Delay!BA14)</f>
        <v>6.58852561090088</v>
      </c>
      <c r="BB14" s="19" t="n">
        <f aca="false">IF(Delay!BB14="","",Fee*$A14+Vq*Delay!BB14)</f>
        <v>6.23385192248662</v>
      </c>
      <c r="BC14" s="19" t="n">
        <f aca="false">IF(Delay!BC14="","",Fee*$A14+Vq*Delay!BC14)</f>
        <v>5.96012068177872</v>
      </c>
      <c r="BD14" s="19" t="n">
        <f aca="false">IF(Delay!BD14="","",Fee*$A14+Vq*Delay!BD14)</f>
        <v>5.66077823248274</v>
      </c>
      <c r="BE14" s="19" t="n">
        <f aca="false">IF(Delay!BE14="","",Fee*$A14+Vq*Delay!BE14)</f>
        <v>5.3646920622204</v>
      </c>
      <c r="BF14" s="19" t="n">
        <f aca="false">IF(Delay!BF14="","",Fee*$A14+Vq*Delay!BF14)</f>
        <v>5.08550302270192</v>
      </c>
      <c r="BG14" s="19" t="n">
        <f aca="false">IF(Delay!BG14="","",Fee*$A14+Vq*Delay!BG14)</f>
        <v>4.80934659346766</v>
      </c>
      <c r="BH14" s="19" t="n">
        <f aca="false">IF(Delay!BH14="","",Fee*$A14+Vq*Delay!BH14)</f>
        <v>4.53842452016552</v>
      </c>
      <c r="BI14" s="19" t="n">
        <f aca="false">IF(Delay!BI14="","",Fee*$A14+Vq*Delay!BI14)</f>
        <v>4.26551600909316</v>
      </c>
      <c r="BJ14" s="19" t="n">
        <f aca="false">IF(Delay!BJ14="","",Fee*$A14+Vq*Delay!BJ14)</f>
        <v>4.00664956954266</v>
      </c>
      <c r="BK14" s="19" t="n">
        <f aca="false">IF(Delay!BK14="","",Fee*$A14+Vq*Delay!BK14)</f>
        <v>3.75568768552876</v>
      </c>
      <c r="BL14" s="19" t="n">
        <f aca="false">IF(Delay!BL14="","",Fee*$A14+Vq*Delay!BL14)</f>
        <v>3.5080238228742</v>
      </c>
      <c r="BM14" s="19" t="n">
        <f aca="false">IF(Delay!BM14="","",Fee*$A14+Vq*Delay!BM14)</f>
        <v>3.26447999279552</v>
      </c>
      <c r="BN14" s="19" t="n">
        <f aca="false">IF(Delay!BN14="","",Fee*$A14+Vq*Delay!BN14)</f>
        <v>3.0034696797572</v>
      </c>
      <c r="BO14" s="19" t="n">
        <f aca="false">IF(Delay!BO14="","",Fee*$A14+Vq*Delay!BO14)</f>
        <v>2.78607178098326</v>
      </c>
      <c r="BP14" s="19" t="n">
        <f aca="false">IF(Delay!BP14="","",Fee*$A14+Vq*Delay!BP14)</f>
        <v>2.5218020741463</v>
      </c>
      <c r="BQ14" s="19" t="n">
        <f aca="false">IF(Delay!BQ14="","",Fee*$A14+Vq*Delay!BQ14)</f>
        <v>2.28817956306052</v>
      </c>
      <c r="BR14" s="19" t="n">
        <f aca="false">IF(Delay!BR14="","",Fee*$A14+Vq*Delay!BR14)</f>
        <v>2.05805633280662</v>
      </c>
      <c r="BS14" s="19" t="n">
        <f aca="false">IF(Delay!BS14="","",Fee*$A14+Vq*Delay!BS14)</f>
        <v>1.79645561364444</v>
      </c>
      <c r="BT14" s="19" t="n">
        <f aca="false">IF(Delay!BT14="","",Fee*$A14+Vq*Delay!BT14)</f>
        <v>1.57124478689938</v>
      </c>
      <c r="BU14" s="19" t="n">
        <f aca="false">IF(Delay!BU14="","",Fee*$A14+Vq*Delay!BU14)</f>
        <v>1.37046367316718</v>
      </c>
      <c r="BV14" s="19" t="n">
        <f aca="false">IF(Delay!BV14="","",Fee*$A14+Vq*Delay!BV14)</f>
        <v>1.35</v>
      </c>
      <c r="BW14" s="19" t="n">
        <f aca="false">IF(Delay!BW14="","",Fee*$A14+Vq*Delay!BW14)</f>
        <v>1.35</v>
      </c>
      <c r="BX14" s="19" t="n">
        <f aca="false">IF(Delay!BX14="","",Fee*$A14+Vq*Delay!BX14)</f>
        <v>1.35</v>
      </c>
      <c r="BY14" s="19" t="n">
        <f aca="false">IF(Delay!BY14="","",Fee*$A14+Vq*Delay!BY14)</f>
        <v>1.35</v>
      </c>
      <c r="BZ14" s="19" t="n">
        <f aca="false">IF(Delay!BZ14="","",Fee*$A14+Vq*Delay!BZ14)</f>
        <v>1.35</v>
      </c>
      <c r="CA14" s="19" t="n">
        <f aca="false">IF(Delay!CA14="","",Fee*$A14+Vq*Delay!CA14)</f>
        <v>1.35</v>
      </c>
      <c r="CB14" s="19" t="n">
        <f aca="false">IF(Delay!CB14="","",Fee*$A14+Vq*Delay!CB14)</f>
        <v>1.35</v>
      </c>
      <c r="CC14" s="19" t="n">
        <f aca="false">IF(Delay!CC14="","",Fee*$A14+Vq*Delay!CC14)</f>
        <v>1.35</v>
      </c>
      <c r="CD14" s="19" t="n">
        <f aca="false">IF(Delay!CD14="","",Fee*$A14+Vq*Delay!CD14)</f>
        <v>1.35</v>
      </c>
      <c r="CE14" s="19" t="n">
        <f aca="false">IF(Delay!CE14="","",Fee*$A14+Vq*Delay!CE14)</f>
        <v>1.35</v>
      </c>
      <c r="CF14" s="19" t="n">
        <f aca="false">IF(Delay!CF14="","",Fee*$A14+Vq*Delay!CF14)</f>
        <v>1.35</v>
      </c>
      <c r="CG14" s="19" t="n">
        <f aca="false">IF(Delay!CG14="","",Fee*$A14+Vq*Delay!CG14)</f>
        <v>1.35</v>
      </c>
      <c r="CH14" s="19" t="n">
        <f aca="false">IF(Delay!CH14="","",Fee*$A14+Vq*Delay!CH14)</f>
        <v>1.35</v>
      </c>
      <c r="CI14" s="19" t="n">
        <f aca="false">IF(Delay!CI14="","",Fee*$A14+Vq*Delay!CI14)</f>
        <v>1.35</v>
      </c>
      <c r="CJ14" s="19" t="n">
        <f aca="false">IF(Delay!CJ14="","",Fee*$A14+Vq*Delay!CJ14)</f>
        <v>1.35</v>
      </c>
      <c r="CK14" s="19" t="n">
        <f aca="false">IF(Delay!CK14="","",Fee*$A14+Vq*Delay!CK14)</f>
        <v>1.35</v>
      </c>
      <c r="CL14" s="19" t="n">
        <f aca="false">IF(Delay!CL14="","",Fee*$A14+Vq*Delay!CL14)</f>
        <v>1.35</v>
      </c>
      <c r="CM14" s="19" t="n">
        <f aca="false">IF(Delay!CM14="","",Fee*$A14+Vq*Delay!CM14)</f>
        <v>1.35</v>
      </c>
      <c r="CN14" s="19" t="n">
        <f aca="false">IF(Delay!CN14="","",Fee*$A14+Vq*Delay!CN14)</f>
        <v>1.35</v>
      </c>
      <c r="CO14" s="19" t="n">
        <f aca="false">IF(Delay!CO14="","",Fee*$A14+Vq*Delay!CO14)</f>
        <v>1.35</v>
      </c>
      <c r="CP14" s="19" t="n">
        <f aca="false">IF(Delay!CP14="","",Fee*$A14+Vq*Delay!CP14)</f>
        <v>1.35</v>
      </c>
      <c r="CQ14" s="19" t="n">
        <f aca="false">IF(Delay!CQ14="","",Fee*$A14+Vq*Delay!CQ14)</f>
        <v>1.35</v>
      </c>
      <c r="CR14" s="19" t="n">
        <f aca="false">IF(Delay!CR14="","",Fee*$A14+Vq*Delay!CR14)</f>
        <v>1.35</v>
      </c>
      <c r="CS14" s="19" t="n">
        <f aca="false">IF(Delay!CS14="","",Fee*$A14+Vq*Delay!CS14)</f>
        <v>1.35</v>
      </c>
      <c r="CT14" s="19" t="n">
        <f aca="false">IF(Delay!CT14="","",Fee*$A14+Vq*Delay!CT14)</f>
        <v>34.099283068124</v>
      </c>
    </row>
    <row r="15" customFormat="false" ht="15" hidden="false" customHeight="false" outlineLevel="0" collapsed="false">
      <c r="A15" s="25" t="n">
        <f aca="false">Quantiles!A15</f>
        <v>50</v>
      </c>
      <c r="B15" s="19" t="n">
        <f aca="false">IF(Delay!B15="","",Fee*$A15+Vq*Delay!B15)</f>
        <v>51.1357585165369</v>
      </c>
      <c r="C15" s="19" t="n">
        <f aca="false">IF(Delay!C15="","",Fee*$A15+Vq*Delay!C15)</f>
        <v>47.2317485279418</v>
      </c>
      <c r="D15" s="19" t="n">
        <f aca="false">IF(Delay!D15="","",Fee*$A15+Vq*Delay!D15)</f>
        <v>44.100849646634</v>
      </c>
      <c r="E15" s="19" t="n">
        <f aca="false">IF(Delay!E15="","",Fee*$A15+Vq*Delay!E15)</f>
        <v>41.7117916369291</v>
      </c>
      <c r="F15" s="19" t="n">
        <f aca="false">IF(Delay!F15="","",Fee*$A15+Vq*Delay!F15)</f>
        <v>39.3798784004172</v>
      </c>
      <c r="G15" s="19" t="n">
        <f aca="false">IF(Delay!G15="","",Fee*$A15+Vq*Delay!G15)</f>
        <v>37.3775411108455</v>
      </c>
      <c r="H15" s="19" t="n">
        <f aca="false">IF(Delay!H15="","",Fee*$A15+Vq*Delay!H15)</f>
        <v>35.5143669701623</v>
      </c>
      <c r="I15" s="19" t="n">
        <f aca="false">IF(Delay!I15="","",Fee*$A15+Vq*Delay!I15)</f>
        <v>33.8063855227517</v>
      </c>
      <c r="J15" s="19" t="n">
        <f aca="false">IF(Delay!J15="","",Fee*$A15+Vq*Delay!J15)</f>
        <v>32.1765468531253</v>
      </c>
      <c r="K15" s="19" t="n">
        <f aca="false">IF(Delay!K15="","",Fee*$A15+Vq*Delay!K15)</f>
        <v>30.7733999117333</v>
      </c>
      <c r="L15" s="19" t="n">
        <f aca="false">IF(Delay!L15="","",Fee*$A15+Vq*Delay!L15)</f>
        <v>29.3188334426744</v>
      </c>
      <c r="M15" s="19" t="n">
        <f aca="false">IF(Delay!M15="","",Fee*$A15+Vq*Delay!M15)</f>
        <v>28.1933216366729</v>
      </c>
      <c r="N15" s="19" t="n">
        <f aca="false">IF(Delay!N15="","",Fee*$A15+Vq*Delay!N15)</f>
        <v>27.0867050242684</v>
      </c>
      <c r="O15" s="19" t="n">
        <f aca="false">IF(Delay!O15="","",Fee*$A15+Vq*Delay!O15)</f>
        <v>26.0744882091431</v>
      </c>
      <c r="P15" s="19" t="n">
        <f aca="false">IF(Delay!P15="","",Fee*$A15+Vq*Delay!P15)</f>
        <v>25.0549097509619</v>
      </c>
      <c r="Q15" s="19" t="n">
        <f aca="false">IF(Delay!Q15="","",Fee*$A15+Vq*Delay!Q15)</f>
        <v>24.0644741349065</v>
      </c>
      <c r="R15" s="19" t="n">
        <f aca="false">IF(Delay!R15="","",Fee*$A15+Vq*Delay!R15)</f>
        <v>23.1078094628214</v>
      </c>
      <c r="S15" s="19" t="n">
        <f aca="false">IF(Delay!S15="","",Fee*$A15+Vq*Delay!S15)</f>
        <v>22.3478927918146</v>
      </c>
      <c r="T15" s="19" t="n">
        <f aca="false">IF(Delay!T15="","",Fee*$A15+Vq*Delay!T15)</f>
        <v>21.4978519107465</v>
      </c>
      <c r="U15" s="19" t="n">
        <f aca="false">IF(Delay!U15="","",Fee*$A15+Vq*Delay!U15)</f>
        <v>20.7675334705658</v>
      </c>
      <c r="V15" s="19" t="n">
        <f aca="false">IF(Delay!V15="","",Fee*$A15+Vq*Delay!V15)</f>
        <v>19.9926276331422</v>
      </c>
      <c r="W15" s="19" t="n">
        <f aca="false">IF(Delay!W15="","",Fee*$A15+Vq*Delay!W15)</f>
        <v>19.3046500806167</v>
      </c>
      <c r="X15" s="19" t="n">
        <f aca="false">IF(Delay!X15="","",Fee*$A15+Vq*Delay!X15)</f>
        <v>18.5811248208113</v>
      </c>
      <c r="Y15" s="19" t="n">
        <f aca="false">IF(Delay!Y15="","",Fee*$A15+Vq*Delay!Y15)</f>
        <v>17.8924143798968</v>
      </c>
      <c r="Z15" s="19" t="n">
        <f aca="false">IF(Delay!Z15="","",Fee*$A15+Vq*Delay!Z15)</f>
        <v>17.2205512385208</v>
      </c>
      <c r="AA15" s="19" t="n">
        <f aca="false">IF(Delay!AA15="","",Fee*$A15+Vq*Delay!AA15)</f>
        <v>16.6742764233462</v>
      </c>
      <c r="AB15" s="19" t="n">
        <f aca="false">IF(Delay!AB15="","",Fee*$A15+Vq*Delay!AB15)</f>
        <v>16.1077983391497</v>
      </c>
      <c r="AC15" s="19" t="n">
        <f aca="false">IF(Delay!AC15="","",Fee*$A15+Vq*Delay!AC15)</f>
        <v>15.5119010930246</v>
      </c>
      <c r="AD15" s="19" t="n">
        <f aca="false">IF(Delay!AD15="","",Fee*$A15+Vq*Delay!AD15)</f>
        <v>14.9955221949973</v>
      </c>
      <c r="AE15" s="19" t="n">
        <f aca="false">IF(Delay!AE15="","",Fee*$A15+Vq*Delay!AE15)</f>
        <v>14.5353088064177</v>
      </c>
      <c r="AF15" s="19" t="n">
        <f aca="false">IF(Delay!AF15="","",Fee*$A15+Vq*Delay!AF15)</f>
        <v>14.0039637573011</v>
      </c>
      <c r="AG15" s="19" t="n">
        <f aca="false">IF(Delay!AG15="","",Fee*$A15+Vq*Delay!AG15)</f>
        <v>13.4898853334167</v>
      </c>
      <c r="AH15" s="19" t="n">
        <f aca="false">IF(Delay!AH15="","",Fee*$A15+Vq*Delay!AH15)</f>
        <v>13.000988974706</v>
      </c>
      <c r="AI15" s="19" t="n">
        <f aca="false">IF(Delay!AI15="","",Fee*$A15+Vq*Delay!AI15)</f>
        <v>12.5526551357829</v>
      </c>
      <c r="AJ15" s="19" t="n">
        <f aca="false">IF(Delay!AJ15="","",Fee*$A15+Vq*Delay!AJ15)</f>
        <v>12.0984241935747</v>
      </c>
      <c r="AK15" s="19" t="n">
        <f aca="false">IF(Delay!AK15="","",Fee*$A15+Vq*Delay!AK15)</f>
        <v>11.6677579535695</v>
      </c>
      <c r="AL15" s="19" t="n">
        <f aca="false">IF(Delay!AL15="","",Fee*$A15+Vq*Delay!AL15)</f>
        <v>11.256410767278</v>
      </c>
      <c r="AM15" s="19" t="n">
        <f aca="false">IF(Delay!AM15="","",Fee*$A15+Vq*Delay!AM15)</f>
        <v>10.8505413721256</v>
      </c>
      <c r="AN15" s="19" t="n">
        <f aca="false">IF(Delay!AN15="","",Fee*$A15+Vq*Delay!AN15)</f>
        <v>10.4392014790289</v>
      </c>
      <c r="AO15" s="19" t="n">
        <f aca="false">IF(Delay!AO15="","",Fee*$A15+Vq*Delay!AO15)</f>
        <v>10.0454815065769</v>
      </c>
      <c r="AP15" s="19" t="n">
        <f aca="false">IF(Delay!AP15="","",Fee*$A15+Vq*Delay!AP15)</f>
        <v>9.64014119563316</v>
      </c>
      <c r="AQ15" s="19" t="n">
        <f aca="false">IF(Delay!AQ15="","",Fee*$A15+Vq*Delay!AQ15)</f>
        <v>9.2598381952511</v>
      </c>
      <c r="AR15" s="19" t="n">
        <f aca="false">IF(Delay!AR15="","",Fee*$A15+Vq*Delay!AR15)</f>
        <v>8.86216514689036</v>
      </c>
      <c r="AS15" s="19" t="n">
        <f aca="false">IF(Delay!AS15="","",Fee*$A15+Vq*Delay!AS15)</f>
        <v>8.51676044111772</v>
      </c>
      <c r="AT15" s="19" t="n">
        <f aca="false">IF(Delay!AT15="","",Fee*$A15+Vq*Delay!AT15)</f>
        <v>8.17811577282954</v>
      </c>
      <c r="AU15" s="19" t="n">
        <f aca="false">IF(Delay!AU15="","",Fee*$A15+Vq*Delay!AU15)</f>
        <v>7.86699719678192</v>
      </c>
      <c r="AV15" s="19" t="n">
        <f aca="false">IF(Delay!AV15="","",Fee*$A15+Vq*Delay!AV15)</f>
        <v>7.5095503703144</v>
      </c>
      <c r="AW15" s="19" t="n">
        <f aca="false">IF(Delay!AW15="","",Fee*$A15+Vq*Delay!AW15)</f>
        <v>7.17846693032072</v>
      </c>
      <c r="AX15" s="19" t="n">
        <f aca="false">IF(Delay!AX15="","",Fee*$A15+Vq*Delay!AX15)</f>
        <v>6.83778193792526</v>
      </c>
      <c r="AY15" s="19" t="n">
        <f aca="false">IF(Delay!AY15="","",Fee*$A15+Vq*Delay!AY15)</f>
        <v>6.53131440597522</v>
      </c>
      <c r="AZ15" s="19" t="n">
        <f aca="false">IF(Delay!AZ15="","",Fee*$A15+Vq*Delay!AZ15)</f>
        <v>6.21865510998322</v>
      </c>
      <c r="BA15" s="19" t="n">
        <f aca="false">IF(Delay!BA15="","",Fee*$A15+Vq*Delay!BA15)</f>
        <v>5.93600479065218</v>
      </c>
      <c r="BB15" s="19" t="n">
        <f aca="false">IF(Delay!BB15="","",Fee*$A15+Vq*Delay!BB15)</f>
        <v>5.63419132754408</v>
      </c>
      <c r="BC15" s="19" t="n">
        <f aca="false">IF(Delay!BC15="","",Fee*$A15+Vq*Delay!BC15)</f>
        <v>5.35157204696654</v>
      </c>
      <c r="BD15" s="19" t="n">
        <f aca="false">IF(Delay!BD15="","",Fee*$A15+Vq*Delay!BD15)</f>
        <v>5.07250499059902</v>
      </c>
      <c r="BE15" s="19" t="n">
        <f aca="false">IF(Delay!BE15="","",Fee*$A15+Vq*Delay!BE15)</f>
        <v>4.78538732741166</v>
      </c>
      <c r="BF15" s="19" t="n">
        <f aca="false">IF(Delay!BF15="","",Fee*$A15+Vq*Delay!BF15)</f>
        <v>4.50990354483524</v>
      </c>
      <c r="BG15" s="19" t="n">
        <f aca="false">IF(Delay!BG15="","",Fee*$A15+Vq*Delay!BG15)</f>
        <v>4.2542083880642</v>
      </c>
      <c r="BH15" s="19" t="n">
        <f aca="false">IF(Delay!BH15="","",Fee*$A15+Vq*Delay!BH15)</f>
        <v>3.9796676614263</v>
      </c>
      <c r="BI15" s="19" t="n">
        <f aca="false">IF(Delay!BI15="","",Fee*$A15+Vq*Delay!BI15)</f>
        <v>3.70887801114636</v>
      </c>
      <c r="BJ15" s="19" t="n">
        <f aca="false">IF(Delay!BJ15="","",Fee*$A15+Vq*Delay!BJ15)</f>
        <v>3.46519974012804</v>
      </c>
      <c r="BK15" s="19" t="n">
        <f aca="false">IF(Delay!BK15="","",Fee*$A15+Vq*Delay!BK15)</f>
        <v>3.21337749783286</v>
      </c>
      <c r="BL15" s="19" t="n">
        <f aca="false">IF(Delay!BL15="","",Fee*$A15+Vq*Delay!BL15)</f>
        <v>2.99095451401658</v>
      </c>
      <c r="BM15" s="19" t="n">
        <f aca="false">IF(Delay!BM15="","",Fee*$A15+Vq*Delay!BM15)</f>
        <v>2.72986899410998</v>
      </c>
      <c r="BN15" s="19" t="n">
        <f aca="false">IF(Delay!BN15="","",Fee*$A15+Vq*Delay!BN15)</f>
        <v>2.48878016902176</v>
      </c>
      <c r="BO15" s="19" t="n">
        <f aca="false">IF(Delay!BO15="","",Fee*$A15+Vq*Delay!BO15)</f>
        <v>2.26710804845064</v>
      </c>
      <c r="BP15" s="19" t="n">
        <f aca="false">IF(Delay!BP15="","",Fee*$A15+Vq*Delay!BP15)</f>
        <v>2.02722985995892</v>
      </c>
      <c r="BQ15" s="19" t="n">
        <f aca="false">IF(Delay!BQ15="","",Fee*$A15+Vq*Delay!BQ15)</f>
        <v>1.79463616342312</v>
      </c>
      <c r="BR15" s="19" t="n">
        <f aca="false">IF(Delay!BR15="","",Fee*$A15+Vq*Delay!BR15)</f>
        <v>1.56678146580612</v>
      </c>
      <c r="BS15" s="19" t="n">
        <f aca="false">IF(Delay!BS15="","",Fee*$A15+Vq*Delay!BS15)</f>
        <v>1.5</v>
      </c>
      <c r="BT15" s="19" t="n">
        <f aca="false">IF(Delay!BT15="","",Fee*$A15+Vq*Delay!BT15)</f>
        <v>1.5</v>
      </c>
      <c r="BU15" s="19" t="n">
        <f aca="false">IF(Delay!BU15="","",Fee*$A15+Vq*Delay!BU15)</f>
        <v>1.5</v>
      </c>
      <c r="BV15" s="19" t="n">
        <f aca="false">IF(Delay!BV15="","",Fee*$A15+Vq*Delay!BV15)</f>
        <v>1.5</v>
      </c>
      <c r="BW15" s="19" t="n">
        <f aca="false">IF(Delay!BW15="","",Fee*$A15+Vq*Delay!BW15)</f>
        <v>1.5</v>
      </c>
      <c r="BX15" s="19" t="n">
        <f aca="false">IF(Delay!BX15="","",Fee*$A15+Vq*Delay!BX15)</f>
        <v>1.5</v>
      </c>
      <c r="BY15" s="19" t="n">
        <f aca="false">IF(Delay!BY15="","",Fee*$A15+Vq*Delay!BY15)</f>
        <v>1.5</v>
      </c>
      <c r="BZ15" s="19" t="n">
        <f aca="false">IF(Delay!BZ15="","",Fee*$A15+Vq*Delay!BZ15)</f>
        <v>1.5</v>
      </c>
      <c r="CA15" s="19" t="n">
        <f aca="false">IF(Delay!CA15="","",Fee*$A15+Vq*Delay!CA15)</f>
        <v>1.5</v>
      </c>
      <c r="CB15" s="19" t="n">
        <f aca="false">IF(Delay!CB15="","",Fee*$A15+Vq*Delay!CB15)</f>
        <v>1.5</v>
      </c>
      <c r="CC15" s="19" t="n">
        <f aca="false">IF(Delay!CC15="","",Fee*$A15+Vq*Delay!CC15)</f>
        <v>1.5</v>
      </c>
      <c r="CD15" s="19" t="n">
        <f aca="false">IF(Delay!CD15="","",Fee*$A15+Vq*Delay!CD15)</f>
        <v>1.5</v>
      </c>
      <c r="CE15" s="19" t="n">
        <f aca="false">IF(Delay!CE15="","",Fee*$A15+Vq*Delay!CE15)</f>
        <v>1.5</v>
      </c>
      <c r="CF15" s="19" t="n">
        <f aca="false">IF(Delay!CF15="","",Fee*$A15+Vq*Delay!CF15)</f>
        <v>1.5</v>
      </c>
      <c r="CG15" s="19" t="n">
        <f aca="false">IF(Delay!CG15="","",Fee*$A15+Vq*Delay!CG15)</f>
        <v>1.5</v>
      </c>
      <c r="CH15" s="19" t="n">
        <f aca="false">IF(Delay!CH15="","",Fee*$A15+Vq*Delay!CH15)</f>
        <v>1.5</v>
      </c>
      <c r="CI15" s="19" t="n">
        <f aca="false">IF(Delay!CI15="","",Fee*$A15+Vq*Delay!CI15)</f>
        <v>1.5</v>
      </c>
      <c r="CJ15" s="19" t="n">
        <f aca="false">IF(Delay!CJ15="","",Fee*$A15+Vq*Delay!CJ15)</f>
        <v>1.5</v>
      </c>
      <c r="CK15" s="19" t="n">
        <f aca="false">IF(Delay!CK15="","",Fee*$A15+Vq*Delay!CK15)</f>
        <v>1.5</v>
      </c>
      <c r="CL15" s="19" t="n">
        <f aca="false">IF(Delay!CL15="","",Fee*$A15+Vq*Delay!CL15)</f>
        <v>1.5</v>
      </c>
      <c r="CM15" s="19" t="n">
        <f aca="false">IF(Delay!CM15="","",Fee*$A15+Vq*Delay!CM15)</f>
        <v>1.5</v>
      </c>
      <c r="CN15" s="19" t="n">
        <f aca="false">IF(Delay!CN15="","",Fee*$A15+Vq*Delay!CN15)</f>
        <v>1.5</v>
      </c>
      <c r="CO15" s="19" t="n">
        <f aca="false">IF(Delay!CO15="","",Fee*$A15+Vq*Delay!CO15)</f>
        <v>1.5</v>
      </c>
      <c r="CP15" s="19" t="n">
        <f aca="false">IF(Delay!CP15="","",Fee*$A15+Vq*Delay!CP15)</f>
        <v>1.5</v>
      </c>
      <c r="CQ15" s="19" t="n">
        <f aca="false">IF(Delay!CQ15="","",Fee*$A15+Vq*Delay!CQ15)</f>
        <v>1.5</v>
      </c>
      <c r="CR15" s="19" t="n">
        <f aca="false">IF(Delay!CR15="","",Fee*$A15+Vq*Delay!CR15)</f>
        <v>1.5</v>
      </c>
      <c r="CS15" s="19" t="n">
        <f aca="false">IF(Delay!CS15="","",Fee*$A15+Vq*Delay!CS15)</f>
        <v>1.5</v>
      </c>
      <c r="CT15" s="19" t="n">
        <f aca="false">IF(Delay!CT15="","",Fee*$A15+Vq*Delay!CT15)</f>
        <v>32.1692130139824</v>
      </c>
    </row>
    <row r="16" customFormat="false" ht="15" hidden="false" customHeight="false" outlineLevel="0" collapsed="false">
      <c r="A16" s="25" t="n">
        <f aca="false">Quantiles!A16</f>
        <v>55</v>
      </c>
      <c r="B16" s="19" t="n">
        <f aca="false">IF(Delay!B16="","",Fee*$A16+Vq*Delay!B16)</f>
        <v>48.7962823224208</v>
      </c>
      <c r="C16" s="19" t="n">
        <f aca="false">IF(Delay!C16="","",Fee*$A16+Vq*Delay!C16)</f>
        <v>45.0242502636434</v>
      </c>
      <c r="D16" s="19" t="n">
        <f aca="false">IF(Delay!D16="","",Fee*$A16+Vq*Delay!D16)</f>
        <v>41.9987674065479</v>
      </c>
      <c r="E16" s="19" t="n">
        <f aca="false">IF(Delay!E16="","",Fee*$A16+Vq*Delay!E16)</f>
        <v>39.5848298850702</v>
      </c>
      <c r="F16" s="19" t="n">
        <f aca="false">IF(Delay!F16="","",Fee*$A16+Vq*Delay!F16)</f>
        <v>37.3443824720839</v>
      </c>
      <c r="G16" s="19" t="n">
        <f aca="false">IF(Delay!G16="","",Fee*$A16+Vq*Delay!G16)</f>
        <v>35.3524193744279</v>
      </c>
      <c r="H16" s="19" t="n">
        <f aca="false">IF(Delay!H16="","",Fee*$A16+Vq*Delay!H16)</f>
        <v>33.6104620782098</v>
      </c>
      <c r="I16" s="19" t="n">
        <f aca="false">IF(Delay!I16="","",Fee*$A16+Vq*Delay!I16)</f>
        <v>31.9786086176862</v>
      </c>
      <c r="J16" s="19" t="n">
        <f aca="false">IF(Delay!J16="","",Fee*$A16+Vq*Delay!J16)</f>
        <v>30.3770919760186</v>
      </c>
      <c r="K16" s="19" t="n">
        <f aca="false">IF(Delay!K16="","",Fee*$A16+Vq*Delay!K16)</f>
        <v>28.9818073352864</v>
      </c>
      <c r="L16" s="19" t="n">
        <f aca="false">IF(Delay!L16="","",Fee*$A16+Vq*Delay!L16)</f>
        <v>27.6769884995446</v>
      </c>
      <c r="M16" s="19" t="n">
        <f aca="false">IF(Delay!M16="","",Fee*$A16+Vq*Delay!M16)</f>
        <v>26.5671375309308</v>
      </c>
      <c r="N16" s="19" t="n">
        <f aca="false">IF(Delay!N16="","",Fee*$A16+Vq*Delay!N16)</f>
        <v>25.4487939245615</v>
      </c>
      <c r="O16" s="19" t="n">
        <f aca="false">IF(Delay!O16="","",Fee*$A16+Vq*Delay!O16)</f>
        <v>24.4868096873877</v>
      </c>
      <c r="P16" s="19" t="n">
        <f aca="false">IF(Delay!P16="","",Fee*$A16+Vq*Delay!P16)</f>
        <v>23.5379513477735</v>
      </c>
      <c r="Q16" s="19" t="n">
        <f aca="false">IF(Delay!Q16="","",Fee*$A16+Vq*Delay!Q16)</f>
        <v>22.6132325154683</v>
      </c>
      <c r="R16" s="19" t="n">
        <f aca="false">IF(Delay!R16="","",Fee*$A16+Vq*Delay!R16)</f>
        <v>21.7469698610801</v>
      </c>
      <c r="S16" s="19" t="n">
        <f aca="false">IF(Delay!S16="","",Fee*$A16+Vq*Delay!S16)</f>
        <v>21.0076995671277</v>
      </c>
      <c r="T16" s="19" t="n">
        <f aca="false">IF(Delay!T16="","",Fee*$A16+Vq*Delay!T16)</f>
        <v>20.2397436992718</v>
      </c>
      <c r="U16" s="19" t="n">
        <f aca="false">IF(Delay!U16="","",Fee*$A16+Vq*Delay!U16)</f>
        <v>19.4554739149473</v>
      </c>
      <c r="V16" s="19" t="n">
        <f aca="false">IF(Delay!V16="","",Fee*$A16+Vq*Delay!V16)</f>
        <v>18.7325769714269</v>
      </c>
      <c r="W16" s="19" t="n">
        <f aca="false">IF(Delay!W16="","",Fee*$A16+Vq*Delay!W16)</f>
        <v>18.0512925538491</v>
      </c>
      <c r="X16" s="19" t="n">
        <f aca="false">IF(Delay!X16="","",Fee*$A16+Vq*Delay!X16)</f>
        <v>17.3530452167336</v>
      </c>
      <c r="Y16" s="19" t="n">
        <f aca="false">IF(Delay!Y16="","",Fee*$A16+Vq*Delay!Y16)</f>
        <v>16.7607322308906</v>
      </c>
      <c r="Z16" s="19" t="n">
        <f aca="false">IF(Delay!Z16="","",Fee*$A16+Vq*Delay!Z16)</f>
        <v>16.1692138627766</v>
      </c>
      <c r="AA16" s="19" t="n">
        <f aca="false">IF(Delay!AA16="","",Fee*$A16+Vq*Delay!AA16)</f>
        <v>15.5489308562146</v>
      </c>
      <c r="AB16" s="19" t="n">
        <f aca="false">IF(Delay!AB16="","",Fee*$A16+Vq*Delay!AB16)</f>
        <v>14.9750941728409</v>
      </c>
      <c r="AC16" s="19" t="n">
        <f aca="false">IF(Delay!AC16="","",Fee*$A16+Vq*Delay!AC16)</f>
        <v>14.4964444621866</v>
      </c>
      <c r="AD16" s="19" t="n">
        <f aca="false">IF(Delay!AD16="","",Fee*$A16+Vq*Delay!AD16)</f>
        <v>13.9496300838394</v>
      </c>
      <c r="AE16" s="19" t="n">
        <f aca="false">IF(Delay!AE16="","",Fee*$A16+Vq*Delay!AE16)</f>
        <v>13.4748274830455</v>
      </c>
      <c r="AF16" s="19" t="n">
        <f aca="false">IF(Delay!AF16="","",Fee*$A16+Vq*Delay!AF16)</f>
        <v>13.015164945808</v>
      </c>
      <c r="AG16" s="19" t="n">
        <f aca="false">IF(Delay!AG16="","",Fee*$A16+Vq*Delay!AG16)</f>
        <v>12.5325360110727</v>
      </c>
      <c r="AH16" s="19" t="n">
        <f aca="false">IF(Delay!AH16="","",Fee*$A16+Vq*Delay!AH16)</f>
        <v>12.0796350684662</v>
      </c>
      <c r="AI16" s="19" t="n">
        <f aca="false">IF(Delay!AI16="","",Fee*$A16+Vq*Delay!AI16)</f>
        <v>11.6073752342957</v>
      </c>
      <c r="AJ16" s="19" t="n">
        <f aca="false">IF(Delay!AJ16="","",Fee*$A16+Vq*Delay!AJ16)</f>
        <v>11.2198213283501</v>
      </c>
      <c r="AK16" s="19" t="n">
        <f aca="false">IF(Delay!AK16="","",Fee*$A16+Vq*Delay!AK16)</f>
        <v>10.8327907278487</v>
      </c>
      <c r="AL16" s="19" t="n">
        <f aca="false">IF(Delay!AL16="","",Fee*$A16+Vq*Delay!AL16)</f>
        <v>10.4187425630495</v>
      </c>
      <c r="AM16" s="19" t="n">
        <f aca="false">IF(Delay!AM16="","",Fee*$A16+Vq*Delay!AM16)</f>
        <v>10.0217711899752</v>
      </c>
      <c r="AN16" s="19" t="n">
        <f aca="false">IF(Delay!AN16="","",Fee*$A16+Vq*Delay!AN16)</f>
        <v>9.62999009690784</v>
      </c>
      <c r="AO16" s="19" t="n">
        <f aca="false">IF(Delay!AO16="","",Fee*$A16+Vq*Delay!AO16)</f>
        <v>9.26032305612978</v>
      </c>
      <c r="AP16" s="19" t="n">
        <f aca="false">IF(Delay!AP16="","",Fee*$A16+Vq*Delay!AP16)</f>
        <v>8.89690252680574</v>
      </c>
      <c r="AQ16" s="19" t="n">
        <f aca="false">IF(Delay!AQ16="","",Fee*$A16+Vq*Delay!AQ16)</f>
        <v>8.55019578028834</v>
      </c>
      <c r="AR16" s="19" t="n">
        <f aca="false">IF(Delay!AR16="","",Fee*$A16+Vq*Delay!AR16)</f>
        <v>8.1895759800157</v>
      </c>
      <c r="AS16" s="19" t="n">
        <f aca="false">IF(Delay!AS16="","",Fee*$A16+Vq*Delay!AS16)</f>
        <v>7.8360340705483</v>
      </c>
      <c r="AT16" s="19" t="n">
        <f aca="false">IF(Delay!AT16="","",Fee*$A16+Vq*Delay!AT16)</f>
        <v>7.48754066508082</v>
      </c>
      <c r="AU16" s="19" t="n">
        <f aca="false">IF(Delay!AU16="","",Fee*$A16+Vq*Delay!AU16)</f>
        <v>7.14510736444262</v>
      </c>
      <c r="AV16" s="19" t="n">
        <f aca="false">IF(Delay!AV16="","",Fee*$A16+Vq*Delay!AV16)</f>
        <v>6.80759083535702</v>
      </c>
      <c r="AW16" s="19" t="n">
        <f aca="false">IF(Delay!AW16="","",Fee*$A16+Vq*Delay!AW16)</f>
        <v>6.49566017173448</v>
      </c>
      <c r="AX16" s="19" t="n">
        <f aca="false">IF(Delay!AX16="","",Fee*$A16+Vq*Delay!AX16)</f>
        <v>6.2234159227122</v>
      </c>
      <c r="AY16" s="19" t="n">
        <f aca="false">IF(Delay!AY16="","",Fee*$A16+Vq*Delay!AY16)</f>
        <v>5.9048630181048</v>
      </c>
      <c r="AZ16" s="19" t="n">
        <f aca="false">IF(Delay!AZ16="","",Fee*$A16+Vq*Delay!AZ16)</f>
        <v>5.62369688639498</v>
      </c>
      <c r="BA16" s="19" t="n">
        <f aca="false">IF(Delay!BA16="","",Fee*$A16+Vq*Delay!BA16)</f>
        <v>5.3305081374754</v>
      </c>
      <c r="BB16" s="19" t="n">
        <f aca="false">IF(Delay!BB16="","",Fee*$A16+Vq*Delay!BB16)</f>
        <v>5.07346501085642</v>
      </c>
      <c r="BC16" s="19" t="n">
        <f aca="false">IF(Delay!BC16="","",Fee*$A16+Vq*Delay!BC16)</f>
        <v>4.79460121267606</v>
      </c>
      <c r="BD16" s="19" t="n">
        <f aca="false">IF(Delay!BD16="","",Fee*$A16+Vq*Delay!BD16)</f>
        <v>4.52613233694004</v>
      </c>
      <c r="BE16" s="19" t="n">
        <f aca="false">IF(Delay!BE16="","",Fee*$A16+Vq*Delay!BE16)</f>
        <v>4.27574541573116</v>
      </c>
      <c r="BF16" s="19" t="n">
        <f aca="false">IF(Delay!BF16="","",Fee*$A16+Vq*Delay!BF16)</f>
        <v>3.99182206413098</v>
      </c>
      <c r="BG16" s="19" t="n">
        <f aca="false">IF(Delay!BG16="","",Fee*$A16+Vq*Delay!BG16)</f>
        <v>3.745260084515</v>
      </c>
      <c r="BH16" s="19" t="n">
        <f aca="false">IF(Delay!BH16="","",Fee*$A16+Vq*Delay!BH16)</f>
        <v>3.469665411512</v>
      </c>
      <c r="BI16" s="19" t="n">
        <f aca="false">IF(Delay!BI16="","",Fee*$A16+Vq*Delay!BI16)</f>
        <v>3.222731617325</v>
      </c>
      <c r="BJ16" s="19" t="n">
        <f aca="false">IF(Delay!BJ16="","",Fee*$A16+Vq*Delay!BJ16)</f>
        <v>2.99072513864638</v>
      </c>
      <c r="BK16" s="19" t="n">
        <f aca="false">IF(Delay!BK16="","",Fee*$A16+Vq*Delay!BK16)</f>
        <v>2.73266551039136</v>
      </c>
      <c r="BL16" s="19" t="n">
        <f aca="false">IF(Delay!BL16="","",Fee*$A16+Vq*Delay!BL16)</f>
        <v>2.49591049051578</v>
      </c>
      <c r="BM16" s="19" t="n">
        <f aca="false">IF(Delay!BM16="","",Fee*$A16+Vq*Delay!BM16)</f>
        <v>2.25711182297252</v>
      </c>
      <c r="BN16" s="19" t="n">
        <f aca="false">IF(Delay!BN16="","",Fee*$A16+Vq*Delay!BN16)</f>
        <v>1.99231687491984</v>
      </c>
      <c r="BO16" s="19" t="n">
        <f aca="false">IF(Delay!BO16="","",Fee*$A16+Vq*Delay!BO16)</f>
        <v>1.77137293000762</v>
      </c>
      <c r="BP16" s="19" t="n">
        <f aca="false">IF(Delay!BP16="","",Fee*$A16+Vq*Delay!BP16)</f>
        <v>1.65</v>
      </c>
      <c r="BQ16" s="19" t="n">
        <f aca="false">IF(Delay!BQ16="","",Fee*$A16+Vq*Delay!BQ16)</f>
        <v>1.65</v>
      </c>
      <c r="BR16" s="19" t="n">
        <f aca="false">IF(Delay!BR16="","",Fee*$A16+Vq*Delay!BR16)</f>
        <v>1.65</v>
      </c>
      <c r="BS16" s="19" t="n">
        <f aca="false">IF(Delay!BS16="","",Fee*$A16+Vq*Delay!BS16)</f>
        <v>1.65</v>
      </c>
      <c r="BT16" s="19" t="n">
        <f aca="false">IF(Delay!BT16="","",Fee*$A16+Vq*Delay!BT16)</f>
        <v>1.65</v>
      </c>
      <c r="BU16" s="19" t="n">
        <f aca="false">IF(Delay!BU16="","",Fee*$A16+Vq*Delay!BU16)</f>
        <v>1.65</v>
      </c>
      <c r="BV16" s="19" t="n">
        <f aca="false">IF(Delay!BV16="","",Fee*$A16+Vq*Delay!BV16)</f>
        <v>1.65</v>
      </c>
      <c r="BW16" s="19" t="n">
        <f aca="false">IF(Delay!BW16="","",Fee*$A16+Vq*Delay!BW16)</f>
        <v>1.65</v>
      </c>
      <c r="BX16" s="19" t="n">
        <f aca="false">IF(Delay!BX16="","",Fee*$A16+Vq*Delay!BX16)</f>
        <v>1.65</v>
      </c>
      <c r="BY16" s="19" t="n">
        <f aca="false">IF(Delay!BY16="","",Fee*$A16+Vq*Delay!BY16)</f>
        <v>1.65</v>
      </c>
      <c r="BZ16" s="19" t="n">
        <f aca="false">IF(Delay!BZ16="","",Fee*$A16+Vq*Delay!BZ16)</f>
        <v>1.65</v>
      </c>
      <c r="CA16" s="19" t="n">
        <f aca="false">IF(Delay!CA16="","",Fee*$A16+Vq*Delay!CA16)</f>
        <v>1.65</v>
      </c>
      <c r="CB16" s="19" t="n">
        <f aca="false">IF(Delay!CB16="","",Fee*$A16+Vq*Delay!CB16)</f>
        <v>1.65</v>
      </c>
      <c r="CC16" s="19" t="n">
        <f aca="false">IF(Delay!CC16="","",Fee*$A16+Vq*Delay!CC16)</f>
        <v>1.65</v>
      </c>
      <c r="CD16" s="19" t="n">
        <f aca="false">IF(Delay!CD16="","",Fee*$A16+Vq*Delay!CD16)</f>
        <v>1.65</v>
      </c>
      <c r="CE16" s="19" t="n">
        <f aca="false">IF(Delay!CE16="","",Fee*$A16+Vq*Delay!CE16)</f>
        <v>1.65</v>
      </c>
      <c r="CF16" s="19" t="n">
        <f aca="false">IF(Delay!CF16="","",Fee*$A16+Vq*Delay!CF16)</f>
        <v>1.65</v>
      </c>
      <c r="CG16" s="19" t="n">
        <f aca="false">IF(Delay!CG16="","",Fee*$A16+Vq*Delay!CG16)</f>
        <v>1.65</v>
      </c>
      <c r="CH16" s="19" t="n">
        <f aca="false">IF(Delay!CH16="","",Fee*$A16+Vq*Delay!CH16)</f>
        <v>1.65</v>
      </c>
      <c r="CI16" s="19" t="n">
        <f aca="false">IF(Delay!CI16="","",Fee*$A16+Vq*Delay!CI16)</f>
        <v>1.65</v>
      </c>
      <c r="CJ16" s="19" t="n">
        <f aca="false">IF(Delay!CJ16="","",Fee*$A16+Vq*Delay!CJ16)</f>
        <v>1.65</v>
      </c>
      <c r="CK16" s="19" t="n">
        <f aca="false">IF(Delay!CK16="","",Fee*$A16+Vq*Delay!CK16)</f>
        <v>1.65</v>
      </c>
      <c r="CL16" s="19" t="n">
        <f aca="false">IF(Delay!CL16="","",Fee*$A16+Vq*Delay!CL16)</f>
        <v>1.65</v>
      </c>
      <c r="CM16" s="19" t="n">
        <f aca="false">IF(Delay!CM16="","",Fee*$A16+Vq*Delay!CM16)</f>
        <v>1.65</v>
      </c>
      <c r="CN16" s="19" t="n">
        <f aca="false">IF(Delay!CN16="","",Fee*$A16+Vq*Delay!CN16)</f>
        <v>1.65</v>
      </c>
      <c r="CO16" s="19" t="n">
        <f aca="false">IF(Delay!CO16="","",Fee*$A16+Vq*Delay!CO16)</f>
        <v>1.65</v>
      </c>
      <c r="CP16" s="19" t="n">
        <f aca="false">IF(Delay!CP16="","",Fee*$A16+Vq*Delay!CP16)</f>
        <v>1.65</v>
      </c>
      <c r="CQ16" s="19" t="n">
        <f aca="false">IF(Delay!CQ16="","",Fee*$A16+Vq*Delay!CQ16)</f>
        <v>1.65</v>
      </c>
      <c r="CR16" s="19" t="n">
        <f aca="false">IF(Delay!CR16="","",Fee*$A16+Vq*Delay!CR16)</f>
        <v>1.65</v>
      </c>
      <c r="CS16" s="19" t="n">
        <f aca="false">IF(Delay!CS16="","",Fee*$A16+Vq*Delay!CS16)</f>
        <v>1.65</v>
      </c>
      <c r="CT16" s="19" t="n">
        <f aca="false">IF(Delay!CT16="","",Fee*$A16+Vq*Delay!CT16)</f>
        <v>30.3514021799382</v>
      </c>
    </row>
    <row r="17" customFormat="false" ht="15" hidden="false" customHeight="false" outlineLevel="0" collapsed="false">
      <c r="A17" s="25" t="n">
        <f aca="false">Quantiles!A17</f>
        <v>60</v>
      </c>
      <c r="B17" s="19" t="n">
        <f aca="false">IF(Delay!B17="","",Fee*$A17+Vq*Delay!B17)</f>
        <v>46.6353476075429</v>
      </c>
      <c r="C17" s="19" t="n">
        <f aca="false">IF(Delay!C17="","",Fee*$A17+Vq*Delay!C17)</f>
        <v>42.8532199932267</v>
      </c>
      <c r="D17" s="19" t="n">
        <f aca="false">IF(Delay!D17="","",Fee*$A17+Vq*Delay!D17)</f>
        <v>39.9606088072826</v>
      </c>
      <c r="E17" s="19" t="n">
        <f aca="false">IF(Delay!E17="","",Fee*$A17+Vq*Delay!E17)</f>
        <v>37.6805877810699</v>
      </c>
      <c r="F17" s="19" t="n">
        <f aca="false">IF(Delay!F17="","",Fee*$A17+Vq*Delay!F17)</f>
        <v>35.5075907183637</v>
      </c>
      <c r="G17" s="19" t="n">
        <f aca="false">IF(Delay!G17="","",Fee*$A17+Vq*Delay!G17)</f>
        <v>33.5201901485595</v>
      </c>
      <c r="H17" s="19" t="n">
        <f aca="false">IF(Delay!H17="","",Fee*$A17+Vq*Delay!H17)</f>
        <v>31.7563995880985</v>
      </c>
      <c r="I17" s="19" t="n">
        <f aca="false">IF(Delay!I17="","",Fee*$A17+Vq*Delay!I17)</f>
        <v>30.1297241137145</v>
      </c>
      <c r="J17" s="19" t="n">
        <f aca="false">IF(Delay!J17="","",Fee*$A17+Vq*Delay!J17)</f>
        <v>28.623006242234</v>
      </c>
      <c r="K17" s="19" t="n">
        <f aca="false">IF(Delay!K17="","",Fee*$A17+Vq*Delay!K17)</f>
        <v>27.3278877370675</v>
      </c>
      <c r="L17" s="19" t="n">
        <f aca="false">IF(Delay!L17="","",Fee*$A17+Vq*Delay!L17)</f>
        <v>26.1293217017115</v>
      </c>
      <c r="M17" s="19" t="n">
        <f aca="false">IF(Delay!M17="","",Fee*$A17+Vq*Delay!M17)</f>
        <v>25.0798520422607</v>
      </c>
      <c r="N17" s="19" t="n">
        <f aca="false">IF(Delay!N17="","",Fee*$A17+Vq*Delay!N17)</f>
        <v>24.0636649700395</v>
      </c>
      <c r="O17" s="19" t="n">
        <f aca="false">IF(Delay!O17="","",Fee*$A17+Vq*Delay!O17)</f>
        <v>23.0318525857529</v>
      </c>
      <c r="P17" s="19" t="n">
        <f aca="false">IF(Delay!P17="","",Fee*$A17+Vq*Delay!P17)</f>
        <v>22.13764700833</v>
      </c>
      <c r="Q17" s="19" t="n">
        <f aca="false">IF(Delay!Q17="","",Fee*$A17+Vq*Delay!Q17)</f>
        <v>21.2794857074437</v>
      </c>
      <c r="R17" s="19" t="n">
        <f aca="false">IF(Delay!R17="","",Fee*$A17+Vq*Delay!R17)</f>
        <v>20.4426889433113</v>
      </c>
      <c r="S17" s="19" t="n">
        <f aca="false">IF(Delay!S17="","",Fee*$A17+Vq*Delay!S17)</f>
        <v>19.6297103203752</v>
      </c>
      <c r="T17" s="19" t="n">
        <f aca="false">IF(Delay!T17="","",Fee*$A17+Vq*Delay!T17)</f>
        <v>18.9111951916519</v>
      </c>
      <c r="U17" s="19" t="n">
        <f aca="false">IF(Delay!U17="","",Fee*$A17+Vq*Delay!U17)</f>
        <v>18.2168898251674</v>
      </c>
      <c r="V17" s="19" t="n">
        <f aca="false">IF(Delay!V17="","",Fee*$A17+Vq*Delay!V17)</f>
        <v>17.5523703463637</v>
      </c>
      <c r="W17" s="19" t="n">
        <f aca="false">IF(Delay!W17="","",Fee*$A17+Vq*Delay!W17)</f>
        <v>16.9455080818186</v>
      </c>
      <c r="X17" s="19" t="n">
        <f aca="false">IF(Delay!X17="","",Fee*$A17+Vq*Delay!X17)</f>
        <v>16.3487163320349</v>
      </c>
      <c r="Y17" s="19" t="n">
        <f aca="false">IF(Delay!Y17="","",Fee*$A17+Vq*Delay!Y17)</f>
        <v>15.7193558247338</v>
      </c>
      <c r="Z17" s="19" t="n">
        <f aca="false">IF(Delay!Z17="","",Fee*$A17+Vq*Delay!Z17)</f>
        <v>15.1011564324366</v>
      </c>
      <c r="AA17" s="19" t="n">
        <f aca="false">IF(Delay!AA17="","",Fee*$A17+Vq*Delay!AA17)</f>
        <v>14.5280942441154</v>
      </c>
      <c r="AB17" s="19" t="n">
        <f aca="false">IF(Delay!AB17="","",Fee*$A17+Vq*Delay!AB17)</f>
        <v>14.0047203133405</v>
      </c>
      <c r="AC17" s="19" t="n">
        <f aca="false">IF(Delay!AC17="","",Fee*$A17+Vq*Delay!AC17)</f>
        <v>13.4857639789316</v>
      </c>
      <c r="AD17" s="19" t="n">
        <f aca="false">IF(Delay!AD17="","",Fee*$A17+Vq*Delay!AD17)</f>
        <v>13.0241633663072</v>
      </c>
      <c r="AE17" s="19" t="n">
        <f aca="false">IF(Delay!AE17="","",Fee*$A17+Vq*Delay!AE17)</f>
        <v>12.5194215711771</v>
      </c>
      <c r="AF17" s="19" t="n">
        <f aca="false">IF(Delay!AF17="","",Fee*$A17+Vq*Delay!AF17)</f>
        <v>12.0823943949183</v>
      </c>
      <c r="AG17" s="19" t="n">
        <f aca="false">IF(Delay!AG17="","",Fee*$A17+Vq*Delay!AG17)</f>
        <v>11.6705701613409</v>
      </c>
      <c r="AH17" s="19" t="n">
        <f aca="false">IF(Delay!AH17="","",Fee*$A17+Vq*Delay!AH17)</f>
        <v>11.2711007822179</v>
      </c>
      <c r="AI17" s="19" t="n">
        <f aca="false">IF(Delay!AI17="","",Fee*$A17+Vq*Delay!AI17)</f>
        <v>10.8428443614974</v>
      </c>
      <c r="AJ17" s="19" t="n">
        <f aca="false">IF(Delay!AJ17="","",Fee*$A17+Vq*Delay!AJ17)</f>
        <v>10.4078538552874</v>
      </c>
      <c r="AK17" s="19" t="n">
        <f aca="false">IF(Delay!AK17="","",Fee*$A17+Vq*Delay!AK17)</f>
        <v>10.0125371042893</v>
      </c>
      <c r="AL17" s="19" t="n">
        <f aca="false">IF(Delay!AL17="","",Fee*$A17+Vq*Delay!AL17)</f>
        <v>9.6191197692572</v>
      </c>
      <c r="AM17" s="19" t="n">
        <f aca="false">IF(Delay!AM17="","",Fee*$A17+Vq*Delay!AM17)</f>
        <v>9.23919506557584</v>
      </c>
      <c r="AN17" s="19" t="n">
        <f aca="false">IF(Delay!AN17="","",Fee*$A17+Vq*Delay!AN17)</f>
        <v>8.91031738313856</v>
      </c>
      <c r="AO17" s="19" t="n">
        <f aca="false">IF(Delay!AO17="","",Fee*$A17+Vq*Delay!AO17)</f>
        <v>8.51314192441788</v>
      </c>
      <c r="AP17" s="19" t="n">
        <f aca="false">IF(Delay!AP17="","",Fee*$A17+Vq*Delay!AP17)</f>
        <v>8.18358410772684</v>
      </c>
      <c r="AQ17" s="19" t="n">
        <f aca="false">IF(Delay!AQ17="","",Fee*$A17+Vq*Delay!AQ17)</f>
        <v>7.86388212003274</v>
      </c>
      <c r="AR17" s="19" t="n">
        <f aca="false">IF(Delay!AR17="","",Fee*$A17+Vq*Delay!AR17)</f>
        <v>7.50734316980514</v>
      </c>
      <c r="AS17" s="19" t="n">
        <f aca="false">IF(Delay!AS17="","",Fee*$A17+Vq*Delay!AS17)</f>
        <v>7.15908238966482</v>
      </c>
      <c r="AT17" s="19" t="n">
        <f aca="false">IF(Delay!AT17="","",Fee*$A17+Vq*Delay!AT17)</f>
        <v>6.83506251122092</v>
      </c>
      <c r="AU17" s="19" t="n">
        <f aca="false">IF(Delay!AU17="","",Fee*$A17+Vq*Delay!AU17)</f>
        <v>6.51365682785954</v>
      </c>
      <c r="AV17" s="19" t="n">
        <f aca="false">IF(Delay!AV17="","",Fee*$A17+Vq*Delay!AV17)</f>
        <v>6.21528304966822</v>
      </c>
      <c r="AW17" s="19" t="n">
        <f aca="false">IF(Delay!AW17="","",Fee*$A17+Vq*Delay!AW17)</f>
        <v>5.8932295127041</v>
      </c>
      <c r="AX17" s="19" t="n">
        <f aca="false">IF(Delay!AX17="","",Fee*$A17+Vq*Delay!AX17)</f>
        <v>5.6085091619075</v>
      </c>
      <c r="AY17" s="19" t="n">
        <f aca="false">IF(Delay!AY17="","",Fee*$A17+Vq*Delay!AY17)</f>
        <v>5.34497531607272</v>
      </c>
      <c r="AZ17" s="19" t="n">
        <f aca="false">IF(Delay!AZ17="","",Fee*$A17+Vq*Delay!AZ17)</f>
        <v>5.07127178886452</v>
      </c>
      <c r="BA17" s="19" t="n">
        <f aca="false">IF(Delay!BA17="","",Fee*$A17+Vq*Delay!BA17)</f>
        <v>4.8028894809436</v>
      </c>
      <c r="BB17" s="19" t="n">
        <f aca="false">IF(Delay!BB17="","",Fee*$A17+Vq*Delay!BB17)</f>
        <v>4.53531143618374</v>
      </c>
      <c r="BC17" s="19" t="n">
        <f aca="false">IF(Delay!BC17="","",Fee*$A17+Vq*Delay!BC17)</f>
        <v>4.2796676614263</v>
      </c>
      <c r="BD17" s="19" t="n">
        <f aca="false">IF(Delay!BD17="","",Fee*$A17+Vq*Delay!BD17)</f>
        <v>3.97710493956244</v>
      </c>
      <c r="BE17" s="19" t="n">
        <f aca="false">IF(Delay!BE17="","",Fee*$A17+Vq*Delay!BE17)</f>
        <v>3.74853853027694</v>
      </c>
      <c r="BF17" s="19" t="n">
        <f aca="false">IF(Delay!BF17="","",Fee*$A17+Vq*Delay!BF17)</f>
        <v>3.48668720656786</v>
      </c>
      <c r="BG17" s="19" t="n">
        <f aca="false">IF(Delay!BG17="","",Fee*$A17+Vq*Delay!BG17)</f>
        <v>3.26627710517266</v>
      </c>
      <c r="BH17" s="19" t="n">
        <f aca="false">IF(Delay!BH17="","",Fee*$A17+Vq*Delay!BH17)</f>
        <v>3.01752018918636</v>
      </c>
      <c r="BI17" s="19" t="n">
        <f aca="false">IF(Delay!BI17="","",Fee*$A17+Vq*Delay!BI17)</f>
        <v>2.77804326000888</v>
      </c>
      <c r="BJ17" s="19" t="n">
        <f aca="false">IF(Delay!BJ17="","",Fee*$A17+Vq*Delay!BJ17)</f>
        <v>2.53128154783514</v>
      </c>
      <c r="BK17" s="19" t="n">
        <f aca="false">IF(Delay!BK17="","",Fee*$A17+Vq*Delay!BK17)</f>
        <v>2.30004819751152</v>
      </c>
      <c r="BL17" s="19" t="n">
        <f aca="false">IF(Delay!BL17="","",Fee*$A17+Vq*Delay!BL17)</f>
        <v>2.03614809997518</v>
      </c>
      <c r="BM17" s="19" t="n">
        <f aca="false">IF(Delay!BM17="","",Fee*$A17+Vq*Delay!BM17)</f>
        <v>1.80441165649144</v>
      </c>
      <c r="BN17" s="19" t="n">
        <f aca="false">IF(Delay!BN17="","",Fee*$A17+Vq*Delay!BN17)</f>
        <v>1.8</v>
      </c>
      <c r="BO17" s="19" t="n">
        <f aca="false">IF(Delay!BO17="","",Fee*$A17+Vq*Delay!BO17)</f>
        <v>1.8</v>
      </c>
      <c r="BP17" s="19" t="n">
        <f aca="false">IF(Delay!BP17="","",Fee*$A17+Vq*Delay!BP17)</f>
        <v>1.8</v>
      </c>
      <c r="BQ17" s="19" t="n">
        <f aca="false">IF(Delay!BQ17="","",Fee*$A17+Vq*Delay!BQ17)</f>
        <v>1.8</v>
      </c>
      <c r="BR17" s="19" t="n">
        <f aca="false">IF(Delay!BR17="","",Fee*$A17+Vq*Delay!BR17)</f>
        <v>1.8</v>
      </c>
      <c r="BS17" s="19" t="n">
        <f aca="false">IF(Delay!BS17="","",Fee*$A17+Vq*Delay!BS17)</f>
        <v>1.8</v>
      </c>
      <c r="BT17" s="19" t="n">
        <f aca="false">IF(Delay!BT17="","",Fee*$A17+Vq*Delay!BT17)</f>
        <v>1.8</v>
      </c>
      <c r="BU17" s="19" t="n">
        <f aca="false">IF(Delay!BU17="","",Fee*$A17+Vq*Delay!BU17)</f>
        <v>1.8</v>
      </c>
      <c r="BV17" s="19" t="n">
        <f aca="false">IF(Delay!BV17="","",Fee*$A17+Vq*Delay!BV17)</f>
        <v>1.8</v>
      </c>
      <c r="BW17" s="19" t="n">
        <f aca="false">IF(Delay!BW17="","",Fee*$A17+Vq*Delay!BW17)</f>
        <v>1.8</v>
      </c>
      <c r="BX17" s="19" t="n">
        <f aca="false">IF(Delay!BX17="","",Fee*$A17+Vq*Delay!BX17)</f>
        <v>1.8</v>
      </c>
      <c r="BY17" s="19" t="n">
        <f aca="false">IF(Delay!BY17="","",Fee*$A17+Vq*Delay!BY17)</f>
        <v>1.8</v>
      </c>
      <c r="BZ17" s="19" t="n">
        <f aca="false">IF(Delay!BZ17="","",Fee*$A17+Vq*Delay!BZ17)</f>
        <v>1.8</v>
      </c>
      <c r="CA17" s="19" t="n">
        <f aca="false">IF(Delay!CA17="","",Fee*$A17+Vq*Delay!CA17)</f>
        <v>1.8</v>
      </c>
      <c r="CB17" s="19" t="n">
        <f aca="false">IF(Delay!CB17="","",Fee*$A17+Vq*Delay!CB17)</f>
        <v>1.8</v>
      </c>
      <c r="CC17" s="19" t="n">
        <f aca="false">IF(Delay!CC17="","",Fee*$A17+Vq*Delay!CC17)</f>
        <v>1.8</v>
      </c>
      <c r="CD17" s="19" t="n">
        <f aca="false">IF(Delay!CD17="","",Fee*$A17+Vq*Delay!CD17)</f>
        <v>1.8</v>
      </c>
      <c r="CE17" s="19" t="n">
        <f aca="false">IF(Delay!CE17="","",Fee*$A17+Vq*Delay!CE17)</f>
        <v>1.8</v>
      </c>
      <c r="CF17" s="19" t="n">
        <f aca="false">IF(Delay!CF17="","",Fee*$A17+Vq*Delay!CF17)</f>
        <v>1.8</v>
      </c>
      <c r="CG17" s="19" t="n">
        <f aca="false">IF(Delay!CG17="","",Fee*$A17+Vq*Delay!CG17)</f>
        <v>1.8</v>
      </c>
      <c r="CH17" s="19" t="n">
        <f aca="false">IF(Delay!CH17="","",Fee*$A17+Vq*Delay!CH17)</f>
        <v>1.8</v>
      </c>
      <c r="CI17" s="19" t="n">
        <f aca="false">IF(Delay!CI17="","",Fee*$A17+Vq*Delay!CI17)</f>
        <v>1.8</v>
      </c>
      <c r="CJ17" s="19" t="n">
        <f aca="false">IF(Delay!CJ17="","",Fee*$A17+Vq*Delay!CJ17)</f>
        <v>1.8</v>
      </c>
      <c r="CK17" s="19" t="n">
        <f aca="false">IF(Delay!CK17="","",Fee*$A17+Vq*Delay!CK17)</f>
        <v>1.8</v>
      </c>
      <c r="CL17" s="19" t="n">
        <f aca="false">IF(Delay!CL17="","",Fee*$A17+Vq*Delay!CL17)</f>
        <v>1.8</v>
      </c>
      <c r="CM17" s="19" t="n">
        <f aca="false">IF(Delay!CM17="","",Fee*$A17+Vq*Delay!CM17)</f>
        <v>1.8</v>
      </c>
      <c r="CN17" s="19" t="n">
        <f aca="false">IF(Delay!CN17="","",Fee*$A17+Vq*Delay!CN17)</f>
        <v>1.8</v>
      </c>
      <c r="CO17" s="19" t="n">
        <f aca="false">IF(Delay!CO17="","",Fee*$A17+Vq*Delay!CO17)</f>
        <v>1.8</v>
      </c>
      <c r="CP17" s="19" t="n">
        <f aca="false">IF(Delay!CP17="","",Fee*$A17+Vq*Delay!CP17)</f>
        <v>1.8</v>
      </c>
      <c r="CQ17" s="19" t="n">
        <f aca="false">IF(Delay!CQ17="","",Fee*$A17+Vq*Delay!CQ17)</f>
        <v>1.8</v>
      </c>
      <c r="CR17" s="19" t="n">
        <f aca="false">IF(Delay!CR17="","",Fee*$A17+Vq*Delay!CR17)</f>
        <v>1.8</v>
      </c>
      <c r="CS17" s="19" t="n">
        <f aca="false">IF(Delay!CS17="","",Fee*$A17+Vq*Delay!CS17)</f>
        <v>1.8</v>
      </c>
      <c r="CT17" s="19" t="n">
        <f aca="false">IF(Delay!CT17="","",Fee*$A17+Vq*Delay!CT17)</f>
        <v>28.6160470888138</v>
      </c>
    </row>
    <row r="18" customFormat="false" ht="15" hidden="false" customHeight="false" outlineLevel="0" collapsed="false">
      <c r="A18" s="25" t="n">
        <f aca="false">Quantiles!A18</f>
        <v>65</v>
      </c>
      <c r="B18" s="19" t="n">
        <f aca="false">IF(Delay!B18="","",Fee*$A18+Vq*Delay!B18)</f>
        <v>44.512970948001</v>
      </c>
      <c r="C18" s="19" t="n">
        <f aca="false">IF(Delay!C18="","",Fee*$A18+Vq*Delay!C18)</f>
        <v>40.8514823325114</v>
      </c>
      <c r="D18" s="19" t="n">
        <f aca="false">IF(Delay!D18="","",Fee*$A18+Vq*Delay!D18)</f>
        <v>38.0582177612816</v>
      </c>
      <c r="E18" s="19" t="n">
        <f aca="false">IF(Delay!E18="","",Fee*$A18+Vq*Delay!E18)</f>
        <v>35.7520209178136</v>
      </c>
      <c r="F18" s="19" t="n">
        <f aca="false">IF(Delay!F18="","",Fee*$A18+Vq*Delay!F18)</f>
        <v>33.6861254218642</v>
      </c>
      <c r="G18" s="19" t="n">
        <f aca="false">IF(Delay!G18="","",Fee*$A18+Vq*Delay!G18)</f>
        <v>31.7295509632879</v>
      </c>
      <c r="H18" s="19" t="n">
        <f aca="false">IF(Delay!H18="","",Fee*$A18+Vq*Delay!H18)</f>
        <v>30.0026222476888</v>
      </c>
      <c r="I18" s="19" t="n">
        <f aca="false">IF(Delay!I18="","",Fee*$A18+Vq*Delay!I18)</f>
        <v>28.3977327711768</v>
      </c>
      <c r="J18" s="19" t="n">
        <f aca="false">IF(Delay!J18="","",Fee*$A18+Vq*Delay!J18)</f>
        <v>27.0490026027863</v>
      </c>
      <c r="K18" s="19" t="n">
        <f aca="false">IF(Delay!K18="","",Fee*$A18+Vq*Delay!K18)</f>
        <v>25.8244158220079</v>
      </c>
      <c r="L18" s="19" t="n">
        <f aca="false">IF(Delay!L18="","",Fee*$A18+Vq*Delay!L18)</f>
        <v>24.6601627275971</v>
      </c>
      <c r="M18" s="19" t="n">
        <f aca="false">IF(Delay!M18="","",Fee*$A18+Vq*Delay!M18)</f>
        <v>23.6248015944753</v>
      </c>
      <c r="N18" s="19" t="n">
        <f aca="false">IF(Delay!N18="","",Fee*$A18+Vq*Delay!N18)</f>
        <v>22.6899324520743</v>
      </c>
      <c r="O18" s="19" t="n">
        <f aca="false">IF(Delay!O18="","",Fee*$A18+Vq*Delay!O18)</f>
        <v>21.8158071731198</v>
      </c>
      <c r="P18" s="19" t="n">
        <f aca="false">IF(Delay!P18="","",Fee*$A18+Vq*Delay!P18)</f>
        <v>20.9161147068008</v>
      </c>
      <c r="Q18" s="19" t="n">
        <f aca="false">IF(Delay!Q18="","",Fee*$A18+Vq*Delay!Q18)</f>
        <v>19.9624846853351</v>
      </c>
      <c r="R18" s="19" t="n">
        <f aca="false">IF(Delay!R18="","",Fee*$A18+Vq*Delay!R18)</f>
        <v>19.1787753081431</v>
      </c>
      <c r="S18" s="19" t="n">
        <f aca="false">IF(Delay!S18="","",Fee*$A18+Vq*Delay!S18)</f>
        <v>18.4135109571495</v>
      </c>
      <c r="T18" s="19" t="n">
        <f aca="false">IF(Delay!T18="","",Fee*$A18+Vq*Delay!T18)</f>
        <v>17.6898599354392</v>
      </c>
      <c r="U18" s="19" t="n">
        <f aca="false">IF(Delay!U18="","",Fee*$A18+Vq*Delay!U18)</f>
        <v>17.0420899349121</v>
      </c>
      <c r="V18" s="19" t="n">
        <f aca="false">IF(Delay!V18="","",Fee*$A18+Vq*Delay!V18)</f>
        <v>16.4941975304148</v>
      </c>
      <c r="W18" s="19" t="n">
        <f aca="false">IF(Delay!W18="","",Fee*$A18+Vq*Delay!W18)</f>
        <v>15.8797672658467</v>
      </c>
      <c r="X18" s="19" t="n">
        <f aca="false">IF(Delay!X18="","",Fee*$A18+Vq*Delay!X18)</f>
        <v>15.2506719115318</v>
      </c>
      <c r="Y18" s="19" t="n">
        <f aca="false">IF(Delay!Y18="","",Fee*$A18+Vq*Delay!Y18)</f>
        <v>14.7165543345396</v>
      </c>
      <c r="Z18" s="19" t="n">
        <f aca="false">IF(Delay!Z18="","",Fee*$A18+Vq*Delay!Z18)</f>
        <v>14.1795044727996</v>
      </c>
      <c r="AA18" s="19" t="n">
        <f aca="false">IF(Delay!AA18="","",Fee*$A18+Vq*Delay!AA18)</f>
        <v>13.6418684403199</v>
      </c>
      <c r="AB18" s="19" t="n">
        <f aca="false">IF(Delay!AB18="","",Fee*$A18+Vq*Delay!AB18)</f>
        <v>13.1189136712203</v>
      </c>
      <c r="AC18" s="19" t="n">
        <f aca="false">IF(Delay!AC18="","",Fee*$A18+Vq*Delay!AC18)</f>
        <v>12.6281579208266</v>
      </c>
      <c r="AD18" s="19" t="n">
        <f aca="false">IF(Delay!AD18="","",Fee*$A18+Vq*Delay!AD18)</f>
        <v>12.1552165669018</v>
      </c>
      <c r="AE18" s="19" t="n">
        <f aca="false">IF(Delay!AE18="","",Fee*$A18+Vq*Delay!AE18)</f>
        <v>11.7379752166021</v>
      </c>
      <c r="AF18" s="19" t="n">
        <f aca="false">IF(Delay!AF18="","",Fee*$A18+Vq*Delay!AF18)</f>
        <v>11.2765323027027</v>
      </c>
      <c r="AG18" s="19" t="n">
        <f aca="false">IF(Delay!AG18="","",Fee*$A18+Vq*Delay!AG18)</f>
        <v>10.8465522256994</v>
      </c>
      <c r="AH18" s="19" t="n">
        <f aca="false">IF(Delay!AH18="","",Fee*$A18+Vq*Delay!AH18)</f>
        <v>10.455569188095</v>
      </c>
      <c r="AI18" s="19" t="n">
        <f aca="false">IF(Delay!AI18="","",Fee*$A18+Vq*Delay!AI18)</f>
        <v>10.0691250487615</v>
      </c>
      <c r="AJ18" s="19" t="n">
        <f aca="false">IF(Delay!AJ18="","",Fee*$A18+Vq*Delay!AJ18)</f>
        <v>9.68821843077934</v>
      </c>
      <c r="AK18" s="19" t="n">
        <f aca="false">IF(Delay!AK18="","",Fee*$A18+Vq*Delay!AK18)</f>
        <v>9.2898027599647</v>
      </c>
      <c r="AL18" s="19" t="n">
        <f aca="false">IF(Delay!AL18="","",Fee*$A18+Vq*Delay!AL18)</f>
        <v>8.9267477733876</v>
      </c>
      <c r="AM18" s="19" t="n">
        <f aca="false">IF(Delay!AM18="","",Fee*$A18+Vq*Delay!AM18)</f>
        <v>8.55129048055714</v>
      </c>
      <c r="AN18" s="19" t="n">
        <f aca="false">IF(Delay!AN18="","",Fee*$A18+Vq*Delay!AN18)</f>
        <v>8.19511460320542</v>
      </c>
      <c r="AO18" s="19" t="n">
        <f aca="false">IF(Delay!AO18="","",Fee*$A18+Vq*Delay!AO18)</f>
        <v>7.85081713741016</v>
      </c>
      <c r="AP18" s="19" t="n">
        <f aca="false">IF(Delay!AP18="","",Fee*$A18+Vq*Delay!AP18)</f>
        <v>7.52451321375532</v>
      </c>
      <c r="AQ18" s="19" t="n">
        <f aca="false">IF(Delay!AQ18="","",Fee*$A18+Vq*Delay!AQ18)</f>
        <v>7.19261556718692</v>
      </c>
      <c r="AR18" s="19" t="n">
        <f aca="false">IF(Delay!AR18="","",Fee*$A18+Vq*Delay!AR18)</f>
        <v>6.83385192248662</v>
      </c>
      <c r="AS18" s="19" t="n">
        <f aca="false">IF(Delay!AS18="","",Fee*$A18+Vq*Delay!AS18)</f>
        <v>6.55202431160284</v>
      </c>
      <c r="AT18" s="19" t="n">
        <f aca="false">IF(Delay!AT18="","",Fee*$A18+Vq*Delay!AT18)</f>
        <v>6.25418349448594</v>
      </c>
      <c r="AU18" s="19" t="n">
        <f aca="false">IF(Delay!AU18="","",Fee*$A18+Vq*Delay!AU18)</f>
        <v>5.95842652939186</v>
      </c>
      <c r="AV18" s="19" t="n">
        <f aca="false">IF(Delay!AV18="","",Fee*$A18+Vq*Delay!AV18)</f>
        <v>5.65937685221354</v>
      </c>
      <c r="AW18" s="19" t="n">
        <f aca="false">IF(Delay!AW18="","",Fee*$A18+Vq*Delay!AW18)</f>
        <v>5.38908433574108</v>
      </c>
      <c r="AX18" s="19" t="n">
        <f aca="false">IF(Delay!AX18="","",Fee*$A18+Vq*Delay!AX18)</f>
        <v>5.10646544920064</v>
      </c>
      <c r="AY18" s="19" t="n">
        <f aca="false">IF(Delay!AY18="","",Fee*$A18+Vq*Delay!AY18)</f>
        <v>4.8176709463121</v>
      </c>
      <c r="AZ18" s="19" t="n">
        <f aca="false">IF(Delay!AZ18="","",Fee*$A18+Vq*Delay!AZ18)</f>
        <v>4.54695447642742</v>
      </c>
      <c r="BA18" s="19" t="n">
        <f aca="false">IF(Delay!BA18="","",Fee*$A18+Vq*Delay!BA18)</f>
        <v>4.2616916992856</v>
      </c>
      <c r="BB18" s="19" t="n">
        <f aca="false">IF(Delay!BB18="","",Fee*$A18+Vq*Delay!BB18)</f>
        <v>4.00899350450076</v>
      </c>
      <c r="BC18" s="19" t="n">
        <f aca="false">IF(Delay!BC18="","",Fee*$A18+Vq*Delay!BC18)</f>
        <v>3.75643945047592</v>
      </c>
      <c r="BD18" s="19" t="n">
        <f aca="false">IF(Delay!BD18="","",Fee*$A18+Vq*Delay!BD18)</f>
        <v>3.52353902863852</v>
      </c>
      <c r="BE18" s="19" t="n">
        <f aca="false">IF(Delay!BE18="","",Fee*$A18+Vq*Delay!BE18)</f>
        <v>3.2909234445283</v>
      </c>
      <c r="BF18" s="19" t="n">
        <f aca="false">IF(Delay!BF18="","",Fee*$A18+Vq*Delay!BF18)</f>
        <v>3.02850444690922</v>
      </c>
      <c r="BG18" s="19" t="n">
        <f aca="false">IF(Delay!BG18="","",Fee*$A18+Vq*Delay!BG18)</f>
        <v>2.79726949312816</v>
      </c>
      <c r="BH18" s="19" t="n">
        <f aca="false">IF(Delay!BH18="","",Fee*$A18+Vq*Delay!BH18)</f>
        <v>2.54858607079668</v>
      </c>
      <c r="BI18" s="19" t="n">
        <f aca="false">IF(Delay!BI18="","",Fee*$A18+Vq*Delay!BI18)</f>
        <v>2.29363416103298</v>
      </c>
      <c r="BJ18" s="19" t="n">
        <f aca="false">IF(Delay!BJ18="","",Fee*$A18+Vq*Delay!BJ18)</f>
        <v>2.06871559135782</v>
      </c>
      <c r="BK18" s="19" t="n">
        <f aca="false">IF(Delay!BK18="","",Fee*$A18+Vq*Delay!BK18)</f>
        <v>1.95</v>
      </c>
      <c r="BL18" s="19" t="n">
        <f aca="false">IF(Delay!BL18="","",Fee*$A18+Vq*Delay!BL18)</f>
        <v>1.95</v>
      </c>
      <c r="BM18" s="19" t="n">
        <f aca="false">IF(Delay!BM18="","",Fee*$A18+Vq*Delay!BM18)</f>
        <v>1.95</v>
      </c>
      <c r="BN18" s="19" t="n">
        <f aca="false">IF(Delay!BN18="","",Fee*$A18+Vq*Delay!BN18)</f>
        <v>1.95</v>
      </c>
      <c r="BO18" s="19" t="n">
        <f aca="false">IF(Delay!BO18="","",Fee*$A18+Vq*Delay!BO18)</f>
        <v>1.95</v>
      </c>
      <c r="BP18" s="19" t="n">
        <f aca="false">IF(Delay!BP18="","",Fee*$A18+Vq*Delay!BP18)</f>
        <v>1.95</v>
      </c>
      <c r="BQ18" s="19" t="n">
        <f aca="false">IF(Delay!BQ18="","",Fee*$A18+Vq*Delay!BQ18)</f>
        <v>1.95</v>
      </c>
      <c r="BR18" s="19" t="n">
        <f aca="false">IF(Delay!BR18="","",Fee*$A18+Vq*Delay!BR18)</f>
        <v>1.95</v>
      </c>
      <c r="BS18" s="19" t="n">
        <f aca="false">IF(Delay!BS18="","",Fee*$A18+Vq*Delay!BS18)</f>
        <v>1.95</v>
      </c>
      <c r="BT18" s="19" t="n">
        <f aca="false">IF(Delay!BT18="","",Fee*$A18+Vq*Delay!BT18)</f>
        <v>1.95</v>
      </c>
      <c r="BU18" s="19" t="n">
        <f aca="false">IF(Delay!BU18="","",Fee*$A18+Vq*Delay!BU18)</f>
        <v>1.95</v>
      </c>
      <c r="BV18" s="19" t="n">
        <f aca="false">IF(Delay!BV18="","",Fee*$A18+Vq*Delay!BV18)</f>
        <v>1.95</v>
      </c>
      <c r="BW18" s="19" t="n">
        <f aca="false">IF(Delay!BW18="","",Fee*$A18+Vq*Delay!BW18)</f>
        <v>1.95</v>
      </c>
      <c r="BX18" s="19" t="n">
        <f aca="false">IF(Delay!BX18="","",Fee*$A18+Vq*Delay!BX18)</f>
        <v>1.95</v>
      </c>
      <c r="BY18" s="19" t="n">
        <f aca="false">IF(Delay!BY18="","",Fee*$A18+Vq*Delay!BY18)</f>
        <v>1.95</v>
      </c>
      <c r="BZ18" s="19" t="n">
        <f aca="false">IF(Delay!BZ18="","",Fee*$A18+Vq*Delay!BZ18)</f>
        <v>1.95</v>
      </c>
      <c r="CA18" s="19" t="n">
        <f aca="false">IF(Delay!CA18="","",Fee*$A18+Vq*Delay!CA18)</f>
        <v>1.95</v>
      </c>
      <c r="CB18" s="19" t="n">
        <f aca="false">IF(Delay!CB18="","",Fee*$A18+Vq*Delay!CB18)</f>
        <v>1.95</v>
      </c>
      <c r="CC18" s="19" t="n">
        <f aca="false">IF(Delay!CC18="","",Fee*$A18+Vq*Delay!CC18)</f>
        <v>1.95</v>
      </c>
      <c r="CD18" s="19" t="n">
        <f aca="false">IF(Delay!CD18="","",Fee*$A18+Vq*Delay!CD18)</f>
        <v>1.95</v>
      </c>
      <c r="CE18" s="19" t="n">
        <f aca="false">IF(Delay!CE18="","",Fee*$A18+Vq*Delay!CE18)</f>
        <v>1.95</v>
      </c>
      <c r="CF18" s="19" t="n">
        <f aca="false">IF(Delay!CF18="","",Fee*$A18+Vq*Delay!CF18)</f>
        <v>1.95</v>
      </c>
      <c r="CG18" s="19" t="n">
        <f aca="false">IF(Delay!CG18="","",Fee*$A18+Vq*Delay!CG18)</f>
        <v>1.95</v>
      </c>
      <c r="CH18" s="19" t="n">
        <f aca="false">IF(Delay!CH18="","",Fee*$A18+Vq*Delay!CH18)</f>
        <v>1.95</v>
      </c>
      <c r="CI18" s="19" t="n">
        <f aca="false">IF(Delay!CI18="","",Fee*$A18+Vq*Delay!CI18)</f>
        <v>1.95</v>
      </c>
      <c r="CJ18" s="19" t="n">
        <f aca="false">IF(Delay!CJ18="","",Fee*$A18+Vq*Delay!CJ18)</f>
        <v>1.95</v>
      </c>
      <c r="CK18" s="19" t="n">
        <f aca="false">IF(Delay!CK18="","",Fee*$A18+Vq*Delay!CK18)</f>
        <v>1.95</v>
      </c>
      <c r="CL18" s="19" t="n">
        <f aca="false">IF(Delay!CL18="","",Fee*$A18+Vq*Delay!CL18)</f>
        <v>1.95</v>
      </c>
      <c r="CM18" s="19" t="n">
        <f aca="false">IF(Delay!CM18="","",Fee*$A18+Vq*Delay!CM18)</f>
        <v>1.95</v>
      </c>
      <c r="CN18" s="19" t="n">
        <f aca="false">IF(Delay!CN18="","",Fee*$A18+Vq*Delay!CN18)</f>
        <v>1.95</v>
      </c>
      <c r="CO18" s="19" t="n">
        <f aca="false">IF(Delay!CO18="","",Fee*$A18+Vq*Delay!CO18)</f>
        <v>1.95</v>
      </c>
      <c r="CP18" s="19" t="n">
        <f aca="false">IF(Delay!CP18="","",Fee*$A18+Vq*Delay!CP18)</f>
        <v>1.95</v>
      </c>
      <c r="CQ18" s="19" t="n">
        <f aca="false">IF(Delay!CQ18="","",Fee*$A18+Vq*Delay!CQ18)</f>
        <v>1.95</v>
      </c>
      <c r="CR18" s="19" t="n">
        <f aca="false">IF(Delay!CR18="","",Fee*$A18+Vq*Delay!CR18)</f>
        <v>1.95</v>
      </c>
      <c r="CS18" s="19" t="n">
        <f aca="false">IF(Delay!CS18="","",Fee*$A18+Vq*Delay!CS18)</f>
        <v>1.95</v>
      </c>
      <c r="CT18" s="19" t="n">
        <f aca="false">IF(Delay!CT18="","",Fee*$A18+Vq*Delay!CT18)</f>
        <v>27.0190819734672</v>
      </c>
    </row>
    <row r="19" customFormat="false" ht="15" hidden="false" customHeight="false" outlineLevel="0" collapsed="false">
      <c r="A19" s="25" t="n">
        <f aca="false">Quantiles!A19</f>
        <v>70</v>
      </c>
      <c r="B19" s="19" t="n">
        <f aca="false">IF(Delay!B19="","",Fee*$A19+Vq*Delay!B19)</f>
        <v>42.4869622682861</v>
      </c>
      <c r="C19" s="19" t="n">
        <f aca="false">IF(Delay!C19="","",Fee*$A19+Vq*Delay!C19)</f>
        <v>38.663161482833</v>
      </c>
      <c r="D19" s="19" t="n">
        <f aca="false">IF(Delay!D19="","",Fee*$A19+Vq*Delay!D19)</f>
        <v>36.2063793095781</v>
      </c>
      <c r="E19" s="19" t="n">
        <f aca="false">IF(Delay!E19="","",Fee*$A19+Vq*Delay!E19)</f>
        <v>33.9355644548723</v>
      </c>
      <c r="F19" s="19" t="n">
        <f aca="false">IF(Delay!F19="","",Fee*$A19+Vq*Delay!F19)</f>
        <v>31.940674239132</v>
      </c>
      <c r="G19" s="19" t="n">
        <f aca="false">IF(Delay!G19="","",Fee*$A19+Vq*Delay!G19)</f>
        <v>30.0565939211387</v>
      </c>
      <c r="H19" s="19" t="n">
        <f aca="false">IF(Delay!H19="","",Fee*$A19+Vq*Delay!H19)</f>
        <v>28.3707467811527</v>
      </c>
      <c r="I19" s="19" t="n">
        <f aca="false">IF(Delay!I19="","",Fee*$A19+Vq*Delay!I19)</f>
        <v>26.8418576146777</v>
      </c>
      <c r="J19" s="19" t="n">
        <f aca="false">IF(Delay!J19="","",Fee*$A19+Vq*Delay!J19)</f>
        <v>25.5331393692464</v>
      </c>
      <c r="K19" s="19" t="n">
        <f aca="false">IF(Delay!K19="","",Fee*$A19+Vq*Delay!K19)</f>
        <v>24.4218609130078</v>
      </c>
      <c r="L19" s="19" t="n">
        <f aca="false">IF(Delay!L19="","",Fee*$A19+Vq*Delay!L19)</f>
        <v>23.3076876180985</v>
      </c>
      <c r="M19" s="19" t="n">
        <f aca="false">IF(Delay!M19="","",Fee*$A19+Vq*Delay!M19)</f>
        <v>22.338076092523</v>
      </c>
      <c r="N19" s="19" t="n">
        <f aca="false">IF(Delay!N19="","",Fee*$A19+Vq*Delay!N19)</f>
        <v>21.4780541969045</v>
      </c>
      <c r="O19" s="19" t="n">
        <f aca="false">IF(Delay!O19="","",Fee*$A19+Vq*Delay!O19)</f>
        <v>20.5134470531978</v>
      </c>
      <c r="P19" s="19" t="n">
        <f aca="false">IF(Delay!P19="","",Fee*$A19+Vq*Delay!P19)</f>
        <v>19.6987182588387</v>
      </c>
      <c r="Q19" s="19" t="n">
        <f aca="false">IF(Delay!Q19="","",Fee*$A19+Vq*Delay!Q19)</f>
        <v>18.8687434904705</v>
      </c>
      <c r="R19" s="19" t="n">
        <f aca="false">IF(Delay!R19="","",Fee*$A19+Vq*Delay!R19)</f>
        <v>18.0786079183129</v>
      </c>
      <c r="S19" s="19" t="n">
        <f aca="false">IF(Delay!S19="","",Fee*$A19+Vq*Delay!S19)</f>
        <v>17.4035041363617</v>
      </c>
      <c r="T19" s="19" t="n">
        <f aca="false">IF(Delay!T19="","",Fee*$A19+Vq*Delay!T19)</f>
        <v>16.6946101534354</v>
      </c>
      <c r="U19" s="19" t="n">
        <f aca="false">IF(Delay!U19="","",Fee*$A19+Vq*Delay!U19)</f>
        <v>16.0391339415733</v>
      </c>
      <c r="V19" s="19" t="n">
        <f aca="false">IF(Delay!V19="","",Fee*$A19+Vq*Delay!V19)</f>
        <v>15.3816361898607</v>
      </c>
      <c r="W19" s="19" t="n">
        <f aca="false">IF(Delay!W19="","",Fee*$A19+Vq*Delay!W19)</f>
        <v>14.8434608753835</v>
      </c>
      <c r="X19" s="19" t="n">
        <f aca="false">IF(Delay!X19="","",Fee*$A19+Vq*Delay!X19)</f>
        <v>14.3069267369378</v>
      </c>
      <c r="Y19" s="19" t="n">
        <f aca="false">IF(Delay!Y19="","",Fee*$A19+Vq*Delay!Y19)</f>
        <v>13.761833321885</v>
      </c>
      <c r="Z19" s="19" t="n">
        <f aca="false">IF(Delay!Z19="","",Fee*$A19+Vq*Delay!Z19)</f>
        <v>13.261516577171</v>
      </c>
      <c r="AA19" s="19" t="n">
        <f aca="false">IF(Delay!AA19="","",Fee*$A19+Vq*Delay!AA19)</f>
        <v>12.7780550231237</v>
      </c>
      <c r="AB19" s="19" t="n">
        <f aca="false">IF(Delay!AB19="","",Fee*$A19+Vq*Delay!AB19)</f>
        <v>12.2942075186828</v>
      </c>
      <c r="AC19" s="19" t="n">
        <f aca="false">IF(Delay!AC19="","",Fee*$A19+Vq*Delay!AC19)</f>
        <v>11.856410767278</v>
      </c>
      <c r="AD19" s="19" t="n">
        <f aca="false">IF(Delay!AD19="","",Fee*$A19+Vq*Delay!AD19)</f>
        <v>11.3842775638348</v>
      </c>
      <c r="AE19" s="19" t="n">
        <f aca="false">IF(Delay!AE19="","",Fee*$A19+Vq*Delay!AE19)</f>
        <v>10.9707673477285</v>
      </c>
      <c r="AF19" s="19" t="n">
        <f aca="false">IF(Delay!AF19="","",Fee*$A19+Vq*Delay!AF19)</f>
        <v>10.5623895559055</v>
      </c>
      <c r="AG19" s="19" t="n">
        <f aca="false">IF(Delay!AG19="","",Fee*$A19+Vq*Delay!AG19)</f>
        <v>10.1302635856301</v>
      </c>
      <c r="AH19" s="19" t="n">
        <f aca="false">IF(Delay!AH19="","",Fee*$A19+Vq*Delay!AH19)</f>
        <v>9.72134646284372</v>
      </c>
      <c r="AI19" s="19" t="n">
        <f aca="false">IF(Delay!AI19="","",Fee*$A19+Vq*Delay!AI19)</f>
        <v>9.34730620700978</v>
      </c>
      <c r="AJ19" s="19" t="n">
        <f aca="false">IF(Delay!AJ19="","",Fee*$A19+Vq*Delay!AJ19)</f>
        <v>8.9882877335718</v>
      </c>
      <c r="AK19" s="19" t="n">
        <f aca="false">IF(Delay!AK19="","",Fee*$A19+Vq*Delay!AK19)</f>
        <v>8.63573837066496</v>
      </c>
      <c r="AL19" s="19" t="n">
        <f aca="false">IF(Delay!AL19="","",Fee*$A19+Vq*Delay!AL19)</f>
        <v>8.27106640847536</v>
      </c>
      <c r="AM19" s="19" t="n">
        <f aca="false">IF(Delay!AM19="","",Fee*$A19+Vq*Delay!AM19)</f>
        <v>7.90530306078258</v>
      </c>
      <c r="AN19" s="19" t="n">
        <f aca="false">IF(Delay!AN19="","",Fee*$A19+Vq*Delay!AN19)</f>
        <v>7.56428219737662</v>
      </c>
      <c r="AO19" s="19" t="n">
        <f aca="false">IF(Delay!AO19="","",Fee*$A19+Vq*Delay!AO19)</f>
        <v>7.2233097815087</v>
      </c>
      <c r="AP19" s="19" t="n">
        <f aca="false">IF(Delay!AP19="","",Fee*$A19+Vq*Delay!AP19)</f>
        <v>6.89799188205614</v>
      </c>
      <c r="AQ19" s="19" t="n">
        <f aca="false">IF(Delay!AQ19="","",Fee*$A19+Vq*Delay!AQ19)</f>
        <v>6.57689624829096</v>
      </c>
      <c r="AR19" s="19" t="n">
        <f aca="false">IF(Delay!AR19="","",Fee*$A19+Vq*Delay!AR19)</f>
        <v>6.28004627740488</v>
      </c>
      <c r="AS19" s="19" t="n">
        <f aca="false">IF(Delay!AS19="","",Fee*$A19+Vq*Delay!AS19)</f>
        <v>5.99725592863514</v>
      </c>
      <c r="AT19" s="19" t="n">
        <f aca="false">IF(Delay!AT19="","",Fee*$A19+Vq*Delay!AT19)</f>
        <v>5.71600107620392</v>
      </c>
      <c r="AU19" s="19" t="n">
        <f aca="false">IF(Delay!AU19="","",Fee*$A19+Vq*Delay!AU19)</f>
        <v>5.41758293724426</v>
      </c>
      <c r="AV19" s="19" t="n">
        <f aca="false">IF(Delay!AV19="","",Fee*$A19+Vq*Delay!AV19)</f>
        <v>5.13771551258812</v>
      </c>
      <c r="AW19" s="19" t="n">
        <f aca="false">IF(Delay!AW19="","",Fee*$A19+Vq*Delay!AW19)</f>
        <v>4.8803276107295</v>
      </c>
      <c r="AX19" s="19" t="n">
        <f aca="false">IF(Delay!AX19="","",Fee*$A19+Vq*Delay!AX19)</f>
        <v>4.6196112281975</v>
      </c>
      <c r="AY19" s="19" t="n">
        <f aca="false">IF(Delay!AY19="","",Fee*$A19+Vq*Delay!AY19)</f>
        <v>4.33137900305826</v>
      </c>
      <c r="AZ19" s="19" t="n">
        <f aca="false">IF(Delay!AZ19="","",Fee*$A19+Vq*Delay!AZ19)</f>
        <v>4.07567955946702</v>
      </c>
      <c r="BA19" s="19" t="n">
        <f aca="false">IF(Delay!BA19="","",Fee*$A19+Vq*Delay!BA19)</f>
        <v>3.8128561313996</v>
      </c>
      <c r="BB19" s="19" t="n">
        <f aca="false">IF(Delay!BB19="","",Fee*$A19+Vq*Delay!BB19)</f>
        <v>3.5806219614642</v>
      </c>
      <c r="BC19" s="19" t="n">
        <f aca="false">IF(Delay!BC19="","",Fee*$A19+Vq*Delay!BC19)</f>
        <v>3.31372529709508</v>
      </c>
      <c r="BD19" s="19" t="n">
        <f aca="false">IF(Delay!BD19="","",Fee*$A19+Vq*Delay!BD19)</f>
        <v>3.06763438024534</v>
      </c>
      <c r="BE19" s="19" t="n">
        <f aca="false">IF(Delay!BE19="","",Fee*$A19+Vq*Delay!BE19)</f>
        <v>2.8162299658834</v>
      </c>
      <c r="BF19" s="19" t="n">
        <f aca="false">IF(Delay!BF19="","",Fee*$A19+Vq*Delay!BF19)</f>
        <v>2.58413852664158</v>
      </c>
      <c r="BG19" s="19" t="n">
        <f aca="false">IF(Delay!BG19="","",Fee*$A19+Vq*Delay!BG19)</f>
        <v>2.32330745858502</v>
      </c>
      <c r="BH19" s="19" t="n">
        <f aca="false">IF(Delay!BH19="","",Fee*$A19+Vq*Delay!BH19)</f>
        <v>2.11768409636464</v>
      </c>
      <c r="BI19" s="19" t="n">
        <f aca="false">IF(Delay!BI19="","",Fee*$A19+Vq*Delay!BI19)</f>
        <v>2.1</v>
      </c>
      <c r="BJ19" s="19" t="n">
        <f aca="false">IF(Delay!BJ19="","",Fee*$A19+Vq*Delay!BJ19)</f>
        <v>2.1</v>
      </c>
      <c r="BK19" s="19" t="n">
        <f aca="false">IF(Delay!BK19="","",Fee*$A19+Vq*Delay!BK19)</f>
        <v>2.1</v>
      </c>
      <c r="BL19" s="19" t="n">
        <f aca="false">IF(Delay!BL19="","",Fee*$A19+Vq*Delay!BL19)</f>
        <v>2.1</v>
      </c>
      <c r="BM19" s="19" t="n">
        <f aca="false">IF(Delay!BM19="","",Fee*$A19+Vq*Delay!BM19)</f>
        <v>2.1</v>
      </c>
      <c r="BN19" s="19" t="n">
        <f aca="false">IF(Delay!BN19="","",Fee*$A19+Vq*Delay!BN19)</f>
        <v>2.1</v>
      </c>
      <c r="BO19" s="19" t="n">
        <f aca="false">IF(Delay!BO19="","",Fee*$A19+Vq*Delay!BO19)</f>
        <v>2.1</v>
      </c>
      <c r="BP19" s="19" t="n">
        <f aca="false">IF(Delay!BP19="","",Fee*$A19+Vq*Delay!BP19)</f>
        <v>2.1</v>
      </c>
      <c r="BQ19" s="19" t="n">
        <f aca="false">IF(Delay!BQ19="","",Fee*$A19+Vq*Delay!BQ19)</f>
        <v>2.1</v>
      </c>
      <c r="BR19" s="19" t="n">
        <f aca="false">IF(Delay!BR19="","",Fee*$A19+Vq*Delay!BR19)</f>
        <v>2.1</v>
      </c>
      <c r="BS19" s="19" t="n">
        <f aca="false">IF(Delay!BS19="","",Fee*$A19+Vq*Delay!BS19)</f>
        <v>2.1</v>
      </c>
      <c r="BT19" s="19" t="n">
        <f aca="false">IF(Delay!BT19="","",Fee*$A19+Vq*Delay!BT19)</f>
        <v>2.1</v>
      </c>
      <c r="BU19" s="19" t="n">
        <f aca="false">IF(Delay!BU19="","",Fee*$A19+Vq*Delay!BU19)</f>
        <v>2.1</v>
      </c>
      <c r="BV19" s="19" t="n">
        <f aca="false">IF(Delay!BV19="","",Fee*$A19+Vq*Delay!BV19)</f>
        <v>2.1</v>
      </c>
      <c r="BW19" s="19" t="n">
        <f aca="false">IF(Delay!BW19="","",Fee*$A19+Vq*Delay!BW19)</f>
        <v>2.1</v>
      </c>
      <c r="BX19" s="19" t="n">
        <f aca="false">IF(Delay!BX19="","",Fee*$A19+Vq*Delay!BX19)</f>
        <v>2.1</v>
      </c>
      <c r="BY19" s="19" t="n">
        <f aca="false">IF(Delay!BY19="","",Fee*$A19+Vq*Delay!BY19)</f>
        <v>2.1</v>
      </c>
      <c r="BZ19" s="19" t="n">
        <f aca="false">IF(Delay!BZ19="","",Fee*$A19+Vq*Delay!BZ19)</f>
        <v>2.1</v>
      </c>
      <c r="CA19" s="19" t="n">
        <f aca="false">IF(Delay!CA19="","",Fee*$A19+Vq*Delay!CA19)</f>
        <v>2.1</v>
      </c>
      <c r="CB19" s="19" t="n">
        <f aca="false">IF(Delay!CB19="","",Fee*$A19+Vq*Delay!CB19)</f>
        <v>2.1</v>
      </c>
      <c r="CC19" s="19" t="n">
        <f aca="false">IF(Delay!CC19="","",Fee*$A19+Vq*Delay!CC19)</f>
        <v>2.1</v>
      </c>
      <c r="CD19" s="19" t="n">
        <f aca="false">IF(Delay!CD19="","",Fee*$A19+Vq*Delay!CD19)</f>
        <v>2.1</v>
      </c>
      <c r="CE19" s="19" t="n">
        <f aca="false">IF(Delay!CE19="","",Fee*$A19+Vq*Delay!CE19)</f>
        <v>2.1</v>
      </c>
      <c r="CF19" s="19" t="n">
        <f aca="false">IF(Delay!CF19="","",Fee*$A19+Vq*Delay!CF19)</f>
        <v>2.1</v>
      </c>
      <c r="CG19" s="19" t="n">
        <f aca="false">IF(Delay!CG19="","",Fee*$A19+Vq*Delay!CG19)</f>
        <v>2.1</v>
      </c>
      <c r="CH19" s="19" t="n">
        <f aca="false">IF(Delay!CH19="","",Fee*$A19+Vq*Delay!CH19)</f>
        <v>2.1</v>
      </c>
      <c r="CI19" s="19" t="n">
        <f aca="false">IF(Delay!CI19="","",Fee*$A19+Vq*Delay!CI19)</f>
        <v>2.1</v>
      </c>
      <c r="CJ19" s="19" t="n">
        <f aca="false">IF(Delay!CJ19="","",Fee*$A19+Vq*Delay!CJ19)</f>
        <v>2.1</v>
      </c>
      <c r="CK19" s="19" t="n">
        <f aca="false">IF(Delay!CK19="","",Fee*$A19+Vq*Delay!CK19)</f>
        <v>2.1</v>
      </c>
      <c r="CL19" s="19" t="n">
        <f aca="false">IF(Delay!CL19="","",Fee*$A19+Vq*Delay!CL19)</f>
        <v>2.1</v>
      </c>
      <c r="CM19" s="19" t="n">
        <f aca="false">IF(Delay!CM19="","",Fee*$A19+Vq*Delay!CM19)</f>
        <v>2.1</v>
      </c>
      <c r="CN19" s="19" t="n">
        <f aca="false">IF(Delay!CN19="","",Fee*$A19+Vq*Delay!CN19)</f>
        <v>2.1</v>
      </c>
      <c r="CO19" s="19" t="n">
        <f aca="false">IF(Delay!CO19="","",Fee*$A19+Vq*Delay!CO19)</f>
        <v>2.1</v>
      </c>
      <c r="CP19" s="19" t="n">
        <f aca="false">IF(Delay!CP19="","",Fee*$A19+Vq*Delay!CP19)</f>
        <v>2.1</v>
      </c>
      <c r="CQ19" s="19" t="n">
        <f aca="false">IF(Delay!CQ19="","",Fee*$A19+Vq*Delay!CQ19)</f>
        <v>2.1</v>
      </c>
      <c r="CR19" s="19" t="n">
        <f aca="false">IF(Delay!CR19="","",Fee*$A19+Vq*Delay!CR19)</f>
        <v>2.1</v>
      </c>
      <c r="CS19" s="19" t="n">
        <f aca="false">IF(Delay!CS19="","",Fee*$A19+Vq*Delay!CS19)</f>
        <v>2.1</v>
      </c>
      <c r="CT19" s="19" t="n">
        <f aca="false">IF(Delay!CT19="","",Fee*$A19+Vq*Delay!CT19)</f>
        <v>25.5224637632597</v>
      </c>
    </row>
    <row r="20" customFormat="false" ht="15" hidden="false" customHeight="false" outlineLevel="0" collapsed="false">
      <c r="A20" s="25" t="n">
        <f aca="false">Quantiles!A20</f>
        <v>75</v>
      </c>
      <c r="B20" s="19" t="n">
        <f aca="false">IF(Delay!B20="","",Fee*$A20+Vq*Delay!B20)</f>
        <v>40.555086391561</v>
      </c>
      <c r="C20" s="19" t="n">
        <f aca="false">IF(Delay!C20="","",Fee*$A20+Vq*Delay!C20)</f>
        <v>36.9691078221311</v>
      </c>
      <c r="D20" s="19" t="n">
        <f aca="false">IF(Delay!D20="","",Fee*$A20+Vq*Delay!D20)</f>
        <v>34.4009895088295</v>
      </c>
      <c r="E20" s="19" t="n">
        <f aca="false">IF(Delay!E20="","",Fee*$A20+Vq*Delay!E20)</f>
        <v>32.2098500487928</v>
      </c>
      <c r="F20" s="19" t="n">
        <f aca="false">IF(Delay!F20="","",Fee*$A20+Vq*Delay!F20)</f>
        <v>30.2075811611284</v>
      </c>
      <c r="G20" s="19" t="n">
        <f aca="false">IF(Delay!G20="","",Fee*$A20+Vq*Delay!G20)</f>
        <v>28.4098702610417</v>
      </c>
      <c r="H20" s="19" t="n">
        <f aca="false">IF(Delay!H20="","",Fee*$A20+Vq*Delay!H20)</f>
        <v>26.8732476611581</v>
      </c>
      <c r="I20" s="19" t="n">
        <f aca="false">IF(Delay!I20="","",Fee*$A20+Vq*Delay!I20)</f>
        <v>25.4528968134044</v>
      </c>
      <c r="J20" s="19" t="n">
        <f aca="false">IF(Delay!J20="","",Fee*$A20+Vq*Delay!J20)</f>
        <v>24.1996271640653</v>
      </c>
      <c r="K20" s="19" t="n">
        <f aca="false">IF(Delay!K20="","",Fee*$A20+Vq*Delay!K20)</f>
        <v>23.0783669843096</v>
      </c>
      <c r="L20" s="19" t="n">
        <f aca="false">IF(Delay!L20="","",Fee*$A20+Vq*Delay!L20)</f>
        <v>22.1249909533416</v>
      </c>
      <c r="M20" s="19" t="n">
        <f aca="false">IF(Delay!M20="","",Fee*$A20+Vq*Delay!M20)</f>
        <v>21.1111741264646</v>
      </c>
      <c r="N20" s="19" t="n">
        <f aca="false">IF(Delay!N20="","",Fee*$A20+Vq*Delay!N20)</f>
        <v>20.2460797225108</v>
      </c>
      <c r="O20" s="19" t="n">
        <f aca="false">IF(Delay!O20="","",Fee*$A20+Vq*Delay!O20)</f>
        <v>19.3773290319157</v>
      </c>
      <c r="P20" s="19" t="n">
        <f aca="false">IF(Delay!P20="","",Fee*$A20+Vq*Delay!P20)</f>
        <v>18.5389825328136</v>
      </c>
      <c r="Q20" s="19" t="n">
        <f aca="false">IF(Delay!Q20="","",Fee*$A20+Vq*Delay!Q20)</f>
        <v>17.7750619857745</v>
      </c>
      <c r="R20" s="19" t="n">
        <f aca="false">IF(Delay!R20="","",Fee*$A20+Vq*Delay!R20)</f>
        <v>17.0590061344999</v>
      </c>
      <c r="S20" s="19" t="n">
        <f aca="false">IF(Delay!S20="","",Fee*$A20+Vq*Delay!S20)</f>
        <v>16.3837716488596</v>
      </c>
      <c r="T20" s="19" t="n">
        <f aca="false">IF(Delay!T20="","",Fee*$A20+Vq*Delay!T20)</f>
        <v>15.7110471559419</v>
      </c>
      <c r="U20" s="19" t="n">
        <f aca="false">IF(Delay!U20="","",Fee*$A20+Vq*Delay!U20)</f>
        <v>15.1151884027299</v>
      </c>
      <c r="V20" s="19" t="n">
        <f aca="false">IF(Delay!V20="","",Fee*$A20+Vq*Delay!V20)</f>
        <v>14.528574900164</v>
      </c>
      <c r="W20" s="19" t="n">
        <f aca="false">IF(Delay!W20="","",Fee*$A20+Vq*Delay!W20)</f>
        <v>13.9489958742783</v>
      </c>
      <c r="X20" s="19" t="n">
        <f aca="false">IF(Delay!X20="","",Fee*$A20+Vq*Delay!X20)</f>
        <v>13.4421387041179</v>
      </c>
      <c r="Y20" s="19" t="n">
        <f aca="false">IF(Delay!Y20="","",Fee*$A20+Vq*Delay!Y20)</f>
        <v>12.9480720103276</v>
      </c>
      <c r="Z20" s="19" t="n">
        <f aca="false">IF(Delay!Z20="","",Fee*$A20+Vq*Delay!Z20)</f>
        <v>12.4564858112908</v>
      </c>
      <c r="AA20" s="19" t="n">
        <f aca="false">IF(Delay!AA20="","",Fee*$A20+Vq*Delay!AA20)</f>
        <v>12.006410767278</v>
      </c>
      <c r="AB20" s="19" t="n">
        <f aca="false">IF(Delay!AB20="","",Fee*$A20+Vq*Delay!AB20)</f>
        <v>11.5405691890781</v>
      </c>
      <c r="AC20" s="19" t="n">
        <f aca="false">IF(Delay!AC20="","",Fee*$A20+Vq*Delay!AC20)</f>
        <v>11.1231432222768</v>
      </c>
      <c r="AD20" s="19" t="n">
        <f aca="false">IF(Delay!AD20="","",Fee*$A20+Vq*Delay!AD20)</f>
        <v>10.713710929985</v>
      </c>
      <c r="AE20" s="19" t="n">
        <f aca="false">IF(Delay!AE20="","",Fee*$A20+Vq*Delay!AE20)</f>
        <v>10.2499708077361</v>
      </c>
      <c r="AF20" s="19" t="n">
        <f aca="false">IF(Delay!AF20="","",Fee*$A20+Vq*Delay!AF20)</f>
        <v>9.83466303558002</v>
      </c>
      <c r="AG20" s="19" t="n">
        <f aca="false">IF(Delay!AG20="","",Fee*$A20+Vq*Delay!AG20)</f>
        <v>9.45270801541582</v>
      </c>
      <c r="AH20" s="19" t="n">
        <f aca="false">IF(Delay!AH20="","",Fee*$A20+Vq*Delay!AH20)</f>
        <v>9.07682860617606</v>
      </c>
      <c r="AI20" s="19" t="n">
        <f aca="false">IF(Delay!AI20="","",Fee*$A20+Vq*Delay!AI20)</f>
        <v>8.72363784442378</v>
      </c>
      <c r="AJ20" s="19" t="n">
        <f aca="false">IF(Delay!AJ20="","",Fee*$A20+Vq*Delay!AJ20)</f>
        <v>8.33397684523192</v>
      </c>
      <c r="AK20" s="19" t="n">
        <f aca="false">IF(Delay!AK20="","",Fee*$A20+Vq*Delay!AK20)</f>
        <v>7.97481165291522</v>
      </c>
      <c r="AL20" s="19" t="n">
        <f aca="false">IF(Delay!AL20="","",Fee*$A20+Vq*Delay!AL20)</f>
        <v>7.6470041050623</v>
      </c>
      <c r="AM20" s="19" t="n">
        <f aca="false">IF(Delay!AM20="","",Fee*$A20+Vq*Delay!AM20)</f>
        <v>7.31212778194844</v>
      </c>
      <c r="AN20" s="19" t="n">
        <f aca="false">IF(Delay!AN20="","",Fee*$A20+Vq*Delay!AN20)</f>
        <v>6.97489500040844</v>
      </c>
      <c r="AO20" s="19" t="n">
        <f aca="false">IF(Delay!AO20="","",Fee*$A20+Vq*Delay!AO20)</f>
        <v>6.67210698902714</v>
      </c>
      <c r="AP20" s="19" t="n">
        <f aca="false">IF(Delay!AP20="","",Fee*$A20+Vq*Delay!AP20)</f>
        <v>6.3508429545452</v>
      </c>
      <c r="AQ20" s="19" t="n">
        <f aca="false">IF(Delay!AQ20="","",Fee*$A20+Vq*Delay!AQ20)</f>
        <v>6.06236840623106</v>
      </c>
      <c r="AR20" s="19" t="n">
        <f aca="false">IF(Delay!AR20="","",Fee*$A20+Vq*Delay!AR20)</f>
        <v>5.7826060143812</v>
      </c>
      <c r="AS20" s="19" t="n">
        <f aca="false">IF(Delay!AS20="","",Fee*$A20+Vq*Delay!AS20)</f>
        <v>5.50799479873818</v>
      </c>
      <c r="AT20" s="19" t="n">
        <f aca="false">IF(Delay!AT20="","",Fee*$A20+Vq*Delay!AT20)</f>
        <v>5.22571055306834</v>
      </c>
      <c r="AU20" s="19" t="n">
        <f aca="false">IF(Delay!AU20="","",Fee*$A20+Vq*Delay!AU20)</f>
        <v>4.92355259373924</v>
      </c>
      <c r="AV20" s="19" t="n">
        <f aca="false">IF(Delay!AV20="","",Fee*$A20+Vq*Delay!AV20)</f>
        <v>4.64273104347654</v>
      </c>
      <c r="AW20" s="19" t="n">
        <f aca="false">IF(Delay!AW20="","",Fee*$A20+Vq*Delay!AW20)</f>
        <v>4.39435090473964</v>
      </c>
      <c r="AX20" s="19" t="n">
        <f aca="false">IF(Delay!AX20="","",Fee*$A20+Vq*Delay!AX20)</f>
        <v>4.12822300419022</v>
      </c>
      <c r="AY20" s="19" t="n">
        <f aca="false">IF(Delay!AY20="","",Fee*$A20+Vq*Delay!AY20)</f>
        <v>3.86019971836562</v>
      </c>
      <c r="AZ20" s="19" t="n">
        <f aca="false">IF(Delay!AZ20="","",Fee*$A20+Vq*Delay!AZ20)</f>
        <v>3.63426870871564</v>
      </c>
      <c r="BA20" s="19" t="n">
        <f aca="false">IF(Delay!BA20="","",Fee*$A20+Vq*Delay!BA20)</f>
        <v>3.3900476545374</v>
      </c>
      <c r="BB20" s="19" t="n">
        <f aca="false">IF(Delay!BB20="","",Fee*$A20+Vq*Delay!BB20)</f>
        <v>3.14731299520692</v>
      </c>
      <c r="BC20" s="19" t="n">
        <f aca="false">IF(Delay!BC20="","",Fee*$A20+Vq*Delay!BC20)</f>
        <v>2.91470682397982</v>
      </c>
      <c r="BD20" s="19" t="n">
        <f aca="false">IF(Delay!BD20="","",Fee*$A20+Vq*Delay!BD20)</f>
        <v>2.66004562585892</v>
      </c>
      <c r="BE20" s="19" t="n">
        <f aca="false">IF(Delay!BE20="","",Fee*$A20+Vq*Delay!BE20)</f>
        <v>2.40364552980244</v>
      </c>
      <c r="BF20" s="19" t="n">
        <f aca="false">IF(Delay!BF20="","",Fee*$A20+Vq*Delay!BF20)</f>
        <v>2.25</v>
      </c>
      <c r="BG20" s="19" t="n">
        <f aca="false">IF(Delay!BG20="","",Fee*$A20+Vq*Delay!BG20)</f>
        <v>2.25</v>
      </c>
      <c r="BH20" s="19" t="n">
        <f aca="false">IF(Delay!BH20="","",Fee*$A20+Vq*Delay!BH20)</f>
        <v>2.25</v>
      </c>
      <c r="BI20" s="19" t="n">
        <f aca="false">IF(Delay!BI20="","",Fee*$A20+Vq*Delay!BI20)</f>
        <v>2.25</v>
      </c>
      <c r="BJ20" s="19" t="n">
        <f aca="false">IF(Delay!BJ20="","",Fee*$A20+Vq*Delay!BJ20)</f>
        <v>2.25</v>
      </c>
      <c r="BK20" s="19" t="n">
        <f aca="false">IF(Delay!BK20="","",Fee*$A20+Vq*Delay!BK20)</f>
        <v>2.25</v>
      </c>
      <c r="BL20" s="19" t="n">
        <f aca="false">IF(Delay!BL20="","",Fee*$A20+Vq*Delay!BL20)</f>
        <v>2.25</v>
      </c>
      <c r="BM20" s="19" t="n">
        <f aca="false">IF(Delay!BM20="","",Fee*$A20+Vq*Delay!BM20)</f>
        <v>2.25</v>
      </c>
      <c r="BN20" s="19" t="n">
        <f aca="false">IF(Delay!BN20="","",Fee*$A20+Vq*Delay!BN20)</f>
        <v>2.25</v>
      </c>
      <c r="BO20" s="19" t="n">
        <f aca="false">IF(Delay!BO20="","",Fee*$A20+Vq*Delay!BO20)</f>
        <v>2.25</v>
      </c>
      <c r="BP20" s="19" t="n">
        <f aca="false">IF(Delay!BP20="","",Fee*$A20+Vq*Delay!BP20)</f>
        <v>2.25</v>
      </c>
      <c r="BQ20" s="19" t="n">
        <f aca="false">IF(Delay!BQ20="","",Fee*$A20+Vq*Delay!BQ20)</f>
        <v>2.25</v>
      </c>
      <c r="BR20" s="19" t="n">
        <f aca="false">IF(Delay!BR20="","",Fee*$A20+Vq*Delay!BR20)</f>
        <v>2.25</v>
      </c>
      <c r="BS20" s="19" t="n">
        <f aca="false">IF(Delay!BS20="","",Fee*$A20+Vq*Delay!BS20)</f>
        <v>2.25</v>
      </c>
      <c r="BT20" s="19" t="n">
        <f aca="false">IF(Delay!BT20="","",Fee*$A20+Vq*Delay!BT20)</f>
        <v>2.25</v>
      </c>
      <c r="BU20" s="19" t="n">
        <f aca="false">IF(Delay!BU20="","",Fee*$A20+Vq*Delay!BU20)</f>
        <v>2.25</v>
      </c>
      <c r="BV20" s="19" t="n">
        <f aca="false">IF(Delay!BV20="","",Fee*$A20+Vq*Delay!BV20)</f>
        <v>2.25</v>
      </c>
      <c r="BW20" s="19" t="n">
        <f aca="false">IF(Delay!BW20="","",Fee*$A20+Vq*Delay!BW20)</f>
        <v>2.25</v>
      </c>
      <c r="BX20" s="19" t="n">
        <f aca="false">IF(Delay!BX20="","",Fee*$A20+Vq*Delay!BX20)</f>
        <v>2.25</v>
      </c>
      <c r="BY20" s="19" t="n">
        <f aca="false">IF(Delay!BY20="","",Fee*$A20+Vq*Delay!BY20)</f>
        <v>2.25</v>
      </c>
      <c r="BZ20" s="19" t="n">
        <f aca="false">IF(Delay!BZ20="","",Fee*$A20+Vq*Delay!BZ20)</f>
        <v>2.25</v>
      </c>
      <c r="CA20" s="19" t="n">
        <f aca="false">IF(Delay!CA20="","",Fee*$A20+Vq*Delay!CA20)</f>
        <v>2.25</v>
      </c>
      <c r="CB20" s="19" t="n">
        <f aca="false">IF(Delay!CB20="","",Fee*$A20+Vq*Delay!CB20)</f>
        <v>2.25</v>
      </c>
      <c r="CC20" s="19" t="n">
        <f aca="false">IF(Delay!CC20="","",Fee*$A20+Vq*Delay!CC20)</f>
        <v>2.25</v>
      </c>
      <c r="CD20" s="19" t="n">
        <f aca="false">IF(Delay!CD20="","",Fee*$A20+Vq*Delay!CD20)</f>
        <v>2.25</v>
      </c>
      <c r="CE20" s="19" t="n">
        <f aca="false">IF(Delay!CE20="","",Fee*$A20+Vq*Delay!CE20)</f>
        <v>2.25</v>
      </c>
      <c r="CF20" s="19" t="n">
        <f aca="false">IF(Delay!CF20="","",Fee*$A20+Vq*Delay!CF20)</f>
        <v>2.25</v>
      </c>
      <c r="CG20" s="19" t="n">
        <f aca="false">IF(Delay!CG20="","",Fee*$A20+Vq*Delay!CG20)</f>
        <v>2.25</v>
      </c>
      <c r="CH20" s="19" t="n">
        <f aca="false">IF(Delay!CH20="","",Fee*$A20+Vq*Delay!CH20)</f>
        <v>2.25</v>
      </c>
      <c r="CI20" s="19" t="n">
        <f aca="false">IF(Delay!CI20="","",Fee*$A20+Vq*Delay!CI20)</f>
        <v>2.25</v>
      </c>
      <c r="CJ20" s="19" t="n">
        <f aca="false">IF(Delay!CJ20="","",Fee*$A20+Vq*Delay!CJ20)</f>
        <v>2.25</v>
      </c>
      <c r="CK20" s="19" t="n">
        <f aca="false">IF(Delay!CK20="","",Fee*$A20+Vq*Delay!CK20)</f>
        <v>2.25</v>
      </c>
      <c r="CL20" s="19" t="n">
        <f aca="false">IF(Delay!CL20="","",Fee*$A20+Vq*Delay!CL20)</f>
        <v>2.25</v>
      </c>
      <c r="CM20" s="19" t="n">
        <f aca="false">IF(Delay!CM20="","",Fee*$A20+Vq*Delay!CM20)</f>
        <v>2.25</v>
      </c>
      <c r="CN20" s="19" t="n">
        <f aca="false">IF(Delay!CN20="","",Fee*$A20+Vq*Delay!CN20)</f>
        <v>2.25</v>
      </c>
      <c r="CO20" s="19" t="n">
        <f aca="false">IF(Delay!CO20="","",Fee*$A20+Vq*Delay!CO20)</f>
        <v>2.25</v>
      </c>
      <c r="CP20" s="19" t="n">
        <f aca="false">IF(Delay!CP20="","",Fee*$A20+Vq*Delay!CP20)</f>
        <v>2.25</v>
      </c>
      <c r="CQ20" s="19" t="n">
        <f aca="false">IF(Delay!CQ20="","",Fee*$A20+Vq*Delay!CQ20)</f>
        <v>2.25</v>
      </c>
      <c r="CR20" s="19" t="n">
        <f aca="false">IF(Delay!CR20="","",Fee*$A20+Vq*Delay!CR20)</f>
        <v>2.25</v>
      </c>
      <c r="CS20" s="19" t="n">
        <f aca="false">IF(Delay!CS20="","",Fee*$A20+Vq*Delay!CS20)</f>
        <v>2.25</v>
      </c>
      <c r="CT20" s="19" t="n">
        <f aca="false">IF(Delay!CT20="","",Fee*$A20+Vq*Delay!CT20)</f>
        <v>24.181768947905</v>
      </c>
    </row>
    <row r="21" customFormat="false" ht="15" hidden="false" customHeight="false" outlineLevel="0" collapsed="false">
      <c r="A21" s="25" t="n">
        <f aca="false">Quantiles!A21</f>
        <v>80</v>
      </c>
      <c r="B21" s="19" t="n">
        <f aca="false">IF(Delay!B21="","",Fee*$A21+Vq*Delay!B21)</f>
        <v>38.6752835081256</v>
      </c>
      <c r="C21" s="19" t="n">
        <f aca="false">IF(Delay!C21="","",Fee*$A21+Vq*Delay!C21)</f>
        <v>35.1822212460838</v>
      </c>
      <c r="D21" s="19" t="n">
        <f aca="false">IF(Delay!D21="","",Fee*$A21+Vq*Delay!D21)</f>
        <v>32.6664877683847</v>
      </c>
      <c r="E21" s="19" t="n">
        <f aca="false">IF(Delay!E21="","",Fee*$A21+Vq*Delay!E21)</f>
        <v>30.5704939487699</v>
      </c>
      <c r="F21" s="19" t="n">
        <f aca="false">IF(Delay!F21="","",Fee*$A21+Vq*Delay!F21)</f>
        <v>28.6791235828544</v>
      </c>
      <c r="G21" s="19" t="n">
        <f aca="false">IF(Delay!G21="","",Fee*$A21+Vq*Delay!G21)</f>
        <v>26.9801360007617</v>
      </c>
      <c r="H21" s="19" t="n">
        <f aca="false">IF(Delay!H21="","",Fee*$A21+Vq*Delay!H21)</f>
        <v>25.4951432149007</v>
      </c>
      <c r="I21" s="19" t="n">
        <f aca="false">IF(Delay!I21="","",Fee*$A21+Vq*Delay!I21)</f>
        <v>24.1774126038749</v>
      </c>
      <c r="J21" s="19" t="n">
        <f aca="false">IF(Delay!J21="","",Fee*$A21+Vq*Delay!J21)</f>
        <v>23.0023563852178</v>
      </c>
      <c r="K21" s="19" t="n">
        <f aca="false">IF(Delay!K21="","",Fee*$A21+Vq*Delay!K21)</f>
        <v>21.9487826783914</v>
      </c>
      <c r="L21" s="19" t="n">
        <f aca="false">IF(Delay!L21="","",Fee*$A21+Vq*Delay!L21)</f>
        <v>20.9348193176131</v>
      </c>
      <c r="M21" s="19" t="n">
        <f aca="false">IF(Delay!M21="","",Fee*$A21+Vq*Delay!M21)</f>
        <v>19.9996607147954</v>
      </c>
      <c r="N21" s="19" t="n">
        <f aca="false">IF(Delay!N21="","",Fee*$A21+Vq*Delay!N21)</f>
        <v>19.1019800446725</v>
      </c>
      <c r="O21" s="19" t="n">
        <f aca="false">IF(Delay!O21="","",Fee*$A21+Vq*Delay!O21)</f>
        <v>18.3488355799616</v>
      </c>
      <c r="P21" s="19" t="n">
        <f aca="false">IF(Delay!P21="","",Fee*$A21+Vq*Delay!P21)</f>
        <v>17.580681685981</v>
      </c>
      <c r="Q21" s="19" t="n">
        <f aca="false">IF(Delay!Q21="","",Fee*$A21+Vq*Delay!Q21)</f>
        <v>16.8878503020651</v>
      </c>
      <c r="R21" s="19" t="n">
        <f aca="false">IF(Delay!R21="","",Fee*$A21+Vq*Delay!R21)</f>
        <v>16.1498324447192</v>
      </c>
      <c r="S21" s="19" t="n">
        <f aca="false">IF(Delay!S21="","",Fee*$A21+Vq*Delay!S21)</f>
        <v>15.4677192918754</v>
      </c>
      <c r="T21" s="19" t="n">
        <f aca="false">IF(Delay!T21="","",Fee*$A21+Vq*Delay!T21)</f>
        <v>14.8602261975525</v>
      </c>
      <c r="U21" s="19" t="n">
        <f aca="false">IF(Delay!U21="","",Fee*$A21+Vq*Delay!U21)</f>
        <v>14.2660531125868</v>
      </c>
      <c r="V21" s="19" t="n">
        <f aca="false">IF(Delay!V21="","",Fee*$A21+Vq*Delay!V21)</f>
        <v>13.697867153185</v>
      </c>
      <c r="W21" s="19" t="n">
        <f aca="false">IF(Delay!W21="","",Fee*$A21+Vq*Delay!W21)</f>
        <v>13.1627079172924</v>
      </c>
      <c r="X21" s="19" t="n">
        <f aca="false">IF(Delay!X21="","",Fee*$A21+Vq*Delay!X21)</f>
        <v>12.6453692352632</v>
      </c>
      <c r="Y21" s="19" t="n">
        <f aca="false">IF(Delay!Y21="","",Fee*$A21+Vq*Delay!Y21)</f>
        <v>12.2142363181641</v>
      </c>
      <c r="Z21" s="19" t="n">
        <f aca="false">IF(Delay!Z21="","",Fee*$A21+Vq*Delay!Z21)</f>
        <v>11.7581522686012</v>
      </c>
      <c r="AA21" s="19" t="n">
        <f aca="false">IF(Delay!AA21="","",Fee*$A21+Vq*Delay!AA21)</f>
        <v>11.3122242601918</v>
      </c>
      <c r="AB21" s="19" t="n">
        <f aca="false">IF(Delay!AB21="","",Fee*$A21+Vq*Delay!AB21)</f>
        <v>10.8827386372588</v>
      </c>
      <c r="AC21" s="19" t="n">
        <f aca="false">IF(Delay!AC21="","",Fee*$A21+Vq*Delay!AC21)</f>
        <v>10.4243688446196</v>
      </c>
      <c r="AD21" s="19" t="n">
        <f aca="false">IF(Delay!AD21="","",Fee*$A21+Vq*Delay!AD21)</f>
        <v>10.0142318826482</v>
      </c>
      <c r="AE21" s="19" t="n">
        <f aca="false">IF(Delay!AE21="","",Fee*$A21+Vq*Delay!AE21)</f>
        <v>9.61770865461622</v>
      </c>
      <c r="AF21" s="19" t="n">
        <f aca="false">IF(Delay!AF21="","",Fee*$A21+Vq*Delay!AF21)</f>
        <v>9.24203301572312</v>
      </c>
      <c r="AG21" s="19" t="n">
        <f aca="false">IF(Delay!AG21="","",Fee*$A21+Vq*Delay!AG21)</f>
        <v>8.8544278024004</v>
      </c>
      <c r="AH21" s="19" t="n">
        <f aca="false">IF(Delay!AH21="","",Fee*$A21+Vq*Delay!AH21)</f>
        <v>8.47326701590868</v>
      </c>
      <c r="AI21" s="19" t="n">
        <f aca="false">IF(Delay!AI21="","",Fee*$A21+Vq*Delay!AI21)</f>
        <v>8.09920054846362</v>
      </c>
      <c r="AJ21" s="19" t="n">
        <f aca="false">IF(Delay!AJ21="","",Fee*$A21+Vq*Delay!AJ21)</f>
        <v>7.74153606688894</v>
      </c>
      <c r="AK21" s="19" t="n">
        <f aca="false">IF(Delay!AK21="","",Fee*$A21+Vq*Delay!AK21)</f>
        <v>7.43131440597522</v>
      </c>
      <c r="AL21" s="19" t="n">
        <f aca="false">IF(Delay!AL21="","",Fee*$A21+Vq*Delay!AL21)</f>
        <v>7.09842955386426</v>
      </c>
      <c r="AM21" s="19" t="n">
        <f aca="false">IF(Delay!AM21="","",Fee*$A21+Vq*Delay!AM21)</f>
        <v>6.7552622207568</v>
      </c>
      <c r="AN21" s="19" t="n">
        <f aca="false">IF(Delay!AN21="","",Fee*$A21+Vq*Delay!AN21)</f>
        <v>6.45263988091278</v>
      </c>
      <c r="AO21" s="19" t="n">
        <f aca="false">IF(Delay!AO21="","",Fee*$A21+Vq*Delay!AO21)</f>
        <v>6.17722397040104</v>
      </c>
      <c r="AP21" s="19" t="n">
        <f aca="false">IF(Delay!AP21="","",Fee*$A21+Vq*Delay!AP21)</f>
        <v>5.88717979406262</v>
      </c>
      <c r="AQ21" s="19" t="n">
        <f aca="false">IF(Delay!AQ21="","",Fee*$A21+Vq*Delay!AQ21)</f>
        <v>5.62108603346256</v>
      </c>
      <c r="AR21" s="19" t="n">
        <f aca="false">IF(Delay!AR21="","",Fee*$A21+Vq*Delay!AR21)</f>
        <v>5.32150328354888</v>
      </c>
      <c r="AS21" s="19" t="n">
        <f aca="false">IF(Delay!AS21="","",Fee*$A21+Vq*Delay!AS21)</f>
        <v>5.04279407930658</v>
      </c>
      <c r="AT21" s="19" t="n">
        <f aca="false">IF(Delay!AT21="","",Fee*$A21+Vq*Delay!AT21)</f>
        <v>4.76273959717944</v>
      </c>
      <c r="AU21" s="19" t="n">
        <f aca="false">IF(Delay!AU21="","",Fee*$A21+Vq*Delay!AU21)</f>
        <v>4.4841859391484</v>
      </c>
      <c r="AV21" s="19" t="n">
        <f aca="false">IF(Delay!AV21="","",Fee*$A21+Vq*Delay!AV21)</f>
        <v>4.21818539986066</v>
      </c>
      <c r="AW21" s="19" t="n">
        <f aca="false">IF(Delay!AW21="","",Fee*$A21+Vq*Delay!AW21)</f>
        <v>3.97413983079954</v>
      </c>
      <c r="AX21" s="19" t="n">
        <f aca="false">IF(Delay!AX21="","",Fee*$A21+Vq*Delay!AX21)</f>
        <v>3.7355082510272</v>
      </c>
      <c r="AY21" s="19" t="n">
        <f aca="false">IF(Delay!AY21="","",Fee*$A21+Vq*Delay!AY21)</f>
        <v>3.48038234826058</v>
      </c>
      <c r="AZ21" s="19" t="n">
        <f aca="false">IF(Delay!AZ21="","",Fee*$A21+Vq*Delay!AZ21)</f>
        <v>3.21667205565312</v>
      </c>
      <c r="BA21" s="19" t="n">
        <f aca="false">IF(Delay!BA21="","",Fee*$A21+Vq*Delay!BA21)</f>
        <v>2.97481706282414</v>
      </c>
      <c r="BB21" s="19" t="n">
        <f aca="false">IF(Delay!BB21="","",Fee*$A21+Vq*Delay!BB21)</f>
        <v>2.71868607774148</v>
      </c>
      <c r="BC21" s="19" t="n">
        <f aca="false">IF(Delay!BC21="","",Fee*$A21+Vq*Delay!BC21)</f>
        <v>2.48617844713688</v>
      </c>
      <c r="BD21" s="19" t="n">
        <f aca="false">IF(Delay!BD21="","",Fee*$A21+Vq*Delay!BD21)</f>
        <v>2.4</v>
      </c>
      <c r="BE21" s="19" t="n">
        <f aca="false">IF(Delay!BE21="","",Fee*$A21+Vq*Delay!BE21)</f>
        <v>2.4</v>
      </c>
      <c r="BF21" s="19" t="n">
        <f aca="false">IF(Delay!BF21="","",Fee*$A21+Vq*Delay!BF21)</f>
        <v>2.4</v>
      </c>
      <c r="BG21" s="19" t="n">
        <f aca="false">IF(Delay!BG21="","",Fee*$A21+Vq*Delay!BG21)</f>
        <v>2.4</v>
      </c>
      <c r="BH21" s="19" t="n">
        <f aca="false">IF(Delay!BH21="","",Fee*$A21+Vq*Delay!BH21)</f>
        <v>2.4</v>
      </c>
      <c r="BI21" s="19" t="n">
        <f aca="false">IF(Delay!BI21="","",Fee*$A21+Vq*Delay!BI21)</f>
        <v>2.4</v>
      </c>
      <c r="BJ21" s="19" t="n">
        <f aca="false">IF(Delay!BJ21="","",Fee*$A21+Vq*Delay!BJ21)</f>
        <v>2.4</v>
      </c>
      <c r="BK21" s="19" t="n">
        <f aca="false">IF(Delay!BK21="","",Fee*$A21+Vq*Delay!BK21)</f>
        <v>2.4</v>
      </c>
      <c r="BL21" s="19" t="n">
        <f aca="false">IF(Delay!BL21="","",Fee*$A21+Vq*Delay!BL21)</f>
        <v>2.4</v>
      </c>
      <c r="BM21" s="19" t="n">
        <f aca="false">IF(Delay!BM21="","",Fee*$A21+Vq*Delay!BM21)</f>
        <v>2.4</v>
      </c>
      <c r="BN21" s="19" t="n">
        <f aca="false">IF(Delay!BN21="","",Fee*$A21+Vq*Delay!BN21)</f>
        <v>2.4</v>
      </c>
      <c r="BO21" s="19" t="n">
        <f aca="false">IF(Delay!BO21="","",Fee*$A21+Vq*Delay!BO21)</f>
        <v>2.4</v>
      </c>
      <c r="BP21" s="19" t="n">
        <f aca="false">IF(Delay!BP21="","",Fee*$A21+Vq*Delay!BP21)</f>
        <v>2.4</v>
      </c>
      <c r="BQ21" s="19" t="n">
        <f aca="false">IF(Delay!BQ21="","",Fee*$A21+Vq*Delay!BQ21)</f>
        <v>2.4</v>
      </c>
      <c r="BR21" s="19" t="n">
        <f aca="false">IF(Delay!BR21="","",Fee*$A21+Vq*Delay!BR21)</f>
        <v>2.4</v>
      </c>
      <c r="BS21" s="19" t="n">
        <f aca="false">IF(Delay!BS21="","",Fee*$A21+Vq*Delay!BS21)</f>
        <v>2.4</v>
      </c>
      <c r="BT21" s="19" t="n">
        <f aca="false">IF(Delay!BT21="","",Fee*$A21+Vq*Delay!BT21)</f>
        <v>2.4</v>
      </c>
      <c r="BU21" s="19" t="n">
        <f aca="false">IF(Delay!BU21="","",Fee*$A21+Vq*Delay!BU21)</f>
        <v>2.4</v>
      </c>
      <c r="BV21" s="19" t="n">
        <f aca="false">IF(Delay!BV21="","",Fee*$A21+Vq*Delay!BV21)</f>
        <v>2.4</v>
      </c>
      <c r="BW21" s="19" t="n">
        <f aca="false">IF(Delay!BW21="","",Fee*$A21+Vq*Delay!BW21)</f>
        <v>2.4</v>
      </c>
      <c r="BX21" s="19" t="n">
        <f aca="false">IF(Delay!BX21="","",Fee*$A21+Vq*Delay!BX21)</f>
        <v>2.4</v>
      </c>
      <c r="BY21" s="19" t="n">
        <f aca="false">IF(Delay!BY21="","",Fee*$A21+Vq*Delay!BY21)</f>
        <v>2.4</v>
      </c>
      <c r="BZ21" s="19" t="n">
        <f aca="false">IF(Delay!BZ21="","",Fee*$A21+Vq*Delay!BZ21)</f>
        <v>2.4</v>
      </c>
      <c r="CA21" s="19" t="n">
        <f aca="false">IF(Delay!CA21="","",Fee*$A21+Vq*Delay!CA21)</f>
        <v>2.4</v>
      </c>
      <c r="CB21" s="19" t="n">
        <f aca="false">IF(Delay!CB21="","",Fee*$A21+Vq*Delay!CB21)</f>
        <v>2.4</v>
      </c>
      <c r="CC21" s="19" t="n">
        <f aca="false">IF(Delay!CC21="","",Fee*$A21+Vq*Delay!CC21)</f>
        <v>2.4</v>
      </c>
      <c r="CD21" s="19" t="n">
        <f aca="false">IF(Delay!CD21="","",Fee*$A21+Vq*Delay!CD21)</f>
        <v>2.4</v>
      </c>
      <c r="CE21" s="19" t="n">
        <f aca="false">IF(Delay!CE21="","",Fee*$A21+Vq*Delay!CE21)</f>
        <v>2.4</v>
      </c>
      <c r="CF21" s="19" t="n">
        <f aca="false">IF(Delay!CF21="","",Fee*$A21+Vq*Delay!CF21)</f>
        <v>2.4</v>
      </c>
      <c r="CG21" s="19" t="n">
        <f aca="false">IF(Delay!CG21="","",Fee*$A21+Vq*Delay!CG21)</f>
        <v>2.4</v>
      </c>
      <c r="CH21" s="19" t="n">
        <f aca="false">IF(Delay!CH21="","",Fee*$A21+Vq*Delay!CH21)</f>
        <v>2.4</v>
      </c>
      <c r="CI21" s="19" t="n">
        <f aca="false">IF(Delay!CI21="","",Fee*$A21+Vq*Delay!CI21)</f>
        <v>2.4</v>
      </c>
      <c r="CJ21" s="19" t="n">
        <f aca="false">IF(Delay!CJ21="","",Fee*$A21+Vq*Delay!CJ21)</f>
        <v>2.4</v>
      </c>
      <c r="CK21" s="19" t="n">
        <f aca="false">IF(Delay!CK21="","",Fee*$A21+Vq*Delay!CK21)</f>
        <v>2.4</v>
      </c>
      <c r="CL21" s="19" t="n">
        <f aca="false">IF(Delay!CL21="","",Fee*$A21+Vq*Delay!CL21)</f>
        <v>2.4</v>
      </c>
      <c r="CM21" s="19" t="n">
        <f aca="false">IF(Delay!CM21="","",Fee*$A21+Vq*Delay!CM21)</f>
        <v>2.4</v>
      </c>
      <c r="CN21" s="19" t="n">
        <f aca="false">IF(Delay!CN21="","",Fee*$A21+Vq*Delay!CN21)</f>
        <v>2.4</v>
      </c>
      <c r="CO21" s="19" t="n">
        <f aca="false">IF(Delay!CO21="","",Fee*$A21+Vq*Delay!CO21)</f>
        <v>2.4</v>
      </c>
      <c r="CP21" s="19" t="n">
        <f aca="false">IF(Delay!CP21="","",Fee*$A21+Vq*Delay!CP21)</f>
        <v>2.4</v>
      </c>
      <c r="CQ21" s="19" t="n">
        <f aca="false">IF(Delay!CQ21="","",Fee*$A21+Vq*Delay!CQ21)</f>
        <v>2.4</v>
      </c>
      <c r="CR21" s="19" t="n">
        <f aca="false">IF(Delay!CR21="","",Fee*$A21+Vq*Delay!CR21)</f>
        <v>2.4</v>
      </c>
      <c r="CS21" s="19" t="n">
        <f aca="false">IF(Delay!CS21="","",Fee*$A21+Vq*Delay!CS21)</f>
        <v>2.4</v>
      </c>
      <c r="CT21" s="19" t="n">
        <f aca="false">IF(Delay!CT21="","",Fee*$A21+Vq*Delay!CT21)</f>
        <v>22.9986654805928</v>
      </c>
    </row>
    <row r="22" customFormat="false" ht="15" hidden="false" customHeight="false" outlineLevel="0" collapsed="false">
      <c r="A22" s="25" t="n">
        <f aca="false">Quantiles!A22</f>
        <v>85</v>
      </c>
      <c r="B22" s="19" t="n">
        <f aca="false">IF(Delay!B22="","",Fee*$A22+Vq*Delay!B22)</f>
        <v>36.5782804000092</v>
      </c>
      <c r="C22" s="19" t="n">
        <f aca="false">IF(Delay!C22="","",Fee*$A22+Vq*Delay!C22)</f>
        <v>33.5412195568416</v>
      </c>
      <c r="D22" s="19" t="n">
        <f aca="false">IF(Delay!D22="","",Fee*$A22+Vq*Delay!D22)</f>
        <v>31.1976614933144</v>
      </c>
      <c r="E22" s="19" t="n">
        <f aca="false">IF(Delay!E22="","",Fee*$A22+Vq*Delay!E22)</f>
        <v>29.0008972173694</v>
      </c>
      <c r="F22" s="19" t="n">
        <f aca="false">IF(Delay!F22="","",Fee*$A22+Vq*Delay!F22)</f>
        <v>27.188625912824</v>
      </c>
      <c r="G22" s="19" t="n">
        <f aca="false">IF(Delay!G22="","",Fee*$A22+Vq*Delay!G22)</f>
        <v>25.6764601784476</v>
      </c>
      <c r="H22" s="19" t="n">
        <f aca="false">IF(Delay!H22="","",Fee*$A22+Vq*Delay!H22)</f>
        <v>24.2417087071126</v>
      </c>
      <c r="I22" s="19" t="n">
        <f aca="false">IF(Delay!I22="","",Fee*$A22+Vq*Delay!I22)</f>
        <v>23.0578806656764</v>
      </c>
      <c r="J22" s="19" t="n">
        <f aca="false">IF(Delay!J22="","",Fee*$A22+Vq*Delay!J22)</f>
        <v>22.0045421709165</v>
      </c>
      <c r="K22" s="19" t="n">
        <f aca="false">IF(Delay!K22="","",Fee*$A22+Vq*Delay!K22)</f>
        <v>20.8381665605774</v>
      </c>
      <c r="L22" s="19" t="n">
        <f aca="false">IF(Delay!L22="","",Fee*$A22+Vq*Delay!L22)</f>
        <v>19.84610209982</v>
      </c>
      <c r="M22" s="19" t="n">
        <f aca="false">IF(Delay!M22="","",Fee*$A22+Vq*Delay!M22)</f>
        <v>18.9780675316246</v>
      </c>
      <c r="N22" s="19" t="n">
        <f aca="false">IF(Delay!N22="","",Fee*$A22+Vq*Delay!N22)</f>
        <v>18.0781700531623</v>
      </c>
      <c r="O22" s="19" t="n">
        <f aca="false">IF(Delay!O22="","",Fee*$A22+Vq*Delay!O22)</f>
        <v>17.3820441122446</v>
      </c>
      <c r="P22" s="19" t="n">
        <f aca="false">IF(Delay!P22="","",Fee*$A22+Vq*Delay!P22)</f>
        <v>16.7107873257183</v>
      </c>
      <c r="Q22" s="19" t="n">
        <f aca="false">IF(Delay!Q22="","",Fee*$A22+Vq*Delay!Q22)</f>
        <v>15.9517274990988</v>
      </c>
      <c r="R22" s="19" t="n">
        <f aca="false">IF(Delay!R22="","",Fee*$A22+Vq*Delay!R22)</f>
        <v>15.328843512506</v>
      </c>
      <c r="S22" s="19" t="n">
        <f aca="false">IF(Delay!S22="","",Fee*$A22+Vq*Delay!S22)</f>
        <v>14.7125263226716</v>
      </c>
      <c r="T22" s="19" t="n">
        <f aca="false">IF(Delay!T22="","",Fee*$A22+Vq*Delay!T22)</f>
        <v>14.079830825506</v>
      </c>
      <c r="U22" s="19" t="n">
        <f aca="false">IF(Delay!U22="","",Fee*$A22+Vq*Delay!U22)</f>
        <v>13.5225432382751</v>
      </c>
      <c r="V22" s="19" t="n">
        <f aca="false">IF(Delay!V22="","",Fee*$A22+Vq*Delay!V22)</f>
        <v>13.0018351099056</v>
      </c>
      <c r="W22" s="19" t="n">
        <f aca="false">IF(Delay!W22="","",Fee*$A22+Vq*Delay!W22)</f>
        <v>12.5023424630395</v>
      </c>
      <c r="X22" s="19" t="n">
        <f aca="false">IF(Delay!X22="","",Fee*$A22+Vq*Delay!X22)</f>
        <v>12.0007974933984</v>
      </c>
      <c r="Y22" s="19" t="n">
        <f aca="false">IF(Delay!Y22="","",Fee*$A22+Vq*Delay!Y22)</f>
        <v>11.521044290695</v>
      </c>
      <c r="Z22" s="19" t="n">
        <f aca="false">IF(Delay!Z22="","",Fee*$A22+Vq*Delay!Z22)</f>
        <v>11.0652054894781</v>
      </c>
      <c r="AA22" s="19" t="n">
        <f aca="false">IF(Delay!AA22="","",Fee*$A22+Vq*Delay!AA22)</f>
        <v>10.6432660355834</v>
      </c>
      <c r="AB22" s="19" t="n">
        <f aca="false">IF(Delay!AB22="","",Fee*$A22+Vq*Delay!AB22)</f>
        <v>10.2316482618178</v>
      </c>
      <c r="AC22" s="19" t="n">
        <f aca="false">IF(Delay!AC22="","",Fee*$A22+Vq*Delay!AC22)</f>
        <v>9.82632363521326</v>
      </c>
      <c r="AD22" s="19" t="n">
        <f aca="false">IF(Delay!AD22="","",Fee*$A22+Vq*Delay!AD22)</f>
        <v>9.45114151506946</v>
      </c>
      <c r="AE22" s="19" t="n">
        <f aca="false">IF(Delay!AE22="","",Fee*$A22+Vq*Delay!AE22)</f>
        <v>9.0558790213817</v>
      </c>
      <c r="AF22" s="19" t="n">
        <f aca="false">IF(Delay!AF22="","",Fee*$A22+Vq*Delay!AF22)</f>
        <v>8.67500239621942</v>
      </c>
      <c r="AG22" s="19" t="n">
        <f aca="false">IF(Delay!AG22="","",Fee*$A22+Vq*Delay!AG22)</f>
        <v>8.29326968564084</v>
      </c>
      <c r="AH22" s="19" t="n">
        <f aca="false">IF(Delay!AH22="","",Fee*$A22+Vq*Delay!AH22)</f>
        <v>7.94080912396014</v>
      </c>
      <c r="AI22" s="19" t="n">
        <f aca="false">IF(Delay!AI22="","",Fee*$A22+Vq*Delay!AI22)</f>
        <v>7.5815199291522</v>
      </c>
      <c r="AJ22" s="19" t="n">
        <f aca="false">IF(Delay!AJ22="","",Fee*$A22+Vq*Delay!AJ22)</f>
        <v>7.24038220644932</v>
      </c>
      <c r="AK22" s="19" t="n">
        <f aca="false">IF(Delay!AK22="","",Fee*$A22+Vq*Delay!AK22)</f>
        <v>6.9203779669411</v>
      </c>
      <c r="AL22" s="19" t="n">
        <f aca="false">IF(Delay!AL22="","",Fee*$A22+Vq*Delay!AL22)</f>
        <v>6.59600458038104</v>
      </c>
      <c r="AM22" s="19" t="n">
        <f aca="false">IF(Delay!AM22="","",Fee*$A22+Vq*Delay!AM22)</f>
        <v>6.29665000931154</v>
      </c>
      <c r="AN22" s="19" t="n">
        <f aca="false">IF(Delay!AN22="","",Fee*$A22+Vq*Delay!AN22)</f>
        <v>6.01788795251634</v>
      </c>
      <c r="AO22" s="19" t="n">
        <f aca="false">IF(Delay!AO22="","",Fee*$A22+Vq*Delay!AO22)</f>
        <v>5.7288967674223</v>
      </c>
      <c r="AP22" s="19" t="n">
        <f aca="false">IF(Delay!AP22="","",Fee*$A22+Vq*Delay!AP22)</f>
        <v>5.4316905320024</v>
      </c>
      <c r="AQ22" s="19" t="n">
        <f aca="false">IF(Delay!AQ22="","",Fee*$A22+Vq*Delay!AQ22)</f>
        <v>5.13840292546398</v>
      </c>
      <c r="AR22" s="19" t="n">
        <f aca="false">IF(Delay!AR22="","",Fee*$A22+Vq*Delay!AR22)</f>
        <v>4.8675033632858</v>
      </c>
      <c r="AS22" s="19" t="n">
        <f aca="false">IF(Delay!AS22="","",Fee*$A22+Vq*Delay!AS22)</f>
        <v>4.60788883471576</v>
      </c>
      <c r="AT22" s="19" t="n">
        <f aca="false">IF(Delay!AT22="","",Fee*$A22+Vq*Delay!AT22)</f>
        <v>4.3455443407912</v>
      </c>
      <c r="AU22" s="19" t="n">
        <f aca="false">IF(Delay!AU22="","",Fee*$A22+Vq*Delay!AU22)</f>
        <v>4.09768261851208</v>
      </c>
      <c r="AV22" s="19" t="n">
        <f aca="false">IF(Delay!AV22="","",Fee*$A22+Vq*Delay!AV22)</f>
        <v>3.86670740367292</v>
      </c>
      <c r="AW22" s="19" t="n">
        <f aca="false">IF(Delay!AW22="","",Fee*$A22+Vq*Delay!AW22)</f>
        <v>3.5873260899246</v>
      </c>
      <c r="AX22" s="19" t="n">
        <f aca="false">IF(Delay!AX22="","",Fee*$A22+Vq*Delay!AX22)</f>
        <v>3.33168687639264</v>
      </c>
      <c r="AY22" s="19" t="n">
        <f aca="false">IF(Delay!AY22="","",Fee*$A22+Vq*Delay!AY22)</f>
        <v>3.09765771901014</v>
      </c>
      <c r="AZ22" s="19" t="n">
        <f aca="false">IF(Delay!AZ22="","",Fee*$A22+Vq*Delay!AZ22)</f>
        <v>2.83562997177724</v>
      </c>
      <c r="BA22" s="19" t="n">
        <f aca="false">IF(Delay!BA22="","",Fee*$A22+Vq*Delay!BA22)</f>
        <v>2.60662098050632</v>
      </c>
      <c r="BB22" s="19" t="n">
        <f aca="false">IF(Delay!BB22="","",Fee*$A22+Vq*Delay!BB22)</f>
        <v>2.55</v>
      </c>
      <c r="BC22" s="19" t="n">
        <f aca="false">IF(Delay!BC22="","",Fee*$A22+Vq*Delay!BC22)</f>
        <v>2.55</v>
      </c>
      <c r="BD22" s="19" t="n">
        <f aca="false">IF(Delay!BD22="","",Fee*$A22+Vq*Delay!BD22)</f>
        <v>2.55</v>
      </c>
      <c r="BE22" s="19" t="n">
        <f aca="false">IF(Delay!BE22="","",Fee*$A22+Vq*Delay!BE22)</f>
        <v>2.55</v>
      </c>
      <c r="BF22" s="19" t="n">
        <f aca="false">IF(Delay!BF22="","",Fee*$A22+Vq*Delay!BF22)</f>
        <v>2.55</v>
      </c>
      <c r="BG22" s="19" t="n">
        <f aca="false">IF(Delay!BG22="","",Fee*$A22+Vq*Delay!BG22)</f>
        <v>2.55</v>
      </c>
      <c r="BH22" s="19" t="n">
        <f aca="false">IF(Delay!BH22="","",Fee*$A22+Vq*Delay!BH22)</f>
        <v>2.55</v>
      </c>
      <c r="BI22" s="19" t="n">
        <f aca="false">IF(Delay!BI22="","",Fee*$A22+Vq*Delay!BI22)</f>
        <v>2.55</v>
      </c>
      <c r="BJ22" s="19" t="n">
        <f aca="false">IF(Delay!BJ22="","",Fee*$A22+Vq*Delay!BJ22)</f>
        <v>2.55</v>
      </c>
      <c r="BK22" s="19" t="n">
        <f aca="false">IF(Delay!BK22="","",Fee*$A22+Vq*Delay!BK22)</f>
        <v>2.55</v>
      </c>
      <c r="BL22" s="19" t="n">
        <f aca="false">IF(Delay!BL22="","",Fee*$A22+Vq*Delay!BL22)</f>
        <v>2.55</v>
      </c>
      <c r="BM22" s="19" t="n">
        <f aca="false">IF(Delay!BM22="","",Fee*$A22+Vq*Delay!BM22)</f>
        <v>2.55</v>
      </c>
      <c r="BN22" s="19" t="n">
        <f aca="false">IF(Delay!BN22="","",Fee*$A22+Vq*Delay!BN22)</f>
        <v>2.55</v>
      </c>
      <c r="BO22" s="19" t="n">
        <f aca="false">IF(Delay!BO22="","",Fee*$A22+Vq*Delay!BO22)</f>
        <v>2.55</v>
      </c>
      <c r="BP22" s="19" t="n">
        <f aca="false">IF(Delay!BP22="","",Fee*$A22+Vq*Delay!BP22)</f>
        <v>2.55</v>
      </c>
      <c r="BQ22" s="19" t="n">
        <f aca="false">IF(Delay!BQ22="","",Fee*$A22+Vq*Delay!BQ22)</f>
        <v>2.55</v>
      </c>
      <c r="BR22" s="19" t="n">
        <f aca="false">IF(Delay!BR22="","",Fee*$A22+Vq*Delay!BR22)</f>
        <v>2.55</v>
      </c>
      <c r="BS22" s="19" t="n">
        <f aca="false">IF(Delay!BS22="","",Fee*$A22+Vq*Delay!BS22)</f>
        <v>2.55</v>
      </c>
      <c r="BT22" s="19" t="n">
        <f aca="false">IF(Delay!BT22="","",Fee*$A22+Vq*Delay!BT22)</f>
        <v>2.55</v>
      </c>
      <c r="BU22" s="19" t="n">
        <f aca="false">IF(Delay!BU22="","",Fee*$A22+Vq*Delay!BU22)</f>
        <v>2.55</v>
      </c>
      <c r="BV22" s="19" t="n">
        <f aca="false">IF(Delay!BV22="","",Fee*$A22+Vq*Delay!BV22)</f>
        <v>2.55</v>
      </c>
      <c r="BW22" s="19" t="n">
        <f aca="false">IF(Delay!BW22="","",Fee*$A22+Vq*Delay!BW22)</f>
        <v>2.55</v>
      </c>
      <c r="BX22" s="19" t="n">
        <f aca="false">IF(Delay!BX22="","",Fee*$A22+Vq*Delay!BX22)</f>
        <v>2.55</v>
      </c>
      <c r="BY22" s="19" t="n">
        <f aca="false">IF(Delay!BY22="","",Fee*$A22+Vq*Delay!BY22)</f>
        <v>2.55</v>
      </c>
      <c r="BZ22" s="19" t="n">
        <f aca="false">IF(Delay!BZ22="","",Fee*$A22+Vq*Delay!BZ22)</f>
        <v>2.55</v>
      </c>
      <c r="CA22" s="19" t="n">
        <f aca="false">IF(Delay!CA22="","",Fee*$A22+Vq*Delay!CA22)</f>
        <v>2.55</v>
      </c>
      <c r="CB22" s="19" t="n">
        <f aca="false">IF(Delay!CB22="","",Fee*$A22+Vq*Delay!CB22)</f>
        <v>2.55</v>
      </c>
      <c r="CC22" s="19" t="n">
        <f aca="false">IF(Delay!CC22="","",Fee*$A22+Vq*Delay!CC22)</f>
        <v>2.55</v>
      </c>
      <c r="CD22" s="19" t="n">
        <f aca="false">IF(Delay!CD22="","",Fee*$A22+Vq*Delay!CD22)</f>
        <v>2.55</v>
      </c>
      <c r="CE22" s="19" t="n">
        <f aca="false">IF(Delay!CE22="","",Fee*$A22+Vq*Delay!CE22)</f>
        <v>2.55</v>
      </c>
      <c r="CF22" s="19" t="n">
        <f aca="false">IF(Delay!CF22="","",Fee*$A22+Vq*Delay!CF22)</f>
        <v>2.55</v>
      </c>
      <c r="CG22" s="19" t="n">
        <f aca="false">IF(Delay!CG22="","",Fee*$A22+Vq*Delay!CG22)</f>
        <v>2.55</v>
      </c>
      <c r="CH22" s="19" t="n">
        <f aca="false">IF(Delay!CH22="","",Fee*$A22+Vq*Delay!CH22)</f>
        <v>2.55</v>
      </c>
      <c r="CI22" s="19" t="n">
        <f aca="false">IF(Delay!CI22="","",Fee*$A22+Vq*Delay!CI22)</f>
        <v>2.55</v>
      </c>
      <c r="CJ22" s="19" t="n">
        <f aca="false">IF(Delay!CJ22="","",Fee*$A22+Vq*Delay!CJ22)</f>
        <v>2.55</v>
      </c>
      <c r="CK22" s="19" t="n">
        <f aca="false">IF(Delay!CK22="","",Fee*$A22+Vq*Delay!CK22)</f>
        <v>2.55</v>
      </c>
      <c r="CL22" s="19" t="n">
        <f aca="false">IF(Delay!CL22="","",Fee*$A22+Vq*Delay!CL22)</f>
        <v>2.55</v>
      </c>
      <c r="CM22" s="19" t="n">
        <f aca="false">IF(Delay!CM22="","",Fee*$A22+Vq*Delay!CM22)</f>
        <v>2.55</v>
      </c>
      <c r="CN22" s="19" t="n">
        <f aca="false">IF(Delay!CN22="","",Fee*$A22+Vq*Delay!CN22)</f>
        <v>2.55</v>
      </c>
      <c r="CO22" s="19" t="n">
        <f aca="false">IF(Delay!CO22="","",Fee*$A22+Vq*Delay!CO22)</f>
        <v>2.55</v>
      </c>
      <c r="CP22" s="19" t="n">
        <f aca="false">IF(Delay!CP22="","",Fee*$A22+Vq*Delay!CP22)</f>
        <v>2.55</v>
      </c>
      <c r="CQ22" s="19" t="n">
        <f aca="false">IF(Delay!CQ22="","",Fee*$A22+Vq*Delay!CQ22)</f>
        <v>2.55</v>
      </c>
      <c r="CR22" s="19" t="n">
        <f aca="false">IF(Delay!CR22="","",Fee*$A22+Vq*Delay!CR22)</f>
        <v>2.55</v>
      </c>
      <c r="CS22" s="19" t="n">
        <f aca="false">IF(Delay!CS22="","",Fee*$A22+Vq*Delay!CS22)</f>
        <v>2.55</v>
      </c>
      <c r="CT22" s="19" t="n">
        <f aca="false">IF(Delay!CT22="","",Fee*$A22+Vq*Delay!CT22)</f>
        <v>21.9774517921616</v>
      </c>
    </row>
    <row r="23" customFormat="false" ht="15" hidden="false" customHeight="false" outlineLevel="0" collapsed="false">
      <c r="A23" s="25" t="n">
        <f aca="false">Quantiles!A23</f>
        <v>90</v>
      </c>
      <c r="B23" s="19" t="n">
        <f aca="false">IF(Delay!B23="","",Fee*$A23+Vq*Delay!B23)</f>
        <v>34.9486934909899</v>
      </c>
      <c r="C23" s="19" t="n">
        <f aca="false">IF(Delay!C23="","",Fee*$A23+Vq*Delay!C23)</f>
        <v>31.9266648884949</v>
      </c>
      <c r="D23" s="19" t="n">
        <f aca="false">IF(Delay!D23="","",Fee*$A23+Vq*Delay!D23)</f>
        <v>29.7327301879441</v>
      </c>
      <c r="E23" s="19" t="n">
        <f aca="false">IF(Delay!E23="","",Fee*$A23+Vq*Delay!E23)</f>
        <v>27.7057772053029</v>
      </c>
      <c r="F23" s="19" t="n">
        <f aca="false">IF(Delay!F23="","",Fee*$A23+Vq*Delay!F23)</f>
        <v>25.9793768340349</v>
      </c>
      <c r="G23" s="19" t="n">
        <f aca="false">IF(Delay!G23="","",Fee*$A23+Vq*Delay!G23)</f>
        <v>24.4663632137124</v>
      </c>
      <c r="H23" s="19" t="n">
        <f aca="false">IF(Delay!H23="","",Fee*$A23+Vq*Delay!H23)</f>
        <v>23.2204725815872</v>
      </c>
      <c r="I23" s="19" t="n">
        <f aca="false">IF(Delay!I23="","",Fee*$A23+Vq*Delay!I23)</f>
        <v>22.0128829325983</v>
      </c>
      <c r="J23" s="19" t="n">
        <f aca="false">IF(Delay!J23="","",Fee*$A23+Vq*Delay!J23)</f>
        <v>20.8945638734477</v>
      </c>
      <c r="K23" s="19" t="n">
        <f aca="false">IF(Delay!K23="","",Fee*$A23+Vq*Delay!K23)</f>
        <v>19.8337867614964</v>
      </c>
      <c r="L23" s="19" t="n">
        <f aca="false">IF(Delay!L23="","",Fee*$A23+Vq*Delay!L23)</f>
        <v>18.9356286245392</v>
      </c>
      <c r="M23" s="19" t="n">
        <f aca="false">IF(Delay!M23="","",Fee*$A23+Vq*Delay!M23)</f>
        <v>18.0567327676659</v>
      </c>
      <c r="N23" s="19" t="n">
        <f aca="false">IF(Delay!N23="","",Fee*$A23+Vq*Delay!N23)</f>
        <v>17.3148761837894</v>
      </c>
      <c r="O23" s="19" t="n">
        <f aca="false">IF(Delay!O23="","",Fee*$A23+Vq*Delay!O23)</f>
        <v>16.5153713308435</v>
      </c>
      <c r="P23" s="19" t="n">
        <f aca="false">IF(Delay!P23="","",Fee*$A23+Vq*Delay!P23)</f>
        <v>15.8197226476998</v>
      </c>
      <c r="Q23" s="19" t="n">
        <f aca="false">IF(Delay!Q23="","",Fee*$A23+Vq*Delay!Q23)</f>
        <v>15.1892520515133</v>
      </c>
      <c r="R23" s="19" t="n">
        <f aca="false">IF(Delay!R23="","",Fee*$A23+Vq*Delay!R23)</f>
        <v>14.5557865389315</v>
      </c>
      <c r="S23" s="19" t="n">
        <f aca="false">IF(Delay!S23="","",Fee*$A23+Vq*Delay!S23)</f>
        <v>13.9870310627669</v>
      </c>
      <c r="T23" s="19" t="n">
        <f aca="false">IF(Delay!T23="","",Fee*$A23+Vq*Delay!T23)</f>
        <v>13.4361053993116</v>
      </c>
      <c r="U23" s="19" t="n">
        <f aca="false">IF(Delay!U23="","",Fee*$A23+Vq*Delay!U23)</f>
        <v>12.8861984759507</v>
      </c>
      <c r="V23" s="19" t="n">
        <f aca="false">IF(Delay!V23="","",Fee*$A23+Vq*Delay!V23)</f>
        <v>12.3924463486649</v>
      </c>
      <c r="W23" s="19" t="n">
        <f aca="false">IF(Delay!W23="","",Fee*$A23+Vq*Delay!W23)</f>
        <v>11.8894841913906</v>
      </c>
      <c r="X23" s="19" t="n">
        <f aca="false">IF(Delay!X23="","",Fee*$A23+Vq*Delay!X23)</f>
        <v>11.4117190464263</v>
      </c>
      <c r="Y23" s="19" t="n">
        <f aca="false">IF(Delay!Y23="","",Fee*$A23+Vq*Delay!Y23)</f>
        <v>10.9639105732313</v>
      </c>
      <c r="Z23" s="19" t="n">
        <f aca="false">IF(Delay!Z23="","",Fee*$A23+Vq*Delay!Z23)</f>
        <v>10.485490438542</v>
      </c>
      <c r="AA23" s="19" t="n">
        <f aca="false">IF(Delay!AA23="","",Fee*$A23+Vq*Delay!AA23)</f>
        <v>10.0589793430354</v>
      </c>
      <c r="AB23" s="19" t="n">
        <f aca="false">IF(Delay!AB23="","",Fee*$A23+Vq*Delay!AB23)</f>
        <v>9.66901084117914</v>
      </c>
      <c r="AC23" s="19" t="n">
        <f aca="false">IF(Delay!AC23="","",Fee*$A23+Vq*Delay!AC23)</f>
        <v>9.2794738136085</v>
      </c>
      <c r="AD23" s="19" t="n">
        <f aca="false">IF(Delay!AD23="","",Fee*$A23+Vq*Delay!AD23)</f>
        <v>8.89504117601416</v>
      </c>
      <c r="AE23" s="19" t="n">
        <f aca="false">IF(Delay!AE23="","",Fee*$A23+Vq*Delay!AE23)</f>
        <v>8.50927548632916</v>
      </c>
      <c r="AF23" s="19" t="n">
        <f aca="false">IF(Delay!AF23="","",Fee*$A23+Vq*Delay!AF23)</f>
        <v>8.16192872491176</v>
      </c>
      <c r="AG23" s="19" t="n">
        <f aca="false">IF(Delay!AG23="","",Fee*$A23+Vq*Delay!AG23)</f>
        <v>7.81415388106524</v>
      </c>
      <c r="AH23" s="19" t="n">
        <f aca="false">IF(Delay!AH23="","",Fee*$A23+Vq*Delay!AH23)</f>
        <v>7.44900237049024</v>
      </c>
      <c r="AI23" s="19" t="n">
        <f aca="false">IF(Delay!AI23="","",Fee*$A23+Vq*Delay!AI23)</f>
        <v>7.1300035258424</v>
      </c>
      <c r="AJ23" s="19" t="n">
        <f aca="false">IF(Delay!AJ23="","",Fee*$A23+Vq*Delay!AJ23)</f>
        <v>6.79757486754766</v>
      </c>
      <c r="AK23" s="19" t="n">
        <f aca="false">IF(Delay!AK23="","",Fee*$A23+Vq*Delay!AK23)</f>
        <v>6.49321948880034</v>
      </c>
      <c r="AL23" s="19" t="n">
        <f aca="false">IF(Delay!AL23="","",Fee*$A23+Vq*Delay!AL23)</f>
        <v>6.19594685484762</v>
      </c>
      <c r="AM23" s="19" t="n">
        <f aca="false">IF(Delay!AM23="","",Fee*$A23+Vq*Delay!AM23)</f>
        <v>5.88858607869536</v>
      </c>
      <c r="AN23" s="19" t="n">
        <f aca="false">IF(Delay!AN23="","",Fee*$A23+Vq*Delay!AN23)</f>
        <v>5.59919594460652</v>
      </c>
      <c r="AO23" s="19" t="n">
        <f aca="false">IF(Delay!AO23="","",Fee*$A23+Vq*Delay!AO23)</f>
        <v>5.31068365190402</v>
      </c>
      <c r="AP23" s="19" t="n">
        <f aca="false">IF(Delay!AP23="","",Fee*$A23+Vq*Delay!AP23)</f>
        <v>5.02152169127726</v>
      </c>
      <c r="AQ23" s="19" t="n">
        <f aca="false">IF(Delay!AQ23="","",Fee*$A23+Vq*Delay!AQ23)</f>
        <v>4.75447672911906</v>
      </c>
      <c r="AR23" s="19" t="n">
        <f aca="false">IF(Delay!AR23="","",Fee*$A23+Vq*Delay!AR23)</f>
        <v>4.49904224758326</v>
      </c>
      <c r="AS23" s="19" t="n">
        <f aca="false">IF(Delay!AS23="","",Fee*$A23+Vq*Delay!AS23)</f>
        <v>4.24768261851208</v>
      </c>
      <c r="AT23" s="19" t="n">
        <f aca="false">IF(Delay!AT23="","",Fee*$A23+Vq*Delay!AT23)</f>
        <v>3.9895288315372</v>
      </c>
      <c r="AU23" s="19" t="n">
        <f aca="false">IF(Delay!AU23="","",Fee*$A23+Vq*Delay!AU23)</f>
        <v>3.70346342777128</v>
      </c>
      <c r="AV23" s="19" t="n">
        <f aca="false">IF(Delay!AV23="","",Fee*$A23+Vq*Delay!AV23)</f>
        <v>3.46021946347812</v>
      </c>
      <c r="AW23" s="19" t="n">
        <f aca="false">IF(Delay!AW23="","",Fee*$A23+Vq*Delay!AW23)</f>
        <v>3.22772381750378</v>
      </c>
      <c r="AX23" s="19" t="n">
        <f aca="false">IF(Delay!AX23="","",Fee*$A23+Vq*Delay!AX23)</f>
        <v>2.96995796940356</v>
      </c>
      <c r="AY23" s="19" t="n">
        <f aca="false">IF(Delay!AY23="","",Fee*$A23+Vq*Delay!AY23)</f>
        <v>2.74300335934156</v>
      </c>
      <c r="AZ23" s="19" t="n">
        <f aca="false">IF(Delay!AZ23="","",Fee*$A23+Vq*Delay!AZ23)</f>
        <v>2.7</v>
      </c>
      <c r="BA23" s="19" t="n">
        <f aca="false">IF(Delay!BA23="","",Fee*$A23+Vq*Delay!BA23)</f>
        <v>2.7</v>
      </c>
      <c r="BB23" s="19" t="n">
        <f aca="false">IF(Delay!BB23="","",Fee*$A23+Vq*Delay!BB23)</f>
        <v>2.7</v>
      </c>
      <c r="BC23" s="19" t="n">
        <f aca="false">IF(Delay!BC23="","",Fee*$A23+Vq*Delay!BC23)</f>
        <v>2.7</v>
      </c>
      <c r="BD23" s="19" t="n">
        <f aca="false">IF(Delay!BD23="","",Fee*$A23+Vq*Delay!BD23)</f>
        <v>2.7</v>
      </c>
      <c r="BE23" s="19" t="n">
        <f aca="false">IF(Delay!BE23="","",Fee*$A23+Vq*Delay!BE23)</f>
        <v>2.7</v>
      </c>
      <c r="BF23" s="19" t="n">
        <f aca="false">IF(Delay!BF23="","",Fee*$A23+Vq*Delay!BF23)</f>
        <v>2.7</v>
      </c>
      <c r="BG23" s="19" t="n">
        <f aca="false">IF(Delay!BG23="","",Fee*$A23+Vq*Delay!BG23)</f>
        <v>2.7</v>
      </c>
      <c r="BH23" s="19" t="n">
        <f aca="false">IF(Delay!BH23="","",Fee*$A23+Vq*Delay!BH23)</f>
        <v>2.7</v>
      </c>
      <c r="BI23" s="19" t="n">
        <f aca="false">IF(Delay!BI23="","",Fee*$A23+Vq*Delay!BI23)</f>
        <v>2.7</v>
      </c>
      <c r="BJ23" s="19" t="n">
        <f aca="false">IF(Delay!BJ23="","",Fee*$A23+Vq*Delay!BJ23)</f>
        <v>2.7</v>
      </c>
      <c r="BK23" s="19" t="n">
        <f aca="false">IF(Delay!BK23="","",Fee*$A23+Vq*Delay!BK23)</f>
        <v>2.7</v>
      </c>
      <c r="BL23" s="19" t="n">
        <f aca="false">IF(Delay!BL23="","",Fee*$A23+Vq*Delay!BL23)</f>
        <v>2.7</v>
      </c>
      <c r="BM23" s="19" t="n">
        <f aca="false">IF(Delay!BM23="","",Fee*$A23+Vq*Delay!BM23)</f>
        <v>2.7</v>
      </c>
      <c r="BN23" s="19" t="n">
        <f aca="false">IF(Delay!BN23="","",Fee*$A23+Vq*Delay!BN23)</f>
        <v>2.7</v>
      </c>
      <c r="BO23" s="19" t="n">
        <f aca="false">IF(Delay!BO23="","",Fee*$A23+Vq*Delay!BO23)</f>
        <v>2.7</v>
      </c>
      <c r="BP23" s="19" t="n">
        <f aca="false">IF(Delay!BP23="","",Fee*$A23+Vq*Delay!BP23)</f>
        <v>2.7</v>
      </c>
      <c r="BQ23" s="19" t="n">
        <f aca="false">IF(Delay!BQ23="","",Fee*$A23+Vq*Delay!BQ23)</f>
        <v>2.7</v>
      </c>
      <c r="BR23" s="19" t="n">
        <f aca="false">IF(Delay!BR23="","",Fee*$A23+Vq*Delay!BR23)</f>
        <v>2.7</v>
      </c>
      <c r="BS23" s="19" t="n">
        <f aca="false">IF(Delay!BS23="","",Fee*$A23+Vq*Delay!BS23)</f>
        <v>2.7</v>
      </c>
      <c r="BT23" s="19" t="n">
        <f aca="false">IF(Delay!BT23="","",Fee*$A23+Vq*Delay!BT23)</f>
        <v>2.7</v>
      </c>
      <c r="BU23" s="19" t="n">
        <f aca="false">IF(Delay!BU23="","",Fee*$A23+Vq*Delay!BU23)</f>
        <v>2.7</v>
      </c>
      <c r="BV23" s="19" t="n">
        <f aca="false">IF(Delay!BV23="","",Fee*$A23+Vq*Delay!BV23)</f>
        <v>2.7</v>
      </c>
      <c r="BW23" s="19" t="n">
        <f aca="false">IF(Delay!BW23="","",Fee*$A23+Vq*Delay!BW23)</f>
        <v>2.7</v>
      </c>
      <c r="BX23" s="19" t="n">
        <f aca="false">IF(Delay!BX23="","",Fee*$A23+Vq*Delay!BX23)</f>
        <v>2.7</v>
      </c>
      <c r="BY23" s="19" t="n">
        <f aca="false">IF(Delay!BY23="","",Fee*$A23+Vq*Delay!BY23)</f>
        <v>2.7</v>
      </c>
      <c r="BZ23" s="19" t="n">
        <f aca="false">IF(Delay!BZ23="","",Fee*$A23+Vq*Delay!BZ23)</f>
        <v>2.7</v>
      </c>
      <c r="CA23" s="19" t="n">
        <f aca="false">IF(Delay!CA23="","",Fee*$A23+Vq*Delay!CA23)</f>
        <v>2.7</v>
      </c>
      <c r="CB23" s="19" t="n">
        <f aca="false">IF(Delay!CB23="","",Fee*$A23+Vq*Delay!CB23)</f>
        <v>2.7</v>
      </c>
      <c r="CC23" s="19" t="n">
        <f aca="false">IF(Delay!CC23="","",Fee*$A23+Vq*Delay!CC23)</f>
        <v>2.7</v>
      </c>
      <c r="CD23" s="19" t="n">
        <f aca="false">IF(Delay!CD23="","",Fee*$A23+Vq*Delay!CD23)</f>
        <v>2.7</v>
      </c>
      <c r="CE23" s="19" t="n">
        <f aca="false">IF(Delay!CE23="","",Fee*$A23+Vq*Delay!CE23)</f>
        <v>2.7</v>
      </c>
      <c r="CF23" s="19" t="n">
        <f aca="false">IF(Delay!CF23="","",Fee*$A23+Vq*Delay!CF23)</f>
        <v>2.7</v>
      </c>
      <c r="CG23" s="19" t="n">
        <f aca="false">IF(Delay!CG23="","",Fee*$A23+Vq*Delay!CG23)</f>
        <v>2.7</v>
      </c>
      <c r="CH23" s="19" t="n">
        <f aca="false">IF(Delay!CH23="","",Fee*$A23+Vq*Delay!CH23)</f>
        <v>2.7</v>
      </c>
      <c r="CI23" s="19" t="n">
        <f aca="false">IF(Delay!CI23="","",Fee*$A23+Vq*Delay!CI23)</f>
        <v>2.7</v>
      </c>
      <c r="CJ23" s="19" t="n">
        <f aca="false">IF(Delay!CJ23="","",Fee*$A23+Vq*Delay!CJ23)</f>
        <v>2.7</v>
      </c>
      <c r="CK23" s="19" t="n">
        <f aca="false">IF(Delay!CK23="","",Fee*$A23+Vq*Delay!CK23)</f>
        <v>2.7</v>
      </c>
      <c r="CL23" s="19" t="n">
        <f aca="false">IF(Delay!CL23="","",Fee*$A23+Vq*Delay!CL23)</f>
        <v>2.7</v>
      </c>
      <c r="CM23" s="19" t="n">
        <f aca="false">IF(Delay!CM23="","",Fee*$A23+Vq*Delay!CM23)</f>
        <v>2.7</v>
      </c>
      <c r="CN23" s="19" t="n">
        <f aca="false">IF(Delay!CN23="","",Fee*$A23+Vq*Delay!CN23)</f>
        <v>2.7</v>
      </c>
      <c r="CO23" s="19" t="n">
        <f aca="false">IF(Delay!CO23="","",Fee*$A23+Vq*Delay!CO23)</f>
        <v>2.7</v>
      </c>
      <c r="CP23" s="19" t="n">
        <f aca="false">IF(Delay!CP23="","",Fee*$A23+Vq*Delay!CP23)</f>
        <v>2.7</v>
      </c>
      <c r="CQ23" s="19" t="n">
        <f aca="false">IF(Delay!CQ23="","",Fee*$A23+Vq*Delay!CQ23)</f>
        <v>2.7</v>
      </c>
      <c r="CR23" s="19" t="n">
        <f aca="false">IF(Delay!CR23="","",Fee*$A23+Vq*Delay!CR23)</f>
        <v>2.7</v>
      </c>
      <c r="CS23" s="19" t="n">
        <f aca="false">IF(Delay!CS23="","",Fee*$A23+Vq*Delay!CS23)</f>
        <v>2.7</v>
      </c>
      <c r="CT23" s="19" t="n">
        <f aca="false">IF(Delay!CT23="","",Fee*$A23+Vq*Delay!CT23)</f>
        <v>20.8753753217712</v>
      </c>
    </row>
    <row r="24" customFormat="false" ht="15" hidden="false" customHeight="false" outlineLevel="0" collapsed="false">
      <c r="A24" s="25" t="n">
        <f aca="false">Quantiles!A24</f>
        <v>95</v>
      </c>
      <c r="B24" s="19" t="n">
        <f aca="false">IF(Delay!B24="","",Fee*$A24+Vq*Delay!B24)</f>
        <v>33.3240100051607</v>
      </c>
      <c r="C24" s="19" t="n">
        <f aca="false">IF(Delay!C24="","",Fee*$A24+Vq*Delay!C24)</f>
        <v>30.4186376395461</v>
      </c>
      <c r="D24" s="19" t="n">
        <f aca="false">IF(Delay!D24="","",Fee*$A24+Vq*Delay!D24)</f>
        <v>28.3213063374098</v>
      </c>
      <c r="E24" s="19" t="n">
        <f aca="false">IF(Delay!E24="","",Fee*$A24+Vq*Delay!E24)</f>
        <v>26.3955453660385</v>
      </c>
      <c r="F24" s="19" t="n">
        <f aca="false">IF(Delay!F24="","",Fee*$A24+Vq*Delay!F24)</f>
        <v>24.9158635485994</v>
      </c>
      <c r="G24" s="19" t="n">
        <f aca="false">IF(Delay!G24="","",Fee*$A24+Vq*Delay!G24)</f>
        <v>23.4387466368332</v>
      </c>
      <c r="H24" s="19" t="n">
        <f aca="false">IF(Delay!H24="","",Fee*$A24+Vq*Delay!H24)</f>
        <v>22.2012534686727</v>
      </c>
      <c r="I24" s="19" t="n">
        <f aca="false">IF(Delay!I24="","",Fee*$A24+Vq*Delay!I24)</f>
        <v>20.9683897919315</v>
      </c>
      <c r="J24" s="19" t="n">
        <f aca="false">IF(Delay!J24="","",Fee*$A24+Vq*Delay!J24)</f>
        <v>19.9316976261868</v>
      </c>
      <c r="K24" s="19" t="n">
        <f aca="false">IF(Delay!K24="","",Fee*$A24+Vq*Delay!K24)</f>
        <v>19.0032686620855</v>
      </c>
      <c r="L24" s="19" t="n">
        <f aca="false">IF(Delay!L24="","",Fee*$A24+Vq*Delay!L24)</f>
        <v>18.1046440557334</v>
      </c>
      <c r="M24" s="19" t="n">
        <f aca="false">IF(Delay!M24="","",Fee*$A24+Vq*Delay!M24)</f>
        <v>17.2651694359715</v>
      </c>
      <c r="N24" s="19" t="n">
        <f aca="false">IF(Delay!N24="","",Fee*$A24+Vq*Delay!N24)</f>
        <v>16.4728487478486</v>
      </c>
      <c r="O24" s="19" t="n">
        <f aca="false">IF(Delay!O24="","",Fee*$A24+Vq*Delay!O24)</f>
        <v>15.7990380759473</v>
      </c>
      <c r="P24" s="19" t="n">
        <f aca="false">IF(Delay!P24="","",Fee*$A24+Vq*Delay!P24)</f>
        <v>15.0975410713832</v>
      </c>
      <c r="Q24" s="19" t="n">
        <f aca="false">IF(Delay!Q24="","",Fee*$A24+Vq*Delay!Q24)</f>
        <v>14.4448909155936</v>
      </c>
      <c r="R24" s="19" t="n">
        <f aca="false">IF(Delay!R24="","",Fee*$A24+Vq*Delay!R24)</f>
        <v>13.872976699267</v>
      </c>
      <c r="S24" s="19" t="n">
        <f aca="false">IF(Delay!S24="","",Fee*$A24+Vq*Delay!S24)</f>
        <v>13.3683216841835</v>
      </c>
      <c r="T24" s="19" t="n">
        <f aca="false">IF(Delay!T24="","",Fee*$A24+Vq*Delay!T24)</f>
        <v>12.8102796197192</v>
      </c>
      <c r="U24" s="19" t="n">
        <f aca="false">IF(Delay!U24="","",Fee*$A24+Vq*Delay!U24)</f>
        <v>12.3234633490354</v>
      </c>
      <c r="V24" s="19" t="n">
        <f aca="false">IF(Delay!V24="","",Fee*$A24+Vq*Delay!V24)</f>
        <v>11.8213330863527</v>
      </c>
      <c r="W24" s="19" t="n">
        <f aca="false">IF(Delay!W24="","",Fee*$A24+Vq*Delay!W24)</f>
        <v>11.334708544098</v>
      </c>
      <c r="X24" s="19" t="n">
        <f aca="false">IF(Delay!X24="","",Fee*$A24+Vq*Delay!X24)</f>
        <v>10.8638622158334</v>
      </c>
      <c r="Y24" s="19" t="n">
        <f aca="false">IF(Delay!Y24="","",Fee*$A24+Vq*Delay!Y24)</f>
        <v>10.406691471723</v>
      </c>
      <c r="Z24" s="19" t="n">
        <f aca="false">IF(Delay!Z24="","",Fee*$A24+Vq*Delay!Z24)</f>
        <v>9.99069206969212</v>
      </c>
      <c r="AA24" s="19" t="n">
        <f aca="false">IF(Delay!AA24="","",Fee*$A24+Vq*Delay!AA24)</f>
        <v>9.61530606929032</v>
      </c>
      <c r="AB24" s="19" t="n">
        <f aca="false">IF(Delay!AB24="","",Fee*$A24+Vq*Delay!AB24)</f>
        <v>9.20175960524866</v>
      </c>
      <c r="AC24" s="19" t="n">
        <f aca="false">IF(Delay!AC24="","",Fee*$A24+Vq*Delay!AC24)</f>
        <v>8.78034965387734</v>
      </c>
      <c r="AD24" s="19" t="n">
        <f aca="false">IF(Delay!AD24="","",Fee*$A24+Vq*Delay!AD24)</f>
        <v>8.41316130470114</v>
      </c>
      <c r="AE24" s="19" t="n">
        <f aca="false">IF(Delay!AE24="","",Fee*$A24+Vq*Delay!AE24)</f>
        <v>8.0409343574211</v>
      </c>
      <c r="AF24" s="19" t="n">
        <f aca="false">IF(Delay!AF24="","",Fee*$A24+Vq*Delay!AF24)</f>
        <v>7.68143746732842</v>
      </c>
      <c r="AG24" s="19" t="n">
        <f aca="false">IF(Delay!AG24="","",Fee*$A24+Vq*Delay!AG24)</f>
        <v>7.36848861756134</v>
      </c>
      <c r="AH24" s="19" t="n">
        <f aca="false">IF(Delay!AH24="","",Fee*$A24+Vq*Delay!AH24)</f>
        <v>7.0324854285203</v>
      </c>
      <c r="AI24" s="19" t="n">
        <f aca="false">IF(Delay!AI24="","",Fee*$A24+Vq*Delay!AI24)</f>
        <v>6.71882771627644</v>
      </c>
      <c r="AJ24" s="19" t="n">
        <f aca="false">IF(Delay!AJ24="","",Fee*$A24+Vq*Delay!AJ24)</f>
        <v>6.42542600902506</v>
      </c>
      <c r="AK24" s="19" t="n">
        <f aca="false">IF(Delay!AK24="","",Fee*$A24+Vq*Delay!AK24)</f>
        <v>6.13369602540662</v>
      </c>
      <c r="AL24" s="19" t="n">
        <f aca="false">IF(Delay!AL24="","",Fee*$A24+Vq*Delay!AL24)</f>
        <v>5.85621992807402</v>
      </c>
      <c r="AM24" s="19" t="n">
        <f aca="false">IF(Delay!AM24="","",Fee*$A24+Vq*Delay!AM24)</f>
        <v>5.56222796777456</v>
      </c>
      <c r="AN24" s="19" t="n">
        <f aca="false">IF(Delay!AN24="","",Fee*$A24+Vq*Delay!AN24)</f>
        <v>5.24371593662372</v>
      </c>
      <c r="AO24" s="19" t="n">
        <f aca="false">IF(Delay!AO24="","",Fee*$A24+Vq*Delay!AO24)</f>
        <v>4.96437234465034</v>
      </c>
      <c r="AP24" s="19" t="n">
        <f aca="false">IF(Delay!AP24="","",Fee*$A24+Vq*Delay!AP24)</f>
        <v>4.68612355585846</v>
      </c>
      <c r="AQ24" s="19" t="n">
        <f aca="false">IF(Delay!AQ24="","",Fee*$A24+Vq*Delay!AQ24)</f>
        <v>4.41271283603022</v>
      </c>
      <c r="AR24" s="19" t="n">
        <f aca="false">IF(Delay!AR24="","",Fee*$A24+Vq*Delay!AR24)</f>
        <v>4.17144469514446</v>
      </c>
      <c r="AS24" s="19" t="n">
        <f aca="false">IF(Delay!AS24="","",Fee*$A24+Vq*Delay!AS24)</f>
        <v>3.8912393549461</v>
      </c>
      <c r="AT24" s="19" t="n">
        <f aca="false">IF(Delay!AT24="","",Fee*$A24+Vq*Delay!AT24)</f>
        <v>3.6316026772364</v>
      </c>
      <c r="AU24" s="19" t="n">
        <f aca="false">IF(Delay!AU24="","",Fee*$A24+Vq*Delay!AU24)</f>
        <v>3.39658411661656</v>
      </c>
      <c r="AV24" s="19" t="n">
        <f aca="false">IF(Delay!AV24="","",Fee*$A24+Vq*Delay!AV24)</f>
        <v>3.13018300722432</v>
      </c>
      <c r="AW24" s="19" t="n">
        <f aca="false">IF(Delay!AW24="","",Fee*$A24+Vq*Delay!AW24)</f>
        <v>2.906501728721</v>
      </c>
      <c r="AX24" s="19" t="n">
        <f aca="false">IF(Delay!AX24="","",Fee*$A24+Vq*Delay!AX24)</f>
        <v>2.85</v>
      </c>
      <c r="AY24" s="19" t="n">
        <f aca="false">IF(Delay!AY24="","",Fee*$A24+Vq*Delay!AY24)</f>
        <v>2.85</v>
      </c>
      <c r="AZ24" s="19" t="n">
        <f aca="false">IF(Delay!AZ24="","",Fee*$A24+Vq*Delay!AZ24)</f>
        <v>2.85</v>
      </c>
      <c r="BA24" s="19" t="n">
        <f aca="false">IF(Delay!BA24="","",Fee*$A24+Vq*Delay!BA24)</f>
        <v>2.85</v>
      </c>
      <c r="BB24" s="19" t="n">
        <f aca="false">IF(Delay!BB24="","",Fee*$A24+Vq*Delay!BB24)</f>
        <v>2.85</v>
      </c>
      <c r="BC24" s="19" t="n">
        <f aca="false">IF(Delay!BC24="","",Fee*$A24+Vq*Delay!BC24)</f>
        <v>2.85</v>
      </c>
      <c r="BD24" s="19" t="n">
        <f aca="false">IF(Delay!BD24="","",Fee*$A24+Vq*Delay!BD24)</f>
        <v>2.85</v>
      </c>
      <c r="BE24" s="19" t="n">
        <f aca="false">IF(Delay!BE24="","",Fee*$A24+Vq*Delay!BE24)</f>
        <v>2.85</v>
      </c>
      <c r="BF24" s="19" t="n">
        <f aca="false">IF(Delay!BF24="","",Fee*$A24+Vq*Delay!BF24)</f>
        <v>2.85</v>
      </c>
      <c r="BG24" s="19" t="n">
        <f aca="false">IF(Delay!BG24="","",Fee*$A24+Vq*Delay!BG24)</f>
        <v>2.85</v>
      </c>
      <c r="BH24" s="19" t="n">
        <f aca="false">IF(Delay!BH24="","",Fee*$A24+Vq*Delay!BH24)</f>
        <v>2.85</v>
      </c>
      <c r="BI24" s="19" t="n">
        <f aca="false">IF(Delay!BI24="","",Fee*$A24+Vq*Delay!BI24)</f>
        <v>2.85</v>
      </c>
      <c r="BJ24" s="19" t="n">
        <f aca="false">IF(Delay!BJ24="","",Fee*$A24+Vq*Delay!BJ24)</f>
        <v>2.85</v>
      </c>
      <c r="BK24" s="19" t="n">
        <f aca="false">IF(Delay!BK24="","",Fee*$A24+Vq*Delay!BK24)</f>
        <v>2.85</v>
      </c>
      <c r="BL24" s="19" t="n">
        <f aca="false">IF(Delay!BL24="","",Fee*$A24+Vq*Delay!BL24)</f>
        <v>2.85</v>
      </c>
      <c r="BM24" s="19" t="n">
        <f aca="false">IF(Delay!BM24="","",Fee*$A24+Vq*Delay!BM24)</f>
        <v>2.85</v>
      </c>
      <c r="BN24" s="19" t="n">
        <f aca="false">IF(Delay!BN24="","",Fee*$A24+Vq*Delay!BN24)</f>
        <v>2.85</v>
      </c>
      <c r="BO24" s="19" t="n">
        <f aca="false">IF(Delay!BO24="","",Fee*$A24+Vq*Delay!BO24)</f>
        <v>2.85</v>
      </c>
      <c r="BP24" s="19" t="n">
        <f aca="false">IF(Delay!BP24="","",Fee*$A24+Vq*Delay!BP24)</f>
        <v>2.85</v>
      </c>
      <c r="BQ24" s="19" t="n">
        <f aca="false">IF(Delay!BQ24="","",Fee*$A24+Vq*Delay!BQ24)</f>
        <v>2.85</v>
      </c>
      <c r="BR24" s="19" t="n">
        <f aca="false">IF(Delay!BR24="","",Fee*$A24+Vq*Delay!BR24)</f>
        <v>2.85</v>
      </c>
      <c r="BS24" s="19" t="n">
        <f aca="false">IF(Delay!BS24="","",Fee*$A24+Vq*Delay!BS24)</f>
        <v>2.85</v>
      </c>
      <c r="BT24" s="19" t="n">
        <f aca="false">IF(Delay!BT24="","",Fee*$A24+Vq*Delay!BT24)</f>
        <v>2.85</v>
      </c>
      <c r="BU24" s="19" t="n">
        <f aca="false">IF(Delay!BU24="","",Fee*$A24+Vq*Delay!BU24)</f>
        <v>2.85</v>
      </c>
      <c r="BV24" s="19" t="n">
        <f aca="false">IF(Delay!BV24="","",Fee*$A24+Vq*Delay!BV24)</f>
        <v>2.85</v>
      </c>
      <c r="BW24" s="19" t="n">
        <f aca="false">IF(Delay!BW24="","",Fee*$A24+Vq*Delay!BW24)</f>
        <v>2.85</v>
      </c>
      <c r="BX24" s="19" t="n">
        <f aca="false">IF(Delay!BX24="","",Fee*$A24+Vq*Delay!BX24)</f>
        <v>2.85</v>
      </c>
      <c r="BY24" s="19" t="n">
        <f aca="false">IF(Delay!BY24="","",Fee*$A24+Vq*Delay!BY24)</f>
        <v>2.85</v>
      </c>
      <c r="BZ24" s="19" t="n">
        <f aca="false">IF(Delay!BZ24="","",Fee*$A24+Vq*Delay!BZ24)</f>
        <v>2.85</v>
      </c>
      <c r="CA24" s="19" t="n">
        <f aca="false">IF(Delay!CA24="","",Fee*$A24+Vq*Delay!CA24)</f>
        <v>2.85</v>
      </c>
      <c r="CB24" s="19" t="n">
        <f aca="false">IF(Delay!CB24="","",Fee*$A24+Vq*Delay!CB24)</f>
        <v>2.85</v>
      </c>
      <c r="CC24" s="19" t="n">
        <f aca="false">IF(Delay!CC24="","",Fee*$A24+Vq*Delay!CC24)</f>
        <v>2.85</v>
      </c>
      <c r="CD24" s="19" t="n">
        <f aca="false">IF(Delay!CD24="","",Fee*$A24+Vq*Delay!CD24)</f>
        <v>2.85</v>
      </c>
      <c r="CE24" s="19" t="n">
        <f aca="false">IF(Delay!CE24="","",Fee*$A24+Vq*Delay!CE24)</f>
        <v>2.85</v>
      </c>
      <c r="CF24" s="19" t="n">
        <f aca="false">IF(Delay!CF24="","",Fee*$A24+Vq*Delay!CF24)</f>
        <v>2.85</v>
      </c>
      <c r="CG24" s="19" t="n">
        <f aca="false">IF(Delay!CG24="","",Fee*$A24+Vq*Delay!CG24)</f>
        <v>2.85</v>
      </c>
      <c r="CH24" s="19" t="n">
        <f aca="false">IF(Delay!CH24="","",Fee*$A24+Vq*Delay!CH24)</f>
        <v>2.85</v>
      </c>
      <c r="CI24" s="19" t="n">
        <f aca="false">IF(Delay!CI24="","",Fee*$A24+Vq*Delay!CI24)</f>
        <v>2.85</v>
      </c>
      <c r="CJ24" s="19" t="n">
        <f aca="false">IF(Delay!CJ24="","",Fee*$A24+Vq*Delay!CJ24)</f>
        <v>2.85</v>
      </c>
      <c r="CK24" s="19" t="n">
        <f aca="false">IF(Delay!CK24="","",Fee*$A24+Vq*Delay!CK24)</f>
        <v>2.85</v>
      </c>
      <c r="CL24" s="19" t="n">
        <f aca="false">IF(Delay!CL24="","",Fee*$A24+Vq*Delay!CL24)</f>
        <v>2.85</v>
      </c>
      <c r="CM24" s="19" t="n">
        <f aca="false">IF(Delay!CM24="","",Fee*$A24+Vq*Delay!CM24)</f>
        <v>2.85</v>
      </c>
      <c r="CN24" s="19" t="n">
        <f aca="false">IF(Delay!CN24="","",Fee*$A24+Vq*Delay!CN24)</f>
        <v>2.85</v>
      </c>
      <c r="CO24" s="19" t="n">
        <f aca="false">IF(Delay!CO24="","",Fee*$A24+Vq*Delay!CO24)</f>
        <v>2.85</v>
      </c>
      <c r="CP24" s="19" t="n">
        <f aca="false">IF(Delay!CP24="","",Fee*$A24+Vq*Delay!CP24)</f>
        <v>2.85</v>
      </c>
      <c r="CQ24" s="19" t="n">
        <f aca="false">IF(Delay!CQ24="","",Fee*$A24+Vq*Delay!CQ24)</f>
        <v>2.85</v>
      </c>
      <c r="CR24" s="19" t="n">
        <f aca="false">IF(Delay!CR24="","",Fee*$A24+Vq*Delay!CR24)</f>
        <v>2.85</v>
      </c>
      <c r="CS24" s="19" t="n">
        <f aca="false">IF(Delay!CS24="","",Fee*$A24+Vq*Delay!CS24)</f>
        <v>2.85</v>
      </c>
      <c r="CT24" s="19" t="n">
        <f aca="false">IF(Delay!CT24="","",Fee*$A24+Vq*Delay!CT24)</f>
        <v>19.9232589865504</v>
      </c>
    </row>
    <row r="25" customFormat="false" ht="15" hidden="false" customHeight="false" outlineLevel="0" collapsed="false">
      <c r="A25" s="25" t="n">
        <f aca="false">Quantiles!A25</f>
        <v>100</v>
      </c>
      <c r="B25" s="19" t="n">
        <f aca="false">IF(Delay!B25="","",Fee*$A25+Vq*Delay!B25)</f>
        <v>31.7354172366659</v>
      </c>
      <c r="C25" s="19" t="n">
        <f aca="false">IF(Delay!C25="","",Fee*$A25+Vq*Delay!C25)</f>
        <v>29.0313697674287</v>
      </c>
      <c r="D25" s="19" t="n">
        <f aca="false">IF(Delay!D25="","",Fee*$A25+Vq*Delay!D25)</f>
        <v>27.146004015087</v>
      </c>
      <c r="E25" s="19" t="n">
        <f aca="false">IF(Delay!E25="","",Fee*$A25+Vq*Delay!E25)</f>
        <v>25.3963222782519</v>
      </c>
      <c r="F25" s="19" t="n">
        <f aca="false">IF(Delay!F25="","",Fee*$A25+Vq*Delay!F25)</f>
        <v>23.8478927918146</v>
      </c>
      <c r="G25" s="19" t="n">
        <f aca="false">IF(Delay!G25="","",Fee*$A25+Vq*Delay!G25)</f>
        <v>22.5994670191415</v>
      </c>
      <c r="H25" s="19" t="n">
        <f aca="false">IF(Delay!H25="","",Fee*$A25+Vq*Delay!H25)</f>
        <v>21.2820872425567</v>
      </c>
      <c r="I25" s="19" t="n">
        <f aca="false">IF(Delay!I25="","",Fee*$A25+Vq*Delay!I25)</f>
        <v>20.0816976261868</v>
      </c>
      <c r="J25" s="19" t="n">
        <f aca="false">IF(Delay!J25="","",Fee*$A25+Vq*Delay!J25)</f>
        <v>19.0235410434847</v>
      </c>
      <c r="K25" s="19" t="n">
        <f aca="false">IF(Delay!K25="","",Fee*$A25+Vq*Delay!K25)</f>
        <v>18.1612150367804</v>
      </c>
      <c r="L25" s="19" t="n">
        <f aca="false">IF(Delay!L25="","",Fee*$A25+Vq*Delay!L25)</f>
        <v>17.3629929793336</v>
      </c>
      <c r="M25" s="19" t="n">
        <f aca="false">IF(Delay!M25="","",Fee*$A25+Vq*Delay!M25)</f>
        <v>16.5393328179335</v>
      </c>
      <c r="N25" s="19" t="n">
        <f aca="false">IF(Delay!N25="","",Fee*$A25+Vq*Delay!N25)</f>
        <v>15.7608514478064</v>
      </c>
      <c r="O25" s="19" t="n">
        <f aca="false">IF(Delay!O25="","",Fee*$A25+Vq*Delay!O25)</f>
        <v>15.1215735779712</v>
      </c>
      <c r="P25" s="19" t="n">
        <f aca="false">IF(Delay!P25="","",Fee*$A25+Vq*Delay!P25)</f>
        <v>14.4725987075679</v>
      </c>
      <c r="Q25" s="19" t="n">
        <f aca="false">IF(Delay!Q25="","",Fee*$A25+Vq*Delay!Q25)</f>
        <v>13.8523824770535</v>
      </c>
      <c r="R25" s="19" t="n">
        <f aca="false">IF(Delay!R25="","",Fee*$A25+Vq*Delay!R25)</f>
        <v>13.2968910603644</v>
      </c>
      <c r="S25" s="19" t="n">
        <f aca="false">IF(Delay!S25="","",Fee*$A25+Vq*Delay!S25)</f>
        <v>12.8066734313309</v>
      </c>
      <c r="T25" s="19" t="n">
        <f aca="false">IF(Delay!T25="","",Fee*$A25+Vq*Delay!T25)</f>
        <v>12.2841240841621</v>
      </c>
      <c r="U25" s="19" t="n">
        <f aca="false">IF(Delay!U25="","",Fee*$A25+Vq*Delay!U25)</f>
        <v>11.8077048065234</v>
      </c>
      <c r="V25" s="19" t="n">
        <f aca="false">IF(Delay!V25="","",Fee*$A25+Vq*Delay!V25)</f>
        <v>11.3247710148445</v>
      </c>
      <c r="W25" s="19" t="n">
        <f aca="false">IF(Delay!W25="","",Fee*$A25+Vq*Delay!W25)</f>
        <v>10.8521337502134</v>
      </c>
      <c r="X25" s="19" t="n">
        <f aca="false">IF(Delay!X25="","",Fee*$A25+Vq*Delay!X25)</f>
        <v>10.3942415501296</v>
      </c>
      <c r="Y25" s="19" t="n">
        <f aca="false">IF(Delay!Y25="","",Fee*$A25+Vq*Delay!Y25)</f>
        <v>9.98221197854422</v>
      </c>
      <c r="Z25" s="19" t="n">
        <f aca="false">IF(Delay!Z25="","",Fee*$A25+Vq*Delay!Z25)</f>
        <v>9.57559452686334</v>
      </c>
      <c r="AA25" s="19" t="n">
        <f aca="false">IF(Delay!AA25="","",Fee*$A25+Vq*Delay!AA25)</f>
        <v>9.15086758307682</v>
      </c>
      <c r="AB25" s="19" t="n">
        <f aca="false">IF(Delay!AB25="","",Fee*$A25+Vq*Delay!AB25)</f>
        <v>8.73614916255624</v>
      </c>
      <c r="AC25" s="19" t="n">
        <f aca="false">IF(Delay!AC25="","",Fee*$A25+Vq*Delay!AC25)</f>
        <v>8.34263198848392</v>
      </c>
      <c r="AD25" s="19" t="n">
        <f aca="false">IF(Delay!AD25="","",Fee*$A25+Vq*Delay!AD25)</f>
        <v>8.01913815496104</v>
      </c>
      <c r="AE25" s="19" t="n">
        <f aca="false">IF(Delay!AE25="","",Fee*$A25+Vq*Delay!AE25)</f>
        <v>7.64682463119846</v>
      </c>
      <c r="AF25" s="19" t="n">
        <f aca="false">IF(Delay!AF25="","",Fee*$A25+Vq*Delay!AF25)</f>
        <v>7.31981653050924</v>
      </c>
      <c r="AG25" s="19" t="n">
        <f aca="false">IF(Delay!AG25="","",Fee*$A25+Vq*Delay!AG25)</f>
        <v>6.98089547853104</v>
      </c>
      <c r="AH25" s="19" t="n">
        <f aca="false">IF(Delay!AH25="","",Fee*$A25+Vq*Delay!AH25)</f>
        <v>6.6721840205143</v>
      </c>
      <c r="AI25" s="19" t="n">
        <f aca="false">IF(Delay!AI25="","",Fee*$A25+Vq*Delay!AI25)</f>
        <v>6.3807857006394</v>
      </c>
      <c r="AJ25" s="19" t="n">
        <f aca="false">IF(Delay!AJ25="","",Fee*$A25+Vq*Delay!AJ25)</f>
        <v>6.07894097134246</v>
      </c>
      <c r="AK25" s="19" t="n">
        <f aca="false">IF(Delay!AK25="","",Fee*$A25+Vq*Delay!AK25)</f>
        <v>5.79179122578538</v>
      </c>
      <c r="AL25" s="19" t="n">
        <f aca="false">IF(Delay!AL25="","",Fee*$A25+Vq*Delay!AL25)</f>
        <v>5.50469668738912</v>
      </c>
      <c r="AM25" s="19" t="n">
        <f aca="false">IF(Delay!AM25="","",Fee*$A25+Vq*Delay!AM25)</f>
        <v>5.19834697995652</v>
      </c>
      <c r="AN25" s="19" t="n">
        <f aca="false">IF(Delay!AN25="","",Fee*$A25+Vq*Delay!AN25)</f>
        <v>4.94195458053876</v>
      </c>
      <c r="AO25" s="19" t="n">
        <f aca="false">IF(Delay!AO25="","",Fee*$A25+Vq*Delay!AO25)</f>
        <v>4.66399348079792</v>
      </c>
      <c r="AP25" s="19" t="n">
        <f aca="false">IF(Delay!AP25="","",Fee*$A25+Vq*Delay!AP25)</f>
        <v>4.4158663352516</v>
      </c>
      <c r="AQ25" s="19" t="n">
        <f aca="false">IF(Delay!AQ25="","",Fee*$A25+Vq*Delay!AQ25)</f>
        <v>4.15726479881776</v>
      </c>
      <c r="AR25" s="19" t="n">
        <f aca="false">IF(Delay!AR25="","",Fee*$A25+Vq*Delay!AR25)</f>
        <v>3.88668459607032</v>
      </c>
      <c r="AS25" s="19" t="n">
        <f aca="false">IF(Delay!AS25="","",Fee*$A25+Vq*Delay!AS25)</f>
        <v>3.63105563328248</v>
      </c>
      <c r="AT25" s="19" t="n">
        <f aca="false">IF(Delay!AT25="","",Fee*$A25+Vq*Delay!AT25)</f>
        <v>3.3477318560835</v>
      </c>
      <c r="AU25" s="19" t="n">
        <f aca="false">IF(Delay!AU25="","",Fee*$A25+Vq*Delay!AU25)</f>
        <v>3.11793411019712</v>
      </c>
      <c r="AV25" s="19" t="n">
        <f aca="false">IF(Delay!AV25="","",Fee*$A25+Vq*Delay!AV25)</f>
        <v>3</v>
      </c>
      <c r="AW25" s="19" t="n">
        <f aca="false">IF(Delay!AW25="","",Fee*$A25+Vq*Delay!AW25)</f>
        <v>3</v>
      </c>
      <c r="AX25" s="19" t="n">
        <f aca="false">IF(Delay!AX25="","",Fee*$A25+Vq*Delay!AX25)</f>
        <v>3</v>
      </c>
      <c r="AY25" s="19" t="n">
        <f aca="false">IF(Delay!AY25="","",Fee*$A25+Vq*Delay!AY25)</f>
        <v>3</v>
      </c>
      <c r="AZ25" s="19" t="n">
        <f aca="false">IF(Delay!AZ25="","",Fee*$A25+Vq*Delay!AZ25)</f>
        <v>3</v>
      </c>
      <c r="BA25" s="19" t="n">
        <f aca="false">IF(Delay!BA25="","",Fee*$A25+Vq*Delay!BA25)</f>
        <v>3</v>
      </c>
      <c r="BB25" s="19" t="n">
        <f aca="false">IF(Delay!BB25="","",Fee*$A25+Vq*Delay!BB25)</f>
        <v>3</v>
      </c>
      <c r="BC25" s="19" t="n">
        <f aca="false">IF(Delay!BC25="","",Fee*$A25+Vq*Delay!BC25)</f>
        <v>3</v>
      </c>
      <c r="BD25" s="19" t="n">
        <f aca="false">IF(Delay!BD25="","",Fee*$A25+Vq*Delay!BD25)</f>
        <v>3</v>
      </c>
      <c r="BE25" s="19" t="n">
        <f aca="false">IF(Delay!BE25="","",Fee*$A25+Vq*Delay!BE25)</f>
        <v>3</v>
      </c>
      <c r="BF25" s="19" t="n">
        <f aca="false">IF(Delay!BF25="","",Fee*$A25+Vq*Delay!BF25)</f>
        <v>3</v>
      </c>
      <c r="BG25" s="19" t="n">
        <f aca="false">IF(Delay!BG25="","",Fee*$A25+Vq*Delay!BG25)</f>
        <v>3</v>
      </c>
      <c r="BH25" s="19" t="n">
        <f aca="false">IF(Delay!BH25="","",Fee*$A25+Vq*Delay!BH25)</f>
        <v>3</v>
      </c>
      <c r="BI25" s="19" t="n">
        <f aca="false">IF(Delay!BI25="","",Fee*$A25+Vq*Delay!BI25)</f>
        <v>3</v>
      </c>
      <c r="BJ25" s="19" t="n">
        <f aca="false">IF(Delay!BJ25="","",Fee*$A25+Vq*Delay!BJ25)</f>
        <v>3</v>
      </c>
      <c r="BK25" s="19" t="n">
        <f aca="false">IF(Delay!BK25="","",Fee*$A25+Vq*Delay!BK25)</f>
        <v>3</v>
      </c>
      <c r="BL25" s="19" t="n">
        <f aca="false">IF(Delay!BL25="","",Fee*$A25+Vq*Delay!BL25)</f>
        <v>3</v>
      </c>
      <c r="BM25" s="19" t="n">
        <f aca="false">IF(Delay!BM25="","",Fee*$A25+Vq*Delay!BM25)</f>
        <v>3</v>
      </c>
      <c r="BN25" s="19" t="n">
        <f aca="false">IF(Delay!BN25="","",Fee*$A25+Vq*Delay!BN25)</f>
        <v>3</v>
      </c>
      <c r="BO25" s="19" t="n">
        <f aca="false">IF(Delay!BO25="","",Fee*$A25+Vq*Delay!BO25)</f>
        <v>3</v>
      </c>
      <c r="BP25" s="19" t="n">
        <f aca="false">IF(Delay!BP25="","",Fee*$A25+Vq*Delay!BP25)</f>
        <v>3</v>
      </c>
      <c r="BQ25" s="19" t="n">
        <f aca="false">IF(Delay!BQ25="","",Fee*$A25+Vq*Delay!BQ25)</f>
        <v>3</v>
      </c>
      <c r="BR25" s="19" t="n">
        <f aca="false">IF(Delay!BR25="","",Fee*$A25+Vq*Delay!BR25)</f>
        <v>3</v>
      </c>
      <c r="BS25" s="19" t="n">
        <f aca="false">IF(Delay!BS25="","",Fee*$A25+Vq*Delay!BS25)</f>
        <v>3</v>
      </c>
      <c r="BT25" s="19" t="n">
        <f aca="false">IF(Delay!BT25="","",Fee*$A25+Vq*Delay!BT25)</f>
        <v>3</v>
      </c>
      <c r="BU25" s="19" t="n">
        <f aca="false">IF(Delay!BU25="","",Fee*$A25+Vq*Delay!BU25)</f>
        <v>3</v>
      </c>
      <c r="BV25" s="19" t="n">
        <f aca="false">IF(Delay!BV25="","",Fee*$A25+Vq*Delay!BV25)</f>
        <v>3</v>
      </c>
      <c r="BW25" s="19" t="n">
        <f aca="false">IF(Delay!BW25="","",Fee*$A25+Vq*Delay!BW25)</f>
        <v>3</v>
      </c>
      <c r="BX25" s="19" t="n">
        <f aca="false">IF(Delay!BX25="","",Fee*$A25+Vq*Delay!BX25)</f>
        <v>3</v>
      </c>
      <c r="BY25" s="19" t="n">
        <f aca="false">IF(Delay!BY25="","",Fee*$A25+Vq*Delay!BY25)</f>
        <v>3</v>
      </c>
      <c r="BZ25" s="19" t="n">
        <f aca="false">IF(Delay!BZ25="","",Fee*$A25+Vq*Delay!BZ25)</f>
        <v>3</v>
      </c>
      <c r="CA25" s="19" t="n">
        <f aca="false">IF(Delay!CA25="","",Fee*$A25+Vq*Delay!CA25)</f>
        <v>3</v>
      </c>
      <c r="CB25" s="19" t="n">
        <f aca="false">IF(Delay!CB25="","",Fee*$A25+Vq*Delay!CB25)</f>
        <v>3</v>
      </c>
      <c r="CC25" s="19" t="n">
        <f aca="false">IF(Delay!CC25="","",Fee*$A25+Vq*Delay!CC25)</f>
        <v>3</v>
      </c>
      <c r="CD25" s="19" t="n">
        <f aca="false">IF(Delay!CD25="","",Fee*$A25+Vq*Delay!CD25)</f>
        <v>3</v>
      </c>
      <c r="CE25" s="19" t="n">
        <f aca="false">IF(Delay!CE25="","",Fee*$A25+Vq*Delay!CE25)</f>
        <v>3</v>
      </c>
      <c r="CF25" s="19" t="n">
        <f aca="false">IF(Delay!CF25="","",Fee*$A25+Vq*Delay!CF25)</f>
        <v>3</v>
      </c>
      <c r="CG25" s="19" t="n">
        <f aca="false">IF(Delay!CG25="","",Fee*$A25+Vq*Delay!CG25)</f>
        <v>3</v>
      </c>
      <c r="CH25" s="19" t="n">
        <f aca="false">IF(Delay!CH25="","",Fee*$A25+Vq*Delay!CH25)</f>
        <v>3</v>
      </c>
      <c r="CI25" s="19" t="n">
        <f aca="false">IF(Delay!CI25="","",Fee*$A25+Vq*Delay!CI25)</f>
        <v>3</v>
      </c>
      <c r="CJ25" s="19" t="n">
        <f aca="false">IF(Delay!CJ25="","",Fee*$A25+Vq*Delay!CJ25)</f>
        <v>3</v>
      </c>
      <c r="CK25" s="19" t="n">
        <f aca="false">IF(Delay!CK25="","",Fee*$A25+Vq*Delay!CK25)</f>
        <v>3</v>
      </c>
      <c r="CL25" s="19" t="n">
        <f aca="false">IF(Delay!CL25="","",Fee*$A25+Vq*Delay!CL25)</f>
        <v>3</v>
      </c>
      <c r="CM25" s="19" t="n">
        <f aca="false">IF(Delay!CM25="","",Fee*$A25+Vq*Delay!CM25)</f>
        <v>3</v>
      </c>
      <c r="CN25" s="19" t="n">
        <f aca="false">IF(Delay!CN25="","",Fee*$A25+Vq*Delay!CN25)</f>
        <v>3</v>
      </c>
      <c r="CO25" s="19" t="n">
        <f aca="false">IF(Delay!CO25="","",Fee*$A25+Vq*Delay!CO25)</f>
        <v>3</v>
      </c>
      <c r="CP25" s="19" t="n">
        <f aca="false">IF(Delay!CP25="","",Fee*$A25+Vq*Delay!CP25)</f>
        <v>3</v>
      </c>
      <c r="CQ25" s="19" t="n">
        <f aca="false">IF(Delay!CQ25="","",Fee*$A25+Vq*Delay!CQ25)</f>
        <v>3</v>
      </c>
      <c r="CR25" s="19" t="n">
        <f aca="false">IF(Delay!CR25="","",Fee*$A25+Vq*Delay!CR25)</f>
        <v>3</v>
      </c>
      <c r="CS25" s="19" t="n">
        <f aca="false">IF(Delay!CS25="","",Fee*$A25+Vq*Delay!CS25)</f>
        <v>3</v>
      </c>
      <c r="CT25" s="19" t="n">
        <f aca="false">IF(Delay!CT25="","",Fee*$A25+Vq*Delay!CT25)</f>
        <v>18.9993792759201</v>
      </c>
    </row>
    <row r="26" customFormat="false" ht="15" hidden="false" customHeight="false" outlineLevel="0" collapsed="false">
      <c r="A26" s="25" t="n">
        <f aca="false">Quantiles!A26</f>
        <v>105</v>
      </c>
      <c r="B26" s="19" t="n">
        <f aca="false">IF(Delay!B26="","",Fee*$A26+Vq*Delay!B26)</f>
        <v>30.415184317285</v>
      </c>
      <c r="C26" s="19" t="n">
        <f aca="false">IF(Delay!C26="","",Fee*$A26+Vq*Delay!C26)</f>
        <v>27.782670810534</v>
      </c>
      <c r="D26" s="19" t="n">
        <f aca="false">IF(Delay!D26="","",Fee*$A26+Vq*Delay!D26)</f>
        <v>26.0461574247795</v>
      </c>
      <c r="E26" s="19" t="n">
        <f aca="false">IF(Delay!E26="","",Fee*$A26+Vq*Delay!E26)</f>
        <v>24.405202479326</v>
      </c>
      <c r="F26" s="19" t="n">
        <f aca="false">IF(Delay!F26="","",Fee*$A26+Vq*Delay!F26)</f>
        <v>22.9446055924404</v>
      </c>
      <c r="G26" s="19" t="n">
        <f aca="false">IF(Delay!G26="","",Fee*$A26+Vq*Delay!G26)</f>
        <v>21.6744019626824</v>
      </c>
      <c r="H26" s="19" t="n">
        <f aca="false">IF(Delay!H26="","",Fee*$A26+Vq*Delay!H26)</f>
        <v>20.4448696686183</v>
      </c>
      <c r="I26" s="19" t="n">
        <f aca="false">IF(Delay!I26="","",Fee*$A26+Vq*Delay!I26)</f>
        <v>19.366341585005</v>
      </c>
      <c r="J26" s="19" t="n">
        <f aca="false">IF(Delay!J26="","",Fee*$A26+Vq*Delay!J26)</f>
        <v>18.3854413034038</v>
      </c>
      <c r="K26" s="19" t="n">
        <f aca="false">IF(Delay!K26="","",Fee*$A26+Vq*Delay!K26)</f>
        <v>17.4441712475944</v>
      </c>
      <c r="L26" s="19" t="n">
        <f aca="false">IF(Delay!L26="","",Fee*$A26+Vq*Delay!L26)</f>
        <v>16.5998345042651</v>
      </c>
      <c r="M26" s="19" t="n">
        <f aca="false">IF(Delay!M26="","",Fee*$A26+Vq*Delay!M26)</f>
        <v>15.8756824404662</v>
      </c>
      <c r="N26" s="19" t="n">
        <f aca="false">IF(Delay!N26="","",Fee*$A26+Vq*Delay!N26)</f>
        <v>15.1692358764347</v>
      </c>
      <c r="O26" s="19" t="n">
        <f aca="false">IF(Delay!O26="","",Fee*$A26+Vq*Delay!O26)</f>
        <v>14.4947497002708</v>
      </c>
      <c r="P26" s="19" t="n">
        <f aca="false">IF(Delay!P26="","",Fee*$A26+Vq*Delay!P26)</f>
        <v>13.878893335492</v>
      </c>
      <c r="Q26" s="19" t="n">
        <f aca="false">IF(Delay!Q26="","",Fee*$A26+Vq*Delay!Q26)</f>
        <v>13.318782969834</v>
      </c>
      <c r="R26" s="19" t="n">
        <f aca="false">IF(Delay!R26="","",Fee*$A26+Vq*Delay!R26)</f>
        <v>12.8436749787692</v>
      </c>
      <c r="S26" s="19" t="n">
        <f aca="false">IF(Delay!S26="","",Fee*$A26+Vq*Delay!S26)</f>
        <v>12.2972991875213</v>
      </c>
      <c r="T26" s="19" t="n">
        <f aca="false">IF(Delay!T26="","",Fee*$A26+Vq*Delay!T26)</f>
        <v>11.7982908718628</v>
      </c>
      <c r="U26" s="19" t="n">
        <f aca="false">IF(Delay!U26="","",Fee*$A26+Vq*Delay!U26)</f>
        <v>11.3096164508782</v>
      </c>
      <c r="V26" s="19" t="n">
        <f aca="false">IF(Delay!V26="","",Fee*$A26+Vq*Delay!V26)</f>
        <v>10.8517138385271</v>
      </c>
      <c r="W26" s="19" t="n">
        <f aca="false">IF(Delay!W26="","",Fee*$A26+Vq*Delay!W26)</f>
        <v>10.4048978387504</v>
      </c>
      <c r="X26" s="19" t="n">
        <f aca="false">IF(Delay!X26="","",Fee*$A26+Vq*Delay!X26)</f>
        <v>9.98128589679928</v>
      </c>
      <c r="Y26" s="19" t="n">
        <f aca="false">IF(Delay!Y26="","",Fee*$A26+Vq*Delay!Y26)</f>
        <v>9.58471194597562</v>
      </c>
      <c r="Z26" s="19" t="n">
        <f aca="false">IF(Delay!Z26="","",Fee*$A26+Vq*Delay!Z26)</f>
        <v>9.1813825475419</v>
      </c>
      <c r="AA26" s="19" t="n">
        <f aca="false">IF(Delay!AA26="","",Fee*$A26+Vq*Delay!AA26)</f>
        <v>8.79495690458578</v>
      </c>
      <c r="AB26" s="19" t="n">
        <f aca="false">IF(Delay!AB26="","",Fee*$A26+Vq*Delay!AB26)</f>
        <v>8.38852561090088</v>
      </c>
      <c r="AC26" s="19" t="n">
        <f aca="false">IF(Delay!AC26="","",Fee*$A26+Vq*Delay!AC26)</f>
        <v>8.01674861259132</v>
      </c>
      <c r="AD26" s="19" t="n">
        <f aca="false">IF(Delay!AD26="","",Fee*$A26+Vq*Delay!AD26)</f>
        <v>7.67987107724166</v>
      </c>
      <c r="AE26" s="19" t="n">
        <f aca="false">IF(Delay!AE26="","",Fee*$A26+Vq*Delay!AE26)</f>
        <v>7.31518268449276</v>
      </c>
      <c r="AF26" s="19" t="n">
        <f aca="false">IF(Delay!AF26="","",Fee*$A26+Vq*Delay!AF26)</f>
        <v>6.98545300270014</v>
      </c>
      <c r="AG26" s="19" t="n">
        <f aca="false">IF(Delay!AG26="","",Fee*$A26+Vq*Delay!AG26)</f>
        <v>6.69888422168836</v>
      </c>
      <c r="AH26" s="19" t="n">
        <f aca="false">IF(Delay!AH26="","",Fee*$A26+Vq*Delay!AH26)</f>
        <v>6.37883547624916</v>
      </c>
      <c r="AI26" s="19" t="n">
        <f aca="false">IF(Delay!AI26="","",Fee*$A26+Vq*Delay!AI26)</f>
        <v>6.06232089486104</v>
      </c>
      <c r="AJ26" s="19" t="n">
        <f aca="false">IF(Delay!AJ26="","",Fee*$A26+Vq*Delay!AJ26)</f>
        <v>5.75822747172884</v>
      </c>
      <c r="AK26" s="19" t="n">
        <f aca="false">IF(Delay!AK26="","",Fee*$A26+Vq*Delay!AK26)</f>
        <v>5.43950210625996</v>
      </c>
      <c r="AL26" s="19" t="n">
        <f aca="false">IF(Delay!AL26="","",Fee*$A26+Vq*Delay!AL26)</f>
        <v>5.16309969257914</v>
      </c>
      <c r="AM26" s="19" t="n">
        <f aca="false">IF(Delay!AM26="","",Fee*$A26+Vq*Delay!AM26)</f>
        <v>4.9066532768487</v>
      </c>
      <c r="AN26" s="19" t="n">
        <f aca="false">IF(Delay!AN26="","",Fee*$A26+Vq*Delay!AN26)</f>
        <v>4.65171544849008</v>
      </c>
      <c r="AO26" s="19" t="n">
        <f aca="false">IF(Delay!AO26="","",Fee*$A26+Vq*Delay!AO26)</f>
        <v>4.3837681671959</v>
      </c>
      <c r="AP26" s="19" t="n">
        <f aca="false">IF(Delay!AP26="","",Fee*$A26+Vq*Delay!AP26)</f>
        <v>4.11375182517422</v>
      </c>
      <c r="AQ26" s="19" t="n">
        <f aca="false">IF(Delay!AQ26="","",Fee*$A26+Vq*Delay!AQ26)</f>
        <v>3.86041403349316</v>
      </c>
      <c r="AR26" s="19" t="n">
        <f aca="false">IF(Delay!AR26="","",Fee*$A26+Vq*Delay!AR26)</f>
        <v>3.60545548724166</v>
      </c>
      <c r="AS26" s="19" t="n">
        <f aca="false">IF(Delay!AS26="","",Fee*$A26+Vq*Delay!AS26)</f>
        <v>3.35878247065846</v>
      </c>
      <c r="AT26" s="19" t="n">
        <f aca="false">IF(Delay!AT26="","",Fee*$A26+Vq*Delay!AT26)</f>
        <v>3.15</v>
      </c>
      <c r="AU26" s="19" t="n">
        <f aca="false">IF(Delay!AU26="","",Fee*$A26+Vq*Delay!AU26)</f>
        <v>3.15</v>
      </c>
      <c r="AV26" s="19" t="n">
        <f aca="false">IF(Delay!AV26="","",Fee*$A26+Vq*Delay!AV26)</f>
        <v>3.15</v>
      </c>
      <c r="AW26" s="19" t="n">
        <f aca="false">IF(Delay!AW26="","",Fee*$A26+Vq*Delay!AW26)</f>
        <v>3.15</v>
      </c>
      <c r="AX26" s="19" t="n">
        <f aca="false">IF(Delay!AX26="","",Fee*$A26+Vq*Delay!AX26)</f>
        <v>3.15</v>
      </c>
      <c r="AY26" s="19" t="n">
        <f aca="false">IF(Delay!AY26="","",Fee*$A26+Vq*Delay!AY26)</f>
        <v>3.15</v>
      </c>
      <c r="AZ26" s="19" t="n">
        <f aca="false">IF(Delay!AZ26="","",Fee*$A26+Vq*Delay!AZ26)</f>
        <v>3.15</v>
      </c>
      <c r="BA26" s="19" t="n">
        <f aca="false">IF(Delay!BA26="","",Fee*$A26+Vq*Delay!BA26)</f>
        <v>3.15</v>
      </c>
      <c r="BB26" s="19" t="n">
        <f aca="false">IF(Delay!BB26="","",Fee*$A26+Vq*Delay!BB26)</f>
        <v>3.15</v>
      </c>
      <c r="BC26" s="19" t="n">
        <f aca="false">IF(Delay!BC26="","",Fee*$A26+Vq*Delay!BC26)</f>
        <v>3.15</v>
      </c>
      <c r="BD26" s="19" t="n">
        <f aca="false">IF(Delay!BD26="","",Fee*$A26+Vq*Delay!BD26)</f>
        <v>3.15</v>
      </c>
      <c r="BE26" s="19" t="n">
        <f aca="false">IF(Delay!BE26="","",Fee*$A26+Vq*Delay!BE26)</f>
        <v>3.15</v>
      </c>
      <c r="BF26" s="19" t="n">
        <f aca="false">IF(Delay!BF26="","",Fee*$A26+Vq*Delay!BF26)</f>
        <v>3.15</v>
      </c>
      <c r="BG26" s="19" t="n">
        <f aca="false">IF(Delay!BG26="","",Fee*$A26+Vq*Delay!BG26)</f>
        <v>3.15</v>
      </c>
      <c r="BH26" s="19" t="n">
        <f aca="false">IF(Delay!BH26="","",Fee*$A26+Vq*Delay!BH26)</f>
        <v>3.15</v>
      </c>
      <c r="BI26" s="19" t="n">
        <f aca="false">IF(Delay!BI26="","",Fee*$A26+Vq*Delay!BI26)</f>
        <v>3.15</v>
      </c>
      <c r="BJ26" s="19" t="n">
        <f aca="false">IF(Delay!BJ26="","",Fee*$A26+Vq*Delay!BJ26)</f>
        <v>3.15</v>
      </c>
      <c r="BK26" s="19" t="n">
        <f aca="false">IF(Delay!BK26="","",Fee*$A26+Vq*Delay!BK26)</f>
        <v>3.15</v>
      </c>
      <c r="BL26" s="19" t="n">
        <f aca="false">IF(Delay!BL26="","",Fee*$A26+Vq*Delay!BL26)</f>
        <v>3.15</v>
      </c>
      <c r="BM26" s="19" t="n">
        <f aca="false">IF(Delay!BM26="","",Fee*$A26+Vq*Delay!BM26)</f>
        <v>3.15</v>
      </c>
      <c r="BN26" s="19" t="n">
        <f aca="false">IF(Delay!BN26="","",Fee*$A26+Vq*Delay!BN26)</f>
        <v>3.15</v>
      </c>
      <c r="BO26" s="19" t="n">
        <f aca="false">IF(Delay!BO26="","",Fee*$A26+Vq*Delay!BO26)</f>
        <v>3.15</v>
      </c>
      <c r="BP26" s="19" t="n">
        <f aca="false">IF(Delay!BP26="","",Fee*$A26+Vq*Delay!BP26)</f>
        <v>3.15</v>
      </c>
      <c r="BQ26" s="19" t="n">
        <f aca="false">IF(Delay!BQ26="","",Fee*$A26+Vq*Delay!BQ26)</f>
        <v>3.15</v>
      </c>
      <c r="BR26" s="19" t="n">
        <f aca="false">IF(Delay!BR26="","",Fee*$A26+Vq*Delay!BR26)</f>
        <v>3.15</v>
      </c>
      <c r="BS26" s="19" t="n">
        <f aca="false">IF(Delay!BS26="","",Fee*$A26+Vq*Delay!BS26)</f>
        <v>3.15</v>
      </c>
      <c r="BT26" s="19" t="n">
        <f aca="false">IF(Delay!BT26="","",Fee*$A26+Vq*Delay!BT26)</f>
        <v>3.15</v>
      </c>
      <c r="BU26" s="19" t="n">
        <f aca="false">IF(Delay!BU26="","",Fee*$A26+Vq*Delay!BU26)</f>
        <v>3.15</v>
      </c>
      <c r="BV26" s="19" t="n">
        <f aca="false">IF(Delay!BV26="","",Fee*$A26+Vq*Delay!BV26)</f>
        <v>3.15</v>
      </c>
      <c r="BW26" s="19" t="n">
        <f aca="false">IF(Delay!BW26="","",Fee*$A26+Vq*Delay!BW26)</f>
        <v>3.15</v>
      </c>
      <c r="BX26" s="19" t="n">
        <f aca="false">IF(Delay!BX26="","",Fee*$A26+Vq*Delay!BX26)</f>
        <v>3.15</v>
      </c>
      <c r="BY26" s="19" t="n">
        <f aca="false">IF(Delay!BY26="","",Fee*$A26+Vq*Delay!BY26)</f>
        <v>3.15</v>
      </c>
      <c r="BZ26" s="19" t="n">
        <f aca="false">IF(Delay!BZ26="","",Fee*$A26+Vq*Delay!BZ26)</f>
        <v>3.15</v>
      </c>
      <c r="CA26" s="19" t="n">
        <f aca="false">IF(Delay!CA26="","",Fee*$A26+Vq*Delay!CA26)</f>
        <v>3.15</v>
      </c>
      <c r="CB26" s="19" t="n">
        <f aca="false">IF(Delay!CB26="","",Fee*$A26+Vq*Delay!CB26)</f>
        <v>3.15</v>
      </c>
      <c r="CC26" s="19" t="n">
        <f aca="false">IF(Delay!CC26="","",Fee*$A26+Vq*Delay!CC26)</f>
        <v>3.15</v>
      </c>
      <c r="CD26" s="19" t="n">
        <f aca="false">IF(Delay!CD26="","",Fee*$A26+Vq*Delay!CD26)</f>
        <v>3.15</v>
      </c>
      <c r="CE26" s="19" t="n">
        <f aca="false">IF(Delay!CE26="","",Fee*$A26+Vq*Delay!CE26)</f>
        <v>3.15</v>
      </c>
      <c r="CF26" s="19" t="n">
        <f aca="false">IF(Delay!CF26="","",Fee*$A26+Vq*Delay!CF26)</f>
        <v>3.15</v>
      </c>
      <c r="CG26" s="19" t="n">
        <f aca="false">IF(Delay!CG26="","",Fee*$A26+Vq*Delay!CG26)</f>
        <v>3.15</v>
      </c>
      <c r="CH26" s="19" t="n">
        <f aca="false">IF(Delay!CH26="","",Fee*$A26+Vq*Delay!CH26)</f>
        <v>3.15</v>
      </c>
      <c r="CI26" s="19" t="n">
        <f aca="false">IF(Delay!CI26="","",Fee*$A26+Vq*Delay!CI26)</f>
        <v>3.15</v>
      </c>
      <c r="CJ26" s="19" t="n">
        <f aca="false">IF(Delay!CJ26="","",Fee*$A26+Vq*Delay!CJ26)</f>
        <v>3.15</v>
      </c>
      <c r="CK26" s="19" t="n">
        <f aca="false">IF(Delay!CK26="","",Fee*$A26+Vq*Delay!CK26)</f>
        <v>3.15</v>
      </c>
      <c r="CL26" s="19" t="n">
        <f aca="false">IF(Delay!CL26="","",Fee*$A26+Vq*Delay!CL26)</f>
        <v>3.15</v>
      </c>
      <c r="CM26" s="19" t="n">
        <f aca="false">IF(Delay!CM26="","",Fee*$A26+Vq*Delay!CM26)</f>
        <v>3.15</v>
      </c>
      <c r="CN26" s="19" t="n">
        <f aca="false">IF(Delay!CN26="","",Fee*$A26+Vq*Delay!CN26)</f>
        <v>3.15</v>
      </c>
      <c r="CO26" s="19" t="n">
        <f aca="false">IF(Delay!CO26="","",Fee*$A26+Vq*Delay!CO26)</f>
        <v>3.15</v>
      </c>
      <c r="CP26" s="19" t="n">
        <f aca="false">IF(Delay!CP26="","",Fee*$A26+Vq*Delay!CP26)</f>
        <v>3.15</v>
      </c>
      <c r="CQ26" s="19" t="n">
        <f aca="false">IF(Delay!CQ26="","",Fee*$A26+Vq*Delay!CQ26)</f>
        <v>3.15</v>
      </c>
      <c r="CR26" s="19" t="n">
        <f aca="false">IF(Delay!CR26="","",Fee*$A26+Vq*Delay!CR26)</f>
        <v>3.15</v>
      </c>
      <c r="CS26" s="19" t="n">
        <f aca="false">IF(Delay!CS26="","",Fee*$A26+Vq*Delay!CS26)</f>
        <v>3.15</v>
      </c>
      <c r="CT26" s="19" t="n">
        <f aca="false">IF(Delay!CT26="","",Fee*$A26+Vq*Delay!CT26)</f>
        <v>18.373511100031</v>
      </c>
    </row>
    <row r="27" customFormat="false" ht="15" hidden="false" customHeight="false" outlineLevel="0" collapsed="false">
      <c r="A27" s="25" t="n">
        <f aca="false">Quantiles!A27</f>
        <v>110</v>
      </c>
      <c r="B27" s="19" t="n">
        <f aca="false">IF(Delay!B27="","",Fee*$A27+Vq*Delay!B27)</f>
        <v>29.312656417135</v>
      </c>
      <c r="C27" s="19" t="n">
        <f aca="false">IF(Delay!C27="","",Fee*$A27+Vq*Delay!C27)</f>
        <v>26.7932691762844</v>
      </c>
      <c r="D27" s="19" t="n">
        <f aca="false">IF(Delay!D27="","",Fee*$A27+Vq*Delay!D27)</f>
        <v>25.0348218630137</v>
      </c>
      <c r="E27" s="19" t="n">
        <f aca="false">IF(Delay!E27="","",Fee*$A27+Vq*Delay!E27)</f>
        <v>23.4586666072846</v>
      </c>
      <c r="F27" s="19" t="n">
        <f aca="false">IF(Delay!F27="","",Fee*$A27+Vq*Delay!F27)</f>
        <v>22.0445664543882</v>
      </c>
      <c r="G27" s="19" t="n">
        <f aca="false">IF(Delay!G27="","",Fee*$A27+Vq*Delay!G27)</f>
        <v>20.8200770075445</v>
      </c>
      <c r="H27" s="19" t="n">
        <f aca="false">IF(Delay!H27="","",Fee*$A27+Vq*Delay!H27)</f>
        <v>19.7487337889556</v>
      </c>
      <c r="I27" s="19" t="n">
        <f aca="false">IF(Delay!I27="","",Fee*$A27+Vq*Delay!I27)</f>
        <v>18.7197129289976</v>
      </c>
      <c r="J27" s="19" t="n">
        <f aca="false">IF(Delay!J27="","",Fee*$A27+Vq*Delay!J27)</f>
        <v>17.8441975304148</v>
      </c>
      <c r="K27" s="19" t="n">
        <f aca="false">IF(Delay!K27="","",Fee*$A27+Vq*Delay!K27)</f>
        <v>16.9021687630647</v>
      </c>
      <c r="L27" s="19" t="n">
        <f aca="false">IF(Delay!L27="","",Fee*$A27+Vq*Delay!L27)</f>
        <v>16.0511724125753</v>
      </c>
      <c r="M27" s="19" t="n">
        <f aca="false">IF(Delay!M27="","",Fee*$A27+Vq*Delay!M27)</f>
        <v>15.3501672659612</v>
      </c>
      <c r="N27" s="19" t="n">
        <f aca="false">IF(Delay!N27="","",Fee*$A27+Vq*Delay!N27)</f>
        <v>14.6358247551887</v>
      </c>
      <c r="O27" s="19" t="n">
        <f aca="false">IF(Delay!O27="","",Fee*$A27+Vq*Delay!O27)</f>
        <v>13.9990782917971</v>
      </c>
      <c r="P27" s="19" t="n">
        <f aca="false">IF(Delay!P27="","",Fee*$A27+Vq*Delay!P27)</f>
        <v>13.3931879295148</v>
      </c>
      <c r="Q27" s="19" t="n">
        <f aca="false">IF(Delay!Q27="","",Fee*$A27+Vq*Delay!Q27)</f>
        <v>12.8954748465915</v>
      </c>
      <c r="R27" s="19" t="n">
        <f aca="false">IF(Delay!R27="","",Fee*$A27+Vq*Delay!R27)</f>
        <v>12.3033374077929</v>
      </c>
      <c r="S27" s="19" t="n">
        <f aca="false">IF(Delay!S27="","",Fee*$A27+Vq*Delay!S27)</f>
        <v>11.8175602825938</v>
      </c>
      <c r="T27" s="19" t="n">
        <f aca="false">IF(Delay!T27="","",Fee*$A27+Vq*Delay!T27)</f>
        <v>11.3258934753337</v>
      </c>
      <c r="U27" s="19" t="n">
        <f aca="false">IF(Delay!U27="","",Fee*$A27+Vq*Delay!U27)</f>
        <v>10.8814880128074</v>
      </c>
      <c r="V27" s="19" t="n">
        <f aca="false">IF(Delay!V27="","",Fee*$A27+Vq*Delay!V27)</f>
        <v>10.4594455778138</v>
      </c>
      <c r="W27" s="19" t="n">
        <f aca="false">IF(Delay!W27="","",Fee*$A27+Vq*Delay!W27)</f>
        <v>10.0149625119067</v>
      </c>
      <c r="X27" s="19" t="n">
        <f aca="false">IF(Delay!X27="","",Fee*$A27+Vq*Delay!X27)</f>
        <v>9.61781946114382</v>
      </c>
      <c r="Y27" s="19" t="n">
        <f aca="false">IF(Delay!Y27="","",Fee*$A27+Vq*Delay!Y27)</f>
        <v>9.20943178328048</v>
      </c>
      <c r="Z27" s="19" t="n">
        <f aca="false">IF(Delay!Z27="","",Fee*$A27+Vq*Delay!Z27)</f>
        <v>8.8119208083299</v>
      </c>
      <c r="AA27" s="19" t="n">
        <f aca="false">IF(Delay!AA27="","",Fee*$A27+Vq*Delay!AA27)</f>
        <v>8.42114791720308</v>
      </c>
      <c r="AB27" s="19" t="n">
        <f aca="false">IF(Delay!AB27="","",Fee*$A27+Vq*Delay!AB27)</f>
        <v>8.06301896112954</v>
      </c>
      <c r="AC27" s="19" t="n">
        <f aca="false">IF(Delay!AC27="","",Fee*$A27+Vq*Delay!AC27)</f>
        <v>7.73177895939072</v>
      </c>
      <c r="AD27" s="19" t="n">
        <f aca="false">IF(Delay!AD27="","",Fee*$A27+Vq*Delay!AD27)</f>
        <v>7.38633754717414</v>
      </c>
      <c r="AE27" s="19" t="n">
        <f aca="false">IF(Delay!AE27="","",Fee*$A27+Vq*Delay!AE27)</f>
        <v>7.06691362259798</v>
      </c>
      <c r="AF27" s="19" t="n">
        <f aca="false">IF(Delay!AF27="","",Fee*$A27+Vq*Delay!AF27)</f>
        <v>6.73557324557326</v>
      </c>
      <c r="AG27" s="19" t="n">
        <f aca="false">IF(Delay!AG27="","",Fee*$A27+Vq*Delay!AG27)</f>
        <v>6.42450396797104</v>
      </c>
      <c r="AH27" s="19" t="n">
        <f aca="false">IF(Delay!AH27="","",Fee*$A27+Vq*Delay!AH27)</f>
        <v>6.1245816853161</v>
      </c>
      <c r="AI27" s="19" t="n">
        <f aca="false">IF(Delay!AI27="","",Fee*$A27+Vq*Delay!AI27)</f>
        <v>5.8306620848021</v>
      </c>
      <c r="AJ27" s="19" t="n">
        <f aca="false">IF(Delay!AJ27="","",Fee*$A27+Vq*Delay!AJ27)</f>
        <v>5.51420994776724</v>
      </c>
      <c r="AK27" s="19" t="n">
        <f aca="false">IF(Delay!AK27="","",Fee*$A27+Vq*Delay!AK27)</f>
        <v>5.24728738547552</v>
      </c>
      <c r="AL27" s="19" t="n">
        <f aca="false">IF(Delay!AL27="","",Fee*$A27+Vq*Delay!AL27)</f>
        <v>4.95473365390812</v>
      </c>
      <c r="AM27" s="19" t="n">
        <f aca="false">IF(Delay!AM27="","",Fee*$A27+Vq*Delay!AM27)</f>
        <v>4.6942607540141</v>
      </c>
      <c r="AN27" s="19" t="n">
        <f aca="false">IF(Delay!AN27="","",Fee*$A27+Vq*Delay!AN27)</f>
        <v>4.40966750704632</v>
      </c>
      <c r="AO27" s="19" t="n">
        <f aca="false">IF(Delay!AO27="","",Fee*$A27+Vq*Delay!AO27)</f>
        <v>4.13540890108354</v>
      </c>
      <c r="AP27" s="19" t="n">
        <f aca="false">IF(Delay!AP27="","",Fee*$A27+Vq*Delay!AP27)</f>
        <v>3.8696794944007</v>
      </c>
      <c r="AQ27" s="19" t="n">
        <f aca="false">IF(Delay!AQ27="","",Fee*$A27+Vq*Delay!AQ27)</f>
        <v>3.59463616342312</v>
      </c>
      <c r="AR27" s="19" t="n">
        <f aca="false">IF(Delay!AR27="","",Fee*$A27+Vq*Delay!AR27)</f>
        <v>3.3644175837846</v>
      </c>
      <c r="AS27" s="19" t="n">
        <f aca="false">IF(Delay!AS27="","",Fee*$A27+Vq*Delay!AS27)</f>
        <v>3.3</v>
      </c>
      <c r="AT27" s="19" t="n">
        <f aca="false">IF(Delay!AT27="","",Fee*$A27+Vq*Delay!AT27)</f>
        <v>3.3</v>
      </c>
      <c r="AU27" s="19" t="n">
        <f aca="false">IF(Delay!AU27="","",Fee*$A27+Vq*Delay!AU27)</f>
        <v>3.3</v>
      </c>
      <c r="AV27" s="19" t="n">
        <f aca="false">IF(Delay!AV27="","",Fee*$A27+Vq*Delay!AV27)</f>
        <v>3.3</v>
      </c>
      <c r="AW27" s="19" t="n">
        <f aca="false">IF(Delay!AW27="","",Fee*$A27+Vq*Delay!AW27)</f>
        <v>3.3</v>
      </c>
      <c r="AX27" s="19" t="n">
        <f aca="false">IF(Delay!AX27="","",Fee*$A27+Vq*Delay!AX27)</f>
        <v>3.3</v>
      </c>
      <c r="AY27" s="19" t="n">
        <f aca="false">IF(Delay!AY27="","",Fee*$A27+Vq*Delay!AY27)</f>
        <v>3.3</v>
      </c>
      <c r="AZ27" s="19" t="n">
        <f aca="false">IF(Delay!AZ27="","",Fee*$A27+Vq*Delay!AZ27)</f>
        <v>3.3</v>
      </c>
      <c r="BA27" s="19" t="n">
        <f aca="false">IF(Delay!BA27="","",Fee*$A27+Vq*Delay!BA27)</f>
        <v>3.3</v>
      </c>
      <c r="BB27" s="19" t="n">
        <f aca="false">IF(Delay!BB27="","",Fee*$A27+Vq*Delay!BB27)</f>
        <v>3.3</v>
      </c>
      <c r="BC27" s="19" t="n">
        <f aca="false">IF(Delay!BC27="","",Fee*$A27+Vq*Delay!BC27)</f>
        <v>3.3</v>
      </c>
      <c r="BD27" s="19" t="n">
        <f aca="false">IF(Delay!BD27="","",Fee*$A27+Vq*Delay!BD27)</f>
        <v>3.3</v>
      </c>
      <c r="BE27" s="19" t="n">
        <f aca="false">IF(Delay!BE27="","",Fee*$A27+Vq*Delay!BE27)</f>
        <v>3.3</v>
      </c>
      <c r="BF27" s="19" t="n">
        <f aca="false">IF(Delay!BF27="","",Fee*$A27+Vq*Delay!BF27)</f>
        <v>3.3</v>
      </c>
      <c r="BG27" s="19" t="n">
        <f aca="false">IF(Delay!BG27="","",Fee*$A27+Vq*Delay!BG27)</f>
        <v>3.3</v>
      </c>
      <c r="BH27" s="19" t="n">
        <f aca="false">IF(Delay!BH27="","",Fee*$A27+Vq*Delay!BH27)</f>
        <v>3.3</v>
      </c>
      <c r="BI27" s="19" t="n">
        <f aca="false">IF(Delay!BI27="","",Fee*$A27+Vq*Delay!BI27)</f>
        <v>3.3</v>
      </c>
      <c r="BJ27" s="19" t="n">
        <f aca="false">IF(Delay!BJ27="","",Fee*$A27+Vq*Delay!BJ27)</f>
        <v>3.3</v>
      </c>
      <c r="BK27" s="19" t="n">
        <f aca="false">IF(Delay!BK27="","",Fee*$A27+Vq*Delay!BK27)</f>
        <v>3.3</v>
      </c>
      <c r="BL27" s="19" t="n">
        <f aca="false">IF(Delay!BL27="","",Fee*$A27+Vq*Delay!BL27)</f>
        <v>3.3</v>
      </c>
      <c r="BM27" s="19" t="n">
        <f aca="false">IF(Delay!BM27="","",Fee*$A27+Vq*Delay!BM27)</f>
        <v>3.3</v>
      </c>
      <c r="BN27" s="19" t="n">
        <f aca="false">IF(Delay!BN27="","",Fee*$A27+Vq*Delay!BN27)</f>
        <v>3.3</v>
      </c>
      <c r="BO27" s="19" t="n">
        <f aca="false">IF(Delay!BO27="","",Fee*$A27+Vq*Delay!BO27)</f>
        <v>3.3</v>
      </c>
      <c r="BP27" s="19" t="n">
        <f aca="false">IF(Delay!BP27="","",Fee*$A27+Vq*Delay!BP27)</f>
        <v>3.3</v>
      </c>
      <c r="BQ27" s="19" t="n">
        <f aca="false">IF(Delay!BQ27="","",Fee*$A27+Vq*Delay!BQ27)</f>
        <v>3.3</v>
      </c>
      <c r="BR27" s="19" t="n">
        <f aca="false">IF(Delay!BR27="","",Fee*$A27+Vq*Delay!BR27)</f>
        <v>3.3</v>
      </c>
      <c r="BS27" s="19" t="n">
        <f aca="false">IF(Delay!BS27="","",Fee*$A27+Vq*Delay!BS27)</f>
        <v>3.3</v>
      </c>
      <c r="BT27" s="19" t="n">
        <f aca="false">IF(Delay!BT27="","",Fee*$A27+Vq*Delay!BT27)</f>
        <v>3.3</v>
      </c>
      <c r="BU27" s="19" t="n">
        <f aca="false">IF(Delay!BU27="","",Fee*$A27+Vq*Delay!BU27)</f>
        <v>3.3</v>
      </c>
      <c r="BV27" s="19" t="n">
        <f aca="false">IF(Delay!BV27="","",Fee*$A27+Vq*Delay!BV27)</f>
        <v>3.3</v>
      </c>
      <c r="BW27" s="19" t="n">
        <f aca="false">IF(Delay!BW27="","",Fee*$A27+Vq*Delay!BW27)</f>
        <v>3.3</v>
      </c>
      <c r="BX27" s="19" t="n">
        <f aca="false">IF(Delay!BX27="","",Fee*$A27+Vq*Delay!BX27)</f>
        <v>3.3</v>
      </c>
      <c r="BY27" s="19" t="n">
        <f aca="false">IF(Delay!BY27="","",Fee*$A27+Vq*Delay!BY27)</f>
        <v>3.3</v>
      </c>
      <c r="BZ27" s="19" t="n">
        <f aca="false">IF(Delay!BZ27="","",Fee*$A27+Vq*Delay!BZ27)</f>
        <v>3.3</v>
      </c>
      <c r="CA27" s="19" t="n">
        <f aca="false">IF(Delay!CA27="","",Fee*$A27+Vq*Delay!CA27)</f>
        <v>3.3</v>
      </c>
      <c r="CB27" s="19" t="n">
        <f aca="false">IF(Delay!CB27="","",Fee*$A27+Vq*Delay!CB27)</f>
        <v>3.3</v>
      </c>
      <c r="CC27" s="19" t="n">
        <f aca="false">IF(Delay!CC27="","",Fee*$A27+Vq*Delay!CC27)</f>
        <v>3.3</v>
      </c>
      <c r="CD27" s="19" t="n">
        <f aca="false">IF(Delay!CD27="","",Fee*$A27+Vq*Delay!CD27)</f>
        <v>3.3</v>
      </c>
      <c r="CE27" s="19" t="n">
        <f aca="false">IF(Delay!CE27="","",Fee*$A27+Vq*Delay!CE27)</f>
        <v>3.3</v>
      </c>
      <c r="CF27" s="19" t="n">
        <f aca="false">IF(Delay!CF27="","",Fee*$A27+Vq*Delay!CF27)</f>
        <v>3.3</v>
      </c>
      <c r="CG27" s="19" t="n">
        <f aca="false">IF(Delay!CG27="","",Fee*$A27+Vq*Delay!CG27)</f>
        <v>3.3</v>
      </c>
      <c r="CH27" s="19" t="n">
        <f aca="false">IF(Delay!CH27="","",Fee*$A27+Vq*Delay!CH27)</f>
        <v>3.3</v>
      </c>
      <c r="CI27" s="19" t="n">
        <f aca="false">IF(Delay!CI27="","",Fee*$A27+Vq*Delay!CI27)</f>
        <v>3.3</v>
      </c>
      <c r="CJ27" s="19" t="n">
        <f aca="false">IF(Delay!CJ27="","",Fee*$A27+Vq*Delay!CJ27)</f>
        <v>3.3</v>
      </c>
      <c r="CK27" s="19" t="n">
        <f aca="false">IF(Delay!CK27="","",Fee*$A27+Vq*Delay!CK27)</f>
        <v>3.3</v>
      </c>
      <c r="CL27" s="19" t="n">
        <f aca="false">IF(Delay!CL27="","",Fee*$A27+Vq*Delay!CL27)</f>
        <v>3.3</v>
      </c>
      <c r="CM27" s="19" t="n">
        <f aca="false">IF(Delay!CM27="","",Fee*$A27+Vq*Delay!CM27)</f>
        <v>3.3</v>
      </c>
      <c r="CN27" s="19" t="n">
        <f aca="false">IF(Delay!CN27="","",Fee*$A27+Vq*Delay!CN27)</f>
        <v>3.3</v>
      </c>
      <c r="CO27" s="19" t="n">
        <f aca="false">IF(Delay!CO27="","",Fee*$A27+Vq*Delay!CO27)</f>
        <v>3.3</v>
      </c>
      <c r="CP27" s="19" t="n">
        <f aca="false">IF(Delay!CP27="","",Fee*$A27+Vq*Delay!CP27)</f>
        <v>3.3</v>
      </c>
      <c r="CQ27" s="19" t="n">
        <f aca="false">IF(Delay!CQ27="","",Fee*$A27+Vq*Delay!CQ27)</f>
        <v>3.3</v>
      </c>
      <c r="CR27" s="19" t="n">
        <f aca="false">IF(Delay!CR27="","",Fee*$A27+Vq*Delay!CR27)</f>
        <v>3.3</v>
      </c>
      <c r="CS27" s="19" t="n">
        <f aca="false">IF(Delay!CS27="","",Fee*$A27+Vq*Delay!CS27)</f>
        <v>3.3</v>
      </c>
      <c r="CT27" s="19" t="n">
        <f aca="false">IF(Delay!CT27="","",Fee*$A27+Vq*Delay!CT27)</f>
        <v>17.836107681437</v>
      </c>
    </row>
    <row r="28" customFormat="false" ht="15" hidden="false" customHeight="false" outlineLevel="0" collapsed="false">
      <c r="A28" s="25" t="n">
        <f aca="false">Quantiles!A28</f>
        <v>115</v>
      </c>
      <c r="B28" s="19" t="n">
        <f aca="false">IF(Delay!B28="","",Fee*$A28+Vq*Delay!B28)</f>
        <v>28.3389050842111</v>
      </c>
      <c r="C28" s="19" t="n">
        <f aca="false">IF(Delay!C28="","",Fee*$A28+Vq*Delay!C28)</f>
        <v>26.0289261123507</v>
      </c>
      <c r="D28" s="19" t="n">
        <f aca="false">IF(Delay!D28="","",Fee*$A28+Vq*Delay!D28)</f>
        <v>24.1272098301754</v>
      </c>
      <c r="E28" s="19" t="n">
        <f aca="false">IF(Delay!E28="","",Fee*$A28+Vq*Delay!E28)</f>
        <v>22.7837379114806</v>
      </c>
      <c r="F28" s="19" t="n">
        <f aca="false">IF(Delay!F28="","",Fee*$A28+Vq*Delay!F28)</f>
        <v>21.3207358479385</v>
      </c>
      <c r="G28" s="19" t="n">
        <f aca="false">IF(Delay!G28="","",Fee*$A28+Vq*Delay!G28)</f>
        <v>20.0827216807661</v>
      </c>
      <c r="H28" s="19" t="n">
        <f aca="false">IF(Delay!H28="","",Fee*$A28+Vq*Delay!H28)</f>
        <v>18.9923199340913</v>
      </c>
      <c r="I28" s="19" t="n">
        <f aca="false">IF(Delay!I28="","",Fee*$A28+Vq*Delay!I28)</f>
        <v>18.1759029154375</v>
      </c>
      <c r="J28" s="19" t="n">
        <f aca="false">IF(Delay!J28="","",Fee*$A28+Vq*Delay!J28)</f>
        <v>17.2643879080678</v>
      </c>
      <c r="K28" s="19" t="n">
        <f aca="false">IF(Delay!K28="","",Fee*$A28+Vq*Delay!K28)</f>
        <v>16.4026496577175</v>
      </c>
      <c r="L28" s="19" t="n">
        <f aca="false">IF(Delay!L28="","",Fee*$A28+Vq*Delay!L28)</f>
        <v>15.6305718761994</v>
      </c>
      <c r="M28" s="19" t="n">
        <f aca="false">IF(Delay!M28="","",Fee*$A28+Vq*Delay!M28)</f>
        <v>14.8728242008781</v>
      </c>
      <c r="N28" s="19" t="n">
        <f aca="false">IF(Delay!N28="","",Fee*$A28+Vq*Delay!N28)</f>
        <v>14.1978000730209</v>
      </c>
      <c r="O28" s="19" t="n">
        <f aca="false">IF(Delay!O28="","",Fee*$A28+Vq*Delay!O28)</f>
        <v>13.6013555824442</v>
      </c>
      <c r="P28" s="19" t="n">
        <f aca="false">IF(Delay!P28="","",Fee*$A28+Vq*Delay!P28)</f>
        <v>13.0894338414036</v>
      </c>
      <c r="Q28" s="19" t="n">
        <f aca="false">IF(Delay!Q28="","",Fee*$A28+Vq*Delay!Q28)</f>
        <v>12.4852966680703</v>
      </c>
      <c r="R28" s="19" t="n">
        <f aca="false">IF(Delay!R28="","",Fee*$A28+Vq*Delay!R28)</f>
        <v>11.9652054894781</v>
      </c>
      <c r="S28" s="19" t="n">
        <f aca="false">IF(Delay!S28="","",Fee*$A28+Vq*Delay!S28)</f>
        <v>11.4417784717822</v>
      </c>
      <c r="T28" s="19" t="n">
        <f aca="false">IF(Delay!T28="","",Fee*$A28+Vq*Delay!T28)</f>
        <v>10.9266979455156</v>
      </c>
      <c r="U28" s="19" t="n">
        <f aca="false">IF(Delay!U28="","",Fee*$A28+Vq*Delay!U28)</f>
        <v>10.5168102791263</v>
      </c>
      <c r="V28" s="19" t="n">
        <f aca="false">IF(Delay!V28="","",Fee*$A28+Vq*Delay!V28)</f>
        <v>10.093203617811</v>
      </c>
      <c r="W28" s="19" t="n">
        <f aca="false">IF(Delay!W28="","",Fee*$A28+Vq*Delay!W28)</f>
        <v>9.66717375269252</v>
      </c>
      <c r="X28" s="19" t="n">
        <f aca="false">IF(Delay!X28="","",Fee*$A28+Vq*Delay!X28)</f>
        <v>9.25927548632916</v>
      </c>
      <c r="Y28" s="19" t="n">
        <f aca="false">IF(Delay!Y28="","",Fee*$A28+Vq*Delay!Y28)</f>
        <v>8.85482859776092</v>
      </c>
      <c r="Z28" s="19" t="n">
        <f aca="false">IF(Delay!Z28="","",Fee*$A28+Vq*Delay!Z28)</f>
        <v>8.4815199291522</v>
      </c>
      <c r="AA28" s="19" t="n">
        <f aca="false">IF(Delay!AA28="","",Fee*$A28+Vq*Delay!AA28)</f>
        <v>8.10881519952208</v>
      </c>
      <c r="AB28" s="19" t="n">
        <f aca="false">IF(Delay!AB28="","",Fee*$A28+Vq*Delay!AB28)</f>
        <v>7.7910142746511</v>
      </c>
      <c r="AC28" s="19" t="n">
        <f aca="false">IF(Delay!AC28="","",Fee*$A28+Vq*Delay!AC28)</f>
        <v>7.45338825413584</v>
      </c>
      <c r="AD28" s="19" t="n">
        <f aca="false">IF(Delay!AD28="","",Fee*$A28+Vq*Delay!AD28)</f>
        <v>7.12894034997576</v>
      </c>
      <c r="AE28" s="19" t="n">
        <f aca="false">IF(Delay!AE28="","",Fee*$A28+Vq*Delay!AE28)</f>
        <v>6.8245838371795</v>
      </c>
      <c r="AF28" s="19" t="n">
        <f aca="false">IF(Delay!AF28="","",Fee*$A28+Vq*Delay!AF28)</f>
        <v>6.51400850371776</v>
      </c>
      <c r="AG28" s="19" t="n">
        <f aca="false">IF(Delay!AG28="","",Fee*$A28+Vq*Delay!AG28)</f>
        <v>6.20701939763588</v>
      </c>
      <c r="AH28" s="19" t="n">
        <f aca="false">IF(Delay!AH28="","",Fee*$A28+Vq*Delay!AH28)</f>
        <v>5.90028545881342</v>
      </c>
      <c r="AI28" s="19" t="n">
        <f aca="false">IF(Delay!AI28="","",Fee*$A28+Vq*Delay!AI28)</f>
        <v>5.59956719473772</v>
      </c>
      <c r="AJ28" s="19" t="n">
        <f aca="false">IF(Delay!AJ28="","",Fee*$A28+Vq*Delay!AJ28)</f>
        <v>5.2998215156055</v>
      </c>
      <c r="AK28" s="19" t="n">
        <f aca="false">IF(Delay!AK28="","",Fee*$A28+Vq*Delay!AK28)</f>
        <v>5.02077723871918</v>
      </c>
      <c r="AL28" s="19" t="n">
        <f aca="false">IF(Delay!AL28="","",Fee*$A28+Vq*Delay!AL28)</f>
        <v>4.76319218673654</v>
      </c>
      <c r="AM28" s="19" t="n">
        <f aca="false">IF(Delay!AM28="","",Fee*$A28+Vq*Delay!AM28)</f>
        <v>4.46767440230482</v>
      </c>
      <c r="AN28" s="19" t="n">
        <f aca="false">IF(Delay!AN28="","",Fee*$A28+Vq*Delay!AN28)</f>
        <v>4.21021946347812</v>
      </c>
      <c r="AO28" s="19" t="n">
        <f aca="false">IF(Delay!AO28="","",Fee*$A28+Vq*Delay!AO28)</f>
        <v>3.93747094234756</v>
      </c>
      <c r="AP28" s="19" t="n">
        <f aca="false">IF(Delay!AP28="","",Fee*$A28+Vq*Delay!AP28)</f>
        <v>3.67600181387556</v>
      </c>
      <c r="AQ28" s="19" t="n">
        <f aca="false">IF(Delay!AQ28="","",Fee*$A28+Vq*Delay!AQ28)</f>
        <v>3.45</v>
      </c>
      <c r="AR28" s="19" t="n">
        <f aca="false">IF(Delay!AR28="","",Fee*$A28+Vq*Delay!AR28)</f>
        <v>3.45</v>
      </c>
      <c r="AS28" s="19" t="n">
        <f aca="false">IF(Delay!AS28="","",Fee*$A28+Vq*Delay!AS28)</f>
        <v>3.45</v>
      </c>
      <c r="AT28" s="19" t="n">
        <f aca="false">IF(Delay!AT28="","",Fee*$A28+Vq*Delay!AT28)</f>
        <v>3.45</v>
      </c>
      <c r="AU28" s="19" t="n">
        <f aca="false">IF(Delay!AU28="","",Fee*$A28+Vq*Delay!AU28)</f>
        <v>3.45</v>
      </c>
      <c r="AV28" s="19" t="n">
        <f aca="false">IF(Delay!AV28="","",Fee*$A28+Vq*Delay!AV28)</f>
        <v>3.45</v>
      </c>
      <c r="AW28" s="19" t="n">
        <f aca="false">IF(Delay!AW28="","",Fee*$A28+Vq*Delay!AW28)</f>
        <v>3.45</v>
      </c>
      <c r="AX28" s="19" t="n">
        <f aca="false">IF(Delay!AX28="","",Fee*$A28+Vq*Delay!AX28)</f>
        <v>3.45</v>
      </c>
      <c r="AY28" s="19" t="n">
        <f aca="false">IF(Delay!AY28="","",Fee*$A28+Vq*Delay!AY28)</f>
        <v>3.45</v>
      </c>
      <c r="AZ28" s="19" t="n">
        <f aca="false">IF(Delay!AZ28="","",Fee*$A28+Vq*Delay!AZ28)</f>
        <v>3.45</v>
      </c>
      <c r="BA28" s="19" t="n">
        <f aca="false">IF(Delay!BA28="","",Fee*$A28+Vq*Delay!BA28)</f>
        <v>3.45</v>
      </c>
      <c r="BB28" s="19" t="n">
        <f aca="false">IF(Delay!BB28="","",Fee*$A28+Vq*Delay!BB28)</f>
        <v>3.45</v>
      </c>
      <c r="BC28" s="19" t="n">
        <f aca="false">IF(Delay!BC28="","",Fee*$A28+Vq*Delay!BC28)</f>
        <v>3.45</v>
      </c>
      <c r="BD28" s="19" t="n">
        <f aca="false">IF(Delay!BD28="","",Fee*$A28+Vq*Delay!BD28)</f>
        <v>3.45</v>
      </c>
      <c r="BE28" s="19" t="n">
        <f aca="false">IF(Delay!BE28="","",Fee*$A28+Vq*Delay!BE28)</f>
        <v>3.45</v>
      </c>
      <c r="BF28" s="19" t="n">
        <f aca="false">IF(Delay!BF28="","",Fee*$A28+Vq*Delay!BF28)</f>
        <v>3.45</v>
      </c>
      <c r="BG28" s="19" t="n">
        <f aca="false">IF(Delay!BG28="","",Fee*$A28+Vq*Delay!BG28)</f>
        <v>3.45</v>
      </c>
      <c r="BH28" s="19" t="n">
        <f aca="false">IF(Delay!BH28="","",Fee*$A28+Vq*Delay!BH28)</f>
        <v>3.45</v>
      </c>
      <c r="BI28" s="19" t="n">
        <f aca="false">IF(Delay!BI28="","",Fee*$A28+Vq*Delay!BI28)</f>
        <v>3.45</v>
      </c>
      <c r="BJ28" s="19" t="n">
        <f aca="false">IF(Delay!BJ28="","",Fee*$A28+Vq*Delay!BJ28)</f>
        <v>3.45</v>
      </c>
      <c r="BK28" s="19" t="n">
        <f aca="false">IF(Delay!BK28="","",Fee*$A28+Vq*Delay!BK28)</f>
        <v>3.45</v>
      </c>
      <c r="BL28" s="19" t="n">
        <f aca="false">IF(Delay!BL28="","",Fee*$A28+Vq*Delay!BL28)</f>
        <v>3.45</v>
      </c>
      <c r="BM28" s="19" t="n">
        <f aca="false">IF(Delay!BM28="","",Fee*$A28+Vq*Delay!BM28)</f>
        <v>3.45</v>
      </c>
      <c r="BN28" s="19" t="n">
        <f aca="false">IF(Delay!BN28="","",Fee*$A28+Vq*Delay!BN28)</f>
        <v>3.45</v>
      </c>
      <c r="BO28" s="19" t="n">
        <f aca="false">IF(Delay!BO28="","",Fee*$A28+Vq*Delay!BO28)</f>
        <v>3.45</v>
      </c>
      <c r="BP28" s="19" t="n">
        <f aca="false">IF(Delay!BP28="","",Fee*$A28+Vq*Delay!BP28)</f>
        <v>3.45</v>
      </c>
      <c r="BQ28" s="19" t="n">
        <f aca="false">IF(Delay!BQ28="","",Fee*$A28+Vq*Delay!BQ28)</f>
        <v>3.45</v>
      </c>
      <c r="BR28" s="19" t="n">
        <f aca="false">IF(Delay!BR28="","",Fee*$A28+Vq*Delay!BR28)</f>
        <v>3.45</v>
      </c>
      <c r="BS28" s="19" t="n">
        <f aca="false">IF(Delay!BS28="","",Fee*$A28+Vq*Delay!BS28)</f>
        <v>3.45</v>
      </c>
      <c r="BT28" s="19" t="n">
        <f aca="false">IF(Delay!BT28="","",Fee*$A28+Vq*Delay!BT28)</f>
        <v>3.45</v>
      </c>
      <c r="BU28" s="19" t="n">
        <f aca="false">IF(Delay!BU28="","",Fee*$A28+Vq*Delay!BU28)</f>
        <v>3.45</v>
      </c>
      <c r="BV28" s="19" t="n">
        <f aca="false">IF(Delay!BV28="","",Fee*$A28+Vq*Delay!BV28)</f>
        <v>3.45</v>
      </c>
      <c r="BW28" s="19" t="n">
        <f aca="false">IF(Delay!BW28="","",Fee*$A28+Vq*Delay!BW28)</f>
        <v>3.45</v>
      </c>
      <c r="BX28" s="19" t="n">
        <f aca="false">IF(Delay!BX28="","",Fee*$A28+Vq*Delay!BX28)</f>
        <v>3.45</v>
      </c>
      <c r="BY28" s="19" t="n">
        <f aca="false">IF(Delay!BY28="","",Fee*$A28+Vq*Delay!BY28)</f>
        <v>3.45</v>
      </c>
      <c r="BZ28" s="19" t="n">
        <f aca="false">IF(Delay!BZ28="","",Fee*$A28+Vq*Delay!BZ28)</f>
        <v>3.45</v>
      </c>
      <c r="CA28" s="19" t="n">
        <f aca="false">IF(Delay!CA28="","",Fee*$A28+Vq*Delay!CA28)</f>
        <v>3.45</v>
      </c>
      <c r="CB28" s="19" t="n">
        <f aca="false">IF(Delay!CB28="","",Fee*$A28+Vq*Delay!CB28)</f>
        <v>3.45</v>
      </c>
      <c r="CC28" s="19" t="n">
        <f aca="false">IF(Delay!CC28="","",Fee*$A28+Vq*Delay!CC28)</f>
        <v>3.45</v>
      </c>
      <c r="CD28" s="19" t="n">
        <f aca="false">IF(Delay!CD28="","",Fee*$A28+Vq*Delay!CD28)</f>
        <v>3.45</v>
      </c>
      <c r="CE28" s="19" t="n">
        <f aca="false">IF(Delay!CE28="","",Fee*$A28+Vq*Delay!CE28)</f>
        <v>3.45</v>
      </c>
      <c r="CF28" s="19" t="n">
        <f aca="false">IF(Delay!CF28="","",Fee*$A28+Vq*Delay!CF28)</f>
        <v>3.45</v>
      </c>
      <c r="CG28" s="19" t="n">
        <f aca="false">IF(Delay!CG28="","",Fee*$A28+Vq*Delay!CG28)</f>
        <v>3.45</v>
      </c>
      <c r="CH28" s="19" t="n">
        <f aca="false">IF(Delay!CH28="","",Fee*$A28+Vq*Delay!CH28)</f>
        <v>3.45</v>
      </c>
      <c r="CI28" s="19" t="n">
        <f aca="false">IF(Delay!CI28="","",Fee*$A28+Vq*Delay!CI28)</f>
        <v>3.45</v>
      </c>
      <c r="CJ28" s="19" t="n">
        <f aca="false">IF(Delay!CJ28="","",Fee*$A28+Vq*Delay!CJ28)</f>
        <v>3.45</v>
      </c>
      <c r="CK28" s="19" t="n">
        <f aca="false">IF(Delay!CK28="","",Fee*$A28+Vq*Delay!CK28)</f>
        <v>3.45</v>
      </c>
      <c r="CL28" s="19" t="n">
        <f aca="false">IF(Delay!CL28="","",Fee*$A28+Vq*Delay!CL28)</f>
        <v>3.45</v>
      </c>
      <c r="CM28" s="19" t="n">
        <f aca="false">IF(Delay!CM28="","",Fee*$A28+Vq*Delay!CM28)</f>
        <v>3.45</v>
      </c>
      <c r="CN28" s="19" t="n">
        <f aca="false">IF(Delay!CN28="","",Fee*$A28+Vq*Delay!CN28)</f>
        <v>3.45</v>
      </c>
      <c r="CO28" s="19" t="n">
        <f aca="false">IF(Delay!CO28="","",Fee*$A28+Vq*Delay!CO28)</f>
        <v>3.45</v>
      </c>
      <c r="CP28" s="19" t="n">
        <f aca="false">IF(Delay!CP28="","",Fee*$A28+Vq*Delay!CP28)</f>
        <v>3.45</v>
      </c>
      <c r="CQ28" s="19" t="n">
        <f aca="false">IF(Delay!CQ28="","",Fee*$A28+Vq*Delay!CQ28)</f>
        <v>3.45</v>
      </c>
      <c r="CR28" s="19" t="n">
        <f aca="false">IF(Delay!CR28="","",Fee*$A28+Vq*Delay!CR28)</f>
        <v>3.45</v>
      </c>
      <c r="CS28" s="19" t="n">
        <f aca="false">IF(Delay!CS28="","",Fee*$A28+Vq*Delay!CS28)</f>
        <v>3.45</v>
      </c>
      <c r="CT28" s="19" t="n">
        <f aca="false">IF(Delay!CT28="","",Fee*$A28+Vq*Delay!CT28)</f>
        <v>17.2216486080133</v>
      </c>
    </row>
    <row r="29" customFormat="false" ht="15" hidden="false" customHeight="false" outlineLevel="0" collapsed="false">
      <c r="A29" s="25" t="n">
        <f aca="false">Quantiles!A29</f>
        <v>120</v>
      </c>
      <c r="B29" s="19" t="n">
        <f aca="false">IF(Delay!B29="","",Fee*$A29+Vq*Delay!B29)</f>
        <v>27.3888881787339</v>
      </c>
      <c r="C29" s="19" t="n">
        <f aca="false">IF(Delay!C29="","",Fee*$A29+Vq*Delay!C29)</f>
        <v>25.2078094628214</v>
      </c>
      <c r="D29" s="19" t="n">
        <f aca="false">IF(Delay!D29="","",Fee*$A29+Vq*Delay!D29)</f>
        <v>23.4795943494531</v>
      </c>
      <c r="E29" s="19" t="n">
        <f aca="false">IF(Delay!E29="","",Fee*$A29+Vq*Delay!E29)</f>
        <v>21.9799797250892</v>
      </c>
      <c r="F29" s="19" t="n">
        <f aca="false">IF(Delay!F29="","",Fee*$A29+Vq*Delay!F29)</f>
        <v>20.6439800795358</v>
      </c>
      <c r="G29" s="19" t="n">
        <f aca="false">IF(Delay!G29="","",Fee*$A29+Vq*Delay!G29)</f>
        <v>19.4528289249853</v>
      </c>
      <c r="H29" s="19" t="n">
        <f aca="false">IF(Delay!H29="","",Fee*$A29+Vq*Delay!H29)</f>
        <v>18.4647604303862</v>
      </c>
      <c r="I29" s="19" t="n">
        <f aca="false">IF(Delay!I29="","",Fee*$A29+Vq*Delay!I29)</f>
        <v>17.5891473647477</v>
      </c>
      <c r="J29" s="19" t="n">
        <f aca="false">IF(Delay!J29="","",Fee*$A29+Vq*Delay!J29)</f>
        <v>16.7426945598289</v>
      </c>
      <c r="K29" s="19" t="n">
        <f aca="false">IF(Delay!K29="","",Fee*$A29+Vq*Delay!K29)</f>
        <v>15.9419545388376</v>
      </c>
      <c r="L29" s="19" t="n">
        <f aca="false">IF(Delay!L29="","",Fee*$A29+Vq*Delay!L29)</f>
        <v>15.1663700656281</v>
      </c>
      <c r="M29" s="19" t="n">
        <f aca="false">IF(Delay!M29="","",Fee*$A29+Vq*Delay!M29)</f>
        <v>14.4892459490777</v>
      </c>
      <c r="N29" s="19" t="n">
        <f aca="false">IF(Delay!N29="","",Fee*$A29+Vq*Delay!N29)</f>
        <v>13.8260716996856</v>
      </c>
      <c r="O29" s="19" t="n">
        <f aca="false">IF(Delay!O29="","",Fee*$A29+Vq*Delay!O29)</f>
        <v>13.2761078243503</v>
      </c>
      <c r="P29" s="19" t="n">
        <f aca="false">IF(Delay!P29="","",Fee*$A29+Vq*Delay!P29)</f>
        <v>12.679386420755</v>
      </c>
      <c r="Q29" s="19" t="n">
        <f aca="false">IF(Delay!Q29="","",Fee*$A29+Vq*Delay!Q29)</f>
        <v>12.168919870322</v>
      </c>
      <c r="R29" s="19" t="n">
        <f aca="false">IF(Delay!R29="","",Fee*$A29+Vq*Delay!R29)</f>
        <v>11.6301737273615</v>
      </c>
      <c r="S29" s="19" t="n">
        <f aca="false">IF(Delay!S29="","",Fee*$A29+Vq*Delay!S29)</f>
        <v>11.139945951992</v>
      </c>
      <c r="T29" s="19" t="n">
        <f aca="false">IF(Delay!T29="","",Fee*$A29+Vq*Delay!T29)</f>
        <v>10.7022935101504</v>
      </c>
      <c r="U29" s="19" t="n">
        <f aca="false">IF(Delay!U29="","",Fee*$A29+Vq*Delay!U29)</f>
        <v>10.2628706352564</v>
      </c>
      <c r="V29" s="19" t="n">
        <f aca="false">IF(Delay!V29="","",Fee*$A29+Vq*Delay!V29)</f>
        <v>9.81323257209544</v>
      </c>
      <c r="W29" s="19" t="n">
        <f aca="false">IF(Delay!W29="","",Fee*$A29+Vq*Delay!W29)</f>
        <v>9.37557714990426</v>
      </c>
      <c r="X29" s="19" t="n">
        <f aca="false">IF(Delay!X29="","",Fee*$A29+Vq*Delay!X29)</f>
        <v>8.963478903934</v>
      </c>
      <c r="Y29" s="19" t="n">
        <f aca="false">IF(Delay!Y29="","",Fee*$A29+Vq*Delay!Y29)</f>
        <v>8.57306837589306</v>
      </c>
      <c r="Z29" s="19" t="n">
        <f aca="false">IF(Delay!Z29="","",Fee*$A29+Vq*Delay!Z29)</f>
        <v>8.2377564870472</v>
      </c>
      <c r="AA29" s="19" t="n">
        <f aca="false">IF(Delay!AA29="","",Fee*$A29+Vq*Delay!AA29)</f>
        <v>7.89023512652466</v>
      </c>
      <c r="AB29" s="19" t="n">
        <f aca="false">IF(Delay!AB29="","",Fee*$A29+Vq*Delay!AB29)</f>
        <v>7.56865146612442</v>
      </c>
      <c r="AC29" s="19" t="n">
        <f aca="false">IF(Delay!AC29="","",Fee*$A29+Vq*Delay!AC29)</f>
        <v>7.21600107620392</v>
      </c>
      <c r="AD29" s="19" t="n">
        <f aca="false">IF(Delay!AD29="","",Fee*$A29+Vq*Delay!AD29)</f>
        <v>6.88654925743838</v>
      </c>
      <c r="AE29" s="19" t="n">
        <f aca="false">IF(Delay!AE29="","",Fee*$A29+Vq*Delay!AE29)</f>
        <v>6.57609638373064</v>
      </c>
      <c r="AF29" s="19" t="n">
        <f aca="false">IF(Delay!AF29="","",Fee*$A29+Vq*Delay!AF29)</f>
        <v>6.27019104763708</v>
      </c>
      <c r="AG29" s="19" t="n">
        <f aca="false">IF(Delay!AG29="","",Fee*$A29+Vq*Delay!AG29)</f>
        <v>5.97115713749826</v>
      </c>
      <c r="AH29" s="19" t="n">
        <f aca="false">IF(Delay!AH29="","",Fee*$A29+Vq*Delay!AH29)</f>
        <v>5.66939372256456</v>
      </c>
      <c r="AI29" s="19" t="n">
        <f aca="false">IF(Delay!AI29="","",Fee*$A29+Vq*Delay!AI29)</f>
        <v>5.37938593048766</v>
      </c>
      <c r="AJ29" s="19" t="n">
        <f aca="false">IF(Delay!AJ29="","",Fee*$A29+Vq*Delay!AJ29)</f>
        <v>5.11941211432992</v>
      </c>
      <c r="AK29" s="19" t="n">
        <f aca="false">IF(Delay!AK29="","",Fee*$A29+Vq*Delay!AK29)</f>
        <v>4.85053495943548</v>
      </c>
      <c r="AL29" s="19" t="n">
        <f aca="false">IF(Delay!AL29="","",Fee*$A29+Vq*Delay!AL29)</f>
        <v>4.56903550166596</v>
      </c>
      <c r="AM29" s="19" t="n">
        <f aca="false">IF(Delay!AM29="","",Fee*$A29+Vq*Delay!AM29)</f>
        <v>4.2944011646914</v>
      </c>
      <c r="AN29" s="19" t="n">
        <f aca="false">IF(Delay!AN29="","",Fee*$A29+Vq*Delay!AN29)</f>
        <v>4.02064785814078</v>
      </c>
      <c r="AO29" s="19" t="n">
        <f aca="false">IF(Delay!AO29="","",Fee*$A29+Vq*Delay!AO29)</f>
        <v>3.76593563200194</v>
      </c>
      <c r="AP29" s="19" t="n">
        <f aca="false">IF(Delay!AP29="","",Fee*$A29+Vq*Delay!AP29)</f>
        <v>3.6</v>
      </c>
      <c r="AQ29" s="19" t="n">
        <f aca="false">IF(Delay!AQ29="","",Fee*$A29+Vq*Delay!AQ29)</f>
        <v>3.6</v>
      </c>
      <c r="AR29" s="19" t="n">
        <f aca="false">IF(Delay!AR29="","",Fee*$A29+Vq*Delay!AR29)</f>
        <v>3.6</v>
      </c>
      <c r="AS29" s="19" t="n">
        <f aca="false">IF(Delay!AS29="","",Fee*$A29+Vq*Delay!AS29)</f>
        <v>3.6</v>
      </c>
      <c r="AT29" s="19" t="n">
        <f aca="false">IF(Delay!AT29="","",Fee*$A29+Vq*Delay!AT29)</f>
        <v>3.6</v>
      </c>
      <c r="AU29" s="19" t="n">
        <f aca="false">IF(Delay!AU29="","",Fee*$A29+Vq*Delay!AU29)</f>
        <v>3.6</v>
      </c>
      <c r="AV29" s="19" t="n">
        <f aca="false">IF(Delay!AV29="","",Fee*$A29+Vq*Delay!AV29)</f>
        <v>3.6</v>
      </c>
      <c r="AW29" s="19" t="n">
        <f aca="false">IF(Delay!AW29="","",Fee*$A29+Vq*Delay!AW29)</f>
        <v>3.6</v>
      </c>
      <c r="AX29" s="19" t="n">
        <f aca="false">IF(Delay!AX29="","",Fee*$A29+Vq*Delay!AX29)</f>
        <v>3.6</v>
      </c>
      <c r="AY29" s="19" t="n">
        <f aca="false">IF(Delay!AY29="","",Fee*$A29+Vq*Delay!AY29)</f>
        <v>3.6</v>
      </c>
      <c r="AZ29" s="19" t="n">
        <f aca="false">IF(Delay!AZ29="","",Fee*$A29+Vq*Delay!AZ29)</f>
        <v>3.6</v>
      </c>
      <c r="BA29" s="19" t="n">
        <f aca="false">IF(Delay!BA29="","",Fee*$A29+Vq*Delay!BA29)</f>
        <v>3.6</v>
      </c>
      <c r="BB29" s="19" t="n">
        <f aca="false">IF(Delay!BB29="","",Fee*$A29+Vq*Delay!BB29)</f>
        <v>3.6</v>
      </c>
      <c r="BC29" s="19" t="n">
        <f aca="false">IF(Delay!BC29="","",Fee*$A29+Vq*Delay!BC29)</f>
        <v>3.6</v>
      </c>
      <c r="BD29" s="19" t="n">
        <f aca="false">IF(Delay!BD29="","",Fee*$A29+Vq*Delay!BD29)</f>
        <v>3.6</v>
      </c>
      <c r="BE29" s="19" t="n">
        <f aca="false">IF(Delay!BE29="","",Fee*$A29+Vq*Delay!BE29)</f>
        <v>3.6</v>
      </c>
      <c r="BF29" s="19" t="n">
        <f aca="false">IF(Delay!BF29="","",Fee*$A29+Vq*Delay!BF29)</f>
        <v>3.6</v>
      </c>
      <c r="BG29" s="19" t="n">
        <f aca="false">IF(Delay!BG29="","",Fee*$A29+Vq*Delay!BG29)</f>
        <v>3.6</v>
      </c>
      <c r="BH29" s="19" t="n">
        <f aca="false">IF(Delay!BH29="","",Fee*$A29+Vq*Delay!BH29)</f>
        <v>3.6</v>
      </c>
      <c r="BI29" s="19" t="n">
        <f aca="false">IF(Delay!BI29="","",Fee*$A29+Vq*Delay!BI29)</f>
        <v>3.6</v>
      </c>
      <c r="BJ29" s="19" t="n">
        <f aca="false">IF(Delay!BJ29="","",Fee*$A29+Vq*Delay!BJ29)</f>
        <v>3.6</v>
      </c>
      <c r="BK29" s="19" t="n">
        <f aca="false">IF(Delay!BK29="","",Fee*$A29+Vq*Delay!BK29)</f>
        <v>3.6</v>
      </c>
      <c r="BL29" s="19" t="n">
        <f aca="false">IF(Delay!BL29="","",Fee*$A29+Vq*Delay!BL29)</f>
        <v>3.6</v>
      </c>
      <c r="BM29" s="19" t="n">
        <f aca="false">IF(Delay!BM29="","",Fee*$A29+Vq*Delay!BM29)</f>
        <v>3.6</v>
      </c>
      <c r="BN29" s="19" t="n">
        <f aca="false">IF(Delay!BN29="","",Fee*$A29+Vq*Delay!BN29)</f>
        <v>3.6</v>
      </c>
      <c r="BO29" s="19" t="n">
        <f aca="false">IF(Delay!BO29="","",Fee*$A29+Vq*Delay!BO29)</f>
        <v>3.6</v>
      </c>
      <c r="BP29" s="19" t="n">
        <f aca="false">IF(Delay!BP29="","",Fee*$A29+Vq*Delay!BP29)</f>
        <v>3.6</v>
      </c>
      <c r="BQ29" s="19" t="n">
        <f aca="false">IF(Delay!BQ29="","",Fee*$A29+Vq*Delay!BQ29)</f>
        <v>3.6</v>
      </c>
      <c r="BR29" s="19" t="n">
        <f aca="false">IF(Delay!BR29="","",Fee*$A29+Vq*Delay!BR29)</f>
        <v>3.6</v>
      </c>
      <c r="BS29" s="19" t="n">
        <f aca="false">IF(Delay!BS29="","",Fee*$A29+Vq*Delay!BS29)</f>
        <v>3.6</v>
      </c>
      <c r="BT29" s="19" t="n">
        <f aca="false">IF(Delay!BT29="","",Fee*$A29+Vq*Delay!BT29)</f>
        <v>3.6</v>
      </c>
      <c r="BU29" s="19" t="n">
        <f aca="false">IF(Delay!BU29="","",Fee*$A29+Vq*Delay!BU29)</f>
        <v>3.6</v>
      </c>
      <c r="BV29" s="19" t="n">
        <f aca="false">IF(Delay!BV29="","",Fee*$A29+Vq*Delay!BV29)</f>
        <v>3.6</v>
      </c>
      <c r="BW29" s="19" t="n">
        <f aca="false">IF(Delay!BW29="","",Fee*$A29+Vq*Delay!BW29)</f>
        <v>3.6</v>
      </c>
      <c r="BX29" s="19" t="n">
        <f aca="false">IF(Delay!BX29="","",Fee*$A29+Vq*Delay!BX29)</f>
        <v>3.6</v>
      </c>
      <c r="BY29" s="19" t="n">
        <f aca="false">IF(Delay!BY29="","",Fee*$A29+Vq*Delay!BY29)</f>
        <v>3.6</v>
      </c>
      <c r="BZ29" s="19" t="n">
        <f aca="false">IF(Delay!BZ29="","",Fee*$A29+Vq*Delay!BZ29)</f>
        <v>3.6</v>
      </c>
      <c r="CA29" s="19" t="n">
        <f aca="false">IF(Delay!CA29="","",Fee*$A29+Vq*Delay!CA29)</f>
        <v>3.6</v>
      </c>
      <c r="CB29" s="19" t="n">
        <f aca="false">IF(Delay!CB29="","",Fee*$A29+Vq*Delay!CB29)</f>
        <v>3.6</v>
      </c>
      <c r="CC29" s="19" t="n">
        <f aca="false">IF(Delay!CC29="","",Fee*$A29+Vq*Delay!CC29)</f>
        <v>3.6</v>
      </c>
      <c r="CD29" s="19" t="n">
        <f aca="false">IF(Delay!CD29="","",Fee*$A29+Vq*Delay!CD29)</f>
        <v>3.6</v>
      </c>
      <c r="CE29" s="19" t="n">
        <f aca="false">IF(Delay!CE29="","",Fee*$A29+Vq*Delay!CE29)</f>
        <v>3.6</v>
      </c>
      <c r="CF29" s="19" t="n">
        <f aca="false">IF(Delay!CF29="","",Fee*$A29+Vq*Delay!CF29)</f>
        <v>3.6</v>
      </c>
      <c r="CG29" s="19" t="n">
        <f aca="false">IF(Delay!CG29="","",Fee*$A29+Vq*Delay!CG29)</f>
        <v>3.6</v>
      </c>
      <c r="CH29" s="19" t="n">
        <f aca="false">IF(Delay!CH29="","",Fee*$A29+Vq*Delay!CH29)</f>
        <v>3.6</v>
      </c>
      <c r="CI29" s="19" t="n">
        <f aca="false">IF(Delay!CI29="","",Fee*$A29+Vq*Delay!CI29)</f>
        <v>3.6</v>
      </c>
      <c r="CJ29" s="19" t="n">
        <f aca="false">IF(Delay!CJ29="","",Fee*$A29+Vq*Delay!CJ29)</f>
        <v>3.6</v>
      </c>
      <c r="CK29" s="19" t="n">
        <f aca="false">IF(Delay!CK29="","",Fee*$A29+Vq*Delay!CK29)</f>
        <v>3.6</v>
      </c>
      <c r="CL29" s="19" t="n">
        <f aca="false">IF(Delay!CL29="","",Fee*$A29+Vq*Delay!CL29)</f>
        <v>3.6</v>
      </c>
      <c r="CM29" s="19" t="n">
        <f aca="false">IF(Delay!CM29="","",Fee*$A29+Vq*Delay!CM29)</f>
        <v>3.6</v>
      </c>
      <c r="CN29" s="19" t="n">
        <f aca="false">IF(Delay!CN29="","",Fee*$A29+Vq*Delay!CN29)</f>
        <v>3.6</v>
      </c>
      <c r="CO29" s="19" t="n">
        <f aca="false">IF(Delay!CO29="","",Fee*$A29+Vq*Delay!CO29)</f>
        <v>3.6</v>
      </c>
      <c r="CP29" s="19" t="n">
        <f aca="false">IF(Delay!CP29="","",Fee*$A29+Vq*Delay!CP29)</f>
        <v>3.6</v>
      </c>
      <c r="CQ29" s="19" t="n">
        <f aca="false">IF(Delay!CQ29="","",Fee*$A29+Vq*Delay!CQ29)</f>
        <v>3.6</v>
      </c>
      <c r="CR29" s="19" t="n">
        <f aca="false">IF(Delay!CR29="","",Fee*$A29+Vq*Delay!CR29)</f>
        <v>3.6</v>
      </c>
      <c r="CS29" s="19" t="n">
        <f aca="false">IF(Delay!CS29="","",Fee*$A29+Vq*Delay!CS29)</f>
        <v>3.6</v>
      </c>
      <c r="CT29" s="19" t="n">
        <f aca="false">IF(Delay!CT29="","",Fee*$A29+Vq*Delay!CT29)</f>
        <v>16.7373616023222</v>
      </c>
    </row>
    <row r="30" customFormat="false" ht="15" hidden="false" customHeight="false" outlineLevel="0" collapsed="false">
      <c r="A30" s="25" t="n">
        <f aca="false">Quantiles!A30</f>
        <v>125</v>
      </c>
      <c r="B30" s="19" t="n">
        <f aca="false">IF(Delay!B30="","",Fee*$A30+Vq*Delay!B30)</f>
        <v>26.5976037871696</v>
      </c>
      <c r="C30" s="19" t="n">
        <f aca="false">IF(Delay!C30="","",Fee*$A30+Vq*Delay!C30)</f>
        <v>24.5610825205147</v>
      </c>
      <c r="D30" s="19" t="n">
        <f aca="false">IF(Delay!D30="","",Fee*$A30+Vq*Delay!D30)</f>
        <v>22.8499459168991</v>
      </c>
      <c r="E30" s="19" t="n">
        <f aca="false">IF(Delay!E30="","",Fee*$A30+Vq*Delay!E30)</f>
        <v>21.3217982972177</v>
      </c>
      <c r="F30" s="19" t="n">
        <f aca="false">IF(Delay!F30="","",Fee*$A30+Vq*Delay!F30)</f>
        <v>20.1075428373544</v>
      </c>
      <c r="G30" s="19" t="n">
        <f aca="false">IF(Delay!G30="","",Fee*$A30+Vq*Delay!G30)</f>
        <v>18.9932219220937</v>
      </c>
      <c r="H30" s="19" t="n">
        <f aca="false">IF(Delay!H30="","",Fee*$A30+Vq*Delay!H30)</f>
        <v>18.0304836472396</v>
      </c>
      <c r="I30" s="19" t="n">
        <f aca="false">IF(Delay!I30="","",Fee*$A30+Vq*Delay!I30)</f>
        <v>17.0349978173151</v>
      </c>
      <c r="J30" s="19" t="n">
        <f aca="false">IF(Delay!J30="","",Fee*$A30+Vq*Delay!J30)</f>
        <v>16.2429048258098</v>
      </c>
      <c r="K30" s="19" t="n">
        <f aca="false">IF(Delay!K30="","",Fee*$A30+Vq*Delay!K30)</f>
        <v>15.4800631164471</v>
      </c>
      <c r="L30" s="19" t="n">
        <f aca="false">IF(Delay!L30="","",Fee*$A30+Vq*Delay!L30)</f>
        <v>14.7827105342616</v>
      </c>
      <c r="M30" s="19" t="n">
        <f aca="false">IF(Delay!M30="","",Fee*$A30+Vq*Delay!M30)</f>
        <v>14.1426174095819</v>
      </c>
      <c r="N30" s="19" t="n">
        <f aca="false">IF(Delay!N30="","",Fee*$A30+Vq*Delay!N30)</f>
        <v>13.5830250440216</v>
      </c>
      <c r="O30" s="19" t="n">
        <f aca="false">IF(Delay!O30="","",Fee*$A30+Vq*Delay!O30)</f>
        <v>12.9653359943196</v>
      </c>
      <c r="P30" s="19" t="n">
        <f aca="false">IF(Delay!P30="","",Fee*$A30+Vq*Delay!P30)</f>
        <v>12.4412992540121</v>
      </c>
      <c r="Q30" s="19" t="n">
        <f aca="false">IF(Delay!Q30="","",Fee*$A30+Vq*Delay!Q30)</f>
        <v>11.8569050985921</v>
      </c>
      <c r="R30" s="19" t="n">
        <f aca="false">IF(Delay!R30="","",Fee*$A30+Vq*Delay!R30)</f>
        <v>11.3507084058693</v>
      </c>
      <c r="S30" s="19" t="n">
        <f aca="false">IF(Delay!S30="","",Fee*$A30+Vq*Delay!S30)</f>
        <v>10.9014083252362</v>
      </c>
      <c r="T30" s="19" t="n">
        <f aca="false">IF(Delay!T30="","",Fee*$A30+Vq*Delay!T30)</f>
        <v>10.4383943089095</v>
      </c>
      <c r="U30" s="19" t="n">
        <f aca="false">IF(Delay!U30="","",Fee*$A30+Vq*Delay!U30)</f>
        <v>10.0416256214301</v>
      </c>
      <c r="V30" s="19" t="n">
        <f aca="false">IF(Delay!V30="","",Fee*$A30+Vq*Delay!V30)</f>
        <v>9.57994369812796</v>
      </c>
      <c r="W30" s="19" t="n">
        <f aca="false">IF(Delay!W30="","",Fee*$A30+Vq*Delay!W30)</f>
        <v>9.17070437159378</v>
      </c>
      <c r="X30" s="19" t="n">
        <f aca="false">IF(Delay!X30="","",Fee*$A30+Vq*Delay!X30)</f>
        <v>8.78131440597522</v>
      </c>
      <c r="Y30" s="19" t="n">
        <f aca="false">IF(Delay!Y30="","",Fee*$A30+Vq*Delay!Y30)</f>
        <v>8.39682463119846</v>
      </c>
      <c r="Z30" s="19" t="n">
        <f aca="false">IF(Delay!Z30="","",Fee*$A30+Vq*Delay!Z30)</f>
        <v>8.01657098907982</v>
      </c>
      <c r="AA30" s="19" t="n">
        <f aca="false">IF(Delay!AA30="","",Fee*$A30+Vq*Delay!AA30)</f>
        <v>7.68298229496388</v>
      </c>
      <c r="AB30" s="19" t="n">
        <f aca="false">IF(Delay!AB30="","",Fee*$A30+Vq*Delay!AB30)</f>
        <v>7.34850041587928</v>
      </c>
      <c r="AC30" s="19" t="n">
        <f aca="false">IF(Delay!AC30="","",Fee*$A30+Vq*Delay!AC30)</f>
        <v>7.02251470657684</v>
      </c>
      <c r="AD30" s="19" t="n">
        <f aca="false">IF(Delay!AD30="","",Fee*$A30+Vq*Delay!AD30)</f>
        <v>6.72219254622944</v>
      </c>
      <c r="AE30" s="19" t="n">
        <f aca="false">IF(Delay!AE30="","",Fee*$A30+Vq*Delay!AE30)</f>
        <v>6.40877295622124</v>
      </c>
      <c r="AF30" s="19" t="n">
        <f aca="false">IF(Delay!AF30="","",Fee*$A30+Vq*Delay!AF30)</f>
        <v>6.1071168215713</v>
      </c>
      <c r="AG30" s="19" t="n">
        <f aca="false">IF(Delay!AG30="","",Fee*$A30+Vq*Delay!AG30)</f>
        <v>5.80201655653292</v>
      </c>
      <c r="AH30" s="19" t="n">
        <f aca="false">IF(Delay!AH30="","",Fee*$A30+Vq*Delay!AH30)</f>
        <v>5.51369541997228</v>
      </c>
      <c r="AI30" s="19" t="n">
        <f aca="false">IF(Delay!AI30="","",Fee*$A30+Vq*Delay!AI30)</f>
        <v>5.23888369519744</v>
      </c>
      <c r="AJ30" s="19" t="n">
        <f aca="false">IF(Delay!AJ30="","",Fee*$A30+Vq*Delay!AJ30)</f>
        <v>4.94808425539452</v>
      </c>
      <c r="AK30" s="19" t="n">
        <f aca="false">IF(Delay!AK30="","",Fee*$A30+Vq*Delay!AK30)</f>
        <v>4.67327919565662</v>
      </c>
      <c r="AL30" s="19" t="n">
        <f aca="false">IF(Delay!AL30="","",Fee*$A30+Vq*Delay!AL30)</f>
        <v>4.41753381433908</v>
      </c>
      <c r="AM30" s="19" t="n">
        <f aca="false">IF(Delay!AM30="","",Fee*$A30+Vq*Delay!AM30)</f>
        <v>4.12215979244684</v>
      </c>
      <c r="AN30" s="19" t="n">
        <f aca="false">IF(Delay!AN30="","",Fee*$A30+Vq*Delay!AN30)</f>
        <v>3.8775130854879</v>
      </c>
      <c r="AO30" s="19" t="n">
        <f aca="false">IF(Delay!AO30="","",Fee*$A30+Vq*Delay!AO30)</f>
        <v>3.75</v>
      </c>
      <c r="AP30" s="19" t="n">
        <f aca="false">IF(Delay!AP30="","",Fee*$A30+Vq*Delay!AP30)</f>
        <v>3.75</v>
      </c>
      <c r="AQ30" s="19" t="n">
        <f aca="false">IF(Delay!AQ30="","",Fee*$A30+Vq*Delay!AQ30)</f>
        <v>3.75</v>
      </c>
      <c r="AR30" s="19" t="n">
        <f aca="false">IF(Delay!AR30="","",Fee*$A30+Vq*Delay!AR30)</f>
        <v>3.75</v>
      </c>
      <c r="AS30" s="19" t="n">
        <f aca="false">IF(Delay!AS30="","",Fee*$A30+Vq*Delay!AS30)</f>
        <v>3.75</v>
      </c>
      <c r="AT30" s="19" t="n">
        <f aca="false">IF(Delay!AT30="","",Fee*$A30+Vq*Delay!AT30)</f>
        <v>3.75</v>
      </c>
      <c r="AU30" s="19" t="n">
        <f aca="false">IF(Delay!AU30="","",Fee*$A30+Vq*Delay!AU30)</f>
        <v>3.75</v>
      </c>
      <c r="AV30" s="19" t="n">
        <f aca="false">IF(Delay!AV30="","",Fee*$A30+Vq*Delay!AV30)</f>
        <v>3.75</v>
      </c>
      <c r="AW30" s="19" t="n">
        <f aca="false">IF(Delay!AW30="","",Fee*$A30+Vq*Delay!AW30)</f>
        <v>3.75</v>
      </c>
      <c r="AX30" s="19" t="n">
        <f aca="false">IF(Delay!AX30="","",Fee*$A30+Vq*Delay!AX30)</f>
        <v>3.75</v>
      </c>
      <c r="AY30" s="19" t="n">
        <f aca="false">IF(Delay!AY30="","",Fee*$A30+Vq*Delay!AY30)</f>
        <v>3.75</v>
      </c>
      <c r="AZ30" s="19" t="n">
        <f aca="false">IF(Delay!AZ30="","",Fee*$A30+Vq*Delay!AZ30)</f>
        <v>3.75</v>
      </c>
      <c r="BA30" s="19" t="n">
        <f aca="false">IF(Delay!BA30="","",Fee*$A30+Vq*Delay!BA30)</f>
        <v>3.75</v>
      </c>
      <c r="BB30" s="19" t="n">
        <f aca="false">IF(Delay!BB30="","",Fee*$A30+Vq*Delay!BB30)</f>
        <v>3.75</v>
      </c>
      <c r="BC30" s="19" t="n">
        <f aca="false">IF(Delay!BC30="","",Fee*$A30+Vq*Delay!BC30)</f>
        <v>3.75</v>
      </c>
      <c r="BD30" s="19" t="n">
        <f aca="false">IF(Delay!BD30="","",Fee*$A30+Vq*Delay!BD30)</f>
        <v>3.75</v>
      </c>
      <c r="BE30" s="19" t="n">
        <f aca="false">IF(Delay!BE30="","",Fee*$A30+Vq*Delay!BE30)</f>
        <v>3.75</v>
      </c>
      <c r="BF30" s="19" t="n">
        <f aca="false">IF(Delay!BF30="","",Fee*$A30+Vq*Delay!BF30)</f>
        <v>3.75</v>
      </c>
      <c r="BG30" s="19" t="n">
        <f aca="false">IF(Delay!BG30="","",Fee*$A30+Vq*Delay!BG30)</f>
        <v>3.75</v>
      </c>
      <c r="BH30" s="19" t="n">
        <f aca="false">IF(Delay!BH30="","",Fee*$A30+Vq*Delay!BH30)</f>
        <v>3.75</v>
      </c>
      <c r="BI30" s="19" t="n">
        <f aca="false">IF(Delay!BI30="","",Fee*$A30+Vq*Delay!BI30)</f>
        <v>3.75</v>
      </c>
      <c r="BJ30" s="19" t="n">
        <f aca="false">IF(Delay!BJ30="","",Fee*$A30+Vq*Delay!BJ30)</f>
        <v>3.75</v>
      </c>
      <c r="BK30" s="19" t="n">
        <f aca="false">IF(Delay!BK30="","",Fee*$A30+Vq*Delay!BK30)</f>
        <v>3.75</v>
      </c>
      <c r="BL30" s="19" t="n">
        <f aca="false">IF(Delay!BL30="","",Fee*$A30+Vq*Delay!BL30)</f>
        <v>3.75</v>
      </c>
      <c r="BM30" s="19" t="n">
        <f aca="false">IF(Delay!BM30="","",Fee*$A30+Vq*Delay!BM30)</f>
        <v>3.75</v>
      </c>
      <c r="BN30" s="19" t="n">
        <f aca="false">IF(Delay!BN30="","",Fee*$A30+Vq*Delay!BN30)</f>
        <v>3.75</v>
      </c>
      <c r="BO30" s="19" t="n">
        <f aca="false">IF(Delay!BO30="","",Fee*$A30+Vq*Delay!BO30)</f>
        <v>3.75</v>
      </c>
      <c r="BP30" s="19" t="n">
        <f aca="false">IF(Delay!BP30="","",Fee*$A30+Vq*Delay!BP30)</f>
        <v>3.75</v>
      </c>
      <c r="BQ30" s="19" t="n">
        <f aca="false">IF(Delay!BQ30="","",Fee*$A30+Vq*Delay!BQ30)</f>
        <v>3.75</v>
      </c>
      <c r="BR30" s="19" t="n">
        <f aca="false">IF(Delay!BR30="","",Fee*$A30+Vq*Delay!BR30)</f>
        <v>3.75</v>
      </c>
      <c r="BS30" s="19" t="n">
        <f aca="false">IF(Delay!BS30="","",Fee*$A30+Vq*Delay!BS30)</f>
        <v>3.75</v>
      </c>
      <c r="BT30" s="19" t="n">
        <f aca="false">IF(Delay!BT30="","",Fee*$A30+Vq*Delay!BT30)</f>
        <v>3.75</v>
      </c>
      <c r="BU30" s="19" t="n">
        <f aca="false">IF(Delay!BU30="","",Fee*$A30+Vq*Delay!BU30)</f>
        <v>3.75</v>
      </c>
      <c r="BV30" s="19" t="n">
        <f aca="false">IF(Delay!BV30="","",Fee*$A30+Vq*Delay!BV30)</f>
        <v>3.75</v>
      </c>
      <c r="BW30" s="19" t="n">
        <f aca="false">IF(Delay!BW30="","",Fee*$A30+Vq*Delay!BW30)</f>
        <v>3.75</v>
      </c>
      <c r="BX30" s="19" t="n">
        <f aca="false">IF(Delay!BX30="","",Fee*$A30+Vq*Delay!BX30)</f>
        <v>3.75</v>
      </c>
      <c r="BY30" s="19" t="n">
        <f aca="false">IF(Delay!BY30="","",Fee*$A30+Vq*Delay!BY30)</f>
        <v>3.75</v>
      </c>
      <c r="BZ30" s="19" t="n">
        <f aca="false">IF(Delay!BZ30="","",Fee*$A30+Vq*Delay!BZ30)</f>
        <v>3.75</v>
      </c>
      <c r="CA30" s="19" t="n">
        <f aca="false">IF(Delay!CA30="","",Fee*$A30+Vq*Delay!CA30)</f>
        <v>3.75</v>
      </c>
      <c r="CB30" s="19" t="n">
        <f aca="false">IF(Delay!CB30="","",Fee*$A30+Vq*Delay!CB30)</f>
        <v>3.75</v>
      </c>
      <c r="CC30" s="19" t="n">
        <f aca="false">IF(Delay!CC30="","",Fee*$A30+Vq*Delay!CC30)</f>
        <v>3.75</v>
      </c>
      <c r="CD30" s="19" t="n">
        <f aca="false">IF(Delay!CD30="","",Fee*$A30+Vq*Delay!CD30)</f>
        <v>3.75</v>
      </c>
      <c r="CE30" s="19" t="n">
        <f aca="false">IF(Delay!CE30="","",Fee*$A30+Vq*Delay!CE30)</f>
        <v>3.75</v>
      </c>
      <c r="CF30" s="19" t="n">
        <f aca="false">IF(Delay!CF30="","",Fee*$A30+Vq*Delay!CF30)</f>
        <v>3.75</v>
      </c>
      <c r="CG30" s="19" t="n">
        <f aca="false">IF(Delay!CG30="","",Fee*$A30+Vq*Delay!CG30)</f>
        <v>3.75</v>
      </c>
      <c r="CH30" s="19" t="n">
        <f aca="false">IF(Delay!CH30="","",Fee*$A30+Vq*Delay!CH30)</f>
        <v>3.75</v>
      </c>
      <c r="CI30" s="19" t="n">
        <f aca="false">IF(Delay!CI30="","",Fee*$A30+Vq*Delay!CI30)</f>
        <v>3.75</v>
      </c>
      <c r="CJ30" s="19" t="n">
        <f aca="false">IF(Delay!CJ30="","",Fee*$A30+Vq*Delay!CJ30)</f>
        <v>3.75</v>
      </c>
      <c r="CK30" s="19" t="n">
        <f aca="false">IF(Delay!CK30="","",Fee*$A30+Vq*Delay!CK30)</f>
        <v>3.75</v>
      </c>
      <c r="CL30" s="19" t="n">
        <f aca="false">IF(Delay!CL30="","",Fee*$A30+Vq*Delay!CL30)</f>
        <v>3.75</v>
      </c>
      <c r="CM30" s="19" t="n">
        <f aca="false">IF(Delay!CM30="","",Fee*$A30+Vq*Delay!CM30)</f>
        <v>3.75</v>
      </c>
      <c r="CN30" s="19" t="n">
        <f aca="false">IF(Delay!CN30="","",Fee*$A30+Vq*Delay!CN30)</f>
        <v>3.75</v>
      </c>
      <c r="CO30" s="19" t="n">
        <f aca="false">IF(Delay!CO30="","",Fee*$A30+Vq*Delay!CO30)</f>
        <v>3.75</v>
      </c>
      <c r="CP30" s="19" t="n">
        <f aca="false">IF(Delay!CP30="","",Fee*$A30+Vq*Delay!CP30)</f>
        <v>3.75</v>
      </c>
      <c r="CQ30" s="19" t="n">
        <f aca="false">IF(Delay!CQ30="","",Fee*$A30+Vq*Delay!CQ30)</f>
        <v>3.75</v>
      </c>
      <c r="CR30" s="19" t="n">
        <f aca="false">IF(Delay!CR30="","",Fee*$A30+Vq*Delay!CR30)</f>
        <v>3.75</v>
      </c>
      <c r="CS30" s="19" t="n">
        <f aca="false">IF(Delay!CS30="","",Fee*$A30+Vq*Delay!CS30)</f>
        <v>3.75</v>
      </c>
      <c r="CT30" s="19" t="n">
        <f aca="false">IF(Delay!CT30="","",Fee*$A30+Vq*Delay!CT30)</f>
        <v>16.2329404860242</v>
      </c>
    </row>
    <row r="31" customFormat="false" ht="15" hidden="false" customHeight="false" outlineLevel="0" collapsed="false">
      <c r="A31" s="25" t="n">
        <f aca="false">Quantiles!A31</f>
        <v>130</v>
      </c>
      <c r="B31" s="19" t="n">
        <f aca="false">IF(Delay!B31="","",Fee*$A31+Vq*Delay!B31)</f>
        <v>26.0133364743845</v>
      </c>
      <c r="C31" s="19" t="n">
        <f aca="false">IF(Delay!C31="","",Fee*$A31+Vq*Delay!C31)</f>
        <v>24.0592474964518</v>
      </c>
      <c r="D31" s="19" t="n">
        <f aca="false">IF(Delay!D31="","",Fee*$A31+Vq*Delay!D31)</f>
        <v>22.3390880406878</v>
      </c>
      <c r="E31" s="19" t="n">
        <f aca="false">IF(Delay!E31="","",Fee*$A31+Vq*Delay!E31)</f>
        <v>20.8168739513045</v>
      </c>
      <c r="F31" s="19" t="n">
        <f aca="false">IF(Delay!F31="","",Fee*$A31+Vq*Delay!F31)</f>
        <v>19.4827864652504</v>
      </c>
      <c r="G31" s="19" t="n">
        <f aca="false">IF(Delay!G31="","",Fee*$A31+Vq*Delay!G31)</f>
        <v>18.6150095919241</v>
      </c>
      <c r="H31" s="19" t="n">
        <f aca="false">IF(Delay!H31="","",Fee*$A31+Vq*Delay!H31)</f>
        <v>17.5651846464967</v>
      </c>
      <c r="I31" s="19" t="n">
        <f aca="false">IF(Delay!I31="","",Fee*$A31+Vq*Delay!I31)</f>
        <v>16.7342789823297</v>
      </c>
      <c r="J31" s="19" t="n">
        <f aca="false">IF(Delay!J31="","",Fee*$A31+Vq*Delay!J31)</f>
        <v>15.878576321599</v>
      </c>
      <c r="K31" s="19" t="n">
        <f aca="false">IF(Delay!K31="","",Fee*$A31+Vq*Delay!K31)</f>
        <v>15.1079049808784</v>
      </c>
      <c r="L31" s="19" t="n">
        <f aca="false">IF(Delay!L31="","",Fee*$A31+Vq*Delay!L31)</f>
        <v>14.4507593283649</v>
      </c>
      <c r="M31" s="19" t="n">
        <f aca="false">IF(Delay!M31="","",Fee*$A31+Vq*Delay!M31)</f>
        <v>13.8544753296856</v>
      </c>
      <c r="N31" s="19" t="n">
        <f aca="false">IF(Delay!N31="","",Fee*$A31+Vq*Delay!N31)</f>
        <v>13.2873255708316</v>
      </c>
      <c r="O31" s="19" t="n">
        <f aca="false">IF(Delay!O31="","",Fee*$A31+Vq*Delay!O31)</f>
        <v>12.7373160811397</v>
      </c>
      <c r="P31" s="19" t="n">
        <f aca="false">IF(Delay!P31="","",Fee*$A31+Vq*Delay!P31)</f>
        <v>12.2046790216609</v>
      </c>
      <c r="Q31" s="19" t="n">
        <f aca="false">IF(Delay!Q31="","",Fee*$A31+Vq*Delay!Q31)</f>
        <v>11.6593954336808</v>
      </c>
      <c r="R31" s="19" t="n">
        <f aca="false">IF(Delay!R31="","",Fee*$A31+Vq*Delay!R31)</f>
        <v>11.1532423519786</v>
      </c>
      <c r="S31" s="19" t="n">
        <f aca="false">IF(Delay!S31="","",Fee*$A31+Vq*Delay!S31)</f>
        <v>10.6992029475748</v>
      </c>
      <c r="T31" s="19" t="n">
        <f aca="false">IF(Delay!T31="","",Fee*$A31+Vq*Delay!T31)</f>
        <v>10.2478646335537</v>
      </c>
      <c r="U31" s="19" t="n">
        <f aca="false">IF(Delay!U31="","",Fee*$A31+Vq*Delay!U31)</f>
        <v>9.80591153772544</v>
      </c>
      <c r="V31" s="19" t="n">
        <f aca="false">IF(Delay!V31="","",Fee*$A31+Vq*Delay!V31)</f>
        <v>9.38983257995912</v>
      </c>
      <c r="W31" s="19" t="n">
        <f aca="false">IF(Delay!W31="","",Fee*$A31+Vq*Delay!W31)</f>
        <v>8.97563253575534</v>
      </c>
      <c r="X31" s="19" t="n">
        <f aca="false">IF(Delay!X31="","",Fee*$A31+Vq*Delay!X31)</f>
        <v>8.61259216067854</v>
      </c>
      <c r="Y31" s="19" t="n">
        <f aca="false">IF(Delay!Y31="","",Fee*$A31+Vq*Delay!Y31)</f>
        <v>8.24338445798506</v>
      </c>
      <c r="Z31" s="19" t="n">
        <f aca="false">IF(Delay!Z31="","",Fee*$A31+Vq*Delay!Z31)</f>
        <v>7.88220828765684</v>
      </c>
      <c r="AA31" s="19" t="n">
        <f aca="false">IF(Delay!AA31="","",Fee*$A31+Vq*Delay!AA31)</f>
        <v>7.55163985725292</v>
      </c>
      <c r="AB31" s="19" t="n">
        <f aca="false">IF(Delay!AB31="","",Fee*$A31+Vq*Delay!AB31)</f>
        <v>7.23445811769968</v>
      </c>
      <c r="AC31" s="19" t="n">
        <f aca="false">IF(Delay!AC31="","",Fee*$A31+Vq*Delay!AC31)</f>
        <v>6.8971771870239</v>
      </c>
      <c r="AD31" s="19" t="n">
        <f aca="false">IF(Delay!AD31="","",Fee*$A31+Vq*Delay!AD31)</f>
        <v>6.55726673615024</v>
      </c>
      <c r="AE31" s="19" t="n">
        <f aca="false">IF(Delay!AE31="","",Fee*$A31+Vq*Delay!AE31)</f>
        <v>6.2381714871101</v>
      </c>
      <c r="AF31" s="19" t="n">
        <f aca="false">IF(Delay!AF31="","",Fee*$A31+Vq*Delay!AF31)</f>
        <v>5.93863309313688</v>
      </c>
      <c r="AG31" s="19" t="n">
        <f aca="false">IF(Delay!AG31="","",Fee*$A31+Vq*Delay!AG31)</f>
        <v>5.6568931923656</v>
      </c>
      <c r="AH31" s="19" t="n">
        <f aca="false">IF(Delay!AH31="","",Fee*$A31+Vq*Delay!AH31)</f>
        <v>5.3904496070956</v>
      </c>
      <c r="AI31" s="19" t="n">
        <f aca="false">IF(Delay!AI31="","",Fee*$A31+Vq*Delay!AI31)</f>
        <v>5.09655464299258</v>
      </c>
      <c r="AJ31" s="19" t="n">
        <f aca="false">IF(Delay!AJ31="","",Fee*$A31+Vq*Delay!AJ31)</f>
        <v>4.81937200211482</v>
      </c>
      <c r="AK31" s="19" t="n">
        <f aca="false">IF(Delay!AK31="","",Fee*$A31+Vq*Delay!AK31)</f>
        <v>4.56955647195862</v>
      </c>
      <c r="AL31" s="19" t="n">
        <f aca="false">IF(Delay!AL31="","",Fee*$A31+Vq*Delay!AL31)</f>
        <v>4.27229127252288</v>
      </c>
      <c r="AM31" s="19" t="n">
        <f aca="false">IF(Delay!AM31="","",Fee*$A31+Vq*Delay!AM31)</f>
        <v>4.0275130854879</v>
      </c>
      <c r="AN31" s="19" t="n">
        <f aca="false">IF(Delay!AN31="","",Fee*$A31+Vq*Delay!AN31)</f>
        <v>3.9</v>
      </c>
      <c r="AO31" s="19" t="n">
        <f aca="false">IF(Delay!AO31="","",Fee*$A31+Vq*Delay!AO31)</f>
        <v>3.9</v>
      </c>
      <c r="AP31" s="19" t="n">
        <f aca="false">IF(Delay!AP31="","",Fee*$A31+Vq*Delay!AP31)</f>
        <v>3.9</v>
      </c>
      <c r="AQ31" s="19" t="n">
        <f aca="false">IF(Delay!AQ31="","",Fee*$A31+Vq*Delay!AQ31)</f>
        <v>3.9</v>
      </c>
      <c r="AR31" s="19" t="n">
        <f aca="false">IF(Delay!AR31="","",Fee*$A31+Vq*Delay!AR31)</f>
        <v>3.9</v>
      </c>
      <c r="AS31" s="19" t="n">
        <f aca="false">IF(Delay!AS31="","",Fee*$A31+Vq*Delay!AS31)</f>
        <v>3.9</v>
      </c>
      <c r="AT31" s="19" t="n">
        <f aca="false">IF(Delay!AT31="","",Fee*$A31+Vq*Delay!AT31)</f>
        <v>3.9</v>
      </c>
      <c r="AU31" s="19" t="n">
        <f aca="false">IF(Delay!AU31="","",Fee*$A31+Vq*Delay!AU31)</f>
        <v>3.9</v>
      </c>
      <c r="AV31" s="19" t="n">
        <f aca="false">IF(Delay!AV31="","",Fee*$A31+Vq*Delay!AV31)</f>
        <v>3.9</v>
      </c>
      <c r="AW31" s="19" t="n">
        <f aca="false">IF(Delay!AW31="","",Fee*$A31+Vq*Delay!AW31)</f>
        <v>3.9</v>
      </c>
      <c r="AX31" s="19" t="n">
        <f aca="false">IF(Delay!AX31="","",Fee*$A31+Vq*Delay!AX31)</f>
        <v>3.9</v>
      </c>
      <c r="AY31" s="19" t="n">
        <f aca="false">IF(Delay!AY31="","",Fee*$A31+Vq*Delay!AY31)</f>
        <v>3.9</v>
      </c>
      <c r="AZ31" s="19" t="n">
        <f aca="false">IF(Delay!AZ31="","",Fee*$A31+Vq*Delay!AZ31)</f>
        <v>3.9</v>
      </c>
      <c r="BA31" s="19" t="n">
        <f aca="false">IF(Delay!BA31="","",Fee*$A31+Vq*Delay!BA31)</f>
        <v>3.9</v>
      </c>
      <c r="BB31" s="19" t="n">
        <f aca="false">IF(Delay!BB31="","",Fee*$A31+Vq*Delay!BB31)</f>
        <v>3.9</v>
      </c>
      <c r="BC31" s="19" t="n">
        <f aca="false">IF(Delay!BC31="","",Fee*$A31+Vq*Delay!BC31)</f>
        <v>3.9</v>
      </c>
      <c r="BD31" s="19" t="n">
        <f aca="false">IF(Delay!BD31="","",Fee*$A31+Vq*Delay!BD31)</f>
        <v>3.9</v>
      </c>
      <c r="BE31" s="19" t="n">
        <f aca="false">IF(Delay!BE31="","",Fee*$A31+Vq*Delay!BE31)</f>
        <v>3.9</v>
      </c>
      <c r="BF31" s="19" t="n">
        <f aca="false">IF(Delay!BF31="","",Fee*$A31+Vq*Delay!BF31)</f>
        <v>3.9</v>
      </c>
      <c r="BG31" s="19" t="n">
        <f aca="false">IF(Delay!BG31="","",Fee*$A31+Vq*Delay!BG31)</f>
        <v>3.9</v>
      </c>
      <c r="BH31" s="19" t="n">
        <f aca="false">IF(Delay!BH31="","",Fee*$A31+Vq*Delay!BH31)</f>
        <v>3.9</v>
      </c>
      <c r="BI31" s="19" t="n">
        <f aca="false">IF(Delay!BI31="","",Fee*$A31+Vq*Delay!BI31)</f>
        <v>3.9</v>
      </c>
      <c r="BJ31" s="19" t="n">
        <f aca="false">IF(Delay!BJ31="","",Fee*$A31+Vq*Delay!BJ31)</f>
        <v>3.9</v>
      </c>
      <c r="BK31" s="19" t="n">
        <f aca="false">IF(Delay!BK31="","",Fee*$A31+Vq*Delay!BK31)</f>
        <v>3.9</v>
      </c>
      <c r="BL31" s="19" t="n">
        <f aca="false">IF(Delay!BL31="","",Fee*$A31+Vq*Delay!BL31)</f>
        <v>3.9</v>
      </c>
      <c r="BM31" s="19" t="n">
        <f aca="false">IF(Delay!BM31="","",Fee*$A31+Vq*Delay!BM31)</f>
        <v>3.9</v>
      </c>
      <c r="BN31" s="19" t="n">
        <f aca="false">IF(Delay!BN31="","",Fee*$A31+Vq*Delay!BN31)</f>
        <v>3.9</v>
      </c>
      <c r="BO31" s="19" t="n">
        <f aca="false">IF(Delay!BO31="","",Fee*$A31+Vq*Delay!BO31)</f>
        <v>3.9</v>
      </c>
      <c r="BP31" s="19" t="n">
        <f aca="false">IF(Delay!BP31="","",Fee*$A31+Vq*Delay!BP31)</f>
        <v>3.9</v>
      </c>
      <c r="BQ31" s="19" t="n">
        <f aca="false">IF(Delay!BQ31="","",Fee*$A31+Vq*Delay!BQ31)</f>
        <v>3.9</v>
      </c>
      <c r="BR31" s="19" t="n">
        <f aca="false">IF(Delay!BR31="","",Fee*$A31+Vq*Delay!BR31)</f>
        <v>3.9</v>
      </c>
      <c r="BS31" s="19" t="n">
        <f aca="false">IF(Delay!BS31="","",Fee*$A31+Vq*Delay!BS31)</f>
        <v>3.9</v>
      </c>
      <c r="BT31" s="19" t="n">
        <f aca="false">IF(Delay!BT31="","",Fee*$A31+Vq*Delay!BT31)</f>
        <v>3.9</v>
      </c>
      <c r="BU31" s="19" t="n">
        <f aca="false">IF(Delay!BU31="","",Fee*$A31+Vq*Delay!BU31)</f>
        <v>3.9</v>
      </c>
      <c r="BV31" s="19" t="n">
        <f aca="false">IF(Delay!BV31="","",Fee*$A31+Vq*Delay!BV31)</f>
        <v>3.9</v>
      </c>
      <c r="BW31" s="19" t="n">
        <f aca="false">IF(Delay!BW31="","",Fee*$A31+Vq*Delay!BW31)</f>
        <v>3.9</v>
      </c>
      <c r="BX31" s="19" t="n">
        <f aca="false">IF(Delay!BX31="","",Fee*$A31+Vq*Delay!BX31)</f>
        <v>3.9</v>
      </c>
      <c r="BY31" s="19" t="n">
        <f aca="false">IF(Delay!BY31="","",Fee*$A31+Vq*Delay!BY31)</f>
        <v>3.9</v>
      </c>
      <c r="BZ31" s="19" t="n">
        <f aca="false">IF(Delay!BZ31="","",Fee*$A31+Vq*Delay!BZ31)</f>
        <v>3.9</v>
      </c>
      <c r="CA31" s="19" t="n">
        <f aca="false">IF(Delay!CA31="","",Fee*$A31+Vq*Delay!CA31)</f>
        <v>3.9</v>
      </c>
      <c r="CB31" s="19" t="n">
        <f aca="false">IF(Delay!CB31="","",Fee*$A31+Vq*Delay!CB31)</f>
        <v>3.9</v>
      </c>
      <c r="CC31" s="19" t="n">
        <f aca="false">IF(Delay!CC31="","",Fee*$A31+Vq*Delay!CC31)</f>
        <v>3.9</v>
      </c>
      <c r="CD31" s="19" t="n">
        <f aca="false">IF(Delay!CD31="","",Fee*$A31+Vq*Delay!CD31)</f>
        <v>3.9</v>
      </c>
      <c r="CE31" s="19" t="n">
        <f aca="false">IF(Delay!CE31="","",Fee*$A31+Vq*Delay!CE31)</f>
        <v>3.9</v>
      </c>
      <c r="CF31" s="19" t="n">
        <f aca="false">IF(Delay!CF31="","",Fee*$A31+Vq*Delay!CF31)</f>
        <v>3.9</v>
      </c>
      <c r="CG31" s="19" t="n">
        <f aca="false">IF(Delay!CG31="","",Fee*$A31+Vq*Delay!CG31)</f>
        <v>3.9</v>
      </c>
      <c r="CH31" s="19" t="n">
        <f aca="false">IF(Delay!CH31="","",Fee*$A31+Vq*Delay!CH31)</f>
        <v>3.9</v>
      </c>
      <c r="CI31" s="19" t="n">
        <f aca="false">IF(Delay!CI31="","",Fee*$A31+Vq*Delay!CI31)</f>
        <v>3.9</v>
      </c>
      <c r="CJ31" s="19" t="n">
        <f aca="false">IF(Delay!CJ31="","",Fee*$A31+Vq*Delay!CJ31)</f>
        <v>3.9</v>
      </c>
      <c r="CK31" s="19" t="n">
        <f aca="false">IF(Delay!CK31="","",Fee*$A31+Vq*Delay!CK31)</f>
        <v>3.9</v>
      </c>
      <c r="CL31" s="19" t="n">
        <f aca="false">IF(Delay!CL31="","",Fee*$A31+Vq*Delay!CL31)</f>
        <v>3.9</v>
      </c>
      <c r="CM31" s="19" t="n">
        <f aca="false">IF(Delay!CM31="","",Fee*$A31+Vq*Delay!CM31)</f>
        <v>3.9</v>
      </c>
      <c r="CN31" s="19" t="n">
        <f aca="false">IF(Delay!CN31="","",Fee*$A31+Vq*Delay!CN31)</f>
        <v>3.9</v>
      </c>
      <c r="CO31" s="19" t="n">
        <f aca="false">IF(Delay!CO31="","",Fee*$A31+Vq*Delay!CO31)</f>
        <v>3.9</v>
      </c>
      <c r="CP31" s="19" t="n">
        <f aca="false">IF(Delay!CP31="","",Fee*$A31+Vq*Delay!CP31)</f>
        <v>3.9</v>
      </c>
      <c r="CQ31" s="19" t="n">
        <f aca="false">IF(Delay!CQ31="","",Fee*$A31+Vq*Delay!CQ31)</f>
        <v>3.9</v>
      </c>
      <c r="CR31" s="19" t="n">
        <f aca="false">IF(Delay!CR31="","",Fee*$A31+Vq*Delay!CR31)</f>
        <v>3.9</v>
      </c>
      <c r="CS31" s="19" t="n">
        <f aca="false">IF(Delay!CS31="","",Fee*$A31+Vq*Delay!CS31)</f>
        <v>3.9</v>
      </c>
      <c r="CT31" s="19" t="n">
        <f aca="false">IF(Delay!CT31="","",Fee*$A31+Vq*Delay!CT31)</f>
        <v>15.8460910098225</v>
      </c>
    </row>
    <row r="32" customFormat="false" ht="15" hidden="false" customHeight="false" outlineLevel="0" collapsed="false">
      <c r="A32" s="25" t="n">
        <f aca="false">Quantiles!A32</f>
        <v>135</v>
      </c>
      <c r="B32" s="19" t="n">
        <f aca="false">IF(Delay!B32="","",Fee*$A32+Vq*Delay!B32)</f>
        <v>25.3799573913383</v>
      </c>
      <c r="C32" s="19" t="n">
        <f aca="false">IF(Delay!C32="","",Fee*$A32+Vq*Delay!C32)</f>
        <v>23.6002847002859</v>
      </c>
      <c r="D32" s="19" t="n">
        <f aca="false">IF(Delay!D32="","",Fee*$A32+Vq*Delay!D32)</f>
        <v>21.8428520766352</v>
      </c>
      <c r="E32" s="19" t="n">
        <f aca="false">IF(Delay!E32="","",Fee*$A32+Vq*Delay!E32)</f>
        <v>20.3996266683536</v>
      </c>
      <c r="F32" s="19" t="n">
        <f aca="false">IF(Delay!F32="","",Fee*$A32+Vq*Delay!F32)</f>
        <v>19.2076513715264</v>
      </c>
      <c r="G32" s="19" t="n">
        <f aca="false">IF(Delay!G32="","",Fee*$A32+Vq*Delay!G32)</f>
        <v>18.1718723781798</v>
      </c>
      <c r="H32" s="19" t="n">
        <f aca="false">IF(Delay!H32="","",Fee*$A32+Vq*Delay!H32)</f>
        <v>17.2130189165864</v>
      </c>
      <c r="I32" s="19" t="n">
        <f aca="false">IF(Delay!I32="","",Fee*$A32+Vq*Delay!I32)</f>
        <v>16.3636850844712</v>
      </c>
      <c r="J32" s="19" t="n">
        <f aca="false">IF(Delay!J32="","",Fee*$A32+Vq*Delay!J32)</f>
        <v>15.5645688399075</v>
      </c>
      <c r="K32" s="19" t="n">
        <f aca="false">IF(Delay!K32="","",Fee*$A32+Vq*Delay!K32)</f>
        <v>14.8463110939177</v>
      </c>
      <c r="L32" s="19" t="n">
        <f aca="false">IF(Delay!L32="","",Fee*$A32+Vq*Delay!L32)</f>
        <v>14.1970014107589</v>
      </c>
      <c r="M32" s="19" t="n">
        <f aca="false">IF(Delay!M32="","",Fee*$A32+Vq*Delay!M32)</f>
        <v>13.5911005924586</v>
      </c>
      <c r="N32" s="19" t="n">
        <f aca="false">IF(Delay!N32="","",Fee*$A32+Vq*Delay!N32)</f>
        <v>13.0074460906106</v>
      </c>
      <c r="O32" s="19" t="n">
        <f aca="false">IF(Delay!O32="","",Fee*$A32+Vq*Delay!O32)</f>
        <v>12.508585210729</v>
      </c>
      <c r="P32" s="19" t="n">
        <f aca="false">IF(Delay!P32="","",Fee*$A32+Vq*Delay!P32)</f>
        <v>11.9682558244114</v>
      </c>
      <c r="Q32" s="19" t="n">
        <f aca="false">IF(Delay!Q32="","",Fee*$A32+Vq*Delay!Q32)</f>
        <v>11.4446698352029</v>
      </c>
      <c r="R32" s="19" t="n">
        <f aca="false">IF(Delay!R32="","",Fee*$A32+Vq*Delay!R32)</f>
        <v>11.0214572583043</v>
      </c>
      <c r="S32" s="19" t="n">
        <f aca="false">IF(Delay!S32="","",Fee*$A32+Vq*Delay!S32)</f>
        <v>10.5492120238863</v>
      </c>
      <c r="T32" s="19" t="n">
        <f aca="false">IF(Delay!T32="","",Fee*$A32+Vq*Delay!T32)</f>
        <v>10.0972273714219</v>
      </c>
      <c r="U32" s="19" t="n">
        <f aca="false">IF(Delay!U32="","",Fee*$A32+Vq*Delay!U32)</f>
        <v>9.67360074572988</v>
      </c>
      <c r="V32" s="19" t="n">
        <f aca="false">IF(Delay!V32="","",Fee*$A32+Vq*Delay!V32)</f>
        <v>9.2379638666922</v>
      </c>
      <c r="W32" s="19" t="n">
        <f aca="false">IF(Delay!W32="","",Fee*$A32+Vq*Delay!W32)</f>
        <v>8.8147029406533</v>
      </c>
      <c r="X32" s="19" t="n">
        <f aca="false">IF(Delay!X32="","",Fee*$A32+Vq*Delay!X32)</f>
        <v>8.4640746328555</v>
      </c>
      <c r="Y32" s="19" t="n">
        <f aca="false">IF(Delay!Y32="","",Fee*$A32+Vq*Delay!Y32)</f>
        <v>8.08577752892556</v>
      </c>
      <c r="Z32" s="19" t="n">
        <f aca="false">IF(Delay!Z32="","",Fee*$A32+Vq*Delay!Z32)</f>
        <v>7.75075401665584</v>
      </c>
      <c r="AA32" s="19" t="n">
        <f aca="false">IF(Delay!AA32="","",Fee*$A32+Vq*Delay!AA32)</f>
        <v>7.42948943191768</v>
      </c>
      <c r="AB32" s="19" t="n">
        <f aca="false">IF(Delay!AB32="","",Fee*$A32+Vq*Delay!AB32)</f>
        <v>7.10779412828046</v>
      </c>
      <c r="AC32" s="19" t="n">
        <f aca="false">IF(Delay!AC32="","",Fee*$A32+Vq*Delay!AC32)</f>
        <v>6.78775121430198</v>
      </c>
      <c r="AD32" s="19" t="n">
        <f aca="false">IF(Delay!AD32="","",Fee*$A32+Vq*Delay!AD32)</f>
        <v>6.44273104347654</v>
      </c>
      <c r="AE32" s="19" t="n">
        <f aca="false">IF(Delay!AE32="","",Fee*$A32+Vq*Delay!AE32)</f>
        <v>6.14082476355974</v>
      </c>
      <c r="AF32" s="19" t="n">
        <f aca="false">IF(Delay!AF32="","",Fee*$A32+Vq*Delay!AF32)</f>
        <v>5.85433565264054</v>
      </c>
      <c r="AG32" s="19" t="n">
        <f aca="false">IF(Delay!AG32="","",Fee*$A32+Vq*Delay!AG32)</f>
        <v>5.57602307913162</v>
      </c>
      <c r="AH32" s="19" t="n">
        <f aca="false">IF(Delay!AH32="","",Fee*$A32+Vq*Delay!AH32)</f>
        <v>5.28438169391126</v>
      </c>
      <c r="AI32" s="19" t="n">
        <f aca="false">IF(Delay!AI32="","",Fee*$A32+Vq*Delay!AI32)</f>
        <v>4.97943883357482</v>
      </c>
      <c r="AJ32" s="19" t="n">
        <f aca="false">IF(Delay!AJ32="","",Fee*$A32+Vq*Delay!AJ32)</f>
        <v>4.71955647195862</v>
      </c>
      <c r="AK32" s="19" t="n">
        <f aca="false">IF(Delay!AK32="","",Fee*$A32+Vq*Delay!AK32)</f>
        <v>4.41908230555986</v>
      </c>
      <c r="AL32" s="19" t="n">
        <f aca="false">IF(Delay!AL32="","",Fee*$A32+Vq*Delay!AL32)</f>
        <v>4.17137293000762</v>
      </c>
      <c r="AM32" s="19" t="n">
        <f aca="false">IF(Delay!AM32="","",Fee*$A32+Vq*Delay!AM32)</f>
        <v>4.05</v>
      </c>
      <c r="AN32" s="19" t="n">
        <f aca="false">IF(Delay!AN32="","",Fee*$A32+Vq*Delay!AN32)</f>
        <v>4.05</v>
      </c>
      <c r="AO32" s="19" t="n">
        <f aca="false">IF(Delay!AO32="","",Fee*$A32+Vq*Delay!AO32)</f>
        <v>4.05</v>
      </c>
      <c r="AP32" s="19" t="n">
        <f aca="false">IF(Delay!AP32="","",Fee*$A32+Vq*Delay!AP32)</f>
        <v>4.05</v>
      </c>
      <c r="AQ32" s="19" t="n">
        <f aca="false">IF(Delay!AQ32="","",Fee*$A32+Vq*Delay!AQ32)</f>
        <v>4.05</v>
      </c>
      <c r="AR32" s="19" t="n">
        <f aca="false">IF(Delay!AR32="","",Fee*$A32+Vq*Delay!AR32)</f>
        <v>4.05</v>
      </c>
      <c r="AS32" s="19" t="n">
        <f aca="false">IF(Delay!AS32="","",Fee*$A32+Vq*Delay!AS32)</f>
        <v>4.05</v>
      </c>
      <c r="AT32" s="19" t="n">
        <f aca="false">IF(Delay!AT32="","",Fee*$A32+Vq*Delay!AT32)</f>
        <v>4.05</v>
      </c>
      <c r="AU32" s="19" t="n">
        <f aca="false">IF(Delay!AU32="","",Fee*$A32+Vq*Delay!AU32)</f>
        <v>4.05</v>
      </c>
      <c r="AV32" s="19" t="n">
        <f aca="false">IF(Delay!AV32="","",Fee*$A32+Vq*Delay!AV32)</f>
        <v>4.05</v>
      </c>
      <c r="AW32" s="19" t="n">
        <f aca="false">IF(Delay!AW32="","",Fee*$A32+Vq*Delay!AW32)</f>
        <v>4.05</v>
      </c>
      <c r="AX32" s="19" t="n">
        <f aca="false">IF(Delay!AX32="","",Fee*$A32+Vq*Delay!AX32)</f>
        <v>4.05</v>
      </c>
      <c r="AY32" s="19" t="n">
        <f aca="false">IF(Delay!AY32="","",Fee*$A32+Vq*Delay!AY32)</f>
        <v>4.05</v>
      </c>
      <c r="AZ32" s="19" t="n">
        <f aca="false">IF(Delay!AZ32="","",Fee*$A32+Vq*Delay!AZ32)</f>
        <v>4.05</v>
      </c>
      <c r="BA32" s="19" t="n">
        <f aca="false">IF(Delay!BA32="","",Fee*$A32+Vq*Delay!BA32)</f>
        <v>4.05</v>
      </c>
      <c r="BB32" s="19" t="n">
        <f aca="false">IF(Delay!BB32="","",Fee*$A32+Vq*Delay!BB32)</f>
        <v>4.05</v>
      </c>
      <c r="BC32" s="19" t="n">
        <f aca="false">IF(Delay!BC32="","",Fee*$A32+Vq*Delay!BC32)</f>
        <v>4.05</v>
      </c>
      <c r="BD32" s="19" t="n">
        <f aca="false">IF(Delay!BD32="","",Fee*$A32+Vq*Delay!BD32)</f>
        <v>4.05</v>
      </c>
      <c r="BE32" s="19" t="n">
        <f aca="false">IF(Delay!BE32="","",Fee*$A32+Vq*Delay!BE32)</f>
        <v>4.05</v>
      </c>
      <c r="BF32" s="19" t="n">
        <f aca="false">IF(Delay!BF32="","",Fee*$A32+Vq*Delay!BF32)</f>
        <v>4.05</v>
      </c>
      <c r="BG32" s="19" t="n">
        <f aca="false">IF(Delay!BG32="","",Fee*$A32+Vq*Delay!BG32)</f>
        <v>4.05</v>
      </c>
      <c r="BH32" s="19" t="n">
        <f aca="false">IF(Delay!BH32="","",Fee*$A32+Vq*Delay!BH32)</f>
        <v>4.05</v>
      </c>
      <c r="BI32" s="19" t="n">
        <f aca="false">IF(Delay!BI32="","",Fee*$A32+Vq*Delay!BI32)</f>
        <v>4.05</v>
      </c>
      <c r="BJ32" s="19" t="n">
        <f aca="false">IF(Delay!BJ32="","",Fee*$A32+Vq*Delay!BJ32)</f>
        <v>4.05</v>
      </c>
      <c r="BK32" s="19" t="n">
        <f aca="false">IF(Delay!BK32="","",Fee*$A32+Vq*Delay!BK32)</f>
        <v>4.05</v>
      </c>
      <c r="BL32" s="19" t="n">
        <f aca="false">IF(Delay!BL32="","",Fee*$A32+Vq*Delay!BL32)</f>
        <v>4.05</v>
      </c>
      <c r="BM32" s="19" t="n">
        <f aca="false">IF(Delay!BM32="","",Fee*$A32+Vq*Delay!BM32)</f>
        <v>4.05</v>
      </c>
      <c r="BN32" s="19" t="n">
        <f aca="false">IF(Delay!BN32="","",Fee*$A32+Vq*Delay!BN32)</f>
        <v>4.05</v>
      </c>
      <c r="BO32" s="19" t="n">
        <f aca="false">IF(Delay!BO32="","",Fee*$A32+Vq*Delay!BO32)</f>
        <v>4.05</v>
      </c>
      <c r="BP32" s="19" t="n">
        <f aca="false">IF(Delay!BP32="","",Fee*$A32+Vq*Delay!BP32)</f>
        <v>4.05</v>
      </c>
      <c r="BQ32" s="19" t="n">
        <f aca="false">IF(Delay!BQ32="","",Fee*$A32+Vq*Delay!BQ32)</f>
        <v>4.05</v>
      </c>
      <c r="BR32" s="19" t="n">
        <f aca="false">IF(Delay!BR32="","",Fee*$A32+Vq*Delay!BR32)</f>
        <v>4.05</v>
      </c>
      <c r="BS32" s="19" t="n">
        <f aca="false">IF(Delay!BS32="","",Fee*$A32+Vq*Delay!BS32)</f>
        <v>4.05</v>
      </c>
      <c r="BT32" s="19" t="n">
        <f aca="false">IF(Delay!BT32="","",Fee*$A32+Vq*Delay!BT32)</f>
        <v>4.05</v>
      </c>
      <c r="BU32" s="19" t="n">
        <f aca="false">IF(Delay!BU32="","",Fee*$A32+Vq*Delay!BU32)</f>
        <v>4.05</v>
      </c>
      <c r="BV32" s="19" t="n">
        <f aca="false">IF(Delay!BV32="","",Fee*$A32+Vq*Delay!BV32)</f>
        <v>4.05</v>
      </c>
      <c r="BW32" s="19" t="n">
        <f aca="false">IF(Delay!BW32="","",Fee*$A32+Vq*Delay!BW32)</f>
        <v>4.05</v>
      </c>
      <c r="BX32" s="19" t="n">
        <f aca="false">IF(Delay!BX32="","",Fee*$A32+Vq*Delay!BX32)</f>
        <v>4.05</v>
      </c>
      <c r="BY32" s="19" t="n">
        <f aca="false">IF(Delay!BY32="","",Fee*$A32+Vq*Delay!BY32)</f>
        <v>4.05</v>
      </c>
      <c r="BZ32" s="19" t="n">
        <f aca="false">IF(Delay!BZ32="","",Fee*$A32+Vq*Delay!BZ32)</f>
        <v>4.05</v>
      </c>
      <c r="CA32" s="19" t="n">
        <f aca="false">IF(Delay!CA32="","",Fee*$A32+Vq*Delay!CA32)</f>
        <v>4.05</v>
      </c>
      <c r="CB32" s="19" t="n">
        <f aca="false">IF(Delay!CB32="","",Fee*$A32+Vq*Delay!CB32)</f>
        <v>4.05</v>
      </c>
      <c r="CC32" s="19" t="n">
        <f aca="false">IF(Delay!CC32="","",Fee*$A32+Vq*Delay!CC32)</f>
        <v>4.05</v>
      </c>
      <c r="CD32" s="19" t="n">
        <f aca="false">IF(Delay!CD32="","",Fee*$A32+Vq*Delay!CD32)</f>
        <v>4.05</v>
      </c>
      <c r="CE32" s="19" t="n">
        <f aca="false">IF(Delay!CE32="","",Fee*$A32+Vq*Delay!CE32)</f>
        <v>4.05</v>
      </c>
      <c r="CF32" s="19" t="n">
        <f aca="false">IF(Delay!CF32="","",Fee*$A32+Vq*Delay!CF32)</f>
        <v>4.05</v>
      </c>
      <c r="CG32" s="19" t="n">
        <f aca="false">IF(Delay!CG32="","",Fee*$A32+Vq*Delay!CG32)</f>
        <v>4.05</v>
      </c>
      <c r="CH32" s="19" t="n">
        <f aca="false">IF(Delay!CH32="","",Fee*$A32+Vq*Delay!CH32)</f>
        <v>4.05</v>
      </c>
      <c r="CI32" s="19" t="n">
        <f aca="false">IF(Delay!CI32="","",Fee*$A32+Vq*Delay!CI32)</f>
        <v>4.05</v>
      </c>
      <c r="CJ32" s="19" t="n">
        <f aca="false">IF(Delay!CJ32="","",Fee*$A32+Vq*Delay!CJ32)</f>
        <v>4.05</v>
      </c>
      <c r="CK32" s="19" t="n">
        <f aca="false">IF(Delay!CK32="","",Fee*$A32+Vq*Delay!CK32)</f>
        <v>4.05</v>
      </c>
      <c r="CL32" s="19" t="n">
        <f aca="false">IF(Delay!CL32="","",Fee*$A32+Vq*Delay!CL32)</f>
        <v>4.05</v>
      </c>
      <c r="CM32" s="19" t="n">
        <f aca="false">IF(Delay!CM32="","",Fee*$A32+Vq*Delay!CM32)</f>
        <v>4.05</v>
      </c>
      <c r="CN32" s="19" t="n">
        <f aca="false">IF(Delay!CN32="","",Fee*$A32+Vq*Delay!CN32)</f>
        <v>4.05</v>
      </c>
      <c r="CO32" s="19" t="n">
        <f aca="false">IF(Delay!CO32="","",Fee*$A32+Vq*Delay!CO32)</f>
        <v>4.05</v>
      </c>
      <c r="CP32" s="19" t="n">
        <f aca="false">IF(Delay!CP32="","",Fee*$A32+Vq*Delay!CP32)</f>
        <v>4.05</v>
      </c>
      <c r="CQ32" s="19" t="n">
        <f aca="false">IF(Delay!CQ32="","",Fee*$A32+Vq*Delay!CQ32)</f>
        <v>4.05</v>
      </c>
      <c r="CR32" s="19" t="n">
        <f aca="false">IF(Delay!CR32="","",Fee*$A32+Vq*Delay!CR32)</f>
        <v>4.05</v>
      </c>
      <c r="CS32" s="19" t="n">
        <f aca="false">IF(Delay!CS32="","",Fee*$A32+Vq*Delay!CS32)</f>
        <v>4.05</v>
      </c>
      <c r="CT32" s="19" t="n">
        <f aca="false">IF(Delay!CT32="","",Fee*$A32+Vq*Delay!CT32)</f>
        <v>15.5597751196828</v>
      </c>
    </row>
    <row r="33" customFormat="false" ht="15" hidden="false" customHeight="false" outlineLevel="0" collapsed="false">
      <c r="A33" s="25" t="n">
        <f aca="false">Quantiles!A33</f>
        <v>140</v>
      </c>
      <c r="B33" s="19" t="n">
        <f aca="false">IF(Delay!B33="","",Fee*$A33+Vq*Delay!B33)</f>
        <v>24.939462168886</v>
      </c>
      <c r="C33" s="19" t="n">
        <f aca="false">IF(Delay!C33="","",Fee*$A33+Vq*Delay!C33)</f>
        <v>23.0902180494035</v>
      </c>
      <c r="D33" s="19" t="n">
        <f aca="false">IF(Delay!D33="","",Fee*$A33+Vq*Delay!D33)</f>
        <v>21.4287753081431</v>
      </c>
      <c r="E33" s="19" t="n">
        <f aca="false">IF(Delay!E33="","",Fee*$A33+Vq*Delay!E33)</f>
        <v>19.9944958519128</v>
      </c>
      <c r="F33" s="19" t="n">
        <f aca="false">IF(Delay!F33="","",Fee*$A33+Vq*Delay!F33)</f>
        <v>18.9538306206918</v>
      </c>
      <c r="G33" s="19" t="n">
        <f aca="false">IF(Delay!G33="","",Fee*$A33+Vq*Delay!G33)</f>
        <v>17.8602152500415</v>
      </c>
      <c r="H33" s="19" t="n">
        <f aca="false">IF(Delay!H33="","",Fee*$A33+Vq*Delay!H33)</f>
        <v>16.8979756834304</v>
      </c>
      <c r="I33" s="19" t="n">
        <f aca="false">IF(Delay!I33="","",Fee*$A33+Vq*Delay!I33)</f>
        <v>16.0796232969242</v>
      </c>
      <c r="J33" s="19" t="n">
        <f aca="false">IF(Delay!J33="","",Fee*$A33+Vq*Delay!J33)</f>
        <v>15.284432701441</v>
      </c>
      <c r="K33" s="19" t="n">
        <f aca="false">IF(Delay!K33="","",Fee*$A33+Vq*Delay!K33)</f>
        <v>14.5990205787896</v>
      </c>
      <c r="L33" s="19" t="n">
        <f aca="false">IF(Delay!L33="","",Fee*$A33+Vq*Delay!L33)</f>
        <v>13.9997208873149</v>
      </c>
      <c r="M33" s="19" t="n">
        <f aca="false">IF(Delay!M33="","",Fee*$A33+Vq*Delay!M33)</f>
        <v>13.3899575707791</v>
      </c>
      <c r="N33" s="19" t="n">
        <f aca="false">IF(Delay!N33="","",Fee*$A33+Vq*Delay!N33)</f>
        <v>12.8343365569546</v>
      </c>
      <c r="O33" s="19" t="n">
        <f aca="false">IF(Delay!O33="","",Fee*$A33+Vq*Delay!O33)</f>
        <v>12.2612447041013</v>
      </c>
      <c r="P33" s="19" t="n">
        <f aca="false">IF(Delay!P33="","",Fee*$A33+Vq*Delay!P33)</f>
        <v>11.7460079981092</v>
      </c>
      <c r="Q33" s="19" t="n">
        <f aca="false">IF(Delay!Q33="","",Fee*$A33+Vq*Delay!Q33)</f>
        <v>11.3022935101504</v>
      </c>
      <c r="R33" s="19" t="n">
        <f aca="false">IF(Delay!R33="","",Fee*$A33+Vq*Delay!R33)</f>
        <v>10.8492496000463</v>
      </c>
      <c r="S33" s="19" t="n">
        <f aca="false">IF(Delay!S33="","",Fee*$A33+Vq*Delay!S33)</f>
        <v>10.3856103118802</v>
      </c>
      <c r="T33" s="19" t="n">
        <f aca="false">IF(Delay!T33="","",Fee*$A33+Vq*Delay!T33)</f>
        <v>9.93343040419172</v>
      </c>
      <c r="U33" s="19" t="n">
        <f aca="false">IF(Delay!U33="","",Fee*$A33+Vq*Delay!U33)</f>
        <v>9.51713697254814</v>
      </c>
      <c r="V33" s="19" t="n">
        <f aca="false">IF(Delay!V33="","",Fee*$A33+Vq*Delay!V33)</f>
        <v>9.11793089661786</v>
      </c>
      <c r="W33" s="19" t="n">
        <f aca="false">IF(Delay!W33="","",Fee*$A33+Vq*Delay!W33)</f>
        <v>8.7453667307706</v>
      </c>
      <c r="X33" s="19" t="n">
        <f aca="false">IF(Delay!X33="","",Fee*$A33+Vq*Delay!X33)</f>
        <v>8.34053611410388</v>
      </c>
      <c r="Y33" s="19" t="n">
        <f aca="false">IF(Delay!Y33="","",Fee*$A33+Vq*Delay!Y33)</f>
        <v>8.009432445612</v>
      </c>
      <c r="Z33" s="19" t="n">
        <f aca="false">IF(Delay!Z33="","",Fee*$A33+Vq*Delay!Z33)</f>
        <v>7.65759525115118</v>
      </c>
      <c r="AA33" s="19" t="n">
        <f aca="false">IF(Delay!AA33="","",Fee*$A33+Vq*Delay!AA33)</f>
        <v>7.32295026436868</v>
      </c>
      <c r="AB33" s="19" t="n">
        <f aca="false">IF(Delay!AB33="","",Fee*$A33+Vq*Delay!AB33)</f>
        <v>7.00131997504688</v>
      </c>
      <c r="AC33" s="19" t="n">
        <f aca="false">IF(Delay!AC33="","",Fee*$A33+Vq*Delay!AC33)</f>
        <v>6.66991831055566</v>
      </c>
      <c r="AD33" s="19" t="n">
        <f aca="false">IF(Delay!AD33="","",Fee*$A33+Vq*Delay!AD33)</f>
        <v>6.36845397705858</v>
      </c>
      <c r="AE33" s="19" t="n">
        <f aca="false">IF(Delay!AE33="","",Fee*$A33+Vq*Delay!AE33)</f>
        <v>6.07446991067898</v>
      </c>
      <c r="AF33" s="19" t="n">
        <f aca="false">IF(Delay!AF33="","",Fee*$A33+Vq*Delay!AF33)</f>
        <v>5.77738219390018</v>
      </c>
      <c r="AG33" s="19" t="n">
        <f aca="false">IF(Delay!AG33="","",Fee*$A33+Vq*Delay!AG33)</f>
        <v>5.50488840966572</v>
      </c>
      <c r="AH33" s="19" t="n">
        <f aca="false">IF(Delay!AH33="","",Fee*$A33+Vq*Delay!AH33)</f>
        <v>5.1989255784696</v>
      </c>
      <c r="AI33" s="19" t="n">
        <f aca="false">IF(Delay!AI33="","",Fee*$A33+Vq*Delay!AI33)</f>
        <v>4.92035940308656</v>
      </c>
      <c r="AJ33" s="19" t="n">
        <f aca="false">IF(Delay!AJ33="","",Fee*$A33+Vq*Delay!AJ33)</f>
        <v>4.6277017816274</v>
      </c>
      <c r="AK33" s="19" t="n">
        <f aca="false">IF(Delay!AK33="","",Fee*$A33+Vq*Delay!AK33)</f>
        <v>4.38390922624296</v>
      </c>
      <c r="AL33" s="19" t="n">
        <f aca="false">IF(Delay!AL33="","",Fee*$A33+Vq*Delay!AL33)</f>
        <v>4.2</v>
      </c>
      <c r="AM33" s="19" t="n">
        <f aca="false">IF(Delay!AM33="","",Fee*$A33+Vq*Delay!AM33)</f>
        <v>4.2</v>
      </c>
      <c r="AN33" s="19" t="n">
        <f aca="false">IF(Delay!AN33="","",Fee*$A33+Vq*Delay!AN33)</f>
        <v>4.2</v>
      </c>
      <c r="AO33" s="19" t="n">
        <f aca="false">IF(Delay!AO33="","",Fee*$A33+Vq*Delay!AO33)</f>
        <v>4.2</v>
      </c>
      <c r="AP33" s="19" t="n">
        <f aca="false">IF(Delay!AP33="","",Fee*$A33+Vq*Delay!AP33)</f>
        <v>4.2</v>
      </c>
      <c r="AQ33" s="19" t="n">
        <f aca="false">IF(Delay!AQ33="","",Fee*$A33+Vq*Delay!AQ33)</f>
        <v>4.2</v>
      </c>
      <c r="AR33" s="19" t="n">
        <f aca="false">IF(Delay!AR33="","",Fee*$A33+Vq*Delay!AR33)</f>
        <v>4.2</v>
      </c>
      <c r="AS33" s="19" t="n">
        <f aca="false">IF(Delay!AS33="","",Fee*$A33+Vq*Delay!AS33)</f>
        <v>4.2</v>
      </c>
      <c r="AT33" s="19" t="n">
        <f aca="false">IF(Delay!AT33="","",Fee*$A33+Vq*Delay!AT33)</f>
        <v>4.2</v>
      </c>
      <c r="AU33" s="19" t="n">
        <f aca="false">IF(Delay!AU33="","",Fee*$A33+Vq*Delay!AU33)</f>
        <v>4.2</v>
      </c>
      <c r="AV33" s="19" t="n">
        <f aca="false">IF(Delay!AV33="","",Fee*$A33+Vq*Delay!AV33)</f>
        <v>4.2</v>
      </c>
      <c r="AW33" s="19" t="n">
        <f aca="false">IF(Delay!AW33="","",Fee*$A33+Vq*Delay!AW33)</f>
        <v>4.2</v>
      </c>
      <c r="AX33" s="19" t="n">
        <f aca="false">IF(Delay!AX33="","",Fee*$A33+Vq*Delay!AX33)</f>
        <v>4.2</v>
      </c>
      <c r="AY33" s="19" t="n">
        <f aca="false">IF(Delay!AY33="","",Fee*$A33+Vq*Delay!AY33)</f>
        <v>4.2</v>
      </c>
      <c r="AZ33" s="19" t="n">
        <f aca="false">IF(Delay!AZ33="","",Fee*$A33+Vq*Delay!AZ33)</f>
        <v>4.2</v>
      </c>
      <c r="BA33" s="19" t="n">
        <f aca="false">IF(Delay!BA33="","",Fee*$A33+Vq*Delay!BA33)</f>
        <v>4.2</v>
      </c>
      <c r="BB33" s="19" t="n">
        <f aca="false">IF(Delay!BB33="","",Fee*$A33+Vq*Delay!BB33)</f>
        <v>4.2</v>
      </c>
      <c r="BC33" s="19" t="n">
        <f aca="false">IF(Delay!BC33="","",Fee*$A33+Vq*Delay!BC33)</f>
        <v>4.2</v>
      </c>
      <c r="BD33" s="19" t="n">
        <f aca="false">IF(Delay!BD33="","",Fee*$A33+Vq*Delay!BD33)</f>
        <v>4.2</v>
      </c>
      <c r="BE33" s="19" t="n">
        <f aca="false">IF(Delay!BE33="","",Fee*$A33+Vq*Delay!BE33)</f>
        <v>4.2</v>
      </c>
      <c r="BF33" s="19" t="n">
        <f aca="false">IF(Delay!BF33="","",Fee*$A33+Vq*Delay!BF33)</f>
        <v>4.2</v>
      </c>
      <c r="BG33" s="19" t="n">
        <f aca="false">IF(Delay!BG33="","",Fee*$A33+Vq*Delay!BG33)</f>
        <v>4.2</v>
      </c>
      <c r="BH33" s="19" t="n">
        <f aca="false">IF(Delay!BH33="","",Fee*$A33+Vq*Delay!BH33)</f>
        <v>4.2</v>
      </c>
      <c r="BI33" s="19" t="n">
        <f aca="false">IF(Delay!BI33="","",Fee*$A33+Vq*Delay!BI33)</f>
        <v>4.2</v>
      </c>
      <c r="BJ33" s="19" t="n">
        <f aca="false">IF(Delay!BJ33="","",Fee*$A33+Vq*Delay!BJ33)</f>
        <v>4.2</v>
      </c>
      <c r="BK33" s="19" t="n">
        <f aca="false">IF(Delay!BK33="","",Fee*$A33+Vq*Delay!BK33)</f>
        <v>4.2</v>
      </c>
      <c r="BL33" s="19" t="n">
        <f aca="false">IF(Delay!BL33="","",Fee*$A33+Vq*Delay!BL33)</f>
        <v>4.2</v>
      </c>
      <c r="BM33" s="19" t="n">
        <f aca="false">IF(Delay!BM33="","",Fee*$A33+Vq*Delay!BM33)</f>
        <v>4.2</v>
      </c>
      <c r="BN33" s="19" t="n">
        <f aca="false">IF(Delay!BN33="","",Fee*$A33+Vq*Delay!BN33)</f>
        <v>4.2</v>
      </c>
      <c r="BO33" s="19" t="n">
        <f aca="false">IF(Delay!BO33="","",Fee*$A33+Vq*Delay!BO33)</f>
        <v>4.2</v>
      </c>
      <c r="BP33" s="19" t="n">
        <f aca="false">IF(Delay!BP33="","",Fee*$A33+Vq*Delay!BP33)</f>
        <v>4.2</v>
      </c>
      <c r="BQ33" s="19" t="n">
        <f aca="false">IF(Delay!BQ33="","",Fee*$A33+Vq*Delay!BQ33)</f>
        <v>4.2</v>
      </c>
      <c r="BR33" s="19" t="n">
        <f aca="false">IF(Delay!BR33="","",Fee*$A33+Vq*Delay!BR33)</f>
        <v>4.2</v>
      </c>
      <c r="BS33" s="19" t="n">
        <f aca="false">IF(Delay!BS33="","",Fee*$A33+Vq*Delay!BS33)</f>
        <v>4.2</v>
      </c>
      <c r="BT33" s="19" t="n">
        <f aca="false">IF(Delay!BT33="","",Fee*$A33+Vq*Delay!BT33)</f>
        <v>4.2</v>
      </c>
      <c r="BU33" s="19" t="n">
        <f aca="false">IF(Delay!BU33="","",Fee*$A33+Vq*Delay!BU33)</f>
        <v>4.2</v>
      </c>
      <c r="BV33" s="19" t="n">
        <f aca="false">IF(Delay!BV33="","",Fee*$A33+Vq*Delay!BV33)</f>
        <v>4.2</v>
      </c>
      <c r="BW33" s="19" t="n">
        <f aca="false">IF(Delay!BW33="","",Fee*$A33+Vq*Delay!BW33)</f>
        <v>4.2</v>
      </c>
      <c r="BX33" s="19" t="n">
        <f aca="false">IF(Delay!BX33="","",Fee*$A33+Vq*Delay!BX33)</f>
        <v>4.2</v>
      </c>
      <c r="BY33" s="19" t="n">
        <f aca="false">IF(Delay!BY33="","",Fee*$A33+Vq*Delay!BY33)</f>
        <v>4.2</v>
      </c>
      <c r="BZ33" s="19" t="n">
        <f aca="false">IF(Delay!BZ33="","",Fee*$A33+Vq*Delay!BZ33)</f>
        <v>4.2</v>
      </c>
      <c r="CA33" s="19" t="n">
        <f aca="false">IF(Delay!CA33="","",Fee*$A33+Vq*Delay!CA33)</f>
        <v>4.2</v>
      </c>
      <c r="CB33" s="19" t="n">
        <f aca="false">IF(Delay!CB33="","",Fee*$A33+Vq*Delay!CB33)</f>
        <v>4.2</v>
      </c>
      <c r="CC33" s="19" t="n">
        <f aca="false">IF(Delay!CC33="","",Fee*$A33+Vq*Delay!CC33)</f>
        <v>4.2</v>
      </c>
      <c r="CD33" s="19" t="n">
        <f aca="false">IF(Delay!CD33="","",Fee*$A33+Vq*Delay!CD33)</f>
        <v>4.2</v>
      </c>
      <c r="CE33" s="19" t="n">
        <f aca="false">IF(Delay!CE33="","",Fee*$A33+Vq*Delay!CE33)</f>
        <v>4.2</v>
      </c>
      <c r="CF33" s="19" t="n">
        <f aca="false">IF(Delay!CF33="","",Fee*$A33+Vq*Delay!CF33)</f>
        <v>4.2</v>
      </c>
      <c r="CG33" s="19" t="n">
        <f aca="false">IF(Delay!CG33="","",Fee*$A33+Vq*Delay!CG33)</f>
        <v>4.2</v>
      </c>
      <c r="CH33" s="19" t="n">
        <f aca="false">IF(Delay!CH33="","",Fee*$A33+Vq*Delay!CH33)</f>
        <v>4.2</v>
      </c>
      <c r="CI33" s="19" t="n">
        <f aca="false">IF(Delay!CI33="","",Fee*$A33+Vq*Delay!CI33)</f>
        <v>4.2</v>
      </c>
      <c r="CJ33" s="19" t="n">
        <f aca="false">IF(Delay!CJ33="","",Fee*$A33+Vq*Delay!CJ33)</f>
        <v>4.2</v>
      </c>
      <c r="CK33" s="19" t="n">
        <f aca="false">IF(Delay!CK33="","",Fee*$A33+Vq*Delay!CK33)</f>
        <v>4.2</v>
      </c>
      <c r="CL33" s="19" t="n">
        <f aca="false">IF(Delay!CL33="","",Fee*$A33+Vq*Delay!CL33)</f>
        <v>4.2</v>
      </c>
      <c r="CM33" s="19" t="n">
        <f aca="false">IF(Delay!CM33="","",Fee*$A33+Vq*Delay!CM33)</f>
        <v>4.2</v>
      </c>
      <c r="CN33" s="19" t="n">
        <f aca="false">IF(Delay!CN33="","",Fee*$A33+Vq*Delay!CN33)</f>
        <v>4.2</v>
      </c>
      <c r="CO33" s="19" t="n">
        <f aca="false">IF(Delay!CO33="","",Fee*$A33+Vq*Delay!CO33)</f>
        <v>4.2</v>
      </c>
      <c r="CP33" s="19" t="n">
        <f aca="false">IF(Delay!CP33="","",Fee*$A33+Vq*Delay!CP33)</f>
        <v>4.2</v>
      </c>
      <c r="CQ33" s="19" t="n">
        <f aca="false">IF(Delay!CQ33="","",Fee*$A33+Vq*Delay!CQ33)</f>
        <v>4.2</v>
      </c>
      <c r="CR33" s="19" t="n">
        <f aca="false">IF(Delay!CR33="","",Fee*$A33+Vq*Delay!CR33)</f>
        <v>4.2</v>
      </c>
      <c r="CS33" s="19" t="n">
        <f aca="false">IF(Delay!CS33="","",Fee*$A33+Vq*Delay!CS33)</f>
        <v>4.2</v>
      </c>
      <c r="CT33" s="19" t="n">
        <f aca="false">IF(Delay!CT33="","",Fee*$A33+Vq*Delay!CT33)</f>
        <v>15.2822081184547</v>
      </c>
    </row>
    <row r="34" customFormat="false" ht="15" hidden="false" customHeight="false" outlineLevel="0" collapsed="false">
      <c r="A34" s="25" t="n">
        <f aca="false">Quantiles!A34</f>
        <v>145</v>
      </c>
      <c r="B34" s="19" t="n">
        <f aca="false">IF(Delay!B34="","",Fee*$A34+Vq*Delay!B34)</f>
        <v>24.5055438637048</v>
      </c>
      <c r="C34" s="19" t="n">
        <f aca="false">IF(Delay!C34="","",Fee*$A34+Vq*Delay!C34)</f>
        <v>22.6655759647622</v>
      </c>
      <c r="D34" s="19" t="n">
        <f aca="false">IF(Delay!D34="","",Fee*$A34+Vq*Delay!D34)</f>
        <v>21.1020148693583</v>
      </c>
      <c r="E34" s="19" t="n">
        <f aca="false">IF(Delay!E34="","",Fee*$A34+Vq*Delay!E34)</f>
        <v>19.7502587220738</v>
      </c>
      <c r="F34" s="19" t="n">
        <f aca="false">IF(Delay!F34="","",Fee*$A34+Vq*Delay!F34)</f>
        <v>18.6446119678551</v>
      </c>
      <c r="G34" s="19" t="n">
        <f aca="false">IF(Delay!G34="","",Fee*$A34+Vq*Delay!G34)</f>
        <v>17.5957062981674</v>
      </c>
      <c r="H34" s="19" t="n">
        <f aca="false">IF(Delay!H34="","",Fee*$A34+Vq*Delay!H34)</f>
        <v>16.6919545388376</v>
      </c>
      <c r="I34" s="19" t="n">
        <f aca="false">IF(Delay!I34="","",Fee*$A34+Vq*Delay!I34)</f>
        <v>15.8435803071837</v>
      </c>
      <c r="J34" s="19" t="n">
        <f aca="false">IF(Delay!J34="","",Fee*$A34+Vq*Delay!J34)</f>
        <v>15.0916362795813</v>
      </c>
      <c r="K34" s="19" t="n">
        <f aca="false">IF(Delay!K34="","",Fee*$A34+Vq*Delay!K34)</f>
        <v>14.3990991211303</v>
      </c>
      <c r="L34" s="19" t="n">
        <f aca="false">IF(Delay!L34="","",Fee*$A34+Vq*Delay!L34)</f>
        <v>13.8323632698529</v>
      </c>
      <c r="M34" s="19" t="n">
        <f aca="false">IF(Delay!M34="","",Fee*$A34+Vq*Delay!M34)</f>
        <v>13.2388675039716</v>
      </c>
      <c r="N34" s="19" t="n">
        <f aca="false">IF(Delay!N34="","",Fee*$A34+Vq*Delay!N34)</f>
        <v>12.6777415506329</v>
      </c>
      <c r="O34" s="19" t="n">
        <f aca="false">IF(Delay!O34="","",Fee*$A34+Vq*Delay!O34)</f>
        <v>12.1173553351337</v>
      </c>
      <c r="P34" s="19" t="n">
        <f aca="false">IF(Delay!P34="","",Fee*$A34+Vq*Delay!P34)</f>
        <v>11.6136996818275</v>
      </c>
      <c r="Q34" s="19" t="n">
        <f aca="false">IF(Delay!Q34="","",Fee*$A34+Vq*Delay!Q34)</f>
        <v>11.1489019021083</v>
      </c>
      <c r="R34" s="19" t="n">
        <f aca="false">IF(Delay!R34="","",Fee*$A34+Vq*Delay!R34)</f>
        <v>10.701589245114</v>
      </c>
      <c r="S34" s="19" t="n">
        <f aca="false">IF(Delay!S34="","",Fee*$A34+Vq*Delay!S34)</f>
        <v>10.2225666327166</v>
      </c>
      <c r="T34" s="19" t="n">
        <f aca="false">IF(Delay!T34="","",Fee*$A34+Vq*Delay!T34)</f>
        <v>9.81344135639864</v>
      </c>
      <c r="U34" s="19" t="n">
        <f aca="false">IF(Delay!U34="","",Fee*$A34+Vq*Delay!U34)</f>
        <v>9.39906847135902</v>
      </c>
      <c r="V34" s="19" t="n">
        <f aca="false">IF(Delay!V34="","",Fee*$A34+Vq*Delay!V34)</f>
        <v>9.00464887050902</v>
      </c>
      <c r="W34" s="19" t="n">
        <f aca="false">IF(Delay!W34="","",Fee*$A34+Vq*Delay!W34)</f>
        <v>8.64213596497918</v>
      </c>
      <c r="X34" s="19" t="n">
        <f aca="false">IF(Delay!X34="","",Fee*$A34+Vq*Delay!X34)</f>
        <v>8.26695904805582</v>
      </c>
      <c r="Y34" s="19" t="n">
        <f aca="false">IF(Delay!Y34="","",Fee*$A34+Vq*Delay!Y34)</f>
        <v>7.9474096688634</v>
      </c>
      <c r="Z34" s="19" t="n">
        <f aca="false">IF(Delay!Z34="","",Fee*$A34+Vq*Delay!Z34)</f>
        <v>7.61273637889234</v>
      </c>
      <c r="AA34" s="19" t="n">
        <f aca="false">IF(Delay!AA34="","",Fee*$A34+Vq*Delay!AA34)</f>
        <v>7.28412976137508</v>
      </c>
      <c r="AB34" s="19" t="n">
        <f aca="false">IF(Delay!AB34="","",Fee*$A34+Vq*Delay!AB34)</f>
        <v>6.9490606040641</v>
      </c>
      <c r="AC34" s="19" t="n">
        <f aca="false">IF(Delay!AC34="","",Fee*$A34+Vq*Delay!AC34)</f>
        <v>6.60945958483522</v>
      </c>
      <c r="AD34" s="19" t="n">
        <f aca="false">IF(Delay!AD34="","",Fee*$A34+Vq*Delay!AD34)</f>
        <v>6.31865978385526</v>
      </c>
      <c r="AE34" s="19" t="n">
        <f aca="false">IF(Delay!AE34="","",Fee*$A34+Vq*Delay!AE34)</f>
        <v>6.01080728987186</v>
      </c>
      <c r="AF34" s="19" t="n">
        <f aca="false">IF(Delay!AF34="","",Fee*$A34+Vq*Delay!AF34)</f>
        <v>5.73285858501098</v>
      </c>
      <c r="AG34" s="19" t="n">
        <f aca="false">IF(Delay!AG34="","",Fee*$A34+Vq*Delay!AG34)</f>
        <v>5.4343708697471</v>
      </c>
      <c r="AH34" s="19" t="n">
        <f aca="false">IF(Delay!AH34="","",Fee*$A34+Vq*Delay!AH34)</f>
        <v>5.142902758974</v>
      </c>
      <c r="AI34" s="19" t="n">
        <f aca="false">IF(Delay!AI34="","",Fee*$A34+Vq*Delay!AI34)</f>
        <v>4.87722985995892</v>
      </c>
      <c r="AJ34" s="19" t="n">
        <f aca="false">IF(Delay!AJ34="","",Fee*$A34+Vq*Delay!AJ34)</f>
        <v>4.59172271123424</v>
      </c>
      <c r="AK34" s="19" t="n">
        <f aca="false">IF(Delay!AK34="","",Fee*$A34+Vq*Delay!AK34)</f>
        <v>4.35</v>
      </c>
      <c r="AL34" s="19" t="n">
        <f aca="false">IF(Delay!AL34="","",Fee*$A34+Vq*Delay!AL34)</f>
        <v>4.35</v>
      </c>
      <c r="AM34" s="19" t="n">
        <f aca="false">IF(Delay!AM34="","",Fee*$A34+Vq*Delay!AM34)</f>
        <v>4.35</v>
      </c>
      <c r="AN34" s="19" t="n">
        <f aca="false">IF(Delay!AN34="","",Fee*$A34+Vq*Delay!AN34)</f>
        <v>4.35</v>
      </c>
      <c r="AO34" s="19" t="n">
        <f aca="false">IF(Delay!AO34="","",Fee*$A34+Vq*Delay!AO34)</f>
        <v>4.35</v>
      </c>
      <c r="AP34" s="19" t="n">
        <f aca="false">IF(Delay!AP34="","",Fee*$A34+Vq*Delay!AP34)</f>
        <v>4.35</v>
      </c>
      <c r="AQ34" s="19" t="n">
        <f aca="false">IF(Delay!AQ34="","",Fee*$A34+Vq*Delay!AQ34)</f>
        <v>4.35</v>
      </c>
      <c r="AR34" s="19" t="n">
        <f aca="false">IF(Delay!AR34="","",Fee*$A34+Vq*Delay!AR34)</f>
        <v>4.35</v>
      </c>
      <c r="AS34" s="19" t="n">
        <f aca="false">IF(Delay!AS34="","",Fee*$A34+Vq*Delay!AS34)</f>
        <v>4.35</v>
      </c>
      <c r="AT34" s="19" t="n">
        <f aca="false">IF(Delay!AT34="","",Fee*$A34+Vq*Delay!AT34)</f>
        <v>4.35</v>
      </c>
      <c r="AU34" s="19" t="n">
        <f aca="false">IF(Delay!AU34="","",Fee*$A34+Vq*Delay!AU34)</f>
        <v>4.35</v>
      </c>
      <c r="AV34" s="19" t="n">
        <f aca="false">IF(Delay!AV34="","",Fee*$A34+Vq*Delay!AV34)</f>
        <v>4.35</v>
      </c>
      <c r="AW34" s="19" t="n">
        <f aca="false">IF(Delay!AW34="","",Fee*$A34+Vq*Delay!AW34)</f>
        <v>4.35</v>
      </c>
      <c r="AX34" s="19" t="n">
        <f aca="false">IF(Delay!AX34="","",Fee*$A34+Vq*Delay!AX34)</f>
        <v>4.35</v>
      </c>
      <c r="AY34" s="19" t="n">
        <f aca="false">IF(Delay!AY34="","",Fee*$A34+Vq*Delay!AY34)</f>
        <v>4.35</v>
      </c>
      <c r="AZ34" s="19" t="n">
        <f aca="false">IF(Delay!AZ34="","",Fee*$A34+Vq*Delay!AZ34)</f>
        <v>4.35</v>
      </c>
      <c r="BA34" s="19" t="n">
        <f aca="false">IF(Delay!BA34="","",Fee*$A34+Vq*Delay!BA34)</f>
        <v>4.35</v>
      </c>
      <c r="BB34" s="19" t="n">
        <f aca="false">IF(Delay!BB34="","",Fee*$A34+Vq*Delay!BB34)</f>
        <v>4.35</v>
      </c>
      <c r="BC34" s="19" t="n">
        <f aca="false">IF(Delay!BC34="","",Fee*$A34+Vq*Delay!BC34)</f>
        <v>4.35</v>
      </c>
      <c r="BD34" s="19" t="n">
        <f aca="false">IF(Delay!BD34="","",Fee*$A34+Vq*Delay!BD34)</f>
        <v>4.35</v>
      </c>
      <c r="BE34" s="19" t="n">
        <f aca="false">IF(Delay!BE34="","",Fee*$A34+Vq*Delay!BE34)</f>
        <v>4.35</v>
      </c>
      <c r="BF34" s="19" t="n">
        <f aca="false">IF(Delay!BF34="","",Fee*$A34+Vq*Delay!BF34)</f>
        <v>4.35</v>
      </c>
      <c r="BG34" s="19" t="n">
        <f aca="false">IF(Delay!BG34="","",Fee*$A34+Vq*Delay!BG34)</f>
        <v>4.35</v>
      </c>
      <c r="BH34" s="19" t="n">
        <f aca="false">IF(Delay!BH34="","",Fee*$A34+Vq*Delay!BH34)</f>
        <v>4.35</v>
      </c>
      <c r="BI34" s="19" t="n">
        <f aca="false">IF(Delay!BI34="","",Fee*$A34+Vq*Delay!BI34)</f>
        <v>4.35</v>
      </c>
      <c r="BJ34" s="19" t="n">
        <f aca="false">IF(Delay!BJ34="","",Fee*$A34+Vq*Delay!BJ34)</f>
        <v>4.35</v>
      </c>
      <c r="BK34" s="19" t="n">
        <f aca="false">IF(Delay!BK34="","",Fee*$A34+Vq*Delay!BK34)</f>
        <v>4.35</v>
      </c>
      <c r="BL34" s="19" t="n">
        <f aca="false">IF(Delay!BL34="","",Fee*$A34+Vq*Delay!BL34)</f>
        <v>4.35</v>
      </c>
      <c r="BM34" s="19" t="n">
        <f aca="false">IF(Delay!BM34="","",Fee*$A34+Vq*Delay!BM34)</f>
        <v>4.35</v>
      </c>
      <c r="BN34" s="19" t="n">
        <f aca="false">IF(Delay!BN34="","",Fee*$A34+Vq*Delay!BN34)</f>
        <v>4.35</v>
      </c>
      <c r="BO34" s="19" t="n">
        <f aca="false">IF(Delay!BO34="","",Fee*$A34+Vq*Delay!BO34)</f>
        <v>4.35</v>
      </c>
      <c r="BP34" s="19" t="n">
        <f aca="false">IF(Delay!BP34="","",Fee*$A34+Vq*Delay!BP34)</f>
        <v>4.35</v>
      </c>
      <c r="BQ34" s="19" t="n">
        <f aca="false">IF(Delay!BQ34="","",Fee*$A34+Vq*Delay!BQ34)</f>
        <v>4.35</v>
      </c>
      <c r="BR34" s="19" t="n">
        <f aca="false">IF(Delay!BR34="","",Fee*$A34+Vq*Delay!BR34)</f>
        <v>4.35</v>
      </c>
      <c r="BS34" s="19" t="n">
        <f aca="false">IF(Delay!BS34="","",Fee*$A34+Vq*Delay!BS34)</f>
        <v>4.35</v>
      </c>
      <c r="BT34" s="19" t="n">
        <f aca="false">IF(Delay!BT34="","",Fee*$A34+Vq*Delay!BT34)</f>
        <v>4.35</v>
      </c>
      <c r="BU34" s="19" t="n">
        <f aca="false">IF(Delay!BU34="","",Fee*$A34+Vq*Delay!BU34)</f>
        <v>4.35</v>
      </c>
      <c r="BV34" s="19" t="n">
        <f aca="false">IF(Delay!BV34="","",Fee*$A34+Vq*Delay!BV34)</f>
        <v>4.35</v>
      </c>
      <c r="BW34" s="19" t="n">
        <f aca="false">IF(Delay!BW34="","",Fee*$A34+Vq*Delay!BW34)</f>
        <v>4.35</v>
      </c>
      <c r="BX34" s="19" t="n">
        <f aca="false">IF(Delay!BX34="","",Fee*$A34+Vq*Delay!BX34)</f>
        <v>4.35</v>
      </c>
      <c r="BY34" s="19" t="n">
        <f aca="false">IF(Delay!BY34="","",Fee*$A34+Vq*Delay!BY34)</f>
        <v>4.35</v>
      </c>
      <c r="BZ34" s="19" t="n">
        <f aca="false">IF(Delay!BZ34="","",Fee*$A34+Vq*Delay!BZ34)</f>
        <v>4.35</v>
      </c>
      <c r="CA34" s="19" t="n">
        <f aca="false">IF(Delay!CA34="","",Fee*$A34+Vq*Delay!CA34)</f>
        <v>4.35</v>
      </c>
      <c r="CB34" s="19" t="n">
        <f aca="false">IF(Delay!CB34="","",Fee*$A34+Vq*Delay!CB34)</f>
        <v>4.35</v>
      </c>
      <c r="CC34" s="19" t="n">
        <f aca="false">IF(Delay!CC34="","",Fee*$A34+Vq*Delay!CC34)</f>
        <v>4.35</v>
      </c>
      <c r="CD34" s="19" t="n">
        <f aca="false">IF(Delay!CD34="","",Fee*$A34+Vq*Delay!CD34)</f>
        <v>4.35</v>
      </c>
      <c r="CE34" s="19" t="n">
        <f aca="false">IF(Delay!CE34="","",Fee*$A34+Vq*Delay!CE34)</f>
        <v>4.35</v>
      </c>
      <c r="CF34" s="19" t="n">
        <f aca="false">IF(Delay!CF34="","",Fee*$A34+Vq*Delay!CF34)</f>
        <v>4.35</v>
      </c>
      <c r="CG34" s="19" t="n">
        <f aca="false">IF(Delay!CG34="","",Fee*$A34+Vq*Delay!CG34)</f>
        <v>4.35</v>
      </c>
      <c r="CH34" s="19" t="n">
        <f aca="false">IF(Delay!CH34="","",Fee*$A34+Vq*Delay!CH34)</f>
        <v>4.35</v>
      </c>
      <c r="CI34" s="19" t="n">
        <f aca="false">IF(Delay!CI34="","",Fee*$A34+Vq*Delay!CI34)</f>
        <v>4.35</v>
      </c>
      <c r="CJ34" s="19" t="n">
        <f aca="false">IF(Delay!CJ34="","",Fee*$A34+Vq*Delay!CJ34)</f>
        <v>4.35</v>
      </c>
      <c r="CK34" s="19" t="n">
        <f aca="false">IF(Delay!CK34="","",Fee*$A34+Vq*Delay!CK34)</f>
        <v>4.35</v>
      </c>
      <c r="CL34" s="19" t="n">
        <f aca="false">IF(Delay!CL34="","",Fee*$A34+Vq*Delay!CL34)</f>
        <v>4.35</v>
      </c>
      <c r="CM34" s="19" t="n">
        <f aca="false">IF(Delay!CM34="","",Fee*$A34+Vq*Delay!CM34)</f>
        <v>4.35</v>
      </c>
      <c r="CN34" s="19" t="n">
        <f aca="false">IF(Delay!CN34="","",Fee*$A34+Vq*Delay!CN34)</f>
        <v>4.35</v>
      </c>
      <c r="CO34" s="19" t="n">
        <f aca="false">IF(Delay!CO34="","",Fee*$A34+Vq*Delay!CO34)</f>
        <v>4.35</v>
      </c>
      <c r="CP34" s="19" t="n">
        <f aca="false">IF(Delay!CP34="","",Fee*$A34+Vq*Delay!CP34)</f>
        <v>4.35</v>
      </c>
      <c r="CQ34" s="19" t="n">
        <f aca="false">IF(Delay!CQ34="","",Fee*$A34+Vq*Delay!CQ34)</f>
        <v>4.35</v>
      </c>
      <c r="CR34" s="19" t="n">
        <f aca="false">IF(Delay!CR34="","",Fee*$A34+Vq*Delay!CR34)</f>
        <v>4.35</v>
      </c>
      <c r="CS34" s="19" t="n">
        <f aca="false">IF(Delay!CS34="","",Fee*$A34+Vq*Delay!CS34)</f>
        <v>4.35</v>
      </c>
      <c r="CT34" s="19" t="n">
        <f aca="false">IF(Delay!CT34="","",Fee*$A34+Vq*Delay!CT34)</f>
        <v>15.0843359088717</v>
      </c>
    </row>
    <row r="35" customFormat="false" ht="15" hidden="false" customHeight="false" outlineLevel="0" collapsed="false">
      <c r="A35" s="25" t="n">
        <f aca="false">Quantiles!A35</f>
        <v>150</v>
      </c>
      <c r="B35" s="19" t="n">
        <f aca="false">IF(Delay!B35="","",Fee*$A35+Vq*Delay!B35)</f>
        <v>24.2188227531079</v>
      </c>
      <c r="C35" s="19" t="n">
        <f aca="false">IF(Delay!C35="","",Fee*$A35+Vq*Delay!C35)</f>
        <v>22.3010963316673</v>
      </c>
      <c r="D35" s="19" t="n">
        <f aca="false">IF(Delay!D35="","",Fee*$A35+Vq*Delay!D35)</f>
        <v>20.8072310701638</v>
      </c>
      <c r="E35" s="19" t="n">
        <f aca="false">IF(Delay!E35="","",Fee*$A35+Vq*Delay!E35)</f>
        <v>19.5467395569941</v>
      </c>
      <c r="F35" s="19" t="n">
        <f aca="false">IF(Delay!F35="","",Fee*$A35+Vq*Delay!F35)</f>
        <v>18.4427583636375</v>
      </c>
      <c r="G35" s="19" t="n">
        <f aca="false">IF(Delay!G35="","",Fee*$A35+Vq*Delay!G35)</f>
        <v>17.4526496577175</v>
      </c>
      <c r="H35" s="19" t="n">
        <f aca="false">IF(Delay!H35="","",Fee*$A35+Vq*Delay!H35)</f>
        <v>16.5213649238176</v>
      </c>
      <c r="I35" s="19" t="n">
        <f aca="false">IF(Delay!I35="","",Fee*$A35+Vq*Delay!I35)</f>
        <v>15.6882687981569</v>
      </c>
      <c r="J35" s="19" t="n">
        <f aca="false">IF(Delay!J35="","",Fee*$A35+Vq*Delay!J35)</f>
        <v>14.9543212703666</v>
      </c>
      <c r="K35" s="19" t="n">
        <f aca="false">IF(Delay!K35="","",Fee*$A35+Vq*Delay!K35)</f>
        <v>14.3066734313309</v>
      </c>
      <c r="L35" s="19" t="n">
        <f aca="false">IF(Delay!L35="","",Fee*$A35+Vq*Delay!L35)</f>
        <v>13.6382979549097</v>
      </c>
      <c r="M35" s="19" t="n">
        <f aca="false">IF(Delay!M35="","",Fee*$A35+Vq*Delay!M35)</f>
        <v>13.0818461770578</v>
      </c>
      <c r="N35" s="19" t="n">
        <f aca="false">IF(Delay!N35="","",Fee*$A35+Vq*Delay!N35)</f>
        <v>12.5018541162858</v>
      </c>
      <c r="O35" s="19" t="n">
        <f aca="false">IF(Delay!O35="","",Fee*$A35+Vq*Delay!O35)</f>
        <v>11.9923927245016</v>
      </c>
      <c r="P35" s="19" t="n">
        <f aca="false">IF(Delay!P35="","",Fee*$A35+Vq*Delay!P35)</f>
        <v>11.5482126951294</v>
      </c>
      <c r="Q35" s="19" t="n">
        <f aca="false">IF(Delay!Q35="","",Fee*$A35+Vq*Delay!Q35)</f>
        <v>11.0450439580272</v>
      </c>
      <c r="R35" s="19" t="n">
        <f aca="false">IF(Delay!R35="","",Fee*$A35+Vq*Delay!R35)</f>
        <v>10.5768505902811</v>
      </c>
      <c r="S35" s="19" t="n">
        <f aca="false">IF(Delay!S35="","",Fee*$A35+Vq*Delay!S35)</f>
        <v>10.155245334152</v>
      </c>
      <c r="T35" s="19" t="n">
        <f aca="false">IF(Delay!T35="","",Fee*$A35+Vq*Delay!T35)</f>
        <v>9.71431766035238</v>
      </c>
      <c r="U35" s="19" t="n">
        <f aca="false">IF(Delay!U35="","",Fee*$A35+Vq*Delay!U35)</f>
        <v>9.2813371071269</v>
      </c>
      <c r="V35" s="19" t="n">
        <f aca="false">IF(Delay!V35="","",Fee*$A35+Vq*Delay!V35)</f>
        <v>8.92210698902714</v>
      </c>
      <c r="W35" s="19" t="n">
        <f aca="false">IF(Delay!W35="","",Fee*$A35+Vq*Delay!W35)</f>
        <v>8.53619147001578</v>
      </c>
      <c r="X35" s="19" t="n">
        <f aca="false">IF(Delay!X35="","",Fee*$A35+Vq*Delay!X35)</f>
        <v>8.20802693147366</v>
      </c>
      <c r="Y35" s="19" t="n">
        <f aca="false">IF(Delay!Y35="","",Fee*$A35+Vq*Delay!Y35)</f>
        <v>7.89038812989082</v>
      </c>
      <c r="Z35" s="19" t="n">
        <f aca="false">IF(Delay!Z35="","",Fee*$A35+Vq*Delay!Z35)</f>
        <v>7.5525176778341</v>
      </c>
      <c r="AA35" s="19" t="n">
        <f aca="false">IF(Delay!AA35="","",Fee*$A35+Vq*Delay!AA35)</f>
        <v>7.2179249370757</v>
      </c>
      <c r="AB35" s="19" t="n">
        <f aca="false">IF(Delay!AB35="","",Fee*$A35+Vq*Delay!AB35)</f>
        <v>6.88132773214586</v>
      </c>
      <c r="AC35" s="19" t="n">
        <f aca="false">IF(Delay!AC35="","",Fee*$A35+Vq*Delay!AC35)</f>
        <v>6.5772113850376</v>
      </c>
      <c r="AD35" s="19" t="n">
        <f aca="false">IF(Delay!AD35="","",Fee*$A35+Vq*Delay!AD35)</f>
        <v>6.28876683678594</v>
      </c>
      <c r="AE35" s="19" t="n">
        <f aca="false">IF(Delay!AE35="","",Fee*$A35+Vq*Delay!AE35)</f>
        <v>6.02216596999856</v>
      </c>
      <c r="AF35" s="19" t="n">
        <f aca="false">IF(Delay!AF35="","",Fee*$A35+Vq*Delay!AF35)</f>
        <v>5.72832266030516</v>
      </c>
      <c r="AG35" s="19" t="n">
        <f aca="false">IF(Delay!AG35="","",Fee*$A35+Vq*Delay!AG35)</f>
        <v>5.42172041634432</v>
      </c>
      <c r="AH35" s="19" t="n">
        <f aca="false">IF(Delay!AH35="","",Fee*$A35+Vq*Delay!AH35)</f>
        <v>5.15588261154426</v>
      </c>
      <c r="AI35" s="19" t="n">
        <f aca="false">IF(Delay!AI35="","",Fee*$A35+Vq*Delay!AI35)</f>
        <v>4.84776845130626</v>
      </c>
      <c r="AJ35" s="19" t="n">
        <f aca="false">IF(Delay!AJ35="","",Fee*$A35+Vq*Delay!AJ35)</f>
        <v>4.58685711299776</v>
      </c>
      <c r="AK35" s="19" t="n">
        <f aca="false">IF(Delay!AK35="","",Fee*$A35+Vq*Delay!AK35)</f>
        <v>4.5</v>
      </c>
      <c r="AL35" s="19" t="n">
        <f aca="false">IF(Delay!AL35="","",Fee*$A35+Vq*Delay!AL35)</f>
        <v>4.5</v>
      </c>
      <c r="AM35" s="19" t="n">
        <f aca="false">IF(Delay!AM35="","",Fee*$A35+Vq*Delay!AM35)</f>
        <v>4.5</v>
      </c>
      <c r="AN35" s="19" t="n">
        <f aca="false">IF(Delay!AN35="","",Fee*$A35+Vq*Delay!AN35)</f>
        <v>4.5</v>
      </c>
      <c r="AO35" s="19" t="n">
        <f aca="false">IF(Delay!AO35="","",Fee*$A35+Vq*Delay!AO35)</f>
        <v>4.5</v>
      </c>
      <c r="AP35" s="19" t="n">
        <f aca="false">IF(Delay!AP35="","",Fee*$A35+Vq*Delay!AP35)</f>
        <v>4.5</v>
      </c>
      <c r="AQ35" s="19" t="n">
        <f aca="false">IF(Delay!AQ35="","",Fee*$A35+Vq*Delay!AQ35)</f>
        <v>4.5</v>
      </c>
      <c r="AR35" s="19" t="n">
        <f aca="false">IF(Delay!AR35="","",Fee*$A35+Vq*Delay!AR35)</f>
        <v>4.5</v>
      </c>
      <c r="AS35" s="19" t="n">
        <f aca="false">IF(Delay!AS35="","",Fee*$A35+Vq*Delay!AS35)</f>
        <v>4.5</v>
      </c>
      <c r="AT35" s="19" t="n">
        <f aca="false">IF(Delay!AT35="","",Fee*$A35+Vq*Delay!AT35)</f>
        <v>4.5</v>
      </c>
      <c r="AU35" s="19" t="n">
        <f aca="false">IF(Delay!AU35="","",Fee*$A35+Vq*Delay!AU35)</f>
        <v>4.5</v>
      </c>
      <c r="AV35" s="19" t="n">
        <f aca="false">IF(Delay!AV35="","",Fee*$A35+Vq*Delay!AV35)</f>
        <v>4.5</v>
      </c>
      <c r="AW35" s="19" t="n">
        <f aca="false">IF(Delay!AW35="","",Fee*$A35+Vq*Delay!AW35)</f>
        <v>4.5</v>
      </c>
      <c r="AX35" s="19" t="n">
        <f aca="false">IF(Delay!AX35="","",Fee*$A35+Vq*Delay!AX35)</f>
        <v>4.5</v>
      </c>
      <c r="AY35" s="19" t="n">
        <f aca="false">IF(Delay!AY35="","",Fee*$A35+Vq*Delay!AY35)</f>
        <v>4.5</v>
      </c>
      <c r="AZ35" s="19" t="n">
        <f aca="false">IF(Delay!AZ35="","",Fee*$A35+Vq*Delay!AZ35)</f>
        <v>4.5</v>
      </c>
      <c r="BA35" s="19" t="n">
        <f aca="false">IF(Delay!BA35="","",Fee*$A35+Vq*Delay!BA35)</f>
        <v>4.5</v>
      </c>
      <c r="BB35" s="19" t="n">
        <f aca="false">IF(Delay!BB35="","",Fee*$A35+Vq*Delay!BB35)</f>
        <v>4.5</v>
      </c>
      <c r="BC35" s="19" t="n">
        <f aca="false">IF(Delay!BC35="","",Fee*$A35+Vq*Delay!BC35)</f>
        <v>4.5</v>
      </c>
      <c r="BD35" s="19" t="n">
        <f aca="false">IF(Delay!BD35="","",Fee*$A35+Vq*Delay!BD35)</f>
        <v>4.5</v>
      </c>
      <c r="BE35" s="19" t="n">
        <f aca="false">IF(Delay!BE35="","",Fee*$A35+Vq*Delay!BE35)</f>
        <v>4.5</v>
      </c>
      <c r="BF35" s="19" t="n">
        <f aca="false">IF(Delay!BF35="","",Fee*$A35+Vq*Delay!BF35)</f>
        <v>4.5</v>
      </c>
      <c r="BG35" s="19" t="n">
        <f aca="false">IF(Delay!BG35="","",Fee*$A35+Vq*Delay!BG35)</f>
        <v>4.5</v>
      </c>
      <c r="BH35" s="19" t="n">
        <f aca="false">IF(Delay!BH35="","",Fee*$A35+Vq*Delay!BH35)</f>
        <v>4.5</v>
      </c>
      <c r="BI35" s="19" t="n">
        <f aca="false">IF(Delay!BI35="","",Fee*$A35+Vq*Delay!BI35)</f>
        <v>4.5</v>
      </c>
      <c r="BJ35" s="19" t="n">
        <f aca="false">IF(Delay!BJ35="","",Fee*$A35+Vq*Delay!BJ35)</f>
        <v>4.5</v>
      </c>
      <c r="BK35" s="19" t="n">
        <f aca="false">IF(Delay!BK35="","",Fee*$A35+Vq*Delay!BK35)</f>
        <v>4.5</v>
      </c>
      <c r="BL35" s="19" t="n">
        <f aca="false">IF(Delay!BL35="","",Fee*$A35+Vq*Delay!BL35)</f>
        <v>4.5</v>
      </c>
      <c r="BM35" s="19" t="n">
        <f aca="false">IF(Delay!BM35="","",Fee*$A35+Vq*Delay!BM35)</f>
        <v>4.5</v>
      </c>
      <c r="BN35" s="19" t="n">
        <f aca="false">IF(Delay!BN35="","",Fee*$A35+Vq*Delay!BN35)</f>
        <v>4.5</v>
      </c>
      <c r="BO35" s="19" t="n">
        <f aca="false">IF(Delay!BO35="","",Fee*$A35+Vq*Delay!BO35)</f>
        <v>4.5</v>
      </c>
      <c r="BP35" s="19" t="n">
        <f aca="false">IF(Delay!BP35="","",Fee*$A35+Vq*Delay!BP35)</f>
        <v>4.5</v>
      </c>
      <c r="BQ35" s="19" t="n">
        <f aca="false">IF(Delay!BQ35="","",Fee*$A35+Vq*Delay!BQ35)</f>
        <v>4.5</v>
      </c>
      <c r="BR35" s="19" t="n">
        <f aca="false">IF(Delay!BR35="","",Fee*$A35+Vq*Delay!BR35)</f>
        <v>4.5</v>
      </c>
      <c r="BS35" s="19" t="n">
        <f aca="false">IF(Delay!BS35="","",Fee*$A35+Vq*Delay!BS35)</f>
        <v>4.5</v>
      </c>
      <c r="BT35" s="19" t="n">
        <f aca="false">IF(Delay!BT35="","",Fee*$A35+Vq*Delay!BT35)</f>
        <v>4.5</v>
      </c>
      <c r="BU35" s="19" t="n">
        <f aca="false">IF(Delay!BU35="","",Fee*$A35+Vq*Delay!BU35)</f>
        <v>4.5</v>
      </c>
      <c r="BV35" s="19" t="n">
        <f aca="false">IF(Delay!BV35="","",Fee*$A35+Vq*Delay!BV35)</f>
        <v>4.5</v>
      </c>
      <c r="BW35" s="19" t="n">
        <f aca="false">IF(Delay!BW35="","",Fee*$A35+Vq*Delay!BW35)</f>
        <v>4.5</v>
      </c>
      <c r="BX35" s="19" t="n">
        <f aca="false">IF(Delay!BX35="","",Fee*$A35+Vq*Delay!BX35)</f>
        <v>4.5</v>
      </c>
      <c r="BY35" s="19" t="n">
        <f aca="false">IF(Delay!BY35="","",Fee*$A35+Vq*Delay!BY35)</f>
        <v>4.5</v>
      </c>
      <c r="BZ35" s="19" t="n">
        <f aca="false">IF(Delay!BZ35="","",Fee*$A35+Vq*Delay!BZ35)</f>
        <v>4.5</v>
      </c>
      <c r="CA35" s="19" t="n">
        <f aca="false">IF(Delay!CA35="","",Fee*$A35+Vq*Delay!CA35)</f>
        <v>4.5</v>
      </c>
      <c r="CB35" s="19" t="n">
        <f aca="false">IF(Delay!CB35="","",Fee*$A35+Vq*Delay!CB35)</f>
        <v>4.5</v>
      </c>
      <c r="CC35" s="19" t="n">
        <f aca="false">IF(Delay!CC35="","",Fee*$A35+Vq*Delay!CC35)</f>
        <v>4.5</v>
      </c>
      <c r="CD35" s="19" t="n">
        <f aca="false">IF(Delay!CD35="","",Fee*$A35+Vq*Delay!CD35)</f>
        <v>4.5</v>
      </c>
      <c r="CE35" s="19" t="n">
        <f aca="false">IF(Delay!CE35="","",Fee*$A35+Vq*Delay!CE35)</f>
        <v>4.5</v>
      </c>
      <c r="CF35" s="19" t="n">
        <f aca="false">IF(Delay!CF35="","",Fee*$A35+Vq*Delay!CF35)</f>
        <v>4.5</v>
      </c>
      <c r="CG35" s="19" t="n">
        <f aca="false">IF(Delay!CG35="","",Fee*$A35+Vq*Delay!CG35)</f>
        <v>4.5</v>
      </c>
      <c r="CH35" s="19" t="n">
        <f aca="false">IF(Delay!CH35="","",Fee*$A35+Vq*Delay!CH35)</f>
        <v>4.5</v>
      </c>
      <c r="CI35" s="19" t="n">
        <f aca="false">IF(Delay!CI35="","",Fee*$A35+Vq*Delay!CI35)</f>
        <v>4.5</v>
      </c>
      <c r="CJ35" s="19" t="n">
        <f aca="false">IF(Delay!CJ35="","",Fee*$A35+Vq*Delay!CJ35)</f>
        <v>4.5</v>
      </c>
      <c r="CK35" s="19" t="n">
        <f aca="false">IF(Delay!CK35="","",Fee*$A35+Vq*Delay!CK35)</f>
        <v>4.5</v>
      </c>
      <c r="CL35" s="19" t="n">
        <f aca="false">IF(Delay!CL35="","",Fee*$A35+Vq*Delay!CL35)</f>
        <v>4.5</v>
      </c>
      <c r="CM35" s="19" t="n">
        <f aca="false">IF(Delay!CM35="","",Fee*$A35+Vq*Delay!CM35)</f>
        <v>4.5</v>
      </c>
      <c r="CN35" s="19" t="n">
        <f aca="false">IF(Delay!CN35="","",Fee*$A35+Vq*Delay!CN35)</f>
        <v>4.5</v>
      </c>
      <c r="CO35" s="19" t="n">
        <f aca="false">IF(Delay!CO35="","",Fee*$A35+Vq*Delay!CO35)</f>
        <v>4.5</v>
      </c>
      <c r="CP35" s="19" t="n">
        <f aca="false">IF(Delay!CP35="","",Fee*$A35+Vq*Delay!CP35)</f>
        <v>4.5</v>
      </c>
      <c r="CQ35" s="19" t="n">
        <f aca="false">IF(Delay!CQ35="","",Fee*$A35+Vq*Delay!CQ35)</f>
        <v>4.5</v>
      </c>
      <c r="CR35" s="19" t="n">
        <f aca="false">IF(Delay!CR35="","",Fee*$A35+Vq*Delay!CR35)</f>
        <v>4.5</v>
      </c>
      <c r="CS35" s="19" t="n">
        <f aca="false">IF(Delay!CS35="","",Fee*$A35+Vq*Delay!CS35)</f>
        <v>4.5</v>
      </c>
      <c r="CT35" s="19" t="n">
        <f aca="false">IF(Delay!CT35="","",Fee*$A35+Vq*Delay!CT35)</f>
        <v>14.9498284098615</v>
      </c>
    </row>
    <row r="36" customFormat="false" ht="15" hidden="false" customHeight="false" outlineLevel="0" collapsed="false">
      <c r="A36" s="25" t="n">
        <f aca="false">Quantiles!A36</f>
        <v>155</v>
      </c>
      <c r="B36" s="19" t="n">
        <f aca="false">IF(Delay!B36="","",Fee*$A36+Vq*Delay!B36)</f>
        <v>24.0053862691848</v>
      </c>
      <c r="C36" s="19" t="n">
        <f aca="false">IF(Delay!C36="","",Fee*$A36+Vq*Delay!C36)</f>
        <v>21.9748920155258</v>
      </c>
      <c r="D36" s="19" t="n">
        <f aca="false">IF(Delay!D36="","",Fee*$A36+Vq*Delay!D36)</f>
        <v>20.5301072693982</v>
      </c>
      <c r="E36" s="19" t="n">
        <f aca="false">IF(Delay!E36="","",Fee*$A36+Vq*Delay!E36)</f>
        <v>19.371367266858</v>
      </c>
      <c r="F36" s="19" t="n">
        <f aca="false">IF(Delay!F36="","",Fee*$A36+Vq*Delay!F36)</f>
        <v>18.2310646866374</v>
      </c>
      <c r="G36" s="19" t="n">
        <f aca="false">IF(Delay!G36="","",Fee*$A36+Vq*Delay!G36)</f>
        <v>17.2684949359507</v>
      </c>
      <c r="H36" s="19" t="n">
        <f aca="false">IF(Delay!H36="","",Fee*$A36+Vq*Delay!H36)</f>
        <v>16.3482517360481</v>
      </c>
      <c r="I36" s="19" t="n">
        <f aca="false">IF(Delay!I36="","",Fee*$A36+Vq*Delay!I36)</f>
        <v>15.559098909159</v>
      </c>
      <c r="J36" s="19" t="n">
        <f aca="false">IF(Delay!J36="","",Fee*$A36+Vq*Delay!J36)</f>
        <v>14.827141561742</v>
      </c>
      <c r="K36" s="19" t="n">
        <f aca="false">IF(Delay!K36="","",Fee*$A36+Vq*Delay!K36)</f>
        <v>14.2443544598063</v>
      </c>
      <c r="L36" s="19" t="n">
        <f aca="false">IF(Delay!L36="","",Fee*$A36+Vq*Delay!L36)</f>
        <v>13.5892090639439</v>
      </c>
      <c r="M36" s="19" t="n">
        <f aca="false">IF(Delay!M36="","",Fee*$A36+Vq*Delay!M36)</f>
        <v>13.0191370940844</v>
      </c>
      <c r="N36" s="19" t="n">
        <f aca="false">IF(Delay!N36="","",Fee*$A36+Vq*Delay!N36)</f>
        <v>12.4170080404947</v>
      </c>
      <c r="O36" s="19" t="n">
        <f aca="false">IF(Delay!O36="","",Fee*$A36+Vq*Delay!O36)</f>
        <v>11.9036635842574</v>
      </c>
      <c r="P36" s="19" t="n">
        <f aca="false">IF(Delay!P36="","",Fee*$A36+Vq*Delay!P36)</f>
        <v>11.4215648570863</v>
      </c>
      <c r="Q36" s="19" t="n">
        <f aca="false">IF(Delay!Q36="","",Fee*$A36+Vq*Delay!Q36)</f>
        <v>10.9773815256671</v>
      </c>
      <c r="R36" s="19" t="n">
        <f aca="false">IF(Delay!R36="","",Fee*$A36+Vq*Delay!R36)</f>
        <v>10.4934320773567</v>
      </c>
      <c r="S36" s="19" t="n">
        <f aca="false">IF(Delay!S36="","",Fee*$A36+Vq*Delay!S36)</f>
        <v>10.0640202322312</v>
      </c>
      <c r="T36" s="19" t="n">
        <f aca="false">IF(Delay!T36="","",Fee*$A36+Vq*Delay!T36)</f>
        <v>9.6419506930148</v>
      </c>
      <c r="U36" s="19" t="n">
        <f aca="false">IF(Delay!U36="","",Fee*$A36+Vq*Delay!U36)</f>
        <v>9.2412887263123</v>
      </c>
      <c r="V36" s="19" t="n">
        <f aca="false">IF(Delay!V36="","",Fee*$A36+Vq*Delay!V36)</f>
        <v>8.85073792148202</v>
      </c>
      <c r="W36" s="19" t="n">
        <f aca="false">IF(Delay!W36="","",Fee*$A36+Vq*Delay!W36)</f>
        <v>8.50038526879558</v>
      </c>
      <c r="X36" s="19" t="n">
        <f aca="false">IF(Delay!X36="","",Fee*$A36+Vq*Delay!X36)</f>
        <v>8.17541611520708</v>
      </c>
      <c r="Y36" s="19" t="n">
        <f aca="false">IF(Delay!Y36="","",Fee*$A36+Vq*Delay!Y36)</f>
        <v>7.81858298901718</v>
      </c>
      <c r="Z36" s="19" t="n">
        <f aca="false">IF(Delay!Z36="","",Fee*$A36+Vq*Delay!Z36)</f>
        <v>7.48566571676612</v>
      </c>
      <c r="AA36" s="19" t="n">
        <f aca="false">IF(Delay!AA36="","",Fee*$A36+Vq*Delay!AA36)</f>
        <v>7.17442247586078</v>
      </c>
      <c r="AB36" s="19" t="n">
        <f aca="false">IF(Delay!AB36="","",Fee*$A36+Vq*Delay!AB36)</f>
        <v>6.85281327953444</v>
      </c>
      <c r="AC36" s="19" t="n">
        <f aca="false">IF(Delay!AC36="","",Fee*$A36+Vq*Delay!AC36)</f>
        <v>6.55793369500112</v>
      </c>
      <c r="AD36" s="19" t="n">
        <f aca="false">IF(Delay!AD36="","",Fee*$A36+Vq*Delay!AD36)</f>
        <v>6.2673109987342</v>
      </c>
      <c r="AE36" s="19" t="n">
        <f aca="false">IF(Delay!AE36="","",Fee*$A36+Vq*Delay!AE36)</f>
        <v>5.98354336867508</v>
      </c>
      <c r="AF36" s="19" t="n">
        <f aca="false">IF(Delay!AF36="","",Fee*$A36+Vq*Delay!AF36)</f>
        <v>5.6661250714211</v>
      </c>
      <c r="AG36" s="19" t="n">
        <f aca="false">IF(Delay!AG36="","",Fee*$A36+Vq*Delay!AG36)</f>
        <v>5.39960541929932</v>
      </c>
      <c r="AH36" s="19" t="n">
        <f aca="false">IF(Delay!AH36="","",Fee*$A36+Vq*Delay!AH36)</f>
        <v>5.11205488797402</v>
      </c>
      <c r="AI36" s="19" t="n">
        <f aca="false">IF(Delay!AI36="","",Fee*$A36+Vq*Delay!AI36)</f>
        <v>4.85349005285868</v>
      </c>
      <c r="AJ36" s="19" t="n">
        <f aca="false">IF(Delay!AJ36="","",Fee*$A36+Vq*Delay!AJ36)</f>
        <v>4.65</v>
      </c>
      <c r="AK36" s="19" t="n">
        <f aca="false">IF(Delay!AK36="","",Fee*$A36+Vq*Delay!AK36)</f>
        <v>4.65</v>
      </c>
      <c r="AL36" s="19" t="n">
        <f aca="false">IF(Delay!AL36="","",Fee*$A36+Vq*Delay!AL36)</f>
        <v>4.65</v>
      </c>
      <c r="AM36" s="19" t="n">
        <f aca="false">IF(Delay!AM36="","",Fee*$A36+Vq*Delay!AM36)</f>
        <v>4.65</v>
      </c>
      <c r="AN36" s="19" t="n">
        <f aca="false">IF(Delay!AN36="","",Fee*$A36+Vq*Delay!AN36)</f>
        <v>4.65</v>
      </c>
      <c r="AO36" s="19" t="n">
        <f aca="false">IF(Delay!AO36="","",Fee*$A36+Vq*Delay!AO36)</f>
        <v>4.65</v>
      </c>
      <c r="AP36" s="19" t="n">
        <f aca="false">IF(Delay!AP36="","",Fee*$A36+Vq*Delay!AP36)</f>
        <v>4.65</v>
      </c>
      <c r="AQ36" s="19" t="n">
        <f aca="false">IF(Delay!AQ36="","",Fee*$A36+Vq*Delay!AQ36)</f>
        <v>4.65</v>
      </c>
      <c r="AR36" s="19" t="n">
        <f aca="false">IF(Delay!AR36="","",Fee*$A36+Vq*Delay!AR36)</f>
        <v>4.65</v>
      </c>
      <c r="AS36" s="19" t="n">
        <f aca="false">IF(Delay!AS36="","",Fee*$A36+Vq*Delay!AS36)</f>
        <v>4.65</v>
      </c>
      <c r="AT36" s="19" t="n">
        <f aca="false">IF(Delay!AT36="","",Fee*$A36+Vq*Delay!AT36)</f>
        <v>4.65</v>
      </c>
      <c r="AU36" s="19" t="n">
        <f aca="false">IF(Delay!AU36="","",Fee*$A36+Vq*Delay!AU36)</f>
        <v>4.65</v>
      </c>
      <c r="AV36" s="19" t="n">
        <f aca="false">IF(Delay!AV36="","",Fee*$A36+Vq*Delay!AV36)</f>
        <v>4.65</v>
      </c>
      <c r="AW36" s="19" t="n">
        <f aca="false">IF(Delay!AW36="","",Fee*$A36+Vq*Delay!AW36)</f>
        <v>4.65</v>
      </c>
      <c r="AX36" s="19" t="n">
        <f aca="false">IF(Delay!AX36="","",Fee*$A36+Vq*Delay!AX36)</f>
        <v>4.65</v>
      </c>
      <c r="AY36" s="19" t="n">
        <f aca="false">IF(Delay!AY36="","",Fee*$A36+Vq*Delay!AY36)</f>
        <v>4.65</v>
      </c>
      <c r="AZ36" s="19" t="n">
        <f aca="false">IF(Delay!AZ36="","",Fee*$A36+Vq*Delay!AZ36)</f>
        <v>4.65</v>
      </c>
      <c r="BA36" s="19" t="n">
        <f aca="false">IF(Delay!BA36="","",Fee*$A36+Vq*Delay!BA36)</f>
        <v>4.65</v>
      </c>
      <c r="BB36" s="19" t="n">
        <f aca="false">IF(Delay!BB36="","",Fee*$A36+Vq*Delay!BB36)</f>
        <v>4.65</v>
      </c>
      <c r="BC36" s="19" t="n">
        <f aca="false">IF(Delay!BC36="","",Fee*$A36+Vq*Delay!BC36)</f>
        <v>4.65</v>
      </c>
      <c r="BD36" s="19" t="n">
        <f aca="false">IF(Delay!BD36="","",Fee*$A36+Vq*Delay!BD36)</f>
        <v>4.65</v>
      </c>
      <c r="BE36" s="19" t="n">
        <f aca="false">IF(Delay!BE36="","",Fee*$A36+Vq*Delay!BE36)</f>
        <v>4.65</v>
      </c>
      <c r="BF36" s="19" t="n">
        <f aca="false">IF(Delay!BF36="","",Fee*$A36+Vq*Delay!BF36)</f>
        <v>4.65</v>
      </c>
      <c r="BG36" s="19" t="n">
        <f aca="false">IF(Delay!BG36="","",Fee*$A36+Vq*Delay!BG36)</f>
        <v>4.65</v>
      </c>
      <c r="BH36" s="19" t="n">
        <f aca="false">IF(Delay!BH36="","",Fee*$A36+Vq*Delay!BH36)</f>
        <v>4.65</v>
      </c>
      <c r="BI36" s="19" t="n">
        <f aca="false">IF(Delay!BI36="","",Fee*$A36+Vq*Delay!BI36)</f>
        <v>4.65</v>
      </c>
      <c r="BJ36" s="19" t="n">
        <f aca="false">IF(Delay!BJ36="","",Fee*$A36+Vq*Delay!BJ36)</f>
        <v>4.65</v>
      </c>
      <c r="BK36" s="19" t="n">
        <f aca="false">IF(Delay!BK36="","",Fee*$A36+Vq*Delay!BK36)</f>
        <v>4.65</v>
      </c>
      <c r="BL36" s="19" t="n">
        <f aca="false">IF(Delay!BL36="","",Fee*$A36+Vq*Delay!BL36)</f>
        <v>4.65</v>
      </c>
      <c r="BM36" s="19" t="n">
        <f aca="false">IF(Delay!BM36="","",Fee*$A36+Vq*Delay!BM36)</f>
        <v>4.65</v>
      </c>
      <c r="BN36" s="19" t="n">
        <f aca="false">IF(Delay!BN36="","",Fee*$A36+Vq*Delay!BN36)</f>
        <v>4.65</v>
      </c>
      <c r="BO36" s="19" t="n">
        <f aca="false">IF(Delay!BO36="","",Fee*$A36+Vq*Delay!BO36)</f>
        <v>4.65</v>
      </c>
      <c r="BP36" s="19" t="n">
        <f aca="false">IF(Delay!BP36="","",Fee*$A36+Vq*Delay!BP36)</f>
        <v>4.65</v>
      </c>
      <c r="BQ36" s="19" t="n">
        <f aca="false">IF(Delay!BQ36="","",Fee*$A36+Vq*Delay!BQ36)</f>
        <v>4.65</v>
      </c>
      <c r="BR36" s="19" t="n">
        <f aca="false">IF(Delay!BR36="","",Fee*$A36+Vq*Delay!BR36)</f>
        <v>4.65</v>
      </c>
      <c r="BS36" s="19" t="n">
        <f aca="false">IF(Delay!BS36="","",Fee*$A36+Vq*Delay!BS36)</f>
        <v>4.65</v>
      </c>
      <c r="BT36" s="19" t="n">
        <f aca="false">IF(Delay!BT36="","",Fee*$A36+Vq*Delay!BT36)</f>
        <v>4.65</v>
      </c>
      <c r="BU36" s="19" t="n">
        <f aca="false">IF(Delay!BU36="","",Fee*$A36+Vq*Delay!BU36)</f>
        <v>4.65</v>
      </c>
      <c r="BV36" s="19" t="n">
        <f aca="false">IF(Delay!BV36="","",Fee*$A36+Vq*Delay!BV36)</f>
        <v>4.65</v>
      </c>
      <c r="BW36" s="19" t="n">
        <f aca="false">IF(Delay!BW36="","",Fee*$A36+Vq*Delay!BW36)</f>
        <v>4.65</v>
      </c>
      <c r="BX36" s="19" t="n">
        <f aca="false">IF(Delay!BX36="","",Fee*$A36+Vq*Delay!BX36)</f>
        <v>4.65</v>
      </c>
      <c r="BY36" s="19" t="n">
        <f aca="false">IF(Delay!BY36="","",Fee*$A36+Vq*Delay!BY36)</f>
        <v>4.65</v>
      </c>
      <c r="BZ36" s="19" t="n">
        <f aca="false">IF(Delay!BZ36="","",Fee*$A36+Vq*Delay!BZ36)</f>
        <v>4.65</v>
      </c>
      <c r="CA36" s="19" t="n">
        <f aca="false">IF(Delay!CA36="","",Fee*$A36+Vq*Delay!CA36)</f>
        <v>4.65</v>
      </c>
      <c r="CB36" s="19" t="n">
        <f aca="false">IF(Delay!CB36="","",Fee*$A36+Vq*Delay!CB36)</f>
        <v>4.65</v>
      </c>
      <c r="CC36" s="19" t="n">
        <f aca="false">IF(Delay!CC36="","",Fee*$A36+Vq*Delay!CC36)</f>
        <v>4.65</v>
      </c>
      <c r="CD36" s="19" t="n">
        <f aca="false">IF(Delay!CD36="","",Fee*$A36+Vq*Delay!CD36)</f>
        <v>4.65</v>
      </c>
      <c r="CE36" s="19" t="n">
        <f aca="false">IF(Delay!CE36="","",Fee*$A36+Vq*Delay!CE36)</f>
        <v>4.65</v>
      </c>
      <c r="CF36" s="19" t="n">
        <f aca="false">IF(Delay!CF36="","",Fee*$A36+Vq*Delay!CF36)</f>
        <v>4.65</v>
      </c>
      <c r="CG36" s="19" t="n">
        <f aca="false">IF(Delay!CG36="","",Fee*$A36+Vq*Delay!CG36)</f>
        <v>4.65</v>
      </c>
      <c r="CH36" s="19" t="n">
        <f aca="false">IF(Delay!CH36="","",Fee*$A36+Vq*Delay!CH36)</f>
        <v>4.65</v>
      </c>
      <c r="CI36" s="19" t="n">
        <f aca="false">IF(Delay!CI36="","",Fee*$A36+Vq*Delay!CI36)</f>
        <v>4.65</v>
      </c>
      <c r="CJ36" s="19" t="n">
        <f aca="false">IF(Delay!CJ36="","",Fee*$A36+Vq*Delay!CJ36)</f>
        <v>4.65</v>
      </c>
      <c r="CK36" s="19" t="n">
        <f aca="false">IF(Delay!CK36="","",Fee*$A36+Vq*Delay!CK36)</f>
        <v>4.65</v>
      </c>
      <c r="CL36" s="19" t="n">
        <f aca="false">IF(Delay!CL36="","",Fee*$A36+Vq*Delay!CL36)</f>
        <v>4.65</v>
      </c>
      <c r="CM36" s="19" t="n">
        <f aca="false">IF(Delay!CM36="","",Fee*$A36+Vq*Delay!CM36)</f>
        <v>4.65</v>
      </c>
      <c r="CN36" s="19" t="n">
        <f aca="false">IF(Delay!CN36="","",Fee*$A36+Vq*Delay!CN36)</f>
        <v>4.65</v>
      </c>
      <c r="CO36" s="19" t="n">
        <f aca="false">IF(Delay!CO36="","",Fee*$A36+Vq*Delay!CO36)</f>
        <v>4.65</v>
      </c>
      <c r="CP36" s="19" t="n">
        <f aca="false">IF(Delay!CP36="","",Fee*$A36+Vq*Delay!CP36)</f>
        <v>4.65</v>
      </c>
      <c r="CQ36" s="19" t="n">
        <f aca="false">IF(Delay!CQ36="","",Fee*$A36+Vq*Delay!CQ36)</f>
        <v>4.65</v>
      </c>
      <c r="CR36" s="19" t="n">
        <f aca="false">IF(Delay!CR36="","",Fee*$A36+Vq*Delay!CR36)</f>
        <v>4.65</v>
      </c>
      <c r="CS36" s="19" t="n">
        <f aca="false">IF(Delay!CS36="","",Fee*$A36+Vq*Delay!CS36)</f>
        <v>4.65</v>
      </c>
      <c r="CT36" s="19" t="n">
        <f aca="false">IF(Delay!CT36="","",Fee*$A36+Vq*Delay!CT36)</f>
        <v>14.8204500591545</v>
      </c>
    </row>
    <row r="37" customFormat="false" ht="15" hidden="false" customHeight="false" outlineLevel="0" collapsed="false">
      <c r="A37" s="25" t="n">
        <f aca="false">Quantiles!A37</f>
        <v>160</v>
      </c>
      <c r="B37" s="19" t="n">
        <f aca="false">IF(Delay!B37="","",Fee*$A37+Vq*Delay!B37)</f>
        <v>23.6902180494035</v>
      </c>
      <c r="C37" s="19" t="n">
        <f aca="false">IF(Delay!C37="","",Fee*$A37+Vq*Delay!C37)</f>
        <v>21.8314030731019</v>
      </c>
      <c r="D37" s="19" t="n">
        <f aca="false">IF(Delay!D37="","",Fee*$A37+Vq*Delay!D37)</f>
        <v>20.29838332373</v>
      </c>
      <c r="E37" s="19" t="n">
        <f aca="false">IF(Delay!E37="","",Fee*$A37+Vq*Delay!E37)</f>
        <v>19.2319325882329</v>
      </c>
      <c r="F37" s="19" t="n">
        <f aca="false">IF(Delay!F37="","",Fee*$A37+Vq*Delay!F37)</f>
        <v>18.0601181863449</v>
      </c>
      <c r="G37" s="19" t="n">
        <f aca="false">IF(Delay!G37="","",Fee*$A37+Vq*Delay!G37)</f>
        <v>17.1318663025576</v>
      </c>
      <c r="H37" s="19" t="n">
        <f aca="false">IF(Delay!H37="","",Fee*$A37+Vq*Delay!H37)</f>
        <v>16.2719108808608</v>
      </c>
      <c r="I37" s="19" t="n">
        <f aca="false">IF(Delay!I37="","",Fee*$A37+Vq*Delay!I37)</f>
        <v>15.4780550231237</v>
      </c>
      <c r="J37" s="19" t="n">
        <f aca="false">IF(Delay!J37="","",Fee*$A37+Vq*Delay!J37)</f>
        <v>14.7904768901525</v>
      </c>
      <c r="K37" s="19" t="n">
        <f aca="false">IF(Delay!K37="","",Fee*$A37+Vq*Delay!K37)</f>
        <v>14.1394935929515</v>
      </c>
      <c r="L37" s="19" t="n">
        <f aca="false">IF(Delay!L37="","",Fee*$A37+Vq*Delay!L37)</f>
        <v>13.5385813169405</v>
      </c>
      <c r="M37" s="19" t="n">
        <f aca="false">IF(Delay!M37="","",Fee*$A37+Vq*Delay!M37)</f>
        <v>12.9514921011705</v>
      </c>
      <c r="N37" s="19" t="n">
        <f aca="false">IF(Delay!N37="","",Fee*$A37+Vq*Delay!N37)</f>
        <v>12.3724267497156</v>
      </c>
      <c r="O37" s="19" t="n">
        <f aca="false">IF(Delay!O37="","",Fee*$A37+Vq*Delay!O37)</f>
        <v>11.8817545505862</v>
      </c>
      <c r="P37" s="19" t="n">
        <f aca="false">IF(Delay!P37="","",Fee*$A37+Vq*Delay!P37)</f>
        <v>11.4043361201855</v>
      </c>
      <c r="Q37" s="19" t="n">
        <f aca="false">IF(Delay!Q37="","",Fee*$A37+Vq*Delay!Q37)</f>
        <v>10.8892866866418</v>
      </c>
      <c r="R37" s="19" t="n">
        <f aca="false">IF(Delay!R37="","",Fee*$A37+Vq*Delay!R37)</f>
        <v>10.4531083171094</v>
      </c>
      <c r="S37" s="19" t="n">
        <f aca="false">IF(Delay!S37="","",Fee*$A37+Vq*Delay!S37)</f>
        <v>10.0143176603524</v>
      </c>
      <c r="T37" s="19" t="n">
        <f aca="false">IF(Delay!T37="","",Fee*$A37+Vq*Delay!T37)</f>
        <v>9.59264166051252</v>
      </c>
      <c r="U37" s="19" t="n">
        <f aca="false">IF(Delay!U37="","",Fee*$A37+Vq*Delay!U37)</f>
        <v>9.21823586044342</v>
      </c>
      <c r="V37" s="19" t="n">
        <f aca="false">IF(Delay!V37="","",Fee*$A37+Vq*Delay!V37)</f>
        <v>8.81941165496048</v>
      </c>
      <c r="W37" s="19" t="n">
        <f aca="false">IF(Delay!W37="","",Fee*$A37+Vq*Delay!W37)</f>
        <v>8.48257376349606</v>
      </c>
      <c r="X37" s="19" t="n">
        <f aca="false">IF(Delay!X37="","",Fee*$A37+Vq*Delay!X37)</f>
        <v>8.15380863898226</v>
      </c>
      <c r="Y37" s="19" t="n">
        <f aca="false">IF(Delay!Y37="","",Fee*$A37+Vq*Delay!Y37)</f>
        <v>7.79472329043648</v>
      </c>
      <c r="Z37" s="19" t="n">
        <f aca="false">IF(Delay!Z37="","",Fee*$A37+Vq*Delay!Z37)</f>
        <v>7.46256560753264</v>
      </c>
      <c r="AA37" s="19" t="n">
        <f aca="false">IF(Delay!AA37="","",Fee*$A37+Vq*Delay!AA37)</f>
        <v>7.13465953353894</v>
      </c>
      <c r="AB37" s="19" t="n">
        <f aca="false">IF(Delay!AB37="","",Fee*$A37+Vq*Delay!AB37)</f>
        <v>6.83855584163078</v>
      </c>
      <c r="AC37" s="19" t="n">
        <f aca="false">IF(Delay!AC37="","",Fee*$A37+Vq*Delay!AC37)</f>
        <v>6.5414283905648</v>
      </c>
      <c r="AD37" s="19" t="n">
        <f aca="false">IF(Delay!AD37="","",Fee*$A37+Vq*Delay!AD37)</f>
        <v>6.25363772267894</v>
      </c>
      <c r="AE37" s="19" t="n">
        <f aca="false">IF(Delay!AE37="","",Fee*$A37+Vq*Delay!AE37)</f>
        <v>5.95191042666158</v>
      </c>
      <c r="AF37" s="19" t="n">
        <f aca="false">IF(Delay!AF37="","",Fee*$A37+Vq*Delay!AF37)</f>
        <v>5.66482312986566</v>
      </c>
      <c r="AG37" s="19" t="n">
        <f aca="false">IF(Delay!AG37="","",Fee*$A37+Vq*Delay!AG37)</f>
        <v>5.39838904934</v>
      </c>
      <c r="AH37" s="19" t="n">
        <f aca="false">IF(Delay!AH37="","",Fee*$A37+Vq*Delay!AH37)</f>
        <v>5.1115329937933</v>
      </c>
      <c r="AI37" s="19" t="n">
        <f aca="false">IF(Delay!AI37="","",Fee*$A37+Vq*Delay!AI37)</f>
        <v>4.86089795693502</v>
      </c>
      <c r="AJ37" s="19" t="n">
        <f aca="false">IF(Delay!AJ37="","",Fee*$A37+Vq*Delay!AJ37)</f>
        <v>4.8</v>
      </c>
      <c r="AK37" s="19" t="n">
        <f aca="false">IF(Delay!AK37="","",Fee*$A37+Vq*Delay!AK37)</f>
        <v>4.8</v>
      </c>
      <c r="AL37" s="19" t="n">
        <f aca="false">IF(Delay!AL37="","",Fee*$A37+Vq*Delay!AL37)</f>
        <v>4.8</v>
      </c>
      <c r="AM37" s="19" t="n">
        <f aca="false">IF(Delay!AM37="","",Fee*$A37+Vq*Delay!AM37)</f>
        <v>4.8</v>
      </c>
      <c r="AN37" s="19" t="n">
        <f aca="false">IF(Delay!AN37="","",Fee*$A37+Vq*Delay!AN37)</f>
        <v>4.8</v>
      </c>
      <c r="AO37" s="19" t="n">
        <f aca="false">IF(Delay!AO37="","",Fee*$A37+Vq*Delay!AO37)</f>
        <v>4.8</v>
      </c>
      <c r="AP37" s="19" t="n">
        <f aca="false">IF(Delay!AP37="","",Fee*$A37+Vq*Delay!AP37)</f>
        <v>4.8</v>
      </c>
      <c r="AQ37" s="19" t="n">
        <f aca="false">IF(Delay!AQ37="","",Fee*$A37+Vq*Delay!AQ37)</f>
        <v>4.8</v>
      </c>
      <c r="AR37" s="19" t="n">
        <f aca="false">IF(Delay!AR37="","",Fee*$A37+Vq*Delay!AR37)</f>
        <v>4.8</v>
      </c>
      <c r="AS37" s="19" t="n">
        <f aca="false">IF(Delay!AS37="","",Fee*$A37+Vq*Delay!AS37)</f>
        <v>4.8</v>
      </c>
      <c r="AT37" s="19" t="n">
        <f aca="false">IF(Delay!AT37="","",Fee*$A37+Vq*Delay!AT37)</f>
        <v>4.8</v>
      </c>
      <c r="AU37" s="19" t="n">
        <f aca="false">IF(Delay!AU37="","",Fee*$A37+Vq*Delay!AU37)</f>
        <v>4.8</v>
      </c>
      <c r="AV37" s="19" t="n">
        <f aca="false">IF(Delay!AV37="","",Fee*$A37+Vq*Delay!AV37)</f>
        <v>4.8</v>
      </c>
      <c r="AW37" s="19" t="n">
        <f aca="false">IF(Delay!AW37="","",Fee*$A37+Vq*Delay!AW37)</f>
        <v>4.8</v>
      </c>
      <c r="AX37" s="19" t="n">
        <f aca="false">IF(Delay!AX37="","",Fee*$A37+Vq*Delay!AX37)</f>
        <v>4.8</v>
      </c>
      <c r="AY37" s="19" t="n">
        <f aca="false">IF(Delay!AY37="","",Fee*$A37+Vq*Delay!AY37)</f>
        <v>4.8</v>
      </c>
      <c r="AZ37" s="19" t="n">
        <f aca="false">IF(Delay!AZ37="","",Fee*$A37+Vq*Delay!AZ37)</f>
        <v>4.8</v>
      </c>
      <c r="BA37" s="19" t="n">
        <f aca="false">IF(Delay!BA37="","",Fee*$A37+Vq*Delay!BA37)</f>
        <v>4.8</v>
      </c>
      <c r="BB37" s="19" t="n">
        <f aca="false">IF(Delay!BB37="","",Fee*$A37+Vq*Delay!BB37)</f>
        <v>4.8</v>
      </c>
      <c r="BC37" s="19" t="n">
        <f aca="false">IF(Delay!BC37="","",Fee*$A37+Vq*Delay!BC37)</f>
        <v>4.8</v>
      </c>
      <c r="BD37" s="19" t="n">
        <f aca="false">IF(Delay!BD37="","",Fee*$A37+Vq*Delay!BD37)</f>
        <v>4.8</v>
      </c>
      <c r="BE37" s="19" t="n">
        <f aca="false">IF(Delay!BE37="","",Fee*$A37+Vq*Delay!BE37)</f>
        <v>4.8</v>
      </c>
      <c r="BF37" s="19" t="n">
        <f aca="false">IF(Delay!BF37="","",Fee*$A37+Vq*Delay!BF37)</f>
        <v>4.8</v>
      </c>
      <c r="BG37" s="19" t="n">
        <f aca="false">IF(Delay!BG37="","",Fee*$A37+Vq*Delay!BG37)</f>
        <v>4.8</v>
      </c>
      <c r="BH37" s="19" t="n">
        <f aca="false">IF(Delay!BH37="","",Fee*$A37+Vq*Delay!BH37)</f>
        <v>4.8</v>
      </c>
      <c r="BI37" s="19" t="n">
        <f aca="false">IF(Delay!BI37="","",Fee*$A37+Vq*Delay!BI37)</f>
        <v>4.8</v>
      </c>
      <c r="BJ37" s="19" t="n">
        <f aca="false">IF(Delay!BJ37="","",Fee*$A37+Vq*Delay!BJ37)</f>
        <v>4.8</v>
      </c>
      <c r="BK37" s="19" t="n">
        <f aca="false">IF(Delay!BK37="","",Fee*$A37+Vq*Delay!BK37)</f>
        <v>4.8</v>
      </c>
      <c r="BL37" s="19" t="n">
        <f aca="false">IF(Delay!BL37="","",Fee*$A37+Vq*Delay!BL37)</f>
        <v>4.8</v>
      </c>
      <c r="BM37" s="19" t="n">
        <f aca="false">IF(Delay!BM37="","",Fee*$A37+Vq*Delay!BM37)</f>
        <v>4.8</v>
      </c>
      <c r="BN37" s="19" t="n">
        <f aca="false">IF(Delay!BN37="","",Fee*$A37+Vq*Delay!BN37)</f>
        <v>4.8</v>
      </c>
      <c r="BO37" s="19" t="n">
        <f aca="false">IF(Delay!BO37="","",Fee*$A37+Vq*Delay!BO37)</f>
        <v>4.8</v>
      </c>
      <c r="BP37" s="19" t="n">
        <f aca="false">IF(Delay!BP37="","",Fee*$A37+Vq*Delay!BP37)</f>
        <v>4.8</v>
      </c>
      <c r="BQ37" s="19" t="n">
        <f aca="false">IF(Delay!BQ37="","",Fee*$A37+Vq*Delay!BQ37)</f>
        <v>4.8</v>
      </c>
      <c r="BR37" s="19" t="n">
        <f aca="false">IF(Delay!BR37="","",Fee*$A37+Vq*Delay!BR37)</f>
        <v>4.8</v>
      </c>
      <c r="BS37" s="19" t="n">
        <f aca="false">IF(Delay!BS37="","",Fee*$A37+Vq*Delay!BS37)</f>
        <v>4.8</v>
      </c>
      <c r="BT37" s="19" t="n">
        <f aca="false">IF(Delay!BT37="","",Fee*$A37+Vq*Delay!BT37)</f>
        <v>4.8</v>
      </c>
      <c r="BU37" s="19" t="n">
        <f aca="false">IF(Delay!BU37="","",Fee*$A37+Vq*Delay!BU37)</f>
        <v>4.8</v>
      </c>
      <c r="BV37" s="19" t="n">
        <f aca="false">IF(Delay!BV37="","",Fee*$A37+Vq*Delay!BV37)</f>
        <v>4.8</v>
      </c>
      <c r="BW37" s="19" t="n">
        <f aca="false">IF(Delay!BW37="","",Fee*$A37+Vq*Delay!BW37)</f>
        <v>4.8</v>
      </c>
      <c r="BX37" s="19" t="n">
        <f aca="false">IF(Delay!BX37="","",Fee*$A37+Vq*Delay!BX37)</f>
        <v>4.8</v>
      </c>
      <c r="BY37" s="19" t="n">
        <f aca="false">IF(Delay!BY37="","",Fee*$A37+Vq*Delay!BY37)</f>
        <v>4.8</v>
      </c>
      <c r="BZ37" s="19" t="n">
        <f aca="false">IF(Delay!BZ37="","",Fee*$A37+Vq*Delay!BZ37)</f>
        <v>4.8</v>
      </c>
      <c r="CA37" s="19" t="n">
        <f aca="false">IF(Delay!CA37="","",Fee*$A37+Vq*Delay!CA37)</f>
        <v>4.8</v>
      </c>
      <c r="CB37" s="19" t="n">
        <f aca="false">IF(Delay!CB37="","",Fee*$A37+Vq*Delay!CB37)</f>
        <v>4.8</v>
      </c>
      <c r="CC37" s="19" t="n">
        <f aca="false">IF(Delay!CC37="","",Fee*$A37+Vq*Delay!CC37)</f>
        <v>4.8</v>
      </c>
      <c r="CD37" s="19" t="n">
        <f aca="false">IF(Delay!CD37="","",Fee*$A37+Vq*Delay!CD37)</f>
        <v>4.8</v>
      </c>
      <c r="CE37" s="19" t="n">
        <f aca="false">IF(Delay!CE37="","",Fee*$A37+Vq*Delay!CE37)</f>
        <v>4.8</v>
      </c>
      <c r="CF37" s="19" t="n">
        <f aca="false">IF(Delay!CF37="","",Fee*$A37+Vq*Delay!CF37)</f>
        <v>4.8</v>
      </c>
      <c r="CG37" s="19" t="n">
        <f aca="false">IF(Delay!CG37="","",Fee*$A37+Vq*Delay!CG37)</f>
        <v>4.8</v>
      </c>
      <c r="CH37" s="19" t="n">
        <f aca="false">IF(Delay!CH37="","",Fee*$A37+Vq*Delay!CH37)</f>
        <v>4.8</v>
      </c>
      <c r="CI37" s="19" t="n">
        <f aca="false">IF(Delay!CI37="","",Fee*$A37+Vq*Delay!CI37)</f>
        <v>4.8</v>
      </c>
      <c r="CJ37" s="19" t="n">
        <f aca="false">IF(Delay!CJ37="","",Fee*$A37+Vq*Delay!CJ37)</f>
        <v>4.8</v>
      </c>
      <c r="CK37" s="19" t="n">
        <f aca="false">IF(Delay!CK37="","",Fee*$A37+Vq*Delay!CK37)</f>
        <v>4.8</v>
      </c>
      <c r="CL37" s="19" t="n">
        <f aca="false">IF(Delay!CL37="","",Fee*$A37+Vq*Delay!CL37)</f>
        <v>4.8</v>
      </c>
      <c r="CM37" s="19" t="n">
        <f aca="false">IF(Delay!CM37="","",Fee*$A37+Vq*Delay!CM37)</f>
        <v>4.8</v>
      </c>
      <c r="CN37" s="19" t="n">
        <f aca="false">IF(Delay!CN37="","",Fee*$A37+Vq*Delay!CN37)</f>
        <v>4.8</v>
      </c>
      <c r="CO37" s="19" t="n">
        <f aca="false">IF(Delay!CO37="","",Fee*$A37+Vq*Delay!CO37)</f>
        <v>4.8</v>
      </c>
      <c r="CP37" s="19" t="n">
        <f aca="false">IF(Delay!CP37="","",Fee*$A37+Vq*Delay!CP37)</f>
        <v>4.8</v>
      </c>
      <c r="CQ37" s="19" t="n">
        <f aca="false">IF(Delay!CQ37="","",Fee*$A37+Vq*Delay!CQ37)</f>
        <v>4.8</v>
      </c>
      <c r="CR37" s="19" t="n">
        <f aca="false">IF(Delay!CR37="","",Fee*$A37+Vq*Delay!CR37)</f>
        <v>4.8</v>
      </c>
      <c r="CS37" s="19" t="n">
        <f aca="false">IF(Delay!CS37="","",Fee*$A37+Vq*Delay!CS37)</f>
        <v>4.8</v>
      </c>
      <c r="CT37" s="19" t="n">
        <f aca="false">IF(Delay!CT37="","",Fee*$A37+Vq*Delay!CT37)</f>
        <v>14.7887651111695</v>
      </c>
    </row>
    <row r="38" customFormat="false" ht="15" hidden="false" customHeight="false" outlineLevel="0" collapsed="false">
      <c r="A38" s="25" t="n">
        <f aca="false">Quantiles!A38</f>
        <v>165</v>
      </c>
      <c r="B38" s="19" t="n">
        <f aca="false">IF(Delay!B38="","",Fee*$A38+Vq*Delay!B38)</f>
        <v>23.4878236020076</v>
      </c>
      <c r="C38" s="19" t="n">
        <f aca="false">IF(Delay!C38="","",Fee*$A38+Vq*Delay!C38)</f>
        <v>21.7053958645254</v>
      </c>
      <c r="D38" s="19" t="n">
        <f aca="false">IF(Delay!D38="","",Fee*$A38+Vq*Delay!D38)</f>
        <v>20.2448431703465</v>
      </c>
      <c r="E38" s="19" t="n">
        <f aca="false">IF(Delay!E38="","",Fee*$A38+Vq*Delay!E38)</f>
        <v>19.0449953843565</v>
      </c>
      <c r="F38" s="19" t="n">
        <f aca="false">IF(Delay!F38="","",Fee*$A38+Vq*Delay!F38)</f>
        <v>18.001615051749</v>
      </c>
      <c r="G38" s="19" t="n">
        <f aca="false">IF(Delay!G38="","",Fee*$A38+Vq*Delay!G38)</f>
        <v>17.063970638538</v>
      </c>
      <c r="H38" s="19" t="n">
        <f aca="false">IF(Delay!H38="","",Fee*$A38+Vq*Delay!H38)</f>
        <v>16.17586354702</v>
      </c>
      <c r="I38" s="19" t="n">
        <f aca="false">IF(Delay!I38="","",Fee*$A38+Vq*Delay!I38)</f>
        <v>15.4550117251192</v>
      </c>
      <c r="J38" s="19" t="n">
        <f aca="false">IF(Delay!J38="","",Fee*$A38+Vq*Delay!J38)</f>
        <v>14.764484309128</v>
      </c>
      <c r="K38" s="19" t="n">
        <f aca="false">IF(Delay!K38="","",Fee*$A38+Vq*Delay!K38)</f>
        <v>14.0808036368646</v>
      </c>
      <c r="L38" s="19" t="n">
        <f aca="false">IF(Delay!L38="","",Fee*$A38+Vq*Delay!L38)</f>
        <v>13.5209615728152</v>
      </c>
      <c r="M38" s="19" t="n">
        <f aca="false">IF(Delay!M38="","",Fee*$A38+Vq*Delay!M38)</f>
        <v>12.9140123411184</v>
      </c>
      <c r="N38" s="19" t="n">
        <f aca="false">IF(Delay!N38="","",Fee*$A38+Vq*Delay!N38)</f>
        <v>12.3504575918471</v>
      </c>
      <c r="O38" s="19" t="n">
        <f aca="false">IF(Delay!O38="","",Fee*$A38+Vq*Delay!O38)</f>
        <v>11.8648465307387</v>
      </c>
      <c r="P38" s="19" t="n">
        <f aca="false">IF(Delay!P38="","",Fee*$A38+Vq*Delay!P38)</f>
        <v>11.3885043322234</v>
      </c>
      <c r="Q38" s="19" t="n">
        <f aca="false">IF(Delay!Q38="","",Fee*$A38+Vq*Delay!Q38)</f>
        <v>10.8761085596174</v>
      </c>
      <c r="R38" s="19" t="n">
        <f aca="false">IF(Delay!R38="","",Fee*$A38+Vq*Delay!R38)</f>
        <v>10.4440502125187</v>
      </c>
      <c r="S38" s="19" t="n">
        <f aca="false">IF(Delay!S38="","",Fee*$A38+Vq*Delay!S38)</f>
        <v>10.0012249091757</v>
      </c>
      <c r="T38" s="19" t="n">
        <f aca="false">IF(Delay!T38="","",Fee*$A38+Vq*Delay!T38)</f>
        <v>9.5814895475586</v>
      </c>
      <c r="U38" s="19" t="n">
        <f aca="false">IF(Delay!U38="","",Fee*$A38+Vq*Delay!U38)</f>
        <v>9.1762252882772</v>
      </c>
      <c r="V38" s="19" t="n">
        <f aca="false">IF(Delay!V38="","",Fee*$A38+Vq*Delay!V38)</f>
        <v>8.82170926039148</v>
      </c>
      <c r="W38" s="19" t="n">
        <f aca="false">IF(Delay!W38="","",Fee*$A38+Vq*Delay!W38)</f>
        <v>8.49251852812134</v>
      </c>
      <c r="X38" s="19" t="n">
        <f aca="false">IF(Delay!X38="","",Fee*$A38+Vq*Delay!X38)</f>
        <v>8.13483907873714</v>
      </c>
      <c r="Y38" s="19" t="n">
        <f aca="false">IF(Delay!Y38="","",Fee*$A38+Vq*Delay!Y38)</f>
        <v>7.81487268758282</v>
      </c>
      <c r="Z38" s="19" t="n">
        <f aca="false">IF(Delay!Z38="","",Fee*$A38+Vq*Delay!Z38)</f>
        <v>7.48325931082466</v>
      </c>
      <c r="AA38" s="19" t="n">
        <f aca="false">IF(Delay!AA38="","",Fee*$A38+Vq*Delay!AA38)</f>
        <v>7.15281327953444</v>
      </c>
      <c r="AB38" s="19" t="n">
        <f aca="false">IF(Delay!AB38="","",Fee*$A38+Vq*Delay!AB38)</f>
        <v>6.85671242028142</v>
      </c>
      <c r="AC38" s="19" t="n">
        <f aca="false">IF(Delay!AC38="","",Fee*$A38+Vq*Delay!AC38)</f>
        <v>6.55684746695594</v>
      </c>
      <c r="AD38" s="19" t="n">
        <f aca="false">IF(Delay!AD38="","",Fee*$A38+Vq*Delay!AD38)</f>
        <v>6.2600839739889</v>
      </c>
      <c r="AE38" s="19" t="n">
        <f aca="false">IF(Delay!AE38="","",Fee*$A38+Vq*Delay!AE38)</f>
        <v>5.94485238530598</v>
      </c>
      <c r="AF38" s="19" t="n">
        <f aca="false">IF(Delay!AF38="","",Fee*$A38+Vq*Delay!AF38)</f>
        <v>5.67343133800498</v>
      </c>
      <c r="AG38" s="19" t="n">
        <f aca="false">IF(Delay!AG38="","",Fee*$A38+Vq*Delay!AG38)</f>
        <v>5.39268257885108</v>
      </c>
      <c r="AH38" s="19" t="n">
        <f aca="false">IF(Delay!AH38="","",Fee*$A38+Vq*Delay!AH38)</f>
        <v>5.12764557987458</v>
      </c>
      <c r="AI38" s="19" t="n">
        <f aca="false">IF(Delay!AI38="","",Fee*$A38+Vq*Delay!AI38)</f>
        <v>4.95</v>
      </c>
      <c r="AJ38" s="19" t="n">
        <f aca="false">IF(Delay!AJ38="","",Fee*$A38+Vq*Delay!AJ38)</f>
        <v>4.95</v>
      </c>
      <c r="AK38" s="19" t="n">
        <f aca="false">IF(Delay!AK38="","",Fee*$A38+Vq*Delay!AK38)</f>
        <v>4.95</v>
      </c>
      <c r="AL38" s="19" t="n">
        <f aca="false">IF(Delay!AL38="","",Fee*$A38+Vq*Delay!AL38)</f>
        <v>4.95</v>
      </c>
      <c r="AM38" s="19" t="n">
        <f aca="false">IF(Delay!AM38="","",Fee*$A38+Vq*Delay!AM38)</f>
        <v>4.95</v>
      </c>
      <c r="AN38" s="19" t="n">
        <f aca="false">IF(Delay!AN38="","",Fee*$A38+Vq*Delay!AN38)</f>
        <v>4.95</v>
      </c>
      <c r="AO38" s="19" t="n">
        <f aca="false">IF(Delay!AO38="","",Fee*$A38+Vq*Delay!AO38)</f>
        <v>4.95</v>
      </c>
      <c r="AP38" s="19" t="n">
        <f aca="false">IF(Delay!AP38="","",Fee*$A38+Vq*Delay!AP38)</f>
        <v>4.95</v>
      </c>
      <c r="AQ38" s="19" t="n">
        <f aca="false">IF(Delay!AQ38="","",Fee*$A38+Vq*Delay!AQ38)</f>
        <v>4.95</v>
      </c>
      <c r="AR38" s="19" t="n">
        <f aca="false">IF(Delay!AR38="","",Fee*$A38+Vq*Delay!AR38)</f>
        <v>4.95</v>
      </c>
      <c r="AS38" s="19" t="n">
        <f aca="false">IF(Delay!AS38="","",Fee*$A38+Vq*Delay!AS38)</f>
        <v>4.95</v>
      </c>
      <c r="AT38" s="19" t="n">
        <f aca="false">IF(Delay!AT38="","",Fee*$A38+Vq*Delay!AT38)</f>
        <v>4.95</v>
      </c>
      <c r="AU38" s="19" t="n">
        <f aca="false">IF(Delay!AU38="","",Fee*$A38+Vq*Delay!AU38)</f>
        <v>4.95</v>
      </c>
      <c r="AV38" s="19" t="n">
        <f aca="false">IF(Delay!AV38="","",Fee*$A38+Vq*Delay!AV38)</f>
        <v>4.95</v>
      </c>
      <c r="AW38" s="19" t="n">
        <f aca="false">IF(Delay!AW38="","",Fee*$A38+Vq*Delay!AW38)</f>
        <v>4.95</v>
      </c>
      <c r="AX38" s="19" t="n">
        <f aca="false">IF(Delay!AX38="","",Fee*$A38+Vq*Delay!AX38)</f>
        <v>4.95</v>
      </c>
      <c r="AY38" s="19" t="n">
        <f aca="false">IF(Delay!AY38="","",Fee*$A38+Vq*Delay!AY38)</f>
        <v>4.95</v>
      </c>
      <c r="AZ38" s="19" t="n">
        <f aca="false">IF(Delay!AZ38="","",Fee*$A38+Vq*Delay!AZ38)</f>
        <v>4.95</v>
      </c>
      <c r="BA38" s="19" t="n">
        <f aca="false">IF(Delay!BA38="","",Fee*$A38+Vq*Delay!BA38)</f>
        <v>4.95</v>
      </c>
      <c r="BB38" s="19" t="n">
        <f aca="false">IF(Delay!BB38="","",Fee*$A38+Vq*Delay!BB38)</f>
        <v>4.95</v>
      </c>
      <c r="BC38" s="19" t="n">
        <f aca="false">IF(Delay!BC38="","",Fee*$A38+Vq*Delay!BC38)</f>
        <v>4.95</v>
      </c>
      <c r="BD38" s="19" t="n">
        <f aca="false">IF(Delay!BD38="","",Fee*$A38+Vq*Delay!BD38)</f>
        <v>4.95</v>
      </c>
      <c r="BE38" s="19" t="n">
        <f aca="false">IF(Delay!BE38="","",Fee*$A38+Vq*Delay!BE38)</f>
        <v>4.95</v>
      </c>
      <c r="BF38" s="19" t="n">
        <f aca="false">IF(Delay!BF38="","",Fee*$A38+Vq*Delay!BF38)</f>
        <v>4.95</v>
      </c>
      <c r="BG38" s="19" t="n">
        <f aca="false">IF(Delay!BG38="","",Fee*$A38+Vq*Delay!BG38)</f>
        <v>4.95</v>
      </c>
      <c r="BH38" s="19" t="n">
        <f aca="false">IF(Delay!BH38="","",Fee*$A38+Vq*Delay!BH38)</f>
        <v>4.95</v>
      </c>
      <c r="BI38" s="19" t="n">
        <f aca="false">IF(Delay!BI38="","",Fee*$A38+Vq*Delay!BI38)</f>
        <v>4.95</v>
      </c>
      <c r="BJ38" s="19" t="n">
        <f aca="false">IF(Delay!BJ38="","",Fee*$A38+Vq*Delay!BJ38)</f>
        <v>4.95</v>
      </c>
      <c r="BK38" s="19" t="n">
        <f aca="false">IF(Delay!BK38="","",Fee*$A38+Vq*Delay!BK38)</f>
        <v>4.95</v>
      </c>
      <c r="BL38" s="19" t="n">
        <f aca="false">IF(Delay!BL38="","",Fee*$A38+Vq*Delay!BL38)</f>
        <v>4.95</v>
      </c>
      <c r="BM38" s="19" t="n">
        <f aca="false">IF(Delay!BM38="","",Fee*$A38+Vq*Delay!BM38)</f>
        <v>4.95</v>
      </c>
      <c r="BN38" s="19" t="n">
        <f aca="false">IF(Delay!BN38="","",Fee*$A38+Vq*Delay!BN38)</f>
        <v>4.95</v>
      </c>
      <c r="BO38" s="19" t="n">
        <f aca="false">IF(Delay!BO38="","",Fee*$A38+Vq*Delay!BO38)</f>
        <v>4.95</v>
      </c>
      <c r="BP38" s="19" t="n">
        <f aca="false">IF(Delay!BP38="","",Fee*$A38+Vq*Delay!BP38)</f>
        <v>4.95</v>
      </c>
      <c r="BQ38" s="19" t="n">
        <f aca="false">IF(Delay!BQ38="","",Fee*$A38+Vq*Delay!BQ38)</f>
        <v>4.95</v>
      </c>
      <c r="BR38" s="19" t="n">
        <f aca="false">IF(Delay!BR38="","",Fee*$A38+Vq*Delay!BR38)</f>
        <v>4.95</v>
      </c>
      <c r="BS38" s="19" t="n">
        <f aca="false">IF(Delay!BS38="","",Fee*$A38+Vq*Delay!BS38)</f>
        <v>4.95</v>
      </c>
      <c r="BT38" s="19" t="n">
        <f aca="false">IF(Delay!BT38="","",Fee*$A38+Vq*Delay!BT38)</f>
        <v>4.95</v>
      </c>
      <c r="BU38" s="19" t="n">
        <f aca="false">IF(Delay!BU38="","",Fee*$A38+Vq*Delay!BU38)</f>
        <v>4.95</v>
      </c>
      <c r="BV38" s="19" t="n">
        <f aca="false">IF(Delay!BV38="","",Fee*$A38+Vq*Delay!BV38)</f>
        <v>4.95</v>
      </c>
      <c r="BW38" s="19" t="n">
        <f aca="false">IF(Delay!BW38="","",Fee*$A38+Vq*Delay!BW38)</f>
        <v>4.95</v>
      </c>
      <c r="BX38" s="19" t="n">
        <f aca="false">IF(Delay!BX38="","",Fee*$A38+Vq*Delay!BX38)</f>
        <v>4.95</v>
      </c>
      <c r="BY38" s="19" t="n">
        <f aca="false">IF(Delay!BY38="","",Fee*$A38+Vq*Delay!BY38)</f>
        <v>4.95</v>
      </c>
      <c r="BZ38" s="19" t="n">
        <f aca="false">IF(Delay!BZ38="","",Fee*$A38+Vq*Delay!BZ38)</f>
        <v>4.95</v>
      </c>
      <c r="CA38" s="19" t="n">
        <f aca="false">IF(Delay!CA38="","",Fee*$A38+Vq*Delay!CA38)</f>
        <v>4.95</v>
      </c>
      <c r="CB38" s="19" t="n">
        <f aca="false">IF(Delay!CB38="","",Fee*$A38+Vq*Delay!CB38)</f>
        <v>4.95</v>
      </c>
      <c r="CC38" s="19" t="n">
        <f aca="false">IF(Delay!CC38="","",Fee*$A38+Vq*Delay!CC38)</f>
        <v>4.95</v>
      </c>
      <c r="CD38" s="19" t="n">
        <f aca="false">IF(Delay!CD38="","",Fee*$A38+Vq*Delay!CD38)</f>
        <v>4.95</v>
      </c>
      <c r="CE38" s="19" t="n">
        <f aca="false">IF(Delay!CE38="","",Fee*$A38+Vq*Delay!CE38)</f>
        <v>4.95</v>
      </c>
      <c r="CF38" s="19" t="n">
        <f aca="false">IF(Delay!CF38="","",Fee*$A38+Vq*Delay!CF38)</f>
        <v>4.95</v>
      </c>
      <c r="CG38" s="19" t="n">
        <f aca="false">IF(Delay!CG38="","",Fee*$A38+Vq*Delay!CG38)</f>
        <v>4.95</v>
      </c>
      <c r="CH38" s="19" t="n">
        <f aca="false">IF(Delay!CH38="","",Fee*$A38+Vq*Delay!CH38)</f>
        <v>4.95</v>
      </c>
      <c r="CI38" s="19" t="n">
        <f aca="false">IF(Delay!CI38="","",Fee*$A38+Vq*Delay!CI38)</f>
        <v>4.95</v>
      </c>
      <c r="CJ38" s="19" t="n">
        <f aca="false">IF(Delay!CJ38="","",Fee*$A38+Vq*Delay!CJ38)</f>
        <v>4.95</v>
      </c>
      <c r="CK38" s="19" t="n">
        <f aca="false">IF(Delay!CK38="","",Fee*$A38+Vq*Delay!CK38)</f>
        <v>4.95</v>
      </c>
      <c r="CL38" s="19" t="n">
        <f aca="false">IF(Delay!CL38="","",Fee*$A38+Vq*Delay!CL38)</f>
        <v>4.95</v>
      </c>
      <c r="CM38" s="19" t="n">
        <f aca="false">IF(Delay!CM38="","",Fee*$A38+Vq*Delay!CM38)</f>
        <v>4.95</v>
      </c>
      <c r="CN38" s="19" t="n">
        <f aca="false">IF(Delay!CN38="","",Fee*$A38+Vq*Delay!CN38)</f>
        <v>4.95</v>
      </c>
      <c r="CO38" s="19" t="n">
        <f aca="false">IF(Delay!CO38="","",Fee*$A38+Vq*Delay!CO38)</f>
        <v>4.95</v>
      </c>
      <c r="CP38" s="19" t="n">
        <f aca="false">IF(Delay!CP38="","",Fee*$A38+Vq*Delay!CP38)</f>
        <v>4.95</v>
      </c>
      <c r="CQ38" s="19" t="n">
        <f aca="false">IF(Delay!CQ38="","",Fee*$A38+Vq*Delay!CQ38)</f>
        <v>4.95</v>
      </c>
      <c r="CR38" s="19" t="n">
        <f aca="false">IF(Delay!CR38="","",Fee*$A38+Vq*Delay!CR38)</f>
        <v>4.95</v>
      </c>
      <c r="CS38" s="19" t="n">
        <f aca="false">IF(Delay!CS38="","",Fee*$A38+Vq*Delay!CS38)</f>
        <v>4.95</v>
      </c>
      <c r="CT38" s="19" t="n">
        <f aca="false">IF(Delay!CT38="","",Fee*$A38+Vq*Delay!CT38)</f>
        <v>14.7577186274742</v>
      </c>
    </row>
    <row r="39" customFormat="false" ht="15" hidden="false" customHeight="false" outlineLevel="0" collapsed="false">
      <c r="A39" s="25" t="n">
        <f aca="false">Quantiles!A39</f>
        <v>170</v>
      </c>
      <c r="B39" s="19" t="n">
        <f aca="false">IF(Delay!B39="","",Fee*$A39+Vq*Delay!B39)</f>
        <v>23.3629225599235</v>
      </c>
      <c r="C39" s="19" t="n">
        <f aca="false">IF(Delay!C39="","",Fee*$A39+Vq*Delay!C39)</f>
        <v>21.5819609042277</v>
      </c>
      <c r="D39" s="19" t="n">
        <f aca="false">IF(Delay!D39="","",Fee*$A39+Vq*Delay!D39)</f>
        <v>20.1729685387422</v>
      </c>
      <c r="E39" s="19" t="n">
        <f aca="false">IF(Delay!E39="","",Fee*$A39+Vq*Delay!E39)</f>
        <v>18.9406053088115</v>
      </c>
      <c r="F39" s="19" t="n">
        <f aca="false">IF(Delay!F39="","",Fee*$A39+Vq*Delay!F39)</f>
        <v>17.8608514478064</v>
      </c>
      <c r="G39" s="19" t="n">
        <f aca="false">IF(Delay!G39="","",Fee*$A39+Vq*Delay!G39)</f>
        <v>16.9334949228689</v>
      </c>
      <c r="H39" s="19" t="n">
        <f aca="false">IF(Delay!H39="","",Fee*$A39+Vq*Delay!H39)</f>
        <v>16.1112152372153</v>
      </c>
      <c r="I39" s="19" t="n">
        <f aca="false">IF(Delay!I39="","",Fee*$A39+Vq*Delay!I39)</f>
        <v>15.3387715171503</v>
      </c>
      <c r="J39" s="19" t="n">
        <f aca="false">IF(Delay!J39="","",Fee*$A39+Vq*Delay!J39)</f>
        <v>14.7454565096875</v>
      </c>
      <c r="K39" s="19" t="n">
        <f aca="false">IF(Delay!K39="","",Fee*$A39+Vq*Delay!K39)</f>
        <v>14.0779633594184</v>
      </c>
      <c r="L39" s="19" t="n">
        <f aca="false">IF(Delay!L39="","",Fee*$A39+Vq*Delay!L39)</f>
        <v>13.5111969086941</v>
      </c>
      <c r="M39" s="19" t="n">
        <f aca="false">IF(Delay!M39="","",Fee*$A39+Vq*Delay!M39)</f>
        <v>12.911384022157</v>
      </c>
      <c r="N39" s="19" t="n">
        <f aca="false">IF(Delay!N39="","",Fee*$A39+Vq*Delay!N39)</f>
        <v>12.3657011248407</v>
      </c>
      <c r="O39" s="19" t="n">
        <f aca="false">IF(Delay!O39="","",Fee*$A39+Vq*Delay!O39)</f>
        <v>11.8769362334057</v>
      </c>
      <c r="P39" s="19" t="n">
        <f aca="false">IF(Delay!P39="","",Fee*$A39+Vq*Delay!P39)</f>
        <v>11.4010812868861</v>
      </c>
      <c r="Q39" s="19" t="n">
        <f aca="false">IF(Delay!Q39="","",Fee*$A39+Vq*Delay!Q39)</f>
        <v>10.8983010981299</v>
      </c>
      <c r="R39" s="19" t="n">
        <f aca="false">IF(Delay!R39="","",Fee*$A39+Vq*Delay!R39)</f>
        <v>10.440610891413</v>
      </c>
      <c r="S39" s="19" t="n">
        <f aca="false">IF(Delay!S39="","",Fee*$A39+Vq*Delay!S39)</f>
        <v>10.0027279762045</v>
      </c>
      <c r="T39" s="19" t="n">
        <f aca="false">IF(Delay!T39="","",Fee*$A39+Vq*Delay!T39)</f>
        <v>9.62380266521014</v>
      </c>
      <c r="U39" s="19" t="n">
        <f aca="false">IF(Delay!U39="","",Fee*$A39+Vq*Delay!U39)</f>
        <v>9.19764670956484</v>
      </c>
      <c r="V39" s="19" t="n">
        <f aca="false">IF(Delay!V39="","",Fee*$A39+Vq*Delay!V39)</f>
        <v>8.84594525528578</v>
      </c>
      <c r="W39" s="19" t="n">
        <f aca="false">IF(Delay!W39="","",Fee*$A39+Vq*Delay!W39)</f>
        <v>8.52754055375482</v>
      </c>
      <c r="X39" s="19" t="n">
        <f aca="false">IF(Delay!X39="","",Fee*$A39+Vq*Delay!X39)</f>
        <v>8.16872463943146</v>
      </c>
      <c r="Y39" s="19" t="n">
        <f aca="false">IF(Delay!Y39="","",Fee*$A39+Vq*Delay!Y39)</f>
        <v>7.82619851742474</v>
      </c>
      <c r="Z39" s="19" t="n">
        <f aca="false">IF(Delay!Z39="","",Fee*$A39+Vq*Delay!Z39)</f>
        <v>7.48339990926258</v>
      </c>
      <c r="AA39" s="19" t="n">
        <f aca="false">IF(Delay!AA39="","",Fee*$A39+Vq*Delay!AA39)</f>
        <v>7.1877396619973</v>
      </c>
      <c r="AB39" s="19" t="n">
        <f aca="false">IF(Delay!AB39="","",Fee*$A39+Vq*Delay!AB39)</f>
        <v>6.87938593048766</v>
      </c>
      <c r="AC39" s="19" t="n">
        <f aca="false">IF(Delay!AC39="","",Fee*$A39+Vq*Delay!AC39)</f>
        <v>6.5934058119758</v>
      </c>
      <c r="AD39" s="19" t="n">
        <f aca="false">IF(Delay!AD39="","",Fee*$A39+Vq*Delay!AD39)</f>
        <v>6.2887027529781</v>
      </c>
      <c r="AE39" s="19" t="n">
        <f aca="false">IF(Delay!AE39="","",Fee*$A39+Vq*Delay!AE39)</f>
        <v>5.98899252575146</v>
      </c>
      <c r="AF39" s="19" t="n">
        <f aca="false">IF(Delay!AF39="","",Fee*$A39+Vq*Delay!AF39)</f>
        <v>5.72358598137524</v>
      </c>
      <c r="AG39" s="19" t="n">
        <f aca="false">IF(Delay!AG39="","",Fee*$A39+Vq*Delay!AG39)</f>
        <v>5.42595516603642</v>
      </c>
      <c r="AH39" s="19" t="n">
        <f aca="false">IF(Delay!AH39="","",Fee*$A39+Vq*Delay!AH39)</f>
        <v>5.17669245119734</v>
      </c>
      <c r="AI39" s="19" t="n">
        <f aca="false">IF(Delay!AI39="","",Fee*$A39+Vq*Delay!AI39)</f>
        <v>5.1</v>
      </c>
      <c r="AJ39" s="19" t="n">
        <f aca="false">IF(Delay!AJ39="","",Fee*$A39+Vq*Delay!AJ39)</f>
        <v>5.1</v>
      </c>
      <c r="AK39" s="19" t="n">
        <f aca="false">IF(Delay!AK39="","",Fee*$A39+Vq*Delay!AK39)</f>
        <v>5.1</v>
      </c>
      <c r="AL39" s="19" t="n">
        <f aca="false">IF(Delay!AL39="","",Fee*$A39+Vq*Delay!AL39)</f>
        <v>5.1</v>
      </c>
      <c r="AM39" s="19" t="n">
        <f aca="false">IF(Delay!AM39="","",Fee*$A39+Vq*Delay!AM39)</f>
        <v>5.1</v>
      </c>
      <c r="AN39" s="19" t="n">
        <f aca="false">IF(Delay!AN39="","",Fee*$A39+Vq*Delay!AN39)</f>
        <v>5.1</v>
      </c>
      <c r="AO39" s="19" t="n">
        <f aca="false">IF(Delay!AO39="","",Fee*$A39+Vq*Delay!AO39)</f>
        <v>5.1</v>
      </c>
      <c r="AP39" s="19" t="n">
        <f aca="false">IF(Delay!AP39="","",Fee*$A39+Vq*Delay!AP39)</f>
        <v>5.1</v>
      </c>
      <c r="AQ39" s="19" t="n">
        <f aca="false">IF(Delay!AQ39="","",Fee*$A39+Vq*Delay!AQ39)</f>
        <v>5.1</v>
      </c>
      <c r="AR39" s="19" t="n">
        <f aca="false">IF(Delay!AR39="","",Fee*$A39+Vq*Delay!AR39)</f>
        <v>5.1</v>
      </c>
      <c r="AS39" s="19" t="n">
        <f aca="false">IF(Delay!AS39="","",Fee*$A39+Vq*Delay!AS39)</f>
        <v>5.1</v>
      </c>
      <c r="AT39" s="19" t="n">
        <f aca="false">IF(Delay!AT39="","",Fee*$A39+Vq*Delay!AT39)</f>
        <v>5.1</v>
      </c>
      <c r="AU39" s="19" t="n">
        <f aca="false">IF(Delay!AU39="","",Fee*$A39+Vq*Delay!AU39)</f>
        <v>5.1</v>
      </c>
      <c r="AV39" s="19" t="n">
        <f aca="false">IF(Delay!AV39="","",Fee*$A39+Vq*Delay!AV39)</f>
        <v>5.1</v>
      </c>
      <c r="AW39" s="19" t="n">
        <f aca="false">IF(Delay!AW39="","",Fee*$A39+Vq*Delay!AW39)</f>
        <v>5.1</v>
      </c>
      <c r="AX39" s="19" t="n">
        <f aca="false">IF(Delay!AX39="","",Fee*$A39+Vq*Delay!AX39)</f>
        <v>5.1</v>
      </c>
      <c r="AY39" s="19" t="n">
        <f aca="false">IF(Delay!AY39="","",Fee*$A39+Vq*Delay!AY39)</f>
        <v>5.1</v>
      </c>
      <c r="AZ39" s="19" t="n">
        <f aca="false">IF(Delay!AZ39="","",Fee*$A39+Vq*Delay!AZ39)</f>
        <v>5.1</v>
      </c>
      <c r="BA39" s="19" t="n">
        <f aca="false">IF(Delay!BA39="","",Fee*$A39+Vq*Delay!BA39)</f>
        <v>5.1</v>
      </c>
      <c r="BB39" s="19" t="n">
        <f aca="false">IF(Delay!BB39="","",Fee*$A39+Vq*Delay!BB39)</f>
        <v>5.1</v>
      </c>
      <c r="BC39" s="19" t="n">
        <f aca="false">IF(Delay!BC39="","",Fee*$A39+Vq*Delay!BC39)</f>
        <v>5.1</v>
      </c>
      <c r="BD39" s="19" t="n">
        <f aca="false">IF(Delay!BD39="","",Fee*$A39+Vq*Delay!BD39)</f>
        <v>5.1</v>
      </c>
      <c r="BE39" s="19" t="n">
        <f aca="false">IF(Delay!BE39="","",Fee*$A39+Vq*Delay!BE39)</f>
        <v>5.1</v>
      </c>
      <c r="BF39" s="19" t="n">
        <f aca="false">IF(Delay!BF39="","",Fee*$A39+Vq*Delay!BF39)</f>
        <v>5.1</v>
      </c>
      <c r="BG39" s="19" t="n">
        <f aca="false">IF(Delay!BG39="","",Fee*$A39+Vq*Delay!BG39)</f>
        <v>5.1</v>
      </c>
      <c r="BH39" s="19" t="n">
        <f aca="false">IF(Delay!BH39="","",Fee*$A39+Vq*Delay!BH39)</f>
        <v>5.1</v>
      </c>
      <c r="BI39" s="19" t="n">
        <f aca="false">IF(Delay!BI39="","",Fee*$A39+Vq*Delay!BI39)</f>
        <v>5.1</v>
      </c>
      <c r="BJ39" s="19" t="n">
        <f aca="false">IF(Delay!BJ39="","",Fee*$A39+Vq*Delay!BJ39)</f>
        <v>5.1</v>
      </c>
      <c r="BK39" s="19" t="n">
        <f aca="false">IF(Delay!BK39="","",Fee*$A39+Vq*Delay!BK39)</f>
        <v>5.1</v>
      </c>
      <c r="BL39" s="19" t="n">
        <f aca="false">IF(Delay!BL39="","",Fee*$A39+Vq*Delay!BL39)</f>
        <v>5.1</v>
      </c>
      <c r="BM39" s="19" t="n">
        <f aca="false">IF(Delay!BM39="","",Fee*$A39+Vq*Delay!BM39)</f>
        <v>5.1</v>
      </c>
      <c r="BN39" s="19" t="n">
        <f aca="false">IF(Delay!BN39="","",Fee*$A39+Vq*Delay!BN39)</f>
        <v>5.1</v>
      </c>
      <c r="BO39" s="19" t="n">
        <f aca="false">IF(Delay!BO39="","",Fee*$A39+Vq*Delay!BO39)</f>
        <v>5.1</v>
      </c>
      <c r="BP39" s="19" t="n">
        <f aca="false">IF(Delay!BP39="","",Fee*$A39+Vq*Delay!BP39)</f>
        <v>5.1</v>
      </c>
      <c r="BQ39" s="19" t="n">
        <f aca="false">IF(Delay!BQ39="","",Fee*$A39+Vq*Delay!BQ39)</f>
        <v>5.1</v>
      </c>
      <c r="BR39" s="19" t="n">
        <f aca="false">IF(Delay!BR39="","",Fee*$A39+Vq*Delay!BR39)</f>
        <v>5.1</v>
      </c>
      <c r="BS39" s="19" t="n">
        <f aca="false">IF(Delay!BS39="","",Fee*$A39+Vq*Delay!BS39)</f>
        <v>5.1</v>
      </c>
      <c r="BT39" s="19" t="n">
        <f aca="false">IF(Delay!BT39="","",Fee*$A39+Vq*Delay!BT39)</f>
        <v>5.1</v>
      </c>
      <c r="BU39" s="19" t="n">
        <f aca="false">IF(Delay!BU39="","",Fee*$A39+Vq*Delay!BU39)</f>
        <v>5.1</v>
      </c>
      <c r="BV39" s="19" t="n">
        <f aca="false">IF(Delay!BV39="","",Fee*$A39+Vq*Delay!BV39)</f>
        <v>5.1</v>
      </c>
      <c r="BW39" s="19" t="n">
        <f aca="false">IF(Delay!BW39="","",Fee*$A39+Vq*Delay!BW39)</f>
        <v>5.1</v>
      </c>
      <c r="BX39" s="19" t="n">
        <f aca="false">IF(Delay!BX39="","",Fee*$A39+Vq*Delay!BX39)</f>
        <v>5.1</v>
      </c>
      <c r="BY39" s="19" t="n">
        <f aca="false">IF(Delay!BY39="","",Fee*$A39+Vq*Delay!BY39)</f>
        <v>5.1</v>
      </c>
      <c r="BZ39" s="19" t="n">
        <f aca="false">IF(Delay!BZ39="","",Fee*$A39+Vq*Delay!BZ39)</f>
        <v>5.1</v>
      </c>
      <c r="CA39" s="19" t="n">
        <f aca="false">IF(Delay!CA39="","",Fee*$A39+Vq*Delay!CA39)</f>
        <v>5.1</v>
      </c>
      <c r="CB39" s="19" t="n">
        <f aca="false">IF(Delay!CB39="","",Fee*$A39+Vq*Delay!CB39)</f>
        <v>5.1</v>
      </c>
      <c r="CC39" s="19" t="n">
        <f aca="false">IF(Delay!CC39="","",Fee*$A39+Vq*Delay!CC39)</f>
        <v>5.1</v>
      </c>
      <c r="CD39" s="19" t="n">
        <f aca="false">IF(Delay!CD39="","",Fee*$A39+Vq*Delay!CD39)</f>
        <v>5.1</v>
      </c>
      <c r="CE39" s="19" t="n">
        <f aca="false">IF(Delay!CE39="","",Fee*$A39+Vq*Delay!CE39)</f>
        <v>5.1</v>
      </c>
      <c r="CF39" s="19" t="n">
        <f aca="false">IF(Delay!CF39="","",Fee*$A39+Vq*Delay!CF39)</f>
        <v>5.1</v>
      </c>
      <c r="CG39" s="19" t="n">
        <f aca="false">IF(Delay!CG39="","",Fee*$A39+Vq*Delay!CG39)</f>
        <v>5.1</v>
      </c>
      <c r="CH39" s="19" t="n">
        <f aca="false">IF(Delay!CH39="","",Fee*$A39+Vq*Delay!CH39)</f>
        <v>5.1</v>
      </c>
      <c r="CI39" s="19" t="n">
        <f aca="false">IF(Delay!CI39="","",Fee*$A39+Vq*Delay!CI39)</f>
        <v>5.1</v>
      </c>
      <c r="CJ39" s="19" t="n">
        <f aca="false">IF(Delay!CJ39="","",Fee*$A39+Vq*Delay!CJ39)</f>
        <v>5.1</v>
      </c>
      <c r="CK39" s="19" t="n">
        <f aca="false">IF(Delay!CK39="","",Fee*$A39+Vq*Delay!CK39)</f>
        <v>5.1</v>
      </c>
      <c r="CL39" s="19" t="n">
        <f aca="false">IF(Delay!CL39="","",Fee*$A39+Vq*Delay!CL39)</f>
        <v>5.1</v>
      </c>
      <c r="CM39" s="19" t="n">
        <f aca="false">IF(Delay!CM39="","",Fee*$A39+Vq*Delay!CM39)</f>
        <v>5.1</v>
      </c>
      <c r="CN39" s="19" t="n">
        <f aca="false">IF(Delay!CN39="","",Fee*$A39+Vq*Delay!CN39)</f>
        <v>5.1</v>
      </c>
      <c r="CO39" s="19" t="n">
        <f aca="false">IF(Delay!CO39="","",Fee*$A39+Vq*Delay!CO39)</f>
        <v>5.1</v>
      </c>
      <c r="CP39" s="19" t="n">
        <f aca="false">IF(Delay!CP39="","",Fee*$A39+Vq*Delay!CP39)</f>
        <v>5.1</v>
      </c>
      <c r="CQ39" s="19" t="n">
        <f aca="false">IF(Delay!CQ39="","",Fee*$A39+Vq*Delay!CQ39)</f>
        <v>5.1</v>
      </c>
      <c r="CR39" s="19" t="n">
        <f aca="false">IF(Delay!CR39="","",Fee*$A39+Vq*Delay!CR39)</f>
        <v>5.1</v>
      </c>
      <c r="CS39" s="19" t="n">
        <f aca="false">IF(Delay!CS39="","",Fee*$A39+Vq*Delay!CS39)</f>
        <v>5.1</v>
      </c>
      <c r="CT39" s="19" t="n">
        <f aca="false">IF(Delay!CT39="","",Fee*$A39+Vq*Delay!CT39)</f>
        <v>14.7394338414036</v>
      </c>
    </row>
    <row r="40" customFormat="false" ht="15" hidden="false" customHeight="false" outlineLevel="0" collapsed="false">
      <c r="A40" s="25" t="n">
        <f aca="false">Quantiles!A40</f>
        <v>175</v>
      </c>
      <c r="B40" s="19" t="n">
        <f aca="false">IF(Delay!B40="","",Fee*$A40+Vq*Delay!B40)</f>
        <v>23.186798906724</v>
      </c>
      <c r="C40" s="19" t="n">
        <f aca="false">IF(Delay!C40="","",Fee*$A40+Vq*Delay!C40)</f>
        <v>21.4546324451994</v>
      </c>
      <c r="D40" s="19" t="n">
        <f aca="false">IF(Delay!D40="","",Fee*$A40+Vq*Delay!D40)</f>
        <v>20.1223677102857</v>
      </c>
      <c r="E40" s="19" t="n">
        <f aca="false">IF(Delay!E40="","",Fee*$A40+Vq*Delay!E40)</f>
        <v>18.9058993574032</v>
      </c>
      <c r="F40" s="19" t="n">
        <f aca="false">IF(Delay!F40="","",Fee*$A40+Vq*Delay!F40)</f>
        <v>17.8755157952679</v>
      </c>
      <c r="G40" s="19" t="n">
        <f aca="false">IF(Delay!G40="","",Fee*$A40+Vq*Delay!G40)</f>
        <v>16.8703759072327</v>
      </c>
      <c r="H40" s="19" t="n">
        <f aca="false">IF(Delay!H40="","",Fee*$A40+Vq*Delay!H40)</f>
        <v>16.0797179844774</v>
      </c>
      <c r="I40" s="19" t="n">
        <f aca="false">IF(Delay!I40="","",Fee*$A40+Vq*Delay!I40)</f>
        <v>15.3444090920688</v>
      </c>
      <c r="J40" s="19" t="n">
        <f aca="false">IF(Delay!J40="","",Fee*$A40+Vq*Delay!J40)</f>
        <v>14.6915762491952</v>
      </c>
      <c r="K40" s="19" t="n">
        <f aca="false">IF(Delay!K40="","",Fee*$A40+Vq*Delay!K40)</f>
        <v>14.0873160811397</v>
      </c>
      <c r="L40" s="19" t="n">
        <f aca="false">IF(Delay!L40="","",Fee*$A40+Vq*Delay!L40)</f>
        <v>13.4760759053114</v>
      </c>
      <c r="M40" s="19" t="n">
        <f aca="false">IF(Delay!M40="","",Fee*$A40+Vq*Delay!M40)</f>
        <v>12.9062766025807</v>
      </c>
      <c r="N40" s="19" t="n">
        <f aca="false">IF(Delay!N40="","",Fee*$A40+Vq*Delay!N40)</f>
        <v>12.3962694540973</v>
      </c>
      <c r="O40" s="19" t="n">
        <f aca="false">IF(Delay!O40="","",Fee*$A40+Vq*Delay!O40)</f>
        <v>11.8934309345871</v>
      </c>
      <c r="P40" s="19" t="n">
        <f aca="false">IF(Delay!P40="","",Fee*$A40+Vq*Delay!P40)</f>
        <v>11.4006631759007</v>
      </c>
      <c r="Q40" s="19" t="n">
        <f aca="false">IF(Delay!Q40="","",Fee*$A40+Vq*Delay!Q40)</f>
        <v>10.9267612541759</v>
      </c>
      <c r="R40" s="19" t="n">
        <f aca="false">IF(Delay!R40="","",Fee*$A40+Vq*Delay!R40)</f>
        <v>10.4885256109009</v>
      </c>
      <c r="S40" s="19" t="n">
        <f aca="false">IF(Delay!S40="","",Fee*$A40+Vq*Delay!S40)</f>
        <v>10.0479918820561</v>
      </c>
      <c r="T40" s="19" t="n">
        <f aca="false">IF(Delay!T40="","",Fee*$A40+Vq*Delay!T40)</f>
        <v>9.66528304966822</v>
      </c>
      <c r="U40" s="19" t="n">
        <f aca="false">IF(Delay!U40="","",Fee*$A40+Vq*Delay!U40)</f>
        <v>9.26375433803122</v>
      </c>
      <c r="V40" s="19" t="n">
        <f aca="false">IF(Delay!V40="","",Fee*$A40+Vq*Delay!V40)</f>
        <v>8.9065538972594</v>
      </c>
      <c r="W40" s="19" t="n">
        <f aca="false">IF(Delay!W40="","",Fee*$A40+Vq*Delay!W40)</f>
        <v>8.55399076034342</v>
      </c>
      <c r="X40" s="19" t="n">
        <f aca="false">IF(Delay!X40="","",Fee*$A40+Vq*Delay!X40)</f>
        <v>8.2233741862362</v>
      </c>
      <c r="Y40" s="19" t="n">
        <f aca="false">IF(Delay!Y40="","",Fee*$A40+Vq*Delay!Y40)</f>
        <v>7.86136016358362</v>
      </c>
      <c r="Z40" s="19" t="n">
        <f aca="false">IF(Delay!Z40="","",Fee*$A40+Vq*Delay!Z40)</f>
        <v>7.510144876534</v>
      </c>
      <c r="AA40" s="19" t="n">
        <f aca="false">IF(Delay!AA40="","",Fee*$A40+Vq*Delay!AA40)</f>
        <v>7.21942528102764</v>
      </c>
      <c r="AB40" s="19" t="n">
        <f aca="false">IF(Delay!AB40="","",Fee*$A40+Vq*Delay!AB40)</f>
        <v>6.92627938794572</v>
      </c>
      <c r="AC40" s="19" t="n">
        <f aca="false">IF(Delay!AC40="","",Fee*$A40+Vq*Delay!AC40)</f>
        <v>6.63880946740234</v>
      </c>
      <c r="AD40" s="19" t="n">
        <f aca="false">IF(Delay!AD40="","",Fee*$A40+Vq*Delay!AD40)</f>
        <v>6.32858097907322</v>
      </c>
      <c r="AE40" s="19" t="n">
        <f aca="false">IF(Delay!AE40="","",Fee*$A40+Vq*Delay!AE40)</f>
        <v>6.03566872687372</v>
      </c>
      <c r="AF40" s="19" t="n">
        <f aca="false">IF(Delay!AF40="","",Fee*$A40+Vq*Delay!AF40)</f>
        <v>5.77406497760938</v>
      </c>
      <c r="AG40" s="19" t="n">
        <f aca="false">IF(Delay!AG40="","",Fee*$A40+Vq*Delay!AG40)</f>
        <v>5.47549057617276</v>
      </c>
      <c r="AH40" s="19" t="n">
        <f aca="false">IF(Delay!AH40="","",Fee*$A40+Vq*Delay!AH40)</f>
        <v>5.25</v>
      </c>
      <c r="AI40" s="19" t="n">
        <f aca="false">IF(Delay!AI40="","",Fee*$A40+Vq*Delay!AI40)</f>
        <v>5.25</v>
      </c>
      <c r="AJ40" s="19" t="n">
        <f aca="false">IF(Delay!AJ40="","",Fee*$A40+Vq*Delay!AJ40)</f>
        <v>5.25</v>
      </c>
      <c r="AK40" s="19" t="n">
        <f aca="false">IF(Delay!AK40="","",Fee*$A40+Vq*Delay!AK40)</f>
        <v>5.25</v>
      </c>
      <c r="AL40" s="19" t="n">
        <f aca="false">IF(Delay!AL40="","",Fee*$A40+Vq*Delay!AL40)</f>
        <v>5.25</v>
      </c>
      <c r="AM40" s="19" t="n">
        <f aca="false">IF(Delay!AM40="","",Fee*$A40+Vq*Delay!AM40)</f>
        <v>5.25</v>
      </c>
      <c r="AN40" s="19" t="n">
        <f aca="false">IF(Delay!AN40="","",Fee*$A40+Vq*Delay!AN40)</f>
        <v>5.25</v>
      </c>
      <c r="AO40" s="19" t="n">
        <f aca="false">IF(Delay!AO40="","",Fee*$A40+Vq*Delay!AO40)</f>
        <v>5.25</v>
      </c>
      <c r="AP40" s="19" t="n">
        <f aca="false">IF(Delay!AP40="","",Fee*$A40+Vq*Delay!AP40)</f>
        <v>5.25</v>
      </c>
      <c r="AQ40" s="19" t="n">
        <f aca="false">IF(Delay!AQ40="","",Fee*$A40+Vq*Delay!AQ40)</f>
        <v>5.25</v>
      </c>
      <c r="AR40" s="19" t="n">
        <f aca="false">IF(Delay!AR40="","",Fee*$A40+Vq*Delay!AR40)</f>
        <v>5.25</v>
      </c>
      <c r="AS40" s="19" t="n">
        <f aca="false">IF(Delay!AS40="","",Fee*$A40+Vq*Delay!AS40)</f>
        <v>5.25</v>
      </c>
      <c r="AT40" s="19" t="n">
        <f aca="false">IF(Delay!AT40="","",Fee*$A40+Vq*Delay!AT40)</f>
        <v>5.25</v>
      </c>
      <c r="AU40" s="19" t="n">
        <f aca="false">IF(Delay!AU40="","",Fee*$A40+Vq*Delay!AU40)</f>
        <v>5.25</v>
      </c>
      <c r="AV40" s="19" t="n">
        <f aca="false">IF(Delay!AV40="","",Fee*$A40+Vq*Delay!AV40)</f>
        <v>5.25</v>
      </c>
      <c r="AW40" s="19" t="n">
        <f aca="false">IF(Delay!AW40="","",Fee*$A40+Vq*Delay!AW40)</f>
        <v>5.25</v>
      </c>
      <c r="AX40" s="19" t="n">
        <f aca="false">IF(Delay!AX40="","",Fee*$A40+Vq*Delay!AX40)</f>
        <v>5.25</v>
      </c>
      <c r="AY40" s="19" t="n">
        <f aca="false">IF(Delay!AY40="","",Fee*$A40+Vq*Delay!AY40)</f>
        <v>5.25</v>
      </c>
      <c r="AZ40" s="19" t="n">
        <f aca="false">IF(Delay!AZ40="","",Fee*$A40+Vq*Delay!AZ40)</f>
        <v>5.25</v>
      </c>
      <c r="BA40" s="19" t="n">
        <f aca="false">IF(Delay!BA40="","",Fee*$A40+Vq*Delay!BA40)</f>
        <v>5.25</v>
      </c>
      <c r="BB40" s="19" t="n">
        <f aca="false">IF(Delay!BB40="","",Fee*$A40+Vq*Delay!BB40)</f>
        <v>5.25</v>
      </c>
      <c r="BC40" s="19" t="n">
        <f aca="false">IF(Delay!BC40="","",Fee*$A40+Vq*Delay!BC40)</f>
        <v>5.25</v>
      </c>
      <c r="BD40" s="19" t="n">
        <f aca="false">IF(Delay!BD40="","",Fee*$A40+Vq*Delay!BD40)</f>
        <v>5.25</v>
      </c>
      <c r="BE40" s="19" t="n">
        <f aca="false">IF(Delay!BE40="","",Fee*$A40+Vq*Delay!BE40)</f>
        <v>5.25</v>
      </c>
      <c r="BF40" s="19" t="n">
        <f aca="false">IF(Delay!BF40="","",Fee*$A40+Vq*Delay!BF40)</f>
        <v>5.25</v>
      </c>
      <c r="BG40" s="19" t="n">
        <f aca="false">IF(Delay!BG40="","",Fee*$A40+Vq*Delay!BG40)</f>
        <v>5.25</v>
      </c>
      <c r="BH40" s="19" t="n">
        <f aca="false">IF(Delay!BH40="","",Fee*$A40+Vq*Delay!BH40)</f>
        <v>5.25</v>
      </c>
      <c r="BI40" s="19" t="n">
        <f aca="false">IF(Delay!BI40="","",Fee*$A40+Vq*Delay!BI40)</f>
        <v>5.25</v>
      </c>
      <c r="BJ40" s="19" t="n">
        <f aca="false">IF(Delay!BJ40="","",Fee*$A40+Vq*Delay!BJ40)</f>
        <v>5.25</v>
      </c>
      <c r="BK40" s="19" t="n">
        <f aca="false">IF(Delay!BK40="","",Fee*$A40+Vq*Delay!BK40)</f>
        <v>5.25</v>
      </c>
      <c r="BL40" s="19" t="n">
        <f aca="false">IF(Delay!BL40="","",Fee*$A40+Vq*Delay!BL40)</f>
        <v>5.25</v>
      </c>
      <c r="BM40" s="19" t="n">
        <f aca="false">IF(Delay!BM40="","",Fee*$A40+Vq*Delay!BM40)</f>
        <v>5.25</v>
      </c>
      <c r="BN40" s="19" t="n">
        <f aca="false">IF(Delay!BN40="","",Fee*$A40+Vq*Delay!BN40)</f>
        <v>5.25</v>
      </c>
      <c r="BO40" s="19" t="n">
        <f aca="false">IF(Delay!BO40="","",Fee*$A40+Vq*Delay!BO40)</f>
        <v>5.25</v>
      </c>
      <c r="BP40" s="19" t="n">
        <f aca="false">IF(Delay!BP40="","",Fee*$A40+Vq*Delay!BP40)</f>
        <v>5.25</v>
      </c>
      <c r="BQ40" s="19" t="n">
        <f aca="false">IF(Delay!BQ40="","",Fee*$A40+Vq*Delay!BQ40)</f>
        <v>5.25</v>
      </c>
      <c r="BR40" s="19" t="n">
        <f aca="false">IF(Delay!BR40="","",Fee*$A40+Vq*Delay!BR40)</f>
        <v>5.25</v>
      </c>
      <c r="BS40" s="19" t="n">
        <f aca="false">IF(Delay!BS40="","",Fee*$A40+Vq*Delay!BS40)</f>
        <v>5.25</v>
      </c>
      <c r="BT40" s="19" t="n">
        <f aca="false">IF(Delay!BT40="","",Fee*$A40+Vq*Delay!BT40)</f>
        <v>5.25</v>
      </c>
      <c r="BU40" s="19" t="n">
        <f aca="false">IF(Delay!BU40="","",Fee*$A40+Vq*Delay!BU40)</f>
        <v>5.25</v>
      </c>
      <c r="BV40" s="19" t="n">
        <f aca="false">IF(Delay!BV40="","",Fee*$A40+Vq*Delay!BV40)</f>
        <v>5.25</v>
      </c>
      <c r="BW40" s="19" t="n">
        <f aca="false">IF(Delay!BW40="","",Fee*$A40+Vq*Delay!BW40)</f>
        <v>5.25</v>
      </c>
      <c r="BX40" s="19" t="n">
        <f aca="false">IF(Delay!BX40="","",Fee*$A40+Vq*Delay!BX40)</f>
        <v>5.25</v>
      </c>
      <c r="BY40" s="19" t="n">
        <f aca="false">IF(Delay!BY40="","",Fee*$A40+Vq*Delay!BY40)</f>
        <v>5.25</v>
      </c>
      <c r="BZ40" s="19" t="n">
        <f aca="false">IF(Delay!BZ40="","",Fee*$A40+Vq*Delay!BZ40)</f>
        <v>5.25</v>
      </c>
      <c r="CA40" s="19" t="n">
        <f aca="false">IF(Delay!CA40="","",Fee*$A40+Vq*Delay!CA40)</f>
        <v>5.25</v>
      </c>
      <c r="CB40" s="19" t="n">
        <f aca="false">IF(Delay!CB40="","",Fee*$A40+Vq*Delay!CB40)</f>
        <v>5.25</v>
      </c>
      <c r="CC40" s="19" t="n">
        <f aca="false">IF(Delay!CC40="","",Fee*$A40+Vq*Delay!CC40)</f>
        <v>5.25</v>
      </c>
      <c r="CD40" s="19" t="n">
        <f aca="false">IF(Delay!CD40="","",Fee*$A40+Vq*Delay!CD40)</f>
        <v>5.25</v>
      </c>
      <c r="CE40" s="19" t="n">
        <f aca="false">IF(Delay!CE40="","",Fee*$A40+Vq*Delay!CE40)</f>
        <v>5.25</v>
      </c>
      <c r="CF40" s="19" t="n">
        <f aca="false">IF(Delay!CF40="","",Fee*$A40+Vq*Delay!CF40)</f>
        <v>5.25</v>
      </c>
      <c r="CG40" s="19" t="n">
        <f aca="false">IF(Delay!CG40="","",Fee*$A40+Vq*Delay!CG40)</f>
        <v>5.25</v>
      </c>
      <c r="CH40" s="19" t="n">
        <f aca="false">IF(Delay!CH40="","",Fee*$A40+Vq*Delay!CH40)</f>
        <v>5.25</v>
      </c>
      <c r="CI40" s="19" t="n">
        <f aca="false">IF(Delay!CI40="","",Fee*$A40+Vq*Delay!CI40)</f>
        <v>5.25</v>
      </c>
      <c r="CJ40" s="19" t="n">
        <f aca="false">IF(Delay!CJ40="","",Fee*$A40+Vq*Delay!CJ40)</f>
        <v>5.25</v>
      </c>
      <c r="CK40" s="19" t="n">
        <f aca="false">IF(Delay!CK40="","",Fee*$A40+Vq*Delay!CK40)</f>
        <v>5.25</v>
      </c>
      <c r="CL40" s="19" t="n">
        <f aca="false">IF(Delay!CL40="","",Fee*$A40+Vq*Delay!CL40)</f>
        <v>5.25</v>
      </c>
      <c r="CM40" s="19" t="n">
        <f aca="false">IF(Delay!CM40="","",Fee*$A40+Vq*Delay!CM40)</f>
        <v>5.25</v>
      </c>
      <c r="CN40" s="19" t="n">
        <f aca="false">IF(Delay!CN40="","",Fee*$A40+Vq*Delay!CN40)</f>
        <v>5.25</v>
      </c>
      <c r="CO40" s="19" t="n">
        <f aca="false">IF(Delay!CO40="","",Fee*$A40+Vq*Delay!CO40)</f>
        <v>5.25</v>
      </c>
      <c r="CP40" s="19" t="n">
        <f aca="false">IF(Delay!CP40="","",Fee*$A40+Vq*Delay!CP40)</f>
        <v>5.25</v>
      </c>
      <c r="CQ40" s="19" t="n">
        <f aca="false">IF(Delay!CQ40="","",Fee*$A40+Vq*Delay!CQ40)</f>
        <v>5.25</v>
      </c>
      <c r="CR40" s="19" t="n">
        <f aca="false">IF(Delay!CR40="","",Fee*$A40+Vq*Delay!CR40)</f>
        <v>5.25</v>
      </c>
      <c r="CS40" s="19" t="n">
        <f aca="false">IF(Delay!CS40="","",Fee*$A40+Vq*Delay!CS40)</f>
        <v>5.25</v>
      </c>
      <c r="CT40" s="19" t="n">
        <f aca="false">IF(Delay!CT40="","",Fee*$A40+Vq*Delay!CT40)</f>
        <v>14.6881815933988</v>
      </c>
    </row>
    <row r="41" customFormat="false" ht="15" hidden="false" customHeight="false" outlineLevel="0" collapsed="false">
      <c r="A41" s="25" t="n">
        <f aca="false">Quantiles!A41</f>
        <v>180</v>
      </c>
      <c r="B41" s="19" t="n">
        <f aca="false">IF(Delay!B41="","",Fee*$A41+Vq*Delay!B41)</f>
        <v>23.125325432657</v>
      </c>
      <c r="C41" s="19" t="n">
        <f aca="false">IF(Delay!C41="","",Fee*$A41+Vq*Delay!C41)</f>
        <v>21.3993792759201</v>
      </c>
      <c r="D41" s="19" t="n">
        <f aca="false">IF(Delay!D41="","",Fee*$A41+Vq*Delay!D41)</f>
        <v>20.1259029154375</v>
      </c>
      <c r="E41" s="19" t="n">
        <f aca="false">IF(Delay!E41="","",Fee*$A41+Vq*Delay!E41)</f>
        <v>18.8928719848233</v>
      </c>
      <c r="F41" s="19" t="n">
        <f aca="false">IF(Delay!F41="","",Fee*$A41+Vq*Delay!F41)</f>
        <v>17.8885035127832</v>
      </c>
      <c r="G41" s="19" t="n">
        <f aca="false">IF(Delay!G41="","",Fee*$A41+Vq*Delay!G41)</f>
        <v>16.9277743876465</v>
      </c>
      <c r="H41" s="19" t="n">
        <f aca="false">IF(Delay!H41="","",Fee*$A41+Vq*Delay!H41)</f>
        <v>16.1144740116247</v>
      </c>
      <c r="I41" s="19" t="n">
        <f aca="false">IF(Delay!I41="","",Fee*$A41+Vq*Delay!I41)</f>
        <v>15.3636062946476</v>
      </c>
      <c r="J41" s="19" t="n">
        <f aca="false">IF(Delay!J41="","",Fee*$A41+Vq*Delay!J41)</f>
        <v>14.6841240841621</v>
      </c>
      <c r="K41" s="19" t="n">
        <f aca="false">IF(Delay!K41="","",Fee*$A41+Vq*Delay!K41)</f>
        <v>14.0968806270685</v>
      </c>
      <c r="L41" s="19" t="n">
        <f aca="false">IF(Delay!L41="","",Fee*$A41+Vq*Delay!L41)</f>
        <v>13.479798618285</v>
      </c>
      <c r="M41" s="19" t="n">
        <f aca="false">IF(Delay!M41="","",Fee*$A41+Vq*Delay!M41)</f>
        <v>12.9244398167732</v>
      </c>
      <c r="N41" s="19" t="n">
        <f aca="false">IF(Delay!N41="","",Fee*$A41+Vq*Delay!N41)</f>
        <v>12.4162403492623</v>
      </c>
      <c r="O41" s="19" t="n">
        <f aca="false">IF(Delay!O41="","",Fee*$A41+Vq*Delay!O41)</f>
        <v>11.9014646720122</v>
      </c>
      <c r="P41" s="19" t="n">
        <f aca="false">IF(Delay!P41="","",Fee*$A41+Vq*Delay!P41)</f>
        <v>11.4250656610066</v>
      </c>
      <c r="Q41" s="19" t="n">
        <f aca="false">IF(Delay!Q41="","",Fee*$A41+Vq*Delay!Q41)</f>
        <v>10.981039224361</v>
      </c>
      <c r="R41" s="19" t="n">
        <f aca="false">IF(Delay!R41="","",Fee*$A41+Vq*Delay!R41)</f>
        <v>10.5147048079089</v>
      </c>
      <c r="S41" s="19" t="n">
        <f aca="false">IF(Delay!S41="","",Fee*$A41+Vq*Delay!S41)</f>
        <v>10.0984295538643</v>
      </c>
      <c r="T41" s="19" t="n">
        <f aca="false">IF(Delay!T41="","",Fee*$A41+Vq*Delay!T41)</f>
        <v>9.69364116049558</v>
      </c>
      <c r="U41" s="19" t="n">
        <f aca="false">IF(Delay!U41="","",Fee*$A41+Vq*Delay!U41)</f>
        <v>9.31077092254734</v>
      </c>
      <c r="V41" s="19" t="n">
        <f aca="false">IF(Delay!V41="","",Fee*$A41+Vq*Delay!V41)</f>
        <v>8.97007626275962</v>
      </c>
      <c r="W41" s="19" t="n">
        <f aca="false">IF(Delay!W41="","",Fee*$A41+Vq*Delay!W41)</f>
        <v>8.62108603346256</v>
      </c>
      <c r="X41" s="19" t="n">
        <f aca="false">IF(Delay!X41="","",Fee*$A41+Vq*Delay!X41)</f>
        <v>8.26711542310656</v>
      </c>
      <c r="Y41" s="19" t="n">
        <f aca="false">IF(Delay!Y41="","",Fee*$A41+Vq*Delay!Y41)</f>
        <v>7.94197917030712</v>
      </c>
      <c r="Z41" s="19" t="n">
        <f aca="false">IF(Delay!Z41="","",Fee*$A41+Vq*Delay!Z41)</f>
        <v>7.59320796431182</v>
      </c>
      <c r="AA41" s="19" t="n">
        <f aca="false">IF(Delay!AA41="","",Fee*$A41+Vq*Delay!AA41)</f>
        <v>7.29464342499216</v>
      </c>
      <c r="AB41" s="19" t="n">
        <f aca="false">IF(Delay!AB41="","",Fee*$A41+Vq*Delay!AB41)</f>
        <v>6.99515555308654</v>
      </c>
      <c r="AC41" s="19" t="n">
        <f aca="false">IF(Delay!AC41="","",Fee*$A41+Vq*Delay!AC41)</f>
        <v>6.70713669859704</v>
      </c>
      <c r="AD41" s="19" t="n">
        <f aca="false">IF(Delay!AD41="","",Fee*$A41+Vq*Delay!AD41)</f>
        <v>6.39293293462548</v>
      </c>
      <c r="AE41" s="19" t="n">
        <f aca="false">IF(Delay!AE41="","",Fee*$A41+Vq*Delay!AE41)</f>
        <v>6.11093053301982</v>
      </c>
      <c r="AF41" s="19" t="n">
        <f aca="false">IF(Delay!AF41="","",Fee*$A41+Vq*Delay!AF41)</f>
        <v>5.8087019224404</v>
      </c>
      <c r="AG41" s="19" t="n">
        <f aca="false">IF(Delay!AG41="","",Fee*$A41+Vq*Delay!AG41)</f>
        <v>5.54503544991414</v>
      </c>
      <c r="AH41" s="19" t="n">
        <f aca="false">IF(Delay!AH41="","",Fee*$A41+Vq*Delay!AH41)</f>
        <v>5.4</v>
      </c>
      <c r="AI41" s="19" t="n">
        <f aca="false">IF(Delay!AI41="","",Fee*$A41+Vq*Delay!AI41)</f>
        <v>5.4</v>
      </c>
      <c r="AJ41" s="19" t="n">
        <f aca="false">IF(Delay!AJ41="","",Fee*$A41+Vq*Delay!AJ41)</f>
        <v>5.4</v>
      </c>
      <c r="AK41" s="19" t="n">
        <f aca="false">IF(Delay!AK41="","",Fee*$A41+Vq*Delay!AK41)</f>
        <v>5.4</v>
      </c>
      <c r="AL41" s="19" t="n">
        <f aca="false">IF(Delay!AL41="","",Fee*$A41+Vq*Delay!AL41)</f>
        <v>5.4</v>
      </c>
      <c r="AM41" s="19" t="n">
        <f aca="false">IF(Delay!AM41="","",Fee*$A41+Vq*Delay!AM41)</f>
        <v>5.4</v>
      </c>
      <c r="AN41" s="19" t="n">
        <f aca="false">IF(Delay!AN41="","",Fee*$A41+Vq*Delay!AN41)</f>
        <v>5.4</v>
      </c>
      <c r="AO41" s="19" t="n">
        <f aca="false">IF(Delay!AO41="","",Fee*$A41+Vq*Delay!AO41)</f>
        <v>5.4</v>
      </c>
      <c r="AP41" s="19" t="n">
        <f aca="false">IF(Delay!AP41="","",Fee*$A41+Vq*Delay!AP41)</f>
        <v>5.4</v>
      </c>
      <c r="AQ41" s="19" t="n">
        <f aca="false">IF(Delay!AQ41="","",Fee*$A41+Vq*Delay!AQ41)</f>
        <v>5.4</v>
      </c>
      <c r="AR41" s="19" t="n">
        <f aca="false">IF(Delay!AR41="","",Fee*$A41+Vq*Delay!AR41)</f>
        <v>5.4</v>
      </c>
      <c r="AS41" s="19" t="n">
        <f aca="false">IF(Delay!AS41="","",Fee*$A41+Vq*Delay!AS41)</f>
        <v>5.4</v>
      </c>
      <c r="AT41" s="19" t="n">
        <f aca="false">IF(Delay!AT41="","",Fee*$A41+Vq*Delay!AT41)</f>
        <v>5.4</v>
      </c>
      <c r="AU41" s="19" t="n">
        <f aca="false">IF(Delay!AU41="","",Fee*$A41+Vq*Delay!AU41)</f>
        <v>5.4</v>
      </c>
      <c r="AV41" s="19" t="n">
        <f aca="false">IF(Delay!AV41="","",Fee*$A41+Vq*Delay!AV41)</f>
        <v>5.4</v>
      </c>
      <c r="AW41" s="19" t="n">
        <f aca="false">IF(Delay!AW41="","",Fee*$A41+Vq*Delay!AW41)</f>
        <v>5.4</v>
      </c>
      <c r="AX41" s="19" t="n">
        <f aca="false">IF(Delay!AX41="","",Fee*$A41+Vq*Delay!AX41)</f>
        <v>5.4</v>
      </c>
      <c r="AY41" s="19" t="n">
        <f aca="false">IF(Delay!AY41="","",Fee*$A41+Vq*Delay!AY41)</f>
        <v>5.4</v>
      </c>
      <c r="AZ41" s="19" t="n">
        <f aca="false">IF(Delay!AZ41="","",Fee*$A41+Vq*Delay!AZ41)</f>
        <v>5.4</v>
      </c>
      <c r="BA41" s="19" t="n">
        <f aca="false">IF(Delay!BA41="","",Fee*$A41+Vq*Delay!BA41)</f>
        <v>5.4</v>
      </c>
      <c r="BB41" s="19" t="n">
        <f aca="false">IF(Delay!BB41="","",Fee*$A41+Vq*Delay!BB41)</f>
        <v>5.4</v>
      </c>
      <c r="BC41" s="19" t="n">
        <f aca="false">IF(Delay!BC41="","",Fee*$A41+Vq*Delay!BC41)</f>
        <v>5.4</v>
      </c>
      <c r="BD41" s="19" t="n">
        <f aca="false">IF(Delay!BD41="","",Fee*$A41+Vq*Delay!BD41)</f>
        <v>5.4</v>
      </c>
      <c r="BE41" s="19" t="n">
        <f aca="false">IF(Delay!BE41="","",Fee*$A41+Vq*Delay!BE41)</f>
        <v>5.4</v>
      </c>
      <c r="BF41" s="19" t="n">
        <f aca="false">IF(Delay!BF41="","",Fee*$A41+Vq*Delay!BF41)</f>
        <v>5.4</v>
      </c>
      <c r="BG41" s="19" t="n">
        <f aca="false">IF(Delay!BG41="","",Fee*$A41+Vq*Delay!BG41)</f>
        <v>5.4</v>
      </c>
      <c r="BH41" s="19" t="n">
        <f aca="false">IF(Delay!BH41="","",Fee*$A41+Vq*Delay!BH41)</f>
        <v>5.4</v>
      </c>
      <c r="BI41" s="19" t="n">
        <f aca="false">IF(Delay!BI41="","",Fee*$A41+Vq*Delay!BI41)</f>
        <v>5.4</v>
      </c>
      <c r="BJ41" s="19" t="n">
        <f aca="false">IF(Delay!BJ41="","",Fee*$A41+Vq*Delay!BJ41)</f>
        <v>5.4</v>
      </c>
      <c r="BK41" s="19" t="n">
        <f aca="false">IF(Delay!BK41="","",Fee*$A41+Vq*Delay!BK41)</f>
        <v>5.4</v>
      </c>
      <c r="BL41" s="19" t="n">
        <f aca="false">IF(Delay!BL41="","",Fee*$A41+Vq*Delay!BL41)</f>
        <v>5.4</v>
      </c>
      <c r="BM41" s="19" t="n">
        <f aca="false">IF(Delay!BM41="","",Fee*$A41+Vq*Delay!BM41)</f>
        <v>5.4</v>
      </c>
      <c r="BN41" s="19" t="n">
        <f aca="false">IF(Delay!BN41="","",Fee*$A41+Vq*Delay!BN41)</f>
        <v>5.4</v>
      </c>
      <c r="BO41" s="19" t="n">
        <f aca="false">IF(Delay!BO41="","",Fee*$A41+Vq*Delay!BO41)</f>
        <v>5.4</v>
      </c>
      <c r="BP41" s="19" t="n">
        <f aca="false">IF(Delay!BP41="","",Fee*$A41+Vq*Delay!BP41)</f>
        <v>5.4</v>
      </c>
      <c r="BQ41" s="19" t="n">
        <f aca="false">IF(Delay!BQ41="","",Fee*$A41+Vq*Delay!BQ41)</f>
        <v>5.4</v>
      </c>
      <c r="BR41" s="19" t="n">
        <f aca="false">IF(Delay!BR41="","",Fee*$A41+Vq*Delay!BR41)</f>
        <v>5.4</v>
      </c>
      <c r="BS41" s="19" t="n">
        <f aca="false">IF(Delay!BS41="","",Fee*$A41+Vq*Delay!BS41)</f>
        <v>5.4</v>
      </c>
      <c r="BT41" s="19" t="n">
        <f aca="false">IF(Delay!BT41="","",Fee*$A41+Vq*Delay!BT41)</f>
        <v>5.4</v>
      </c>
      <c r="BU41" s="19" t="n">
        <f aca="false">IF(Delay!BU41="","",Fee*$A41+Vq*Delay!BU41)</f>
        <v>5.4</v>
      </c>
      <c r="BV41" s="19" t="n">
        <f aca="false">IF(Delay!BV41="","",Fee*$A41+Vq*Delay!BV41)</f>
        <v>5.4</v>
      </c>
      <c r="BW41" s="19" t="n">
        <f aca="false">IF(Delay!BW41="","",Fee*$A41+Vq*Delay!BW41)</f>
        <v>5.4</v>
      </c>
      <c r="BX41" s="19" t="n">
        <f aca="false">IF(Delay!BX41="","",Fee*$A41+Vq*Delay!BX41)</f>
        <v>5.4</v>
      </c>
      <c r="BY41" s="19" t="n">
        <f aca="false">IF(Delay!BY41="","",Fee*$A41+Vq*Delay!BY41)</f>
        <v>5.4</v>
      </c>
      <c r="BZ41" s="19" t="n">
        <f aca="false">IF(Delay!BZ41="","",Fee*$A41+Vq*Delay!BZ41)</f>
        <v>5.4</v>
      </c>
      <c r="CA41" s="19" t="n">
        <f aca="false">IF(Delay!CA41="","",Fee*$A41+Vq*Delay!CA41)</f>
        <v>5.4</v>
      </c>
      <c r="CB41" s="19" t="n">
        <f aca="false">IF(Delay!CB41="","",Fee*$A41+Vq*Delay!CB41)</f>
        <v>5.4</v>
      </c>
      <c r="CC41" s="19" t="n">
        <f aca="false">IF(Delay!CC41="","",Fee*$A41+Vq*Delay!CC41)</f>
        <v>5.4</v>
      </c>
      <c r="CD41" s="19" t="n">
        <f aca="false">IF(Delay!CD41="","",Fee*$A41+Vq*Delay!CD41)</f>
        <v>5.4</v>
      </c>
      <c r="CE41" s="19" t="n">
        <f aca="false">IF(Delay!CE41="","",Fee*$A41+Vq*Delay!CE41)</f>
        <v>5.4</v>
      </c>
      <c r="CF41" s="19" t="n">
        <f aca="false">IF(Delay!CF41="","",Fee*$A41+Vq*Delay!CF41)</f>
        <v>5.4</v>
      </c>
      <c r="CG41" s="19" t="n">
        <f aca="false">IF(Delay!CG41="","",Fee*$A41+Vq*Delay!CG41)</f>
        <v>5.4</v>
      </c>
      <c r="CH41" s="19" t="n">
        <f aca="false">IF(Delay!CH41="","",Fee*$A41+Vq*Delay!CH41)</f>
        <v>5.4</v>
      </c>
      <c r="CI41" s="19" t="n">
        <f aca="false">IF(Delay!CI41="","",Fee*$A41+Vq*Delay!CI41)</f>
        <v>5.4</v>
      </c>
      <c r="CJ41" s="19" t="n">
        <f aca="false">IF(Delay!CJ41="","",Fee*$A41+Vq*Delay!CJ41)</f>
        <v>5.4</v>
      </c>
      <c r="CK41" s="19" t="n">
        <f aca="false">IF(Delay!CK41="","",Fee*$A41+Vq*Delay!CK41)</f>
        <v>5.4</v>
      </c>
      <c r="CL41" s="19" t="n">
        <f aca="false">IF(Delay!CL41="","",Fee*$A41+Vq*Delay!CL41)</f>
        <v>5.4</v>
      </c>
      <c r="CM41" s="19" t="n">
        <f aca="false">IF(Delay!CM41="","",Fee*$A41+Vq*Delay!CM41)</f>
        <v>5.4</v>
      </c>
      <c r="CN41" s="19" t="n">
        <f aca="false">IF(Delay!CN41="","",Fee*$A41+Vq*Delay!CN41)</f>
        <v>5.4</v>
      </c>
      <c r="CO41" s="19" t="n">
        <f aca="false">IF(Delay!CO41="","",Fee*$A41+Vq*Delay!CO41)</f>
        <v>5.4</v>
      </c>
      <c r="CP41" s="19" t="n">
        <f aca="false">IF(Delay!CP41="","",Fee*$A41+Vq*Delay!CP41)</f>
        <v>5.4</v>
      </c>
      <c r="CQ41" s="19" t="n">
        <f aca="false">IF(Delay!CQ41="","",Fee*$A41+Vq*Delay!CQ41)</f>
        <v>5.4</v>
      </c>
      <c r="CR41" s="19" t="n">
        <f aca="false">IF(Delay!CR41="","",Fee*$A41+Vq*Delay!CR41)</f>
        <v>5.4</v>
      </c>
      <c r="CS41" s="19" t="n">
        <f aca="false">IF(Delay!CS41="","",Fee*$A41+Vq*Delay!CS41)</f>
        <v>5.4</v>
      </c>
      <c r="CT41" s="19" t="n">
        <f aca="false">IF(Delay!CT41="","",Fee*$A41+Vq*Delay!CT41)</f>
        <v>14.668098117088</v>
      </c>
    </row>
    <row r="42" customFormat="false" ht="15" hidden="false" customHeight="false" outlineLevel="0" collapsed="false">
      <c r="A42" s="25" t="n">
        <f aca="false">Quantiles!A42</f>
        <v>185</v>
      </c>
      <c r="B42" s="19" t="n">
        <f aca="false">IF(Delay!B42="","",Fee*$A42+Vq*Delay!B42)</f>
        <v>23.1172906055201</v>
      </c>
      <c r="C42" s="19" t="n">
        <f aca="false">IF(Delay!C42="","",Fee*$A42+Vq*Delay!C42)</f>
        <v>21.3376059843978</v>
      </c>
      <c r="D42" s="19" t="n">
        <f aca="false">IF(Delay!D42="","",Fee*$A42+Vq*Delay!D42)</f>
        <v>20.1446101534354</v>
      </c>
      <c r="E42" s="19" t="n">
        <f aca="false">IF(Delay!E42="","",Fee*$A42+Vq*Delay!E42)</f>
        <v>18.8803675829439</v>
      </c>
      <c r="F42" s="19" t="n">
        <f aca="false">IF(Delay!F42="","",Fee*$A42+Vq*Delay!F42)</f>
        <v>17.8799713702463</v>
      </c>
      <c r="G42" s="19" t="n">
        <f aca="false">IF(Delay!G42="","",Fee*$A42+Vq*Delay!G42)</f>
        <v>16.9839965508233</v>
      </c>
      <c r="H42" s="19" t="n">
        <f aca="false">IF(Delay!H42="","",Fee*$A42+Vq*Delay!H42)</f>
        <v>16.1563397494775</v>
      </c>
      <c r="I42" s="19" t="n">
        <f aca="false">IF(Delay!I42="","",Fee*$A42+Vq*Delay!I42)</f>
        <v>15.4425533425222</v>
      </c>
      <c r="J42" s="19" t="n">
        <f aca="false">IF(Delay!J42="","",Fee*$A42+Vq*Delay!J42)</f>
        <v>14.7423100038069</v>
      </c>
      <c r="K42" s="19" t="n">
        <f aca="false">IF(Delay!K42="","",Fee*$A42+Vq*Delay!K42)</f>
        <v>14.1312887432126</v>
      </c>
      <c r="L42" s="19" t="n">
        <f aca="false">IF(Delay!L42="","",Fee*$A42+Vq*Delay!L42)</f>
        <v>13.5099082006305</v>
      </c>
      <c r="M42" s="19" t="n">
        <f aca="false">IF(Delay!M42="","",Fee*$A42+Vq*Delay!M42)</f>
        <v>12.9413462172704</v>
      </c>
      <c r="N42" s="19" t="n">
        <f aca="false">IF(Delay!N42="","",Fee*$A42+Vq*Delay!N42)</f>
        <v>12.455437110394</v>
      </c>
      <c r="O42" s="19" t="n">
        <f aca="false">IF(Delay!O42="","",Fee*$A42+Vq*Delay!O42)</f>
        <v>11.9553605889615</v>
      </c>
      <c r="P42" s="19" t="n">
        <f aca="false">IF(Delay!P42="","",Fee*$A42+Vq*Delay!P42)</f>
        <v>11.4648976648165</v>
      </c>
      <c r="Q42" s="19" t="n">
        <f aca="false">IF(Delay!Q42="","",Fee*$A42+Vq*Delay!Q42)</f>
        <v>11.0119287249118</v>
      </c>
      <c r="R42" s="19" t="n">
        <f aca="false">IF(Delay!R42="","",Fee*$A42+Vq*Delay!R42)</f>
        <v>10.5641681440719</v>
      </c>
      <c r="S42" s="19" t="n">
        <f aca="false">IF(Delay!S42="","",Fee*$A42+Vq*Delay!S42)</f>
        <v>10.1612738147397</v>
      </c>
      <c r="T42" s="19" t="n">
        <f aca="false">IF(Delay!T42="","",Fee*$A42+Vq*Delay!T42)</f>
        <v>9.74170210532506</v>
      </c>
      <c r="U42" s="19" t="n">
        <f aca="false">IF(Delay!U42="","",Fee*$A42+Vq*Delay!U42)</f>
        <v>9.3818134331222</v>
      </c>
      <c r="V42" s="19" t="n">
        <f aca="false">IF(Delay!V42="","",Fee*$A42+Vq*Delay!V42)</f>
        <v>9.02923196406402</v>
      </c>
      <c r="W42" s="19" t="n">
        <f aca="false">IF(Delay!W42="","",Fee*$A42+Vq*Delay!W42)</f>
        <v>8.68862400869236</v>
      </c>
      <c r="X42" s="19" t="n">
        <f aca="false">IF(Delay!X42="","",Fee*$A42+Vq*Delay!X42)</f>
        <v>8.34438261005998</v>
      </c>
      <c r="Y42" s="19" t="n">
        <f aca="false">IF(Delay!Y42="","",Fee*$A42+Vq*Delay!Y42)</f>
        <v>7.9962733180516</v>
      </c>
      <c r="Z42" s="19" t="n">
        <f aca="false">IF(Delay!Z42="","",Fee*$A42+Vq*Delay!Z42)</f>
        <v>7.67883796802904</v>
      </c>
      <c r="AA42" s="19" t="n">
        <f aca="false">IF(Delay!AA42="","",Fee*$A42+Vq*Delay!AA42)</f>
        <v>7.369665411512</v>
      </c>
      <c r="AB42" s="19" t="n">
        <f aca="false">IF(Delay!AB42="","",Fee*$A42+Vq*Delay!AB42)</f>
        <v>7.07572283965886</v>
      </c>
      <c r="AC42" s="19" t="n">
        <f aca="false">IF(Delay!AC42="","",Fee*$A42+Vq*Delay!AC42)</f>
        <v>6.75957191865528</v>
      </c>
      <c r="AD42" s="19" t="n">
        <f aca="false">IF(Delay!AD42="","",Fee*$A42+Vq*Delay!AD42)</f>
        <v>6.4601568052378</v>
      </c>
      <c r="AE42" s="19" t="n">
        <f aca="false">IF(Delay!AE42="","",Fee*$A42+Vq*Delay!AE42)</f>
        <v>6.19763996790944</v>
      </c>
      <c r="AF42" s="19" t="n">
        <f aca="false">IF(Delay!AF42="","",Fee*$A42+Vq*Delay!AF42)</f>
        <v>5.88879276473506</v>
      </c>
      <c r="AG42" s="19" t="n">
        <f aca="false">IF(Delay!AG42="","",Fee*$A42+Vq*Delay!AG42)</f>
        <v>5.62920969366836</v>
      </c>
      <c r="AH42" s="19" t="n">
        <f aca="false">IF(Delay!AH42="","",Fee*$A42+Vq*Delay!AH42)</f>
        <v>5.55</v>
      </c>
      <c r="AI42" s="19" t="n">
        <f aca="false">IF(Delay!AI42="","",Fee*$A42+Vq*Delay!AI42)</f>
        <v>5.55</v>
      </c>
      <c r="AJ42" s="19" t="n">
        <f aca="false">IF(Delay!AJ42="","",Fee*$A42+Vq*Delay!AJ42)</f>
        <v>5.55</v>
      </c>
      <c r="AK42" s="19" t="n">
        <f aca="false">IF(Delay!AK42="","",Fee*$A42+Vq*Delay!AK42)</f>
        <v>5.55</v>
      </c>
      <c r="AL42" s="19" t="n">
        <f aca="false">IF(Delay!AL42="","",Fee*$A42+Vq*Delay!AL42)</f>
        <v>5.55</v>
      </c>
      <c r="AM42" s="19" t="n">
        <f aca="false">IF(Delay!AM42="","",Fee*$A42+Vq*Delay!AM42)</f>
        <v>5.55</v>
      </c>
      <c r="AN42" s="19" t="n">
        <f aca="false">IF(Delay!AN42="","",Fee*$A42+Vq*Delay!AN42)</f>
        <v>5.55</v>
      </c>
      <c r="AO42" s="19" t="n">
        <f aca="false">IF(Delay!AO42="","",Fee*$A42+Vq*Delay!AO42)</f>
        <v>5.55</v>
      </c>
      <c r="AP42" s="19" t="n">
        <f aca="false">IF(Delay!AP42="","",Fee*$A42+Vq*Delay!AP42)</f>
        <v>5.55</v>
      </c>
      <c r="AQ42" s="19" t="n">
        <f aca="false">IF(Delay!AQ42="","",Fee*$A42+Vq*Delay!AQ42)</f>
        <v>5.55</v>
      </c>
      <c r="AR42" s="19" t="n">
        <f aca="false">IF(Delay!AR42="","",Fee*$A42+Vq*Delay!AR42)</f>
        <v>5.55</v>
      </c>
      <c r="AS42" s="19" t="n">
        <f aca="false">IF(Delay!AS42="","",Fee*$A42+Vq*Delay!AS42)</f>
        <v>5.55</v>
      </c>
      <c r="AT42" s="19" t="n">
        <f aca="false">IF(Delay!AT42="","",Fee*$A42+Vq*Delay!AT42)</f>
        <v>5.55</v>
      </c>
      <c r="AU42" s="19" t="n">
        <f aca="false">IF(Delay!AU42="","",Fee*$A42+Vq*Delay!AU42)</f>
        <v>5.55</v>
      </c>
      <c r="AV42" s="19" t="n">
        <f aca="false">IF(Delay!AV42="","",Fee*$A42+Vq*Delay!AV42)</f>
        <v>5.55</v>
      </c>
      <c r="AW42" s="19" t="n">
        <f aca="false">IF(Delay!AW42="","",Fee*$A42+Vq*Delay!AW42)</f>
        <v>5.55</v>
      </c>
      <c r="AX42" s="19" t="n">
        <f aca="false">IF(Delay!AX42="","",Fee*$A42+Vq*Delay!AX42)</f>
        <v>5.55</v>
      </c>
      <c r="AY42" s="19" t="n">
        <f aca="false">IF(Delay!AY42="","",Fee*$A42+Vq*Delay!AY42)</f>
        <v>5.55</v>
      </c>
      <c r="AZ42" s="19" t="n">
        <f aca="false">IF(Delay!AZ42="","",Fee*$A42+Vq*Delay!AZ42)</f>
        <v>5.55</v>
      </c>
      <c r="BA42" s="19" t="n">
        <f aca="false">IF(Delay!BA42="","",Fee*$A42+Vq*Delay!BA42)</f>
        <v>5.55</v>
      </c>
      <c r="BB42" s="19" t="n">
        <f aca="false">IF(Delay!BB42="","",Fee*$A42+Vq*Delay!BB42)</f>
        <v>5.55</v>
      </c>
      <c r="BC42" s="19" t="n">
        <f aca="false">IF(Delay!BC42="","",Fee*$A42+Vq*Delay!BC42)</f>
        <v>5.55</v>
      </c>
      <c r="BD42" s="19" t="n">
        <f aca="false">IF(Delay!BD42="","",Fee*$A42+Vq*Delay!BD42)</f>
        <v>5.55</v>
      </c>
      <c r="BE42" s="19" t="n">
        <f aca="false">IF(Delay!BE42="","",Fee*$A42+Vq*Delay!BE42)</f>
        <v>5.55</v>
      </c>
      <c r="BF42" s="19" t="n">
        <f aca="false">IF(Delay!BF42="","",Fee*$A42+Vq*Delay!BF42)</f>
        <v>5.55</v>
      </c>
      <c r="BG42" s="19" t="n">
        <f aca="false">IF(Delay!BG42="","",Fee*$A42+Vq*Delay!BG42)</f>
        <v>5.55</v>
      </c>
      <c r="BH42" s="19" t="n">
        <f aca="false">IF(Delay!BH42="","",Fee*$A42+Vq*Delay!BH42)</f>
        <v>5.55</v>
      </c>
      <c r="BI42" s="19" t="n">
        <f aca="false">IF(Delay!BI42="","",Fee*$A42+Vq*Delay!BI42)</f>
        <v>5.55</v>
      </c>
      <c r="BJ42" s="19" t="n">
        <f aca="false">IF(Delay!BJ42="","",Fee*$A42+Vq*Delay!BJ42)</f>
        <v>5.55</v>
      </c>
      <c r="BK42" s="19" t="n">
        <f aca="false">IF(Delay!BK42="","",Fee*$A42+Vq*Delay!BK42)</f>
        <v>5.55</v>
      </c>
      <c r="BL42" s="19" t="n">
        <f aca="false">IF(Delay!BL42="","",Fee*$A42+Vq*Delay!BL42)</f>
        <v>5.55</v>
      </c>
      <c r="BM42" s="19" t="n">
        <f aca="false">IF(Delay!BM42="","",Fee*$A42+Vq*Delay!BM42)</f>
        <v>5.55</v>
      </c>
      <c r="BN42" s="19" t="n">
        <f aca="false">IF(Delay!BN42="","",Fee*$A42+Vq*Delay!BN42)</f>
        <v>5.55</v>
      </c>
      <c r="BO42" s="19" t="n">
        <f aca="false">IF(Delay!BO42="","",Fee*$A42+Vq*Delay!BO42)</f>
        <v>5.55</v>
      </c>
      <c r="BP42" s="19" t="n">
        <f aca="false">IF(Delay!BP42="","",Fee*$A42+Vq*Delay!BP42)</f>
        <v>5.55</v>
      </c>
      <c r="BQ42" s="19" t="n">
        <f aca="false">IF(Delay!BQ42="","",Fee*$A42+Vq*Delay!BQ42)</f>
        <v>5.55</v>
      </c>
      <c r="BR42" s="19" t="n">
        <f aca="false">IF(Delay!BR42="","",Fee*$A42+Vq*Delay!BR42)</f>
        <v>5.55</v>
      </c>
      <c r="BS42" s="19" t="n">
        <f aca="false">IF(Delay!BS42="","",Fee*$A42+Vq*Delay!BS42)</f>
        <v>5.55</v>
      </c>
      <c r="BT42" s="19" t="n">
        <f aca="false">IF(Delay!BT42="","",Fee*$A42+Vq*Delay!BT42)</f>
        <v>5.55</v>
      </c>
      <c r="BU42" s="19" t="n">
        <f aca="false">IF(Delay!BU42="","",Fee*$A42+Vq*Delay!BU42)</f>
        <v>5.55</v>
      </c>
      <c r="BV42" s="19" t="n">
        <f aca="false">IF(Delay!BV42="","",Fee*$A42+Vq*Delay!BV42)</f>
        <v>5.55</v>
      </c>
      <c r="BW42" s="19" t="n">
        <f aca="false">IF(Delay!BW42="","",Fee*$A42+Vq*Delay!BW42)</f>
        <v>5.55</v>
      </c>
      <c r="BX42" s="19" t="n">
        <f aca="false">IF(Delay!BX42="","",Fee*$A42+Vq*Delay!BX42)</f>
        <v>5.55</v>
      </c>
      <c r="BY42" s="19" t="n">
        <f aca="false">IF(Delay!BY42="","",Fee*$A42+Vq*Delay!BY42)</f>
        <v>5.55</v>
      </c>
      <c r="BZ42" s="19" t="n">
        <f aca="false">IF(Delay!BZ42="","",Fee*$A42+Vq*Delay!BZ42)</f>
        <v>5.55</v>
      </c>
      <c r="CA42" s="19" t="n">
        <f aca="false">IF(Delay!CA42="","",Fee*$A42+Vq*Delay!CA42)</f>
        <v>5.55</v>
      </c>
      <c r="CB42" s="19" t="n">
        <f aca="false">IF(Delay!CB42="","",Fee*$A42+Vq*Delay!CB42)</f>
        <v>5.55</v>
      </c>
      <c r="CC42" s="19" t="n">
        <f aca="false">IF(Delay!CC42="","",Fee*$A42+Vq*Delay!CC42)</f>
        <v>5.55</v>
      </c>
      <c r="CD42" s="19" t="n">
        <f aca="false">IF(Delay!CD42="","",Fee*$A42+Vq*Delay!CD42)</f>
        <v>5.55</v>
      </c>
      <c r="CE42" s="19" t="n">
        <f aca="false">IF(Delay!CE42="","",Fee*$A42+Vq*Delay!CE42)</f>
        <v>5.55</v>
      </c>
      <c r="CF42" s="19" t="n">
        <f aca="false">IF(Delay!CF42="","",Fee*$A42+Vq*Delay!CF42)</f>
        <v>5.55</v>
      </c>
      <c r="CG42" s="19" t="n">
        <f aca="false">IF(Delay!CG42="","",Fee*$A42+Vq*Delay!CG42)</f>
        <v>5.55</v>
      </c>
      <c r="CH42" s="19" t="n">
        <f aca="false">IF(Delay!CH42="","",Fee*$A42+Vq*Delay!CH42)</f>
        <v>5.55</v>
      </c>
      <c r="CI42" s="19" t="n">
        <f aca="false">IF(Delay!CI42="","",Fee*$A42+Vq*Delay!CI42)</f>
        <v>5.55</v>
      </c>
      <c r="CJ42" s="19" t="n">
        <f aca="false">IF(Delay!CJ42="","",Fee*$A42+Vq*Delay!CJ42)</f>
        <v>5.55</v>
      </c>
      <c r="CK42" s="19" t="n">
        <f aca="false">IF(Delay!CK42="","",Fee*$A42+Vq*Delay!CK42)</f>
        <v>5.55</v>
      </c>
      <c r="CL42" s="19" t="n">
        <f aca="false">IF(Delay!CL42="","",Fee*$A42+Vq*Delay!CL42)</f>
        <v>5.55</v>
      </c>
      <c r="CM42" s="19" t="n">
        <f aca="false">IF(Delay!CM42="","",Fee*$A42+Vq*Delay!CM42)</f>
        <v>5.55</v>
      </c>
      <c r="CN42" s="19" t="n">
        <f aca="false">IF(Delay!CN42="","",Fee*$A42+Vq*Delay!CN42)</f>
        <v>5.55</v>
      </c>
      <c r="CO42" s="19" t="n">
        <f aca="false">IF(Delay!CO42="","",Fee*$A42+Vq*Delay!CO42)</f>
        <v>5.55</v>
      </c>
      <c r="CP42" s="19" t="n">
        <f aca="false">IF(Delay!CP42="","",Fee*$A42+Vq*Delay!CP42)</f>
        <v>5.55</v>
      </c>
      <c r="CQ42" s="19" t="n">
        <f aca="false">IF(Delay!CQ42="","",Fee*$A42+Vq*Delay!CQ42)</f>
        <v>5.55</v>
      </c>
      <c r="CR42" s="19" t="n">
        <f aca="false">IF(Delay!CR42="","",Fee*$A42+Vq*Delay!CR42)</f>
        <v>5.55</v>
      </c>
      <c r="CS42" s="19" t="n">
        <f aca="false">IF(Delay!CS42="","",Fee*$A42+Vq*Delay!CS42)</f>
        <v>5.55</v>
      </c>
      <c r="CT42" s="19" t="n">
        <f aca="false">IF(Delay!CT42="","",Fee*$A42+Vq*Delay!CT42)</f>
        <v>14.7383674061088</v>
      </c>
    </row>
    <row r="43" customFormat="false" ht="15" hidden="false" customHeight="false" outlineLevel="0" collapsed="false">
      <c r="A43" s="25" t="n">
        <f aca="false">Quantiles!A43</f>
        <v>190</v>
      </c>
      <c r="B43" s="19" t="n">
        <f aca="false">IF(Delay!B43="","",Fee*$A43+Vq*Delay!B43)</f>
        <v>23.0893316858253</v>
      </c>
      <c r="C43" s="19" t="n">
        <f aca="false">IF(Delay!C43="","",Fee*$A43+Vq*Delay!C43)</f>
        <v>21.3448975926435</v>
      </c>
      <c r="D43" s="19" t="n">
        <f aca="false">IF(Delay!D43="","",Fee*$A43+Vq*Delay!D43)</f>
        <v>20.1582906653666</v>
      </c>
      <c r="E43" s="19" t="n">
        <f aca="false">IF(Delay!E43="","",Fee*$A43+Vq*Delay!E43)</f>
        <v>18.9309411724254</v>
      </c>
      <c r="F43" s="19" t="n">
        <f aca="false">IF(Delay!F43="","",Fee*$A43+Vq*Delay!F43)</f>
        <v>17.9021045113584</v>
      </c>
      <c r="G43" s="19" t="n">
        <f aca="false">IF(Delay!G43="","",Fee*$A43+Vq*Delay!G43)</f>
        <v>17.0074870446644</v>
      </c>
      <c r="H43" s="19" t="n">
        <f aca="false">IF(Delay!H43="","",Fee*$A43+Vq*Delay!H43)</f>
        <v>16.2115743497912</v>
      </c>
      <c r="I43" s="19" t="n">
        <f aca="false">IF(Delay!I43="","",Fee*$A43+Vq*Delay!I43)</f>
        <v>15.5136205359778</v>
      </c>
      <c r="J43" s="19" t="n">
        <f aca="false">IF(Delay!J43="","",Fee*$A43+Vq*Delay!J43)</f>
        <v>14.8030327867462</v>
      </c>
      <c r="K43" s="19" t="n">
        <f aca="false">IF(Delay!K43="","",Fee*$A43+Vq*Delay!K43)</f>
        <v>14.208859979097</v>
      </c>
      <c r="L43" s="19" t="n">
        <f aca="false">IF(Delay!L43="","",Fee*$A43+Vq*Delay!L43)</f>
        <v>13.6052582192277</v>
      </c>
      <c r="M43" s="19" t="n">
        <f aca="false">IF(Delay!M43="","",Fee*$A43+Vq*Delay!M43)</f>
        <v>13.0086486578341</v>
      </c>
      <c r="N43" s="19" t="n">
        <f aca="false">IF(Delay!N43="","",Fee*$A43+Vq*Delay!N43)</f>
        <v>12.5194105783246</v>
      </c>
      <c r="O43" s="19" t="n">
        <f aca="false">IF(Delay!O43="","",Fee*$A43+Vq*Delay!O43)</f>
        <v>12.0282277401297</v>
      </c>
      <c r="P43" s="19" t="n">
        <f aca="false">IF(Delay!P43="","",Fee*$A43+Vq*Delay!P43)</f>
        <v>11.5159167604252</v>
      </c>
      <c r="Q43" s="19" t="n">
        <f aca="false">IF(Delay!Q43="","",Fee*$A43+Vq*Delay!Q43)</f>
        <v>11.0476988703601</v>
      </c>
      <c r="R43" s="19" t="n">
        <f aca="false">IF(Delay!R43="","",Fee*$A43+Vq*Delay!R43)</f>
        <v>10.6066679694942</v>
      </c>
      <c r="S43" s="19" t="n">
        <f aca="false">IF(Delay!S43="","",Fee*$A43+Vq*Delay!S43)</f>
        <v>10.2187014628265</v>
      </c>
      <c r="T43" s="19" t="n">
        <f aca="false">IF(Delay!T43="","",Fee*$A43+Vq*Delay!T43)</f>
        <v>9.80492784063024</v>
      </c>
      <c r="U43" s="19" t="n">
        <f aca="false">IF(Delay!U43="","",Fee*$A43+Vq*Delay!U43)</f>
        <v>9.44610494929704</v>
      </c>
      <c r="V43" s="19" t="n">
        <f aca="false">IF(Delay!V43="","",Fee*$A43+Vq*Delay!V43)</f>
        <v>9.12121399931692</v>
      </c>
      <c r="W43" s="19" t="n">
        <f aca="false">IF(Delay!W43="","",Fee*$A43+Vq*Delay!W43)</f>
        <v>8.76852044847712</v>
      </c>
      <c r="X43" s="19" t="n">
        <f aca="false">IF(Delay!X43="","",Fee*$A43+Vq*Delay!X43)</f>
        <v>8.4179249370757</v>
      </c>
      <c r="Y43" s="19" t="n">
        <f aca="false">IF(Delay!Y43="","",Fee*$A43+Vq*Delay!Y43)</f>
        <v>8.07266480889254</v>
      </c>
      <c r="Z43" s="19" t="n">
        <f aca="false">IF(Delay!Z43="","",Fee*$A43+Vq*Delay!Z43)</f>
        <v>7.75788883471576</v>
      </c>
      <c r="AA43" s="19" t="n">
        <f aca="false">IF(Delay!AA43="","",Fee*$A43+Vq*Delay!AA43)</f>
        <v>7.45739088869964</v>
      </c>
      <c r="AB43" s="19" t="n">
        <f aca="false">IF(Delay!AB43="","",Fee*$A43+Vq*Delay!AB43)</f>
        <v>7.16456657416244</v>
      </c>
      <c r="AC43" s="19" t="n">
        <f aca="false">IF(Delay!AC43="","",Fee*$A43+Vq*Delay!AC43)</f>
        <v>6.84974124691302</v>
      </c>
      <c r="AD43" s="19" t="n">
        <f aca="false">IF(Delay!AD43="","",Fee*$A43+Vq*Delay!AD43)</f>
        <v>6.5521867289088</v>
      </c>
      <c r="AE43" s="19" t="n">
        <f aca="false">IF(Delay!AE43="","",Fee*$A43+Vq*Delay!AE43)</f>
        <v>6.2868152272876</v>
      </c>
      <c r="AF43" s="19" t="n">
        <f aca="false">IF(Delay!AF43="","",Fee*$A43+Vq*Delay!AF43)</f>
        <v>5.98809927510114</v>
      </c>
      <c r="AG43" s="19" t="n">
        <f aca="false">IF(Delay!AG43="","",Fee*$A43+Vq*Delay!AG43)</f>
        <v>5.72351346806302</v>
      </c>
      <c r="AH43" s="19" t="n">
        <f aca="false">IF(Delay!AH43="","",Fee*$A43+Vq*Delay!AH43)</f>
        <v>5.7</v>
      </c>
      <c r="AI43" s="19" t="n">
        <f aca="false">IF(Delay!AI43="","",Fee*$A43+Vq*Delay!AI43)</f>
        <v>5.7</v>
      </c>
      <c r="AJ43" s="19" t="n">
        <f aca="false">IF(Delay!AJ43="","",Fee*$A43+Vq*Delay!AJ43)</f>
        <v>5.7</v>
      </c>
      <c r="AK43" s="19" t="n">
        <f aca="false">IF(Delay!AK43="","",Fee*$A43+Vq*Delay!AK43)</f>
        <v>5.7</v>
      </c>
      <c r="AL43" s="19" t="n">
        <f aca="false">IF(Delay!AL43="","",Fee*$A43+Vq*Delay!AL43)</f>
        <v>5.7</v>
      </c>
      <c r="AM43" s="19" t="n">
        <f aca="false">IF(Delay!AM43="","",Fee*$A43+Vq*Delay!AM43)</f>
        <v>5.7</v>
      </c>
      <c r="AN43" s="19" t="n">
        <f aca="false">IF(Delay!AN43="","",Fee*$A43+Vq*Delay!AN43)</f>
        <v>5.7</v>
      </c>
      <c r="AO43" s="19" t="n">
        <f aca="false">IF(Delay!AO43="","",Fee*$A43+Vq*Delay!AO43)</f>
        <v>5.7</v>
      </c>
      <c r="AP43" s="19" t="n">
        <f aca="false">IF(Delay!AP43="","",Fee*$A43+Vq*Delay!AP43)</f>
        <v>5.7</v>
      </c>
      <c r="AQ43" s="19" t="n">
        <f aca="false">IF(Delay!AQ43="","",Fee*$A43+Vq*Delay!AQ43)</f>
        <v>5.7</v>
      </c>
      <c r="AR43" s="19" t="n">
        <f aca="false">IF(Delay!AR43="","",Fee*$A43+Vq*Delay!AR43)</f>
        <v>5.7</v>
      </c>
      <c r="AS43" s="19" t="n">
        <f aca="false">IF(Delay!AS43="","",Fee*$A43+Vq*Delay!AS43)</f>
        <v>5.7</v>
      </c>
      <c r="AT43" s="19" t="n">
        <f aca="false">IF(Delay!AT43="","",Fee*$A43+Vq*Delay!AT43)</f>
        <v>5.7</v>
      </c>
      <c r="AU43" s="19" t="n">
        <f aca="false">IF(Delay!AU43="","",Fee*$A43+Vq*Delay!AU43)</f>
        <v>5.7</v>
      </c>
      <c r="AV43" s="19" t="n">
        <f aca="false">IF(Delay!AV43="","",Fee*$A43+Vq*Delay!AV43)</f>
        <v>5.7</v>
      </c>
      <c r="AW43" s="19" t="n">
        <f aca="false">IF(Delay!AW43="","",Fee*$A43+Vq*Delay!AW43)</f>
        <v>5.7</v>
      </c>
      <c r="AX43" s="19" t="n">
        <f aca="false">IF(Delay!AX43="","",Fee*$A43+Vq*Delay!AX43)</f>
        <v>5.7</v>
      </c>
      <c r="AY43" s="19" t="n">
        <f aca="false">IF(Delay!AY43="","",Fee*$A43+Vq*Delay!AY43)</f>
        <v>5.7</v>
      </c>
      <c r="AZ43" s="19" t="n">
        <f aca="false">IF(Delay!AZ43="","",Fee*$A43+Vq*Delay!AZ43)</f>
        <v>5.7</v>
      </c>
      <c r="BA43" s="19" t="n">
        <f aca="false">IF(Delay!BA43="","",Fee*$A43+Vq*Delay!BA43)</f>
        <v>5.7</v>
      </c>
      <c r="BB43" s="19" t="n">
        <f aca="false">IF(Delay!BB43="","",Fee*$A43+Vq*Delay!BB43)</f>
        <v>5.7</v>
      </c>
      <c r="BC43" s="19" t="n">
        <f aca="false">IF(Delay!BC43="","",Fee*$A43+Vq*Delay!BC43)</f>
        <v>5.7</v>
      </c>
      <c r="BD43" s="19" t="n">
        <f aca="false">IF(Delay!BD43="","",Fee*$A43+Vq*Delay!BD43)</f>
        <v>5.7</v>
      </c>
      <c r="BE43" s="19" t="n">
        <f aca="false">IF(Delay!BE43="","",Fee*$A43+Vq*Delay!BE43)</f>
        <v>5.7</v>
      </c>
      <c r="BF43" s="19" t="n">
        <f aca="false">IF(Delay!BF43="","",Fee*$A43+Vq*Delay!BF43)</f>
        <v>5.7</v>
      </c>
      <c r="BG43" s="19" t="n">
        <f aca="false">IF(Delay!BG43="","",Fee*$A43+Vq*Delay!BG43)</f>
        <v>5.7</v>
      </c>
      <c r="BH43" s="19" t="n">
        <f aca="false">IF(Delay!BH43="","",Fee*$A43+Vq*Delay!BH43)</f>
        <v>5.7</v>
      </c>
      <c r="BI43" s="19" t="n">
        <f aca="false">IF(Delay!BI43="","",Fee*$A43+Vq*Delay!BI43)</f>
        <v>5.7</v>
      </c>
      <c r="BJ43" s="19" t="n">
        <f aca="false">IF(Delay!BJ43="","",Fee*$A43+Vq*Delay!BJ43)</f>
        <v>5.7</v>
      </c>
      <c r="BK43" s="19" t="n">
        <f aca="false">IF(Delay!BK43="","",Fee*$A43+Vq*Delay!BK43)</f>
        <v>5.7</v>
      </c>
      <c r="BL43" s="19" t="n">
        <f aca="false">IF(Delay!BL43="","",Fee*$A43+Vq*Delay!BL43)</f>
        <v>5.7</v>
      </c>
      <c r="BM43" s="19" t="n">
        <f aca="false">IF(Delay!BM43="","",Fee*$A43+Vq*Delay!BM43)</f>
        <v>5.7</v>
      </c>
      <c r="BN43" s="19" t="n">
        <f aca="false">IF(Delay!BN43="","",Fee*$A43+Vq*Delay!BN43)</f>
        <v>5.7</v>
      </c>
      <c r="BO43" s="19" t="n">
        <f aca="false">IF(Delay!BO43="","",Fee*$A43+Vq*Delay!BO43)</f>
        <v>5.7</v>
      </c>
      <c r="BP43" s="19" t="n">
        <f aca="false">IF(Delay!BP43="","",Fee*$A43+Vq*Delay!BP43)</f>
        <v>5.7</v>
      </c>
      <c r="BQ43" s="19" t="n">
        <f aca="false">IF(Delay!BQ43="","",Fee*$A43+Vq*Delay!BQ43)</f>
        <v>5.7</v>
      </c>
      <c r="BR43" s="19" t="n">
        <f aca="false">IF(Delay!BR43="","",Fee*$A43+Vq*Delay!BR43)</f>
        <v>5.7</v>
      </c>
      <c r="BS43" s="19" t="n">
        <f aca="false">IF(Delay!BS43="","",Fee*$A43+Vq*Delay!BS43)</f>
        <v>5.7</v>
      </c>
      <c r="BT43" s="19" t="n">
        <f aca="false">IF(Delay!BT43="","",Fee*$A43+Vq*Delay!BT43)</f>
        <v>5.7</v>
      </c>
      <c r="BU43" s="19" t="n">
        <f aca="false">IF(Delay!BU43="","",Fee*$A43+Vq*Delay!BU43)</f>
        <v>5.7</v>
      </c>
      <c r="BV43" s="19" t="n">
        <f aca="false">IF(Delay!BV43="","",Fee*$A43+Vq*Delay!BV43)</f>
        <v>5.7</v>
      </c>
      <c r="BW43" s="19" t="n">
        <f aca="false">IF(Delay!BW43="","",Fee*$A43+Vq*Delay!BW43)</f>
        <v>5.7</v>
      </c>
      <c r="BX43" s="19" t="n">
        <f aca="false">IF(Delay!BX43="","",Fee*$A43+Vq*Delay!BX43)</f>
        <v>5.7</v>
      </c>
      <c r="BY43" s="19" t="n">
        <f aca="false">IF(Delay!BY43="","",Fee*$A43+Vq*Delay!BY43)</f>
        <v>5.7</v>
      </c>
      <c r="BZ43" s="19" t="n">
        <f aca="false">IF(Delay!BZ43="","",Fee*$A43+Vq*Delay!BZ43)</f>
        <v>5.7</v>
      </c>
      <c r="CA43" s="19" t="n">
        <f aca="false">IF(Delay!CA43="","",Fee*$A43+Vq*Delay!CA43)</f>
        <v>5.7</v>
      </c>
      <c r="CB43" s="19" t="n">
        <f aca="false">IF(Delay!CB43="","",Fee*$A43+Vq*Delay!CB43)</f>
        <v>5.7</v>
      </c>
      <c r="CC43" s="19" t="n">
        <f aca="false">IF(Delay!CC43="","",Fee*$A43+Vq*Delay!CC43)</f>
        <v>5.7</v>
      </c>
      <c r="CD43" s="19" t="n">
        <f aca="false">IF(Delay!CD43="","",Fee*$A43+Vq*Delay!CD43)</f>
        <v>5.7</v>
      </c>
      <c r="CE43" s="19" t="n">
        <f aca="false">IF(Delay!CE43="","",Fee*$A43+Vq*Delay!CE43)</f>
        <v>5.7</v>
      </c>
      <c r="CF43" s="19" t="n">
        <f aca="false">IF(Delay!CF43="","",Fee*$A43+Vq*Delay!CF43)</f>
        <v>5.7</v>
      </c>
      <c r="CG43" s="19" t="n">
        <f aca="false">IF(Delay!CG43="","",Fee*$A43+Vq*Delay!CG43)</f>
        <v>5.7</v>
      </c>
      <c r="CH43" s="19" t="n">
        <f aca="false">IF(Delay!CH43="","",Fee*$A43+Vq*Delay!CH43)</f>
        <v>5.7</v>
      </c>
      <c r="CI43" s="19" t="n">
        <f aca="false">IF(Delay!CI43="","",Fee*$A43+Vq*Delay!CI43)</f>
        <v>5.7</v>
      </c>
      <c r="CJ43" s="19" t="n">
        <f aca="false">IF(Delay!CJ43="","",Fee*$A43+Vq*Delay!CJ43)</f>
        <v>5.7</v>
      </c>
      <c r="CK43" s="19" t="n">
        <f aca="false">IF(Delay!CK43="","",Fee*$A43+Vq*Delay!CK43)</f>
        <v>5.7</v>
      </c>
      <c r="CL43" s="19" t="n">
        <f aca="false">IF(Delay!CL43="","",Fee*$A43+Vq*Delay!CL43)</f>
        <v>5.7</v>
      </c>
      <c r="CM43" s="19" t="n">
        <f aca="false">IF(Delay!CM43="","",Fee*$A43+Vq*Delay!CM43)</f>
        <v>5.7</v>
      </c>
      <c r="CN43" s="19" t="n">
        <f aca="false">IF(Delay!CN43="","",Fee*$A43+Vq*Delay!CN43)</f>
        <v>5.7</v>
      </c>
      <c r="CO43" s="19" t="n">
        <f aca="false">IF(Delay!CO43="","",Fee*$A43+Vq*Delay!CO43)</f>
        <v>5.7</v>
      </c>
      <c r="CP43" s="19" t="n">
        <f aca="false">IF(Delay!CP43="","",Fee*$A43+Vq*Delay!CP43)</f>
        <v>5.7</v>
      </c>
      <c r="CQ43" s="19" t="n">
        <f aca="false">IF(Delay!CQ43="","",Fee*$A43+Vq*Delay!CQ43)</f>
        <v>5.7</v>
      </c>
      <c r="CR43" s="19" t="n">
        <f aca="false">IF(Delay!CR43="","",Fee*$A43+Vq*Delay!CR43)</f>
        <v>5.7</v>
      </c>
      <c r="CS43" s="19" t="n">
        <f aca="false">IF(Delay!CS43="","",Fee*$A43+Vq*Delay!CS43)</f>
        <v>5.7</v>
      </c>
      <c r="CT43" s="19" t="n">
        <f aca="false">IF(Delay!CT43="","",Fee*$A43+Vq*Delay!CT43)</f>
        <v>14.7970455303909</v>
      </c>
    </row>
    <row r="44" customFormat="false" ht="15" hidden="false" customHeight="false" outlineLevel="0" collapsed="false">
      <c r="A44" s="25" t="n">
        <f aca="false">Quantiles!A44</f>
        <v>195</v>
      </c>
      <c r="B44" s="19" t="n">
        <f aca="false">IF(Delay!B44="","",Fee*$A44+Vq*Delay!B44)</f>
        <v>23.1382943625167</v>
      </c>
      <c r="C44" s="19" t="n">
        <f aca="false">IF(Delay!C44="","",Fee*$A44+Vq*Delay!C44)</f>
        <v>21.3860241853782</v>
      </c>
      <c r="D44" s="19" t="n">
        <f aca="false">IF(Delay!D44="","",Fee*$A44+Vq*Delay!D44)</f>
        <v>20.1440252209545</v>
      </c>
      <c r="E44" s="19" t="n">
        <f aca="false">IF(Delay!E44="","",Fee*$A44+Vq*Delay!E44)</f>
        <v>18.9972985795755</v>
      </c>
      <c r="F44" s="19" t="n">
        <f aca="false">IF(Delay!F44="","",Fee*$A44+Vq*Delay!F44)</f>
        <v>17.9758957019773</v>
      </c>
      <c r="G44" s="19" t="n">
        <f aca="false">IF(Delay!G44="","",Fee*$A44+Vq*Delay!G44)</f>
        <v>17.0536620422505</v>
      </c>
      <c r="H44" s="19" t="n">
        <f aca="false">IF(Delay!H44="","",Fee*$A44+Vq*Delay!H44)</f>
        <v>16.2619328890865</v>
      </c>
      <c r="I44" s="19" t="n">
        <f aca="false">IF(Delay!I44="","",Fee*$A44+Vq*Delay!I44)</f>
        <v>15.574945066017</v>
      </c>
      <c r="J44" s="19" t="n">
        <f aca="false">IF(Delay!J44="","",Fee*$A44+Vq*Delay!J44)</f>
        <v>14.862482477836</v>
      </c>
      <c r="K44" s="19" t="n">
        <f aca="false">IF(Delay!K44="","",Fee*$A44+Vq*Delay!K44)</f>
        <v>14.3007149517759</v>
      </c>
      <c r="L44" s="19" t="n">
        <f aca="false">IF(Delay!L44="","",Fee*$A44+Vq*Delay!L44)</f>
        <v>13.6719733064701</v>
      </c>
      <c r="M44" s="19" t="n">
        <f aca="false">IF(Delay!M44="","",Fee*$A44+Vq*Delay!M44)</f>
        <v>13.1074805281385</v>
      </c>
      <c r="N44" s="19" t="n">
        <f aca="false">IF(Delay!N44="","",Fee*$A44+Vq*Delay!N44)</f>
        <v>12.6034396658092</v>
      </c>
      <c r="O44" s="19" t="n">
        <f aca="false">IF(Delay!O44="","",Fee*$A44+Vq*Delay!O44)</f>
        <v>12.1043644242908</v>
      </c>
      <c r="P44" s="19" t="n">
        <f aca="false">IF(Delay!P44="","",Fee*$A44+Vq*Delay!P44)</f>
        <v>11.6045211396229</v>
      </c>
      <c r="Q44" s="19" t="n">
        <f aca="false">IF(Delay!Q44="","",Fee*$A44+Vq*Delay!Q44)</f>
        <v>11.1362689956106</v>
      </c>
      <c r="R44" s="19" t="n">
        <f aca="false">IF(Delay!R44="","",Fee*$A44+Vq*Delay!R44)</f>
        <v>10.6814374673284</v>
      </c>
      <c r="S44" s="19" t="n">
        <f aca="false">IF(Delay!S44="","",Fee*$A44+Vq*Delay!S44)</f>
        <v>10.2800035258424</v>
      </c>
      <c r="T44" s="19" t="n">
        <f aca="false">IF(Delay!T44="","",Fee*$A44+Vq*Delay!T44)</f>
        <v>9.88577752892556</v>
      </c>
      <c r="U44" s="19" t="n">
        <f aca="false">IF(Delay!U44="","",Fee*$A44+Vq*Delay!U44)</f>
        <v>9.52894034997576</v>
      </c>
      <c r="V44" s="19" t="n">
        <f aca="false">IF(Delay!V44="","",Fee*$A44+Vq*Delay!V44)</f>
        <v>9.1863675921835</v>
      </c>
      <c r="W44" s="19" t="n">
        <f aca="false">IF(Delay!W44="","",Fee*$A44+Vq*Delay!W44)</f>
        <v>8.83658283270264</v>
      </c>
      <c r="X44" s="19" t="n">
        <f aca="false">IF(Delay!X44="","",Fee*$A44+Vq*Delay!X44)</f>
        <v>8.49289308994904</v>
      </c>
      <c r="Y44" s="19" t="n">
        <f aca="false">IF(Delay!Y44="","",Fee*$A44+Vq*Delay!Y44)</f>
        <v>8.13672879416908</v>
      </c>
      <c r="Z44" s="19" t="n">
        <f aca="false">IF(Delay!Z44="","",Fee*$A44+Vq*Delay!Z44)</f>
        <v>7.83694338445632</v>
      </c>
      <c r="AA44" s="19" t="n">
        <f aca="false">IF(Delay!AA44="","",Fee*$A44+Vq*Delay!AA44)</f>
        <v>7.53696054585084</v>
      </c>
      <c r="AB44" s="19" t="n">
        <f aca="false">IF(Delay!AB44="","",Fee*$A44+Vq*Delay!AB44)</f>
        <v>7.2441808702418</v>
      </c>
      <c r="AC44" s="19" t="n">
        <f aca="false">IF(Delay!AC44="","",Fee*$A44+Vq*Delay!AC44)</f>
        <v>6.9343708697471</v>
      </c>
      <c r="AD44" s="19" t="n">
        <f aca="false">IF(Delay!AD44="","",Fee*$A44+Vq*Delay!AD44)</f>
        <v>6.642902758974</v>
      </c>
      <c r="AE44" s="19" t="n">
        <f aca="false">IF(Delay!AE44="","",Fee*$A44+Vq*Delay!AE44)</f>
        <v>6.37513042531062</v>
      </c>
      <c r="AF44" s="19" t="n">
        <f aca="false">IF(Delay!AF44="","",Fee*$A44+Vq*Delay!AF44)</f>
        <v>6.07783194772466</v>
      </c>
      <c r="AG44" s="19" t="n">
        <f aca="false">IF(Delay!AG44="","",Fee*$A44+Vq*Delay!AG44)</f>
        <v>5.85</v>
      </c>
      <c r="AH44" s="19" t="n">
        <f aca="false">IF(Delay!AH44="","",Fee*$A44+Vq*Delay!AH44)</f>
        <v>5.85</v>
      </c>
      <c r="AI44" s="19" t="n">
        <f aca="false">IF(Delay!AI44="","",Fee*$A44+Vq*Delay!AI44)</f>
        <v>5.85</v>
      </c>
      <c r="AJ44" s="19" t="n">
        <f aca="false">IF(Delay!AJ44="","",Fee*$A44+Vq*Delay!AJ44)</f>
        <v>5.85</v>
      </c>
      <c r="AK44" s="19" t="n">
        <f aca="false">IF(Delay!AK44="","",Fee*$A44+Vq*Delay!AK44)</f>
        <v>5.85</v>
      </c>
      <c r="AL44" s="19" t="n">
        <f aca="false">IF(Delay!AL44="","",Fee*$A44+Vq*Delay!AL44)</f>
        <v>5.85</v>
      </c>
      <c r="AM44" s="19" t="n">
        <f aca="false">IF(Delay!AM44="","",Fee*$A44+Vq*Delay!AM44)</f>
        <v>5.85</v>
      </c>
      <c r="AN44" s="19" t="n">
        <f aca="false">IF(Delay!AN44="","",Fee*$A44+Vq*Delay!AN44)</f>
        <v>5.85</v>
      </c>
      <c r="AO44" s="19" t="n">
        <f aca="false">IF(Delay!AO44="","",Fee*$A44+Vq*Delay!AO44)</f>
        <v>5.85</v>
      </c>
      <c r="AP44" s="19" t="n">
        <f aca="false">IF(Delay!AP44="","",Fee*$A44+Vq*Delay!AP44)</f>
        <v>5.85</v>
      </c>
      <c r="AQ44" s="19" t="n">
        <f aca="false">IF(Delay!AQ44="","",Fee*$A44+Vq*Delay!AQ44)</f>
        <v>5.85</v>
      </c>
      <c r="AR44" s="19" t="n">
        <f aca="false">IF(Delay!AR44="","",Fee*$A44+Vq*Delay!AR44)</f>
        <v>5.85</v>
      </c>
      <c r="AS44" s="19" t="n">
        <f aca="false">IF(Delay!AS44="","",Fee*$A44+Vq*Delay!AS44)</f>
        <v>5.85</v>
      </c>
      <c r="AT44" s="19" t="n">
        <f aca="false">IF(Delay!AT44="","",Fee*$A44+Vq*Delay!AT44)</f>
        <v>5.85</v>
      </c>
      <c r="AU44" s="19" t="n">
        <f aca="false">IF(Delay!AU44="","",Fee*$A44+Vq*Delay!AU44)</f>
        <v>5.85</v>
      </c>
      <c r="AV44" s="19" t="n">
        <f aca="false">IF(Delay!AV44="","",Fee*$A44+Vq*Delay!AV44)</f>
        <v>5.85</v>
      </c>
      <c r="AW44" s="19" t="n">
        <f aca="false">IF(Delay!AW44="","",Fee*$A44+Vq*Delay!AW44)</f>
        <v>5.85</v>
      </c>
      <c r="AX44" s="19" t="n">
        <f aca="false">IF(Delay!AX44="","",Fee*$A44+Vq*Delay!AX44)</f>
        <v>5.85</v>
      </c>
      <c r="AY44" s="19" t="n">
        <f aca="false">IF(Delay!AY44="","",Fee*$A44+Vq*Delay!AY44)</f>
        <v>5.85</v>
      </c>
      <c r="AZ44" s="19" t="n">
        <f aca="false">IF(Delay!AZ44="","",Fee*$A44+Vq*Delay!AZ44)</f>
        <v>5.85</v>
      </c>
      <c r="BA44" s="19" t="n">
        <f aca="false">IF(Delay!BA44="","",Fee*$A44+Vq*Delay!BA44)</f>
        <v>5.85</v>
      </c>
      <c r="BB44" s="19" t="n">
        <f aca="false">IF(Delay!BB44="","",Fee*$A44+Vq*Delay!BB44)</f>
        <v>5.85</v>
      </c>
      <c r="BC44" s="19" t="n">
        <f aca="false">IF(Delay!BC44="","",Fee*$A44+Vq*Delay!BC44)</f>
        <v>5.85</v>
      </c>
      <c r="BD44" s="19" t="n">
        <f aca="false">IF(Delay!BD44="","",Fee*$A44+Vq*Delay!BD44)</f>
        <v>5.85</v>
      </c>
      <c r="BE44" s="19" t="n">
        <f aca="false">IF(Delay!BE44="","",Fee*$A44+Vq*Delay!BE44)</f>
        <v>5.85</v>
      </c>
      <c r="BF44" s="19" t="n">
        <f aca="false">IF(Delay!BF44="","",Fee*$A44+Vq*Delay!BF44)</f>
        <v>5.85</v>
      </c>
      <c r="BG44" s="19" t="n">
        <f aca="false">IF(Delay!BG44="","",Fee*$A44+Vq*Delay!BG44)</f>
        <v>5.85</v>
      </c>
      <c r="BH44" s="19" t="n">
        <f aca="false">IF(Delay!BH44="","",Fee*$A44+Vq*Delay!BH44)</f>
        <v>5.85</v>
      </c>
      <c r="BI44" s="19" t="n">
        <f aca="false">IF(Delay!BI44="","",Fee*$A44+Vq*Delay!BI44)</f>
        <v>5.85</v>
      </c>
      <c r="BJ44" s="19" t="n">
        <f aca="false">IF(Delay!BJ44="","",Fee*$A44+Vq*Delay!BJ44)</f>
        <v>5.85</v>
      </c>
      <c r="BK44" s="19" t="n">
        <f aca="false">IF(Delay!BK44="","",Fee*$A44+Vq*Delay!BK44)</f>
        <v>5.85</v>
      </c>
      <c r="BL44" s="19" t="n">
        <f aca="false">IF(Delay!BL44="","",Fee*$A44+Vq*Delay!BL44)</f>
        <v>5.85</v>
      </c>
      <c r="BM44" s="19" t="n">
        <f aca="false">IF(Delay!BM44="","",Fee*$A44+Vq*Delay!BM44)</f>
        <v>5.85</v>
      </c>
      <c r="BN44" s="19" t="n">
        <f aca="false">IF(Delay!BN44="","",Fee*$A44+Vq*Delay!BN44)</f>
        <v>5.85</v>
      </c>
      <c r="BO44" s="19" t="n">
        <f aca="false">IF(Delay!BO44="","",Fee*$A44+Vq*Delay!BO44)</f>
        <v>5.85</v>
      </c>
      <c r="BP44" s="19" t="n">
        <f aca="false">IF(Delay!BP44="","",Fee*$A44+Vq*Delay!BP44)</f>
        <v>5.85</v>
      </c>
      <c r="BQ44" s="19" t="n">
        <f aca="false">IF(Delay!BQ44="","",Fee*$A44+Vq*Delay!BQ44)</f>
        <v>5.85</v>
      </c>
      <c r="BR44" s="19" t="n">
        <f aca="false">IF(Delay!BR44="","",Fee*$A44+Vq*Delay!BR44)</f>
        <v>5.85</v>
      </c>
      <c r="BS44" s="19" t="n">
        <f aca="false">IF(Delay!BS44="","",Fee*$A44+Vq*Delay!BS44)</f>
        <v>5.85</v>
      </c>
      <c r="BT44" s="19" t="n">
        <f aca="false">IF(Delay!BT44="","",Fee*$A44+Vq*Delay!BT44)</f>
        <v>5.85</v>
      </c>
      <c r="BU44" s="19" t="n">
        <f aca="false">IF(Delay!BU44="","",Fee*$A44+Vq*Delay!BU44)</f>
        <v>5.85</v>
      </c>
      <c r="BV44" s="19" t="n">
        <f aca="false">IF(Delay!BV44="","",Fee*$A44+Vq*Delay!BV44)</f>
        <v>5.85</v>
      </c>
      <c r="BW44" s="19" t="n">
        <f aca="false">IF(Delay!BW44="","",Fee*$A44+Vq*Delay!BW44)</f>
        <v>5.85</v>
      </c>
      <c r="BX44" s="19" t="n">
        <f aca="false">IF(Delay!BX44="","",Fee*$A44+Vq*Delay!BX44)</f>
        <v>5.85</v>
      </c>
      <c r="BY44" s="19" t="n">
        <f aca="false">IF(Delay!BY44="","",Fee*$A44+Vq*Delay!BY44)</f>
        <v>5.85</v>
      </c>
      <c r="BZ44" s="19" t="n">
        <f aca="false">IF(Delay!BZ44="","",Fee*$A44+Vq*Delay!BZ44)</f>
        <v>5.85</v>
      </c>
      <c r="CA44" s="19" t="n">
        <f aca="false">IF(Delay!CA44="","",Fee*$A44+Vq*Delay!CA44)</f>
        <v>5.85</v>
      </c>
      <c r="CB44" s="19" t="n">
        <f aca="false">IF(Delay!CB44="","",Fee*$A44+Vq*Delay!CB44)</f>
        <v>5.85</v>
      </c>
      <c r="CC44" s="19" t="n">
        <f aca="false">IF(Delay!CC44="","",Fee*$A44+Vq*Delay!CC44)</f>
        <v>5.85</v>
      </c>
      <c r="CD44" s="19" t="n">
        <f aca="false">IF(Delay!CD44="","",Fee*$A44+Vq*Delay!CD44)</f>
        <v>5.85</v>
      </c>
      <c r="CE44" s="19" t="n">
        <f aca="false">IF(Delay!CE44="","",Fee*$A44+Vq*Delay!CE44)</f>
        <v>5.85</v>
      </c>
      <c r="CF44" s="19" t="n">
        <f aca="false">IF(Delay!CF44="","",Fee*$A44+Vq*Delay!CF44)</f>
        <v>5.85</v>
      </c>
      <c r="CG44" s="19" t="n">
        <f aca="false">IF(Delay!CG44="","",Fee*$A44+Vq*Delay!CG44)</f>
        <v>5.85</v>
      </c>
      <c r="CH44" s="19" t="n">
        <f aca="false">IF(Delay!CH44="","",Fee*$A44+Vq*Delay!CH44)</f>
        <v>5.85</v>
      </c>
      <c r="CI44" s="19" t="n">
        <f aca="false">IF(Delay!CI44="","",Fee*$A44+Vq*Delay!CI44)</f>
        <v>5.85</v>
      </c>
      <c r="CJ44" s="19" t="n">
        <f aca="false">IF(Delay!CJ44="","",Fee*$A44+Vq*Delay!CJ44)</f>
        <v>5.85</v>
      </c>
      <c r="CK44" s="19" t="n">
        <f aca="false">IF(Delay!CK44="","",Fee*$A44+Vq*Delay!CK44)</f>
        <v>5.85</v>
      </c>
      <c r="CL44" s="19" t="n">
        <f aca="false">IF(Delay!CL44="","",Fee*$A44+Vq*Delay!CL44)</f>
        <v>5.85</v>
      </c>
      <c r="CM44" s="19" t="n">
        <f aca="false">IF(Delay!CM44="","",Fee*$A44+Vq*Delay!CM44)</f>
        <v>5.85</v>
      </c>
      <c r="CN44" s="19" t="n">
        <f aca="false">IF(Delay!CN44="","",Fee*$A44+Vq*Delay!CN44)</f>
        <v>5.85</v>
      </c>
      <c r="CO44" s="19" t="n">
        <f aca="false">IF(Delay!CO44="","",Fee*$A44+Vq*Delay!CO44)</f>
        <v>5.85</v>
      </c>
      <c r="CP44" s="19" t="n">
        <f aca="false">IF(Delay!CP44="","",Fee*$A44+Vq*Delay!CP44)</f>
        <v>5.85</v>
      </c>
      <c r="CQ44" s="19" t="n">
        <f aca="false">IF(Delay!CQ44="","",Fee*$A44+Vq*Delay!CQ44)</f>
        <v>5.85</v>
      </c>
      <c r="CR44" s="19" t="n">
        <f aca="false">IF(Delay!CR44="","",Fee*$A44+Vq*Delay!CR44)</f>
        <v>5.85</v>
      </c>
      <c r="CS44" s="19" t="n">
        <f aca="false">IF(Delay!CS44="","",Fee*$A44+Vq*Delay!CS44)</f>
        <v>5.85</v>
      </c>
      <c r="CT44" s="19" t="n">
        <f aca="false">IF(Delay!CT44="","",Fee*$A44+Vq*Delay!CT44)</f>
        <v>14.8558428182423</v>
      </c>
    </row>
    <row r="45" customFormat="false" ht="15" hidden="false" customHeight="false" outlineLevel="0" collapsed="false">
      <c r="A45" s="25" t="n">
        <f aca="false">Quantiles!A45</f>
        <v>200</v>
      </c>
      <c r="B45" s="19" t="n">
        <f aca="false">IF(Delay!B45="","",Fee*$A45+Vq*Delay!B45)</f>
        <v>23.1501037948519</v>
      </c>
      <c r="C45" s="19" t="n">
        <f aca="false">IF(Delay!C45="","",Fee*$A45+Vq*Delay!C45)</f>
        <v>21.4645107753231</v>
      </c>
      <c r="D45" s="19" t="n">
        <f aca="false">IF(Delay!D45="","",Fee*$A45+Vq*Delay!D45)</f>
        <v>20.214839088276</v>
      </c>
      <c r="E45" s="19" t="n">
        <f aca="false">IF(Delay!E45="","",Fee*$A45+Vq*Delay!E45)</f>
        <v>19.0614746689052</v>
      </c>
      <c r="F45" s="19" t="n">
        <f aca="false">IF(Delay!F45="","",Fee*$A45+Vq*Delay!F45)</f>
        <v>18.0405689873298</v>
      </c>
      <c r="G45" s="19" t="n">
        <f aca="false">IF(Delay!G45="","",Fee*$A45+Vq*Delay!G45)</f>
        <v>17.0812106068929</v>
      </c>
      <c r="H45" s="19" t="n">
        <f aca="false">IF(Delay!H45="","",Fee*$A45+Vq*Delay!H45)</f>
        <v>16.2960108840117</v>
      </c>
      <c r="I45" s="19" t="n">
        <f aca="false">IF(Delay!I45="","",Fee*$A45+Vq*Delay!I45)</f>
        <v>15.6596726423899</v>
      </c>
      <c r="J45" s="19" t="n">
        <f aca="false">IF(Delay!J45="","",Fee*$A45+Vq*Delay!J45)</f>
        <v>14.9545057045438</v>
      </c>
      <c r="K45" s="19" t="n">
        <f aca="false">IF(Delay!K45="","",Fee*$A45+Vq*Delay!K45)</f>
        <v>14.3363161570535</v>
      </c>
      <c r="L45" s="19" t="n">
        <f aca="false">IF(Delay!L45="","",Fee*$A45+Vq*Delay!L45)</f>
        <v>13.7518075888419</v>
      </c>
      <c r="M45" s="19" t="n">
        <f aca="false">IF(Delay!M45="","",Fee*$A45+Vq*Delay!M45)</f>
        <v>13.198279641114</v>
      </c>
      <c r="N45" s="19" t="n">
        <f aca="false">IF(Delay!N45="","",Fee*$A45+Vq*Delay!N45)</f>
        <v>12.6760822403162</v>
      </c>
      <c r="O45" s="19" t="n">
        <f aca="false">IF(Delay!O45="","",Fee*$A45+Vq*Delay!O45)</f>
        <v>12.1862901885156</v>
      </c>
      <c r="P45" s="19" t="n">
        <f aca="false">IF(Delay!P45="","",Fee*$A45+Vq*Delay!P45)</f>
        <v>11.6969303040728</v>
      </c>
      <c r="Q45" s="19" t="n">
        <f aca="false">IF(Delay!Q45="","",Fee*$A45+Vq*Delay!Q45)</f>
        <v>11.2507021546426</v>
      </c>
      <c r="R45" s="19" t="n">
        <f aca="false">IF(Delay!R45="","",Fee*$A45+Vq*Delay!R45)</f>
        <v>10.7940489367205</v>
      </c>
      <c r="S45" s="19" t="n">
        <f aca="false">IF(Delay!S45="","",Fee*$A45+Vq*Delay!S45)</f>
        <v>10.3981037631849</v>
      </c>
      <c r="T45" s="19" t="n">
        <f aca="false">IF(Delay!T45="","",Fee*$A45+Vq*Delay!T45)</f>
        <v>10.0000017434566</v>
      </c>
      <c r="U45" s="19" t="n">
        <f aca="false">IF(Delay!U45="","",Fee*$A45+Vq*Delay!U45)</f>
        <v>9.63255544721626</v>
      </c>
      <c r="V45" s="19" t="n">
        <f aca="false">IF(Delay!V45="","",Fee*$A45+Vq*Delay!V45)</f>
        <v>9.27251470657684</v>
      </c>
      <c r="W45" s="19" t="n">
        <f aca="false">IF(Delay!W45="","",Fee*$A45+Vq*Delay!W45)</f>
        <v>8.91551600909316</v>
      </c>
      <c r="X45" s="19" t="n">
        <f aca="false">IF(Delay!X45="","",Fee*$A45+Vq*Delay!X45)</f>
        <v>8.58200129395902</v>
      </c>
      <c r="Y45" s="19" t="n">
        <f aca="false">IF(Delay!Y45="","",Fee*$A45+Vq*Delay!Y45)</f>
        <v>8.23356873850996</v>
      </c>
      <c r="Z45" s="19" t="n">
        <f aca="false">IF(Delay!Z45="","",Fee*$A45+Vq*Delay!Z45)</f>
        <v>7.92731757889282</v>
      </c>
      <c r="AA45" s="19" t="n">
        <f aca="false">IF(Delay!AA45="","",Fee*$A45+Vq*Delay!AA45)</f>
        <v>7.62860750921252</v>
      </c>
      <c r="AB45" s="19" t="n">
        <f aca="false">IF(Delay!AB45="","",Fee*$A45+Vq*Delay!AB45)</f>
        <v>7.34059293741708</v>
      </c>
      <c r="AC45" s="19" t="n">
        <f aca="false">IF(Delay!AC45="","",Fee*$A45+Vq*Delay!AC45)</f>
        <v>7.02041871111876</v>
      </c>
      <c r="AD45" s="19" t="n">
        <f aca="false">IF(Delay!AD45="","",Fee*$A45+Vq*Delay!AD45)</f>
        <v>6.74029943913944</v>
      </c>
      <c r="AE45" s="19" t="n">
        <f aca="false">IF(Delay!AE45="","",Fee*$A45+Vq*Delay!AE45)</f>
        <v>6.44562895956694</v>
      </c>
      <c r="AF45" s="19" t="n">
        <f aca="false">IF(Delay!AF45="","",Fee*$A45+Vq*Delay!AF45)</f>
        <v>6.18565543121574</v>
      </c>
      <c r="AG45" s="19" t="n">
        <f aca="false">IF(Delay!AG45="","",Fee*$A45+Vq*Delay!AG45)</f>
        <v>6</v>
      </c>
      <c r="AH45" s="19" t="n">
        <f aca="false">IF(Delay!AH45="","",Fee*$A45+Vq*Delay!AH45)</f>
        <v>6</v>
      </c>
      <c r="AI45" s="19" t="n">
        <f aca="false">IF(Delay!AI45="","",Fee*$A45+Vq*Delay!AI45)</f>
        <v>6</v>
      </c>
      <c r="AJ45" s="19" t="n">
        <f aca="false">IF(Delay!AJ45="","",Fee*$A45+Vq*Delay!AJ45)</f>
        <v>6</v>
      </c>
      <c r="AK45" s="19" t="n">
        <f aca="false">IF(Delay!AK45="","",Fee*$A45+Vq*Delay!AK45)</f>
        <v>6</v>
      </c>
      <c r="AL45" s="19" t="n">
        <f aca="false">IF(Delay!AL45="","",Fee*$A45+Vq*Delay!AL45)</f>
        <v>6</v>
      </c>
      <c r="AM45" s="19" t="n">
        <f aca="false">IF(Delay!AM45="","",Fee*$A45+Vq*Delay!AM45)</f>
        <v>6</v>
      </c>
      <c r="AN45" s="19" t="n">
        <f aca="false">IF(Delay!AN45="","",Fee*$A45+Vq*Delay!AN45)</f>
        <v>6</v>
      </c>
      <c r="AO45" s="19" t="n">
        <f aca="false">IF(Delay!AO45="","",Fee*$A45+Vq*Delay!AO45)</f>
        <v>6</v>
      </c>
      <c r="AP45" s="19" t="n">
        <f aca="false">IF(Delay!AP45="","",Fee*$A45+Vq*Delay!AP45)</f>
        <v>6</v>
      </c>
      <c r="AQ45" s="19" t="n">
        <f aca="false">IF(Delay!AQ45="","",Fee*$A45+Vq*Delay!AQ45)</f>
        <v>6</v>
      </c>
      <c r="AR45" s="19" t="n">
        <f aca="false">IF(Delay!AR45="","",Fee*$A45+Vq*Delay!AR45)</f>
        <v>6</v>
      </c>
      <c r="AS45" s="19" t="n">
        <f aca="false">IF(Delay!AS45="","",Fee*$A45+Vq*Delay!AS45)</f>
        <v>6</v>
      </c>
      <c r="AT45" s="19" t="n">
        <f aca="false">IF(Delay!AT45="","",Fee*$A45+Vq*Delay!AT45)</f>
        <v>6</v>
      </c>
      <c r="AU45" s="19" t="n">
        <f aca="false">IF(Delay!AU45="","",Fee*$A45+Vq*Delay!AU45)</f>
        <v>6</v>
      </c>
      <c r="AV45" s="19" t="n">
        <f aca="false">IF(Delay!AV45="","",Fee*$A45+Vq*Delay!AV45)</f>
        <v>6</v>
      </c>
      <c r="AW45" s="19" t="n">
        <f aca="false">IF(Delay!AW45="","",Fee*$A45+Vq*Delay!AW45)</f>
        <v>6</v>
      </c>
      <c r="AX45" s="19" t="n">
        <f aca="false">IF(Delay!AX45="","",Fee*$A45+Vq*Delay!AX45)</f>
        <v>6</v>
      </c>
      <c r="AY45" s="19" t="n">
        <f aca="false">IF(Delay!AY45="","",Fee*$A45+Vq*Delay!AY45)</f>
        <v>6</v>
      </c>
      <c r="AZ45" s="19" t="n">
        <f aca="false">IF(Delay!AZ45="","",Fee*$A45+Vq*Delay!AZ45)</f>
        <v>6</v>
      </c>
      <c r="BA45" s="19" t="n">
        <f aca="false">IF(Delay!BA45="","",Fee*$A45+Vq*Delay!BA45)</f>
        <v>6</v>
      </c>
      <c r="BB45" s="19" t="n">
        <f aca="false">IF(Delay!BB45="","",Fee*$A45+Vq*Delay!BB45)</f>
        <v>6</v>
      </c>
      <c r="BC45" s="19" t="n">
        <f aca="false">IF(Delay!BC45="","",Fee*$A45+Vq*Delay!BC45)</f>
        <v>6</v>
      </c>
      <c r="BD45" s="19" t="n">
        <f aca="false">IF(Delay!BD45="","",Fee*$A45+Vq*Delay!BD45)</f>
        <v>6</v>
      </c>
      <c r="BE45" s="19" t="n">
        <f aca="false">IF(Delay!BE45="","",Fee*$A45+Vq*Delay!BE45)</f>
        <v>6</v>
      </c>
      <c r="BF45" s="19" t="n">
        <f aca="false">IF(Delay!BF45="","",Fee*$A45+Vq*Delay!BF45)</f>
        <v>6</v>
      </c>
      <c r="BG45" s="19" t="n">
        <f aca="false">IF(Delay!BG45="","",Fee*$A45+Vq*Delay!BG45)</f>
        <v>6</v>
      </c>
      <c r="BH45" s="19" t="n">
        <f aca="false">IF(Delay!BH45="","",Fee*$A45+Vq*Delay!BH45)</f>
        <v>6</v>
      </c>
      <c r="BI45" s="19" t="n">
        <f aca="false">IF(Delay!BI45="","",Fee*$A45+Vq*Delay!BI45)</f>
        <v>6</v>
      </c>
      <c r="BJ45" s="19" t="n">
        <f aca="false">IF(Delay!BJ45="","",Fee*$A45+Vq*Delay!BJ45)</f>
        <v>6</v>
      </c>
      <c r="BK45" s="19" t="n">
        <f aca="false">IF(Delay!BK45="","",Fee*$A45+Vq*Delay!BK45)</f>
        <v>6</v>
      </c>
      <c r="BL45" s="19" t="n">
        <f aca="false">IF(Delay!BL45="","",Fee*$A45+Vq*Delay!BL45)</f>
        <v>6</v>
      </c>
      <c r="BM45" s="19" t="n">
        <f aca="false">IF(Delay!BM45="","",Fee*$A45+Vq*Delay!BM45)</f>
        <v>6</v>
      </c>
      <c r="BN45" s="19" t="n">
        <f aca="false">IF(Delay!BN45="","",Fee*$A45+Vq*Delay!BN45)</f>
        <v>6</v>
      </c>
      <c r="BO45" s="19" t="n">
        <f aca="false">IF(Delay!BO45="","",Fee*$A45+Vq*Delay!BO45)</f>
        <v>6</v>
      </c>
      <c r="BP45" s="19" t="n">
        <f aca="false">IF(Delay!BP45="","",Fee*$A45+Vq*Delay!BP45)</f>
        <v>6</v>
      </c>
      <c r="BQ45" s="19" t="n">
        <f aca="false">IF(Delay!BQ45="","",Fee*$A45+Vq*Delay!BQ45)</f>
        <v>6</v>
      </c>
      <c r="BR45" s="19" t="n">
        <f aca="false">IF(Delay!BR45="","",Fee*$A45+Vq*Delay!BR45)</f>
        <v>6</v>
      </c>
      <c r="BS45" s="19" t="n">
        <f aca="false">IF(Delay!BS45="","",Fee*$A45+Vq*Delay!BS45)</f>
        <v>6</v>
      </c>
      <c r="BT45" s="19" t="n">
        <f aca="false">IF(Delay!BT45="","",Fee*$A45+Vq*Delay!BT45)</f>
        <v>6</v>
      </c>
      <c r="BU45" s="19" t="n">
        <f aca="false">IF(Delay!BU45="","",Fee*$A45+Vq*Delay!BU45)</f>
        <v>6</v>
      </c>
      <c r="BV45" s="19" t="n">
        <f aca="false">IF(Delay!BV45="","",Fee*$A45+Vq*Delay!BV45)</f>
        <v>6</v>
      </c>
      <c r="BW45" s="19" t="n">
        <f aca="false">IF(Delay!BW45="","",Fee*$A45+Vq*Delay!BW45)</f>
        <v>6</v>
      </c>
      <c r="BX45" s="19" t="n">
        <f aca="false">IF(Delay!BX45="","",Fee*$A45+Vq*Delay!BX45)</f>
        <v>6</v>
      </c>
      <c r="BY45" s="19" t="n">
        <f aca="false">IF(Delay!BY45="","",Fee*$A45+Vq*Delay!BY45)</f>
        <v>6</v>
      </c>
      <c r="BZ45" s="19" t="n">
        <f aca="false">IF(Delay!BZ45="","",Fee*$A45+Vq*Delay!BZ45)</f>
        <v>6</v>
      </c>
      <c r="CA45" s="19" t="n">
        <f aca="false">IF(Delay!CA45="","",Fee*$A45+Vq*Delay!CA45)</f>
        <v>6</v>
      </c>
      <c r="CB45" s="19" t="n">
        <f aca="false">IF(Delay!CB45="","",Fee*$A45+Vq*Delay!CB45)</f>
        <v>6</v>
      </c>
      <c r="CC45" s="19" t="n">
        <f aca="false">IF(Delay!CC45="","",Fee*$A45+Vq*Delay!CC45)</f>
        <v>6</v>
      </c>
      <c r="CD45" s="19" t="n">
        <f aca="false">IF(Delay!CD45="","",Fee*$A45+Vq*Delay!CD45)</f>
        <v>6</v>
      </c>
      <c r="CE45" s="19" t="n">
        <f aca="false">IF(Delay!CE45="","",Fee*$A45+Vq*Delay!CE45)</f>
        <v>6</v>
      </c>
      <c r="CF45" s="19" t="n">
        <f aca="false">IF(Delay!CF45="","",Fee*$A45+Vq*Delay!CF45)</f>
        <v>6</v>
      </c>
      <c r="CG45" s="19" t="n">
        <f aca="false">IF(Delay!CG45="","",Fee*$A45+Vq*Delay!CG45)</f>
        <v>6</v>
      </c>
      <c r="CH45" s="19" t="n">
        <f aca="false">IF(Delay!CH45="","",Fee*$A45+Vq*Delay!CH45)</f>
        <v>6</v>
      </c>
      <c r="CI45" s="19" t="n">
        <f aca="false">IF(Delay!CI45="","",Fee*$A45+Vq*Delay!CI45)</f>
        <v>6</v>
      </c>
      <c r="CJ45" s="19" t="n">
        <f aca="false">IF(Delay!CJ45="","",Fee*$A45+Vq*Delay!CJ45)</f>
        <v>6</v>
      </c>
      <c r="CK45" s="19" t="n">
        <f aca="false">IF(Delay!CK45="","",Fee*$A45+Vq*Delay!CK45)</f>
        <v>6</v>
      </c>
      <c r="CL45" s="19" t="n">
        <f aca="false">IF(Delay!CL45="","",Fee*$A45+Vq*Delay!CL45)</f>
        <v>6</v>
      </c>
      <c r="CM45" s="19" t="n">
        <f aca="false">IF(Delay!CM45="","",Fee*$A45+Vq*Delay!CM45)</f>
        <v>6</v>
      </c>
      <c r="CN45" s="19" t="n">
        <f aca="false">IF(Delay!CN45="","",Fee*$A45+Vq*Delay!CN45)</f>
        <v>6</v>
      </c>
      <c r="CO45" s="19" t="n">
        <f aca="false">IF(Delay!CO45="","",Fee*$A45+Vq*Delay!CO45)</f>
        <v>6</v>
      </c>
      <c r="CP45" s="19" t="n">
        <f aca="false">IF(Delay!CP45="","",Fee*$A45+Vq*Delay!CP45)</f>
        <v>6</v>
      </c>
      <c r="CQ45" s="19" t="n">
        <f aca="false">IF(Delay!CQ45="","",Fee*$A45+Vq*Delay!CQ45)</f>
        <v>6</v>
      </c>
      <c r="CR45" s="19" t="n">
        <f aca="false">IF(Delay!CR45="","",Fee*$A45+Vq*Delay!CR45)</f>
        <v>6</v>
      </c>
      <c r="CS45" s="19" t="n">
        <f aca="false">IF(Delay!CS45="","",Fee*$A45+Vq*Delay!CS45)</f>
        <v>6</v>
      </c>
      <c r="CT45" s="19" t="n">
        <f aca="false">IF(Delay!CT45="","",Fee*$A45+Vq*Delay!CT45)</f>
        <v>14.9517817534699</v>
      </c>
    </row>
    <row r="46" customFormat="false" ht="15" hidden="false" customHeight="false" outlineLevel="0" collapsed="false">
      <c r="A46" s="25" t="n">
        <f aca="false">Quantiles!A46</f>
        <v>205</v>
      </c>
      <c r="B46" s="19" t="n">
        <f aca="false">IF(Delay!B46="","",Fee*$A46+Vq*Delay!B46)</f>
        <v>23.1814030731019</v>
      </c>
      <c r="C46" s="19" t="n">
        <f aca="false">IF(Delay!C46="","",Fee*$A46+Vq*Delay!C46)</f>
        <v>21.5382342649483</v>
      </c>
      <c r="D46" s="19" t="n">
        <f aca="false">IF(Delay!D46="","",Fee*$A46+Vq*Delay!D46)</f>
        <v>20.3235267325666</v>
      </c>
      <c r="E46" s="19" t="n">
        <f aca="false">IF(Delay!E46="","",Fee*$A46+Vq*Delay!E46)</f>
        <v>19.1426853045048</v>
      </c>
      <c r="F46" s="19" t="n">
        <f aca="false">IF(Delay!F46="","",Fee*$A46+Vq*Delay!F46)</f>
        <v>18.0776235593382</v>
      </c>
      <c r="G46" s="19" t="n">
        <f aca="false">IF(Delay!G46="","",Fee*$A46+Vq*Delay!G46)</f>
        <v>17.1614387333026</v>
      </c>
      <c r="H46" s="19" t="n">
        <f aca="false">IF(Delay!H46="","",Fee*$A46+Vq*Delay!H46)</f>
        <v>16.3760716996856</v>
      </c>
      <c r="I46" s="19" t="n">
        <f aca="false">IF(Delay!I46="","",Fee*$A46+Vq*Delay!I46)</f>
        <v>15.7244401848408</v>
      </c>
      <c r="J46" s="19" t="n">
        <f aca="false">IF(Delay!J46="","",Fee*$A46+Vq*Delay!J46)</f>
        <v>15.040931606357</v>
      </c>
      <c r="K46" s="19" t="n">
        <f aca="false">IF(Delay!K46="","",Fee*$A46+Vq*Delay!K46)</f>
        <v>14.4258034421768</v>
      </c>
      <c r="L46" s="19" t="n">
        <f aca="false">IF(Delay!L46="","",Fee*$A46+Vq*Delay!L46)</f>
        <v>13.8439364884792</v>
      </c>
      <c r="M46" s="19" t="n">
        <f aca="false">IF(Delay!M46="","",Fee*$A46+Vq*Delay!M46)</f>
        <v>13.2940569795246</v>
      </c>
      <c r="N46" s="19" t="n">
        <f aca="false">IF(Delay!N46="","",Fee*$A46+Vq*Delay!N46)</f>
        <v>12.7740469746047</v>
      </c>
      <c r="O46" s="19" t="n">
        <f aca="false">IF(Delay!O46="","",Fee*$A46+Vq*Delay!O46)</f>
        <v>12.2634697404983</v>
      </c>
      <c r="P46" s="19" t="n">
        <f aca="false">IF(Delay!P46="","",Fee*$A46+Vq*Delay!P46)</f>
        <v>11.802634906012</v>
      </c>
      <c r="Q46" s="19" t="n">
        <f aca="false">IF(Delay!Q46="","",Fee*$A46+Vq*Delay!Q46)</f>
        <v>11.3369103990837</v>
      </c>
      <c r="R46" s="19" t="n">
        <f aca="false">IF(Delay!R46="","",Fee*$A46+Vq*Delay!R46)</f>
        <v>10.8949898749634</v>
      </c>
      <c r="S46" s="19" t="n">
        <f aca="false">IF(Delay!S46="","",Fee*$A46+Vq*Delay!S46)</f>
        <v>10.5085217970166</v>
      </c>
      <c r="T46" s="19" t="n">
        <f aca="false">IF(Delay!T46="","",Fee*$A46+Vq*Delay!T46)</f>
        <v>10.1186514661244</v>
      </c>
      <c r="U46" s="19" t="n">
        <f aca="false">IF(Delay!U46="","",Fee*$A46+Vq*Delay!U46)</f>
        <v>9.74616675824148</v>
      </c>
      <c r="V46" s="19" t="n">
        <f aca="false">IF(Delay!V46="","",Fee*$A46+Vq*Delay!V46)</f>
        <v>9.38979576922272</v>
      </c>
      <c r="W46" s="19" t="n">
        <f aca="false">IF(Delay!W46="","",Fee*$A46+Vq*Delay!W46)</f>
        <v>9.02783342113268</v>
      </c>
      <c r="X46" s="19" t="n">
        <f aca="false">IF(Delay!X46="","",Fee*$A46+Vq*Delay!X46)</f>
        <v>8.7045305584283</v>
      </c>
      <c r="Y46" s="19" t="n">
        <f aca="false">IF(Delay!Y46="","",Fee*$A46+Vq*Delay!Y46)</f>
        <v>8.34834697995652</v>
      </c>
      <c r="Z46" s="19" t="n">
        <f aca="false">IF(Delay!Z46="","",Fee*$A46+Vq*Delay!Z46)</f>
        <v>8.0391730346804</v>
      </c>
      <c r="AA46" s="19" t="n">
        <f aca="false">IF(Delay!AA46="","",Fee*$A46+Vq*Delay!AA46)</f>
        <v>7.7364927303507</v>
      </c>
      <c r="AB46" s="19" t="n">
        <f aca="false">IF(Delay!AB46="","",Fee*$A46+Vq*Delay!AB46)</f>
        <v>7.44076508908164</v>
      </c>
      <c r="AC46" s="19" t="n">
        <f aca="false">IF(Delay!AC46="","",Fee*$A46+Vq*Delay!AC46)</f>
        <v>7.12426003140062</v>
      </c>
      <c r="AD46" s="19" t="n">
        <f aca="false">IF(Delay!AD46="","",Fee*$A46+Vq*Delay!AD46)</f>
        <v>6.8382632608959</v>
      </c>
      <c r="AE46" s="19" t="n">
        <f aca="false">IF(Delay!AE46="","",Fee*$A46+Vq*Delay!AE46)</f>
        <v>6.53898045746878</v>
      </c>
      <c r="AF46" s="19" t="n">
        <f aca="false">IF(Delay!AF46="","",Fee*$A46+Vq*Delay!AF46)</f>
        <v>6.28325963958966</v>
      </c>
      <c r="AG46" s="19" t="n">
        <f aca="false">IF(Delay!AG46="","",Fee*$A46+Vq*Delay!AG46)</f>
        <v>6.15</v>
      </c>
      <c r="AH46" s="19" t="n">
        <f aca="false">IF(Delay!AH46="","",Fee*$A46+Vq*Delay!AH46)</f>
        <v>6.15</v>
      </c>
      <c r="AI46" s="19" t="n">
        <f aca="false">IF(Delay!AI46="","",Fee*$A46+Vq*Delay!AI46)</f>
        <v>6.15</v>
      </c>
      <c r="AJ46" s="19" t="n">
        <f aca="false">IF(Delay!AJ46="","",Fee*$A46+Vq*Delay!AJ46)</f>
        <v>6.15</v>
      </c>
      <c r="AK46" s="19" t="n">
        <f aca="false">IF(Delay!AK46="","",Fee*$A46+Vq*Delay!AK46)</f>
        <v>6.15</v>
      </c>
      <c r="AL46" s="19" t="n">
        <f aca="false">IF(Delay!AL46="","",Fee*$A46+Vq*Delay!AL46)</f>
        <v>6.15</v>
      </c>
      <c r="AM46" s="19" t="n">
        <f aca="false">IF(Delay!AM46="","",Fee*$A46+Vq*Delay!AM46)</f>
        <v>6.15</v>
      </c>
      <c r="AN46" s="19" t="n">
        <f aca="false">IF(Delay!AN46="","",Fee*$A46+Vq*Delay!AN46)</f>
        <v>6.15</v>
      </c>
      <c r="AO46" s="19" t="n">
        <f aca="false">IF(Delay!AO46="","",Fee*$A46+Vq*Delay!AO46)</f>
        <v>6.15</v>
      </c>
      <c r="AP46" s="19" t="n">
        <f aca="false">IF(Delay!AP46="","",Fee*$A46+Vq*Delay!AP46)</f>
        <v>6.15</v>
      </c>
      <c r="AQ46" s="19" t="n">
        <f aca="false">IF(Delay!AQ46="","",Fee*$A46+Vq*Delay!AQ46)</f>
        <v>6.15</v>
      </c>
      <c r="AR46" s="19" t="n">
        <f aca="false">IF(Delay!AR46="","",Fee*$A46+Vq*Delay!AR46)</f>
        <v>6.15</v>
      </c>
      <c r="AS46" s="19" t="n">
        <f aca="false">IF(Delay!AS46="","",Fee*$A46+Vq*Delay!AS46)</f>
        <v>6.15</v>
      </c>
      <c r="AT46" s="19" t="n">
        <f aca="false">IF(Delay!AT46="","",Fee*$A46+Vq*Delay!AT46)</f>
        <v>6.15</v>
      </c>
      <c r="AU46" s="19" t="n">
        <f aca="false">IF(Delay!AU46="","",Fee*$A46+Vq*Delay!AU46)</f>
        <v>6.15</v>
      </c>
      <c r="AV46" s="19" t="n">
        <f aca="false">IF(Delay!AV46="","",Fee*$A46+Vq*Delay!AV46)</f>
        <v>6.15</v>
      </c>
      <c r="AW46" s="19" t="n">
        <f aca="false">IF(Delay!AW46="","",Fee*$A46+Vq*Delay!AW46)</f>
        <v>6.15</v>
      </c>
      <c r="AX46" s="19" t="n">
        <f aca="false">IF(Delay!AX46="","",Fee*$A46+Vq*Delay!AX46)</f>
        <v>6.15</v>
      </c>
      <c r="AY46" s="19" t="n">
        <f aca="false">IF(Delay!AY46="","",Fee*$A46+Vq*Delay!AY46)</f>
        <v>6.15</v>
      </c>
      <c r="AZ46" s="19" t="n">
        <f aca="false">IF(Delay!AZ46="","",Fee*$A46+Vq*Delay!AZ46)</f>
        <v>6.15</v>
      </c>
      <c r="BA46" s="19" t="n">
        <f aca="false">IF(Delay!BA46="","",Fee*$A46+Vq*Delay!BA46)</f>
        <v>6.15</v>
      </c>
      <c r="BB46" s="19" t="n">
        <f aca="false">IF(Delay!BB46="","",Fee*$A46+Vq*Delay!BB46)</f>
        <v>6.15</v>
      </c>
      <c r="BC46" s="19" t="n">
        <f aca="false">IF(Delay!BC46="","",Fee*$A46+Vq*Delay!BC46)</f>
        <v>6.15</v>
      </c>
      <c r="BD46" s="19" t="n">
        <f aca="false">IF(Delay!BD46="","",Fee*$A46+Vq*Delay!BD46)</f>
        <v>6.15</v>
      </c>
      <c r="BE46" s="19" t="n">
        <f aca="false">IF(Delay!BE46="","",Fee*$A46+Vq*Delay!BE46)</f>
        <v>6.15</v>
      </c>
      <c r="BF46" s="19" t="n">
        <f aca="false">IF(Delay!BF46="","",Fee*$A46+Vq*Delay!BF46)</f>
        <v>6.15</v>
      </c>
      <c r="BG46" s="19" t="n">
        <f aca="false">IF(Delay!BG46="","",Fee*$A46+Vq*Delay!BG46)</f>
        <v>6.15</v>
      </c>
      <c r="BH46" s="19" t="n">
        <f aca="false">IF(Delay!BH46="","",Fee*$A46+Vq*Delay!BH46)</f>
        <v>6.15</v>
      </c>
      <c r="BI46" s="19" t="n">
        <f aca="false">IF(Delay!BI46="","",Fee*$A46+Vq*Delay!BI46)</f>
        <v>6.15</v>
      </c>
      <c r="BJ46" s="19" t="n">
        <f aca="false">IF(Delay!BJ46="","",Fee*$A46+Vq*Delay!BJ46)</f>
        <v>6.15</v>
      </c>
      <c r="BK46" s="19" t="n">
        <f aca="false">IF(Delay!BK46="","",Fee*$A46+Vq*Delay!BK46)</f>
        <v>6.15</v>
      </c>
      <c r="BL46" s="19" t="n">
        <f aca="false">IF(Delay!BL46="","",Fee*$A46+Vq*Delay!BL46)</f>
        <v>6.15</v>
      </c>
      <c r="BM46" s="19" t="n">
        <f aca="false">IF(Delay!BM46="","",Fee*$A46+Vq*Delay!BM46)</f>
        <v>6.15</v>
      </c>
      <c r="BN46" s="19" t="n">
        <f aca="false">IF(Delay!BN46="","",Fee*$A46+Vq*Delay!BN46)</f>
        <v>6.15</v>
      </c>
      <c r="BO46" s="19" t="n">
        <f aca="false">IF(Delay!BO46="","",Fee*$A46+Vq*Delay!BO46)</f>
        <v>6.15</v>
      </c>
      <c r="BP46" s="19" t="n">
        <f aca="false">IF(Delay!BP46="","",Fee*$A46+Vq*Delay!BP46)</f>
        <v>6.15</v>
      </c>
      <c r="BQ46" s="19" t="n">
        <f aca="false">IF(Delay!BQ46="","",Fee*$A46+Vq*Delay!BQ46)</f>
        <v>6.15</v>
      </c>
      <c r="BR46" s="19" t="n">
        <f aca="false">IF(Delay!BR46="","",Fee*$A46+Vq*Delay!BR46)</f>
        <v>6.15</v>
      </c>
      <c r="BS46" s="19" t="n">
        <f aca="false">IF(Delay!BS46="","",Fee*$A46+Vq*Delay!BS46)</f>
        <v>6.15</v>
      </c>
      <c r="BT46" s="19" t="n">
        <f aca="false">IF(Delay!BT46="","",Fee*$A46+Vq*Delay!BT46)</f>
        <v>6.15</v>
      </c>
      <c r="BU46" s="19" t="n">
        <f aca="false">IF(Delay!BU46="","",Fee*$A46+Vq*Delay!BU46)</f>
        <v>6.15</v>
      </c>
      <c r="BV46" s="19" t="n">
        <f aca="false">IF(Delay!BV46="","",Fee*$A46+Vq*Delay!BV46)</f>
        <v>6.15</v>
      </c>
      <c r="BW46" s="19" t="n">
        <f aca="false">IF(Delay!BW46="","",Fee*$A46+Vq*Delay!BW46)</f>
        <v>6.15</v>
      </c>
      <c r="BX46" s="19" t="n">
        <f aca="false">IF(Delay!BX46="","",Fee*$A46+Vq*Delay!BX46)</f>
        <v>6.15</v>
      </c>
      <c r="BY46" s="19" t="n">
        <f aca="false">IF(Delay!BY46="","",Fee*$A46+Vq*Delay!BY46)</f>
        <v>6.15</v>
      </c>
      <c r="BZ46" s="19" t="n">
        <f aca="false">IF(Delay!BZ46="","",Fee*$A46+Vq*Delay!BZ46)</f>
        <v>6.15</v>
      </c>
      <c r="CA46" s="19" t="n">
        <f aca="false">IF(Delay!CA46="","",Fee*$A46+Vq*Delay!CA46)</f>
        <v>6.15</v>
      </c>
      <c r="CB46" s="19" t="n">
        <f aca="false">IF(Delay!CB46="","",Fee*$A46+Vq*Delay!CB46)</f>
        <v>6.15</v>
      </c>
      <c r="CC46" s="19" t="n">
        <f aca="false">IF(Delay!CC46="","",Fee*$A46+Vq*Delay!CC46)</f>
        <v>6.15</v>
      </c>
      <c r="CD46" s="19" t="n">
        <f aca="false">IF(Delay!CD46="","",Fee*$A46+Vq*Delay!CD46)</f>
        <v>6.15</v>
      </c>
      <c r="CE46" s="19" t="n">
        <f aca="false">IF(Delay!CE46="","",Fee*$A46+Vq*Delay!CE46)</f>
        <v>6.15</v>
      </c>
      <c r="CF46" s="19" t="n">
        <f aca="false">IF(Delay!CF46="","",Fee*$A46+Vq*Delay!CF46)</f>
        <v>6.15</v>
      </c>
      <c r="CG46" s="19" t="n">
        <f aca="false">IF(Delay!CG46="","",Fee*$A46+Vq*Delay!CG46)</f>
        <v>6.15</v>
      </c>
      <c r="CH46" s="19" t="n">
        <f aca="false">IF(Delay!CH46="","",Fee*$A46+Vq*Delay!CH46)</f>
        <v>6.15</v>
      </c>
      <c r="CI46" s="19" t="n">
        <f aca="false">IF(Delay!CI46="","",Fee*$A46+Vq*Delay!CI46)</f>
        <v>6.15</v>
      </c>
      <c r="CJ46" s="19" t="n">
        <f aca="false">IF(Delay!CJ46="","",Fee*$A46+Vq*Delay!CJ46)</f>
        <v>6.15</v>
      </c>
      <c r="CK46" s="19" t="n">
        <f aca="false">IF(Delay!CK46="","",Fee*$A46+Vq*Delay!CK46)</f>
        <v>6.15</v>
      </c>
      <c r="CL46" s="19" t="n">
        <f aca="false">IF(Delay!CL46="","",Fee*$A46+Vq*Delay!CL46)</f>
        <v>6.15</v>
      </c>
      <c r="CM46" s="19" t="n">
        <f aca="false">IF(Delay!CM46="","",Fee*$A46+Vq*Delay!CM46)</f>
        <v>6.15</v>
      </c>
      <c r="CN46" s="19" t="n">
        <f aca="false">IF(Delay!CN46="","",Fee*$A46+Vq*Delay!CN46)</f>
        <v>6.15</v>
      </c>
      <c r="CO46" s="19" t="n">
        <f aca="false">IF(Delay!CO46="","",Fee*$A46+Vq*Delay!CO46)</f>
        <v>6.15</v>
      </c>
      <c r="CP46" s="19" t="n">
        <f aca="false">IF(Delay!CP46="","",Fee*$A46+Vq*Delay!CP46)</f>
        <v>6.15</v>
      </c>
      <c r="CQ46" s="19" t="n">
        <f aca="false">IF(Delay!CQ46="","",Fee*$A46+Vq*Delay!CQ46)</f>
        <v>6.15</v>
      </c>
      <c r="CR46" s="19" t="n">
        <f aca="false">IF(Delay!CR46="","",Fee*$A46+Vq*Delay!CR46)</f>
        <v>6.15</v>
      </c>
      <c r="CS46" s="19" t="n">
        <f aca="false">IF(Delay!CS46="","",Fee*$A46+Vq*Delay!CS46)</f>
        <v>6.15</v>
      </c>
      <c r="CT46" s="19" t="n">
        <f aca="false">IF(Delay!CT46="","",Fee*$A46+Vq*Delay!CT46)</f>
        <v>15.0376858280689</v>
      </c>
    </row>
    <row r="47" customFormat="false" ht="15" hidden="false" customHeight="false" outlineLevel="0" collapsed="false">
      <c r="A47" s="25" t="n">
        <f aca="false">Quantiles!A47</f>
        <v>210</v>
      </c>
      <c r="B47" s="19" t="n">
        <f aca="false">IF(Delay!B47="","",Fee*$A47+Vq*Delay!B47)</f>
        <v>23.2521450364013</v>
      </c>
      <c r="C47" s="19" t="n">
        <f aca="false">IF(Delay!C47="","",Fee*$A47+Vq*Delay!C47)</f>
        <v>21.6390608211032</v>
      </c>
      <c r="D47" s="19" t="n">
        <f aca="false">IF(Delay!D47="","",Fee*$A47+Vq*Delay!D47)</f>
        <v>20.3643902092893</v>
      </c>
      <c r="E47" s="19" t="n">
        <f aca="false">IF(Delay!E47="","",Fee*$A47+Vq*Delay!E47)</f>
        <v>19.2266406123656</v>
      </c>
      <c r="F47" s="19" t="n">
        <f aca="false">IF(Delay!F47="","",Fee*$A47+Vq*Delay!F47)</f>
        <v>18.1859214698354</v>
      </c>
      <c r="G47" s="19" t="n">
        <f aca="false">IF(Delay!G47="","",Fee*$A47+Vq*Delay!G47)</f>
        <v>17.2693453917122</v>
      </c>
      <c r="H47" s="19" t="n">
        <f aca="false">IF(Delay!H47="","",Fee*$A47+Vq*Delay!H47)</f>
        <v>16.4861984759507</v>
      </c>
      <c r="I47" s="19" t="n">
        <f aca="false">IF(Delay!I47="","",Fee*$A47+Vq*Delay!I47)</f>
        <v>15.8031445941222</v>
      </c>
      <c r="J47" s="19" t="n">
        <f aca="false">IF(Delay!J47="","",Fee*$A47+Vq*Delay!J47)</f>
        <v>15.164532349437</v>
      </c>
      <c r="K47" s="19" t="n">
        <f aca="false">IF(Delay!K47="","",Fee*$A47+Vq*Delay!K47)</f>
        <v>14.5191034255213</v>
      </c>
      <c r="L47" s="19" t="n">
        <f aca="false">IF(Delay!L47="","",Fee*$A47+Vq*Delay!L47)</f>
        <v>13.9095987649434</v>
      </c>
      <c r="M47" s="19" t="n">
        <f aca="false">IF(Delay!M47="","",Fee*$A47+Vq*Delay!M47)</f>
        <v>13.3848070381477</v>
      </c>
      <c r="N47" s="19" t="n">
        <f aca="false">IF(Delay!N47="","",Fee*$A47+Vq*Delay!N47)</f>
        <v>12.8811115175079</v>
      </c>
      <c r="O47" s="19" t="n">
        <f aca="false">IF(Delay!O47="","",Fee*$A47+Vq*Delay!O47)</f>
        <v>12.3735754094088</v>
      </c>
      <c r="P47" s="19" t="n">
        <f aca="false">IF(Delay!P47="","",Fee*$A47+Vq*Delay!P47)</f>
        <v>11.9098662389023</v>
      </c>
      <c r="Q47" s="19" t="n">
        <f aca="false">IF(Delay!Q47="","",Fee*$A47+Vq*Delay!Q47)</f>
        <v>11.4286862290071</v>
      </c>
      <c r="R47" s="19" t="n">
        <f aca="false">IF(Delay!R47="","",Fee*$A47+Vq*Delay!R47)</f>
        <v>11.0071458821703</v>
      </c>
      <c r="S47" s="19" t="n">
        <f aca="false">IF(Delay!S47="","",Fee*$A47+Vq*Delay!S47)</f>
        <v>10.601897577401</v>
      </c>
      <c r="T47" s="19" t="n">
        <f aca="false">IF(Delay!T47="","",Fee*$A47+Vq*Delay!T47)</f>
        <v>10.2107709225473</v>
      </c>
      <c r="U47" s="19" t="n">
        <f aca="false">IF(Delay!U47="","",Fee*$A47+Vq*Delay!U47)</f>
        <v>9.85996934912922</v>
      </c>
      <c r="V47" s="19" t="n">
        <f aca="false">IF(Delay!V47="","",Fee*$A47+Vq*Delay!V47)</f>
        <v>9.50344904193246</v>
      </c>
      <c r="W47" s="19" t="n">
        <f aca="false">IF(Delay!W47="","",Fee*$A47+Vq*Delay!W47)</f>
        <v>9.1467533324268</v>
      </c>
      <c r="X47" s="19" t="n">
        <f aca="false">IF(Delay!X47="","",Fee*$A47+Vq*Delay!X47)</f>
        <v>8.8133670748854</v>
      </c>
      <c r="Y47" s="19" t="n">
        <f aca="false">IF(Delay!Y47="","",Fee*$A47+Vq*Delay!Y47)</f>
        <v>8.4684641141856</v>
      </c>
      <c r="Z47" s="19" t="n">
        <f aca="false">IF(Delay!Z47="","",Fee*$A47+Vq*Delay!Z47)</f>
        <v>8.1648583635014</v>
      </c>
      <c r="AA47" s="19" t="n">
        <f aca="false">IF(Delay!AA47="","",Fee*$A47+Vq*Delay!AA47)</f>
        <v>7.86127843892436</v>
      </c>
      <c r="AB47" s="19" t="n">
        <f aca="false">IF(Delay!AB47="","",Fee*$A47+Vq*Delay!AB47)</f>
        <v>7.55277780384132</v>
      </c>
      <c r="AC47" s="19" t="n">
        <f aca="false">IF(Delay!AC47="","",Fee*$A47+Vq*Delay!AC47)</f>
        <v>7.24192362974946</v>
      </c>
      <c r="AD47" s="19" t="n">
        <f aca="false">IF(Delay!AD47="","",Fee*$A47+Vq*Delay!AD47)</f>
        <v>6.96470682397982</v>
      </c>
      <c r="AE47" s="19" t="n">
        <f aca="false">IF(Delay!AE47="","",Fee*$A47+Vq*Delay!AE47)</f>
        <v>6.6578857020307</v>
      </c>
      <c r="AF47" s="19" t="n">
        <f aca="false">IF(Delay!AF47="","",Fee*$A47+Vq*Delay!AF47)</f>
        <v>6.3941030587228</v>
      </c>
      <c r="AG47" s="19" t="n">
        <f aca="false">IF(Delay!AG47="","",Fee*$A47+Vq*Delay!AG47)</f>
        <v>6.3</v>
      </c>
      <c r="AH47" s="19" t="n">
        <f aca="false">IF(Delay!AH47="","",Fee*$A47+Vq*Delay!AH47)</f>
        <v>6.3</v>
      </c>
      <c r="AI47" s="19" t="n">
        <f aca="false">IF(Delay!AI47="","",Fee*$A47+Vq*Delay!AI47)</f>
        <v>6.3</v>
      </c>
      <c r="AJ47" s="19" t="n">
        <f aca="false">IF(Delay!AJ47="","",Fee*$A47+Vq*Delay!AJ47)</f>
        <v>6.3</v>
      </c>
      <c r="AK47" s="19" t="n">
        <f aca="false">IF(Delay!AK47="","",Fee*$A47+Vq*Delay!AK47)</f>
        <v>6.3</v>
      </c>
      <c r="AL47" s="19" t="n">
        <f aca="false">IF(Delay!AL47="","",Fee*$A47+Vq*Delay!AL47)</f>
        <v>6.3</v>
      </c>
      <c r="AM47" s="19" t="n">
        <f aca="false">IF(Delay!AM47="","",Fee*$A47+Vq*Delay!AM47)</f>
        <v>6.3</v>
      </c>
      <c r="AN47" s="19" t="n">
        <f aca="false">IF(Delay!AN47="","",Fee*$A47+Vq*Delay!AN47)</f>
        <v>6.3</v>
      </c>
      <c r="AO47" s="19" t="n">
        <f aca="false">IF(Delay!AO47="","",Fee*$A47+Vq*Delay!AO47)</f>
        <v>6.3</v>
      </c>
      <c r="AP47" s="19" t="n">
        <f aca="false">IF(Delay!AP47="","",Fee*$A47+Vq*Delay!AP47)</f>
        <v>6.3</v>
      </c>
      <c r="AQ47" s="19" t="n">
        <f aca="false">IF(Delay!AQ47="","",Fee*$A47+Vq*Delay!AQ47)</f>
        <v>6.3</v>
      </c>
      <c r="AR47" s="19" t="n">
        <f aca="false">IF(Delay!AR47="","",Fee*$A47+Vq*Delay!AR47)</f>
        <v>6.3</v>
      </c>
      <c r="AS47" s="19" t="n">
        <f aca="false">IF(Delay!AS47="","",Fee*$A47+Vq*Delay!AS47)</f>
        <v>6.3</v>
      </c>
      <c r="AT47" s="19" t="n">
        <f aca="false">IF(Delay!AT47="","",Fee*$A47+Vq*Delay!AT47)</f>
        <v>6.3</v>
      </c>
      <c r="AU47" s="19" t="n">
        <f aca="false">IF(Delay!AU47="","",Fee*$A47+Vq*Delay!AU47)</f>
        <v>6.3</v>
      </c>
      <c r="AV47" s="19" t="n">
        <f aca="false">IF(Delay!AV47="","",Fee*$A47+Vq*Delay!AV47)</f>
        <v>6.3</v>
      </c>
      <c r="AW47" s="19" t="n">
        <f aca="false">IF(Delay!AW47="","",Fee*$A47+Vq*Delay!AW47)</f>
        <v>6.3</v>
      </c>
      <c r="AX47" s="19" t="n">
        <f aca="false">IF(Delay!AX47="","",Fee*$A47+Vq*Delay!AX47)</f>
        <v>6.3</v>
      </c>
      <c r="AY47" s="19" t="n">
        <f aca="false">IF(Delay!AY47="","",Fee*$A47+Vq*Delay!AY47)</f>
        <v>6.3</v>
      </c>
      <c r="AZ47" s="19" t="n">
        <f aca="false">IF(Delay!AZ47="","",Fee*$A47+Vq*Delay!AZ47)</f>
        <v>6.3</v>
      </c>
      <c r="BA47" s="19" t="n">
        <f aca="false">IF(Delay!BA47="","",Fee*$A47+Vq*Delay!BA47)</f>
        <v>6.3</v>
      </c>
      <c r="BB47" s="19" t="n">
        <f aca="false">IF(Delay!BB47="","",Fee*$A47+Vq*Delay!BB47)</f>
        <v>6.3</v>
      </c>
      <c r="BC47" s="19" t="n">
        <f aca="false">IF(Delay!BC47="","",Fee*$A47+Vq*Delay!BC47)</f>
        <v>6.3</v>
      </c>
      <c r="BD47" s="19" t="n">
        <f aca="false">IF(Delay!BD47="","",Fee*$A47+Vq*Delay!BD47)</f>
        <v>6.3</v>
      </c>
      <c r="BE47" s="19" t="n">
        <f aca="false">IF(Delay!BE47="","",Fee*$A47+Vq*Delay!BE47)</f>
        <v>6.3</v>
      </c>
      <c r="BF47" s="19" t="n">
        <f aca="false">IF(Delay!BF47="","",Fee*$A47+Vq*Delay!BF47)</f>
        <v>6.3</v>
      </c>
      <c r="BG47" s="19" t="n">
        <f aca="false">IF(Delay!BG47="","",Fee*$A47+Vq*Delay!BG47)</f>
        <v>6.3</v>
      </c>
      <c r="BH47" s="19" t="n">
        <f aca="false">IF(Delay!BH47="","",Fee*$A47+Vq*Delay!BH47)</f>
        <v>6.3</v>
      </c>
      <c r="BI47" s="19" t="n">
        <f aca="false">IF(Delay!BI47="","",Fee*$A47+Vq*Delay!BI47)</f>
        <v>6.3</v>
      </c>
      <c r="BJ47" s="19" t="n">
        <f aca="false">IF(Delay!BJ47="","",Fee*$A47+Vq*Delay!BJ47)</f>
        <v>6.3</v>
      </c>
      <c r="BK47" s="19" t="n">
        <f aca="false">IF(Delay!BK47="","",Fee*$A47+Vq*Delay!BK47)</f>
        <v>6.3</v>
      </c>
      <c r="BL47" s="19" t="n">
        <f aca="false">IF(Delay!BL47="","",Fee*$A47+Vq*Delay!BL47)</f>
        <v>6.3</v>
      </c>
      <c r="BM47" s="19" t="n">
        <f aca="false">IF(Delay!BM47="","",Fee*$A47+Vq*Delay!BM47)</f>
        <v>6.3</v>
      </c>
      <c r="BN47" s="19" t="n">
        <f aca="false">IF(Delay!BN47="","",Fee*$A47+Vq*Delay!BN47)</f>
        <v>6.3</v>
      </c>
      <c r="BO47" s="19" t="n">
        <f aca="false">IF(Delay!BO47="","",Fee*$A47+Vq*Delay!BO47)</f>
        <v>6.3</v>
      </c>
      <c r="BP47" s="19" t="n">
        <f aca="false">IF(Delay!BP47="","",Fee*$A47+Vq*Delay!BP47)</f>
        <v>6.3</v>
      </c>
      <c r="BQ47" s="19" t="n">
        <f aca="false">IF(Delay!BQ47="","",Fee*$A47+Vq*Delay!BQ47)</f>
        <v>6.3</v>
      </c>
      <c r="BR47" s="19" t="n">
        <f aca="false">IF(Delay!BR47="","",Fee*$A47+Vq*Delay!BR47)</f>
        <v>6.3</v>
      </c>
      <c r="BS47" s="19" t="n">
        <f aca="false">IF(Delay!BS47="","",Fee*$A47+Vq*Delay!BS47)</f>
        <v>6.3</v>
      </c>
      <c r="BT47" s="19" t="n">
        <f aca="false">IF(Delay!BT47="","",Fee*$A47+Vq*Delay!BT47)</f>
        <v>6.3</v>
      </c>
      <c r="BU47" s="19" t="n">
        <f aca="false">IF(Delay!BU47="","",Fee*$A47+Vq*Delay!BU47)</f>
        <v>6.3</v>
      </c>
      <c r="BV47" s="19" t="n">
        <f aca="false">IF(Delay!BV47="","",Fee*$A47+Vq*Delay!BV47)</f>
        <v>6.3</v>
      </c>
      <c r="BW47" s="19" t="n">
        <f aca="false">IF(Delay!BW47="","",Fee*$A47+Vq*Delay!BW47)</f>
        <v>6.3</v>
      </c>
      <c r="BX47" s="19" t="n">
        <f aca="false">IF(Delay!BX47="","",Fee*$A47+Vq*Delay!BX47)</f>
        <v>6.3</v>
      </c>
      <c r="BY47" s="19" t="n">
        <f aca="false">IF(Delay!BY47="","",Fee*$A47+Vq*Delay!BY47)</f>
        <v>6.3</v>
      </c>
      <c r="BZ47" s="19" t="n">
        <f aca="false">IF(Delay!BZ47="","",Fee*$A47+Vq*Delay!BZ47)</f>
        <v>6.3</v>
      </c>
      <c r="CA47" s="19" t="n">
        <f aca="false">IF(Delay!CA47="","",Fee*$A47+Vq*Delay!CA47)</f>
        <v>6.3</v>
      </c>
      <c r="CB47" s="19" t="n">
        <f aca="false">IF(Delay!CB47="","",Fee*$A47+Vq*Delay!CB47)</f>
        <v>6.3</v>
      </c>
      <c r="CC47" s="19" t="n">
        <f aca="false">IF(Delay!CC47="","",Fee*$A47+Vq*Delay!CC47)</f>
        <v>6.3</v>
      </c>
      <c r="CD47" s="19" t="n">
        <f aca="false">IF(Delay!CD47="","",Fee*$A47+Vq*Delay!CD47)</f>
        <v>6.3</v>
      </c>
      <c r="CE47" s="19" t="n">
        <f aca="false">IF(Delay!CE47="","",Fee*$A47+Vq*Delay!CE47)</f>
        <v>6.3</v>
      </c>
      <c r="CF47" s="19" t="n">
        <f aca="false">IF(Delay!CF47="","",Fee*$A47+Vq*Delay!CF47)</f>
        <v>6.3</v>
      </c>
      <c r="CG47" s="19" t="n">
        <f aca="false">IF(Delay!CG47="","",Fee*$A47+Vq*Delay!CG47)</f>
        <v>6.3</v>
      </c>
      <c r="CH47" s="19" t="n">
        <f aca="false">IF(Delay!CH47="","",Fee*$A47+Vq*Delay!CH47)</f>
        <v>6.3</v>
      </c>
      <c r="CI47" s="19" t="n">
        <f aca="false">IF(Delay!CI47="","",Fee*$A47+Vq*Delay!CI47)</f>
        <v>6.3</v>
      </c>
      <c r="CJ47" s="19" t="n">
        <f aca="false">IF(Delay!CJ47="","",Fee*$A47+Vq*Delay!CJ47)</f>
        <v>6.3</v>
      </c>
      <c r="CK47" s="19" t="n">
        <f aca="false">IF(Delay!CK47="","",Fee*$A47+Vq*Delay!CK47)</f>
        <v>6.3</v>
      </c>
      <c r="CL47" s="19" t="n">
        <f aca="false">IF(Delay!CL47="","",Fee*$A47+Vq*Delay!CL47)</f>
        <v>6.3</v>
      </c>
      <c r="CM47" s="19" t="n">
        <f aca="false">IF(Delay!CM47="","",Fee*$A47+Vq*Delay!CM47)</f>
        <v>6.3</v>
      </c>
      <c r="CN47" s="19" t="n">
        <f aca="false">IF(Delay!CN47="","",Fee*$A47+Vq*Delay!CN47)</f>
        <v>6.3</v>
      </c>
      <c r="CO47" s="19" t="n">
        <f aca="false">IF(Delay!CO47="","",Fee*$A47+Vq*Delay!CO47)</f>
        <v>6.3</v>
      </c>
      <c r="CP47" s="19" t="n">
        <f aca="false">IF(Delay!CP47="","",Fee*$A47+Vq*Delay!CP47)</f>
        <v>6.3</v>
      </c>
      <c r="CQ47" s="19" t="n">
        <f aca="false">IF(Delay!CQ47="","",Fee*$A47+Vq*Delay!CQ47)</f>
        <v>6.3</v>
      </c>
      <c r="CR47" s="19" t="n">
        <f aca="false">IF(Delay!CR47="","",Fee*$A47+Vq*Delay!CR47)</f>
        <v>6.3</v>
      </c>
      <c r="CS47" s="19" t="n">
        <f aca="false">IF(Delay!CS47="","",Fee*$A47+Vq*Delay!CS47)</f>
        <v>6.3</v>
      </c>
      <c r="CT47" s="19" t="n">
        <f aca="false">IF(Delay!CT47="","",Fee*$A47+Vq*Delay!CT47)</f>
        <v>15.1552962592484</v>
      </c>
    </row>
    <row r="48" customFormat="false" ht="15" hidden="false" customHeight="false" outlineLevel="0" collapsed="false">
      <c r="A48" s="25" t="n">
        <f aca="false">Quantiles!A48</f>
        <v>215</v>
      </c>
      <c r="B48" s="19" t="n">
        <f aca="false">IF(Delay!B48="","",Fee*$A48+Vq*Delay!B48)</f>
        <v>23.3308705726514</v>
      </c>
      <c r="C48" s="19" t="n">
        <f aca="false">IF(Delay!C48="","",Fee*$A48+Vq*Delay!C48)</f>
        <v>21.7471092558023</v>
      </c>
      <c r="D48" s="19" t="n">
        <f aca="false">IF(Delay!D48="","",Fee*$A48+Vq*Delay!D48)</f>
        <v>20.4645541159929</v>
      </c>
      <c r="E48" s="19" t="n">
        <f aca="false">IF(Delay!E48="","",Fee*$A48+Vq*Delay!E48)</f>
        <v>19.3102452123627</v>
      </c>
      <c r="F48" s="19" t="n">
        <f aca="false">IF(Delay!F48="","",Fee*$A48+Vq*Delay!F48)</f>
        <v>18.2605783672305</v>
      </c>
      <c r="G48" s="19" t="n">
        <f aca="false">IF(Delay!G48="","",Fee*$A48+Vq*Delay!G48)</f>
        <v>17.3827699168784</v>
      </c>
      <c r="H48" s="19" t="n">
        <f aca="false">IF(Delay!H48="","",Fee*$A48+Vq*Delay!H48)</f>
        <v>16.6001203617194</v>
      </c>
      <c r="I48" s="19" t="n">
        <f aca="false">IF(Delay!I48="","",Fee*$A48+Vq*Delay!I48)</f>
        <v>15.9017927533539</v>
      </c>
      <c r="J48" s="19" t="n">
        <f aca="false">IF(Delay!J48="","",Fee*$A48+Vq*Delay!J48)</f>
        <v>15.2530668683766</v>
      </c>
      <c r="K48" s="19" t="n">
        <f aca="false">IF(Delay!K48="","",Fee*$A48+Vq*Delay!K48)</f>
        <v>14.6223231957826</v>
      </c>
      <c r="L48" s="19" t="n">
        <f aca="false">IF(Delay!L48="","",Fee*$A48+Vq*Delay!L48)</f>
        <v>14.032537197507</v>
      </c>
      <c r="M48" s="19" t="n">
        <f aca="false">IF(Delay!M48="","",Fee*$A48+Vq*Delay!M48)</f>
        <v>13.5127061167686</v>
      </c>
      <c r="N48" s="19" t="n">
        <f aca="false">IF(Delay!N48="","",Fee*$A48+Vq*Delay!N48)</f>
        <v>12.9636618128547</v>
      </c>
      <c r="O48" s="19" t="n">
        <f aca="false">IF(Delay!O48="","",Fee*$A48+Vq*Delay!O48)</f>
        <v>12.4689186725877</v>
      </c>
      <c r="P48" s="19" t="n">
        <f aca="false">IF(Delay!P48="","",Fee*$A48+Vq*Delay!P48)</f>
        <v>12.0006054615814</v>
      </c>
      <c r="Q48" s="19" t="n">
        <f aca="false">IF(Delay!Q48="","",Fee*$A48+Vq*Delay!Q48)</f>
        <v>11.549708953353</v>
      </c>
      <c r="R48" s="19" t="n">
        <f aca="false">IF(Delay!R48="","",Fee*$A48+Vq*Delay!R48)</f>
        <v>11.104648870509</v>
      </c>
      <c r="S48" s="19" t="n">
        <f aca="false">IF(Delay!S48="","",Fee*$A48+Vq*Delay!S48)</f>
        <v>10.6991857344057</v>
      </c>
      <c r="T48" s="19" t="n">
        <f aca="false">IF(Delay!T48="","",Fee*$A48+Vq*Delay!T48)</f>
        <v>10.3184649667211</v>
      </c>
      <c r="U48" s="19" t="n">
        <f aca="false">IF(Delay!U48="","",Fee*$A48+Vq*Delay!U48)</f>
        <v>9.97567215038556</v>
      </c>
      <c r="V48" s="19" t="n">
        <f aca="false">IF(Delay!V48="","",Fee*$A48+Vq*Delay!V48)</f>
        <v>9.615393443441</v>
      </c>
      <c r="W48" s="19" t="n">
        <f aca="false">IF(Delay!W48="","",Fee*$A48+Vq*Delay!W48)</f>
        <v>9.26540879884946</v>
      </c>
      <c r="X48" s="19" t="n">
        <f aca="false">IF(Delay!X48="","",Fee*$A48+Vq*Delay!X48)</f>
        <v>8.91974517299266</v>
      </c>
      <c r="Y48" s="19" t="n">
        <f aca="false">IF(Delay!Y48="","",Fee*$A48+Vq*Delay!Y48)</f>
        <v>8.58916789627446</v>
      </c>
      <c r="Z48" s="19" t="n">
        <f aca="false">IF(Delay!Z48="","",Fee*$A48+Vq*Delay!Z48)</f>
        <v>8.27960309299876</v>
      </c>
      <c r="AA48" s="19" t="n">
        <f aca="false">IF(Delay!AA48="","",Fee*$A48+Vq*Delay!AA48)</f>
        <v>7.98796267682468</v>
      </c>
      <c r="AB48" s="19" t="n">
        <f aca="false">IF(Delay!AB48="","",Fee*$A48+Vq*Delay!AB48)</f>
        <v>7.6717940078043</v>
      </c>
      <c r="AC48" s="19" t="n">
        <f aca="false">IF(Delay!AC48="","",Fee*$A48+Vq*Delay!AC48)</f>
        <v>7.36127409472662</v>
      </c>
      <c r="AD48" s="19" t="n">
        <f aca="false">IF(Delay!AD48="","",Fee*$A48+Vq*Delay!AD48)</f>
        <v>7.09208466266096</v>
      </c>
      <c r="AE48" s="19" t="n">
        <f aca="false">IF(Delay!AE48="","",Fee*$A48+Vq*Delay!AE48)</f>
        <v>6.7860065828092</v>
      </c>
      <c r="AF48" s="19" t="n">
        <f aca="false">IF(Delay!AF48="","",Fee*$A48+Vq*Delay!AF48)</f>
        <v>6.52567204249086</v>
      </c>
      <c r="AG48" s="19" t="n">
        <f aca="false">IF(Delay!AG48="","",Fee*$A48+Vq*Delay!AG48)</f>
        <v>6.45</v>
      </c>
      <c r="AH48" s="19" t="n">
        <f aca="false">IF(Delay!AH48="","",Fee*$A48+Vq*Delay!AH48)</f>
        <v>6.45</v>
      </c>
      <c r="AI48" s="19" t="n">
        <f aca="false">IF(Delay!AI48="","",Fee*$A48+Vq*Delay!AI48)</f>
        <v>6.45</v>
      </c>
      <c r="AJ48" s="19" t="n">
        <f aca="false">IF(Delay!AJ48="","",Fee*$A48+Vq*Delay!AJ48)</f>
        <v>6.45</v>
      </c>
      <c r="AK48" s="19" t="n">
        <f aca="false">IF(Delay!AK48="","",Fee*$A48+Vq*Delay!AK48)</f>
        <v>6.45</v>
      </c>
      <c r="AL48" s="19" t="n">
        <f aca="false">IF(Delay!AL48="","",Fee*$A48+Vq*Delay!AL48)</f>
        <v>6.45</v>
      </c>
      <c r="AM48" s="19" t="n">
        <f aca="false">IF(Delay!AM48="","",Fee*$A48+Vq*Delay!AM48)</f>
        <v>6.45</v>
      </c>
      <c r="AN48" s="19" t="n">
        <f aca="false">IF(Delay!AN48="","",Fee*$A48+Vq*Delay!AN48)</f>
        <v>6.45</v>
      </c>
      <c r="AO48" s="19" t="n">
        <f aca="false">IF(Delay!AO48="","",Fee*$A48+Vq*Delay!AO48)</f>
        <v>6.45</v>
      </c>
      <c r="AP48" s="19" t="n">
        <f aca="false">IF(Delay!AP48="","",Fee*$A48+Vq*Delay!AP48)</f>
        <v>6.45</v>
      </c>
      <c r="AQ48" s="19" t="n">
        <f aca="false">IF(Delay!AQ48="","",Fee*$A48+Vq*Delay!AQ48)</f>
        <v>6.45</v>
      </c>
      <c r="AR48" s="19" t="n">
        <f aca="false">IF(Delay!AR48="","",Fee*$A48+Vq*Delay!AR48)</f>
        <v>6.45</v>
      </c>
      <c r="AS48" s="19" t="n">
        <f aca="false">IF(Delay!AS48="","",Fee*$A48+Vq*Delay!AS48)</f>
        <v>6.45</v>
      </c>
      <c r="AT48" s="19" t="n">
        <f aca="false">IF(Delay!AT48="","",Fee*$A48+Vq*Delay!AT48)</f>
        <v>6.45</v>
      </c>
      <c r="AU48" s="19" t="n">
        <f aca="false">IF(Delay!AU48="","",Fee*$A48+Vq*Delay!AU48)</f>
        <v>6.45</v>
      </c>
      <c r="AV48" s="19" t="n">
        <f aca="false">IF(Delay!AV48="","",Fee*$A48+Vq*Delay!AV48)</f>
        <v>6.45</v>
      </c>
      <c r="AW48" s="19" t="n">
        <f aca="false">IF(Delay!AW48="","",Fee*$A48+Vq*Delay!AW48)</f>
        <v>6.45</v>
      </c>
      <c r="AX48" s="19" t="n">
        <f aca="false">IF(Delay!AX48="","",Fee*$A48+Vq*Delay!AX48)</f>
        <v>6.45</v>
      </c>
      <c r="AY48" s="19" t="n">
        <f aca="false">IF(Delay!AY48="","",Fee*$A48+Vq*Delay!AY48)</f>
        <v>6.45</v>
      </c>
      <c r="AZ48" s="19" t="n">
        <f aca="false">IF(Delay!AZ48="","",Fee*$A48+Vq*Delay!AZ48)</f>
        <v>6.45</v>
      </c>
      <c r="BA48" s="19" t="n">
        <f aca="false">IF(Delay!BA48="","",Fee*$A48+Vq*Delay!BA48)</f>
        <v>6.45</v>
      </c>
      <c r="BB48" s="19" t="n">
        <f aca="false">IF(Delay!BB48="","",Fee*$A48+Vq*Delay!BB48)</f>
        <v>6.45</v>
      </c>
      <c r="BC48" s="19" t="n">
        <f aca="false">IF(Delay!BC48="","",Fee*$A48+Vq*Delay!BC48)</f>
        <v>6.45</v>
      </c>
      <c r="BD48" s="19" t="n">
        <f aca="false">IF(Delay!BD48="","",Fee*$A48+Vq*Delay!BD48)</f>
        <v>6.45</v>
      </c>
      <c r="BE48" s="19" t="n">
        <f aca="false">IF(Delay!BE48="","",Fee*$A48+Vq*Delay!BE48)</f>
        <v>6.45</v>
      </c>
      <c r="BF48" s="19" t="n">
        <f aca="false">IF(Delay!BF48="","",Fee*$A48+Vq*Delay!BF48)</f>
        <v>6.45</v>
      </c>
      <c r="BG48" s="19" t="n">
        <f aca="false">IF(Delay!BG48="","",Fee*$A48+Vq*Delay!BG48)</f>
        <v>6.45</v>
      </c>
      <c r="BH48" s="19" t="n">
        <f aca="false">IF(Delay!BH48="","",Fee*$A48+Vq*Delay!BH48)</f>
        <v>6.45</v>
      </c>
      <c r="BI48" s="19" t="n">
        <f aca="false">IF(Delay!BI48="","",Fee*$A48+Vq*Delay!BI48)</f>
        <v>6.45</v>
      </c>
      <c r="BJ48" s="19" t="n">
        <f aca="false">IF(Delay!BJ48="","",Fee*$A48+Vq*Delay!BJ48)</f>
        <v>6.45</v>
      </c>
      <c r="BK48" s="19" t="n">
        <f aca="false">IF(Delay!BK48="","",Fee*$A48+Vq*Delay!BK48)</f>
        <v>6.45</v>
      </c>
      <c r="BL48" s="19" t="n">
        <f aca="false">IF(Delay!BL48="","",Fee*$A48+Vq*Delay!BL48)</f>
        <v>6.45</v>
      </c>
      <c r="BM48" s="19" t="n">
        <f aca="false">IF(Delay!BM48="","",Fee*$A48+Vq*Delay!BM48)</f>
        <v>6.45</v>
      </c>
      <c r="BN48" s="19" t="n">
        <f aca="false">IF(Delay!BN48="","",Fee*$A48+Vq*Delay!BN48)</f>
        <v>6.45</v>
      </c>
      <c r="BO48" s="19" t="n">
        <f aca="false">IF(Delay!BO48="","",Fee*$A48+Vq*Delay!BO48)</f>
        <v>6.45</v>
      </c>
      <c r="BP48" s="19" t="n">
        <f aca="false">IF(Delay!BP48="","",Fee*$A48+Vq*Delay!BP48)</f>
        <v>6.45</v>
      </c>
      <c r="BQ48" s="19" t="n">
        <f aca="false">IF(Delay!BQ48="","",Fee*$A48+Vq*Delay!BQ48)</f>
        <v>6.45</v>
      </c>
      <c r="BR48" s="19" t="n">
        <f aca="false">IF(Delay!BR48="","",Fee*$A48+Vq*Delay!BR48)</f>
        <v>6.45</v>
      </c>
      <c r="BS48" s="19" t="n">
        <f aca="false">IF(Delay!BS48="","",Fee*$A48+Vq*Delay!BS48)</f>
        <v>6.45</v>
      </c>
      <c r="BT48" s="19" t="n">
        <f aca="false">IF(Delay!BT48="","",Fee*$A48+Vq*Delay!BT48)</f>
        <v>6.45</v>
      </c>
      <c r="BU48" s="19" t="n">
        <f aca="false">IF(Delay!BU48="","",Fee*$A48+Vq*Delay!BU48)</f>
        <v>6.45</v>
      </c>
      <c r="BV48" s="19" t="n">
        <f aca="false">IF(Delay!BV48="","",Fee*$A48+Vq*Delay!BV48)</f>
        <v>6.45</v>
      </c>
      <c r="BW48" s="19" t="n">
        <f aca="false">IF(Delay!BW48="","",Fee*$A48+Vq*Delay!BW48)</f>
        <v>6.45</v>
      </c>
      <c r="BX48" s="19" t="n">
        <f aca="false">IF(Delay!BX48="","",Fee*$A48+Vq*Delay!BX48)</f>
        <v>6.45</v>
      </c>
      <c r="BY48" s="19" t="n">
        <f aca="false">IF(Delay!BY48="","",Fee*$A48+Vq*Delay!BY48)</f>
        <v>6.45</v>
      </c>
      <c r="BZ48" s="19" t="n">
        <f aca="false">IF(Delay!BZ48="","",Fee*$A48+Vq*Delay!BZ48)</f>
        <v>6.45</v>
      </c>
      <c r="CA48" s="19" t="n">
        <f aca="false">IF(Delay!CA48="","",Fee*$A48+Vq*Delay!CA48)</f>
        <v>6.45</v>
      </c>
      <c r="CB48" s="19" t="n">
        <f aca="false">IF(Delay!CB48="","",Fee*$A48+Vq*Delay!CB48)</f>
        <v>6.45</v>
      </c>
      <c r="CC48" s="19" t="n">
        <f aca="false">IF(Delay!CC48="","",Fee*$A48+Vq*Delay!CC48)</f>
        <v>6.45</v>
      </c>
      <c r="CD48" s="19" t="n">
        <f aca="false">IF(Delay!CD48="","",Fee*$A48+Vq*Delay!CD48)</f>
        <v>6.45</v>
      </c>
      <c r="CE48" s="19" t="n">
        <f aca="false">IF(Delay!CE48="","",Fee*$A48+Vq*Delay!CE48)</f>
        <v>6.45</v>
      </c>
      <c r="CF48" s="19" t="n">
        <f aca="false">IF(Delay!CF48="","",Fee*$A48+Vq*Delay!CF48)</f>
        <v>6.45</v>
      </c>
      <c r="CG48" s="19" t="n">
        <f aca="false">IF(Delay!CG48="","",Fee*$A48+Vq*Delay!CG48)</f>
        <v>6.45</v>
      </c>
      <c r="CH48" s="19" t="n">
        <f aca="false">IF(Delay!CH48="","",Fee*$A48+Vq*Delay!CH48)</f>
        <v>6.45</v>
      </c>
      <c r="CI48" s="19" t="n">
        <f aca="false">IF(Delay!CI48="","",Fee*$A48+Vq*Delay!CI48)</f>
        <v>6.45</v>
      </c>
      <c r="CJ48" s="19" t="n">
        <f aca="false">IF(Delay!CJ48="","",Fee*$A48+Vq*Delay!CJ48)</f>
        <v>6.45</v>
      </c>
      <c r="CK48" s="19" t="n">
        <f aca="false">IF(Delay!CK48="","",Fee*$A48+Vq*Delay!CK48)</f>
        <v>6.45</v>
      </c>
      <c r="CL48" s="19" t="n">
        <f aca="false">IF(Delay!CL48="","",Fee*$A48+Vq*Delay!CL48)</f>
        <v>6.45</v>
      </c>
      <c r="CM48" s="19" t="n">
        <f aca="false">IF(Delay!CM48="","",Fee*$A48+Vq*Delay!CM48)</f>
        <v>6.45</v>
      </c>
      <c r="CN48" s="19" t="n">
        <f aca="false">IF(Delay!CN48="","",Fee*$A48+Vq*Delay!CN48)</f>
        <v>6.45</v>
      </c>
      <c r="CO48" s="19" t="n">
        <f aca="false">IF(Delay!CO48="","",Fee*$A48+Vq*Delay!CO48)</f>
        <v>6.45</v>
      </c>
      <c r="CP48" s="19" t="n">
        <f aca="false">IF(Delay!CP48="","",Fee*$A48+Vq*Delay!CP48)</f>
        <v>6.45</v>
      </c>
      <c r="CQ48" s="19" t="n">
        <f aca="false">IF(Delay!CQ48="","",Fee*$A48+Vq*Delay!CQ48)</f>
        <v>6.45</v>
      </c>
      <c r="CR48" s="19" t="n">
        <f aca="false">IF(Delay!CR48="","",Fee*$A48+Vq*Delay!CR48)</f>
        <v>6.45</v>
      </c>
      <c r="CS48" s="19" t="n">
        <f aca="false">IF(Delay!CS48="","",Fee*$A48+Vq*Delay!CS48)</f>
        <v>6.45</v>
      </c>
      <c r="CT48" s="19" t="n">
        <f aca="false">IF(Delay!CT48="","",Fee*$A48+Vq*Delay!CT48)</f>
        <v>15.2465505251327</v>
      </c>
    </row>
    <row r="49" customFormat="false" ht="15" hidden="false" customHeight="false" outlineLevel="0" collapsed="false">
      <c r="A49" s="25" t="n">
        <f aca="false">Quantiles!A49</f>
        <v>220</v>
      </c>
      <c r="B49" s="19" t="n">
        <f aca="false">IF(Delay!B49="","",Fee*$A49+Vq*Delay!B49)</f>
        <v>23.3640568244364</v>
      </c>
      <c r="C49" s="19" t="n">
        <f aca="false">IF(Delay!C49="","",Fee*$A49+Vq*Delay!C49)</f>
        <v>21.8110843365698</v>
      </c>
      <c r="D49" s="19" t="n">
        <f aca="false">IF(Delay!D49="","",Fee*$A49+Vq*Delay!D49)</f>
        <v>20.5572357890362</v>
      </c>
      <c r="E49" s="19" t="n">
        <f aca="false">IF(Delay!E49="","",Fee*$A49+Vq*Delay!E49)</f>
        <v>19.3613330673349</v>
      </c>
      <c r="F49" s="19" t="n">
        <f aca="false">IF(Delay!F49="","",Fee*$A49+Vq*Delay!F49)</f>
        <v>18.3651770303986</v>
      </c>
      <c r="G49" s="19" t="n">
        <f aca="false">IF(Delay!G49="","",Fee*$A49+Vq*Delay!G49)</f>
        <v>17.5062029585551</v>
      </c>
      <c r="H49" s="19" t="n">
        <f aca="false">IF(Delay!H49="","",Fee*$A49+Vq*Delay!H49)</f>
        <v>16.7074054538435</v>
      </c>
      <c r="I49" s="19" t="n">
        <f aca="false">IF(Delay!I49="","",Fee*$A49+Vq*Delay!I49)</f>
        <v>16.0244724739324</v>
      </c>
      <c r="J49" s="19" t="n">
        <f aca="false">IF(Delay!J49="","",Fee*$A49+Vq*Delay!J49)</f>
        <v>15.3635668831487</v>
      </c>
      <c r="K49" s="19" t="n">
        <f aca="false">IF(Delay!K49="","",Fee*$A49+Vq*Delay!K49)</f>
        <v>14.7283379160437</v>
      </c>
      <c r="L49" s="19" t="n">
        <f aca="false">IF(Delay!L49="","",Fee*$A49+Vq*Delay!L49)</f>
        <v>14.1367096336776</v>
      </c>
      <c r="M49" s="19" t="n">
        <f aca="false">IF(Delay!M49="","",Fee*$A49+Vq*Delay!M49)</f>
        <v>13.6124516742064</v>
      </c>
      <c r="N49" s="19" t="n">
        <f aca="false">IF(Delay!N49="","",Fee*$A49+Vq*Delay!N49)</f>
        <v>13.0898561009667</v>
      </c>
      <c r="O49" s="19" t="n">
        <f aca="false">IF(Delay!O49="","",Fee*$A49+Vq*Delay!O49)</f>
        <v>12.5824131876283</v>
      </c>
      <c r="P49" s="19" t="n">
        <f aca="false">IF(Delay!P49="","",Fee*$A49+Vq*Delay!P49)</f>
        <v>12.1222241645341</v>
      </c>
      <c r="Q49" s="19" t="n">
        <f aca="false">IF(Delay!Q49="","",Fee*$A49+Vq*Delay!Q49)</f>
        <v>11.6621277819484</v>
      </c>
      <c r="R49" s="19" t="n">
        <f aca="false">IF(Delay!R49="","",Fee*$A49+Vq*Delay!R49)</f>
        <v>11.2291176714164</v>
      </c>
      <c r="S49" s="19" t="n">
        <f aca="false">IF(Delay!S49="","",Fee*$A49+Vq*Delay!S49)</f>
        <v>10.8069899883985</v>
      </c>
      <c r="T49" s="19" t="n">
        <f aca="false">IF(Delay!T49="","",Fee*$A49+Vq*Delay!T49)</f>
        <v>10.4318134331222</v>
      </c>
      <c r="U49" s="19" t="n">
        <f aca="false">IF(Delay!U49="","",Fee*$A49+Vq*Delay!U49)</f>
        <v>10.0787930239933</v>
      </c>
      <c r="V49" s="19" t="n">
        <f aca="false">IF(Delay!V49="","",Fee*$A49+Vq*Delay!V49)</f>
        <v>9.7305414469464</v>
      </c>
      <c r="W49" s="19" t="n">
        <f aca="false">IF(Delay!W49="","",Fee*$A49+Vq*Delay!W49)</f>
        <v>9.39179122578538</v>
      </c>
      <c r="X49" s="19" t="n">
        <f aca="false">IF(Delay!X49="","",Fee*$A49+Vq*Delay!X49)</f>
        <v>9.0354549560515</v>
      </c>
      <c r="Y49" s="19" t="n">
        <f aca="false">IF(Delay!Y49="","",Fee*$A49+Vq*Delay!Y49)</f>
        <v>8.70726249624324</v>
      </c>
      <c r="Z49" s="19" t="n">
        <f aca="false">IF(Delay!Z49="","",Fee*$A49+Vq*Delay!Z49)</f>
        <v>8.39741920661676</v>
      </c>
      <c r="AA49" s="19" t="n">
        <f aca="false">IF(Delay!AA49="","",Fee*$A49+Vq*Delay!AA49)</f>
        <v>8.1069523338599</v>
      </c>
      <c r="AB49" s="19" t="n">
        <f aca="false">IF(Delay!AB49="","",Fee*$A49+Vq*Delay!AB49)</f>
        <v>7.78565342847604</v>
      </c>
      <c r="AC49" s="19" t="n">
        <f aca="false">IF(Delay!AC49="","",Fee*$A49+Vq*Delay!AC49)</f>
        <v>7.48339948478208</v>
      </c>
      <c r="AD49" s="19" t="n">
        <f aca="false">IF(Delay!AD49="","",Fee*$A49+Vq*Delay!AD49)</f>
        <v>7.21148596033698</v>
      </c>
      <c r="AE49" s="19" t="n">
        <f aca="false">IF(Delay!AE49="","",Fee*$A49+Vq*Delay!AE49)</f>
        <v>6.9115329937933</v>
      </c>
      <c r="AF49" s="19" t="n">
        <f aca="false">IF(Delay!AF49="","",Fee*$A49+Vq*Delay!AF49)</f>
        <v>6.64566495844076</v>
      </c>
      <c r="AG49" s="19" t="n">
        <f aca="false">IF(Delay!AG49="","",Fee*$A49+Vq*Delay!AG49)</f>
        <v>6.6</v>
      </c>
      <c r="AH49" s="19" t="n">
        <f aca="false">IF(Delay!AH49="","",Fee*$A49+Vq*Delay!AH49)</f>
        <v>6.6</v>
      </c>
      <c r="AI49" s="19" t="n">
        <f aca="false">IF(Delay!AI49="","",Fee*$A49+Vq*Delay!AI49)</f>
        <v>6.6</v>
      </c>
      <c r="AJ49" s="19" t="n">
        <f aca="false">IF(Delay!AJ49="","",Fee*$A49+Vq*Delay!AJ49)</f>
        <v>6.6</v>
      </c>
      <c r="AK49" s="19" t="n">
        <f aca="false">IF(Delay!AK49="","",Fee*$A49+Vq*Delay!AK49)</f>
        <v>6.6</v>
      </c>
      <c r="AL49" s="19" t="n">
        <f aca="false">IF(Delay!AL49="","",Fee*$A49+Vq*Delay!AL49)</f>
        <v>6.6</v>
      </c>
      <c r="AM49" s="19" t="n">
        <f aca="false">IF(Delay!AM49="","",Fee*$A49+Vq*Delay!AM49)</f>
        <v>6.6</v>
      </c>
      <c r="AN49" s="19" t="n">
        <f aca="false">IF(Delay!AN49="","",Fee*$A49+Vq*Delay!AN49)</f>
        <v>6.6</v>
      </c>
      <c r="AO49" s="19" t="n">
        <f aca="false">IF(Delay!AO49="","",Fee*$A49+Vq*Delay!AO49)</f>
        <v>6.6</v>
      </c>
      <c r="AP49" s="19" t="n">
        <f aca="false">IF(Delay!AP49="","",Fee*$A49+Vq*Delay!AP49)</f>
        <v>6.6</v>
      </c>
      <c r="AQ49" s="19" t="n">
        <f aca="false">IF(Delay!AQ49="","",Fee*$A49+Vq*Delay!AQ49)</f>
        <v>6.6</v>
      </c>
      <c r="AR49" s="19" t="n">
        <f aca="false">IF(Delay!AR49="","",Fee*$A49+Vq*Delay!AR49)</f>
        <v>6.6</v>
      </c>
      <c r="AS49" s="19" t="n">
        <f aca="false">IF(Delay!AS49="","",Fee*$A49+Vq*Delay!AS49)</f>
        <v>6.6</v>
      </c>
      <c r="AT49" s="19" t="n">
        <f aca="false">IF(Delay!AT49="","",Fee*$A49+Vq*Delay!AT49)</f>
        <v>6.6</v>
      </c>
      <c r="AU49" s="19" t="n">
        <f aca="false">IF(Delay!AU49="","",Fee*$A49+Vq*Delay!AU49)</f>
        <v>6.6</v>
      </c>
      <c r="AV49" s="19" t="n">
        <f aca="false">IF(Delay!AV49="","",Fee*$A49+Vq*Delay!AV49)</f>
        <v>6.6</v>
      </c>
      <c r="AW49" s="19" t="n">
        <f aca="false">IF(Delay!AW49="","",Fee*$A49+Vq*Delay!AW49)</f>
        <v>6.6</v>
      </c>
      <c r="AX49" s="19" t="n">
        <f aca="false">IF(Delay!AX49="","",Fee*$A49+Vq*Delay!AX49)</f>
        <v>6.6</v>
      </c>
      <c r="AY49" s="19" t="n">
        <f aca="false">IF(Delay!AY49="","",Fee*$A49+Vq*Delay!AY49)</f>
        <v>6.6</v>
      </c>
      <c r="AZ49" s="19" t="n">
        <f aca="false">IF(Delay!AZ49="","",Fee*$A49+Vq*Delay!AZ49)</f>
        <v>6.6</v>
      </c>
      <c r="BA49" s="19" t="n">
        <f aca="false">IF(Delay!BA49="","",Fee*$A49+Vq*Delay!BA49)</f>
        <v>6.6</v>
      </c>
      <c r="BB49" s="19" t="n">
        <f aca="false">IF(Delay!BB49="","",Fee*$A49+Vq*Delay!BB49)</f>
        <v>6.6</v>
      </c>
      <c r="BC49" s="19" t="n">
        <f aca="false">IF(Delay!BC49="","",Fee*$A49+Vq*Delay!BC49)</f>
        <v>6.6</v>
      </c>
      <c r="BD49" s="19" t="n">
        <f aca="false">IF(Delay!BD49="","",Fee*$A49+Vq*Delay!BD49)</f>
        <v>6.6</v>
      </c>
      <c r="BE49" s="19" t="n">
        <f aca="false">IF(Delay!BE49="","",Fee*$A49+Vq*Delay!BE49)</f>
        <v>6.6</v>
      </c>
      <c r="BF49" s="19" t="n">
        <f aca="false">IF(Delay!BF49="","",Fee*$A49+Vq*Delay!BF49)</f>
        <v>6.6</v>
      </c>
      <c r="BG49" s="19" t="n">
        <f aca="false">IF(Delay!BG49="","",Fee*$A49+Vq*Delay!BG49)</f>
        <v>6.6</v>
      </c>
      <c r="BH49" s="19" t="n">
        <f aca="false">IF(Delay!BH49="","",Fee*$A49+Vq*Delay!BH49)</f>
        <v>6.6</v>
      </c>
      <c r="BI49" s="19" t="n">
        <f aca="false">IF(Delay!BI49="","",Fee*$A49+Vq*Delay!BI49)</f>
        <v>6.6</v>
      </c>
      <c r="BJ49" s="19" t="n">
        <f aca="false">IF(Delay!BJ49="","",Fee*$A49+Vq*Delay!BJ49)</f>
        <v>6.6</v>
      </c>
      <c r="BK49" s="19" t="n">
        <f aca="false">IF(Delay!BK49="","",Fee*$A49+Vq*Delay!BK49)</f>
        <v>6.6</v>
      </c>
      <c r="BL49" s="19" t="n">
        <f aca="false">IF(Delay!BL49="","",Fee*$A49+Vq*Delay!BL49)</f>
        <v>6.6</v>
      </c>
      <c r="BM49" s="19" t="n">
        <f aca="false">IF(Delay!BM49="","",Fee*$A49+Vq*Delay!BM49)</f>
        <v>6.6</v>
      </c>
      <c r="BN49" s="19" t="n">
        <f aca="false">IF(Delay!BN49="","",Fee*$A49+Vq*Delay!BN49)</f>
        <v>6.6</v>
      </c>
      <c r="BO49" s="19" t="n">
        <f aca="false">IF(Delay!BO49="","",Fee*$A49+Vq*Delay!BO49)</f>
        <v>6.6</v>
      </c>
      <c r="BP49" s="19" t="n">
        <f aca="false">IF(Delay!BP49="","",Fee*$A49+Vq*Delay!BP49)</f>
        <v>6.6</v>
      </c>
      <c r="BQ49" s="19" t="n">
        <f aca="false">IF(Delay!BQ49="","",Fee*$A49+Vq*Delay!BQ49)</f>
        <v>6.6</v>
      </c>
      <c r="BR49" s="19" t="n">
        <f aca="false">IF(Delay!BR49="","",Fee*$A49+Vq*Delay!BR49)</f>
        <v>6.6</v>
      </c>
      <c r="BS49" s="19" t="n">
        <f aca="false">IF(Delay!BS49="","",Fee*$A49+Vq*Delay!BS49)</f>
        <v>6.6</v>
      </c>
      <c r="BT49" s="19" t="n">
        <f aca="false">IF(Delay!BT49="","",Fee*$A49+Vq*Delay!BT49)</f>
        <v>6.6</v>
      </c>
      <c r="BU49" s="19" t="n">
        <f aca="false">IF(Delay!BU49="","",Fee*$A49+Vq*Delay!BU49)</f>
        <v>6.6</v>
      </c>
      <c r="BV49" s="19" t="n">
        <f aca="false">IF(Delay!BV49="","",Fee*$A49+Vq*Delay!BV49)</f>
        <v>6.6</v>
      </c>
      <c r="BW49" s="19" t="n">
        <f aca="false">IF(Delay!BW49="","",Fee*$A49+Vq*Delay!BW49)</f>
        <v>6.6</v>
      </c>
      <c r="BX49" s="19" t="n">
        <f aca="false">IF(Delay!BX49="","",Fee*$A49+Vq*Delay!BX49)</f>
        <v>6.6</v>
      </c>
      <c r="BY49" s="19" t="n">
        <f aca="false">IF(Delay!BY49="","",Fee*$A49+Vq*Delay!BY49)</f>
        <v>6.6</v>
      </c>
      <c r="BZ49" s="19" t="n">
        <f aca="false">IF(Delay!BZ49="","",Fee*$A49+Vq*Delay!BZ49)</f>
        <v>6.6</v>
      </c>
      <c r="CA49" s="19" t="n">
        <f aca="false">IF(Delay!CA49="","",Fee*$A49+Vq*Delay!CA49)</f>
        <v>6.6</v>
      </c>
      <c r="CB49" s="19" t="n">
        <f aca="false">IF(Delay!CB49="","",Fee*$A49+Vq*Delay!CB49)</f>
        <v>6.6</v>
      </c>
      <c r="CC49" s="19" t="n">
        <f aca="false">IF(Delay!CC49="","",Fee*$A49+Vq*Delay!CC49)</f>
        <v>6.6</v>
      </c>
      <c r="CD49" s="19" t="n">
        <f aca="false">IF(Delay!CD49="","",Fee*$A49+Vq*Delay!CD49)</f>
        <v>6.6</v>
      </c>
      <c r="CE49" s="19" t="n">
        <f aca="false">IF(Delay!CE49="","",Fee*$A49+Vq*Delay!CE49)</f>
        <v>6.6</v>
      </c>
      <c r="CF49" s="19" t="n">
        <f aca="false">IF(Delay!CF49="","",Fee*$A49+Vq*Delay!CF49)</f>
        <v>6.6</v>
      </c>
      <c r="CG49" s="19" t="n">
        <f aca="false">IF(Delay!CG49="","",Fee*$A49+Vq*Delay!CG49)</f>
        <v>6.6</v>
      </c>
      <c r="CH49" s="19" t="n">
        <f aca="false">IF(Delay!CH49="","",Fee*$A49+Vq*Delay!CH49)</f>
        <v>6.6</v>
      </c>
      <c r="CI49" s="19" t="n">
        <f aca="false">IF(Delay!CI49="","",Fee*$A49+Vq*Delay!CI49)</f>
        <v>6.6</v>
      </c>
      <c r="CJ49" s="19" t="n">
        <f aca="false">IF(Delay!CJ49="","",Fee*$A49+Vq*Delay!CJ49)</f>
        <v>6.6</v>
      </c>
      <c r="CK49" s="19" t="n">
        <f aca="false">IF(Delay!CK49="","",Fee*$A49+Vq*Delay!CK49)</f>
        <v>6.6</v>
      </c>
      <c r="CL49" s="19" t="n">
        <f aca="false">IF(Delay!CL49="","",Fee*$A49+Vq*Delay!CL49)</f>
        <v>6.6</v>
      </c>
      <c r="CM49" s="19" t="n">
        <f aca="false">IF(Delay!CM49="","",Fee*$A49+Vq*Delay!CM49)</f>
        <v>6.6</v>
      </c>
      <c r="CN49" s="19" t="n">
        <f aca="false">IF(Delay!CN49="","",Fee*$A49+Vq*Delay!CN49)</f>
        <v>6.6</v>
      </c>
      <c r="CO49" s="19" t="n">
        <f aca="false">IF(Delay!CO49="","",Fee*$A49+Vq*Delay!CO49)</f>
        <v>6.6</v>
      </c>
      <c r="CP49" s="19" t="n">
        <f aca="false">IF(Delay!CP49="","",Fee*$A49+Vq*Delay!CP49)</f>
        <v>6.6</v>
      </c>
      <c r="CQ49" s="19" t="n">
        <f aca="false">IF(Delay!CQ49="","",Fee*$A49+Vq*Delay!CQ49)</f>
        <v>6.6</v>
      </c>
      <c r="CR49" s="19" t="n">
        <f aca="false">IF(Delay!CR49="","",Fee*$A49+Vq*Delay!CR49)</f>
        <v>6.6</v>
      </c>
      <c r="CS49" s="19" t="n">
        <f aca="false">IF(Delay!CS49="","",Fee*$A49+Vq*Delay!CS49)</f>
        <v>6.6</v>
      </c>
      <c r="CT49" s="19" t="n">
        <f aca="false">IF(Delay!CT49="","",Fee*$A49+Vq*Delay!CT49)</f>
        <v>15.3609452330028</v>
      </c>
    </row>
    <row r="50" customFormat="false" ht="15" hidden="false" customHeight="false" outlineLevel="0" collapsed="false">
      <c r="A50" s="25" t="n">
        <f aca="false">Quantiles!A50</f>
        <v>225</v>
      </c>
      <c r="B50" s="19" t="n">
        <f aca="false">IF(Delay!B50="","",Fee*$A50+Vq*Delay!B50)</f>
        <v>23.429715391118</v>
      </c>
      <c r="C50" s="19" t="n">
        <f aca="false">IF(Delay!C50="","",Fee*$A50+Vq*Delay!C50)</f>
        <v>21.8831379437934</v>
      </c>
      <c r="D50" s="19" t="n">
        <f aca="false">IF(Delay!D50="","",Fee*$A50+Vq*Delay!D50)</f>
        <v>20.5744520212371</v>
      </c>
      <c r="E50" s="19" t="n">
        <f aca="false">IF(Delay!E50="","",Fee*$A50+Vq*Delay!E50)</f>
        <v>19.4781069932261</v>
      </c>
      <c r="F50" s="19" t="n">
        <f aca="false">IF(Delay!F50="","",Fee*$A50+Vq*Delay!F50)</f>
        <v>18.4550474325906</v>
      </c>
      <c r="G50" s="19" t="n">
        <f aca="false">IF(Delay!G50="","",Fee*$A50+Vq*Delay!G50)</f>
        <v>17.6004265531588</v>
      </c>
      <c r="H50" s="19" t="n">
        <f aca="false">IF(Delay!H50="","",Fee*$A50+Vq*Delay!H50)</f>
        <v>16.8293039507963</v>
      </c>
      <c r="I50" s="19" t="n">
        <f aca="false">IF(Delay!I50="","",Fee*$A50+Vq*Delay!I50)</f>
        <v>16.1312087727208</v>
      </c>
      <c r="J50" s="19" t="n">
        <f aca="false">IF(Delay!J50="","",Fee*$A50+Vq*Delay!J50)</f>
        <v>15.4961793187691</v>
      </c>
      <c r="K50" s="19" t="n">
        <f aca="false">IF(Delay!K50="","",Fee*$A50+Vq*Delay!K50)</f>
        <v>14.8612437849548</v>
      </c>
      <c r="L50" s="19" t="n">
        <f aca="false">IF(Delay!L50="","",Fee*$A50+Vq*Delay!L50)</f>
        <v>14.2464697269269</v>
      </c>
      <c r="M50" s="19" t="n">
        <f aca="false">IF(Delay!M50="","",Fee*$A50+Vq*Delay!M50)</f>
        <v>13.7462897723504</v>
      </c>
      <c r="N50" s="19" t="n">
        <f aca="false">IF(Delay!N50="","",Fee*$A50+Vq*Delay!N50)</f>
        <v>13.211900998867</v>
      </c>
      <c r="O50" s="19" t="n">
        <f aca="false">IF(Delay!O50="","",Fee*$A50+Vq*Delay!O50)</f>
        <v>12.699278900404</v>
      </c>
      <c r="P50" s="19" t="n">
        <f aca="false">IF(Delay!P50="","",Fee*$A50+Vq*Delay!P50)</f>
        <v>12.2402144300958</v>
      </c>
      <c r="Q50" s="19" t="n">
        <f aca="false">IF(Delay!Q50="","",Fee*$A50+Vq*Delay!Q50)</f>
        <v>11.7807374537973</v>
      </c>
      <c r="R50" s="19" t="n">
        <f aca="false">IF(Delay!R50="","",Fee*$A50+Vq*Delay!R50)</f>
        <v>11.3601206817787</v>
      </c>
      <c r="S50" s="19" t="n">
        <f aca="false">IF(Delay!S50="","",Fee*$A50+Vq*Delay!S50)</f>
        <v>10.9390524701415</v>
      </c>
      <c r="T50" s="19" t="n">
        <f aca="false">IF(Delay!T50="","",Fee*$A50+Vq*Delay!T50)</f>
        <v>10.566163990558</v>
      </c>
      <c r="U50" s="19" t="n">
        <f aca="false">IF(Delay!U50="","",Fee*$A50+Vq*Delay!U50)</f>
        <v>10.2073856213159</v>
      </c>
      <c r="V50" s="19" t="n">
        <f aca="false">IF(Delay!V50="","",Fee*$A50+Vq*Delay!V50)</f>
        <v>9.85521520427292</v>
      </c>
      <c r="W50" s="19" t="n">
        <f aca="false">IF(Delay!W50="","",Fee*$A50+Vq*Delay!W50)</f>
        <v>9.50701939763588</v>
      </c>
      <c r="X50" s="19" t="n">
        <f aca="false">IF(Delay!X50="","",Fee*$A50+Vq*Delay!X50)</f>
        <v>9.1533009171236</v>
      </c>
      <c r="Y50" s="19" t="n">
        <f aca="false">IF(Delay!Y50="","",Fee*$A50+Vq*Delay!Y50)</f>
        <v>8.83030133342858</v>
      </c>
      <c r="Z50" s="19" t="n">
        <f aca="false">IF(Delay!Z50="","",Fee*$A50+Vq*Delay!Z50)</f>
        <v>8.52672530567844</v>
      </c>
      <c r="AA50" s="19" t="n">
        <f aca="false">IF(Delay!AA50="","",Fee*$A50+Vq*Delay!AA50)</f>
        <v>8.2261510138386</v>
      </c>
      <c r="AB50" s="19" t="n">
        <f aca="false">IF(Delay!AB50="","",Fee*$A50+Vq*Delay!AB50)</f>
        <v>7.90368782116434</v>
      </c>
      <c r="AC50" s="19" t="n">
        <f aca="false">IF(Delay!AC50="","",Fee*$A50+Vq*Delay!AC50)</f>
        <v>7.6119414645818</v>
      </c>
      <c r="AD50" s="19" t="n">
        <f aca="false">IF(Delay!AD50="","",Fee*$A50+Vq*Delay!AD50)</f>
        <v>7.34014339066836</v>
      </c>
      <c r="AE50" s="19" t="n">
        <f aca="false">IF(Delay!AE50="","",Fee*$A50+Vq*Delay!AE50)</f>
        <v>7.03605801333354</v>
      </c>
      <c r="AF50" s="19" t="n">
        <f aca="false">IF(Delay!AF50="","",Fee*$A50+Vq*Delay!AF50)</f>
        <v>6.77045995695038</v>
      </c>
      <c r="AG50" s="19" t="n">
        <f aca="false">IF(Delay!AG50="","",Fee*$A50+Vq*Delay!AG50)</f>
        <v>6.75</v>
      </c>
      <c r="AH50" s="19" t="n">
        <f aca="false">IF(Delay!AH50="","",Fee*$A50+Vq*Delay!AH50)</f>
        <v>6.75</v>
      </c>
      <c r="AI50" s="19" t="n">
        <f aca="false">IF(Delay!AI50="","",Fee*$A50+Vq*Delay!AI50)</f>
        <v>6.75</v>
      </c>
      <c r="AJ50" s="19" t="n">
        <f aca="false">IF(Delay!AJ50="","",Fee*$A50+Vq*Delay!AJ50)</f>
        <v>6.75</v>
      </c>
      <c r="AK50" s="19" t="n">
        <f aca="false">IF(Delay!AK50="","",Fee*$A50+Vq*Delay!AK50)</f>
        <v>6.75</v>
      </c>
      <c r="AL50" s="19" t="n">
        <f aca="false">IF(Delay!AL50="","",Fee*$A50+Vq*Delay!AL50)</f>
        <v>6.75</v>
      </c>
      <c r="AM50" s="19" t="n">
        <f aca="false">IF(Delay!AM50="","",Fee*$A50+Vq*Delay!AM50)</f>
        <v>6.75</v>
      </c>
      <c r="AN50" s="19" t="n">
        <f aca="false">IF(Delay!AN50="","",Fee*$A50+Vq*Delay!AN50)</f>
        <v>6.75</v>
      </c>
      <c r="AO50" s="19" t="n">
        <f aca="false">IF(Delay!AO50="","",Fee*$A50+Vq*Delay!AO50)</f>
        <v>6.75</v>
      </c>
      <c r="AP50" s="19" t="n">
        <f aca="false">IF(Delay!AP50="","",Fee*$A50+Vq*Delay!AP50)</f>
        <v>6.75</v>
      </c>
      <c r="AQ50" s="19" t="n">
        <f aca="false">IF(Delay!AQ50="","",Fee*$A50+Vq*Delay!AQ50)</f>
        <v>6.75</v>
      </c>
      <c r="AR50" s="19" t="n">
        <f aca="false">IF(Delay!AR50="","",Fee*$A50+Vq*Delay!AR50)</f>
        <v>6.75</v>
      </c>
      <c r="AS50" s="19" t="n">
        <f aca="false">IF(Delay!AS50="","",Fee*$A50+Vq*Delay!AS50)</f>
        <v>6.75</v>
      </c>
      <c r="AT50" s="19" t="n">
        <f aca="false">IF(Delay!AT50="","",Fee*$A50+Vq*Delay!AT50)</f>
        <v>6.75</v>
      </c>
      <c r="AU50" s="19" t="n">
        <f aca="false">IF(Delay!AU50="","",Fee*$A50+Vq*Delay!AU50)</f>
        <v>6.75</v>
      </c>
      <c r="AV50" s="19" t="n">
        <f aca="false">IF(Delay!AV50="","",Fee*$A50+Vq*Delay!AV50)</f>
        <v>6.75</v>
      </c>
      <c r="AW50" s="19" t="n">
        <f aca="false">IF(Delay!AW50="","",Fee*$A50+Vq*Delay!AW50)</f>
        <v>6.75</v>
      </c>
      <c r="AX50" s="19" t="n">
        <f aca="false">IF(Delay!AX50="","",Fee*$A50+Vq*Delay!AX50)</f>
        <v>6.75</v>
      </c>
      <c r="AY50" s="19" t="n">
        <f aca="false">IF(Delay!AY50="","",Fee*$A50+Vq*Delay!AY50)</f>
        <v>6.75</v>
      </c>
      <c r="AZ50" s="19" t="n">
        <f aca="false">IF(Delay!AZ50="","",Fee*$A50+Vq*Delay!AZ50)</f>
        <v>6.75</v>
      </c>
      <c r="BA50" s="19" t="n">
        <f aca="false">IF(Delay!BA50="","",Fee*$A50+Vq*Delay!BA50)</f>
        <v>6.75</v>
      </c>
      <c r="BB50" s="19" t="n">
        <f aca="false">IF(Delay!BB50="","",Fee*$A50+Vq*Delay!BB50)</f>
        <v>6.75</v>
      </c>
      <c r="BC50" s="19" t="n">
        <f aca="false">IF(Delay!BC50="","",Fee*$A50+Vq*Delay!BC50)</f>
        <v>6.75</v>
      </c>
      <c r="BD50" s="19" t="n">
        <f aca="false">IF(Delay!BD50="","",Fee*$A50+Vq*Delay!BD50)</f>
        <v>6.75</v>
      </c>
      <c r="BE50" s="19" t="n">
        <f aca="false">IF(Delay!BE50="","",Fee*$A50+Vq*Delay!BE50)</f>
        <v>6.75</v>
      </c>
      <c r="BF50" s="19" t="n">
        <f aca="false">IF(Delay!BF50="","",Fee*$A50+Vq*Delay!BF50)</f>
        <v>6.75</v>
      </c>
      <c r="BG50" s="19" t="n">
        <f aca="false">IF(Delay!BG50="","",Fee*$A50+Vq*Delay!BG50)</f>
        <v>6.75</v>
      </c>
      <c r="BH50" s="19" t="n">
        <f aca="false">IF(Delay!BH50="","",Fee*$A50+Vq*Delay!BH50)</f>
        <v>6.75</v>
      </c>
      <c r="BI50" s="19" t="n">
        <f aca="false">IF(Delay!BI50="","",Fee*$A50+Vq*Delay!BI50)</f>
        <v>6.75</v>
      </c>
      <c r="BJ50" s="19" t="n">
        <f aca="false">IF(Delay!BJ50="","",Fee*$A50+Vq*Delay!BJ50)</f>
        <v>6.75</v>
      </c>
      <c r="BK50" s="19" t="n">
        <f aca="false">IF(Delay!BK50="","",Fee*$A50+Vq*Delay!BK50)</f>
        <v>6.75</v>
      </c>
      <c r="BL50" s="19" t="n">
        <f aca="false">IF(Delay!BL50="","",Fee*$A50+Vq*Delay!BL50)</f>
        <v>6.75</v>
      </c>
      <c r="BM50" s="19" t="n">
        <f aca="false">IF(Delay!BM50="","",Fee*$A50+Vq*Delay!BM50)</f>
        <v>6.75</v>
      </c>
      <c r="BN50" s="19" t="n">
        <f aca="false">IF(Delay!BN50="","",Fee*$A50+Vq*Delay!BN50)</f>
        <v>6.75</v>
      </c>
      <c r="BO50" s="19" t="n">
        <f aca="false">IF(Delay!BO50="","",Fee*$A50+Vq*Delay!BO50)</f>
        <v>6.75</v>
      </c>
      <c r="BP50" s="19" t="n">
        <f aca="false">IF(Delay!BP50="","",Fee*$A50+Vq*Delay!BP50)</f>
        <v>6.75</v>
      </c>
      <c r="BQ50" s="19" t="n">
        <f aca="false">IF(Delay!BQ50="","",Fee*$A50+Vq*Delay!BQ50)</f>
        <v>6.75</v>
      </c>
      <c r="BR50" s="19" t="n">
        <f aca="false">IF(Delay!BR50="","",Fee*$A50+Vq*Delay!BR50)</f>
        <v>6.75</v>
      </c>
      <c r="BS50" s="19" t="n">
        <f aca="false">IF(Delay!BS50="","",Fee*$A50+Vq*Delay!BS50)</f>
        <v>6.75</v>
      </c>
      <c r="BT50" s="19" t="n">
        <f aca="false">IF(Delay!BT50="","",Fee*$A50+Vq*Delay!BT50)</f>
        <v>6.75</v>
      </c>
      <c r="BU50" s="19" t="n">
        <f aca="false">IF(Delay!BU50="","",Fee*$A50+Vq*Delay!BU50)</f>
        <v>6.75</v>
      </c>
      <c r="BV50" s="19" t="n">
        <f aca="false">IF(Delay!BV50="","",Fee*$A50+Vq*Delay!BV50)</f>
        <v>6.75</v>
      </c>
      <c r="BW50" s="19" t="n">
        <f aca="false">IF(Delay!BW50="","",Fee*$A50+Vq*Delay!BW50)</f>
        <v>6.75</v>
      </c>
      <c r="BX50" s="19" t="n">
        <f aca="false">IF(Delay!BX50="","",Fee*$A50+Vq*Delay!BX50)</f>
        <v>6.75</v>
      </c>
      <c r="BY50" s="19" t="n">
        <f aca="false">IF(Delay!BY50="","",Fee*$A50+Vq*Delay!BY50)</f>
        <v>6.75</v>
      </c>
      <c r="BZ50" s="19" t="n">
        <f aca="false">IF(Delay!BZ50="","",Fee*$A50+Vq*Delay!BZ50)</f>
        <v>6.75</v>
      </c>
      <c r="CA50" s="19" t="n">
        <f aca="false">IF(Delay!CA50="","",Fee*$A50+Vq*Delay!CA50)</f>
        <v>6.75</v>
      </c>
      <c r="CB50" s="19" t="n">
        <f aca="false">IF(Delay!CB50="","",Fee*$A50+Vq*Delay!CB50)</f>
        <v>6.75</v>
      </c>
      <c r="CC50" s="19" t="n">
        <f aca="false">IF(Delay!CC50="","",Fee*$A50+Vq*Delay!CC50)</f>
        <v>6.75</v>
      </c>
      <c r="CD50" s="19" t="n">
        <f aca="false">IF(Delay!CD50="","",Fee*$A50+Vq*Delay!CD50)</f>
        <v>6.75</v>
      </c>
      <c r="CE50" s="19" t="n">
        <f aca="false">IF(Delay!CE50="","",Fee*$A50+Vq*Delay!CE50)</f>
        <v>6.75</v>
      </c>
      <c r="CF50" s="19" t="n">
        <f aca="false">IF(Delay!CF50="","",Fee*$A50+Vq*Delay!CF50)</f>
        <v>6.75</v>
      </c>
      <c r="CG50" s="19" t="n">
        <f aca="false">IF(Delay!CG50="","",Fee*$A50+Vq*Delay!CG50)</f>
        <v>6.75</v>
      </c>
      <c r="CH50" s="19" t="n">
        <f aca="false">IF(Delay!CH50="","",Fee*$A50+Vq*Delay!CH50)</f>
        <v>6.75</v>
      </c>
      <c r="CI50" s="19" t="n">
        <f aca="false">IF(Delay!CI50="","",Fee*$A50+Vq*Delay!CI50)</f>
        <v>6.75</v>
      </c>
      <c r="CJ50" s="19" t="n">
        <f aca="false">IF(Delay!CJ50="","",Fee*$A50+Vq*Delay!CJ50)</f>
        <v>6.75</v>
      </c>
      <c r="CK50" s="19" t="n">
        <f aca="false">IF(Delay!CK50="","",Fee*$A50+Vq*Delay!CK50)</f>
        <v>6.75</v>
      </c>
      <c r="CL50" s="19" t="n">
        <f aca="false">IF(Delay!CL50="","",Fee*$A50+Vq*Delay!CL50)</f>
        <v>6.75</v>
      </c>
      <c r="CM50" s="19" t="n">
        <f aca="false">IF(Delay!CM50="","",Fee*$A50+Vq*Delay!CM50)</f>
        <v>6.75</v>
      </c>
      <c r="CN50" s="19" t="n">
        <f aca="false">IF(Delay!CN50="","",Fee*$A50+Vq*Delay!CN50)</f>
        <v>6.75</v>
      </c>
      <c r="CO50" s="19" t="n">
        <f aca="false">IF(Delay!CO50="","",Fee*$A50+Vq*Delay!CO50)</f>
        <v>6.75</v>
      </c>
      <c r="CP50" s="19" t="n">
        <f aca="false">IF(Delay!CP50="","",Fee*$A50+Vq*Delay!CP50)</f>
        <v>6.75</v>
      </c>
      <c r="CQ50" s="19" t="n">
        <f aca="false">IF(Delay!CQ50="","",Fee*$A50+Vq*Delay!CQ50)</f>
        <v>6.75</v>
      </c>
      <c r="CR50" s="19" t="n">
        <f aca="false">IF(Delay!CR50="","",Fee*$A50+Vq*Delay!CR50)</f>
        <v>6.75</v>
      </c>
      <c r="CS50" s="19" t="n">
        <f aca="false">IF(Delay!CS50="","",Fee*$A50+Vq*Delay!CS50)</f>
        <v>6.75</v>
      </c>
      <c r="CT50" s="19" t="n">
        <f aca="false">IF(Delay!CT50="","",Fee*$A50+Vq*Delay!CT50)</f>
        <v>15.4884590656437</v>
      </c>
    </row>
    <row r="51" customFormat="false" ht="15" hidden="false" customHeight="false" outlineLevel="0" collapsed="false">
      <c r="A51" s="25" t="n">
        <f aca="false">Quantiles!A51</f>
        <v>230</v>
      </c>
      <c r="B51" s="19" t="n">
        <f aca="false">IF(Delay!B51="","",Fee*$A51+Vq*Delay!B51)</f>
        <v>23.526801320231</v>
      </c>
      <c r="C51" s="19" t="n">
        <f aca="false">IF(Delay!C51="","",Fee*$A51+Vq*Delay!C51)</f>
        <v>21.9743154380426</v>
      </c>
      <c r="D51" s="19" t="n">
        <f aca="false">IF(Delay!D51="","",Fee*$A51+Vq*Delay!D51)</f>
        <v>20.654982689794</v>
      </c>
      <c r="E51" s="19" t="n">
        <f aca="false">IF(Delay!E51="","",Fee*$A51+Vq*Delay!E51)</f>
        <v>19.5906295404924</v>
      </c>
      <c r="F51" s="19" t="n">
        <f aca="false">IF(Delay!F51="","",Fee*$A51+Vq*Delay!F51)</f>
        <v>18.5744050430638</v>
      </c>
      <c r="G51" s="19" t="n">
        <f aca="false">IF(Delay!G51="","",Fee*$A51+Vq*Delay!G51)</f>
        <v>17.7312188532257</v>
      </c>
      <c r="H51" s="19" t="n">
        <f aca="false">IF(Delay!H51="","",Fee*$A51+Vq*Delay!H51)</f>
        <v>16.9408840163583</v>
      </c>
      <c r="I51" s="19" t="n">
        <f aca="false">IF(Delay!I51="","",Fee*$A51+Vq*Delay!I51)</f>
        <v>16.2661036831919</v>
      </c>
      <c r="J51" s="19" t="n">
        <f aca="false">IF(Delay!J51="","",Fee*$A51+Vq*Delay!J51)</f>
        <v>15.6168461412653</v>
      </c>
      <c r="K51" s="19" t="n">
        <f aca="false">IF(Delay!K51="","",Fee*$A51+Vq*Delay!K51)</f>
        <v>14.9839524235719</v>
      </c>
      <c r="L51" s="19" t="n">
        <f aca="false">IF(Delay!L51="","",Fee*$A51+Vq*Delay!L51)</f>
        <v>14.3747078226232</v>
      </c>
      <c r="M51" s="19" t="n">
        <f aca="false">IF(Delay!M51="","",Fee*$A51+Vq*Delay!M51)</f>
        <v>13.8758057597644</v>
      </c>
      <c r="N51" s="19" t="n">
        <f aca="false">IF(Delay!N51="","",Fee*$A51+Vq*Delay!N51)</f>
        <v>13.3508351178546</v>
      </c>
      <c r="O51" s="19" t="n">
        <f aca="false">IF(Delay!O51="","",Fee*$A51+Vq*Delay!O51)</f>
        <v>12.8271311482622</v>
      </c>
      <c r="P51" s="19" t="n">
        <f aca="false">IF(Delay!P51="","",Fee*$A51+Vq*Delay!P51)</f>
        <v>12.3673677889647</v>
      </c>
      <c r="Q51" s="19" t="n">
        <f aca="false">IF(Delay!Q51="","",Fee*$A51+Vq*Delay!Q51)</f>
        <v>11.9093414430309</v>
      </c>
      <c r="R51" s="19" t="n">
        <f aca="false">IF(Delay!R51="","",Fee*$A51+Vq*Delay!R51)</f>
        <v>11.4901194428286</v>
      </c>
      <c r="S51" s="19" t="n">
        <f aca="false">IF(Delay!S51="","",Fee*$A51+Vq*Delay!S51)</f>
        <v>11.0651826844928</v>
      </c>
      <c r="T51" s="19" t="n">
        <f aca="false">IF(Delay!T51="","",Fee*$A51+Vq*Delay!T51)</f>
        <v>10.690231177793</v>
      </c>
      <c r="U51" s="19" t="n">
        <f aca="false">IF(Delay!U51="","",Fee*$A51+Vq*Delay!U51)</f>
        <v>10.3413303302737</v>
      </c>
      <c r="V51" s="19" t="n">
        <f aca="false">IF(Delay!V51="","",Fee*$A51+Vq*Delay!V51)</f>
        <v>9.9866303298265</v>
      </c>
      <c r="W51" s="19" t="n">
        <f aca="false">IF(Delay!W51="","",Fee*$A51+Vq*Delay!W51)</f>
        <v>9.63996556976348</v>
      </c>
      <c r="X51" s="19" t="n">
        <f aca="false">IF(Delay!X51="","",Fee*$A51+Vq*Delay!X51)</f>
        <v>9.28461872514978</v>
      </c>
      <c r="Y51" s="19" t="n">
        <f aca="false">IF(Delay!Y51="","",Fee*$A51+Vq*Delay!Y51)</f>
        <v>8.95920158587222</v>
      </c>
      <c r="Z51" s="19" t="n">
        <f aca="false">IF(Delay!Z51="","",Fee*$A51+Vq*Delay!Z51)</f>
        <v>8.66319562621094</v>
      </c>
      <c r="AA51" s="19" t="n">
        <f aca="false">IF(Delay!AA51="","",Fee*$A51+Vq*Delay!AA51)</f>
        <v>8.35642394330086</v>
      </c>
      <c r="AB51" s="19" t="n">
        <f aca="false">IF(Delay!AB51="","",Fee*$A51+Vq*Delay!AB51)</f>
        <v>8.03327791631462</v>
      </c>
      <c r="AC51" s="19" t="n">
        <f aca="false">IF(Delay!AC51="","",Fee*$A51+Vq*Delay!AC51)</f>
        <v>7.7426592176854</v>
      </c>
      <c r="AD51" s="19" t="n">
        <f aca="false">IF(Delay!AD51="","",Fee*$A51+Vq*Delay!AD51)</f>
        <v>7.47428651442718</v>
      </c>
      <c r="AE51" s="19" t="n">
        <f aca="false">IF(Delay!AE51="","",Fee*$A51+Vq*Delay!AE51)</f>
        <v>7.1710652917957</v>
      </c>
      <c r="AF51" s="19" t="n">
        <f aca="false">IF(Delay!AF51="","",Fee*$A51+Vq*Delay!AF51)</f>
        <v>6.90784373584282</v>
      </c>
      <c r="AG51" s="19" t="n">
        <f aca="false">IF(Delay!AG51="","",Fee*$A51+Vq*Delay!AG51)</f>
        <v>6.9</v>
      </c>
      <c r="AH51" s="19" t="n">
        <f aca="false">IF(Delay!AH51="","",Fee*$A51+Vq*Delay!AH51)</f>
        <v>6.9</v>
      </c>
      <c r="AI51" s="19" t="n">
        <f aca="false">IF(Delay!AI51="","",Fee*$A51+Vq*Delay!AI51)</f>
        <v>6.9</v>
      </c>
      <c r="AJ51" s="19" t="n">
        <f aca="false">IF(Delay!AJ51="","",Fee*$A51+Vq*Delay!AJ51)</f>
        <v>6.9</v>
      </c>
      <c r="AK51" s="19" t="n">
        <f aca="false">IF(Delay!AK51="","",Fee*$A51+Vq*Delay!AK51)</f>
        <v>6.9</v>
      </c>
      <c r="AL51" s="19" t="n">
        <f aca="false">IF(Delay!AL51="","",Fee*$A51+Vq*Delay!AL51)</f>
        <v>6.9</v>
      </c>
      <c r="AM51" s="19" t="n">
        <f aca="false">IF(Delay!AM51="","",Fee*$A51+Vq*Delay!AM51)</f>
        <v>6.9</v>
      </c>
      <c r="AN51" s="19" t="n">
        <f aca="false">IF(Delay!AN51="","",Fee*$A51+Vq*Delay!AN51)</f>
        <v>6.9</v>
      </c>
      <c r="AO51" s="19" t="n">
        <f aca="false">IF(Delay!AO51="","",Fee*$A51+Vq*Delay!AO51)</f>
        <v>6.9</v>
      </c>
      <c r="AP51" s="19" t="n">
        <f aca="false">IF(Delay!AP51="","",Fee*$A51+Vq*Delay!AP51)</f>
        <v>6.9</v>
      </c>
      <c r="AQ51" s="19" t="n">
        <f aca="false">IF(Delay!AQ51="","",Fee*$A51+Vq*Delay!AQ51)</f>
        <v>6.9</v>
      </c>
      <c r="AR51" s="19" t="n">
        <f aca="false">IF(Delay!AR51="","",Fee*$A51+Vq*Delay!AR51)</f>
        <v>6.9</v>
      </c>
      <c r="AS51" s="19" t="n">
        <f aca="false">IF(Delay!AS51="","",Fee*$A51+Vq*Delay!AS51)</f>
        <v>6.9</v>
      </c>
      <c r="AT51" s="19" t="n">
        <f aca="false">IF(Delay!AT51="","",Fee*$A51+Vq*Delay!AT51)</f>
        <v>6.9</v>
      </c>
      <c r="AU51" s="19" t="n">
        <f aca="false">IF(Delay!AU51="","",Fee*$A51+Vq*Delay!AU51)</f>
        <v>6.9</v>
      </c>
      <c r="AV51" s="19" t="n">
        <f aca="false">IF(Delay!AV51="","",Fee*$A51+Vq*Delay!AV51)</f>
        <v>6.9</v>
      </c>
      <c r="AW51" s="19" t="n">
        <f aca="false">IF(Delay!AW51="","",Fee*$A51+Vq*Delay!AW51)</f>
        <v>6.9</v>
      </c>
      <c r="AX51" s="19" t="n">
        <f aca="false">IF(Delay!AX51="","",Fee*$A51+Vq*Delay!AX51)</f>
        <v>6.9</v>
      </c>
      <c r="AY51" s="19" t="n">
        <f aca="false">IF(Delay!AY51="","",Fee*$A51+Vq*Delay!AY51)</f>
        <v>6.9</v>
      </c>
      <c r="AZ51" s="19" t="n">
        <f aca="false">IF(Delay!AZ51="","",Fee*$A51+Vq*Delay!AZ51)</f>
        <v>6.9</v>
      </c>
      <c r="BA51" s="19" t="n">
        <f aca="false">IF(Delay!BA51="","",Fee*$A51+Vq*Delay!BA51)</f>
        <v>6.9</v>
      </c>
      <c r="BB51" s="19" t="n">
        <f aca="false">IF(Delay!BB51="","",Fee*$A51+Vq*Delay!BB51)</f>
        <v>6.9</v>
      </c>
      <c r="BC51" s="19" t="n">
        <f aca="false">IF(Delay!BC51="","",Fee*$A51+Vq*Delay!BC51)</f>
        <v>6.9</v>
      </c>
      <c r="BD51" s="19" t="n">
        <f aca="false">IF(Delay!BD51="","",Fee*$A51+Vq*Delay!BD51)</f>
        <v>6.9</v>
      </c>
      <c r="BE51" s="19" t="n">
        <f aca="false">IF(Delay!BE51="","",Fee*$A51+Vq*Delay!BE51)</f>
        <v>6.9</v>
      </c>
      <c r="BF51" s="19" t="n">
        <f aca="false">IF(Delay!BF51="","",Fee*$A51+Vq*Delay!BF51)</f>
        <v>6.9</v>
      </c>
      <c r="BG51" s="19" t="n">
        <f aca="false">IF(Delay!BG51="","",Fee*$A51+Vq*Delay!BG51)</f>
        <v>6.9</v>
      </c>
      <c r="BH51" s="19" t="n">
        <f aca="false">IF(Delay!BH51="","",Fee*$A51+Vq*Delay!BH51)</f>
        <v>6.9</v>
      </c>
      <c r="BI51" s="19" t="n">
        <f aca="false">IF(Delay!BI51="","",Fee*$A51+Vq*Delay!BI51)</f>
        <v>6.9</v>
      </c>
      <c r="BJ51" s="19" t="n">
        <f aca="false">IF(Delay!BJ51="","",Fee*$A51+Vq*Delay!BJ51)</f>
        <v>6.9</v>
      </c>
      <c r="BK51" s="19" t="n">
        <f aca="false">IF(Delay!BK51="","",Fee*$A51+Vq*Delay!BK51)</f>
        <v>6.9</v>
      </c>
      <c r="BL51" s="19" t="n">
        <f aca="false">IF(Delay!BL51="","",Fee*$A51+Vq*Delay!BL51)</f>
        <v>6.9</v>
      </c>
      <c r="BM51" s="19" t="n">
        <f aca="false">IF(Delay!BM51="","",Fee*$A51+Vq*Delay!BM51)</f>
        <v>6.9</v>
      </c>
      <c r="BN51" s="19" t="n">
        <f aca="false">IF(Delay!BN51="","",Fee*$A51+Vq*Delay!BN51)</f>
        <v>6.9</v>
      </c>
      <c r="BO51" s="19" t="n">
        <f aca="false">IF(Delay!BO51="","",Fee*$A51+Vq*Delay!BO51)</f>
        <v>6.9</v>
      </c>
      <c r="BP51" s="19" t="n">
        <f aca="false">IF(Delay!BP51="","",Fee*$A51+Vq*Delay!BP51)</f>
        <v>6.9</v>
      </c>
      <c r="BQ51" s="19" t="n">
        <f aca="false">IF(Delay!BQ51="","",Fee*$A51+Vq*Delay!BQ51)</f>
        <v>6.9</v>
      </c>
      <c r="BR51" s="19" t="n">
        <f aca="false">IF(Delay!BR51="","",Fee*$A51+Vq*Delay!BR51)</f>
        <v>6.9</v>
      </c>
      <c r="BS51" s="19" t="n">
        <f aca="false">IF(Delay!BS51="","",Fee*$A51+Vq*Delay!BS51)</f>
        <v>6.9</v>
      </c>
      <c r="BT51" s="19" t="n">
        <f aca="false">IF(Delay!BT51="","",Fee*$A51+Vq*Delay!BT51)</f>
        <v>6.9</v>
      </c>
      <c r="BU51" s="19" t="n">
        <f aca="false">IF(Delay!BU51="","",Fee*$A51+Vq*Delay!BU51)</f>
        <v>6.9</v>
      </c>
      <c r="BV51" s="19" t="n">
        <f aca="false">IF(Delay!BV51="","",Fee*$A51+Vq*Delay!BV51)</f>
        <v>6.9</v>
      </c>
      <c r="BW51" s="19" t="n">
        <f aca="false">IF(Delay!BW51="","",Fee*$A51+Vq*Delay!BW51)</f>
        <v>6.9</v>
      </c>
      <c r="BX51" s="19" t="n">
        <f aca="false">IF(Delay!BX51="","",Fee*$A51+Vq*Delay!BX51)</f>
        <v>6.9</v>
      </c>
      <c r="BY51" s="19" t="n">
        <f aca="false">IF(Delay!BY51="","",Fee*$A51+Vq*Delay!BY51)</f>
        <v>6.9</v>
      </c>
      <c r="BZ51" s="19" t="n">
        <f aca="false">IF(Delay!BZ51="","",Fee*$A51+Vq*Delay!BZ51)</f>
        <v>6.9</v>
      </c>
      <c r="CA51" s="19" t="n">
        <f aca="false">IF(Delay!CA51="","",Fee*$A51+Vq*Delay!CA51)</f>
        <v>6.9</v>
      </c>
      <c r="CB51" s="19" t="n">
        <f aca="false">IF(Delay!CB51="","",Fee*$A51+Vq*Delay!CB51)</f>
        <v>6.9</v>
      </c>
      <c r="CC51" s="19" t="n">
        <f aca="false">IF(Delay!CC51="","",Fee*$A51+Vq*Delay!CC51)</f>
        <v>6.9</v>
      </c>
      <c r="CD51" s="19" t="n">
        <f aca="false">IF(Delay!CD51="","",Fee*$A51+Vq*Delay!CD51)</f>
        <v>6.9</v>
      </c>
      <c r="CE51" s="19" t="n">
        <f aca="false">IF(Delay!CE51="","",Fee*$A51+Vq*Delay!CE51)</f>
        <v>6.9</v>
      </c>
      <c r="CF51" s="19" t="n">
        <f aca="false">IF(Delay!CF51="","",Fee*$A51+Vq*Delay!CF51)</f>
        <v>6.9</v>
      </c>
      <c r="CG51" s="19" t="n">
        <f aca="false">IF(Delay!CG51="","",Fee*$A51+Vq*Delay!CG51)</f>
        <v>6.9</v>
      </c>
      <c r="CH51" s="19" t="n">
        <f aca="false">IF(Delay!CH51="","",Fee*$A51+Vq*Delay!CH51)</f>
        <v>6.9</v>
      </c>
      <c r="CI51" s="19" t="n">
        <f aca="false">IF(Delay!CI51="","",Fee*$A51+Vq*Delay!CI51)</f>
        <v>6.9</v>
      </c>
      <c r="CJ51" s="19" t="n">
        <f aca="false">IF(Delay!CJ51="","",Fee*$A51+Vq*Delay!CJ51)</f>
        <v>6.9</v>
      </c>
      <c r="CK51" s="19" t="n">
        <f aca="false">IF(Delay!CK51="","",Fee*$A51+Vq*Delay!CK51)</f>
        <v>6.9</v>
      </c>
      <c r="CL51" s="19" t="n">
        <f aca="false">IF(Delay!CL51="","",Fee*$A51+Vq*Delay!CL51)</f>
        <v>6.9</v>
      </c>
      <c r="CM51" s="19" t="n">
        <f aca="false">IF(Delay!CM51="","",Fee*$A51+Vq*Delay!CM51)</f>
        <v>6.9</v>
      </c>
      <c r="CN51" s="19" t="n">
        <f aca="false">IF(Delay!CN51="","",Fee*$A51+Vq*Delay!CN51)</f>
        <v>6.9</v>
      </c>
      <c r="CO51" s="19" t="n">
        <f aca="false">IF(Delay!CO51="","",Fee*$A51+Vq*Delay!CO51)</f>
        <v>6.9</v>
      </c>
      <c r="CP51" s="19" t="n">
        <f aca="false">IF(Delay!CP51="","",Fee*$A51+Vq*Delay!CP51)</f>
        <v>6.9</v>
      </c>
      <c r="CQ51" s="19" t="n">
        <f aca="false">IF(Delay!CQ51="","",Fee*$A51+Vq*Delay!CQ51)</f>
        <v>6.9</v>
      </c>
      <c r="CR51" s="19" t="n">
        <f aca="false">IF(Delay!CR51="","",Fee*$A51+Vq*Delay!CR51)</f>
        <v>6.9</v>
      </c>
      <c r="CS51" s="19" t="n">
        <f aca="false">IF(Delay!CS51="","",Fee*$A51+Vq*Delay!CS51)</f>
        <v>6.9</v>
      </c>
      <c r="CT51" s="19" t="n">
        <f aca="false">IF(Delay!CT51="","",Fee*$A51+Vq*Delay!CT51)</f>
        <v>15.6159581470512</v>
      </c>
    </row>
    <row r="52" customFormat="false" ht="15" hidden="false" customHeight="false" outlineLevel="0" collapsed="false">
      <c r="A52" s="25" t="n">
        <f aca="false">Quantiles!A52</f>
        <v>235</v>
      </c>
      <c r="B52" s="19" t="n">
        <f aca="false">IF(Delay!B52="","",Fee*$A52+Vq*Delay!B52)</f>
        <v>23.6613465520708</v>
      </c>
      <c r="C52" s="19" t="n">
        <f aca="false">IF(Delay!C52="","",Fee*$A52+Vq*Delay!C52)</f>
        <v>22.081862483957</v>
      </c>
      <c r="D52" s="19" t="n">
        <f aca="false">IF(Delay!D52="","",Fee*$A52+Vq*Delay!D52)</f>
        <v>20.7748431030977</v>
      </c>
      <c r="E52" s="19" t="n">
        <f aca="false">IF(Delay!E52="","",Fee*$A52+Vq*Delay!E52)</f>
        <v>19.6500132047871</v>
      </c>
      <c r="F52" s="19" t="n">
        <f aca="false">IF(Delay!F52="","",Fee*$A52+Vq*Delay!F52)</f>
        <v>18.6576776806403</v>
      </c>
      <c r="G52" s="19" t="n">
        <f aca="false">IF(Delay!G52="","",Fee*$A52+Vq*Delay!G52)</f>
        <v>17.8334442124445</v>
      </c>
      <c r="H52" s="19" t="n">
        <f aca="false">IF(Delay!H52="","",Fee*$A52+Vq*Delay!H52)</f>
        <v>17.064215990814</v>
      </c>
      <c r="I52" s="19" t="n">
        <f aca="false">IF(Delay!I52="","",Fee*$A52+Vq*Delay!I52)</f>
        <v>16.3702485398907</v>
      </c>
      <c r="J52" s="19" t="n">
        <f aca="false">IF(Delay!J52="","",Fee*$A52+Vq*Delay!J52)</f>
        <v>15.7555864303552</v>
      </c>
      <c r="K52" s="19" t="n">
        <f aca="false">IF(Delay!K52="","",Fee*$A52+Vq*Delay!K52)</f>
        <v>15.1003647489851</v>
      </c>
      <c r="L52" s="19" t="n">
        <f aca="false">IF(Delay!L52="","",Fee*$A52+Vq*Delay!L52)</f>
        <v>14.4952594884734</v>
      </c>
      <c r="M52" s="19" t="n">
        <f aca="false">IF(Delay!M52="","",Fee*$A52+Vq*Delay!M52)</f>
        <v>14.0082978292792</v>
      </c>
      <c r="N52" s="19" t="n">
        <f aca="false">IF(Delay!N52="","",Fee*$A52+Vq*Delay!N52)</f>
        <v>13.483778889521</v>
      </c>
      <c r="O52" s="19" t="n">
        <f aca="false">IF(Delay!O52="","",Fee*$A52+Vq*Delay!O52)</f>
        <v>12.9637139249131</v>
      </c>
      <c r="P52" s="19" t="n">
        <f aca="false">IF(Delay!P52="","",Fee*$A52+Vq*Delay!P52)</f>
        <v>12.4967371970334</v>
      </c>
      <c r="Q52" s="19" t="n">
        <f aca="false">IF(Delay!Q52="","",Fee*$A52+Vq*Delay!Q52)</f>
        <v>12.0388989788855</v>
      </c>
      <c r="R52" s="19" t="n">
        <f aca="false">IF(Delay!R52="","",Fee*$A52+Vq*Delay!R52)</f>
        <v>11.6365418508618</v>
      </c>
      <c r="S52" s="19" t="n">
        <f aca="false">IF(Delay!S52="","",Fee*$A52+Vq*Delay!S52)</f>
        <v>11.1920100976115</v>
      </c>
      <c r="T52" s="19" t="n">
        <f aca="false">IF(Delay!T52="","",Fee*$A52+Vq*Delay!T52)</f>
        <v>10.8254816256682</v>
      </c>
      <c r="U52" s="19" t="n">
        <f aca="false">IF(Delay!U52="","",Fee*$A52+Vq*Delay!U52)</f>
        <v>10.4840415287559</v>
      </c>
      <c r="V52" s="19" t="n">
        <f aca="false">IF(Delay!V52="","",Fee*$A52+Vq*Delay!V52)</f>
        <v>10.1240185924587</v>
      </c>
      <c r="W52" s="19" t="n">
        <f aca="false">IF(Delay!W52="","",Fee*$A52+Vq*Delay!W52)</f>
        <v>9.76958219361152</v>
      </c>
      <c r="X52" s="19" t="n">
        <f aca="false">IF(Delay!X52="","",Fee*$A52+Vq*Delay!X52)</f>
        <v>9.4151968672014</v>
      </c>
      <c r="Y52" s="19" t="n">
        <f aca="false">IF(Delay!Y52="","",Fee*$A52+Vq*Delay!Y52)</f>
        <v>9.09114056286568</v>
      </c>
      <c r="Z52" s="19" t="n">
        <f aca="false">IF(Delay!Z52="","",Fee*$A52+Vq*Delay!Z52)</f>
        <v>8.79069159951312</v>
      </c>
      <c r="AA52" s="19" t="n">
        <f aca="false">IF(Delay!AA52="","",Fee*$A52+Vq*Delay!AA52)</f>
        <v>8.48935039191258</v>
      </c>
      <c r="AB52" s="19" t="n">
        <f aca="false">IF(Delay!AB52="","",Fee*$A52+Vq*Delay!AB52)</f>
        <v>8.16557458148492</v>
      </c>
      <c r="AC52" s="19" t="n">
        <f aca="false">IF(Delay!AC52="","",Fee*$A52+Vq*Delay!AC52)</f>
        <v>7.87780973613984</v>
      </c>
      <c r="AD52" s="19" t="n">
        <f aca="false">IF(Delay!AD52="","",Fee*$A52+Vq*Delay!AD52)</f>
        <v>7.60460937803224</v>
      </c>
      <c r="AE52" s="19" t="n">
        <f aca="false">IF(Delay!AE52="","",Fee*$A52+Vq*Delay!AE52)</f>
        <v>7.30562278873432</v>
      </c>
      <c r="AF52" s="19" t="n">
        <f aca="false">IF(Delay!AF52="","",Fee*$A52+Vq*Delay!AF52)</f>
        <v>7.05</v>
      </c>
      <c r="AG52" s="19" t="n">
        <f aca="false">IF(Delay!AG52="","",Fee*$A52+Vq*Delay!AG52)</f>
        <v>7.05</v>
      </c>
      <c r="AH52" s="19" t="n">
        <f aca="false">IF(Delay!AH52="","",Fee*$A52+Vq*Delay!AH52)</f>
        <v>7.05</v>
      </c>
      <c r="AI52" s="19" t="n">
        <f aca="false">IF(Delay!AI52="","",Fee*$A52+Vq*Delay!AI52)</f>
        <v>7.05</v>
      </c>
      <c r="AJ52" s="19" t="n">
        <f aca="false">IF(Delay!AJ52="","",Fee*$A52+Vq*Delay!AJ52)</f>
        <v>7.05</v>
      </c>
      <c r="AK52" s="19" t="n">
        <f aca="false">IF(Delay!AK52="","",Fee*$A52+Vq*Delay!AK52)</f>
        <v>7.05</v>
      </c>
      <c r="AL52" s="19" t="n">
        <f aca="false">IF(Delay!AL52="","",Fee*$A52+Vq*Delay!AL52)</f>
        <v>7.05</v>
      </c>
      <c r="AM52" s="19" t="n">
        <f aca="false">IF(Delay!AM52="","",Fee*$A52+Vq*Delay!AM52)</f>
        <v>7.05</v>
      </c>
      <c r="AN52" s="19" t="n">
        <f aca="false">IF(Delay!AN52="","",Fee*$A52+Vq*Delay!AN52)</f>
        <v>7.05</v>
      </c>
      <c r="AO52" s="19" t="n">
        <f aca="false">IF(Delay!AO52="","",Fee*$A52+Vq*Delay!AO52)</f>
        <v>7.05</v>
      </c>
      <c r="AP52" s="19" t="n">
        <f aca="false">IF(Delay!AP52="","",Fee*$A52+Vq*Delay!AP52)</f>
        <v>7.05</v>
      </c>
      <c r="AQ52" s="19" t="n">
        <f aca="false">IF(Delay!AQ52="","",Fee*$A52+Vq*Delay!AQ52)</f>
        <v>7.05</v>
      </c>
      <c r="AR52" s="19" t="n">
        <f aca="false">IF(Delay!AR52="","",Fee*$A52+Vq*Delay!AR52)</f>
        <v>7.05</v>
      </c>
      <c r="AS52" s="19" t="n">
        <f aca="false">IF(Delay!AS52="","",Fee*$A52+Vq*Delay!AS52)</f>
        <v>7.05</v>
      </c>
      <c r="AT52" s="19" t="n">
        <f aca="false">IF(Delay!AT52="","",Fee*$A52+Vq*Delay!AT52)</f>
        <v>7.05</v>
      </c>
      <c r="AU52" s="19" t="n">
        <f aca="false">IF(Delay!AU52="","",Fee*$A52+Vq*Delay!AU52)</f>
        <v>7.05</v>
      </c>
      <c r="AV52" s="19" t="n">
        <f aca="false">IF(Delay!AV52="","",Fee*$A52+Vq*Delay!AV52)</f>
        <v>7.05</v>
      </c>
      <c r="AW52" s="19" t="n">
        <f aca="false">IF(Delay!AW52="","",Fee*$A52+Vq*Delay!AW52)</f>
        <v>7.05</v>
      </c>
      <c r="AX52" s="19" t="n">
        <f aca="false">IF(Delay!AX52="","",Fee*$A52+Vq*Delay!AX52)</f>
        <v>7.05</v>
      </c>
      <c r="AY52" s="19" t="n">
        <f aca="false">IF(Delay!AY52="","",Fee*$A52+Vq*Delay!AY52)</f>
        <v>7.05</v>
      </c>
      <c r="AZ52" s="19" t="n">
        <f aca="false">IF(Delay!AZ52="","",Fee*$A52+Vq*Delay!AZ52)</f>
        <v>7.05</v>
      </c>
      <c r="BA52" s="19" t="n">
        <f aca="false">IF(Delay!BA52="","",Fee*$A52+Vq*Delay!BA52)</f>
        <v>7.05</v>
      </c>
      <c r="BB52" s="19" t="n">
        <f aca="false">IF(Delay!BB52="","",Fee*$A52+Vq*Delay!BB52)</f>
        <v>7.05</v>
      </c>
      <c r="BC52" s="19" t="n">
        <f aca="false">IF(Delay!BC52="","",Fee*$A52+Vq*Delay!BC52)</f>
        <v>7.05</v>
      </c>
      <c r="BD52" s="19" t="n">
        <f aca="false">IF(Delay!BD52="","",Fee*$A52+Vq*Delay!BD52)</f>
        <v>7.05</v>
      </c>
      <c r="BE52" s="19" t="n">
        <f aca="false">IF(Delay!BE52="","",Fee*$A52+Vq*Delay!BE52)</f>
        <v>7.05</v>
      </c>
      <c r="BF52" s="19" t="n">
        <f aca="false">IF(Delay!BF52="","",Fee*$A52+Vq*Delay!BF52)</f>
        <v>7.05</v>
      </c>
      <c r="BG52" s="19" t="n">
        <f aca="false">IF(Delay!BG52="","",Fee*$A52+Vq*Delay!BG52)</f>
        <v>7.05</v>
      </c>
      <c r="BH52" s="19" t="n">
        <f aca="false">IF(Delay!BH52="","",Fee*$A52+Vq*Delay!BH52)</f>
        <v>7.05</v>
      </c>
      <c r="BI52" s="19" t="n">
        <f aca="false">IF(Delay!BI52="","",Fee*$A52+Vq*Delay!BI52)</f>
        <v>7.05</v>
      </c>
      <c r="BJ52" s="19" t="n">
        <f aca="false">IF(Delay!BJ52="","",Fee*$A52+Vq*Delay!BJ52)</f>
        <v>7.05</v>
      </c>
      <c r="BK52" s="19" t="n">
        <f aca="false">IF(Delay!BK52="","",Fee*$A52+Vq*Delay!BK52)</f>
        <v>7.05</v>
      </c>
      <c r="BL52" s="19" t="n">
        <f aca="false">IF(Delay!BL52="","",Fee*$A52+Vq*Delay!BL52)</f>
        <v>7.05</v>
      </c>
      <c r="BM52" s="19" t="n">
        <f aca="false">IF(Delay!BM52="","",Fee*$A52+Vq*Delay!BM52)</f>
        <v>7.05</v>
      </c>
      <c r="BN52" s="19" t="n">
        <f aca="false">IF(Delay!BN52="","",Fee*$A52+Vq*Delay!BN52)</f>
        <v>7.05</v>
      </c>
      <c r="BO52" s="19" t="n">
        <f aca="false">IF(Delay!BO52="","",Fee*$A52+Vq*Delay!BO52)</f>
        <v>7.05</v>
      </c>
      <c r="BP52" s="19" t="n">
        <f aca="false">IF(Delay!BP52="","",Fee*$A52+Vq*Delay!BP52)</f>
        <v>7.05</v>
      </c>
      <c r="BQ52" s="19" t="n">
        <f aca="false">IF(Delay!BQ52="","",Fee*$A52+Vq*Delay!BQ52)</f>
        <v>7.05</v>
      </c>
      <c r="BR52" s="19" t="n">
        <f aca="false">IF(Delay!BR52="","",Fee*$A52+Vq*Delay!BR52)</f>
        <v>7.05</v>
      </c>
      <c r="BS52" s="19" t="n">
        <f aca="false">IF(Delay!BS52="","",Fee*$A52+Vq*Delay!BS52)</f>
        <v>7.05</v>
      </c>
      <c r="BT52" s="19" t="n">
        <f aca="false">IF(Delay!BT52="","",Fee*$A52+Vq*Delay!BT52)</f>
        <v>7.05</v>
      </c>
      <c r="BU52" s="19" t="n">
        <f aca="false">IF(Delay!BU52="","",Fee*$A52+Vq*Delay!BU52)</f>
        <v>7.05</v>
      </c>
      <c r="BV52" s="19" t="n">
        <f aca="false">IF(Delay!BV52="","",Fee*$A52+Vq*Delay!BV52)</f>
        <v>7.05</v>
      </c>
      <c r="BW52" s="19" t="n">
        <f aca="false">IF(Delay!BW52="","",Fee*$A52+Vq*Delay!BW52)</f>
        <v>7.05</v>
      </c>
      <c r="BX52" s="19" t="n">
        <f aca="false">IF(Delay!BX52="","",Fee*$A52+Vq*Delay!BX52)</f>
        <v>7.05</v>
      </c>
      <c r="BY52" s="19" t="n">
        <f aca="false">IF(Delay!BY52="","",Fee*$A52+Vq*Delay!BY52)</f>
        <v>7.05</v>
      </c>
      <c r="BZ52" s="19" t="n">
        <f aca="false">IF(Delay!BZ52="","",Fee*$A52+Vq*Delay!BZ52)</f>
        <v>7.05</v>
      </c>
      <c r="CA52" s="19" t="n">
        <f aca="false">IF(Delay!CA52="","",Fee*$A52+Vq*Delay!CA52)</f>
        <v>7.05</v>
      </c>
      <c r="CB52" s="19" t="n">
        <f aca="false">IF(Delay!CB52="","",Fee*$A52+Vq*Delay!CB52)</f>
        <v>7.05</v>
      </c>
      <c r="CC52" s="19" t="n">
        <f aca="false">IF(Delay!CC52="","",Fee*$A52+Vq*Delay!CC52)</f>
        <v>7.05</v>
      </c>
      <c r="CD52" s="19" t="n">
        <f aca="false">IF(Delay!CD52="","",Fee*$A52+Vq*Delay!CD52)</f>
        <v>7.05</v>
      </c>
      <c r="CE52" s="19" t="n">
        <f aca="false">IF(Delay!CE52="","",Fee*$A52+Vq*Delay!CE52)</f>
        <v>7.05</v>
      </c>
      <c r="CF52" s="19" t="n">
        <f aca="false">IF(Delay!CF52="","",Fee*$A52+Vq*Delay!CF52)</f>
        <v>7.05</v>
      </c>
      <c r="CG52" s="19" t="n">
        <f aca="false">IF(Delay!CG52="","",Fee*$A52+Vq*Delay!CG52)</f>
        <v>7.05</v>
      </c>
      <c r="CH52" s="19" t="n">
        <f aca="false">IF(Delay!CH52="","",Fee*$A52+Vq*Delay!CH52)</f>
        <v>7.05</v>
      </c>
      <c r="CI52" s="19" t="n">
        <f aca="false">IF(Delay!CI52="","",Fee*$A52+Vq*Delay!CI52)</f>
        <v>7.05</v>
      </c>
      <c r="CJ52" s="19" t="n">
        <f aca="false">IF(Delay!CJ52="","",Fee*$A52+Vq*Delay!CJ52)</f>
        <v>7.05</v>
      </c>
      <c r="CK52" s="19" t="n">
        <f aca="false">IF(Delay!CK52="","",Fee*$A52+Vq*Delay!CK52)</f>
        <v>7.05</v>
      </c>
      <c r="CL52" s="19" t="n">
        <f aca="false">IF(Delay!CL52="","",Fee*$A52+Vq*Delay!CL52)</f>
        <v>7.05</v>
      </c>
      <c r="CM52" s="19" t="n">
        <f aca="false">IF(Delay!CM52="","",Fee*$A52+Vq*Delay!CM52)</f>
        <v>7.05</v>
      </c>
      <c r="CN52" s="19" t="n">
        <f aca="false">IF(Delay!CN52="","",Fee*$A52+Vq*Delay!CN52)</f>
        <v>7.05</v>
      </c>
      <c r="CO52" s="19" t="n">
        <f aca="false">IF(Delay!CO52="","",Fee*$A52+Vq*Delay!CO52)</f>
        <v>7.05</v>
      </c>
      <c r="CP52" s="19" t="n">
        <f aca="false">IF(Delay!CP52="","",Fee*$A52+Vq*Delay!CP52)</f>
        <v>7.05</v>
      </c>
      <c r="CQ52" s="19" t="n">
        <f aca="false">IF(Delay!CQ52="","",Fee*$A52+Vq*Delay!CQ52)</f>
        <v>7.05</v>
      </c>
      <c r="CR52" s="19" t="n">
        <f aca="false">IF(Delay!CR52="","",Fee*$A52+Vq*Delay!CR52)</f>
        <v>7.05</v>
      </c>
      <c r="CS52" s="19" t="n">
        <f aca="false">IF(Delay!CS52="","",Fee*$A52+Vq*Delay!CS52)</f>
        <v>7.05</v>
      </c>
      <c r="CT52" s="19" t="n">
        <f aca="false">IF(Delay!CT52="","",Fee*$A52+Vq*Delay!CT52)</f>
        <v>15.749870454857</v>
      </c>
    </row>
    <row r="53" customFormat="false" ht="15" hidden="false" customHeight="false" outlineLevel="0" collapsed="false">
      <c r="A53" s="25" t="n">
        <f aca="false">Quantiles!A53</f>
        <v>240</v>
      </c>
      <c r="B53" s="19" t="n">
        <f aca="false">IF(Delay!B53="","",Fee*$A53+Vq*Delay!B53)</f>
        <v>23.7788558905967</v>
      </c>
      <c r="C53" s="19" t="n">
        <f aca="false">IF(Delay!C53="","",Fee*$A53+Vq*Delay!C53)</f>
        <v>22.2081133538148</v>
      </c>
      <c r="D53" s="19" t="n">
        <f aca="false">IF(Delay!D53="","",Fee*$A53+Vq*Delay!D53)</f>
        <v>20.8746590561782</v>
      </c>
      <c r="E53" s="19" t="n">
        <f aca="false">IF(Delay!E53="","",Fee*$A53+Vq*Delay!E53)</f>
        <v>19.7883383407964</v>
      </c>
      <c r="F53" s="19" t="n">
        <f aca="false">IF(Delay!F53="","",Fee*$A53+Vq*Delay!F53)</f>
        <v>18.7680942646722</v>
      </c>
      <c r="G53" s="19" t="n">
        <f aca="false">IF(Delay!G53="","",Fee*$A53+Vq*Delay!G53)</f>
        <v>17.9458518812773</v>
      </c>
      <c r="H53" s="19" t="n">
        <f aca="false">IF(Delay!H53="","",Fee*$A53+Vq*Delay!H53)</f>
        <v>17.1885640560797</v>
      </c>
      <c r="I53" s="19" t="n">
        <f aca="false">IF(Delay!I53="","",Fee*$A53+Vq*Delay!I53)</f>
        <v>16.4841240841621</v>
      </c>
      <c r="J53" s="19" t="n">
        <f aca="false">IF(Delay!J53="","",Fee*$A53+Vq*Delay!J53)</f>
        <v>15.8701386117876</v>
      </c>
      <c r="K53" s="19" t="n">
        <f aca="false">IF(Delay!K53="","",Fee*$A53+Vq*Delay!K53)</f>
        <v>15.2196055408248</v>
      </c>
      <c r="L53" s="19" t="n">
        <f aca="false">IF(Delay!L53="","",Fee*$A53+Vq*Delay!L53)</f>
        <v>14.6283346701221</v>
      </c>
      <c r="M53" s="19" t="n">
        <f aca="false">IF(Delay!M53="","",Fee*$A53+Vq*Delay!M53)</f>
        <v>14.1301450553577</v>
      </c>
      <c r="N53" s="19" t="n">
        <f aca="false">IF(Delay!N53="","",Fee*$A53+Vq*Delay!N53)</f>
        <v>13.6089396510099</v>
      </c>
      <c r="O53" s="19" t="n">
        <f aca="false">IF(Delay!O53="","",Fee*$A53+Vq*Delay!O53)</f>
        <v>13.0932736725023</v>
      </c>
      <c r="P53" s="19" t="n">
        <f aca="false">IF(Delay!P53="","",Fee*$A53+Vq*Delay!P53)</f>
        <v>12.6192058172092</v>
      </c>
      <c r="Q53" s="19" t="n">
        <f aca="false">IF(Delay!Q53="","",Fee*$A53+Vq*Delay!Q53)</f>
        <v>12.1691676434276</v>
      </c>
      <c r="R53" s="19" t="n">
        <f aca="false">IF(Delay!R53="","",Fee*$A53+Vq*Delay!R53)</f>
        <v>11.7734159227122</v>
      </c>
      <c r="S53" s="19" t="n">
        <f aca="false">IF(Delay!S53="","",Fee*$A53+Vq*Delay!S53)</f>
        <v>11.3349691403908</v>
      </c>
      <c r="T53" s="19" t="n">
        <f aca="false">IF(Delay!T53="","",Fee*$A53+Vq*Delay!T53)</f>
        <v>10.9691843172777</v>
      </c>
      <c r="U53" s="19" t="n">
        <f aca="false">IF(Delay!U53="","",Fee*$A53+Vq*Delay!U53)</f>
        <v>10.6275405537548</v>
      </c>
      <c r="V53" s="19" t="n">
        <f aca="false">IF(Delay!V53="","",Fee*$A53+Vq*Delay!V53)</f>
        <v>10.2685204484771</v>
      </c>
      <c r="W53" s="19" t="n">
        <f aca="false">IF(Delay!W53="","",Fee*$A53+Vq*Delay!W53)</f>
        <v>9.91113237755844</v>
      </c>
      <c r="X53" s="19" t="n">
        <f aca="false">IF(Delay!X53="","",Fee*$A53+Vq*Delay!X53)</f>
        <v>9.55453037098724</v>
      </c>
      <c r="Y53" s="19" t="n">
        <f aca="false">IF(Delay!Y53="","",Fee*$A53+Vq*Delay!Y53)</f>
        <v>9.22964208411454</v>
      </c>
      <c r="Z53" s="19" t="n">
        <f aca="false">IF(Delay!Z53="","",Fee*$A53+Vq*Delay!Z53)</f>
        <v>8.92365997227966</v>
      </c>
      <c r="AA53" s="19" t="n">
        <f aca="false">IF(Delay!AA53="","",Fee*$A53+Vq*Delay!AA53)</f>
        <v>8.6259693565836</v>
      </c>
      <c r="AB53" s="19" t="n">
        <f aca="false">IF(Delay!AB53="","",Fee*$A53+Vq*Delay!AB53)</f>
        <v>8.30279970801058</v>
      </c>
      <c r="AC53" s="19" t="n">
        <f aca="false">IF(Delay!AC53="","",Fee*$A53+Vq*Delay!AC53)</f>
        <v>8.0142295333817</v>
      </c>
      <c r="AD53" s="19" t="n">
        <f aca="false">IF(Delay!AD53="","",Fee*$A53+Vq*Delay!AD53)</f>
        <v>7.72735865529132</v>
      </c>
      <c r="AE53" s="19" t="n">
        <f aca="false">IF(Delay!AE53="","",Fee*$A53+Vq*Delay!AE53)</f>
        <v>7.43266101738636</v>
      </c>
      <c r="AF53" s="19" t="n">
        <f aca="false">IF(Delay!AF53="","",Fee*$A53+Vq*Delay!AF53)</f>
        <v>7.2</v>
      </c>
      <c r="AG53" s="19" t="n">
        <f aca="false">IF(Delay!AG53="","",Fee*$A53+Vq*Delay!AG53)</f>
        <v>7.2</v>
      </c>
      <c r="AH53" s="19" t="n">
        <f aca="false">IF(Delay!AH53="","",Fee*$A53+Vq*Delay!AH53)</f>
        <v>7.2</v>
      </c>
      <c r="AI53" s="19" t="n">
        <f aca="false">IF(Delay!AI53="","",Fee*$A53+Vq*Delay!AI53)</f>
        <v>7.2</v>
      </c>
      <c r="AJ53" s="19" t="n">
        <f aca="false">IF(Delay!AJ53="","",Fee*$A53+Vq*Delay!AJ53)</f>
        <v>7.2</v>
      </c>
      <c r="AK53" s="19" t="n">
        <f aca="false">IF(Delay!AK53="","",Fee*$A53+Vq*Delay!AK53)</f>
        <v>7.2</v>
      </c>
      <c r="AL53" s="19" t="n">
        <f aca="false">IF(Delay!AL53="","",Fee*$A53+Vq*Delay!AL53)</f>
        <v>7.2</v>
      </c>
      <c r="AM53" s="19" t="n">
        <f aca="false">IF(Delay!AM53="","",Fee*$A53+Vq*Delay!AM53)</f>
        <v>7.2</v>
      </c>
      <c r="AN53" s="19" t="n">
        <f aca="false">IF(Delay!AN53="","",Fee*$A53+Vq*Delay!AN53)</f>
        <v>7.2</v>
      </c>
      <c r="AO53" s="19" t="n">
        <f aca="false">IF(Delay!AO53="","",Fee*$A53+Vq*Delay!AO53)</f>
        <v>7.2</v>
      </c>
      <c r="AP53" s="19" t="n">
        <f aca="false">IF(Delay!AP53="","",Fee*$A53+Vq*Delay!AP53)</f>
        <v>7.2</v>
      </c>
      <c r="AQ53" s="19" t="n">
        <f aca="false">IF(Delay!AQ53="","",Fee*$A53+Vq*Delay!AQ53)</f>
        <v>7.2</v>
      </c>
      <c r="AR53" s="19" t="n">
        <f aca="false">IF(Delay!AR53="","",Fee*$A53+Vq*Delay!AR53)</f>
        <v>7.2</v>
      </c>
      <c r="AS53" s="19" t="n">
        <f aca="false">IF(Delay!AS53="","",Fee*$A53+Vq*Delay!AS53)</f>
        <v>7.2</v>
      </c>
      <c r="AT53" s="19" t="n">
        <f aca="false">IF(Delay!AT53="","",Fee*$A53+Vq*Delay!AT53)</f>
        <v>7.2</v>
      </c>
      <c r="AU53" s="19" t="n">
        <f aca="false">IF(Delay!AU53="","",Fee*$A53+Vq*Delay!AU53)</f>
        <v>7.2</v>
      </c>
      <c r="AV53" s="19" t="n">
        <f aca="false">IF(Delay!AV53="","",Fee*$A53+Vq*Delay!AV53)</f>
        <v>7.2</v>
      </c>
      <c r="AW53" s="19" t="n">
        <f aca="false">IF(Delay!AW53="","",Fee*$A53+Vq*Delay!AW53)</f>
        <v>7.2</v>
      </c>
      <c r="AX53" s="19" t="n">
        <f aca="false">IF(Delay!AX53="","",Fee*$A53+Vq*Delay!AX53)</f>
        <v>7.2</v>
      </c>
      <c r="AY53" s="19" t="n">
        <f aca="false">IF(Delay!AY53="","",Fee*$A53+Vq*Delay!AY53)</f>
        <v>7.2</v>
      </c>
      <c r="AZ53" s="19" t="n">
        <f aca="false">IF(Delay!AZ53="","",Fee*$A53+Vq*Delay!AZ53)</f>
        <v>7.2</v>
      </c>
      <c r="BA53" s="19" t="n">
        <f aca="false">IF(Delay!BA53="","",Fee*$A53+Vq*Delay!BA53)</f>
        <v>7.2</v>
      </c>
      <c r="BB53" s="19" t="n">
        <f aca="false">IF(Delay!BB53="","",Fee*$A53+Vq*Delay!BB53)</f>
        <v>7.2</v>
      </c>
      <c r="BC53" s="19" t="n">
        <f aca="false">IF(Delay!BC53="","",Fee*$A53+Vq*Delay!BC53)</f>
        <v>7.2</v>
      </c>
      <c r="BD53" s="19" t="n">
        <f aca="false">IF(Delay!BD53="","",Fee*$A53+Vq*Delay!BD53)</f>
        <v>7.2</v>
      </c>
      <c r="BE53" s="19" t="n">
        <f aca="false">IF(Delay!BE53="","",Fee*$A53+Vq*Delay!BE53)</f>
        <v>7.2</v>
      </c>
      <c r="BF53" s="19" t="n">
        <f aca="false">IF(Delay!BF53="","",Fee*$A53+Vq*Delay!BF53)</f>
        <v>7.2</v>
      </c>
      <c r="BG53" s="19" t="n">
        <f aca="false">IF(Delay!BG53="","",Fee*$A53+Vq*Delay!BG53)</f>
        <v>7.2</v>
      </c>
      <c r="BH53" s="19" t="n">
        <f aca="false">IF(Delay!BH53="","",Fee*$A53+Vq*Delay!BH53)</f>
        <v>7.2</v>
      </c>
      <c r="BI53" s="19" t="n">
        <f aca="false">IF(Delay!BI53="","",Fee*$A53+Vq*Delay!BI53)</f>
        <v>7.2</v>
      </c>
      <c r="BJ53" s="19" t="n">
        <f aca="false">IF(Delay!BJ53="","",Fee*$A53+Vq*Delay!BJ53)</f>
        <v>7.2</v>
      </c>
      <c r="BK53" s="19" t="n">
        <f aca="false">IF(Delay!BK53="","",Fee*$A53+Vq*Delay!BK53)</f>
        <v>7.2</v>
      </c>
      <c r="BL53" s="19" t="n">
        <f aca="false">IF(Delay!BL53="","",Fee*$A53+Vq*Delay!BL53)</f>
        <v>7.2</v>
      </c>
      <c r="BM53" s="19" t="n">
        <f aca="false">IF(Delay!BM53="","",Fee*$A53+Vq*Delay!BM53)</f>
        <v>7.2</v>
      </c>
      <c r="BN53" s="19" t="n">
        <f aca="false">IF(Delay!BN53="","",Fee*$A53+Vq*Delay!BN53)</f>
        <v>7.2</v>
      </c>
      <c r="BO53" s="19" t="n">
        <f aca="false">IF(Delay!BO53="","",Fee*$A53+Vq*Delay!BO53)</f>
        <v>7.2</v>
      </c>
      <c r="BP53" s="19" t="n">
        <f aca="false">IF(Delay!BP53="","",Fee*$A53+Vq*Delay!BP53)</f>
        <v>7.2</v>
      </c>
      <c r="BQ53" s="19" t="n">
        <f aca="false">IF(Delay!BQ53="","",Fee*$A53+Vq*Delay!BQ53)</f>
        <v>7.2</v>
      </c>
      <c r="BR53" s="19" t="n">
        <f aca="false">IF(Delay!BR53="","",Fee*$A53+Vq*Delay!BR53)</f>
        <v>7.2</v>
      </c>
      <c r="BS53" s="19" t="n">
        <f aca="false">IF(Delay!BS53="","",Fee*$A53+Vq*Delay!BS53)</f>
        <v>7.2</v>
      </c>
      <c r="BT53" s="19" t="n">
        <f aca="false">IF(Delay!BT53="","",Fee*$A53+Vq*Delay!BT53)</f>
        <v>7.2</v>
      </c>
      <c r="BU53" s="19" t="n">
        <f aca="false">IF(Delay!BU53="","",Fee*$A53+Vq*Delay!BU53)</f>
        <v>7.2</v>
      </c>
      <c r="BV53" s="19" t="n">
        <f aca="false">IF(Delay!BV53="","",Fee*$A53+Vq*Delay!BV53)</f>
        <v>7.2</v>
      </c>
      <c r="BW53" s="19" t="n">
        <f aca="false">IF(Delay!BW53="","",Fee*$A53+Vq*Delay!BW53)</f>
        <v>7.2</v>
      </c>
      <c r="BX53" s="19" t="n">
        <f aca="false">IF(Delay!BX53="","",Fee*$A53+Vq*Delay!BX53)</f>
        <v>7.2</v>
      </c>
      <c r="BY53" s="19" t="n">
        <f aca="false">IF(Delay!BY53="","",Fee*$A53+Vq*Delay!BY53)</f>
        <v>7.2</v>
      </c>
      <c r="BZ53" s="19" t="n">
        <f aca="false">IF(Delay!BZ53="","",Fee*$A53+Vq*Delay!BZ53)</f>
        <v>7.2</v>
      </c>
      <c r="CA53" s="19" t="n">
        <f aca="false">IF(Delay!CA53="","",Fee*$A53+Vq*Delay!CA53)</f>
        <v>7.2</v>
      </c>
      <c r="CB53" s="19" t="n">
        <f aca="false">IF(Delay!CB53="","",Fee*$A53+Vq*Delay!CB53)</f>
        <v>7.2</v>
      </c>
      <c r="CC53" s="19" t="n">
        <f aca="false">IF(Delay!CC53="","",Fee*$A53+Vq*Delay!CC53)</f>
        <v>7.2</v>
      </c>
      <c r="CD53" s="19" t="n">
        <f aca="false">IF(Delay!CD53="","",Fee*$A53+Vq*Delay!CD53)</f>
        <v>7.2</v>
      </c>
      <c r="CE53" s="19" t="n">
        <f aca="false">IF(Delay!CE53="","",Fee*$A53+Vq*Delay!CE53)</f>
        <v>7.2</v>
      </c>
      <c r="CF53" s="19" t="n">
        <f aca="false">IF(Delay!CF53="","",Fee*$A53+Vq*Delay!CF53)</f>
        <v>7.2</v>
      </c>
      <c r="CG53" s="19" t="n">
        <f aca="false">IF(Delay!CG53="","",Fee*$A53+Vq*Delay!CG53)</f>
        <v>7.2</v>
      </c>
      <c r="CH53" s="19" t="n">
        <f aca="false">IF(Delay!CH53="","",Fee*$A53+Vq*Delay!CH53)</f>
        <v>7.2</v>
      </c>
      <c r="CI53" s="19" t="n">
        <f aca="false">IF(Delay!CI53="","",Fee*$A53+Vq*Delay!CI53)</f>
        <v>7.2</v>
      </c>
      <c r="CJ53" s="19" t="n">
        <f aca="false">IF(Delay!CJ53="","",Fee*$A53+Vq*Delay!CJ53)</f>
        <v>7.2</v>
      </c>
      <c r="CK53" s="19" t="n">
        <f aca="false">IF(Delay!CK53="","",Fee*$A53+Vq*Delay!CK53)</f>
        <v>7.2</v>
      </c>
      <c r="CL53" s="19" t="n">
        <f aca="false">IF(Delay!CL53="","",Fee*$A53+Vq*Delay!CL53)</f>
        <v>7.2</v>
      </c>
      <c r="CM53" s="19" t="n">
        <f aca="false">IF(Delay!CM53="","",Fee*$A53+Vq*Delay!CM53)</f>
        <v>7.2</v>
      </c>
      <c r="CN53" s="19" t="n">
        <f aca="false">IF(Delay!CN53="","",Fee*$A53+Vq*Delay!CN53)</f>
        <v>7.2</v>
      </c>
      <c r="CO53" s="19" t="n">
        <f aca="false">IF(Delay!CO53="","",Fee*$A53+Vq*Delay!CO53)</f>
        <v>7.2</v>
      </c>
      <c r="CP53" s="19" t="n">
        <f aca="false">IF(Delay!CP53="","",Fee*$A53+Vq*Delay!CP53)</f>
        <v>7.2</v>
      </c>
      <c r="CQ53" s="19" t="n">
        <f aca="false">IF(Delay!CQ53="","",Fee*$A53+Vq*Delay!CQ53)</f>
        <v>7.2</v>
      </c>
      <c r="CR53" s="19" t="n">
        <f aca="false">IF(Delay!CR53="","",Fee*$A53+Vq*Delay!CR53)</f>
        <v>7.2</v>
      </c>
      <c r="CS53" s="19" t="n">
        <f aca="false">IF(Delay!CS53="","",Fee*$A53+Vq*Delay!CS53)</f>
        <v>7.2</v>
      </c>
      <c r="CT53" s="19" t="n">
        <f aca="false">IF(Delay!CT53="","",Fee*$A53+Vq*Delay!CT53)</f>
        <v>15.8656771635276</v>
      </c>
    </row>
    <row r="54" customFormat="false" ht="15" hidden="false" customHeight="false" outlineLevel="0" collapsed="false">
      <c r="A54" s="25" t="n">
        <f aca="false">Quantiles!A54</f>
        <v>245</v>
      </c>
      <c r="B54" s="19" t="n">
        <f aca="false">IF(Delay!B54="","",Fee*$A54+Vq*Delay!B54)</f>
        <v>23.8912680616018</v>
      </c>
      <c r="C54" s="19" t="n">
        <f aca="false">IF(Delay!C54="","",Fee*$A54+Vq*Delay!C54)</f>
        <v>22.3405931455703</v>
      </c>
      <c r="D54" s="19" t="n">
        <f aca="false">IF(Delay!D54="","",Fee*$A54+Vq*Delay!D54)</f>
        <v>21.0088241091867</v>
      </c>
      <c r="E54" s="19" t="n">
        <f aca="false">IF(Delay!E54="","",Fee*$A54+Vq*Delay!E54)</f>
        <v>19.913773461845</v>
      </c>
      <c r="F54" s="19" t="n">
        <f aca="false">IF(Delay!F54="","",Fee*$A54+Vq*Delay!F54)</f>
        <v>18.9027730763016</v>
      </c>
      <c r="G54" s="19" t="n">
        <f aca="false">IF(Delay!G54="","",Fee*$A54+Vq*Delay!G54)</f>
        <v>18.0861053993116</v>
      </c>
      <c r="H54" s="19" t="n">
        <f aca="false">IF(Delay!H54="","",Fee*$A54+Vq*Delay!H54)</f>
        <v>17.3190869583997</v>
      </c>
      <c r="I54" s="19" t="n">
        <f aca="false">IF(Delay!I54="","",Fee*$A54+Vq*Delay!I54)</f>
        <v>16.5936682719257</v>
      </c>
      <c r="J54" s="19" t="n">
        <f aca="false">IF(Delay!J54="","",Fee*$A54+Vq*Delay!J54)</f>
        <v>15.9871077427704</v>
      </c>
      <c r="K54" s="19" t="n">
        <f aca="false">IF(Delay!K54="","",Fee*$A54+Vq*Delay!K54)</f>
        <v>15.3417784717822</v>
      </c>
      <c r="L54" s="19" t="n">
        <f aca="false">IF(Delay!L54="","",Fee*$A54+Vq*Delay!L54)</f>
        <v>14.7537134008248</v>
      </c>
      <c r="M54" s="19" t="n">
        <f aca="false">IF(Delay!M54="","",Fee*$A54+Vq*Delay!M54)</f>
        <v>14.255437110394</v>
      </c>
      <c r="N54" s="19" t="n">
        <f aca="false">IF(Delay!N54="","",Fee*$A54+Vq*Delay!N54)</f>
        <v>13.7349203691404</v>
      </c>
      <c r="O54" s="19" t="n">
        <f aca="false">IF(Delay!O54="","",Fee*$A54+Vq*Delay!O54)</f>
        <v>13.2263838527728</v>
      </c>
      <c r="P54" s="19" t="n">
        <f aca="false">IF(Delay!P54="","",Fee*$A54+Vq*Delay!P54)</f>
        <v>12.7576886729792</v>
      </c>
      <c r="Q54" s="19" t="n">
        <f aca="false">IF(Delay!Q54="","",Fee*$A54+Vq*Delay!Q54)</f>
        <v>12.3108143482347</v>
      </c>
      <c r="R54" s="19" t="n">
        <f aca="false">IF(Delay!R54="","",Fee*$A54+Vq*Delay!R54)</f>
        <v>11.8953667307706</v>
      </c>
      <c r="S54" s="19" t="n">
        <f aca="false">IF(Delay!S54="","",Fee*$A54+Vq*Delay!S54)</f>
        <v>11.4793813666999</v>
      </c>
      <c r="T54" s="19" t="n">
        <f aca="false">IF(Delay!T54="","",Fee*$A54+Vq*Delay!T54)</f>
        <v>11.0980134083779</v>
      </c>
      <c r="U54" s="19" t="n">
        <f aca="false">IF(Delay!U54="","",Fee*$A54+Vq*Delay!U54)</f>
        <v>10.757877875967</v>
      </c>
      <c r="V54" s="19" t="n">
        <f aca="false">IF(Delay!V54="","",Fee*$A54+Vq*Delay!V54)</f>
        <v>10.4043024385113</v>
      </c>
      <c r="W54" s="19" t="n">
        <f aca="false">IF(Delay!W54="","",Fee*$A54+Vq*Delay!W54)</f>
        <v>10.0414498045893</v>
      </c>
      <c r="X54" s="19" t="n">
        <f aca="false">IF(Delay!X54="","",Fee*$A54+Vq*Delay!X54)</f>
        <v>9.69207835688508</v>
      </c>
      <c r="Y54" s="19" t="n">
        <f aca="false">IF(Delay!Y54="","",Fee*$A54+Vq*Delay!Y54)</f>
        <v>9.37008083439068</v>
      </c>
      <c r="Z54" s="19" t="n">
        <f aca="false">IF(Delay!Z54="","",Fee*$A54+Vq*Delay!Z54)</f>
        <v>9.06460833284158</v>
      </c>
      <c r="AA54" s="19" t="n">
        <f aca="false">IF(Delay!AA54="","",Fee*$A54+Vq*Delay!AA54)</f>
        <v>8.76070709777394</v>
      </c>
      <c r="AB54" s="19" t="n">
        <f aca="false">IF(Delay!AB54="","",Fee*$A54+Vq*Delay!AB54)</f>
        <v>8.44890073600868</v>
      </c>
      <c r="AC54" s="19" t="n">
        <f aca="false">IF(Delay!AC54="","",Fee*$A54+Vq*Delay!AC54)</f>
        <v>8.14734408474598</v>
      </c>
      <c r="AD54" s="19" t="n">
        <f aca="false">IF(Delay!AD54="","",Fee*$A54+Vq*Delay!AD54)</f>
        <v>7.87150071626782</v>
      </c>
      <c r="AE54" s="19" t="n">
        <f aca="false">IF(Delay!AE54="","",Fee*$A54+Vq*Delay!AE54)</f>
        <v>7.57486954045914</v>
      </c>
      <c r="AF54" s="19" t="n">
        <f aca="false">IF(Delay!AF54="","",Fee*$A54+Vq*Delay!AF54)</f>
        <v>7.35</v>
      </c>
      <c r="AG54" s="19" t="n">
        <f aca="false">IF(Delay!AG54="","",Fee*$A54+Vq*Delay!AG54)</f>
        <v>7.35</v>
      </c>
      <c r="AH54" s="19" t="n">
        <f aca="false">IF(Delay!AH54="","",Fee*$A54+Vq*Delay!AH54)</f>
        <v>7.35</v>
      </c>
      <c r="AI54" s="19" t="n">
        <f aca="false">IF(Delay!AI54="","",Fee*$A54+Vq*Delay!AI54)</f>
        <v>7.35</v>
      </c>
      <c r="AJ54" s="19" t="n">
        <f aca="false">IF(Delay!AJ54="","",Fee*$A54+Vq*Delay!AJ54)</f>
        <v>7.35</v>
      </c>
      <c r="AK54" s="19" t="n">
        <f aca="false">IF(Delay!AK54="","",Fee*$A54+Vq*Delay!AK54)</f>
        <v>7.35</v>
      </c>
      <c r="AL54" s="19" t="n">
        <f aca="false">IF(Delay!AL54="","",Fee*$A54+Vq*Delay!AL54)</f>
        <v>7.35</v>
      </c>
      <c r="AM54" s="19" t="n">
        <f aca="false">IF(Delay!AM54="","",Fee*$A54+Vq*Delay!AM54)</f>
        <v>7.35</v>
      </c>
      <c r="AN54" s="19" t="n">
        <f aca="false">IF(Delay!AN54="","",Fee*$A54+Vq*Delay!AN54)</f>
        <v>7.35</v>
      </c>
      <c r="AO54" s="19" t="n">
        <f aca="false">IF(Delay!AO54="","",Fee*$A54+Vq*Delay!AO54)</f>
        <v>7.35</v>
      </c>
      <c r="AP54" s="19" t="n">
        <f aca="false">IF(Delay!AP54="","",Fee*$A54+Vq*Delay!AP54)</f>
        <v>7.35</v>
      </c>
      <c r="AQ54" s="19" t="n">
        <f aca="false">IF(Delay!AQ54="","",Fee*$A54+Vq*Delay!AQ54)</f>
        <v>7.35</v>
      </c>
      <c r="AR54" s="19" t="n">
        <f aca="false">IF(Delay!AR54="","",Fee*$A54+Vq*Delay!AR54)</f>
        <v>7.35</v>
      </c>
      <c r="AS54" s="19" t="n">
        <f aca="false">IF(Delay!AS54="","",Fee*$A54+Vq*Delay!AS54)</f>
        <v>7.35</v>
      </c>
      <c r="AT54" s="19" t="n">
        <f aca="false">IF(Delay!AT54="","",Fee*$A54+Vq*Delay!AT54)</f>
        <v>7.35</v>
      </c>
      <c r="AU54" s="19" t="n">
        <f aca="false">IF(Delay!AU54="","",Fee*$A54+Vq*Delay!AU54)</f>
        <v>7.35</v>
      </c>
      <c r="AV54" s="19" t="n">
        <f aca="false">IF(Delay!AV54="","",Fee*$A54+Vq*Delay!AV54)</f>
        <v>7.35</v>
      </c>
      <c r="AW54" s="19" t="n">
        <f aca="false">IF(Delay!AW54="","",Fee*$A54+Vq*Delay!AW54)</f>
        <v>7.35</v>
      </c>
      <c r="AX54" s="19" t="n">
        <f aca="false">IF(Delay!AX54="","",Fee*$A54+Vq*Delay!AX54)</f>
        <v>7.35</v>
      </c>
      <c r="AY54" s="19" t="n">
        <f aca="false">IF(Delay!AY54="","",Fee*$A54+Vq*Delay!AY54)</f>
        <v>7.35</v>
      </c>
      <c r="AZ54" s="19" t="n">
        <f aca="false">IF(Delay!AZ54="","",Fee*$A54+Vq*Delay!AZ54)</f>
        <v>7.35</v>
      </c>
      <c r="BA54" s="19" t="n">
        <f aca="false">IF(Delay!BA54="","",Fee*$A54+Vq*Delay!BA54)</f>
        <v>7.35</v>
      </c>
      <c r="BB54" s="19" t="n">
        <f aca="false">IF(Delay!BB54="","",Fee*$A54+Vq*Delay!BB54)</f>
        <v>7.35</v>
      </c>
      <c r="BC54" s="19" t="n">
        <f aca="false">IF(Delay!BC54="","",Fee*$A54+Vq*Delay!BC54)</f>
        <v>7.35</v>
      </c>
      <c r="BD54" s="19" t="n">
        <f aca="false">IF(Delay!BD54="","",Fee*$A54+Vq*Delay!BD54)</f>
        <v>7.35</v>
      </c>
      <c r="BE54" s="19" t="n">
        <f aca="false">IF(Delay!BE54="","",Fee*$A54+Vq*Delay!BE54)</f>
        <v>7.35</v>
      </c>
      <c r="BF54" s="19" t="n">
        <f aca="false">IF(Delay!BF54="","",Fee*$A54+Vq*Delay!BF54)</f>
        <v>7.35</v>
      </c>
      <c r="BG54" s="19" t="n">
        <f aca="false">IF(Delay!BG54="","",Fee*$A54+Vq*Delay!BG54)</f>
        <v>7.35</v>
      </c>
      <c r="BH54" s="19" t="n">
        <f aca="false">IF(Delay!BH54="","",Fee*$A54+Vq*Delay!BH54)</f>
        <v>7.35</v>
      </c>
      <c r="BI54" s="19" t="n">
        <f aca="false">IF(Delay!BI54="","",Fee*$A54+Vq*Delay!BI54)</f>
        <v>7.35</v>
      </c>
      <c r="BJ54" s="19" t="n">
        <f aca="false">IF(Delay!BJ54="","",Fee*$A54+Vq*Delay!BJ54)</f>
        <v>7.35</v>
      </c>
      <c r="BK54" s="19" t="n">
        <f aca="false">IF(Delay!BK54="","",Fee*$A54+Vq*Delay!BK54)</f>
        <v>7.35</v>
      </c>
      <c r="BL54" s="19" t="n">
        <f aca="false">IF(Delay!BL54="","",Fee*$A54+Vq*Delay!BL54)</f>
        <v>7.35</v>
      </c>
      <c r="BM54" s="19" t="n">
        <f aca="false">IF(Delay!BM54="","",Fee*$A54+Vq*Delay!BM54)</f>
        <v>7.35</v>
      </c>
      <c r="BN54" s="19" t="n">
        <f aca="false">IF(Delay!BN54="","",Fee*$A54+Vq*Delay!BN54)</f>
        <v>7.35</v>
      </c>
      <c r="BO54" s="19" t="n">
        <f aca="false">IF(Delay!BO54="","",Fee*$A54+Vq*Delay!BO54)</f>
        <v>7.35</v>
      </c>
      <c r="BP54" s="19" t="n">
        <f aca="false">IF(Delay!BP54="","",Fee*$A54+Vq*Delay!BP54)</f>
        <v>7.35</v>
      </c>
      <c r="BQ54" s="19" t="n">
        <f aca="false">IF(Delay!BQ54="","",Fee*$A54+Vq*Delay!BQ54)</f>
        <v>7.35</v>
      </c>
      <c r="BR54" s="19" t="n">
        <f aca="false">IF(Delay!BR54="","",Fee*$A54+Vq*Delay!BR54)</f>
        <v>7.35</v>
      </c>
      <c r="BS54" s="19" t="n">
        <f aca="false">IF(Delay!BS54="","",Fee*$A54+Vq*Delay!BS54)</f>
        <v>7.35</v>
      </c>
      <c r="BT54" s="19" t="n">
        <f aca="false">IF(Delay!BT54="","",Fee*$A54+Vq*Delay!BT54)</f>
        <v>7.35</v>
      </c>
      <c r="BU54" s="19" t="n">
        <f aca="false">IF(Delay!BU54="","",Fee*$A54+Vq*Delay!BU54)</f>
        <v>7.35</v>
      </c>
      <c r="BV54" s="19" t="n">
        <f aca="false">IF(Delay!BV54="","",Fee*$A54+Vq*Delay!BV54)</f>
        <v>7.35</v>
      </c>
      <c r="BW54" s="19" t="n">
        <f aca="false">IF(Delay!BW54="","",Fee*$A54+Vq*Delay!BW54)</f>
        <v>7.35</v>
      </c>
      <c r="BX54" s="19" t="n">
        <f aca="false">IF(Delay!BX54="","",Fee*$A54+Vq*Delay!BX54)</f>
        <v>7.35</v>
      </c>
      <c r="BY54" s="19" t="n">
        <f aca="false">IF(Delay!BY54="","",Fee*$A54+Vq*Delay!BY54)</f>
        <v>7.35</v>
      </c>
      <c r="BZ54" s="19" t="n">
        <f aca="false">IF(Delay!BZ54="","",Fee*$A54+Vq*Delay!BZ54)</f>
        <v>7.35</v>
      </c>
      <c r="CA54" s="19" t="n">
        <f aca="false">IF(Delay!CA54="","",Fee*$A54+Vq*Delay!CA54)</f>
        <v>7.35</v>
      </c>
      <c r="CB54" s="19" t="n">
        <f aca="false">IF(Delay!CB54="","",Fee*$A54+Vq*Delay!CB54)</f>
        <v>7.35</v>
      </c>
      <c r="CC54" s="19" t="n">
        <f aca="false">IF(Delay!CC54="","",Fee*$A54+Vq*Delay!CC54)</f>
        <v>7.35</v>
      </c>
      <c r="CD54" s="19" t="n">
        <f aca="false">IF(Delay!CD54="","",Fee*$A54+Vq*Delay!CD54)</f>
        <v>7.35</v>
      </c>
      <c r="CE54" s="19" t="n">
        <f aca="false">IF(Delay!CE54="","",Fee*$A54+Vq*Delay!CE54)</f>
        <v>7.35</v>
      </c>
      <c r="CF54" s="19" t="n">
        <f aca="false">IF(Delay!CF54="","",Fee*$A54+Vq*Delay!CF54)</f>
        <v>7.35</v>
      </c>
      <c r="CG54" s="19" t="n">
        <f aca="false">IF(Delay!CG54="","",Fee*$A54+Vq*Delay!CG54)</f>
        <v>7.35</v>
      </c>
      <c r="CH54" s="19" t="n">
        <f aca="false">IF(Delay!CH54="","",Fee*$A54+Vq*Delay!CH54)</f>
        <v>7.35</v>
      </c>
      <c r="CI54" s="19" t="n">
        <f aca="false">IF(Delay!CI54="","",Fee*$A54+Vq*Delay!CI54)</f>
        <v>7.35</v>
      </c>
      <c r="CJ54" s="19" t="n">
        <f aca="false">IF(Delay!CJ54="","",Fee*$A54+Vq*Delay!CJ54)</f>
        <v>7.35</v>
      </c>
      <c r="CK54" s="19" t="n">
        <f aca="false">IF(Delay!CK54="","",Fee*$A54+Vq*Delay!CK54)</f>
        <v>7.35</v>
      </c>
      <c r="CL54" s="19" t="n">
        <f aca="false">IF(Delay!CL54="","",Fee*$A54+Vq*Delay!CL54)</f>
        <v>7.35</v>
      </c>
      <c r="CM54" s="19" t="n">
        <f aca="false">IF(Delay!CM54="","",Fee*$A54+Vq*Delay!CM54)</f>
        <v>7.35</v>
      </c>
      <c r="CN54" s="19" t="n">
        <f aca="false">IF(Delay!CN54="","",Fee*$A54+Vq*Delay!CN54)</f>
        <v>7.35</v>
      </c>
      <c r="CO54" s="19" t="n">
        <f aca="false">IF(Delay!CO54="","",Fee*$A54+Vq*Delay!CO54)</f>
        <v>7.35</v>
      </c>
      <c r="CP54" s="19" t="n">
        <f aca="false">IF(Delay!CP54="","",Fee*$A54+Vq*Delay!CP54)</f>
        <v>7.35</v>
      </c>
      <c r="CQ54" s="19" t="n">
        <f aca="false">IF(Delay!CQ54="","",Fee*$A54+Vq*Delay!CQ54)</f>
        <v>7.35</v>
      </c>
      <c r="CR54" s="19" t="n">
        <f aca="false">IF(Delay!CR54="","",Fee*$A54+Vq*Delay!CR54)</f>
        <v>7.35</v>
      </c>
      <c r="CS54" s="19" t="n">
        <f aca="false">IF(Delay!CS54="","",Fee*$A54+Vq*Delay!CS54)</f>
        <v>7.35</v>
      </c>
      <c r="CT54" s="19" t="n">
        <f aca="false">IF(Delay!CT54="","",Fee*$A54+Vq*Delay!CT54)</f>
        <v>15.9843365569546</v>
      </c>
    </row>
    <row r="55" customFormat="false" ht="15" hidden="false" customHeight="false" outlineLevel="0" collapsed="false">
      <c r="A55" s="25" t="n">
        <f aca="false">Quantiles!A55</f>
        <v>250</v>
      </c>
      <c r="B55" s="19" t="n">
        <f aca="false">IF(Delay!B55="","",Fee*$A55+Vq*Delay!B55)</f>
        <v>24.0378584785363</v>
      </c>
      <c r="C55" s="19" t="n">
        <f aca="false">IF(Delay!C55="","",Fee*$A55+Vq*Delay!C55)</f>
        <v>22.4617692442981</v>
      </c>
      <c r="D55" s="19" t="n">
        <f aca="false">IF(Delay!D55="","",Fee*$A55+Vq*Delay!D55)</f>
        <v>21.1365944192848</v>
      </c>
      <c r="E55" s="19" t="n">
        <f aca="false">IF(Delay!E55="","",Fee*$A55+Vq*Delay!E55)</f>
        <v>20.0431119259636</v>
      </c>
      <c r="F55" s="19" t="n">
        <f aca="false">IF(Delay!F55="","",Fee*$A55+Vq*Delay!F55)</f>
        <v>19.03899963264</v>
      </c>
      <c r="G55" s="19" t="n">
        <f aca="false">IF(Delay!G55="","",Fee*$A55+Vq*Delay!G55)</f>
        <v>18.2236801330443</v>
      </c>
      <c r="H55" s="19" t="n">
        <f aca="false">IF(Delay!H55="","",Fee*$A55+Vq*Delay!H55)</f>
        <v>17.4553283545148</v>
      </c>
      <c r="I55" s="19" t="n">
        <f aca="false">IF(Delay!I55="","",Fee*$A55+Vq*Delay!I55)</f>
        <v>16.7356107841693</v>
      </c>
      <c r="J55" s="19" t="n">
        <f aca="false">IF(Delay!J55="","",Fee*$A55+Vq*Delay!J55)</f>
        <v>16.1292641824314</v>
      </c>
      <c r="K55" s="19" t="n">
        <f aca="false">IF(Delay!K55="","",Fee*$A55+Vq*Delay!K55)</f>
        <v>15.4836822932176</v>
      </c>
      <c r="L55" s="19" t="n">
        <f aca="false">IF(Delay!L55="","",Fee*$A55+Vq*Delay!L55)</f>
        <v>14.8831816995702</v>
      </c>
      <c r="M55" s="19" t="n">
        <f aca="false">IF(Delay!M55="","",Fee*$A55+Vq*Delay!M55)</f>
        <v>14.3768959297663</v>
      </c>
      <c r="N55" s="19" t="n">
        <f aca="false">IF(Delay!N55="","",Fee*$A55+Vq*Delay!N55)</f>
        <v>13.8771029428979</v>
      </c>
      <c r="O55" s="19" t="n">
        <f aca="false">IF(Delay!O55="","",Fee*$A55+Vq*Delay!O55)</f>
        <v>13.3480380685447</v>
      </c>
      <c r="P55" s="19" t="n">
        <f aca="false">IF(Delay!P55="","",Fee*$A55+Vq*Delay!P55)</f>
        <v>12.8908091239601</v>
      </c>
      <c r="Q55" s="19" t="n">
        <f aca="false">IF(Delay!Q55="","",Fee*$A55+Vq*Delay!Q55)</f>
        <v>12.4389788135437</v>
      </c>
      <c r="R55" s="19" t="n">
        <f aca="false">IF(Delay!R55="","",Fee*$A55+Vq*Delay!R55)</f>
        <v>12.0340687255738</v>
      </c>
      <c r="S55" s="19" t="n">
        <f aca="false">IF(Delay!S55="","",Fee*$A55+Vq*Delay!S55)</f>
        <v>11.6114730275636</v>
      </c>
      <c r="T55" s="19" t="n">
        <f aca="false">IF(Delay!T55="","",Fee*$A55+Vq*Delay!T55)</f>
        <v>11.2449490021892</v>
      </c>
      <c r="U55" s="19" t="n">
        <f aca="false">IF(Delay!U55="","",Fee*$A55+Vq*Delay!U55)</f>
        <v>10.8980800271607</v>
      </c>
      <c r="V55" s="19" t="n">
        <f aca="false">IF(Delay!V55="","",Fee*$A55+Vq*Delay!V55)</f>
        <v>10.5469896715504</v>
      </c>
      <c r="W55" s="19" t="n">
        <f aca="false">IF(Delay!W55="","",Fee*$A55+Vq*Delay!W55)</f>
        <v>10.1741043822941</v>
      </c>
      <c r="X55" s="19" t="n">
        <f aca="false">IF(Delay!X55="","",Fee*$A55+Vq*Delay!X55)</f>
        <v>9.8227033787293</v>
      </c>
      <c r="Y55" s="19" t="n">
        <f aca="false">IF(Delay!Y55="","",Fee*$A55+Vq*Delay!Y55)</f>
        <v>9.50589667951718</v>
      </c>
      <c r="Z55" s="19" t="n">
        <f aca="false">IF(Delay!Z55="","",Fee*$A55+Vq*Delay!Z55)</f>
        <v>9.2055010118422</v>
      </c>
      <c r="AA55" s="19" t="n">
        <f aca="false">IF(Delay!AA55="","",Fee*$A55+Vq*Delay!AA55)</f>
        <v>8.90395840832964</v>
      </c>
      <c r="AB55" s="19" t="n">
        <f aca="false">IF(Delay!AB55="","",Fee*$A55+Vq*Delay!AB55)</f>
        <v>8.59041472818532</v>
      </c>
      <c r="AC55" s="19" t="n">
        <f aca="false">IF(Delay!AC55="","",Fee*$A55+Vq*Delay!AC55)</f>
        <v>8.29170261460676</v>
      </c>
      <c r="AD55" s="19" t="n">
        <f aca="false">IF(Delay!AD55="","",Fee*$A55+Vq*Delay!AD55)</f>
        <v>8.01300029092146</v>
      </c>
      <c r="AE55" s="19" t="n">
        <f aca="false">IF(Delay!AE55="","",Fee*$A55+Vq*Delay!AE55)</f>
        <v>7.71963788468848</v>
      </c>
      <c r="AF55" s="19" t="n">
        <f aca="false">IF(Delay!AF55="","",Fee*$A55+Vq*Delay!AF55)</f>
        <v>7.5</v>
      </c>
      <c r="AG55" s="19" t="n">
        <f aca="false">IF(Delay!AG55="","",Fee*$A55+Vq*Delay!AG55)</f>
        <v>7.5</v>
      </c>
      <c r="AH55" s="19" t="n">
        <f aca="false">IF(Delay!AH55="","",Fee*$A55+Vq*Delay!AH55)</f>
        <v>7.5</v>
      </c>
      <c r="AI55" s="19" t="n">
        <f aca="false">IF(Delay!AI55="","",Fee*$A55+Vq*Delay!AI55)</f>
        <v>7.5</v>
      </c>
      <c r="AJ55" s="19" t="n">
        <f aca="false">IF(Delay!AJ55="","",Fee*$A55+Vq*Delay!AJ55)</f>
        <v>7.5</v>
      </c>
      <c r="AK55" s="19" t="n">
        <f aca="false">IF(Delay!AK55="","",Fee*$A55+Vq*Delay!AK55)</f>
        <v>7.5</v>
      </c>
      <c r="AL55" s="19" t="n">
        <f aca="false">IF(Delay!AL55="","",Fee*$A55+Vq*Delay!AL55)</f>
        <v>7.5</v>
      </c>
      <c r="AM55" s="19" t="n">
        <f aca="false">IF(Delay!AM55="","",Fee*$A55+Vq*Delay!AM55)</f>
        <v>7.5</v>
      </c>
      <c r="AN55" s="19" t="n">
        <f aca="false">IF(Delay!AN55="","",Fee*$A55+Vq*Delay!AN55)</f>
        <v>7.5</v>
      </c>
      <c r="AO55" s="19" t="n">
        <f aca="false">IF(Delay!AO55="","",Fee*$A55+Vq*Delay!AO55)</f>
        <v>7.5</v>
      </c>
      <c r="AP55" s="19" t="n">
        <f aca="false">IF(Delay!AP55="","",Fee*$A55+Vq*Delay!AP55)</f>
        <v>7.5</v>
      </c>
      <c r="AQ55" s="19" t="n">
        <f aca="false">IF(Delay!AQ55="","",Fee*$A55+Vq*Delay!AQ55)</f>
        <v>7.5</v>
      </c>
      <c r="AR55" s="19" t="n">
        <f aca="false">IF(Delay!AR55="","",Fee*$A55+Vq*Delay!AR55)</f>
        <v>7.5</v>
      </c>
      <c r="AS55" s="19" t="n">
        <f aca="false">IF(Delay!AS55="","",Fee*$A55+Vq*Delay!AS55)</f>
        <v>7.5</v>
      </c>
      <c r="AT55" s="19" t="n">
        <f aca="false">IF(Delay!AT55="","",Fee*$A55+Vq*Delay!AT55)</f>
        <v>7.5</v>
      </c>
      <c r="AU55" s="19" t="n">
        <f aca="false">IF(Delay!AU55="","",Fee*$A55+Vq*Delay!AU55)</f>
        <v>7.5</v>
      </c>
      <c r="AV55" s="19" t="n">
        <f aca="false">IF(Delay!AV55="","",Fee*$A55+Vq*Delay!AV55)</f>
        <v>7.5</v>
      </c>
      <c r="AW55" s="19" t="n">
        <f aca="false">IF(Delay!AW55="","",Fee*$A55+Vq*Delay!AW55)</f>
        <v>7.5</v>
      </c>
      <c r="AX55" s="19" t="n">
        <f aca="false">IF(Delay!AX55="","",Fee*$A55+Vq*Delay!AX55)</f>
        <v>7.5</v>
      </c>
      <c r="AY55" s="19" t="n">
        <f aca="false">IF(Delay!AY55="","",Fee*$A55+Vq*Delay!AY55)</f>
        <v>7.5</v>
      </c>
      <c r="AZ55" s="19" t="n">
        <f aca="false">IF(Delay!AZ55="","",Fee*$A55+Vq*Delay!AZ55)</f>
        <v>7.5</v>
      </c>
      <c r="BA55" s="19" t="n">
        <f aca="false">IF(Delay!BA55="","",Fee*$A55+Vq*Delay!BA55)</f>
        <v>7.5</v>
      </c>
      <c r="BB55" s="19" t="n">
        <f aca="false">IF(Delay!BB55="","",Fee*$A55+Vq*Delay!BB55)</f>
        <v>7.5</v>
      </c>
      <c r="BC55" s="19" t="n">
        <f aca="false">IF(Delay!BC55="","",Fee*$A55+Vq*Delay!BC55)</f>
        <v>7.5</v>
      </c>
      <c r="BD55" s="19" t="n">
        <f aca="false">IF(Delay!BD55="","",Fee*$A55+Vq*Delay!BD55)</f>
        <v>7.5</v>
      </c>
      <c r="BE55" s="19" t="n">
        <f aca="false">IF(Delay!BE55="","",Fee*$A55+Vq*Delay!BE55)</f>
        <v>7.5</v>
      </c>
      <c r="BF55" s="19" t="n">
        <f aca="false">IF(Delay!BF55="","",Fee*$A55+Vq*Delay!BF55)</f>
        <v>7.5</v>
      </c>
      <c r="BG55" s="19" t="n">
        <f aca="false">IF(Delay!BG55="","",Fee*$A55+Vq*Delay!BG55)</f>
        <v>7.5</v>
      </c>
      <c r="BH55" s="19" t="n">
        <f aca="false">IF(Delay!BH55="","",Fee*$A55+Vq*Delay!BH55)</f>
        <v>7.5</v>
      </c>
      <c r="BI55" s="19" t="n">
        <f aca="false">IF(Delay!BI55="","",Fee*$A55+Vq*Delay!BI55)</f>
        <v>7.5</v>
      </c>
      <c r="BJ55" s="19" t="n">
        <f aca="false">IF(Delay!BJ55="","",Fee*$A55+Vq*Delay!BJ55)</f>
        <v>7.5</v>
      </c>
      <c r="BK55" s="19" t="n">
        <f aca="false">IF(Delay!BK55="","",Fee*$A55+Vq*Delay!BK55)</f>
        <v>7.5</v>
      </c>
      <c r="BL55" s="19" t="n">
        <f aca="false">IF(Delay!BL55="","",Fee*$A55+Vq*Delay!BL55)</f>
        <v>7.5</v>
      </c>
      <c r="BM55" s="19" t="n">
        <f aca="false">IF(Delay!BM55="","",Fee*$A55+Vq*Delay!BM55)</f>
        <v>7.5</v>
      </c>
      <c r="BN55" s="19" t="n">
        <f aca="false">IF(Delay!BN55="","",Fee*$A55+Vq*Delay!BN55)</f>
        <v>7.5</v>
      </c>
      <c r="BO55" s="19" t="n">
        <f aca="false">IF(Delay!BO55="","",Fee*$A55+Vq*Delay!BO55)</f>
        <v>7.5</v>
      </c>
      <c r="BP55" s="19" t="n">
        <f aca="false">IF(Delay!BP55="","",Fee*$A55+Vq*Delay!BP55)</f>
        <v>7.5</v>
      </c>
      <c r="BQ55" s="19" t="n">
        <f aca="false">IF(Delay!BQ55="","",Fee*$A55+Vq*Delay!BQ55)</f>
        <v>7.5</v>
      </c>
      <c r="BR55" s="19" t="n">
        <f aca="false">IF(Delay!BR55="","",Fee*$A55+Vq*Delay!BR55)</f>
        <v>7.5</v>
      </c>
      <c r="BS55" s="19" t="n">
        <f aca="false">IF(Delay!BS55="","",Fee*$A55+Vq*Delay!BS55)</f>
        <v>7.5</v>
      </c>
      <c r="BT55" s="19" t="n">
        <f aca="false">IF(Delay!BT55="","",Fee*$A55+Vq*Delay!BT55)</f>
        <v>7.5</v>
      </c>
      <c r="BU55" s="19" t="n">
        <f aca="false">IF(Delay!BU55="","",Fee*$A55+Vq*Delay!BU55)</f>
        <v>7.5</v>
      </c>
      <c r="BV55" s="19" t="n">
        <f aca="false">IF(Delay!BV55="","",Fee*$A55+Vq*Delay!BV55)</f>
        <v>7.5</v>
      </c>
      <c r="BW55" s="19" t="n">
        <f aca="false">IF(Delay!BW55="","",Fee*$A55+Vq*Delay!BW55)</f>
        <v>7.5</v>
      </c>
      <c r="BX55" s="19" t="n">
        <f aca="false">IF(Delay!BX55="","",Fee*$A55+Vq*Delay!BX55)</f>
        <v>7.5</v>
      </c>
      <c r="BY55" s="19" t="n">
        <f aca="false">IF(Delay!BY55="","",Fee*$A55+Vq*Delay!BY55)</f>
        <v>7.5</v>
      </c>
      <c r="BZ55" s="19" t="n">
        <f aca="false">IF(Delay!BZ55="","",Fee*$A55+Vq*Delay!BZ55)</f>
        <v>7.5</v>
      </c>
      <c r="CA55" s="19" t="n">
        <f aca="false">IF(Delay!CA55="","",Fee*$A55+Vq*Delay!CA55)</f>
        <v>7.5</v>
      </c>
      <c r="CB55" s="19" t="n">
        <f aca="false">IF(Delay!CB55="","",Fee*$A55+Vq*Delay!CB55)</f>
        <v>7.5</v>
      </c>
      <c r="CC55" s="19" t="n">
        <f aca="false">IF(Delay!CC55="","",Fee*$A55+Vq*Delay!CC55)</f>
        <v>7.5</v>
      </c>
      <c r="CD55" s="19" t="n">
        <f aca="false">IF(Delay!CD55="","",Fee*$A55+Vq*Delay!CD55)</f>
        <v>7.5</v>
      </c>
      <c r="CE55" s="19" t="n">
        <f aca="false">IF(Delay!CE55="","",Fee*$A55+Vq*Delay!CE55)</f>
        <v>7.5</v>
      </c>
      <c r="CF55" s="19" t="n">
        <f aca="false">IF(Delay!CF55="","",Fee*$A55+Vq*Delay!CF55)</f>
        <v>7.5</v>
      </c>
      <c r="CG55" s="19" t="n">
        <f aca="false">IF(Delay!CG55="","",Fee*$A55+Vq*Delay!CG55)</f>
        <v>7.5</v>
      </c>
      <c r="CH55" s="19" t="n">
        <f aca="false">IF(Delay!CH55="","",Fee*$A55+Vq*Delay!CH55)</f>
        <v>7.5</v>
      </c>
      <c r="CI55" s="19" t="n">
        <f aca="false">IF(Delay!CI55="","",Fee*$A55+Vq*Delay!CI55)</f>
        <v>7.5</v>
      </c>
      <c r="CJ55" s="19" t="n">
        <f aca="false">IF(Delay!CJ55="","",Fee*$A55+Vq*Delay!CJ55)</f>
        <v>7.5</v>
      </c>
      <c r="CK55" s="19" t="n">
        <f aca="false">IF(Delay!CK55="","",Fee*$A55+Vq*Delay!CK55)</f>
        <v>7.5</v>
      </c>
      <c r="CL55" s="19" t="n">
        <f aca="false">IF(Delay!CL55="","",Fee*$A55+Vq*Delay!CL55)</f>
        <v>7.5</v>
      </c>
      <c r="CM55" s="19" t="n">
        <f aca="false">IF(Delay!CM55="","",Fee*$A55+Vq*Delay!CM55)</f>
        <v>7.5</v>
      </c>
      <c r="CN55" s="19" t="n">
        <f aca="false">IF(Delay!CN55="","",Fee*$A55+Vq*Delay!CN55)</f>
        <v>7.5</v>
      </c>
      <c r="CO55" s="19" t="n">
        <f aca="false">IF(Delay!CO55="","",Fee*$A55+Vq*Delay!CO55)</f>
        <v>7.5</v>
      </c>
      <c r="CP55" s="19" t="n">
        <f aca="false">IF(Delay!CP55="","",Fee*$A55+Vq*Delay!CP55)</f>
        <v>7.5</v>
      </c>
      <c r="CQ55" s="19" t="n">
        <f aca="false">IF(Delay!CQ55="","",Fee*$A55+Vq*Delay!CQ55)</f>
        <v>7.5</v>
      </c>
      <c r="CR55" s="19" t="n">
        <f aca="false">IF(Delay!CR55="","",Fee*$A55+Vq*Delay!CR55)</f>
        <v>7.5</v>
      </c>
      <c r="CS55" s="19" t="n">
        <f aca="false">IF(Delay!CS55="","",Fee*$A55+Vq*Delay!CS55)</f>
        <v>7.5</v>
      </c>
      <c r="CT55" s="19" t="n">
        <f aca="false">IF(Delay!CT55="","",Fee*$A55+Vq*Delay!CT55)</f>
        <v>16.1262642754761</v>
      </c>
    </row>
    <row r="56" customFormat="false" ht="15" hidden="false" customHeight="false" outlineLevel="0" collapsed="false">
      <c r="A56" s="25" t="n">
        <f aca="false">Quantiles!A56</f>
        <v>255</v>
      </c>
      <c r="B56" s="19" t="n">
        <f aca="false">IF(Delay!B56="","",Fee*$A56+Vq*Delay!B56)</f>
        <v>24.1762122634897</v>
      </c>
      <c r="C56" s="19" t="n">
        <f aca="false">IF(Delay!C56="","",Fee*$A56+Vq*Delay!C56)</f>
        <v>22.6108592064907</v>
      </c>
      <c r="D56" s="19" t="n">
        <f aca="false">IF(Delay!D56="","",Fee*$A56+Vq*Delay!D56)</f>
        <v>21.2685962452143</v>
      </c>
      <c r="E56" s="19" t="n">
        <f aca="false">IF(Delay!E56="","",Fee*$A56+Vq*Delay!E56)</f>
        <v>20.1612863042325</v>
      </c>
      <c r="F56" s="19" t="n">
        <f aca="false">IF(Delay!F56="","",Fee*$A56+Vq*Delay!F56)</f>
        <v>19.1824623814907</v>
      </c>
      <c r="G56" s="19" t="n">
        <f aca="false">IF(Delay!G56="","",Fee*$A56+Vq*Delay!G56)</f>
        <v>18.3563918670082</v>
      </c>
      <c r="H56" s="19" t="n">
        <f aca="false">IF(Delay!H56="","",Fee*$A56+Vq*Delay!H56)</f>
        <v>17.5895299017071</v>
      </c>
      <c r="I56" s="19" t="n">
        <f aca="false">IF(Delay!I56="","",Fee*$A56+Vq*Delay!I56)</f>
        <v>16.8723043502775</v>
      </c>
      <c r="J56" s="19" t="n">
        <f aca="false">IF(Delay!J56="","",Fee*$A56+Vq*Delay!J56)</f>
        <v>16.275215513875</v>
      </c>
      <c r="K56" s="19" t="n">
        <f aca="false">IF(Delay!K56="","",Fee*$A56+Vq*Delay!K56)</f>
        <v>15.623205269522</v>
      </c>
      <c r="L56" s="19" t="n">
        <f aca="false">IF(Delay!L56="","",Fee*$A56+Vq*Delay!L56)</f>
        <v>15.0305922274966</v>
      </c>
      <c r="M56" s="19" t="n">
        <f aca="false">IF(Delay!M56="","",Fee*$A56+Vq*Delay!M56)</f>
        <v>14.5071770075056</v>
      </c>
      <c r="N56" s="19" t="n">
        <f aca="false">IF(Delay!N56="","",Fee*$A56+Vq*Delay!N56)</f>
        <v>14.0163170445037</v>
      </c>
      <c r="O56" s="19" t="n">
        <f aca="false">IF(Delay!O56="","",Fee*$A56+Vq*Delay!O56)</f>
        <v>13.4847057606554</v>
      </c>
      <c r="P56" s="19" t="n">
        <f aca="false">IF(Delay!P56="","",Fee*$A56+Vq*Delay!P56)</f>
        <v>13.0090449713974</v>
      </c>
      <c r="Q56" s="19" t="n">
        <f aca="false">IF(Delay!Q56="","",Fee*$A56+Vq*Delay!Q56)</f>
        <v>12.5679308966179</v>
      </c>
      <c r="R56" s="19" t="n">
        <f aca="false">IF(Delay!R56="","",Fee*$A56+Vq*Delay!R56)</f>
        <v>12.1687014628265</v>
      </c>
      <c r="S56" s="19" t="n">
        <f aca="false">IF(Delay!S56="","",Fee*$A56+Vq*Delay!S56)</f>
        <v>11.7473132656988</v>
      </c>
      <c r="T56" s="19" t="n">
        <f aca="false">IF(Delay!T56="","",Fee*$A56+Vq*Delay!T56)</f>
        <v>11.3796093882918</v>
      </c>
      <c r="U56" s="19" t="n">
        <f aca="false">IF(Delay!U56="","",Fee*$A56+Vq*Delay!U56)</f>
        <v>11.0350040698365</v>
      </c>
      <c r="V56" s="19" t="n">
        <f aca="false">IF(Delay!V56="","",Fee*$A56+Vq*Delay!V56)</f>
        <v>10.6739794166251</v>
      </c>
      <c r="W56" s="19" t="n">
        <f aca="false">IF(Delay!W56="","",Fee*$A56+Vq*Delay!W56)</f>
        <v>10.3179757564171</v>
      </c>
      <c r="X56" s="19" t="n">
        <f aca="false">IF(Delay!X56="","",Fee*$A56+Vq*Delay!X56)</f>
        <v>9.96385676326284</v>
      </c>
      <c r="Y56" s="19" t="n">
        <f aca="false">IF(Delay!Y56="","",Fee*$A56+Vq*Delay!Y56)</f>
        <v>9.6523259581894</v>
      </c>
      <c r="Z56" s="19" t="n">
        <f aca="false">IF(Delay!Z56="","",Fee*$A56+Vq*Delay!Z56)</f>
        <v>9.35234874754238</v>
      </c>
      <c r="AA56" s="19" t="n">
        <f aca="false">IF(Delay!AA56="","",Fee*$A56+Vq*Delay!AA56)</f>
        <v>9.04988429205962</v>
      </c>
      <c r="AB56" s="19" t="n">
        <f aca="false">IF(Delay!AB56="","",Fee*$A56+Vq*Delay!AB56)</f>
        <v>8.73038234826058</v>
      </c>
      <c r="AC56" s="19" t="n">
        <f aca="false">IF(Delay!AC56="","",Fee*$A56+Vq*Delay!AC56)</f>
        <v>8.43566872687372</v>
      </c>
      <c r="AD56" s="19" t="n">
        <f aca="false">IF(Delay!AD56="","",Fee*$A56+Vq*Delay!AD56)</f>
        <v>8.15581517799474</v>
      </c>
      <c r="AE56" s="19" t="n">
        <f aca="false">IF(Delay!AE56="","",Fee*$A56+Vq*Delay!AE56)</f>
        <v>7.8622927028293</v>
      </c>
      <c r="AF56" s="19" t="n">
        <f aca="false">IF(Delay!AF56="","",Fee*$A56+Vq*Delay!AF56)</f>
        <v>7.65</v>
      </c>
      <c r="AG56" s="19" t="n">
        <f aca="false">IF(Delay!AG56="","",Fee*$A56+Vq*Delay!AG56)</f>
        <v>7.65</v>
      </c>
      <c r="AH56" s="19" t="n">
        <f aca="false">IF(Delay!AH56="","",Fee*$A56+Vq*Delay!AH56)</f>
        <v>7.65</v>
      </c>
      <c r="AI56" s="19" t="n">
        <f aca="false">IF(Delay!AI56="","",Fee*$A56+Vq*Delay!AI56)</f>
        <v>7.65</v>
      </c>
      <c r="AJ56" s="19" t="n">
        <f aca="false">IF(Delay!AJ56="","",Fee*$A56+Vq*Delay!AJ56)</f>
        <v>7.65</v>
      </c>
      <c r="AK56" s="19" t="n">
        <f aca="false">IF(Delay!AK56="","",Fee*$A56+Vq*Delay!AK56)</f>
        <v>7.65</v>
      </c>
      <c r="AL56" s="19" t="n">
        <f aca="false">IF(Delay!AL56="","",Fee*$A56+Vq*Delay!AL56)</f>
        <v>7.65</v>
      </c>
      <c r="AM56" s="19" t="n">
        <f aca="false">IF(Delay!AM56="","",Fee*$A56+Vq*Delay!AM56)</f>
        <v>7.65</v>
      </c>
      <c r="AN56" s="19" t="n">
        <f aca="false">IF(Delay!AN56="","",Fee*$A56+Vq*Delay!AN56)</f>
        <v>7.65</v>
      </c>
      <c r="AO56" s="19" t="n">
        <f aca="false">IF(Delay!AO56="","",Fee*$A56+Vq*Delay!AO56)</f>
        <v>7.65</v>
      </c>
      <c r="AP56" s="19" t="n">
        <f aca="false">IF(Delay!AP56="","",Fee*$A56+Vq*Delay!AP56)</f>
        <v>7.65</v>
      </c>
      <c r="AQ56" s="19" t="n">
        <f aca="false">IF(Delay!AQ56="","",Fee*$A56+Vq*Delay!AQ56)</f>
        <v>7.65</v>
      </c>
      <c r="AR56" s="19" t="n">
        <f aca="false">IF(Delay!AR56="","",Fee*$A56+Vq*Delay!AR56)</f>
        <v>7.65</v>
      </c>
      <c r="AS56" s="19" t="n">
        <f aca="false">IF(Delay!AS56="","",Fee*$A56+Vq*Delay!AS56)</f>
        <v>7.65</v>
      </c>
      <c r="AT56" s="19" t="n">
        <f aca="false">IF(Delay!AT56="","",Fee*$A56+Vq*Delay!AT56)</f>
        <v>7.65</v>
      </c>
      <c r="AU56" s="19" t="n">
        <f aca="false">IF(Delay!AU56="","",Fee*$A56+Vq*Delay!AU56)</f>
        <v>7.65</v>
      </c>
      <c r="AV56" s="19" t="n">
        <f aca="false">IF(Delay!AV56="","",Fee*$A56+Vq*Delay!AV56)</f>
        <v>7.65</v>
      </c>
      <c r="AW56" s="19" t="n">
        <f aca="false">IF(Delay!AW56="","",Fee*$A56+Vq*Delay!AW56)</f>
        <v>7.65</v>
      </c>
      <c r="AX56" s="19" t="n">
        <f aca="false">IF(Delay!AX56="","",Fee*$A56+Vq*Delay!AX56)</f>
        <v>7.65</v>
      </c>
      <c r="AY56" s="19" t="n">
        <f aca="false">IF(Delay!AY56="","",Fee*$A56+Vq*Delay!AY56)</f>
        <v>7.65</v>
      </c>
      <c r="AZ56" s="19" t="n">
        <f aca="false">IF(Delay!AZ56="","",Fee*$A56+Vq*Delay!AZ56)</f>
        <v>7.65</v>
      </c>
      <c r="BA56" s="19" t="n">
        <f aca="false">IF(Delay!BA56="","",Fee*$A56+Vq*Delay!BA56)</f>
        <v>7.65</v>
      </c>
      <c r="BB56" s="19" t="n">
        <f aca="false">IF(Delay!BB56="","",Fee*$A56+Vq*Delay!BB56)</f>
        <v>7.65</v>
      </c>
      <c r="BC56" s="19" t="n">
        <f aca="false">IF(Delay!BC56="","",Fee*$A56+Vq*Delay!BC56)</f>
        <v>7.65</v>
      </c>
      <c r="BD56" s="19" t="n">
        <f aca="false">IF(Delay!BD56="","",Fee*$A56+Vq*Delay!BD56)</f>
        <v>7.65</v>
      </c>
      <c r="BE56" s="19" t="n">
        <f aca="false">IF(Delay!BE56="","",Fee*$A56+Vq*Delay!BE56)</f>
        <v>7.65</v>
      </c>
      <c r="BF56" s="19" t="n">
        <f aca="false">IF(Delay!BF56="","",Fee*$A56+Vq*Delay!BF56)</f>
        <v>7.65</v>
      </c>
      <c r="BG56" s="19" t="n">
        <f aca="false">IF(Delay!BG56="","",Fee*$A56+Vq*Delay!BG56)</f>
        <v>7.65</v>
      </c>
      <c r="BH56" s="19" t="n">
        <f aca="false">IF(Delay!BH56="","",Fee*$A56+Vq*Delay!BH56)</f>
        <v>7.65</v>
      </c>
      <c r="BI56" s="19" t="n">
        <f aca="false">IF(Delay!BI56="","",Fee*$A56+Vq*Delay!BI56)</f>
        <v>7.65</v>
      </c>
      <c r="BJ56" s="19" t="n">
        <f aca="false">IF(Delay!BJ56="","",Fee*$A56+Vq*Delay!BJ56)</f>
        <v>7.65</v>
      </c>
      <c r="BK56" s="19" t="n">
        <f aca="false">IF(Delay!BK56="","",Fee*$A56+Vq*Delay!BK56)</f>
        <v>7.65</v>
      </c>
      <c r="BL56" s="19" t="n">
        <f aca="false">IF(Delay!BL56="","",Fee*$A56+Vq*Delay!BL56)</f>
        <v>7.65</v>
      </c>
      <c r="BM56" s="19" t="n">
        <f aca="false">IF(Delay!BM56="","",Fee*$A56+Vq*Delay!BM56)</f>
        <v>7.65</v>
      </c>
      <c r="BN56" s="19" t="n">
        <f aca="false">IF(Delay!BN56="","",Fee*$A56+Vq*Delay!BN56)</f>
        <v>7.65</v>
      </c>
      <c r="BO56" s="19" t="n">
        <f aca="false">IF(Delay!BO56="","",Fee*$A56+Vq*Delay!BO56)</f>
        <v>7.65</v>
      </c>
      <c r="BP56" s="19" t="n">
        <f aca="false">IF(Delay!BP56="","",Fee*$A56+Vq*Delay!BP56)</f>
        <v>7.65</v>
      </c>
      <c r="BQ56" s="19" t="n">
        <f aca="false">IF(Delay!BQ56="","",Fee*$A56+Vq*Delay!BQ56)</f>
        <v>7.65</v>
      </c>
      <c r="BR56" s="19" t="n">
        <f aca="false">IF(Delay!BR56="","",Fee*$A56+Vq*Delay!BR56)</f>
        <v>7.65</v>
      </c>
      <c r="BS56" s="19" t="n">
        <f aca="false">IF(Delay!BS56="","",Fee*$A56+Vq*Delay!BS56)</f>
        <v>7.65</v>
      </c>
      <c r="BT56" s="19" t="n">
        <f aca="false">IF(Delay!BT56="","",Fee*$A56+Vq*Delay!BT56)</f>
        <v>7.65</v>
      </c>
      <c r="BU56" s="19" t="n">
        <f aca="false">IF(Delay!BU56="","",Fee*$A56+Vq*Delay!BU56)</f>
        <v>7.65</v>
      </c>
      <c r="BV56" s="19" t="n">
        <f aca="false">IF(Delay!BV56="","",Fee*$A56+Vq*Delay!BV56)</f>
        <v>7.65</v>
      </c>
      <c r="BW56" s="19" t="n">
        <f aca="false">IF(Delay!BW56="","",Fee*$A56+Vq*Delay!BW56)</f>
        <v>7.65</v>
      </c>
      <c r="BX56" s="19" t="n">
        <f aca="false">IF(Delay!BX56="","",Fee*$A56+Vq*Delay!BX56)</f>
        <v>7.65</v>
      </c>
      <c r="BY56" s="19" t="n">
        <f aca="false">IF(Delay!BY56="","",Fee*$A56+Vq*Delay!BY56)</f>
        <v>7.65</v>
      </c>
      <c r="BZ56" s="19" t="n">
        <f aca="false">IF(Delay!BZ56="","",Fee*$A56+Vq*Delay!BZ56)</f>
        <v>7.65</v>
      </c>
      <c r="CA56" s="19" t="n">
        <f aca="false">IF(Delay!CA56="","",Fee*$A56+Vq*Delay!CA56)</f>
        <v>7.65</v>
      </c>
      <c r="CB56" s="19" t="n">
        <f aca="false">IF(Delay!CB56="","",Fee*$A56+Vq*Delay!CB56)</f>
        <v>7.65</v>
      </c>
      <c r="CC56" s="19" t="n">
        <f aca="false">IF(Delay!CC56="","",Fee*$A56+Vq*Delay!CC56)</f>
        <v>7.65</v>
      </c>
      <c r="CD56" s="19" t="n">
        <f aca="false">IF(Delay!CD56="","",Fee*$A56+Vq*Delay!CD56)</f>
        <v>7.65</v>
      </c>
      <c r="CE56" s="19" t="n">
        <f aca="false">IF(Delay!CE56="","",Fee*$A56+Vq*Delay!CE56)</f>
        <v>7.65</v>
      </c>
      <c r="CF56" s="19" t="n">
        <f aca="false">IF(Delay!CF56="","",Fee*$A56+Vq*Delay!CF56)</f>
        <v>7.65</v>
      </c>
      <c r="CG56" s="19" t="n">
        <f aca="false">IF(Delay!CG56="","",Fee*$A56+Vq*Delay!CG56)</f>
        <v>7.65</v>
      </c>
      <c r="CH56" s="19" t="n">
        <f aca="false">IF(Delay!CH56="","",Fee*$A56+Vq*Delay!CH56)</f>
        <v>7.65</v>
      </c>
      <c r="CI56" s="19" t="n">
        <f aca="false">IF(Delay!CI56="","",Fee*$A56+Vq*Delay!CI56)</f>
        <v>7.65</v>
      </c>
      <c r="CJ56" s="19" t="n">
        <f aca="false">IF(Delay!CJ56="","",Fee*$A56+Vq*Delay!CJ56)</f>
        <v>7.65</v>
      </c>
      <c r="CK56" s="19" t="n">
        <f aca="false">IF(Delay!CK56="","",Fee*$A56+Vq*Delay!CK56)</f>
        <v>7.65</v>
      </c>
      <c r="CL56" s="19" t="n">
        <f aca="false">IF(Delay!CL56="","",Fee*$A56+Vq*Delay!CL56)</f>
        <v>7.65</v>
      </c>
      <c r="CM56" s="19" t="n">
        <f aca="false">IF(Delay!CM56="","",Fee*$A56+Vq*Delay!CM56)</f>
        <v>7.65</v>
      </c>
      <c r="CN56" s="19" t="n">
        <f aca="false">IF(Delay!CN56="","",Fee*$A56+Vq*Delay!CN56)</f>
        <v>7.65</v>
      </c>
      <c r="CO56" s="19" t="n">
        <f aca="false">IF(Delay!CO56="","",Fee*$A56+Vq*Delay!CO56)</f>
        <v>7.65</v>
      </c>
      <c r="CP56" s="19" t="n">
        <f aca="false">IF(Delay!CP56="","",Fee*$A56+Vq*Delay!CP56)</f>
        <v>7.65</v>
      </c>
      <c r="CQ56" s="19" t="n">
        <f aca="false">IF(Delay!CQ56="","",Fee*$A56+Vq*Delay!CQ56)</f>
        <v>7.65</v>
      </c>
      <c r="CR56" s="19" t="n">
        <f aca="false">IF(Delay!CR56="","",Fee*$A56+Vq*Delay!CR56)</f>
        <v>7.65</v>
      </c>
      <c r="CS56" s="19" t="n">
        <f aca="false">IF(Delay!CS56="","",Fee*$A56+Vq*Delay!CS56)</f>
        <v>7.65</v>
      </c>
      <c r="CT56" s="19" t="n">
        <f aca="false">IF(Delay!CT56="","",Fee*$A56+Vq*Delay!CT56)</f>
        <v>16.2619095595208</v>
      </c>
    </row>
    <row r="57" customFormat="false" ht="15" hidden="false" customHeight="false" outlineLevel="0" collapsed="false">
      <c r="A57" s="25" t="n">
        <f aca="false">Quantiles!A57</f>
        <v>260</v>
      </c>
      <c r="B57" s="19" t="n">
        <f aca="false">IF(Delay!B57="","",Fee*$A57+Vq*Delay!B57)</f>
        <v>24.3000609462495</v>
      </c>
      <c r="C57" s="19" t="n">
        <f aca="false">IF(Delay!C57="","",Fee*$A57+Vq*Delay!C57)</f>
        <v>22.7426886006771</v>
      </c>
      <c r="D57" s="19" t="n">
        <f aca="false">IF(Delay!D57="","",Fee*$A57+Vq*Delay!D57)</f>
        <v>21.4096356487521</v>
      </c>
      <c r="E57" s="19" t="n">
        <f aca="false">IF(Delay!E57="","",Fee*$A57+Vq*Delay!E57)</f>
        <v>20.3104338248737</v>
      </c>
      <c r="F57" s="19" t="n">
        <f aca="false">IF(Delay!F57="","",Fee*$A57+Vq*Delay!F57)</f>
        <v>19.3260099754061</v>
      </c>
      <c r="G57" s="19" t="n">
        <f aca="false">IF(Delay!G57="","",Fee*$A57+Vq*Delay!G57)</f>
        <v>18.4996872546206</v>
      </c>
      <c r="H57" s="19" t="n">
        <f aca="false">IF(Delay!H57="","",Fee*$A57+Vq*Delay!H57)</f>
        <v>17.7309759444679</v>
      </c>
      <c r="I57" s="19" t="n">
        <f aca="false">IF(Delay!I57="","",Fee*$A57+Vq*Delay!I57)</f>
        <v>17.0084927567421</v>
      </c>
      <c r="J57" s="19" t="n">
        <f aca="false">IF(Delay!J57="","",Fee*$A57+Vq*Delay!J57)</f>
        <v>16.4085895504492</v>
      </c>
      <c r="K57" s="19" t="n">
        <f aca="false">IF(Delay!K57="","",Fee*$A57+Vq*Delay!K57)</f>
        <v>15.7612454603858</v>
      </c>
      <c r="L57" s="19" t="n">
        <f aca="false">IF(Delay!L57="","",Fee*$A57+Vq*Delay!L57)</f>
        <v>15.1675960038919</v>
      </c>
      <c r="M57" s="19" t="n">
        <f aca="false">IF(Delay!M57="","",Fee*$A57+Vq*Delay!M57)</f>
        <v>14.6490018460073</v>
      </c>
      <c r="N57" s="19" t="n">
        <f aca="false">IF(Delay!N57="","",Fee*$A57+Vq*Delay!N57)</f>
        <v>14.1611187023796</v>
      </c>
      <c r="O57" s="19" t="n">
        <f aca="false">IF(Delay!O57="","",Fee*$A57+Vq*Delay!O57)</f>
        <v>13.629943698128</v>
      </c>
      <c r="P57" s="19" t="n">
        <f aca="false">IF(Delay!P57="","",Fee*$A57+Vq*Delay!P57)</f>
        <v>13.1490622109468</v>
      </c>
      <c r="Q57" s="19" t="n">
        <f aca="false">IF(Delay!Q57="","",Fee*$A57+Vq*Delay!Q57)</f>
        <v>12.7066679694942</v>
      </c>
      <c r="R57" s="19" t="n">
        <f aca="false">IF(Delay!R57="","",Fee*$A57+Vq*Delay!R57)</f>
        <v>12.2988145449791</v>
      </c>
      <c r="S57" s="19" t="n">
        <f aca="false">IF(Delay!S57="","",Fee*$A57+Vq*Delay!S57)</f>
        <v>11.886499673191</v>
      </c>
      <c r="T57" s="19" t="n">
        <f aca="false">IF(Delay!T57="","",Fee*$A57+Vq*Delay!T57)</f>
        <v>11.513191623804</v>
      </c>
      <c r="U57" s="19" t="n">
        <f aca="false">IF(Delay!U57="","",Fee*$A57+Vq*Delay!U57)</f>
        <v>11.173456439472</v>
      </c>
      <c r="V57" s="19" t="n">
        <f aca="false">IF(Delay!V57="","",Fee*$A57+Vq*Delay!V57)</f>
        <v>10.8071482380533</v>
      </c>
      <c r="W57" s="19" t="n">
        <f aca="false">IF(Delay!W57="","",Fee*$A57+Vq*Delay!W57)</f>
        <v>10.4566495695427</v>
      </c>
      <c r="X57" s="19" t="n">
        <f aca="false">IF(Delay!X57="","",Fee*$A57+Vq*Delay!X57)</f>
        <v>10.1011969748619</v>
      </c>
      <c r="Y57" s="19" t="n">
        <f aca="false">IF(Delay!Y57="","",Fee*$A57+Vq*Delay!Y57)</f>
        <v>9.78839376067634</v>
      </c>
      <c r="Z57" s="19" t="n">
        <f aca="false">IF(Delay!Z57="","",Fee*$A57+Vq*Delay!Z57)</f>
        <v>9.48668720656786</v>
      </c>
      <c r="AA57" s="19" t="n">
        <f aca="false">IF(Delay!AA57="","",Fee*$A57+Vq*Delay!AA57)</f>
        <v>9.19293436768634</v>
      </c>
      <c r="AB57" s="19" t="n">
        <f aca="false">IF(Delay!AB57="","",Fee*$A57+Vq*Delay!AB57)</f>
        <v>8.87270711781534</v>
      </c>
      <c r="AC57" s="19" t="n">
        <f aca="false">IF(Delay!AC57="","",Fee*$A57+Vq*Delay!AC57)</f>
        <v>8.57874513805276</v>
      </c>
      <c r="AD57" s="19" t="n">
        <f aca="false">IF(Delay!AD57="","",Fee*$A57+Vq*Delay!AD57)</f>
        <v>8.30004819751152</v>
      </c>
      <c r="AE57" s="19" t="n">
        <f aca="false">IF(Delay!AE57="","",Fee*$A57+Vq*Delay!AE57)</f>
        <v>8.01112764555276</v>
      </c>
      <c r="AF57" s="19" t="n">
        <f aca="false">IF(Delay!AF57="","",Fee*$A57+Vq*Delay!AF57)</f>
        <v>7.8</v>
      </c>
      <c r="AG57" s="19" t="n">
        <f aca="false">IF(Delay!AG57="","",Fee*$A57+Vq*Delay!AG57)</f>
        <v>7.8</v>
      </c>
      <c r="AH57" s="19" t="n">
        <f aca="false">IF(Delay!AH57="","",Fee*$A57+Vq*Delay!AH57)</f>
        <v>7.8</v>
      </c>
      <c r="AI57" s="19" t="n">
        <f aca="false">IF(Delay!AI57="","",Fee*$A57+Vq*Delay!AI57)</f>
        <v>7.8</v>
      </c>
      <c r="AJ57" s="19" t="n">
        <f aca="false">IF(Delay!AJ57="","",Fee*$A57+Vq*Delay!AJ57)</f>
        <v>7.8</v>
      </c>
      <c r="AK57" s="19" t="n">
        <f aca="false">IF(Delay!AK57="","",Fee*$A57+Vq*Delay!AK57)</f>
        <v>7.8</v>
      </c>
      <c r="AL57" s="19" t="n">
        <f aca="false">IF(Delay!AL57="","",Fee*$A57+Vq*Delay!AL57)</f>
        <v>7.8</v>
      </c>
      <c r="AM57" s="19" t="n">
        <f aca="false">IF(Delay!AM57="","",Fee*$A57+Vq*Delay!AM57)</f>
        <v>7.8</v>
      </c>
      <c r="AN57" s="19" t="n">
        <f aca="false">IF(Delay!AN57="","",Fee*$A57+Vq*Delay!AN57)</f>
        <v>7.8</v>
      </c>
      <c r="AO57" s="19" t="n">
        <f aca="false">IF(Delay!AO57="","",Fee*$A57+Vq*Delay!AO57)</f>
        <v>7.8</v>
      </c>
      <c r="AP57" s="19" t="n">
        <f aca="false">IF(Delay!AP57="","",Fee*$A57+Vq*Delay!AP57)</f>
        <v>7.8</v>
      </c>
      <c r="AQ57" s="19" t="n">
        <f aca="false">IF(Delay!AQ57="","",Fee*$A57+Vq*Delay!AQ57)</f>
        <v>7.8</v>
      </c>
      <c r="AR57" s="19" t="n">
        <f aca="false">IF(Delay!AR57="","",Fee*$A57+Vq*Delay!AR57)</f>
        <v>7.8</v>
      </c>
      <c r="AS57" s="19" t="n">
        <f aca="false">IF(Delay!AS57="","",Fee*$A57+Vq*Delay!AS57)</f>
        <v>7.8</v>
      </c>
      <c r="AT57" s="19" t="n">
        <f aca="false">IF(Delay!AT57="","",Fee*$A57+Vq*Delay!AT57)</f>
        <v>7.8</v>
      </c>
      <c r="AU57" s="19" t="n">
        <f aca="false">IF(Delay!AU57="","",Fee*$A57+Vq*Delay!AU57)</f>
        <v>7.8</v>
      </c>
      <c r="AV57" s="19" t="n">
        <f aca="false">IF(Delay!AV57="","",Fee*$A57+Vq*Delay!AV57)</f>
        <v>7.8</v>
      </c>
      <c r="AW57" s="19" t="n">
        <f aca="false">IF(Delay!AW57="","",Fee*$A57+Vq*Delay!AW57)</f>
        <v>7.8</v>
      </c>
      <c r="AX57" s="19" t="n">
        <f aca="false">IF(Delay!AX57="","",Fee*$A57+Vq*Delay!AX57)</f>
        <v>7.8</v>
      </c>
      <c r="AY57" s="19" t="n">
        <f aca="false">IF(Delay!AY57="","",Fee*$A57+Vq*Delay!AY57)</f>
        <v>7.8</v>
      </c>
      <c r="AZ57" s="19" t="n">
        <f aca="false">IF(Delay!AZ57="","",Fee*$A57+Vq*Delay!AZ57)</f>
        <v>7.8</v>
      </c>
      <c r="BA57" s="19" t="n">
        <f aca="false">IF(Delay!BA57="","",Fee*$A57+Vq*Delay!BA57)</f>
        <v>7.8</v>
      </c>
      <c r="BB57" s="19" t="n">
        <f aca="false">IF(Delay!BB57="","",Fee*$A57+Vq*Delay!BB57)</f>
        <v>7.8</v>
      </c>
      <c r="BC57" s="19" t="n">
        <f aca="false">IF(Delay!BC57="","",Fee*$A57+Vq*Delay!BC57)</f>
        <v>7.8</v>
      </c>
      <c r="BD57" s="19" t="n">
        <f aca="false">IF(Delay!BD57="","",Fee*$A57+Vq*Delay!BD57)</f>
        <v>7.8</v>
      </c>
      <c r="BE57" s="19" t="n">
        <f aca="false">IF(Delay!BE57="","",Fee*$A57+Vq*Delay!BE57)</f>
        <v>7.8</v>
      </c>
      <c r="BF57" s="19" t="n">
        <f aca="false">IF(Delay!BF57="","",Fee*$A57+Vq*Delay!BF57)</f>
        <v>7.8</v>
      </c>
      <c r="BG57" s="19" t="n">
        <f aca="false">IF(Delay!BG57="","",Fee*$A57+Vq*Delay!BG57)</f>
        <v>7.8</v>
      </c>
      <c r="BH57" s="19" t="n">
        <f aca="false">IF(Delay!BH57="","",Fee*$A57+Vq*Delay!BH57)</f>
        <v>7.8</v>
      </c>
      <c r="BI57" s="19" t="n">
        <f aca="false">IF(Delay!BI57="","",Fee*$A57+Vq*Delay!BI57)</f>
        <v>7.8</v>
      </c>
      <c r="BJ57" s="19" t="n">
        <f aca="false">IF(Delay!BJ57="","",Fee*$A57+Vq*Delay!BJ57)</f>
        <v>7.8</v>
      </c>
      <c r="BK57" s="19" t="n">
        <f aca="false">IF(Delay!BK57="","",Fee*$A57+Vq*Delay!BK57)</f>
        <v>7.8</v>
      </c>
      <c r="BL57" s="19" t="n">
        <f aca="false">IF(Delay!BL57="","",Fee*$A57+Vq*Delay!BL57)</f>
        <v>7.8</v>
      </c>
      <c r="BM57" s="19" t="n">
        <f aca="false">IF(Delay!BM57="","",Fee*$A57+Vq*Delay!BM57)</f>
        <v>7.8</v>
      </c>
      <c r="BN57" s="19" t="n">
        <f aca="false">IF(Delay!BN57="","",Fee*$A57+Vq*Delay!BN57)</f>
        <v>7.8</v>
      </c>
      <c r="BO57" s="19" t="n">
        <f aca="false">IF(Delay!BO57="","",Fee*$A57+Vq*Delay!BO57)</f>
        <v>7.8</v>
      </c>
      <c r="BP57" s="19" t="n">
        <f aca="false">IF(Delay!BP57="","",Fee*$A57+Vq*Delay!BP57)</f>
        <v>7.8</v>
      </c>
      <c r="BQ57" s="19" t="n">
        <f aca="false">IF(Delay!BQ57="","",Fee*$A57+Vq*Delay!BQ57)</f>
        <v>7.8</v>
      </c>
      <c r="BR57" s="19" t="n">
        <f aca="false">IF(Delay!BR57="","",Fee*$A57+Vq*Delay!BR57)</f>
        <v>7.8</v>
      </c>
      <c r="BS57" s="19" t="n">
        <f aca="false">IF(Delay!BS57="","",Fee*$A57+Vq*Delay!BS57)</f>
        <v>7.8</v>
      </c>
      <c r="BT57" s="19" t="n">
        <f aca="false">IF(Delay!BT57="","",Fee*$A57+Vq*Delay!BT57)</f>
        <v>7.8</v>
      </c>
      <c r="BU57" s="19" t="n">
        <f aca="false">IF(Delay!BU57="","",Fee*$A57+Vq*Delay!BU57)</f>
        <v>7.8</v>
      </c>
      <c r="BV57" s="19" t="n">
        <f aca="false">IF(Delay!BV57="","",Fee*$A57+Vq*Delay!BV57)</f>
        <v>7.8</v>
      </c>
      <c r="BW57" s="19" t="n">
        <f aca="false">IF(Delay!BW57="","",Fee*$A57+Vq*Delay!BW57)</f>
        <v>7.8</v>
      </c>
      <c r="BX57" s="19" t="n">
        <f aca="false">IF(Delay!BX57="","",Fee*$A57+Vq*Delay!BX57)</f>
        <v>7.8</v>
      </c>
      <c r="BY57" s="19" t="n">
        <f aca="false">IF(Delay!BY57="","",Fee*$A57+Vq*Delay!BY57)</f>
        <v>7.8</v>
      </c>
      <c r="BZ57" s="19" t="n">
        <f aca="false">IF(Delay!BZ57="","",Fee*$A57+Vq*Delay!BZ57)</f>
        <v>7.8</v>
      </c>
      <c r="CA57" s="19" t="n">
        <f aca="false">IF(Delay!CA57="","",Fee*$A57+Vq*Delay!CA57)</f>
        <v>7.8</v>
      </c>
      <c r="CB57" s="19" t="n">
        <f aca="false">IF(Delay!CB57="","",Fee*$A57+Vq*Delay!CB57)</f>
        <v>7.8</v>
      </c>
      <c r="CC57" s="19" t="n">
        <f aca="false">IF(Delay!CC57="","",Fee*$A57+Vq*Delay!CC57)</f>
        <v>7.8</v>
      </c>
      <c r="CD57" s="19" t="n">
        <f aca="false">IF(Delay!CD57="","",Fee*$A57+Vq*Delay!CD57)</f>
        <v>7.8</v>
      </c>
      <c r="CE57" s="19" t="n">
        <f aca="false">IF(Delay!CE57="","",Fee*$A57+Vq*Delay!CE57)</f>
        <v>7.8</v>
      </c>
      <c r="CF57" s="19" t="n">
        <f aca="false">IF(Delay!CF57="","",Fee*$A57+Vq*Delay!CF57)</f>
        <v>7.8</v>
      </c>
      <c r="CG57" s="19" t="n">
        <f aca="false">IF(Delay!CG57="","",Fee*$A57+Vq*Delay!CG57)</f>
        <v>7.8</v>
      </c>
      <c r="CH57" s="19" t="n">
        <f aca="false">IF(Delay!CH57="","",Fee*$A57+Vq*Delay!CH57)</f>
        <v>7.8</v>
      </c>
      <c r="CI57" s="19" t="n">
        <f aca="false">IF(Delay!CI57="","",Fee*$A57+Vq*Delay!CI57)</f>
        <v>7.8</v>
      </c>
      <c r="CJ57" s="19" t="n">
        <f aca="false">IF(Delay!CJ57="","",Fee*$A57+Vq*Delay!CJ57)</f>
        <v>7.8</v>
      </c>
      <c r="CK57" s="19" t="n">
        <f aca="false">IF(Delay!CK57="","",Fee*$A57+Vq*Delay!CK57)</f>
        <v>7.8</v>
      </c>
      <c r="CL57" s="19" t="n">
        <f aca="false">IF(Delay!CL57="","",Fee*$A57+Vq*Delay!CL57)</f>
        <v>7.8</v>
      </c>
      <c r="CM57" s="19" t="n">
        <f aca="false">IF(Delay!CM57="","",Fee*$A57+Vq*Delay!CM57)</f>
        <v>7.8</v>
      </c>
      <c r="CN57" s="19" t="n">
        <f aca="false">IF(Delay!CN57="","",Fee*$A57+Vq*Delay!CN57)</f>
        <v>7.8</v>
      </c>
      <c r="CO57" s="19" t="n">
        <f aca="false">IF(Delay!CO57="","",Fee*$A57+Vq*Delay!CO57)</f>
        <v>7.8</v>
      </c>
      <c r="CP57" s="19" t="n">
        <f aca="false">IF(Delay!CP57="","",Fee*$A57+Vq*Delay!CP57)</f>
        <v>7.8</v>
      </c>
      <c r="CQ57" s="19" t="n">
        <f aca="false">IF(Delay!CQ57="","",Fee*$A57+Vq*Delay!CQ57)</f>
        <v>7.8</v>
      </c>
      <c r="CR57" s="19" t="n">
        <f aca="false">IF(Delay!CR57="","",Fee*$A57+Vq*Delay!CR57)</f>
        <v>7.8</v>
      </c>
      <c r="CS57" s="19" t="n">
        <f aca="false">IF(Delay!CS57="","",Fee*$A57+Vq*Delay!CS57)</f>
        <v>7.8</v>
      </c>
      <c r="CT57" s="19" t="n">
        <f aca="false">IF(Delay!CT57="","",Fee*$A57+Vq*Delay!CT57)</f>
        <v>16.3953325168884</v>
      </c>
    </row>
    <row r="58" customFormat="false" ht="15" hidden="false" customHeight="false" outlineLevel="0" collapsed="false">
      <c r="A58" s="25" t="n">
        <f aca="false">Quantiles!A58</f>
        <v>265</v>
      </c>
      <c r="B58" s="19" t="n">
        <f aca="false">IF(Delay!B58="","",Fee*$A58+Vq*Delay!B58)</f>
        <v>24.4064788109482</v>
      </c>
      <c r="C58" s="19" t="n">
        <f aca="false">IF(Delay!C58="","",Fee*$A58+Vq*Delay!C58)</f>
        <v>22.8696653923837</v>
      </c>
      <c r="D58" s="19" t="n">
        <f aca="false">IF(Delay!D58="","",Fee*$A58+Vq*Delay!D58)</f>
        <v>21.5492548574219</v>
      </c>
      <c r="E58" s="19" t="n">
        <f aca="false">IF(Delay!E58="","",Fee*$A58+Vq*Delay!E58)</f>
        <v>20.4539637573011</v>
      </c>
      <c r="F58" s="19" t="n">
        <f aca="false">IF(Delay!F58="","",Fee*$A58+Vq*Delay!F58)</f>
        <v>19.4712498337274</v>
      </c>
      <c r="G58" s="19" t="n">
        <f aca="false">IF(Delay!G58="","",Fee*$A58+Vq*Delay!G58)</f>
        <v>18.6298558363595</v>
      </c>
      <c r="H58" s="19" t="n">
        <f aca="false">IF(Delay!H58="","",Fee*$A58+Vq*Delay!H58)</f>
        <v>17.8720188704305</v>
      </c>
      <c r="I58" s="19" t="n">
        <f aca="false">IF(Delay!I58="","",Fee*$A58+Vq*Delay!I58)</f>
        <v>17.1501438017053</v>
      </c>
      <c r="J58" s="19" t="n">
        <f aca="false">IF(Delay!J58="","",Fee*$A58+Vq*Delay!J58)</f>
        <v>16.544439029485</v>
      </c>
      <c r="K58" s="19" t="n">
        <f aca="false">IF(Delay!K58="","",Fee*$A58+Vq*Delay!K58)</f>
        <v>15.9037376013304</v>
      </c>
      <c r="L58" s="19" t="n">
        <f aca="false">IF(Delay!L58="","",Fee*$A58+Vq*Delay!L58)</f>
        <v>15.306129146637</v>
      </c>
      <c r="M58" s="19" t="n">
        <f aca="false">IF(Delay!M58="","",Fee*$A58+Vq*Delay!M58)</f>
        <v>14.7920330157231</v>
      </c>
      <c r="N58" s="19" t="n">
        <f aca="false">IF(Delay!N58="","",Fee*$A58+Vq*Delay!N58)</f>
        <v>14.2978646335537</v>
      </c>
      <c r="O58" s="19" t="n">
        <f aca="false">IF(Delay!O58="","",Fee*$A58+Vq*Delay!O58)</f>
        <v>13.7698158068521</v>
      </c>
      <c r="P58" s="19" t="n">
        <f aca="false">IF(Delay!P58="","",Fee*$A58+Vq*Delay!P58)</f>
        <v>13.290610891413</v>
      </c>
      <c r="Q58" s="19" t="n">
        <f aca="false">IF(Delay!Q58="","",Fee*$A58+Vq*Delay!Q58)</f>
        <v>12.8493518734758</v>
      </c>
      <c r="R58" s="19" t="n">
        <f aca="false">IF(Delay!R58="","",Fee*$A58+Vq*Delay!R58)</f>
        <v>12.4383989599357</v>
      </c>
      <c r="S58" s="19" t="n">
        <f aca="false">IF(Delay!S58="","",Fee*$A58+Vq*Delay!S58)</f>
        <v>12.0276257839349</v>
      </c>
      <c r="T58" s="19" t="n">
        <f aca="false">IF(Delay!T58="","",Fee*$A58+Vq*Delay!T58)</f>
        <v>11.6583893050718</v>
      </c>
      <c r="U58" s="19" t="n">
        <f aca="false">IF(Delay!U58="","",Fee*$A58+Vq*Delay!U58)</f>
        <v>11.3143150791637</v>
      </c>
      <c r="V58" s="19" t="n">
        <f aca="false">IF(Delay!V58="","",Fee*$A58+Vq*Delay!V58)</f>
        <v>10.9515426139486</v>
      </c>
      <c r="W58" s="19" t="n">
        <f aca="false">IF(Delay!W58="","",Fee*$A58+Vq*Delay!W58)</f>
        <v>10.5981951628881</v>
      </c>
      <c r="X58" s="19" t="n">
        <f aca="false">IF(Delay!X58="","",Fee*$A58+Vq*Delay!X58)</f>
        <v>10.23950210626</v>
      </c>
      <c r="Y58" s="19" t="n">
        <f aca="false">IF(Delay!Y58="","",Fee*$A58+Vq*Delay!Y58)</f>
        <v>9.93025545947354</v>
      </c>
      <c r="Z58" s="19" t="n">
        <f aca="false">IF(Delay!Z58="","",Fee*$A58+Vq*Delay!Z58)</f>
        <v>9.62783418313046</v>
      </c>
      <c r="AA58" s="19" t="n">
        <f aca="false">IF(Delay!AA58="","",Fee*$A58+Vq*Delay!AA58)</f>
        <v>9.32912571963632</v>
      </c>
      <c r="AB58" s="19" t="n">
        <f aca="false">IF(Delay!AB58="","",Fee*$A58+Vq*Delay!AB58)</f>
        <v>9.01272954650806</v>
      </c>
      <c r="AC58" s="19" t="n">
        <f aca="false">IF(Delay!AC58="","",Fee*$A58+Vq*Delay!AC58)</f>
        <v>8.71657586873444</v>
      </c>
      <c r="AD58" s="19" t="n">
        <f aca="false">IF(Delay!AD58="","",Fee*$A58+Vq*Delay!AD58)</f>
        <v>8.44036005660436</v>
      </c>
      <c r="AE58" s="19" t="n">
        <f aca="false">IF(Delay!AE58="","",Fee*$A58+Vq*Delay!AE58)</f>
        <v>8.15349207984784</v>
      </c>
      <c r="AF58" s="19" t="n">
        <f aca="false">IF(Delay!AF58="","",Fee*$A58+Vq*Delay!AF58)</f>
        <v>7.95</v>
      </c>
      <c r="AG58" s="19" t="n">
        <f aca="false">IF(Delay!AG58="","",Fee*$A58+Vq*Delay!AG58)</f>
        <v>7.95</v>
      </c>
      <c r="AH58" s="19" t="n">
        <f aca="false">IF(Delay!AH58="","",Fee*$A58+Vq*Delay!AH58)</f>
        <v>7.95</v>
      </c>
      <c r="AI58" s="19" t="n">
        <f aca="false">IF(Delay!AI58="","",Fee*$A58+Vq*Delay!AI58)</f>
        <v>7.95</v>
      </c>
      <c r="AJ58" s="19" t="n">
        <f aca="false">IF(Delay!AJ58="","",Fee*$A58+Vq*Delay!AJ58)</f>
        <v>7.95</v>
      </c>
      <c r="AK58" s="19" t="n">
        <f aca="false">IF(Delay!AK58="","",Fee*$A58+Vq*Delay!AK58)</f>
        <v>7.95</v>
      </c>
      <c r="AL58" s="19" t="n">
        <f aca="false">IF(Delay!AL58="","",Fee*$A58+Vq*Delay!AL58)</f>
        <v>7.95</v>
      </c>
      <c r="AM58" s="19" t="n">
        <f aca="false">IF(Delay!AM58="","",Fee*$A58+Vq*Delay!AM58)</f>
        <v>7.95</v>
      </c>
      <c r="AN58" s="19" t="n">
        <f aca="false">IF(Delay!AN58="","",Fee*$A58+Vq*Delay!AN58)</f>
        <v>7.95</v>
      </c>
      <c r="AO58" s="19" t="n">
        <f aca="false">IF(Delay!AO58="","",Fee*$A58+Vq*Delay!AO58)</f>
        <v>7.95</v>
      </c>
      <c r="AP58" s="19" t="n">
        <f aca="false">IF(Delay!AP58="","",Fee*$A58+Vq*Delay!AP58)</f>
        <v>7.95</v>
      </c>
      <c r="AQ58" s="19" t="n">
        <f aca="false">IF(Delay!AQ58="","",Fee*$A58+Vq*Delay!AQ58)</f>
        <v>7.95</v>
      </c>
      <c r="AR58" s="19" t="n">
        <f aca="false">IF(Delay!AR58="","",Fee*$A58+Vq*Delay!AR58)</f>
        <v>7.95</v>
      </c>
      <c r="AS58" s="19" t="n">
        <f aca="false">IF(Delay!AS58="","",Fee*$A58+Vq*Delay!AS58)</f>
        <v>7.95</v>
      </c>
      <c r="AT58" s="19" t="n">
        <f aca="false">IF(Delay!AT58="","",Fee*$A58+Vq*Delay!AT58)</f>
        <v>7.95</v>
      </c>
      <c r="AU58" s="19" t="n">
        <f aca="false">IF(Delay!AU58="","",Fee*$A58+Vq*Delay!AU58)</f>
        <v>7.95</v>
      </c>
      <c r="AV58" s="19" t="n">
        <f aca="false">IF(Delay!AV58="","",Fee*$A58+Vq*Delay!AV58)</f>
        <v>7.95</v>
      </c>
      <c r="AW58" s="19" t="n">
        <f aca="false">IF(Delay!AW58="","",Fee*$A58+Vq*Delay!AW58)</f>
        <v>7.95</v>
      </c>
      <c r="AX58" s="19" t="n">
        <f aca="false">IF(Delay!AX58="","",Fee*$A58+Vq*Delay!AX58)</f>
        <v>7.95</v>
      </c>
      <c r="AY58" s="19" t="n">
        <f aca="false">IF(Delay!AY58="","",Fee*$A58+Vq*Delay!AY58)</f>
        <v>7.95</v>
      </c>
      <c r="AZ58" s="19" t="n">
        <f aca="false">IF(Delay!AZ58="","",Fee*$A58+Vq*Delay!AZ58)</f>
        <v>7.95</v>
      </c>
      <c r="BA58" s="19" t="n">
        <f aca="false">IF(Delay!BA58="","",Fee*$A58+Vq*Delay!BA58)</f>
        <v>7.95</v>
      </c>
      <c r="BB58" s="19" t="n">
        <f aca="false">IF(Delay!BB58="","",Fee*$A58+Vq*Delay!BB58)</f>
        <v>7.95</v>
      </c>
      <c r="BC58" s="19" t="n">
        <f aca="false">IF(Delay!BC58="","",Fee*$A58+Vq*Delay!BC58)</f>
        <v>7.95</v>
      </c>
      <c r="BD58" s="19" t="n">
        <f aca="false">IF(Delay!BD58="","",Fee*$A58+Vq*Delay!BD58)</f>
        <v>7.95</v>
      </c>
      <c r="BE58" s="19" t="n">
        <f aca="false">IF(Delay!BE58="","",Fee*$A58+Vq*Delay!BE58)</f>
        <v>7.95</v>
      </c>
      <c r="BF58" s="19" t="n">
        <f aca="false">IF(Delay!BF58="","",Fee*$A58+Vq*Delay!BF58)</f>
        <v>7.95</v>
      </c>
      <c r="BG58" s="19" t="n">
        <f aca="false">IF(Delay!BG58="","",Fee*$A58+Vq*Delay!BG58)</f>
        <v>7.95</v>
      </c>
      <c r="BH58" s="19" t="n">
        <f aca="false">IF(Delay!BH58="","",Fee*$A58+Vq*Delay!BH58)</f>
        <v>7.95</v>
      </c>
      <c r="BI58" s="19" t="n">
        <f aca="false">IF(Delay!BI58="","",Fee*$A58+Vq*Delay!BI58)</f>
        <v>7.95</v>
      </c>
      <c r="BJ58" s="19" t="n">
        <f aca="false">IF(Delay!BJ58="","",Fee*$A58+Vq*Delay!BJ58)</f>
        <v>7.95</v>
      </c>
      <c r="BK58" s="19" t="n">
        <f aca="false">IF(Delay!BK58="","",Fee*$A58+Vq*Delay!BK58)</f>
        <v>7.95</v>
      </c>
      <c r="BL58" s="19" t="n">
        <f aca="false">IF(Delay!BL58="","",Fee*$A58+Vq*Delay!BL58)</f>
        <v>7.95</v>
      </c>
      <c r="BM58" s="19" t="n">
        <f aca="false">IF(Delay!BM58="","",Fee*$A58+Vq*Delay!BM58)</f>
        <v>7.95</v>
      </c>
      <c r="BN58" s="19" t="n">
        <f aca="false">IF(Delay!BN58="","",Fee*$A58+Vq*Delay!BN58)</f>
        <v>7.95</v>
      </c>
      <c r="BO58" s="19" t="n">
        <f aca="false">IF(Delay!BO58="","",Fee*$A58+Vq*Delay!BO58)</f>
        <v>7.95</v>
      </c>
      <c r="BP58" s="19" t="n">
        <f aca="false">IF(Delay!BP58="","",Fee*$A58+Vq*Delay!BP58)</f>
        <v>7.95</v>
      </c>
      <c r="BQ58" s="19" t="n">
        <f aca="false">IF(Delay!BQ58="","",Fee*$A58+Vq*Delay!BQ58)</f>
        <v>7.95</v>
      </c>
      <c r="BR58" s="19" t="n">
        <f aca="false">IF(Delay!BR58="","",Fee*$A58+Vq*Delay!BR58)</f>
        <v>7.95</v>
      </c>
      <c r="BS58" s="19" t="n">
        <f aca="false">IF(Delay!BS58="","",Fee*$A58+Vq*Delay!BS58)</f>
        <v>7.95</v>
      </c>
      <c r="BT58" s="19" t="n">
        <f aca="false">IF(Delay!BT58="","",Fee*$A58+Vq*Delay!BT58)</f>
        <v>7.95</v>
      </c>
      <c r="BU58" s="19" t="n">
        <f aca="false">IF(Delay!BU58="","",Fee*$A58+Vq*Delay!BU58)</f>
        <v>7.95</v>
      </c>
      <c r="BV58" s="19" t="n">
        <f aca="false">IF(Delay!BV58="","",Fee*$A58+Vq*Delay!BV58)</f>
        <v>7.95</v>
      </c>
      <c r="BW58" s="19" t="n">
        <f aca="false">IF(Delay!BW58="","",Fee*$A58+Vq*Delay!BW58)</f>
        <v>7.95</v>
      </c>
      <c r="BX58" s="19" t="n">
        <f aca="false">IF(Delay!BX58="","",Fee*$A58+Vq*Delay!BX58)</f>
        <v>7.95</v>
      </c>
      <c r="BY58" s="19" t="n">
        <f aca="false">IF(Delay!BY58="","",Fee*$A58+Vq*Delay!BY58)</f>
        <v>7.95</v>
      </c>
      <c r="BZ58" s="19" t="n">
        <f aca="false">IF(Delay!BZ58="","",Fee*$A58+Vq*Delay!BZ58)</f>
        <v>7.95</v>
      </c>
      <c r="CA58" s="19" t="n">
        <f aca="false">IF(Delay!CA58="","",Fee*$A58+Vq*Delay!CA58)</f>
        <v>7.95</v>
      </c>
      <c r="CB58" s="19" t="n">
        <f aca="false">IF(Delay!CB58="","",Fee*$A58+Vq*Delay!CB58)</f>
        <v>7.95</v>
      </c>
      <c r="CC58" s="19" t="n">
        <f aca="false">IF(Delay!CC58="","",Fee*$A58+Vq*Delay!CC58)</f>
        <v>7.95</v>
      </c>
      <c r="CD58" s="19" t="n">
        <f aca="false">IF(Delay!CD58="","",Fee*$A58+Vq*Delay!CD58)</f>
        <v>7.95</v>
      </c>
      <c r="CE58" s="19" t="n">
        <f aca="false">IF(Delay!CE58="","",Fee*$A58+Vq*Delay!CE58)</f>
        <v>7.95</v>
      </c>
      <c r="CF58" s="19" t="n">
        <f aca="false">IF(Delay!CF58="","",Fee*$A58+Vq*Delay!CF58)</f>
        <v>7.95</v>
      </c>
      <c r="CG58" s="19" t="n">
        <f aca="false">IF(Delay!CG58="","",Fee*$A58+Vq*Delay!CG58)</f>
        <v>7.95</v>
      </c>
      <c r="CH58" s="19" t="n">
        <f aca="false">IF(Delay!CH58="","",Fee*$A58+Vq*Delay!CH58)</f>
        <v>7.95</v>
      </c>
      <c r="CI58" s="19" t="n">
        <f aca="false">IF(Delay!CI58="","",Fee*$A58+Vq*Delay!CI58)</f>
        <v>7.95</v>
      </c>
      <c r="CJ58" s="19" t="n">
        <f aca="false">IF(Delay!CJ58="","",Fee*$A58+Vq*Delay!CJ58)</f>
        <v>7.95</v>
      </c>
      <c r="CK58" s="19" t="n">
        <f aca="false">IF(Delay!CK58="","",Fee*$A58+Vq*Delay!CK58)</f>
        <v>7.95</v>
      </c>
      <c r="CL58" s="19" t="n">
        <f aca="false">IF(Delay!CL58="","",Fee*$A58+Vq*Delay!CL58)</f>
        <v>7.95</v>
      </c>
      <c r="CM58" s="19" t="n">
        <f aca="false">IF(Delay!CM58="","",Fee*$A58+Vq*Delay!CM58)</f>
        <v>7.95</v>
      </c>
      <c r="CN58" s="19" t="n">
        <f aca="false">IF(Delay!CN58="","",Fee*$A58+Vq*Delay!CN58)</f>
        <v>7.95</v>
      </c>
      <c r="CO58" s="19" t="n">
        <f aca="false">IF(Delay!CO58="","",Fee*$A58+Vq*Delay!CO58)</f>
        <v>7.95</v>
      </c>
      <c r="CP58" s="19" t="n">
        <f aca="false">IF(Delay!CP58="","",Fee*$A58+Vq*Delay!CP58)</f>
        <v>7.95</v>
      </c>
      <c r="CQ58" s="19" t="n">
        <f aca="false">IF(Delay!CQ58="","",Fee*$A58+Vq*Delay!CQ58)</f>
        <v>7.95</v>
      </c>
      <c r="CR58" s="19" t="n">
        <f aca="false">IF(Delay!CR58="","",Fee*$A58+Vq*Delay!CR58)</f>
        <v>7.95</v>
      </c>
      <c r="CS58" s="19" t="n">
        <f aca="false">IF(Delay!CS58="","",Fee*$A58+Vq*Delay!CS58)</f>
        <v>7.95</v>
      </c>
      <c r="CT58" s="19" t="n">
        <f aca="false">IF(Delay!CT58="","",Fee*$A58+Vq*Delay!CT58)</f>
        <v>16.5312887432126</v>
      </c>
    </row>
    <row r="59" customFormat="false" ht="15" hidden="false" customHeight="false" outlineLevel="0" collapsed="false">
      <c r="A59" s="25" t="n">
        <f aca="false">Quantiles!A59</f>
        <v>270</v>
      </c>
      <c r="B59" s="19" t="n">
        <f aca="false">IF(Delay!B59="","",Fee*$A59+Vq*Delay!B59)</f>
        <v>24.5552708101821</v>
      </c>
      <c r="C59" s="19" t="n">
        <f aca="false">IF(Delay!C59="","",Fee*$A59+Vq*Delay!C59)</f>
        <v>23.0091703259014</v>
      </c>
      <c r="D59" s="19" t="n">
        <f aca="false">IF(Delay!D59="","",Fee*$A59+Vq*Delay!D59)</f>
        <v>21.6961356055207</v>
      </c>
      <c r="E59" s="19" t="n">
        <f aca="false">IF(Delay!E59="","",Fee*$A59+Vq*Delay!E59)</f>
        <v>20.6039511666175</v>
      </c>
      <c r="F59" s="19" t="n">
        <f aca="false">IF(Delay!F59="","",Fee*$A59+Vq*Delay!F59)</f>
        <v>19.6183553152057</v>
      </c>
      <c r="G59" s="19" t="n">
        <f aca="false">IF(Delay!G59="","",Fee*$A59+Vq*Delay!G59)</f>
        <v>18.7785985963189</v>
      </c>
      <c r="H59" s="19" t="n">
        <f aca="false">IF(Delay!H59="","",Fee*$A59+Vq*Delay!H59)</f>
        <v>18.0209280877428</v>
      </c>
      <c r="I59" s="19" t="n">
        <f aca="false">IF(Delay!I59="","",Fee*$A59+Vq*Delay!I59)</f>
        <v>17.2984088629791</v>
      </c>
      <c r="J59" s="19" t="n">
        <f aca="false">IF(Delay!J59="","",Fee*$A59+Vq*Delay!J59)</f>
        <v>16.6812887432126</v>
      </c>
      <c r="K59" s="19" t="n">
        <f aca="false">IF(Delay!K59="","",Fee*$A59+Vq*Delay!K59)</f>
        <v>16.0461670149391</v>
      </c>
      <c r="L59" s="19" t="n">
        <f aca="false">IF(Delay!L59="","",Fee*$A59+Vq*Delay!L59)</f>
        <v>15.4462448468447</v>
      </c>
      <c r="M59" s="19" t="n">
        <f aca="false">IF(Delay!M59="","",Fee*$A59+Vq*Delay!M59)</f>
        <v>14.9302827137696</v>
      </c>
      <c r="N59" s="19" t="n">
        <f aca="false">IF(Delay!N59="","",Fee*$A59+Vq*Delay!N59)</f>
        <v>14.4433698578557</v>
      </c>
      <c r="O59" s="19" t="n">
        <f aca="false">IF(Delay!O59="","",Fee*$A59+Vq*Delay!O59)</f>
        <v>13.9159167604252</v>
      </c>
      <c r="P59" s="19" t="n">
        <f aca="false">IF(Delay!P59="","",Fee*$A59+Vq*Delay!P59)</f>
        <v>13.4359068573293</v>
      </c>
      <c r="Q59" s="19" t="n">
        <f aca="false">IF(Delay!Q59="","",Fee*$A59+Vq*Delay!Q59)</f>
        <v>12.9907525211661</v>
      </c>
      <c r="R59" s="19" t="n">
        <f aca="false">IF(Delay!R59="","",Fee*$A59+Vq*Delay!R59)</f>
        <v>12.5848856044468</v>
      </c>
      <c r="S59" s="19" t="n">
        <f aca="false">IF(Delay!S59="","",Fee*$A59+Vq*Delay!S59)</f>
        <v>12.1734381794508</v>
      </c>
      <c r="T59" s="19" t="n">
        <f aca="false">IF(Delay!T59="","",Fee*$A59+Vq*Delay!T59)</f>
        <v>11.8019664590436</v>
      </c>
      <c r="U59" s="19" t="n">
        <f aca="false">IF(Delay!U59="","",Fee*$A59+Vq*Delay!U59)</f>
        <v>11.4541368405302</v>
      </c>
      <c r="V59" s="19" t="n">
        <f aca="false">IF(Delay!V59="","",Fee*$A59+Vq*Delay!V59)</f>
        <v>11.0964322638662</v>
      </c>
      <c r="W59" s="19" t="n">
        <f aca="false">IF(Delay!W59="","",Fee*$A59+Vq*Delay!W59)</f>
        <v>10.7402202876147</v>
      </c>
      <c r="X59" s="19" t="n">
        <f aca="false">IF(Delay!X59="","",Fee*$A59+Vq*Delay!X59)</f>
        <v>10.3803585706305</v>
      </c>
      <c r="Y59" s="19" t="n">
        <f aca="false">IF(Delay!Y59="","",Fee*$A59+Vq*Delay!Y59)</f>
        <v>10.0764741482728</v>
      </c>
      <c r="Z59" s="19" t="n">
        <f aca="false">IF(Delay!Z59="","",Fee*$A59+Vq*Delay!Z59)</f>
        <v>9.76513036736222</v>
      </c>
      <c r="AA59" s="19" t="n">
        <f aca="false">IF(Delay!AA59="","",Fee*$A59+Vq*Delay!AA59)</f>
        <v>9.47491164051938</v>
      </c>
      <c r="AB59" s="19" t="n">
        <f aca="false">IF(Delay!AB59="","",Fee*$A59+Vq*Delay!AB59)</f>
        <v>9.15603851688708</v>
      </c>
      <c r="AC59" s="19" t="n">
        <f aca="false">IF(Delay!AC59="","",Fee*$A59+Vq*Delay!AC59)</f>
        <v>8.86021946347812</v>
      </c>
      <c r="AD59" s="19" t="n">
        <f aca="false">IF(Delay!AD59="","",Fee*$A59+Vq*Delay!AD59)</f>
        <v>8.5707085754395</v>
      </c>
      <c r="AE59" s="19" t="n">
        <f aca="false">IF(Delay!AE59="","",Fee*$A59+Vq*Delay!AE59)</f>
        <v>8.29422836377924</v>
      </c>
      <c r="AF59" s="19" t="n">
        <f aca="false">IF(Delay!AF59="","",Fee*$A59+Vq*Delay!AF59)</f>
        <v>8.1</v>
      </c>
      <c r="AG59" s="19" t="n">
        <f aca="false">IF(Delay!AG59="","",Fee*$A59+Vq*Delay!AG59)</f>
        <v>8.1</v>
      </c>
      <c r="AH59" s="19" t="n">
        <f aca="false">IF(Delay!AH59="","",Fee*$A59+Vq*Delay!AH59)</f>
        <v>8.1</v>
      </c>
      <c r="AI59" s="19" t="n">
        <f aca="false">IF(Delay!AI59="","",Fee*$A59+Vq*Delay!AI59)</f>
        <v>8.1</v>
      </c>
      <c r="AJ59" s="19" t="n">
        <f aca="false">IF(Delay!AJ59="","",Fee*$A59+Vq*Delay!AJ59)</f>
        <v>8.1</v>
      </c>
      <c r="AK59" s="19" t="n">
        <f aca="false">IF(Delay!AK59="","",Fee*$A59+Vq*Delay!AK59)</f>
        <v>8.1</v>
      </c>
      <c r="AL59" s="19" t="n">
        <f aca="false">IF(Delay!AL59="","",Fee*$A59+Vq*Delay!AL59)</f>
        <v>8.1</v>
      </c>
      <c r="AM59" s="19" t="n">
        <f aca="false">IF(Delay!AM59="","",Fee*$A59+Vq*Delay!AM59)</f>
        <v>8.1</v>
      </c>
      <c r="AN59" s="19" t="n">
        <f aca="false">IF(Delay!AN59="","",Fee*$A59+Vq*Delay!AN59)</f>
        <v>8.1</v>
      </c>
      <c r="AO59" s="19" t="n">
        <f aca="false">IF(Delay!AO59="","",Fee*$A59+Vq*Delay!AO59)</f>
        <v>8.1</v>
      </c>
      <c r="AP59" s="19" t="n">
        <f aca="false">IF(Delay!AP59="","",Fee*$A59+Vq*Delay!AP59)</f>
        <v>8.1</v>
      </c>
      <c r="AQ59" s="19" t="n">
        <f aca="false">IF(Delay!AQ59="","",Fee*$A59+Vq*Delay!AQ59)</f>
        <v>8.1</v>
      </c>
      <c r="AR59" s="19" t="n">
        <f aca="false">IF(Delay!AR59="","",Fee*$A59+Vq*Delay!AR59)</f>
        <v>8.1</v>
      </c>
      <c r="AS59" s="19" t="n">
        <f aca="false">IF(Delay!AS59="","",Fee*$A59+Vq*Delay!AS59)</f>
        <v>8.1</v>
      </c>
      <c r="AT59" s="19" t="n">
        <f aca="false">IF(Delay!AT59="","",Fee*$A59+Vq*Delay!AT59)</f>
        <v>8.1</v>
      </c>
      <c r="AU59" s="19" t="n">
        <f aca="false">IF(Delay!AU59="","",Fee*$A59+Vq*Delay!AU59)</f>
        <v>8.1</v>
      </c>
      <c r="AV59" s="19" t="n">
        <f aca="false">IF(Delay!AV59="","",Fee*$A59+Vq*Delay!AV59)</f>
        <v>8.1</v>
      </c>
      <c r="AW59" s="19" t="n">
        <f aca="false">IF(Delay!AW59="","",Fee*$A59+Vq*Delay!AW59)</f>
        <v>8.1</v>
      </c>
      <c r="AX59" s="19" t="n">
        <f aca="false">IF(Delay!AX59="","",Fee*$A59+Vq*Delay!AX59)</f>
        <v>8.1</v>
      </c>
      <c r="AY59" s="19" t="n">
        <f aca="false">IF(Delay!AY59="","",Fee*$A59+Vq*Delay!AY59)</f>
        <v>8.1</v>
      </c>
      <c r="AZ59" s="19" t="n">
        <f aca="false">IF(Delay!AZ59="","",Fee*$A59+Vq*Delay!AZ59)</f>
        <v>8.1</v>
      </c>
      <c r="BA59" s="19" t="n">
        <f aca="false">IF(Delay!BA59="","",Fee*$A59+Vq*Delay!BA59)</f>
        <v>8.1</v>
      </c>
      <c r="BB59" s="19" t="n">
        <f aca="false">IF(Delay!BB59="","",Fee*$A59+Vq*Delay!BB59)</f>
        <v>8.1</v>
      </c>
      <c r="BC59" s="19" t="n">
        <f aca="false">IF(Delay!BC59="","",Fee*$A59+Vq*Delay!BC59)</f>
        <v>8.1</v>
      </c>
      <c r="BD59" s="19" t="n">
        <f aca="false">IF(Delay!BD59="","",Fee*$A59+Vq*Delay!BD59)</f>
        <v>8.1</v>
      </c>
      <c r="BE59" s="19" t="n">
        <f aca="false">IF(Delay!BE59="","",Fee*$A59+Vq*Delay!BE59)</f>
        <v>8.1</v>
      </c>
      <c r="BF59" s="19" t="n">
        <f aca="false">IF(Delay!BF59="","",Fee*$A59+Vq*Delay!BF59)</f>
        <v>8.1</v>
      </c>
      <c r="BG59" s="19" t="n">
        <f aca="false">IF(Delay!BG59="","",Fee*$A59+Vq*Delay!BG59)</f>
        <v>8.1</v>
      </c>
      <c r="BH59" s="19" t="n">
        <f aca="false">IF(Delay!BH59="","",Fee*$A59+Vq*Delay!BH59)</f>
        <v>8.1</v>
      </c>
      <c r="BI59" s="19" t="n">
        <f aca="false">IF(Delay!BI59="","",Fee*$A59+Vq*Delay!BI59)</f>
        <v>8.1</v>
      </c>
      <c r="BJ59" s="19" t="n">
        <f aca="false">IF(Delay!BJ59="","",Fee*$A59+Vq*Delay!BJ59)</f>
        <v>8.1</v>
      </c>
      <c r="BK59" s="19" t="n">
        <f aca="false">IF(Delay!BK59="","",Fee*$A59+Vq*Delay!BK59)</f>
        <v>8.1</v>
      </c>
      <c r="BL59" s="19" t="n">
        <f aca="false">IF(Delay!BL59="","",Fee*$A59+Vq*Delay!BL59)</f>
        <v>8.1</v>
      </c>
      <c r="BM59" s="19" t="n">
        <f aca="false">IF(Delay!BM59="","",Fee*$A59+Vq*Delay!BM59)</f>
        <v>8.1</v>
      </c>
      <c r="BN59" s="19" t="n">
        <f aca="false">IF(Delay!BN59="","",Fee*$A59+Vq*Delay!BN59)</f>
        <v>8.1</v>
      </c>
      <c r="BO59" s="19" t="n">
        <f aca="false">IF(Delay!BO59="","",Fee*$A59+Vq*Delay!BO59)</f>
        <v>8.1</v>
      </c>
      <c r="BP59" s="19" t="n">
        <f aca="false">IF(Delay!BP59="","",Fee*$A59+Vq*Delay!BP59)</f>
        <v>8.1</v>
      </c>
      <c r="BQ59" s="19" t="n">
        <f aca="false">IF(Delay!BQ59="","",Fee*$A59+Vq*Delay!BQ59)</f>
        <v>8.1</v>
      </c>
      <c r="BR59" s="19" t="n">
        <f aca="false">IF(Delay!BR59="","",Fee*$A59+Vq*Delay!BR59)</f>
        <v>8.1</v>
      </c>
      <c r="BS59" s="19" t="n">
        <f aca="false">IF(Delay!BS59="","",Fee*$A59+Vq*Delay!BS59)</f>
        <v>8.1</v>
      </c>
      <c r="BT59" s="19" t="n">
        <f aca="false">IF(Delay!BT59="","",Fee*$A59+Vq*Delay!BT59)</f>
        <v>8.1</v>
      </c>
      <c r="BU59" s="19" t="n">
        <f aca="false">IF(Delay!BU59="","",Fee*$A59+Vq*Delay!BU59)</f>
        <v>8.1</v>
      </c>
      <c r="BV59" s="19" t="n">
        <f aca="false">IF(Delay!BV59="","",Fee*$A59+Vq*Delay!BV59)</f>
        <v>8.1</v>
      </c>
      <c r="BW59" s="19" t="n">
        <f aca="false">IF(Delay!BW59="","",Fee*$A59+Vq*Delay!BW59)</f>
        <v>8.1</v>
      </c>
      <c r="BX59" s="19" t="n">
        <f aca="false">IF(Delay!BX59="","",Fee*$A59+Vq*Delay!BX59)</f>
        <v>8.1</v>
      </c>
      <c r="BY59" s="19" t="n">
        <f aca="false">IF(Delay!BY59="","",Fee*$A59+Vq*Delay!BY59)</f>
        <v>8.1</v>
      </c>
      <c r="BZ59" s="19" t="n">
        <f aca="false">IF(Delay!BZ59="","",Fee*$A59+Vq*Delay!BZ59)</f>
        <v>8.1</v>
      </c>
      <c r="CA59" s="19" t="n">
        <f aca="false">IF(Delay!CA59="","",Fee*$A59+Vq*Delay!CA59)</f>
        <v>8.1</v>
      </c>
      <c r="CB59" s="19" t="n">
        <f aca="false">IF(Delay!CB59="","",Fee*$A59+Vq*Delay!CB59)</f>
        <v>8.1</v>
      </c>
      <c r="CC59" s="19" t="n">
        <f aca="false">IF(Delay!CC59="","",Fee*$A59+Vq*Delay!CC59)</f>
        <v>8.1</v>
      </c>
      <c r="CD59" s="19" t="n">
        <f aca="false">IF(Delay!CD59="","",Fee*$A59+Vq*Delay!CD59)</f>
        <v>8.1</v>
      </c>
      <c r="CE59" s="19" t="n">
        <f aca="false">IF(Delay!CE59="","",Fee*$A59+Vq*Delay!CE59)</f>
        <v>8.1</v>
      </c>
      <c r="CF59" s="19" t="n">
        <f aca="false">IF(Delay!CF59="","",Fee*$A59+Vq*Delay!CF59)</f>
        <v>8.1</v>
      </c>
      <c r="CG59" s="19" t="n">
        <f aca="false">IF(Delay!CG59="","",Fee*$A59+Vq*Delay!CG59)</f>
        <v>8.1</v>
      </c>
      <c r="CH59" s="19" t="n">
        <f aca="false">IF(Delay!CH59="","",Fee*$A59+Vq*Delay!CH59)</f>
        <v>8.1</v>
      </c>
      <c r="CI59" s="19" t="n">
        <f aca="false">IF(Delay!CI59="","",Fee*$A59+Vq*Delay!CI59)</f>
        <v>8.1</v>
      </c>
      <c r="CJ59" s="19" t="n">
        <f aca="false">IF(Delay!CJ59="","",Fee*$A59+Vq*Delay!CJ59)</f>
        <v>8.1</v>
      </c>
      <c r="CK59" s="19" t="n">
        <f aca="false">IF(Delay!CK59="","",Fee*$A59+Vq*Delay!CK59)</f>
        <v>8.1</v>
      </c>
      <c r="CL59" s="19" t="n">
        <f aca="false">IF(Delay!CL59="","",Fee*$A59+Vq*Delay!CL59)</f>
        <v>8.1</v>
      </c>
      <c r="CM59" s="19" t="n">
        <f aca="false">IF(Delay!CM59="","",Fee*$A59+Vq*Delay!CM59)</f>
        <v>8.1</v>
      </c>
      <c r="CN59" s="19" t="n">
        <f aca="false">IF(Delay!CN59="","",Fee*$A59+Vq*Delay!CN59)</f>
        <v>8.1</v>
      </c>
      <c r="CO59" s="19" t="n">
        <f aca="false">IF(Delay!CO59="","",Fee*$A59+Vq*Delay!CO59)</f>
        <v>8.1</v>
      </c>
      <c r="CP59" s="19" t="n">
        <f aca="false">IF(Delay!CP59="","",Fee*$A59+Vq*Delay!CP59)</f>
        <v>8.1</v>
      </c>
      <c r="CQ59" s="19" t="n">
        <f aca="false">IF(Delay!CQ59="","",Fee*$A59+Vq*Delay!CQ59)</f>
        <v>8.1</v>
      </c>
      <c r="CR59" s="19" t="n">
        <f aca="false">IF(Delay!CR59="","",Fee*$A59+Vq*Delay!CR59)</f>
        <v>8.1</v>
      </c>
      <c r="CS59" s="19" t="n">
        <f aca="false">IF(Delay!CS59="","",Fee*$A59+Vq*Delay!CS59)</f>
        <v>8.1</v>
      </c>
      <c r="CT59" s="19" t="n">
        <f aca="false">IF(Delay!CT59="","",Fee*$A59+Vq*Delay!CT59)</f>
        <v>16.6786405533788</v>
      </c>
    </row>
    <row r="60" customFormat="false" ht="15" hidden="false" customHeight="false" outlineLevel="0" collapsed="false">
      <c r="A60" s="25" t="n">
        <f aca="false">Quantiles!A60</f>
        <v>275</v>
      </c>
      <c r="B60" s="19" t="n">
        <f aca="false">IF(Delay!B60="","",Fee*$A60+Vq*Delay!B60)</f>
        <v>24.6460928722161</v>
      </c>
      <c r="C60" s="19" t="n">
        <f aca="false">IF(Delay!C60="","",Fee*$A60+Vq*Delay!C60)</f>
        <v>23.1487177459709</v>
      </c>
      <c r="D60" s="19" t="n">
        <f aca="false">IF(Delay!D60="","",Fee*$A60+Vq*Delay!D60)</f>
        <v>21.8457581825698</v>
      </c>
      <c r="E60" s="19" t="n">
        <f aca="false">IF(Delay!E60="","",Fee*$A60+Vq*Delay!E60)</f>
        <v>20.750408842451</v>
      </c>
      <c r="F60" s="19" t="n">
        <f aca="false">IF(Delay!F60="","",Fee*$A60+Vq*Delay!F60)</f>
        <v>19.7675347873088</v>
      </c>
      <c r="G60" s="19" t="n">
        <f aca="false">IF(Delay!G60="","",Fee*$A60+Vq*Delay!G60)</f>
        <v>18.9280550231237</v>
      </c>
      <c r="H60" s="19" t="n">
        <f aca="false">IF(Delay!H60="","",Fee*$A60+Vq*Delay!H60)</f>
        <v>18.169697167686</v>
      </c>
      <c r="I60" s="19" t="n">
        <f aca="false">IF(Delay!I60="","",Fee*$A60+Vq*Delay!I60)</f>
        <v>17.4462085882528</v>
      </c>
      <c r="J60" s="19" t="n">
        <f aca="false">IF(Delay!J60="","",Fee*$A60+Vq*Delay!J60)</f>
        <v>16.8296373748983</v>
      </c>
      <c r="K60" s="19" t="n">
        <f aca="false">IF(Delay!K60="","",Fee*$A60+Vq*Delay!K60)</f>
        <v>16.1948296839506</v>
      </c>
      <c r="L60" s="19" t="n">
        <f aca="false">IF(Delay!L60="","",Fee*$A60+Vq*Delay!L60)</f>
        <v>15.5812302643074</v>
      </c>
      <c r="M60" s="19" t="n">
        <f aca="false">IF(Delay!M60="","",Fee*$A60+Vq*Delay!M60)</f>
        <v>15.075297357343</v>
      </c>
      <c r="N60" s="19" t="n">
        <f aca="false">IF(Delay!N60="","",Fee*$A60+Vq*Delay!N60)</f>
        <v>14.5836492486254</v>
      </c>
      <c r="O60" s="19" t="n">
        <f aca="false">IF(Delay!O60="","",Fee*$A60+Vq*Delay!O60)</f>
        <v>14.059067695172</v>
      </c>
      <c r="P60" s="19" t="n">
        <f aca="false">IF(Delay!P60="","",Fee*$A60+Vq*Delay!P60)</f>
        <v>13.5779820692833</v>
      </c>
      <c r="Q60" s="19" t="n">
        <f aca="false">IF(Delay!Q60="","",Fee*$A60+Vq*Delay!Q60)</f>
        <v>13.1337922185147</v>
      </c>
      <c r="R60" s="19" t="n">
        <f aca="false">IF(Delay!R60="","",Fee*$A60+Vq*Delay!R60)</f>
        <v>12.726896248291</v>
      </c>
      <c r="S60" s="19" t="n">
        <f aca="false">IF(Delay!S60="","",Fee*$A60+Vq*Delay!S60)</f>
        <v>12.318861136924</v>
      </c>
      <c r="T60" s="19" t="n">
        <f aca="false">IF(Delay!T60="","",Fee*$A60+Vq*Delay!T60)</f>
        <v>11.9480030108602</v>
      </c>
      <c r="U60" s="19" t="n">
        <f aca="false">IF(Delay!U60="","",Fee*$A60+Vq*Delay!U60)</f>
        <v>11.5998807968418</v>
      </c>
      <c r="V60" s="19" t="n">
        <f aca="false">IF(Delay!V60="","",Fee*$A60+Vq*Delay!V60)</f>
        <v>11.2422708102294</v>
      </c>
      <c r="W60" s="19" t="n">
        <f aca="false">IF(Delay!W60="","",Fee*$A60+Vq*Delay!W60)</f>
        <v>10.8832551135174</v>
      </c>
      <c r="X60" s="19" t="n">
        <f aca="false">IF(Delay!X60="","",Fee*$A60+Vq*Delay!X60)</f>
        <v>10.5233076130542</v>
      </c>
      <c r="Y60" s="19" t="n">
        <f aca="false">IF(Delay!Y60="","",Fee*$A60+Vq*Delay!Y60)</f>
        <v>10.2208435775606</v>
      </c>
      <c r="Z60" s="19" t="n">
        <f aca="false">IF(Delay!Z60="","",Fee*$A60+Vq*Delay!Z60)</f>
        <v>9.91211785865344</v>
      </c>
      <c r="AA60" s="19" t="n">
        <f aca="false">IF(Delay!AA60="","",Fee*$A60+Vq*Delay!AA60)</f>
        <v>9.6195557837558</v>
      </c>
      <c r="AB60" s="19" t="n">
        <f aca="false">IF(Delay!AB60="","",Fee*$A60+Vq*Delay!AB60)</f>
        <v>9.30108603533364</v>
      </c>
      <c r="AC60" s="19" t="n">
        <f aca="false">IF(Delay!AC60="","",Fee*$A60+Vq*Delay!AC60)</f>
        <v>9.00789466855026</v>
      </c>
      <c r="AD60" s="19" t="n">
        <f aca="false">IF(Delay!AD60="","",Fee*$A60+Vq*Delay!AD60)</f>
        <v>8.7163801840915</v>
      </c>
      <c r="AE60" s="19" t="n">
        <f aca="false">IF(Delay!AE60="","",Fee*$A60+Vq*Delay!AE60)</f>
        <v>8.43862743078768</v>
      </c>
      <c r="AF60" s="19" t="n">
        <f aca="false">IF(Delay!AF60="","",Fee*$A60+Vq*Delay!AF60)</f>
        <v>8.25</v>
      </c>
      <c r="AG60" s="19" t="n">
        <f aca="false">IF(Delay!AG60="","",Fee*$A60+Vq*Delay!AG60)</f>
        <v>8.25</v>
      </c>
      <c r="AH60" s="19" t="n">
        <f aca="false">IF(Delay!AH60="","",Fee*$A60+Vq*Delay!AH60)</f>
        <v>8.25</v>
      </c>
      <c r="AI60" s="19" t="n">
        <f aca="false">IF(Delay!AI60="","",Fee*$A60+Vq*Delay!AI60)</f>
        <v>8.25</v>
      </c>
      <c r="AJ60" s="19" t="n">
        <f aca="false">IF(Delay!AJ60="","",Fee*$A60+Vq*Delay!AJ60)</f>
        <v>8.25</v>
      </c>
      <c r="AK60" s="19" t="n">
        <f aca="false">IF(Delay!AK60="","",Fee*$A60+Vq*Delay!AK60)</f>
        <v>8.25</v>
      </c>
      <c r="AL60" s="19" t="n">
        <f aca="false">IF(Delay!AL60="","",Fee*$A60+Vq*Delay!AL60)</f>
        <v>8.25</v>
      </c>
      <c r="AM60" s="19" t="n">
        <f aca="false">IF(Delay!AM60="","",Fee*$A60+Vq*Delay!AM60)</f>
        <v>8.25</v>
      </c>
      <c r="AN60" s="19" t="n">
        <f aca="false">IF(Delay!AN60="","",Fee*$A60+Vq*Delay!AN60)</f>
        <v>8.25</v>
      </c>
      <c r="AO60" s="19" t="n">
        <f aca="false">IF(Delay!AO60="","",Fee*$A60+Vq*Delay!AO60)</f>
        <v>8.25</v>
      </c>
      <c r="AP60" s="19" t="n">
        <f aca="false">IF(Delay!AP60="","",Fee*$A60+Vq*Delay!AP60)</f>
        <v>8.25</v>
      </c>
      <c r="AQ60" s="19" t="n">
        <f aca="false">IF(Delay!AQ60="","",Fee*$A60+Vq*Delay!AQ60)</f>
        <v>8.25</v>
      </c>
      <c r="AR60" s="19" t="n">
        <f aca="false">IF(Delay!AR60="","",Fee*$A60+Vq*Delay!AR60)</f>
        <v>8.25</v>
      </c>
      <c r="AS60" s="19" t="n">
        <f aca="false">IF(Delay!AS60="","",Fee*$A60+Vq*Delay!AS60)</f>
        <v>8.25</v>
      </c>
      <c r="AT60" s="19" t="n">
        <f aca="false">IF(Delay!AT60="","",Fee*$A60+Vq*Delay!AT60)</f>
        <v>8.25</v>
      </c>
      <c r="AU60" s="19" t="n">
        <f aca="false">IF(Delay!AU60="","",Fee*$A60+Vq*Delay!AU60)</f>
        <v>8.25</v>
      </c>
      <c r="AV60" s="19" t="n">
        <f aca="false">IF(Delay!AV60="","",Fee*$A60+Vq*Delay!AV60)</f>
        <v>8.25</v>
      </c>
      <c r="AW60" s="19" t="n">
        <f aca="false">IF(Delay!AW60="","",Fee*$A60+Vq*Delay!AW60)</f>
        <v>8.25</v>
      </c>
      <c r="AX60" s="19" t="n">
        <f aca="false">IF(Delay!AX60="","",Fee*$A60+Vq*Delay!AX60)</f>
        <v>8.25</v>
      </c>
      <c r="AY60" s="19" t="n">
        <f aca="false">IF(Delay!AY60="","",Fee*$A60+Vq*Delay!AY60)</f>
        <v>8.25</v>
      </c>
      <c r="AZ60" s="19" t="n">
        <f aca="false">IF(Delay!AZ60="","",Fee*$A60+Vq*Delay!AZ60)</f>
        <v>8.25</v>
      </c>
      <c r="BA60" s="19" t="n">
        <f aca="false">IF(Delay!BA60="","",Fee*$A60+Vq*Delay!BA60)</f>
        <v>8.25</v>
      </c>
      <c r="BB60" s="19" t="n">
        <f aca="false">IF(Delay!BB60="","",Fee*$A60+Vq*Delay!BB60)</f>
        <v>8.25</v>
      </c>
      <c r="BC60" s="19" t="n">
        <f aca="false">IF(Delay!BC60="","",Fee*$A60+Vq*Delay!BC60)</f>
        <v>8.25</v>
      </c>
      <c r="BD60" s="19" t="n">
        <f aca="false">IF(Delay!BD60="","",Fee*$A60+Vq*Delay!BD60)</f>
        <v>8.25</v>
      </c>
      <c r="BE60" s="19" t="n">
        <f aca="false">IF(Delay!BE60="","",Fee*$A60+Vq*Delay!BE60)</f>
        <v>8.25</v>
      </c>
      <c r="BF60" s="19" t="n">
        <f aca="false">IF(Delay!BF60="","",Fee*$A60+Vq*Delay!BF60)</f>
        <v>8.25</v>
      </c>
      <c r="BG60" s="19" t="n">
        <f aca="false">IF(Delay!BG60="","",Fee*$A60+Vq*Delay!BG60)</f>
        <v>8.25</v>
      </c>
      <c r="BH60" s="19" t="n">
        <f aca="false">IF(Delay!BH60="","",Fee*$A60+Vq*Delay!BH60)</f>
        <v>8.25</v>
      </c>
      <c r="BI60" s="19" t="n">
        <f aca="false">IF(Delay!BI60="","",Fee*$A60+Vq*Delay!BI60)</f>
        <v>8.25</v>
      </c>
      <c r="BJ60" s="19" t="n">
        <f aca="false">IF(Delay!BJ60="","",Fee*$A60+Vq*Delay!BJ60)</f>
        <v>8.25</v>
      </c>
      <c r="BK60" s="19" t="n">
        <f aca="false">IF(Delay!BK60="","",Fee*$A60+Vq*Delay!BK60)</f>
        <v>8.25</v>
      </c>
      <c r="BL60" s="19" t="n">
        <f aca="false">IF(Delay!BL60="","",Fee*$A60+Vq*Delay!BL60)</f>
        <v>8.25</v>
      </c>
      <c r="BM60" s="19" t="n">
        <f aca="false">IF(Delay!BM60="","",Fee*$A60+Vq*Delay!BM60)</f>
        <v>8.25</v>
      </c>
      <c r="BN60" s="19" t="n">
        <f aca="false">IF(Delay!BN60="","",Fee*$A60+Vq*Delay!BN60)</f>
        <v>8.25</v>
      </c>
      <c r="BO60" s="19" t="n">
        <f aca="false">IF(Delay!BO60="","",Fee*$A60+Vq*Delay!BO60)</f>
        <v>8.25</v>
      </c>
      <c r="BP60" s="19" t="n">
        <f aca="false">IF(Delay!BP60="","",Fee*$A60+Vq*Delay!BP60)</f>
        <v>8.25</v>
      </c>
      <c r="BQ60" s="19" t="n">
        <f aca="false">IF(Delay!BQ60="","",Fee*$A60+Vq*Delay!BQ60)</f>
        <v>8.25</v>
      </c>
      <c r="BR60" s="19" t="n">
        <f aca="false">IF(Delay!BR60="","",Fee*$A60+Vq*Delay!BR60)</f>
        <v>8.25</v>
      </c>
      <c r="BS60" s="19" t="n">
        <f aca="false">IF(Delay!BS60="","",Fee*$A60+Vq*Delay!BS60)</f>
        <v>8.25</v>
      </c>
      <c r="BT60" s="19" t="n">
        <f aca="false">IF(Delay!BT60="","",Fee*$A60+Vq*Delay!BT60)</f>
        <v>8.25</v>
      </c>
      <c r="BU60" s="19" t="n">
        <f aca="false">IF(Delay!BU60="","",Fee*$A60+Vq*Delay!BU60)</f>
        <v>8.25</v>
      </c>
      <c r="BV60" s="19" t="n">
        <f aca="false">IF(Delay!BV60="","",Fee*$A60+Vq*Delay!BV60)</f>
        <v>8.25</v>
      </c>
      <c r="BW60" s="19" t="n">
        <f aca="false">IF(Delay!BW60="","",Fee*$A60+Vq*Delay!BW60)</f>
        <v>8.25</v>
      </c>
      <c r="BX60" s="19" t="n">
        <f aca="false">IF(Delay!BX60="","",Fee*$A60+Vq*Delay!BX60)</f>
        <v>8.25</v>
      </c>
      <c r="BY60" s="19" t="n">
        <f aca="false">IF(Delay!BY60="","",Fee*$A60+Vq*Delay!BY60)</f>
        <v>8.25</v>
      </c>
      <c r="BZ60" s="19" t="n">
        <f aca="false">IF(Delay!BZ60="","",Fee*$A60+Vq*Delay!BZ60)</f>
        <v>8.25</v>
      </c>
      <c r="CA60" s="19" t="n">
        <f aca="false">IF(Delay!CA60="","",Fee*$A60+Vq*Delay!CA60)</f>
        <v>8.25</v>
      </c>
      <c r="CB60" s="19" t="n">
        <f aca="false">IF(Delay!CB60="","",Fee*$A60+Vq*Delay!CB60)</f>
        <v>8.25</v>
      </c>
      <c r="CC60" s="19" t="n">
        <f aca="false">IF(Delay!CC60="","",Fee*$A60+Vq*Delay!CC60)</f>
        <v>8.25</v>
      </c>
      <c r="CD60" s="19" t="n">
        <f aca="false">IF(Delay!CD60="","",Fee*$A60+Vq*Delay!CD60)</f>
        <v>8.25</v>
      </c>
      <c r="CE60" s="19" t="n">
        <f aca="false">IF(Delay!CE60="","",Fee*$A60+Vq*Delay!CE60)</f>
        <v>8.25</v>
      </c>
      <c r="CF60" s="19" t="n">
        <f aca="false">IF(Delay!CF60="","",Fee*$A60+Vq*Delay!CF60)</f>
        <v>8.25</v>
      </c>
      <c r="CG60" s="19" t="n">
        <f aca="false">IF(Delay!CG60="","",Fee*$A60+Vq*Delay!CG60)</f>
        <v>8.25</v>
      </c>
      <c r="CH60" s="19" t="n">
        <f aca="false">IF(Delay!CH60="","",Fee*$A60+Vq*Delay!CH60)</f>
        <v>8.25</v>
      </c>
      <c r="CI60" s="19" t="n">
        <f aca="false">IF(Delay!CI60="","",Fee*$A60+Vq*Delay!CI60)</f>
        <v>8.25</v>
      </c>
      <c r="CJ60" s="19" t="n">
        <f aca="false">IF(Delay!CJ60="","",Fee*$A60+Vq*Delay!CJ60)</f>
        <v>8.25</v>
      </c>
      <c r="CK60" s="19" t="n">
        <f aca="false">IF(Delay!CK60="","",Fee*$A60+Vq*Delay!CK60)</f>
        <v>8.25</v>
      </c>
      <c r="CL60" s="19" t="n">
        <f aca="false">IF(Delay!CL60="","",Fee*$A60+Vq*Delay!CL60)</f>
        <v>8.25</v>
      </c>
      <c r="CM60" s="19" t="n">
        <f aca="false">IF(Delay!CM60="","",Fee*$A60+Vq*Delay!CM60)</f>
        <v>8.25</v>
      </c>
      <c r="CN60" s="19" t="n">
        <f aca="false">IF(Delay!CN60="","",Fee*$A60+Vq*Delay!CN60)</f>
        <v>8.25</v>
      </c>
      <c r="CO60" s="19" t="n">
        <f aca="false">IF(Delay!CO60="","",Fee*$A60+Vq*Delay!CO60)</f>
        <v>8.25</v>
      </c>
      <c r="CP60" s="19" t="n">
        <f aca="false">IF(Delay!CP60="","",Fee*$A60+Vq*Delay!CP60)</f>
        <v>8.25</v>
      </c>
      <c r="CQ60" s="19" t="n">
        <f aca="false">IF(Delay!CQ60="","",Fee*$A60+Vq*Delay!CQ60)</f>
        <v>8.25</v>
      </c>
      <c r="CR60" s="19" t="n">
        <f aca="false">IF(Delay!CR60="","",Fee*$A60+Vq*Delay!CR60)</f>
        <v>8.25</v>
      </c>
      <c r="CS60" s="19" t="n">
        <f aca="false">IF(Delay!CS60="","",Fee*$A60+Vq*Delay!CS60)</f>
        <v>8.25</v>
      </c>
      <c r="CT60" s="19" t="n">
        <f aca="false">IF(Delay!CT60="","",Fee*$A60+Vq*Delay!CT60)</f>
        <v>16.8275461378559</v>
      </c>
    </row>
    <row r="61" customFormat="false" ht="15" hidden="false" customHeight="false" outlineLevel="0" collapsed="false">
      <c r="A61" s="25" t="n">
        <f aca="false">Quantiles!A61</f>
        <v>280</v>
      </c>
      <c r="B61" s="19" t="n">
        <f aca="false">IF(Delay!B61="","",Fee*$A61+Vq*Delay!B61)</f>
        <v>24.7934594993419</v>
      </c>
      <c r="C61" s="19" t="n">
        <f aca="false">IF(Delay!C61="","",Fee*$A61+Vq*Delay!C61)</f>
        <v>23.2811223417342</v>
      </c>
      <c r="D61" s="19" t="n">
        <f aca="false">IF(Delay!D61="","",Fee*$A61+Vq*Delay!D61)</f>
        <v>21.9813273362536</v>
      </c>
      <c r="E61" s="19" t="n">
        <f aca="false">IF(Delay!E61="","",Fee*$A61+Vq*Delay!E61)</f>
        <v>20.8998174502224</v>
      </c>
      <c r="F61" s="19" t="n">
        <f aca="false">IF(Delay!F61="","",Fee*$A61+Vq*Delay!F61)</f>
        <v>19.9145688399075</v>
      </c>
      <c r="G61" s="19" t="n">
        <f aca="false">IF(Delay!G61="","",Fee*$A61+Vq*Delay!G61)</f>
        <v>19.0736533683693</v>
      </c>
      <c r="H61" s="19" t="n">
        <f aca="false">IF(Delay!H61="","",Fee*$A61+Vq*Delay!H61)</f>
        <v>18.3174208497569</v>
      </c>
      <c r="I61" s="19" t="n">
        <f aca="false">IF(Delay!I61="","",Fee*$A61+Vq*Delay!I61)</f>
        <v>17.5938105551862</v>
      </c>
      <c r="J61" s="19" t="n">
        <f aca="false">IF(Delay!J61="","",Fee*$A61+Vq*Delay!J61)</f>
        <v>16.9786405533788</v>
      </c>
      <c r="K61" s="19" t="n">
        <f aca="false">IF(Delay!K61="","",Fee*$A61+Vq*Delay!K61)</f>
        <v>16.3448195287071</v>
      </c>
      <c r="L61" s="19" t="n">
        <f aca="false">IF(Delay!L61="","",Fee*$A61+Vq*Delay!L61)</f>
        <v>15.727785479883</v>
      </c>
      <c r="M61" s="19" t="n">
        <f aca="false">IF(Delay!M61="","",Fee*$A61+Vq*Delay!M61)</f>
        <v>15.2222424476394</v>
      </c>
      <c r="N61" s="19" t="n">
        <f aca="false">IF(Delay!N61="","",Fee*$A61+Vq*Delay!N61)</f>
        <v>14.7276680551346</v>
      </c>
      <c r="O61" s="19" t="n">
        <f aca="false">IF(Delay!O61="","",Fee*$A61+Vq*Delay!O61)</f>
        <v>14.1983010981299</v>
      </c>
      <c r="P61" s="19" t="n">
        <f aca="false">IF(Delay!P61="","",Fee*$A61+Vq*Delay!P61)</f>
        <v>13.7249380687529</v>
      </c>
      <c r="Q61" s="19" t="n">
        <f aca="false">IF(Delay!Q61="","",Fee*$A61+Vq*Delay!Q61)</f>
        <v>13.2790936706222</v>
      </c>
      <c r="R61" s="19" t="n">
        <f aca="false">IF(Delay!R61="","",Fee*$A61+Vq*Delay!R61)</f>
        <v>12.8690083826642</v>
      </c>
      <c r="S61" s="19" t="n">
        <f aca="false">IF(Delay!S61="","",Fee*$A61+Vq*Delay!S61)</f>
        <v>12.4654642776775</v>
      </c>
      <c r="T61" s="19" t="n">
        <f aca="false">IF(Delay!T61="","",Fee*$A61+Vq*Delay!T61)</f>
        <v>12.0952688314686</v>
      </c>
      <c r="U61" s="19" t="n">
        <f aca="false">IF(Delay!U61="","",Fee*$A61+Vq*Delay!U61)</f>
        <v>11.7429330172311</v>
      </c>
      <c r="V61" s="19" t="n">
        <f aca="false">IF(Delay!V61="","",Fee*$A61+Vq*Delay!V61)</f>
        <v>11.3889625554401</v>
      </c>
      <c r="W61" s="19" t="n">
        <f aca="false">IF(Delay!W61="","",Fee*$A61+Vq*Delay!W61)</f>
        <v>11.0263584209013</v>
      </c>
      <c r="X61" s="19" t="n">
        <f aca="false">IF(Delay!X61="","",Fee*$A61+Vq*Delay!X61)</f>
        <v>10.6680679459915</v>
      </c>
      <c r="Y61" s="19" t="n">
        <f aca="false">IF(Delay!Y61="","",Fee*$A61+Vq*Delay!Y61)</f>
        <v>10.3675348705884</v>
      </c>
      <c r="Z61" s="19" t="n">
        <f aca="false">IF(Delay!Z61="","",Fee*$A61+Vq*Delay!Z61)</f>
        <v>10.0591043026339</v>
      </c>
      <c r="AA61" s="19" t="n">
        <f aca="false">IF(Delay!AA61="","",Fee*$A61+Vq*Delay!AA61)</f>
        <v>9.7634354307473</v>
      </c>
      <c r="AB61" s="19" t="n">
        <f aca="false">IF(Delay!AB61="","",Fee*$A61+Vq*Delay!AB61)</f>
        <v>9.44072161810104</v>
      </c>
      <c r="AC61" s="19" t="n">
        <f aca="false">IF(Delay!AC61="","",Fee*$A61+Vq*Delay!AC61)</f>
        <v>9.15572348559112</v>
      </c>
      <c r="AD61" s="19" t="n">
        <f aca="false">IF(Delay!AD61="","",Fee*$A61+Vq*Delay!AD61)</f>
        <v>8.85777803537406</v>
      </c>
      <c r="AE61" s="19" t="n">
        <f aca="false">IF(Delay!AE61="","",Fee*$A61+Vq*Delay!AE61)</f>
        <v>8.58723486120938</v>
      </c>
      <c r="AF61" s="19" t="n">
        <f aca="false">IF(Delay!AF61="","",Fee*$A61+Vq*Delay!AF61)</f>
        <v>8.4</v>
      </c>
      <c r="AG61" s="19" t="n">
        <f aca="false">IF(Delay!AG61="","",Fee*$A61+Vq*Delay!AG61)</f>
        <v>8.4</v>
      </c>
      <c r="AH61" s="19" t="n">
        <f aca="false">IF(Delay!AH61="","",Fee*$A61+Vq*Delay!AH61)</f>
        <v>8.4</v>
      </c>
      <c r="AI61" s="19" t="n">
        <f aca="false">IF(Delay!AI61="","",Fee*$A61+Vq*Delay!AI61)</f>
        <v>8.4</v>
      </c>
      <c r="AJ61" s="19" t="n">
        <f aca="false">IF(Delay!AJ61="","",Fee*$A61+Vq*Delay!AJ61)</f>
        <v>8.4</v>
      </c>
      <c r="AK61" s="19" t="n">
        <f aca="false">IF(Delay!AK61="","",Fee*$A61+Vq*Delay!AK61)</f>
        <v>8.4</v>
      </c>
      <c r="AL61" s="19" t="n">
        <f aca="false">IF(Delay!AL61="","",Fee*$A61+Vq*Delay!AL61)</f>
        <v>8.4</v>
      </c>
      <c r="AM61" s="19" t="n">
        <f aca="false">IF(Delay!AM61="","",Fee*$A61+Vq*Delay!AM61)</f>
        <v>8.4</v>
      </c>
      <c r="AN61" s="19" t="n">
        <f aca="false">IF(Delay!AN61="","",Fee*$A61+Vq*Delay!AN61)</f>
        <v>8.4</v>
      </c>
      <c r="AO61" s="19" t="n">
        <f aca="false">IF(Delay!AO61="","",Fee*$A61+Vq*Delay!AO61)</f>
        <v>8.4</v>
      </c>
      <c r="AP61" s="19" t="n">
        <f aca="false">IF(Delay!AP61="","",Fee*$A61+Vq*Delay!AP61)</f>
        <v>8.4</v>
      </c>
      <c r="AQ61" s="19" t="n">
        <f aca="false">IF(Delay!AQ61="","",Fee*$A61+Vq*Delay!AQ61)</f>
        <v>8.4</v>
      </c>
      <c r="AR61" s="19" t="n">
        <f aca="false">IF(Delay!AR61="","",Fee*$A61+Vq*Delay!AR61)</f>
        <v>8.4</v>
      </c>
      <c r="AS61" s="19" t="n">
        <f aca="false">IF(Delay!AS61="","",Fee*$A61+Vq*Delay!AS61)</f>
        <v>8.4</v>
      </c>
      <c r="AT61" s="19" t="n">
        <f aca="false">IF(Delay!AT61="","",Fee*$A61+Vq*Delay!AT61)</f>
        <v>8.4</v>
      </c>
      <c r="AU61" s="19" t="n">
        <f aca="false">IF(Delay!AU61="","",Fee*$A61+Vq*Delay!AU61)</f>
        <v>8.4</v>
      </c>
      <c r="AV61" s="19" t="n">
        <f aca="false">IF(Delay!AV61="","",Fee*$A61+Vq*Delay!AV61)</f>
        <v>8.4</v>
      </c>
      <c r="AW61" s="19" t="n">
        <f aca="false">IF(Delay!AW61="","",Fee*$A61+Vq*Delay!AW61)</f>
        <v>8.4</v>
      </c>
      <c r="AX61" s="19" t="n">
        <f aca="false">IF(Delay!AX61="","",Fee*$A61+Vq*Delay!AX61)</f>
        <v>8.4</v>
      </c>
      <c r="AY61" s="19" t="n">
        <f aca="false">IF(Delay!AY61="","",Fee*$A61+Vq*Delay!AY61)</f>
        <v>8.4</v>
      </c>
      <c r="AZ61" s="19" t="n">
        <f aca="false">IF(Delay!AZ61="","",Fee*$A61+Vq*Delay!AZ61)</f>
        <v>8.4</v>
      </c>
      <c r="BA61" s="19" t="n">
        <f aca="false">IF(Delay!BA61="","",Fee*$A61+Vq*Delay!BA61)</f>
        <v>8.4</v>
      </c>
      <c r="BB61" s="19" t="n">
        <f aca="false">IF(Delay!BB61="","",Fee*$A61+Vq*Delay!BB61)</f>
        <v>8.4</v>
      </c>
      <c r="BC61" s="19" t="n">
        <f aca="false">IF(Delay!BC61="","",Fee*$A61+Vq*Delay!BC61)</f>
        <v>8.4</v>
      </c>
      <c r="BD61" s="19" t="n">
        <f aca="false">IF(Delay!BD61="","",Fee*$A61+Vq*Delay!BD61)</f>
        <v>8.4</v>
      </c>
      <c r="BE61" s="19" t="n">
        <f aca="false">IF(Delay!BE61="","",Fee*$A61+Vq*Delay!BE61)</f>
        <v>8.4</v>
      </c>
      <c r="BF61" s="19" t="n">
        <f aca="false">IF(Delay!BF61="","",Fee*$A61+Vq*Delay!BF61)</f>
        <v>8.4</v>
      </c>
      <c r="BG61" s="19" t="n">
        <f aca="false">IF(Delay!BG61="","",Fee*$A61+Vq*Delay!BG61)</f>
        <v>8.4</v>
      </c>
      <c r="BH61" s="19" t="n">
        <f aca="false">IF(Delay!BH61="","",Fee*$A61+Vq*Delay!BH61)</f>
        <v>8.4</v>
      </c>
      <c r="BI61" s="19" t="n">
        <f aca="false">IF(Delay!BI61="","",Fee*$A61+Vq*Delay!BI61)</f>
        <v>8.4</v>
      </c>
      <c r="BJ61" s="19" t="n">
        <f aca="false">IF(Delay!BJ61="","",Fee*$A61+Vq*Delay!BJ61)</f>
        <v>8.4</v>
      </c>
      <c r="BK61" s="19" t="n">
        <f aca="false">IF(Delay!BK61="","",Fee*$A61+Vq*Delay!BK61)</f>
        <v>8.4</v>
      </c>
      <c r="BL61" s="19" t="n">
        <f aca="false">IF(Delay!BL61="","",Fee*$A61+Vq*Delay!BL61)</f>
        <v>8.4</v>
      </c>
      <c r="BM61" s="19" t="n">
        <f aca="false">IF(Delay!BM61="","",Fee*$A61+Vq*Delay!BM61)</f>
        <v>8.4</v>
      </c>
      <c r="BN61" s="19" t="n">
        <f aca="false">IF(Delay!BN61="","",Fee*$A61+Vq*Delay!BN61)</f>
        <v>8.4</v>
      </c>
      <c r="BO61" s="19" t="n">
        <f aca="false">IF(Delay!BO61="","",Fee*$A61+Vq*Delay!BO61)</f>
        <v>8.4</v>
      </c>
      <c r="BP61" s="19" t="n">
        <f aca="false">IF(Delay!BP61="","",Fee*$A61+Vq*Delay!BP61)</f>
        <v>8.4</v>
      </c>
      <c r="BQ61" s="19" t="n">
        <f aca="false">IF(Delay!BQ61="","",Fee*$A61+Vq*Delay!BQ61)</f>
        <v>8.4</v>
      </c>
      <c r="BR61" s="19" t="n">
        <f aca="false">IF(Delay!BR61="","",Fee*$A61+Vq*Delay!BR61)</f>
        <v>8.4</v>
      </c>
      <c r="BS61" s="19" t="n">
        <f aca="false">IF(Delay!BS61="","",Fee*$A61+Vq*Delay!BS61)</f>
        <v>8.4</v>
      </c>
      <c r="BT61" s="19" t="n">
        <f aca="false">IF(Delay!BT61="","",Fee*$A61+Vq*Delay!BT61)</f>
        <v>8.4</v>
      </c>
      <c r="BU61" s="19" t="n">
        <f aca="false">IF(Delay!BU61="","",Fee*$A61+Vq*Delay!BU61)</f>
        <v>8.4</v>
      </c>
      <c r="BV61" s="19" t="n">
        <f aca="false">IF(Delay!BV61="","",Fee*$A61+Vq*Delay!BV61)</f>
        <v>8.4</v>
      </c>
      <c r="BW61" s="19" t="n">
        <f aca="false">IF(Delay!BW61="","",Fee*$A61+Vq*Delay!BW61)</f>
        <v>8.4</v>
      </c>
      <c r="BX61" s="19" t="n">
        <f aca="false">IF(Delay!BX61="","",Fee*$A61+Vq*Delay!BX61)</f>
        <v>8.4</v>
      </c>
      <c r="BY61" s="19" t="n">
        <f aca="false">IF(Delay!BY61="","",Fee*$A61+Vq*Delay!BY61)</f>
        <v>8.4</v>
      </c>
      <c r="BZ61" s="19" t="n">
        <f aca="false">IF(Delay!BZ61="","",Fee*$A61+Vq*Delay!BZ61)</f>
        <v>8.4</v>
      </c>
      <c r="CA61" s="19" t="n">
        <f aca="false">IF(Delay!CA61="","",Fee*$A61+Vq*Delay!CA61)</f>
        <v>8.4</v>
      </c>
      <c r="CB61" s="19" t="n">
        <f aca="false">IF(Delay!CB61="","",Fee*$A61+Vq*Delay!CB61)</f>
        <v>8.4</v>
      </c>
      <c r="CC61" s="19" t="n">
        <f aca="false">IF(Delay!CC61="","",Fee*$A61+Vq*Delay!CC61)</f>
        <v>8.4</v>
      </c>
      <c r="CD61" s="19" t="n">
        <f aca="false">IF(Delay!CD61="","",Fee*$A61+Vq*Delay!CD61)</f>
        <v>8.4</v>
      </c>
      <c r="CE61" s="19" t="n">
        <f aca="false">IF(Delay!CE61="","",Fee*$A61+Vq*Delay!CE61)</f>
        <v>8.4</v>
      </c>
      <c r="CF61" s="19" t="n">
        <f aca="false">IF(Delay!CF61="","",Fee*$A61+Vq*Delay!CF61)</f>
        <v>8.4</v>
      </c>
      <c r="CG61" s="19" t="n">
        <f aca="false">IF(Delay!CG61="","",Fee*$A61+Vq*Delay!CG61)</f>
        <v>8.4</v>
      </c>
      <c r="CH61" s="19" t="n">
        <f aca="false">IF(Delay!CH61="","",Fee*$A61+Vq*Delay!CH61)</f>
        <v>8.4</v>
      </c>
      <c r="CI61" s="19" t="n">
        <f aca="false">IF(Delay!CI61="","",Fee*$A61+Vq*Delay!CI61)</f>
        <v>8.4</v>
      </c>
      <c r="CJ61" s="19" t="n">
        <f aca="false">IF(Delay!CJ61="","",Fee*$A61+Vq*Delay!CJ61)</f>
        <v>8.4</v>
      </c>
      <c r="CK61" s="19" t="n">
        <f aca="false">IF(Delay!CK61="","",Fee*$A61+Vq*Delay!CK61)</f>
        <v>8.4</v>
      </c>
      <c r="CL61" s="19" t="n">
        <f aca="false">IF(Delay!CL61="","",Fee*$A61+Vq*Delay!CL61)</f>
        <v>8.4</v>
      </c>
      <c r="CM61" s="19" t="n">
        <f aca="false">IF(Delay!CM61="","",Fee*$A61+Vq*Delay!CM61)</f>
        <v>8.4</v>
      </c>
      <c r="CN61" s="19" t="n">
        <f aca="false">IF(Delay!CN61="","",Fee*$A61+Vq*Delay!CN61)</f>
        <v>8.4</v>
      </c>
      <c r="CO61" s="19" t="n">
        <f aca="false">IF(Delay!CO61="","",Fee*$A61+Vq*Delay!CO61)</f>
        <v>8.4</v>
      </c>
      <c r="CP61" s="19" t="n">
        <f aca="false">IF(Delay!CP61="","",Fee*$A61+Vq*Delay!CP61)</f>
        <v>8.4</v>
      </c>
      <c r="CQ61" s="19" t="n">
        <f aca="false">IF(Delay!CQ61="","",Fee*$A61+Vq*Delay!CQ61)</f>
        <v>8.4</v>
      </c>
      <c r="CR61" s="19" t="n">
        <f aca="false">IF(Delay!CR61="","",Fee*$A61+Vq*Delay!CR61)</f>
        <v>8.4</v>
      </c>
      <c r="CS61" s="19" t="n">
        <f aca="false">IF(Delay!CS61="","",Fee*$A61+Vq*Delay!CS61)</f>
        <v>8.4</v>
      </c>
      <c r="CT61" s="19" t="n">
        <f aca="false">IF(Delay!CT61="","",Fee*$A61+Vq*Delay!CT61)</f>
        <v>16.9768759896151</v>
      </c>
    </row>
    <row r="62" customFormat="false" ht="15" hidden="false" customHeight="false" outlineLevel="0" collapsed="false">
      <c r="A62" s="25" t="n">
        <f aca="false">Quantiles!A62</f>
        <v>285</v>
      </c>
      <c r="B62" s="19" t="n">
        <f aca="false">IF(Delay!B62="","",Fee*$A62+Vq*Delay!B62)</f>
        <v>24.9358857169513</v>
      </c>
      <c r="C62" s="19" t="n">
        <f aca="false">IF(Delay!C62="","",Fee*$A62+Vq*Delay!C62)</f>
        <v>23.4223677102857</v>
      </c>
      <c r="D62" s="19" t="n">
        <f aca="false">IF(Delay!D62="","",Fee*$A62+Vq*Delay!D62)</f>
        <v>22.1267743296972</v>
      </c>
      <c r="E62" s="19" t="n">
        <f aca="false">IF(Delay!E62="","",Fee*$A62+Vq*Delay!E62)</f>
        <v>21.0362429500324</v>
      </c>
      <c r="F62" s="19" t="n">
        <f aca="false">IF(Delay!F62="","",Fee*$A62+Vq*Delay!F62)</f>
        <v>20.060473452709</v>
      </c>
      <c r="G62" s="19" t="n">
        <f aca="false">IF(Delay!G62="","",Fee*$A62+Vq*Delay!G62)</f>
        <v>19.2236533683693</v>
      </c>
      <c r="H62" s="19" t="n">
        <f aca="false">IF(Delay!H62="","",Fee*$A62+Vq*Delay!H62)</f>
        <v>18.4638374688349</v>
      </c>
      <c r="I62" s="19" t="n">
        <f aca="false">IF(Delay!I62="","",Fee*$A62+Vq*Delay!I62)</f>
        <v>17.7423100038069</v>
      </c>
      <c r="J62" s="19" t="n">
        <f aca="false">IF(Delay!J62="","",Fee*$A62+Vq*Delay!J62)</f>
        <v>17.1278552462796</v>
      </c>
      <c r="K62" s="19" t="n">
        <f aca="false">IF(Delay!K62="","",Fee*$A62+Vq*Delay!K62)</f>
        <v>16.4936325067514</v>
      </c>
      <c r="L62" s="19" t="n">
        <f aca="false">IF(Delay!L62="","",Fee*$A62+Vq*Delay!L62)</f>
        <v>15.8769900924617</v>
      </c>
      <c r="M62" s="19" t="n">
        <f aca="false">IF(Delay!M62="","",Fee*$A62+Vq*Delay!M62)</f>
        <v>15.3720204180208</v>
      </c>
      <c r="N62" s="19" t="n">
        <f aca="false">IF(Delay!N62="","",Fee*$A62+Vq*Delay!N62)</f>
        <v>14.8745047431819</v>
      </c>
      <c r="O62" s="19" t="n">
        <f aca="false">IF(Delay!O62="","",Fee*$A62+Vq*Delay!O62)</f>
        <v>14.3466502191277</v>
      </c>
      <c r="P62" s="19" t="n">
        <f aca="false">IF(Delay!P62="","",Fee*$A62+Vq*Delay!P62)</f>
        <v>13.8699060900895</v>
      </c>
      <c r="Q62" s="19" t="n">
        <f aca="false">IF(Delay!Q62="","",Fee*$A62+Vq*Delay!Q62)</f>
        <v>13.424182858412</v>
      </c>
      <c r="R62" s="19" t="n">
        <f aca="false">IF(Delay!R62="","",Fee*$A62+Vq*Delay!R62)</f>
        <v>13.0119579482198</v>
      </c>
      <c r="S62" s="19" t="n">
        <f aca="false">IF(Delay!S62="","",Fee*$A62+Vq*Delay!S62)</f>
        <v>12.6063950560207</v>
      </c>
      <c r="T62" s="19" t="n">
        <f aca="false">IF(Delay!T62="","",Fee*$A62+Vq*Delay!T62)</f>
        <v>12.2383954946204</v>
      </c>
      <c r="U62" s="19" t="n">
        <f aca="false">IF(Delay!U62="","",Fee*$A62+Vq*Delay!U62)</f>
        <v>11.8896143054309</v>
      </c>
      <c r="V62" s="19" t="n">
        <f aca="false">IF(Delay!V62="","",Fee*$A62+Vq*Delay!V62)</f>
        <v>11.5312817506881</v>
      </c>
      <c r="W62" s="19" t="n">
        <f aca="false">IF(Delay!W62="","",Fee*$A62+Vq*Delay!W62)</f>
        <v>11.1752533248692</v>
      </c>
      <c r="X62" s="19" t="n">
        <f aca="false">IF(Delay!X62="","",Fee*$A62+Vq*Delay!X62)</f>
        <v>10.8133041111092</v>
      </c>
      <c r="Y62" s="19" t="n">
        <f aca="false">IF(Delay!Y62="","",Fee*$A62+Vq*Delay!Y62)</f>
        <v>10.5172457281491</v>
      </c>
      <c r="Z62" s="19" t="n">
        <f aca="false">IF(Delay!Z62="","",Fee*$A62+Vq*Delay!Z62)</f>
        <v>10.2072978403604</v>
      </c>
      <c r="AA62" s="19" t="n">
        <f aca="false">IF(Delay!AA62="","",Fee*$A62+Vq*Delay!AA62)</f>
        <v>9.90828368479576</v>
      </c>
      <c r="AB62" s="19" t="n">
        <f aca="false">IF(Delay!AB62="","",Fee*$A62+Vq*Delay!AB62)</f>
        <v>9.58694945463232</v>
      </c>
      <c r="AC62" s="19" t="n">
        <f aca="false">IF(Delay!AC62="","",Fee*$A62+Vq*Delay!AC62)</f>
        <v>9.30394059447528</v>
      </c>
      <c r="AD62" s="19" t="n">
        <f aca="false">IF(Delay!AD62="","",Fee*$A62+Vq*Delay!AD62)</f>
        <v>8.99894526558334</v>
      </c>
      <c r="AE62" s="19" t="n">
        <f aca="false">IF(Delay!AE62="","",Fee*$A62+Vq*Delay!AE62)</f>
        <v>8.73252840361748</v>
      </c>
      <c r="AF62" s="19" t="n">
        <f aca="false">IF(Delay!AF62="","",Fee*$A62+Vq*Delay!AF62)</f>
        <v>8.55</v>
      </c>
      <c r="AG62" s="19" t="n">
        <f aca="false">IF(Delay!AG62="","",Fee*$A62+Vq*Delay!AG62)</f>
        <v>8.55</v>
      </c>
      <c r="AH62" s="19" t="n">
        <f aca="false">IF(Delay!AH62="","",Fee*$A62+Vq*Delay!AH62)</f>
        <v>8.55</v>
      </c>
      <c r="AI62" s="19" t="n">
        <f aca="false">IF(Delay!AI62="","",Fee*$A62+Vq*Delay!AI62)</f>
        <v>8.55</v>
      </c>
      <c r="AJ62" s="19" t="n">
        <f aca="false">IF(Delay!AJ62="","",Fee*$A62+Vq*Delay!AJ62)</f>
        <v>8.55</v>
      </c>
      <c r="AK62" s="19" t="n">
        <f aca="false">IF(Delay!AK62="","",Fee*$A62+Vq*Delay!AK62)</f>
        <v>8.55</v>
      </c>
      <c r="AL62" s="19" t="n">
        <f aca="false">IF(Delay!AL62="","",Fee*$A62+Vq*Delay!AL62)</f>
        <v>8.55</v>
      </c>
      <c r="AM62" s="19" t="n">
        <f aca="false">IF(Delay!AM62="","",Fee*$A62+Vq*Delay!AM62)</f>
        <v>8.55</v>
      </c>
      <c r="AN62" s="19" t="n">
        <f aca="false">IF(Delay!AN62="","",Fee*$A62+Vq*Delay!AN62)</f>
        <v>8.55</v>
      </c>
      <c r="AO62" s="19" t="n">
        <f aca="false">IF(Delay!AO62="","",Fee*$A62+Vq*Delay!AO62)</f>
        <v>8.55</v>
      </c>
      <c r="AP62" s="19" t="n">
        <f aca="false">IF(Delay!AP62="","",Fee*$A62+Vq*Delay!AP62)</f>
        <v>8.55</v>
      </c>
      <c r="AQ62" s="19" t="n">
        <f aca="false">IF(Delay!AQ62="","",Fee*$A62+Vq*Delay!AQ62)</f>
        <v>8.55</v>
      </c>
      <c r="AR62" s="19" t="n">
        <f aca="false">IF(Delay!AR62="","",Fee*$A62+Vq*Delay!AR62)</f>
        <v>8.55</v>
      </c>
      <c r="AS62" s="19" t="n">
        <f aca="false">IF(Delay!AS62="","",Fee*$A62+Vq*Delay!AS62)</f>
        <v>8.55</v>
      </c>
      <c r="AT62" s="19" t="n">
        <f aca="false">IF(Delay!AT62="","",Fee*$A62+Vq*Delay!AT62)</f>
        <v>8.55</v>
      </c>
      <c r="AU62" s="19" t="n">
        <f aca="false">IF(Delay!AU62="","",Fee*$A62+Vq*Delay!AU62)</f>
        <v>8.55</v>
      </c>
      <c r="AV62" s="19" t="n">
        <f aca="false">IF(Delay!AV62="","",Fee*$A62+Vq*Delay!AV62)</f>
        <v>8.55</v>
      </c>
      <c r="AW62" s="19" t="n">
        <f aca="false">IF(Delay!AW62="","",Fee*$A62+Vq*Delay!AW62)</f>
        <v>8.55</v>
      </c>
      <c r="AX62" s="19" t="n">
        <f aca="false">IF(Delay!AX62="","",Fee*$A62+Vq*Delay!AX62)</f>
        <v>8.55</v>
      </c>
      <c r="AY62" s="19" t="n">
        <f aca="false">IF(Delay!AY62="","",Fee*$A62+Vq*Delay!AY62)</f>
        <v>8.55</v>
      </c>
      <c r="AZ62" s="19" t="n">
        <f aca="false">IF(Delay!AZ62="","",Fee*$A62+Vq*Delay!AZ62)</f>
        <v>8.55</v>
      </c>
      <c r="BA62" s="19" t="n">
        <f aca="false">IF(Delay!BA62="","",Fee*$A62+Vq*Delay!BA62)</f>
        <v>8.55</v>
      </c>
      <c r="BB62" s="19" t="n">
        <f aca="false">IF(Delay!BB62="","",Fee*$A62+Vq*Delay!BB62)</f>
        <v>8.55</v>
      </c>
      <c r="BC62" s="19" t="n">
        <f aca="false">IF(Delay!BC62="","",Fee*$A62+Vq*Delay!BC62)</f>
        <v>8.55</v>
      </c>
      <c r="BD62" s="19" t="n">
        <f aca="false">IF(Delay!BD62="","",Fee*$A62+Vq*Delay!BD62)</f>
        <v>8.55</v>
      </c>
      <c r="BE62" s="19" t="n">
        <f aca="false">IF(Delay!BE62="","",Fee*$A62+Vq*Delay!BE62)</f>
        <v>8.55</v>
      </c>
      <c r="BF62" s="19" t="n">
        <f aca="false">IF(Delay!BF62="","",Fee*$A62+Vq*Delay!BF62)</f>
        <v>8.55</v>
      </c>
      <c r="BG62" s="19" t="n">
        <f aca="false">IF(Delay!BG62="","",Fee*$A62+Vq*Delay!BG62)</f>
        <v>8.55</v>
      </c>
      <c r="BH62" s="19" t="n">
        <f aca="false">IF(Delay!BH62="","",Fee*$A62+Vq*Delay!BH62)</f>
        <v>8.55</v>
      </c>
      <c r="BI62" s="19" t="n">
        <f aca="false">IF(Delay!BI62="","",Fee*$A62+Vq*Delay!BI62)</f>
        <v>8.55</v>
      </c>
      <c r="BJ62" s="19" t="n">
        <f aca="false">IF(Delay!BJ62="","",Fee*$A62+Vq*Delay!BJ62)</f>
        <v>8.55</v>
      </c>
      <c r="BK62" s="19" t="n">
        <f aca="false">IF(Delay!BK62="","",Fee*$A62+Vq*Delay!BK62)</f>
        <v>8.55</v>
      </c>
      <c r="BL62" s="19" t="n">
        <f aca="false">IF(Delay!BL62="","",Fee*$A62+Vq*Delay!BL62)</f>
        <v>8.55</v>
      </c>
      <c r="BM62" s="19" t="n">
        <f aca="false">IF(Delay!BM62="","",Fee*$A62+Vq*Delay!BM62)</f>
        <v>8.55</v>
      </c>
      <c r="BN62" s="19" t="n">
        <f aca="false">IF(Delay!BN62="","",Fee*$A62+Vq*Delay!BN62)</f>
        <v>8.55</v>
      </c>
      <c r="BO62" s="19" t="n">
        <f aca="false">IF(Delay!BO62="","",Fee*$A62+Vq*Delay!BO62)</f>
        <v>8.55</v>
      </c>
      <c r="BP62" s="19" t="n">
        <f aca="false">IF(Delay!BP62="","",Fee*$A62+Vq*Delay!BP62)</f>
        <v>8.55</v>
      </c>
      <c r="BQ62" s="19" t="n">
        <f aca="false">IF(Delay!BQ62="","",Fee*$A62+Vq*Delay!BQ62)</f>
        <v>8.55</v>
      </c>
      <c r="BR62" s="19" t="n">
        <f aca="false">IF(Delay!BR62="","",Fee*$A62+Vq*Delay!BR62)</f>
        <v>8.55</v>
      </c>
      <c r="BS62" s="19" t="n">
        <f aca="false">IF(Delay!BS62="","",Fee*$A62+Vq*Delay!BS62)</f>
        <v>8.55</v>
      </c>
      <c r="BT62" s="19" t="n">
        <f aca="false">IF(Delay!BT62="","",Fee*$A62+Vq*Delay!BT62)</f>
        <v>8.55</v>
      </c>
      <c r="BU62" s="19" t="n">
        <f aca="false">IF(Delay!BU62="","",Fee*$A62+Vq*Delay!BU62)</f>
        <v>8.55</v>
      </c>
      <c r="BV62" s="19" t="n">
        <f aca="false">IF(Delay!BV62="","",Fee*$A62+Vq*Delay!BV62)</f>
        <v>8.55</v>
      </c>
      <c r="BW62" s="19" t="n">
        <f aca="false">IF(Delay!BW62="","",Fee*$A62+Vq*Delay!BW62)</f>
        <v>8.55</v>
      </c>
      <c r="BX62" s="19" t="n">
        <f aca="false">IF(Delay!BX62="","",Fee*$A62+Vq*Delay!BX62)</f>
        <v>8.55</v>
      </c>
      <c r="BY62" s="19" t="n">
        <f aca="false">IF(Delay!BY62="","",Fee*$A62+Vq*Delay!BY62)</f>
        <v>8.55</v>
      </c>
      <c r="BZ62" s="19" t="n">
        <f aca="false">IF(Delay!BZ62="","",Fee*$A62+Vq*Delay!BZ62)</f>
        <v>8.55</v>
      </c>
      <c r="CA62" s="19" t="n">
        <f aca="false">IF(Delay!CA62="","",Fee*$A62+Vq*Delay!CA62)</f>
        <v>8.55</v>
      </c>
      <c r="CB62" s="19" t="n">
        <f aca="false">IF(Delay!CB62="","",Fee*$A62+Vq*Delay!CB62)</f>
        <v>8.55</v>
      </c>
      <c r="CC62" s="19" t="n">
        <f aca="false">IF(Delay!CC62="","",Fee*$A62+Vq*Delay!CC62)</f>
        <v>8.55</v>
      </c>
      <c r="CD62" s="19" t="n">
        <f aca="false">IF(Delay!CD62="","",Fee*$A62+Vq*Delay!CD62)</f>
        <v>8.55</v>
      </c>
      <c r="CE62" s="19" t="n">
        <f aca="false">IF(Delay!CE62="","",Fee*$A62+Vq*Delay!CE62)</f>
        <v>8.55</v>
      </c>
      <c r="CF62" s="19" t="n">
        <f aca="false">IF(Delay!CF62="","",Fee*$A62+Vq*Delay!CF62)</f>
        <v>8.55</v>
      </c>
      <c r="CG62" s="19" t="n">
        <f aca="false">IF(Delay!CG62="","",Fee*$A62+Vq*Delay!CG62)</f>
        <v>8.55</v>
      </c>
      <c r="CH62" s="19" t="n">
        <f aca="false">IF(Delay!CH62="","",Fee*$A62+Vq*Delay!CH62)</f>
        <v>8.55</v>
      </c>
      <c r="CI62" s="19" t="n">
        <f aca="false">IF(Delay!CI62="","",Fee*$A62+Vq*Delay!CI62)</f>
        <v>8.55</v>
      </c>
      <c r="CJ62" s="19" t="n">
        <f aca="false">IF(Delay!CJ62="","",Fee*$A62+Vq*Delay!CJ62)</f>
        <v>8.55</v>
      </c>
      <c r="CK62" s="19" t="n">
        <f aca="false">IF(Delay!CK62="","",Fee*$A62+Vq*Delay!CK62)</f>
        <v>8.55</v>
      </c>
      <c r="CL62" s="19" t="n">
        <f aca="false">IF(Delay!CL62="","",Fee*$A62+Vq*Delay!CL62)</f>
        <v>8.55</v>
      </c>
      <c r="CM62" s="19" t="n">
        <f aca="false">IF(Delay!CM62="","",Fee*$A62+Vq*Delay!CM62)</f>
        <v>8.55</v>
      </c>
      <c r="CN62" s="19" t="n">
        <f aca="false">IF(Delay!CN62="","",Fee*$A62+Vq*Delay!CN62)</f>
        <v>8.55</v>
      </c>
      <c r="CO62" s="19" t="n">
        <f aca="false">IF(Delay!CO62="","",Fee*$A62+Vq*Delay!CO62)</f>
        <v>8.55</v>
      </c>
      <c r="CP62" s="19" t="n">
        <f aca="false">IF(Delay!CP62="","",Fee*$A62+Vq*Delay!CP62)</f>
        <v>8.55</v>
      </c>
      <c r="CQ62" s="19" t="n">
        <f aca="false">IF(Delay!CQ62="","",Fee*$A62+Vq*Delay!CQ62)</f>
        <v>8.55</v>
      </c>
      <c r="CR62" s="19" t="n">
        <f aca="false">IF(Delay!CR62="","",Fee*$A62+Vq*Delay!CR62)</f>
        <v>8.55</v>
      </c>
      <c r="CS62" s="19" t="n">
        <f aca="false">IF(Delay!CS62="","",Fee*$A62+Vq*Delay!CS62)</f>
        <v>8.55</v>
      </c>
      <c r="CT62" s="19" t="n">
        <f aca="false">IF(Delay!CT62="","",Fee*$A62+Vq*Delay!CT62)</f>
        <v>17.1257543565371</v>
      </c>
    </row>
    <row r="63" customFormat="false" ht="15" hidden="false" customHeight="false" outlineLevel="0" collapsed="false">
      <c r="A63" s="25" t="n">
        <f aca="false">Quantiles!A63</f>
        <v>290</v>
      </c>
      <c r="B63" s="19" t="n">
        <f aca="false">IF(Delay!B63="","",Fee*$A63+Vq*Delay!B63)</f>
        <v>25.061827582738</v>
      </c>
      <c r="C63" s="19" t="n">
        <f aca="false">IF(Delay!C63="","",Fee*$A63+Vq*Delay!C63)</f>
        <v>23.5678152371218</v>
      </c>
      <c r="D63" s="19" t="n">
        <f aca="false">IF(Delay!D63="","",Fee*$A63+Vq*Delay!D63)</f>
        <v>22.2767743296972</v>
      </c>
      <c r="E63" s="19" t="n">
        <f aca="false">IF(Delay!E63="","",Fee*$A63+Vq*Delay!E63)</f>
        <v>21.1786012899854</v>
      </c>
      <c r="F63" s="19" t="n">
        <f aca="false">IF(Delay!F63="","",Fee*$A63+Vq*Delay!F63)</f>
        <v>20.200914968502</v>
      </c>
      <c r="G63" s="19" t="n">
        <f aca="false">IF(Delay!G63="","",Fee*$A63+Vq*Delay!G63)</f>
        <v>19.3656894834644</v>
      </c>
      <c r="H63" s="19" t="n">
        <f aca="false">IF(Delay!H63="","",Fee*$A63+Vq*Delay!H63)</f>
        <v>18.6056714990429</v>
      </c>
      <c r="I63" s="19" t="n">
        <f aca="false">IF(Delay!I63="","",Fee*$A63+Vq*Delay!I63)</f>
        <v>17.8923100038069</v>
      </c>
      <c r="J63" s="19" t="n">
        <f aca="false">IF(Delay!J63="","",Fee*$A63+Vq*Delay!J63)</f>
        <v>17.2775461378559</v>
      </c>
      <c r="K63" s="19" t="n">
        <f aca="false">IF(Delay!K63="","",Fee*$A63+Vq*Delay!K63)</f>
        <v>16.6410648389966</v>
      </c>
      <c r="L63" s="19" t="n">
        <f aca="false">IF(Delay!L63="","",Fee*$A63+Vq*Delay!L63)</f>
        <v>16.0265567968615</v>
      </c>
      <c r="M63" s="19" t="n">
        <f aca="false">IF(Delay!M63="","",Fee*$A63+Vq*Delay!M63)</f>
        <v>15.5196515551521</v>
      </c>
      <c r="N63" s="19" t="n">
        <f aca="false">IF(Delay!N63="","",Fee*$A63+Vq*Delay!N63)</f>
        <v>15.0215746954445</v>
      </c>
      <c r="O63" s="19" t="n">
        <f aca="false">IF(Delay!O63="","",Fee*$A63+Vq*Delay!O63)</f>
        <v>14.4966502191277</v>
      </c>
      <c r="P63" s="19" t="n">
        <f aca="false">IF(Delay!P63="","",Fee*$A63+Vq*Delay!P63)</f>
        <v>14.0199060900895</v>
      </c>
      <c r="Q63" s="19" t="n">
        <f aca="false">IF(Delay!Q63="","",Fee*$A63+Vq*Delay!Q63)</f>
        <v>13.5698293598465</v>
      </c>
      <c r="R63" s="19" t="n">
        <f aca="false">IF(Delay!R63="","",Fee*$A63+Vq*Delay!R63)</f>
        <v>13.1573420944914</v>
      </c>
      <c r="S63" s="19" t="n">
        <f aca="false">IF(Delay!S63="","",Fee*$A63+Vq*Delay!S63)</f>
        <v>12.7538289822702</v>
      </c>
      <c r="T63" s="19" t="n">
        <f aca="false">IF(Delay!T63="","",Fee*$A63+Vq*Delay!T63)</f>
        <v>12.3825737634961</v>
      </c>
      <c r="U63" s="19" t="n">
        <f aca="false">IF(Delay!U63="","",Fee*$A63+Vq*Delay!U63)</f>
        <v>12.0343930311445</v>
      </c>
      <c r="V63" s="19" t="n">
        <f aca="false">IF(Delay!V63="","",Fee*$A63+Vq*Delay!V63)</f>
        <v>11.6785867289374</v>
      </c>
      <c r="W63" s="19" t="n">
        <f aca="false">IF(Delay!W63="","",Fee*$A63+Vq*Delay!W63)</f>
        <v>11.3208237996766</v>
      </c>
      <c r="X63" s="19" t="n">
        <f aca="false">IF(Delay!X63="","",Fee*$A63+Vq*Delay!X63)</f>
        <v>10.9617054265792</v>
      </c>
      <c r="Y63" s="19" t="n">
        <f aca="false">IF(Delay!Y63="","",Fee*$A63+Vq*Delay!Y63)</f>
        <v>10.6640230593316</v>
      </c>
      <c r="Z63" s="19" t="n">
        <f aca="false">IF(Delay!Z63="","",Fee*$A63+Vq*Delay!Z63)</f>
        <v>10.3532335757284</v>
      </c>
      <c r="AA63" s="19" t="n">
        <f aca="false">IF(Delay!AA63="","",Fee*$A63+Vq*Delay!AA63)</f>
        <v>10.0527273691817</v>
      </c>
      <c r="AB63" s="19" t="n">
        <f aca="false">IF(Delay!AB63="","",Fee*$A63+Vq*Delay!AB63)</f>
        <v>9.73539491709034</v>
      </c>
      <c r="AC63" s="19" t="n">
        <f aca="false">IF(Delay!AC63="","",Fee*$A63+Vq*Delay!AC63)</f>
        <v>9.45327149075632</v>
      </c>
      <c r="AD63" s="19" t="n">
        <f aca="false">IF(Delay!AD63="","",Fee*$A63+Vq*Delay!AD63)</f>
        <v>9.14703746361324</v>
      </c>
      <c r="AE63" s="19" t="n">
        <f aca="false">IF(Delay!AE63="","",Fee*$A63+Vq*Delay!AE63)</f>
        <v>8.87895566001098</v>
      </c>
      <c r="AF63" s="19" t="n">
        <f aca="false">IF(Delay!AF63="","",Fee*$A63+Vq*Delay!AF63)</f>
        <v>8.7</v>
      </c>
      <c r="AG63" s="19" t="n">
        <f aca="false">IF(Delay!AG63="","",Fee*$A63+Vq*Delay!AG63)</f>
        <v>8.7</v>
      </c>
      <c r="AH63" s="19" t="n">
        <f aca="false">IF(Delay!AH63="","",Fee*$A63+Vq*Delay!AH63)</f>
        <v>8.7</v>
      </c>
      <c r="AI63" s="19" t="n">
        <f aca="false">IF(Delay!AI63="","",Fee*$A63+Vq*Delay!AI63)</f>
        <v>8.7</v>
      </c>
      <c r="AJ63" s="19" t="n">
        <f aca="false">IF(Delay!AJ63="","",Fee*$A63+Vq*Delay!AJ63)</f>
        <v>8.7</v>
      </c>
      <c r="AK63" s="19" t="n">
        <f aca="false">IF(Delay!AK63="","",Fee*$A63+Vq*Delay!AK63)</f>
        <v>8.7</v>
      </c>
      <c r="AL63" s="19" t="n">
        <f aca="false">IF(Delay!AL63="","",Fee*$A63+Vq*Delay!AL63)</f>
        <v>8.7</v>
      </c>
      <c r="AM63" s="19" t="n">
        <f aca="false">IF(Delay!AM63="","",Fee*$A63+Vq*Delay!AM63)</f>
        <v>8.7</v>
      </c>
      <c r="AN63" s="19" t="n">
        <f aca="false">IF(Delay!AN63="","",Fee*$A63+Vq*Delay!AN63)</f>
        <v>8.7</v>
      </c>
      <c r="AO63" s="19" t="n">
        <f aca="false">IF(Delay!AO63="","",Fee*$A63+Vq*Delay!AO63)</f>
        <v>8.7</v>
      </c>
      <c r="AP63" s="19" t="n">
        <f aca="false">IF(Delay!AP63="","",Fee*$A63+Vq*Delay!AP63)</f>
        <v>8.7</v>
      </c>
      <c r="AQ63" s="19" t="n">
        <f aca="false">IF(Delay!AQ63="","",Fee*$A63+Vq*Delay!AQ63)</f>
        <v>8.7</v>
      </c>
      <c r="AR63" s="19" t="n">
        <f aca="false">IF(Delay!AR63="","",Fee*$A63+Vq*Delay!AR63)</f>
        <v>8.7</v>
      </c>
      <c r="AS63" s="19" t="n">
        <f aca="false">IF(Delay!AS63="","",Fee*$A63+Vq*Delay!AS63)</f>
        <v>8.7</v>
      </c>
      <c r="AT63" s="19" t="n">
        <f aca="false">IF(Delay!AT63="","",Fee*$A63+Vq*Delay!AT63)</f>
        <v>8.7</v>
      </c>
      <c r="AU63" s="19" t="n">
        <f aca="false">IF(Delay!AU63="","",Fee*$A63+Vq*Delay!AU63)</f>
        <v>8.7</v>
      </c>
      <c r="AV63" s="19" t="n">
        <f aca="false">IF(Delay!AV63="","",Fee*$A63+Vq*Delay!AV63)</f>
        <v>8.7</v>
      </c>
      <c r="AW63" s="19" t="n">
        <f aca="false">IF(Delay!AW63="","",Fee*$A63+Vq*Delay!AW63)</f>
        <v>8.7</v>
      </c>
      <c r="AX63" s="19" t="n">
        <f aca="false">IF(Delay!AX63="","",Fee*$A63+Vq*Delay!AX63)</f>
        <v>8.7</v>
      </c>
      <c r="AY63" s="19" t="n">
        <f aca="false">IF(Delay!AY63="","",Fee*$A63+Vq*Delay!AY63)</f>
        <v>8.7</v>
      </c>
      <c r="AZ63" s="19" t="n">
        <f aca="false">IF(Delay!AZ63="","",Fee*$A63+Vq*Delay!AZ63)</f>
        <v>8.7</v>
      </c>
      <c r="BA63" s="19" t="n">
        <f aca="false">IF(Delay!BA63="","",Fee*$A63+Vq*Delay!BA63)</f>
        <v>8.7</v>
      </c>
      <c r="BB63" s="19" t="n">
        <f aca="false">IF(Delay!BB63="","",Fee*$A63+Vq*Delay!BB63)</f>
        <v>8.7</v>
      </c>
      <c r="BC63" s="19" t="n">
        <f aca="false">IF(Delay!BC63="","",Fee*$A63+Vq*Delay!BC63)</f>
        <v>8.7</v>
      </c>
      <c r="BD63" s="19" t="n">
        <f aca="false">IF(Delay!BD63="","",Fee*$A63+Vq*Delay!BD63)</f>
        <v>8.7</v>
      </c>
      <c r="BE63" s="19" t="n">
        <f aca="false">IF(Delay!BE63="","",Fee*$A63+Vq*Delay!BE63)</f>
        <v>8.7</v>
      </c>
      <c r="BF63" s="19" t="n">
        <f aca="false">IF(Delay!BF63="","",Fee*$A63+Vq*Delay!BF63)</f>
        <v>8.7</v>
      </c>
      <c r="BG63" s="19" t="n">
        <f aca="false">IF(Delay!BG63="","",Fee*$A63+Vq*Delay!BG63)</f>
        <v>8.7</v>
      </c>
      <c r="BH63" s="19" t="n">
        <f aca="false">IF(Delay!BH63="","",Fee*$A63+Vq*Delay!BH63)</f>
        <v>8.7</v>
      </c>
      <c r="BI63" s="19" t="n">
        <f aca="false">IF(Delay!BI63="","",Fee*$A63+Vq*Delay!BI63)</f>
        <v>8.7</v>
      </c>
      <c r="BJ63" s="19" t="n">
        <f aca="false">IF(Delay!BJ63="","",Fee*$A63+Vq*Delay!BJ63)</f>
        <v>8.7</v>
      </c>
      <c r="BK63" s="19" t="n">
        <f aca="false">IF(Delay!BK63="","",Fee*$A63+Vq*Delay!BK63)</f>
        <v>8.7</v>
      </c>
      <c r="BL63" s="19" t="n">
        <f aca="false">IF(Delay!BL63="","",Fee*$A63+Vq*Delay!BL63)</f>
        <v>8.7</v>
      </c>
      <c r="BM63" s="19" t="n">
        <f aca="false">IF(Delay!BM63="","",Fee*$A63+Vq*Delay!BM63)</f>
        <v>8.7</v>
      </c>
      <c r="BN63" s="19" t="n">
        <f aca="false">IF(Delay!BN63="","",Fee*$A63+Vq*Delay!BN63)</f>
        <v>8.7</v>
      </c>
      <c r="BO63" s="19" t="n">
        <f aca="false">IF(Delay!BO63="","",Fee*$A63+Vq*Delay!BO63)</f>
        <v>8.7</v>
      </c>
      <c r="BP63" s="19" t="n">
        <f aca="false">IF(Delay!BP63="","",Fee*$A63+Vq*Delay!BP63)</f>
        <v>8.7</v>
      </c>
      <c r="BQ63" s="19" t="n">
        <f aca="false">IF(Delay!BQ63="","",Fee*$A63+Vq*Delay!BQ63)</f>
        <v>8.7</v>
      </c>
      <c r="BR63" s="19" t="n">
        <f aca="false">IF(Delay!BR63="","",Fee*$A63+Vq*Delay!BR63)</f>
        <v>8.7</v>
      </c>
      <c r="BS63" s="19" t="n">
        <f aca="false">IF(Delay!BS63="","",Fee*$A63+Vq*Delay!BS63)</f>
        <v>8.7</v>
      </c>
      <c r="BT63" s="19" t="n">
        <f aca="false">IF(Delay!BT63="","",Fee*$A63+Vq*Delay!BT63)</f>
        <v>8.7</v>
      </c>
      <c r="BU63" s="19" t="n">
        <f aca="false">IF(Delay!BU63="","",Fee*$A63+Vq*Delay!BU63)</f>
        <v>8.7</v>
      </c>
      <c r="BV63" s="19" t="n">
        <f aca="false">IF(Delay!BV63="","",Fee*$A63+Vq*Delay!BV63)</f>
        <v>8.7</v>
      </c>
      <c r="BW63" s="19" t="n">
        <f aca="false">IF(Delay!BW63="","",Fee*$A63+Vq*Delay!BW63)</f>
        <v>8.7</v>
      </c>
      <c r="BX63" s="19" t="n">
        <f aca="false">IF(Delay!BX63="","",Fee*$A63+Vq*Delay!BX63)</f>
        <v>8.7</v>
      </c>
      <c r="BY63" s="19" t="n">
        <f aca="false">IF(Delay!BY63="","",Fee*$A63+Vq*Delay!BY63)</f>
        <v>8.7</v>
      </c>
      <c r="BZ63" s="19" t="n">
        <f aca="false">IF(Delay!BZ63="","",Fee*$A63+Vq*Delay!BZ63)</f>
        <v>8.7</v>
      </c>
      <c r="CA63" s="19" t="n">
        <f aca="false">IF(Delay!CA63="","",Fee*$A63+Vq*Delay!CA63)</f>
        <v>8.7</v>
      </c>
      <c r="CB63" s="19" t="n">
        <f aca="false">IF(Delay!CB63="","",Fee*$A63+Vq*Delay!CB63)</f>
        <v>8.7</v>
      </c>
      <c r="CC63" s="19" t="n">
        <f aca="false">IF(Delay!CC63="","",Fee*$A63+Vq*Delay!CC63)</f>
        <v>8.7</v>
      </c>
      <c r="CD63" s="19" t="n">
        <f aca="false">IF(Delay!CD63="","",Fee*$A63+Vq*Delay!CD63)</f>
        <v>8.7</v>
      </c>
      <c r="CE63" s="19" t="n">
        <f aca="false">IF(Delay!CE63="","",Fee*$A63+Vq*Delay!CE63)</f>
        <v>8.7</v>
      </c>
      <c r="CF63" s="19" t="n">
        <f aca="false">IF(Delay!CF63="","",Fee*$A63+Vq*Delay!CF63)</f>
        <v>8.7</v>
      </c>
      <c r="CG63" s="19" t="n">
        <f aca="false">IF(Delay!CG63="","",Fee*$A63+Vq*Delay!CG63)</f>
        <v>8.7</v>
      </c>
      <c r="CH63" s="19" t="n">
        <f aca="false">IF(Delay!CH63="","",Fee*$A63+Vq*Delay!CH63)</f>
        <v>8.7</v>
      </c>
      <c r="CI63" s="19" t="n">
        <f aca="false">IF(Delay!CI63="","",Fee*$A63+Vq*Delay!CI63)</f>
        <v>8.7</v>
      </c>
      <c r="CJ63" s="19" t="n">
        <f aca="false">IF(Delay!CJ63="","",Fee*$A63+Vq*Delay!CJ63)</f>
        <v>8.7</v>
      </c>
      <c r="CK63" s="19" t="n">
        <f aca="false">IF(Delay!CK63="","",Fee*$A63+Vq*Delay!CK63)</f>
        <v>8.7</v>
      </c>
      <c r="CL63" s="19" t="n">
        <f aca="false">IF(Delay!CL63="","",Fee*$A63+Vq*Delay!CL63)</f>
        <v>8.7</v>
      </c>
      <c r="CM63" s="19" t="n">
        <f aca="false">IF(Delay!CM63="","",Fee*$A63+Vq*Delay!CM63)</f>
        <v>8.7</v>
      </c>
      <c r="CN63" s="19" t="n">
        <f aca="false">IF(Delay!CN63="","",Fee*$A63+Vq*Delay!CN63)</f>
        <v>8.7</v>
      </c>
      <c r="CO63" s="19" t="n">
        <f aca="false">IF(Delay!CO63="","",Fee*$A63+Vq*Delay!CO63)</f>
        <v>8.7</v>
      </c>
      <c r="CP63" s="19" t="n">
        <f aca="false">IF(Delay!CP63="","",Fee*$A63+Vq*Delay!CP63)</f>
        <v>8.7</v>
      </c>
      <c r="CQ63" s="19" t="n">
        <f aca="false">IF(Delay!CQ63="","",Fee*$A63+Vq*Delay!CQ63)</f>
        <v>8.7</v>
      </c>
      <c r="CR63" s="19" t="n">
        <f aca="false">IF(Delay!CR63="","",Fee*$A63+Vq*Delay!CR63)</f>
        <v>8.7</v>
      </c>
      <c r="CS63" s="19" t="n">
        <f aca="false">IF(Delay!CS63="","",Fee*$A63+Vq*Delay!CS63)</f>
        <v>8.7</v>
      </c>
      <c r="CT63" s="19" t="n">
        <f aca="false">IF(Delay!CT63="","",Fee*$A63+Vq*Delay!CT63)</f>
        <v>17.2748190644875</v>
      </c>
    </row>
    <row r="64" customFormat="false" ht="15" hidden="false" customHeight="false" outlineLevel="0" collapsed="false">
      <c r="A64" s="25" t="n">
        <f aca="false">Quantiles!A64</f>
        <v>295</v>
      </c>
      <c r="B64" s="19" t="n">
        <f aca="false">IF(Delay!B64="","",Fee*$A64+Vq*Delay!B64)</f>
        <v>25.211827582738</v>
      </c>
      <c r="C64" s="19" t="n">
        <f aca="false">IF(Delay!C64="","",Fee*$A64+Vq*Delay!C64)</f>
        <v>23.7147604303862</v>
      </c>
      <c r="D64" s="19" t="n">
        <f aca="false">IF(Delay!D64="","",Fee*$A64+Vq*Delay!D64)</f>
        <v>22.4251128865248</v>
      </c>
      <c r="E64" s="19" t="n">
        <f aca="false">IF(Delay!E64="","",Fee*$A64+Vq*Delay!E64)</f>
        <v>21.3178391320004</v>
      </c>
      <c r="F64" s="19" t="n">
        <f aca="false">IF(Delay!F64="","",Fee*$A64+Vq*Delay!F64)</f>
        <v>20.3504773889612</v>
      </c>
      <c r="G64" s="19" t="n">
        <f aca="false">IF(Delay!G64="","",Fee*$A64+Vq*Delay!G64)</f>
        <v>19.5084678420528</v>
      </c>
      <c r="H64" s="19" t="n">
        <f aca="false">IF(Delay!H64="","",Fee*$A64+Vq*Delay!H64)</f>
        <v>18.7466138774432</v>
      </c>
      <c r="I64" s="19" t="n">
        <f aca="false">IF(Delay!I64="","",Fee*$A64+Vq*Delay!I64)</f>
        <v>18.0320452670996</v>
      </c>
      <c r="J64" s="19" t="n">
        <f aca="false">IF(Delay!J64="","",Fee*$A64+Vq*Delay!J64)</f>
        <v>17.421604722199</v>
      </c>
      <c r="K64" s="19" t="n">
        <f aca="false">IF(Delay!K64="","",Fee*$A64+Vq*Delay!K64)</f>
        <v>16.7910250843496</v>
      </c>
      <c r="L64" s="19" t="n">
        <f aca="false">IF(Delay!L64="","",Fee*$A64+Vq*Delay!L64)</f>
        <v>16.1765567968615</v>
      </c>
      <c r="M64" s="19" t="n">
        <f aca="false">IF(Delay!M64="","",Fee*$A64+Vq*Delay!M64)</f>
        <v>15.6694105783246</v>
      </c>
      <c r="N64" s="19" t="n">
        <f aca="false">IF(Delay!N64="","",Fee*$A64+Vq*Delay!N64)</f>
        <v>15.1687553903915</v>
      </c>
      <c r="O64" s="19" t="n">
        <f aca="false">IF(Delay!O64="","",Fee*$A64+Vq*Delay!O64)</f>
        <v>14.6463004654235</v>
      </c>
      <c r="P64" s="19" t="n">
        <f aca="false">IF(Delay!P64="","",Fee*$A64+Vq*Delay!P64)</f>
        <v>14.1699060900895</v>
      </c>
      <c r="Q64" s="19" t="n">
        <f aca="false">IF(Delay!Q64="","",Fee*$A64+Vq*Delay!Q64)</f>
        <v>13.7198293598465</v>
      </c>
      <c r="R64" s="19" t="n">
        <f aca="false">IF(Delay!R64="","",Fee*$A64+Vq*Delay!R64)</f>
        <v>13.3073420944914</v>
      </c>
      <c r="S64" s="19" t="n">
        <f aca="false">IF(Delay!S64="","",Fee*$A64+Vq*Delay!S64)</f>
        <v>12.9038289822702</v>
      </c>
      <c r="T64" s="19" t="n">
        <f aca="false">IF(Delay!T64="","",Fee*$A64+Vq*Delay!T64)</f>
        <v>12.5325737634961</v>
      </c>
      <c r="U64" s="19" t="n">
        <f aca="false">IF(Delay!U64="","",Fee*$A64+Vq*Delay!U64)</f>
        <v>12.1827249308598</v>
      </c>
      <c r="V64" s="19" t="n">
        <f aca="false">IF(Delay!V64="","",Fee*$A64+Vq*Delay!V64)</f>
        <v>11.8261014602079</v>
      </c>
      <c r="W64" s="19" t="n">
        <f aca="false">IF(Delay!W64="","",Fee*$A64+Vq*Delay!W64)</f>
        <v>11.4673741643342</v>
      </c>
      <c r="X64" s="19" t="n">
        <f aca="false">IF(Delay!X64="","",Fee*$A64+Vq*Delay!X64)</f>
        <v>11.1094595848352</v>
      </c>
      <c r="Y64" s="19" t="n">
        <f aca="false">IF(Delay!Y64="","",Fee*$A64+Vq*Delay!Y64)</f>
        <v>10.8134709562514</v>
      </c>
      <c r="Z64" s="19" t="n">
        <f aca="false">IF(Delay!Z64="","",Fee*$A64+Vq*Delay!Z64)</f>
        <v>10.5001380373703</v>
      </c>
      <c r="AA64" s="19" t="n">
        <f aca="false">IF(Delay!AA64="","",Fee*$A64+Vq*Delay!AA64)</f>
        <v>10.1994654886825</v>
      </c>
      <c r="AB64" s="19" t="n">
        <f aca="false">IF(Delay!AB64="","",Fee*$A64+Vq*Delay!AB64)</f>
        <v>9.88058023713816</v>
      </c>
      <c r="AC64" s="19" t="n">
        <f aca="false">IF(Delay!AC64="","",Fee*$A64+Vq*Delay!AC64)</f>
        <v>9.59549972448248</v>
      </c>
      <c r="AD64" s="19" t="n">
        <f aca="false">IF(Delay!AD64="","",Fee*$A64+Vq*Delay!AD64)</f>
        <v>9.29562895956694</v>
      </c>
      <c r="AE64" s="19" t="n">
        <f aca="false">IF(Delay!AE64="","",Fee*$A64+Vq*Delay!AE64)</f>
        <v>9.02756511955814</v>
      </c>
      <c r="AF64" s="19" t="n">
        <f aca="false">IF(Delay!AF64="","",Fee*$A64+Vq*Delay!AF64)</f>
        <v>8.85</v>
      </c>
      <c r="AG64" s="19" t="n">
        <f aca="false">IF(Delay!AG64="","",Fee*$A64+Vq*Delay!AG64)</f>
        <v>8.85</v>
      </c>
      <c r="AH64" s="19" t="n">
        <f aca="false">IF(Delay!AH64="","",Fee*$A64+Vq*Delay!AH64)</f>
        <v>8.85</v>
      </c>
      <c r="AI64" s="19" t="n">
        <f aca="false">IF(Delay!AI64="","",Fee*$A64+Vq*Delay!AI64)</f>
        <v>8.85</v>
      </c>
      <c r="AJ64" s="19" t="n">
        <f aca="false">IF(Delay!AJ64="","",Fee*$A64+Vq*Delay!AJ64)</f>
        <v>8.85</v>
      </c>
      <c r="AK64" s="19" t="n">
        <f aca="false">IF(Delay!AK64="","",Fee*$A64+Vq*Delay!AK64)</f>
        <v>8.85</v>
      </c>
      <c r="AL64" s="19" t="n">
        <f aca="false">IF(Delay!AL64="","",Fee*$A64+Vq*Delay!AL64)</f>
        <v>8.85</v>
      </c>
      <c r="AM64" s="19" t="n">
        <f aca="false">IF(Delay!AM64="","",Fee*$A64+Vq*Delay!AM64)</f>
        <v>8.85</v>
      </c>
      <c r="AN64" s="19" t="n">
        <f aca="false">IF(Delay!AN64="","",Fee*$A64+Vq*Delay!AN64)</f>
        <v>8.85</v>
      </c>
      <c r="AO64" s="19" t="n">
        <f aca="false">IF(Delay!AO64="","",Fee*$A64+Vq*Delay!AO64)</f>
        <v>8.85</v>
      </c>
      <c r="AP64" s="19" t="n">
        <f aca="false">IF(Delay!AP64="","",Fee*$A64+Vq*Delay!AP64)</f>
        <v>8.85</v>
      </c>
      <c r="AQ64" s="19" t="n">
        <f aca="false">IF(Delay!AQ64="","",Fee*$A64+Vq*Delay!AQ64)</f>
        <v>8.85</v>
      </c>
      <c r="AR64" s="19" t="n">
        <f aca="false">IF(Delay!AR64="","",Fee*$A64+Vq*Delay!AR64)</f>
        <v>8.85</v>
      </c>
      <c r="AS64" s="19" t="n">
        <f aca="false">IF(Delay!AS64="","",Fee*$A64+Vq*Delay!AS64)</f>
        <v>8.85</v>
      </c>
      <c r="AT64" s="19" t="n">
        <f aca="false">IF(Delay!AT64="","",Fee*$A64+Vq*Delay!AT64)</f>
        <v>8.85</v>
      </c>
      <c r="AU64" s="19" t="n">
        <f aca="false">IF(Delay!AU64="","",Fee*$A64+Vq*Delay!AU64)</f>
        <v>8.85</v>
      </c>
      <c r="AV64" s="19" t="n">
        <f aca="false">IF(Delay!AV64="","",Fee*$A64+Vq*Delay!AV64)</f>
        <v>8.85</v>
      </c>
      <c r="AW64" s="19" t="n">
        <f aca="false">IF(Delay!AW64="","",Fee*$A64+Vq*Delay!AW64)</f>
        <v>8.85</v>
      </c>
      <c r="AX64" s="19" t="n">
        <f aca="false">IF(Delay!AX64="","",Fee*$A64+Vq*Delay!AX64)</f>
        <v>8.85</v>
      </c>
      <c r="AY64" s="19" t="n">
        <f aca="false">IF(Delay!AY64="","",Fee*$A64+Vq*Delay!AY64)</f>
        <v>8.85</v>
      </c>
      <c r="AZ64" s="19" t="n">
        <f aca="false">IF(Delay!AZ64="","",Fee*$A64+Vq*Delay!AZ64)</f>
        <v>8.85</v>
      </c>
      <c r="BA64" s="19" t="n">
        <f aca="false">IF(Delay!BA64="","",Fee*$A64+Vq*Delay!BA64)</f>
        <v>8.85</v>
      </c>
      <c r="BB64" s="19" t="n">
        <f aca="false">IF(Delay!BB64="","",Fee*$A64+Vq*Delay!BB64)</f>
        <v>8.85</v>
      </c>
      <c r="BC64" s="19" t="n">
        <f aca="false">IF(Delay!BC64="","",Fee*$A64+Vq*Delay!BC64)</f>
        <v>8.85</v>
      </c>
      <c r="BD64" s="19" t="n">
        <f aca="false">IF(Delay!BD64="","",Fee*$A64+Vq*Delay!BD64)</f>
        <v>8.85</v>
      </c>
      <c r="BE64" s="19" t="n">
        <f aca="false">IF(Delay!BE64="","",Fee*$A64+Vq*Delay!BE64)</f>
        <v>8.85</v>
      </c>
      <c r="BF64" s="19" t="n">
        <f aca="false">IF(Delay!BF64="","",Fee*$A64+Vq*Delay!BF64)</f>
        <v>8.85</v>
      </c>
      <c r="BG64" s="19" t="n">
        <f aca="false">IF(Delay!BG64="","",Fee*$A64+Vq*Delay!BG64)</f>
        <v>8.85</v>
      </c>
      <c r="BH64" s="19" t="n">
        <f aca="false">IF(Delay!BH64="","",Fee*$A64+Vq*Delay!BH64)</f>
        <v>8.85</v>
      </c>
      <c r="BI64" s="19" t="n">
        <f aca="false">IF(Delay!BI64="","",Fee*$A64+Vq*Delay!BI64)</f>
        <v>8.85</v>
      </c>
      <c r="BJ64" s="19" t="n">
        <f aca="false">IF(Delay!BJ64="","",Fee*$A64+Vq*Delay!BJ64)</f>
        <v>8.85</v>
      </c>
      <c r="BK64" s="19" t="n">
        <f aca="false">IF(Delay!BK64="","",Fee*$A64+Vq*Delay!BK64)</f>
        <v>8.85</v>
      </c>
      <c r="BL64" s="19" t="n">
        <f aca="false">IF(Delay!BL64="","",Fee*$A64+Vq*Delay!BL64)</f>
        <v>8.85</v>
      </c>
      <c r="BM64" s="19" t="n">
        <f aca="false">IF(Delay!BM64="","",Fee*$A64+Vq*Delay!BM64)</f>
        <v>8.85</v>
      </c>
      <c r="BN64" s="19" t="n">
        <f aca="false">IF(Delay!BN64="","",Fee*$A64+Vq*Delay!BN64)</f>
        <v>8.85</v>
      </c>
      <c r="BO64" s="19" t="n">
        <f aca="false">IF(Delay!BO64="","",Fee*$A64+Vq*Delay!BO64)</f>
        <v>8.85</v>
      </c>
      <c r="BP64" s="19" t="n">
        <f aca="false">IF(Delay!BP64="","",Fee*$A64+Vq*Delay!BP64)</f>
        <v>8.85</v>
      </c>
      <c r="BQ64" s="19" t="n">
        <f aca="false">IF(Delay!BQ64="","",Fee*$A64+Vq*Delay!BQ64)</f>
        <v>8.85</v>
      </c>
      <c r="BR64" s="19" t="n">
        <f aca="false">IF(Delay!BR64="","",Fee*$A64+Vq*Delay!BR64)</f>
        <v>8.85</v>
      </c>
      <c r="BS64" s="19" t="n">
        <f aca="false">IF(Delay!BS64="","",Fee*$A64+Vq*Delay!BS64)</f>
        <v>8.85</v>
      </c>
      <c r="BT64" s="19" t="n">
        <f aca="false">IF(Delay!BT64="","",Fee*$A64+Vq*Delay!BT64)</f>
        <v>8.85</v>
      </c>
      <c r="BU64" s="19" t="n">
        <f aca="false">IF(Delay!BU64="","",Fee*$A64+Vq*Delay!BU64)</f>
        <v>8.85</v>
      </c>
      <c r="BV64" s="19" t="n">
        <f aca="false">IF(Delay!BV64="","",Fee*$A64+Vq*Delay!BV64)</f>
        <v>8.85</v>
      </c>
      <c r="BW64" s="19" t="n">
        <f aca="false">IF(Delay!BW64="","",Fee*$A64+Vq*Delay!BW64)</f>
        <v>8.85</v>
      </c>
      <c r="BX64" s="19" t="n">
        <f aca="false">IF(Delay!BX64="","",Fee*$A64+Vq*Delay!BX64)</f>
        <v>8.85</v>
      </c>
      <c r="BY64" s="19" t="n">
        <f aca="false">IF(Delay!BY64="","",Fee*$A64+Vq*Delay!BY64)</f>
        <v>8.85</v>
      </c>
      <c r="BZ64" s="19" t="n">
        <f aca="false">IF(Delay!BZ64="","",Fee*$A64+Vq*Delay!BZ64)</f>
        <v>8.85</v>
      </c>
      <c r="CA64" s="19" t="n">
        <f aca="false">IF(Delay!CA64="","",Fee*$A64+Vq*Delay!CA64)</f>
        <v>8.85</v>
      </c>
      <c r="CB64" s="19" t="n">
        <f aca="false">IF(Delay!CB64="","",Fee*$A64+Vq*Delay!CB64)</f>
        <v>8.85</v>
      </c>
      <c r="CC64" s="19" t="n">
        <f aca="false">IF(Delay!CC64="","",Fee*$A64+Vq*Delay!CC64)</f>
        <v>8.85</v>
      </c>
      <c r="CD64" s="19" t="n">
        <f aca="false">IF(Delay!CD64="","",Fee*$A64+Vq*Delay!CD64)</f>
        <v>8.85</v>
      </c>
      <c r="CE64" s="19" t="n">
        <f aca="false">IF(Delay!CE64="","",Fee*$A64+Vq*Delay!CE64)</f>
        <v>8.85</v>
      </c>
      <c r="CF64" s="19" t="n">
        <f aca="false">IF(Delay!CF64="","",Fee*$A64+Vq*Delay!CF64)</f>
        <v>8.85</v>
      </c>
      <c r="CG64" s="19" t="n">
        <f aca="false">IF(Delay!CG64="","",Fee*$A64+Vq*Delay!CG64)</f>
        <v>8.85</v>
      </c>
      <c r="CH64" s="19" t="n">
        <f aca="false">IF(Delay!CH64="","",Fee*$A64+Vq*Delay!CH64)</f>
        <v>8.85</v>
      </c>
      <c r="CI64" s="19" t="n">
        <f aca="false">IF(Delay!CI64="","",Fee*$A64+Vq*Delay!CI64)</f>
        <v>8.85</v>
      </c>
      <c r="CJ64" s="19" t="n">
        <f aca="false">IF(Delay!CJ64="","",Fee*$A64+Vq*Delay!CJ64)</f>
        <v>8.85</v>
      </c>
      <c r="CK64" s="19" t="n">
        <f aca="false">IF(Delay!CK64="","",Fee*$A64+Vq*Delay!CK64)</f>
        <v>8.85</v>
      </c>
      <c r="CL64" s="19" t="n">
        <f aca="false">IF(Delay!CL64="","",Fee*$A64+Vq*Delay!CL64)</f>
        <v>8.85</v>
      </c>
      <c r="CM64" s="19" t="n">
        <f aca="false">IF(Delay!CM64="","",Fee*$A64+Vq*Delay!CM64)</f>
        <v>8.85</v>
      </c>
      <c r="CN64" s="19" t="n">
        <f aca="false">IF(Delay!CN64="","",Fee*$A64+Vq*Delay!CN64)</f>
        <v>8.85</v>
      </c>
      <c r="CO64" s="19" t="n">
        <f aca="false">IF(Delay!CO64="","",Fee*$A64+Vq*Delay!CO64)</f>
        <v>8.85</v>
      </c>
      <c r="CP64" s="19" t="n">
        <f aca="false">IF(Delay!CP64="","",Fee*$A64+Vq*Delay!CP64)</f>
        <v>8.85</v>
      </c>
      <c r="CQ64" s="19" t="n">
        <f aca="false">IF(Delay!CQ64="","",Fee*$A64+Vq*Delay!CQ64)</f>
        <v>8.85</v>
      </c>
      <c r="CR64" s="19" t="n">
        <f aca="false">IF(Delay!CR64="","",Fee*$A64+Vq*Delay!CR64)</f>
        <v>8.85</v>
      </c>
      <c r="CS64" s="19" t="n">
        <f aca="false">IF(Delay!CS64="","",Fee*$A64+Vq*Delay!CS64)</f>
        <v>8.85</v>
      </c>
      <c r="CT64" s="19" t="n">
        <f aca="false">IF(Delay!CT64="","",Fee*$A64+Vq*Delay!CT64)</f>
        <v>17.4133697836318</v>
      </c>
    </row>
    <row r="65" customFormat="false" ht="15" hidden="false" customHeight="false" outlineLevel="0" collapsed="false">
      <c r="A65" s="25" t="n">
        <f aca="false">Quantiles!A65</f>
        <v>300</v>
      </c>
      <c r="B65" s="19" t="n">
        <f aca="false">IF(Delay!B65="","",Fee*$A65+Vq*Delay!B65)</f>
        <v>25.361827582738</v>
      </c>
      <c r="C65" s="19" t="n">
        <f aca="false">IF(Delay!C65="","",Fee*$A65+Vq*Delay!C65)</f>
        <v>23.8647604303862</v>
      </c>
      <c r="D65" s="19" t="n">
        <f aca="false">IF(Delay!D65="","",Fee*$A65+Vq*Delay!D65)</f>
        <v>22.5682624335492</v>
      </c>
      <c r="E65" s="19" t="n">
        <f aca="false">IF(Delay!E65="","",Fee*$A65+Vq*Delay!E65)</f>
        <v>21.4613286407961</v>
      </c>
      <c r="F65" s="19" t="n">
        <f aca="false">IF(Delay!F65="","",Fee*$A65+Vq*Delay!F65)</f>
        <v>20.4992456106812</v>
      </c>
      <c r="G65" s="19" t="n">
        <f aca="false">IF(Delay!G65="","",Fee*$A65+Vq*Delay!G65)</f>
        <v>19.6580267449175</v>
      </c>
      <c r="H65" s="19" t="n">
        <f aca="false">IF(Delay!H65="","",Fee*$A65+Vq*Delay!H65)</f>
        <v>18.895967387945</v>
      </c>
      <c r="I65" s="19" t="n">
        <f aca="false">IF(Delay!I65="","",Fee*$A65+Vq*Delay!I65)</f>
        <v>18.1785563457315</v>
      </c>
      <c r="J65" s="19" t="n">
        <f aca="false">IF(Delay!J65="","",Fee*$A65+Vq*Delay!J65)</f>
        <v>17.5575903516588</v>
      </c>
      <c r="K65" s="19" t="n">
        <f aca="false">IF(Delay!K65="","",Fee*$A65+Vq*Delay!K65)</f>
        <v>16.9311348318791</v>
      </c>
      <c r="L65" s="19" t="n">
        <f aca="false">IF(Delay!L65="","",Fee*$A65+Vq*Delay!L65)</f>
        <v>16.3099979842892</v>
      </c>
      <c r="M65" s="19" t="n">
        <f aca="false">IF(Delay!M65="","",Fee*$A65+Vq*Delay!M65)</f>
        <v>15.8050023400479</v>
      </c>
      <c r="N65" s="19" t="n">
        <f aca="false">IF(Delay!N65="","",Fee*$A65+Vq*Delay!N65)</f>
        <v>15.3178194611438</v>
      </c>
      <c r="O65" s="19" t="n">
        <f aca="false">IF(Delay!O65="","",Fee*$A65+Vq*Delay!O65)</f>
        <v>14.7963004654235</v>
      </c>
      <c r="P65" s="19" t="n">
        <f aca="false">IF(Delay!P65="","",Fee*$A65+Vq*Delay!P65)</f>
        <v>14.3195953309423</v>
      </c>
      <c r="Q65" s="19" t="n">
        <f aca="false">IF(Delay!Q65="","",Fee*$A65+Vq*Delay!Q65)</f>
        <v>13.8693236206376</v>
      </c>
      <c r="R65" s="19" t="n">
        <f aca="false">IF(Delay!R65="","",Fee*$A65+Vq*Delay!R65)</f>
        <v>13.4541039272292</v>
      </c>
      <c r="S65" s="19" t="n">
        <f aca="false">IF(Delay!S65="","",Fee*$A65+Vq*Delay!S65)</f>
        <v>13.0527724260639</v>
      </c>
      <c r="T65" s="19" t="n">
        <f aca="false">IF(Delay!T65="","",Fee*$A65+Vq*Delay!T65)</f>
        <v>12.6825737634961</v>
      </c>
      <c r="U65" s="19" t="n">
        <f aca="false">IF(Delay!U65="","",Fee*$A65+Vq*Delay!U65)</f>
        <v>12.3327249308598</v>
      </c>
      <c r="V65" s="19" t="n">
        <f aca="false">IF(Delay!V65="","",Fee*$A65+Vq*Delay!V65)</f>
        <v>11.9761014602079</v>
      </c>
      <c r="W65" s="19" t="n">
        <f aca="false">IF(Delay!W65="","",Fee*$A65+Vq*Delay!W65)</f>
        <v>11.6173741643342</v>
      </c>
      <c r="X65" s="19" t="n">
        <f aca="false">IF(Delay!X65="","",Fee*$A65+Vq*Delay!X65)</f>
        <v>11.2594595848352</v>
      </c>
      <c r="Y65" s="19" t="n">
        <f aca="false">IF(Delay!Y65="","",Fee*$A65+Vq*Delay!Y65)</f>
        <v>10.9634709562514</v>
      </c>
      <c r="Z65" s="19" t="n">
        <f aca="false">IF(Delay!Z65="","",Fee*$A65+Vq*Delay!Z65)</f>
        <v>10.6476851451683</v>
      </c>
      <c r="AA65" s="19" t="n">
        <f aca="false">IF(Delay!AA65="","",Fee*$A65+Vq*Delay!AA65)</f>
        <v>10.3493899787207</v>
      </c>
      <c r="AB65" s="19" t="n">
        <f aca="false">IF(Delay!AB65="","",Fee*$A65+Vq*Delay!AB65)</f>
        <v>10.0285202155782</v>
      </c>
      <c r="AC65" s="19" t="n">
        <f aca="false">IF(Delay!AC65="","",Fee*$A65+Vq*Delay!AC65)</f>
        <v>9.74303242129656</v>
      </c>
      <c r="AD65" s="19" t="n">
        <f aca="false">IF(Delay!AD65="","",Fee*$A65+Vq*Delay!AD65)</f>
        <v>9.44303300787156</v>
      </c>
      <c r="AE65" s="19" t="n">
        <f aca="false">IF(Delay!AE65="","",Fee*$A65+Vq*Delay!AE65)</f>
        <v>9.1747136056915</v>
      </c>
      <c r="AF65" s="19" t="n">
        <f aca="false">IF(Delay!AF65="","",Fee*$A65+Vq*Delay!AF65)</f>
        <v>9</v>
      </c>
      <c r="AG65" s="19" t="n">
        <f aca="false">IF(Delay!AG65="","",Fee*$A65+Vq*Delay!AG65)</f>
        <v>9</v>
      </c>
      <c r="AH65" s="19" t="n">
        <f aca="false">IF(Delay!AH65="","",Fee*$A65+Vq*Delay!AH65)</f>
        <v>9</v>
      </c>
      <c r="AI65" s="19" t="n">
        <f aca="false">IF(Delay!AI65="","",Fee*$A65+Vq*Delay!AI65)</f>
        <v>9</v>
      </c>
      <c r="AJ65" s="19" t="n">
        <f aca="false">IF(Delay!AJ65="","",Fee*$A65+Vq*Delay!AJ65)</f>
        <v>9</v>
      </c>
      <c r="AK65" s="19" t="n">
        <f aca="false">IF(Delay!AK65="","",Fee*$A65+Vq*Delay!AK65)</f>
        <v>9</v>
      </c>
      <c r="AL65" s="19" t="n">
        <f aca="false">IF(Delay!AL65="","",Fee*$A65+Vq*Delay!AL65)</f>
        <v>9</v>
      </c>
      <c r="AM65" s="19" t="n">
        <f aca="false">IF(Delay!AM65="","",Fee*$A65+Vq*Delay!AM65)</f>
        <v>9</v>
      </c>
      <c r="AN65" s="19" t="n">
        <f aca="false">IF(Delay!AN65="","",Fee*$A65+Vq*Delay!AN65)</f>
        <v>9</v>
      </c>
      <c r="AO65" s="19" t="n">
        <f aca="false">IF(Delay!AO65="","",Fee*$A65+Vq*Delay!AO65)</f>
        <v>9</v>
      </c>
      <c r="AP65" s="19" t="n">
        <f aca="false">IF(Delay!AP65="","",Fee*$A65+Vq*Delay!AP65)</f>
        <v>9</v>
      </c>
      <c r="AQ65" s="19" t="n">
        <f aca="false">IF(Delay!AQ65="","",Fee*$A65+Vq*Delay!AQ65)</f>
        <v>9</v>
      </c>
      <c r="AR65" s="19" t="n">
        <f aca="false">IF(Delay!AR65="","",Fee*$A65+Vq*Delay!AR65)</f>
        <v>9</v>
      </c>
      <c r="AS65" s="19" t="n">
        <f aca="false">IF(Delay!AS65="","",Fee*$A65+Vq*Delay!AS65)</f>
        <v>9</v>
      </c>
      <c r="AT65" s="19" t="n">
        <f aca="false">IF(Delay!AT65="","",Fee*$A65+Vq*Delay!AT65)</f>
        <v>9</v>
      </c>
      <c r="AU65" s="19" t="n">
        <f aca="false">IF(Delay!AU65="","",Fee*$A65+Vq*Delay!AU65)</f>
        <v>9</v>
      </c>
      <c r="AV65" s="19" t="n">
        <f aca="false">IF(Delay!AV65="","",Fee*$A65+Vq*Delay!AV65)</f>
        <v>9</v>
      </c>
      <c r="AW65" s="19" t="n">
        <f aca="false">IF(Delay!AW65="","",Fee*$A65+Vq*Delay!AW65)</f>
        <v>9</v>
      </c>
      <c r="AX65" s="19" t="n">
        <f aca="false">IF(Delay!AX65="","",Fee*$A65+Vq*Delay!AX65)</f>
        <v>9</v>
      </c>
      <c r="AY65" s="19" t="n">
        <f aca="false">IF(Delay!AY65="","",Fee*$A65+Vq*Delay!AY65)</f>
        <v>9</v>
      </c>
      <c r="AZ65" s="19" t="n">
        <f aca="false">IF(Delay!AZ65="","",Fee*$A65+Vq*Delay!AZ65)</f>
        <v>9</v>
      </c>
      <c r="BA65" s="19" t="n">
        <f aca="false">IF(Delay!BA65="","",Fee*$A65+Vq*Delay!BA65)</f>
        <v>9</v>
      </c>
      <c r="BB65" s="19" t="n">
        <f aca="false">IF(Delay!BB65="","",Fee*$A65+Vq*Delay!BB65)</f>
        <v>9</v>
      </c>
      <c r="BC65" s="19" t="n">
        <f aca="false">IF(Delay!BC65="","",Fee*$A65+Vq*Delay!BC65)</f>
        <v>9</v>
      </c>
      <c r="BD65" s="19" t="n">
        <f aca="false">IF(Delay!BD65="","",Fee*$A65+Vq*Delay!BD65)</f>
        <v>9</v>
      </c>
      <c r="BE65" s="19" t="n">
        <f aca="false">IF(Delay!BE65="","",Fee*$A65+Vq*Delay!BE65)</f>
        <v>9</v>
      </c>
      <c r="BF65" s="19" t="n">
        <f aca="false">IF(Delay!BF65="","",Fee*$A65+Vq*Delay!BF65)</f>
        <v>9</v>
      </c>
      <c r="BG65" s="19" t="n">
        <f aca="false">IF(Delay!BG65="","",Fee*$A65+Vq*Delay!BG65)</f>
        <v>9</v>
      </c>
      <c r="BH65" s="19" t="n">
        <f aca="false">IF(Delay!BH65="","",Fee*$A65+Vq*Delay!BH65)</f>
        <v>9</v>
      </c>
      <c r="BI65" s="19" t="n">
        <f aca="false">IF(Delay!BI65="","",Fee*$A65+Vq*Delay!BI65)</f>
        <v>9</v>
      </c>
      <c r="BJ65" s="19" t="n">
        <f aca="false">IF(Delay!BJ65="","",Fee*$A65+Vq*Delay!BJ65)</f>
        <v>9</v>
      </c>
      <c r="BK65" s="19" t="n">
        <f aca="false">IF(Delay!BK65="","",Fee*$A65+Vq*Delay!BK65)</f>
        <v>9</v>
      </c>
      <c r="BL65" s="19" t="n">
        <f aca="false">IF(Delay!BL65="","",Fee*$A65+Vq*Delay!BL65)</f>
        <v>9</v>
      </c>
      <c r="BM65" s="19" t="n">
        <f aca="false">IF(Delay!BM65="","",Fee*$A65+Vq*Delay!BM65)</f>
        <v>9</v>
      </c>
      <c r="BN65" s="19" t="n">
        <f aca="false">IF(Delay!BN65="","",Fee*$A65+Vq*Delay!BN65)</f>
        <v>9</v>
      </c>
      <c r="BO65" s="19" t="n">
        <f aca="false">IF(Delay!BO65="","",Fee*$A65+Vq*Delay!BO65)</f>
        <v>9</v>
      </c>
      <c r="BP65" s="19" t="n">
        <f aca="false">IF(Delay!BP65="","",Fee*$A65+Vq*Delay!BP65)</f>
        <v>9</v>
      </c>
      <c r="BQ65" s="19" t="n">
        <f aca="false">IF(Delay!BQ65="","",Fee*$A65+Vq*Delay!BQ65)</f>
        <v>9</v>
      </c>
      <c r="BR65" s="19" t="n">
        <f aca="false">IF(Delay!BR65="","",Fee*$A65+Vq*Delay!BR65)</f>
        <v>9</v>
      </c>
      <c r="BS65" s="19" t="n">
        <f aca="false">IF(Delay!BS65="","",Fee*$A65+Vq*Delay!BS65)</f>
        <v>9</v>
      </c>
      <c r="BT65" s="19" t="n">
        <f aca="false">IF(Delay!BT65="","",Fee*$A65+Vq*Delay!BT65)</f>
        <v>9</v>
      </c>
      <c r="BU65" s="19" t="n">
        <f aca="false">IF(Delay!BU65="","",Fee*$A65+Vq*Delay!BU65)</f>
        <v>9</v>
      </c>
      <c r="BV65" s="19" t="n">
        <f aca="false">IF(Delay!BV65="","",Fee*$A65+Vq*Delay!BV65)</f>
        <v>9</v>
      </c>
      <c r="BW65" s="19" t="n">
        <f aca="false">IF(Delay!BW65="","",Fee*$A65+Vq*Delay!BW65)</f>
        <v>9</v>
      </c>
      <c r="BX65" s="19" t="n">
        <f aca="false">IF(Delay!BX65="","",Fee*$A65+Vq*Delay!BX65)</f>
        <v>9</v>
      </c>
      <c r="BY65" s="19" t="n">
        <f aca="false">IF(Delay!BY65="","",Fee*$A65+Vq*Delay!BY65)</f>
        <v>9</v>
      </c>
      <c r="BZ65" s="19" t="n">
        <f aca="false">IF(Delay!BZ65="","",Fee*$A65+Vq*Delay!BZ65)</f>
        <v>9</v>
      </c>
      <c r="CA65" s="19" t="n">
        <f aca="false">IF(Delay!CA65="","",Fee*$A65+Vq*Delay!CA65)</f>
        <v>9</v>
      </c>
      <c r="CB65" s="19" t="n">
        <f aca="false">IF(Delay!CB65="","",Fee*$A65+Vq*Delay!CB65)</f>
        <v>9</v>
      </c>
      <c r="CC65" s="19" t="n">
        <f aca="false">IF(Delay!CC65="","",Fee*$A65+Vq*Delay!CC65)</f>
        <v>9</v>
      </c>
      <c r="CD65" s="19" t="n">
        <f aca="false">IF(Delay!CD65="","",Fee*$A65+Vq*Delay!CD65)</f>
        <v>9</v>
      </c>
      <c r="CE65" s="19" t="n">
        <f aca="false">IF(Delay!CE65="","",Fee*$A65+Vq*Delay!CE65)</f>
        <v>9</v>
      </c>
      <c r="CF65" s="19" t="n">
        <f aca="false">IF(Delay!CF65="","",Fee*$A65+Vq*Delay!CF65)</f>
        <v>9</v>
      </c>
      <c r="CG65" s="19" t="n">
        <f aca="false">IF(Delay!CG65="","",Fee*$A65+Vq*Delay!CG65)</f>
        <v>9</v>
      </c>
      <c r="CH65" s="19" t="n">
        <f aca="false">IF(Delay!CH65="","",Fee*$A65+Vq*Delay!CH65)</f>
        <v>9</v>
      </c>
      <c r="CI65" s="19" t="n">
        <f aca="false">IF(Delay!CI65="","",Fee*$A65+Vq*Delay!CI65)</f>
        <v>9</v>
      </c>
      <c r="CJ65" s="19" t="n">
        <f aca="false">IF(Delay!CJ65="","",Fee*$A65+Vq*Delay!CJ65)</f>
        <v>9</v>
      </c>
      <c r="CK65" s="19" t="n">
        <f aca="false">IF(Delay!CK65="","",Fee*$A65+Vq*Delay!CK65)</f>
        <v>9</v>
      </c>
      <c r="CL65" s="19" t="n">
        <f aca="false">IF(Delay!CL65="","",Fee*$A65+Vq*Delay!CL65)</f>
        <v>9</v>
      </c>
      <c r="CM65" s="19" t="n">
        <f aca="false">IF(Delay!CM65="","",Fee*$A65+Vq*Delay!CM65)</f>
        <v>9</v>
      </c>
      <c r="CN65" s="19" t="n">
        <f aca="false">IF(Delay!CN65="","",Fee*$A65+Vq*Delay!CN65)</f>
        <v>9</v>
      </c>
      <c r="CO65" s="19" t="n">
        <f aca="false">IF(Delay!CO65="","",Fee*$A65+Vq*Delay!CO65)</f>
        <v>9</v>
      </c>
      <c r="CP65" s="19" t="n">
        <f aca="false">IF(Delay!CP65="","",Fee*$A65+Vq*Delay!CP65)</f>
        <v>9</v>
      </c>
      <c r="CQ65" s="19" t="n">
        <f aca="false">IF(Delay!CQ65="","",Fee*$A65+Vq*Delay!CQ65)</f>
        <v>9</v>
      </c>
      <c r="CR65" s="19" t="n">
        <f aca="false">IF(Delay!CR65="","",Fee*$A65+Vq*Delay!CR65)</f>
        <v>9</v>
      </c>
      <c r="CS65" s="19" t="n">
        <f aca="false">IF(Delay!CS65="","",Fee*$A65+Vq*Delay!CS65)</f>
        <v>9</v>
      </c>
      <c r="CT65" s="19" t="n">
        <f aca="false">IF(Delay!CT65="","",Fee*$A65+Vq*Delay!CT65)</f>
        <v>17.5511623512398</v>
      </c>
    </row>
    <row r="66" customFormat="false" ht="15" hidden="false" customHeight="false" outlineLevel="0" collapsed="false">
      <c r="A66" s="25" t="n">
        <f aca="false">Quantiles!A66</f>
        <v>305</v>
      </c>
      <c r="B66" s="19" t="n">
        <f aca="false">IF(Delay!B66="","",Fee*$A66+Vq*Delay!B66)</f>
        <v>25.511827582738</v>
      </c>
      <c r="C66" s="19" t="n">
        <f aca="false">IF(Delay!C66="","",Fee*$A66+Vq*Delay!C66)</f>
        <v>24.0147604303862</v>
      </c>
      <c r="D66" s="19" t="n">
        <f aca="false">IF(Delay!D66="","",Fee*$A66+Vq*Delay!D66)</f>
        <v>22.7182624335492</v>
      </c>
      <c r="E66" s="19" t="n">
        <f aca="false">IF(Delay!E66="","",Fee*$A66+Vq*Delay!E66)</f>
        <v>21.6096875042036</v>
      </c>
      <c r="F66" s="19" t="n">
        <f aca="false">IF(Delay!F66="","",Fee*$A66+Vq*Delay!F66)</f>
        <v>20.645351222505</v>
      </c>
      <c r="G66" s="19" t="n">
        <f aca="false">IF(Delay!G66="","",Fee*$A66+Vq*Delay!G66)</f>
        <v>19.80166300158</v>
      </c>
      <c r="H66" s="19" t="n">
        <f aca="false">IF(Delay!H66="","",Fee*$A66+Vq*Delay!H66)</f>
        <v>19.0425533425222</v>
      </c>
      <c r="I66" s="19" t="n">
        <f aca="false">IF(Delay!I66="","",Fee*$A66+Vq*Delay!I66)</f>
        <v>18.3277889236208</v>
      </c>
      <c r="J66" s="19" t="n">
        <f aca="false">IF(Delay!J66="","",Fee*$A66+Vq*Delay!J66)</f>
        <v>17.7075903516588</v>
      </c>
      <c r="K66" s="19" t="n">
        <f aca="false">IF(Delay!K66="","",Fee*$A66+Vq*Delay!K66)</f>
        <v>17.0763538416427</v>
      </c>
      <c r="L66" s="19" t="n">
        <f aca="false">IF(Delay!L66="","",Fee*$A66+Vq*Delay!L66)</f>
        <v>16.4586486578341</v>
      </c>
      <c r="M66" s="19" t="n">
        <f aca="false">IF(Delay!M66="","",Fee*$A66+Vq*Delay!M66)</f>
        <v>15.9492029475748</v>
      </c>
      <c r="N66" s="19" t="n">
        <f aca="false">IF(Delay!N66="","",Fee*$A66+Vq*Delay!N66)</f>
        <v>15.4556169483895</v>
      </c>
      <c r="O66" s="19" t="n">
        <f aca="false">IF(Delay!O66="","",Fee*$A66+Vq*Delay!O66)</f>
        <v>14.9312572445168</v>
      </c>
      <c r="P66" s="19" t="n">
        <f aca="false">IF(Delay!P66="","",Fee*$A66+Vq*Delay!P66)</f>
        <v>14.4649765924735</v>
      </c>
      <c r="Q66" s="19" t="n">
        <f aca="false">IF(Delay!Q66="","",Fee*$A66+Vq*Delay!Q66)</f>
        <v>14.0160318807466</v>
      </c>
      <c r="R66" s="19" t="n">
        <f aca="false">IF(Delay!R66="","",Fee*$A66+Vq*Delay!R66)</f>
        <v>13.6041039272292</v>
      </c>
      <c r="S66" s="19" t="n">
        <f aca="false">IF(Delay!S66="","",Fee*$A66+Vq*Delay!S66)</f>
        <v>13.2027724260639</v>
      </c>
      <c r="T66" s="19" t="n">
        <f aca="false">IF(Delay!T66="","",Fee*$A66+Vq*Delay!T66)</f>
        <v>12.8319415862035</v>
      </c>
      <c r="U66" s="19" t="n">
        <f aca="false">IF(Delay!U66="","",Fee*$A66+Vq*Delay!U66)</f>
        <v>12.481938894217</v>
      </c>
      <c r="V66" s="19" t="n">
        <f aca="false">IF(Delay!V66="","",Fee*$A66+Vq*Delay!V66)</f>
        <v>12.1260963837306</v>
      </c>
      <c r="W66" s="19" t="n">
        <f aca="false">IF(Delay!W66="","",Fee*$A66+Vq*Delay!W66)</f>
        <v>11.7661384394039</v>
      </c>
      <c r="X66" s="19" t="n">
        <f aca="false">IF(Delay!X66="","",Fee*$A66+Vq*Delay!X66)</f>
        <v>11.4093425509899</v>
      </c>
      <c r="Y66" s="19" t="n">
        <f aca="false">IF(Delay!Y66="","",Fee*$A66+Vq*Delay!Y66)</f>
        <v>11.1134709562514</v>
      </c>
      <c r="Z66" s="19" t="n">
        <f aca="false">IF(Delay!Z66="","",Fee*$A66+Vq*Delay!Z66)</f>
        <v>10.7976851451683</v>
      </c>
      <c r="AA66" s="19" t="n">
        <f aca="false">IF(Delay!AA66="","",Fee*$A66+Vq*Delay!AA66)</f>
        <v>10.4993899787207</v>
      </c>
      <c r="AB66" s="19" t="n">
        <f aca="false">IF(Delay!AB66="","",Fee*$A66+Vq*Delay!AB66)</f>
        <v>10.1785202155782</v>
      </c>
      <c r="AC66" s="19" t="n">
        <f aca="false">IF(Delay!AC66="","",Fee*$A66+Vq*Delay!AC66)</f>
        <v>9.89303242129656</v>
      </c>
      <c r="AD66" s="19" t="n">
        <f aca="false">IF(Delay!AD66="","",Fee*$A66+Vq*Delay!AD66)</f>
        <v>9.59303300787156</v>
      </c>
      <c r="AE66" s="19" t="n">
        <f aca="false">IF(Delay!AE66="","",Fee*$A66+Vq*Delay!AE66)</f>
        <v>9.3247136056915</v>
      </c>
      <c r="AF66" s="19" t="n">
        <f aca="false">IF(Delay!AF66="","",Fee*$A66+Vq*Delay!AF66)</f>
        <v>9.15</v>
      </c>
      <c r="AG66" s="19" t="n">
        <f aca="false">IF(Delay!AG66="","",Fee*$A66+Vq*Delay!AG66)</f>
        <v>9.15</v>
      </c>
      <c r="AH66" s="19" t="n">
        <f aca="false">IF(Delay!AH66="","",Fee*$A66+Vq*Delay!AH66)</f>
        <v>9.15</v>
      </c>
      <c r="AI66" s="19" t="n">
        <f aca="false">IF(Delay!AI66="","",Fee*$A66+Vq*Delay!AI66)</f>
        <v>9.15</v>
      </c>
      <c r="AJ66" s="19" t="n">
        <f aca="false">IF(Delay!AJ66="","",Fee*$A66+Vq*Delay!AJ66)</f>
        <v>9.15</v>
      </c>
      <c r="AK66" s="19" t="n">
        <f aca="false">IF(Delay!AK66="","",Fee*$A66+Vq*Delay!AK66)</f>
        <v>9.15</v>
      </c>
      <c r="AL66" s="19" t="n">
        <f aca="false">IF(Delay!AL66="","",Fee*$A66+Vq*Delay!AL66)</f>
        <v>9.15</v>
      </c>
      <c r="AM66" s="19" t="n">
        <f aca="false">IF(Delay!AM66="","",Fee*$A66+Vq*Delay!AM66)</f>
        <v>9.15</v>
      </c>
      <c r="AN66" s="19" t="n">
        <f aca="false">IF(Delay!AN66="","",Fee*$A66+Vq*Delay!AN66)</f>
        <v>9.15</v>
      </c>
      <c r="AO66" s="19" t="n">
        <f aca="false">IF(Delay!AO66="","",Fee*$A66+Vq*Delay!AO66)</f>
        <v>9.15</v>
      </c>
      <c r="AP66" s="19" t="n">
        <f aca="false">IF(Delay!AP66="","",Fee*$A66+Vq*Delay!AP66)</f>
        <v>9.15</v>
      </c>
      <c r="AQ66" s="19" t="n">
        <f aca="false">IF(Delay!AQ66="","",Fee*$A66+Vq*Delay!AQ66)</f>
        <v>9.15</v>
      </c>
      <c r="AR66" s="19" t="n">
        <f aca="false">IF(Delay!AR66="","",Fee*$A66+Vq*Delay!AR66)</f>
        <v>9.15</v>
      </c>
      <c r="AS66" s="19" t="n">
        <f aca="false">IF(Delay!AS66="","",Fee*$A66+Vq*Delay!AS66)</f>
        <v>9.15</v>
      </c>
      <c r="AT66" s="19" t="n">
        <f aca="false">IF(Delay!AT66="","",Fee*$A66+Vq*Delay!AT66)</f>
        <v>9.15</v>
      </c>
      <c r="AU66" s="19" t="n">
        <f aca="false">IF(Delay!AU66="","",Fee*$A66+Vq*Delay!AU66)</f>
        <v>9.15</v>
      </c>
      <c r="AV66" s="19" t="n">
        <f aca="false">IF(Delay!AV66="","",Fee*$A66+Vq*Delay!AV66)</f>
        <v>9.15</v>
      </c>
      <c r="AW66" s="19" t="n">
        <f aca="false">IF(Delay!AW66="","",Fee*$A66+Vq*Delay!AW66)</f>
        <v>9.15</v>
      </c>
      <c r="AX66" s="19" t="n">
        <f aca="false">IF(Delay!AX66="","",Fee*$A66+Vq*Delay!AX66)</f>
        <v>9.15</v>
      </c>
      <c r="AY66" s="19" t="n">
        <f aca="false">IF(Delay!AY66="","",Fee*$A66+Vq*Delay!AY66)</f>
        <v>9.15</v>
      </c>
      <c r="AZ66" s="19" t="n">
        <f aca="false">IF(Delay!AZ66="","",Fee*$A66+Vq*Delay!AZ66)</f>
        <v>9.15</v>
      </c>
      <c r="BA66" s="19" t="n">
        <f aca="false">IF(Delay!BA66="","",Fee*$A66+Vq*Delay!BA66)</f>
        <v>9.15</v>
      </c>
      <c r="BB66" s="19" t="n">
        <f aca="false">IF(Delay!BB66="","",Fee*$A66+Vq*Delay!BB66)</f>
        <v>9.15</v>
      </c>
      <c r="BC66" s="19" t="n">
        <f aca="false">IF(Delay!BC66="","",Fee*$A66+Vq*Delay!BC66)</f>
        <v>9.15</v>
      </c>
      <c r="BD66" s="19" t="n">
        <f aca="false">IF(Delay!BD66="","",Fee*$A66+Vq*Delay!BD66)</f>
        <v>9.15</v>
      </c>
      <c r="BE66" s="19" t="n">
        <f aca="false">IF(Delay!BE66="","",Fee*$A66+Vq*Delay!BE66)</f>
        <v>9.15</v>
      </c>
      <c r="BF66" s="19" t="n">
        <f aca="false">IF(Delay!BF66="","",Fee*$A66+Vq*Delay!BF66)</f>
        <v>9.15</v>
      </c>
      <c r="BG66" s="19" t="n">
        <f aca="false">IF(Delay!BG66="","",Fee*$A66+Vq*Delay!BG66)</f>
        <v>9.15</v>
      </c>
      <c r="BH66" s="19" t="n">
        <f aca="false">IF(Delay!BH66="","",Fee*$A66+Vq*Delay!BH66)</f>
        <v>9.15</v>
      </c>
      <c r="BI66" s="19" t="n">
        <f aca="false">IF(Delay!BI66="","",Fee*$A66+Vq*Delay!BI66)</f>
        <v>9.15</v>
      </c>
      <c r="BJ66" s="19" t="n">
        <f aca="false">IF(Delay!BJ66="","",Fee*$A66+Vq*Delay!BJ66)</f>
        <v>9.15</v>
      </c>
      <c r="BK66" s="19" t="n">
        <f aca="false">IF(Delay!BK66="","",Fee*$A66+Vq*Delay!BK66)</f>
        <v>9.15</v>
      </c>
      <c r="BL66" s="19" t="n">
        <f aca="false">IF(Delay!BL66="","",Fee*$A66+Vq*Delay!BL66)</f>
        <v>9.15</v>
      </c>
      <c r="BM66" s="19" t="n">
        <f aca="false">IF(Delay!BM66="","",Fee*$A66+Vq*Delay!BM66)</f>
        <v>9.15</v>
      </c>
      <c r="BN66" s="19" t="n">
        <f aca="false">IF(Delay!BN66="","",Fee*$A66+Vq*Delay!BN66)</f>
        <v>9.15</v>
      </c>
      <c r="BO66" s="19" t="n">
        <f aca="false">IF(Delay!BO66="","",Fee*$A66+Vq*Delay!BO66)</f>
        <v>9.15</v>
      </c>
      <c r="BP66" s="19" t="n">
        <f aca="false">IF(Delay!BP66="","",Fee*$A66+Vq*Delay!BP66)</f>
        <v>9.15</v>
      </c>
      <c r="BQ66" s="19" t="n">
        <f aca="false">IF(Delay!BQ66="","",Fee*$A66+Vq*Delay!BQ66)</f>
        <v>9.15</v>
      </c>
      <c r="BR66" s="19" t="n">
        <f aca="false">IF(Delay!BR66="","",Fee*$A66+Vq*Delay!BR66)</f>
        <v>9.15</v>
      </c>
      <c r="BS66" s="19" t="n">
        <f aca="false">IF(Delay!BS66="","",Fee*$A66+Vq*Delay!BS66)</f>
        <v>9.15</v>
      </c>
      <c r="BT66" s="19" t="n">
        <f aca="false">IF(Delay!BT66="","",Fee*$A66+Vq*Delay!BT66)</f>
        <v>9.15</v>
      </c>
      <c r="BU66" s="19" t="n">
        <f aca="false">IF(Delay!BU66="","",Fee*$A66+Vq*Delay!BU66)</f>
        <v>9.15</v>
      </c>
      <c r="BV66" s="19" t="n">
        <f aca="false">IF(Delay!BV66="","",Fee*$A66+Vq*Delay!BV66)</f>
        <v>9.15</v>
      </c>
      <c r="BW66" s="19" t="n">
        <f aca="false">IF(Delay!BW66="","",Fee*$A66+Vq*Delay!BW66)</f>
        <v>9.15</v>
      </c>
      <c r="BX66" s="19" t="n">
        <f aca="false">IF(Delay!BX66="","",Fee*$A66+Vq*Delay!BX66)</f>
        <v>9.15</v>
      </c>
      <c r="BY66" s="19" t="n">
        <f aca="false">IF(Delay!BY66="","",Fee*$A66+Vq*Delay!BY66)</f>
        <v>9.15</v>
      </c>
      <c r="BZ66" s="19" t="n">
        <f aca="false">IF(Delay!BZ66="","",Fee*$A66+Vq*Delay!BZ66)</f>
        <v>9.15</v>
      </c>
      <c r="CA66" s="19" t="n">
        <f aca="false">IF(Delay!CA66="","",Fee*$A66+Vq*Delay!CA66)</f>
        <v>9.15</v>
      </c>
      <c r="CB66" s="19" t="n">
        <f aca="false">IF(Delay!CB66="","",Fee*$A66+Vq*Delay!CB66)</f>
        <v>9.15</v>
      </c>
      <c r="CC66" s="19" t="n">
        <f aca="false">IF(Delay!CC66="","",Fee*$A66+Vq*Delay!CC66)</f>
        <v>9.15</v>
      </c>
      <c r="CD66" s="19" t="n">
        <f aca="false">IF(Delay!CD66="","",Fee*$A66+Vq*Delay!CD66)</f>
        <v>9.15</v>
      </c>
      <c r="CE66" s="19" t="n">
        <f aca="false">IF(Delay!CE66="","",Fee*$A66+Vq*Delay!CE66)</f>
        <v>9.15</v>
      </c>
      <c r="CF66" s="19" t="n">
        <f aca="false">IF(Delay!CF66="","",Fee*$A66+Vq*Delay!CF66)</f>
        <v>9.15</v>
      </c>
      <c r="CG66" s="19" t="n">
        <f aca="false">IF(Delay!CG66="","",Fee*$A66+Vq*Delay!CG66)</f>
        <v>9.15</v>
      </c>
      <c r="CH66" s="19" t="n">
        <f aca="false">IF(Delay!CH66="","",Fee*$A66+Vq*Delay!CH66)</f>
        <v>9.15</v>
      </c>
      <c r="CI66" s="19" t="n">
        <f aca="false">IF(Delay!CI66="","",Fee*$A66+Vq*Delay!CI66)</f>
        <v>9.15</v>
      </c>
      <c r="CJ66" s="19" t="n">
        <f aca="false">IF(Delay!CJ66="","",Fee*$A66+Vq*Delay!CJ66)</f>
        <v>9.15</v>
      </c>
      <c r="CK66" s="19" t="n">
        <f aca="false">IF(Delay!CK66="","",Fee*$A66+Vq*Delay!CK66)</f>
        <v>9.15</v>
      </c>
      <c r="CL66" s="19" t="n">
        <f aca="false">IF(Delay!CL66="","",Fee*$A66+Vq*Delay!CL66)</f>
        <v>9.15</v>
      </c>
      <c r="CM66" s="19" t="n">
        <f aca="false">IF(Delay!CM66="","",Fee*$A66+Vq*Delay!CM66)</f>
        <v>9.15</v>
      </c>
      <c r="CN66" s="19" t="n">
        <f aca="false">IF(Delay!CN66="","",Fee*$A66+Vq*Delay!CN66)</f>
        <v>9.15</v>
      </c>
      <c r="CO66" s="19" t="n">
        <f aca="false">IF(Delay!CO66="","",Fee*$A66+Vq*Delay!CO66)</f>
        <v>9.15</v>
      </c>
      <c r="CP66" s="19" t="n">
        <f aca="false">IF(Delay!CP66="","",Fee*$A66+Vq*Delay!CP66)</f>
        <v>9.15</v>
      </c>
      <c r="CQ66" s="19" t="n">
        <f aca="false">IF(Delay!CQ66="","",Fee*$A66+Vq*Delay!CQ66)</f>
        <v>9.15</v>
      </c>
      <c r="CR66" s="19" t="n">
        <f aca="false">IF(Delay!CR66="","",Fee*$A66+Vq*Delay!CR66)</f>
        <v>9.15</v>
      </c>
      <c r="CS66" s="19" t="n">
        <f aca="false">IF(Delay!CS66="","",Fee*$A66+Vq*Delay!CS66)</f>
        <v>9.15</v>
      </c>
      <c r="CT66" s="19" t="n">
        <f aca="false">IF(Delay!CT66="","",Fee*$A66+Vq*Delay!CT66)</f>
        <v>17.7011623512398</v>
      </c>
    </row>
    <row r="67" customFormat="false" ht="15" hidden="false" customHeight="false" outlineLevel="0" collapsed="false">
      <c r="A67" s="25" t="n">
        <f aca="false">Quantiles!A67</f>
        <v>310</v>
      </c>
      <c r="B67" s="19" t="n">
        <f aca="false">IF(Delay!B67="","",Fee*$A67+Vq*Delay!B67)</f>
        <v>25.661827582738</v>
      </c>
      <c r="C67" s="19" t="n">
        <f aca="false">IF(Delay!C67="","",Fee*$A67+Vq*Delay!C67)</f>
        <v>24.1647604303862</v>
      </c>
      <c r="D67" s="19" t="n">
        <f aca="false">IF(Delay!D67="","",Fee*$A67+Vq*Delay!D67)</f>
        <v>22.8682624335492</v>
      </c>
      <c r="E67" s="19" t="n">
        <f aca="false">IF(Delay!E67="","",Fee*$A67+Vq*Delay!E67)</f>
        <v>21.7596875042036</v>
      </c>
      <c r="F67" s="19" t="n">
        <f aca="false">IF(Delay!F67="","",Fee*$A67+Vq*Delay!F67)</f>
        <v>20.795351222505</v>
      </c>
      <c r="G67" s="19" t="n">
        <f aca="false">IF(Delay!G67="","",Fee*$A67+Vq*Delay!G67)</f>
        <v>19.9478959546355</v>
      </c>
      <c r="H67" s="19" t="n">
        <f aca="false">IF(Delay!H67="","",Fee*$A67+Vq*Delay!H67)</f>
        <v>19.1924014253365</v>
      </c>
      <c r="I67" s="19" t="n">
        <f aca="false">IF(Delay!I67="","",Fee*$A67+Vq*Delay!I67)</f>
        <v>18.4683817597905</v>
      </c>
      <c r="J67" s="19" t="n">
        <f aca="false">IF(Delay!J67="","",Fee*$A67+Vq*Delay!J67)</f>
        <v>17.8549104963054</v>
      </c>
      <c r="K67" s="19" t="n">
        <f aca="false">IF(Delay!K67="","",Fee*$A67+Vq*Delay!K67)</f>
        <v>17.2255423195705</v>
      </c>
      <c r="L67" s="19" t="n">
        <f aca="false">IF(Delay!L67="","",Fee*$A67+Vq*Delay!L67)</f>
        <v>16.6065844421614</v>
      </c>
      <c r="M67" s="19" t="n">
        <f aca="false">IF(Delay!M67="","",Fee*$A67+Vq*Delay!M67)</f>
        <v>16.0992029475748</v>
      </c>
      <c r="N67" s="19" t="n">
        <f aca="false">IF(Delay!N67="","",Fee*$A67+Vq*Delay!N67)</f>
        <v>15.5987013302877</v>
      </c>
      <c r="O67" s="19" t="n">
        <f aca="false">IF(Delay!O67="","",Fee*$A67+Vq*Delay!O67)</f>
        <v>15.0742572166574</v>
      </c>
      <c r="P67" s="19" t="n">
        <f aca="false">IF(Delay!P67="","",Fee*$A67+Vq*Delay!P67)</f>
        <v>14.609277293736</v>
      </c>
      <c r="Q67" s="19" t="n">
        <f aca="false">IF(Delay!Q67="","",Fee*$A67+Vq*Delay!Q67)</f>
        <v>14.158173701671</v>
      </c>
      <c r="R67" s="19" t="n">
        <f aca="false">IF(Delay!R67="","",Fee*$A67+Vq*Delay!R67)</f>
        <v>13.7516397288781</v>
      </c>
      <c r="S67" s="19" t="n">
        <f aca="false">IF(Delay!S67="","",Fee*$A67+Vq*Delay!S67)</f>
        <v>13.3510322724422</v>
      </c>
      <c r="T67" s="19" t="n">
        <f aca="false">IF(Delay!T67="","",Fee*$A67+Vq*Delay!T67)</f>
        <v>12.9805081374754</v>
      </c>
      <c r="U67" s="19" t="n">
        <f aca="false">IF(Delay!U67="","",Fee*$A67+Vq*Delay!U67)</f>
        <v>12.6250413380889</v>
      </c>
      <c r="V67" s="19" t="n">
        <f aca="false">IF(Delay!V67="","",Fee*$A67+Vq*Delay!V67)</f>
        <v>12.2760963837306</v>
      </c>
      <c r="W67" s="19" t="n">
        <f aca="false">IF(Delay!W67="","",Fee*$A67+Vq*Delay!W67)</f>
        <v>11.9161384394039</v>
      </c>
      <c r="X67" s="19" t="n">
        <f aca="false">IF(Delay!X67="","",Fee*$A67+Vq*Delay!X67)</f>
        <v>11.5593425509899</v>
      </c>
      <c r="Y67" s="19" t="n">
        <f aca="false">IF(Delay!Y67="","",Fee*$A67+Vq*Delay!Y67)</f>
        <v>11.2615189590196</v>
      </c>
      <c r="Z67" s="19" t="n">
        <f aca="false">IF(Delay!Z67="","",Fee*$A67+Vq*Delay!Z67)</f>
        <v>10.947409954905</v>
      </c>
      <c r="AA67" s="19" t="n">
        <f aca="false">IF(Delay!AA67="","",Fee*$A67+Vq*Delay!AA67)</f>
        <v>10.6488009440646</v>
      </c>
      <c r="AB67" s="19" t="n">
        <f aca="false">IF(Delay!AB67="","",Fee*$A67+Vq*Delay!AB67)</f>
        <v>10.3273693172675</v>
      </c>
      <c r="AC67" s="19" t="n">
        <f aca="false">IF(Delay!AC67="","",Fee*$A67+Vq*Delay!AC67)</f>
        <v>10.0418365606917</v>
      </c>
      <c r="AD67" s="19" t="n">
        <f aca="false">IF(Delay!AD67="","",Fee*$A67+Vq*Delay!AD67)</f>
        <v>9.74303300787156</v>
      </c>
      <c r="AE67" s="19" t="n">
        <f aca="false">IF(Delay!AE67="","",Fee*$A67+Vq*Delay!AE67)</f>
        <v>9.4747136056915</v>
      </c>
      <c r="AF67" s="19" t="n">
        <f aca="false">IF(Delay!AF67="","",Fee*$A67+Vq*Delay!AF67)</f>
        <v>9.3</v>
      </c>
      <c r="AG67" s="19" t="n">
        <f aca="false">IF(Delay!AG67="","",Fee*$A67+Vq*Delay!AG67)</f>
        <v>9.3</v>
      </c>
      <c r="AH67" s="19" t="n">
        <f aca="false">IF(Delay!AH67="","",Fee*$A67+Vq*Delay!AH67)</f>
        <v>9.3</v>
      </c>
      <c r="AI67" s="19" t="n">
        <f aca="false">IF(Delay!AI67="","",Fee*$A67+Vq*Delay!AI67)</f>
        <v>9.3</v>
      </c>
      <c r="AJ67" s="19" t="n">
        <f aca="false">IF(Delay!AJ67="","",Fee*$A67+Vq*Delay!AJ67)</f>
        <v>9.3</v>
      </c>
      <c r="AK67" s="19" t="n">
        <f aca="false">IF(Delay!AK67="","",Fee*$A67+Vq*Delay!AK67)</f>
        <v>9.3</v>
      </c>
      <c r="AL67" s="19" t="n">
        <f aca="false">IF(Delay!AL67="","",Fee*$A67+Vq*Delay!AL67)</f>
        <v>9.3</v>
      </c>
      <c r="AM67" s="19" t="n">
        <f aca="false">IF(Delay!AM67="","",Fee*$A67+Vq*Delay!AM67)</f>
        <v>9.3</v>
      </c>
      <c r="AN67" s="19" t="n">
        <f aca="false">IF(Delay!AN67="","",Fee*$A67+Vq*Delay!AN67)</f>
        <v>9.3</v>
      </c>
      <c r="AO67" s="19" t="n">
        <f aca="false">IF(Delay!AO67="","",Fee*$A67+Vq*Delay!AO67)</f>
        <v>9.3</v>
      </c>
      <c r="AP67" s="19" t="n">
        <f aca="false">IF(Delay!AP67="","",Fee*$A67+Vq*Delay!AP67)</f>
        <v>9.3</v>
      </c>
      <c r="AQ67" s="19" t="n">
        <f aca="false">IF(Delay!AQ67="","",Fee*$A67+Vq*Delay!AQ67)</f>
        <v>9.3</v>
      </c>
      <c r="AR67" s="19" t="n">
        <f aca="false">IF(Delay!AR67="","",Fee*$A67+Vq*Delay!AR67)</f>
        <v>9.3</v>
      </c>
      <c r="AS67" s="19" t="n">
        <f aca="false">IF(Delay!AS67="","",Fee*$A67+Vq*Delay!AS67)</f>
        <v>9.3</v>
      </c>
      <c r="AT67" s="19" t="n">
        <f aca="false">IF(Delay!AT67="","",Fee*$A67+Vq*Delay!AT67)</f>
        <v>9.3</v>
      </c>
      <c r="AU67" s="19" t="n">
        <f aca="false">IF(Delay!AU67="","",Fee*$A67+Vq*Delay!AU67)</f>
        <v>9.3</v>
      </c>
      <c r="AV67" s="19" t="n">
        <f aca="false">IF(Delay!AV67="","",Fee*$A67+Vq*Delay!AV67)</f>
        <v>9.3</v>
      </c>
      <c r="AW67" s="19" t="n">
        <f aca="false">IF(Delay!AW67="","",Fee*$A67+Vq*Delay!AW67)</f>
        <v>9.3</v>
      </c>
      <c r="AX67" s="19" t="n">
        <f aca="false">IF(Delay!AX67="","",Fee*$A67+Vq*Delay!AX67)</f>
        <v>9.3</v>
      </c>
      <c r="AY67" s="19" t="n">
        <f aca="false">IF(Delay!AY67="","",Fee*$A67+Vq*Delay!AY67)</f>
        <v>9.3</v>
      </c>
      <c r="AZ67" s="19" t="n">
        <f aca="false">IF(Delay!AZ67="","",Fee*$A67+Vq*Delay!AZ67)</f>
        <v>9.3</v>
      </c>
      <c r="BA67" s="19" t="n">
        <f aca="false">IF(Delay!BA67="","",Fee*$A67+Vq*Delay!BA67)</f>
        <v>9.3</v>
      </c>
      <c r="BB67" s="19" t="n">
        <f aca="false">IF(Delay!BB67="","",Fee*$A67+Vq*Delay!BB67)</f>
        <v>9.3</v>
      </c>
      <c r="BC67" s="19" t="n">
        <f aca="false">IF(Delay!BC67="","",Fee*$A67+Vq*Delay!BC67)</f>
        <v>9.3</v>
      </c>
      <c r="BD67" s="19" t="n">
        <f aca="false">IF(Delay!BD67="","",Fee*$A67+Vq*Delay!BD67)</f>
        <v>9.3</v>
      </c>
      <c r="BE67" s="19" t="n">
        <f aca="false">IF(Delay!BE67="","",Fee*$A67+Vq*Delay!BE67)</f>
        <v>9.3</v>
      </c>
      <c r="BF67" s="19" t="n">
        <f aca="false">IF(Delay!BF67="","",Fee*$A67+Vq*Delay!BF67)</f>
        <v>9.3</v>
      </c>
      <c r="BG67" s="19" t="n">
        <f aca="false">IF(Delay!BG67="","",Fee*$A67+Vq*Delay!BG67)</f>
        <v>9.3</v>
      </c>
      <c r="BH67" s="19" t="n">
        <f aca="false">IF(Delay!BH67="","",Fee*$A67+Vq*Delay!BH67)</f>
        <v>9.3</v>
      </c>
      <c r="BI67" s="19" t="n">
        <f aca="false">IF(Delay!BI67="","",Fee*$A67+Vq*Delay!BI67)</f>
        <v>9.3</v>
      </c>
      <c r="BJ67" s="19" t="n">
        <f aca="false">IF(Delay!BJ67="","",Fee*$A67+Vq*Delay!BJ67)</f>
        <v>9.3</v>
      </c>
      <c r="BK67" s="19" t="n">
        <f aca="false">IF(Delay!BK67="","",Fee*$A67+Vq*Delay!BK67)</f>
        <v>9.3</v>
      </c>
      <c r="BL67" s="19" t="n">
        <f aca="false">IF(Delay!BL67="","",Fee*$A67+Vq*Delay!BL67)</f>
        <v>9.3</v>
      </c>
      <c r="BM67" s="19" t="n">
        <f aca="false">IF(Delay!BM67="","",Fee*$A67+Vq*Delay!BM67)</f>
        <v>9.3</v>
      </c>
      <c r="BN67" s="19" t="n">
        <f aca="false">IF(Delay!BN67="","",Fee*$A67+Vq*Delay!BN67)</f>
        <v>9.3</v>
      </c>
      <c r="BO67" s="19" t="n">
        <f aca="false">IF(Delay!BO67="","",Fee*$A67+Vq*Delay!BO67)</f>
        <v>9.3</v>
      </c>
      <c r="BP67" s="19" t="n">
        <f aca="false">IF(Delay!BP67="","",Fee*$A67+Vq*Delay!BP67)</f>
        <v>9.3</v>
      </c>
      <c r="BQ67" s="19" t="n">
        <f aca="false">IF(Delay!BQ67="","",Fee*$A67+Vq*Delay!BQ67)</f>
        <v>9.3</v>
      </c>
      <c r="BR67" s="19" t="n">
        <f aca="false">IF(Delay!BR67="","",Fee*$A67+Vq*Delay!BR67)</f>
        <v>9.3</v>
      </c>
      <c r="BS67" s="19" t="n">
        <f aca="false">IF(Delay!BS67="","",Fee*$A67+Vq*Delay!BS67)</f>
        <v>9.3</v>
      </c>
      <c r="BT67" s="19" t="n">
        <f aca="false">IF(Delay!BT67="","",Fee*$A67+Vq*Delay!BT67)</f>
        <v>9.3</v>
      </c>
      <c r="BU67" s="19" t="n">
        <f aca="false">IF(Delay!BU67="","",Fee*$A67+Vq*Delay!BU67)</f>
        <v>9.3</v>
      </c>
      <c r="BV67" s="19" t="n">
        <f aca="false">IF(Delay!BV67="","",Fee*$A67+Vq*Delay!BV67)</f>
        <v>9.3</v>
      </c>
      <c r="BW67" s="19" t="n">
        <f aca="false">IF(Delay!BW67="","",Fee*$A67+Vq*Delay!BW67)</f>
        <v>9.3</v>
      </c>
      <c r="BX67" s="19" t="n">
        <f aca="false">IF(Delay!BX67="","",Fee*$A67+Vq*Delay!BX67)</f>
        <v>9.3</v>
      </c>
      <c r="BY67" s="19" t="n">
        <f aca="false">IF(Delay!BY67="","",Fee*$A67+Vq*Delay!BY67)</f>
        <v>9.3</v>
      </c>
      <c r="BZ67" s="19" t="n">
        <f aca="false">IF(Delay!BZ67="","",Fee*$A67+Vq*Delay!BZ67)</f>
        <v>9.3</v>
      </c>
      <c r="CA67" s="19" t="n">
        <f aca="false">IF(Delay!CA67="","",Fee*$A67+Vq*Delay!CA67)</f>
        <v>9.3</v>
      </c>
      <c r="CB67" s="19" t="n">
        <f aca="false">IF(Delay!CB67="","",Fee*$A67+Vq*Delay!CB67)</f>
        <v>9.3</v>
      </c>
      <c r="CC67" s="19" t="n">
        <f aca="false">IF(Delay!CC67="","",Fee*$A67+Vq*Delay!CC67)</f>
        <v>9.3</v>
      </c>
      <c r="CD67" s="19" t="n">
        <f aca="false">IF(Delay!CD67="","",Fee*$A67+Vq*Delay!CD67)</f>
        <v>9.3</v>
      </c>
      <c r="CE67" s="19" t="n">
        <f aca="false">IF(Delay!CE67="","",Fee*$A67+Vq*Delay!CE67)</f>
        <v>9.3</v>
      </c>
      <c r="CF67" s="19" t="n">
        <f aca="false">IF(Delay!CF67="","",Fee*$A67+Vq*Delay!CF67)</f>
        <v>9.3</v>
      </c>
      <c r="CG67" s="19" t="n">
        <f aca="false">IF(Delay!CG67="","",Fee*$A67+Vq*Delay!CG67)</f>
        <v>9.3</v>
      </c>
      <c r="CH67" s="19" t="n">
        <f aca="false">IF(Delay!CH67="","",Fee*$A67+Vq*Delay!CH67)</f>
        <v>9.3</v>
      </c>
      <c r="CI67" s="19" t="n">
        <f aca="false">IF(Delay!CI67="","",Fee*$A67+Vq*Delay!CI67)</f>
        <v>9.3</v>
      </c>
      <c r="CJ67" s="19" t="n">
        <f aca="false">IF(Delay!CJ67="","",Fee*$A67+Vq*Delay!CJ67)</f>
        <v>9.3</v>
      </c>
      <c r="CK67" s="19" t="n">
        <f aca="false">IF(Delay!CK67="","",Fee*$A67+Vq*Delay!CK67)</f>
        <v>9.3</v>
      </c>
      <c r="CL67" s="19" t="n">
        <f aca="false">IF(Delay!CL67="","",Fee*$A67+Vq*Delay!CL67)</f>
        <v>9.3</v>
      </c>
      <c r="CM67" s="19" t="n">
        <f aca="false">IF(Delay!CM67="","",Fee*$A67+Vq*Delay!CM67)</f>
        <v>9.3</v>
      </c>
      <c r="CN67" s="19" t="n">
        <f aca="false">IF(Delay!CN67="","",Fee*$A67+Vq*Delay!CN67)</f>
        <v>9.3</v>
      </c>
      <c r="CO67" s="19" t="n">
        <f aca="false">IF(Delay!CO67="","",Fee*$A67+Vq*Delay!CO67)</f>
        <v>9.3</v>
      </c>
      <c r="CP67" s="19" t="n">
        <f aca="false">IF(Delay!CP67="","",Fee*$A67+Vq*Delay!CP67)</f>
        <v>9.3</v>
      </c>
      <c r="CQ67" s="19" t="n">
        <f aca="false">IF(Delay!CQ67="","",Fee*$A67+Vq*Delay!CQ67)</f>
        <v>9.3</v>
      </c>
      <c r="CR67" s="19" t="n">
        <f aca="false">IF(Delay!CR67="","",Fee*$A67+Vq*Delay!CR67)</f>
        <v>9.3</v>
      </c>
      <c r="CS67" s="19" t="n">
        <f aca="false">IF(Delay!CS67="","",Fee*$A67+Vq*Delay!CS67)</f>
        <v>9.3</v>
      </c>
      <c r="CT67" s="19" t="n">
        <f aca="false">IF(Delay!CT67="","",Fee*$A67+Vq*Delay!CT67)</f>
        <v>17.8503367044211</v>
      </c>
    </row>
    <row r="68" customFormat="false" ht="15" hidden="false" customHeight="false" outlineLevel="0" collapsed="false">
      <c r="A68" s="25" t="n">
        <f aca="false">Quantiles!A68</f>
        <v>315</v>
      </c>
      <c r="B68" s="19" t="n">
        <f aca="false">IF(Delay!B68="","",Fee*$A68+Vq*Delay!B68)</f>
        <v>25.811827582738</v>
      </c>
      <c r="C68" s="19" t="n">
        <f aca="false">IF(Delay!C68="","",Fee*$A68+Vq*Delay!C68)</f>
        <v>24.3147604303862</v>
      </c>
      <c r="D68" s="19" t="n">
        <f aca="false">IF(Delay!D68="","",Fee*$A68+Vq*Delay!D68)</f>
        <v>23.0182624335492</v>
      </c>
      <c r="E68" s="19" t="n">
        <f aca="false">IF(Delay!E68="","",Fee*$A68+Vq*Delay!E68)</f>
        <v>21.9096875042036</v>
      </c>
      <c r="F68" s="19" t="n">
        <f aca="false">IF(Delay!F68="","",Fee*$A68+Vq*Delay!F68)</f>
        <v>20.945351222505</v>
      </c>
      <c r="G68" s="19" t="n">
        <f aca="false">IF(Delay!G68="","",Fee*$A68+Vq*Delay!G68)</f>
        <v>20.0978959546355</v>
      </c>
      <c r="H68" s="19" t="n">
        <f aca="false">IF(Delay!H68="","",Fee*$A68+Vq*Delay!H68)</f>
        <v>19.3424014253365</v>
      </c>
      <c r="I68" s="19" t="n">
        <f aca="false">IF(Delay!I68="","",Fee*$A68+Vq*Delay!I68)</f>
        <v>18.6183817597905</v>
      </c>
      <c r="J68" s="19" t="n">
        <f aca="false">IF(Delay!J68="","",Fee*$A68+Vq*Delay!J68)</f>
        <v>18.0011623512398</v>
      </c>
      <c r="K68" s="19" t="n">
        <f aca="false">IF(Delay!K68="","",Fee*$A68+Vq*Delay!K68)</f>
        <v>17.3737827245511</v>
      </c>
      <c r="L68" s="19" t="n">
        <f aca="false">IF(Delay!L68="","",Fee*$A68+Vq*Delay!L68)</f>
        <v>16.756524813354</v>
      </c>
      <c r="M68" s="19" t="n">
        <f aca="false">IF(Delay!M68="","",Fee*$A68+Vq*Delay!M68)</f>
        <v>16.2465725669881</v>
      </c>
      <c r="N68" s="19" t="n">
        <f aca="false">IF(Delay!N68="","",Fee*$A68+Vq*Delay!N68)</f>
        <v>15.7448557770512</v>
      </c>
      <c r="O68" s="19" t="n">
        <f aca="false">IF(Delay!O68="","",Fee*$A68+Vq*Delay!O68)</f>
        <v>15.22325282429</v>
      </c>
      <c r="P68" s="19" t="n">
        <f aca="false">IF(Delay!P68="","",Fee*$A68+Vq*Delay!P68)</f>
        <v>14.759277293736</v>
      </c>
      <c r="Q68" s="19" t="n">
        <f aca="false">IF(Delay!Q68="","",Fee*$A68+Vq*Delay!Q68)</f>
        <v>14.3064517949481</v>
      </c>
      <c r="R68" s="19" t="n">
        <f aca="false">IF(Delay!R68="","",Fee*$A68+Vq*Delay!R68)</f>
        <v>13.8944646148931</v>
      </c>
      <c r="S68" s="19" t="n">
        <f aca="false">IF(Delay!S68="","",Fee*$A68+Vq*Delay!S68)</f>
        <v>13.4994610691947</v>
      </c>
      <c r="T68" s="19" t="n">
        <f aca="false">IF(Delay!T68="","",Fee*$A68+Vq*Delay!T68)</f>
        <v>13.1259918583687</v>
      </c>
      <c r="U68" s="19" t="n">
        <f aca="false">IF(Delay!U68="","",Fee*$A68+Vq*Delay!U68)</f>
        <v>12.7689763073026</v>
      </c>
      <c r="V68" s="19" t="n">
        <f aca="false">IF(Delay!V68="","",Fee*$A68+Vq*Delay!V68)</f>
        <v>12.4243802330152</v>
      </c>
      <c r="W68" s="19" t="n">
        <f aca="false">IF(Delay!W68="","",Fee*$A68+Vq*Delay!W68)</f>
        <v>12.0613601635836</v>
      </c>
      <c r="X68" s="19" t="n">
        <f aca="false">IF(Delay!X68="","",Fee*$A68+Vq*Delay!X68)</f>
        <v>11.7071922452676</v>
      </c>
      <c r="Y68" s="19" t="n">
        <f aca="false">IF(Delay!Y68="","",Fee*$A68+Vq*Delay!Y68)</f>
        <v>11.4108863079608</v>
      </c>
      <c r="Z68" s="19" t="n">
        <f aca="false">IF(Delay!Z68="","",Fee*$A68+Vq*Delay!Z68)</f>
        <v>11.0926102936085</v>
      </c>
      <c r="AA68" s="19" t="n">
        <f aca="false">IF(Delay!AA68="","",Fee*$A68+Vq*Delay!AA68)</f>
        <v>10.7987479623906</v>
      </c>
      <c r="AB68" s="19" t="n">
        <f aca="false">IF(Delay!AB68="","",Fee*$A68+Vq*Delay!AB68)</f>
        <v>10.4773693172675</v>
      </c>
      <c r="AC68" s="19" t="n">
        <f aca="false">IF(Delay!AC68="","",Fee*$A68+Vq*Delay!AC68)</f>
        <v>10.1918365606917</v>
      </c>
      <c r="AD68" s="19" t="n">
        <f aca="false">IF(Delay!AD68="","",Fee*$A68+Vq*Delay!AD68)</f>
        <v>9.89268257885108</v>
      </c>
      <c r="AE68" s="19" t="n">
        <f aca="false">IF(Delay!AE68="","",Fee*$A68+Vq*Delay!AE68)</f>
        <v>9.62435413909746</v>
      </c>
      <c r="AF68" s="19" t="n">
        <f aca="false">IF(Delay!AF68="","",Fee*$A68+Vq*Delay!AF68)</f>
        <v>9.45</v>
      </c>
      <c r="AG68" s="19" t="n">
        <f aca="false">IF(Delay!AG68="","",Fee*$A68+Vq*Delay!AG68)</f>
        <v>9.45</v>
      </c>
      <c r="AH68" s="19" t="n">
        <f aca="false">IF(Delay!AH68="","",Fee*$A68+Vq*Delay!AH68)</f>
        <v>9.45</v>
      </c>
      <c r="AI68" s="19" t="n">
        <f aca="false">IF(Delay!AI68="","",Fee*$A68+Vq*Delay!AI68)</f>
        <v>9.45</v>
      </c>
      <c r="AJ68" s="19" t="n">
        <f aca="false">IF(Delay!AJ68="","",Fee*$A68+Vq*Delay!AJ68)</f>
        <v>9.45</v>
      </c>
      <c r="AK68" s="19" t="n">
        <f aca="false">IF(Delay!AK68="","",Fee*$A68+Vq*Delay!AK68)</f>
        <v>9.45</v>
      </c>
      <c r="AL68" s="19" t="n">
        <f aca="false">IF(Delay!AL68="","",Fee*$A68+Vq*Delay!AL68)</f>
        <v>9.45</v>
      </c>
      <c r="AM68" s="19" t="n">
        <f aca="false">IF(Delay!AM68="","",Fee*$A68+Vq*Delay!AM68)</f>
        <v>9.45</v>
      </c>
      <c r="AN68" s="19" t="n">
        <f aca="false">IF(Delay!AN68="","",Fee*$A68+Vq*Delay!AN68)</f>
        <v>9.45</v>
      </c>
      <c r="AO68" s="19" t="n">
        <f aca="false">IF(Delay!AO68="","",Fee*$A68+Vq*Delay!AO68)</f>
        <v>9.45</v>
      </c>
      <c r="AP68" s="19" t="n">
        <f aca="false">IF(Delay!AP68="","",Fee*$A68+Vq*Delay!AP68)</f>
        <v>9.45</v>
      </c>
      <c r="AQ68" s="19" t="n">
        <f aca="false">IF(Delay!AQ68="","",Fee*$A68+Vq*Delay!AQ68)</f>
        <v>9.45</v>
      </c>
      <c r="AR68" s="19" t="n">
        <f aca="false">IF(Delay!AR68="","",Fee*$A68+Vq*Delay!AR68)</f>
        <v>9.45</v>
      </c>
      <c r="AS68" s="19" t="n">
        <f aca="false">IF(Delay!AS68="","",Fee*$A68+Vq*Delay!AS68)</f>
        <v>9.45</v>
      </c>
      <c r="AT68" s="19" t="n">
        <f aca="false">IF(Delay!AT68="","",Fee*$A68+Vq*Delay!AT68)</f>
        <v>9.45</v>
      </c>
      <c r="AU68" s="19" t="n">
        <f aca="false">IF(Delay!AU68="","",Fee*$A68+Vq*Delay!AU68)</f>
        <v>9.45</v>
      </c>
      <c r="AV68" s="19" t="n">
        <f aca="false">IF(Delay!AV68="","",Fee*$A68+Vq*Delay!AV68)</f>
        <v>9.45</v>
      </c>
      <c r="AW68" s="19" t="n">
        <f aca="false">IF(Delay!AW68="","",Fee*$A68+Vq*Delay!AW68)</f>
        <v>9.45</v>
      </c>
      <c r="AX68" s="19" t="n">
        <f aca="false">IF(Delay!AX68="","",Fee*$A68+Vq*Delay!AX68)</f>
        <v>9.45</v>
      </c>
      <c r="AY68" s="19" t="n">
        <f aca="false">IF(Delay!AY68="","",Fee*$A68+Vq*Delay!AY68)</f>
        <v>9.45</v>
      </c>
      <c r="AZ68" s="19" t="n">
        <f aca="false">IF(Delay!AZ68="","",Fee*$A68+Vq*Delay!AZ68)</f>
        <v>9.45</v>
      </c>
      <c r="BA68" s="19" t="n">
        <f aca="false">IF(Delay!BA68="","",Fee*$A68+Vq*Delay!BA68)</f>
        <v>9.45</v>
      </c>
      <c r="BB68" s="19" t="n">
        <f aca="false">IF(Delay!BB68="","",Fee*$A68+Vq*Delay!BB68)</f>
        <v>9.45</v>
      </c>
      <c r="BC68" s="19" t="n">
        <f aca="false">IF(Delay!BC68="","",Fee*$A68+Vq*Delay!BC68)</f>
        <v>9.45</v>
      </c>
      <c r="BD68" s="19" t="n">
        <f aca="false">IF(Delay!BD68="","",Fee*$A68+Vq*Delay!BD68)</f>
        <v>9.45</v>
      </c>
      <c r="BE68" s="19" t="n">
        <f aca="false">IF(Delay!BE68="","",Fee*$A68+Vq*Delay!BE68)</f>
        <v>9.45</v>
      </c>
      <c r="BF68" s="19" t="n">
        <f aca="false">IF(Delay!BF68="","",Fee*$A68+Vq*Delay!BF68)</f>
        <v>9.45</v>
      </c>
      <c r="BG68" s="19" t="n">
        <f aca="false">IF(Delay!BG68="","",Fee*$A68+Vq*Delay!BG68)</f>
        <v>9.45</v>
      </c>
      <c r="BH68" s="19" t="n">
        <f aca="false">IF(Delay!BH68="","",Fee*$A68+Vq*Delay!BH68)</f>
        <v>9.45</v>
      </c>
      <c r="BI68" s="19" t="n">
        <f aca="false">IF(Delay!BI68="","",Fee*$A68+Vq*Delay!BI68)</f>
        <v>9.45</v>
      </c>
      <c r="BJ68" s="19" t="n">
        <f aca="false">IF(Delay!BJ68="","",Fee*$A68+Vq*Delay!BJ68)</f>
        <v>9.45</v>
      </c>
      <c r="BK68" s="19" t="n">
        <f aca="false">IF(Delay!BK68="","",Fee*$A68+Vq*Delay!BK68)</f>
        <v>9.45</v>
      </c>
      <c r="BL68" s="19" t="n">
        <f aca="false">IF(Delay!BL68="","",Fee*$A68+Vq*Delay!BL68)</f>
        <v>9.45</v>
      </c>
      <c r="BM68" s="19" t="n">
        <f aca="false">IF(Delay!BM68="","",Fee*$A68+Vq*Delay!BM68)</f>
        <v>9.45</v>
      </c>
      <c r="BN68" s="19" t="n">
        <f aca="false">IF(Delay!BN68="","",Fee*$A68+Vq*Delay!BN68)</f>
        <v>9.45</v>
      </c>
      <c r="BO68" s="19" t="n">
        <f aca="false">IF(Delay!BO68="","",Fee*$A68+Vq*Delay!BO68)</f>
        <v>9.45</v>
      </c>
      <c r="BP68" s="19" t="n">
        <f aca="false">IF(Delay!BP68="","",Fee*$A68+Vq*Delay!BP68)</f>
        <v>9.45</v>
      </c>
      <c r="BQ68" s="19" t="n">
        <f aca="false">IF(Delay!BQ68="","",Fee*$A68+Vq*Delay!BQ68)</f>
        <v>9.45</v>
      </c>
      <c r="BR68" s="19" t="n">
        <f aca="false">IF(Delay!BR68="","",Fee*$A68+Vq*Delay!BR68)</f>
        <v>9.45</v>
      </c>
      <c r="BS68" s="19" t="n">
        <f aca="false">IF(Delay!BS68="","",Fee*$A68+Vq*Delay!BS68)</f>
        <v>9.45</v>
      </c>
      <c r="BT68" s="19" t="n">
        <f aca="false">IF(Delay!BT68="","",Fee*$A68+Vq*Delay!BT68)</f>
        <v>9.45</v>
      </c>
      <c r="BU68" s="19" t="n">
        <f aca="false">IF(Delay!BU68="","",Fee*$A68+Vq*Delay!BU68)</f>
        <v>9.45</v>
      </c>
      <c r="BV68" s="19" t="n">
        <f aca="false">IF(Delay!BV68="","",Fee*$A68+Vq*Delay!BV68)</f>
        <v>9.45</v>
      </c>
      <c r="BW68" s="19" t="n">
        <f aca="false">IF(Delay!BW68="","",Fee*$A68+Vq*Delay!BW68)</f>
        <v>9.45</v>
      </c>
      <c r="BX68" s="19" t="n">
        <f aca="false">IF(Delay!BX68="","",Fee*$A68+Vq*Delay!BX68)</f>
        <v>9.45</v>
      </c>
      <c r="BY68" s="19" t="n">
        <f aca="false">IF(Delay!BY68="","",Fee*$A68+Vq*Delay!BY68)</f>
        <v>9.45</v>
      </c>
      <c r="BZ68" s="19" t="n">
        <f aca="false">IF(Delay!BZ68="","",Fee*$A68+Vq*Delay!BZ68)</f>
        <v>9.45</v>
      </c>
      <c r="CA68" s="19" t="n">
        <f aca="false">IF(Delay!CA68="","",Fee*$A68+Vq*Delay!CA68)</f>
        <v>9.45</v>
      </c>
      <c r="CB68" s="19" t="n">
        <f aca="false">IF(Delay!CB68="","",Fee*$A68+Vq*Delay!CB68)</f>
        <v>9.45</v>
      </c>
      <c r="CC68" s="19" t="n">
        <f aca="false">IF(Delay!CC68="","",Fee*$A68+Vq*Delay!CC68)</f>
        <v>9.45</v>
      </c>
      <c r="CD68" s="19" t="n">
        <f aca="false">IF(Delay!CD68="","",Fee*$A68+Vq*Delay!CD68)</f>
        <v>9.45</v>
      </c>
      <c r="CE68" s="19" t="n">
        <f aca="false">IF(Delay!CE68="","",Fee*$A68+Vq*Delay!CE68)</f>
        <v>9.45</v>
      </c>
      <c r="CF68" s="19" t="n">
        <f aca="false">IF(Delay!CF68="","",Fee*$A68+Vq*Delay!CF68)</f>
        <v>9.45</v>
      </c>
      <c r="CG68" s="19" t="n">
        <f aca="false">IF(Delay!CG68="","",Fee*$A68+Vq*Delay!CG68)</f>
        <v>9.45</v>
      </c>
      <c r="CH68" s="19" t="n">
        <f aca="false">IF(Delay!CH68="","",Fee*$A68+Vq*Delay!CH68)</f>
        <v>9.45</v>
      </c>
      <c r="CI68" s="19" t="n">
        <f aca="false">IF(Delay!CI68="","",Fee*$A68+Vq*Delay!CI68)</f>
        <v>9.45</v>
      </c>
      <c r="CJ68" s="19" t="n">
        <f aca="false">IF(Delay!CJ68="","",Fee*$A68+Vq*Delay!CJ68)</f>
        <v>9.45</v>
      </c>
      <c r="CK68" s="19" t="n">
        <f aca="false">IF(Delay!CK68="","",Fee*$A68+Vq*Delay!CK68)</f>
        <v>9.45</v>
      </c>
      <c r="CL68" s="19" t="n">
        <f aca="false">IF(Delay!CL68="","",Fee*$A68+Vq*Delay!CL68)</f>
        <v>9.45</v>
      </c>
      <c r="CM68" s="19" t="n">
        <f aca="false">IF(Delay!CM68="","",Fee*$A68+Vq*Delay!CM68)</f>
        <v>9.45</v>
      </c>
      <c r="CN68" s="19" t="n">
        <f aca="false">IF(Delay!CN68="","",Fee*$A68+Vq*Delay!CN68)</f>
        <v>9.45</v>
      </c>
      <c r="CO68" s="19" t="n">
        <f aca="false">IF(Delay!CO68="","",Fee*$A68+Vq*Delay!CO68)</f>
        <v>9.45</v>
      </c>
      <c r="CP68" s="19" t="n">
        <f aca="false">IF(Delay!CP68="","",Fee*$A68+Vq*Delay!CP68)</f>
        <v>9.45</v>
      </c>
      <c r="CQ68" s="19" t="n">
        <f aca="false">IF(Delay!CQ68="","",Fee*$A68+Vq*Delay!CQ68)</f>
        <v>9.45</v>
      </c>
      <c r="CR68" s="19" t="n">
        <f aca="false">IF(Delay!CR68="","",Fee*$A68+Vq*Delay!CR68)</f>
        <v>9.45</v>
      </c>
      <c r="CS68" s="19" t="n">
        <f aca="false">IF(Delay!CS68="","",Fee*$A68+Vq*Delay!CS68)</f>
        <v>9.45</v>
      </c>
      <c r="CT68" s="19" t="n">
        <f aca="false">IF(Delay!CT68="","",Fee*$A68+Vq*Delay!CT68)</f>
        <v>17.9986478062515</v>
      </c>
    </row>
    <row r="69" customFormat="false" ht="15" hidden="false" customHeight="false" outlineLevel="0" collapsed="false">
      <c r="A69" s="25" t="n">
        <f aca="false">Quantiles!A69</f>
        <v>320</v>
      </c>
      <c r="B69" s="19" t="n">
        <f aca="false">IF(Delay!B69="","",Fee*$A69+Vq*Delay!B69)</f>
        <v>25.9496266683536</v>
      </c>
      <c r="C69" s="19" t="n">
        <f aca="false">IF(Delay!C69="","",Fee*$A69+Vq*Delay!C69)</f>
        <v>24.4647604303862</v>
      </c>
      <c r="D69" s="19" t="n">
        <f aca="false">IF(Delay!D69="","",Fee*$A69+Vq*Delay!D69)</f>
        <v>23.1682624335492</v>
      </c>
      <c r="E69" s="19" t="n">
        <f aca="false">IF(Delay!E69="","",Fee*$A69+Vq*Delay!E69)</f>
        <v>22.0596875042036</v>
      </c>
      <c r="F69" s="19" t="n">
        <f aca="false">IF(Delay!F69="","",Fee*$A69+Vq*Delay!F69)</f>
        <v>21.095351222505</v>
      </c>
      <c r="G69" s="19" t="n">
        <f aca="false">IF(Delay!G69="","",Fee*$A69+Vq*Delay!G69)</f>
        <v>20.2478959546355</v>
      </c>
      <c r="H69" s="19" t="n">
        <f aca="false">IF(Delay!H69="","",Fee*$A69+Vq*Delay!H69)</f>
        <v>19.4924014253365</v>
      </c>
      <c r="I69" s="19" t="n">
        <f aca="false">IF(Delay!I69="","",Fee*$A69+Vq*Delay!I69)</f>
        <v>18.7683817597905</v>
      </c>
      <c r="J69" s="19" t="n">
        <f aca="false">IF(Delay!J69="","",Fee*$A69+Vq*Delay!J69)</f>
        <v>18.1511623512398</v>
      </c>
      <c r="K69" s="19" t="n">
        <f aca="false">IF(Delay!K69="","",Fee*$A69+Vq*Delay!K69)</f>
        <v>17.5237827245511</v>
      </c>
      <c r="L69" s="19" t="n">
        <f aca="false">IF(Delay!L69="","",Fee*$A69+Vq*Delay!L69)</f>
        <v>16.9035669629001</v>
      </c>
      <c r="M69" s="19" t="n">
        <f aca="false">IF(Delay!M69="","",Fee*$A69+Vq*Delay!M69)</f>
        <v>16.3939514508736</v>
      </c>
      <c r="N69" s="19" t="n">
        <f aca="false">IF(Delay!N69="","",Fee*$A69+Vq*Delay!N69)</f>
        <v>15.8940133488695</v>
      </c>
      <c r="O69" s="19" t="n">
        <f aca="false">IF(Delay!O69="","",Fee*$A69+Vq*Delay!O69)</f>
        <v>15.3705578587628</v>
      </c>
      <c r="P69" s="19" t="n">
        <f aca="false">IF(Delay!P69="","",Fee*$A69+Vq*Delay!P69)</f>
        <v>14.9018390493536</v>
      </c>
      <c r="Q69" s="19" t="n">
        <f aca="false">IF(Delay!Q69="","",Fee*$A69+Vq*Delay!Q69)</f>
        <v>14.4542646199949</v>
      </c>
      <c r="R69" s="19" t="n">
        <f aca="false">IF(Delay!R69="","",Fee*$A69+Vq*Delay!R69)</f>
        <v>14.0429001735544</v>
      </c>
      <c r="S69" s="19" t="n">
        <f aca="false">IF(Delay!S69="","",Fee*$A69+Vq*Delay!S69)</f>
        <v>13.646013205379</v>
      </c>
      <c r="T69" s="19" t="n">
        <f aca="false">IF(Delay!T69="","",Fee*$A69+Vq*Delay!T69)</f>
        <v>13.2759918583687</v>
      </c>
      <c r="U69" s="19" t="n">
        <f aca="false">IF(Delay!U69="","",Fee*$A69+Vq*Delay!U69)</f>
        <v>12.9189763073026</v>
      </c>
      <c r="V69" s="19" t="n">
        <f aca="false">IF(Delay!V69="","",Fee*$A69+Vq*Delay!V69)</f>
        <v>12.5705756670826</v>
      </c>
      <c r="W69" s="19" t="n">
        <f aca="false">IF(Delay!W69="","",Fee*$A69+Vq*Delay!W69)</f>
        <v>12.2095325869322</v>
      </c>
      <c r="X69" s="19" t="n">
        <f aca="false">IF(Delay!X69="","",Fee*$A69+Vq*Delay!X69)</f>
        <v>11.8548845465837</v>
      </c>
      <c r="Y69" s="19" t="n">
        <f aca="false">IF(Delay!Y69="","",Fee*$A69+Vq*Delay!Y69)</f>
        <v>11.5596791759367</v>
      </c>
      <c r="Z69" s="19" t="n">
        <f aca="false">IF(Delay!Z69="","",Fee*$A69+Vq*Delay!Z69)</f>
        <v>11.2410294165326</v>
      </c>
      <c r="AA69" s="19" t="n">
        <f aca="false">IF(Delay!AA69="","",Fee*$A69+Vq*Delay!AA69)</f>
        <v>10.9483524842034</v>
      </c>
      <c r="AB69" s="19" t="n">
        <f aca="false">IF(Delay!AB69="","",Fee*$A69+Vq*Delay!AB69)</f>
        <v>10.621004399443</v>
      </c>
      <c r="AC69" s="19" t="n">
        <f aca="false">IF(Delay!AC69="","",Fee*$A69+Vq*Delay!AC69)</f>
        <v>10.3360273004575</v>
      </c>
      <c r="AD69" s="19" t="n">
        <f aca="false">IF(Delay!AD69="","",Fee*$A69+Vq*Delay!AD69)</f>
        <v>10.042509270499</v>
      </c>
      <c r="AE69" s="19" t="n">
        <f aca="false">IF(Delay!AE69="","",Fee*$A69+Vq*Delay!AE69)</f>
        <v>9.77370367099202</v>
      </c>
      <c r="AF69" s="19" t="n">
        <f aca="false">IF(Delay!AF69="","",Fee*$A69+Vq*Delay!AF69)</f>
        <v>9.6</v>
      </c>
      <c r="AG69" s="19" t="n">
        <f aca="false">IF(Delay!AG69="","",Fee*$A69+Vq*Delay!AG69)</f>
        <v>9.6</v>
      </c>
      <c r="AH69" s="19" t="n">
        <f aca="false">IF(Delay!AH69="","",Fee*$A69+Vq*Delay!AH69)</f>
        <v>9.6</v>
      </c>
      <c r="AI69" s="19" t="n">
        <f aca="false">IF(Delay!AI69="","",Fee*$A69+Vq*Delay!AI69)</f>
        <v>9.6</v>
      </c>
      <c r="AJ69" s="19" t="n">
        <f aca="false">IF(Delay!AJ69="","",Fee*$A69+Vq*Delay!AJ69)</f>
        <v>9.6</v>
      </c>
      <c r="AK69" s="19" t="n">
        <f aca="false">IF(Delay!AK69="","",Fee*$A69+Vq*Delay!AK69)</f>
        <v>9.6</v>
      </c>
      <c r="AL69" s="19" t="n">
        <f aca="false">IF(Delay!AL69="","",Fee*$A69+Vq*Delay!AL69)</f>
        <v>9.6</v>
      </c>
      <c r="AM69" s="19" t="n">
        <f aca="false">IF(Delay!AM69="","",Fee*$A69+Vq*Delay!AM69)</f>
        <v>9.6</v>
      </c>
      <c r="AN69" s="19" t="n">
        <f aca="false">IF(Delay!AN69="","",Fee*$A69+Vq*Delay!AN69)</f>
        <v>9.6</v>
      </c>
      <c r="AO69" s="19" t="n">
        <f aca="false">IF(Delay!AO69="","",Fee*$A69+Vq*Delay!AO69)</f>
        <v>9.6</v>
      </c>
      <c r="AP69" s="19" t="n">
        <f aca="false">IF(Delay!AP69="","",Fee*$A69+Vq*Delay!AP69)</f>
        <v>9.6</v>
      </c>
      <c r="AQ69" s="19" t="n">
        <f aca="false">IF(Delay!AQ69="","",Fee*$A69+Vq*Delay!AQ69)</f>
        <v>9.6</v>
      </c>
      <c r="AR69" s="19" t="n">
        <f aca="false">IF(Delay!AR69="","",Fee*$A69+Vq*Delay!AR69)</f>
        <v>9.6</v>
      </c>
      <c r="AS69" s="19" t="n">
        <f aca="false">IF(Delay!AS69="","",Fee*$A69+Vq*Delay!AS69)</f>
        <v>9.6</v>
      </c>
      <c r="AT69" s="19" t="n">
        <f aca="false">IF(Delay!AT69="","",Fee*$A69+Vq*Delay!AT69)</f>
        <v>9.6</v>
      </c>
      <c r="AU69" s="19" t="n">
        <f aca="false">IF(Delay!AU69="","",Fee*$A69+Vq*Delay!AU69)</f>
        <v>9.6</v>
      </c>
      <c r="AV69" s="19" t="n">
        <f aca="false">IF(Delay!AV69="","",Fee*$A69+Vq*Delay!AV69)</f>
        <v>9.6</v>
      </c>
      <c r="AW69" s="19" t="n">
        <f aca="false">IF(Delay!AW69="","",Fee*$A69+Vq*Delay!AW69)</f>
        <v>9.6</v>
      </c>
      <c r="AX69" s="19" t="n">
        <f aca="false">IF(Delay!AX69="","",Fee*$A69+Vq*Delay!AX69)</f>
        <v>9.6</v>
      </c>
      <c r="AY69" s="19" t="n">
        <f aca="false">IF(Delay!AY69="","",Fee*$A69+Vq*Delay!AY69)</f>
        <v>9.6</v>
      </c>
      <c r="AZ69" s="19" t="n">
        <f aca="false">IF(Delay!AZ69="","",Fee*$A69+Vq*Delay!AZ69)</f>
        <v>9.6</v>
      </c>
      <c r="BA69" s="19" t="n">
        <f aca="false">IF(Delay!BA69="","",Fee*$A69+Vq*Delay!BA69)</f>
        <v>9.6</v>
      </c>
      <c r="BB69" s="19" t="n">
        <f aca="false">IF(Delay!BB69="","",Fee*$A69+Vq*Delay!BB69)</f>
        <v>9.6</v>
      </c>
      <c r="BC69" s="19" t="n">
        <f aca="false">IF(Delay!BC69="","",Fee*$A69+Vq*Delay!BC69)</f>
        <v>9.6</v>
      </c>
      <c r="BD69" s="19" t="n">
        <f aca="false">IF(Delay!BD69="","",Fee*$A69+Vq*Delay!BD69)</f>
        <v>9.6</v>
      </c>
      <c r="BE69" s="19" t="n">
        <f aca="false">IF(Delay!BE69="","",Fee*$A69+Vq*Delay!BE69)</f>
        <v>9.6</v>
      </c>
      <c r="BF69" s="19" t="n">
        <f aca="false">IF(Delay!BF69="","",Fee*$A69+Vq*Delay!BF69)</f>
        <v>9.6</v>
      </c>
      <c r="BG69" s="19" t="n">
        <f aca="false">IF(Delay!BG69="","",Fee*$A69+Vq*Delay!BG69)</f>
        <v>9.6</v>
      </c>
      <c r="BH69" s="19" t="n">
        <f aca="false">IF(Delay!BH69="","",Fee*$A69+Vq*Delay!BH69)</f>
        <v>9.6</v>
      </c>
      <c r="BI69" s="19" t="n">
        <f aca="false">IF(Delay!BI69="","",Fee*$A69+Vq*Delay!BI69)</f>
        <v>9.6</v>
      </c>
      <c r="BJ69" s="19" t="n">
        <f aca="false">IF(Delay!BJ69="","",Fee*$A69+Vq*Delay!BJ69)</f>
        <v>9.6</v>
      </c>
      <c r="BK69" s="19" t="n">
        <f aca="false">IF(Delay!BK69="","",Fee*$A69+Vq*Delay!BK69)</f>
        <v>9.6</v>
      </c>
      <c r="BL69" s="19" t="n">
        <f aca="false">IF(Delay!BL69="","",Fee*$A69+Vq*Delay!BL69)</f>
        <v>9.6</v>
      </c>
      <c r="BM69" s="19" t="n">
        <f aca="false">IF(Delay!BM69="","",Fee*$A69+Vq*Delay!BM69)</f>
        <v>9.6</v>
      </c>
      <c r="BN69" s="19" t="n">
        <f aca="false">IF(Delay!BN69="","",Fee*$A69+Vq*Delay!BN69)</f>
        <v>9.6</v>
      </c>
      <c r="BO69" s="19" t="n">
        <f aca="false">IF(Delay!BO69="","",Fee*$A69+Vq*Delay!BO69)</f>
        <v>9.6</v>
      </c>
      <c r="BP69" s="19" t="n">
        <f aca="false">IF(Delay!BP69="","",Fee*$A69+Vq*Delay!BP69)</f>
        <v>9.6</v>
      </c>
      <c r="BQ69" s="19" t="n">
        <f aca="false">IF(Delay!BQ69="","",Fee*$A69+Vq*Delay!BQ69)</f>
        <v>9.6</v>
      </c>
      <c r="BR69" s="19" t="n">
        <f aca="false">IF(Delay!BR69="","",Fee*$A69+Vq*Delay!BR69)</f>
        <v>9.6</v>
      </c>
      <c r="BS69" s="19" t="n">
        <f aca="false">IF(Delay!BS69="","",Fee*$A69+Vq*Delay!BS69)</f>
        <v>9.6</v>
      </c>
      <c r="BT69" s="19" t="n">
        <f aca="false">IF(Delay!BT69="","",Fee*$A69+Vq*Delay!BT69)</f>
        <v>9.6</v>
      </c>
      <c r="BU69" s="19" t="n">
        <f aca="false">IF(Delay!BU69="","",Fee*$A69+Vq*Delay!BU69)</f>
        <v>9.6</v>
      </c>
      <c r="BV69" s="19" t="n">
        <f aca="false">IF(Delay!BV69="","",Fee*$A69+Vq*Delay!BV69)</f>
        <v>9.6</v>
      </c>
      <c r="BW69" s="19" t="n">
        <f aca="false">IF(Delay!BW69="","",Fee*$A69+Vq*Delay!BW69)</f>
        <v>9.6</v>
      </c>
      <c r="BX69" s="19" t="n">
        <f aca="false">IF(Delay!BX69="","",Fee*$A69+Vq*Delay!BX69)</f>
        <v>9.6</v>
      </c>
      <c r="BY69" s="19" t="n">
        <f aca="false">IF(Delay!BY69="","",Fee*$A69+Vq*Delay!BY69)</f>
        <v>9.6</v>
      </c>
      <c r="BZ69" s="19" t="n">
        <f aca="false">IF(Delay!BZ69="","",Fee*$A69+Vq*Delay!BZ69)</f>
        <v>9.6</v>
      </c>
      <c r="CA69" s="19" t="n">
        <f aca="false">IF(Delay!CA69="","",Fee*$A69+Vq*Delay!CA69)</f>
        <v>9.6</v>
      </c>
      <c r="CB69" s="19" t="n">
        <f aca="false">IF(Delay!CB69="","",Fee*$A69+Vq*Delay!CB69)</f>
        <v>9.6</v>
      </c>
      <c r="CC69" s="19" t="n">
        <f aca="false">IF(Delay!CC69="","",Fee*$A69+Vq*Delay!CC69)</f>
        <v>9.6</v>
      </c>
      <c r="CD69" s="19" t="n">
        <f aca="false">IF(Delay!CD69="","",Fee*$A69+Vq*Delay!CD69)</f>
        <v>9.6</v>
      </c>
      <c r="CE69" s="19" t="n">
        <f aca="false">IF(Delay!CE69="","",Fee*$A69+Vq*Delay!CE69)</f>
        <v>9.6</v>
      </c>
      <c r="CF69" s="19" t="n">
        <f aca="false">IF(Delay!CF69="","",Fee*$A69+Vq*Delay!CF69)</f>
        <v>9.6</v>
      </c>
      <c r="CG69" s="19" t="n">
        <f aca="false">IF(Delay!CG69="","",Fee*$A69+Vq*Delay!CG69)</f>
        <v>9.6</v>
      </c>
      <c r="CH69" s="19" t="n">
        <f aca="false">IF(Delay!CH69="","",Fee*$A69+Vq*Delay!CH69)</f>
        <v>9.6</v>
      </c>
      <c r="CI69" s="19" t="n">
        <f aca="false">IF(Delay!CI69="","",Fee*$A69+Vq*Delay!CI69)</f>
        <v>9.6</v>
      </c>
      <c r="CJ69" s="19" t="n">
        <f aca="false">IF(Delay!CJ69="","",Fee*$A69+Vq*Delay!CJ69)</f>
        <v>9.6</v>
      </c>
      <c r="CK69" s="19" t="n">
        <f aca="false">IF(Delay!CK69="","",Fee*$A69+Vq*Delay!CK69)</f>
        <v>9.6</v>
      </c>
      <c r="CL69" s="19" t="n">
        <f aca="false">IF(Delay!CL69="","",Fee*$A69+Vq*Delay!CL69)</f>
        <v>9.6</v>
      </c>
      <c r="CM69" s="19" t="n">
        <f aca="false">IF(Delay!CM69="","",Fee*$A69+Vq*Delay!CM69)</f>
        <v>9.6</v>
      </c>
      <c r="CN69" s="19" t="n">
        <f aca="false">IF(Delay!CN69="","",Fee*$A69+Vq*Delay!CN69)</f>
        <v>9.6</v>
      </c>
      <c r="CO69" s="19" t="n">
        <f aca="false">IF(Delay!CO69="","",Fee*$A69+Vq*Delay!CO69)</f>
        <v>9.6</v>
      </c>
      <c r="CP69" s="19" t="n">
        <f aca="false">IF(Delay!CP69="","",Fee*$A69+Vq*Delay!CP69)</f>
        <v>9.6</v>
      </c>
      <c r="CQ69" s="19" t="n">
        <f aca="false">IF(Delay!CQ69="","",Fee*$A69+Vq*Delay!CQ69)</f>
        <v>9.6</v>
      </c>
      <c r="CR69" s="19" t="n">
        <f aca="false">IF(Delay!CR69="","",Fee*$A69+Vq*Delay!CR69)</f>
        <v>9.6</v>
      </c>
      <c r="CS69" s="19" t="n">
        <f aca="false">IF(Delay!CS69="","",Fee*$A69+Vq*Delay!CS69)</f>
        <v>9.6</v>
      </c>
      <c r="CT69" s="19" t="n">
        <f aca="false">IF(Delay!CT69="","",Fee*$A69+Vq*Delay!CT69)</f>
        <v>18.1486478062515</v>
      </c>
    </row>
    <row r="70" customFormat="false" ht="15" hidden="false" customHeight="false" outlineLevel="0" collapsed="false">
      <c r="A70" s="25" t="n">
        <f aca="false">Quantiles!A70</f>
        <v>325</v>
      </c>
      <c r="B70" s="19" t="n">
        <f aca="false">IF(Delay!B70="","",Fee*$A70+Vq*Delay!B70)</f>
        <v>26.0996266683536</v>
      </c>
      <c r="C70" s="19" t="n">
        <f aca="false">IF(Delay!C70="","",Fee*$A70+Vq*Delay!C70)</f>
        <v>24.6048818971453</v>
      </c>
      <c r="D70" s="19" t="n">
        <f aca="false">IF(Delay!D70="","",Fee*$A70+Vq*Delay!D70)</f>
        <v>23.297272847897</v>
      </c>
      <c r="E70" s="19" t="n">
        <f aca="false">IF(Delay!E70="","",Fee*$A70+Vq*Delay!E70)</f>
        <v>22.2096875042036</v>
      </c>
      <c r="F70" s="19" t="n">
        <f aca="false">IF(Delay!F70="","",Fee*$A70+Vq*Delay!F70)</f>
        <v>21.245351222505</v>
      </c>
      <c r="G70" s="19" t="n">
        <f aca="false">IF(Delay!G70="","",Fee*$A70+Vq*Delay!G70)</f>
        <v>20.3978959546355</v>
      </c>
      <c r="H70" s="19" t="n">
        <f aca="false">IF(Delay!H70="","",Fee*$A70+Vq*Delay!H70)</f>
        <v>19.6424014253365</v>
      </c>
      <c r="I70" s="19" t="n">
        <f aca="false">IF(Delay!I70="","",Fee*$A70+Vq*Delay!I70)</f>
        <v>18.9183817597905</v>
      </c>
      <c r="J70" s="19" t="n">
        <f aca="false">IF(Delay!J70="","",Fee*$A70+Vq*Delay!J70)</f>
        <v>18.3011623512398</v>
      </c>
      <c r="K70" s="19" t="n">
        <f aca="false">IF(Delay!K70="","",Fee*$A70+Vq*Delay!K70)</f>
        <v>17.6737827245511</v>
      </c>
      <c r="L70" s="19" t="n">
        <f aca="false">IF(Delay!L70="","",Fee*$A70+Vq*Delay!L70)</f>
        <v>17.0535669629001</v>
      </c>
      <c r="M70" s="19" t="n">
        <f aca="false">IF(Delay!M70="","",Fee*$A70+Vq*Delay!M70)</f>
        <v>16.5439514508736</v>
      </c>
      <c r="N70" s="19" t="n">
        <f aca="false">IF(Delay!N70="","",Fee*$A70+Vq*Delay!N70)</f>
        <v>16.0440133488695</v>
      </c>
      <c r="O70" s="19" t="n">
        <f aca="false">IF(Delay!O70="","",Fee*$A70+Vq*Delay!O70)</f>
        <v>15.5205578587628</v>
      </c>
      <c r="P70" s="19" t="n">
        <f aca="false">IF(Delay!P70="","",Fee*$A70+Vq*Delay!P70)</f>
        <v>15.0511285538818</v>
      </c>
      <c r="Q70" s="19" t="n">
        <f aca="false">IF(Delay!Q70="","",Fee*$A70+Vq*Delay!Q70)</f>
        <v>14.5987186891624</v>
      </c>
      <c r="R70" s="19" t="n">
        <f aca="false">IF(Delay!R70="","",Fee*$A70+Vq*Delay!R70)</f>
        <v>14.1926239997869</v>
      </c>
      <c r="S70" s="19" t="n">
        <f aca="false">IF(Delay!S70="","",Fee*$A70+Vq*Delay!S70)</f>
        <v>13.796004580381</v>
      </c>
      <c r="T70" s="19" t="n">
        <f aca="false">IF(Delay!T70="","",Fee*$A70+Vq*Delay!T70)</f>
        <v>13.4248704787079</v>
      </c>
      <c r="U70" s="19" t="n">
        <f aca="false">IF(Delay!U70="","",Fee*$A70+Vq*Delay!U70)</f>
        <v>13.0661664192436</v>
      </c>
      <c r="V70" s="19" t="n">
        <f aca="false">IF(Delay!V70="","",Fee*$A70+Vq*Delay!V70)</f>
        <v>12.7196056184785</v>
      </c>
      <c r="W70" s="19" t="n">
        <f aca="false">IF(Delay!W70="","",Fee*$A70+Vq*Delay!W70)</f>
        <v>12.3555342859544</v>
      </c>
      <c r="X70" s="19" t="n">
        <f aca="false">IF(Delay!X70="","",Fee*$A70+Vq*Delay!X70)</f>
        <v>12.0048845465837</v>
      </c>
      <c r="Y70" s="19" t="n">
        <f aca="false">IF(Delay!Y70="","",Fee*$A70+Vq*Delay!Y70)</f>
        <v>11.7096791759367</v>
      </c>
      <c r="Z70" s="19" t="n">
        <f aca="false">IF(Delay!Z70="","",Fee*$A70+Vq*Delay!Z70)</f>
        <v>11.3910294165326</v>
      </c>
      <c r="AA70" s="19" t="n">
        <f aca="false">IF(Delay!AA70="","",Fee*$A70+Vq*Delay!AA70)</f>
        <v>11.0921235078916</v>
      </c>
      <c r="AB70" s="19" t="n">
        <f aca="false">IF(Delay!AB70="","",Fee*$A70+Vq*Delay!AB70)</f>
        <v>10.7696059721625</v>
      </c>
      <c r="AC70" s="19" t="n">
        <f aca="false">IF(Delay!AC70="","",Fee*$A70+Vq*Delay!AC70)</f>
        <v>10.4820134083616</v>
      </c>
      <c r="AD70" s="19" t="n">
        <f aca="false">IF(Delay!AD70="","",Fee*$A70+Vq*Delay!AD70)</f>
        <v>10.1869171928785</v>
      </c>
      <c r="AE70" s="19" t="n">
        <f aca="false">IF(Delay!AE70="","",Fee*$A70+Vq*Delay!AE70)</f>
        <v>9.91671165327598</v>
      </c>
      <c r="AF70" s="19" t="n">
        <f aca="false">IF(Delay!AF70="","",Fee*$A70+Vq*Delay!AF70)</f>
        <v>9.75</v>
      </c>
      <c r="AG70" s="19" t="n">
        <f aca="false">IF(Delay!AG70="","",Fee*$A70+Vq*Delay!AG70)</f>
        <v>9.75</v>
      </c>
      <c r="AH70" s="19" t="n">
        <f aca="false">IF(Delay!AH70="","",Fee*$A70+Vq*Delay!AH70)</f>
        <v>9.75</v>
      </c>
      <c r="AI70" s="19" t="n">
        <f aca="false">IF(Delay!AI70="","",Fee*$A70+Vq*Delay!AI70)</f>
        <v>9.75</v>
      </c>
      <c r="AJ70" s="19" t="n">
        <f aca="false">IF(Delay!AJ70="","",Fee*$A70+Vq*Delay!AJ70)</f>
        <v>9.75</v>
      </c>
      <c r="AK70" s="19" t="n">
        <f aca="false">IF(Delay!AK70="","",Fee*$A70+Vq*Delay!AK70)</f>
        <v>9.75</v>
      </c>
      <c r="AL70" s="19" t="n">
        <f aca="false">IF(Delay!AL70="","",Fee*$A70+Vq*Delay!AL70)</f>
        <v>9.75</v>
      </c>
      <c r="AM70" s="19" t="n">
        <f aca="false">IF(Delay!AM70="","",Fee*$A70+Vq*Delay!AM70)</f>
        <v>9.75</v>
      </c>
      <c r="AN70" s="19" t="n">
        <f aca="false">IF(Delay!AN70="","",Fee*$A70+Vq*Delay!AN70)</f>
        <v>9.75</v>
      </c>
      <c r="AO70" s="19" t="n">
        <f aca="false">IF(Delay!AO70="","",Fee*$A70+Vq*Delay!AO70)</f>
        <v>9.75</v>
      </c>
      <c r="AP70" s="19" t="n">
        <f aca="false">IF(Delay!AP70="","",Fee*$A70+Vq*Delay!AP70)</f>
        <v>9.75</v>
      </c>
      <c r="AQ70" s="19" t="n">
        <f aca="false">IF(Delay!AQ70="","",Fee*$A70+Vq*Delay!AQ70)</f>
        <v>9.75</v>
      </c>
      <c r="AR70" s="19" t="n">
        <f aca="false">IF(Delay!AR70="","",Fee*$A70+Vq*Delay!AR70)</f>
        <v>9.75</v>
      </c>
      <c r="AS70" s="19" t="n">
        <f aca="false">IF(Delay!AS70="","",Fee*$A70+Vq*Delay!AS70)</f>
        <v>9.75</v>
      </c>
      <c r="AT70" s="19" t="n">
        <f aca="false">IF(Delay!AT70="","",Fee*$A70+Vq*Delay!AT70)</f>
        <v>9.75</v>
      </c>
      <c r="AU70" s="19" t="n">
        <f aca="false">IF(Delay!AU70="","",Fee*$A70+Vq*Delay!AU70)</f>
        <v>9.75</v>
      </c>
      <c r="AV70" s="19" t="n">
        <f aca="false">IF(Delay!AV70="","",Fee*$A70+Vq*Delay!AV70)</f>
        <v>9.75</v>
      </c>
      <c r="AW70" s="19" t="n">
        <f aca="false">IF(Delay!AW70="","",Fee*$A70+Vq*Delay!AW70)</f>
        <v>9.75</v>
      </c>
      <c r="AX70" s="19" t="n">
        <f aca="false">IF(Delay!AX70="","",Fee*$A70+Vq*Delay!AX70)</f>
        <v>9.75</v>
      </c>
      <c r="AY70" s="19" t="n">
        <f aca="false">IF(Delay!AY70="","",Fee*$A70+Vq*Delay!AY70)</f>
        <v>9.75</v>
      </c>
      <c r="AZ70" s="19" t="n">
        <f aca="false">IF(Delay!AZ70="","",Fee*$A70+Vq*Delay!AZ70)</f>
        <v>9.75</v>
      </c>
      <c r="BA70" s="19" t="n">
        <f aca="false">IF(Delay!BA70="","",Fee*$A70+Vq*Delay!BA70)</f>
        <v>9.75</v>
      </c>
      <c r="BB70" s="19" t="n">
        <f aca="false">IF(Delay!BB70="","",Fee*$A70+Vq*Delay!BB70)</f>
        <v>9.75</v>
      </c>
      <c r="BC70" s="19" t="n">
        <f aca="false">IF(Delay!BC70="","",Fee*$A70+Vq*Delay!BC70)</f>
        <v>9.75</v>
      </c>
      <c r="BD70" s="19" t="n">
        <f aca="false">IF(Delay!BD70="","",Fee*$A70+Vq*Delay!BD70)</f>
        <v>9.75</v>
      </c>
      <c r="BE70" s="19" t="n">
        <f aca="false">IF(Delay!BE70="","",Fee*$A70+Vq*Delay!BE70)</f>
        <v>9.75</v>
      </c>
      <c r="BF70" s="19" t="n">
        <f aca="false">IF(Delay!BF70="","",Fee*$A70+Vq*Delay!BF70)</f>
        <v>9.75</v>
      </c>
      <c r="BG70" s="19" t="n">
        <f aca="false">IF(Delay!BG70="","",Fee*$A70+Vq*Delay!BG70)</f>
        <v>9.75</v>
      </c>
      <c r="BH70" s="19" t="n">
        <f aca="false">IF(Delay!BH70="","",Fee*$A70+Vq*Delay!BH70)</f>
        <v>9.75</v>
      </c>
      <c r="BI70" s="19" t="n">
        <f aca="false">IF(Delay!BI70="","",Fee*$A70+Vq*Delay!BI70)</f>
        <v>9.75</v>
      </c>
      <c r="BJ70" s="19" t="n">
        <f aca="false">IF(Delay!BJ70="","",Fee*$A70+Vq*Delay!BJ70)</f>
        <v>9.75</v>
      </c>
      <c r="BK70" s="19" t="n">
        <f aca="false">IF(Delay!BK70="","",Fee*$A70+Vq*Delay!BK70)</f>
        <v>9.75</v>
      </c>
      <c r="BL70" s="19" t="n">
        <f aca="false">IF(Delay!BL70="","",Fee*$A70+Vq*Delay!BL70)</f>
        <v>9.75</v>
      </c>
      <c r="BM70" s="19" t="n">
        <f aca="false">IF(Delay!BM70="","",Fee*$A70+Vq*Delay!BM70)</f>
        <v>9.75</v>
      </c>
      <c r="BN70" s="19" t="n">
        <f aca="false">IF(Delay!BN70="","",Fee*$A70+Vq*Delay!BN70)</f>
        <v>9.75</v>
      </c>
      <c r="BO70" s="19" t="n">
        <f aca="false">IF(Delay!BO70="","",Fee*$A70+Vq*Delay!BO70)</f>
        <v>9.75</v>
      </c>
      <c r="BP70" s="19" t="n">
        <f aca="false">IF(Delay!BP70="","",Fee*$A70+Vq*Delay!BP70)</f>
        <v>9.75</v>
      </c>
      <c r="BQ70" s="19" t="n">
        <f aca="false">IF(Delay!BQ70="","",Fee*$A70+Vq*Delay!BQ70)</f>
        <v>9.75</v>
      </c>
      <c r="BR70" s="19" t="n">
        <f aca="false">IF(Delay!BR70="","",Fee*$A70+Vq*Delay!BR70)</f>
        <v>9.75</v>
      </c>
      <c r="BS70" s="19" t="n">
        <f aca="false">IF(Delay!BS70="","",Fee*$A70+Vq*Delay!BS70)</f>
        <v>9.75</v>
      </c>
      <c r="BT70" s="19" t="n">
        <f aca="false">IF(Delay!BT70="","",Fee*$A70+Vq*Delay!BT70)</f>
        <v>9.75</v>
      </c>
      <c r="BU70" s="19" t="n">
        <f aca="false">IF(Delay!BU70="","",Fee*$A70+Vq*Delay!BU70)</f>
        <v>9.75</v>
      </c>
      <c r="BV70" s="19" t="n">
        <f aca="false">IF(Delay!BV70="","",Fee*$A70+Vq*Delay!BV70)</f>
        <v>9.75</v>
      </c>
      <c r="BW70" s="19" t="n">
        <f aca="false">IF(Delay!BW70="","",Fee*$A70+Vq*Delay!BW70)</f>
        <v>9.75</v>
      </c>
      <c r="BX70" s="19" t="n">
        <f aca="false">IF(Delay!BX70="","",Fee*$A70+Vq*Delay!BX70)</f>
        <v>9.75</v>
      </c>
      <c r="BY70" s="19" t="n">
        <f aca="false">IF(Delay!BY70="","",Fee*$A70+Vq*Delay!BY70)</f>
        <v>9.75</v>
      </c>
      <c r="BZ70" s="19" t="n">
        <f aca="false">IF(Delay!BZ70="","",Fee*$A70+Vq*Delay!BZ70)</f>
        <v>9.75</v>
      </c>
      <c r="CA70" s="19" t="n">
        <f aca="false">IF(Delay!CA70="","",Fee*$A70+Vq*Delay!CA70)</f>
        <v>9.75</v>
      </c>
      <c r="CB70" s="19" t="n">
        <f aca="false">IF(Delay!CB70="","",Fee*$A70+Vq*Delay!CB70)</f>
        <v>9.75</v>
      </c>
      <c r="CC70" s="19" t="n">
        <f aca="false">IF(Delay!CC70="","",Fee*$A70+Vq*Delay!CC70)</f>
        <v>9.75</v>
      </c>
      <c r="CD70" s="19" t="n">
        <f aca="false">IF(Delay!CD70="","",Fee*$A70+Vq*Delay!CD70)</f>
        <v>9.75</v>
      </c>
      <c r="CE70" s="19" t="n">
        <f aca="false">IF(Delay!CE70="","",Fee*$A70+Vq*Delay!CE70)</f>
        <v>9.75</v>
      </c>
      <c r="CF70" s="19" t="n">
        <f aca="false">IF(Delay!CF70="","",Fee*$A70+Vq*Delay!CF70)</f>
        <v>9.75</v>
      </c>
      <c r="CG70" s="19" t="n">
        <f aca="false">IF(Delay!CG70="","",Fee*$A70+Vq*Delay!CG70)</f>
        <v>9.75</v>
      </c>
      <c r="CH70" s="19" t="n">
        <f aca="false">IF(Delay!CH70="","",Fee*$A70+Vq*Delay!CH70)</f>
        <v>9.75</v>
      </c>
      <c r="CI70" s="19" t="n">
        <f aca="false">IF(Delay!CI70="","",Fee*$A70+Vq*Delay!CI70)</f>
        <v>9.75</v>
      </c>
      <c r="CJ70" s="19" t="n">
        <f aca="false">IF(Delay!CJ70="","",Fee*$A70+Vq*Delay!CJ70)</f>
        <v>9.75</v>
      </c>
      <c r="CK70" s="19" t="n">
        <f aca="false">IF(Delay!CK70="","",Fee*$A70+Vq*Delay!CK70)</f>
        <v>9.75</v>
      </c>
      <c r="CL70" s="19" t="n">
        <f aca="false">IF(Delay!CL70="","",Fee*$A70+Vq*Delay!CL70)</f>
        <v>9.75</v>
      </c>
      <c r="CM70" s="19" t="n">
        <f aca="false">IF(Delay!CM70="","",Fee*$A70+Vq*Delay!CM70)</f>
        <v>9.75</v>
      </c>
      <c r="CN70" s="19" t="n">
        <f aca="false">IF(Delay!CN70="","",Fee*$A70+Vq*Delay!CN70)</f>
        <v>9.75</v>
      </c>
      <c r="CO70" s="19" t="n">
        <f aca="false">IF(Delay!CO70="","",Fee*$A70+Vq*Delay!CO70)</f>
        <v>9.75</v>
      </c>
      <c r="CP70" s="19" t="n">
        <f aca="false">IF(Delay!CP70="","",Fee*$A70+Vq*Delay!CP70)</f>
        <v>9.75</v>
      </c>
      <c r="CQ70" s="19" t="n">
        <f aca="false">IF(Delay!CQ70="","",Fee*$A70+Vq*Delay!CQ70)</f>
        <v>9.75</v>
      </c>
      <c r="CR70" s="19" t="n">
        <f aca="false">IF(Delay!CR70="","",Fee*$A70+Vq*Delay!CR70)</f>
        <v>9.75</v>
      </c>
      <c r="CS70" s="19" t="n">
        <f aca="false">IF(Delay!CS70="","",Fee*$A70+Vq*Delay!CS70)</f>
        <v>9.75</v>
      </c>
      <c r="CT70" s="19" t="n">
        <f aca="false">IF(Delay!CT70="","",Fee*$A70+Vq*Delay!CT70)</f>
        <v>18.2986478062515</v>
      </c>
    </row>
    <row r="71" customFormat="false" ht="15" hidden="false" customHeight="false" outlineLevel="0" collapsed="false">
      <c r="A71" s="25" t="n">
        <f aca="false">Quantiles!A71</f>
        <v>330</v>
      </c>
      <c r="B71" s="19" t="n">
        <f aca="false">IF(Delay!B71="","",Fee*$A71+Vq*Delay!B71)</f>
        <v>26.2496266683536</v>
      </c>
      <c r="C71" s="19" t="n">
        <f aca="false">IF(Delay!C71="","",Fee*$A71+Vq*Delay!C71)</f>
        <v>24.7548818971453</v>
      </c>
      <c r="D71" s="19" t="n">
        <f aca="false">IF(Delay!D71="","",Fee*$A71+Vq*Delay!D71)</f>
        <v>23.4406875672248</v>
      </c>
      <c r="E71" s="19" t="n">
        <f aca="false">IF(Delay!E71="","",Fee*$A71+Vq*Delay!E71)</f>
        <v>22.3465556867293</v>
      </c>
      <c r="F71" s="19" t="n">
        <f aca="false">IF(Delay!F71="","",Fee*$A71+Vq*Delay!F71)</f>
        <v>21.395351222505</v>
      </c>
      <c r="G71" s="19" t="n">
        <f aca="false">IF(Delay!G71="","",Fee*$A71+Vq*Delay!G71)</f>
        <v>20.5478959546355</v>
      </c>
      <c r="H71" s="19" t="n">
        <f aca="false">IF(Delay!H71="","",Fee*$A71+Vq*Delay!H71)</f>
        <v>19.7924014253365</v>
      </c>
      <c r="I71" s="19" t="n">
        <f aca="false">IF(Delay!I71="","",Fee*$A71+Vq*Delay!I71)</f>
        <v>19.0683817597905</v>
      </c>
      <c r="J71" s="19" t="n">
        <f aca="false">IF(Delay!J71="","",Fee*$A71+Vq*Delay!J71)</f>
        <v>18.4511623512398</v>
      </c>
      <c r="K71" s="19" t="n">
        <f aca="false">IF(Delay!K71="","",Fee*$A71+Vq*Delay!K71)</f>
        <v>17.8237827245511</v>
      </c>
      <c r="L71" s="19" t="n">
        <f aca="false">IF(Delay!L71="","",Fee*$A71+Vq*Delay!L71)</f>
        <v>17.2035669629001</v>
      </c>
      <c r="M71" s="19" t="n">
        <f aca="false">IF(Delay!M71="","",Fee*$A71+Vq*Delay!M71)</f>
        <v>16.6939514508736</v>
      </c>
      <c r="N71" s="19" t="n">
        <f aca="false">IF(Delay!N71="","",Fee*$A71+Vq*Delay!N71)</f>
        <v>16.1940133488695</v>
      </c>
      <c r="O71" s="19" t="n">
        <f aca="false">IF(Delay!O71="","",Fee*$A71+Vq*Delay!O71)</f>
        <v>15.6705578587628</v>
      </c>
      <c r="P71" s="19" t="n">
        <f aca="false">IF(Delay!P71="","",Fee*$A71+Vq*Delay!P71)</f>
        <v>15.2011285538818</v>
      </c>
      <c r="Q71" s="19" t="n">
        <f aca="false">IF(Delay!Q71="","",Fee*$A71+Vq*Delay!Q71)</f>
        <v>14.7487186891624</v>
      </c>
      <c r="R71" s="19" t="n">
        <f aca="false">IF(Delay!R71="","",Fee*$A71+Vq*Delay!R71)</f>
        <v>14.3426239997869</v>
      </c>
      <c r="S71" s="19" t="n">
        <f aca="false">IF(Delay!S71="","",Fee*$A71+Vq*Delay!S71)</f>
        <v>13.9431755221947</v>
      </c>
      <c r="T71" s="19" t="n">
        <f aca="false">IF(Delay!T71="","",Fee*$A71+Vq*Delay!T71)</f>
        <v>13.5739331711966</v>
      </c>
      <c r="U71" s="19" t="n">
        <f aca="false">IF(Delay!U71="","",Fee*$A71+Vq*Delay!U71)</f>
        <v>13.2157752643793</v>
      </c>
      <c r="V71" s="19" t="n">
        <f aca="false">IF(Delay!V71="","",Fee*$A71+Vq*Delay!V71)</f>
        <v>12.8664493943815</v>
      </c>
      <c r="W71" s="19" t="n">
        <f aca="false">IF(Delay!W71="","",Fee*$A71+Vq*Delay!W71)</f>
        <v>12.5051725926388</v>
      </c>
      <c r="X71" s="19" t="n">
        <f aca="false">IF(Delay!X71="","",Fee*$A71+Vq*Delay!X71)</f>
        <v>12.1514698330034</v>
      </c>
      <c r="Y71" s="19" t="n">
        <f aca="false">IF(Delay!Y71="","",Fee*$A71+Vq*Delay!Y71)</f>
        <v>11.8559034493635</v>
      </c>
      <c r="Z71" s="19" t="n">
        <f aca="false">IF(Delay!Z71="","",Fee*$A71+Vq*Delay!Z71)</f>
        <v>11.5383040001245</v>
      </c>
      <c r="AA71" s="19" t="n">
        <f aca="false">IF(Delay!AA71="","",Fee*$A71+Vq*Delay!AA71)</f>
        <v>11.241939267027</v>
      </c>
      <c r="AB71" s="19" t="n">
        <f aca="false">IF(Delay!AB71="","",Fee*$A71+Vq*Delay!AB71)</f>
        <v>10.9176744023048</v>
      </c>
      <c r="AC71" s="19" t="n">
        <f aca="false">IF(Delay!AC71="","",Fee*$A71+Vq*Delay!AC71)</f>
        <v>10.6314097199352</v>
      </c>
      <c r="AD71" s="19" t="n">
        <f aca="false">IF(Delay!AD71="","",Fee*$A71+Vq*Delay!AD71)</f>
        <v>10.3369171928785</v>
      </c>
      <c r="AE71" s="19" t="n">
        <f aca="false">IF(Delay!AE71="","",Fee*$A71+Vq*Delay!AE71)</f>
        <v>10.066711653276</v>
      </c>
      <c r="AF71" s="19" t="n">
        <f aca="false">IF(Delay!AF71="","",Fee*$A71+Vq*Delay!AF71)</f>
        <v>9.9</v>
      </c>
      <c r="AG71" s="19" t="n">
        <f aca="false">IF(Delay!AG71="","",Fee*$A71+Vq*Delay!AG71)</f>
        <v>9.9</v>
      </c>
      <c r="AH71" s="19" t="n">
        <f aca="false">IF(Delay!AH71="","",Fee*$A71+Vq*Delay!AH71)</f>
        <v>9.9</v>
      </c>
      <c r="AI71" s="19" t="n">
        <f aca="false">IF(Delay!AI71="","",Fee*$A71+Vq*Delay!AI71)</f>
        <v>9.9</v>
      </c>
      <c r="AJ71" s="19" t="n">
        <f aca="false">IF(Delay!AJ71="","",Fee*$A71+Vq*Delay!AJ71)</f>
        <v>9.9</v>
      </c>
      <c r="AK71" s="19" t="n">
        <f aca="false">IF(Delay!AK71="","",Fee*$A71+Vq*Delay!AK71)</f>
        <v>9.9</v>
      </c>
      <c r="AL71" s="19" t="n">
        <f aca="false">IF(Delay!AL71="","",Fee*$A71+Vq*Delay!AL71)</f>
        <v>9.9</v>
      </c>
      <c r="AM71" s="19" t="n">
        <f aca="false">IF(Delay!AM71="","",Fee*$A71+Vq*Delay!AM71)</f>
        <v>9.9</v>
      </c>
      <c r="AN71" s="19" t="n">
        <f aca="false">IF(Delay!AN71="","",Fee*$A71+Vq*Delay!AN71)</f>
        <v>9.9</v>
      </c>
      <c r="AO71" s="19" t="n">
        <f aca="false">IF(Delay!AO71="","",Fee*$A71+Vq*Delay!AO71)</f>
        <v>9.9</v>
      </c>
      <c r="AP71" s="19" t="n">
        <f aca="false">IF(Delay!AP71="","",Fee*$A71+Vq*Delay!AP71)</f>
        <v>9.9</v>
      </c>
      <c r="AQ71" s="19" t="n">
        <f aca="false">IF(Delay!AQ71="","",Fee*$A71+Vq*Delay!AQ71)</f>
        <v>9.9</v>
      </c>
      <c r="AR71" s="19" t="n">
        <f aca="false">IF(Delay!AR71="","",Fee*$A71+Vq*Delay!AR71)</f>
        <v>9.9</v>
      </c>
      <c r="AS71" s="19" t="n">
        <f aca="false">IF(Delay!AS71="","",Fee*$A71+Vq*Delay!AS71)</f>
        <v>9.9</v>
      </c>
      <c r="AT71" s="19" t="n">
        <f aca="false">IF(Delay!AT71="","",Fee*$A71+Vq*Delay!AT71)</f>
        <v>9.9</v>
      </c>
      <c r="AU71" s="19" t="n">
        <f aca="false">IF(Delay!AU71="","",Fee*$A71+Vq*Delay!AU71)</f>
        <v>9.9</v>
      </c>
      <c r="AV71" s="19" t="n">
        <f aca="false">IF(Delay!AV71="","",Fee*$A71+Vq*Delay!AV71)</f>
        <v>9.9</v>
      </c>
      <c r="AW71" s="19" t="n">
        <f aca="false">IF(Delay!AW71="","",Fee*$A71+Vq*Delay!AW71)</f>
        <v>9.9</v>
      </c>
      <c r="AX71" s="19" t="n">
        <f aca="false">IF(Delay!AX71="","",Fee*$A71+Vq*Delay!AX71)</f>
        <v>9.9</v>
      </c>
      <c r="AY71" s="19" t="n">
        <f aca="false">IF(Delay!AY71="","",Fee*$A71+Vq*Delay!AY71)</f>
        <v>9.9</v>
      </c>
      <c r="AZ71" s="19" t="n">
        <f aca="false">IF(Delay!AZ71="","",Fee*$A71+Vq*Delay!AZ71)</f>
        <v>9.9</v>
      </c>
      <c r="BA71" s="19" t="n">
        <f aca="false">IF(Delay!BA71="","",Fee*$A71+Vq*Delay!BA71)</f>
        <v>9.9</v>
      </c>
      <c r="BB71" s="19" t="n">
        <f aca="false">IF(Delay!BB71="","",Fee*$A71+Vq*Delay!BB71)</f>
        <v>9.9</v>
      </c>
      <c r="BC71" s="19" t="n">
        <f aca="false">IF(Delay!BC71="","",Fee*$A71+Vq*Delay!BC71)</f>
        <v>9.9</v>
      </c>
      <c r="BD71" s="19" t="n">
        <f aca="false">IF(Delay!BD71="","",Fee*$A71+Vq*Delay!BD71)</f>
        <v>9.9</v>
      </c>
      <c r="BE71" s="19" t="n">
        <f aca="false">IF(Delay!BE71="","",Fee*$A71+Vq*Delay!BE71)</f>
        <v>9.9</v>
      </c>
      <c r="BF71" s="19" t="n">
        <f aca="false">IF(Delay!BF71="","",Fee*$A71+Vq*Delay!BF71)</f>
        <v>9.9</v>
      </c>
      <c r="BG71" s="19" t="n">
        <f aca="false">IF(Delay!BG71="","",Fee*$A71+Vq*Delay!BG71)</f>
        <v>9.9</v>
      </c>
      <c r="BH71" s="19" t="n">
        <f aca="false">IF(Delay!BH71="","",Fee*$A71+Vq*Delay!BH71)</f>
        <v>9.9</v>
      </c>
      <c r="BI71" s="19" t="n">
        <f aca="false">IF(Delay!BI71="","",Fee*$A71+Vq*Delay!BI71)</f>
        <v>9.9</v>
      </c>
      <c r="BJ71" s="19" t="n">
        <f aca="false">IF(Delay!BJ71="","",Fee*$A71+Vq*Delay!BJ71)</f>
        <v>9.9</v>
      </c>
      <c r="BK71" s="19" t="n">
        <f aca="false">IF(Delay!BK71="","",Fee*$A71+Vq*Delay!BK71)</f>
        <v>9.9</v>
      </c>
      <c r="BL71" s="19" t="n">
        <f aca="false">IF(Delay!BL71="","",Fee*$A71+Vq*Delay!BL71)</f>
        <v>9.9</v>
      </c>
      <c r="BM71" s="19" t="n">
        <f aca="false">IF(Delay!BM71="","",Fee*$A71+Vq*Delay!BM71)</f>
        <v>9.9</v>
      </c>
      <c r="BN71" s="19" t="n">
        <f aca="false">IF(Delay!BN71="","",Fee*$A71+Vq*Delay!BN71)</f>
        <v>9.9</v>
      </c>
      <c r="BO71" s="19" t="n">
        <f aca="false">IF(Delay!BO71="","",Fee*$A71+Vq*Delay!BO71)</f>
        <v>9.9</v>
      </c>
      <c r="BP71" s="19" t="n">
        <f aca="false">IF(Delay!BP71="","",Fee*$A71+Vq*Delay!BP71)</f>
        <v>9.9</v>
      </c>
      <c r="BQ71" s="19" t="n">
        <f aca="false">IF(Delay!BQ71="","",Fee*$A71+Vq*Delay!BQ71)</f>
        <v>9.9</v>
      </c>
      <c r="BR71" s="19" t="n">
        <f aca="false">IF(Delay!BR71="","",Fee*$A71+Vq*Delay!BR71)</f>
        <v>9.9</v>
      </c>
      <c r="BS71" s="19" t="n">
        <f aca="false">IF(Delay!BS71="","",Fee*$A71+Vq*Delay!BS71)</f>
        <v>9.9</v>
      </c>
      <c r="BT71" s="19" t="n">
        <f aca="false">IF(Delay!BT71="","",Fee*$A71+Vq*Delay!BT71)</f>
        <v>9.9</v>
      </c>
      <c r="BU71" s="19" t="n">
        <f aca="false">IF(Delay!BU71="","",Fee*$A71+Vq*Delay!BU71)</f>
        <v>9.9</v>
      </c>
      <c r="BV71" s="19" t="n">
        <f aca="false">IF(Delay!BV71="","",Fee*$A71+Vq*Delay!BV71)</f>
        <v>9.9</v>
      </c>
      <c r="BW71" s="19" t="n">
        <f aca="false">IF(Delay!BW71="","",Fee*$A71+Vq*Delay!BW71)</f>
        <v>9.9</v>
      </c>
      <c r="BX71" s="19" t="n">
        <f aca="false">IF(Delay!BX71="","",Fee*$A71+Vq*Delay!BX71)</f>
        <v>9.9</v>
      </c>
      <c r="BY71" s="19" t="n">
        <f aca="false">IF(Delay!BY71="","",Fee*$A71+Vq*Delay!BY71)</f>
        <v>9.9</v>
      </c>
      <c r="BZ71" s="19" t="n">
        <f aca="false">IF(Delay!BZ71="","",Fee*$A71+Vq*Delay!BZ71)</f>
        <v>9.9</v>
      </c>
      <c r="CA71" s="19" t="n">
        <f aca="false">IF(Delay!CA71="","",Fee*$A71+Vq*Delay!CA71)</f>
        <v>9.9</v>
      </c>
      <c r="CB71" s="19" t="n">
        <f aca="false">IF(Delay!CB71="","",Fee*$A71+Vq*Delay!CB71)</f>
        <v>9.9</v>
      </c>
      <c r="CC71" s="19" t="n">
        <f aca="false">IF(Delay!CC71="","",Fee*$A71+Vq*Delay!CC71)</f>
        <v>9.9</v>
      </c>
      <c r="CD71" s="19" t="n">
        <f aca="false">IF(Delay!CD71="","",Fee*$A71+Vq*Delay!CD71)</f>
        <v>9.9</v>
      </c>
      <c r="CE71" s="19" t="n">
        <f aca="false">IF(Delay!CE71="","",Fee*$A71+Vq*Delay!CE71)</f>
        <v>9.9</v>
      </c>
      <c r="CF71" s="19" t="n">
        <f aca="false">IF(Delay!CF71="","",Fee*$A71+Vq*Delay!CF71)</f>
        <v>9.9</v>
      </c>
      <c r="CG71" s="19" t="n">
        <f aca="false">IF(Delay!CG71="","",Fee*$A71+Vq*Delay!CG71)</f>
        <v>9.9</v>
      </c>
      <c r="CH71" s="19" t="n">
        <f aca="false">IF(Delay!CH71="","",Fee*$A71+Vq*Delay!CH71)</f>
        <v>9.9</v>
      </c>
      <c r="CI71" s="19" t="n">
        <f aca="false">IF(Delay!CI71="","",Fee*$A71+Vq*Delay!CI71)</f>
        <v>9.9</v>
      </c>
      <c r="CJ71" s="19" t="n">
        <f aca="false">IF(Delay!CJ71="","",Fee*$A71+Vq*Delay!CJ71)</f>
        <v>9.9</v>
      </c>
      <c r="CK71" s="19" t="n">
        <f aca="false">IF(Delay!CK71="","",Fee*$A71+Vq*Delay!CK71)</f>
        <v>9.9</v>
      </c>
      <c r="CL71" s="19" t="n">
        <f aca="false">IF(Delay!CL71="","",Fee*$A71+Vq*Delay!CL71)</f>
        <v>9.9</v>
      </c>
      <c r="CM71" s="19" t="n">
        <f aca="false">IF(Delay!CM71="","",Fee*$A71+Vq*Delay!CM71)</f>
        <v>9.9</v>
      </c>
      <c r="CN71" s="19" t="n">
        <f aca="false">IF(Delay!CN71="","",Fee*$A71+Vq*Delay!CN71)</f>
        <v>9.9</v>
      </c>
      <c r="CO71" s="19" t="n">
        <f aca="false">IF(Delay!CO71="","",Fee*$A71+Vq*Delay!CO71)</f>
        <v>9.9</v>
      </c>
      <c r="CP71" s="19" t="n">
        <f aca="false">IF(Delay!CP71="","",Fee*$A71+Vq*Delay!CP71)</f>
        <v>9.9</v>
      </c>
      <c r="CQ71" s="19" t="n">
        <f aca="false">IF(Delay!CQ71="","",Fee*$A71+Vq*Delay!CQ71)</f>
        <v>9.9</v>
      </c>
      <c r="CR71" s="19" t="n">
        <f aca="false">IF(Delay!CR71="","",Fee*$A71+Vq*Delay!CR71)</f>
        <v>9.9</v>
      </c>
      <c r="CS71" s="19" t="n">
        <f aca="false">IF(Delay!CS71="","",Fee*$A71+Vq*Delay!CS71)</f>
        <v>9.9</v>
      </c>
      <c r="CT71" s="19" t="n">
        <f aca="false">IF(Delay!CT71="","",Fee*$A71+Vq*Delay!CT71)</f>
        <v>18.4486478062515</v>
      </c>
    </row>
    <row r="72" customFormat="false" ht="15" hidden="false" customHeight="false" outlineLevel="0" collapsed="false">
      <c r="A72" s="25" t="n">
        <f aca="false">Quantiles!A72</f>
        <v>335</v>
      </c>
      <c r="B72" s="19" t="n">
        <f aca="false">IF(Delay!B72="","",Fee*$A72+Vq*Delay!B72)</f>
        <v>26.3996266683536</v>
      </c>
      <c r="C72" s="19" t="n">
        <f aca="false">IF(Delay!C72="","",Fee*$A72+Vq*Delay!C72)</f>
        <v>24.9048818971453</v>
      </c>
      <c r="D72" s="19" t="n">
        <f aca="false">IF(Delay!D72="","",Fee*$A72+Vq*Delay!D72)</f>
        <v>23.5906875672248</v>
      </c>
      <c r="E72" s="19" t="n">
        <f aca="false">IF(Delay!E72="","",Fee*$A72+Vq*Delay!E72)</f>
        <v>22.4965556867293</v>
      </c>
      <c r="F72" s="19" t="n">
        <f aca="false">IF(Delay!F72="","",Fee*$A72+Vq*Delay!F72)</f>
        <v>21.5380561358036</v>
      </c>
      <c r="G72" s="19" t="n">
        <f aca="false">IF(Delay!G72="","",Fee*$A72+Vq*Delay!G72)</f>
        <v>20.683826127187</v>
      </c>
      <c r="H72" s="19" t="n">
        <f aca="false">IF(Delay!H72="","",Fee*$A72+Vq*Delay!H72)</f>
        <v>19.9424014253365</v>
      </c>
      <c r="I72" s="19" t="n">
        <f aca="false">IF(Delay!I72="","",Fee*$A72+Vq*Delay!I72)</f>
        <v>19.2183817597905</v>
      </c>
      <c r="J72" s="19" t="n">
        <f aca="false">IF(Delay!J72="","",Fee*$A72+Vq*Delay!J72)</f>
        <v>18.6011623512398</v>
      </c>
      <c r="K72" s="19" t="n">
        <f aca="false">IF(Delay!K72="","",Fee*$A72+Vq*Delay!K72)</f>
        <v>17.9737827245511</v>
      </c>
      <c r="L72" s="19" t="n">
        <f aca="false">IF(Delay!L72="","",Fee*$A72+Vq*Delay!L72)</f>
        <v>17.3535669629001</v>
      </c>
      <c r="M72" s="19" t="n">
        <f aca="false">IF(Delay!M72="","",Fee*$A72+Vq*Delay!M72)</f>
        <v>16.8439514508736</v>
      </c>
      <c r="N72" s="19" t="n">
        <f aca="false">IF(Delay!N72="","",Fee*$A72+Vq*Delay!N72)</f>
        <v>16.3440133488695</v>
      </c>
      <c r="O72" s="19" t="n">
        <f aca="false">IF(Delay!O72="","",Fee*$A72+Vq*Delay!O72)</f>
        <v>15.8205578587628</v>
      </c>
      <c r="P72" s="19" t="n">
        <f aca="false">IF(Delay!P72="","",Fee*$A72+Vq*Delay!P72)</f>
        <v>15.3511285538818</v>
      </c>
      <c r="Q72" s="19" t="n">
        <f aca="false">IF(Delay!Q72="","",Fee*$A72+Vq*Delay!Q72)</f>
        <v>14.8987186891624</v>
      </c>
      <c r="R72" s="19" t="n">
        <f aca="false">IF(Delay!R72="","",Fee*$A72+Vq*Delay!R72)</f>
        <v>14.4926239997869</v>
      </c>
      <c r="S72" s="19" t="n">
        <f aca="false">IF(Delay!S72="","",Fee*$A72+Vq*Delay!S72)</f>
        <v>14.0931755221947</v>
      </c>
      <c r="T72" s="19" t="n">
        <f aca="false">IF(Delay!T72="","",Fee*$A72+Vq*Delay!T72)</f>
        <v>13.7239331711966</v>
      </c>
      <c r="U72" s="19" t="n">
        <f aca="false">IF(Delay!U72="","",Fee*$A72+Vq*Delay!U72)</f>
        <v>13.3657752643793</v>
      </c>
      <c r="V72" s="19" t="n">
        <f aca="false">IF(Delay!V72="","",Fee*$A72+Vq*Delay!V72)</f>
        <v>13.0164493943815</v>
      </c>
      <c r="W72" s="19" t="n">
        <f aca="false">IF(Delay!W72="","",Fee*$A72+Vq*Delay!W72)</f>
        <v>12.6551725926388</v>
      </c>
      <c r="X72" s="19" t="n">
        <f aca="false">IF(Delay!X72="","",Fee*$A72+Vq*Delay!X72)</f>
        <v>12.3008241614385</v>
      </c>
      <c r="Y72" s="19" t="n">
        <f aca="false">IF(Delay!Y72="","",Fee*$A72+Vq*Delay!Y72)</f>
        <v>12.0000907462763</v>
      </c>
      <c r="Z72" s="19" t="n">
        <f aca="false">IF(Delay!Z72="","",Fee*$A72+Vq*Delay!Z72)</f>
        <v>11.6881086157246</v>
      </c>
      <c r="AA72" s="19" t="n">
        <f aca="false">IF(Delay!AA72="","",Fee*$A72+Vq*Delay!AA72)</f>
        <v>11.3909234445283</v>
      </c>
      <c r="AB72" s="19" t="n">
        <f aca="false">IF(Delay!AB72="","",Fee*$A72+Vq*Delay!AB72)</f>
        <v>11.0660202652547</v>
      </c>
      <c r="AC72" s="19" t="n">
        <f aca="false">IF(Delay!AC72="","",Fee*$A72+Vq*Delay!AC72)</f>
        <v>10.7813486809105</v>
      </c>
      <c r="AD72" s="19" t="n">
        <f aca="false">IF(Delay!AD72="","",Fee*$A72+Vq*Delay!AD72)</f>
        <v>10.4819304738619</v>
      </c>
      <c r="AE72" s="19" t="n">
        <f aca="false">IF(Delay!AE72="","",Fee*$A72+Vq*Delay!AE72)</f>
        <v>10.215385384647</v>
      </c>
      <c r="AF72" s="19" t="n">
        <f aca="false">IF(Delay!AF72="","",Fee*$A72+Vq*Delay!AF72)</f>
        <v>10.05</v>
      </c>
      <c r="AG72" s="19" t="n">
        <f aca="false">IF(Delay!AG72="","",Fee*$A72+Vq*Delay!AG72)</f>
        <v>10.05</v>
      </c>
      <c r="AH72" s="19" t="n">
        <f aca="false">IF(Delay!AH72="","",Fee*$A72+Vq*Delay!AH72)</f>
        <v>10.05</v>
      </c>
      <c r="AI72" s="19" t="n">
        <f aca="false">IF(Delay!AI72="","",Fee*$A72+Vq*Delay!AI72)</f>
        <v>10.05</v>
      </c>
      <c r="AJ72" s="19" t="n">
        <f aca="false">IF(Delay!AJ72="","",Fee*$A72+Vq*Delay!AJ72)</f>
        <v>10.05</v>
      </c>
      <c r="AK72" s="19" t="n">
        <f aca="false">IF(Delay!AK72="","",Fee*$A72+Vq*Delay!AK72)</f>
        <v>10.05</v>
      </c>
      <c r="AL72" s="19" t="n">
        <f aca="false">IF(Delay!AL72="","",Fee*$A72+Vq*Delay!AL72)</f>
        <v>10.05</v>
      </c>
      <c r="AM72" s="19" t="n">
        <f aca="false">IF(Delay!AM72="","",Fee*$A72+Vq*Delay!AM72)</f>
        <v>10.05</v>
      </c>
      <c r="AN72" s="19" t="n">
        <f aca="false">IF(Delay!AN72="","",Fee*$A72+Vq*Delay!AN72)</f>
        <v>10.05</v>
      </c>
      <c r="AO72" s="19" t="n">
        <f aca="false">IF(Delay!AO72="","",Fee*$A72+Vq*Delay!AO72)</f>
        <v>10.05</v>
      </c>
      <c r="AP72" s="19" t="n">
        <f aca="false">IF(Delay!AP72="","",Fee*$A72+Vq*Delay!AP72)</f>
        <v>10.05</v>
      </c>
      <c r="AQ72" s="19" t="n">
        <f aca="false">IF(Delay!AQ72="","",Fee*$A72+Vq*Delay!AQ72)</f>
        <v>10.05</v>
      </c>
      <c r="AR72" s="19" t="n">
        <f aca="false">IF(Delay!AR72="","",Fee*$A72+Vq*Delay!AR72)</f>
        <v>10.05</v>
      </c>
      <c r="AS72" s="19" t="n">
        <f aca="false">IF(Delay!AS72="","",Fee*$A72+Vq*Delay!AS72)</f>
        <v>10.05</v>
      </c>
      <c r="AT72" s="19" t="n">
        <f aca="false">IF(Delay!AT72="","",Fee*$A72+Vq*Delay!AT72)</f>
        <v>10.05</v>
      </c>
      <c r="AU72" s="19" t="n">
        <f aca="false">IF(Delay!AU72="","",Fee*$A72+Vq*Delay!AU72)</f>
        <v>10.05</v>
      </c>
      <c r="AV72" s="19" t="n">
        <f aca="false">IF(Delay!AV72="","",Fee*$A72+Vq*Delay!AV72)</f>
        <v>10.05</v>
      </c>
      <c r="AW72" s="19" t="n">
        <f aca="false">IF(Delay!AW72="","",Fee*$A72+Vq*Delay!AW72)</f>
        <v>10.05</v>
      </c>
      <c r="AX72" s="19" t="n">
        <f aca="false">IF(Delay!AX72="","",Fee*$A72+Vq*Delay!AX72)</f>
        <v>10.05</v>
      </c>
      <c r="AY72" s="19" t="n">
        <f aca="false">IF(Delay!AY72="","",Fee*$A72+Vq*Delay!AY72)</f>
        <v>10.05</v>
      </c>
      <c r="AZ72" s="19" t="n">
        <f aca="false">IF(Delay!AZ72="","",Fee*$A72+Vq*Delay!AZ72)</f>
        <v>10.05</v>
      </c>
      <c r="BA72" s="19" t="n">
        <f aca="false">IF(Delay!BA72="","",Fee*$A72+Vq*Delay!BA72)</f>
        <v>10.05</v>
      </c>
      <c r="BB72" s="19" t="n">
        <f aca="false">IF(Delay!BB72="","",Fee*$A72+Vq*Delay!BB72)</f>
        <v>10.05</v>
      </c>
      <c r="BC72" s="19" t="n">
        <f aca="false">IF(Delay!BC72="","",Fee*$A72+Vq*Delay!BC72)</f>
        <v>10.05</v>
      </c>
      <c r="BD72" s="19" t="n">
        <f aca="false">IF(Delay!BD72="","",Fee*$A72+Vq*Delay!BD72)</f>
        <v>10.05</v>
      </c>
      <c r="BE72" s="19" t="n">
        <f aca="false">IF(Delay!BE72="","",Fee*$A72+Vq*Delay!BE72)</f>
        <v>10.05</v>
      </c>
      <c r="BF72" s="19" t="n">
        <f aca="false">IF(Delay!BF72="","",Fee*$A72+Vq*Delay!BF72)</f>
        <v>10.05</v>
      </c>
      <c r="BG72" s="19" t="n">
        <f aca="false">IF(Delay!BG72="","",Fee*$A72+Vq*Delay!BG72)</f>
        <v>10.05</v>
      </c>
      <c r="BH72" s="19" t="n">
        <f aca="false">IF(Delay!BH72="","",Fee*$A72+Vq*Delay!BH72)</f>
        <v>10.05</v>
      </c>
      <c r="BI72" s="19" t="n">
        <f aca="false">IF(Delay!BI72="","",Fee*$A72+Vq*Delay!BI72)</f>
        <v>10.05</v>
      </c>
      <c r="BJ72" s="19" t="n">
        <f aca="false">IF(Delay!BJ72="","",Fee*$A72+Vq*Delay!BJ72)</f>
        <v>10.05</v>
      </c>
      <c r="BK72" s="19" t="n">
        <f aca="false">IF(Delay!BK72="","",Fee*$A72+Vq*Delay!BK72)</f>
        <v>10.05</v>
      </c>
      <c r="BL72" s="19" t="n">
        <f aca="false">IF(Delay!BL72="","",Fee*$A72+Vq*Delay!BL72)</f>
        <v>10.05</v>
      </c>
      <c r="BM72" s="19" t="n">
        <f aca="false">IF(Delay!BM72="","",Fee*$A72+Vq*Delay!BM72)</f>
        <v>10.05</v>
      </c>
      <c r="BN72" s="19" t="n">
        <f aca="false">IF(Delay!BN72="","",Fee*$A72+Vq*Delay!BN72)</f>
        <v>10.05</v>
      </c>
      <c r="BO72" s="19" t="n">
        <f aca="false">IF(Delay!BO72="","",Fee*$A72+Vq*Delay!BO72)</f>
        <v>10.05</v>
      </c>
      <c r="BP72" s="19" t="n">
        <f aca="false">IF(Delay!BP72="","",Fee*$A72+Vq*Delay!BP72)</f>
        <v>10.05</v>
      </c>
      <c r="BQ72" s="19" t="n">
        <f aca="false">IF(Delay!BQ72="","",Fee*$A72+Vq*Delay!BQ72)</f>
        <v>10.05</v>
      </c>
      <c r="BR72" s="19" t="n">
        <f aca="false">IF(Delay!BR72="","",Fee*$A72+Vq*Delay!BR72)</f>
        <v>10.05</v>
      </c>
      <c r="BS72" s="19" t="n">
        <f aca="false">IF(Delay!BS72="","",Fee*$A72+Vq*Delay!BS72)</f>
        <v>10.05</v>
      </c>
      <c r="BT72" s="19" t="n">
        <f aca="false">IF(Delay!BT72="","",Fee*$A72+Vq*Delay!BT72)</f>
        <v>10.05</v>
      </c>
      <c r="BU72" s="19" t="n">
        <f aca="false">IF(Delay!BU72="","",Fee*$A72+Vq*Delay!BU72)</f>
        <v>10.05</v>
      </c>
      <c r="BV72" s="19" t="n">
        <f aca="false">IF(Delay!BV72="","",Fee*$A72+Vq*Delay!BV72)</f>
        <v>10.05</v>
      </c>
      <c r="BW72" s="19" t="n">
        <f aca="false">IF(Delay!BW72="","",Fee*$A72+Vq*Delay!BW72)</f>
        <v>10.05</v>
      </c>
      <c r="BX72" s="19" t="n">
        <f aca="false">IF(Delay!BX72="","",Fee*$A72+Vq*Delay!BX72)</f>
        <v>10.05</v>
      </c>
      <c r="BY72" s="19" t="n">
        <f aca="false">IF(Delay!BY72="","",Fee*$A72+Vq*Delay!BY72)</f>
        <v>10.05</v>
      </c>
      <c r="BZ72" s="19" t="n">
        <f aca="false">IF(Delay!BZ72="","",Fee*$A72+Vq*Delay!BZ72)</f>
        <v>10.05</v>
      </c>
      <c r="CA72" s="19" t="n">
        <f aca="false">IF(Delay!CA72="","",Fee*$A72+Vq*Delay!CA72)</f>
        <v>10.05</v>
      </c>
      <c r="CB72" s="19" t="n">
        <f aca="false">IF(Delay!CB72="","",Fee*$A72+Vq*Delay!CB72)</f>
        <v>10.05</v>
      </c>
      <c r="CC72" s="19" t="n">
        <f aca="false">IF(Delay!CC72="","",Fee*$A72+Vq*Delay!CC72)</f>
        <v>10.05</v>
      </c>
      <c r="CD72" s="19" t="n">
        <f aca="false">IF(Delay!CD72="","",Fee*$A72+Vq*Delay!CD72)</f>
        <v>10.05</v>
      </c>
      <c r="CE72" s="19" t="n">
        <f aca="false">IF(Delay!CE72="","",Fee*$A72+Vq*Delay!CE72)</f>
        <v>10.05</v>
      </c>
      <c r="CF72" s="19" t="n">
        <f aca="false">IF(Delay!CF72="","",Fee*$A72+Vq*Delay!CF72)</f>
        <v>10.05</v>
      </c>
      <c r="CG72" s="19" t="n">
        <f aca="false">IF(Delay!CG72="","",Fee*$A72+Vq*Delay!CG72)</f>
        <v>10.05</v>
      </c>
      <c r="CH72" s="19" t="n">
        <f aca="false">IF(Delay!CH72="","",Fee*$A72+Vq*Delay!CH72)</f>
        <v>10.05</v>
      </c>
      <c r="CI72" s="19" t="n">
        <f aca="false">IF(Delay!CI72="","",Fee*$A72+Vq*Delay!CI72)</f>
        <v>10.05</v>
      </c>
      <c r="CJ72" s="19" t="n">
        <f aca="false">IF(Delay!CJ72="","",Fee*$A72+Vq*Delay!CJ72)</f>
        <v>10.05</v>
      </c>
      <c r="CK72" s="19" t="n">
        <f aca="false">IF(Delay!CK72="","",Fee*$A72+Vq*Delay!CK72)</f>
        <v>10.05</v>
      </c>
      <c r="CL72" s="19" t="n">
        <f aca="false">IF(Delay!CL72="","",Fee*$A72+Vq*Delay!CL72)</f>
        <v>10.05</v>
      </c>
      <c r="CM72" s="19" t="n">
        <f aca="false">IF(Delay!CM72="","",Fee*$A72+Vq*Delay!CM72)</f>
        <v>10.05</v>
      </c>
      <c r="CN72" s="19" t="n">
        <f aca="false">IF(Delay!CN72="","",Fee*$A72+Vq*Delay!CN72)</f>
        <v>10.05</v>
      </c>
      <c r="CO72" s="19" t="n">
        <f aca="false">IF(Delay!CO72="","",Fee*$A72+Vq*Delay!CO72)</f>
        <v>10.05</v>
      </c>
      <c r="CP72" s="19" t="n">
        <f aca="false">IF(Delay!CP72="","",Fee*$A72+Vq*Delay!CP72)</f>
        <v>10.05</v>
      </c>
      <c r="CQ72" s="19" t="n">
        <f aca="false">IF(Delay!CQ72="","",Fee*$A72+Vq*Delay!CQ72)</f>
        <v>10.05</v>
      </c>
      <c r="CR72" s="19" t="n">
        <f aca="false">IF(Delay!CR72="","",Fee*$A72+Vq*Delay!CR72)</f>
        <v>10.05</v>
      </c>
      <c r="CS72" s="19" t="n">
        <f aca="false">IF(Delay!CS72="","",Fee*$A72+Vq*Delay!CS72)</f>
        <v>10.05</v>
      </c>
      <c r="CT72" s="19" t="n">
        <f aca="false">IF(Delay!CT72="","",Fee*$A72+Vq*Delay!CT72)</f>
        <v>18.5986478062515</v>
      </c>
    </row>
    <row r="73" customFormat="false" ht="15" hidden="false" customHeight="false" outlineLevel="0" collapsed="false">
      <c r="A73" s="25" t="n">
        <f aca="false">Quantiles!A73</f>
        <v>340</v>
      </c>
      <c r="B73" s="19" t="n">
        <f aca="false">IF(Delay!B73="","",Fee*$A73+Vq*Delay!B73)</f>
        <v>26.5496266683536</v>
      </c>
      <c r="C73" s="19" t="n">
        <f aca="false">IF(Delay!C73="","",Fee*$A73+Vq*Delay!C73)</f>
        <v>25.0548818971453</v>
      </c>
      <c r="D73" s="19" t="n">
        <f aca="false">IF(Delay!D73="","",Fee*$A73+Vq*Delay!D73)</f>
        <v>23.7406875672248</v>
      </c>
      <c r="E73" s="19" t="n">
        <f aca="false">IF(Delay!E73="","",Fee*$A73+Vq*Delay!E73)</f>
        <v>22.6465556867293</v>
      </c>
      <c r="F73" s="19" t="n">
        <f aca="false">IF(Delay!F73="","",Fee*$A73+Vq*Delay!F73)</f>
        <v>21.6880561358036</v>
      </c>
      <c r="G73" s="19" t="n">
        <f aca="false">IF(Delay!G73="","",Fee*$A73+Vq*Delay!G73)</f>
        <v>20.833826127187</v>
      </c>
      <c r="H73" s="19" t="n">
        <f aca="false">IF(Delay!H73="","",Fee*$A73+Vq*Delay!H73)</f>
        <v>20.0875007440562</v>
      </c>
      <c r="I73" s="19" t="n">
        <f aca="false">IF(Delay!I73="","",Fee*$A73+Vq*Delay!I73)</f>
        <v>19.361597361921</v>
      </c>
      <c r="J73" s="19" t="n">
        <f aca="false">IF(Delay!J73="","",Fee*$A73+Vq*Delay!J73)</f>
        <v>18.7503367044211</v>
      </c>
      <c r="K73" s="19" t="n">
        <f aca="false">IF(Delay!K73="","",Fee*$A73+Vq*Delay!K73)</f>
        <v>18.1237827245511</v>
      </c>
      <c r="L73" s="19" t="n">
        <f aca="false">IF(Delay!L73="","",Fee*$A73+Vq*Delay!L73)</f>
        <v>17.5035669629001</v>
      </c>
      <c r="M73" s="19" t="n">
        <f aca="false">IF(Delay!M73="","",Fee*$A73+Vq*Delay!M73)</f>
        <v>16.9939514508736</v>
      </c>
      <c r="N73" s="19" t="n">
        <f aca="false">IF(Delay!N73="","",Fee*$A73+Vq*Delay!N73)</f>
        <v>16.4940133488695</v>
      </c>
      <c r="O73" s="19" t="n">
        <f aca="false">IF(Delay!O73="","",Fee*$A73+Vq*Delay!O73)</f>
        <v>15.9705578587628</v>
      </c>
      <c r="P73" s="19" t="n">
        <f aca="false">IF(Delay!P73="","",Fee*$A73+Vq*Delay!P73)</f>
        <v>15.5011285538818</v>
      </c>
      <c r="Q73" s="19" t="n">
        <f aca="false">IF(Delay!Q73="","",Fee*$A73+Vq*Delay!Q73)</f>
        <v>15.0487186891624</v>
      </c>
      <c r="R73" s="19" t="n">
        <f aca="false">IF(Delay!R73="","",Fee*$A73+Vq*Delay!R73)</f>
        <v>14.6426239997869</v>
      </c>
      <c r="S73" s="19" t="n">
        <f aca="false">IF(Delay!S73="","",Fee*$A73+Vq*Delay!S73)</f>
        <v>14.2431755221947</v>
      </c>
      <c r="T73" s="19" t="n">
        <f aca="false">IF(Delay!T73="","",Fee*$A73+Vq*Delay!T73)</f>
        <v>13.8739331711966</v>
      </c>
      <c r="U73" s="19" t="n">
        <f aca="false">IF(Delay!U73="","",Fee*$A73+Vq*Delay!U73)</f>
        <v>13.5157752643793</v>
      </c>
      <c r="V73" s="19" t="n">
        <f aca="false">IF(Delay!V73="","",Fee*$A73+Vq*Delay!V73)</f>
        <v>13.1664493943815</v>
      </c>
      <c r="W73" s="19" t="n">
        <f aca="false">IF(Delay!W73="","",Fee*$A73+Vq*Delay!W73)</f>
        <v>12.8051725926388</v>
      </c>
      <c r="X73" s="19" t="n">
        <f aca="false">IF(Delay!X73="","",Fee*$A73+Vq*Delay!X73)</f>
        <v>12.4508241614385</v>
      </c>
      <c r="Y73" s="19" t="n">
        <f aca="false">IF(Delay!Y73="","",Fee*$A73+Vq*Delay!Y73)</f>
        <v>12.1500907462763</v>
      </c>
      <c r="Z73" s="19" t="n">
        <f aca="false">IF(Delay!Z73="","",Fee*$A73+Vq*Delay!Z73)</f>
        <v>11.8381086157246</v>
      </c>
      <c r="AA73" s="19" t="n">
        <f aca="false">IF(Delay!AA73="","",Fee*$A73+Vq*Delay!AA73)</f>
        <v>11.5409234445283</v>
      </c>
      <c r="AB73" s="19" t="n">
        <f aca="false">IF(Delay!AB73="","",Fee*$A73+Vq*Delay!AB73)</f>
        <v>11.2160202652547</v>
      </c>
      <c r="AC73" s="19" t="n">
        <f aca="false">IF(Delay!AC73="","",Fee*$A73+Vq*Delay!AC73)</f>
        <v>10.9312708565859</v>
      </c>
      <c r="AD73" s="19" t="n">
        <f aca="false">IF(Delay!AD73="","",Fee*$A73+Vq*Delay!AD73)</f>
        <v>10.6312413397492</v>
      </c>
      <c r="AE73" s="19" t="n">
        <f aca="false">IF(Delay!AE73="","",Fee*$A73+Vq*Delay!AE73)</f>
        <v>10.3648566868441</v>
      </c>
      <c r="AF73" s="19" t="n">
        <f aca="false">IF(Delay!AF73="","",Fee*$A73+Vq*Delay!AF73)</f>
        <v>10.2</v>
      </c>
      <c r="AG73" s="19" t="n">
        <f aca="false">IF(Delay!AG73="","",Fee*$A73+Vq*Delay!AG73)</f>
        <v>10.2</v>
      </c>
      <c r="AH73" s="19" t="n">
        <f aca="false">IF(Delay!AH73="","",Fee*$A73+Vq*Delay!AH73)</f>
        <v>10.2</v>
      </c>
      <c r="AI73" s="19" t="n">
        <f aca="false">IF(Delay!AI73="","",Fee*$A73+Vq*Delay!AI73)</f>
        <v>10.2</v>
      </c>
      <c r="AJ73" s="19" t="n">
        <f aca="false">IF(Delay!AJ73="","",Fee*$A73+Vq*Delay!AJ73)</f>
        <v>10.2</v>
      </c>
      <c r="AK73" s="19" t="n">
        <f aca="false">IF(Delay!AK73="","",Fee*$A73+Vq*Delay!AK73)</f>
        <v>10.2</v>
      </c>
      <c r="AL73" s="19" t="n">
        <f aca="false">IF(Delay!AL73="","",Fee*$A73+Vq*Delay!AL73)</f>
        <v>10.2</v>
      </c>
      <c r="AM73" s="19" t="n">
        <f aca="false">IF(Delay!AM73="","",Fee*$A73+Vq*Delay!AM73)</f>
        <v>10.2</v>
      </c>
      <c r="AN73" s="19" t="n">
        <f aca="false">IF(Delay!AN73="","",Fee*$A73+Vq*Delay!AN73)</f>
        <v>10.2</v>
      </c>
      <c r="AO73" s="19" t="n">
        <f aca="false">IF(Delay!AO73="","",Fee*$A73+Vq*Delay!AO73)</f>
        <v>10.2</v>
      </c>
      <c r="AP73" s="19" t="n">
        <f aca="false">IF(Delay!AP73="","",Fee*$A73+Vq*Delay!AP73)</f>
        <v>10.2</v>
      </c>
      <c r="AQ73" s="19" t="n">
        <f aca="false">IF(Delay!AQ73="","",Fee*$A73+Vq*Delay!AQ73)</f>
        <v>10.2</v>
      </c>
      <c r="AR73" s="19" t="n">
        <f aca="false">IF(Delay!AR73="","",Fee*$A73+Vq*Delay!AR73)</f>
        <v>10.2</v>
      </c>
      <c r="AS73" s="19" t="n">
        <f aca="false">IF(Delay!AS73="","",Fee*$A73+Vq*Delay!AS73)</f>
        <v>10.2</v>
      </c>
      <c r="AT73" s="19" t="n">
        <f aca="false">IF(Delay!AT73="","",Fee*$A73+Vq*Delay!AT73)</f>
        <v>10.2</v>
      </c>
      <c r="AU73" s="19" t="n">
        <f aca="false">IF(Delay!AU73="","",Fee*$A73+Vq*Delay!AU73)</f>
        <v>10.2</v>
      </c>
      <c r="AV73" s="19" t="n">
        <f aca="false">IF(Delay!AV73="","",Fee*$A73+Vq*Delay!AV73)</f>
        <v>10.2</v>
      </c>
      <c r="AW73" s="19" t="n">
        <f aca="false">IF(Delay!AW73="","",Fee*$A73+Vq*Delay!AW73)</f>
        <v>10.2</v>
      </c>
      <c r="AX73" s="19" t="n">
        <f aca="false">IF(Delay!AX73="","",Fee*$A73+Vq*Delay!AX73)</f>
        <v>10.2</v>
      </c>
      <c r="AY73" s="19" t="n">
        <f aca="false">IF(Delay!AY73="","",Fee*$A73+Vq*Delay!AY73)</f>
        <v>10.2</v>
      </c>
      <c r="AZ73" s="19" t="n">
        <f aca="false">IF(Delay!AZ73="","",Fee*$A73+Vq*Delay!AZ73)</f>
        <v>10.2</v>
      </c>
      <c r="BA73" s="19" t="n">
        <f aca="false">IF(Delay!BA73="","",Fee*$A73+Vq*Delay!BA73)</f>
        <v>10.2</v>
      </c>
      <c r="BB73" s="19" t="n">
        <f aca="false">IF(Delay!BB73="","",Fee*$A73+Vq*Delay!BB73)</f>
        <v>10.2</v>
      </c>
      <c r="BC73" s="19" t="n">
        <f aca="false">IF(Delay!BC73="","",Fee*$A73+Vq*Delay!BC73)</f>
        <v>10.2</v>
      </c>
      <c r="BD73" s="19" t="n">
        <f aca="false">IF(Delay!BD73="","",Fee*$A73+Vq*Delay!BD73)</f>
        <v>10.2</v>
      </c>
      <c r="BE73" s="19" t="n">
        <f aca="false">IF(Delay!BE73="","",Fee*$A73+Vq*Delay!BE73)</f>
        <v>10.2</v>
      </c>
      <c r="BF73" s="19" t="n">
        <f aca="false">IF(Delay!BF73="","",Fee*$A73+Vq*Delay!BF73)</f>
        <v>10.2</v>
      </c>
      <c r="BG73" s="19" t="n">
        <f aca="false">IF(Delay!BG73="","",Fee*$A73+Vq*Delay!BG73)</f>
        <v>10.2</v>
      </c>
      <c r="BH73" s="19" t="n">
        <f aca="false">IF(Delay!BH73="","",Fee*$A73+Vq*Delay!BH73)</f>
        <v>10.2</v>
      </c>
      <c r="BI73" s="19" t="n">
        <f aca="false">IF(Delay!BI73="","",Fee*$A73+Vq*Delay!BI73)</f>
        <v>10.2</v>
      </c>
      <c r="BJ73" s="19" t="n">
        <f aca="false">IF(Delay!BJ73="","",Fee*$A73+Vq*Delay!BJ73)</f>
        <v>10.2</v>
      </c>
      <c r="BK73" s="19" t="n">
        <f aca="false">IF(Delay!BK73="","",Fee*$A73+Vq*Delay!BK73)</f>
        <v>10.2</v>
      </c>
      <c r="BL73" s="19" t="n">
        <f aca="false">IF(Delay!BL73="","",Fee*$A73+Vq*Delay!BL73)</f>
        <v>10.2</v>
      </c>
      <c r="BM73" s="19" t="n">
        <f aca="false">IF(Delay!BM73="","",Fee*$A73+Vq*Delay!BM73)</f>
        <v>10.2</v>
      </c>
      <c r="BN73" s="19" t="n">
        <f aca="false">IF(Delay!BN73="","",Fee*$A73+Vq*Delay!BN73)</f>
        <v>10.2</v>
      </c>
      <c r="BO73" s="19" t="n">
        <f aca="false">IF(Delay!BO73="","",Fee*$A73+Vq*Delay!BO73)</f>
        <v>10.2</v>
      </c>
      <c r="BP73" s="19" t="n">
        <f aca="false">IF(Delay!BP73="","",Fee*$A73+Vq*Delay!BP73)</f>
        <v>10.2</v>
      </c>
      <c r="BQ73" s="19" t="n">
        <f aca="false">IF(Delay!BQ73="","",Fee*$A73+Vq*Delay!BQ73)</f>
        <v>10.2</v>
      </c>
      <c r="BR73" s="19" t="n">
        <f aca="false">IF(Delay!BR73="","",Fee*$A73+Vq*Delay!BR73)</f>
        <v>10.2</v>
      </c>
      <c r="BS73" s="19" t="n">
        <f aca="false">IF(Delay!BS73="","",Fee*$A73+Vq*Delay!BS73)</f>
        <v>10.2</v>
      </c>
      <c r="BT73" s="19" t="n">
        <f aca="false">IF(Delay!BT73="","",Fee*$A73+Vq*Delay!BT73)</f>
        <v>10.2</v>
      </c>
      <c r="BU73" s="19" t="n">
        <f aca="false">IF(Delay!BU73="","",Fee*$A73+Vq*Delay!BU73)</f>
        <v>10.2</v>
      </c>
      <c r="BV73" s="19" t="n">
        <f aca="false">IF(Delay!BV73="","",Fee*$A73+Vq*Delay!BV73)</f>
        <v>10.2</v>
      </c>
      <c r="BW73" s="19" t="n">
        <f aca="false">IF(Delay!BW73="","",Fee*$A73+Vq*Delay!BW73)</f>
        <v>10.2</v>
      </c>
      <c r="BX73" s="19" t="n">
        <f aca="false">IF(Delay!BX73="","",Fee*$A73+Vq*Delay!BX73)</f>
        <v>10.2</v>
      </c>
      <c r="BY73" s="19" t="n">
        <f aca="false">IF(Delay!BY73="","",Fee*$A73+Vq*Delay!BY73)</f>
        <v>10.2</v>
      </c>
      <c r="BZ73" s="19" t="n">
        <f aca="false">IF(Delay!BZ73="","",Fee*$A73+Vq*Delay!BZ73)</f>
        <v>10.2</v>
      </c>
      <c r="CA73" s="19" t="n">
        <f aca="false">IF(Delay!CA73="","",Fee*$A73+Vq*Delay!CA73)</f>
        <v>10.2</v>
      </c>
      <c r="CB73" s="19" t="n">
        <f aca="false">IF(Delay!CB73="","",Fee*$A73+Vq*Delay!CB73)</f>
        <v>10.2</v>
      </c>
      <c r="CC73" s="19" t="n">
        <f aca="false">IF(Delay!CC73="","",Fee*$A73+Vq*Delay!CC73)</f>
        <v>10.2</v>
      </c>
      <c r="CD73" s="19" t="n">
        <f aca="false">IF(Delay!CD73="","",Fee*$A73+Vq*Delay!CD73)</f>
        <v>10.2</v>
      </c>
      <c r="CE73" s="19" t="n">
        <f aca="false">IF(Delay!CE73="","",Fee*$A73+Vq*Delay!CE73)</f>
        <v>10.2</v>
      </c>
      <c r="CF73" s="19" t="n">
        <f aca="false">IF(Delay!CF73="","",Fee*$A73+Vq*Delay!CF73)</f>
        <v>10.2</v>
      </c>
      <c r="CG73" s="19" t="n">
        <f aca="false">IF(Delay!CG73="","",Fee*$A73+Vq*Delay!CG73)</f>
        <v>10.2</v>
      </c>
      <c r="CH73" s="19" t="n">
        <f aca="false">IF(Delay!CH73="","",Fee*$A73+Vq*Delay!CH73)</f>
        <v>10.2</v>
      </c>
      <c r="CI73" s="19" t="n">
        <f aca="false">IF(Delay!CI73="","",Fee*$A73+Vq*Delay!CI73)</f>
        <v>10.2</v>
      </c>
      <c r="CJ73" s="19" t="n">
        <f aca="false">IF(Delay!CJ73="","",Fee*$A73+Vq*Delay!CJ73)</f>
        <v>10.2</v>
      </c>
      <c r="CK73" s="19" t="n">
        <f aca="false">IF(Delay!CK73="","",Fee*$A73+Vq*Delay!CK73)</f>
        <v>10.2</v>
      </c>
      <c r="CL73" s="19" t="n">
        <f aca="false">IF(Delay!CL73="","",Fee*$A73+Vq*Delay!CL73)</f>
        <v>10.2</v>
      </c>
      <c r="CM73" s="19" t="n">
        <f aca="false">IF(Delay!CM73="","",Fee*$A73+Vq*Delay!CM73)</f>
        <v>10.2</v>
      </c>
      <c r="CN73" s="19" t="n">
        <f aca="false">IF(Delay!CN73="","",Fee*$A73+Vq*Delay!CN73)</f>
        <v>10.2</v>
      </c>
      <c r="CO73" s="19" t="n">
        <f aca="false">IF(Delay!CO73="","",Fee*$A73+Vq*Delay!CO73)</f>
        <v>10.2</v>
      </c>
      <c r="CP73" s="19" t="n">
        <f aca="false">IF(Delay!CP73="","",Fee*$A73+Vq*Delay!CP73)</f>
        <v>10.2</v>
      </c>
      <c r="CQ73" s="19" t="n">
        <f aca="false">IF(Delay!CQ73="","",Fee*$A73+Vq*Delay!CQ73)</f>
        <v>10.2</v>
      </c>
      <c r="CR73" s="19" t="n">
        <f aca="false">IF(Delay!CR73="","",Fee*$A73+Vq*Delay!CR73)</f>
        <v>10.2</v>
      </c>
      <c r="CS73" s="19" t="n">
        <f aca="false">IF(Delay!CS73="","",Fee*$A73+Vq*Delay!CS73)</f>
        <v>10.2</v>
      </c>
      <c r="CT73" s="19" t="n">
        <f aca="false">IF(Delay!CT73="","",Fee*$A73+Vq*Delay!CT73)</f>
        <v>18.7454815065769</v>
      </c>
    </row>
    <row r="74" customFormat="false" ht="15" hidden="false" customHeight="false" outlineLevel="0" collapsed="false">
      <c r="A74" s="25" t="n">
        <f aca="false">Quantiles!A74</f>
        <v>345</v>
      </c>
      <c r="B74" s="19" t="n">
        <f aca="false">IF(Delay!B74="","",Fee*$A74+Vq*Delay!B74)</f>
        <v>26.6996266683536</v>
      </c>
      <c r="C74" s="19" t="n">
        <f aca="false">IF(Delay!C74="","",Fee*$A74+Vq*Delay!C74)</f>
        <v>25.2048818971453</v>
      </c>
      <c r="D74" s="19" t="n">
        <f aca="false">IF(Delay!D74="","",Fee*$A74+Vq*Delay!D74)</f>
        <v>23.8906875672248</v>
      </c>
      <c r="E74" s="19" t="n">
        <f aca="false">IF(Delay!E74="","",Fee*$A74+Vq*Delay!E74)</f>
        <v>22.7965556867293</v>
      </c>
      <c r="F74" s="19" t="n">
        <f aca="false">IF(Delay!F74="","",Fee*$A74+Vq*Delay!F74)</f>
        <v>21.8380561358036</v>
      </c>
      <c r="G74" s="19" t="n">
        <f aca="false">IF(Delay!G74="","",Fee*$A74+Vq*Delay!G74)</f>
        <v>20.983826127187</v>
      </c>
      <c r="H74" s="19" t="n">
        <f aca="false">IF(Delay!H74="","",Fee*$A74+Vq*Delay!H74)</f>
        <v>20.2375007440562</v>
      </c>
      <c r="I74" s="19" t="n">
        <f aca="false">IF(Delay!I74="","",Fee*$A74+Vq*Delay!I74)</f>
        <v>19.511597361921</v>
      </c>
      <c r="J74" s="19" t="n">
        <f aca="false">IF(Delay!J74="","",Fee*$A74+Vq*Delay!J74)</f>
        <v>18.9003367044211</v>
      </c>
      <c r="K74" s="19" t="n">
        <f aca="false">IF(Delay!K74="","",Fee*$A74+Vq*Delay!K74)</f>
        <v>18.2686158145833</v>
      </c>
      <c r="L74" s="19" t="n">
        <f aca="false">IF(Delay!L74="","",Fee*$A74+Vq*Delay!L74)</f>
        <v>17.651953417664</v>
      </c>
      <c r="M74" s="19" t="n">
        <f aca="false">IF(Delay!M74="","",Fee*$A74+Vq*Delay!M74)</f>
        <v>17.139052942884</v>
      </c>
      <c r="N74" s="19" t="n">
        <f aca="false">IF(Delay!N74="","",Fee*$A74+Vq*Delay!N74)</f>
        <v>16.6440133488695</v>
      </c>
      <c r="O74" s="19" t="n">
        <f aca="false">IF(Delay!O74="","",Fee*$A74+Vq*Delay!O74)</f>
        <v>16.1205578587628</v>
      </c>
      <c r="P74" s="19" t="n">
        <f aca="false">IF(Delay!P74="","",Fee*$A74+Vq*Delay!P74)</f>
        <v>15.6511285538818</v>
      </c>
      <c r="Q74" s="19" t="n">
        <f aca="false">IF(Delay!Q74="","",Fee*$A74+Vq*Delay!Q74)</f>
        <v>15.1987186891624</v>
      </c>
      <c r="R74" s="19" t="n">
        <f aca="false">IF(Delay!R74="","",Fee*$A74+Vq*Delay!R74)</f>
        <v>14.7926239997869</v>
      </c>
      <c r="S74" s="19" t="n">
        <f aca="false">IF(Delay!S74="","",Fee*$A74+Vq*Delay!S74)</f>
        <v>14.3931755221947</v>
      </c>
      <c r="T74" s="19" t="n">
        <f aca="false">IF(Delay!T74="","",Fee*$A74+Vq*Delay!T74)</f>
        <v>14.0239331711966</v>
      </c>
      <c r="U74" s="19" t="n">
        <f aca="false">IF(Delay!U74="","",Fee*$A74+Vq*Delay!U74)</f>
        <v>13.6657752643793</v>
      </c>
      <c r="V74" s="19" t="n">
        <f aca="false">IF(Delay!V74="","",Fee*$A74+Vq*Delay!V74)</f>
        <v>13.3164493943815</v>
      </c>
      <c r="W74" s="19" t="n">
        <f aca="false">IF(Delay!W74="","",Fee*$A74+Vq*Delay!W74)</f>
        <v>12.9551725926388</v>
      </c>
      <c r="X74" s="19" t="n">
        <f aca="false">IF(Delay!X74="","",Fee*$A74+Vq*Delay!X74)</f>
        <v>12.6008241614385</v>
      </c>
      <c r="Y74" s="19" t="n">
        <f aca="false">IF(Delay!Y74="","",Fee*$A74+Vq*Delay!Y74)</f>
        <v>12.3000907462763</v>
      </c>
      <c r="Z74" s="19" t="n">
        <f aca="false">IF(Delay!Z74="","",Fee*$A74+Vq*Delay!Z74)</f>
        <v>11.9881086157246</v>
      </c>
      <c r="AA74" s="19" t="n">
        <f aca="false">IF(Delay!AA74="","",Fee*$A74+Vq*Delay!AA74)</f>
        <v>11.6909234445283</v>
      </c>
      <c r="AB74" s="19" t="n">
        <f aca="false">IF(Delay!AB74="","",Fee*$A74+Vq*Delay!AB74)</f>
        <v>11.3660202652547</v>
      </c>
      <c r="AC74" s="19" t="n">
        <f aca="false">IF(Delay!AC74="","",Fee*$A74+Vq*Delay!AC74)</f>
        <v>11.0812708565859</v>
      </c>
      <c r="AD74" s="19" t="n">
        <f aca="false">IF(Delay!AD74="","",Fee*$A74+Vq*Delay!AD74)</f>
        <v>10.7812413397492</v>
      </c>
      <c r="AE74" s="19" t="n">
        <f aca="false">IF(Delay!AE74="","",Fee*$A74+Vq*Delay!AE74)</f>
        <v>10.5148566868441</v>
      </c>
      <c r="AF74" s="19" t="n">
        <f aca="false">IF(Delay!AF74="","",Fee*$A74+Vq*Delay!AF74)</f>
        <v>10.35</v>
      </c>
      <c r="AG74" s="19" t="n">
        <f aca="false">IF(Delay!AG74="","",Fee*$A74+Vq*Delay!AG74)</f>
        <v>10.35</v>
      </c>
      <c r="AH74" s="19" t="n">
        <f aca="false">IF(Delay!AH74="","",Fee*$A74+Vq*Delay!AH74)</f>
        <v>10.35</v>
      </c>
      <c r="AI74" s="19" t="n">
        <f aca="false">IF(Delay!AI74="","",Fee*$A74+Vq*Delay!AI74)</f>
        <v>10.35</v>
      </c>
      <c r="AJ74" s="19" t="n">
        <f aca="false">IF(Delay!AJ74="","",Fee*$A74+Vq*Delay!AJ74)</f>
        <v>10.35</v>
      </c>
      <c r="AK74" s="19" t="n">
        <f aca="false">IF(Delay!AK74="","",Fee*$A74+Vq*Delay!AK74)</f>
        <v>10.35</v>
      </c>
      <c r="AL74" s="19" t="n">
        <f aca="false">IF(Delay!AL74="","",Fee*$A74+Vq*Delay!AL74)</f>
        <v>10.35</v>
      </c>
      <c r="AM74" s="19" t="n">
        <f aca="false">IF(Delay!AM74="","",Fee*$A74+Vq*Delay!AM74)</f>
        <v>10.35</v>
      </c>
      <c r="AN74" s="19" t="n">
        <f aca="false">IF(Delay!AN74="","",Fee*$A74+Vq*Delay!AN74)</f>
        <v>10.35</v>
      </c>
      <c r="AO74" s="19" t="n">
        <f aca="false">IF(Delay!AO74="","",Fee*$A74+Vq*Delay!AO74)</f>
        <v>10.35</v>
      </c>
      <c r="AP74" s="19" t="n">
        <f aca="false">IF(Delay!AP74="","",Fee*$A74+Vq*Delay!AP74)</f>
        <v>10.35</v>
      </c>
      <c r="AQ74" s="19" t="n">
        <f aca="false">IF(Delay!AQ74="","",Fee*$A74+Vq*Delay!AQ74)</f>
        <v>10.35</v>
      </c>
      <c r="AR74" s="19" t="n">
        <f aca="false">IF(Delay!AR74="","",Fee*$A74+Vq*Delay!AR74)</f>
        <v>10.35</v>
      </c>
      <c r="AS74" s="19" t="n">
        <f aca="false">IF(Delay!AS74="","",Fee*$A74+Vq*Delay!AS74)</f>
        <v>10.35</v>
      </c>
      <c r="AT74" s="19" t="n">
        <f aca="false">IF(Delay!AT74="","",Fee*$A74+Vq*Delay!AT74)</f>
        <v>10.35</v>
      </c>
      <c r="AU74" s="19" t="n">
        <f aca="false">IF(Delay!AU74="","",Fee*$A74+Vq*Delay!AU74)</f>
        <v>10.35</v>
      </c>
      <c r="AV74" s="19" t="n">
        <f aca="false">IF(Delay!AV74="","",Fee*$A74+Vq*Delay!AV74)</f>
        <v>10.35</v>
      </c>
      <c r="AW74" s="19" t="n">
        <f aca="false">IF(Delay!AW74="","",Fee*$A74+Vq*Delay!AW74)</f>
        <v>10.35</v>
      </c>
      <c r="AX74" s="19" t="n">
        <f aca="false">IF(Delay!AX74="","",Fee*$A74+Vq*Delay!AX74)</f>
        <v>10.35</v>
      </c>
      <c r="AY74" s="19" t="n">
        <f aca="false">IF(Delay!AY74="","",Fee*$A74+Vq*Delay!AY74)</f>
        <v>10.35</v>
      </c>
      <c r="AZ74" s="19" t="n">
        <f aca="false">IF(Delay!AZ74="","",Fee*$A74+Vq*Delay!AZ74)</f>
        <v>10.35</v>
      </c>
      <c r="BA74" s="19" t="n">
        <f aca="false">IF(Delay!BA74="","",Fee*$A74+Vq*Delay!BA74)</f>
        <v>10.35</v>
      </c>
      <c r="BB74" s="19" t="n">
        <f aca="false">IF(Delay!BB74="","",Fee*$A74+Vq*Delay!BB74)</f>
        <v>10.35</v>
      </c>
      <c r="BC74" s="19" t="n">
        <f aca="false">IF(Delay!BC74="","",Fee*$A74+Vq*Delay!BC74)</f>
        <v>10.35</v>
      </c>
      <c r="BD74" s="19" t="n">
        <f aca="false">IF(Delay!BD74="","",Fee*$A74+Vq*Delay!BD74)</f>
        <v>10.35</v>
      </c>
      <c r="BE74" s="19" t="n">
        <f aca="false">IF(Delay!BE74="","",Fee*$A74+Vq*Delay!BE74)</f>
        <v>10.35</v>
      </c>
      <c r="BF74" s="19" t="n">
        <f aca="false">IF(Delay!BF74="","",Fee*$A74+Vq*Delay!BF74)</f>
        <v>10.35</v>
      </c>
      <c r="BG74" s="19" t="n">
        <f aca="false">IF(Delay!BG74="","",Fee*$A74+Vq*Delay!BG74)</f>
        <v>10.35</v>
      </c>
      <c r="BH74" s="19" t="n">
        <f aca="false">IF(Delay!BH74="","",Fee*$A74+Vq*Delay!BH74)</f>
        <v>10.35</v>
      </c>
      <c r="BI74" s="19" t="n">
        <f aca="false">IF(Delay!BI74="","",Fee*$A74+Vq*Delay!BI74)</f>
        <v>10.35</v>
      </c>
      <c r="BJ74" s="19" t="n">
        <f aca="false">IF(Delay!BJ74="","",Fee*$A74+Vq*Delay!BJ74)</f>
        <v>10.35</v>
      </c>
      <c r="BK74" s="19" t="n">
        <f aca="false">IF(Delay!BK74="","",Fee*$A74+Vq*Delay!BK74)</f>
        <v>10.35</v>
      </c>
      <c r="BL74" s="19" t="n">
        <f aca="false">IF(Delay!BL74="","",Fee*$A74+Vq*Delay!BL74)</f>
        <v>10.35</v>
      </c>
      <c r="BM74" s="19" t="n">
        <f aca="false">IF(Delay!BM74="","",Fee*$A74+Vq*Delay!BM74)</f>
        <v>10.35</v>
      </c>
      <c r="BN74" s="19" t="n">
        <f aca="false">IF(Delay!BN74="","",Fee*$A74+Vq*Delay!BN74)</f>
        <v>10.35</v>
      </c>
      <c r="BO74" s="19" t="n">
        <f aca="false">IF(Delay!BO74="","",Fee*$A74+Vq*Delay!BO74)</f>
        <v>10.35</v>
      </c>
      <c r="BP74" s="19" t="n">
        <f aca="false">IF(Delay!BP74="","",Fee*$A74+Vq*Delay!BP74)</f>
        <v>10.35</v>
      </c>
      <c r="BQ74" s="19" t="n">
        <f aca="false">IF(Delay!BQ74="","",Fee*$A74+Vq*Delay!BQ74)</f>
        <v>10.35</v>
      </c>
      <c r="BR74" s="19" t="n">
        <f aca="false">IF(Delay!BR74="","",Fee*$A74+Vq*Delay!BR74)</f>
        <v>10.35</v>
      </c>
      <c r="BS74" s="19" t="n">
        <f aca="false">IF(Delay!BS74="","",Fee*$A74+Vq*Delay!BS74)</f>
        <v>10.35</v>
      </c>
      <c r="BT74" s="19" t="n">
        <f aca="false">IF(Delay!BT74="","",Fee*$A74+Vq*Delay!BT74)</f>
        <v>10.35</v>
      </c>
      <c r="BU74" s="19" t="n">
        <f aca="false">IF(Delay!BU74="","",Fee*$A74+Vq*Delay!BU74)</f>
        <v>10.35</v>
      </c>
      <c r="BV74" s="19" t="n">
        <f aca="false">IF(Delay!BV74="","",Fee*$A74+Vq*Delay!BV74)</f>
        <v>10.35</v>
      </c>
      <c r="BW74" s="19" t="n">
        <f aca="false">IF(Delay!BW74="","",Fee*$A74+Vq*Delay!BW74)</f>
        <v>10.35</v>
      </c>
      <c r="BX74" s="19" t="n">
        <f aca="false">IF(Delay!BX74="","",Fee*$A74+Vq*Delay!BX74)</f>
        <v>10.35</v>
      </c>
      <c r="BY74" s="19" t="n">
        <f aca="false">IF(Delay!BY74="","",Fee*$A74+Vq*Delay!BY74)</f>
        <v>10.35</v>
      </c>
      <c r="BZ74" s="19" t="n">
        <f aca="false">IF(Delay!BZ74="","",Fee*$A74+Vq*Delay!BZ74)</f>
        <v>10.35</v>
      </c>
      <c r="CA74" s="19" t="n">
        <f aca="false">IF(Delay!CA74="","",Fee*$A74+Vq*Delay!CA74)</f>
        <v>10.35</v>
      </c>
      <c r="CB74" s="19" t="n">
        <f aca="false">IF(Delay!CB74="","",Fee*$A74+Vq*Delay!CB74)</f>
        <v>10.35</v>
      </c>
      <c r="CC74" s="19" t="n">
        <f aca="false">IF(Delay!CC74="","",Fee*$A74+Vq*Delay!CC74)</f>
        <v>10.35</v>
      </c>
      <c r="CD74" s="19" t="n">
        <f aca="false">IF(Delay!CD74="","",Fee*$A74+Vq*Delay!CD74)</f>
        <v>10.35</v>
      </c>
      <c r="CE74" s="19" t="n">
        <f aca="false">IF(Delay!CE74="","",Fee*$A74+Vq*Delay!CE74)</f>
        <v>10.35</v>
      </c>
      <c r="CF74" s="19" t="n">
        <f aca="false">IF(Delay!CF74="","",Fee*$A74+Vq*Delay!CF74)</f>
        <v>10.35</v>
      </c>
      <c r="CG74" s="19" t="n">
        <f aca="false">IF(Delay!CG74="","",Fee*$A74+Vq*Delay!CG74)</f>
        <v>10.35</v>
      </c>
      <c r="CH74" s="19" t="n">
        <f aca="false">IF(Delay!CH74="","",Fee*$A74+Vq*Delay!CH74)</f>
        <v>10.35</v>
      </c>
      <c r="CI74" s="19" t="n">
        <f aca="false">IF(Delay!CI74="","",Fee*$A74+Vq*Delay!CI74)</f>
        <v>10.35</v>
      </c>
      <c r="CJ74" s="19" t="n">
        <f aca="false">IF(Delay!CJ74="","",Fee*$A74+Vq*Delay!CJ74)</f>
        <v>10.35</v>
      </c>
      <c r="CK74" s="19" t="n">
        <f aca="false">IF(Delay!CK74="","",Fee*$A74+Vq*Delay!CK74)</f>
        <v>10.35</v>
      </c>
      <c r="CL74" s="19" t="n">
        <f aca="false">IF(Delay!CL74="","",Fee*$A74+Vq*Delay!CL74)</f>
        <v>10.35</v>
      </c>
      <c r="CM74" s="19" t="n">
        <f aca="false">IF(Delay!CM74="","",Fee*$A74+Vq*Delay!CM74)</f>
        <v>10.35</v>
      </c>
      <c r="CN74" s="19" t="n">
        <f aca="false">IF(Delay!CN74="","",Fee*$A74+Vq*Delay!CN74)</f>
        <v>10.35</v>
      </c>
      <c r="CO74" s="19" t="n">
        <f aca="false">IF(Delay!CO74="","",Fee*$A74+Vq*Delay!CO74)</f>
        <v>10.35</v>
      </c>
      <c r="CP74" s="19" t="n">
        <f aca="false">IF(Delay!CP74="","",Fee*$A74+Vq*Delay!CP74)</f>
        <v>10.35</v>
      </c>
      <c r="CQ74" s="19" t="n">
        <f aca="false">IF(Delay!CQ74="","",Fee*$A74+Vq*Delay!CQ74)</f>
        <v>10.35</v>
      </c>
      <c r="CR74" s="19" t="n">
        <f aca="false">IF(Delay!CR74="","",Fee*$A74+Vq*Delay!CR74)</f>
        <v>10.35</v>
      </c>
      <c r="CS74" s="19" t="n">
        <f aca="false">IF(Delay!CS74="","",Fee*$A74+Vq*Delay!CS74)</f>
        <v>10.35</v>
      </c>
      <c r="CT74" s="19" t="n">
        <f aca="false">IF(Delay!CT74="","",Fee*$A74+Vq*Delay!CT74)</f>
        <v>18.8954815065769</v>
      </c>
    </row>
    <row r="75" customFormat="false" ht="15" hidden="false" customHeight="false" outlineLevel="0" collapsed="false">
      <c r="A75" s="25" t="n">
        <f aca="false">Quantiles!A75</f>
        <v>350</v>
      </c>
      <c r="B75" s="19" t="n">
        <f aca="false">IF(Delay!B75="","",Fee*$A75+Vq*Delay!B75)</f>
        <v>26.8496266683536</v>
      </c>
      <c r="C75" s="19" t="n">
        <f aca="false">IF(Delay!C75="","",Fee*$A75+Vq*Delay!C75)</f>
        <v>25.3548818971453</v>
      </c>
      <c r="D75" s="19" t="n">
        <f aca="false">IF(Delay!D75="","",Fee*$A75+Vq*Delay!D75)</f>
        <v>24.0406875672248</v>
      </c>
      <c r="E75" s="19" t="n">
        <f aca="false">IF(Delay!E75="","",Fee*$A75+Vq*Delay!E75)</f>
        <v>22.9465556867293</v>
      </c>
      <c r="F75" s="19" t="n">
        <f aca="false">IF(Delay!F75="","",Fee*$A75+Vq*Delay!F75)</f>
        <v>21.9880561358036</v>
      </c>
      <c r="G75" s="19" t="n">
        <f aca="false">IF(Delay!G75="","",Fee*$A75+Vq*Delay!G75)</f>
        <v>21.133826127187</v>
      </c>
      <c r="H75" s="19" t="n">
        <f aca="false">IF(Delay!H75="","",Fee*$A75+Vq*Delay!H75)</f>
        <v>20.3875007440562</v>
      </c>
      <c r="I75" s="19" t="n">
        <f aca="false">IF(Delay!I75="","",Fee*$A75+Vq*Delay!I75)</f>
        <v>19.661597361921</v>
      </c>
      <c r="J75" s="19" t="n">
        <f aca="false">IF(Delay!J75="","",Fee*$A75+Vq*Delay!J75)</f>
        <v>19.0503367044211</v>
      </c>
      <c r="K75" s="19" t="n">
        <f aca="false">IF(Delay!K75="","",Fee*$A75+Vq*Delay!K75)</f>
        <v>18.4186158145833</v>
      </c>
      <c r="L75" s="19" t="n">
        <f aca="false">IF(Delay!L75="","",Fee*$A75+Vq*Delay!L75)</f>
        <v>17.801953417664</v>
      </c>
      <c r="M75" s="19" t="n">
        <f aca="false">IF(Delay!M75="","",Fee*$A75+Vq*Delay!M75)</f>
        <v>17.289052942884</v>
      </c>
      <c r="N75" s="19" t="n">
        <f aca="false">IF(Delay!N75="","",Fee*$A75+Vq*Delay!N75)</f>
        <v>16.7899329664311</v>
      </c>
      <c r="O75" s="19" t="n">
        <f aca="false">IF(Delay!O75="","",Fee*$A75+Vq*Delay!O75)</f>
        <v>16.2678844949963</v>
      </c>
      <c r="P75" s="19" t="n">
        <f aca="false">IF(Delay!P75="","",Fee*$A75+Vq*Delay!P75)</f>
        <v>15.7984849664579</v>
      </c>
      <c r="Q75" s="19" t="n">
        <f aca="false">IF(Delay!Q75="","",Fee*$A75+Vq*Delay!Q75)</f>
        <v>15.3487186891624</v>
      </c>
      <c r="R75" s="19" t="n">
        <f aca="false">IF(Delay!R75="","",Fee*$A75+Vq*Delay!R75)</f>
        <v>14.9426239997869</v>
      </c>
      <c r="S75" s="19" t="n">
        <f aca="false">IF(Delay!S75="","",Fee*$A75+Vq*Delay!S75)</f>
        <v>14.5431755221947</v>
      </c>
      <c r="T75" s="19" t="n">
        <f aca="false">IF(Delay!T75="","",Fee*$A75+Vq*Delay!T75)</f>
        <v>14.1739331711966</v>
      </c>
      <c r="U75" s="19" t="n">
        <f aca="false">IF(Delay!U75="","",Fee*$A75+Vq*Delay!U75)</f>
        <v>13.8157752643793</v>
      </c>
      <c r="V75" s="19" t="n">
        <f aca="false">IF(Delay!V75="","",Fee*$A75+Vq*Delay!V75)</f>
        <v>13.4664493943815</v>
      </c>
      <c r="W75" s="19" t="n">
        <f aca="false">IF(Delay!W75="","",Fee*$A75+Vq*Delay!W75)</f>
        <v>13.1051725926388</v>
      </c>
      <c r="X75" s="19" t="n">
        <f aca="false">IF(Delay!X75="","",Fee*$A75+Vq*Delay!X75)</f>
        <v>12.7508241614385</v>
      </c>
      <c r="Y75" s="19" t="n">
        <f aca="false">IF(Delay!Y75="","",Fee*$A75+Vq*Delay!Y75)</f>
        <v>12.4500907462763</v>
      </c>
      <c r="Z75" s="19" t="n">
        <f aca="false">IF(Delay!Z75="","",Fee*$A75+Vq*Delay!Z75)</f>
        <v>12.1381086157246</v>
      </c>
      <c r="AA75" s="19" t="n">
        <f aca="false">IF(Delay!AA75="","",Fee*$A75+Vq*Delay!AA75)</f>
        <v>11.8409234445283</v>
      </c>
      <c r="AB75" s="19" t="n">
        <f aca="false">IF(Delay!AB75="","",Fee*$A75+Vq*Delay!AB75)</f>
        <v>11.5160202652547</v>
      </c>
      <c r="AC75" s="19" t="n">
        <f aca="false">IF(Delay!AC75="","",Fee*$A75+Vq*Delay!AC75)</f>
        <v>11.2312708565859</v>
      </c>
      <c r="AD75" s="19" t="n">
        <f aca="false">IF(Delay!AD75="","",Fee*$A75+Vq*Delay!AD75)</f>
        <v>10.9312413397492</v>
      </c>
      <c r="AE75" s="19" t="n">
        <f aca="false">IF(Delay!AE75="","",Fee*$A75+Vq*Delay!AE75)</f>
        <v>10.6648566868441</v>
      </c>
      <c r="AF75" s="19" t="n">
        <f aca="false">IF(Delay!AF75="","",Fee*$A75+Vq*Delay!AF75)</f>
        <v>10.5</v>
      </c>
      <c r="AG75" s="19" t="n">
        <f aca="false">IF(Delay!AG75="","",Fee*$A75+Vq*Delay!AG75)</f>
        <v>10.5</v>
      </c>
      <c r="AH75" s="19" t="n">
        <f aca="false">IF(Delay!AH75="","",Fee*$A75+Vq*Delay!AH75)</f>
        <v>10.5</v>
      </c>
      <c r="AI75" s="19" t="n">
        <f aca="false">IF(Delay!AI75="","",Fee*$A75+Vq*Delay!AI75)</f>
        <v>10.5</v>
      </c>
      <c r="AJ75" s="19" t="n">
        <f aca="false">IF(Delay!AJ75="","",Fee*$A75+Vq*Delay!AJ75)</f>
        <v>10.5</v>
      </c>
      <c r="AK75" s="19" t="n">
        <f aca="false">IF(Delay!AK75="","",Fee*$A75+Vq*Delay!AK75)</f>
        <v>10.5</v>
      </c>
      <c r="AL75" s="19" t="n">
        <f aca="false">IF(Delay!AL75="","",Fee*$A75+Vq*Delay!AL75)</f>
        <v>10.5</v>
      </c>
      <c r="AM75" s="19" t="n">
        <f aca="false">IF(Delay!AM75="","",Fee*$A75+Vq*Delay!AM75)</f>
        <v>10.5</v>
      </c>
      <c r="AN75" s="19" t="n">
        <f aca="false">IF(Delay!AN75="","",Fee*$A75+Vq*Delay!AN75)</f>
        <v>10.5</v>
      </c>
      <c r="AO75" s="19" t="n">
        <f aca="false">IF(Delay!AO75="","",Fee*$A75+Vq*Delay!AO75)</f>
        <v>10.5</v>
      </c>
      <c r="AP75" s="19" t="n">
        <f aca="false">IF(Delay!AP75="","",Fee*$A75+Vq*Delay!AP75)</f>
        <v>10.5</v>
      </c>
      <c r="AQ75" s="19" t="n">
        <f aca="false">IF(Delay!AQ75="","",Fee*$A75+Vq*Delay!AQ75)</f>
        <v>10.5</v>
      </c>
      <c r="AR75" s="19" t="n">
        <f aca="false">IF(Delay!AR75="","",Fee*$A75+Vq*Delay!AR75)</f>
        <v>10.5</v>
      </c>
      <c r="AS75" s="19" t="n">
        <f aca="false">IF(Delay!AS75="","",Fee*$A75+Vq*Delay!AS75)</f>
        <v>10.5</v>
      </c>
      <c r="AT75" s="19" t="n">
        <f aca="false">IF(Delay!AT75="","",Fee*$A75+Vq*Delay!AT75)</f>
        <v>10.5</v>
      </c>
      <c r="AU75" s="19" t="n">
        <f aca="false">IF(Delay!AU75="","",Fee*$A75+Vq*Delay!AU75)</f>
        <v>10.5</v>
      </c>
      <c r="AV75" s="19" t="n">
        <f aca="false">IF(Delay!AV75="","",Fee*$A75+Vq*Delay!AV75)</f>
        <v>10.5</v>
      </c>
      <c r="AW75" s="19" t="n">
        <f aca="false">IF(Delay!AW75="","",Fee*$A75+Vq*Delay!AW75)</f>
        <v>10.5</v>
      </c>
      <c r="AX75" s="19" t="n">
        <f aca="false">IF(Delay!AX75="","",Fee*$A75+Vq*Delay!AX75)</f>
        <v>10.5</v>
      </c>
      <c r="AY75" s="19" t="n">
        <f aca="false">IF(Delay!AY75="","",Fee*$A75+Vq*Delay!AY75)</f>
        <v>10.5</v>
      </c>
      <c r="AZ75" s="19" t="n">
        <f aca="false">IF(Delay!AZ75="","",Fee*$A75+Vq*Delay!AZ75)</f>
        <v>10.5</v>
      </c>
      <c r="BA75" s="19" t="n">
        <f aca="false">IF(Delay!BA75="","",Fee*$A75+Vq*Delay!BA75)</f>
        <v>10.5</v>
      </c>
      <c r="BB75" s="19" t="n">
        <f aca="false">IF(Delay!BB75="","",Fee*$A75+Vq*Delay!BB75)</f>
        <v>10.5</v>
      </c>
      <c r="BC75" s="19" t="n">
        <f aca="false">IF(Delay!BC75="","",Fee*$A75+Vq*Delay!BC75)</f>
        <v>10.5</v>
      </c>
      <c r="BD75" s="19" t="n">
        <f aca="false">IF(Delay!BD75="","",Fee*$A75+Vq*Delay!BD75)</f>
        <v>10.5</v>
      </c>
      <c r="BE75" s="19" t="n">
        <f aca="false">IF(Delay!BE75="","",Fee*$A75+Vq*Delay!BE75)</f>
        <v>10.5</v>
      </c>
      <c r="BF75" s="19" t="n">
        <f aca="false">IF(Delay!BF75="","",Fee*$A75+Vq*Delay!BF75)</f>
        <v>10.5</v>
      </c>
      <c r="BG75" s="19" t="n">
        <f aca="false">IF(Delay!BG75="","",Fee*$A75+Vq*Delay!BG75)</f>
        <v>10.5</v>
      </c>
      <c r="BH75" s="19" t="n">
        <f aca="false">IF(Delay!BH75="","",Fee*$A75+Vq*Delay!BH75)</f>
        <v>10.5</v>
      </c>
      <c r="BI75" s="19" t="n">
        <f aca="false">IF(Delay!BI75="","",Fee*$A75+Vq*Delay!BI75)</f>
        <v>10.5</v>
      </c>
      <c r="BJ75" s="19" t="n">
        <f aca="false">IF(Delay!BJ75="","",Fee*$A75+Vq*Delay!BJ75)</f>
        <v>10.5</v>
      </c>
      <c r="BK75" s="19" t="n">
        <f aca="false">IF(Delay!BK75="","",Fee*$A75+Vq*Delay!BK75)</f>
        <v>10.5</v>
      </c>
      <c r="BL75" s="19" t="n">
        <f aca="false">IF(Delay!BL75="","",Fee*$A75+Vq*Delay!BL75)</f>
        <v>10.5</v>
      </c>
      <c r="BM75" s="19" t="n">
        <f aca="false">IF(Delay!BM75="","",Fee*$A75+Vq*Delay!BM75)</f>
        <v>10.5</v>
      </c>
      <c r="BN75" s="19" t="n">
        <f aca="false">IF(Delay!BN75="","",Fee*$A75+Vq*Delay!BN75)</f>
        <v>10.5</v>
      </c>
      <c r="BO75" s="19" t="n">
        <f aca="false">IF(Delay!BO75="","",Fee*$A75+Vq*Delay!BO75)</f>
        <v>10.5</v>
      </c>
      <c r="BP75" s="19" t="n">
        <f aca="false">IF(Delay!BP75="","",Fee*$A75+Vq*Delay!BP75)</f>
        <v>10.5</v>
      </c>
      <c r="BQ75" s="19" t="n">
        <f aca="false">IF(Delay!BQ75="","",Fee*$A75+Vq*Delay!BQ75)</f>
        <v>10.5</v>
      </c>
      <c r="BR75" s="19" t="n">
        <f aca="false">IF(Delay!BR75="","",Fee*$A75+Vq*Delay!BR75)</f>
        <v>10.5</v>
      </c>
      <c r="BS75" s="19" t="n">
        <f aca="false">IF(Delay!BS75="","",Fee*$A75+Vq*Delay!BS75)</f>
        <v>10.5</v>
      </c>
      <c r="BT75" s="19" t="n">
        <f aca="false">IF(Delay!BT75="","",Fee*$A75+Vq*Delay!BT75)</f>
        <v>10.5</v>
      </c>
      <c r="BU75" s="19" t="n">
        <f aca="false">IF(Delay!BU75="","",Fee*$A75+Vq*Delay!BU75)</f>
        <v>10.5</v>
      </c>
      <c r="BV75" s="19" t="n">
        <f aca="false">IF(Delay!BV75="","",Fee*$A75+Vq*Delay!BV75)</f>
        <v>10.5</v>
      </c>
      <c r="BW75" s="19" t="n">
        <f aca="false">IF(Delay!BW75="","",Fee*$A75+Vq*Delay!BW75)</f>
        <v>10.5</v>
      </c>
      <c r="BX75" s="19" t="n">
        <f aca="false">IF(Delay!BX75="","",Fee*$A75+Vq*Delay!BX75)</f>
        <v>10.5</v>
      </c>
      <c r="BY75" s="19" t="n">
        <f aca="false">IF(Delay!BY75="","",Fee*$A75+Vq*Delay!BY75)</f>
        <v>10.5</v>
      </c>
      <c r="BZ75" s="19" t="n">
        <f aca="false">IF(Delay!BZ75="","",Fee*$A75+Vq*Delay!BZ75)</f>
        <v>10.5</v>
      </c>
      <c r="CA75" s="19" t="n">
        <f aca="false">IF(Delay!CA75="","",Fee*$A75+Vq*Delay!CA75)</f>
        <v>10.5</v>
      </c>
      <c r="CB75" s="19" t="n">
        <f aca="false">IF(Delay!CB75="","",Fee*$A75+Vq*Delay!CB75)</f>
        <v>10.5</v>
      </c>
      <c r="CC75" s="19" t="n">
        <f aca="false">IF(Delay!CC75="","",Fee*$A75+Vq*Delay!CC75)</f>
        <v>10.5</v>
      </c>
      <c r="CD75" s="19" t="n">
        <f aca="false">IF(Delay!CD75="","",Fee*$A75+Vq*Delay!CD75)</f>
        <v>10.5</v>
      </c>
      <c r="CE75" s="19" t="n">
        <f aca="false">IF(Delay!CE75="","",Fee*$A75+Vq*Delay!CE75)</f>
        <v>10.5</v>
      </c>
      <c r="CF75" s="19" t="n">
        <f aca="false">IF(Delay!CF75="","",Fee*$A75+Vq*Delay!CF75)</f>
        <v>10.5</v>
      </c>
      <c r="CG75" s="19" t="n">
        <f aca="false">IF(Delay!CG75="","",Fee*$A75+Vq*Delay!CG75)</f>
        <v>10.5</v>
      </c>
      <c r="CH75" s="19" t="n">
        <f aca="false">IF(Delay!CH75="","",Fee*$A75+Vq*Delay!CH75)</f>
        <v>10.5</v>
      </c>
      <c r="CI75" s="19" t="n">
        <f aca="false">IF(Delay!CI75="","",Fee*$A75+Vq*Delay!CI75)</f>
        <v>10.5</v>
      </c>
      <c r="CJ75" s="19" t="n">
        <f aca="false">IF(Delay!CJ75="","",Fee*$A75+Vq*Delay!CJ75)</f>
        <v>10.5</v>
      </c>
      <c r="CK75" s="19" t="n">
        <f aca="false">IF(Delay!CK75="","",Fee*$A75+Vq*Delay!CK75)</f>
        <v>10.5</v>
      </c>
      <c r="CL75" s="19" t="n">
        <f aca="false">IF(Delay!CL75="","",Fee*$A75+Vq*Delay!CL75)</f>
        <v>10.5</v>
      </c>
      <c r="CM75" s="19" t="n">
        <f aca="false">IF(Delay!CM75="","",Fee*$A75+Vq*Delay!CM75)</f>
        <v>10.5</v>
      </c>
      <c r="CN75" s="19" t="n">
        <f aca="false">IF(Delay!CN75="","",Fee*$A75+Vq*Delay!CN75)</f>
        <v>10.5</v>
      </c>
      <c r="CO75" s="19" t="n">
        <f aca="false">IF(Delay!CO75="","",Fee*$A75+Vq*Delay!CO75)</f>
        <v>10.5</v>
      </c>
      <c r="CP75" s="19" t="n">
        <f aca="false">IF(Delay!CP75="","",Fee*$A75+Vq*Delay!CP75)</f>
        <v>10.5</v>
      </c>
      <c r="CQ75" s="19" t="n">
        <f aca="false">IF(Delay!CQ75="","",Fee*$A75+Vq*Delay!CQ75)</f>
        <v>10.5</v>
      </c>
      <c r="CR75" s="19" t="n">
        <f aca="false">IF(Delay!CR75="","",Fee*$A75+Vq*Delay!CR75)</f>
        <v>10.5</v>
      </c>
      <c r="CS75" s="19" t="n">
        <f aca="false">IF(Delay!CS75="","",Fee*$A75+Vq*Delay!CS75)</f>
        <v>10.5</v>
      </c>
      <c r="CT75" s="19" t="n">
        <f aca="false">IF(Delay!CT75="","",Fee*$A75+Vq*Delay!CT75)</f>
        <v>19.0454815065769</v>
      </c>
    </row>
    <row r="76" customFormat="false" ht="15" hidden="false" customHeight="false" outlineLevel="0" collapsed="false">
      <c r="A76" s="25" t="n">
        <f aca="false">Quantiles!A76</f>
        <v>355</v>
      </c>
      <c r="B76" s="19" t="n">
        <f aca="false">IF(Delay!B76="","",Fee*$A76+Vq*Delay!B76)</f>
        <v>26.9996266683536</v>
      </c>
      <c r="C76" s="19" t="n">
        <f aca="false">IF(Delay!C76="","",Fee*$A76+Vq*Delay!C76)</f>
        <v>25.5048818971453</v>
      </c>
      <c r="D76" s="19" t="n">
        <f aca="false">IF(Delay!D76="","",Fee*$A76+Vq*Delay!D76)</f>
        <v>24.1906875672248</v>
      </c>
      <c r="E76" s="19" t="n">
        <f aca="false">IF(Delay!E76="","",Fee*$A76+Vq*Delay!E76)</f>
        <v>23.0965556867293</v>
      </c>
      <c r="F76" s="19" t="n">
        <f aca="false">IF(Delay!F76="","",Fee*$A76+Vq*Delay!F76)</f>
        <v>22.1380561358036</v>
      </c>
      <c r="G76" s="19" t="n">
        <f aca="false">IF(Delay!G76="","",Fee*$A76+Vq*Delay!G76)</f>
        <v>21.283826127187</v>
      </c>
      <c r="H76" s="19" t="n">
        <f aca="false">IF(Delay!H76="","",Fee*$A76+Vq*Delay!H76)</f>
        <v>20.5375007440562</v>
      </c>
      <c r="I76" s="19" t="n">
        <f aca="false">IF(Delay!I76="","",Fee*$A76+Vq*Delay!I76)</f>
        <v>19.811597361921</v>
      </c>
      <c r="J76" s="19" t="n">
        <f aca="false">IF(Delay!J76="","",Fee*$A76+Vq*Delay!J76)</f>
        <v>19.2003367044211</v>
      </c>
      <c r="K76" s="19" t="n">
        <f aca="false">IF(Delay!K76="","",Fee*$A76+Vq*Delay!K76)</f>
        <v>18.5686158145833</v>
      </c>
      <c r="L76" s="19" t="n">
        <f aca="false">IF(Delay!L76="","",Fee*$A76+Vq*Delay!L76)</f>
        <v>17.951953417664</v>
      </c>
      <c r="M76" s="19" t="n">
        <f aca="false">IF(Delay!M76="","",Fee*$A76+Vq*Delay!M76)</f>
        <v>17.439052942884</v>
      </c>
      <c r="N76" s="19" t="n">
        <f aca="false">IF(Delay!N76="","",Fee*$A76+Vq*Delay!N76)</f>
        <v>16.9399329664311</v>
      </c>
      <c r="O76" s="19" t="n">
        <f aca="false">IF(Delay!O76="","",Fee*$A76+Vq*Delay!O76)</f>
        <v>16.4178844949963</v>
      </c>
      <c r="P76" s="19" t="n">
        <f aca="false">IF(Delay!P76="","",Fee*$A76+Vq*Delay!P76)</f>
        <v>15.9484849664579</v>
      </c>
      <c r="Q76" s="19" t="n">
        <f aca="false">IF(Delay!Q76="","",Fee*$A76+Vq*Delay!Q76)</f>
        <v>15.4947173093984</v>
      </c>
      <c r="R76" s="19" t="n">
        <f aca="false">IF(Delay!R76="","",Fee*$A76+Vq*Delay!R76)</f>
        <v>15.0869632668838</v>
      </c>
      <c r="S76" s="19" t="n">
        <f aca="false">IF(Delay!S76="","",Fee*$A76+Vq*Delay!S76)</f>
        <v>14.6857775289256</v>
      </c>
      <c r="T76" s="19" t="n">
        <f aca="false">IF(Delay!T76="","",Fee*$A76+Vq*Delay!T76)</f>
        <v>14.3221840205143</v>
      </c>
      <c r="U76" s="19" t="n">
        <f aca="false">IF(Delay!U76="","",Fee*$A76+Vq*Delay!U76)</f>
        <v>13.9657752643793</v>
      </c>
      <c r="V76" s="19" t="n">
        <f aca="false">IF(Delay!V76="","",Fee*$A76+Vq*Delay!V76)</f>
        <v>13.6164493943815</v>
      </c>
      <c r="W76" s="19" t="n">
        <f aca="false">IF(Delay!W76="","",Fee*$A76+Vq*Delay!W76)</f>
        <v>13.2551725926388</v>
      </c>
      <c r="X76" s="19" t="n">
        <f aca="false">IF(Delay!X76="","",Fee*$A76+Vq*Delay!X76)</f>
        <v>12.9008241614385</v>
      </c>
      <c r="Y76" s="19" t="n">
        <f aca="false">IF(Delay!Y76="","",Fee*$A76+Vq*Delay!Y76)</f>
        <v>12.6000907462763</v>
      </c>
      <c r="Z76" s="19" t="n">
        <f aca="false">IF(Delay!Z76="","",Fee*$A76+Vq*Delay!Z76)</f>
        <v>12.2881086157246</v>
      </c>
      <c r="AA76" s="19" t="n">
        <f aca="false">IF(Delay!AA76="","",Fee*$A76+Vq*Delay!AA76)</f>
        <v>11.9909234445283</v>
      </c>
      <c r="AB76" s="19" t="n">
        <f aca="false">IF(Delay!AB76="","",Fee*$A76+Vq*Delay!AB76)</f>
        <v>11.6660202652547</v>
      </c>
      <c r="AC76" s="19" t="n">
        <f aca="false">IF(Delay!AC76="","",Fee*$A76+Vq*Delay!AC76)</f>
        <v>11.3812708565859</v>
      </c>
      <c r="AD76" s="19" t="n">
        <f aca="false">IF(Delay!AD76="","",Fee*$A76+Vq*Delay!AD76)</f>
        <v>11.0812413397492</v>
      </c>
      <c r="AE76" s="19" t="n">
        <f aca="false">IF(Delay!AE76="","",Fee*$A76+Vq*Delay!AE76)</f>
        <v>10.8148566868441</v>
      </c>
      <c r="AF76" s="19" t="n">
        <f aca="false">IF(Delay!AF76="","",Fee*$A76+Vq*Delay!AF76)</f>
        <v>10.65</v>
      </c>
      <c r="AG76" s="19" t="n">
        <f aca="false">IF(Delay!AG76="","",Fee*$A76+Vq*Delay!AG76)</f>
        <v>10.65</v>
      </c>
      <c r="AH76" s="19" t="n">
        <f aca="false">IF(Delay!AH76="","",Fee*$A76+Vq*Delay!AH76)</f>
        <v>10.65</v>
      </c>
      <c r="AI76" s="19" t="n">
        <f aca="false">IF(Delay!AI76="","",Fee*$A76+Vq*Delay!AI76)</f>
        <v>10.65</v>
      </c>
      <c r="AJ76" s="19" t="n">
        <f aca="false">IF(Delay!AJ76="","",Fee*$A76+Vq*Delay!AJ76)</f>
        <v>10.65</v>
      </c>
      <c r="AK76" s="19" t="n">
        <f aca="false">IF(Delay!AK76="","",Fee*$A76+Vq*Delay!AK76)</f>
        <v>10.65</v>
      </c>
      <c r="AL76" s="19" t="n">
        <f aca="false">IF(Delay!AL76="","",Fee*$A76+Vq*Delay!AL76)</f>
        <v>10.65</v>
      </c>
      <c r="AM76" s="19" t="n">
        <f aca="false">IF(Delay!AM76="","",Fee*$A76+Vq*Delay!AM76)</f>
        <v>10.65</v>
      </c>
      <c r="AN76" s="19" t="n">
        <f aca="false">IF(Delay!AN76="","",Fee*$A76+Vq*Delay!AN76)</f>
        <v>10.65</v>
      </c>
      <c r="AO76" s="19" t="n">
        <f aca="false">IF(Delay!AO76="","",Fee*$A76+Vq*Delay!AO76)</f>
        <v>10.65</v>
      </c>
      <c r="AP76" s="19" t="n">
        <f aca="false">IF(Delay!AP76="","",Fee*$A76+Vq*Delay!AP76)</f>
        <v>10.65</v>
      </c>
      <c r="AQ76" s="19" t="n">
        <f aca="false">IF(Delay!AQ76="","",Fee*$A76+Vq*Delay!AQ76)</f>
        <v>10.65</v>
      </c>
      <c r="AR76" s="19" t="n">
        <f aca="false">IF(Delay!AR76="","",Fee*$A76+Vq*Delay!AR76)</f>
        <v>10.65</v>
      </c>
      <c r="AS76" s="19" t="n">
        <f aca="false">IF(Delay!AS76="","",Fee*$A76+Vq*Delay!AS76)</f>
        <v>10.65</v>
      </c>
      <c r="AT76" s="19" t="n">
        <f aca="false">IF(Delay!AT76="","",Fee*$A76+Vq*Delay!AT76)</f>
        <v>10.65</v>
      </c>
      <c r="AU76" s="19" t="n">
        <f aca="false">IF(Delay!AU76="","",Fee*$A76+Vq*Delay!AU76)</f>
        <v>10.65</v>
      </c>
      <c r="AV76" s="19" t="n">
        <f aca="false">IF(Delay!AV76="","",Fee*$A76+Vq*Delay!AV76)</f>
        <v>10.65</v>
      </c>
      <c r="AW76" s="19" t="n">
        <f aca="false">IF(Delay!AW76="","",Fee*$A76+Vq*Delay!AW76)</f>
        <v>10.65</v>
      </c>
      <c r="AX76" s="19" t="n">
        <f aca="false">IF(Delay!AX76="","",Fee*$A76+Vq*Delay!AX76)</f>
        <v>10.65</v>
      </c>
      <c r="AY76" s="19" t="n">
        <f aca="false">IF(Delay!AY76="","",Fee*$A76+Vq*Delay!AY76)</f>
        <v>10.65</v>
      </c>
      <c r="AZ76" s="19" t="n">
        <f aca="false">IF(Delay!AZ76="","",Fee*$A76+Vq*Delay!AZ76)</f>
        <v>10.65</v>
      </c>
      <c r="BA76" s="19" t="n">
        <f aca="false">IF(Delay!BA76="","",Fee*$A76+Vq*Delay!BA76)</f>
        <v>10.65</v>
      </c>
      <c r="BB76" s="19" t="n">
        <f aca="false">IF(Delay!BB76="","",Fee*$A76+Vq*Delay!BB76)</f>
        <v>10.65</v>
      </c>
      <c r="BC76" s="19" t="n">
        <f aca="false">IF(Delay!BC76="","",Fee*$A76+Vq*Delay!BC76)</f>
        <v>10.65</v>
      </c>
      <c r="BD76" s="19" t="n">
        <f aca="false">IF(Delay!BD76="","",Fee*$A76+Vq*Delay!BD76)</f>
        <v>10.65</v>
      </c>
      <c r="BE76" s="19" t="n">
        <f aca="false">IF(Delay!BE76="","",Fee*$A76+Vq*Delay!BE76)</f>
        <v>10.65</v>
      </c>
      <c r="BF76" s="19" t="n">
        <f aca="false">IF(Delay!BF76="","",Fee*$A76+Vq*Delay!BF76)</f>
        <v>10.65</v>
      </c>
      <c r="BG76" s="19" t="n">
        <f aca="false">IF(Delay!BG76="","",Fee*$A76+Vq*Delay!BG76)</f>
        <v>10.65</v>
      </c>
      <c r="BH76" s="19" t="n">
        <f aca="false">IF(Delay!BH76="","",Fee*$A76+Vq*Delay!BH76)</f>
        <v>10.65</v>
      </c>
      <c r="BI76" s="19" t="n">
        <f aca="false">IF(Delay!BI76="","",Fee*$A76+Vq*Delay!BI76)</f>
        <v>10.65</v>
      </c>
      <c r="BJ76" s="19" t="n">
        <f aca="false">IF(Delay!BJ76="","",Fee*$A76+Vq*Delay!BJ76)</f>
        <v>10.65</v>
      </c>
      <c r="BK76" s="19" t="n">
        <f aca="false">IF(Delay!BK76="","",Fee*$A76+Vq*Delay!BK76)</f>
        <v>10.65</v>
      </c>
      <c r="BL76" s="19" t="n">
        <f aca="false">IF(Delay!BL76="","",Fee*$A76+Vq*Delay!BL76)</f>
        <v>10.65</v>
      </c>
      <c r="BM76" s="19" t="n">
        <f aca="false">IF(Delay!BM76="","",Fee*$A76+Vq*Delay!BM76)</f>
        <v>10.65</v>
      </c>
      <c r="BN76" s="19" t="n">
        <f aca="false">IF(Delay!BN76="","",Fee*$A76+Vq*Delay!BN76)</f>
        <v>10.65</v>
      </c>
      <c r="BO76" s="19" t="n">
        <f aca="false">IF(Delay!BO76="","",Fee*$A76+Vq*Delay!BO76)</f>
        <v>10.65</v>
      </c>
      <c r="BP76" s="19" t="n">
        <f aca="false">IF(Delay!BP76="","",Fee*$A76+Vq*Delay!BP76)</f>
        <v>10.65</v>
      </c>
      <c r="BQ76" s="19" t="n">
        <f aca="false">IF(Delay!BQ76="","",Fee*$A76+Vq*Delay!BQ76)</f>
        <v>10.65</v>
      </c>
      <c r="BR76" s="19" t="n">
        <f aca="false">IF(Delay!BR76="","",Fee*$A76+Vq*Delay!BR76)</f>
        <v>10.65</v>
      </c>
      <c r="BS76" s="19" t="n">
        <f aca="false">IF(Delay!BS76="","",Fee*$A76+Vq*Delay!BS76)</f>
        <v>10.65</v>
      </c>
      <c r="BT76" s="19" t="n">
        <f aca="false">IF(Delay!BT76="","",Fee*$A76+Vq*Delay!BT76)</f>
        <v>10.65</v>
      </c>
      <c r="BU76" s="19" t="n">
        <f aca="false">IF(Delay!BU76="","",Fee*$A76+Vq*Delay!BU76)</f>
        <v>10.65</v>
      </c>
      <c r="BV76" s="19" t="n">
        <f aca="false">IF(Delay!BV76="","",Fee*$A76+Vq*Delay!BV76)</f>
        <v>10.65</v>
      </c>
      <c r="BW76" s="19" t="n">
        <f aca="false">IF(Delay!BW76="","",Fee*$A76+Vq*Delay!BW76)</f>
        <v>10.65</v>
      </c>
      <c r="BX76" s="19" t="n">
        <f aca="false">IF(Delay!BX76="","",Fee*$A76+Vq*Delay!BX76)</f>
        <v>10.65</v>
      </c>
      <c r="BY76" s="19" t="n">
        <f aca="false">IF(Delay!BY76="","",Fee*$A76+Vq*Delay!BY76)</f>
        <v>10.65</v>
      </c>
      <c r="BZ76" s="19" t="n">
        <f aca="false">IF(Delay!BZ76="","",Fee*$A76+Vq*Delay!BZ76)</f>
        <v>10.65</v>
      </c>
      <c r="CA76" s="19" t="n">
        <f aca="false">IF(Delay!CA76="","",Fee*$A76+Vq*Delay!CA76)</f>
        <v>10.65</v>
      </c>
      <c r="CB76" s="19" t="n">
        <f aca="false">IF(Delay!CB76="","",Fee*$A76+Vq*Delay!CB76)</f>
        <v>10.65</v>
      </c>
      <c r="CC76" s="19" t="n">
        <f aca="false">IF(Delay!CC76="","",Fee*$A76+Vq*Delay!CC76)</f>
        <v>10.65</v>
      </c>
      <c r="CD76" s="19" t="n">
        <f aca="false">IF(Delay!CD76="","",Fee*$A76+Vq*Delay!CD76)</f>
        <v>10.65</v>
      </c>
      <c r="CE76" s="19" t="n">
        <f aca="false">IF(Delay!CE76="","",Fee*$A76+Vq*Delay!CE76)</f>
        <v>10.65</v>
      </c>
      <c r="CF76" s="19" t="n">
        <f aca="false">IF(Delay!CF76="","",Fee*$A76+Vq*Delay!CF76)</f>
        <v>10.65</v>
      </c>
      <c r="CG76" s="19" t="n">
        <f aca="false">IF(Delay!CG76="","",Fee*$A76+Vq*Delay!CG76)</f>
        <v>10.65</v>
      </c>
      <c r="CH76" s="19" t="n">
        <f aca="false">IF(Delay!CH76="","",Fee*$A76+Vq*Delay!CH76)</f>
        <v>10.65</v>
      </c>
      <c r="CI76" s="19" t="n">
        <f aca="false">IF(Delay!CI76="","",Fee*$A76+Vq*Delay!CI76)</f>
        <v>10.65</v>
      </c>
      <c r="CJ76" s="19" t="n">
        <f aca="false">IF(Delay!CJ76="","",Fee*$A76+Vq*Delay!CJ76)</f>
        <v>10.65</v>
      </c>
      <c r="CK76" s="19" t="n">
        <f aca="false">IF(Delay!CK76="","",Fee*$A76+Vq*Delay!CK76)</f>
        <v>10.65</v>
      </c>
      <c r="CL76" s="19" t="n">
        <f aca="false">IF(Delay!CL76="","",Fee*$A76+Vq*Delay!CL76)</f>
        <v>10.65</v>
      </c>
      <c r="CM76" s="19" t="n">
        <f aca="false">IF(Delay!CM76="","",Fee*$A76+Vq*Delay!CM76)</f>
        <v>10.65</v>
      </c>
      <c r="CN76" s="19" t="n">
        <f aca="false">IF(Delay!CN76="","",Fee*$A76+Vq*Delay!CN76)</f>
        <v>10.65</v>
      </c>
      <c r="CO76" s="19" t="n">
        <f aca="false">IF(Delay!CO76="","",Fee*$A76+Vq*Delay!CO76)</f>
        <v>10.65</v>
      </c>
      <c r="CP76" s="19" t="n">
        <f aca="false">IF(Delay!CP76="","",Fee*$A76+Vq*Delay!CP76)</f>
        <v>10.65</v>
      </c>
      <c r="CQ76" s="19" t="n">
        <f aca="false">IF(Delay!CQ76="","",Fee*$A76+Vq*Delay!CQ76)</f>
        <v>10.65</v>
      </c>
      <c r="CR76" s="19" t="n">
        <f aca="false">IF(Delay!CR76="","",Fee*$A76+Vq*Delay!CR76)</f>
        <v>10.65</v>
      </c>
      <c r="CS76" s="19" t="n">
        <f aca="false">IF(Delay!CS76="","",Fee*$A76+Vq*Delay!CS76)</f>
        <v>10.65</v>
      </c>
      <c r="CT76" s="19" t="n">
        <f aca="false">IF(Delay!CT76="","",Fee*$A76+Vq*Delay!CT76)</f>
        <v>19.1954815065769</v>
      </c>
    </row>
    <row r="77" customFormat="false" ht="15" hidden="false" customHeight="false" outlineLevel="0" collapsed="false">
      <c r="A77" s="25" t="n">
        <f aca="false">Quantiles!A77</f>
        <v>360</v>
      </c>
      <c r="B77" s="19" t="n">
        <f aca="false">IF(Delay!B77="","",Fee*$A77+Vq*Delay!B77)</f>
        <v>27.1496266683536</v>
      </c>
      <c r="C77" s="19" t="n">
        <f aca="false">IF(Delay!C77="","",Fee*$A77+Vq*Delay!C77)</f>
        <v>25.6548818971453</v>
      </c>
      <c r="D77" s="19" t="n">
        <f aca="false">IF(Delay!D77="","",Fee*$A77+Vq*Delay!D77)</f>
        <v>24.3406875672248</v>
      </c>
      <c r="E77" s="19" t="n">
        <f aca="false">IF(Delay!E77="","",Fee*$A77+Vq*Delay!E77)</f>
        <v>23.2465556867293</v>
      </c>
      <c r="F77" s="19" t="n">
        <f aca="false">IF(Delay!F77="","",Fee*$A77+Vq*Delay!F77)</f>
        <v>22.2880561358036</v>
      </c>
      <c r="G77" s="19" t="n">
        <f aca="false">IF(Delay!G77="","",Fee*$A77+Vq*Delay!G77)</f>
        <v>21.433826127187</v>
      </c>
      <c r="H77" s="19" t="n">
        <f aca="false">IF(Delay!H77="","",Fee*$A77+Vq*Delay!H77)</f>
        <v>20.6875007440562</v>
      </c>
      <c r="I77" s="19" t="n">
        <f aca="false">IF(Delay!I77="","",Fee*$A77+Vq*Delay!I77)</f>
        <v>19.961597361921</v>
      </c>
      <c r="J77" s="19" t="n">
        <f aca="false">IF(Delay!J77="","",Fee*$A77+Vq*Delay!J77)</f>
        <v>19.3503367044211</v>
      </c>
      <c r="K77" s="19" t="n">
        <f aca="false">IF(Delay!K77="","",Fee*$A77+Vq*Delay!K77)</f>
        <v>18.7186158145833</v>
      </c>
      <c r="L77" s="19" t="n">
        <f aca="false">IF(Delay!L77="","",Fee*$A77+Vq*Delay!L77)</f>
        <v>18.101953417664</v>
      </c>
      <c r="M77" s="19" t="n">
        <f aca="false">IF(Delay!M77="","",Fee*$A77+Vq*Delay!M77)</f>
        <v>17.589052942884</v>
      </c>
      <c r="N77" s="19" t="n">
        <f aca="false">IF(Delay!N77="","",Fee*$A77+Vq*Delay!N77)</f>
        <v>17.0899329664311</v>
      </c>
      <c r="O77" s="19" t="n">
        <f aca="false">IF(Delay!O77="","",Fee*$A77+Vq*Delay!O77)</f>
        <v>16.5678844949963</v>
      </c>
      <c r="P77" s="19" t="n">
        <f aca="false">IF(Delay!P77="","",Fee*$A77+Vq*Delay!P77)</f>
        <v>16.0984849664579</v>
      </c>
      <c r="Q77" s="19" t="n">
        <f aca="false">IF(Delay!Q77="","",Fee*$A77+Vq*Delay!Q77)</f>
        <v>15.6447173093984</v>
      </c>
      <c r="R77" s="19" t="n">
        <f aca="false">IF(Delay!R77="","",Fee*$A77+Vq*Delay!R77)</f>
        <v>15.2369632668838</v>
      </c>
      <c r="S77" s="19" t="n">
        <f aca="false">IF(Delay!S77="","",Fee*$A77+Vq*Delay!S77)</f>
        <v>14.8357775289256</v>
      </c>
      <c r="T77" s="19" t="n">
        <f aca="false">IF(Delay!T77="","",Fee*$A77+Vq*Delay!T77)</f>
        <v>14.4721840205143</v>
      </c>
      <c r="U77" s="19" t="n">
        <f aca="false">IF(Delay!U77="","",Fee*$A77+Vq*Delay!U77)</f>
        <v>14.1119889199037</v>
      </c>
      <c r="V77" s="19" t="n">
        <f aca="false">IF(Delay!V77="","",Fee*$A77+Vq*Delay!V77)</f>
        <v>13.7655515307538</v>
      </c>
      <c r="W77" s="19" t="n">
        <f aca="false">IF(Delay!W77="","",Fee*$A77+Vq*Delay!W77)</f>
        <v>13.4017097862181</v>
      </c>
      <c r="X77" s="19" t="n">
        <f aca="false">IF(Delay!X77="","",Fee*$A77+Vq*Delay!X77)</f>
        <v>13.0492047637423</v>
      </c>
      <c r="Y77" s="19" t="n">
        <f aca="false">IF(Delay!Y77="","",Fee*$A77+Vq*Delay!Y77)</f>
        <v>12.7485385302769</v>
      </c>
      <c r="Z77" s="19" t="n">
        <f aca="false">IF(Delay!Z77="","",Fee*$A77+Vq*Delay!Z77)</f>
        <v>12.4372036129848</v>
      </c>
      <c r="AA77" s="19" t="n">
        <f aca="false">IF(Delay!AA77="","",Fee*$A77+Vq*Delay!AA77)</f>
        <v>12.1409234445283</v>
      </c>
      <c r="AB77" s="19" t="n">
        <f aca="false">IF(Delay!AB77="","",Fee*$A77+Vq*Delay!AB77)</f>
        <v>11.8160202652547</v>
      </c>
      <c r="AC77" s="19" t="n">
        <f aca="false">IF(Delay!AC77="","",Fee*$A77+Vq*Delay!AC77)</f>
        <v>11.5312708565859</v>
      </c>
      <c r="AD77" s="19" t="n">
        <f aca="false">IF(Delay!AD77="","",Fee*$A77+Vq*Delay!AD77)</f>
        <v>11.2312413397492</v>
      </c>
      <c r="AE77" s="19" t="n">
        <f aca="false">IF(Delay!AE77="","",Fee*$A77+Vq*Delay!AE77)</f>
        <v>10.9648566868441</v>
      </c>
      <c r="AF77" s="19" t="n">
        <f aca="false">IF(Delay!AF77="","",Fee*$A77+Vq*Delay!AF77)</f>
        <v>10.8</v>
      </c>
      <c r="AG77" s="19" t="n">
        <f aca="false">IF(Delay!AG77="","",Fee*$A77+Vq*Delay!AG77)</f>
        <v>10.8</v>
      </c>
      <c r="AH77" s="19" t="n">
        <f aca="false">IF(Delay!AH77="","",Fee*$A77+Vq*Delay!AH77)</f>
        <v>10.8</v>
      </c>
      <c r="AI77" s="19" t="n">
        <f aca="false">IF(Delay!AI77="","",Fee*$A77+Vq*Delay!AI77)</f>
        <v>10.8</v>
      </c>
      <c r="AJ77" s="19" t="n">
        <f aca="false">IF(Delay!AJ77="","",Fee*$A77+Vq*Delay!AJ77)</f>
        <v>10.8</v>
      </c>
      <c r="AK77" s="19" t="n">
        <f aca="false">IF(Delay!AK77="","",Fee*$A77+Vq*Delay!AK77)</f>
        <v>10.8</v>
      </c>
      <c r="AL77" s="19" t="n">
        <f aca="false">IF(Delay!AL77="","",Fee*$A77+Vq*Delay!AL77)</f>
        <v>10.8</v>
      </c>
      <c r="AM77" s="19" t="n">
        <f aca="false">IF(Delay!AM77="","",Fee*$A77+Vq*Delay!AM77)</f>
        <v>10.8</v>
      </c>
      <c r="AN77" s="19" t="n">
        <f aca="false">IF(Delay!AN77="","",Fee*$A77+Vq*Delay!AN77)</f>
        <v>10.8</v>
      </c>
      <c r="AO77" s="19" t="n">
        <f aca="false">IF(Delay!AO77="","",Fee*$A77+Vq*Delay!AO77)</f>
        <v>10.8</v>
      </c>
      <c r="AP77" s="19" t="n">
        <f aca="false">IF(Delay!AP77="","",Fee*$A77+Vq*Delay!AP77)</f>
        <v>10.8</v>
      </c>
      <c r="AQ77" s="19" t="n">
        <f aca="false">IF(Delay!AQ77="","",Fee*$A77+Vq*Delay!AQ77)</f>
        <v>10.8</v>
      </c>
      <c r="AR77" s="19" t="n">
        <f aca="false">IF(Delay!AR77="","",Fee*$A77+Vq*Delay!AR77)</f>
        <v>10.8</v>
      </c>
      <c r="AS77" s="19" t="n">
        <f aca="false">IF(Delay!AS77="","",Fee*$A77+Vq*Delay!AS77)</f>
        <v>10.8</v>
      </c>
      <c r="AT77" s="19" t="n">
        <f aca="false">IF(Delay!AT77="","",Fee*$A77+Vq*Delay!AT77)</f>
        <v>10.8</v>
      </c>
      <c r="AU77" s="19" t="n">
        <f aca="false">IF(Delay!AU77="","",Fee*$A77+Vq*Delay!AU77)</f>
        <v>10.8</v>
      </c>
      <c r="AV77" s="19" t="n">
        <f aca="false">IF(Delay!AV77="","",Fee*$A77+Vq*Delay!AV77)</f>
        <v>10.8</v>
      </c>
      <c r="AW77" s="19" t="n">
        <f aca="false">IF(Delay!AW77="","",Fee*$A77+Vq*Delay!AW77)</f>
        <v>10.8</v>
      </c>
      <c r="AX77" s="19" t="n">
        <f aca="false">IF(Delay!AX77="","",Fee*$A77+Vq*Delay!AX77)</f>
        <v>10.8</v>
      </c>
      <c r="AY77" s="19" t="n">
        <f aca="false">IF(Delay!AY77="","",Fee*$A77+Vq*Delay!AY77)</f>
        <v>10.8</v>
      </c>
      <c r="AZ77" s="19" t="n">
        <f aca="false">IF(Delay!AZ77="","",Fee*$A77+Vq*Delay!AZ77)</f>
        <v>10.8</v>
      </c>
      <c r="BA77" s="19" t="n">
        <f aca="false">IF(Delay!BA77="","",Fee*$A77+Vq*Delay!BA77)</f>
        <v>10.8</v>
      </c>
      <c r="BB77" s="19" t="n">
        <f aca="false">IF(Delay!BB77="","",Fee*$A77+Vq*Delay!BB77)</f>
        <v>10.8</v>
      </c>
      <c r="BC77" s="19" t="n">
        <f aca="false">IF(Delay!BC77="","",Fee*$A77+Vq*Delay!BC77)</f>
        <v>10.8</v>
      </c>
      <c r="BD77" s="19" t="n">
        <f aca="false">IF(Delay!BD77="","",Fee*$A77+Vq*Delay!BD77)</f>
        <v>10.8</v>
      </c>
      <c r="BE77" s="19" t="n">
        <f aca="false">IF(Delay!BE77="","",Fee*$A77+Vq*Delay!BE77)</f>
        <v>10.8</v>
      </c>
      <c r="BF77" s="19" t="n">
        <f aca="false">IF(Delay!BF77="","",Fee*$A77+Vq*Delay!BF77)</f>
        <v>10.8</v>
      </c>
      <c r="BG77" s="19" t="n">
        <f aca="false">IF(Delay!BG77="","",Fee*$A77+Vq*Delay!BG77)</f>
        <v>10.8</v>
      </c>
      <c r="BH77" s="19" t="n">
        <f aca="false">IF(Delay!BH77="","",Fee*$A77+Vq*Delay!BH77)</f>
        <v>10.8</v>
      </c>
      <c r="BI77" s="19" t="n">
        <f aca="false">IF(Delay!BI77="","",Fee*$A77+Vq*Delay!BI77)</f>
        <v>10.8</v>
      </c>
      <c r="BJ77" s="19" t="n">
        <f aca="false">IF(Delay!BJ77="","",Fee*$A77+Vq*Delay!BJ77)</f>
        <v>10.8</v>
      </c>
      <c r="BK77" s="19" t="n">
        <f aca="false">IF(Delay!BK77="","",Fee*$A77+Vq*Delay!BK77)</f>
        <v>10.8</v>
      </c>
      <c r="BL77" s="19" t="n">
        <f aca="false">IF(Delay!BL77="","",Fee*$A77+Vq*Delay!BL77)</f>
        <v>10.8</v>
      </c>
      <c r="BM77" s="19" t="n">
        <f aca="false">IF(Delay!BM77="","",Fee*$A77+Vq*Delay!BM77)</f>
        <v>10.8</v>
      </c>
      <c r="BN77" s="19" t="n">
        <f aca="false">IF(Delay!BN77="","",Fee*$A77+Vq*Delay!BN77)</f>
        <v>10.8</v>
      </c>
      <c r="BO77" s="19" t="n">
        <f aca="false">IF(Delay!BO77="","",Fee*$A77+Vq*Delay!BO77)</f>
        <v>10.8</v>
      </c>
      <c r="BP77" s="19" t="n">
        <f aca="false">IF(Delay!BP77="","",Fee*$A77+Vq*Delay!BP77)</f>
        <v>10.8</v>
      </c>
      <c r="BQ77" s="19" t="n">
        <f aca="false">IF(Delay!BQ77="","",Fee*$A77+Vq*Delay!BQ77)</f>
        <v>10.8</v>
      </c>
      <c r="BR77" s="19" t="n">
        <f aca="false">IF(Delay!BR77="","",Fee*$A77+Vq*Delay!BR77)</f>
        <v>10.8</v>
      </c>
      <c r="BS77" s="19" t="n">
        <f aca="false">IF(Delay!BS77="","",Fee*$A77+Vq*Delay!BS77)</f>
        <v>10.8</v>
      </c>
      <c r="BT77" s="19" t="n">
        <f aca="false">IF(Delay!BT77="","",Fee*$A77+Vq*Delay!BT77)</f>
        <v>10.8</v>
      </c>
      <c r="BU77" s="19" t="n">
        <f aca="false">IF(Delay!BU77="","",Fee*$A77+Vq*Delay!BU77)</f>
        <v>10.8</v>
      </c>
      <c r="BV77" s="19" t="n">
        <f aca="false">IF(Delay!BV77="","",Fee*$A77+Vq*Delay!BV77)</f>
        <v>10.8</v>
      </c>
      <c r="BW77" s="19" t="n">
        <f aca="false">IF(Delay!BW77="","",Fee*$A77+Vq*Delay!BW77)</f>
        <v>10.8</v>
      </c>
      <c r="BX77" s="19" t="n">
        <f aca="false">IF(Delay!BX77="","",Fee*$A77+Vq*Delay!BX77)</f>
        <v>10.8</v>
      </c>
      <c r="BY77" s="19" t="n">
        <f aca="false">IF(Delay!BY77="","",Fee*$A77+Vq*Delay!BY77)</f>
        <v>10.8</v>
      </c>
      <c r="BZ77" s="19" t="n">
        <f aca="false">IF(Delay!BZ77="","",Fee*$A77+Vq*Delay!BZ77)</f>
        <v>10.8</v>
      </c>
      <c r="CA77" s="19" t="n">
        <f aca="false">IF(Delay!CA77="","",Fee*$A77+Vq*Delay!CA77)</f>
        <v>10.8</v>
      </c>
      <c r="CB77" s="19" t="n">
        <f aca="false">IF(Delay!CB77="","",Fee*$A77+Vq*Delay!CB77)</f>
        <v>10.8</v>
      </c>
      <c r="CC77" s="19" t="n">
        <f aca="false">IF(Delay!CC77="","",Fee*$A77+Vq*Delay!CC77)</f>
        <v>10.8</v>
      </c>
      <c r="CD77" s="19" t="n">
        <f aca="false">IF(Delay!CD77="","",Fee*$A77+Vq*Delay!CD77)</f>
        <v>10.8</v>
      </c>
      <c r="CE77" s="19" t="n">
        <f aca="false">IF(Delay!CE77="","",Fee*$A77+Vq*Delay!CE77)</f>
        <v>10.8</v>
      </c>
      <c r="CF77" s="19" t="n">
        <f aca="false">IF(Delay!CF77="","",Fee*$A77+Vq*Delay!CF77)</f>
        <v>10.8</v>
      </c>
      <c r="CG77" s="19" t="n">
        <f aca="false">IF(Delay!CG77="","",Fee*$A77+Vq*Delay!CG77)</f>
        <v>10.8</v>
      </c>
      <c r="CH77" s="19" t="n">
        <f aca="false">IF(Delay!CH77="","",Fee*$A77+Vq*Delay!CH77)</f>
        <v>10.8</v>
      </c>
      <c r="CI77" s="19" t="n">
        <f aca="false">IF(Delay!CI77="","",Fee*$A77+Vq*Delay!CI77)</f>
        <v>10.8</v>
      </c>
      <c r="CJ77" s="19" t="n">
        <f aca="false">IF(Delay!CJ77="","",Fee*$A77+Vq*Delay!CJ77)</f>
        <v>10.8</v>
      </c>
      <c r="CK77" s="19" t="n">
        <f aca="false">IF(Delay!CK77="","",Fee*$A77+Vq*Delay!CK77)</f>
        <v>10.8</v>
      </c>
      <c r="CL77" s="19" t="n">
        <f aca="false">IF(Delay!CL77="","",Fee*$A77+Vq*Delay!CL77)</f>
        <v>10.8</v>
      </c>
      <c r="CM77" s="19" t="n">
        <f aca="false">IF(Delay!CM77="","",Fee*$A77+Vq*Delay!CM77)</f>
        <v>10.8</v>
      </c>
      <c r="CN77" s="19" t="n">
        <f aca="false">IF(Delay!CN77="","",Fee*$A77+Vq*Delay!CN77)</f>
        <v>10.8</v>
      </c>
      <c r="CO77" s="19" t="n">
        <f aca="false">IF(Delay!CO77="","",Fee*$A77+Vq*Delay!CO77)</f>
        <v>10.8</v>
      </c>
      <c r="CP77" s="19" t="n">
        <f aca="false">IF(Delay!CP77="","",Fee*$A77+Vq*Delay!CP77)</f>
        <v>10.8</v>
      </c>
      <c r="CQ77" s="19" t="n">
        <f aca="false">IF(Delay!CQ77="","",Fee*$A77+Vq*Delay!CQ77)</f>
        <v>10.8</v>
      </c>
      <c r="CR77" s="19" t="n">
        <f aca="false">IF(Delay!CR77="","",Fee*$A77+Vq*Delay!CR77)</f>
        <v>10.8</v>
      </c>
      <c r="CS77" s="19" t="n">
        <f aca="false">IF(Delay!CS77="","",Fee*$A77+Vq*Delay!CS77)</f>
        <v>10.8</v>
      </c>
      <c r="CT77" s="19" t="n">
        <f aca="false">IF(Delay!CT77="","",Fee*$A77+Vq*Delay!CT77)</f>
        <v>19.3454815065769</v>
      </c>
    </row>
    <row r="78" customFormat="false" ht="15" hidden="false" customHeight="false" outlineLevel="0" collapsed="false">
      <c r="A78" s="25" t="n">
        <f aca="false">Quantiles!A78</f>
        <v>365</v>
      </c>
      <c r="B78" s="19" t="n">
        <f aca="false">IF(Delay!B78="","",Fee*$A78+Vq*Delay!B78)</f>
        <v>27.2947844090816</v>
      </c>
      <c r="C78" s="19" t="n">
        <f aca="false">IF(Delay!C78="","",Fee*$A78+Vq*Delay!C78)</f>
        <v>25.8048818971453</v>
      </c>
      <c r="D78" s="19" t="n">
        <f aca="false">IF(Delay!D78="","",Fee*$A78+Vq*Delay!D78)</f>
        <v>24.4906875672248</v>
      </c>
      <c r="E78" s="19" t="n">
        <f aca="false">IF(Delay!E78="","",Fee*$A78+Vq*Delay!E78)</f>
        <v>23.3965556867293</v>
      </c>
      <c r="F78" s="19" t="n">
        <f aca="false">IF(Delay!F78="","",Fee*$A78+Vq*Delay!F78)</f>
        <v>22.4380561358036</v>
      </c>
      <c r="G78" s="19" t="n">
        <f aca="false">IF(Delay!G78="","",Fee*$A78+Vq*Delay!G78)</f>
        <v>21.583826127187</v>
      </c>
      <c r="H78" s="19" t="n">
        <f aca="false">IF(Delay!H78="","",Fee*$A78+Vq*Delay!H78)</f>
        <v>20.8375007440562</v>
      </c>
      <c r="I78" s="19" t="n">
        <f aca="false">IF(Delay!I78="","",Fee*$A78+Vq*Delay!I78)</f>
        <v>20.111597361921</v>
      </c>
      <c r="J78" s="19" t="n">
        <f aca="false">IF(Delay!J78="","",Fee*$A78+Vq*Delay!J78)</f>
        <v>19.5003367044211</v>
      </c>
      <c r="K78" s="19" t="n">
        <f aca="false">IF(Delay!K78="","",Fee*$A78+Vq*Delay!K78)</f>
        <v>18.8686158145833</v>
      </c>
      <c r="L78" s="19" t="n">
        <f aca="false">IF(Delay!L78="","",Fee*$A78+Vq*Delay!L78)</f>
        <v>18.251953417664</v>
      </c>
      <c r="M78" s="19" t="n">
        <f aca="false">IF(Delay!M78="","",Fee*$A78+Vq*Delay!M78)</f>
        <v>17.739052942884</v>
      </c>
      <c r="N78" s="19" t="n">
        <f aca="false">IF(Delay!N78="","",Fee*$A78+Vq*Delay!N78)</f>
        <v>17.2399329664311</v>
      </c>
      <c r="O78" s="19" t="n">
        <f aca="false">IF(Delay!O78="","",Fee*$A78+Vq*Delay!O78)</f>
        <v>16.7178844949963</v>
      </c>
      <c r="P78" s="19" t="n">
        <f aca="false">IF(Delay!P78="","",Fee*$A78+Vq*Delay!P78)</f>
        <v>16.2484849664579</v>
      </c>
      <c r="Q78" s="19" t="n">
        <f aca="false">IF(Delay!Q78="","",Fee*$A78+Vq*Delay!Q78)</f>
        <v>15.7947173093984</v>
      </c>
      <c r="R78" s="19" t="n">
        <f aca="false">IF(Delay!R78="","",Fee*$A78+Vq*Delay!R78)</f>
        <v>15.3869632668838</v>
      </c>
      <c r="S78" s="19" t="n">
        <f aca="false">IF(Delay!S78="","",Fee*$A78+Vq*Delay!S78)</f>
        <v>14.9857775289256</v>
      </c>
      <c r="T78" s="19" t="n">
        <f aca="false">IF(Delay!T78="","",Fee*$A78+Vq*Delay!T78)</f>
        <v>14.6221840205143</v>
      </c>
      <c r="U78" s="19" t="n">
        <f aca="false">IF(Delay!U78="","",Fee*$A78+Vq*Delay!U78)</f>
        <v>14.2619889199037</v>
      </c>
      <c r="V78" s="19" t="n">
        <f aca="false">IF(Delay!V78="","",Fee*$A78+Vq*Delay!V78)</f>
        <v>13.9155515307538</v>
      </c>
      <c r="W78" s="19" t="n">
        <f aca="false">IF(Delay!W78="","",Fee*$A78+Vq*Delay!W78)</f>
        <v>13.5517097862181</v>
      </c>
      <c r="X78" s="19" t="n">
        <f aca="false">IF(Delay!X78="","",Fee*$A78+Vq*Delay!X78)</f>
        <v>13.1992047637423</v>
      </c>
      <c r="Y78" s="19" t="n">
        <f aca="false">IF(Delay!Y78="","",Fee*$A78+Vq*Delay!Y78)</f>
        <v>12.8985385302769</v>
      </c>
      <c r="Z78" s="19" t="n">
        <f aca="false">IF(Delay!Z78="","",Fee*$A78+Vq*Delay!Z78)</f>
        <v>12.5858447662479</v>
      </c>
      <c r="AA78" s="19" t="n">
        <f aca="false">IF(Delay!AA78="","",Fee*$A78+Vq*Delay!AA78)</f>
        <v>12.2905929374171</v>
      </c>
      <c r="AB78" s="19" t="n">
        <f aca="false">IF(Delay!AB78="","",Fee*$A78+Vq*Delay!AB78)</f>
        <v>11.9643283226775</v>
      </c>
      <c r="AC78" s="19" t="n">
        <f aca="false">IF(Delay!AC78="","",Fee*$A78+Vq*Delay!AC78)</f>
        <v>11.6770943260271</v>
      </c>
      <c r="AD78" s="19" t="n">
        <f aca="false">IF(Delay!AD78="","",Fee*$A78+Vq*Delay!AD78)</f>
        <v>11.3777017816274</v>
      </c>
      <c r="AE78" s="19" t="n">
        <f aca="false">IF(Delay!AE78="","",Fee*$A78+Vq*Delay!AE78)</f>
        <v>11.1119342379634</v>
      </c>
      <c r="AF78" s="19" t="n">
        <f aca="false">IF(Delay!AF78="","",Fee*$A78+Vq*Delay!AF78)</f>
        <v>10.95</v>
      </c>
      <c r="AG78" s="19" t="n">
        <f aca="false">IF(Delay!AG78="","",Fee*$A78+Vq*Delay!AG78)</f>
        <v>10.95</v>
      </c>
      <c r="AH78" s="19" t="n">
        <f aca="false">IF(Delay!AH78="","",Fee*$A78+Vq*Delay!AH78)</f>
        <v>10.95</v>
      </c>
      <c r="AI78" s="19" t="n">
        <f aca="false">IF(Delay!AI78="","",Fee*$A78+Vq*Delay!AI78)</f>
        <v>10.95</v>
      </c>
      <c r="AJ78" s="19" t="n">
        <f aca="false">IF(Delay!AJ78="","",Fee*$A78+Vq*Delay!AJ78)</f>
        <v>10.95</v>
      </c>
      <c r="AK78" s="19" t="n">
        <f aca="false">IF(Delay!AK78="","",Fee*$A78+Vq*Delay!AK78)</f>
        <v>10.95</v>
      </c>
      <c r="AL78" s="19" t="n">
        <f aca="false">IF(Delay!AL78="","",Fee*$A78+Vq*Delay!AL78)</f>
        <v>10.95</v>
      </c>
      <c r="AM78" s="19" t="n">
        <f aca="false">IF(Delay!AM78="","",Fee*$A78+Vq*Delay!AM78)</f>
        <v>10.95</v>
      </c>
      <c r="AN78" s="19" t="n">
        <f aca="false">IF(Delay!AN78="","",Fee*$A78+Vq*Delay!AN78)</f>
        <v>10.95</v>
      </c>
      <c r="AO78" s="19" t="n">
        <f aca="false">IF(Delay!AO78="","",Fee*$A78+Vq*Delay!AO78)</f>
        <v>10.95</v>
      </c>
      <c r="AP78" s="19" t="n">
        <f aca="false">IF(Delay!AP78="","",Fee*$A78+Vq*Delay!AP78)</f>
        <v>10.95</v>
      </c>
      <c r="AQ78" s="19" t="n">
        <f aca="false">IF(Delay!AQ78="","",Fee*$A78+Vq*Delay!AQ78)</f>
        <v>10.95</v>
      </c>
      <c r="AR78" s="19" t="n">
        <f aca="false">IF(Delay!AR78="","",Fee*$A78+Vq*Delay!AR78)</f>
        <v>10.95</v>
      </c>
      <c r="AS78" s="19" t="n">
        <f aca="false">IF(Delay!AS78="","",Fee*$A78+Vq*Delay!AS78)</f>
        <v>10.95</v>
      </c>
      <c r="AT78" s="19" t="n">
        <f aca="false">IF(Delay!AT78="","",Fee*$A78+Vq*Delay!AT78)</f>
        <v>10.95</v>
      </c>
      <c r="AU78" s="19" t="n">
        <f aca="false">IF(Delay!AU78="","",Fee*$A78+Vq*Delay!AU78)</f>
        <v>10.95</v>
      </c>
      <c r="AV78" s="19" t="n">
        <f aca="false">IF(Delay!AV78="","",Fee*$A78+Vq*Delay!AV78)</f>
        <v>10.95</v>
      </c>
      <c r="AW78" s="19" t="n">
        <f aca="false">IF(Delay!AW78="","",Fee*$A78+Vq*Delay!AW78)</f>
        <v>10.95</v>
      </c>
      <c r="AX78" s="19" t="n">
        <f aca="false">IF(Delay!AX78="","",Fee*$A78+Vq*Delay!AX78)</f>
        <v>10.95</v>
      </c>
      <c r="AY78" s="19" t="n">
        <f aca="false">IF(Delay!AY78="","",Fee*$A78+Vq*Delay!AY78)</f>
        <v>10.95</v>
      </c>
      <c r="AZ78" s="19" t="n">
        <f aca="false">IF(Delay!AZ78="","",Fee*$A78+Vq*Delay!AZ78)</f>
        <v>10.95</v>
      </c>
      <c r="BA78" s="19" t="n">
        <f aca="false">IF(Delay!BA78="","",Fee*$A78+Vq*Delay!BA78)</f>
        <v>10.95</v>
      </c>
      <c r="BB78" s="19" t="n">
        <f aca="false">IF(Delay!BB78="","",Fee*$A78+Vq*Delay!BB78)</f>
        <v>10.95</v>
      </c>
      <c r="BC78" s="19" t="n">
        <f aca="false">IF(Delay!BC78="","",Fee*$A78+Vq*Delay!BC78)</f>
        <v>10.95</v>
      </c>
      <c r="BD78" s="19" t="n">
        <f aca="false">IF(Delay!BD78="","",Fee*$A78+Vq*Delay!BD78)</f>
        <v>10.95</v>
      </c>
      <c r="BE78" s="19" t="n">
        <f aca="false">IF(Delay!BE78="","",Fee*$A78+Vq*Delay!BE78)</f>
        <v>10.95</v>
      </c>
      <c r="BF78" s="19" t="n">
        <f aca="false">IF(Delay!BF78="","",Fee*$A78+Vq*Delay!BF78)</f>
        <v>10.95</v>
      </c>
      <c r="BG78" s="19" t="n">
        <f aca="false">IF(Delay!BG78="","",Fee*$A78+Vq*Delay!BG78)</f>
        <v>10.95</v>
      </c>
      <c r="BH78" s="19" t="n">
        <f aca="false">IF(Delay!BH78="","",Fee*$A78+Vq*Delay!BH78)</f>
        <v>10.95</v>
      </c>
      <c r="BI78" s="19" t="n">
        <f aca="false">IF(Delay!BI78="","",Fee*$A78+Vq*Delay!BI78)</f>
        <v>10.95</v>
      </c>
      <c r="BJ78" s="19" t="n">
        <f aca="false">IF(Delay!BJ78="","",Fee*$A78+Vq*Delay!BJ78)</f>
        <v>10.95</v>
      </c>
      <c r="BK78" s="19" t="n">
        <f aca="false">IF(Delay!BK78="","",Fee*$A78+Vq*Delay!BK78)</f>
        <v>10.95</v>
      </c>
      <c r="BL78" s="19" t="n">
        <f aca="false">IF(Delay!BL78="","",Fee*$A78+Vq*Delay!BL78)</f>
        <v>10.95</v>
      </c>
      <c r="BM78" s="19" t="n">
        <f aca="false">IF(Delay!BM78="","",Fee*$A78+Vq*Delay!BM78)</f>
        <v>10.95</v>
      </c>
      <c r="BN78" s="19" t="n">
        <f aca="false">IF(Delay!BN78="","",Fee*$A78+Vq*Delay!BN78)</f>
        <v>10.95</v>
      </c>
      <c r="BO78" s="19" t="n">
        <f aca="false">IF(Delay!BO78="","",Fee*$A78+Vq*Delay!BO78)</f>
        <v>10.95</v>
      </c>
      <c r="BP78" s="19" t="n">
        <f aca="false">IF(Delay!BP78="","",Fee*$A78+Vq*Delay!BP78)</f>
        <v>10.95</v>
      </c>
      <c r="BQ78" s="19" t="n">
        <f aca="false">IF(Delay!BQ78="","",Fee*$A78+Vq*Delay!BQ78)</f>
        <v>10.95</v>
      </c>
      <c r="BR78" s="19" t="n">
        <f aca="false">IF(Delay!BR78="","",Fee*$A78+Vq*Delay!BR78)</f>
        <v>10.95</v>
      </c>
      <c r="BS78" s="19" t="n">
        <f aca="false">IF(Delay!BS78="","",Fee*$A78+Vq*Delay!BS78)</f>
        <v>10.95</v>
      </c>
      <c r="BT78" s="19" t="n">
        <f aca="false">IF(Delay!BT78="","",Fee*$A78+Vq*Delay!BT78)</f>
        <v>10.95</v>
      </c>
      <c r="BU78" s="19" t="n">
        <f aca="false">IF(Delay!BU78="","",Fee*$A78+Vq*Delay!BU78)</f>
        <v>10.95</v>
      </c>
      <c r="BV78" s="19" t="n">
        <f aca="false">IF(Delay!BV78="","",Fee*$A78+Vq*Delay!BV78)</f>
        <v>10.95</v>
      </c>
      <c r="BW78" s="19" t="n">
        <f aca="false">IF(Delay!BW78="","",Fee*$A78+Vq*Delay!BW78)</f>
        <v>10.95</v>
      </c>
      <c r="BX78" s="19" t="n">
        <f aca="false">IF(Delay!BX78="","",Fee*$A78+Vq*Delay!BX78)</f>
        <v>10.95</v>
      </c>
      <c r="BY78" s="19" t="n">
        <f aca="false">IF(Delay!BY78="","",Fee*$A78+Vq*Delay!BY78)</f>
        <v>10.95</v>
      </c>
      <c r="BZ78" s="19" t="n">
        <f aca="false">IF(Delay!BZ78="","",Fee*$A78+Vq*Delay!BZ78)</f>
        <v>10.95</v>
      </c>
      <c r="CA78" s="19" t="n">
        <f aca="false">IF(Delay!CA78="","",Fee*$A78+Vq*Delay!CA78)</f>
        <v>10.95</v>
      </c>
      <c r="CB78" s="19" t="n">
        <f aca="false">IF(Delay!CB78="","",Fee*$A78+Vq*Delay!CB78)</f>
        <v>10.95</v>
      </c>
      <c r="CC78" s="19" t="n">
        <f aca="false">IF(Delay!CC78="","",Fee*$A78+Vq*Delay!CC78)</f>
        <v>10.95</v>
      </c>
      <c r="CD78" s="19" t="n">
        <f aca="false">IF(Delay!CD78="","",Fee*$A78+Vq*Delay!CD78)</f>
        <v>10.95</v>
      </c>
      <c r="CE78" s="19" t="n">
        <f aca="false">IF(Delay!CE78="","",Fee*$A78+Vq*Delay!CE78)</f>
        <v>10.95</v>
      </c>
      <c r="CF78" s="19" t="n">
        <f aca="false">IF(Delay!CF78="","",Fee*$A78+Vq*Delay!CF78)</f>
        <v>10.95</v>
      </c>
      <c r="CG78" s="19" t="n">
        <f aca="false">IF(Delay!CG78="","",Fee*$A78+Vq*Delay!CG78)</f>
        <v>10.95</v>
      </c>
      <c r="CH78" s="19" t="n">
        <f aca="false">IF(Delay!CH78="","",Fee*$A78+Vq*Delay!CH78)</f>
        <v>10.95</v>
      </c>
      <c r="CI78" s="19" t="n">
        <f aca="false">IF(Delay!CI78="","",Fee*$A78+Vq*Delay!CI78)</f>
        <v>10.95</v>
      </c>
      <c r="CJ78" s="19" t="n">
        <f aca="false">IF(Delay!CJ78="","",Fee*$A78+Vq*Delay!CJ78)</f>
        <v>10.95</v>
      </c>
      <c r="CK78" s="19" t="n">
        <f aca="false">IF(Delay!CK78="","",Fee*$A78+Vq*Delay!CK78)</f>
        <v>10.95</v>
      </c>
      <c r="CL78" s="19" t="n">
        <f aca="false">IF(Delay!CL78="","",Fee*$A78+Vq*Delay!CL78)</f>
        <v>10.95</v>
      </c>
      <c r="CM78" s="19" t="n">
        <f aca="false">IF(Delay!CM78="","",Fee*$A78+Vq*Delay!CM78)</f>
        <v>10.95</v>
      </c>
      <c r="CN78" s="19" t="n">
        <f aca="false">IF(Delay!CN78="","",Fee*$A78+Vq*Delay!CN78)</f>
        <v>10.95</v>
      </c>
      <c r="CO78" s="19" t="n">
        <f aca="false">IF(Delay!CO78="","",Fee*$A78+Vq*Delay!CO78)</f>
        <v>10.95</v>
      </c>
      <c r="CP78" s="19" t="n">
        <f aca="false">IF(Delay!CP78="","",Fee*$A78+Vq*Delay!CP78)</f>
        <v>10.95</v>
      </c>
      <c r="CQ78" s="19" t="n">
        <f aca="false">IF(Delay!CQ78="","",Fee*$A78+Vq*Delay!CQ78)</f>
        <v>10.95</v>
      </c>
      <c r="CR78" s="19" t="n">
        <f aca="false">IF(Delay!CR78="","",Fee*$A78+Vq*Delay!CR78)</f>
        <v>10.95</v>
      </c>
      <c r="CS78" s="19" t="n">
        <f aca="false">IF(Delay!CS78="","",Fee*$A78+Vq*Delay!CS78)</f>
        <v>10.95</v>
      </c>
      <c r="CT78" s="19" t="n">
        <f aca="false">IF(Delay!CT78="","",Fee*$A78+Vq*Delay!CT78)</f>
        <v>19.4954815065769</v>
      </c>
    </row>
    <row r="79" customFormat="false" ht="15" hidden="false" customHeight="false" outlineLevel="0" collapsed="false">
      <c r="A79" s="25" t="n">
        <f aca="false">Quantiles!A79</f>
        <v>370</v>
      </c>
      <c r="B79" s="19" t="n">
        <f aca="false">IF(Delay!B79="","",Fee*$A79+Vq*Delay!B79)</f>
        <v>27.4447844090816</v>
      </c>
      <c r="C79" s="19" t="n">
        <f aca="false">IF(Delay!C79="","",Fee*$A79+Vq*Delay!C79)</f>
        <v>25.9511108927652</v>
      </c>
      <c r="D79" s="19" t="n">
        <f aca="false">IF(Delay!D79="","",Fee*$A79+Vq*Delay!D79)</f>
        <v>24.6406875672248</v>
      </c>
      <c r="E79" s="19" t="n">
        <f aca="false">IF(Delay!E79="","",Fee*$A79+Vq*Delay!E79)</f>
        <v>23.5465556867293</v>
      </c>
      <c r="F79" s="19" t="n">
        <f aca="false">IF(Delay!F79="","",Fee*$A79+Vq*Delay!F79)</f>
        <v>22.5880561358036</v>
      </c>
      <c r="G79" s="19" t="n">
        <f aca="false">IF(Delay!G79="","",Fee*$A79+Vq*Delay!G79)</f>
        <v>21.733826127187</v>
      </c>
      <c r="H79" s="19" t="n">
        <f aca="false">IF(Delay!H79="","",Fee*$A79+Vq*Delay!H79)</f>
        <v>20.9875007440562</v>
      </c>
      <c r="I79" s="19" t="n">
        <f aca="false">IF(Delay!I79="","",Fee*$A79+Vq*Delay!I79)</f>
        <v>20.261597361921</v>
      </c>
      <c r="J79" s="19" t="n">
        <f aca="false">IF(Delay!J79="","",Fee*$A79+Vq*Delay!J79)</f>
        <v>19.6503367044211</v>
      </c>
      <c r="K79" s="19" t="n">
        <f aca="false">IF(Delay!K79="","",Fee*$A79+Vq*Delay!K79)</f>
        <v>19.0186158145833</v>
      </c>
      <c r="L79" s="19" t="n">
        <f aca="false">IF(Delay!L79="","",Fee*$A79+Vq*Delay!L79)</f>
        <v>18.401953417664</v>
      </c>
      <c r="M79" s="19" t="n">
        <f aca="false">IF(Delay!M79="","",Fee*$A79+Vq*Delay!M79)</f>
        <v>17.889052942884</v>
      </c>
      <c r="N79" s="19" t="n">
        <f aca="false">IF(Delay!N79="","",Fee*$A79+Vq*Delay!N79)</f>
        <v>17.3899329664311</v>
      </c>
      <c r="O79" s="19" t="n">
        <f aca="false">IF(Delay!O79="","",Fee*$A79+Vq*Delay!O79)</f>
        <v>16.8678844949963</v>
      </c>
      <c r="P79" s="19" t="n">
        <f aca="false">IF(Delay!P79="","",Fee*$A79+Vq*Delay!P79)</f>
        <v>16.3984849664579</v>
      </c>
      <c r="Q79" s="19" t="n">
        <f aca="false">IF(Delay!Q79="","",Fee*$A79+Vq*Delay!Q79)</f>
        <v>15.9447173093984</v>
      </c>
      <c r="R79" s="19" t="n">
        <f aca="false">IF(Delay!R79="","",Fee*$A79+Vq*Delay!R79)</f>
        <v>15.5369632668838</v>
      </c>
      <c r="S79" s="19" t="n">
        <f aca="false">IF(Delay!S79="","",Fee*$A79+Vq*Delay!S79)</f>
        <v>15.1357775289256</v>
      </c>
      <c r="T79" s="19" t="n">
        <f aca="false">IF(Delay!T79="","",Fee*$A79+Vq*Delay!T79)</f>
        <v>14.7721840205143</v>
      </c>
      <c r="U79" s="19" t="n">
        <f aca="false">IF(Delay!U79="","",Fee*$A79+Vq*Delay!U79)</f>
        <v>14.4119889199037</v>
      </c>
      <c r="V79" s="19" t="n">
        <f aca="false">IF(Delay!V79="","",Fee*$A79+Vq*Delay!V79)</f>
        <v>14.0655515307538</v>
      </c>
      <c r="W79" s="19" t="n">
        <f aca="false">IF(Delay!W79="","",Fee*$A79+Vq*Delay!W79)</f>
        <v>13.7017097862181</v>
      </c>
      <c r="X79" s="19" t="n">
        <f aca="false">IF(Delay!X79="","",Fee*$A79+Vq*Delay!X79)</f>
        <v>13.3492047637423</v>
      </c>
      <c r="Y79" s="19" t="n">
        <f aca="false">IF(Delay!Y79="","",Fee*$A79+Vq*Delay!Y79)</f>
        <v>13.0485385302769</v>
      </c>
      <c r="Z79" s="19" t="n">
        <f aca="false">IF(Delay!Z79="","",Fee*$A79+Vq*Delay!Z79)</f>
        <v>12.7358447662479</v>
      </c>
      <c r="AA79" s="19" t="n">
        <f aca="false">IF(Delay!AA79="","",Fee*$A79+Vq*Delay!AA79)</f>
        <v>12.4405929374171</v>
      </c>
      <c r="AB79" s="19" t="n">
        <f aca="false">IF(Delay!AB79="","",Fee*$A79+Vq*Delay!AB79)</f>
        <v>12.1143283226775</v>
      </c>
      <c r="AC79" s="19" t="n">
        <f aca="false">IF(Delay!AC79="","",Fee*$A79+Vq*Delay!AC79)</f>
        <v>11.8270943260271</v>
      </c>
      <c r="AD79" s="19" t="n">
        <f aca="false">IF(Delay!AD79="","",Fee*$A79+Vq*Delay!AD79)</f>
        <v>11.5277017816274</v>
      </c>
      <c r="AE79" s="19" t="n">
        <f aca="false">IF(Delay!AE79="","",Fee*$A79+Vq*Delay!AE79)</f>
        <v>11.2619342379634</v>
      </c>
      <c r="AF79" s="19" t="n">
        <f aca="false">IF(Delay!AF79="","",Fee*$A79+Vq*Delay!AF79)</f>
        <v>11.1</v>
      </c>
      <c r="AG79" s="19" t="n">
        <f aca="false">IF(Delay!AG79="","",Fee*$A79+Vq*Delay!AG79)</f>
        <v>11.1</v>
      </c>
      <c r="AH79" s="19" t="n">
        <f aca="false">IF(Delay!AH79="","",Fee*$A79+Vq*Delay!AH79)</f>
        <v>11.1</v>
      </c>
      <c r="AI79" s="19" t="n">
        <f aca="false">IF(Delay!AI79="","",Fee*$A79+Vq*Delay!AI79)</f>
        <v>11.1</v>
      </c>
      <c r="AJ79" s="19" t="n">
        <f aca="false">IF(Delay!AJ79="","",Fee*$A79+Vq*Delay!AJ79)</f>
        <v>11.1</v>
      </c>
      <c r="AK79" s="19" t="n">
        <f aca="false">IF(Delay!AK79="","",Fee*$A79+Vq*Delay!AK79)</f>
        <v>11.1</v>
      </c>
      <c r="AL79" s="19" t="n">
        <f aca="false">IF(Delay!AL79="","",Fee*$A79+Vq*Delay!AL79)</f>
        <v>11.1</v>
      </c>
      <c r="AM79" s="19" t="n">
        <f aca="false">IF(Delay!AM79="","",Fee*$A79+Vq*Delay!AM79)</f>
        <v>11.1</v>
      </c>
      <c r="AN79" s="19" t="n">
        <f aca="false">IF(Delay!AN79="","",Fee*$A79+Vq*Delay!AN79)</f>
        <v>11.1</v>
      </c>
      <c r="AO79" s="19" t="n">
        <f aca="false">IF(Delay!AO79="","",Fee*$A79+Vq*Delay!AO79)</f>
        <v>11.1</v>
      </c>
      <c r="AP79" s="19" t="n">
        <f aca="false">IF(Delay!AP79="","",Fee*$A79+Vq*Delay!AP79)</f>
        <v>11.1</v>
      </c>
      <c r="AQ79" s="19" t="n">
        <f aca="false">IF(Delay!AQ79="","",Fee*$A79+Vq*Delay!AQ79)</f>
        <v>11.1</v>
      </c>
      <c r="AR79" s="19" t="n">
        <f aca="false">IF(Delay!AR79="","",Fee*$A79+Vq*Delay!AR79)</f>
        <v>11.1</v>
      </c>
      <c r="AS79" s="19" t="n">
        <f aca="false">IF(Delay!AS79="","",Fee*$A79+Vq*Delay!AS79)</f>
        <v>11.1</v>
      </c>
      <c r="AT79" s="19" t="n">
        <f aca="false">IF(Delay!AT79="","",Fee*$A79+Vq*Delay!AT79)</f>
        <v>11.1</v>
      </c>
      <c r="AU79" s="19" t="n">
        <f aca="false">IF(Delay!AU79="","",Fee*$A79+Vq*Delay!AU79)</f>
        <v>11.1</v>
      </c>
      <c r="AV79" s="19" t="n">
        <f aca="false">IF(Delay!AV79="","",Fee*$A79+Vq*Delay!AV79)</f>
        <v>11.1</v>
      </c>
      <c r="AW79" s="19" t="n">
        <f aca="false">IF(Delay!AW79="","",Fee*$A79+Vq*Delay!AW79)</f>
        <v>11.1</v>
      </c>
      <c r="AX79" s="19" t="n">
        <f aca="false">IF(Delay!AX79="","",Fee*$A79+Vq*Delay!AX79)</f>
        <v>11.1</v>
      </c>
      <c r="AY79" s="19" t="n">
        <f aca="false">IF(Delay!AY79="","",Fee*$A79+Vq*Delay!AY79)</f>
        <v>11.1</v>
      </c>
      <c r="AZ79" s="19" t="n">
        <f aca="false">IF(Delay!AZ79="","",Fee*$A79+Vq*Delay!AZ79)</f>
        <v>11.1</v>
      </c>
      <c r="BA79" s="19" t="n">
        <f aca="false">IF(Delay!BA79="","",Fee*$A79+Vq*Delay!BA79)</f>
        <v>11.1</v>
      </c>
      <c r="BB79" s="19" t="n">
        <f aca="false">IF(Delay!BB79="","",Fee*$A79+Vq*Delay!BB79)</f>
        <v>11.1</v>
      </c>
      <c r="BC79" s="19" t="n">
        <f aca="false">IF(Delay!BC79="","",Fee*$A79+Vq*Delay!BC79)</f>
        <v>11.1</v>
      </c>
      <c r="BD79" s="19" t="n">
        <f aca="false">IF(Delay!BD79="","",Fee*$A79+Vq*Delay!BD79)</f>
        <v>11.1</v>
      </c>
      <c r="BE79" s="19" t="n">
        <f aca="false">IF(Delay!BE79="","",Fee*$A79+Vq*Delay!BE79)</f>
        <v>11.1</v>
      </c>
      <c r="BF79" s="19" t="n">
        <f aca="false">IF(Delay!BF79="","",Fee*$A79+Vq*Delay!BF79)</f>
        <v>11.1</v>
      </c>
      <c r="BG79" s="19" t="n">
        <f aca="false">IF(Delay!BG79="","",Fee*$A79+Vq*Delay!BG79)</f>
        <v>11.1</v>
      </c>
      <c r="BH79" s="19" t="n">
        <f aca="false">IF(Delay!BH79="","",Fee*$A79+Vq*Delay!BH79)</f>
        <v>11.1</v>
      </c>
      <c r="BI79" s="19" t="n">
        <f aca="false">IF(Delay!BI79="","",Fee*$A79+Vq*Delay!BI79)</f>
        <v>11.1</v>
      </c>
      <c r="BJ79" s="19" t="n">
        <f aca="false">IF(Delay!BJ79="","",Fee*$A79+Vq*Delay!BJ79)</f>
        <v>11.1</v>
      </c>
      <c r="BK79" s="19" t="n">
        <f aca="false">IF(Delay!BK79="","",Fee*$A79+Vq*Delay!BK79)</f>
        <v>11.1</v>
      </c>
      <c r="BL79" s="19" t="n">
        <f aca="false">IF(Delay!BL79="","",Fee*$A79+Vq*Delay!BL79)</f>
        <v>11.1</v>
      </c>
      <c r="BM79" s="19" t="n">
        <f aca="false">IF(Delay!BM79="","",Fee*$A79+Vq*Delay!BM79)</f>
        <v>11.1</v>
      </c>
      <c r="BN79" s="19" t="n">
        <f aca="false">IF(Delay!BN79="","",Fee*$A79+Vq*Delay!BN79)</f>
        <v>11.1</v>
      </c>
      <c r="BO79" s="19" t="n">
        <f aca="false">IF(Delay!BO79="","",Fee*$A79+Vq*Delay!BO79)</f>
        <v>11.1</v>
      </c>
      <c r="BP79" s="19" t="n">
        <f aca="false">IF(Delay!BP79="","",Fee*$A79+Vq*Delay!BP79)</f>
        <v>11.1</v>
      </c>
      <c r="BQ79" s="19" t="n">
        <f aca="false">IF(Delay!BQ79="","",Fee*$A79+Vq*Delay!BQ79)</f>
        <v>11.1</v>
      </c>
      <c r="BR79" s="19" t="n">
        <f aca="false">IF(Delay!BR79="","",Fee*$A79+Vq*Delay!BR79)</f>
        <v>11.1</v>
      </c>
      <c r="BS79" s="19" t="n">
        <f aca="false">IF(Delay!BS79="","",Fee*$A79+Vq*Delay!BS79)</f>
        <v>11.1</v>
      </c>
      <c r="BT79" s="19" t="n">
        <f aca="false">IF(Delay!BT79="","",Fee*$A79+Vq*Delay!BT79)</f>
        <v>11.1</v>
      </c>
      <c r="BU79" s="19" t="n">
        <f aca="false">IF(Delay!BU79="","",Fee*$A79+Vq*Delay!BU79)</f>
        <v>11.1</v>
      </c>
      <c r="BV79" s="19" t="n">
        <f aca="false">IF(Delay!BV79="","",Fee*$A79+Vq*Delay!BV79)</f>
        <v>11.1</v>
      </c>
      <c r="BW79" s="19" t="n">
        <f aca="false">IF(Delay!BW79="","",Fee*$A79+Vq*Delay!BW79)</f>
        <v>11.1</v>
      </c>
      <c r="BX79" s="19" t="n">
        <f aca="false">IF(Delay!BX79="","",Fee*$A79+Vq*Delay!BX79)</f>
        <v>11.1</v>
      </c>
      <c r="BY79" s="19" t="n">
        <f aca="false">IF(Delay!BY79="","",Fee*$A79+Vq*Delay!BY79)</f>
        <v>11.1</v>
      </c>
      <c r="BZ79" s="19" t="n">
        <f aca="false">IF(Delay!BZ79="","",Fee*$A79+Vq*Delay!BZ79)</f>
        <v>11.1</v>
      </c>
      <c r="CA79" s="19" t="n">
        <f aca="false">IF(Delay!CA79="","",Fee*$A79+Vq*Delay!CA79)</f>
        <v>11.1</v>
      </c>
      <c r="CB79" s="19" t="n">
        <f aca="false">IF(Delay!CB79="","",Fee*$A79+Vq*Delay!CB79)</f>
        <v>11.1</v>
      </c>
      <c r="CC79" s="19" t="n">
        <f aca="false">IF(Delay!CC79="","",Fee*$A79+Vq*Delay!CC79)</f>
        <v>11.1</v>
      </c>
      <c r="CD79" s="19" t="n">
        <f aca="false">IF(Delay!CD79="","",Fee*$A79+Vq*Delay!CD79)</f>
        <v>11.1</v>
      </c>
      <c r="CE79" s="19" t="n">
        <f aca="false">IF(Delay!CE79="","",Fee*$A79+Vq*Delay!CE79)</f>
        <v>11.1</v>
      </c>
      <c r="CF79" s="19" t="n">
        <f aca="false">IF(Delay!CF79="","",Fee*$A79+Vq*Delay!CF79)</f>
        <v>11.1</v>
      </c>
      <c r="CG79" s="19" t="n">
        <f aca="false">IF(Delay!CG79="","",Fee*$A79+Vq*Delay!CG79)</f>
        <v>11.1</v>
      </c>
      <c r="CH79" s="19" t="n">
        <f aca="false">IF(Delay!CH79="","",Fee*$A79+Vq*Delay!CH79)</f>
        <v>11.1</v>
      </c>
      <c r="CI79" s="19" t="n">
        <f aca="false">IF(Delay!CI79="","",Fee*$A79+Vq*Delay!CI79)</f>
        <v>11.1</v>
      </c>
      <c r="CJ79" s="19" t="n">
        <f aca="false">IF(Delay!CJ79="","",Fee*$A79+Vq*Delay!CJ79)</f>
        <v>11.1</v>
      </c>
      <c r="CK79" s="19" t="n">
        <f aca="false">IF(Delay!CK79="","",Fee*$A79+Vq*Delay!CK79)</f>
        <v>11.1</v>
      </c>
      <c r="CL79" s="19" t="n">
        <f aca="false">IF(Delay!CL79="","",Fee*$A79+Vq*Delay!CL79)</f>
        <v>11.1</v>
      </c>
      <c r="CM79" s="19" t="n">
        <f aca="false">IF(Delay!CM79="","",Fee*$A79+Vq*Delay!CM79)</f>
        <v>11.1</v>
      </c>
      <c r="CN79" s="19" t="n">
        <f aca="false">IF(Delay!CN79="","",Fee*$A79+Vq*Delay!CN79)</f>
        <v>11.1</v>
      </c>
      <c r="CO79" s="19" t="n">
        <f aca="false">IF(Delay!CO79="","",Fee*$A79+Vq*Delay!CO79)</f>
        <v>11.1</v>
      </c>
      <c r="CP79" s="19" t="n">
        <f aca="false">IF(Delay!CP79="","",Fee*$A79+Vq*Delay!CP79)</f>
        <v>11.1</v>
      </c>
      <c r="CQ79" s="19" t="n">
        <f aca="false">IF(Delay!CQ79="","",Fee*$A79+Vq*Delay!CQ79)</f>
        <v>11.1</v>
      </c>
      <c r="CR79" s="19" t="n">
        <f aca="false">IF(Delay!CR79="","",Fee*$A79+Vq*Delay!CR79)</f>
        <v>11.1</v>
      </c>
      <c r="CS79" s="19" t="n">
        <f aca="false">IF(Delay!CS79="","",Fee*$A79+Vq*Delay!CS79)</f>
        <v>11.1</v>
      </c>
      <c r="CT79" s="19" t="n">
        <f aca="false">IF(Delay!CT79="","",Fee*$A79+Vq*Delay!CT79)</f>
        <v>19.6454815065769</v>
      </c>
    </row>
    <row r="80" customFormat="false" ht="15" hidden="false" customHeight="false" outlineLevel="0" collapsed="false">
      <c r="A80" s="25" t="n">
        <f aca="false">Quantiles!A80</f>
        <v>375</v>
      </c>
      <c r="B80" s="19" t="n">
        <f aca="false">IF(Delay!B80="","",Fee*$A80+Vq*Delay!B80)</f>
        <v>27.5947844090816</v>
      </c>
      <c r="C80" s="19" t="n">
        <f aca="false">IF(Delay!C80="","",Fee*$A80+Vq*Delay!C80)</f>
        <v>26.1011108927652</v>
      </c>
      <c r="D80" s="19" t="n">
        <f aca="false">IF(Delay!D80="","",Fee*$A80+Vq*Delay!D80)</f>
        <v>24.7893328179335</v>
      </c>
      <c r="E80" s="19" t="n">
        <f aca="false">IF(Delay!E80="","",Fee*$A80+Vq*Delay!E80)</f>
        <v>23.6965556867293</v>
      </c>
      <c r="F80" s="19" t="n">
        <f aca="false">IF(Delay!F80="","",Fee*$A80+Vq*Delay!F80)</f>
        <v>22.7380561358036</v>
      </c>
      <c r="G80" s="19" t="n">
        <f aca="false">IF(Delay!G80="","",Fee*$A80+Vq*Delay!G80)</f>
        <v>21.883826127187</v>
      </c>
      <c r="H80" s="19" t="n">
        <f aca="false">IF(Delay!H80="","",Fee*$A80+Vq*Delay!H80)</f>
        <v>21.1375007440562</v>
      </c>
      <c r="I80" s="19" t="n">
        <f aca="false">IF(Delay!I80="","",Fee*$A80+Vq*Delay!I80)</f>
        <v>20.411597361921</v>
      </c>
      <c r="J80" s="19" t="n">
        <f aca="false">IF(Delay!J80="","",Fee*$A80+Vq*Delay!J80)</f>
        <v>19.8003367044211</v>
      </c>
      <c r="K80" s="19" t="n">
        <f aca="false">IF(Delay!K80="","",Fee*$A80+Vq*Delay!K80)</f>
        <v>19.1686158145833</v>
      </c>
      <c r="L80" s="19" t="n">
        <f aca="false">IF(Delay!L80="","",Fee*$A80+Vq*Delay!L80)</f>
        <v>18.551953417664</v>
      </c>
      <c r="M80" s="19" t="n">
        <f aca="false">IF(Delay!M80="","",Fee*$A80+Vq*Delay!M80)</f>
        <v>18.039052942884</v>
      </c>
      <c r="N80" s="19" t="n">
        <f aca="false">IF(Delay!N80="","",Fee*$A80+Vq*Delay!N80)</f>
        <v>17.5399329664311</v>
      </c>
      <c r="O80" s="19" t="n">
        <f aca="false">IF(Delay!O80="","",Fee*$A80+Vq*Delay!O80)</f>
        <v>17.0178844949963</v>
      </c>
      <c r="P80" s="19" t="n">
        <f aca="false">IF(Delay!P80="","",Fee*$A80+Vq*Delay!P80)</f>
        <v>16.5484849664579</v>
      </c>
      <c r="Q80" s="19" t="n">
        <f aca="false">IF(Delay!Q80="","",Fee*$A80+Vq*Delay!Q80)</f>
        <v>16.0947173093984</v>
      </c>
      <c r="R80" s="19" t="n">
        <f aca="false">IF(Delay!R80="","",Fee*$A80+Vq*Delay!R80)</f>
        <v>15.6869632668838</v>
      </c>
      <c r="S80" s="19" t="n">
        <f aca="false">IF(Delay!S80="","",Fee*$A80+Vq*Delay!S80)</f>
        <v>15.2857775289256</v>
      </c>
      <c r="T80" s="19" t="n">
        <f aca="false">IF(Delay!T80="","",Fee*$A80+Vq*Delay!T80)</f>
        <v>14.9221840205143</v>
      </c>
      <c r="U80" s="19" t="n">
        <f aca="false">IF(Delay!U80="","",Fee*$A80+Vq*Delay!U80)</f>
        <v>14.5619889199037</v>
      </c>
      <c r="V80" s="19" t="n">
        <f aca="false">IF(Delay!V80="","",Fee*$A80+Vq*Delay!V80)</f>
        <v>14.2155515307538</v>
      </c>
      <c r="W80" s="19" t="n">
        <f aca="false">IF(Delay!W80="","",Fee*$A80+Vq*Delay!W80)</f>
        <v>13.8517097862181</v>
      </c>
      <c r="X80" s="19" t="n">
        <f aca="false">IF(Delay!X80="","",Fee*$A80+Vq*Delay!X80)</f>
        <v>13.4992047637423</v>
      </c>
      <c r="Y80" s="19" t="n">
        <f aca="false">IF(Delay!Y80="","",Fee*$A80+Vq*Delay!Y80)</f>
        <v>13.1985385302769</v>
      </c>
      <c r="Z80" s="19" t="n">
        <f aca="false">IF(Delay!Z80="","",Fee*$A80+Vq*Delay!Z80)</f>
        <v>12.8858447662479</v>
      </c>
      <c r="AA80" s="19" t="n">
        <f aca="false">IF(Delay!AA80="","",Fee*$A80+Vq*Delay!AA80)</f>
        <v>12.5905929374171</v>
      </c>
      <c r="AB80" s="19" t="n">
        <f aca="false">IF(Delay!AB80="","",Fee*$A80+Vq*Delay!AB80)</f>
        <v>12.2643283226775</v>
      </c>
      <c r="AC80" s="19" t="n">
        <f aca="false">IF(Delay!AC80="","",Fee*$A80+Vq*Delay!AC80)</f>
        <v>11.9770943260271</v>
      </c>
      <c r="AD80" s="19" t="n">
        <f aca="false">IF(Delay!AD80="","",Fee*$A80+Vq*Delay!AD80)</f>
        <v>11.6777017816274</v>
      </c>
      <c r="AE80" s="19" t="n">
        <f aca="false">IF(Delay!AE80="","",Fee*$A80+Vq*Delay!AE80)</f>
        <v>11.4119342379634</v>
      </c>
      <c r="AF80" s="19" t="n">
        <f aca="false">IF(Delay!AF80="","",Fee*$A80+Vq*Delay!AF80)</f>
        <v>11.25</v>
      </c>
      <c r="AG80" s="19" t="n">
        <f aca="false">IF(Delay!AG80="","",Fee*$A80+Vq*Delay!AG80)</f>
        <v>11.25</v>
      </c>
      <c r="AH80" s="19" t="n">
        <f aca="false">IF(Delay!AH80="","",Fee*$A80+Vq*Delay!AH80)</f>
        <v>11.25</v>
      </c>
      <c r="AI80" s="19" t="n">
        <f aca="false">IF(Delay!AI80="","",Fee*$A80+Vq*Delay!AI80)</f>
        <v>11.25</v>
      </c>
      <c r="AJ80" s="19" t="n">
        <f aca="false">IF(Delay!AJ80="","",Fee*$A80+Vq*Delay!AJ80)</f>
        <v>11.25</v>
      </c>
      <c r="AK80" s="19" t="n">
        <f aca="false">IF(Delay!AK80="","",Fee*$A80+Vq*Delay!AK80)</f>
        <v>11.25</v>
      </c>
      <c r="AL80" s="19" t="n">
        <f aca="false">IF(Delay!AL80="","",Fee*$A80+Vq*Delay!AL80)</f>
        <v>11.25</v>
      </c>
      <c r="AM80" s="19" t="n">
        <f aca="false">IF(Delay!AM80="","",Fee*$A80+Vq*Delay!AM80)</f>
        <v>11.25</v>
      </c>
      <c r="AN80" s="19" t="n">
        <f aca="false">IF(Delay!AN80="","",Fee*$A80+Vq*Delay!AN80)</f>
        <v>11.25</v>
      </c>
      <c r="AO80" s="19" t="n">
        <f aca="false">IF(Delay!AO80="","",Fee*$A80+Vq*Delay!AO80)</f>
        <v>11.25</v>
      </c>
      <c r="AP80" s="19" t="n">
        <f aca="false">IF(Delay!AP80="","",Fee*$A80+Vq*Delay!AP80)</f>
        <v>11.25</v>
      </c>
      <c r="AQ80" s="19" t="n">
        <f aca="false">IF(Delay!AQ80="","",Fee*$A80+Vq*Delay!AQ80)</f>
        <v>11.25</v>
      </c>
      <c r="AR80" s="19" t="n">
        <f aca="false">IF(Delay!AR80="","",Fee*$A80+Vq*Delay!AR80)</f>
        <v>11.25</v>
      </c>
      <c r="AS80" s="19" t="n">
        <f aca="false">IF(Delay!AS80="","",Fee*$A80+Vq*Delay!AS80)</f>
        <v>11.25</v>
      </c>
      <c r="AT80" s="19" t="n">
        <f aca="false">IF(Delay!AT80="","",Fee*$A80+Vq*Delay!AT80)</f>
        <v>11.25</v>
      </c>
      <c r="AU80" s="19" t="n">
        <f aca="false">IF(Delay!AU80="","",Fee*$A80+Vq*Delay!AU80)</f>
        <v>11.25</v>
      </c>
      <c r="AV80" s="19" t="n">
        <f aca="false">IF(Delay!AV80="","",Fee*$A80+Vq*Delay!AV80)</f>
        <v>11.25</v>
      </c>
      <c r="AW80" s="19" t="n">
        <f aca="false">IF(Delay!AW80="","",Fee*$A80+Vq*Delay!AW80)</f>
        <v>11.25</v>
      </c>
      <c r="AX80" s="19" t="n">
        <f aca="false">IF(Delay!AX80="","",Fee*$A80+Vq*Delay!AX80)</f>
        <v>11.25</v>
      </c>
      <c r="AY80" s="19" t="n">
        <f aca="false">IF(Delay!AY80="","",Fee*$A80+Vq*Delay!AY80)</f>
        <v>11.25</v>
      </c>
      <c r="AZ80" s="19" t="n">
        <f aca="false">IF(Delay!AZ80="","",Fee*$A80+Vq*Delay!AZ80)</f>
        <v>11.25</v>
      </c>
      <c r="BA80" s="19" t="n">
        <f aca="false">IF(Delay!BA80="","",Fee*$A80+Vq*Delay!BA80)</f>
        <v>11.25</v>
      </c>
      <c r="BB80" s="19" t="n">
        <f aca="false">IF(Delay!BB80="","",Fee*$A80+Vq*Delay!BB80)</f>
        <v>11.25</v>
      </c>
      <c r="BC80" s="19" t="n">
        <f aca="false">IF(Delay!BC80="","",Fee*$A80+Vq*Delay!BC80)</f>
        <v>11.25</v>
      </c>
      <c r="BD80" s="19" t="n">
        <f aca="false">IF(Delay!BD80="","",Fee*$A80+Vq*Delay!BD80)</f>
        <v>11.25</v>
      </c>
      <c r="BE80" s="19" t="n">
        <f aca="false">IF(Delay!BE80="","",Fee*$A80+Vq*Delay!BE80)</f>
        <v>11.25</v>
      </c>
      <c r="BF80" s="19" t="n">
        <f aca="false">IF(Delay!BF80="","",Fee*$A80+Vq*Delay!BF80)</f>
        <v>11.25</v>
      </c>
      <c r="BG80" s="19" t="n">
        <f aca="false">IF(Delay!BG80="","",Fee*$A80+Vq*Delay!BG80)</f>
        <v>11.25</v>
      </c>
      <c r="BH80" s="19" t="n">
        <f aca="false">IF(Delay!BH80="","",Fee*$A80+Vq*Delay!BH80)</f>
        <v>11.25</v>
      </c>
      <c r="BI80" s="19" t="n">
        <f aca="false">IF(Delay!BI80="","",Fee*$A80+Vq*Delay!BI80)</f>
        <v>11.25</v>
      </c>
      <c r="BJ80" s="19" t="n">
        <f aca="false">IF(Delay!BJ80="","",Fee*$A80+Vq*Delay!BJ80)</f>
        <v>11.25</v>
      </c>
      <c r="BK80" s="19" t="n">
        <f aca="false">IF(Delay!BK80="","",Fee*$A80+Vq*Delay!BK80)</f>
        <v>11.25</v>
      </c>
      <c r="BL80" s="19" t="n">
        <f aca="false">IF(Delay!BL80="","",Fee*$A80+Vq*Delay!BL80)</f>
        <v>11.25</v>
      </c>
      <c r="BM80" s="19" t="n">
        <f aca="false">IF(Delay!BM80="","",Fee*$A80+Vq*Delay!BM80)</f>
        <v>11.25</v>
      </c>
      <c r="BN80" s="19" t="n">
        <f aca="false">IF(Delay!BN80="","",Fee*$A80+Vq*Delay!BN80)</f>
        <v>11.25</v>
      </c>
      <c r="BO80" s="19" t="n">
        <f aca="false">IF(Delay!BO80="","",Fee*$A80+Vq*Delay!BO80)</f>
        <v>11.25</v>
      </c>
      <c r="BP80" s="19" t="n">
        <f aca="false">IF(Delay!BP80="","",Fee*$A80+Vq*Delay!BP80)</f>
        <v>11.25</v>
      </c>
      <c r="BQ80" s="19" t="n">
        <f aca="false">IF(Delay!BQ80="","",Fee*$A80+Vq*Delay!BQ80)</f>
        <v>11.25</v>
      </c>
      <c r="BR80" s="19" t="n">
        <f aca="false">IF(Delay!BR80="","",Fee*$A80+Vq*Delay!BR80)</f>
        <v>11.25</v>
      </c>
      <c r="BS80" s="19" t="n">
        <f aca="false">IF(Delay!BS80="","",Fee*$A80+Vq*Delay!BS80)</f>
        <v>11.25</v>
      </c>
      <c r="BT80" s="19" t="n">
        <f aca="false">IF(Delay!BT80="","",Fee*$A80+Vq*Delay!BT80)</f>
        <v>11.25</v>
      </c>
      <c r="BU80" s="19" t="n">
        <f aca="false">IF(Delay!BU80="","",Fee*$A80+Vq*Delay!BU80)</f>
        <v>11.25</v>
      </c>
      <c r="BV80" s="19" t="n">
        <f aca="false">IF(Delay!BV80="","",Fee*$A80+Vq*Delay!BV80)</f>
        <v>11.25</v>
      </c>
      <c r="BW80" s="19" t="n">
        <f aca="false">IF(Delay!BW80="","",Fee*$A80+Vq*Delay!BW80)</f>
        <v>11.25</v>
      </c>
      <c r="BX80" s="19" t="n">
        <f aca="false">IF(Delay!BX80="","",Fee*$A80+Vq*Delay!BX80)</f>
        <v>11.25</v>
      </c>
      <c r="BY80" s="19" t="n">
        <f aca="false">IF(Delay!BY80="","",Fee*$A80+Vq*Delay!BY80)</f>
        <v>11.25</v>
      </c>
      <c r="BZ80" s="19" t="n">
        <f aca="false">IF(Delay!BZ80="","",Fee*$A80+Vq*Delay!BZ80)</f>
        <v>11.25</v>
      </c>
      <c r="CA80" s="19" t="n">
        <f aca="false">IF(Delay!CA80="","",Fee*$A80+Vq*Delay!CA80)</f>
        <v>11.25</v>
      </c>
      <c r="CB80" s="19" t="n">
        <f aca="false">IF(Delay!CB80="","",Fee*$A80+Vq*Delay!CB80)</f>
        <v>11.25</v>
      </c>
      <c r="CC80" s="19" t="n">
        <f aca="false">IF(Delay!CC80="","",Fee*$A80+Vq*Delay!CC80)</f>
        <v>11.25</v>
      </c>
      <c r="CD80" s="19" t="n">
        <f aca="false">IF(Delay!CD80="","",Fee*$A80+Vq*Delay!CD80)</f>
        <v>11.25</v>
      </c>
      <c r="CE80" s="19" t="n">
        <f aca="false">IF(Delay!CE80="","",Fee*$A80+Vq*Delay!CE80)</f>
        <v>11.25</v>
      </c>
      <c r="CF80" s="19" t="n">
        <f aca="false">IF(Delay!CF80="","",Fee*$A80+Vq*Delay!CF80)</f>
        <v>11.25</v>
      </c>
      <c r="CG80" s="19" t="n">
        <f aca="false">IF(Delay!CG80="","",Fee*$A80+Vq*Delay!CG80)</f>
        <v>11.25</v>
      </c>
      <c r="CH80" s="19" t="n">
        <f aca="false">IF(Delay!CH80="","",Fee*$A80+Vq*Delay!CH80)</f>
        <v>11.25</v>
      </c>
      <c r="CI80" s="19" t="n">
        <f aca="false">IF(Delay!CI80="","",Fee*$A80+Vq*Delay!CI80)</f>
        <v>11.25</v>
      </c>
      <c r="CJ80" s="19" t="n">
        <f aca="false">IF(Delay!CJ80="","",Fee*$A80+Vq*Delay!CJ80)</f>
        <v>11.25</v>
      </c>
      <c r="CK80" s="19" t="n">
        <f aca="false">IF(Delay!CK80="","",Fee*$A80+Vq*Delay!CK80)</f>
        <v>11.25</v>
      </c>
      <c r="CL80" s="19" t="n">
        <f aca="false">IF(Delay!CL80="","",Fee*$A80+Vq*Delay!CL80)</f>
        <v>11.25</v>
      </c>
      <c r="CM80" s="19" t="n">
        <f aca="false">IF(Delay!CM80="","",Fee*$A80+Vq*Delay!CM80)</f>
        <v>11.25</v>
      </c>
      <c r="CN80" s="19" t="n">
        <f aca="false">IF(Delay!CN80="","",Fee*$A80+Vq*Delay!CN80)</f>
        <v>11.25</v>
      </c>
      <c r="CO80" s="19" t="n">
        <f aca="false">IF(Delay!CO80="","",Fee*$A80+Vq*Delay!CO80)</f>
        <v>11.25</v>
      </c>
      <c r="CP80" s="19" t="n">
        <f aca="false">IF(Delay!CP80="","",Fee*$A80+Vq*Delay!CP80)</f>
        <v>11.25</v>
      </c>
      <c r="CQ80" s="19" t="n">
        <f aca="false">IF(Delay!CQ80="","",Fee*$A80+Vq*Delay!CQ80)</f>
        <v>11.25</v>
      </c>
      <c r="CR80" s="19" t="n">
        <f aca="false">IF(Delay!CR80="","",Fee*$A80+Vq*Delay!CR80)</f>
        <v>11.25</v>
      </c>
      <c r="CS80" s="19" t="n">
        <f aca="false">IF(Delay!CS80="","",Fee*$A80+Vq*Delay!CS80)</f>
        <v>11.25</v>
      </c>
      <c r="CT80" s="19" t="n">
        <f aca="false">IF(Delay!CT80="","",Fee*$A80+Vq*Delay!CT80)</f>
        <v>19.7954815065769</v>
      </c>
    </row>
    <row r="81" customFormat="false" ht="15" hidden="false" customHeight="false" outlineLevel="0" collapsed="false">
      <c r="A81" s="25" t="n">
        <f aca="false">Quantiles!A81</f>
        <v>380</v>
      </c>
      <c r="B81" s="19" t="n">
        <f aca="false">IF(Delay!B81="","",Fee*$A81+Vq*Delay!B81)</f>
        <v>27.7447844090816</v>
      </c>
      <c r="C81" s="19" t="n">
        <f aca="false">IF(Delay!C81="","",Fee*$A81+Vq*Delay!C81)</f>
        <v>26.2511108927652</v>
      </c>
      <c r="D81" s="19" t="n">
        <f aca="false">IF(Delay!D81="","",Fee*$A81+Vq*Delay!D81)</f>
        <v>24.9393328179335</v>
      </c>
      <c r="E81" s="19" t="n">
        <f aca="false">IF(Delay!E81="","",Fee*$A81+Vq*Delay!E81)</f>
        <v>23.8437186022917</v>
      </c>
      <c r="F81" s="19" t="n">
        <f aca="false">IF(Delay!F81="","",Fee*$A81+Vq*Delay!F81)</f>
        <v>22.8873438882303</v>
      </c>
      <c r="G81" s="19" t="n">
        <f aca="false">IF(Delay!G81="","",Fee*$A81+Vq*Delay!G81)</f>
        <v>22.033826127187</v>
      </c>
      <c r="H81" s="19" t="n">
        <f aca="false">IF(Delay!H81="","",Fee*$A81+Vq*Delay!H81)</f>
        <v>21.2875007440562</v>
      </c>
      <c r="I81" s="19" t="n">
        <f aca="false">IF(Delay!I81="","",Fee*$A81+Vq*Delay!I81)</f>
        <v>20.561597361921</v>
      </c>
      <c r="J81" s="19" t="n">
        <f aca="false">IF(Delay!J81="","",Fee*$A81+Vq*Delay!J81)</f>
        <v>19.9503367044211</v>
      </c>
      <c r="K81" s="19" t="n">
        <f aca="false">IF(Delay!K81="","",Fee*$A81+Vq*Delay!K81)</f>
        <v>19.3186158145833</v>
      </c>
      <c r="L81" s="19" t="n">
        <f aca="false">IF(Delay!L81="","",Fee*$A81+Vq*Delay!L81)</f>
        <v>18.701953417664</v>
      </c>
      <c r="M81" s="19" t="n">
        <f aca="false">IF(Delay!M81="","",Fee*$A81+Vq*Delay!M81)</f>
        <v>18.189052942884</v>
      </c>
      <c r="N81" s="19" t="n">
        <f aca="false">IF(Delay!N81="","",Fee*$A81+Vq*Delay!N81)</f>
        <v>17.6899329664311</v>
      </c>
      <c r="O81" s="19" t="n">
        <f aca="false">IF(Delay!O81="","",Fee*$A81+Vq*Delay!O81)</f>
        <v>17.1678844949963</v>
      </c>
      <c r="P81" s="19" t="n">
        <f aca="false">IF(Delay!P81="","",Fee*$A81+Vq*Delay!P81)</f>
        <v>16.6984849664579</v>
      </c>
      <c r="Q81" s="19" t="n">
        <f aca="false">IF(Delay!Q81="","",Fee*$A81+Vq*Delay!Q81)</f>
        <v>16.2447173093984</v>
      </c>
      <c r="R81" s="19" t="n">
        <f aca="false">IF(Delay!R81="","",Fee*$A81+Vq*Delay!R81)</f>
        <v>15.8369632668838</v>
      </c>
      <c r="S81" s="19" t="n">
        <f aca="false">IF(Delay!S81="","",Fee*$A81+Vq*Delay!S81)</f>
        <v>15.4357775289256</v>
      </c>
      <c r="T81" s="19" t="n">
        <f aca="false">IF(Delay!T81="","",Fee*$A81+Vq*Delay!T81)</f>
        <v>15.0721840205143</v>
      </c>
      <c r="U81" s="19" t="n">
        <f aca="false">IF(Delay!U81="","",Fee*$A81+Vq*Delay!U81)</f>
        <v>14.7119889199037</v>
      </c>
      <c r="V81" s="19" t="n">
        <f aca="false">IF(Delay!V81="","",Fee*$A81+Vq*Delay!V81)</f>
        <v>14.3655515307538</v>
      </c>
      <c r="W81" s="19" t="n">
        <f aca="false">IF(Delay!W81="","",Fee*$A81+Vq*Delay!W81)</f>
        <v>14.0017097862181</v>
      </c>
      <c r="X81" s="19" t="n">
        <f aca="false">IF(Delay!X81="","",Fee*$A81+Vq*Delay!X81)</f>
        <v>13.6492047637423</v>
      </c>
      <c r="Y81" s="19" t="n">
        <f aca="false">IF(Delay!Y81="","",Fee*$A81+Vq*Delay!Y81)</f>
        <v>13.3485385302769</v>
      </c>
      <c r="Z81" s="19" t="n">
        <f aca="false">IF(Delay!Z81="","",Fee*$A81+Vq*Delay!Z81)</f>
        <v>13.0358447662479</v>
      </c>
      <c r="AA81" s="19" t="n">
        <f aca="false">IF(Delay!AA81="","",Fee*$A81+Vq*Delay!AA81)</f>
        <v>12.7405929374171</v>
      </c>
      <c r="AB81" s="19" t="n">
        <f aca="false">IF(Delay!AB81="","",Fee*$A81+Vq*Delay!AB81)</f>
        <v>12.4143283226775</v>
      </c>
      <c r="AC81" s="19" t="n">
        <f aca="false">IF(Delay!AC81="","",Fee*$A81+Vq*Delay!AC81)</f>
        <v>12.1270943260271</v>
      </c>
      <c r="AD81" s="19" t="n">
        <f aca="false">IF(Delay!AD81="","",Fee*$A81+Vq*Delay!AD81)</f>
        <v>11.8277017816274</v>
      </c>
      <c r="AE81" s="19" t="n">
        <f aca="false">IF(Delay!AE81="","",Fee*$A81+Vq*Delay!AE81)</f>
        <v>11.5619342379634</v>
      </c>
      <c r="AF81" s="19" t="n">
        <f aca="false">IF(Delay!AF81="","",Fee*$A81+Vq*Delay!AF81)</f>
        <v>11.4</v>
      </c>
      <c r="AG81" s="19" t="n">
        <f aca="false">IF(Delay!AG81="","",Fee*$A81+Vq*Delay!AG81)</f>
        <v>11.4</v>
      </c>
      <c r="AH81" s="19" t="n">
        <f aca="false">IF(Delay!AH81="","",Fee*$A81+Vq*Delay!AH81)</f>
        <v>11.4</v>
      </c>
      <c r="AI81" s="19" t="n">
        <f aca="false">IF(Delay!AI81="","",Fee*$A81+Vq*Delay!AI81)</f>
        <v>11.4</v>
      </c>
      <c r="AJ81" s="19" t="n">
        <f aca="false">IF(Delay!AJ81="","",Fee*$A81+Vq*Delay!AJ81)</f>
        <v>11.4</v>
      </c>
      <c r="AK81" s="19" t="n">
        <f aca="false">IF(Delay!AK81="","",Fee*$A81+Vq*Delay!AK81)</f>
        <v>11.4</v>
      </c>
      <c r="AL81" s="19" t="n">
        <f aca="false">IF(Delay!AL81="","",Fee*$A81+Vq*Delay!AL81)</f>
        <v>11.4</v>
      </c>
      <c r="AM81" s="19" t="n">
        <f aca="false">IF(Delay!AM81="","",Fee*$A81+Vq*Delay!AM81)</f>
        <v>11.4</v>
      </c>
      <c r="AN81" s="19" t="n">
        <f aca="false">IF(Delay!AN81="","",Fee*$A81+Vq*Delay!AN81)</f>
        <v>11.4</v>
      </c>
      <c r="AO81" s="19" t="n">
        <f aca="false">IF(Delay!AO81="","",Fee*$A81+Vq*Delay!AO81)</f>
        <v>11.4</v>
      </c>
      <c r="AP81" s="19" t="n">
        <f aca="false">IF(Delay!AP81="","",Fee*$A81+Vq*Delay!AP81)</f>
        <v>11.4</v>
      </c>
      <c r="AQ81" s="19" t="n">
        <f aca="false">IF(Delay!AQ81="","",Fee*$A81+Vq*Delay!AQ81)</f>
        <v>11.4</v>
      </c>
      <c r="AR81" s="19" t="n">
        <f aca="false">IF(Delay!AR81="","",Fee*$A81+Vq*Delay!AR81)</f>
        <v>11.4</v>
      </c>
      <c r="AS81" s="19" t="n">
        <f aca="false">IF(Delay!AS81="","",Fee*$A81+Vq*Delay!AS81)</f>
        <v>11.4</v>
      </c>
      <c r="AT81" s="19" t="n">
        <f aca="false">IF(Delay!AT81="","",Fee*$A81+Vq*Delay!AT81)</f>
        <v>11.4</v>
      </c>
      <c r="AU81" s="19" t="n">
        <f aca="false">IF(Delay!AU81="","",Fee*$A81+Vq*Delay!AU81)</f>
        <v>11.4</v>
      </c>
      <c r="AV81" s="19" t="n">
        <f aca="false">IF(Delay!AV81="","",Fee*$A81+Vq*Delay!AV81)</f>
        <v>11.4</v>
      </c>
      <c r="AW81" s="19" t="n">
        <f aca="false">IF(Delay!AW81="","",Fee*$A81+Vq*Delay!AW81)</f>
        <v>11.4</v>
      </c>
      <c r="AX81" s="19" t="n">
        <f aca="false">IF(Delay!AX81="","",Fee*$A81+Vq*Delay!AX81)</f>
        <v>11.4</v>
      </c>
      <c r="AY81" s="19" t="n">
        <f aca="false">IF(Delay!AY81="","",Fee*$A81+Vq*Delay!AY81)</f>
        <v>11.4</v>
      </c>
      <c r="AZ81" s="19" t="n">
        <f aca="false">IF(Delay!AZ81="","",Fee*$A81+Vq*Delay!AZ81)</f>
        <v>11.4</v>
      </c>
      <c r="BA81" s="19" t="n">
        <f aca="false">IF(Delay!BA81="","",Fee*$A81+Vq*Delay!BA81)</f>
        <v>11.4</v>
      </c>
      <c r="BB81" s="19" t="n">
        <f aca="false">IF(Delay!BB81="","",Fee*$A81+Vq*Delay!BB81)</f>
        <v>11.4</v>
      </c>
      <c r="BC81" s="19" t="n">
        <f aca="false">IF(Delay!BC81="","",Fee*$A81+Vq*Delay!BC81)</f>
        <v>11.4</v>
      </c>
      <c r="BD81" s="19" t="n">
        <f aca="false">IF(Delay!BD81="","",Fee*$A81+Vq*Delay!BD81)</f>
        <v>11.4</v>
      </c>
      <c r="BE81" s="19" t="n">
        <f aca="false">IF(Delay!BE81="","",Fee*$A81+Vq*Delay!BE81)</f>
        <v>11.4</v>
      </c>
      <c r="BF81" s="19" t="n">
        <f aca="false">IF(Delay!BF81="","",Fee*$A81+Vq*Delay!BF81)</f>
        <v>11.4</v>
      </c>
      <c r="BG81" s="19" t="n">
        <f aca="false">IF(Delay!BG81="","",Fee*$A81+Vq*Delay!BG81)</f>
        <v>11.4</v>
      </c>
      <c r="BH81" s="19" t="n">
        <f aca="false">IF(Delay!BH81="","",Fee*$A81+Vq*Delay!BH81)</f>
        <v>11.4</v>
      </c>
      <c r="BI81" s="19" t="n">
        <f aca="false">IF(Delay!BI81="","",Fee*$A81+Vq*Delay!BI81)</f>
        <v>11.4</v>
      </c>
      <c r="BJ81" s="19" t="n">
        <f aca="false">IF(Delay!BJ81="","",Fee*$A81+Vq*Delay!BJ81)</f>
        <v>11.4</v>
      </c>
      <c r="BK81" s="19" t="n">
        <f aca="false">IF(Delay!BK81="","",Fee*$A81+Vq*Delay!BK81)</f>
        <v>11.4</v>
      </c>
      <c r="BL81" s="19" t="n">
        <f aca="false">IF(Delay!BL81="","",Fee*$A81+Vq*Delay!BL81)</f>
        <v>11.4</v>
      </c>
      <c r="BM81" s="19" t="n">
        <f aca="false">IF(Delay!BM81="","",Fee*$A81+Vq*Delay!BM81)</f>
        <v>11.4</v>
      </c>
      <c r="BN81" s="19" t="n">
        <f aca="false">IF(Delay!BN81="","",Fee*$A81+Vq*Delay!BN81)</f>
        <v>11.4</v>
      </c>
      <c r="BO81" s="19" t="n">
        <f aca="false">IF(Delay!BO81="","",Fee*$A81+Vq*Delay!BO81)</f>
        <v>11.4</v>
      </c>
      <c r="BP81" s="19" t="n">
        <f aca="false">IF(Delay!BP81="","",Fee*$A81+Vq*Delay!BP81)</f>
        <v>11.4</v>
      </c>
      <c r="BQ81" s="19" t="n">
        <f aca="false">IF(Delay!BQ81="","",Fee*$A81+Vq*Delay!BQ81)</f>
        <v>11.4</v>
      </c>
      <c r="BR81" s="19" t="n">
        <f aca="false">IF(Delay!BR81="","",Fee*$A81+Vq*Delay!BR81)</f>
        <v>11.4</v>
      </c>
      <c r="BS81" s="19" t="n">
        <f aca="false">IF(Delay!BS81="","",Fee*$A81+Vq*Delay!BS81)</f>
        <v>11.4</v>
      </c>
      <c r="BT81" s="19" t="n">
        <f aca="false">IF(Delay!BT81="","",Fee*$A81+Vq*Delay!BT81)</f>
        <v>11.4</v>
      </c>
      <c r="BU81" s="19" t="n">
        <f aca="false">IF(Delay!BU81="","",Fee*$A81+Vq*Delay!BU81)</f>
        <v>11.4</v>
      </c>
      <c r="BV81" s="19" t="n">
        <f aca="false">IF(Delay!BV81="","",Fee*$A81+Vq*Delay!BV81)</f>
        <v>11.4</v>
      </c>
      <c r="BW81" s="19" t="n">
        <f aca="false">IF(Delay!BW81="","",Fee*$A81+Vq*Delay!BW81)</f>
        <v>11.4</v>
      </c>
      <c r="BX81" s="19" t="n">
        <f aca="false">IF(Delay!BX81="","",Fee*$A81+Vq*Delay!BX81)</f>
        <v>11.4</v>
      </c>
      <c r="BY81" s="19" t="n">
        <f aca="false">IF(Delay!BY81="","",Fee*$A81+Vq*Delay!BY81)</f>
        <v>11.4</v>
      </c>
      <c r="BZ81" s="19" t="n">
        <f aca="false">IF(Delay!BZ81="","",Fee*$A81+Vq*Delay!BZ81)</f>
        <v>11.4</v>
      </c>
      <c r="CA81" s="19" t="n">
        <f aca="false">IF(Delay!CA81="","",Fee*$A81+Vq*Delay!CA81)</f>
        <v>11.4</v>
      </c>
      <c r="CB81" s="19" t="n">
        <f aca="false">IF(Delay!CB81="","",Fee*$A81+Vq*Delay!CB81)</f>
        <v>11.4</v>
      </c>
      <c r="CC81" s="19" t="n">
        <f aca="false">IF(Delay!CC81="","",Fee*$A81+Vq*Delay!CC81)</f>
        <v>11.4</v>
      </c>
      <c r="CD81" s="19" t="n">
        <f aca="false">IF(Delay!CD81="","",Fee*$A81+Vq*Delay!CD81)</f>
        <v>11.4</v>
      </c>
      <c r="CE81" s="19" t="n">
        <f aca="false">IF(Delay!CE81="","",Fee*$A81+Vq*Delay!CE81)</f>
        <v>11.4</v>
      </c>
      <c r="CF81" s="19" t="n">
        <f aca="false">IF(Delay!CF81="","",Fee*$A81+Vq*Delay!CF81)</f>
        <v>11.4</v>
      </c>
      <c r="CG81" s="19" t="n">
        <f aca="false">IF(Delay!CG81="","",Fee*$A81+Vq*Delay!CG81)</f>
        <v>11.4</v>
      </c>
      <c r="CH81" s="19" t="n">
        <f aca="false">IF(Delay!CH81="","",Fee*$A81+Vq*Delay!CH81)</f>
        <v>11.4</v>
      </c>
      <c r="CI81" s="19" t="n">
        <f aca="false">IF(Delay!CI81="","",Fee*$A81+Vq*Delay!CI81)</f>
        <v>11.4</v>
      </c>
      <c r="CJ81" s="19" t="n">
        <f aca="false">IF(Delay!CJ81="","",Fee*$A81+Vq*Delay!CJ81)</f>
        <v>11.4</v>
      </c>
      <c r="CK81" s="19" t="n">
        <f aca="false">IF(Delay!CK81="","",Fee*$A81+Vq*Delay!CK81)</f>
        <v>11.4</v>
      </c>
      <c r="CL81" s="19" t="n">
        <f aca="false">IF(Delay!CL81="","",Fee*$A81+Vq*Delay!CL81)</f>
        <v>11.4</v>
      </c>
      <c r="CM81" s="19" t="n">
        <f aca="false">IF(Delay!CM81="","",Fee*$A81+Vq*Delay!CM81)</f>
        <v>11.4</v>
      </c>
      <c r="CN81" s="19" t="n">
        <f aca="false">IF(Delay!CN81="","",Fee*$A81+Vq*Delay!CN81)</f>
        <v>11.4</v>
      </c>
      <c r="CO81" s="19" t="n">
        <f aca="false">IF(Delay!CO81="","",Fee*$A81+Vq*Delay!CO81)</f>
        <v>11.4</v>
      </c>
      <c r="CP81" s="19" t="n">
        <f aca="false">IF(Delay!CP81="","",Fee*$A81+Vq*Delay!CP81)</f>
        <v>11.4</v>
      </c>
      <c r="CQ81" s="19" t="n">
        <f aca="false">IF(Delay!CQ81="","",Fee*$A81+Vq*Delay!CQ81)</f>
        <v>11.4</v>
      </c>
      <c r="CR81" s="19" t="n">
        <f aca="false">IF(Delay!CR81="","",Fee*$A81+Vq*Delay!CR81)</f>
        <v>11.4</v>
      </c>
      <c r="CS81" s="19" t="n">
        <f aca="false">IF(Delay!CS81="","",Fee*$A81+Vq*Delay!CS81)</f>
        <v>11.4</v>
      </c>
      <c r="CT81" s="19" t="n">
        <f aca="false">IF(Delay!CT81="","",Fee*$A81+Vq*Delay!CT81)</f>
        <v>19.9454815065769</v>
      </c>
    </row>
    <row r="82" customFormat="false" ht="15" hidden="false" customHeight="false" outlineLevel="0" collapsed="false">
      <c r="A82" s="25" t="n">
        <f aca="false">Quantiles!A82</f>
        <v>385</v>
      </c>
      <c r="B82" s="19" t="n">
        <f aca="false">IF(Delay!B82="","",Fee*$A82+Vq*Delay!B82)</f>
        <v>27.8947844090816</v>
      </c>
      <c r="C82" s="19" t="n">
        <f aca="false">IF(Delay!C82="","",Fee*$A82+Vq*Delay!C82)</f>
        <v>26.4011108927652</v>
      </c>
      <c r="D82" s="19" t="n">
        <f aca="false">IF(Delay!D82="","",Fee*$A82+Vq*Delay!D82)</f>
        <v>25.0893328179335</v>
      </c>
      <c r="E82" s="19" t="n">
        <f aca="false">IF(Delay!E82="","",Fee*$A82+Vq*Delay!E82)</f>
        <v>23.9937186022917</v>
      </c>
      <c r="F82" s="19" t="n">
        <f aca="false">IF(Delay!F82="","",Fee*$A82+Vq*Delay!F82)</f>
        <v>23.0373438882303</v>
      </c>
      <c r="G82" s="19" t="n">
        <f aca="false">IF(Delay!G82="","",Fee*$A82+Vq*Delay!G82)</f>
        <v>22.1813434214257</v>
      </c>
      <c r="H82" s="19" t="n">
        <f aca="false">IF(Delay!H82="","",Fee*$A82+Vq*Delay!H82)</f>
        <v>21.4359808214555</v>
      </c>
      <c r="I82" s="19" t="n">
        <f aca="false">IF(Delay!I82="","",Fee*$A82+Vq*Delay!I82)</f>
        <v>20.7109699955192</v>
      </c>
      <c r="J82" s="19" t="n">
        <f aca="false">IF(Delay!J82="","",Fee*$A82+Vq*Delay!J82)</f>
        <v>20.1003367044211</v>
      </c>
      <c r="K82" s="19" t="n">
        <f aca="false">IF(Delay!K82="","",Fee*$A82+Vq*Delay!K82)</f>
        <v>19.4686158145833</v>
      </c>
      <c r="L82" s="19" t="n">
        <f aca="false">IF(Delay!L82="","",Fee*$A82+Vq*Delay!L82)</f>
        <v>18.851953417664</v>
      </c>
      <c r="M82" s="19" t="n">
        <f aca="false">IF(Delay!M82="","",Fee*$A82+Vq*Delay!M82)</f>
        <v>18.339052942884</v>
      </c>
      <c r="N82" s="19" t="n">
        <f aca="false">IF(Delay!N82="","",Fee*$A82+Vq*Delay!N82)</f>
        <v>17.8399329664311</v>
      </c>
      <c r="O82" s="19" t="n">
        <f aca="false">IF(Delay!O82="","",Fee*$A82+Vq*Delay!O82)</f>
        <v>17.3178844949963</v>
      </c>
      <c r="P82" s="19" t="n">
        <f aca="false">IF(Delay!P82="","",Fee*$A82+Vq*Delay!P82)</f>
        <v>16.8484849664579</v>
      </c>
      <c r="Q82" s="19" t="n">
        <f aca="false">IF(Delay!Q82="","",Fee*$A82+Vq*Delay!Q82)</f>
        <v>16.3947173093984</v>
      </c>
      <c r="R82" s="19" t="n">
        <f aca="false">IF(Delay!R82="","",Fee*$A82+Vq*Delay!R82)</f>
        <v>15.9869632668838</v>
      </c>
      <c r="S82" s="19" t="n">
        <f aca="false">IF(Delay!S82="","",Fee*$A82+Vq*Delay!S82)</f>
        <v>15.5857775289256</v>
      </c>
      <c r="T82" s="19" t="n">
        <f aca="false">IF(Delay!T82="","",Fee*$A82+Vq*Delay!T82)</f>
        <v>15.2221840205143</v>
      </c>
      <c r="U82" s="19" t="n">
        <f aca="false">IF(Delay!U82="","",Fee*$A82+Vq*Delay!U82)</f>
        <v>14.8619889199037</v>
      </c>
      <c r="V82" s="19" t="n">
        <f aca="false">IF(Delay!V82="","",Fee*$A82+Vq*Delay!V82)</f>
        <v>14.5155515307538</v>
      </c>
      <c r="W82" s="19" t="n">
        <f aca="false">IF(Delay!W82="","",Fee*$A82+Vq*Delay!W82)</f>
        <v>14.1517097862181</v>
      </c>
      <c r="X82" s="19" t="n">
        <f aca="false">IF(Delay!X82="","",Fee*$A82+Vq*Delay!X82)</f>
        <v>13.7992047637423</v>
      </c>
      <c r="Y82" s="19" t="n">
        <f aca="false">IF(Delay!Y82="","",Fee*$A82+Vq*Delay!Y82)</f>
        <v>13.4985385302769</v>
      </c>
      <c r="Z82" s="19" t="n">
        <f aca="false">IF(Delay!Z82="","",Fee*$A82+Vq*Delay!Z82)</f>
        <v>13.1858447662479</v>
      </c>
      <c r="AA82" s="19" t="n">
        <f aca="false">IF(Delay!AA82="","",Fee*$A82+Vq*Delay!AA82)</f>
        <v>12.8905929374171</v>
      </c>
      <c r="AB82" s="19" t="n">
        <f aca="false">IF(Delay!AB82="","",Fee*$A82+Vq*Delay!AB82)</f>
        <v>12.5643283226775</v>
      </c>
      <c r="AC82" s="19" t="n">
        <f aca="false">IF(Delay!AC82="","",Fee*$A82+Vq*Delay!AC82)</f>
        <v>12.2770943260271</v>
      </c>
      <c r="AD82" s="19" t="n">
        <f aca="false">IF(Delay!AD82="","",Fee*$A82+Vq*Delay!AD82)</f>
        <v>11.9777017816274</v>
      </c>
      <c r="AE82" s="19" t="n">
        <f aca="false">IF(Delay!AE82="","",Fee*$A82+Vq*Delay!AE82)</f>
        <v>11.7119342379634</v>
      </c>
      <c r="AF82" s="19" t="n">
        <f aca="false">IF(Delay!AF82="","",Fee*$A82+Vq*Delay!AF82)</f>
        <v>11.55</v>
      </c>
      <c r="AG82" s="19" t="n">
        <f aca="false">IF(Delay!AG82="","",Fee*$A82+Vq*Delay!AG82)</f>
        <v>11.55</v>
      </c>
      <c r="AH82" s="19" t="n">
        <f aca="false">IF(Delay!AH82="","",Fee*$A82+Vq*Delay!AH82)</f>
        <v>11.55</v>
      </c>
      <c r="AI82" s="19" t="n">
        <f aca="false">IF(Delay!AI82="","",Fee*$A82+Vq*Delay!AI82)</f>
        <v>11.55</v>
      </c>
      <c r="AJ82" s="19" t="n">
        <f aca="false">IF(Delay!AJ82="","",Fee*$A82+Vq*Delay!AJ82)</f>
        <v>11.55</v>
      </c>
      <c r="AK82" s="19" t="n">
        <f aca="false">IF(Delay!AK82="","",Fee*$A82+Vq*Delay!AK82)</f>
        <v>11.55</v>
      </c>
      <c r="AL82" s="19" t="n">
        <f aca="false">IF(Delay!AL82="","",Fee*$A82+Vq*Delay!AL82)</f>
        <v>11.55</v>
      </c>
      <c r="AM82" s="19" t="n">
        <f aca="false">IF(Delay!AM82="","",Fee*$A82+Vq*Delay!AM82)</f>
        <v>11.55</v>
      </c>
      <c r="AN82" s="19" t="n">
        <f aca="false">IF(Delay!AN82="","",Fee*$A82+Vq*Delay!AN82)</f>
        <v>11.55</v>
      </c>
      <c r="AO82" s="19" t="n">
        <f aca="false">IF(Delay!AO82="","",Fee*$A82+Vq*Delay!AO82)</f>
        <v>11.55</v>
      </c>
      <c r="AP82" s="19" t="n">
        <f aca="false">IF(Delay!AP82="","",Fee*$A82+Vq*Delay!AP82)</f>
        <v>11.55</v>
      </c>
      <c r="AQ82" s="19" t="n">
        <f aca="false">IF(Delay!AQ82="","",Fee*$A82+Vq*Delay!AQ82)</f>
        <v>11.55</v>
      </c>
      <c r="AR82" s="19" t="n">
        <f aca="false">IF(Delay!AR82="","",Fee*$A82+Vq*Delay!AR82)</f>
        <v>11.55</v>
      </c>
      <c r="AS82" s="19" t="n">
        <f aca="false">IF(Delay!AS82="","",Fee*$A82+Vq*Delay!AS82)</f>
        <v>11.55</v>
      </c>
      <c r="AT82" s="19" t="n">
        <f aca="false">IF(Delay!AT82="","",Fee*$A82+Vq*Delay!AT82)</f>
        <v>11.55</v>
      </c>
      <c r="AU82" s="19" t="n">
        <f aca="false">IF(Delay!AU82="","",Fee*$A82+Vq*Delay!AU82)</f>
        <v>11.55</v>
      </c>
      <c r="AV82" s="19" t="n">
        <f aca="false">IF(Delay!AV82="","",Fee*$A82+Vq*Delay!AV82)</f>
        <v>11.55</v>
      </c>
      <c r="AW82" s="19" t="n">
        <f aca="false">IF(Delay!AW82="","",Fee*$A82+Vq*Delay!AW82)</f>
        <v>11.55</v>
      </c>
      <c r="AX82" s="19" t="n">
        <f aca="false">IF(Delay!AX82="","",Fee*$A82+Vq*Delay!AX82)</f>
        <v>11.55</v>
      </c>
      <c r="AY82" s="19" t="n">
        <f aca="false">IF(Delay!AY82="","",Fee*$A82+Vq*Delay!AY82)</f>
        <v>11.55</v>
      </c>
      <c r="AZ82" s="19" t="n">
        <f aca="false">IF(Delay!AZ82="","",Fee*$A82+Vq*Delay!AZ82)</f>
        <v>11.55</v>
      </c>
      <c r="BA82" s="19" t="n">
        <f aca="false">IF(Delay!BA82="","",Fee*$A82+Vq*Delay!BA82)</f>
        <v>11.55</v>
      </c>
      <c r="BB82" s="19" t="n">
        <f aca="false">IF(Delay!BB82="","",Fee*$A82+Vq*Delay!BB82)</f>
        <v>11.55</v>
      </c>
      <c r="BC82" s="19" t="n">
        <f aca="false">IF(Delay!BC82="","",Fee*$A82+Vq*Delay!BC82)</f>
        <v>11.55</v>
      </c>
      <c r="BD82" s="19" t="n">
        <f aca="false">IF(Delay!BD82="","",Fee*$A82+Vq*Delay!BD82)</f>
        <v>11.55</v>
      </c>
      <c r="BE82" s="19" t="n">
        <f aca="false">IF(Delay!BE82="","",Fee*$A82+Vq*Delay!BE82)</f>
        <v>11.55</v>
      </c>
      <c r="BF82" s="19" t="n">
        <f aca="false">IF(Delay!BF82="","",Fee*$A82+Vq*Delay!BF82)</f>
        <v>11.55</v>
      </c>
      <c r="BG82" s="19" t="n">
        <f aca="false">IF(Delay!BG82="","",Fee*$A82+Vq*Delay!BG82)</f>
        <v>11.55</v>
      </c>
      <c r="BH82" s="19" t="n">
        <f aca="false">IF(Delay!BH82="","",Fee*$A82+Vq*Delay!BH82)</f>
        <v>11.55</v>
      </c>
      <c r="BI82" s="19" t="n">
        <f aca="false">IF(Delay!BI82="","",Fee*$A82+Vq*Delay!BI82)</f>
        <v>11.55</v>
      </c>
      <c r="BJ82" s="19" t="n">
        <f aca="false">IF(Delay!BJ82="","",Fee*$A82+Vq*Delay!BJ82)</f>
        <v>11.55</v>
      </c>
      <c r="BK82" s="19" t="n">
        <f aca="false">IF(Delay!BK82="","",Fee*$A82+Vq*Delay!BK82)</f>
        <v>11.55</v>
      </c>
      <c r="BL82" s="19" t="n">
        <f aca="false">IF(Delay!BL82="","",Fee*$A82+Vq*Delay!BL82)</f>
        <v>11.55</v>
      </c>
      <c r="BM82" s="19" t="n">
        <f aca="false">IF(Delay!BM82="","",Fee*$A82+Vq*Delay!BM82)</f>
        <v>11.55</v>
      </c>
      <c r="BN82" s="19" t="n">
        <f aca="false">IF(Delay!BN82="","",Fee*$A82+Vq*Delay!BN82)</f>
        <v>11.55</v>
      </c>
      <c r="BO82" s="19" t="n">
        <f aca="false">IF(Delay!BO82="","",Fee*$A82+Vq*Delay!BO82)</f>
        <v>11.55</v>
      </c>
      <c r="BP82" s="19" t="n">
        <f aca="false">IF(Delay!BP82="","",Fee*$A82+Vq*Delay!BP82)</f>
        <v>11.55</v>
      </c>
      <c r="BQ82" s="19" t="n">
        <f aca="false">IF(Delay!BQ82="","",Fee*$A82+Vq*Delay!BQ82)</f>
        <v>11.55</v>
      </c>
      <c r="BR82" s="19" t="n">
        <f aca="false">IF(Delay!BR82="","",Fee*$A82+Vq*Delay!BR82)</f>
        <v>11.55</v>
      </c>
      <c r="BS82" s="19" t="n">
        <f aca="false">IF(Delay!BS82="","",Fee*$A82+Vq*Delay!BS82)</f>
        <v>11.55</v>
      </c>
      <c r="BT82" s="19" t="n">
        <f aca="false">IF(Delay!BT82="","",Fee*$A82+Vq*Delay!BT82)</f>
        <v>11.55</v>
      </c>
      <c r="BU82" s="19" t="n">
        <f aca="false">IF(Delay!BU82="","",Fee*$A82+Vq*Delay!BU82)</f>
        <v>11.55</v>
      </c>
      <c r="BV82" s="19" t="n">
        <f aca="false">IF(Delay!BV82="","",Fee*$A82+Vq*Delay!BV82)</f>
        <v>11.55</v>
      </c>
      <c r="BW82" s="19" t="n">
        <f aca="false">IF(Delay!BW82="","",Fee*$A82+Vq*Delay!BW82)</f>
        <v>11.55</v>
      </c>
      <c r="BX82" s="19" t="n">
        <f aca="false">IF(Delay!BX82="","",Fee*$A82+Vq*Delay!BX82)</f>
        <v>11.55</v>
      </c>
      <c r="BY82" s="19" t="n">
        <f aca="false">IF(Delay!BY82="","",Fee*$A82+Vq*Delay!BY82)</f>
        <v>11.55</v>
      </c>
      <c r="BZ82" s="19" t="n">
        <f aca="false">IF(Delay!BZ82="","",Fee*$A82+Vq*Delay!BZ82)</f>
        <v>11.55</v>
      </c>
      <c r="CA82" s="19" t="n">
        <f aca="false">IF(Delay!CA82="","",Fee*$A82+Vq*Delay!CA82)</f>
        <v>11.55</v>
      </c>
      <c r="CB82" s="19" t="n">
        <f aca="false">IF(Delay!CB82="","",Fee*$A82+Vq*Delay!CB82)</f>
        <v>11.55</v>
      </c>
      <c r="CC82" s="19" t="n">
        <f aca="false">IF(Delay!CC82="","",Fee*$A82+Vq*Delay!CC82)</f>
        <v>11.55</v>
      </c>
      <c r="CD82" s="19" t="n">
        <f aca="false">IF(Delay!CD82="","",Fee*$A82+Vq*Delay!CD82)</f>
        <v>11.55</v>
      </c>
      <c r="CE82" s="19" t="n">
        <f aca="false">IF(Delay!CE82="","",Fee*$A82+Vq*Delay!CE82)</f>
        <v>11.55</v>
      </c>
      <c r="CF82" s="19" t="n">
        <f aca="false">IF(Delay!CF82="","",Fee*$A82+Vq*Delay!CF82)</f>
        <v>11.55</v>
      </c>
      <c r="CG82" s="19" t="n">
        <f aca="false">IF(Delay!CG82="","",Fee*$A82+Vq*Delay!CG82)</f>
        <v>11.55</v>
      </c>
      <c r="CH82" s="19" t="n">
        <f aca="false">IF(Delay!CH82="","",Fee*$A82+Vq*Delay!CH82)</f>
        <v>11.55</v>
      </c>
      <c r="CI82" s="19" t="n">
        <f aca="false">IF(Delay!CI82="","",Fee*$A82+Vq*Delay!CI82)</f>
        <v>11.55</v>
      </c>
      <c r="CJ82" s="19" t="n">
        <f aca="false">IF(Delay!CJ82="","",Fee*$A82+Vq*Delay!CJ82)</f>
        <v>11.55</v>
      </c>
      <c r="CK82" s="19" t="n">
        <f aca="false">IF(Delay!CK82="","",Fee*$A82+Vq*Delay!CK82)</f>
        <v>11.55</v>
      </c>
      <c r="CL82" s="19" t="n">
        <f aca="false">IF(Delay!CL82="","",Fee*$A82+Vq*Delay!CL82)</f>
        <v>11.55</v>
      </c>
      <c r="CM82" s="19" t="n">
        <f aca="false">IF(Delay!CM82="","",Fee*$A82+Vq*Delay!CM82)</f>
        <v>11.55</v>
      </c>
      <c r="CN82" s="19" t="n">
        <f aca="false">IF(Delay!CN82="","",Fee*$A82+Vq*Delay!CN82)</f>
        <v>11.55</v>
      </c>
      <c r="CO82" s="19" t="n">
        <f aca="false">IF(Delay!CO82="","",Fee*$A82+Vq*Delay!CO82)</f>
        <v>11.55</v>
      </c>
      <c r="CP82" s="19" t="n">
        <f aca="false">IF(Delay!CP82="","",Fee*$A82+Vq*Delay!CP82)</f>
        <v>11.55</v>
      </c>
      <c r="CQ82" s="19" t="n">
        <f aca="false">IF(Delay!CQ82="","",Fee*$A82+Vq*Delay!CQ82)</f>
        <v>11.55</v>
      </c>
      <c r="CR82" s="19" t="n">
        <f aca="false">IF(Delay!CR82="","",Fee*$A82+Vq*Delay!CR82)</f>
        <v>11.55</v>
      </c>
      <c r="CS82" s="19" t="n">
        <f aca="false">IF(Delay!CS82="","",Fee*$A82+Vq*Delay!CS82)</f>
        <v>11.55</v>
      </c>
      <c r="CT82" s="19" t="n">
        <f aca="false">IF(Delay!CT82="","",Fee*$A82+Vq*Delay!CT82)</f>
        <v>20.0954815065769</v>
      </c>
    </row>
    <row r="83" customFormat="false" ht="15" hidden="false" customHeight="false" outlineLevel="0" collapsed="false">
      <c r="A83" s="25" t="n">
        <f aca="false">Quantiles!A83</f>
        <v>390</v>
      </c>
      <c r="B83" s="19" t="n">
        <f aca="false">IF(Delay!B83="","",Fee*$A83+Vq*Delay!B83)</f>
        <v>28.0447844090816</v>
      </c>
      <c r="C83" s="19" t="n">
        <f aca="false">IF(Delay!C83="","",Fee*$A83+Vq*Delay!C83)</f>
        <v>26.5511108927652</v>
      </c>
      <c r="D83" s="19" t="n">
        <f aca="false">IF(Delay!D83="","",Fee*$A83+Vq*Delay!D83)</f>
        <v>25.2393328179335</v>
      </c>
      <c r="E83" s="19" t="n">
        <f aca="false">IF(Delay!E83="","",Fee*$A83+Vq*Delay!E83)</f>
        <v>24.1437186022917</v>
      </c>
      <c r="F83" s="19" t="n">
        <f aca="false">IF(Delay!F83="","",Fee*$A83+Vq*Delay!F83)</f>
        <v>23.1873438882303</v>
      </c>
      <c r="G83" s="19" t="n">
        <f aca="false">IF(Delay!G83="","",Fee*$A83+Vq*Delay!G83)</f>
        <v>22.3313434214257</v>
      </c>
      <c r="H83" s="19" t="n">
        <f aca="false">IF(Delay!H83="","",Fee*$A83+Vq*Delay!H83)</f>
        <v>21.5859808214555</v>
      </c>
      <c r="I83" s="19" t="n">
        <f aca="false">IF(Delay!I83="","",Fee*$A83+Vq*Delay!I83)</f>
        <v>20.8609699955192</v>
      </c>
      <c r="J83" s="19" t="n">
        <f aca="false">IF(Delay!J83="","",Fee*$A83+Vq*Delay!J83)</f>
        <v>20.2486478062515</v>
      </c>
      <c r="K83" s="19" t="n">
        <f aca="false">IF(Delay!K83="","",Fee*$A83+Vq*Delay!K83)</f>
        <v>19.6166650337095</v>
      </c>
      <c r="L83" s="19" t="n">
        <f aca="false">IF(Delay!L83="","",Fee*$A83+Vq*Delay!L83)</f>
        <v>19.001953417664</v>
      </c>
      <c r="M83" s="19" t="n">
        <f aca="false">IF(Delay!M83="","",Fee*$A83+Vq*Delay!M83)</f>
        <v>18.489052942884</v>
      </c>
      <c r="N83" s="19" t="n">
        <f aca="false">IF(Delay!N83="","",Fee*$A83+Vq*Delay!N83)</f>
        <v>17.9899329664311</v>
      </c>
      <c r="O83" s="19" t="n">
        <f aca="false">IF(Delay!O83="","",Fee*$A83+Vq*Delay!O83)</f>
        <v>17.4678844949963</v>
      </c>
      <c r="P83" s="19" t="n">
        <f aca="false">IF(Delay!P83="","",Fee*$A83+Vq*Delay!P83)</f>
        <v>16.9984849664579</v>
      </c>
      <c r="Q83" s="19" t="n">
        <f aca="false">IF(Delay!Q83="","",Fee*$A83+Vq*Delay!Q83)</f>
        <v>16.5447173093984</v>
      </c>
      <c r="R83" s="19" t="n">
        <f aca="false">IF(Delay!R83="","",Fee*$A83+Vq*Delay!R83)</f>
        <v>16.1369632668838</v>
      </c>
      <c r="S83" s="19" t="n">
        <f aca="false">IF(Delay!S83="","",Fee*$A83+Vq*Delay!S83)</f>
        <v>15.7357775289256</v>
      </c>
      <c r="T83" s="19" t="n">
        <f aca="false">IF(Delay!T83="","",Fee*$A83+Vq*Delay!T83)</f>
        <v>15.3721840205143</v>
      </c>
      <c r="U83" s="19" t="n">
        <f aca="false">IF(Delay!U83="","",Fee*$A83+Vq*Delay!U83)</f>
        <v>15.0119889199037</v>
      </c>
      <c r="V83" s="19" t="n">
        <f aca="false">IF(Delay!V83="","",Fee*$A83+Vq*Delay!V83)</f>
        <v>14.6655515307538</v>
      </c>
      <c r="W83" s="19" t="n">
        <f aca="false">IF(Delay!W83="","",Fee*$A83+Vq*Delay!W83)</f>
        <v>14.3017097862181</v>
      </c>
      <c r="X83" s="19" t="n">
        <f aca="false">IF(Delay!X83="","",Fee*$A83+Vq*Delay!X83)</f>
        <v>13.9492047637423</v>
      </c>
      <c r="Y83" s="19" t="n">
        <f aca="false">IF(Delay!Y83="","",Fee*$A83+Vq*Delay!Y83)</f>
        <v>13.6485385302769</v>
      </c>
      <c r="Z83" s="19" t="n">
        <f aca="false">IF(Delay!Z83="","",Fee*$A83+Vq*Delay!Z83)</f>
        <v>13.3358447662479</v>
      </c>
      <c r="AA83" s="19" t="n">
        <f aca="false">IF(Delay!AA83="","",Fee*$A83+Vq*Delay!AA83)</f>
        <v>13.0405929374171</v>
      </c>
      <c r="AB83" s="19" t="n">
        <f aca="false">IF(Delay!AB83="","",Fee*$A83+Vq*Delay!AB83)</f>
        <v>12.7143283226775</v>
      </c>
      <c r="AC83" s="19" t="n">
        <f aca="false">IF(Delay!AC83="","",Fee*$A83+Vq*Delay!AC83)</f>
        <v>12.4270943260271</v>
      </c>
      <c r="AD83" s="19" t="n">
        <f aca="false">IF(Delay!AD83="","",Fee*$A83+Vq*Delay!AD83)</f>
        <v>12.1277017816274</v>
      </c>
      <c r="AE83" s="19" t="n">
        <f aca="false">IF(Delay!AE83="","",Fee*$A83+Vq*Delay!AE83)</f>
        <v>11.8619342379634</v>
      </c>
      <c r="AF83" s="19" t="n">
        <f aca="false">IF(Delay!AF83="","",Fee*$A83+Vq*Delay!AF83)</f>
        <v>11.7</v>
      </c>
      <c r="AG83" s="19" t="n">
        <f aca="false">IF(Delay!AG83="","",Fee*$A83+Vq*Delay!AG83)</f>
        <v>11.7</v>
      </c>
      <c r="AH83" s="19" t="n">
        <f aca="false">IF(Delay!AH83="","",Fee*$A83+Vq*Delay!AH83)</f>
        <v>11.7</v>
      </c>
      <c r="AI83" s="19" t="n">
        <f aca="false">IF(Delay!AI83="","",Fee*$A83+Vq*Delay!AI83)</f>
        <v>11.7</v>
      </c>
      <c r="AJ83" s="19" t="n">
        <f aca="false">IF(Delay!AJ83="","",Fee*$A83+Vq*Delay!AJ83)</f>
        <v>11.7</v>
      </c>
      <c r="AK83" s="19" t="n">
        <f aca="false">IF(Delay!AK83="","",Fee*$A83+Vq*Delay!AK83)</f>
        <v>11.7</v>
      </c>
      <c r="AL83" s="19" t="n">
        <f aca="false">IF(Delay!AL83="","",Fee*$A83+Vq*Delay!AL83)</f>
        <v>11.7</v>
      </c>
      <c r="AM83" s="19" t="n">
        <f aca="false">IF(Delay!AM83="","",Fee*$A83+Vq*Delay!AM83)</f>
        <v>11.7</v>
      </c>
      <c r="AN83" s="19" t="n">
        <f aca="false">IF(Delay!AN83="","",Fee*$A83+Vq*Delay!AN83)</f>
        <v>11.7</v>
      </c>
      <c r="AO83" s="19" t="n">
        <f aca="false">IF(Delay!AO83="","",Fee*$A83+Vq*Delay!AO83)</f>
        <v>11.7</v>
      </c>
      <c r="AP83" s="19" t="n">
        <f aca="false">IF(Delay!AP83="","",Fee*$A83+Vq*Delay!AP83)</f>
        <v>11.7</v>
      </c>
      <c r="AQ83" s="19" t="n">
        <f aca="false">IF(Delay!AQ83="","",Fee*$A83+Vq*Delay!AQ83)</f>
        <v>11.7</v>
      </c>
      <c r="AR83" s="19" t="n">
        <f aca="false">IF(Delay!AR83="","",Fee*$A83+Vq*Delay!AR83)</f>
        <v>11.7</v>
      </c>
      <c r="AS83" s="19" t="n">
        <f aca="false">IF(Delay!AS83="","",Fee*$A83+Vq*Delay!AS83)</f>
        <v>11.7</v>
      </c>
      <c r="AT83" s="19" t="n">
        <f aca="false">IF(Delay!AT83="","",Fee*$A83+Vq*Delay!AT83)</f>
        <v>11.7</v>
      </c>
      <c r="AU83" s="19" t="n">
        <f aca="false">IF(Delay!AU83="","",Fee*$A83+Vq*Delay!AU83)</f>
        <v>11.7</v>
      </c>
      <c r="AV83" s="19" t="n">
        <f aca="false">IF(Delay!AV83="","",Fee*$A83+Vq*Delay!AV83)</f>
        <v>11.7</v>
      </c>
      <c r="AW83" s="19" t="n">
        <f aca="false">IF(Delay!AW83="","",Fee*$A83+Vq*Delay!AW83)</f>
        <v>11.7</v>
      </c>
      <c r="AX83" s="19" t="n">
        <f aca="false">IF(Delay!AX83="","",Fee*$A83+Vq*Delay!AX83)</f>
        <v>11.7</v>
      </c>
      <c r="AY83" s="19" t="n">
        <f aca="false">IF(Delay!AY83="","",Fee*$A83+Vq*Delay!AY83)</f>
        <v>11.7</v>
      </c>
      <c r="AZ83" s="19" t="n">
        <f aca="false">IF(Delay!AZ83="","",Fee*$A83+Vq*Delay!AZ83)</f>
        <v>11.7</v>
      </c>
      <c r="BA83" s="19" t="n">
        <f aca="false">IF(Delay!BA83="","",Fee*$A83+Vq*Delay!BA83)</f>
        <v>11.7</v>
      </c>
      <c r="BB83" s="19" t="n">
        <f aca="false">IF(Delay!BB83="","",Fee*$A83+Vq*Delay!BB83)</f>
        <v>11.7</v>
      </c>
      <c r="BC83" s="19" t="n">
        <f aca="false">IF(Delay!BC83="","",Fee*$A83+Vq*Delay!BC83)</f>
        <v>11.7</v>
      </c>
      <c r="BD83" s="19" t="n">
        <f aca="false">IF(Delay!BD83="","",Fee*$A83+Vq*Delay!BD83)</f>
        <v>11.7</v>
      </c>
      <c r="BE83" s="19" t="n">
        <f aca="false">IF(Delay!BE83="","",Fee*$A83+Vq*Delay!BE83)</f>
        <v>11.7</v>
      </c>
      <c r="BF83" s="19" t="n">
        <f aca="false">IF(Delay!BF83="","",Fee*$A83+Vq*Delay!BF83)</f>
        <v>11.7</v>
      </c>
      <c r="BG83" s="19" t="n">
        <f aca="false">IF(Delay!BG83="","",Fee*$A83+Vq*Delay!BG83)</f>
        <v>11.7</v>
      </c>
      <c r="BH83" s="19" t="n">
        <f aca="false">IF(Delay!BH83="","",Fee*$A83+Vq*Delay!BH83)</f>
        <v>11.7</v>
      </c>
      <c r="BI83" s="19" t="n">
        <f aca="false">IF(Delay!BI83="","",Fee*$A83+Vq*Delay!BI83)</f>
        <v>11.7</v>
      </c>
      <c r="BJ83" s="19" t="n">
        <f aca="false">IF(Delay!BJ83="","",Fee*$A83+Vq*Delay!BJ83)</f>
        <v>11.7</v>
      </c>
      <c r="BK83" s="19" t="n">
        <f aca="false">IF(Delay!BK83="","",Fee*$A83+Vq*Delay!BK83)</f>
        <v>11.7</v>
      </c>
      <c r="BL83" s="19" t="n">
        <f aca="false">IF(Delay!BL83="","",Fee*$A83+Vq*Delay!BL83)</f>
        <v>11.7</v>
      </c>
      <c r="BM83" s="19" t="n">
        <f aca="false">IF(Delay!BM83="","",Fee*$A83+Vq*Delay!BM83)</f>
        <v>11.7</v>
      </c>
      <c r="BN83" s="19" t="n">
        <f aca="false">IF(Delay!BN83="","",Fee*$A83+Vq*Delay!BN83)</f>
        <v>11.7</v>
      </c>
      <c r="BO83" s="19" t="n">
        <f aca="false">IF(Delay!BO83="","",Fee*$A83+Vq*Delay!BO83)</f>
        <v>11.7</v>
      </c>
      <c r="BP83" s="19" t="n">
        <f aca="false">IF(Delay!BP83="","",Fee*$A83+Vq*Delay!BP83)</f>
        <v>11.7</v>
      </c>
      <c r="BQ83" s="19" t="n">
        <f aca="false">IF(Delay!BQ83="","",Fee*$A83+Vq*Delay!BQ83)</f>
        <v>11.7</v>
      </c>
      <c r="BR83" s="19" t="n">
        <f aca="false">IF(Delay!BR83="","",Fee*$A83+Vq*Delay!BR83)</f>
        <v>11.7</v>
      </c>
      <c r="BS83" s="19" t="n">
        <f aca="false">IF(Delay!BS83="","",Fee*$A83+Vq*Delay!BS83)</f>
        <v>11.7</v>
      </c>
      <c r="BT83" s="19" t="n">
        <f aca="false">IF(Delay!BT83="","",Fee*$A83+Vq*Delay!BT83)</f>
        <v>11.7</v>
      </c>
      <c r="BU83" s="19" t="n">
        <f aca="false">IF(Delay!BU83="","",Fee*$A83+Vq*Delay!BU83)</f>
        <v>11.7</v>
      </c>
      <c r="BV83" s="19" t="n">
        <f aca="false">IF(Delay!BV83="","",Fee*$A83+Vq*Delay!BV83)</f>
        <v>11.7</v>
      </c>
      <c r="BW83" s="19" t="n">
        <f aca="false">IF(Delay!BW83="","",Fee*$A83+Vq*Delay!BW83)</f>
        <v>11.7</v>
      </c>
      <c r="BX83" s="19" t="n">
        <f aca="false">IF(Delay!BX83="","",Fee*$A83+Vq*Delay!BX83)</f>
        <v>11.7</v>
      </c>
      <c r="BY83" s="19" t="n">
        <f aca="false">IF(Delay!BY83="","",Fee*$A83+Vq*Delay!BY83)</f>
        <v>11.7</v>
      </c>
      <c r="BZ83" s="19" t="n">
        <f aca="false">IF(Delay!BZ83="","",Fee*$A83+Vq*Delay!BZ83)</f>
        <v>11.7</v>
      </c>
      <c r="CA83" s="19" t="n">
        <f aca="false">IF(Delay!CA83="","",Fee*$A83+Vq*Delay!CA83)</f>
        <v>11.7</v>
      </c>
      <c r="CB83" s="19" t="n">
        <f aca="false">IF(Delay!CB83="","",Fee*$A83+Vq*Delay!CB83)</f>
        <v>11.7</v>
      </c>
      <c r="CC83" s="19" t="n">
        <f aca="false">IF(Delay!CC83="","",Fee*$A83+Vq*Delay!CC83)</f>
        <v>11.7</v>
      </c>
      <c r="CD83" s="19" t="n">
        <f aca="false">IF(Delay!CD83="","",Fee*$A83+Vq*Delay!CD83)</f>
        <v>11.7</v>
      </c>
      <c r="CE83" s="19" t="n">
        <f aca="false">IF(Delay!CE83="","",Fee*$A83+Vq*Delay!CE83)</f>
        <v>11.7</v>
      </c>
      <c r="CF83" s="19" t="n">
        <f aca="false">IF(Delay!CF83="","",Fee*$A83+Vq*Delay!CF83)</f>
        <v>11.7</v>
      </c>
      <c r="CG83" s="19" t="n">
        <f aca="false">IF(Delay!CG83="","",Fee*$A83+Vq*Delay!CG83)</f>
        <v>11.7</v>
      </c>
      <c r="CH83" s="19" t="n">
        <f aca="false">IF(Delay!CH83="","",Fee*$A83+Vq*Delay!CH83)</f>
        <v>11.7</v>
      </c>
      <c r="CI83" s="19" t="n">
        <f aca="false">IF(Delay!CI83="","",Fee*$A83+Vq*Delay!CI83)</f>
        <v>11.7</v>
      </c>
      <c r="CJ83" s="19" t="n">
        <f aca="false">IF(Delay!CJ83="","",Fee*$A83+Vq*Delay!CJ83)</f>
        <v>11.7</v>
      </c>
      <c r="CK83" s="19" t="n">
        <f aca="false">IF(Delay!CK83="","",Fee*$A83+Vq*Delay!CK83)</f>
        <v>11.7</v>
      </c>
      <c r="CL83" s="19" t="n">
        <f aca="false">IF(Delay!CL83="","",Fee*$A83+Vq*Delay!CL83)</f>
        <v>11.7</v>
      </c>
      <c r="CM83" s="19" t="n">
        <f aca="false">IF(Delay!CM83="","",Fee*$A83+Vq*Delay!CM83)</f>
        <v>11.7</v>
      </c>
      <c r="CN83" s="19" t="n">
        <f aca="false">IF(Delay!CN83="","",Fee*$A83+Vq*Delay!CN83)</f>
        <v>11.7</v>
      </c>
      <c r="CO83" s="19" t="n">
        <f aca="false">IF(Delay!CO83="","",Fee*$A83+Vq*Delay!CO83)</f>
        <v>11.7</v>
      </c>
      <c r="CP83" s="19" t="n">
        <f aca="false">IF(Delay!CP83="","",Fee*$A83+Vq*Delay!CP83)</f>
        <v>11.7</v>
      </c>
      <c r="CQ83" s="19" t="n">
        <f aca="false">IF(Delay!CQ83="","",Fee*$A83+Vq*Delay!CQ83)</f>
        <v>11.7</v>
      </c>
      <c r="CR83" s="19" t="n">
        <f aca="false">IF(Delay!CR83="","",Fee*$A83+Vq*Delay!CR83)</f>
        <v>11.7</v>
      </c>
      <c r="CS83" s="19" t="n">
        <f aca="false">IF(Delay!CS83="","",Fee*$A83+Vq*Delay!CS83)</f>
        <v>11.7</v>
      </c>
      <c r="CT83" s="19" t="n">
        <f aca="false">IF(Delay!CT83="","",Fee*$A83+Vq*Delay!CT83)</f>
        <v>20.2351013588245</v>
      </c>
    </row>
    <row r="84" customFormat="false" ht="15" hidden="false" customHeight="false" outlineLevel="0" collapsed="false">
      <c r="A84" s="25" t="n">
        <f aca="false">Quantiles!A84</f>
        <v>395</v>
      </c>
      <c r="B84" s="19" t="n">
        <f aca="false">IF(Delay!B84="","",Fee*$A84+Vq*Delay!B84)</f>
        <v>28.1947844090816</v>
      </c>
      <c r="C84" s="19" t="n">
        <f aca="false">IF(Delay!C84="","",Fee*$A84+Vq*Delay!C84)</f>
        <v>26.7011108927652</v>
      </c>
      <c r="D84" s="19" t="n">
        <f aca="false">IF(Delay!D84="","",Fee*$A84+Vq*Delay!D84)</f>
        <v>25.3893328179335</v>
      </c>
      <c r="E84" s="19" t="n">
        <f aca="false">IF(Delay!E84="","",Fee*$A84+Vq*Delay!E84)</f>
        <v>24.2937186022917</v>
      </c>
      <c r="F84" s="19" t="n">
        <f aca="false">IF(Delay!F84="","",Fee*$A84+Vq*Delay!F84)</f>
        <v>23.3373438882303</v>
      </c>
      <c r="G84" s="19" t="n">
        <f aca="false">IF(Delay!G84="","",Fee*$A84+Vq*Delay!G84)</f>
        <v>22.4813434214257</v>
      </c>
      <c r="H84" s="19" t="n">
        <f aca="false">IF(Delay!H84="","",Fee*$A84+Vq*Delay!H84)</f>
        <v>21.7359808214555</v>
      </c>
      <c r="I84" s="19" t="n">
        <f aca="false">IF(Delay!I84="","",Fee*$A84+Vq*Delay!I84)</f>
        <v>21.0109699955192</v>
      </c>
      <c r="J84" s="19" t="n">
        <f aca="false">IF(Delay!J84="","",Fee*$A84+Vq*Delay!J84)</f>
        <v>20.3986478062515</v>
      </c>
      <c r="K84" s="19" t="n">
        <f aca="false">IF(Delay!K84="","",Fee*$A84+Vq*Delay!K84)</f>
        <v>19.7666650337095</v>
      </c>
      <c r="L84" s="19" t="n">
        <f aca="false">IF(Delay!L84="","",Fee*$A84+Vq*Delay!L84)</f>
        <v>19.1514823538167</v>
      </c>
      <c r="M84" s="19" t="n">
        <f aca="false">IF(Delay!M84="","",Fee*$A84+Vq*Delay!M84)</f>
        <v>18.6390438117832</v>
      </c>
      <c r="N84" s="19" t="n">
        <f aca="false">IF(Delay!N84="","",Fee*$A84+Vq*Delay!N84)</f>
        <v>18.1378507444425</v>
      </c>
      <c r="O84" s="19" t="n">
        <f aca="false">IF(Delay!O84="","",Fee*$A84+Vq*Delay!O84)</f>
        <v>17.6175149160705</v>
      </c>
      <c r="P84" s="19" t="n">
        <f aca="false">IF(Delay!P84="","",Fee*$A84+Vq*Delay!P84)</f>
        <v>17.1484849664579</v>
      </c>
      <c r="Q84" s="19" t="n">
        <f aca="false">IF(Delay!Q84="","",Fee*$A84+Vq*Delay!Q84)</f>
        <v>16.6947173093984</v>
      </c>
      <c r="R84" s="19" t="n">
        <f aca="false">IF(Delay!R84="","",Fee*$A84+Vq*Delay!R84)</f>
        <v>16.2869632668838</v>
      </c>
      <c r="S84" s="19" t="n">
        <f aca="false">IF(Delay!S84="","",Fee*$A84+Vq*Delay!S84)</f>
        <v>15.8857775289256</v>
      </c>
      <c r="T84" s="19" t="n">
        <f aca="false">IF(Delay!T84="","",Fee*$A84+Vq*Delay!T84)</f>
        <v>15.5221840205143</v>
      </c>
      <c r="U84" s="19" t="n">
        <f aca="false">IF(Delay!U84="","",Fee*$A84+Vq*Delay!U84)</f>
        <v>15.1619889199037</v>
      </c>
      <c r="V84" s="19" t="n">
        <f aca="false">IF(Delay!V84="","",Fee*$A84+Vq*Delay!V84)</f>
        <v>14.8155515307538</v>
      </c>
      <c r="W84" s="19" t="n">
        <f aca="false">IF(Delay!W84="","",Fee*$A84+Vq*Delay!W84)</f>
        <v>14.4517097862181</v>
      </c>
      <c r="X84" s="19" t="n">
        <f aca="false">IF(Delay!X84="","",Fee*$A84+Vq*Delay!X84)</f>
        <v>14.0992047637423</v>
      </c>
      <c r="Y84" s="19" t="n">
        <f aca="false">IF(Delay!Y84="","",Fee*$A84+Vq*Delay!Y84)</f>
        <v>13.7985385302769</v>
      </c>
      <c r="Z84" s="19" t="n">
        <f aca="false">IF(Delay!Z84="","",Fee*$A84+Vq*Delay!Z84)</f>
        <v>13.4858447662479</v>
      </c>
      <c r="AA84" s="19" t="n">
        <f aca="false">IF(Delay!AA84="","",Fee*$A84+Vq*Delay!AA84)</f>
        <v>13.1905929374171</v>
      </c>
      <c r="AB84" s="19" t="n">
        <f aca="false">IF(Delay!AB84="","",Fee*$A84+Vq*Delay!AB84)</f>
        <v>12.8643283226775</v>
      </c>
      <c r="AC84" s="19" t="n">
        <f aca="false">IF(Delay!AC84="","",Fee*$A84+Vq*Delay!AC84)</f>
        <v>12.5770943260271</v>
      </c>
      <c r="AD84" s="19" t="n">
        <f aca="false">IF(Delay!AD84="","",Fee*$A84+Vq*Delay!AD84)</f>
        <v>12.2777017816274</v>
      </c>
      <c r="AE84" s="19" t="n">
        <f aca="false">IF(Delay!AE84="","",Fee*$A84+Vq*Delay!AE84)</f>
        <v>12.0119342379634</v>
      </c>
      <c r="AF84" s="19" t="n">
        <f aca="false">IF(Delay!AF84="","",Fee*$A84+Vq*Delay!AF84)</f>
        <v>11.85</v>
      </c>
      <c r="AG84" s="19" t="n">
        <f aca="false">IF(Delay!AG84="","",Fee*$A84+Vq*Delay!AG84)</f>
        <v>11.85</v>
      </c>
      <c r="AH84" s="19" t="n">
        <f aca="false">IF(Delay!AH84="","",Fee*$A84+Vq*Delay!AH84)</f>
        <v>11.85</v>
      </c>
      <c r="AI84" s="19" t="n">
        <f aca="false">IF(Delay!AI84="","",Fee*$A84+Vq*Delay!AI84)</f>
        <v>11.85</v>
      </c>
      <c r="AJ84" s="19" t="n">
        <f aca="false">IF(Delay!AJ84="","",Fee*$A84+Vq*Delay!AJ84)</f>
        <v>11.85</v>
      </c>
      <c r="AK84" s="19" t="n">
        <f aca="false">IF(Delay!AK84="","",Fee*$A84+Vq*Delay!AK84)</f>
        <v>11.85</v>
      </c>
      <c r="AL84" s="19" t="n">
        <f aca="false">IF(Delay!AL84="","",Fee*$A84+Vq*Delay!AL84)</f>
        <v>11.85</v>
      </c>
      <c r="AM84" s="19" t="n">
        <f aca="false">IF(Delay!AM84="","",Fee*$A84+Vq*Delay!AM84)</f>
        <v>11.85</v>
      </c>
      <c r="AN84" s="19" t="n">
        <f aca="false">IF(Delay!AN84="","",Fee*$A84+Vq*Delay!AN84)</f>
        <v>11.85</v>
      </c>
      <c r="AO84" s="19" t="n">
        <f aca="false">IF(Delay!AO84="","",Fee*$A84+Vq*Delay!AO84)</f>
        <v>11.85</v>
      </c>
      <c r="AP84" s="19" t="n">
        <f aca="false">IF(Delay!AP84="","",Fee*$A84+Vq*Delay!AP84)</f>
        <v>11.85</v>
      </c>
      <c r="AQ84" s="19" t="n">
        <f aca="false">IF(Delay!AQ84="","",Fee*$A84+Vq*Delay!AQ84)</f>
        <v>11.85</v>
      </c>
      <c r="AR84" s="19" t="n">
        <f aca="false">IF(Delay!AR84="","",Fee*$A84+Vq*Delay!AR84)</f>
        <v>11.85</v>
      </c>
      <c r="AS84" s="19" t="n">
        <f aca="false">IF(Delay!AS84="","",Fee*$A84+Vq*Delay!AS84)</f>
        <v>11.85</v>
      </c>
      <c r="AT84" s="19" t="n">
        <f aca="false">IF(Delay!AT84="","",Fee*$A84+Vq*Delay!AT84)</f>
        <v>11.85</v>
      </c>
      <c r="AU84" s="19" t="n">
        <f aca="false">IF(Delay!AU84="","",Fee*$A84+Vq*Delay!AU84)</f>
        <v>11.85</v>
      </c>
      <c r="AV84" s="19" t="n">
        <f aca="false">IF(Delay!AV84="","",Fee*$A84+Vq*Delay!AV84)</f>
        <v>11.85</v>
      </c>
      <c r="AW84" s="19" t="n">
        <f aca="false">IF(Delay!AW84="","",Fee*$A84+Vq*Delay!AW84)</f>
        <v>11.85</v>
      </c>
      <c r="AX84" s="19" t="n">
        <f aca="false">IF(Delay!AX84="","",Fee*$A84+Vq*Delay!AX84)</f>
        <v>11.85</v>
      </c>
      <c r="AY84" s="19" t="n">
        <f aca="false">IF(Delay!AY84="","",Fee*$A84+Vq*Delay!AY84)</f>
        <v>11.85</v>
      </c>
      <c r="AZ84" s="19" t="n">
        <f aca="false">IF(Delay!AZ84="","",Fee*$A84+Vq*Delay!AZ84)</f>
        <v>11.85</v>
      </c>
      <c r="BA84" s="19" t="n">
        <f aca="false">IF(Delay!BA84="","",Fee*$A84+Vq*Delay!BA84)</f>
        <v>11.85</v>
      </c>
      <c r="BB84" s="19" t="n">
        <f aca="false">IF(Delay!BB84="","",Fee*$A84+Vq*Delay!BB84)</f>
        <v>11.85</v>
      </c>
      <c r="BC84" s="19" t="n">
        <f aca="false">IF(Delay!BC84="","",Fee*$A84+Vq*Delay!BC84)</f>
        <v>11.85</v>
      </c>
      <c r="BD84" s="19" t="n">
        <f aca="false">IF(Delay!BD84="","",Fee*$A84+Vq*Delay!BD84)</f>
        <v>11.85</v>
      </c>
      <c r="BE84" s="19" t="n">
        <f aca="false">IF(Delay!BE84="","",Fee*$A84+Vq*Delay!BE84)</f>
        <v>11.85</v>
      </c>
      <c r="BF84" s="19" t="n">
        <f aca="false">IF(Delay!BF84="","",Fee*$A84+Vq*Delay!BF84)</f>
        <v>11.85</v>
      </c>
      <c r="BG84" s="19" t="n">
        <f aca="false">IF(Delay!BG84="","",Fee*$A84+Vq*Delay!BG84)</f>
        <v>11.85</v>
      </c>
      <c r="BH84" s="19" t="n">
        <f aca="false">IF(Delay!BH84="","",Fee*$A84+Vq*Delay!BH84)</f>
        <v>11.85</v>
      </c>
      <c r="BI84" s="19" t="n">
        <f aca="false">IF(Delay!BI84="","",Fee*$A84+Vq*Delay!BI84)</f>
        <v>11.85</v>
      </c>
      <c r="BJ84" s="19" t="n">
        <f aca="false">IF(Delay!BJ84="","",Fee*$A84+Vq*Delay!BJ84)</f>
        <v>11.85</v>
      </c>
      <c r="BK84" s="19" t="n">
        <f aca="false">IF(Delay!BK84="","",Fee*$A84+Vq*Delay!BK84)</f>
        <v>11.85</v>
      </c>
      <c r="BL84" s="19" t="n">
        <f aca="false">IF(Delay!BL84="","",Fee*$A84+Vq*Delay!BL84)</f>
        <v>11.85</v>
      </c>
      <c r="BM84" s="19" t="n">
        <f aca="false">IF(Delay!BM84="","",Fee*$A84+Vq*Delay!BM84)</f>
        <v>11.85</v>
      </c>
      <c r="BN84" s="19" t="n">
        <f aca="false">IF(Delay!BN84="","",Fee*$A84+Vq*Delay!BN84)</f>
        <v>11.85</v>
      </c>
      <c r="BO84" s="19" t="n">
        <f aca="false">IF(Delay!BO84="","",Fee*$A84+Vq*Delay!BO84)</f>
        <v>11.85</v>
      </c>
      <c r="BP84" s="19" t="n">
        <f aca="false">IF(Delay!BP84="","",Fee*$A84+Vq*Delay!BP84)</f>
        <v>11.85</v>
      </c>
      <c r="BQ84" s="19" t="n">
        <f aca="false">IF(Delay!BQ84="","",Fee*$A84+Vq*Delay!BQ84)</f>
        <v>11.85</v>
      </c>
      <c r="BR84" s="19" t="n">
        <f aca="false">IF(Delay!BR84="","",Fee*$A84+Vq*Delay!BR84)</f>
        <v>11.85</v>
      </c>
      <c r="BS84" s="19" t="n">
        <f aca="false">IF(Delay!BS84="","",Fee*$A84+Vq*Delay!BS84)</f>
        <v>11.85</v>
      </c>
      <c r="BT84" s="19" t="n">
        <f aca="false">IF(Delay!BT84="","",Fee*$A84+Vq*Delay!BT84)</f>
        <v>11.85</v>
      </c>
      <c r="BU84" s="19" t="n">
        <f aca="false">IF(Delay!BU84="","",Fee*$A84+Vq*Delay!BU84)</f>
        <v>11.85</v>
      </c>
      <c r="BV84" s="19" t="n">
        <f aca="false">IF(Delay!BV84="","",Fee*$A84+Vq*Delay!BV84)</f>
        <v>11.85</v>
      </c>
      <c r="BW84" s="19" t="n">
        <f aca="false">IF(Delay!BW84="","",Fee*$A84+Vq*Delay!BW84)</f>
        <v>11.85</v>
      </c>
      <c r="BX84" s="19" t="n">
        <f aca="false">IF(Delay!BX84="","",Fee*$A84+Vq*Delay!BX84)</f>
        <v>11.85</v>
      </c>
      <c r="BY84" s="19" t="n">
        <f aca="false">IF(Delay!BY84="","",Fee*$A84+Vq*Delay!BY84)</f>
        <v>11.85</v>
      </c>
      <c r="BZ84" s="19" t="n">
        <f aca="false">IF(Delay!BZ84="","",Fee*$A84+Vq*Delay!BZ84)</f>
        <v>11.85</v>
      </c>
      <c r="CA84" s="19" t="n">
        <f aca="false">IF(Delay!CA84="","",Fee*$A84+Vq*Delay!CA84)</f>
        <v>11.85</v>
      </c>
      <c r="CB84" s="19" t="n">
        <f aca="false">IF(Delay!CB84="","",Fee*$A84+Vq*Delay!CB84)</f>
        <v>11.85</v>
      </c>
      <c r="CC84" s="19" t="n">
        <f aca="false">IF(Delay!CC84="","",Fee*$A84+Vq*Delay!CC84)</f>
        <v>11.85</v>
      </c>
      <c r="CD84" s="19" t="n">
        <f aca="false">IF(Delay!CD84="","",Fee*$A84+Vq*Delay!CD84)</f>
        <v>11.85</v>
      </c>
      <c r="CE84" s="19" t="n">
        <f aca="false">IF(Delay!CE84="","",Fee*$A84+Vq*Delay!CE84)</f>
        <v>11.85</v>
      </c>
      <c r="CF84" s="19" t="n">
        <f aca="false">IF(Delay!CF84="","",Fee*$A84+Vq*Delay!CF84)</f>
        <v>11.85</v>
      </c>
      <c r="CG84" s="19" t="n">
        <f aca="false">IF(Delay!CG84="","",Fee*$A84+Vq*Delay!CG84)</f>
        <v>11.85</v>
      </c>
      <c r="CH84" s="19" t="n">
        <f aca="false">IF(Delay!CH84="","",Fee*$A84+Vq*Delay!CH84)</f>
        <v>11.85</v>
      </c>
      <c r="CI84" s="19" t="n">
        <f aca="false">IF(Delay!CI84="","",Fee*$A84+Vq*Delay!CI84)</f>
        <v>11.85</v>
      </c>
      <c r="CJ84" s="19" t="n">
        <f aca="false">IF(Delay!CJ84="","",Fee*$A84+Vq*Delay!CJ84)</f>
        <v>11.85</v>
      </c>
      <c r="CK84" s="19" t="n">
        <f aca="false">IF(Delay!CK84="","",Fee*$A84+Vq*Delay!CK84)</f>
        <v>11.85</v>
      </c>
      <c r="CL84" s="19" t="n">
        <f aca="false">IF(Delay!CL84="","",Fee*$A84+Vq*Delay!CL84)</f>
        <v>11.85</v>
      </c>
      <c r="CM84" s="19" t="n">
        <f aca="false">IF(Delay!CM84="","",Fee*$A84+Vq*Delay!CM84)</f>
        <v>11.85</v>
      </c>
      <c r="CN84" s="19" t="n">
        <f aca="false">IF(Delay!CN84="","",Fee*$A84+Vq*Delay!CN84)</f>
        <v>11.85</v>
      </c>
      <c r="CO84" s="19" t="n">
        <f aca="false">IF(Delay!CO84="","",Fee*$A84+Vq*Delay!CO84)</f>
        <v>11.85</v>
      </c>
      <c r="CP84" s="19" t="n">
        <f aca="false">IF(Delay!CP84="","",Fee*$A84+Vq*Delay!CP84)</f>
        <v>11.85</v>
      </c>
      <c r="CQ84" s="19" t="n">
        <f aca="false">IF(Delay!CQ84="","",Fee*$A84+Vq*Delay!CQ84)</f>
        <v>11.85</v>
      </c>
      <c r="CR84" s="19" t="n">
        <f aca="false">IF(Delay!CR84="","",Fee*$A84+Vq*Delay!CR84)</f>
        <v>11.85</v>
      </c>
      <c r="CS84" s="19" t="n">
        <f aca="false">IF(Delay!CS84="","",Fee*$A84+Vq*Delay!CS84)</f>
        <v>11.85</v>
      </c>
      <c r="CT84" s="19" t="n">
        <f aca="false">IF(Delay!CT84="","",Fee*$A84+Vq*Delay!CT84)</f>
        <v>20.3851013588245</v>
      </c>
    </row>
    <row r="85" customFormat="false" ht="15" hidden="false" customHeight="false" outlineLevel="0" collapsed="false">
      <c r="A85" s="25" t="n">
        <f aca="false">Quantiles!A85</f>
        <v>400</v>
      </c>
      <c r="B85" s="19" t="n">
        <f aca="false">IF(Delay!B85="","",Fee*$A85+Vq*Delay!B85)</f>
        <v>28.3447844090816</v>
      </c>
      <c r="C85" s="19" t="n">
        <f aca="false">IF(Delay!C85="","",Fee*$A85+Vq*Delay!C85)</f>
        <v>26.8511108927652</v>
      </c>
      <c r="D85" s="19" t="n">
        <f aca="false">IF(Delay!D85="","",Fee*$A85+Vq*Delay!D85)</f>
        <v>25.5393328179335</v>
      </c>
      <c r="E85" s="19" t="n">
        <f aca="false">IF(Delay!E85="","",Fee*$A85+Vq*Delay!E85)</f>
        <v>24.4437186022917</v>
      </c>
      <c r="F85" s="19" t="n">
        <f aca="false">IF(Delay!F85="","",Fee*$A85+Vq*Delay!F85)</f>
        <v>23.4873438882303</v>
      </c>
      <c r="G85" s="19" t="n">
        <f aca="false">IF(Delay!G85="","",Fee*$A85+Vq*Delay!G85)</f>
        <v>22.6313434214257</v>
      </c>
      <c r="H85" s="19" t="n">
        <f aca="false">IF(Delay!H85="","",Fee*$A85+Vq*Delay!H85)</f>
        <v>21.8859808214555</v>
      </c>
      <c r="I85" s="19" t="n">
        <f aca="false">IF(Delay!I85="","",Fee*$A85+Vq*Delay!I85)</f>
        <v>21.1609699955192</v>
      </c>
      <c r="J85" s="19" t="n">
        <f aca="false">IF(Delay!J85="","",Fee*$A85+Vq*Delay!J85)</f>
        <v>20.5486478062515</v>
      </c>
      <c r="K85" s="19" t="n">
        <f aca="false">IF(Delay!K85="","",Fee*$A85+Vq*Delay!K85)</f>
        <v>19.9166650337095</v>
      </c>
      <c r="L85" s="19" t="n">
        <f aca="false">IF(Delay!L85="","",Fee*$A85+Vq*Delay!L85)</f>
        <v>19.3014823538167</v>
      </c>
      <c r="M85" s="19" t="n">
        <f aca="false">IF(Delay!M85="","",Fee*$A85+Vq*Delay!M85)</f>
        <v>18.7890438117832</v>
      </c>
      <c r="N85" s="19" t="n">
        <f aca="false">IF(Delay!N85="","",Fee*$A85+Vq*Delay!N85)</f>
        <v>18.2878507444425</v>
      </c>
      <c r="O85" s="19" t="n">
        <f aca="false">IF(Delay!O85="","",Fee*$A85+Vq*Delay!O85)</f>
        <v>17.7675149160705</v>
      </c>
      <c r="P85" s="19" t="n">
        <f aca="false">IF(Delay!P85="","",Fee*$A85+Vq*Delay!P85)</f>
        <v>17.2971012320592</v>
      </c>
      <c r="Q85" s="19" t="n">
        <f aca="false">IF(Delay!Q85="","",Fee*$A85+Vq*Delay!Q85)</f>
        <v>16.8428222620339</v>
      </c>
      <c r="R85" s="19" t="n">
        <f aca="false">IF(Delay!R85="","",Fee*$A85+Vq*Delay!R85)</f>
        <v>16.4368616866887</v>
      </c>
      <c r="S85" s="19" t="n">
        <f aca="false">IF(Delay!S85="","",Fee*$A85+Vq*Delay!S85)</f>
        <v>16.0350608710364</v>
      </c>
      <c r="T85" s="19" t="n">
        <f aca="false">IF(Delay!T85="","",Fee*$A85+Vq*Delay!T85)</f>
        <v>15.6721840205143</v>
      </c>
      <c r="U85" s="19" t="n">
        <f aca="false">IF(Delay!U85="","",Fee*$A85+Vq*Delay!U85)</f>
        <v>15.3119889199037</v>
      </c>
      <c r="V85" s="19" t="n">
        <f aca="false">IF(Delay!V85="","",Fee*$A85+Vq*Delay!V85)</f>
        <v>14.9655515307538</v>
      </c>
      <c r="W85" s="19" t="n">
        <f aca="false">IF(Delay!W85="","",Fee*$A85+Vq*Delay!W85)</f>
        <v>14.6017097862181</v>
      </c>
      <c r="X85" s="19" t="n">
        <f aca="false">IF(Delay!X85="","",Fee*$A85+Vq*Delay!X85)</f>
        <v>14.2492047637423</v>
      </c>
      <c r="Y85" s="19" t="n">
        <f aca="false">IF(Delay!Y85="","",Fee*$A85+Vq*Delay!Y85)</f>
        <v>13.9485385302769</v>
      </c>
      <c r="Z85" s="19" t="n">
        <f aca="false">IF(Delay!Z85="","",Fee*$A85+Vq*Delay!Z85)</f>
        <v>13.6358447662479</v>
      </c>
      <c r="AA85" s="19" t="n">
        <f aca="false">IF(Delay!AA85="","",Fee*$A85+Vq*Delay!AA85)</f>
        <v>13.3405929374171</v>
      </c>
      <c r="AB85" s="19" t="n">
        <f aca="false">IF(Delay!AB85="","",Fee*$A85+Vq*Delay!AB85)</f>
        <v>13.0143283226775</v>
      </c>
      <c r="AC85" s="19" t="n">
        <f aca="false">IF(Delay!AC85="","",Fee*$A85+Vq*Delay!AC85)</f>
        <v>12.7270943260271</v>
      </c>
      <c r="AD85" s="19" t="n">
        <f aca="false">IF(Delay!AD85="","",Fee*$A85+Vq*Delay!AD85)</f>
        <v>12.4277017816274</v>
      </c>
      <c r="AE85" s="19" t="n">
        <f aca="false">IF(Delay!AE85="","",Fee*$A85+Vq*Delay!AE85)</f>
        <v>12.1619342379634</v>
      </c>
      <c r="AF85" s="19" t="n">
        <f aca="false">IF(Delay!AF85="","",Fee*$A85+Vq*Delay!AF85)</f>
        <v>12</v>
      </c>
      <c r="AG85" s="19" t="n">
        <f aca="false">IF(Delay!AG85="","",Fee*$A85+Vq*Delay!AG85)</f>
        <v>12</v>
      </c>
      <c r="AH85" s="19" t="n">
        <f aca="false">IF(Delay!AH85="","",Fee*$A85+Vq*Delay!AH85)</f>
        <v>12</v>
      </c>
      <c r="AI85" s="19" t="n">
        <f aca="false">IF(Delay!AI85="","",Fee*$A85+Vq*Delay!AI85)</f>
        <v>12</v>
      </c>
      <c r="AJ85" s="19" t="n">
        <f aca="false">IF(Delay!AJ85="","",Fee*$A85+Vq*Delay!AJ85)</f>
        <v>12</v>
      </c>
      <c r="AK85" s="19" t="n">
        <f aca="false">IF(Delay!AK85="","",Fee*$A85+Vq*Delay!AK85)</f>
        <v>12</v>
      </c>
      <c r="AL85" s="19" t="n">
        <f aca="false">IF(Delay!AL85="","",Fee*$A85+Vq*Delay!AL85)</f>
        <v>12</v>
      </c>
      <c r="AM85" s="19" t="n">
        <f aca="false">IF(Delay!AM85="","",Fee*$A85+Vq*Delay!AM85)</f>
        <v>12</v>
      </c>
      <c r="AN85" s="19" t="n">
        <f aca="false">IF(Delay!AN85="","",Fee*$A85+Vq*Delay!AN85)</f>
        <v>12</v>
      </c>
      <c r="AO85" s="19" t="n">
        <f aca="false">IF(Delay!AO85="","",Fee*$A85+Vq*Delay!AO85)</f>
        <v>12</v>
      </c>
      <c r="AP85" s="19" t="n">
        <f aca="false">IF(Delay!AP85="","",Fee*$A85+Vq*Delay!AP85)</f>
        <v>12</v>
      </c>
      <c r="AQ85" s="19" t="n">
        <f aca="false">IF(Delay!AQ85="","",Fee*$A85+Vq*Delay!AQ85)</f>
        <v>12</v>
      </c>
      <c r="AR85" s="19" t="n">
        <f aca="false">IF(Delay!AR85="","",Fee*$A85+Vq*Delay!AR85)</f>
        <v>12</v>
      </c>
      <c r="AS85" s="19" t="n">
        <f aca="false">IF(Delay!AS85="","",Fee*$A85+Vq*Delay!AS85)</f>
        <v>12</v>
      </c>
      <c r="AT85" s="19" t="n">
        <f aca="false">IF(Delay!AT85="","",Fee*$A85+Vq*Delay!AT85)</f>
        <v>12</v>
      </c>
      <c r="AU85" s="19" t="n">
        <f aca="false">IF(Delay!AU85="","",Fee*$A85+Vq*Delay!AU85)</f>
        <v>12</v>
      </c>
      <c r="AV85" s="19" t="n">
        <f aca="false">IF(Delay!AV85="","",Fee*$A85+Vq*Delay!AV85)</f>
        <v>12</v>
      </c>
      <c r="AW85" s="19" t="n">
        <f aca="false">IF(Delay!AW85="","",Fee*$A85+Vq*Delay!AW85)</f>
        <v>12</v>
      </c>
      <c r="AX85" s="19" t="n">
        <f aca="false">IF(Delay!AX85="","",Fee*$A85+Vq*Delay!AX85)</f>
        <v>12</v>
      </c>
      <c r="AY85" s="19" t="n">
        <f aca="false">IF(Delay!AY85="","",Fee*$A85+Vq*Delay!AY85)</f>
        <v>12</v>
      </c>
      <c r="AZ85" s="19" t="n">
        <f aca="false">IF(Delay!AZ85="","",Fee*$A85+Vq*Delay!AZ85)</f>
        <v>12</v>
      </c>
      <c r="BA85" s="19" t="n">
        <f aca="false">IF(Delay!BA85="","",Fee*$A85+Vq*Delay!BA85)</f>
        <v>12</v>
      </c>
      <c r="BB85" s="19" t="n">
        <f aca="false">IF(Delay!BB85="","",Fee*$A85+Vq*Delay!BB85)</f>
        <v>12</v>
      </c>
      <c r="BC85" s="19" t="n">
        <f aca="false">IF(Delay!BC85="","",Fee*$A85+Vq*Delay!BC85)</f>
        <v>12</v>
      </c>
      <c r="BD85" s="19" t="n">
        <f aca="false">IF(Delay!BD85="","",Fee*$A85+Vq*Delay!BD85)</f>
        <v>12</v>
      </c>
      <c r="BE85" s="19" t="n">
        <f aca="false">IF(Delay!BE85="","",Fee*$A85+Vq*Delay!BE85)</f>
        <v>12</v>
      </c>
      <c r="BF85" s="19" t="n">
        <f aca="false">IF(Delay!BF85="","",Fee*$A85+Vq*Delay!BF85)</f>
        <v>12</v>
      </c>
      <c r="BG85" s="19" t="n">
        <f aca="false">IF(Delay!BG85="","",Fee*$A85+Vq*Delay!BG85)</f>
        <v>12</v>
      </c>
      <c r="BH85" s="19" t="n">
        <f aca="false">IF(Delay!BH85="","",Fee*$A85+Vq*Delay!BH85)</f>
        <v>12</v>
      </c>
      <c r="BI85" s="19" t="n">
        <f aca="false">IF(Delay!BI85="","",Fee*$A85+Vq*Delay!BI85)</f>
        <v>12</v>
      </c>
      <c r="BJ85" s="19" t="n">
        <f aca="false">IF(Delay!BJ85="","",Fee*$A85+Vq*Delay!BJ85)</f>
        <v>12</v>
      </c>
      <c r="BK85" s="19" t="n">
        <f aca="false">IF(Delay!BK85="","",Fee*$A85+Vq*Delay!BK85)</f>
        <v>12</v>
      </c>
      <c r="BL85" s="19" t="n">
        <f aca="false">IF(Delay!BL85="","",Fee*$A85+Vq*Delay!BL85)</f>
        <v>12</v>
      </c>
      <c r="BM85" s="19" t="n">
        <f aca="false">IF(Delay!BM85="","",Fee*$A85+Vq*Delay!BM85)</f>
        <v>12</v>
      </c>
      <c r="BN85" s="19" t="n">
        <f aca="false">IF(Delay!BN85="","",Fee*$A85+Vq*Delay!BN85)</f>
        <v>12</v>
      </c>
      <c r="BO85" s="19" t="n">
        <f aca="false">IF(Delay!BO85="","",Fee*$A85+Vq*Delay!BO85)</f>
        <v>12</v>
      </c>
      <c r="BP85" s="19" t="n">
        <f aca="false">IF(Delay!BP85="","",Fee*$A85+Vq*Delay!BP85)</f>
        <v>12</v>
      </c>
      <c r="BQ85" s="19" t="n">
        <f aca="false">IF(Delay!BQ85="","",Fee*$A85+Vq*Delay!BQ85)</f>
        <v>12</v>
      </c>
      <c r="BR85" s="19" t="n">
        <f aca="false">IF(Delay!BR85="","",Fee*$A85+Vq*Delay!BR85)</f>
        <v>12</v>
      </c>
      <c r="BS85" s="19" t="n">
        <f aca="false">IF(Delay!BS85="","",Fee*$A85+Vq*Delay!BS85)</f>
        <v>12</v>
      </c>
      <c r="BT85" s="19" t="n">
        <f aca="false">IF(Delay!BT85="","",Fee*$A85+Vq*Delay!BT85)</f>
        <v>12</v>
      </c>
      <c r="BU85" s="19" t="n">
        <f aca="false">IF(Delay!BU85="","",Fee*$A85+Vq*Delay!BU85)</f>
        <v>12</v>
      </c>
      <c r="BV85" s="19" t="n">
        <f aca="false">IF(Delay!BV85="","",Fee*$A85+Vq*Delay!BV85)</f>
        <v>12</v>
      </c>
      <c r="BW85" s="19" t="n">
        <f aca="false">IF(Delay!BW85="","",Fee*$A85+Vq*Delay!BW85)</f>
        <v>12</v>
      </c>
      <c r="BX85" s="19" t="n">
        <f aca="false">IF(Delay!BX85="","",Fee*$A85+Vq*Delay!BX85)</f>
        <v>12</v>
      </c>
      <c r="BY85" s="19" t="n">
        <f aca="false">IF(Delay!BY85="","",Fee*$A85+Vq*Delay!BY85)</f>
        <v>12</v>
      </c>
      <c r="BZ85" s="19" t="n">
        <f aca="false">IF(Delay!BZ85="","",Fee*$A85+Vq*Delay!BZ85)</f>
        <v>12</v>
      </c>
      <c r="CA85" s="19" t="n">
        <f aca="false">IF(Delay!CA85="","",Fee*$A85+Vq*Delay!CA85)</f>
        <v>12</v>
      </c>
      <c r="CB85" s="19" t="n">
        <f aca="false">IF(Delay!CB85="","",Fee*$A85+Vq*Delay!CB85)</f>
        <v>12</v>
      </c>
      <c r="CC85" s="19" t="n">
        <f aca="false">IF(Delay!CC85="","",Fee*$A85+Vq*Delay!CC85)</f>
        <v>12</v>
      </c>
      <c r="CD85" s="19" t="n">
        <f aca="false">IF(Delay!CD85="","",Fee*$A85+Vq*Delay!CD85)</f>
        <v>12</v>
      </c>
      <c r="CE85" s="19" t="n">
        <f aca="false">IF(Delay!CE85="","",Fee*$A85+Vq*Delay!CE85)</f>
        <v>12</v>
      </c>
      <c r="CF85" s="19" t="n">
        <f aca="false">IF(Delay!CF85="","",Fee*$A85+Vq*Delay!CF85)</f>
        <v>12</v>
      </c>
      <c r="CG85" s="19" t="n">
        <f aca="false">IF(Delay!CG85="","",Fee*$A85+Vq*Delay!CG85)</f>
        <v>12</v>
      </c>
      <c r="CH85" s="19" t="n">
        <f aca="false">IF(Delay!CH85="","",Fee*$A85+Vq*Delay!CH85)</f>
        <v>12</v>
      </c>
      <c r="CI85" s="19" t="n">
        <f aca="false">IF(Delay!CI85="","",Fee*$A85+Vq*Delay!CI85)</f>
        <v>12</v>
      </c>
      <c r="CJ85" s="19" t="n">
        <f aca="false">IF(Delay!CJ85="","",Fee*$A85+Vq*Delay!CJ85)</f>
        <v>12</v>
      </c>
      <c r="CK85" s="19" t="n">
        <f aca="false">IF(Delay!CK85="","",Fee*$A85+Vq*Delay!CK85)</f>
        <v>12</v>
      </c>
      <c r="CL85" s="19" t="n">
        <f aca="false">IF(Delay!CL85="","",Fee*$A85+Vq*Delay!CL85)</f>
        <v>12</v>
      </c>
      <c r="CM85" s="19" t="n">
        <f aca="false">IF(Delay!CM85="","",Fee*$A85+Vq*Delay!CM85)</f>
        <v>12</v>
      </c>
      <c r="CN85" s="19" t="n">
        <f aca="false">IF(Delay!CN85="","",Fee*$A85+Vq*Delay!CN85)</f>
        <v>12</v>
      </c>
      <c r="CO85" s="19" t="n">
        <f aca="false">IF(Delay!CO85="","",Fee*$A85+Vq*Delay!CO85)</f>
        <v>12</v>
      </c>
      <c r="CP85" s="19" t="n">
        <f aca="false">IF(Delay!CP85="","",Fee*$A85+Vq*Delay!CP85)</f>
        <v>12</v>
      </c>
      <c r="CQ85" s="19" t="n">
        <f aca="false">IF(Delay!CQ85="","",Fee*$A85+Vq*Delay!CQ85)</f>
        <v>12</v>
      </c>
      <c r="CR85" s="19" t="n">
        <f aca="false">IF(Delay!CR85="","",Fee*$A85+Vq*Delay!CR85)</f>
        <v>12</v>
      </c>
      <c r="CS85" s="19" t="n">
        <f aca="false">IF(Delay!CS85="","",Fee*$A85+Vq*Delay!CS85)</f>
        <v>12</v>
      </c>
      <c r="CT85" s="19" t="n">
        <f aca="false">IF(Delay!CT85="","",Fee*$A85+Vq*Delay!CT85)</f>
        <v>20.5351013588245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7" min="7" style="0" width="3"/>
    <col collapsed="false" customWidth="true" hidden="false" outlineLevel="0" max="8" min="8" style="0" width="46"/>
    <col collapsed="false" customWidth="true" hidden="false" outlineLevel="0" max="10" min="9" style="0" width="12"/>
    <col collapsed="false" customWidth="true" hidden="false" outlineLevel="0" max="12" min="11" style="0" width="9"/>
  </cols>
  <sheetData>
    <row r="1" customFormat="false" ht="15" hidden="false" customHeight="false" outlineLevel="0" collapsed="false">
      <c r="A1" s="1" t="s">
        <v>148</v>
      </c>
    </row>
    <row r="2" customFormat="false" ht="15" hidden="false" customHeight="false" outlineLevel="0" collapsed="false">
      <c r="A2" s="10" t="s">
        <v>149</v>
      </c>
    </row>
    <row r="4" customFormat="false" ht="23.85" hidden="false" customHeight="false" outlineLevel="0" collapsed="false">
      <c r="A4" s="8" t="s">
        <v>61</v>
      </c>
      <c r="B4" s="8" t="s">
        <v>150</v>
      </c>
      <c r="C4" s="8" t="s">
        <v>151</v>
      </c>
      <c r="D4" s="8" t="s">
        <v>152</v>
      </c>
      <c r="E4" s="8" t="s">
        <v>153</v>
      </c>
      <c r="F4" s="8" t="s">
        <v>154</v>
      </c>
      <c r="H4" s="8" t="s">
        <v>155</v>
      </c>
      <c r="I4" s="8" t="s">
        <v>19</v>
      </c>
      <c r="J4" s="8" t="s">
        <v>156</v>
      </c>
    </row>
    <row r="5" customFormat="false" ht="15" hidden="false" customHeight="false" outlineLevel="0" collapsed="false">
      <c r="A5" s="26" t="n">
        <f aca="false">INDEX(Quantiles!$B$4:$CT$4,1,1)</f>
        <v>0.01</v>
      </c>
      <c r="B5" s="20" t="n">
        <f aca="false">MIN(INDEX(Cost!$B$5:$CT$85,0,1))</f>
        <v>23.0893316858253</v>
      </c>
      <c r="C5" s="11" t="n">
        <f aca="false">INDEX(Cost!$A$5:$A$85,MATCH(B5,INDEX(Cost!$B$5:$CT$85,0,1),0))</f>
        <v>190</v>
      </c>
      <c r="D5" s="20" t="n">
        <f aca="false">INDEX(Delay!$B$5:$CT$85,MATCH(B5,INDEX(Cost!$B$5:$CT$85,0,1),0),1)</f>
        <v>2.17366646072816</v>
      </c>
      <c r="E5" s="20" t="str">
        <f aca="false">INDEX(Delay!$B$5:$CT$85,1,1)</f>
        <v/>
      </c>
      <c r="F5" s="19" t="str">
        <f aca="false">IF(E5="","",Vq*E5)</f>
        <v/>
      </c>
      <c r="H5" s="2" t="s">
        <v>157</v>
      </c>
      <c r="I5" s="27" t="n">
        <v>0.08404</v>
      </c>
      <c r="J5" s="10" t="s">
        <v>158</v>
      </c>
    </row>
    <row r="6" customFormat="false" ht="15" hidden="false" customHeight="false" outlineLevel="0" collapsed="false">
      <c r="A6" s="26" t="n">
        <f aca="false">INDEX(Quantiles!$B$4:$CT$4,1,2)</f>
        <v>0.0125</v>
      </c>
      <c r="B6" s="20" t="n">
        <f aca="false">MIN(INDEX(Cost!$B$5:$CT$85,0,2))</f>
        <v>21.3376059843978</v>
      </c>
      <c r="C6" s="11" t="n">
        <f aca="false">INDEX(Cost!$A$5:$A$85,MATCH(B6,INDEX(Cost!$B$5:$CT$85,0,2),0))</f>
        <v>185</v>
      </c>
      <c r="D6" s="20" t="n">
        <f aca="false">INDEX(Delay!$B$5:$CT$85,MATCH(B6,INDEX(Cost!$B$5:$CT$85,0,2),0),2)</f>
        <v>1.97345074804972</v>
      </c>
      <c r="E6" s="20" t="str">
        <f aca="false">INDEX(Delay!$B$5:$CT$85,1,2)</f>
        <v/>
      </c>
      <c r="F6" s="19" t="str">
        <f aca="false">IF(E6="","",Vq*E6)</f>
        <v/>
      </c>
      <c r="H6" s="2" t="s">
        <v>159</v>
      </c>
      <c r="I6" s="20" t="n">
        <f aca="false">E21</f>
        <v>5.09467317243577</v>
      </c>
      <c r="J6" s="10" t="s">
        <v>160</v>
      </c>
    </row>
    <row r="7" customFormat="false" ht="15" hidden="false" customHeight="false" outlineLevel="0" collapsed="false">
      <c r="A7" s="26" t="n">
        <f aca="false">INDEX(Quantiles!$B$4:$CT$4,1,3)</f>
        <v>0.015</v>
      </c>
      <c r="B7" s="20" t="n">
        <f aca="false">MIN(INDEX(Cost!$B$5:$CT$85,0,3))</f>
        <v>20.1223677102857</v>
      </c>
      <c r="C7" s="11" t="n">
        <f aca="false">INDEX(Cost!$A$5:$A$85,MATCH(B7,INDEX(Cost!$B$5:$CT$85,0,3),0))</f>
        <v>175</v>
      </c>
      <c r="D7" s="20" t="n">
        <f aca="false">INDEX(Delay!$B$5:$CT$85,MATCH(B7,INDEX(Cost!$B$5:$CT$85,0,3),0),3)</f>
        <v>1.85904596378571</v>
      </c>
      <c r="E7" s="20" t="str">
        <f aca="false">INDEX(Delay!$B$5:$CT$85,1,3)</f>
        <v/>
      </c>
      <c r="F7" s="19" t="str">
        <f aca="false">IF(E7="","",Vq*E7)</f>
        <v/>
      </c>
      <c r="H7" s="2" t="s">
        <v>161</v>
      </c>
      <c r="I7" s="19" t="n">
        <f aca="false">Depth0-Depth_per_q*I6</f>
        <v>7.62130731025693</v>
      </c>
      <c r="J7" s="10" t="s">
        <v>162</v>
      </c>
    </row>
    <row r="8" customFormat="false" ht="15" hidden="false" customHeight="false" outlineLevel="0" collapsed="false">
      <c r="A8" s="26" t="n">
        <f aca="false">INDEX(Quantiles!$B$4:$CT$4,1,4)</f>
        <v>0.0175</v>
      </c>
      <c r="B8" s="20" t="n">
        <f aca="false">MIN(INDEX(Cost!$B$5:$CT$85,0,4))</f>
        <v>18.8803675829439</v>
      </c>
      <c r="C8" s="11" t="n">
        <f aca="false">INDEX(Cost!$A$5:$A$85,MATCH(B8,INDEX(Cost!$B$5:$CT$85,0,4),0))</f>
        <v>185</v>
      </c>
      <c r="D8" s="20" t="n">
        <f aca="false">INDEX(Delay!$B$5:$CT$85,MATCH(B8,INDEX(Cost!$B$5:$CT$85,0,4),0),4)</f>
        <v>1.66629594786799</v>
      </c>
      <c r="E8" s="20" t="str">
        <f aca="false">INDEX(Delay!$B$5:$CT$85,1,4)</f>
        <v/>
      </c>
      <c r="F8" s="19" t="str">
        <f aca="false">IF(E8="","",Vq*E8)</f>
        <v/>
      </c>
      <c r="H8" s="2" t="s">
        <v>163</v>
      </c>
      <c r="I8" s="19" t="n">
        <f aca="false">F21</f>
        <v>40.7573853794861</v>
      </c>
      <c r="J8" s="10" t="s">
        <v>164</v>
      </c>
    </row>
    <row r="9" customFormat="false" ht="15" hidden="false" customHeight="false" outlineLevel="0" collapsed="false">
      <c r="A9" s="26" t="n">
        <f aca="false">INDEX(Quantiles!$B$4:$CT$4,1,5)</f>
        <v>0.02</v>
      </c>
      <c r="B9" s="20" t="n">
        <f aca="false">MIN(INDEX(Cost!$B$5:$CT$85,0,5))</f>
        <v>17.8608514478064</v>
      </c>
      <c r="C9" s="11" t="n">
        <f aca="false">INDEX(Cost!$A$5:$A$85,MATCH(B9,INDEX(Cost!$B$5:$CT$85,0,5),0))</f>
        <v>170</v>
      </c>
      <c r="D9" s="20" t="n">
        <f aca="false">INDEX(Delay!$B$5:$CT$85,MATCH(B9,INDEX(Cost!$B$5:$CT$85,0,5),0),5)</f>
        <v>1.5951064309758</v>
      </c>
      <c r="E9" s="20" t="str">
        <f aca="false">INDEX(Delay!$B$5:$CT$85,1,5)</f>
        <v/>
      </c>
      <c r="F9" s="19" t="str">
        <f aca="false">IF(E9="","",Vq*E9)</f>
        <v/>
      </c>
      <c r="H9" s="2" t="s">
        <v>165</v>
      </c>
      <c r="I9" s="19" t="n">
        <f aca="false">B21</f>
        <v>10.440610891413</v>
      </c>
      <c r="J9" s="10" t="s">
        <v>166</v>
      </c>
    </row>
    <row r="10" customFormat="false" ht="15" hidden="false" customHeight="false" outlineLevel="0" collapsed="false">
      <c r="A10" s="26" t="n">
        <f aca="false">INDEX(Quantiles!$B$4:$CT$4,1,6)</f>
        <v>0.0225</v>
      </c>
      <c r="B10" s="20" t="n">
        <f aca="false">MIN(INDEX(Cost!$B$5:$CT$85,0,6))</f>
        <v>16.8703759072327</v>
      </c>
      <c r="C10" s="11" t="n">
        <f aca="false">INDEX(Cost!$A$5:$A$85,MATCH(B10,INDEX(Cost!$B$5:$CT$85,0,6),0))</f>
        <v>175</v>
      </c>
      <c r="D10" s="20" t="n">
        <f aca="false">INDEX(Delay!$B$5:$CT$85,MATCH(B10,INDEX(Cost!$B$5:$CT$85,0,6),0),6)</f>
        <v>1.45254698840409</v>
      </c>
      <c r="E10" s="20" t="str">
        <f aca="false">INDEX(Delay!$B$5:$CT$85,1,6)</f>
        <v/>
      </c>
      <c r="F10" s="19" t="str">
        <f aca="false">IF(E10="","",Vq*E10)</f>
        <v/>
      </c>
      <c r="H10" s="2" t="s">
        <v>167</v>
      </c>
      <c r="I10" s="19" t="n">
        <f aca="false">I8-I9</f>
        <v>30.3167744880731</v>
      </c>
      <c r="J10" s="10" t="s">
        <v>168</v>
      </c>
    </row>
    <row r="11" customFormat="false" ht="15" hidden="false" customHeight="false" outlineLevel="0" collapsed="false">
      <c r="A11" s="26" t="n">
        <f aca="false">INDEX(Quantiles!$B$4:$CT$4,1,7)</f>
        <v>0.025</v>
      </c>
      <c r="B11" s="20" t="n">
        <f aca="false">MIN(INDEX(Cost!$B$5:$CT$85,0,7))</f>
        <v>16.0797179844774</v>
      </c>
      <c r="C11" s="11" t="n">
        <f aca="false">INDEX(Cost!$A$5:$A$85,MATCH(B11,INDEX(Cost!$B$5:$CT$85,0,7),0))</f>
        <v>175</v>
      </c>
      <c r="D11" s="20" t="n">
        <f aca="false">INDEX(Delay!$B$5:$CT$85,MATCH(B11,INDEX(Cost!$B$5:$CT$85,0,7),0),7)</f>
        <v>1.35371474805968</v>
      </c>
      <c r="E11" s="20" t="str">
        <f aca="false">INDEX(Delay!$B$5:$CT$85,1,7)</f>
        <v/>
      </c>
      <c r="F11" s="19" t="str">
        <f aca="false">IF(E11="","",Vq*E11)</f>
        <v/>
      </c>
    </row>
    <row r="12" customFormat="false" ht="15" hidden="false" customHeight="false" outlineLevel="0" collapsed="false">
      <c r="A12" s="26" t="n">
        <f aca="false">INDEX(Quantiles!$B$4:$CT$4,1,8)</f>
        <v>0.0275</v>
      </c>
      <c r="B12" s="20" t="n">
        <f aca="false">MIN(INDEX(Cost!$B$5:$CT$85,0,8))</f>
        <v>15.3387715171503</v>
      </c>
      <c r="C12" s="11" t="n">
        <f aca="false">INDEX(Cost!$A$5:$A$85,MATCH(B12,INDEX(Cost!$B$5:$CT$85,0,8),0))</f>
        <v>170</v>
      </c>
      <c r="D12" s="20" t="n">
        <f aca="false">INDEX(Delay!$B$5:$CT$85,MATCH(B12,INDEX(Cost!$B$5:$CT$85,0,8),0),8)</f>
        <v>1.27984643964378</v>
      </c>
      <c r="E12" s="20" t="n">
        <f aca="false">INDEX(Delay!$B$5:$CT$85,1,8)</f>
        <v>6.89754756534476</v>
      </c>
      <c r="F12" s="19" t="n">
        <f aca="false">IF(E12="","",Vq*E12)</f>
        <v>55.1803805227581</v>
      </c>
      <c r="H12" s="2" t="s">
        <v>169</v>
      </c>
      <c r="I12" s="9" t="n">
        <v>100</v>
      </c>
      <c r="J12" s="10" t="s">
        <v>84</v>
      </c>
    </row>
    <row r="13" customFormat="false" ht="15" hidden="false" customHeight="false" outlineLevel="0" collapsed="false">
      <c r="A13" s="26" t="n">
        <f aca="false">INDEX(Quantiles!$B$4:$CT$4,1,9)</f>
        <v>0.03</v>
      </c>
      <c r="B13" s="20" t="n">
        <f aca="false">MIN(INDEX(Cost!$B$5:$CT$85,0,9))</f>
        <v>14.6841240841621</v>
      </c>
      <c r="C13" s="11" t="n">
        <f aca="false">INDEX(Cost!$A$5:$A$85,MATCH(B13,INDEX(Cost!$B$5:$CT$85,0,9),0))</f>
        <v>180</v>
      </c>
      <c r="D13" s="20" t="n">
        <f aca="false">INDEX(Delay!$B$5:$CT$85,MATCH(B13,INDEX(Cost!$B$5:$CT$85,0,9),0),9)</f>
        <v>1.16051551052027</v>
      </c>
      <c r="E13" s="20" t="n">
        <f aca="false">INDEX(Delay!$B$5:$CT$85,1,9)</f>
        <v>6.6187058509202</v>
      </c>
      <c r="F13" s="19" t="n">
        <f aca="false">IF(E13="","",Vq*E13)</f>
        <v>52.9496468073616</v>
      </c>
      <c r="H13" s="2" t="s">
        <v>170</v>
      </c>
      <c r="I13" s="12" t="n">
        <v>2</v>
      </c>
      <c r="J13" s="10" t="s">
        <v>171</v>
      </c>
    </row>
    <row r="14" customFormat="false" ht="15" hidden="false" customHeight="false" outlineLevel="0" collapsed="false">
      <c r="A14" s="26" t="n">
        <f aca="false">INDEX(Quantiles!$B$4:$CT$4,1,10)</f>
        <v>0.0325</v>
      </c>
      <c r="B14" s="20" t="n">
        <f aca="false">MIN(INDEX(Cost!$B$5:$CT$85,0,10))</f>
        <v>14.0779633594184</v>
      </c>
      <c r="C14" s="11" t="n">
        <f aca="false">INDEX(Cost!$A$5:$A$85,MATCH(B14,INDEX(Cost!$B$5:$CT$85,0,10),0))</f>
        <v>170</v>
      </c>
      <c r="D14" s="20" t="n">
        <f aca="false">INDEX(Delay!$B$5:$CT$85,MATCH(B14,INDEX(Cost!$B$5:$CT$85,0,10),0),10)</f>
        <v>1.1222454199273</v>
      </c>
      <c r="E14" s="20" t="n">
        <f aca="false">INDEX(Delay!$B$5:$CT$85,1,10)</f>
        <v>6.38718917522061</v>
      </c>
      <c r="F14" s="19" t="n">
        <f aca="false">IF(E14="","",Vq*E14)</f>
        <v>51.0975134017648</v>
      </c>
      <c r="H14" s="2" t="s">
        <v>172</v>
      </c>
      <c r="I14" s="19" t="n">
        <f aca="false">Fee*I12+Vq*I13</f>
        <v>19</v>
      </c>
      <c r="J14" s="10" t="s">
        <v>173</v>
      </c>
    </row>
    <row r="15" customFormat="false" ht="15" hidden="false" customHeight="false" outlineLevel="0" collapsed="false">
      <c r="A15" s="26" t="n">
        <f aca="false">INDEX(Quantiles!$B$4:$CT$4,1,11)</f>
        <v>0.035</v>
      </c>
      <c r="B15" s="20" t="n">
        <f aca="false">MIN(INDEX(Cost!$B$5:$CT$85,0,11))</f>
        <v>13.4760759053114</v>
      </c>
      <c r="C15" s="11" t="n">
        <f aca="false">INDEX(Cost!$A$5:$A$85,MATCH(B15,INDEX(Cost!$B$5:$CT$85,0,11),0))</f>
        <v>175</v>
      </c>
      <c r="D15" s="20" t="n">
        <f aca="false">INDEX(Delay!$B$5:$CT$85,MATCH(B15,INDEX(Cost!$B$5:$CT$85,0,11),0),11)</f>
        <v>1.02825948816392</v>
      </c>
      <c r="E15" s="20" t="n">
        <f aca="false">INDEX(Delay!$B$5:$CT$85,1,11)</f>
        <v>6.14652937412754</v>
      </c>
      <c r="F15" s="19" t="n">
        <f aca="false">IF(E15="","",Vq*E15)</f>
        <v>49.1722349930203</v>
      </c>
      <c r="H15" s="2" t="s">
        <v>174</v>
      </c>
      <c r="I15" s="28" t="n">
        <v>0.03003</v>
      </c>
      <c r="J15" s="10" t="s">
        <v>175</v>
      </c>
    </row>
    <row r="16" customFormat="false" ht="15" hidden="false" customHeight="false" outlineLevel="0" collapsed="false">
      <c r="A16" s="26" t="n">
        <f aca="false">INDEX(Quantiles!$B$4:$CT$4,1,12)</f>
        <v>0.0375</v>
      </c>
      <c r="B16" s="20" t="n">
        <f aca="false">MIN(INDEX(Cost!$B$5:$CT$85,0,12))</f>
        <v>12.9062766025807</v>
      </c>
      <c r="C16" s="11" t="n">
        <f aca="false">INDEX(Cost!$A$5:$A$85,MATCH(B16,INDEX(Cost!$B$5:$CT$85,0,12),0))</f>
        <v>175</v>
      </c>
      <c r="D16" s="20" t="n">
        <f aca="false">INDEX(Delay!$B$5:$CT$85,MATCH(B16,INDEX(Cost!$B$5:$CT$85,0,12),0),12)</f>
        <v>0.957034575322592</v>
      </c>
      <c r="E16" s="20" t="n">
        <f aca="false">INDEX(Delay!$B$5:$CT$85,1,12)</f>
        <v>5.92796663437077</v>
      </c>
      <c r="F16" s="19" t="n">
        <f aca="false">IF(E16="","",Vq*E16)</f>
        <v>47.4237330749662</v>
      </c>
      <c r="H16" s="2" t="s">
        <v>176</v>
      </c>
      <c r="I16" s="19" t="n">
        <f aca="false">B101</f>
        <v>14.668098117088</v>
      </c>
      <c r="J16" s="10" t="s">
        <v>177</v>
      </c>
    </row>
    <row r="17" customFormat="false" ht="15" hidden="false" customHeight="false" outlineLevel="0" collapsed="false">
      <c r="A17" s="26" t="n">
        <f aca="false">INDEX(Quantiles!$B$4:$CT$4,1,13)</f>
        <v>0.04</v>
      </c>
      <c r="B17" s="20" t="n">
        <f aca="false">MIN(INDEX(Cost!$B$5:$CT$85,0,13))</f>
        <v>12.3504575918471</v>
      </c>
      <c r="C17" s="11" t="n">
        <f aca="false">INDEX(Cost!$A$5:$A$85,MATCH(B17,INDEX(Cost!$B$5:$CT$85,0,13),0))</f>
        <v>165</v>
      </c>
      <c r="D17" s="20" t="n">
        <f aca="false">INDEX(Delay!$B$5:$CT$85,MATCH(B17,INDEX(Cost!$B$5:$CT$85,0,13),0),13)</f>
        <v>0.925057198980888</v>
      </c>
      <c r="E17" s="20" t="n">
        <f aca="false">INDEX(Delay!$B$5:$CT$85,1,13)</f>
        <v>5.75189678502368</v>
      </c>
      <c r="F17" s="19" t="n">
        <f aca="false">IF(E17="","",Vq*E17)</f>
        <v>46.0151742801895</v>
      </c>
      <c r="H17" s="2" t="s">
        <v>151</v>
      </c>
      <c r="I17" s="11" t="n">
        <f aca="false">C101</f>
        <v>180</v>
      </c>
      <c r="J17" s="10" t="s">
        <v>178</v>
      </c>
    </row>
    <row r="18" customFormat="false" ht="15" hidden="false" customHeight="false" outlineLevel="0" collapsed="false">
      <c r="A18" s="26" t="n">
        <f aca="false">INDEX(Quantiles!$B$4:$CT$4,1,14)</f>
        <v>0.0425</v>
      </c>
      <c r="B18" s="20" t="n">
        <f aca="false">MIN(INDEX(Cost!$B$5:$CT$85,0,14))</f>
        <v>11.8648465307387</v>
      </c>
      <c r="C18" s="11" t="n">
        <f aca="false">INDEX(Cost!$A$5:$A$85,MATCH(B18,INDEX(Cost!$B$5:$CT$85,0,14),0))</f>
        <v>165</v>
      </c>
      <c r="D18" s="20" t="n">
        <f aca="false">INDEX(Delay!$B$5:$CT$85,MATCH(B18,INDEX(Cost!$B$5:$CT$85,0,14),0),14)</f>
        <v>0.86435581634234</v>
      </c>
      <c r="E18" s="20" t="n">
        <f aca="false">INDEX(Delay!$B$5:$CT$85,1,14)</f>
        <v>5.56483673035916</v>
      </c>
      <c r="F18" s="19" t="n">
        <f aca="false">IF(E18="","",Vq*E18)</f>
        <v>44.5186938428733</v>
      </c>
      <c r="H18" s="2" t="s">
        <v>152</v>
      </c>
      <c r="I18" s="20" t="n">
        <f aca="false">D101</f>
        <v>1.158512264636</v>
      </c>
      <c r="J18" s="10" t="s">
        <v>179</v>
      </c>
    </row>
    <row r="19" customFormat="false" ht="15" hidden="false" customHeight="false" outlineLevel="0" collapsed="false">
      <c r="A19" s="26" t="n">
        <f aca="false">INDEX(Quantiles!$B$4:$CT$4,1,15)</f>
        <v>0.045</v>
      </c>
      <c r="B19" s="20" t="n">
        <f aca="false">MIN(INDEX(Cost!$B$5:$CT$85,0,15))</f>
        <v>11.3885043322234</v>
      </c>
      <c r="C19" s="11" t="n">
        <f aca="false">INDEX(Cost!$A$5:$A$85,MATCH(B19,INDEX(Cost!$B$5:$CT$85,0,15),0))</f>
        <v>165</v>
      </c>
      <c r="D19" s="20" t="n">
        <f aca="false">INDEX(Delay!$B$5:$CT$85,MATCH(B19,INDEX(Cost!$B$5:$CT$85,0,15),0),15)</f>
        <v>0.80481304152793</v>
      </c>
      <c r="E19" s="20" t="n">
        <f aca="false">INDEX(Delay!$B$5:$CT$85,1,15)</f>
        <v>5.40369714413711</v>
      </c>
      <c r="F19" s="19" t="n">
        <f aca="false">IF(E19="","",Vq*E19)</f>
        <v>43.2295771530968</v>
      </c>
      <c r="H19" s="2" t="s">
        <v>180</v>
      </c>
      <c r="I19" s="19" t="n">
        <f aca="false">I14-I16</f>
        <v>4.33190188291202</v>
      </c>
      <c r="J19" s="10" t="s">
        <v>181</v>
      </c>
    </row>
    <row r="20" customFormat="false" ht="15" hidden="false" customHeight="false" outlineLevel="0" collapsed="false">
      <c r="A20" s="26" t="n">
        <f aca="false">INDEX(Quantiles!$B$4:$CT$4,1,16)</f>
        <v>0.0475</v>
      </c>
      <c r="B20" s="20" t="n">
        <f aca="false">MIN(INDEX(Cost!$B$5:$CT$85,0,16))</f>
        <v>10.8761085596174</v>
      </c>
      <c r="C20" s="11" t="n">
        <f aca="false">INDEX(Cost!$A$5:$A$85,MATCH(B20,INDEX(Cost!$B$5:$CT$85,0,16),0))</f>
        <v>165</v>
      </c>
      <c r="D20" s="20" t="n">
        <f aca="false">INDEX(Delay!$B$5:$CT$85,MATCH(B20,INDEX(Cost!$B$5:$CT$85,0,16),0),16)</f>
        <v>0.740763569952175</v>
      </c>
      <c r="E20" s="20" t="n">
        <f aca="false">INDEX(Delay!$B$5:$CT$85,1,16)</f>
        <v>5.25675237010164</v>
      </c>
      <c r="F20" s="19" t="n">
        <f aca="false">IF(E20="","",Vq*E20)</f>
        <v>42.0540189608131</v>
      </c>
      <c r="H20" s="2" t="s">
        <v>182</v>
      </c>
      <c r="I20" s="19" t="n">
        <f aca="false">B8</f>
        <v>18.8803675829439</v>
      </c>
      <c r="J20" s="10" t="s">
        <v>183</v>
      </c>
    </row>
    <row r="21" customFormat="false" ht="15" hidden="false" customHeight="false" outlineLevel="0" collapsed="false">
      <c r="A21" s="26" t="n">
        <f aca="false">INDEX(Quantiles!$B$4:$CT$4,1,17)</f>
        <v>0.05</v>
      </c>
      <c r="B21" s="20" t="n">
        <f aca="false">MIN(INDEX(Cost!$B$5:$CT$85,0,17))</f>
        <v>10.440610891413</v>
      </c>
      <c r="C21" s="11" t="n">
        <f aca="false">INDEX(Cost!$A$5:$A$85,MATCH(B21,INDEX(Cost!$B$5:$CT$85,0,17),0))</f>
        <v>170</v>
      </c>
      <c r="D21" s="20" t="n">
        <f aca="false">INDEX(Delay!$B$5:$CT$85,MATCH(B21,INDEX(Cost!$B$5:$CT$85,0,17),0),17)</f>
        <v>0.667576361426625</v>
      </c>
      <c r="E21" s="20" t="n">
        <f aca="false">INDEX(Delay!$B$5:$CT$85,1,17)</f>
        <v>5.09467317243577</v>
      </c>
      <c r="F21" s="19" t="n">
        <f aca="false">IF(E21="","",Vq*E21)</f>
        <v>40.7573853794861</v>
      </c>
    </row>
    <row r="22" customFormat="false" ht="15" hidden="false" customHeight="false" outlineLevel="0" collapsed="false">
      <c r="A22" s="26" t="n">
        <f aca="false">INDEX(Quantiles!$B$4:$CT$4,1,18)</f>
        <v>0.0525</v>
      </c>
      <c r="B22" s="20" t="n">
        <f aca="false">MIN(INDEX(Cost!$B$5:$CT$85,0,18))</f>
        <v>10.0012249091757</v>
      </c>
      <c r="C22" s="11" t="n">
        <f aca="false">INDEX(Cost!$A$5:$A$85,MATCH(B22,INDEX(Cost!$B$5:$CT$85,0,18),0))</f>
        <v>165</v>
      </c>
      <c r="D22" s="20" t="n">
        <f aca="false">INDEX(Delay!$B$5:$CT$85,MATCH(B22,INDEX(Cost!$B$5:$CT$85,0,18),0),18)</f>
        <v>0.63140311364696</v>
      </c>
      <c r="E22" s="20" t="n">
        <f aca="false">INDEX(Delay!$B$5:$CT$85,1,18)</f>
        <v>4.94184996584158</v>
      </c>
      <c r="F22" s="19" t="n">
        <f aca="false">IF(E22="","",Vq*E22)</f>
        <v>39.5347997267326</v>
      </c>
      <c r="H22" s="2" t="s">
        <v>184</v>
      </c>
      <c r="I22" s="9" t="n">
        <v>100</v>
      </c>
      <c r="J22" s="10" t="s">
        <v>185</v>
      </c>
    </row>
    <row r="23" customFormat="false" ht="15" hidden="false" customHeight="false" outlineLevel="0" collapsed="false">
      <c r="A23" s="26" t="n">
        <f aca="false">INDEX(Quantiles!$B$4:$CT$4,1,19)</f>
        <v>0.055</v>
      </c>
      <c r="B23" s="20" t="n">
        <f aca="false">MIN(INDEX(Cost!$B$5:$CT$85,0,19))</f>
        <v>9.5814895475586</v>
      </c>
      <c r="C23" s="11" t="n">
        <f aca="false">INDEX(Cost!$A$5:$A$85,MATCH(B23,INDEX(Cost!$B$5:$CT$85,0,19),0))</f>
        <v>165</v>
      </c>
      <c r="D23" s="20" t="n">
        <f aca="false">INDEX(Delay!$B$5:$CT$85,MATCH(B23,INDEX(Cost!$B$5:$CT$85,0,19),0),19)</f>
        <v>0.578936193444825</v>
      </c>
      <c r="E23" s="20" t="n">
        <f aca="false">INDEX(Delay!$B$5:$CT$85,1,19)</f>
        <v>4.79773014336272</v>
      </c>
      <c r="F23" s="19" t="n">
        <f aca="false">IF(E23="","",Vq*E23)</f>
        <v>38.3818411469018</v>
      </c>
      <c r="H23" s="2" t="s">
        <v>186</v>
      </c>
      <c r="I23" s="19" t="n">
        <f aca="false">_xlfn.MINIFS(Cost!$R$5:$R$85,Cost!$A$5:$A$85,"&lt;="&amp;I22)</f>
        <v>13.2968910603644</v>
      </c>
      <c r="J23" s="10" t="s">
        <v>187</v>
      </c>
    </row>
    <row r="24" customFormat="false" ht="15" hidden="false" customHeight="false" outlineLevel="0" collapsed="false">
      <c r="A24" s="26" t="n">
        <f aca="false">INDEX(Quantiles!$B$4:$CT$4,1,20)</f>
        <v>0.0575</v>
      </c>
      <c r="B24" s="20" t="n">
        <f aca="false">MIN(INDEX(Cost!$B$5:$CT$85,0,20))</f>
        <v>9.1762252882772</v>
      </c>
      <c r="C24" s="11" t="n">
        <f aca="false">INDEX(Cost!$A$5:$A$85,MATCH(B24,INDEX(Cost!$B$5:$CT$85,0,20),0))</f>
        <v>165</v>
      </c>
      <c r="D24" s="20" t="n">
        <f aca="false">INDEX(Delay!$B$5:$CT$85,MATCH(B24,INDEX(Cost!$B$5:$CT$85,0,20),0),20)</f>
        <v>0.52827816103465</v>
      </c>
      <c r="E24" s="20" t="n">
        <f aca="false">INDEX(Delay!$B$5:$CT$85,1,20)</f>
        <v>4.66424863947914</v>
      </c>
      <c r="F24" s="19" t="n">
        <f aca="false">IF(E24="","",Vq*E24)</f>
        <v>37.3139891158331</v>
      </c>
      <c r="H24" s="2" t="s">
        <v>152</v>
      </c>
      <c r="I24" s="20" t="n">
        <f aca="false">INDEX(Delay!$R$5:$R$85,MATCH(I23,Cost!$R$5:$R$85,0))</f>
        <v>1.28711138254555</v>
      </c>
      <c r="J24" s="10" t="s">
        <v>188</v>
      </c>
    </row>
    <row r="25" customFormat="false" ht="15" hidden="false" customHeight="false" outlineLevel="0" collapsed="false">
      <c r="A25" s="26" t="n">
        <f aca="false">INDEX(Quantiles!$B$4:$CT$4,1,21)</f>
        <v>0.06</v>
      </c>
      <c r="B25" s="20" t="n">
        <f aca="false">MIN(INDEX(Cost!$B$5:$CT$85,0,21))</f>
        <v>8.81941165496048</v>
      </c>
      <c r="C25" s="11" t="n">
        <f aca="false">INDEX(Cost!$A$5:$A$85,MATCH(B25,INDEX(Cost!$B$5:$CT$85,0,21),0))</f>
        <v>160</v>
      </c>
      <c r="D25" s="20" t="n">
        <f aca="false">INDEX(Delay!$B$5:$CT$85,MATCH(B25,INDEX(Cost!$B$5:$CT$85,0,21),0),21)</f>
        <v>0.50242645687006</v>
      </c>
      <c r="E25" s="20" t="n">
        <f aca="false">INDEX(Delay!$B$5:$CT$85,1,21)</f>
        <v>4.52149240533713</v>
      </c>
      <c r="F25" s="19" t="n">
        <f aca="false">IF(E25="","",Vq*E25)</f>
        <v>36.171939242697</v>
      </c>
      <c r="H25" s="2" t="s">
        <v>189</v>
      </c>
      <c r="I25" s="19" t="n">
        <f aca="false">I23-B21</f>
        <v>2.85628016895142</v>
      </c>
      <c r="J25" s="10" t="s">
        <v>190</v>
      </c>
    </row>
    <row r="26" customFormat="false" ht="15" hidden="false" customHeight="false" outlineLevel="0" collapsed="false">
      <c r="A26" s="26" t="n">
        <f aca="false">INDEX(Quantiles!$B$4:$CT$4,1,22)</f>
        <v>0.0625</v>
      </c>
      <c r="B26" s="20" t="n">
        <f aca="false">MIN(INDEX(Cost!$B$5:$CT$85,0,22))</f>
        <v>8.48257376349606</v>
      </c>
      <c r="C26" s="11" t="n">
        <f aca="false">INDEX(Cost!$A$5:$A$85,MATCH(B26,INDEX(Cost!$B$5:$CT$85,0,22),0))</f>
        <v>160</v>
      </c>
      <c r="D26" s="20" t="n">
        <f aca="false">INDEX(Delay!$B$5:$CT$85,MATCH(B26,INDEX(Cost!$B$5:$CT$85,0,22),0),22)</f>
        <v>0.460321720437007</v>
      </c>
      <c r="E26" s="20" t="n">
        <f aca="false">INDEX(Delay!$B$5:$CT$85,1,22)</f>
        <v>4.40250586463064</v>
      </c>
      <c r="F26" s="19" t="n">
        <f aca="false">IF(E26="","",Vq*E26)</f>
        <v>35.2200469170451</v>
      </c>
    </row>
    <row r="27" customFormat="false" ht="15" hidden="false" customHeight="false" outlineLevel="0" collapsed="false">
      <c r="A27" s="26" t="n">
        <f aca="false">INDEX(Quantiles!$B$4:$CT$4,1,23)</f>
        <v>0.065</v>
      </c>
      <c r="B27" s="20" t="n">
        <f aca="false">MIN(INDEX(Cost!$B$5:$CT$85,0,23))</f>
        <v>8.13483907873714</v>
      </c>
      <c r="C27" s="11" t="n">
        <f aca="false">INDEX(Cost!$A$5:$A$85,MATCH(B27,INDEX(Cost!$B$5:$CT$85,0,23),0))</f>
        <v>165</v>
      </c>
      <c r="D27" s="20" t="n">
        <f aca="false">INDEX(Delay!$B$5:$CT$85,MATCH(B27,INDEX(Cost!$B$5:$CT$85,0,23),0),23)</f>
        <v>0.398104884842143</v>
      </c>
      <c r="E27" s="20" t="n">
        <f aca="false">INDEX(Delay!$B$5:$CT$85,1,23)</f>
        <v>4.28641928378105</v>
      </c>
      <c r="F27" s="19" t="n">
        <f aca="false">IF(E27="","",Vq*E27)</f>
        <v>34.2913542702484</v>
      </c>
    </row>
    <row r="28" customFormat="false" ht="15" hidden="false" customHeight="false" outlineLevel="0" collapsed="false">
      <c r="A28" s="26" t="n">
        <f aca="false">INDEX(Quantiles!$B$4:$CT$4,1,24)</f>
        <v>0.0675</v>
      </c>
      <c r="B28" s="20" t="n">
        <f aca="false">MIN(INDEX(Cost!$B$5:$CT$85,0,24))</f>
        <v>7.79472329043648</v>
      </c>
      <c r="C28" s="11" t="n">
        <f aca="false">INDEX(Cost!$A$5:$A$85,MATCH(B28,INDEX(Cost!$B$5:$CT$85,0,24),0))</f>
        <v>160</v>
      </c>
      <c r="D28" s="20" t="n">
        <f aca="false">INDEX(Delay!$B$5:$CT$85,MATCH(B28,INDEX(Cost!$B$5:$CT$85,0,24),0),24)</f>
        <v>0.37434041130456</v>
      </c>
      <c r="E28" s="20" t="n">
        <f aca="false">INDEX(Delay!$B$5:$CT$85,1,24)</f>
        <v>4.17191119905363</v>
      </c>
      <c r="F28" s="19" t="n">
        <f aca="false">IF(E28="","",Vq*E28)</f>
        <v>33.375289592429</v>
      </c>
      <c r="H28" s="8" t="s">
        <v>191</v>
      </c>
      <c r="I28" s="8" t="s">
        <v>192</v>
      </c>
      <c r="J28" s="8" t="s">
        <v>193</v>
      </c>
      <c r="K28" s="8" t="s">
        <v>194</v>
      </c>
      <c r="L28" s="8" t="s">
        <v>195</v>
      </c>
    </row>
    <row r="29" customFormat="false" ht="15" hidden="false" customHeight="false" outlineLevel="0" collapsed="false">
      <c r="A29" s="26" t="n">
        <f aca="false">INDEX(Quantiles!$B$4:$CT$4,1,25)</f>
        <v>0.07</v>
      </c>
      <c r="B29" s="20" t="n">
        <f aca="false">MIN(INDEX(Cost!$B$5:$CT$85,0,25))</f>
        <v>7.46256560753264</v>
      </c>
      <c r="C29" s="11" t="n">
        <f aca="false">INDEX(Cost!$A$5:$A$85,MATCH(B29,INDEX(Cost!$B$5:$CT$85,0,25),0))</f>
        <v>160</v>
      </c>
      <c r="D29" s="20" t="n">
        <f aca="false">INDEX(Delay!$B$5:$CT$85,MATCH(B29,INDEX(Cost!$B$5:$CT$85,0,25),0),25)</f>
        <v>0.33282070094158</v>
      </c>
      <c r="E29" s="20" t="n">
        <f aca="false">INDEX(Delay!$B$5:$CT$85,1,25)</f>
        <v>4.05315049941903</v>
      </c>
      <c r="F29" s="19" t="n">
        <f aca="false">IF(E29="","",Vq*E29)</f>
        <v>32.4252039953522</v>
      </c>
      <c r="H29" s="2" t="s">
        <v>196</v>
      </c>
      <c r="I29" s="11" t="n">
        <f aca="false">0</f>
        <v>0</v>
      </c>
      <c r="J29" s="19" t="n">
        <f aca="false">0</f>
        <v>0</v>
      </c>
      <c r="K29" s="17" t="n">
        <f aca="false">Fee*I29+Vq*J29</f>
        <v>0</v>
      </c>
      <c r="L29" s="29" t="n">
        <v>0.24622</v>
      </c>
    </row>
    <row r="30" customFormat="false" ht="15" hidden="false" customHeight="false" outlineLevel="0" collapsed="false">
      <c r="A30" s="26" t="n">
        <f aca="false">INDEX(Quantiles!$B$4:$CT$4,1,26)</f>
        <v>0.0725</v>
      </c>
      <c r="B30" s="20" t="n">
        <f aca="false">MIN(INDEX(Cost!$B$5:$CT$85,0,26))</f>
        <v>7.13465953353894</v>
      </c>
      <c r="C30" s="11" t="n">
        <f aca="false">INDEX(Cost!$A$5:$A$85,MATCH(B30,INDEX(Cost!$B$5:$CT$85,0,26),0))</f>
        <v>160</v>
      </c>
      <c r="D30" s="20" t="n">
        <f aca="false">INDEX(Delay!$B$5:$CT$85,MATCH(B30,INDEX(Cost!$B$5:$CT$85,0,26),0),26)</f>
        <v>0.291832441692367</v>
      </c>
      <c r="E30" s="20" t="n">
        <f aca="false">INDEX(Delay!$B$5:$CT$85,1,26)</f>
        <v>3.94382819861159</v>
      </c>
      <c r="F30" s="19" t="n">
        <f aca="false">IF(E30="","",Vq*E30)</f>
        <v>31.5506255888927</v>
      </c>
      <c r="H30" s="2" t="s">
        <v>197</v>
      </c>
      <c r="I30" s="11" t="n">
        <f aca="false">Plan!B31</f>
        <v>54.9165940128788</v>
      </c>
      <c r="J30" s="19" t="n">
        <f aca="false">0</f>
        <v>0</v>
      </c>
      <c r="K30" s="17" t="n">
        <f aca="false">Fee*I30+Vq*J30</f>
        <v>1.64749782038636</v>
      </c>
      <c r="L30" s="29" t="n">
        <v>0.17403</v>
      </c>
    </row>
    <row r="31" customFormat="false" ht="15" hidden="false" customHeight="false" outlineLevel="0" collapsed="false">
      <c r="A31" s="26" t="n">
        <f aca="false">INDEX(Quantiles!$B$4:$CT$4,1,27)</f>
        <v>0.075</v>
      </c>
      <c r="B31" s="20" t="n">
        <f aca="false">MIN(INDEX(Cost!$B$5:$CT$85,0,27))</f>
        <v>6.83855584163078</v>
      </c>
      <c r="C31" s="11" t="n">
        <f aca="false">INDEX(Cost!$A$5:$A$85,MATCH(B31,INDEX(Cost!$B$5:$CT$85,0,27),0))</f>
        <v>160</v>
      </c>
      <c r="D31" s="20" t="n">
        <f aca="false">INDEX(Delay!$B$5:$CT$85,MATCH(B31,INDEX(Cost!$B$5:$CT$85,0,27),0),27)</f>
        <v>0.254819480203848</v>
      </c>
      <c r="E31" s="20" t="n">
        <f aca="false">INDEX(Delay!$B$5:$CT$85,1,27)</f>
        <v>3.84946913590562</v>
      </c>
      <c r="F31" s="19" t="n">
        <f aca="false">IF(E31="","",Vq*E31)</f>
        <v>30.795753087245</v>
      </c>
      <c r="H31" s="2" t="s">
        <v>198</v>
      </c>
      <c r="I31" s="11" t="n">
        <f aca="false">0</f>
        <v>0</v>
      </c>
      <c r="J31" s="19" t="n">
        <f aca="false">I6</f>
        <v>5.09467317243577</v>
      </c>
      <c r="K31" s="17" t="n">
        <f aca="false">Fee*I31+Vq*J31</f>
        <v>40.7573853794861</v>
      </c>
      <c r="L31" s="29" t="n">
        <v>0.05</v>
      </c>
    </row>
    <row r="32" customFormat="false" ht="15" hidden="false" customHeight="false" outlineLevel="0" collapsed="false">
      <c r="A32" s="26" t="n">
        <f aca="false">INDEX(Quantiles!$B$4:$CT$4,1,28)</f>
        <v>0.0775</v>
      </c>
      <c r="B32" s="20" t="n">
        <f aca="false">MIN(INDEX(Cost!$B$5:$CT$85,0,28))</f>
        <v>6.5414283905648</v>
      </c>
      <c r="C32" s="11" t="n">
        <f aca="false">INDEX(Cost!$A$5:$A$85,MATCH(B32,INDEX(Cost!$B$5:$CT$85,0,28),0))</f>
        <v>160</v>
      </c>
      <c r="D32" s="20" t="n">
        <f aca="false">INDEX(Delay!$B$5:$CT$85,MATCH(B32,INDEX(Cost!$B$5:$CT$85,0,28),0),28)</f>
        <v>0.2176785488206</v>
      </c>
      <c r="E32" s="20" t="n">
        <f aca="false">INDEX(Delay!$B$5:$CT$85,1,28)</f>
        <v>3.74200575099265</v>
      </c>
      <c r="F32" s="19" t="n">
        <f aca="false">IF(E32="","",Vq*E32)</f>
        <v>29.9360460079412</v>
      </c>
      <c r="H32" s="2" t="s">
        <v>199</v>
      </c>
      <c r="I32" s="11" t="n">
        <f aca="false">I12</f>
        <v>100</v>
      </c>
      <c r="J32" s="19" t="n">
        <f aca="false">I13</f>
        <v>2</v>
      </c>
      <c r="K32" s="17" t="n">
        <f aca="false">I14</f>
        <v>19</v>
      </c>
      <c r="L32" s="15" t="n">
        <f aca="false">I15</f>
        <v>0.03003</v>
      </c>
    </row>
    <row r="33" customFormat="false" ht="15" hidden="false" customHeight="false" outlineLevel="0" collapsed="false">
      <c r="A33" s="26" t="n">
        <f aca="false">INDEX(Quantiles!$B$4:$CT$4,1,29)</f>
        <v>0.08</v>
      </c>
      <c r="B33" s="20" t="n">
        <f aca="false">MIN(INDEX(Cost!$B$5:$CT$85,0,29))</f>
        <v>6.25363772267894</v>
      </c>
      <c r="C33" s="11" t="n">
        <f aca="false">INDEX(Cost!$A$5:$A$85,MATCH(B33,INDEX(Cost!$B$5:$CT$85,0,29),0))</f>
        <v>160</v>
      </c>
      <c r="D33" s="20" t="n">
        <f aca="false">INDEX(Delay!$B$5:$CT$85,MATCH(B33,INDEX(Cost!$B$5:$CT$85,0,29),0),29)</f>
        <v>0.181704715334868</v>
      </c>
      <c r="E33" s="20" t="n">
        <f aca="false">INDEX(Delay!$B$5:$CT$85,1,29)</f>
        <v>3.63527952632421</v>
      </c>
      <c r="F33" s="19" t="n">
        <f aca="false">IF(E33="","",Vq*E33)</f>
        <v>29.0822362105937</v>
      </c>
      <c r="H33" s="2" t="s">
        <v>200</v>
      </c>
      <c r="I33" s="11" t="n">
        <f aca="false">C25</f>
        <v>160</v>
      </c>
      <c r="J33" s="19" t="n">
        <f aca="false">D25</f>
        <v>0.50242645687006</v>
      </c>
      <c r="K33" s="17" t="n">
        <f aca="false">B25</f>
        <v>8.81941165496048</v>
      </c>
      <c r="L33" s="15" t="n">
        <f aca="false">A25</f>
        <v>0.06</v>
      </c>
    </row>
    <row r="34" customFormat="false" ht="15" hidden="false" customHeight="false" outlineLevel="0" collapsed="false">
      <c r="A34" s="26" t="n">
        <f aca="false">INDEX(Quantiles!$B$4:$CT$4,1,30)</f>
        <v>0.0825</v>
      </c>
      <c r="B34" s="20" t="n">
        <f aca="false">MIN(INDEX(Cost!$B$5:$CT$85,0,30))</f>
        <v>5.94485238530598</v>
      </c>
      <c r="C34" s="11" t="n">
        <f aca="false">INDEX(Cost!$A$5:$A$85,MATCH(B34,INDEX(Cost!$B$5:$CT$85,0,30),0))</f>
        <v>165</v>
      </c>
      <c r="D34" s="20" t="n">
        <f aca="false">INDEX(Delay!$B$5:$CT$85,MATCH(B34,INDEX(Cost!$B$5:$CT$85,0,30),0),30)</f>
        <v>0.124356548163248</v>
      </c>
      <c r="E34" s="20" t="n">
        <f aca="false">INDEX(Delay!$B$5:$CT$85,1,30)</f>
        <v>3.53032099568174</v>
      </c>
      <c r="F34" s="19" t="n">
        <f aca="false">IF(E34="","",Vq*E34)</f>
        <v>28.2425679654539</v>
      </c>
      <c r="H34" s="2" t="s">
        <v>201</v>
      </c>
      <c r="I34" s="11" t="n">
        <f aca="false">C21</f>
        <v>170</v>
      </c>
      <c r="J34" s="19" t="n">
        <f aca="false">D21</f>
        <v>0.667576361426625</v>
      </c>
      <c r="K34" s="17" t="n">
        <f aca="false">B21</f>
        <v>10.440610891413</v>
      </c>
      <c r="L34" s="15" t="n">
        <f aca="false">A21</f>
        <v>0.05</v>
      </c>
    </row>
    <row r="35" customFormat="false" ht="15" hidden="false" customHeight="false" outlineLevel="0" collapsed="false">
      <c r="A35" s="26" t="n">
        <f aca="false">INDEX(Quantiles!$B$4:$CT$4,1,31)</f>
        <v>0.085</v>
      </c>
      <c r="B35" s="20" t="n">
        <f aca="false">MIN(INDEX(Cost!$B$5:$CT$85,0,31))</f>
        <v>5.66482312986566</v>
      </c>
      <c r="C35" s="11" t="n">
        <f aca="false">INDEX(Cost!$A$5:$A$85,MATCH(B35,INDEX(Cost!$B$5:$CT$85,0,31),0))</f>
        <v>160</v>
      </c>
      <c r="D35" s="20" t="n">
        <f aca="false">INDEX(Delay!$B$5:$CT$85,MATCH(B35,INDEX(Cost!$B$5:$CT$85,0,31),0),31)</f>
        <v>0.108102891233208</v>
      </c>
      <c r="E35" s="20" t="n">
        <f aca="false">INDEX(Delay!$B$5:$CT$85,1,31)</f>
        <v>3.43651455503422</v>
      </c>
      <c r="F35" s="19" t="n">
        <f aca="false">IF(E35="","",Vq*E35)</f>
        <v>27.4921164402737</v>
      </c>
      <c r="H35" s="2" t="s">
        <v>202</v>
      </c>
      <c r="I35" s="11" t="n">
        <f aca="false">C17</f>
        <v>165</v>
      </c>
      <c r="J35" s="19" t="n">
        <f aca="false">D17</f>
        <v>0.925057198980888</v>
      </c>
      <c r="K35" s="17" t="n">
        <f aca="false">B17</f>
        <v>12.3504575918471</v>
      </c>
      <c r="L35" s="15" t="n">
        <f aca="false">A17</f>
        <v>0.04</v>
      </c>
    </row>
    <row r="36" customFormat="false" ht="15" hidden="false" customHeight="false" outlineLevel="0" collapsed="false">
      <c r="A36" s="26" t="n">
        <f aca="false">INDEX(Quantiles!$B$4:$CT$4,1,32)</f>
        <v>0.0875</v>
      </c>
      <c r="B36" s="20" t="n">
        <f aca="false">MIN(INDEX(Cost!$B$5:$CT$85,0,32))</f>
        <v>5.39268257885108</v>
      </c>
      <c r="C36" s="11" t="n">
        <f aca="false">INDEX(Cost!$A$5:$A$85,MATCH(B36,INDEX(Cost!$B$5:$CT$85,0,32),0))</f>
        <v>165</v>
      </c>
      <c r="D36" s="20" t="n">
        <f aca="false">INDEX(Delay!$B$5:$CT$85,MATCH(B36,INDEX(Cost!$B$5:$CT$85,0,32),0),32)</f>
        <v>0.0553353223563846</v>
      </c>
      <c r="E36" s="20" t="n">
        <f aca="false">INDEX(Delay!$B$5:$CT$85,1,32)</f>
        <v>3.3422936520186</v>
      </c>
      <c r="F36" s="19" t="n">
        <f aca="false">IF(E36="","",Vq*E36)</f>
        <v>26.7383492161488</v>
      </c>
      <c r="H36" s="2" t="s">
        <v>203</v>
      </c>
      <c r="I36" s="11" t="n">
        <f aca="false">C13</f>
        <v>180</v>
      </c>
      <c r="J36" s="19" t="n">
        <f aca="false">D13</f>
        <v>1.16051551052027</v>
      </c>
      <c r="K36" s="17" t="n">
        <f aca="false">B13</f>
        <v>14.6841240841621</v>
      </c>
      <c r="L36" s="15" t="n">
        <f aca="false">A13</f>
        <v>0.03</v>
      </c>
    </row>
    <row r="37" customFormat="false" ht="15" hidden="false" customHeight="false" outlineLevel="0" collapsed="false">
      <c r="A37" s="26" t="n">
        <f aca="false">INDEX(Quantiles!$B$4:$CT$4,1,33)</f>
        <v>0.09</v>
      </c>
      <c r="B37" s="20" t="n">
        <f aca="false">MIN(INDEX(Cost!$B$5:$CT$85,0,33))</f>
        <v>5.1115329937933</v>
      </c>
      <c r="C37" s="11" t="n">
        <f aca="false">INDEX(Cost!$A$5:$A$85,MATCH(B37,INDEX(Cost!$B$5:$CT$85,0,33),0))</f>
        <v>160</v>
      </c>
      <c r="D37" s="20" t="n">
        <f aca="false">INDEX(Delay!$B$5:$CT$85,MATCH(B37,INDEX(Cost!$B$5:$CT$85,0,33),0),33)</f>
        <v>0.0389416242241625</v>
      </c>
      <c r="E37" s="20" t="n">
        <f aca="false">INDEX(Delay!$B$5:$CT$85,1,33)</f>
        <v>3.23910290934085</v>
      </c>
      <c r="F37" s="19" t="n">
        <f aca="false">IF(E37="","",Vq*E37)</f>
        <v>25.9128232747268</v>
      </c>
    </row>
    <row r="38" customFormat="false" ht="15" hidden="false" customHeight="false" outlineLevel="0" collapsed="false">
      <c r="A38" s="26" t="n">
        <f aca="false">INDEX(Quantiles!$B$4:$CT$4,1,34)</f>
        <v>0.0925</v>
      </c>
      <c r="B38" s="20" t="n">
        <f aca="false">MIN(INDEX(Cost!$B$5:$CT$85,0,34))</f>
        <v>4.84776845130626</v>
      </c>
      <c r="C38" s="11" t="n">
        <f aca="false">INDEX(Cost!$A$5:$A$85,MATCH(B38,INDEX(Cost!$B$5:$CT$85,0,34),0))</f>
        <v>150</v>
      </c>
      <c r="D38" s="20" t="n">
        <f aca="false">INDEX(Delay!$B$5:$CT$85,MATCH(B38,INDEX(Cost!$B$5:$CT$85,0,34),0),34)</f>
        <v>0.0434710564132823</v>
      </c>
      <c r="E38" s="20" t="n">
        <f aca="false">INDEX(Delay!$B$5:$CT$85,1,34)</f>
        <v>3.16341329494805</v>
      </c>
      <c r="F38" s="19" t="n">
        <f aca="false">IF(E38="","",Vq*E38)</f>
        <v>25.3073063595844</v>
      </c>
      <c r="H38" s="10" t="s">
        <v>204</v>
      </c>
    </row>
    <row r="39" customFormat="false" ht="15" hidden="false" customHeight="false" outlineLevel="0" collapsed="false">
      <c r="A39" s="26" t="n">
        <f aca="false">INDEX(Quantiles!$B$4:$CT$4,1,35)</f>
        <v>0.095</v>
      </c>
      <c r="B39" s="20" t="n">
        <f aca="false">MIN(INDEX(Cost!$B$5:$CT$85,0,35))</f>
        <v>4.58685711299776</v>
      </c>
      <c r="C39" s="11" t="n">
        <f aca="false">INDEX(Cost!$A$5:$A$85,MATCH(B39,INDEX(Cost!$B$5:$CT$85,0,35),0))</f>
        <v>150</v>
      </c>
      <c r="D39" s="20" t="n">
        <f aca="false">INDEX(Delay!$B$5:$CT$85,MATCH(B39,INDEX(Cost!$B$5:$CT$85,0,35),0),35)</f>
        <v>0.0108571391247203</v>
      </c>
      <c r="E39" s="20" t="n">
        <f aca="false">INDEX(Delay!$B$5:$CT$85,1,35)</f>
        <v>3.06550416125622</v>
      </c>
      <c r="F39" s="19" t="n">
        <f aca="false">IF(E39="","",Vq*E39)</f>
        <v>24.5240332900498</v>
      </c>
    </row>
    <row r="40" customFormat="false" ht="15" hidden="false" customHeight="false" outlineLevel="0" collapsed="false">
      <c r="A40" s="26" t="n">
        <f aca="false">INDEX(Quantiles!$B$4:$CT$4,1,36)</f>
        <v>0.0975</v>
      </c>
      <c r="B40" s="20" t="n">
        <f aca="false">MIN(INDEX(Cost!$B$5:$CT$85,0,36))</f>
        <v>4.35</v>
      </c>
      <c r="C40" s="11" t="n">
        <f aca="false">INDEX(Cost!$A$5:$A$85,MATCH(B40,INDEX(Cost!$B$5:$CT$85,0,36),0))</f>
        <v>145</v>
      </c>
      <c r="D40" s="20" t="n">
        <f aca="false">INDEX(Delay!$B$5:$CT$85,MATCH(B40,INDEX(Cost!$B$5:$CT$85,0,36),0),36)</f>
        <v>0</v>
      </c>
      <c r="E40" s="20" t="n">
        <f aca="false">INDEX(Delay!$B$5:$CT$85,1,36)</f>
        <v>2.97966263859743</v>
      </c>
      <c r="F40" s="19" t="n">
        <f aca="false">IF(E40="","",Vq*E40)</f>
        <v>23.8373011087795</v>
      </c>
    </row>
    <row r="41" customFormat="false" ht="15" hidden="false" customHeight="false" outlineLevel="0" collapsed="false">
      <c r="A41" s="26" t="n">
        <f aca="false">INDEX(Quantiles!$B$4:$CT$4,1,37)</f>
        <v>0.1</v>
      </c>
      <c r="B41" s="20" t="n">
        <f aca="false">MIN(INDEX(Cost!$B$5:$CT$85,0,37))</f>
        <v>4.17137293000762</v>
      </c>
      <c r="C41" s="11" t="n">
        <f aca="false">INDEX(Cost!$A$5:$A$85,MATCH(B41,INDEX(Cost!$B$5:$CT$85,0,37),0))</f>
        <v>135</v>
      </c>
      <c r="D41" s="20" t="n">
        <f aca="false">INDEX(Delay!$B$5:$CT$85,MATCH(B41,INDEX(Cost!$B$5:$CT$85,0,37),0),37)</f>
        <v>0.0151716162509521</v>
      </c>
      <c r="E41" s="20" t="n">
        <f aca="false">INDEX(Delay!$B$5:$CT$85,1,37)</f>
        <v>2.9009229705527</v>
      </c>
      <c r="F41" s="19" t="n">
        <f aca="false">IF(E41="","",Vq*E41)</f>
        <v>23.2073837644216</v>
      </c>
    </row>
    <row r="42" customFormat="false" ht="15" hidden="false" customHeight="false" outlineLevel="0" collapsed="false">
      <c r="A42" s="26" t="n">
        <f aca="false">INDEX(Quantiles!$B$4:$CT$4,1,38)</f>
        <v>0.1025</v>
      </c>
      <c r="B42" s="20" t="n">
        <f aca="false">MIN(INDEX(Cost!$B$5:$CT$85,0,38))</f>
        <v>4.0275130854879</v>
      </c>
      <c r="C42" s="11" t="n">
        <f aca="false">INDEX(Cost!$A$5:$A$85,MATCH(B42,INDEX(Cost!$B$5:$CT$85,0,38),0))</f>
        <v>130</v>
      </c>
      <c r="D42" s="20" t="n">
        <f aca="false">INDEX(Delay!$B$5:$CT$85,MATCH(B42,INDEX(Cost!$B$5:$CT$85,0,38),0),38)</f>
        <v>0.0159391356859873</v>
      </c>
      <c r="E42" s="20" t="n">
        <f aca="false">INDEX(Delay!$B$5:$CT$85,1,38)</f>
        <v>2.82477803620744</v>
      </c>
      <c r="F42" s="19" t="n">
        <f aca="false">IF(E42="","",Vq*E42)</f>
        <v>22.5982242896595</v>
      </c>
    </row>
    <row r="43" customFormat="false" ht="15" hidden="false" customHeight="false" outlineLevel="0" collapsed="false">
      <c r="A43" s="26" t="n">
        <f aca="false">INDEX(Quantiles!$B$4:$CT$4,1,39)</f>
        <v>0.105</v>
      </c>
      <c r="B43" s="20" t="n">
        <f aca="false">MIN(INDEX(Cost!$B$5:$CT$85,0,39))</f>
        <v>3.8775130854879</v>
      </c>
      <c r="C43" s="11" t="n">
        <f aca="false">INDEX(Cost!$A$5:$A$85,MATCH(B43,INDEX(Cost!$B$5:$CT$85,0,39),0))</f>
        <v>125</v>
      </c>
      <c r="D43" s="20" t="n">
        <f aca="false">INDEX(Delay!$B$5:$CT$85,MATCH(B43,INDEX(Cost!$B$5:$CT$85,0,39),0),39)</f>
        <v>0.0159391356859873</v>
      </c>
      <c r="E43" s="20" t="n">
        <f aca="false">INDEX(Delay!$B$5:$CT$85,1,39)</f>
        <v>2.73938585502437</v>
      </c>
      <c r="F43" s="19" t="n">
        <f aca="false">IF(E43="","",Vq*E43)</f>
        <v>21.915086840195</v>
      </c>
    </row>
    <row r="44" customFormat="false" ht="15" hidden="false" customHeight="false" outlineLevel="0" collapsed="false">
      <c r="A44" s="26" t="n">
        <f aca="false">INDEX(Quantiles!$B$4:$CT$4,1,40)</f>
        <v>0.1075</v>
      </c>
      <c r="B44" s="20" t="n">
        <f aca="false">MIN(INDEX(Cost!$B$5:$CT$85,0,40))</f>
        <v>3.75</v>
      </c>
      <c r="C44" s="11" t="n">
        <f aca="false">INDEX(Cost!$A$5:$A$85,MATCH(B44,INDEX(Cost!$B$5:$CT$85,0,40),0))</f>
        <v>125</v>
      </c>
      <c r="D44" s="20" t="n">
        <f aca="false">INDEX(Delay!$B$5:$CT$85,MATCH(B44,INDEX(Cost!$B$5:$CT$85,0,40),0),40)</f>
        <v>0</v>
      </c>
      <c r="E44" s="20" t="n">
        <f aca="false">INDEX(Delay!$B$5:$CT$85,1,40)</f>
        <v>2.65870803953435</v>
      </c>
      <c r="F44" s="19" t="n">
        <f aca="false">IF(E44="","",Vq*E44)</f>
        <v>21.2696643162748</v>
      </c>
    </row>
    <row r="45" customFormat="false" ht="15" hidden="false" customHeight="false" outlineLevel="0" collapsed="false">
      <c r="A45" s="26" t="n">
        <f aca="false">INDEX(Quantiles!$B$4:$CT$4,1,41)</f>
        <v>0.11</v>
      </c>
      <c r="B45" s="20" t="n">
        <f aca="false">MIN(INDEX(Cost!$B$5:$CT$85,0,41))</f>
        <v>3.6</v>
      </c>
      <c r="C45" s="11" t="n">
        <f aca="false">INDEX(Cost!$A$5:$A$85,MATCH(B45,INDEX(Cost!$B$5:$CT$85,0,41),0))</f>
        <v>120</v>
      </c>
      <c r="D45" s="20" t="n">
        <f aca="false">INDEX(Delay!$B$5:$CT$85,MATCH(B45,INDEX(Cost!$B$5:$CT$85,0,41),0),41)</f>
        <v>0</v>
      </c>
      <c r="E45" s="20" t="n">
        <f aca="false">INDEX(Delay!$B$5:$CT$85,1,41)</f>
        <v>2.58634089613794</v>
      </c>
      <c r="F45" s="19" t="n">
        <f aca="false">IF(E45="","",Vq*E45)</f>
        <v>20.6907271691035</v>
      </c>
    </row>
    <row r="46" customFormat="false" ht="15" hidden="false" customHeight="false" outlineLevel="0" collapsed="false">
      <c r="A46" s="26" t="n">
        <f aca="false">INDEX(Quantiles!$B$4:$CT$4,1,42)</f>
        <v>0.1125</v>
      </c>
      <c r="B46" s="20" t="n">
        <f aca="false">MIN(INDEX(Cost!$B$5:$CT$85,0,42))</f>
        <v>3.45</v>
      </c>
      <c r="C46" s="11" t="n">
        <f aca="false">INDEX(Cost!$A$5:$A$85,MATCH(B46,INDEX(Cost!$B$5:$CT$85,0,42),0))</f>
        <v>115</v>
      </c>
      <c r="D46" s="20" t="n">
        <f aca="false">INDEX(Delay!$B$5:$CT$85,MATCH(B46,INDEX(Cost!$B$5:$CT$85,0,42),0),42)</f>
        <v>0</v>
      </c>
      <c r="E46" s="20" t="n">
        <f aca="false">INDEX(Delay!$B$5:$CT$85,1,42)</f>
        <v>2.509877702518</v>
      </c>
      <c r="F46" s="19" t="n">
        <f aca="false">IF(E46="","",Vq*E46)</f>
        <v>20.079021620144</v>
      </c>
    </row>
    <row r="47" customFormat="false" ht="15" hidden="false" customHeight="false" outlineLevel="0" collapsed="false">
      <c r="A47" s="26" t="n">
        <f aca="false">INDEX(Quantiles!$B$4:$CT$4,1,43)</f>
        <v>0.115</v>
      </c>
      <c r="B47" s="20" t="n">
        <f aca="false">MIN(INDEX(Cost!$B$5:$CT$85,0,43))</f>
        <v>3.3644175837846</v>
      </c>
      <c r="C47" s="11" t="n">
        <f aca="false">INDEX(Cost!$A$5:$A$85,MATCH(B47,INDEX(Cost!$B$5:$CT$85,0,43),0))</f>
        <v>110</v>
      </c>
      <c r="D47" s="20" t="n">
        <f aca="false">INDEX(Delay!$B$5:$CT$85,MATCH(B47,INDEX(Cost!$B$5:$CT$85,0,43),0),43)</f>
        <v>0.00805219797307544</v>
      </c>
      <c r="E47" s="20" t="n">
        <f aca="false">INDEX(Delay!$B$5:$CT$85,1,43)</f>
        <v>2.43365966902309</v>
      </c>
      <c r="F47" s="19" t="n">
        <f aca="false">IF(E47="","",Vq*E47)</f>
        <v>19.4692773521847</v>
      </c>
    </row>
    <row r="48" customFormat="false" ht="15" hidden="false" customHeight="false" outlineLevel="0" collapsed="false">
      <c r="A48" s="26" t="n">
        <f aca="false">INDEX(Quantiles!$B$4:$CT$4,1,44)</f>
        <v>0.1175</v>
      </c>
      <c r="B48" s="20" t="n">
        <f aca="false">MIN(INDEX(Cost!$B$5:$CT$85,0,44))</f>
        <v>3.3</v>
      </c>
      <c r="C48" s="11" t="n">
        <f aca="false">INDEX(Cost!$A$5:$A$85,MATCH(B48,INDEX(Cost!$B$5:$CT$85,0,44),0))</f>
        <v>110</v>
      </c>
      <c r="D48" s="20" t="n">
        <f aca="false">INDEX(Delay!$B$5:$CT$85,MATCH(B48,INDEX(Cost!$B$5:$CT$85,0,44),0),44)</f>
        <v>0</v>
      </c>
      <c r="E48" s="20" t="n">
        <f aca="false">INDEX(Delay!$B$5:$CT$85,1,44)</f>
        <v>2.36040509742849</v>
      </c>
      <c r="F48" s="19" t="n">
        <f aca="false">IF(E48="","",Vq*E48)</f>
        <v>18.883240779428</v>
      </c>
    </row>
    <row r="49" customFormat="false" ht="15" hidden="false" customHeight="false" outlineLevel="0" collapsed="false">
      <c r="A49" s="26" t="n">
        <f aca="false">INDEX(Quantiles!$B$4:$CT$4,1,45)</f>
        <v>0.12</v>
      </c>
      <c r="B49" s="20" t="n">
        <f aca="false">MIN(INDEX(Cost!$B$5:$CT$85,0,45))</f>
        <v>3.15</v>
      </c>
      <c r="C49" s="11" t="n">
        <f aca="false">INDEX(Cost!$A$5:$A$85,MATCH(B49,INDEX(Cost!$B$5:$CT$85,0,45),0))</f>
        <v>105</v>
      </c>
      <c r="D49" s="20" t="n">
        <f aca="false">INDEX(Delay!$B$5:$CT$85,MATCH(B49,INDEX(Cost!$B$5:$CT$85,0,45),0),45)</f>
        <v>0</v>
      </c>
      <c r="E49" s="20" t="n">
        <f aca="false">INDEX(Delay!$B$5:$CT$85,1,45)</f>
        <v>2.28602082007218</v>
      </c>
      <c r="F49" s="19" t="n">
        <f aca="false">IF(E49="","",Vq*E49)</f>
        <v>18.2881665605774</v>
      </c>
    </row>
    <row r="50" customFormat="false" ht="15" hidden="false" customHeight="false" outlineLevel="0" collapsed="false">
      <c r="A50" s="26" t="n">
        <f aca="false">INDEX(Quantiles!$B$4:$CT$4,1,46)</f>
        <v>0.1225</v>
      </c>
      <c r="B50" s="20" t="n">
        <f aca="false">MIN(INDEX(Cost!$B$5:$CT$85,0,46))</f>
        <v>3.11793411019712</v>
      </c>
      <c r="C50" s="11" t="n">
        <f aca="false">INDEX(Cost!$A$5:$A$85,MATCH(B50,INDEX(Cost!$B$5:$CT$85,0,46),0))</f>
        <v>100</v>
      </c>
      <c r="D50" s="20" t="n">
        <f aca="false">INDEX(Delay!$B$5:$CT$85,MATCH(B50,INDEX(Cost!$B$5:$CT$85,0,46),0),46)</f>
        <v>0.0147417637746399</v>
      </c>
      <c r="E50" s="20" t="n">
        <f aca="false">INDEX(Delay!$B$5:$CT$85,1,46)</f>
        <v>2.20953252157225</v>
      </c>
      <c r="F50" s="19" t="n">
        <f aca="false">IF(E50="","",Vq*E50)</f>
        <v>17.676260172578</v>
      </c>
    </row>
    <row r="51" customFormat="false" ht="15" hidden="false" customHeight="false" outlineLevel="0" collapsed="false">
      <c r="A51" s="26" t="n">
        <f aca="false">INDEX(Quantiles!$B$4:$CT$4,1,47)</f>
        <v>0.125</v>
      </c>
      <c r="B51" s="20" t="n">
        <f aca="false">MIN(INDEX(Cost!$B$5:$CT$85,0,47))</f>
        <v>3</v>
      </c>
      <c r="C51" s="11" t="n">
        <f aca="false">INDEX(Cost!$A$5:$A$85,MATCH(B51,INDEX(Cost!$B$5:$CT$85,0,47),0))</f>
        <v>100</v>
      </c>
      <c r="D51" s="20" t="n">
        <f aca="false">INDEX(Delay!$B$5:$CT$85,MATCH(B51,INDEX(Cost!$B$5:$CT$85,0,47),0),47)</f>
        <v>0</v>
      </c>
      <c r="E51" s="20" t="n">
        <f aca="false">INDEX(Delay!$B$5:$CT$85,1,47)</f>
        <v>2.14193660218941</v>
      </c>
      <c r="F51" s="19" t="n">
        <f aca="false">IF(E51="","",Vq*E51)</f>
        <v>17.1354928175153</v>
      </c>
    </row>
    <row r="52" customFormat="false" ht="15" hidden="false" customHeight="false" outlineLevel="0" collapsed="false">
      <c r="A52" s="26" t="n">
        <f aca="false">INDEX(Quantiles!$B$4:$CT$4,1,48)</f>
        <v>0.1275</v>
      </c>
      <c r="B52" s="20" t="n">
        <f aca="false">MIN(INDEX(Cost!$B$5:$CT$85,0,48))</f>
        <v>2.906501728721</v>
      </c>
      <c r="C52" s="11" t="n">
        <f aca="false">INDEX(Cost!$A$5:$A$85,MATCH(B52,INDEX(Cost!$B$5:$CT$85,0,48),0))</f>
        <v>95</v>
      </c>
      <c r="D52" s="20" t="n">
        <f aca="false">INDEX(Delay!$B$5:$CT$85,MATCH(B52,INDEX(Cost!$B$5:$CT$85,0,48),0),48)</f>
        <v>0.00706271609012532</v>
      </c>
      <c r="E52" s="20" t="n">
        <f aca="false">INDEX(Delay!$B$5:$CT$85,1,48)</f>
        <v>2.08004882682776</v>
      </c>
      <c r="F52" s="19" t="n">
        <f aca="false">IF(E52="","",Vq*E52)</f>
        <v>16.6403906146221</v>
      </c>
    </row>
    <row r="53" customFormat="false" ht="15" hidden="false" customHeight="false" outlineLevel="0" collapsed="false">
      <c r="A53" s="26" t="n">
        <f aca="false">INDEX(Quantiles!$B$4:$CT$4,1,49)</f>
        <v>0.13</v>
      </c>
      <c r="B53" s="20" t="n">
        <f aca="false">MIN(INDEX(Cost!$B$5:$CT$85,0,49))</f>
        <v>2.85</v>
      </c>
      <c r="C53" s="11" t="n">
        <f aca="false">INDEX(Cost!$A$5:$A$85,MATCH(B53,INDEX(Cost!$B$5:$CT$85,0,49),0))</f>
        <v>95</v>
      </c>
      <c r="D53" s="20" t="n">
        <f aca="false">INDEX(Delay!$B$5:$CT$85,MATCH(B53,INDEX(Cost!$B$5:$CT$85,0,49),0),49)</f>
        <v>0</v>
      </c>
      <c r="E53" s="20" t="n">
        <f aca="false">INDEX(Delay!$B$5:$CT$85,1,49)</f>
        <v>2.01688661239363</v>
      </c>
      <c r="F53" s="19" t="n">
        <f aca="false">IF(E53="","",Vq*E53)</f>
        <v>16.135092899149</v>
      </c>
    </row>
    <row r="54" customFormat="false" ht="15" hidden="false" customHeight="false" outlineLevel="0" collapsed="false">
      <c r="A54" s="26" t="n">
        <f aca="false">INDEX(Quantiles!$B$4:$CT$4,1,50)</f>
        <v>0.1325</v>
      </c>
      <c r="B54" s="20" t="n">
        <f aca="false">MIN(INDEX(Cost!$B$5:$CT$85,0,50))</f>
        <v>2.74300335934156</v>
      </c>
      <c r="C54" s="11" t="n">
        <f aca="false">INDEX(Cost!$A$5:$A$85,MATCH(B54,INDEX(Cost!$B$5:$CT$85,0,50),0))</f>
        <v>90</v>
      </c>
      <c r="D54" s="20" t="n">
        <f aca="false">INDEX(Delay!$B$5:$CT$85,MATCH(B54,INDEX(Cost!$B$5:$CT$85,0,50),0),50)</f>
        <v>0.00537541991769519</v>
      </c>
      <c r="E54" s="20" t="n">
        <f aca="false">INDEX(Delay!$B$5:$CT$85,1,50)</f>
        <v>1.94756895377165</v>
      </c>
      <c r="F54" s="19" t="n">
        <f aca="false">IF(E54="","",Vq*E54)</f>
        <v>15.5805516301732</v>
      </c>
    </row>
    <row r="55" customFormat="false" ht="15" hidden="false" customHeight="false" outlineLevel="0" collapsed="false">
      <c r="A55" s="26" t="n">
        <f aca="false">INDEX(Quantiles!$B$4:$CT$4,1,51)</f>
        <v>0.135</v>
      </c>
      <c r="B55" s="20" t="n">
        <f aca="false">MIN(INDEX(Cost!$B$5:$CT$85,0,51))</f>
        <v>2.7</v>
      </c>
      <c r="C55" s="11" t="n">
        <f aca="false">INDEX(Cost!$A$5:$A$85,MATCH(B55,INDEX(Cost!$B$5:$CT$85,0,51),0))</f>
        <v>90</v>
      </c>
      <c r="D55" s="20" t="n">
        <f aca="false">INDEX(Delay!$B$5:$CT$85,MATCH(B55,INDEX(Cost!$B$5:$CT$85,0,51),0),51)</f>
        <v>0</v>
      </c>
      <c r="E55" s="20" t="n">
        <f aca="false">INDEX(Delay!$B$5:$CT$85,1,51)</f>
        <v>1.88906965831587</v>
      </c>
      <c r="F55" s="19" t="n">
        <f aca="false">IF(E55="","",Vq*E55)</f>
        <v>15.1125572665269</v>
      </c>
    </row>
    <row r="56" customFormat="false" ht="15" hidden="false" customHeight="false" outlineLevel="0" collapsed="false">
      <c r="A56" s="26" t="n">
        <f aca="false">INDEX(Quantiles!$B$4:$CT$4,1,52)</f>
        <v>0.1375</v>
      </c>
      <c r="B56" s="20" t="n">
        <f aca="false">MIN(INDEX(Cost!$B$5:$CT$85,0,52))</f>
        <v>2.60662098050632</v>
      </c>
      <c r="C56" s="11" t="n">
        <f aca="false">INDEX(Cost!$A$5:$A$85,MATCH(B56,INDEX(Cost!$B$5:$CT$85,0,52),0))</f>
        <v>85</v>
      </c>
      <c r="D56" s="20" t="n">
        <f aca="false">INDEX(Delay!$B$5:$CT$85,MATCH(B56,INDEX(Cost!$B$5:$CT$85,0,52),0),52)</f>
        <v>0.00707762256328959</v>
      </c>
      <c r="E56" s="20" t="n">
        <f aca="false">INDEX(Delay!$B$5:$CT$85,1,52)</f>
        <v>1.83477791746806</v>
      </c>
      <c r="F56" s="19" t="n">
        <f aca="false">IF(E56="","",Vq*E56)</f>
        <v>14.6782233397445</v>
      </c>
    </row>
    <row r="57" customFormat="false" ht="15" hidden="false" customHeight="false" outlineLevel="0" collapsed="false">
      <c r="A57" s="26" t="n">
        <f aca="false">INDEX(Quantiles!$B$4:$CT$4,1,53)</f>
        <v>0.14</v>
      </c>
      <c r="B57" s="20" t="n">
        <f aca="false">MIN(INDEX(Cost!$B$5:$CT$85,0,53))</f>
        <v>2.55</v>
      </c>
      <c r="C57" s="11" t="n">
        <f aca="false">INDEX(Cost!$A$5:$A$85,MATCH(B57,INDEX(Cost!$B$5:$CT$85,0,53),0))</f>
        <v>85</v>
      </c>
      <c r="D57" s="20" t="n">
        <f aca="false">INDEX(Delay!$B$5:$CT$85,MATCH(B57,INDEX(Cost!$B$5:$CT$85,0,53),0),53)</f>
        <v>0</v>
      </c>
      <c r="E57" s="20" t="n">
        <f aca="false">INDEX(Delay!$B$5:$CT$85,1,53)</f>
        <v>1.77543376827027</v>
      </c>
      <c r="F57" s="19" t="n">
        <f aca="false">IF(E57="","",Vq*E57)</f>
        <v>14.2034701461622</v>
      </c>
    </row>
    <row r="58" customFormat="false" ht="15" hidden="false" customHeight="false" outlineLevel="0" collapsed="false">
      <c r="A58" s="26" t="n">
        <f aca="false">INDEX(Quantiles!$B$4:$CT$4,1,54)</f>
        <v>0.1425</v>
      </c>
      <c r="B58" s="20" t="n">
        <f aca="false">MIN(INDEX(Cost!$B$5:$CT$85,0,54))</f>
        <v>2.48617844713688</v>
      </c>
      <c r="C58" s="11" t="n">
        <f aca="false">INDEX(Cost!$A$5:$A$85,MATCH(B58,INDEX(Cost!$B$5:$CT$85,0,54),0))</f>
        <v>80</v>
      </c>
      <c r="D58" s="20" t="n">
        <f aca="false">INDEX(Delay!$B$5:$CT$85,MATCH(B58,INDEX(Cost!$B$5:$CT$85,0,54),0),54)</f>
        <v>0.0107723058921101</v>
      </c>
      <c r="E58" s="20" t="n">
        <f aca="false">INDEX(Delay!$B$5:$CT$85,1,54)</f>
        <v>1.71608882326737</v>
      </c>
      <c r="F58" s="19" t="n">
        <f aca="false">IF(E58="","",Vq*E58)</f>
        <v>13.728710586139</v>
      </c>
    </row>
    <row r="59" customFormat="false" ht="15" hidden="false" customHeight="false" outlineLevel="0" collapsed="false">
      <c r="A59" s="26" t="n">
        <f aca="false">INDEX(Quantiles!$B$4:$CT$4,1,55)</f>
        <v>0.145</v>
      </c>
      <c r="B59" s="20" t="n">
        <f aca="false">MIN(INDEX(Cost!$B$5:$CT$85,0,55))</f>
        <v>2.4</v>
      </c>
      <c r="C59" s="11" t="n">
        <f aca="false">INDEX(Cost!$A$5:$A$85,MATCH(B59,INDEX(Cost!$B$5:$CT$85,0,55),0))</f>
        <v>80</v>
      </c>
      <c r="D59" s="20" t="n">
        <f aca="false">INDEX(Delay!$B$5:$CT$85,MATCH(B59,INDEX(Cost!$B$5:$CT$85,0,55),0),55)</f>
        <v>0</v>
      </c>
      <c r="E59" s="20" t="n">
        <f aca="false">INDEX(Delay!$B$5:$CT$85,1,55)</f>
        <v>1.65149266151397</v>
      </c>
      <c r="F59" s="19" t="n">
        <f aca="false">IF(E59="","",Vq*E59)</f>
        <v>13.2119412921118</v>
      </c>
    </row>
    <row r="60" customFormat="false" ht="15" hidden="false" customHeight="false" outlineLevel="0" collapsed="false">
      <c r="A60" s="26" t="n">
        <f aca="false">INDEX(Quantiles!$B$4:$CT$4,1,56)</f>
        <v>0.1475</v>
      </c>
      <c r="B60" s="20" t="n">
        <f aca="false">MIN(INDEX(Cost!$B$5:$CT$85,0,56))</f>
        <v>2.4</v>
      </c>
      <c r="C60" s="11" t="n">
        <f aca="false">INDEX(Cost!$A$5:$A$85,MATCH(B60,INDEX(Cost!$B$5:$CT$85,0,56),0))</f>
        <v>80</v>
      </c>
      <c r="D60" s="20" t="n">
        <f aca="false">INDEX(Delay!$B$5:$CT$85,MATCH(B60,INDEX(Cost!$B$5:$CT$85,0,56),0),56)</f>
        <v>0</v>
      </c>
      <c r="E60" s="20" t="n">
        <f aca="false">INDEX(Delay!$B$5:$CT$85,1,56)</f>
        <v>1.59502853981667</v>
      </c>
      <c r="F60" s="19" t="n">
        <f aca="false">IF(E60="","",Vq*E60)</f>
        <v>12.7602283185334</v>
      </c>
    </row>
    <row r="61" customFormat="false" ht="15" hidden="false" customHeight="false" outlineLevel="0" collapsed="false">
      <c r="A61" s="26" t="n">
        <f aca="false">INDEX(Quantiles!$B$4:$CT$4,1,57)</f>
        <v>0.15</v>
      </c>
      <c r="B61" s="20" t="n">
        <f aca="false">MIN(INDEX(Cost!$B$5:$CT$85,0,57))</f>
        <v>2.25</v>
      </c>
      <c r="C61" s="11" t="n">
        <f aca="false">INDEX(Cost!$A$5:$A$85,MATCH(B61,INDEX(Cost!$B$5:$CT$85,0,57),0))</f>
        <v>75</v>
      </c>
      <c r="D61" s="20" t="n">
        <f aca="false">INDEX(Delay!$B$5:$CT$85,MATCH(B61,INDEX(Cost!$B$5:$CT$85,0,57),0),57)</f>
        <v>0</v>
      </c>
      <c r="E61" s="20" t="n">
        <f aca="false">INDEX(Delay!$B$5:$CT$85,1,57)</f>
        <v>1.53937514168155</v>
      </c>
      <c r="F61" s="19" t="n">
        <f aca="false">IF(E61="","",Vq*E61)</f>
        <v>12.3150011334524</v>
      </c>
    </row>
    <row r="62" customFormat="false" ht="15" hidden="false" customHeight="false" outlineLevel="0" collapsed="false">
      <c r="A62" s="26" t="n">
        <f aca="false">INDEX(Quantiles!$B$4:$CT$4,1,58)</f>
        <v>0.1525</v>
      </c>
      <c r="B62" s="20" t="n">
        <f aca="false">MIN(INDEX(Cost!$B$5:$CT$85,0,58))</f>
        <v>2.25</v>
      </c>
      <c r="C62" s="11" t="n">
        <f aca="false">INDEX(Cost!$A$5:$A$85,MATCH(B62,INDEX(Cost!$B$5:$CT$85,0,58),0))</f>
        <v>75</v>
      </c>
      <c r="D62" s="20" t="n">
        <f aca="false">INDEX(Delay!$B$5:$CT$85,MATCH(B62,INDEX(Cost!$B$5:$CT$85,0,58),0),58)</f>
        <v>0</v>
      </c>
      <c r="E62" s="20" t="n">
        <f aca="false">INDEX(Delay!$B$5:$CT$85,1,58)</f>
        <v>1.48736483916434</v>
      </c>
      <c r="F62" s="19" t="n">
        <f aca="false">IF(E62="","",Vq*E62)</f>
        <v>11.8989187133147</v>
      </c>
    </row>
    <row r="63" customFormat="false" ht="15" hidden="false" customHeight="false" outlineLevel="0" collapsed="false">
      <c r="A63" s="26" t="n">
        <f aca="false">INDEX(Quantiles!$B$4:$CT$4,1,59)</f>
        <v>0.155</v>
      </c>
      <c r="B63" s="20" t="n">
        <f aca="false">MIN(INDEX(Cost!$B$5:$CT$85,0,59))</f>
        <v>2.11768409636464</v>
      </c>
      <c r="C63" s="11" t="n">
        <f aca="false">INDEX(Cost!$A$5:$A$85,MATCH(B63,INDEX(Cost!$B$5:$CT$85,0,59),0))</f>
        <v>70</v>
      </c>
      <c r="D63" s="20" t="n">
        <f aca="false">INDEX(Delay!$B$5:$CT$85,MATCH(B63,INDEX(Cost!$B$5:$CT$85,0,59),0),59)</f>
        <v>0.00221051204557998</v>
      </c>
      <c r="E63" s="20" t="n">
        <f aca="false">INDEX(Delay!$B$5:$CT$85,1,59)</f>
        <v>1.43509928396161</v>
      </c>
      <c r="F63" s="19" t="n">
        <f aca="false">IF(E63="","",Vq*E63)</f>
        <v>11.4807942716929</v>
      </c>
    </row>
    <row r="64" customFormat="false" ht="15" hidden="false" customHeight="false" outlineLevel="0" collapsed="false">
      <c r="A64" s="26" t="n">
        <f aca="false">INDEX(Quantiles!$B$4:$CT$4,1,60)</f>
        <v>0.1575</v>
      </c>
      <c r="B64" s="20" t="n">
        <f aca="false">MIN(INDEX(Cost!$B$5:$CT$85,0,60))</f>
        <v>2.1</v>
      </c>
      <c r="C64" s="11" t="n">
        <f aca="false">INDEX(Cost!$A$5:$A$85,MATCH(B64,INDEX(Cost!$B$5:$CT$85,0,60),0))</f>
        <v>70</v>
      </c>
      <c r="D64" s="20" t="n">
        <f aca="false">INDEX(Delay!$B$5:$CT$85,MATCH(B64,INDEX(Cost!$B$5:$CT$85,0,60),0),60)</f>
        <v>0</v>
      </c>
      <c r="E64" s="20" t="n">
        <f aca="false">INDEX(Delay!$B$5:$CT$85,1,60)</f>
        <v>1.38309709548786</v>
      </c>
      <c r="F64" s="19" t="n">
        <f aca="false">IF(E64="","",Vq*E64)</f>
        <v>11.0647767639028</v>
      </c>
    </row>
    <row r="65" customFormat="false" ht="15" hidden="false" customHeight="false" outlineLevel="0" collapsed="false">
      <c r="A65" s="26" t="n">
        <f aca="false">INDEX(Quantiles!$B$4:$CT$4,1,61)</f>
        <v>0.16</v>
      </c>
      <c r="B65" s="20" t="n">
        <f aca="false">MIN(INDEX(Cost!$B$5:$CT$85,0,61))</f>
        <v>2.06871559135782</v>
      </c>
      <c r="C65" s="11" t="n">
        <f aca="false">INDEX(Cost!$A$5:$A$85,MATCH(B65,INDEX(Cost!$B$5:$CT$85,0,61),0))</f>
        <v>65</v>
      </c>
      <c r="D65" s="20" t="n">
        <f aca="false">INDEX(Delay!$B$5:$CT$85,MATCH(B65,INDEX(Cost!$B$5:$CT$85,0,61),0),61)</f>
        <v>0.0148394489197274</v>
      </c>
      <c r="E65" s="20" t="n">
        <f aca="false">INDEX(Delay!$B$5:$CT$85,1,61)</f>
        <v>1.33482482453987</v>
      </c>
      <c r="F65" s="19" t="n">
        <f aca="false">IF(E65="","",Vq*E65)</f>
        <v>10.6785985963189</v>
      </c>
    </row>
    <row r="66" customFormat="false" ht="15" hidden="false" customHeight="false" outlineLevel="0" collapsed="false">
      <c r="A66" s="26" t="n">
        <f aca="false">INDEX(Quantiles!$B$4:$CT$4,1,62)</f>
        <v>0.1625</v>
      </c>
      <c r="B66" s="20" t="n">
        <f aca="false">MIN(INDEX(Cost!$B$5:$CT$85,0,62))</f>
        <v>1.95</v>
      </c>
      <c r="C66" s="11" t="n">
        <f aca="false">INDEX(Cost!$A$5:$A$85,MATCH(B66,INDEX(Cost!$B$5:$CT$85,0,62),0))</f>
        <v>65</v>
      </c>
      <c r="D66" s="20" t="n">
        <f aca="false">INDEX(Delay!$B$5:$CT$85,MATCH(B66,INDEX(Cost!$B$5:$CT$85,0,62),0),62)</f>
        <v>0</v>
      </c>
      <c r="E66" s="20" t="n">
        <f aca="false">INDEX(Delay!$B$5:$CT$85,1,62)</f>
        <v>1.28485092419161</v>
      </c>
      <c r="F66" s="19" t="n">
        <f aca="false">IF(E66="","",Vq*E66)</f>
        <v>10.2788073935329</v>
      </c>
    </row>
    <row r="67" customFormat="false" ht="15" hidden="false" customHeight="false" outlineLevel="0" collapsed="false">
      <c r="A67" s="26" t="n">
        <f aca="false">INDEX(Quantiles!$B$4:$CT$4,1,63)</f>
        <v>0.165</v>
      </c>
      <c r="B67" s="20" t="n">
        <f aca="false">MIN(INDEX(Cost!$B$5:$CT$85,0,63))</f>
        <v>1.95</v>
      </c>
      <c r="C67" s="11" t="n">
        <f aca="false">INDEX(Cost!$A$5:$A$85,MATCH(B67,INDEX(Cost!$B$5:$CT$85,0,63),0))</f>
        <v>65</v>
      </c>
      <c r="D67" s="20" t="n">
        <f aca="false">INDEX(Delay!$B$5:$CT$85,MATCH(B67,INDEX(Cost!$B$5:$CT$85,0,63),0),63)</f>
        <v>0</v>
      </c>
      <c r="E67" s="20" t="n">
        <f aca="false">INDEX(Delay!$B$5:$CT$85,1,63)</f>
        <v>1.23920194864518</v>
      </c>
      <c r="F67" s="19" t="n">
        <f aca="false">IF(E67="","",Vq*E67)</f>
        <v>9.91361558916144</v>
      </c>
    </row>
    <row r="68" customFormat="false" ht="15" hidden="false" customHeight="false" outlineLevel="0" collapsed="false">
      <c r="A68" s="26" t="n">
        <f aca="false">INDEX(Quantiles!$B$4:$CT$4,1,64)</f>
        <v>0.1675</v>
      </c>
      <c r="B68" s="20" t="n">
        <f aca="false">MIN(INDEX(Cost!$B$5:$CT$85,0,64))</f>
        <v>1.80441165649144</v>
      </c>
      <c r="C68" s="11" t="n">
        <f aca="false">INDEX(Cost!$A$5:$A$85,MATCH(B68,INDEX(Cost!$B$5:$CT$85,0,64),0))</f>
        <v>60</v>
      </c>
      <c r="D68" s="20" t="n">
        <f aca="false">INDEX(Delay!$B$5:$CT$85,MATCH(B68,INDEX(Cost!$B$5:$CT$85,0,64),0),64)</f>
        <v>0.000551457061430227</v>
      </c>
      <c r="E68" s="20" t="n">
        <f aca="false">INDEX(Delay!$B$5:$CT$85,1,64)</f>
        <v>1.18789678532705</v>
      </c>
      <c r="F68" s="19" t="n">
        <f aca="false">IF(E68="","",Vq*E68)</f>
        <v>9.50317428261638</v>
      </c>
    </row>
    <row r="69" customFormat="false" ht="15" hidden="false" customHeight="false" outlineLevel="0" collapsed="false">
      <c r="A69" s="26" t="n">
        <f aca="false">INDEX(Quantiles!$B$4:$CT$4,1,65)</f>
        <v>0.17</v>
      </c>
      <c r="B69" s="20" t="n">
        <f aca="false">MIN(INDEX(Cost!$B$5:$CT$85,0,65))</f>
        <v>1.8</v>
      </c>
      <c r="C69" s="11" t="n">
        <f aca="false">INDEX(Cost!$A$5:$A$85,MATCH(B69,INDEX(Cost!$B$5:$CT$85,0,65),0))</f>
        <v>60</v>
      </c>
      <c r="D69" s="20" t="n">
        <f aca="false">INDEX(Delay!$B$5:$CT$85,MATCH(B69,INDEX(Cost!$B$5:$CT$85,0,65),0),65)</f>
        <v>0</v>
      </c>
      <c r="E69" s="20" t="n">
        <f aca="false">INDEX(Delay!$B$5:$CT$85,1,65)</f>
        <v>1.13516118729527</v>
      </c>
      <c r="F69" s="19" t="n">
        <f aca="false">IF(E69="","",Vq*E69)</f>
        <v>9.08128949836218</v>
      </c>
    </row>
    <row r="70" customFormat="false" ht="15" hidden="false" customHeight="false" outlineLevel="0" collapsed="false">
      <c r="A70" s="26" t="n">
        <f aca="false">INDEX(Quantiles!$B$4:$CT$4,1,66)</f>
        <v>0.1725</v>
      </c>
      <c r="B70" s="20" t="n">
        <f aca="false">MIN(INDEX(Cost!$B$5:$CT$85,0,66))</f>
        <v>1.77137293000762</v>
      </c>
      <c r="C70" s="11" t="n">
        <f aca="false">INDEX(Cost!$A$5:$A$85,MATCH(B70,INDEX(Cost!$B$5:$CT$85,0,66),0))</f>
        <v>55</v>
      </c>
      <c r="D70" s="20" t="n">
        <f aca="false">INDEX(Delay!$B$5:$CT$85,MATCH(B70,INDEX(Cost!$B$5:$CT$85,0,66),0),66)</f>
        <v>0.0151716162509521</v>
      </c>
      <c r="E70" s="20" t="n">
        <f aca="false">INDEX(Delay!$B$5:$CT$85,1,66)</f>
        <v>1.0894947683814</v>
      </c>
      <c r="F70" s="19" t="n">
        <f aca="false">IF(E70="","",Vq*E70)</f>
        <v>8.71595814705122</v>
      </c>
    </row>
    <row r="71" customFormat="false" ht="15" hidden="false" customHeight="false" outlineLevel="0" collapsed="false">
      <c r="A71" s="26" t="n">
        <f aca="false">INDEX(Quantiles!$B$4:$CT$4,1,67)</f>
        <v>0.175</v>
      </c>
      <c r="B71" s="20" t="n">
        <f aca="false">MIN(INDEX(Cost!$B$5:$CT$85,0,67))</f>
        <v>1.65</v>
      </c>
      <c r="C71" s="11" t="n">
        <f aca="false">INDEX(Cost!$A$5:$A$85,MATCH(B71,INDEX(Cost!$B$5:$CT$85,0,67),0))</f>
        <v>55</v>
      </c>
      <c r="D71" s="20" t="n">
        <f aca="false">INDEX(Delay!$B$5:$CT$85,MATCH(B71,INDEX(Cost!$B$5:$CT$85,0,67),0),67)</f>
        <v>0</v>
      </c>
      <c r="E71" s="20" t="n">
        <f aca="false">INDEX(Delay!$B$5:$CT$85,1,67)</f>
        <v>1.04574266407558</v>
      </c>
      <c r="F71" s="19" t="n">
        <f aca="false">IF(E71="","",Vq*E71)</f>
        <v>8.36594131260466</v>
      </c>
    </row>
    <row r="72" customFormat="false" ht="15" hidden="false" customHeight="false" outlineLevel="0" collapsed="false">
      <c r="A72" s="26" t="n">
        <f aca="false">INDEX(Quantiles!$B$4:$CT$4,1,68)</f>
        <v>0.1775</v>
      </c>
      <c r="B72" s="20" t="n">
        <f aca="false">MIN(INDEX(Cost!$B$5:$CT$85,0,68))</f>
        <v>1.65</v>
      </c>
      <c r="C72" s="11" t="n">
        <f aca="false">INDEX(Cost!$A$5:$A$85,MATCH(B72,INDEX(Cost!$B$5:$CT$85,0,68),0))</f>
        <v>55</v>
      </c>
      <c r="D72" s="20" t="n">
        <f aca="false">INDEX(Delay!$B$5:$CT$85,MATCH(B72,INDEX(Cost!$B$5:$CT$85,0,68),0),68)</f>
        <v>0</v>
      </c>
      <c r="E72" s="20" t="n">
        <f aca="false">INDEX(Delay!$B$5:$CT$85,1,68)</f>
        <v>0.99565249411398</v>
      </c>
      <c r="F72" s="19" t="n">
        <f aca="false">IF(E72="","",Vq*E72)</f>
        <v>7.96521995291184</v>
      </c>
    </row>
    <row r="73" customFormat="false" ht="15" hidden="false" customHeight="false" outlineLevel="0" collapsed="false">
      <c r="A73" s="26" t="n">
        <f aca="false">INDEX(Quantiles!$B$4:$CT$4,1,69)</f>
        <v>0.18</v>
      </c>
      <c r="B73" s="20" t="n">
        <f aca="false">MIN(INDEX(Cost!$B$5:$CT$85,0,69))</f>
        <v>1.56678146580612</v>
      </c>
      <c r="C73" s="11" t="n">
        <f aca="false">INDEX(Cost!$A$5:$A$85,MATCH(B73,INDEX(Cost!$B$5:$CT$85,0,69),0))</f>
        <v>50</v>
      </c>
      <c r="D73" s="20" t="n">
        <f aca="false">INDEX(Delay!$B$5:$CT$85,MATCH(B73,INDEX(Cost!$B$5:$CT$85,0,69),0),69)</f>
        <v>0.0083476832257654</v>
      </c>
      <c r="E73" s="20" t="n">
        <f aca="false">INDEX(Delay!$B$5:$CT$85,1,69)</f>
        <v>0.951694931979572</v>
      </c>
      <c r="F73" s="19" t="n">
        <f aca="false">IF(E73="","",Vq*E73)</f>
        <v>7.61355945583658</v>
      </c>
    </row>
    <row r="74" customFormat="false" ht="15" hidden="false" customHeight="false" outlineLevel="0" collapsed="false">
      <c r="A74" s="26" t="n">
        <f aca="false">INDEX(Quantiles!$B$4:$CT$4,1,70)</f>
        <v>0.1825</v>
      </c>
      <c r="B74" s="20" t="n">
        <f aca="false">MIN(INDEX(Cost!$B$5:$CT$85,0,70))</f>
        <v>1.5</v>
      </c>
      <c r="C74" s="11" t="n">
        <f aca="false">INDEX(Cost!$A$5:$A$85,MATCH(B74,INDEX(Cost!$B$5:$CT$85,0,70),0))</f>
        <v>50</v>
      </c>
      <c r="D74" s="20" t="n">
        <f aca="false">INDEX(Delay!$B$5:$CT$85,MATCH(B74,INDEX(Cost!$B$5:$CT$85,0,70),0),70)</f>
        <v>0</v>
      </c>
      <c r="E74" s="20" t="n">
        <f aca="false">INDEX(Delay!$B$5:$CT$85,1,70)</f>
        <v>0.907318740253237</v>
      </c>
      <c r="F74" s="19" t="n">
        <f aca="false">IF(E74="","",Vq*E74)</f>
        <v>7.2585499220259</v>
      </c>
    </row>
    <row r="75" customFormat="false" ht="15" hidden="false" customHeight="false" outlineLevel="0" collapsed="false">
      <c r="A75" s="26" t="n">
        <f aca="false">INDEX(Quantiles!$B$4:$CT$4,1,71)</f>
        <v>0.185</v>
      </c>
      <c r="B75" s="20" t="n">
        <f aca="false">MIN(INDEX(Cost!$B$5:$CT$85,0,71))</f>
        <v>1.5</v>
      </c>
      <c r="C75" s="11" t="n">
        <f aca="false">INDEX(Cost!$A$5:$A$85,MATCH(B75,INDEX(Cost!$B$5:$CT$85,0,71),0))</f>
        <v>50</v>
      </c>
      <c r="D75" s="20" t="n">
        <f aca="false">INDEX(Delay!$B$5:$CT$85,MATCH(B75,INDEX(Cost!$B$5:$CT$85,0,71),0),71)</f>
        <v>0</v>
      </c>
      <c r="E75" s="20" t="n">
        <f aca="false">INDEX(Delay!$B$5:$CT$85,1,71)</f>
        <v>0.868147277304365</v>
      </c>
      <c r="F75" s="19" t="n">
        <f aca="false">IF(E75="","",Vq*E75)</f>
        <v>6.94517821843492</v>
      </c>
    </row>
    <row r="76" customFormat="false" ht="15" hidden="false" customHeight="false" outlineLevel="0" collapsed="false">
      <c r="A76" s="26" t="n">
        <f aca="false">INDEX(Quantiles!$B$4:$CT$4,1,72)</f>
        <v>0.1875</v>
      </c>
      <c r="B76" s="20" t="n">
        <f aca="false">MIN(INDEX(Cost!$B$5:$CT$85,0,72))</f>
        <v>1.37046367316718</v>
      </c>
      <c r="C76" s="11" t="n">
        <f aca="false">INDEX(Cost!$A$5:$A$85,MATCH(B76,INDEX(Cost!$B$5:$CT$85,0,72),0))</f>
        <v>45</v>
      </c>
      <c r="D76" s="20" t="n">
        <f aca="false">INDEX(Delay!$B$5:$CT$85,MATCH(B76,INDEX(Cost!$B$5:$CT$85,0,72),0),72)</f>
        <v>0.00255795914589729</v>
      </c>
      <c r="E76" s="20" t="n">
        <f aca="false">INDEX(Delay!$B$5:$CT$85,1,72)</f>
        <v>0.825532758497182</v>
      </c>
      <c r="F76" s="19" t="n">
        <f aca="false">IF(E76="","",Vq*E76)</f>
        <v>6.60426206797746</v>
      </c>
    </row>
    <row r="77" customFormat="false" ht="15" hidden="false" customHeight="false" outlineLevel="0" collapsed="false">
      <c r="A77" s="26" t="n">
        <f aca="false">INDEX(Quantiles!$B$4:$CT$4,1,73)</f>
        <v>0.19</v>
      </c>
      <c r="B77" s="20" t="n">
        <f aca="false">MIN(INDEX(Cost!$B$5:$CT$85,0,73))</f>
        <v>1.35</v>
      </c>
      <c r="C77" s="11" t="n">
        <f aca="false">INDEX(Cost!$A$5:$A$85,MATCH(B77,INDEX(Cost!$B$5:$CT$85,0,73),0))</f>
        <v>45</v>
      </c>
      <c r="D77" s="20" t="n">
        <f aca="false">INDEX(Delay!$B$5:$CT$85,MATCH(B77,INDEX(Cost!$B$5:$CT$85,0,73),0),73)</f>
        <v>0</v>
      </c>
      <c r="E77" s="20" t="n">
        <f aca="false">INDEX(Delay!$B$5:$CT$85,1,73)</f>
        <v>0.781653890584138</v>
      </c>
      <c r="F77" s="19" t="n">
        <f aca="false">IF(E77="","",Vq*E77)</f>
        <v>6.2532311246731</v>
      </c>
    </row>
    <row r="78" customFormat="false" ht="15" hidden="false" customHeight="false" outlineLevel="0" collapsed="false">
      <c r="A78" s="26" t="n">
        <f aca="false">INDEX(Quantiles!$B$4:$CT$4,1,74)</f>
        <v>0.1925</v>
      </c>
      <c r="B78" s="20" t="n">
        <f aca="false">MIN(INDEX(Cost!$B$5:$CT$85,0,74))</f>
        <v>1.35</v>
      </c>
      <c r="C78" s="11" t="n">
        <f aca="false">INDEX(Cost!$A$5:$A$85,MATCH(B78,INDEX(Cost!$B$5:$CT$85,0,74),0))</f>
        <v>45</v>
      </c>
      <c r="D78" s="20" t="n">
        <f aca="false">INDEX(Delay!$B$5:$CT$85,MATCH(B78,INDEX(Cost!$B$5:$CT$85,0,74),0),74)</f>
        <v>0</v>
      </c>
      <c r="E78" s="20" t="n">
        <f aca="false">INDEX(Delay!$B$5:$CT$85,1,74)</f>
        <v>0.7378417675813</v>
      </c>
      <c r="F78" s="19" t="n">
        <f aca="false">IF(E78="","",Vq*E78)</f>
        <v>5.9027341406504</v>
      </c>
    </row>
    <row r="79" customFormat="false" ht="15" hidden="false" customHeight="false" outlineLevel="0" collapsed="false">
      <c r="A79" s="26" t="n">
        <f aca="false">INDEX(Quantiles!$B$4:$CT$4,1,75)</f>
        <v>0.195</v>
      </c>
      <c r="B79" s="20" t="n">
        <f aca="false">MIN(INDEX(Cost!$B$5:$CT$85,0,75))</f>
        <v>1.2</v>
      </c>
      <c r="C79" s="11" t="n">
        <f aca="false">INDEX(Cost!$A$5:$A$85,MATCH(B79,INDEX(Cost!$B$5:$CT$85,0,75),0))</f>
        <v>40</v>
      </c>
      <c r="D79" s="20" t="n">
        <f aca="false">INDEX(Delay!$B$5:$CT$85,MATCH(B79,INDEX(Cost!$B$5:$CT$85,0,75),0),75)</f>
        <v>0</v>
      </c>
      <c r="E79" s="20" t="n">
        <f aca="false">INDEX(Delay!$B$5:$CT$85,1,75)</f>
        <v>0.69847720378265</v>
      </c>
      <c r="F79" s="19" t="n">
        <f aca="false">IF(E79="","",Vq*E79)</f>
        <v>5.5878176302612</v>
      </c>
    </row>
    <row r="80" customFormat="false" ht="15" hidden="false" customHeight="false" outlineLevel="0" collapsed="false">
      <c r="A80" s="26" t="n">
        <f aca="false">INDEX(Quantiles!$B$4:$CT$4,1,76)</f>
        <v>0.1975</v>
      </c>
      <c r="B80" s="20" t="n">
        <f aca="false">MIN(INDEX(Cost!$B$5:$CT$85,0,76))</f>
        <v>1.2</v>
      </c>
      <c r="C80" s="11" t="n">
        <f aca="false">INDEX(Cost!$A$5:$A$85,MATCH(B80,INDEX(Cost!$B$5:$CT$85,0,76),0))</f>
        <v>40</v>
      </c>
      <c r="D80" s="20" t="n">
        <f aca="false">INDEX(Delay!$B$5:$CT$85,MATCH(B80,INDEX(Cost!$B$5:$CT$85,0,76),0),76)</f>
        <v>0</v>
      </c>
      <c r="E80" s="20" t="n">
        <f aca="false">INDEX(Delay!$B$5:$CT$85,1,76)</f>
        <v>0.66070231954096</v>
      </c>
      <c r="F80" s="19" t="n">
        <f aca="false">IF(E80="","",Vq*E80)</f>
        <v>5.28561855632768</v>
      </c>
    </row>
    <row r="81" customFormat="false" ht="15" hidden="false" customHeight="false" outlineLevel="0" collapsed="false">
      <c r="A81" s="26" t="n">
        <f aca="false">INDEX(Quantiles!$B$4:$CT$4,1,77)</f>
        <v>0.2</v>
      </c>
      <c r="B81" s="20" t="n">
        <f aca="false">MIN(INDEX(Cost!$B$5:$CT$85,0,77))</f>
        <v>1.18594115144816</v>
      </c>
      <c r="C81" s="11" t="n">
        <f aca="false">INDEX(Cost!$A$5:$A$85,MATCH(B81,INDEX(Cost!$B$5:$CT$85,0,77),0))</f>
        <v>35</v>
      </c>
      <c r="D81" s="20" t="n">
        <f aca="false">INDEX(Delay!$B$5:$CT$85,MATCH(B81,INDEX(Cost!$B$5:$CT$85,0,77),0),77)</f>
        <v>0.0169926439310197</v>
      </c>
      <c r="E81" s="20" t="n">
        <f aca="false">INDEX(Delay!$B$5:$CT$85,1,77)</f>
        <v>0.62125773482718</v>
      </c>
      <c r="F81" s="19" t="n">
        <f aca="false">IF(E81="","",Vq*E81)</f>
        <v>4.97006187861744</v>
      </c>
    </row>
    <row r="82" customFormat="false" ht="15" hidden="false" customHeight="false" outlineLevel="0" collapsed="false">
      <c r="A82" s="26" t="n">
        <f aca="false">INDEX(Quantiles!$B$4:$CT$4,1,78)</f>
        <v>0.2025</v>
      </c>
      <c r="B82" s="20" t="n">
        <f aca="false">MIN(INDEX(Cost!$B$5:$CT$85,0,78))</f>
        <v>1.05</v>
      </c>
      <c r="C82" s="11" t="n">
        <f aca="false">INDEX(Cost!$A$5:$A$85,MATCH(B82,INDEX(Cost!$B$5:$CT$85,0,78),0))</f>
        <v>35</v>
      </c>
      <c r="D82" s="20" t="n">
        <f aca="false">INDEX(Delay!$B$5:$CT$85,MATCH(B82,INDEX(Cost!$B$5:$CT$85,0,78),0),78)</f>
        <v>0</v>
      </c>
      <c r="E82" s="20" t="n">
        <f aca="false">INDEX(Delay!$B$5:$CT$85,1,78)</f>
        <v>0.582228471840048</v>
      </c>
      <c r="F82" s="19" t="n">
        <f aca="false">IF(E82="","",Vq*E82)</f>
        <v>4.65782777472038</v>
      </c>
    </row>
    <row r="83" customFormat="false" ht="15" hidden="false" customHeight="false" outlineLevel="0" collapsed="false">
      <c r="A83" s="26" t="n">
        <f aca="false">INDEX(Quantiles!$B$4:$CT$4,1,79)</f>
        <v>0.205</v>
      </c>
      <c r="B83" s="20" t="n">
        <f aca="false">MIN(INDEX(Cost!$B$5:$CT$85,0,79))</f>
        <v>1.05</v>
      </c>
      <c r="C83" s="11" t="n">
        <f aca="false">INDEX(Cost!$A$5:$A$85,MATCH(B83,INDEX(Cost!$B$5:$CT$85,0,79),0))</f>
        <v>35</v>
      </c>
      <c r="D83" s="20" t="n">
        <f aca="false">INDEX(Delay!$B$5:$CT$85,MATCH(B83,INDEX(Cost!$B$5:$CT$85,0,79),0),79)</f>
        <v>0</v>
      </c>
      <c r="E83" s="20" t="n">
        <f aca="false">INDEX(Delay!$B$5:$CT$85,1,79)</f>
        <v>0.545414968319292</v>
      </c>
      <c r="F83" s="19" t="n">
        <f aca="false">IF(E83="","",Vq*E83)</f>
        <v>4.36331974655434</v>
      </c>
    </row>
    <row r="84" customFormat="false" ht="15" hidden="false" customHeight="false" outlineLevel="0" collapsed="false">
      <c r="A84" s="26" t="n">
        <f aca="false">INDEX(Quantiles!$B$4:$CT$4,1,80)</f>
        <v>0.2075</v>
      </c>
      <c r="B84" s="20" t="n">
        <f aca="false">MIN(INDEX(Cost!$B$5:$CT$85,0,80))</f>
        <v>0.990075048867682</v>
      </c>
      <c r="C84" s="11" t="n">
        <f aca="false">INDEX(Cost!$A$5:$A$85,MATCH(B84,INDEX(Cost!$B$5:$CT$85,0,80),0))</f>
        <v>30</v>
      </c>
      <c r="D84" s="20" t="n">
        <f aca="false">INDEX(Delay!$B$5:$CT$85,MATCH(B84,INDEX(Cost!$B$5:$CT$85,0,80),0),80)</f>
        <v>0.0112593811084603</v>
      </c>
      <c r="E84" s="20" t="n">
        <f aca="false">INDEX(Delay!$B$5:$CT$85,1,80)</f>
        <v>0.50968448381272</v>
      </c>
      <c r="F84" s="19" t="n">
        <f aca="false">IF(E84="","",Vq*E84)</f>
        <v>4.07747587050176</v>
      </c>
    </row>
    <row r="85" customFormat="false" ht="15" hidden="false" customHeight="false" outlineLevel="0" collapsed="false">
      <c r="A85" s="26" t="n">
        <f aca="false">INDEX(Quantiles!$B$4:$CT$4,1,81)</f>
        <v>0.21</v>
      </c>
      <c r="B85" s="20" t="n">
        <f aca="false">MIN(INDEX(Cost!$B$5:$CT$85,0,81))</f>
        <v>0.9</v>
      </c>
      <c r="C85" s="11" t="n">
        <f aca="false">INDEX(Cost!$A$5:$A$85,MATCH(B85,INDEX(Cost!$B$5:$CT$85,0,81),0))</f>
        <v>30</v>
      </c>
      <c r="D85" s="20" t="n">
        <f aca="false">INDEX(Delay!$B$5:$CT$85,MATCH(B85,INDEX(Cost!$B$5:$CT$85,0,81),0),81)</f>
        <v>0</v>
      </c>
      <c r="E85" s="20" t="n">
        <f aca="false">INDEX(Delay!$B$5:$CT$85,1,81)</f>
        <v>0.47193520320852</v>
      </c>
      <c r="F85" s="19" t="n">
        <f aca="false">IF(E85="","",Vq*E85)</f>
        <v>3.77548162566816</v>
      </c>
    </row>
    <row r="86" customFormat="false" ht="15" hidden="false" customHeight="false" outlineLevel="0" collapsed="false">
      <c r="A86" s="26" t="n">
        <f aca="false">INDEX(Quantiles!$B$4:$CT$4,1,82)</f>
        <v>0.2125</v>
      </c>
      <c r="B86" s="20" t="n">
        <f aca="false">MIN(INDEX(Cost!$B$5:$CT$85,0,82))</f>
        <v>0.9</v>
      </c>
      <c r="C86" s="11" t="n">
        <f aca="false">INDEX(Cost!$A$5:$A$85,MATCH(B86,INDEX(Cost!$B$5:$CT$85,0,82),0))</f>
        <v>30</v>
      </c>
      <c r="D86" s="20" t="n">
        <f aca="false">INDEX(Delay!$B$5:$CT$85,MATCH(B86,INDEX(Cost!$B$5:$CT$85,0,82),0),82)</f>
        <v>0</v>
      </c>
      <c r="E86" s="20" t="n">
        <f aca="false">INDEX(Delay!$B$5:$CT$85,1,82)</f>
        <v>0.435897474257827</v>
      </c>
      <c r="F86" s="19" t="n">
        <f aca="false">IF(E86="","",Vq*E86)</f>
        <v>3.48717979406262</v>
      </c>
    </row>
    <row r="87" customFormat="false" ht="15" hidden="false" customHeight="false" outlineLevel="0" collapsed="false">
      <c r="A87" s="26" t="n">
        <f aca="false">INDEX(Quantiles!$B$4:$CT$4,1,83)</f>
        <v>0.215</v>
      </c>
      <c r="B87" s="20" t="n">
        <f aca="false">MIN(INDEX(Cost!$B$5:$CT$85,0,83))</f>
        <v>0.75</v>
      </c>
      <c r="C87" s="11" t="n">
        <f aca="false">INDEX(Cost!$A$5:$A$85,MATCH(B87,INDEX(Cost!$B$5:$CT$85,0,83),0))</f>
        <v>25</v>
      </c>
      <c r="D87" s="20" t="n">
        <f aca="false">INDEX(Delay!$B$5:$CT$85,MATCH(B87,INDEX(Cost!$B$5:$CT$85,0,83),0),83)</f>
        <v>0</v>
      </c>
      <c r="E87" s="20" t="n">
        <f aca="false">INDEX(Delay!$B$5:$CT$85,1,83)</f>
        <v>0.40237246221049</v>
      </c>
      <c r="F87" s="19" t="n">
        <f aca="false">IF(E87="","",Vq*E87)</f>
        <v>3.21897969768392</v>
      </c>
    </row>
    <row r="88" customFormat="false" ht="15" hidden="false" customHeight="false" outlineLevel="0" collapsed="false">
      <c r="A88" s="26" t="n">
        <f aca="false">INDEX(Quantiles!$B$4:$CT$4,1,84)</f>
        <v>0.2175</v>
      </c>
      <c r="B88" s="20" t="n">
        <f aca="false">MIN(INDEX(Cost!$B$5:$CT$85,0,84))</f>
        <v>0.75</v>
      </c>
      <c r="C88" s="11" t="n">
        <f aca="false">INDEX(Cost!$A$5:$A$85,MATCH(B88,INDEX(Cost!$B$5:$CT$85,0,84),0))</f>
        <v>25</v>
      </c>
      <c r="D88" s="20" t="n">
        <f aca="false">INDEX(Delay!$B$5:$CT$85,MATCH(B88,INDEX(Cost!$B$5:$CT$85,0,84),0),84)</f>
        <v>0</v>
      </c>
      <c r="E88" s="20" t="n">
        <f aca="false">INDEX(Delay!$B$5:$CT$85,1,84)</f>
        <v>0.367669704957187</v>
      </c>
      <c r="F88" s="19" t="n">
        <f aca="false">IF(E88="","",Vq*E88)</f>
        <v>2.9413576396575</v>
      </c>
    </row>
    <row r="89" customFormat="false" ht="15" hidden="false" customHeight="false" outlineLevel="0" collapsed="false">
      <c r="A89" s="26" t="n">
        <f aca="false">INDEX(Quantiles!$B$4:$CT$4,1,85)</f>
        <v>0.22</v>
      </c>
      <c r="B89" s="20" t="n">
        <f aca="false">MIN(INDEX(Cost!$B$5:$CT$85,0,85))</f>
        <v>0.715543496701619</v>
      </c>
      <c r="C89" s="11" t="n">
        <f aca="false">INDEX(Cost!$A$5:$A$85,MATCH(B89,INDEX(Cost!$B$5:$CT$85,0,85),0))</f>
        <v>20</v>
      </c>
      <c r="D89" s="20" t="n">
        <f aca="false">INDEX(Delay!$B$5:$CT$85,MATCH(B89,INDEX(Cost!$B$5:$CT$85,0,85),0),85)</f>
        <v>0.0144429370877024</v>
      </c>
      <c r="E89" s="20" t="n">
        <f aca="false">INDEX(Delay!$B$5:$CT$85,1,85)</f>
        <v>0.334396138206415</v>
      </c>
      <c r="F89" s="19" t="n">
        <f aca="false">IF(E89="","",Vq*E89)</f>
        <v>2.67516910565132</v>
      </c>
    </row>
    <row r="90" customFormat="false" ht="15" hidden="false" customHeight="false" outlineLevel="0" collapsed="false">
      <c r="A90" s="26" t="n">
        <f aca="false">INDEX(Quantiles!$B$4:$CT$4,1,86)</f>
        <v>0.2225</v>
      </c>
      <c r="B90" s="20" t="n">
        <f aca="false">MIN(INDEX(Cost!$B$5:$CT$85,0,86))</f>
        <v>0.6</v>
      </c>
      <c r="C90" s="11" t="n">
        <f aca="false">INDEX(Cost!$A$5:$A$85,MATCH(B90,INDEX(Cost!$B$5:$CT$85,0,86),0))</f>
        <v>20</v>
      </c>
      <c r="D90" s="20" t="n">
        <f aca="false">INDEX(Delay!$B$5:$CT$85,MATCH(B90,INDEX(Cost!$B$5:$CT$85,0,86),0),86)</f>
        <v>0</v>
      </c>
      <c r="E90" s="20" t="n">
        <f aca="false">INDEX(Delay!$B$5:$CT$85,1,86)</f>
        <v>0.299164172029758</v>
      </c>
      <c r="F90" s="19" t="n">
        <f aca="false">IF(E90="","",Vq*E90)</f>
        <v>2.39331337623806</v>
      </c>
    </row>
    <row r="91" customFormat="false" ht="15" hidden="false" customHeight="false" outlineLevel="0" collapsed="false">
      <c r="A91" s="26" t="n">
        <f aca="false">INDEX(Quantiles!$B$4:$CT$4,1,87)</f>
        <v>0.225</v>
      </c>
      <c r="B91" s="20" t="n">
        <f aca="false">MIN(INDEX(Cost!$B$5:$CT$85,0,87))</f>
        <v>0.6</v>
      </c>
      <c r="C91" s="11" t="n">
        <f aca="false">INDEX(Cost!$A$5:$A$85,MATCH(B91,INDEX(Cost!$B$5:$CT$85,0,87),0))</f>
        <v>20</v>
      </c>
      <c r="D91" s="20" t="n">
        <f aca="false">INDEX(Delay!$B$5:$CT$85,MATCH(B91,INDEX(Cost!$B$5:$CT$85,0,87),0),87)</f>
        <v>0</v>
      </c>
      <c r="E91" s="20" t="n">
        <f aca="false">INDEX(Delay!$B$5:$CT$85,1,87)</f>
        <v>0.265966438152205</v>
      </c>
      <c r="F91" s="19" t="n">
        <f aca="false">IF(E91="","",Vq*E91)</f>
        <v>2.12773150521764</v>
      </c>
    </row>
    <row r="92" customFormat="false" ht="15" hidden="false" customHeight="false" outlineLevel="0" collapsed="false">
      <c r="A92" s="26" t="n">
        <f aca="false">INDEX(Quantiles!$B$4:$CT$4,1,88)</f>
        <v>0.2275</v>
      </c>
      <c r="B92" s="20" t="n">
        <f aca="false">MIN(INDEX(Cost!$B$5:$CT$85,0,88))</f>
        <v>0.470459956950383</v>
      </c>
      <c r="C92" s="11" t="n">
        <f aca="false">INDEX(Cost!$A$5:$A$85,MATCH(B92,INDEX(Cost!$B$5:$CT$85,0,88),0))</f>
        <v>15</v>
      </c>
      <c r="D92" s="20" t="n">
        <f aca="false">INDEX(Delay!$B$5:$CT$85,MATCH(B92,INDEX(Cost!$B$5:$CT$85,0,88),0),88)</f>
        <v>0.00255749461879784</v>
      </c>
      <c r="E92" s="20" t="n">
        <f aca="false">INDEX(Delay!$B$5:$CT$85,1,88)</f>
        <v>0.233927111111607</v>
      </c>
      <c r="F92" s="19" t="n">
        <f aca="false">IF(E92="","",Vq*E92)</f>
        <v>1.87141688889286</v>
      </c>
    </row>
    <row r="93" customFormat="false" ht="15" hidden="false" customHeight="false" outlineLevel="0" collapsed="false">
      <c r="A93" s="26" t="n">
        <f aca="false">INDEX(Quantiles!$B$4:$CT$4,1,89)</f>
        <v>0.23</v>
      </c>
      <c r="B93" s="20" t="n">
        <f aca="false">MIN(INDEX(Cost!$B$5:$CT$85,0,89))</f>
        <v>0.45</v>
      </c>
      <c r="C93" s="11" t="n">
        <f aca="false">INDEX(Cost!$A$5:$A$85,MATCH(B93,INDEX(Cost!$B$5:$CT$85,0,89),0))</f>
        <v>15</v>
      </c>
      <c r="D93" s="20" t="n">
        <f aca="false">INDEX(Delay!$B$5:$CT$85,MATCH(B93,INDEX(Cost!$B$5:$CT$85,0,89),0),89)</f>
        <v>0</v>
      </c>
      <c r="E93" s="20" t="n">
        <f aca="false">INDEX(Delay!$B$5:$CT$85,1,89)</f>
        <v>0.20062462205067</v>
      </c>
      <c r="F93" s="19" t="n">
        <f aca="false">IF(E93="","",Vq*E93)</f>
        <v>1.60499697640536</v>
      </c>
    </row>
    <row r="94" customFormat="false" ht="15" hidden="false" customHeight="false" outlineLevel="0" collapsed="false">
      <c r="A94" s="26" t="n">
        <f aca="false">INDEX(Quantiles!$B$4:$CT$4,1,90)</f>
        <v>0.2325</v>
      </c>
      <c r="B94" s="20" t="n">
        <f aca="false">MIN(INDEX(Cost!$B$5:$CT$85,0,90))</f>
        <v>0.427513085487898</v>
      </c>
      <c r="C94" s="11" t="n">
        <f aca="false">INDEX(Cost!$A$5:$A$85,MATCH(B94,INDEX(Cost!$B$5:$CT$85,0,90),0))</f>
        <v>10</v>
      </c>
      <c r="D94" s="20" t="n">
        <f aca="false">INDEX(Delay!$B$5:$CT$85,MATCH(B94,INDEX(Cost!$B$5:$CT$85,0,90),0),90)</f>
        <v>0.0159391356859873</v>
      </c>
      <c r="E94" s="20" t="n">
        <f aca="false">INDEX(Delay!$B$5:$CT$85,1,90)</f>
        <v>0.168593495298827</v>
      </c>
      <c r="F94" s="19" t="n">
        <f aca="false">IF(E94="","",Vq*E94)</f>
        <v>1.34874796239062</v>
      </c>
    </row>
    <row r="95" customFormat="false" ht="15" hidden="false" customHeight="false" outlineLevel="0" collapsed="false">
      <c r="A95" s="26" t="n">
        <f aca="false">INDEX(Quantiles!$B$4:$CT$4,1,91)</f>
        <v>0.235</v>
      </c>
      <c r="B95" s="20" t="n">
        <f aca="false">MIN(INDEX(Cost!$B$5:$CT$85,0,91))</f>
        <v>0.3</v>
      </c>
      <c r="C95" s="11" t="n">
        <f aca="false">INDEX(Cost!$A$5:$A$85,MATCH(B95,INDEX(Cost!$B$5:$CT$85,0,91),0))</f>
        <v>10</v>
      </c>
      <c r="D95" s="20" t="n">
        <f aca="false">INDEX(Delay!$B$5:$CT$85,MATCH(B95,INDEX(Cost!$B$5:$CT$85,0,91),0),91)</f>
        <v>0</v>
      </c>
      <c r="E95" s="20" t="n">
        <f aca="false">INDEX(Delay!$B$5:$CT$85,1,91)</f>
        <v>0.135546358718387</v>
      </c>
      <c r="F95" s="19" t="n">
        <f aca="false">IF(E95="","",Vq*E95)</f>
        <v>1.0843708697471</v>
      </c>
    </row>
    <row r="96" customFormat="false" ht="15" hidden="false" customHeight="false" outlineLevel="0" collapsed="false">
      <c r="A96" s="26" t="n">
        <f aca="false">INDEX(Quantiles!$B$4:$CT$4,1,92)</f>
        <v>0.2375</v>
      </c>
      <c r="B96" s="20" t="n">
        <f aca="false">MIN(INDEX(Cost!$B$5:$CT$85,0,92))</f>
        <v>0.3</v>
      </c>
      <c r="C96" s="11" t="n">
        <f aca="false">INDEX(Cost!$A$5:$A$85,MATCH(B96,INDEX(Cost!$B$5:$CT$85,0,92),0))</f>
        <v>10</v>
      </c>
      <c r="D96" s="20" t="n">
        <f aca="false">INDEX(Delay!$B$5:$CT$85,MATCH(B96,INDEX(Cost!$B$5:$CT$85,0,92),0),92)</f>
        <v>0</v>
      </c>
      <c r="E96" s="20" t="n">
        <f aca="false">INDEX(Delay!$B$5:$CT$85,1,92)</f>
        <v>0.105358948015297</v>
      </c>
      <c r="F96" s="19" t="n">
        <f aca="false">IF(E96="","",Vq*E96)</f>
        <v>0.842871584122378</v>
      </c>
    </row>
    <row r="97" customFormat="false" ht="15" hidden="false" customHeight="false" outlineLevel="0" collapsed="false">
      <c r="A97" s="26" t="n">
        <f aca="false">INDEX(Quantiles!$B$4:$CT$4,1,93)</f>
        <v>0.24</v>
      </c>
      <c r="B97" s="20" t="n">
        <f aca="false">MIN(INDEX(Cost!$B$5:$CT$85,0,93))</f>
        <v>0.171692228216722</v>
      </c>
      <c r="C97" s="11" t="n">
        <f aca="false">INDEX(Cost!$A$5:$A$85,MATCH(B97,INDEX(Cost!$B$5:$CT$85,0,93),0))</f>
        <v>5</v>
      </c>
      <c r="D97" s="20" t="n">
        <f aca="false">INDEX(Delay!$B$5:$CT$85,MATCH(B97,INDEX(Cost!$B$5:$CT$85,0,93),0),93)</f>
        <v>0.00271152852709022</v>
      </c>
      <c r="E97" s="20" t="n">
        <f aca="false">INDEX(Delay!$B$5:$CT$85,1,93)</f>
        <v>0.0734664043349946</v>
      </c>
      <c r="F97" s="19" t="n">
        <f aca="false">IF(E97="","",Vq*E97)</f>
        <v>0.587731234679957</v>
      </c>
    </row>
    <row r="98" customFormat="false" ht="15" hidden="false" customHeight="false" outlineLevel="0" collapsed="false">
      <c r="A98" s="26" t="n">
        <f aca="false">INDEX(Quantiles!$B$4:$CT$4,1,94)</f>
        <v>0.2425</v>
      </c>
      <c r="B98" s="20" t="n">
        <f aca="false">MIN(INDEX(Cost!$B$5:$CT$85,0,94))</f>
        <v>0.15</v>
      </c>
      <c r="C98" s="11" t="n">
        <f aca="false">INDEX(Cost!$A$5:$A$85,MATCH(B98,INDEX(Cost!$B$5:$CT$85,0,94),0))</f>
        <v>5</v>
      </c>
      <c r="D98" s="20" t="n">
        <f aca="false">INDEX(Delay!$B$5:$CT$85,MATCH(B98,INDEX(Cost!$B$5:$CT$85,0,94),0),94)</f>
        <v>0</v>
      </c>
      <c r="E98" s="20" t="n">
        <f aca="false">INDEX(Delay!$B$5:$CT$85,1,94)</f>
        <v>0.0418519149459522</v>
      </c>
      <c r="F98" s="19" t="n">
        <f aca="false">IF(E98="","",Vq*E98)</f>
        <v>0.334815319567618</v>
      </c>
    </row>
    <row r="99" customFormat="false" ht="15" hidden="false" customHeight="false" outlineLevel="0" collapsed="false">
      <c r="A99" s="26" t="n">
        <f aca="false">INDEX(Quantiles!$B$4:$CT$4,1,95)</f>
        <v>0.245</v>
      </c>
      <c r="B99" s="20" t="n">
        <f aca="false">MIN(INDEX(Cost!$B$5:$CT$85,0,95))</f>
        <v>0.115642356559817</v>
      </c>
      <c r="C99" s="11" t="n">
        <f aca="false">INDEX(Cost!$A$5:$A$85,MATCH(B99,INDEX(Cost!$B$5:$CT$85,0,95),0))</f>
        <v>0</v>
      </c>
      <c r="D99" s="20" t="n">
        <f aca="false">INDEX(Delay!$B$5:$CT$85,MATCH(B99,INDEX(Cost!$B$5:$CT$85,0,95),0),95)</f>
        <v>0.0144552945699772</v>
      </c>
      <c r="E99" s="20" t="n">
        <f aca="false">INDEX(Delay!$B$5:$CT$85,1,95)</f>
        <v>0.0144552945699772</v>
      </c>
      <c r="F99" s="19" t="n">
        <f aca="false">IF(E99="","",Vq*E99)</f>
        <v>0.115642356559817</v>
      </c>
    </row>
    <row r="100" customFormat="false" ht="15" hidden="false" customHeight="false" outlineLevel="0" collapsed="false">
      <c r="A100" s="26" t="n">
        <f aca="false">INDEX(Quantiles!$B$4:$CT$4,1,96)</f>
        <v>0.246</v>
      </c>
      <c r="B100" s="20" t="n">
        <f aca="false">MIN(INDEX(Cost!$B$5:$CT$85,0,96))</f>
        <v>0.0198817269928995</v>
      </c>
      <c r="C100" s="11" t="n">
        <f aca="false">INDEX(Cost!$A$5:$A$85,MATCH(B100,INDEX(Cost!$B$5:$CT$85,0,96),0))</f>
        <v>0</v>
      </c>
      <c r="D100" s="20" t="n">
        <f aca="false">INDEX(Delay!$B$5:$CT$85,MATCH(B100,INDEX(Cost!$B$5:$CT$85,0,96),0),96)</f>
        <v>0.00248521587411243</v>
      </c>
      <c r="E100" s="20" t="n">
        <f aca="false">INDEX(Delay!$B$5:$CT$85,1,96)</f>
        <v>0.00248521587411243</v>
      </c>
      <c r="F100" s="19" t="n">
        <f aca="false">IF(E100="","",Vq*E100)</f>
        <v>0.0198817269928995</v>
      </c>
    </row>
    <row r="101" customFormat="false" ht="15" hidden="false" customHeight="false" outlineLevel="0" collapsed="false">
      <c r="A101" s="26" t="n">
        <f aca="false">INDEX(Quantiles!$B$4:$CT$4,1,97)</f>
        <v>0.03003</v>
      </c>
      <c r="B101" s="20" t="n">
        <f aca="false">MIN(INDEX(Cost!$B$5:$CT$85,0,97))</f>
        <v>14.668098117088</v>
      </c>
      <c r="C101" s="11" t="n">
        <f aca="false">INDEX(Cost!$A$5:$A$85,MATCH(B101,INDEX(Cost!$B$5:$CT$85,0,97),0))</f>
        <v>180</v>
      </c>
      <c r="D101" s="20" t="n">
        <f aca="false">INDEX(Delay!$B$5:$CT$85,MATCH(B101,INDEX(Cost!$B$5:$CT$85,0,97),0),97)</f>
        <v>1.158512264636</v>
      </c>
      <c r="E101" s="20" t="n">
        <f aca="false">INDEX(Delay!$B$5:$CT$85,1,97)</f>
        <v>6.61313935091143</v>
      </c>
      <c r="F101" s="19" t="n">
        <f aca="false">IF(E101="","",Vq*E101)</f>
        <v>52.9051148072914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4"/>
    <col collapsed="false" customWidth="true" hidden="false" outlineLevel="0" max="3" min="3" style="0" width="40"/>
  </cols>
  <sheetData>
    <row r="1" customFormat="false" ht="15" hidden="false" customHeight="false" outlineLevel="0" collapsed="false">
      <c r="A1" s="1" t="s">
        <v>205</v>
      </c>
    </row>
    <row r="3" customFormat="false" ht="15" hidden="false" customHeight="false" outlineLevel="0" collapsed="false">
      <c r="A3" s="8" t="s">
        <v>206</v>
      </c>
      <c r="B3" s="8" t="s">
        <v>19</v>
      </c>
      <c r="C3" s="8" t="s">
        <v>156</v>
      </c>
    </row>
    <row r="4" customFormat="false" ht="15" hidden="false" customHeight="false" outlineLevel="0" collapsed="false">
      <c r="A4" s="2" t="s">
        <v>150</v>
      </c>
      <c r="B4" s="20" t="n">
        <f aca="false">Frontier!B21</f>
        <v>10.440610891413</v>
      </c>
      <c r="C4" s="10" t="s">
        <v>166</v>
      </c>
    </row>
    <row r="5" customFormat="false" ht="15" hidden="false" customHeight="false" outlineLevel="0" collapsed="false">
      <c r="A5" s="2" t="s">
        <v>192</v>
      </c>
      <c r="B5" s="11" t="n">
        <f aca="false">Frontier!C21</f>
        <v>170</v>
      </c>
      <c r="C5" s="10" t="s">
        <v>207</v>
      </c>
    </row>
    <row r="6" customFormat="false" ht="15" hidden="false" customHeight="false" outlineLevel="0" collapsed="false">
      <c r="A6" s="2" t="s">
        <v>208</v>
      </c>
      <c r="B6" s="20" t="n">
        <f aca="false">Frontier!D21</f>
        <v>0.667576361426625</v>
      </c>
      <c r="C6" s="10" t="s">
        <v>209</v>
      </c>
    </row>
    <row r="7" customFormat="false" ht="15" hidden="false" customHeight="false" outlineLevel="0" collapsed="false">
      <c r="A7" s="2" t="s">
        <v>210</v>
      </c>
      <c r="B7" s="17" t="n">
        <f aca="false">3*B6</f>
        <v>2.00272908427988</v>
      </c>
      <c r="C7" s="10" t="s">
        <v>211</v>
      </c>
    </row>
    <row r="8" customFormat="false" ht="15" hidden="false" customHeight="false" outlineLevel="0" collapsed="false">
      <c r="A8" s="2" t="s">
        <v>212</v>
      </c>
      <c r="B8" s="19" t="n">
        <f aca="false">Depth0-Depth_per_q*B6</f>
        <v>25.3296945542935</v>
      </c>
      <c r="C8" s="10" t="s">
        <v>213</v>
      </c>
    </row>
    <row r="9" customFormat="false" ht="15" hidden="false" customHeight="false" outlineLevel="0" collapsed="false">
      <c r="A9" s="2" t="s">
        <v>214</v>
      </c>
      <c r="B9" s="17" t="n">
        <f aca="false">Plan!B24</f>
        <v>121.63436791099</v>
      </c>
      <c r="C9" s="10" t="s">
        <v>215</v>
      </c>
    </row>
    <row r="10" customFormat="false" ht="15" hidden="false" customHeight="false" outlineLevel="0" collapsed="false">
      <c r="A10" s="2" t="s">
        <v>125</v>
      </c>
      <c r="B10" s="17" t="n">
        <f aca="false">Plan!B25</f>
        <v>16.415249731224</v>
      </c>
      <c r="C10" s="10" t="s">
        <v>216</v>
      </c>
    </row>
    <row r="11" customFormat="false" ht="15" hidden="false" customHeight="false" outlineLevel="0" collapsed="false">
      <c r="A11" s="2" t="s">
        <v>217</v>
      </c>
      <c r="B11" s="19" t="n">
        <f aca="false">Fee*B5</f>
        <v>5.1</v>
      </c>
      <c r="C11" s="10" t="s">
        <v>218</v>
      </c>
    </row>
    <row r="12" customFormat="false" ht="15" hidden="false" customHeight="false" outlineLevel="0" collapsed="false">
      <c r="A12" s="2" t="s">
        <v>219</v>
      </c>
      <c r="B12" s="19" t="n">
        <f aca="false">Vq*B6</f>
        <v>5.340610891413</v>
      </c>
      <c r="C12" s="10" t="s">
        <v>220</v>
      </c>
    </row>
    <row r="13" customFormat="false" ht="15" hidden="false" customHeight="false" outlineLevel="0" collapsed="false">
      <c r="A13" s="2" t="s">
        <v>221</v>
      </c>
      <c r="B13" s="11" t="n">
        <f aca="false">_xlfn.MINIFS(Cost!$A$5:$A$85,Cost!$R$5:$R$85,"&lt;="&amp;(B4+0.5))</f>
        <v>140</v>
      </c>
      <c r="C13" s="10" t="s">
        <v>222</v>
      </c>
    </row>
    <row r="14" customFormat="false" ht="15" hidden="false" customHeight="false" outlineLevel="0" collapsed="false">
      <c r="A14" s="2" t="s">
        <v>223</v>
      </c>
      <c r="B14" s="11" t="n">
        <f aca="false">_xlfn.MAXIFS(Cost!$A$5:$A$85,Cost!$R$5:$R$85,"&lt;="&amp;(B4+0.5))</f>
        <v>205</v>
      </c>
      <c r="C14" s="10" t="s">
        <v>224</v>
      </c>
    </row>
    <row r="16" customFormat="false" ht="15" hidden="false" customHeight="false" outlineLevel="0" collapsed="false">
      <c r="A16" s="2" t="s">
        <v>225</v>
      </c>
      <c r="B16" s="20" t="n">
        <f aca="false">(Net_debt+B5)/Ebitda</f>
        <v>3.74301856335755</v>
      </c>
      <c r="C16" s="10" t="s">
        <v>226</v>
      </c>
    </row>
    <row r="17" customFormat="false" ht="15" hidden="false" customHeight="false" outlineLevel="0" collapsed="false">
      <c r="A17" s="2" t="s">
        <v>227</v>
      </c>
      <c r="B17" s="11" t="n">
        <f aca="false">IF(B16&lt;Covenant,0,"binds")</f>
        <v>0</v>
      </c>
      <c r="C17" s="10" t="s">
        <v>228</v>
      </c>
    </row>
    <row r="18" customFormat="false" ht="15" hidden="false" customHeight="false" outlineLevel="0" collapsed="false">
      <c r="A18" s="2" t="s">
        <v>229</v>
      </c>
      <c r="B18" s="11" t="n">
        <f aca="false">IF(Capability&gt;=Cap_floor,0,"binds")</f>
        <v>0</v>
      </c>
      <c r="C18" s="10" t="s">
        <v>230</v>
      </c>
    </row>
    <row r="20" customFormat="false" ht="15" hidden="false" customHeight="false" outlineLevel="0" collapsed="false">
      <c r="A20" s="8" t="s">
        <v>231</v>
      </c>
      <c r="B20" s="8" t="s">
        <v>19</v>
      </c>
      <c r="C20" s="8" t="s">
        <v>156</v>
      </c>
    </row>
    <row r="21" customFormat="false" ht="15" hidden="false" customHeight="false" outlineLevel="0" collapsed="false">
      <c r="A21" s="2" t="s">
        <v>232</v>
      </c>
      <c r="B21" s="9" t="n">
        <v>20</v>
      </c>
      <c r="C21" s="10"/>
    </row>
    <row r="22" customFormat="false" ht="15" hidden="false" customHeight="false" outlineLevel="0" collapsed="false">
      <c r="A22" s="2" t="s">
        <v>233</v>
      </c>
      <c r="B22" s="28" t="n">
        <v>0.04755</v>
      </c>
      <c r="C22" s="10"/>
    </row>
    <row r="23" customFormat="false" ht="15" hidden="false" customHeight="false" outlineLevel="0" collapsed="false">
      <c r="A23" s="2" t="s">
        <v>234</v>
      </c>
      <c r="B23" s="28" t="n">
        <v>0.0542</v>
      </c>
      <c r="C23" s="10"/>
    </row>
    <row r="24" customFormat="false" ht="15" hidden="false" customHeight="false" outlineLevel="0" collapsed="false">
      <c r="A24" s="2" t="s">
        <v>235</v>
      </c>
      <c r="B24" s="30" t="n">
        <f aca="false">-(B22-B23)/(2*B21)*100</f>
        <v>0.016625</v>
      </c>
      <c r="C24" s="10" t="s">
        <v>236</v>
      </c>
    </row>
    <row r="25" customFormat="false" ht="15" hidden="false" customHeight="false" outlineLevel="0" collapsed="false">
      <c r="A25" s="2" t="s">
        <v>237</v>
      </c>
      <c r="B25" s="31" t="n">
        <v>0.125</v>
      </c>
      <c r="C25" s="10"/>
    </row>
    <row r="26" customFormat="false" ht="15" hidden="false" customHeight="false" outlineLevel="0" collapsed="false">
      <c r="A26" s="2" t="s">
        <v>238</v>
      </c>
      <c r="B26" s="28" t="n">
        <v>0.04487</v>
      </c>
      <c r="C26" s="10"/>
    </row>
    <row r="27" customFormat="false" ht="15" hidden="false" customHeight="false" outlineLevel="0" collapsed="false">
      <c r="A27" s="2" t="s">
        <v>239</v>
      </c>
      <c r="B27" s="28" t="n">
        <v>0.05616</v>
      </c>
      <c r="C27" s="10"/>
    </row>
    <row r="28" customFormat="false" ht="15" hidden="false" customHeight="false" outlineLevel="0" collapsed="false">
      <c r="A28" s="2" t="s">
        <v>240</v>
      </c>
      <c r="B28" s="20" t="n">
        <f aca="false">-(B26-B27)/(2*B25)*100</f>
        <v>4.516</v>
      </c>
      <c r="C28" s="10" t="s">
        <v>241</v>
      </c>
    </row>
    <row r="29" customFormat="false" ht="15" hidden="false" customHeight="false" outlineLevel="0" collapsed="false">
      <c r="A29" s="2" t="s">
        <v>242</v>
      </c>
      <c r="B29" s="20" t="n">
        <f aca="false">Fee/B24</f>
        <v>1.80451127819549</v>
      </c>
      <c r="C29" s="10" t="s">
        <v>243</v>
      </c>
    </row>
    <row r="30" customFormat="false" ht="15" hidden="false" customHeight="false" outlineLevel="0" collapsed="false">
      <c r="A30" s="2" t="s">
        <v>244</v>
      </c>
      <c r="B30" s="20" t="n">
        <f aca="false">Vq/B28</f>
        <v>1.77147918511957</v>
      </c>
      <c r="C30" s="10" t="s">
        <v>245</v>
      </c>
    </row>
    <row r="31" customFormat="false" ht="15" hidden="false" customHeight="false" outlineLevel="0" collapsed="false">
      <c r="A31" s="2" t="s">
        <v>246</v>
      </c>
      <c r="B31" s="20" t="n">
        <f aca="false">B24/Fee</f>
        <v>0.554166666666666</v>
      </c>
      <c r="C31" s="10" t="s">
        <v>247</v>
      </c>
    </row>
    <row r="32" customFormat="false" ht="15" hidden="false" customHeight="false" outlineLevel="0" collapsed="false">
      <c r="A32" s="2" t="s">
        <v>248</v>
      </c>
      <c r="B32" s="20" t="n">
        <f aca="false">B28/Vq</f>
        <v>0.5645</v>
      </c>
      <c r="C32" s="10" t="s">
        <v>247</v>
      </c>
    </row>
    <row r="34" customFormat="false" ht="15" hidden="false" customHeight="false" outlineLevel="0" collapsed="false">
      <c r="A34" s="8" t="s">
        <v>249</v>
      </c>
      <c r="B34" s="8" t="s">
        <v>19</v>
      </c>
      <c r="C34" s="8" t="s">
        <v>156</v>
      </c>
    </row>
    <row r="35" customFormat="false" ht="15" hidden="false" customHeight="false" outlineLevel="0" collapsed="false">
      <c r="A35" s="2" t="s">
        <v>250</v>
      </c>
      <c r="B35" s="19" t="n">
        <f aca="false">Frontier!B17</f>
        <v>12.3504575918471</v>
      </c>
      <c r="C35" s="10" t="s">
        <v>251</v>
      </c>
    </row>
    <row r="36" customFormat="false" ht="15" hidden="false" customHeight="false" outlineLevel="0" collapsed="false">
      <c r="A36" s="2" t="s">
        <v>252</v>
      </c>
      <c r="B36" s="19" t="n">
        <f aca="false">Frontier!B19</f>
        <v>11.3885043322234</v>
      </c>
      <c r="C36" s="10"/>
    </row>
    <row r="37" customFormat="false" ht="15" hidden="false" customHeight="false" outlineLevel="0" collapsed="false">
      <c r="A37" s="2" t="s">
        <v>253</v>
      </c>
      <c r="B37" s="19" t="n">
        <f aca="false">Frontier!B21</f>
        <v>10.440610891413</v>
      </c>
      <c r="C37" s="10" t="s">
        <v>166</v>
      </c>
    </row>
    <row r="38" customFormat="false" ht="15" hidden="false" customHeight="false" outlineLevel="0" collapsed="false">
      <c r="A38" s="2" t="s">
        <v>254</v>
      </c>
      <c r="B38" s="19" t="n">
        <f aca="false">Frontier!B23</f>
        <v>9.5814895475586</v>
      </c>
      <c r="C38" s="10"/>
    </row>
    <row r="39" customFormat="false" ht="15" hidden="false" customHeight="false" outlineLevel="0" collapsed="false">
      <c r="A39" s="2" t="s">
        <v>255</v>
      </c>
      <c r="B39" s="19" t="n">
        <f aca="false">Frontier!B25</f>
        <v>8.81941165496048</v>
      </c>
      <c r="C39" s="10" t="s">
        <v>256</v>
      </c>
    </row>
    <row r="40" customFormat="false" ht="15" hidden="false" customHeight="false" outlineLevel="0" collapsed="false">
      <c r="A40" s="2" t="s">
        <v>257</v>
      </c>
      <c r="B40" s="20" t="n">
        <f aca="false">B36-B38</f>
        <v>1.80701478466484</v>
      </c>
      <c r="C40" s="10" t="s">
        <v>258</v>
      </c>
    </row>
    <row r="41" customFormat="false" ht="15" hidden="false" customHeight="false" outlineLevel="0" collapsed="false">
      <c r="A41" s="2" t="s">
        <v>259</v>
      </c>
      <c r="B41" s="20" t="n">
        <f aca="false">(B35-B39)/2</f>
        <v>1.76552296844331</v>
      </c>
      <c r="C41" s="10" t="s">
        <v>260</v>
      </c>
    </row>
    <row r="42" customFormat="false" ht="15" hidden="false" customHeight="false" outlineLevel="0" collapsed="false">
      <c r="A42" s="2" t="s">
        <v>261</v>
      </c>
      <c r="B42" s="11" t="n">
        <f aca="false">100*B40</f>
        <v>180.701478466484</v>
      </c>
      <c r="C42" s="10" t="s">
        <v>262</v>
      </c>
    </row>
    <row r="43" customFormat="false" ht="15" hidden="false" customHeight="false" outlineLevel="0" collapsed="false">
      <c r="A43" s="2" t="s">
        <v>263</v>
      </c>
      <c r="B43" s="32" t="n">
        <f aca="false">B42/Ebitda</f>
        <v>0.364611538471517</v>
      </c>
      <c r="C43" s="10" t="s">
        <v>264</v>
      </c>
    </row>
    <row r="44" customFormat="false" ht="15" hidden="false" customHeight="false" outlineLevel="0" collapsed="false">
      <c r="A44" s="2" t="s">
        <v>265</v>
      </c>
      <c r="B44" s="2" t="str">
        <f aca="false">IF(B35-B37&gt;=B40,"yes","no")</f>
        <v>yes</v>
      </c>
      <c r="C44" s="10" t="s">
        <v>266</v>
      </c>
    </row>
    <row r="45" customFormat="false" ht="15" hidden="false" customHeight="false" outlineLevel="0" collapsed="false">
      <c r="A45" s="2" t="s">
        <v>267</v>
      </c>
      <c r="B45" s="2" t="str">
        <f aca="false">IF(B37-B39&lt;=B40,"yes","no")</f>
        <v>yes</v>
      </c>
      <c r="C45" s="10" t="s">
        <v>266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8"/>
  </cols>
  <sheetData>
    <row r="1" customFormat="false" ht="15" hidden="false" customHeight="false" outlineLevel="0" collapsed="false">
      <c r="A1" s="1" t="s">
        <v>268</v>
      </c>
    </row>
    <row r="2" customFormat="false" ht="15" hidden="false" customHeight="false" outlineLevel="0" collapsed="false">
      <c r="A2" s="10" t="s">
        <v>269</v>
      </c>
    </row>
    <row r="3" customFormat="false" ht="15" hidden="false" customHeight="false" outlineLevel="0" collapsed="false">
      <c r="A3" s="2" t="s">
        <v>56</v>
      </c>
      <c r="B3" s="12" t="n">
        <v>4</v>
      </c>
      <c r="C3" s="12" t="n">
        <v>4</v>
      </c>
      <c r="D3" s="12" t="n">
        <v>4</v>
      </c>
      <c r="E3" s="12" t="n">
        <v>16</v>
      </c>
      <c r="F3" s="12" t="n">
        <v>16</v>
      </c>
      <c r="G3" s="12" t="n">
        <v>16</v>
      </c>
    </row>
    <row r="4" customFormat="false" ht="23.85" hidden="false" customHeight="false" outlineLevel="0" collapsed="false">
      <c r="A4" s="8" t="s">
        <v>143</v>
      </c>
      <c r="B4" s="8" t="s">
        <v>270</v>
      </c>
      <c r="C4" s="8" t="s">
        <v>271</v>
      </c>
      <c r="D4" s="8" t="s">
        <v>272</v>
      </c>
      <c r="E4" s="8" t="s">
        <v>273</v>
      </c>
      <c r="F4" s="8" t="s">
        <v>274</v>
      </c>
      <c r="G4" s="8" t="s">
        <v>275</v>
      </c>
    </row>
    <row r="5" customFormat="false" ht="15" hidden="false" customHeight="false" outlineLevel="0" collapsed="false">
      <c r="A5" s="25" t="n">
        <f aca="false">Quantiles!A5</f>
        <v>0</v>
      </c>
      <c r="B5" s="19" t="n">
        <f aca="false">IF(Delay!P5="","",Fee*$A5+B$3*Delay!P5)</f>
        <v>21.6147885765484</v>
      </c>
      <c r="C5" s="19" t="n">
        <f aca="false">IF(Delay!R5="","",Fee*$A5+C$3*Delay!R5)</f>
        <v>20.3786926897431</v>
      </c>
      <c r="D5" s="19" t="n">
        <f aca="false">IF(Delay!T5="","",Fee*$A5+D$3*Delay!T5)</f>
        <v>19.1909205734509</v>
      </c>
      <c r="E5" s="19" t="n">
        <f aca="false">IF(Delay!P5="","",Fee*$A5+E$3*Delay!P5)</f>
        <v>86.4591543061937</v>
      </c>
      <c r="F5" s="19" t="n">
        <f aca="false">IF(Delay!R5="","",Fee*$A5+F$3*Delay!R5)</f>
        <v>81.5147707589723</v>
      </c>
      <c r="G5" s="19" t="n">
        <f aca="false">IF(Delay!T5="","",Fee*$A5+G$3*Delay!T5)</f>
        <v>76.7636822938036</v>
      </c>
    </row>
    <row r="6" customFormat="false" ht="15" hidden="false" customHeight="false" outlineLevel="0" collapsed="false">
      <c r="A6" s="25" t="n">
        <f aca="false">Quantiles!A6</f>
        <v>5</v>
      </c>
      <c r="B6" s="19" t="n">
        <f aca="false">IF(Delay!P6="","",Fee*$A6+B$3*Delay!P6)</f>
        <v>20.7230719509975</v>
      </c>
      <c r="C6" s="19" t="n">
        <f aca="false">IF(Delay!R6="","",Fee*$A6+C$3*Delay!R6)</f>
        <v>19.4726779711753</v>
      </c>
      <c r="D6" s="19" t="n">
        <f aca="false">IF(Delay!T6="","",Fee*$A6+D$3*Delay!T6)</f>
        <v>18.3266757669783</v>
      </c>
      <c r="E6" s="19" t="n">
        <f aca="false">IF(Delay!P6="","",Fee*$A6+E$3*Delay!P6)</f>
        <v>82.4422878039902</v>
      </c>
      <c r="F6" s="19" t="n">
        <f aca="false">IF(Delay!R6="","",Fee*$A6+F$3*Delay!R6)</f>
        <v>77.4407118847012</v>
      </c>
      <c r="G6" s="19" t="n">
        <f aca="false">IF(Delay!T6="","",Fee*$A6+G$3*Delay!T6)</f>
        <v>72.8567030679133</v>
      </c>
    </row>
    <row r="7" customFormat="false" ht="15" hidden="false" customHeight="false" outlineLevel="0" collapsed="false">
      <c r="A7" s="25" t="n">
        <f aca="false">Quantiles!A7</f>
        <v>10</v>
      </c>
      <c r="B7" s="19" t="n">
        <f aca="false">IF(Delay!P7="","",Fee*$A7+B$3*Delay!P7)</f>
        <v>19.8089263468835</v>
      </c>
      <c r="C7" s="19" t="n">
        <f aca="false">IF(Delay!R7="","",Fee*$A7+C$3*Delay!R7)</f>
        <v>18.6192361619508</v>
      </c>
      <c r="D7" s="19" t="n">
        <f aca="false">IF(Delay!T7="","",Fee*$A7+D$3*Delay!T7)</f>
        <v>17.4869580816237</v>
      </c>
      <c r="E7" s="19" t="n">
        <f aca="false">IF(Delay!P7="","",Fee*$A7+E$3*Delay!P7)</f>
        <v>78.335705387534</v>
      </c>
      <c r="F7" s="19" t="n">
        <f aca="false">IF(Delay!R7="","",Fee*$A7+F$3*Delay!R7)</f>
        <v>73.5769446478031</v>
      </c>
      <c r="G7" s="19" t="n">
        <f aca="false">IF(Delay!T7="","",Fee*$A7+G$3*Delay!T7)</f>
        <v>69.0478323264948</v>
      </c>
    </row>
    <row r="8" customFormat="false" ht="15" hidden="false" customHeight="false" outlineLevel="0" collapsed="false">
      <c r="A8" s="25" t="n">
        <f aca="false">Quantiles!A8</f>
        <v>15</v>
      </c>
      <c r="B8" s="19" t="n">
        <f aca="false">IF(Delay!P8="","",Fee*$A8+B$3*Delay!P8)</f>
        <v>18.941026456564</v>
      </c>
      <c r="C8" s="19" t="n">
        <f aca="false">IF(Delay!R8="","",Fee*$A8+C$3*Delay!R8)</f>
        <v>17.7646032919286</v>
      </c>
      <c r="D8" s="19" t="n">
        <f aca="false">IF(Delay!T8="","",Fee*$A8+D$3*Delay!T8)</f>
        <v>16.6856297762376</v>
      </c>
      <c r="E8" s="19" t="n">
        <f aca="false">IF(Delay!P8="","",Fee*$A8+E$3*Delay!P8)</f>
        <v>74.414105826256</v>
      </c>
      <c r="F8" s="19" t="n">
        <f aca="false">IF(Delay!R8="","",Fee*$A8+F$3*Delay!R8)</f>
        <v>69.7084131677144</v>
      </c>
      <c r="G8" s="19" t="n">
        <f aca="false">IF(Delay!T8="","",Fee*$A8+G$3*Delay!T8)</f>
        <v>65.3925191049502</v>
      </c>
    </row>
    <row r="9" customFormat="false" ht="15" hidden="false" customHeight="false" outlineLevel="0" collapsed="false">
      <c r="A9" s="25" t="n">
        <f aca="false">Quantiles!A9</f>
        <v>20</v>
      </c>
      <c r="B9" s="19" t="n">
        <f aca="false">IF(Delay!P9="","",Fee*$A9+B$3*Delay!P9)</f>
        <v>18.0583016490186</v>
      </c>
      <c r="C9" s="19" t="n">
        <f aca="false">IF(Delay!R9="","",Fee*$A9+C$3*Delay!R9)</f>
        <v>16.874713531876</v>
      </c>
      <c r="D9" s="19" t="n">
        <f aca="false">IF(Delay!T9="","",Fee*$A9+D$3*Delay!T9)</f>
        <v>15.8472664910381</v>
      </c>
      <c r="E9" s="19" t="n">
        <f aca="false">IF(Delay!P9="","",Fee*$A9+E$3*Delay!P9)</f>
        <v>70.4332065960742</v>
      </c>
      <c r="F9" s="19" t="n">
        <f aca="false">IF(Delay!R9="","",Fee*$A9+F$3*Delay!R9)</f>
        <v>65.698854127504</v>
      </c>
      <c r="G9" s="19" t="n">
        <f aca="false">IF(Delay!T9="","",Fee*$A9+G$3*Delay!T9)</f>
        <v>61.5890659641524</v>
      </c>
    </row>
    <row r="10" customFormat="false" ht="15" hidden="false" customHeight="false" outlineLevel="0" collapsed="false">
      <c r="A10" s="25" t="n">
        <f aca="false">Quantiles!A10</f>
        <v>25</v>
      </c>
      <c r="B10" s="19" t="n">
        <f aca="false">IF(Delay!P10="","",Fee*$A10+B$3*Delay!P10)</f>
        <v>17.2039033927898</v>
      </c>
      <c r="C10" s="19" t="n">
        <f aca="false">IF(Delay!R10="","",Fee*$A10+C$3*Delay!R10)</f>
        <v>16.017959791901</v>
      </c>
      <c r="D10" s="19" t="n">
        <f aca="false">IF(Delay!T10="","",Fee*$A10+D$3*Delay!T10)</f>
        <v>15.035163453976</v>
      </c>
      <c r="E10" s="19" t="n">
        <f aca="false">IF(Delay!P10="","",Fee*$A10+E$3*Delay!P10)</f>
        <v>66.5656135711591</v>
      </c>
      <c r="F10" s="19" t="n">
        <f aca="false">IF(Delay!R10="","",Fee*$A10+F$3*Delay!R10)</f>
        <v>61.8218391676038</v>
      </c>
      <c r="G10" s="19" t="n">
        <f aca="false">IF(Delay!T10="","",Fee*$A10+G$3*Delay!T10)</f>
        <v>57.8906538159042</v>
      </c>
    </row>
    <row r="11" customFormat="false" ht="15" hidden="false" customHeight="false" outlineLevel="0" collapsed="false">
      <c r="A11" s="25" t="n">
        <f aca="false">Quantiles!A11</f>
        <v>30</v>
      </c>
      <c r="B11" s="19" t="n">
        <f aca="false">IF(Delay!P11="","",Fee*$A11+B$3*Delay!P11)</f>
        <v>16.3615008807005</v>
      </c>
      <c r="C11" s="19" t="n">
        <f aca="false">IF(Delay!R11="","",Fee*$A11+C$3*Delay!R11)</f>
        <v>15.2150346454825</v>
      </c>
      <c r="D11" s="19" t="n">
        <f aca="false">IF(Delay!T11="","",Fee*$A11+D$3*Delay!T11)</f>
        <v>14.2176494654329</v>
      </c>
      <c r="E11" s="19" t="n">
        <f aca="false">IF(Delay!P11="","",Fee*$A11+E$3*Delay!P11)</f>
        <v>62.7460035228019</v>
      </c>
      <c r="F11" s="19" t="n">
        <f aca="false">IF(Delay!R11="","",Fee*$A11+F$3*Delay!R11)</f>
        <v>58.16013858193</v>
      </c>
      <c r="G11" s="19" t="n">
        <f aca="false">IF(Delay!T11="","",Fee*$A11+G$3*Delay!T11)</f>
        <v>54.1705978617316</v>
      </c>
    </row>
    <row r="12" customFormat="false" ht="15" hidden="false" customHeight="false" outlineLevel="0" collapsed="false">
      <c r="A12" s="25" t="n">
        <f aca="false">Quantiles!A12</f>
        <v>35</v>
      </c>
      <c r="B12" s="19" t="n">
        <f aca="false">IF(Delay!P12="","",Fee*$A12+B$3*Delay!P12)</f>
        <v>15.5158754343384</v>
      </c>
      <c r="C12" s="19" t="n">
        <f aca="false">IF(Delay!R12="","",Fee*$A12+C$3*Delay!R12)</f>
        <v>14.4381504743496</v>
      </c>
      <c r="D12" s="19" t="n">
        <f aca="false">IF(Delay!T12="","",Fee*$A12+D$3*Delay!T12)</f>
        <v>13.4514633960085</v>
      </c>
      <c r="E12" s="19" t="n">
        <f aca="false">IF(Delay!P12="","",Fee*$A12+E$3*Delay!P12)</f>
        <v>58.9135017373535</v>
      </c>
      <c r="F12" s="19" t="n">
        <f aca="false">IF(Delay!R12="","",Fee*$A12+F$3*Delay!R12)</f>
        <v>54.6026018973986</v>
      </c>
      <c r="G12" s="19" t="n">
        <f aca="false">IF(Delay!T12="","",Fee*$A12+G$3*Delay!T12)</f>
        <v>50.655853584034</v>
      </c>
    </row>
    <row r="13" customFormat="false" ht="15" hidden="false" customHeight="false" outlineLevel="0" collapsed="false">
      <c r="A13" s="25" t="n">
        <f aca="false">Quantiles!A13</f>
        <v>40</v>
      </c>
      <c r="B13" s="19" t="n">
        <f aca="false">IF(Delay!P13="","",Fee*$A13+B$3*Delay!P13)</f>
        <v>14.740476106241</v>
      </c>
      <c r="C13" s="19" t="n">
        <f aca="false">IF(Delay!R13="","",Fee*$A13+C$3*Delay!R13)</f>
        <v>13.6264192053015</v>
      </c>
      <c r="D13" s="19" t="n">
        <f aca="false">IF(Delay!T13="","",Fee*$A13+D$3*Delay!T13)</f>
        <v>12.7706435408273</v>
      </c>
      <c r="E13" s="19" t="n">
        <f aca="false">IF(Delay!P13="","",Fee*$A13+E$3*Delay!P13)</f>
        <v>55.3619044249639</v>
      </c>
      <c r="F13" s="19" t="n">
        <f aca="false">IF(Delay!R13="","",Fee*$A13+F$3*Delay!R13)</f>
        <v>50.9056768212061</v>
      </c>
      <c r="G13" s="19" t="n">
        <f aca="false">IF(Delay!T13="","",Fee*$A13+G$3*Delay!T13)</f>
        <v>47.4825741633094</v>
      </c>
    </row>
    <row r="14" customFormat="false" ht="15" hidden="false" customHeight="false" outlineLevel="0" collapsed="false">
      <c r="A14" s="25" t="n">
        <f aca="false">Quantiles!A14</f>
        <v>45</v>
      </c>
      <c r="B14" s="19" t="n">
        <f aca="false">IF(Delay!P14="","",Fee*$A14+B$3*Delay!P14)</f>
        <v>14.0143541092193</v>
      </c>
      <c r="C14" s="19" t="n">
        <f aca="false">IF(Delay!R14="","",Fee*$A14+C$3*Delay!R14)</f>
        <v>12.960034953497</v>
      </c>
      <c r="D14" s="19" t="n">
        <f aca="false">IF(Delay!T14="","",Fee*$A14+D$3*Delay!T14)</f>
        <v>12.0966588564246</v>
      </c>
      <c r="E14" s="19" t="n">
        <f aca="false">IF(Delay!P14="","",Fee*$A14+E$3*Delay!P14)</f>
        <v>52.0074164368773</v>
      </c>
      <c r="F14" s="19" t="n">
        <f aca="false">IF(Delay!R14="","",Fee*$A14+F$3*Delay!R14)</f>
        <v>47.7901398139881</v>
      </c>
      <c r="G14" s="19" t="n">
        <f aca="false">IF(Delay!T14="","",Fee*$A14+G$3*Delay!T14)</f>
        <v>44.3366354256982</v>
      </c>
    </row>
    <row r="15" customFormat="false" ht="15" hidden="false" customHeight="false" outlineLevel="0" collapsed="false">
      <c r="A15" s="25" t="n">
        <f aca="false">Quantiles!A15</f>
        <v>50</v>
      </c>
      <c r="B15" s="19" t="n">
        <f aca="false">IF(Delay!P15="","",Fee*$A15+B$3*Delay!P15)</f>
        <v>13.2774548754809</v>
      </c>
      <c r="C15" s="19" t="n">
        <f aca="false">IF(Delay!R15="","",Fee*$A15+C$3*Delay!R15)</f>
        <v>12.3039047314107</v>
      </c>
      <c r="D15" s="19" t="n">
        <f aca="false">IF(Delay!T15="","",Fee*$A15+D$3*Delay!T15)</f>
        <v>11.4989259553732</v>
      </c>
      <c r="E15" s="19" t="n">
        <f aca="false">IF(Delay!P15="","",Fee*$A15+E$3*Delay!P15)</f>
        <v>48.6098195019237</v>
      </c>
      <c r="F15" s="19" t="n">
        <f aca="false">IF(Delay!R15="","",Fee*$A15+F$3*Delay!R15)</f>
        <v>44.7156189256428</v>
      </c>
      <c r="G15" s="19" t="n">
        <f aca="false">IF(Delay!T15="","",Fee*$A15+G$3*Delay!T15)</f>
        <v>41.4957038214929</v>
      </c>
    </row>
    <row r="16" customFormat="false" ht="15" hidden="false" customHeight="false" outlineLevel="0" collapsed="false">
      <c r="A16" s="25" t="n">
        <f aca="false">Quantiles!A16</f>
        <v>55</v>
      </c>
      <c r="B16" s="19" t="n">
        <f aca="false">IF(Delay!P16="","",Fee*$A16+B$3*Delay!P16)</f>
        <v>12.5939756738868</v>
      </c>
      <c r="C16" s="19" t="n">
        <f aca="false">IF(Delay!R16="","",Fee*$A16+C$3*Delay!R16)</f>
        <v>11.6984849305401</v>
      </c>
      <c r="D16" s="19" t="n">
        <f aca="false">IF(Delay!T16="","",Fee*$A16+D$3*Delay!T16)</f>
        <v>10.9448718496359</v>
      </c>
      <c r="E16" s="19" t="n">
        <f aca="false">IF(Delay!P16="","",Fee*$A16+E$3*Delay!P16)</f>
        <v>45.4259026955471</v>
      </c>
      <c r="F16" s="19" t="n">
        <f aca="false">IF(Delay!R16="","",Fee*$A16+F$3*Delay!R16)</f>
        <v>41.8439397221602</v>
      </c>
      <c r="G16" s="19" t="n">
        <f aca="false">IF(Delay!T16="","",Fee*$A16+G$3*Delay!T16)</f>
        <v>38.8294873985437</v>
      </c>
    </row>
    <row r="17" customFormat="false" ht="15" hidden="false" customHeight="false" outlineLevel="0" collapsed="false">
      <c r="A17" s="25" t="n">
        <f aca="false">Quantiles!A17</f>
        <v>60</v>
      </c>
      <c r="B17" s="19" t="n">
        <f aca="false">IF(Delay!P17="","",Fee*$A17+B$3*Delay!P17)</f>
        <v>11.968823504165</v>
      </c>
      <c r="C17" s="19" t="n">
        <f aca="false">IF(Delay!R17="","",Fee*$A17+C$3*Delay!R17)</f>
        <v>11.1213444716557</v>
      </c>
      <c r="D17" s="19" t="n">
        <f aca="false">IF(Delay!T17="","",Fee*$A17+D$3*Delay!T17)</f>
        <v>10.355597595826</v>
      </c>
      <c r="E17" s="19" t="n">
        <f aca="false">IF(Delay!P17="","",Fee*$A17+E$3*Delay!P17)</f>
        <v>42.4752940166599</v>
      </c>
      <c r="F17" s="19" t="n">
        <f aca="false">IF(Delay!R17="","",Fee*$A17+F$3*Delay!R17)</f>
        <v>39.0853778866226</v>
      </c>
      <c r="G17" s="19" t="n">
        <f aca="false">IF(Delay!T17="","",Fee*$A17+G$3*Delay!T17)</f>
        <v>36.0223903833038</v>
      </c>
    </row>
    <row r="18" customFormat="false" ht="15" hidden="false" customHeight="false" outlineLevel="0" collapsed="false">
      <c r="A18" s="25" t="n">
        <f aca="false">Quantiles!A18</f>
        <v>65</v>
      </c>
      <c r="B18" s="19" t="n">
        <f aca="false">IF(Delay!P18="","",Fee*$A18+B$3*Delay!P18)</f>
        <v>11.4330573534004</v>
      </c>
      <c r="C18" s="19" t="n">
        <f aca="false">IF(Delay!R18="","",Fee*$A18+C$3*Delay!R18)</f>
        <v>10.5643876540715</v>
      </c>
      <c r="D18" s="19" t="n">
        <f aca="false">IF(Delay!T18="","",Fee*$A18+D$3*Delay!T18)</f>
        <v>9.8199299677196</v>
      </c>
      <c r="E18" s="19" t="n">
        <f aca="false">IF(Delay!P18="","",Fee*$A18+E$3*Delay!P18)</f>
        <v>39.8822294136016</v>
      </c>
      <c r="F18" s="19" t="n">
        <f aca="false">IF(Delay!R18="","",Fee*$A18+F$3*Delay!R18)</f>
        <v>36.4075506162861</v>
      </c>
      <c r="G18" s="19" t="n">
        <f aca="false">IF(Delay!T18="","",Fee*$A18+G$3*Delay!T18)</f>
        <v>33.4297198708784</v>
      </c>
    </row>
    <row r="19" customFormat="false" ht="15" hidden="false" customHeight="false" outlineLevel="0" collapsed="false">
      <c r="A19" s="25" t="n">
        <f aca="false">Quantiles!A19</f>
        <v>70</v>
      </c>
      <c r="B19" s="19" t="n">
        <f aca="false">IF(Delay!P19="","",Fee*$A19+B$3*Delay!P19)</f>
        <v>10.8993591294193</v>
      </c>
      <c r="C19" s="19" t="n">
        <f aca="false">IF(Delay!R19="","",Fee*$A19+C$3*Delay!R19)</f>
        <v>10.0893039591565</v>
      </c>
      <c r="D19" s="19" t="n">
        <f aca="false">IF(Delay!T19="","",Fee*$A19+D$3*Delay!T19)</f>
        <v>9.39730507671771</v>
      </c>
      <c r="E19" s="19" t="n">
        <f aca="false">IF(Delay!P19="","",Fee*$A19+E$3*Delay!P19)</f>
        <v>37.2974365176774</v>
      </c>
      <c r="F19" s="19" t="n">
        <f aca="false">IF(Delay!R19="","",Fee*$A19+F$3*Delay!R19)</f>
        <v>34.0572158366258</v>
      </c>
      <c r="G19" s="19" t="n">
        <f aca="false">IF(Delay!T19="","",Fee*$A19+G$3*Delay!T19)</f>
        <v>31.2892203068708</v>
      </c>
    </row>
    <row r="20" customFormat="false" ht="15" hidden="false" customHeight="false" outlineLevel="0" collapsed="false">
      <c r="A20" s="25" t="n">
        <f aca="false">Quantiles!A20</f>
        <v>75</v>
      </c>
      <c r="B20" s="19" t="n">
        <f aca="false">IF(Delay!P20="","",Fee*$A20+B$3*Delay!P20)</f>
        <v>10.3944912664068</v>
      </c>
      <c r="C20" s="19" t="n">
        <f aca="false">IF(Delay!R20="","",Fee*$A20+C$3*Delay!R20)</f>
        <v>9.65450306724993</v>
      </c>
      <c r="D20" s="19" t="n">
        <f aca="false">IF(Delay!T20="","",Fee*$A20+D$3*Delay!T20)</f>
        <v>8.98052357797097</v>
      </c>
      <c r="E20" s="19" t="n">
        <f aca="false">IF(Delay!P20="","",Fee*$A20+E$3*Delay!P20)</f>
        <v>34.8279650656272</v>
      </c>
      <c r="F20" s="19" t="n">
        <f aca="false">IF(Delay!R20="","",Fee*$A20+F$3*Delay!R20)</f>
        <v>31.8680122689997</v>
      </c>
      <c r="G20" s="19" t="n">
        <f aca="false">IF(Delay!T20="","",Fee*$A20+G$3*Delay!T20)</f>
        <v>29.1720943118839</v>
      </c>
    </row>
    <row r="21" customFormat="false" ht="15" hidden="false" customHeight="false" outlineLevel="0" collapsed="false">
      <c r="A21" s="25" t="n">
        <f aca="false">Quantiles!A21</f>
        <v>80</v>
      </c>
      <c r="B21" s="19" t="n">
        <f aca="false">IF(Delay!P21="","",Fee*$A21+B$3*Delay!P21)</f>
        <v>9.99034084299048</v>
      </c>
      <c r="C21" s="19" t="n">
        <f aca="false">IF(Delay!R21="","",Fee*$A21+C$3*Delay!R21)</f>
        <v>9.2749162223596</v>
      </c>
      <c r="D21" s="19" t="n">
        <f aca="false">IF(Delay!T21="","",Fee*$A21+D$3*Delay!T21)</f>
        <v>8.63011309877626</v>
      </c>
      <c r="E21" s="19" t="n">
        <f aca="false">IF(Delay!P21="","",Fee*$A21+E$3*Delay!P21)</f>
        <v>32.7613633719619</v>
      </c>
      <c r="F21" s="19" t="n">
        <f aca="false">IF(Delay!R21="","",Fee*$A21+F$3*Delay!R21)</f>
        <v>29.8996648894384</v>
      </c>
      <c r="G21" s="19" t="n">
        <f aca="false">IF(Delay!T21="","",Fee*$A21+G$3*Delay!T21)</f>
        <v>27.320452395105</v>
      </c>
    </row>
    <row r="22" customFormat="false" ht="15" hidden="false" customHeight="false" outlineLevel="0" collapsed="false">
      <c r="A22" s="25" t="n">
        <f aca="false">Quantiles!A22</f>
        <v>85</v>
      </c>
      <c r="B22" s="19" t="n">
        <f aca="false">IF(Delay!P22="","",Fee*$A22+B$3*Delay!P22)</f>
        <v>9.63039366285917</v>
      </c>
      <c r="C22" s="19" t="n">
        <f aca="false">IF(Delay!R22="","",Fee*$A22+C$3*Delay!R22)</f>
        <v>8.93942175625302</v>
      </c>
      <c r="D22" s="19" t="n">
        <f aca="false">IF(Delay!T22="","",Fee*$A22+D$3*Delay!T22)</f>
        <v>8.314915412753</v>
      </c>
      <c r="E22" s="19" t="n">
        <f aca="false">IF(Delay!P22="","",Fee*$A22+E$3*Delay!P22)</f>
        <v>30.8715746514367</v>
      </c>
      <c r="F22" s="19" t="n">
        <f aca="false">IF(Delay!R22="","",Fee*$A22+F$3*Delay!R22)</f>
        <v>28.1076870250121</v>
      </c>
      <c r="G22" s="19" t="n">
        <f aca="false">IF(Delay!T22="","",Fee*$A22+G$3*Delay!T22)</f>
        <v>25.609661651012</v>
      </c>
    </row>
    <row r="23" customFormat="false" ht="15" hidden="false" customHeight="false" outlineLevel="0" collapsed="false">
      <c r="A23" s="25" t="n">
        <f aca="false">Quantiles!A23</f>
        <v>90</v>
      </c>
      <c r="B23" s="19" t="n">
        <f aca="false">IF(Delay!P23="","",Fee*$A23+B$3*Delay!P23)</f>
        <v>9.25986132384989</v>
      </c>
      <c r="C23" s="19" t="n">
        <f aca="false">IF(Delay!R23="","",Fee*$A23+C$3*Delay!R23)</f>
        <v>8.62789326946574</v>
      </c>
      <c r="D23" s="19" t="n">
        <f aca="false">IF(Delay!T23="","",Fee*$A23+D$3*Delay!T23)</f>
        <v>8.06805269965581</v>
      </c>
      <c r="E23" s="19" t="n">
        <f aca="false">IF(Delay!P23="","",Fee*$A23+E$3*Delay!P23)</f>
        <v>28.9394452953996</v>
      </c>
      <c r="F23" s="19" t="n">
        <f aca="false">IF(Delay!R23="","",Fee*$A23+F$3*Delay!R23)</f>
        <v>26.411573077863</v>
      </c>
      <c r="G23" s="19" t="n">
        <f aca="false">IF(Delay!T23="","",Fee*$A23+G$3*Delay!T23)</f>
        <v>24.1722107986232</v>
      </c>
    </row>
    <row r="24" customFormat="false" ht="15" hidden="false" customHeight="false" outlineLevel="0" collapsed="false">
      <c r="A24" s="25" t="n">
        <f aca="false">Quantiles!A24</f>
        <v>95</v>
      </c>
      <c r="B24" s="19" t="n">
        <f aca="false">IF(Delay!P24="","",Fee*$A24+B$3*Delay!P24)</f>
        <v>8.97377053569161</v>
      </c>
      <c r="C24" s="19" t="n">
        <f aca="false">IF(Delay!R24="","",Fee*$A24+C$3*Delay!R24)</f>
        <v>8.36148834963352</v>
      </c>
      <c r="D24" s="19" t="n">
        <f aca="false">IF(Delay!T24="","",Fee*$A24+D$3*Delay!T24)</f>
        <v>7.83013980985959</v>
      </c>
      <c r="E24" s="19" t="n">
        <f aca="false">IF(Delay!P24="","",Fee*$A24+E$3*Delay!P24)</f>
        <v>27.3450821427664</v>
      </c>
      <c r="F24" s="19" t="n">
        <f aca="false">IF(Delay!R24="","",Fee*$A24+F$3*Delay!R24)</f>
        <v>24.8959533985341</v>
      </c>
      <c r="G24" s="19" t="n">
        <f aca="false">IF(Delay!T24="","",Fee*$A24+G$3*Delay!T24)</f>
        <v>22.7705592394384</v>
      </c>
    </row>
    <row r="25" customFormat="false" ht="15" hidden="false" customHeight="false" outlineLevel="0" collapsed="false">
      <c r="A25" s="25" t="n">
        <f aca="false">Quantiles!A25</f>
        <v>100</v>
      </c>
      <c r="B25" s="19" t="n">
        <f aca="false">IF(Delay!P25="","",Fee*$A25+B$3*Delay!P25)</f>
        <v>8.73629935378396</v>
      </c>
      <c r="C25" s="19" t="n">
        <f aca="false">IF(Delay!R25="","",Fee*$A25+C$3*Delay!R25)</f>
        <v>8.14844553018221</v>
      </c>
      <c r="D25" s="19" t="n">
        <f aca="false">IF(Delay!T25="","",Fee*$A25+D$3*Delay!T25)</f>
        <v>7.64206204208106</v>
      </c>
      <c r="E25" s="19" t="n">
        <f aca="false">IF(Delay!P25="","",Fee*$A25+E$3*Delay!P25)</f>
        <v>25.9451974151358</v>
      </c>
      <c r="F25" s="19" t="n">
        <f aca="false">IF(Delay!R25="","",Fee*$A25+F$3*Delay!R25)</f>
        <v>23.5937821207288</v>
      </c>
      <c r="G25" s="19" t="n">
        <f aca="false">IF(Delay!T25="","",Fee*$A25+G$3*Delay!T25)</f>
        <v>21.5682481683242</v>
      </c>
    </row>
    <row r="26" customFormat="false" ht="15" hidden="false" customHeight="false" outlineLevel="0" collapsed="false">
      <c r="A26" s="25" t="n">
        <f aca="false">Quantiles!A26</f>
        <v>105</v>
      </c>
      <c r="B26" s="19" t="n">
        <f aca="false">IF(Delay!P26="","",Fee*$A26+B$3*Delay!P26)</f>
        <v>8.51444666774601</v>
      </c>
      <c r="C26" s="19" t="n">
        <f aca="false">IF(Delay!R26="","",Fee*$A26+C$3*Delay!R26)</f>
        <v>7.99683748938458</v>
      </c>
      <c r="D26" s="19" t="n">
        <f aca="false">IF(Delay!T26="","",Fee*$A26+D$3*Delay!T26)</f>
        <v>7.47414543593142</v>
      </c>
      <c r="E26" s="19" t="n">
        <f aca="false">IF(Delay!P26="","",Fee*$A26+E$3*Delay!P26)</f>
        <v>24.607786670984</v>
      </c>
      <c r="F26" s="19" t="n">
        <f aca="false">IF(Delay!R26="","",Fee*$A26+F$3*Delay!R26)</f>
        <v>22.5373499575383</v>
      </c>
      <c r="G26" s="19" t="n">
        <f aca="false">IF(Delay!T26="","",Fee*$A26+G$3*Delay!T26)</f>
        <v>20.4465817437257</v>
      </c>
    </row>
    <row r="27" customFormat="false" ht="15" hidden="false" customHeight="false" outlineLevel="0" collapsed="false">
      <c r="A27" s="25" t="n">
        <f aca="false">Quantiles!A27</f>
        <v>110</v>
      </c>
      <c r="B27" s="19" t="n">
        <f aca="false">IF(Delay!P27="","",Fee*$A27+B$3*Delay!P27)</f>
        <v>8.34659396475738</v>
      </c>
      <c r="C27" s="19" t="n">
        <f aca="false">IF(Delay!R27="","",Fee*$A27+C$3*Delay!R27)</f>
        <v>7.80166870389644</v>
      </c>
      <c r="D27" s="19" t="n">
        <f aca="false">IF(Delay!T27="","",Fee*$A27+D$3*Delay!T27)</f>
        <v>7.31294673766683</v>
      </c>
      <c r="E27" s="19" t="n">
        <f aca="false">IF(Delay!P27="","",Fee*$A27+E$3*Delay!P27)</f>
        <v>23.4863758590295</v>
      </c>
      <c r="F27" s="19" t="n">
        <f aca="false">IF(Delay!R27="","",Fee*$A27+F$3*Delay!R27)</f>
        <v>21.3066748155858</v>
      </c>
      <c r="G27" s="19" t="n">
        <f aca="false">IF(Delay!T27="","",Fee*$A27+G$3*Delay!T27)</f>
        <v>19.3517869506673</v>
      </c>
    </row>
    <row r="28" customFormat="false" ht="15" hidden="false" customHeight="false" outlineLevel="0" collapsed="false">
      <c r="A28" s="25" t="n">
        <f aca="false">Quantiles!A28</f>
        <v>115</v>
      </c>
      <c r="B28" s="19" t="n">
        <f aca="false">IF(Delay!P28="","",Fee*$A28+B$3*Delay!P28)</f>
        <v>8.26971692070179</v>
      </c>
      <c r="C28" s="19" t="n">
        <f aca="false">IF(Delay!R28="","",Fee*$A28+C$3*Delay!R28)</f>
        <v>7.70760274473907</v>
      </c>
      <c r="D28" s="19" t="n">
        <f aca="false">IF(Delay!T28="","",Fee*$A28+D$3*Delay!T28)</f>
        <v>7.18834897275782</v>
      </c>
      <c r="E28" s="19" t="n">
        <f aca="false">IF(Delay!P28="","",Fee*$A28+E$3*Delay!P28)</f>
        <v>22.7288676828072</v>
      </c>
      <c r="F28" s="19" t="n">
        <f aca="false">IF(Delay!R28="","",Fee*$A28+F$3*Delay!R28)</f>
        <v>20.4804109789563</v>
      </c>
      <c r="G28" s="19" t="n">
        <f aca="false">IF(Delay!T28="","",Fee*$A28+G$3*Delay!T28)</f>
        <v>18.4033958910313</v>
      </c>
    </row>
    <row r="29" customFormat="false" ht="15" hidden="false" customHeight="false" outlineLevel="0" collapsed="false">
      <c r="A29" s="25" t="n">
        <f aca="false">Quantiles!A29</f>
        <v>120</v>
      </c>
      <c r="B29" s="19" t="n">
        <f aca="false">IF(Delay!P29="","",Fee*$A29+B$3*Delay!P29)</f>
        <v>8.1396932103775</v>
      </c>
      <c r="C29" s="19" t="n">
        <f aca="false">IF(Delay!R29="","",Fee*$A29+C$3*Delay!R29)</f>
        <v>7.61508686368074</v>
      </c>
      <c r="D29" s="19" t="n">
        <f aca="false">IF(Delay!T29="","",Fee*$A29+D$3*Delay!T29)</f>
        <v>7.1511467550752</v>
      </c>
      <c r="E29" s="19" t="n">
        <f aca="false">IF(Delay!P29="","",Fee*$A29+E$3*Delay!P29)</f>
        <v>21.75877284151</v>
      </c>
      <c r="F29" s="19" t="n">
        <f aca="false">IF(Delay!R29="","",Fee*$A29+F$3*Delay!R29)</f>
        <v>19.660347454723</v>
      </c>
      <c r="G29" s="19" t="n">
        <f aca="false">IF(Delay!T29="","",Fee*$A29+G$3*Delay!T29)</f>
        <v>17.8045870203008</v>
      </c>
    </row>
    <row r="30" customFormat="false" ht="15" hidden="false" customHeight="false" outlineLevel="0" collapsed="false">
      <c r="A30" s="25" t="n">
        <f aca="false">Quantiles!A30</f>
        <v>125</v>
      </c>
      <c r="B30" s="19" t="n">
        <f aca="false">IF(Delay!P30="","",Fee*$A30+B$3*Delay!P30)</f>
        <v>8.09564962700607</v>
      </c>
      <c r="C30" s="19" t="n">
        <f aca="false">IF(Delay!R30="","",Fee*$A30+C$3*Delay!R30)</f>
        <v>7.55035420293466</v>
      </c>
      <c r="D30" s="19" t="n">
        <f aca="false">IF(Delay!T30="","",Fee*$A30+D$3*Delay!T30)</f>
        <v>7.09419715445474</v>
      </c>
      <c r="E30" s="19" t="n">
        <f aca="false">IF(Delay!P30="","",Fee*$A30+E$3*Delay!P30)</f>
        <v>21.1325985080243</v>
      </c>
      <c r="F30" s="19" t="n">
        <f aca="false">IF(Delay!R30="","",Fee*$A30+F$3*Delay!R30)</f>
        <v>18.9514168117386</v>
      </c>
      <c r="G30" s="19" t="n">
        <f aca="false">IF(Delay!T30="","",Fee*$A30+G$3*Delay!T30)</f>
        <v>17.126788617819</v>
      </c>
    </row>
    <row r="31" customFormat="false" ht="15" hidden="false" customHeight="false" outlineLevel="0" collapsed="false">
      <c r="A31" s="25" t="n">
        <f aca="false">Quantiles!A31</f>
        <v>130</v>
      </c>
      <c r="B31" s="19" t="n">
        <f aca="false">IF(Delay!P31="","",Fee*$A31+B$3*Delay!P31)</f>
        <v>8.05233951083047</v>
      </c>
      <c r="C31" s="19" t="n">
        <f aca="false">IF(Delay!R31="","",Fee*$A31+C$3*Delay!R31)</f>
        <v>7.52662117598932</v>
      </c>
      <c r="D31" s="19" t="n">
        <f aca="false">IF(Delay!T31="","",Fee*$A31+D$3*Delay!T31)</f>
        <v>7.07393231677686</v>
      </c>
      <c r="E31" s="19" t="n">
        <f aca="false">IF(Delay!P31="","",Fee*$A31+E$3*Delay!P31)</f>
        <v>20.5093580433219</v>
      </c>
      <c r="F31" s="19" t="n">
        <f aca="false">IF(Delay!R31="","",Fee*$A31+F$3*Delay!R31)</f>
        <v>18.4064847039573</v>
      </c>
      <c r="G31" s="19" t="n">
        <f aca="false">IF(Delay!T31="","",Fee*$A31+G$3*Delay!T31)</f>
        <v>16.5957292671074</v>
      </c>
    </row>
    <row r="32" customFormat="false" ht="15" hidden="false" customHeight="false" outlineLevel="0" collapsed="false">
      <c r="A32" s="25" t="n">
        <f aca="false">Quantiles!A32</f>
        <v>135</v>
      </c>
      <c r="B32" s="19" t="n">
        <f aca="false">IF(Delay!P32="","",Fee*$A32+B$3*Delay!P32)</f>
        <v>8.00912791220572</v>
      </c>
      <c r="C32" s="19" t="n">
        <f aca="false">IF(Delay!R32="","",Fee*$A32+C$3*Delay!R32)</f>
        <v>7.53572862915213</v>
      </c>
      <c r="D32" s="19" t="n">
        <f aca="false">IF(Delay!T32="","",Fee*$A32+D$3*Delay!T32)</f>
        <v>7.07361368571097</v>
      </c>
      <c r="E32" s="19" t="n">
        <f aca="false">IF(Delay!P32="","",Fee*$A32+E$3*Delay!P32)</f>
        <v>19.8865116488229</v>
      </c>
      <c r="F32" s="19" t="n">
        <f aca="false">IF(Delay!R32="","",Fee*$A32+F$3*Delay!R32)</f>
        <v>17.9929145166085</v>
      </c>
      <c r="G32" s="19" t="n">
        <f aca="false">IF(Delay!T32="","",Fee*$A32+G$3*Delay!T32)</f>
        <v>16.1444547428439</v>
      </c>
    </row>
    <row r="33" customFormat="false" ht="15" hidden="false" customHeight="false" outlineLevel="0" collapsed="false">
      <c r="A33" s="25" t="n">
        <f aca="false">Quantiles!A33</f>
        <v>140</v>
      </c>
      <c r="B33" s="19" t="n">
        <f aca="false">IF(Delay!P33="","",Fee*$A33+B$3*Delay!P33)</f>
        <v>7.97300399905459</v>
      </c>
      <c r="C33" s="19" t="n">
        <f aca="false">IF(Delay!R33="","",Fee*$A33+C$3*Delay!R33)</f>
        <v>7.52462480002316</v>
      </c>
      <c r="D33" s="19" t="n">
        <f aca="false">IF(Delay!T33="","",Fee*$A33+D$3*Delay!T33)</f>
        <v>7.06671520209586</v>
      </c>
      <c r="E33" s="19" t="n">
        <f aca="false">IF(Delay!P33="","",Fee*$A33+E$3*Delay!P33)</f>
        <v>19.2920159962184</v>
      </c>
      <c r="F33" s="19" t="n">
        <f aca="false">IF(Delay!R33="","",Fee*$A33+F$3*Delay!R33)</f>
        <v>17.4984992000926</v>
      </c>
      <c r="G33" s="19" t="n">
        <f aca="false">IF(Delay!T33="","",Fee*$A33+G$3*Delay!T33)</f>
        <v>15.6668608083834</v>
      </c>
    </row>
    <row r="34" customFormat="false" ht="15" hidden="false" customHeight="false" outlineLevel="0" collapsed="false">
      <c r="A34" s="25" t="n">
        <f aca="false">Quantiles!A34</f>
        <v>145</v>
      </c>
      <c r="B34" s="19" t="n">
        <f aca="false">IF(Delay!P34="","",Fee*$A34+B$3*Delay!P34)</f>
        <v>7.98184984091374</v>
      </c>
      <c r="C34" s="19" t="n">
        <f aca="false">IF(Delay!R34="","",Fee*$A34+C$3*Delay!R34)</f>
        <v>7.52579462255698</v>
      </c>
      <c r="D34" s="19" t="n">
        <f aca="false">IF(Delay!T34="","",Fee*$A34+D$3*Delay!T34)</f>
        <v>7.08172067819932</v>
      </c>
      <c r="E34" s="19" t="n">
        <f aca="false">IF(Delay!P34="","",Fee*$A34+E$3*Delay!P34)</f>
        <v>18.877399363655</v>
      </c>
      <c r="F34" s="19" t="n">
        <f aca="false">IF(Delay!R34="","",Fee*$A34+F$3*Delay!R34)</f>
        <v>17.0531784902279</v>
      </c>
      <c r="G34" s="19" t="n">
        <f aca="false">IF(Delay!T34="","",Fee*$A34+G$3*Delay!T34)</f>
        <v>15.2768827127973</v>
      </c>
    </row>
    <row r="35" customFormat="false" ht="15" hidden="false" customHeight="false" outlineLevel="0" collapsed="false">
      <c r="A35" s="25" t="n">
        <f aca="false">Quantiles!A35</f>
        <v>150</v>
      </c>
      <c r="B35" s="19" t="n">
        <f aca="false">IF(Delay!P35="","",Fee*$A35+B$3*Delay!P35)</f>
        <v>8.0241063475647</v>
      </c>
      <c r="C35" s="19" t="n">
        <f aca="false">IF(Delay!R35="","",Fee*$A35+C$3*Delay!R35)</f>
        <v>7.53842529514057</v>
      </c>
      <c r="D35" s="19" t="n">
        <f aca="false">IF(Delay!T35="","",Fee*$A35+D$3*Delay!T35)</f>
        <v>7.10715883017619</v>
      </c>
      <c r="E35" s="19" t="n">
        <f aca="false">IF(Delay!P35="","",Fee*$A35+E$3*Delay!P35)</f>
        <v>18.5964253902588</v>
      </c>
      <c r="F35" s="19" t="n">
        <f aca="false">IF(Delay!R35="","",Fee*$A35+F$3*Delay!R35)</f>
        <v>16.6537011805623</v>
      </c>
      <c r="G35" s="19" t="n">
        <f aca="false">IF(Delay!T35="","",Fee*$A35+G$3*Delay!T35)</f>
        <v>14.9286353207048</v>
      </c>
    </row>
    <row r="36" customFormat="false" ht="15" hidden="false" customHeight="false" outlineLevel="0" collapsed="false">
      <c r="A36" s="25" t="n">
        <f aca="false">Quantiles!A36</f>
        <v>155</v>
      </c>
      <c r="B36" s="19" t="n">
        <f aca="false">IF(Delay!P36="","",Fee*$A36+B$3*Delay!P36)</f>
        <v>8.03578242854316</v>
      </c>
      <c r="C36" s="19" t="n">
        <f aca="false">IF(Delay!R36="","",Fee*$A36+C$3*Delay!R36)</f>
        <v>7.57171603867835</v>
      </c>
      <c r="D36" s="19" t="n">
        <f aca="false">IF(Delay!T36="","",Fee*$A36+D$3*Delay!T36)</f>
        <v>7.1459753465074</v>
      </c>
      <c r="E36" s="19" t="n">
        <f aca="false">IF(Delay!P36="","",Fee*$A36+E$3*Delay!P36)</f>
        <v>18.1931297141726</v>
      </c>
      <c r="F36" s="19" t="n">
        <f aca="false">IF(Delay!R36="","",Fee*$A36+F$3*Delay!R36)</f>
        <v>16.3368641547134</v>
      </c>
      <c r="G36" s="19" t="n">
        <f aca="false">IF(Delay!T36="","",Fee*$A36+G$3*Delay!T36)</f>
        <v>14.6339013860296</v>
      </c>
    </row>
    <row r="37" customFormat="false" ht="15" hidden="false" customHeight="false" outlineLevel="0" collapsed="false">
      <c r="A37" s="25" t="n">
        <f aca="false">Quantiles!A37</f>
        <v>160</v>
      </c>
      <c r="B37" s="19" t="n">
        <f aca="false">IF(Delay!P37="","",Fee*$A37+B$3*Delay!P37)</f>
        <v>8.10216806009276</v>
      </c>
      <c r="C37" s="19" t="n">
        <f aca="false">IF(Delay!R37="","",Fee*$A37+C$3*Delay!R37)</f>
        <v>7.62655415855472</v>
      </c>
      <c r="D37" s="19" t="n">
        <f aca="false">IF(Delay!T37="","",Fee*$A37+D$3*Delay!T37)</f>
        <v>7.19632083025626</v>
      </c>
      <c r="E37" s="19" t="n">
        <f aca="false">IF(Delay!P37="","",Fee*$A37+E$3*Delay!P37)</f>
        <v>18.008672240371</v>
      </c>
      <c r="F37" s="19" t="n">
        <f aca="false">IF(Delay!R37="","",Fee*$A37+F$3*Delay!R37)</f>
        <v>16.1062166342189</v>
      </c>
      <c r="G37" s="19" t="n">
        <f aca="false">IF(Delay!T37="","",Fee*$A37+G$3*Delay!T37)</f>
        <v>14.385283321025</v>
      </c>
    </row>
    <row r="38" customFormat="false" ht="15" hidden="false" customHeight="false" outlineLevel="0" collapsed="false">
      <c r="A38" s="25" t="n">
        <f aca="false">Quantiles!A38</f>
        <v>165</v>
      </c>
      <c r="B38" s="19" t="n">
        <f aca="false">IF(Delay!P38="","",Fee*$A38+B$3*Delay!P38)</f>
        <v>8.16925216611172</v>
      </c>
      <c r="C38" s="19" t="n">
        <f aca="false">IF(Delay!R38="","",Fee*$A38+C$3*Delay!R38)</f>
        <v>7.69702510625936</v>
      </c>
      <c r="D38" s="19" t="n">
        <f aca="false">IF(Delay!T38="","",Fee*$A38+D$3*Delay!T38)</f>
        <v>7.2657447737793</v>
      </c>
      <c r="E38" s="19" t="n">
        <f aca="false">IF(Delay!P38="","",Fee*$A38+E$3*Delay!P38)</f>
        <v>17.8270086644469</v>
      </c>
      <c r="F38" s="19" t="n">
        <f aca="false">IF(Delay!R38="","",Fee*$A38+F$3*Delay!R38)</f>
        <v>15.9381004250374</v>
      </c>
      <c r="G38" s="19" t="n">
        <f aca="false">IF(Delay!T38="","",Fee*$A38+G$3*Delay!T38)</f>
        <v>14.2129790951172</v>
      </c>
    </row>
    <row r="39" customFormat="false" ht="15" hidden="false" customHeight="false" outlineLevel="0" collapsed="false">
      <c r="A39" s="25" t="n">
        <f aca="false">Quantiles!A39</f>
        <v>170</v>
      </c>
      <c r="B39" s="19" t="n">
        <f aca="false">IF(Delay!P39="","",Fee*$A39+B$3*Delay!P39)</f>
        <v>8.25054064344306</v>
      </c>
      <c r="C39" s="19" t="n">
        <f aca="false">IF(Delay!R39="","",Fee*$A39+C$3*Delay!R39)</f>
        <v>7.7703054457065</v>
      </c>
      <c r="D39" s="19" t="n">
        <f aca="false">IF(Delay!T39="","",Fee*$A39+D$3*Delay!T39)</f>
        <v>7.36190133260507</v>
      </c>
      <c r="E39" s="19" t="n">
        <f aca="false">IF(Delay!P39="","",Fee*$A39+E$3*Delay!P39)</f>
        <v>17.7021625737722</v>
      </c>
      <c r="F39" s="19" t="n">
        <f aca="false">IF(Delay!R39="","",Fee*$A39+F$3*Delay!R39)</f>
        <v>15.781221782826</v>
      </c>
      <c r="G39" s="19" t="n">
        <f aca="false">IF(Delay!T39="","",Fee*$A39+G$3*Delay!T39)</f>
        <v>14.1476053304203</v>
      </c>
    </row>
    <row r="40" customFormat="false" ht="15" hidden="false" customHeight="false" outlineLevel="0" collapsed="false">
      <c r="A40" s="25" t="n">
        <f aca="false">Quantiles!A40</f>
        <v>175</v>
      </c>
      <c r="B40" s="19" t="n">
        <f aca="false">IF(Delay!P40="","",Fee*$A40+B$3*Delay!P40)</f>
        <v>8.32533158795036</v>
      </c>
      <c r="C40" s="19" t="n">
        <f aca="false">IF(Delay!R40="","",Fee*$A40+C$3*Delay!R40)</f>
        <v>7.86926280545044</v>
      </c>
      <c r="D40" s="19" t="n">
        <f aca="false">IF(Delay!T40="","",Fee*$A40+D$3*Delay!T40)</f>
        <v>7.45764152483411</v>
      </c>
      <c r="E40" s="19" t="n">
        <f aca="false">IF(Delay!P40="","",Fee*$A40+E$3*Delay!P40)</f>
        <v>17.5513263518014</v>
      </c>
      <c r="F40" s="19" t="n">
        <f aca="false">IF(Delay!R40="","",Fee*$A40+F$3*Delay!R40)</f>
        <v>15.7270512218018</v>
      </c>
      <c r="G40" s="19" t="n">
        <f aca="false">IF(Delay!T40="","",Fee*$A40+G$3*Delay!T40)</f>
        <v>14.0805660993364</v>
      </c>
    </row>
    <row r="41" customFormat="false" ht="15" hidden="false" customHeight="false" outlineLevel="0" collapsed="false">
      <c r="A41" s="25" t="n">
        <f aca="false">Quantiles!A41</f>
        <v>180</v>
      </c>
      <c r="B41" s="19" t="n">
        <f aca="false">IF(Delay!P41="","",Fee*$A41+B$3*Delay!P41)</f>
        <v>8.41253283050328</v>
      </c>
      <c r="C41" s="19" t="n">
        <f aca="false">IF(Delay!R41="","",Fee*$A41+C$3*Delay!R41)</f>
        <v>7.95735240395446</v>
      </c>
      <c r="D41" s="19" t="n">
        <f aca="false">IF(Delay!T41="","",Fee*$A41+D$3*Delay!T41)</f>
        <v>7.54682058024779</v>
      </c>
      <c r="E41" s="19" t="n">
        <f aca="false">IF(Delay!P41="","",Fee*$A41+E$3*Delay!P41)</f>
        <v>17.4501313220131</v>
      </c>
      <c r="F41" s="19" t="n">
        <f aca="false">IF(Delay!R41="","",Fee*$A41+F$3*Delay!R41)</f>
        <v>15.6294096158178</v>
      </c>
      <c r="G41" s="19" t="n">
        <f aca="false">IF(Delay!T41="","",Fee*$A41+G$3*Delay!T41)</f>
        <v>13.9872823209912</v>
      </c>
    </row>
    <row r="42" customFormat="false" ht="15" hidden="false" customHeight="false" outlineLevel="0" collapsed="false">
      <c r="A42" s="25" t="n">
        <f aca="false">Quantiles!A42</f>
        <v>185</v>
      </c>
      <c r="B42" s="19" t="n">
        <f aca="false">IF(Delay!P42="","",Fee*$A42+B$3*Delay!P42)</f>
        <v>8.50744883240823</v>
      </c>
      <c r="C42" s="19" t="n">
        <f aca="false">IF(Delay!R42="","",Fee*$A42+C$3*Delay!R42)</f>
        <v>8.05708407203593</v>
      </c>
      <c r="D42" s="19" t="n">
        <f aca="false">IF(Delay!T42="","",Fee*$A42+D$3*Delay!T42)</f>
        <v>7.64585105266253</v>
      </c>
      <c r="E42" s="19" t="n">
        <f aca="false">IF(Delay!P42="","",Fee*$A42+E$3*Delay!P42)</f>
        <v>17.3797953296329</v>
      </c>
      <c r="F42" s="19" t="n">
        <f aca="false">IF(Delay!R42="","",Fee*$A42+F$3*Delay!R42)</f>
        <v>15.5783362881437</v>
      </c>
      <c r="G42" s="19" t="n">
        <f aca="false">IF(Delay!T42="","",Fee*$A42+G$3*Delay!T42)</f>
        <v>13.9334042106501</v>
      </c>
    </row>
    <row r="43" customFormat="false" ht="15" hidden="false" customHeight="false" outlineLevel="0" collapsed="false">
      <c r="A43" s="25" t="n">
        <f aca="false">Quantiles!A43</f>
        <v>190</v>
      </c>
      <c r="B43" s="19" t="n">
        <f aca="false">IF(Delay!P43="","",Fee*$A43+B$3*Delay!P43)</f>
        <v>8.6079583802126</v>
      </c>
      <c r="C43" s="19" t="n">
        <f aca="false">IF(Delay!R43="","",Fee*$A43+C$3*Delay!R43)</f>
        <v>8.15333398474708</v>
      </c>
      <c r="D43" s="19" t="n">
        <f aca="false">IF(Delay!T43="","",Fee*$A43+D$3*Delay!T43)</f>
        <v>7.75246392031512</v>
      </c>
      <c r="E43" s="19" t="n">
        <f aca="false">IF(Delay!P43="","",Fee*$A43+E$3*Delay!P43)</f>
        <v>17.3318335208504</v>
      </c>
      <c r="F43" s="19" t="n">
        <f aca="false">IF(Delay!R43="","",Fee*$A43+F$3*Delay!R43)</f>
        <v>15.5133359389883</v>
      </c>
      <c r="G43" s="19" t="n">
        <f aca="false">IF(Delay!T43="","",Fee*$A43+G$3*Delay!T43)</f>
        <v>13.9098556812605</v>
      </c>
    </row>
    <row r="44" customFormat="false" ht="15" hidden="false" customHeight="false" outlineLevel="0" collapsed="false">
      <c r="A44" s="25" t="n">
        <f aca="false">Quantiles!A44</f>
        <v>195</v>
      </c>
      <c r="B44" s="19" t="n">
        <f aca="false">IF(Delay!P44="","",Fee*$A44+B$3*Delay!P44)</f>
        <v>8.72726056981144</v>
      </c>
      <c r="C44" s="19" t="n">
        <f aca="false">IF(Delay!R44="","",Fee*$A44+C$3*Delay!R44)</f>
        <v>8.26571873366421</v>
      </c>
      <c r="D44" s="19" t="n">
        <f aca="false">IF(Delay!T44="","",Fee*$A44+D$3*Delay!T44)</f>
        <v>7.86788876446278</v>
      </c>
      <c r="E44" s="19" t="n">
        <f aca="false">IF(Delay!P44="","",Fee*$A44+E$3*Delay!P44)</f>
        <v>17.3590422792458</v>
      </c>
      <c r="F44" s="19" t="n">
        <f aca="false">IF(Delay!R44="","",Fee*$A44+F$3*Delay!R44)</f>
        <v>15.5128749346568</v>
      </c>
      <c r="G44" s="19" t="n">
        <f aca="false">IF(Delay!T44="","",Fee*$A44+G$3*Delay!T44)</f>
        <v>13.9215550578511</v>
      </c>
    </row>
    <row r="45" customFormat="false" ht="15" hidden="false" customHeight="false" outlineLevel="0" collapsed="false">
      <c r="A45" s="25" t="n">
        <f aca="false">Quantiles!A45</f>
        <v>200</v>
      </c>
      <c r="B45" s="19" t="n">
        <f aca="false">IF(Delay!P45="","",Fee*$A45+B$3*Delay!P45)</f>
        <v>8.84846515203639</v>
      </c>
      <c r="C45" s="19" t="n">
        <f aca="false">IF(Delay!R45="","",Fee*$A45+C$3*Delay!R45)</f>
        <v>8.39702446836027</v>
      </c>
      <c r="D45" s="19" t="n">
        <f aca="false">IF(Delay!T45="","",Fee*$A45+D$3*Delay!T45)</f>
        <v>8.00000087172832</v>
      </c>
      <c r="E45" s="19" t="n">
        <f aca="false">IF(Delay!P45="","",Fee*$A45+E$3*Delay!P45)</f>
        <v>17.3938606081456</v>
      </c>
      <c r="F45" s="19" t="n">
        <f aca="false">IF(Delay!R45="","",Fee*$A45+F$3*Delay!R45)</f>
        <v>15.5880978734411</v>
      </c>
      <c r="G45" s="19" t="n">
        <f aca="false">IF(Delay!T45="","",Fee*$A45+G$3*Delay!T45)</f>
        <v>14.0000034869133</v>
      </c>
    </row>
    <row r="46" customFormat="false" ht="15" hidden="false" customHeight="false" outlineLevel="0" collapsed="false">
      <c r="A46" s="25" t="n">
        <f aca="false">Quantiles!A46</f>
        <v>205</v>
      </c>
      <c r="B46" s="19" t="n">
        <f aca="false">IF(Delay!P46="","",Fee*$A46+B$3*Delay!P46)</f>
        <v>8.97631745300599</v>
      </c>
      <c r="C46" s="19" t="n">
        <f aca="false">IF(Delay!R46="","",Fee*$A46+C$3*Delay!R46)</f>
        <v>8.52249493748169</v>
      </c>
      <c r="D46" s="19" t="n">
        <f aca="false">IF(Delay!T46="","",Fee*$A46+D$3*Delay!T46)</f>
        <v>8.13432573306221</v>
      </c>
      <c r="E46" s="19" t="n">
        <f aca="false">IF(Delay!P46="","",Fee*$A46+E$3*Delay!P46)</f>
        <v>17.455269812024</v>
      </c>
      <c r="F46" s="19" t="n">
        <f aca="false">IF(Delay!R46="","",Fee*$A46+F$3*Delay!R46)</f>
        <v>15.6399797499268</v>
      </c>
      <c r="G46" s="19" t="n">
        <f aca="false">IF(Delay!T46="","",Fee*$A46+G$3*Delay!T46)</f>
        <v>14.0873029322488</v>
      </c>
    </row>
    <row r="47" customFormat="false" ht="15" hidden="false" customHeight="false" outlineLevel="0" collapsed="false">
      <c r="A47" s="25" t="n">
        <f aca="false">Quantiles!A47</f>
        <v>210</v>
      </c>
      <c r="B47" s="19" t="n">
        <f aca="false">IF(Delay!P47="","",Fee*$A47+B$3*Delay!P47)</f>
        <v>9.10493311945115</v>
      </c>
      <c r="C47" s="19" t="n">
        <f aca="false">IF(Delay!R47="","",Fee*$A47+C$3*Delay!R47)</f>
        <v>8.65357294108513</v>
      </c>
      <c r="D47" s="19" t="n">
        <f aca="false">IF(Delay!T47="","",Fee*$A47+D$3*Delay!T47)</f>
        <v>8.25538546127367</v>
      </c>
      <c r="E47" s="19" t="n">
        <f aca="false">IF(Delay!P47="","",Fee*$A47+E$3*Delay!P47)</f>
        <v>17.5197324778046</v>
      </c>
      <c r="F47" s="19" t="n">
        <f aca="false">IF(Delay!R47="","",Fee*$A47+F$3*Delay!R47)</f>
        <v>15.7142917643405</v>
      </c>
      <c r="G47" s="19" t="n">
        <f aca="false">IF(Delay!T47="","",Fee*$A47+G$3*Delay!T47)</f>
        <v>14.1215418450947</v>
      </c>
    </row>
    <row r="48" customFormat="false" ht="15" hidden="false" customHeight="false" outlineLevel="0" collapsed="false">
      <c r="A48" s="25" t="n">
        <f aca="false">Quantiles!A48</f>
        <v>215</v>
      </c>
      <c r="B48" s="19" t="n">
        <f aca="false">IF(Delay!P48="","",Fee*$A48+B$3*Delay!P48)</f>
        <v>9.2253027307907</v>
      </c>
      <c r="C48" s="19" t="n">
        <f aca="false">IF(Delay!R48="","",Fee*$A48+C$3*Delay!R48)</f>
        <v>8.77732443525451</v>
      </c>
      <c r="D48" s="19" t="n">
        <f aca="false">IF(Delay!T48="","",Fee*$A48+D$3*Delay!T48)</f>
        <v>8.38423248336057</v>
      </c>
      <c r="E48" s="19" t="n">
        <f aca="false">IF(Delay!P48="","",Fee*$A48+E$3*Delay!P48)</f>
        <v>17.5512109231628</v>
      </c>
      <c r="F48" s="19" t="n">
        <f aca="false">IF(Delay!R48="","",Fee*$A48+F$3*Delay!R48)</f>
        <v>15.759297741018</v>
      </c>
      <c r="G48" s="19" t="n">
        <f aca="false">IF(Delay!T48="","",Fee*$A48+G$3*Delay!T48)</f>
        <v>14.1869299334423</v>
      </c>
    </row>
    <row r="49" customFormat="false" ht="15" hidden="false" customHeight="false" outlineLevel="0" collapsed="false">
      <c r="A49" s="25" t="n">
        <f aca="false">Quantiles!A49</f>
        <v>220</v>
      </c>
      <c r="B49" s="19" t="n">
        <f aca="false">IF(Delay!P49="","",Fee*$A49+B$3*Delay!P49)</f>
        <v>9.36111208226703</v>
      </c>
      <c r="C49" s="19" t="n">
        <f aca="false">IF(Delay!R49="","",Fee*$A49+C$3*Delay!R49)</f>
        <v>8.9145588357082</v>
      </c>
      <c r="D49" s="19" t="n">
        <f aca="false">IF(Delay!T49="","",Fee*$A49+D$3*Delay!T49)</f>
        <v>8.5159067165611</v>
      </c>
      <c r="E49" s="19" t="n">
        <f aca="false">IF(Delay!P49="","",Fee*$A49+E$3*Delay!P49)</f>
        <v>17.6444483290681</v>
      </c>
      <c r="F49" s="19" t="n">
        <f aca="false">IF(Delay!R49="","",Fee*$A49+F$3*Delay!R49)</f>
        <v>15.8582353428328</v>
      </c>
      <c r="G49" s="19" t="n">
        <f aca="false">IF(Delay!T49="","",Fee*$A49+G$3*Delay!T49)</f>
        <v>14.2636268662444</v>
      </c>
    </row>
    <row r="50" customFormat="false" ht="15" hidden="false" customHeight="false" outlineLevel="0" collapsed="false">
      <c r="A50" s="25" t="n">
        <f aca="false">Quantiles!A50</f>
        <v>225</v>
      </c>
      <c r="B50" s="19" t="n">
        <f aca="false">IF(Delay!P50="","",Fee*$A50+B$3*Delay!P50)</f>
        <v>9.4951072150479</v>
      </c>
      <c r="C50" s="19" t="n">
        <f aca="false">IF(Delay!R50="","",Fee*$A50+C$3*Delay!R50)</f>
        <v>9.05506034088936</v>
      </c>
      <c r="D50" s="19" t="n">
        <f aca="false">IF(Delay!T50="","",Fee*$A50+D$3*Delay!T50)</f>
        <v>8.65808199527901</v>
      </c>
      <c r="E50" s="19" t="n">
        <f aca="false">IF(Delay!P50="","",Fee*$A50+E$3*Delay!P50)</f>
        <v>17.7304288601916</v>
      </c>
      <c r="F50" s="19" t="n">
        <f aca="false">IF(Delay!R50="","",Fee*$A50+F$3*Delay!R50)</f>
        <v>15.9702413635574</v>
      </c>
      <c r="G50" s="19" t="n">
        <f aca="false">IF(Delay!T50="","",Fee*$A50+G$3*Delay!T50)</f>
        <v>14.382327981116</v>
      </c>
    </row>
    <row r="51" customFormat="false" ht="15" hidden="false" customHeight="false" outlineLevel="0" collapsed="false">
      <c r="A51" s="25" t="n">
        <f aca="false">Quantiles!A51</f>
        <v>230</v>
      </c>
      <c r="B51" s="19" t="n">
        <f aca="false">IF(Delay!P51="","",Fee*$A51+B$3*Delay!P51)</f>
        <v>9.63368389448235</v>
      </c>
      <c r="C51" s="19" t="n">
        <f aca="false">IF(Delay!R51="","",Fee*$A51+C$3*Delay!R51)</f>
        <v>9.19505972141429</v>
      </c>
      <c r="D51" s="19" t="n">
        <f aca="false">IF(Delay!T51="","",Fee*$A51+D$3*Delay!T51)</f>
        <v>8.79511558889648</v>
      </c>
      <c r="E51" s="19" t="n">
        <f aca="false">IF(Delay!P51="","",Fee*$A51+E$3*Delay!P51)</f>
        <v>17.8347355779294</v>
      </c>
      <c r="F51" s="19" t="n">
        <f aca="false">IF(Delay!R51="","",Fee*$A51+F$3*Delay!R51)</f>
        <v>16.0802388856572</v>
      </c>
      <c r="G51" s="19" t="n">
        <f aca="false">IF(Delay!T51="","",Fee*$A51+G$3*Delay!T51)</f>
        <v>14.4804623555859</v>
      </c>
    </row>
    <row r="52" customFormat="false" ht="15" hidden="false" customHeight="false" outlineLevel="0" collapsed="false">
      <c r="A52" s="25" t="n">
        <f aca="false">Quantiles!A52</f>
        <v>235</v>
      </c>
      <c r="B52" s="19" t="n">
        <f aca="false">IF(Delay!P52="","",Fee*$A52+B$3*Delay!P52)</f>
        <v>9.77336859851671</v>
      </c>
      <c r="C52" s="19" t="n">
        <f aca="false">IF(Delay!R52="","",Fee*$A52+C$3*Delay!R52)</f>
        <v>9.34327092543089</v>
      </c>
      <c r="D52" s="19" t="n">
        <f aca="false">IF(Delay!T52="","",Fee*$A52+D$3*Delay!T52)</f>
        <v>8.93774081283408</v>
      </c>
      <c r="E52" s="19" t="n">
        <f aca="false">IF(Delay!P52="","",Fee*$A52+E$3*Delay!P52)</f>
        <v>17.9434743940668</v>
      </c>
      <c r="F52" s="19" t="n">
        <f aca="false">IF(Delay!R52="","",Fee*$A52+F$3*Delay!R52)</f>
        <v>16.2230837017236</v>
      </c>
      <c r="G52" s="19" t="n">
        <f aca="false">IF(Delay!T52="","",Fee*$A52+G$3*Delay!T52)</f>
        <v>14.6009632513363</v>
      </c>
    </row>
    <row r="53" customFormat="false" ht="15" hidden="false" customHeight="false" outlineLevel="0" collapsed="false">
      <c r="A53" s="25" t="n">
        <f aca="false">Quantiles!A53</f>
        <v>240</v>
      </c>
      <c r="B53" s="19" t="n">
        <f aca="false">IF(Delay!P53="","",Fee*$A53+B$3*Delay!P53)</f>
        <v>9.90960290860461</v>
      </c>
      <c r="C53" s="19" t="n">
        <f aca="false">IF(Delay!R53="","",Fee*$A53+C$3*Delay!R53)</f>
        <v>9.4867079613561</v>
      </c>
      <c r="D53" s="19" t="n">
        <f aca="false">IF(Delay!T53="","",Fee*$A53+D$3*Delay!T53)</f>
        <v>9.08459215863886</v>
      </c>
      <c r="E53" s="19" t="n">
        <f aca="false">IF(Delay!P53="","",Fee*$A53+E$3*Delay!P53)</f>
        <v>18.0384116344184</v>
      </c>
      <c r="F53" s="19" t="n">
        <f aca="false">IF(Delay!R53="","",Fee*$A53+F$3*Delay!R53)</f>
        <v>16.3468318454244</v>
      </c>
      <c r="G53" s="19" t="n">
        <f aca="false">IF(Delay!T53="","",Fee*$A53+G$3*Delay!T53)</f>
        <v>14.7383686345554</v>
      </c>
    </row>
    <row r="54" customFormat="false" ht="15" hidden="false" customHeight="false" outlineLevel="0" collapsed="false">
      <c r="A54" s="25" t="n">
        <f aca="false">Quantiles!A54</f>
        <v>245</v>
      </c>
      <c r="B54" s="19" t="n">
        <f aca="false">IF(Delay!P54="","",Fee*$A54+B$3*Delay!P54)</f>
        <v>10.0538443364896</v>
      </c>
      <c r="C54" s="19" t="n">
        <f aca="false">IF(Delay!R54="","",Fee*$A54+C$3*Delay!R54)</f>
        <v>9.6226833653853</v>
      </c>
      <c r="D54" s="19" t="n">
        <f aca="false">IF(Delay!T54="","",Fee*$A54+D$3*Delay!T54)</f>
        <v>9.22400670418896</v>
      </c>
      <c r="E54" s="19" t="n">
        <f aca="false">IF(Delay!P54="","",Fee*$A54+E$3*Delay!P54)</f>
        <v>18.1653773459584</v>
      </c>
      <c r="F54" s="19" t="n">
        <f aca="false">IF(Delay!R54="","",Fee*$A54+F$3*Delay!R54)</f>
        <v>16.4407334615412</v>
      </c>
      <c r="G54" s="19" t="n">
        <f aca="false">IF(Delay!T54="","",Fee*$A54+G$3*Delay!T54)</f>
        <v>14.8460268167558</v>
      </c>
    </row>
    <row r="55" customFormat="false" ht="15" hidden="false" customHeight="false" outlineLevel="0" collapsed="false">
      <c r="A55" s="25" t="n">
        <f aca="false">Quantiles!A55</f>
        <v>250</v>
      </c>
      <c r="B55" s="19" t="n">
        <f aca="false">IF(Delay!P55="","",Fee*$A55+B$3*Delay!P55)</f>
        <v>10.1954045619801</v>
      </c>
      <c r="C55" s="19" t="n">
        <f aca="false">IF(Delay!R55="","",Fee*$A55+C$3*Delay!R55)</f>
        <v>9.7670343627869</v>
      </c>
      <c r="D55" s="19" t="n">
        <f aca="false">IF(Delay!T55="","",Fee*$A55+D$3*Delay!T55)</f>
        <v>9.3724745010946</v>
      </c>
      <c r="E55" s="19" t="n">
        <f aca="false">IF(Delay!P55="","",Fee*$A55+E$3*Delay!P55)</f>
        <v>18.2816182479203</v>
      </c>
      <c r="F55" s="19" t="n">
        <f aca="false">IF(Delay!R55="","",Fee*$A55+F$3*Delay!R55)</f>
        <v>16.5681374511476</v>
      </c>
      <c r="G55" s="19" t="n">
        <f aca="false">IF(Delay!T55="","",Fee*$A55+G$3*Delay!T55)</f>
        <v>14.9898980043784</v>
      </c>
    </row>
    <row r="56" customFormat="false" ht="15" hidden="false" customHeight="false" outlineLevel="0" collapsed="false">
      <c r="A56" s="25" t="n">
        <f aca="false">Quantiles!A56</f>
        <v>255</v>
      </c>
      <c r="B56" s="19" t="n">
        <f aca="false">IF(Delay!P56="","",Fee*$A56+B$3*Delay!P56)</f>
        <v>10.3295224856987</v>
      </c>
      <c r="C56" s="19" t="n">
        <f aca="false">IF(Delay!R56="","",Fee*$A56+C$3*Delay!R56)</f>
        <v>9.90935073141326</v>
      </c>
      <c r="D56" s="19" t="n">
        <f aca="false">IF(Delay!T56="","",Fee*$A56+D$3*Delay!T56)</f>
        <v>9.5148046941459</v>
      </c>
      <c r="E56" s="19" t="n">
        <f aca="false">IF(Delay!P56="","",Fee*$A56+E$3*Delay!P56)</f>
        <v>18.3680899427949</v>
      </c>
      <c r="F56" s="19" t="n">
        <f aca="false">IF(Delay!R56="","",Fee*$A56+F$3*Delay!R56)</f>
        <v>16.687402925653</v>
      </c>
      <c r="G56" s="19" t="n">
        <f aca="false">IF(Delay!T56="","",Fee*$A56+G$3*Delay!T56)</f>
        <v>15.1092187765836</v>
      </c>
    </row>
    <row r="57" customFormat="false" ht="15" hidden="false" customHeight="false" outlineLevel="0" collapsed="false">
      <c r="A57" s="25" t="n">
        <f aca="false">Quantiles!A57</f>
        <v>260</v>
      </c>
      <c r="B57" s="19" t="n">
        <f aca="false">IF(Delay!P57="","",Fee*$A57+B$3*Delay!P57)</f>
        <v>10.4745311054734</v>
      </c>
      <c r="C57" s="19" t="n">
        <f aca="false">IF(Delay!R57="","",Fee*$A57+C$3*Delay!R57)</f>
        <v>10.0494072724895</v>
      </c>
      <c r="D57" s="19" t="n">
        <f aca="false">IF(Delay!T57="","",Fee*$A57+D$3*Delay!T57)</f>
        <v>9.65659581190198</v>
      </c>
      <c r="E57" s="19" t="n">
        <f aca="false">IF(Delay!P57="","",Fee*$A57+E$3*Delay!P57)</f>
        <v>18.4981244218936</v>
      </c>
      <c r="F57" s="19" t="n">
        <f aca="false">IF(Delay!R57="","",Fee*$A57+F$3*Delay!R57)</f>
        <v>16.7976290899581</v>
      </c>
      <c r="G57" s="19" t="n">
        <f aca="false">IF(Delay!T57="","",Fee*$A57+G$3*Delay!T57)</f>
        <v>15.2263832476079</v>
      </c>
    </row>
    <row r="58" customFormat="false" ht="15" hidden="false" customHeight="false" outlineLevel="0" collapsed="false">
      <c r="A58" s="25" t="n">
        <f aca="false">Quantiles!A58</f>
        <v>265</v>
      </c>
      <c r="B58" s="19" t="n">
        <f aca="false">IF(Delay!P58="","",Fee*$A58+B$3*Delay!P58)</f>
        <v>10.6203054457065</v>
      </c>
      <c r="C58" s="19" t="n">
        <f aca="false">IF(Delay!R58="","",Fee*$A58+C$3*Delay!R58)</f>
        <v>10.1941994799679</v>
      </c>
      <c r="D58" s="19" t="n">
        <f aca="false">IF(Delay!T58="","",Fee*$A58+D$3*Delay!T58)</f>
        <v>9.80419465253592</v>
      </c>
      <c r="E58" s="19" t="n">
        <f aca="false">IF(Delay!P58="","",Fee*$A58+E$3*Delay!P58)</f>
        <v>18.631221782826</v>
      </c>
      <c r="F58" s="19" t="n">
        <f aca="false">IF(Delay!R58="","",Fee*$A58+F$3*Delay!R58)</f>
        <v>16.9267979198714</v>
      </c>
      <c r="G58" s="19" t="n">
        <f aca="false">IF(Delay!T58="","",Fee*$A58+G$3*Delay!T58)</f>
        <v>15.3667786101437</v>
      </c>
    </row>
    <row r="59" customFormat="false" ht="15" hidden="false" customHeight="false" outlineLevel="0" collapsed="false">
      <c r="A59" s="25" t="n">
        <f aca="false">Quantiles!A59</f>
        <v>270</v>
      </c>
      <c r="B59" s="19" t="n">
        <f aca="false">IF(Delay!P59="","",Fee*$A59+B$3*Delay!P59)</f>
        <v>10.7679534286646</v>
      </c>
      <c r="C59" s="19" t="n">
        <f aca="false">IF(Delay!R59="","",Fee*$A59+C$3*Delay!R59)</f>
        <v>10.3424428022234</v>
      </c>
      <c r="D59" s="19" t="n">
        <f aca="false">IF(Delay!T59="","",Fee*$A59+D$3*Delay!T59)</f>
        <v>9.95098322952182</v>
      </c>
      <c r="E59" s="19" t="n">
        <f aca="false">IF(Delay!P59="","",Fee*$A59+E$3*Delay!P59)</f>
        <v>18.7718137146585</v>
      </c>
      <c r="F59" s="19" t="n">
        <f aca="false">IF(Delay!R59="","",Fee*$A59+F$3*Delay!R59)</f>
        <v>17.0697712088936</v>
      </c>
      <c r="G59" s="19" t="n">
        <f aca="false">IF(Delay!T59="","",Fee*$A59+G$3*Delay!T59)</f>
        <v>15.5039329180873</v>
      </c>
    </row>
    <row r="60" customFormat="false" ht="15" hidden="false" customHeight="false" outlineLevel="0" collapsed="false">
      <c r="A60" s="25" t="n">
        <f aca="false">Quantiles!A60</f>
        <v>275</v>
      </c>
      <c r="B60" s="19" t="n">
        <f aca="false">IF(Delay!P60="","",Fee*$A60+B$3*Delay!P60)</f>
        <v>10.9139910346417</v>
      </c>
      <c r="C60" s="19" t="n">
        <f aca="false">IF(Delay!R60="","",Fee*$A60+C$3*Delay!R60)</f>
        <v>10.4884481241455</v>
      </c>
      <c r="D60" s="19" t="n">
        <f aca="false">IF(Delay!T60="","",Fee*$A60+D$3*Delay!T60)</f>
        <v>10.0990015054301</v>
      </c>
      <c r="E60" s="19" t="n">
        <f aca="false">IF(Delay!P60="","",Fee*$A60+E$3*Delay!P60)</f>
        <v>18.9059641385666</v>
      </c>
      <c r="F60" s="19" t="n">
        <f aca="false">IF(Delay!R60="","",Fee*$A60+F$3*Delay!R60)</f>
        <v>17.2037924965819</v>
      </c>
      <c r="G60" s="19" t="n">
        <f aca="false">IF(Delay!T60="","",Fee*$A60+G$3*Delay!T60)</f>
        <v>15.6460060217203</v>
      </c>
    </row>
    <row r="61" customFormat="false" ht="15" hidden="false" customHeight="false" outlineLevel="0" collapsed="false">
      <c r="A61" s="25" t="n">
        <f aca="false">Quantiles!A61</f>
        <v>280</v>
      </c>
      <c r="B61" s="19" t="n">
        <f aca="false">IF(Delay!P61="","",Fee*$A61+B$3*Delay!P61)</f>
        <v>11.0624690343765</v>
      </c>
      <c r="C61" s="19" t="n">
        <f aca="false">IF(Delay!R61="","",Fee*$A61+C$3*Delay!R61)</f>
        <v>10.6345041913321</v>
      </c>
      <c r="D61" s="19" t="n">
        <f aca="false">IF(Delay!T61="","",Fee*$A61+D$3*Delay!T61)</f>
        <v>10.2476344157343</v>
      </c>
      <c r="E61" s="19" t="n">
        <f aca="false">IF(Delay!P61="","",Fee*$A61+E$3*Delay!P61)</f>
        <v>19.0498761375058</v>
      </c>
      <c r="F61" s="19" t="n">
        <f aca="false">IF(Delay!R61="","",Fee*$A61+F$3*Delay!R61)</f>
        <v>17.3380167653284</v>
      </c>
      <c r="G61" s="19" t="n">
        <f aca="false">IF(Delay!T61="","",Fee*$A61+G$3*Delay!T61)</f>
        <v>15.7905376629373</v>
      </c>
    </row>
    <row r="62" customFormat="false" ht="15" hidden="false" customHeight="false" outlineLevel="0" collapsed="false">
      <c r="A62" s="25" t="n">
        <f aca="false">Quantiles!A62</f>
        <v>285</v>
      </c>
      <c r="B62" s="19" t="n">
        <f aca="false">IF(Delay!P62="","",Fee*$A62+B$3*Delay!P62)</f>
        <v>11.2099530450448</v>
      </c>
      <c r="C62" s="19" t="n">
        <f aca="false">IF(Delay!R62="","",Fee*$A62+C$3*Delay!R62)</f>
        <v>10.7809789741099</v>
      </c>
      <c r="D62" s="19" t="n">
        <f aca="false">IF(Delay!T62="","",Fee*$A62+D$3*Delay!T62)</f>
        <v>10.3941977473102</v>
      </c>
      <c r="E62" s="19" t="n">
        <f aca="false">IF(Delay!P62="","",Fee*$A62+E$3*Delay!P62)</f>
        <v>19.1898121801791</v>
      </c>
      <c r="F62" s="19" t="n">
        <f aca="false">IF(Delay!R62="","",Fee*$A62+F$3*Delay!R62)</f>
        <v>17.4739158964396</v>
      </c>
      <c r="G62" s="19" t="n">
        <f aca="false">IF(Delay!T62="","",Fee*$A62+G$3*Delay!T62)</f>
        <v>15.9267909892408</v>
      </c>
    </row>
    <row r="63" customFormat="false" ht="15" hidden="false" customHeight="false" outlineLevel="0" collapsed="false">
      <c r="A63" s="25" t="n">
        <f aca="false">Quantiles!A63</f>
        <v>290</v>
      </c>
      <c r="B63" s="19" t="n">
        <f aca="false">IF(Delay!P63="","",Fee*$A63+B$3*Delay!P63)</f>
        <v>11.3599530450448</v>
      </c>
      <c r="C63" s="19" t="n">
        <f aca="false">IF(Delay!R63="","",Fee*$A63+C$3*Delay!R63)</f>
        <v>10.9286710472457</v>
      </c>
      <c r="D63" s="19" t="n">
        <f aca="false">IF(Delay!T63="","",Fee*$A63+D$3*Delay!T63)</f>
        <v>10.541286881748</v>
      </c>
      <c r="E63" s="19" t="n">
        <f aca="false">IF(Delay!P63="","",Fee*$A63+E$3*Delay!P63)</f>
        <v>19.3398121801791</v>
      </c>
      <c r="F63" s="19" t="n">
        <f aca="false">IF(Delay!R63="","",Fee*$A63+F$3*Delay!R63)</f>
        <v>17.6146841889828</v>
      </c>
      <c r="G63" s="19" t="n">
        <f aca="false">IF(Delay!T63="","",Fee*$A63+G$3*Delay!T63)</f>
        <v>16.0651475269921</v>
      </c>
    </row>
    <row r="64" customFormat="false" ht="15" hidden="false" customHeight="false" outlineLevel="0" collapsed="false">
      <c r="A64" s="25" t="n">
        <f aca="false">Quantiles!A64</f>
        <v>295</v>
      </c>
      <c r="B64" s="19" t="n">
        <f aca="false">IF(Delay!P64="","",Fee*$A64+B$3*Delay!P64)</f>
        <v>11.5099530450448</v>
      </c>
      <c r="C64" s="19" t="n">
        <f aca="false">IF(Delay!R64="","",Fee*$A64+C$3*Delay!R64)</f>
        <v>11.0786710472457</v>
      </c>
      <c r="D64" s="19" t="n">
        <f aca="false">IF(Delay!T64="","",Fee*$A64+D$3*Delay!T64)</f>
        <v>10.691286881748</v>
      </c>
      <c r="E64" s="19" t="n">
        <f aca="false">IF(Delay!P64="","",Fee*$A64+E$3*Delay!P64)</f>
        <v>19.4898121801791</v>
      </c>
      <c r="F64" s="19" t="n">
        <f aca="false">IF(Delay!R64="","",Fee*$A64+F$3*Delay!R64)</f>
        <v>17.7646841889828</v>
      </c>
      <c r="G64" s="19" t="n">
        <f aca="false">IF(Delay!T64="","",Fee*$A64+G$3*Delay!T64)</f>
        <v>16.2151475269921</v>
      </c>
    </row>
    <row r="65" customFormat="false" ht="15" hidden="false" customHeight="false" outlineLevel="0" collapsed="false">
      <c r="A65" s="25" t="n">
        <f aca="false">Quantiles!A65</f>
        <v>300</v>
      </c>
      <c r="B65" s="19" t="n">
        <f aca="false">IF(Delay!P65="","",Fee*$A65+B$3*Delay!P65)</f>
        <v>11.6597976654712</v>
      </c>
      <c r="C65" s="19" t="n">
        <f aca="false">IF(Delay!R65="","",Fee*$A65+C$3*Delay!R65)</f>
        <v>11.2270519636146</v>
      </c>
      <c r="D65" s="19" t="n">
        <f aca="false">IF(Delay!T65="","",Fee*$A65+D$3*Delay!T65)</f>
        <v>10.841286881748</v>
      </c>
      <c r="E65" s="19" t="n">
        <f aca="false">IF(Delay!P65="","",Fee*$A65+E$3*Delay!P65)</f>
        <v>19.6391906618846</v>
      </c>
      <c r="F65" s="19" t="n">
        <f aca="false">IF(Delay!R65="","",Fee*$A65+F$3*Delay!R65)</f>
        <v>17.9082078544584</v>
      </c>
      <c r="G65" s="19" t="n">
        <f aca="false">IF(Delay!T65="","",Fee*$A65+G$3*Delay!T65)</f>
        <v>16.3651475269921</v>
      </c>
    </row>
    <row r="66" customFormat="false" ht="15" hidden="false" customHeight="false" outlineLevel="0" collapsed="false">
      <c r="A66" s="25" t="n">
        <f aca="false">Quantiles!A66</f>
        <v>305</v>
      </c>
      <c r="B66" s="19" t="n">
        <f aca="false">IF(Delay!P66="","",Fee*$A66+B$3*Delay!P66)</f>
        <v>11.8074882962368</v>
      </c>
      <c r="C66" s="19" t="n">
        <f aca="false">IF(Delay!R66="","",Fee*$A66+C$3*Delay!R66)</f>
        <v>11.3770519636146</v>
      </c>
      <c r="D66" s="19" t="n">
        <f aca="false">IF(Delay!T66="","",Fee*$A66+D$3*Delay!T66)</f>
        <v>10.9909707931018</v>
      </c>
      <c r="E66" s="19" t="n">
        <f aca="false">IF(Delay!P66="","",Fee*$A66+E$3*Delay!P66)</f>
        <v>19.779953184947</v>
      </c>
      <c r="F66" s="19" t="n">
        <f aca="false">IF(Delay!R66="","",Fee*$A66+F$3*Delay!R66)</f>
        <v>18.0582078544584</v>
      </c>
      <c r="G66" s="19" t="n">
        <f aca="false">IF(Delay!T66="","",Fee*$A66+G$3*Delay!T66)</f>
        <v>16.513883172407</v>
      </c>
    </row>
    <row r="67" customFormat="false" ht="15" hidden="false" customHeight="false" outlineLevel="0" collapsed="false">
      <c r="A67" s="25" t="n">
        <f aca="false">Quantiles!A67</f>
        <v>310</v>
      </c>
      <c r="B67" s="19" t="n">
        <f aca="false">IF(Delay!P67="","",Fee*$A67+B$3*Delay!P67)</f>
        <v>11.954638646868</v>
      </c>
      <c r="C67" s="19" t="n">
        <f aca="false">IF(Delay!R67="","",Fee*$A67+C$3*Delay!R67)</f>
        <v>11.525819864439</v>
      </c>
      <c r="D67" s="19" t="n">
        <f aca="false">IF(Delay!T67="","",Fee*$A67+D$3*Delay!T67)</f>
        <v>11.1402540687377</v>
      </c>
      <c r="E67" s="19" t="n">
        <f aca="false">IF(Delay!P67="","",Fee*$A67+E$3*Delay!P67)</f>
        <v>19.918554587472</v>
      </c>
      <c r="F67" s="19" t="n">
        <f aca="false">IF(Delay!R67="","",Fee*$A67+F$3*Delay!R67)</f>
        <v>18.2032794577562</v>
      </c>
      <c r="G67" s="19" t="n">
        <f aca="false">IF(Delay!T67="","",Fee*$A67+G$3*Delay!T67)</f>
        <v>16.6610162749508</v>
      </c>
    </row>
    <row r="68" customFormat="false" ht="15" hidden="false" customHeight="false" outlineLevel="0" collapsed="false">
      <c r="A68" s="25" t="n">
        <f aca="false">Quantiles!A68</f>
        <v>315</v>
      </c>
      <c r="B68" s="19" t="n">
        <f aca="false">IF(Delay!P68="","",Fee*$A68+B$3*Delay!P68)</f>
        <v>12.104638646868</v>
      </c>
      <c r="C68" s="19" t="n">
        <f aca="false">IF(Delay!R68="","",Fee*$A68+C$3*Delay!R68)</f>
        <v>11.6722323074466</v>
      </c>
      <c r="D68" s="19" t="n">
        <f aca="false">IF(Delay!T68="","",Fee*$A68+D$3*Delay!T68)</f>
        <v>11.2879959291843</v>
      </c>
      <c r="E68" s="19" t="n">
        <f aca="false">IF(Delay!P68="","",Fee*$A68+E$3*Delay!P68)</f>
        <v>20.068554587472</v>
      </c>
      <c r="F68" s="19" t="n">
        <f aca="false">IF(Delay!R68="","",Fee*$A68+F$3*Delay!R68)</f>
        <v>18.3389292297863</v>
      </c>
      <c r="G68" s="19" t="n">
        <f aca="false">IF(Delay!T68="","",Fee*$A68+G$3*Delay!T68)</f>
        <v>16.8019837167374</v>
      </c>
    </row>
    <row r="69" customFormat="false" ht="15" hidden="false" customHeight="false" outlineLevel="0" collapsed="false">
      <c r="A69" s="25" t="n">
        <f aca="false">Quantiles!A69</f>
        <v>320</v>
      </c>
      <c r="B69" s="19" t="n">
        <f aca="false">IF(Delay!P69="","",Fee*$A69+B$3*Delay!P69)</f>
        <v>12.2509195246768</v>
      </c>
      <c r="C69" s="19" t="n">
        <f aca="false">IF(Delay!R69="","",Fee*$A69+C$3*Delay!R69)</f>
        <v>11.8214500867772</v>
      </c>
      <c r="D69" s="19" t="n">
        <f aca="false">IF(Delay!T69="","",Fee*$A69+D$3*Delay!T69)</f>
        <v>11.4379959291843</v>
      </c>
      <c r="E69" s="19" t="n">
        <f aca="false">IF(Delay!P69="","",Fee*$A69+E$3*Delay!P69)</f>
        <v>20.2036780987072</v>
      </c>
      <c r="F69" s="19" t="n">
        <f aca="false">IF(Delay!R69="","",Fee*$A69+F$3*Delay!R69)</f>
        <v>18.4858003471088</v>
      </c>
      <c r="G69" s="19" t="n">
        <f aca="false">IF(Delay!T69="","",Fee*$A69+G$3*Delay!T69)</f>
        <v>16.9519837167374</v>
      </c>
    </row>
    <row r="70" customFormat="false" ht="15" hidden="false" customHeight="false" outlineLevel="0" collapsed="false">
      <c r="A70" s="25" t="n">
        <f aca="false">Quantiles!A70</f>
        <v>325</v>
      </c>
      <c r="B70" s="19" t="n">
        <f aca="false">IF(Delay!P70="","",Fee*$A70+B$3*Delay!P70)</f>
        <v>12.4005642769409</v>
      </c>
      <c r="C70" s="19" t="n">
        <f aca="false">IF(Delay!R70="","",Fee*$A70+C$3*Delay!R70)</f>
        <v>11.9713119998935</v>
      </c>
      <c r="D70" s="19" t="n">
        <f aca="false">IF(Delay!T70="","",Fee*$A70+D$3*Delay!T70)</f>
        <v>11.5874352393539</v>
      </c>
      <c r="E70" s="19" t="n">
        <f aca="false">IF(Delay!P70="","",Fee*$A70+E$3*Delay!P70)</f>
        <v>20.3522571077636</v>
      </c>
      <c r="F70" s="19" t="n">
        <f aca="false">IF(Delay!R70="","",Fee*$A70+F$3*Delay!R70)</f>
        <v>18.6352479995739</v>
      </c>
      <c r="G70" s="19" t="n">
        <f aca="false">IF(Delay!T70="","",Fee*$A70+G$3*Delay!T70)</f>
        <v>17.0997409574157</v>
      </c>
    </row>
    <row r="71" customFormat="false" ht="15" hidden="false" customHeight="false" outlineLevel="0" collapsed="false">
      <c r="A71" s="25" t="n">
        <f aca="false">Quantiles!A71</f>
        <v>330</v>
      </c>
      <c r="B71" s="19" t="n">
        <f aca="false">IF(Delay!P71="","",Fee*$A71+B$3*Delay!P71)</f>
        <v>12.5505642769409</v>
      </c>
      <c r="C71" s="19" t="n">
        <f aca="false">IF(Delay!R71="","",Fee*$A71+C$3*Delay!R71)</f>
        <v>12.1213119998935</v>
      </c>
      <c r="D71" s="19" t="n">
        <f aca="false">IF(Delay!T71="","",Fee*$A71+D$3*Delay!T71)</f>
        <v>11.7369665855983</v>
      </c>
      <c r="E71" s="19" t="n">
        <f aca="false">IF(Delay!P71="","",Fee*$A71+E$3*Delay!P71)</f>
        <v>20.5022571077636</v>
      </c>
      <c r="F71" s="19" t="n">
        <f aca="false">IF(Delay!R71="","",Fee*$A71+F$3*Delay!R71)</f>
        <v>18.7852479995739</v>
      </c>
      <c r="G71" s="19" t="n">
        <f aca="false">IF(Delay!T71="","",Fee*$A71+G$3*Delay!T71)</f>
        <v>17.2478663423932</v>
      </c>
    </row>
    <row r="72" customFormat="false" ht="15" hidden="false" customHeight="false" outlineLevel="0" collapsed="false">
      <c r="A72" s="25" t="n">
        <f aca="false">Quantiles!A72</f>
        <v>335</v>
      </c>
      <c r="B72" s="19" t="n">
        <f aca="false">IF(Delay!P72="","",Fee*$A72+B$3*Delay!P72)</f>
        <v>12.7005642769409</v>
      </c>
      <c r="C72" s="19" t="n">
        <f aca="false">IF(Delay!R72="","",Fee*$A72+C$3*Delay!R72)</f>
        <v>12.2713119998935</v>
      </c>
      <c r="D72" s="19" t="n">
        <f aca="false">IF(Delay!T72="","",Fee*$A72+D$3*Delay!T72)</f>
        <v>11.8869665855983</v>
      </c>
      <c r="E72" s="19" t="n">
        <f aca="false">IF(Delay!P72="","",Fee*$A72+E$3*Delay!P72)</f>
        <v>20.6522571077636</v>
      </c>
      <c r="F72" s="19" t="n">
        <f aca="false">IF(Delay!R72="","",Fee*$A72+F$3*Delay!R72)</f>
        <v>18.9352479995739</v>
      </c>
      <c r="G72" s="19" t="n">
        <f aca="false">IF(Delay!T72="","",Fee*$A72+G$3*Delay!T72)</f>
        <v>17.3978663423932</v>
      </c>
    </row>
    <row r="73" customFormat="false" ht="15" hidden="false" customHeight="false" outlineLevel="0" collapsed="false">
      <c r="A73" s="25" t="n">
        <f aca="false">Quantiles!A73</f>
        <v>340</v>
      </c>
      <c r="B73" s="19" t="n">
        <f aca="false">IF(Delay!P73="","",Fee*$A73+B$3*Delay!P73)</f>
        <v>12.8505642769409</v>
      </c>
      <c r="C73" s="19" t="n">
        <f aca="false">IF(Delay!R73="","",Fee*$A73+C$3*Delay!R73)</f>
        <v>12.4213119998935</v>
      </c>
      <c r="D73" s="19" t="n">
        <f aca="false">IF(Delay!T73="","",Fee*$A73+D$3*Delay!T73)</f>
        <v>12.0369665855983</v>
      </c>
      <c r="E73" s="19" t="n">
        <f aca="false">IF(Delay!P73="","",Fee*$A73+E$3*Delay!P73)</f>
        <v>20.8022571077636</v>
      </c>
      <c r="F73" s="19" t="n">
        <f aca="false">IF(Delay!R73="","",Fee*$A73+F$3*Delay!R73)</f>
        <v>19.0852479995739</v>
      </c>
      <c r="G73" s="19" t="n">
        <f aca="false">IF(Delay!T73="","",Fee*$A73+G$3*Delay!T73)</f>
        <v>17.5478663423932</v>
      </c>
    </row>
    <row r="74" customFormat="false" ht="15" hidden="false" customHeight="false" outlineLevel="0" collapsed="false">
      <c r="A74" s="25" t="n">
        <f aca="false">Quantiles!A74</f>
        <v>345</v>
      </c>
      <c r="B74" s="19" t="n">
        <f aca="false">IF(Delay!P74="","",Fee*$A74+B$3*Delay!P74)</f>
        <v>13.0005642769409</v>
      </c>
      <c r="C74" s="19" t="n">
        <f aca="false">IF(Delay!R74="","",Fee*$A74+C$3*Delay!R74)</f>
        <v>12.5713119998935</v>
      </c>
      <c r="D74" s="19" t="n">
        <f aca="false">IF(Delay!T74="","",Fee*$A74+D$3*Delay!T74)</f>
        <v>12.1869665855983</v>
      </c>
      <c r="E74" s="19" t="n">
        <f aca="false">IF(Delay!P74="","",Fee*$A74+E$3*Delay!P74)</f>
        <v>20.9522571077636</v>
      </c>
      <c r="F74" s="19" t="n">
        <f aca="false">IF(Delay!R74="","",Fee*$A74+F$3*Delay!R74)</f>
        <v>19.2352479995739</v>
      </c>
      <c r="G74" s="19" t="n">
        <f aca="false">IF(Delay!T74="","",Fee*$A74+G$3*Delay!T74)</f>
        <v>17.6978663423932</v>
      </c>
    </row>
    <row r="75" customFormat="false" ht="15" hidden="false" customHeight="false" outlineLevel="0" collapsed="false">
      <c r="A75" s="25" t="n">
        <f aca="false">Quantiles!A75</f>
        <v>350</v>
      </c>
      <c r="B75" s="19" t="n">
        <f aca="false">IF(Delay!P75="","",Fee*$A75+B$3*Delay!P75)</f>
        <v>13.149242483229</v>
      </c>
      <c r="C75" s="19" t="n">
        <f aca="false">IF(Delay!R75="","",Fee*$A75+C$3*Delay!R75)</f>
        <v>12.7213119998935</v>
      </c>
      <c r="D75" s="19" t="n">
        <f aca="false">IF(Delay!T75="","",Fee*$A75+D$3*Delay!T75)</f>
        <v>12.3369665855983</v>
      </c>
      <c r="E75" s="19" t="n">
        <f aca="false">IF(Delay!P75="","",Fee*$A75+E$3*Delay!P75)</f>
        <v>21.0969699329158</v>
      </c>
      <c r="F75" s="19" t="n">
        <f aca="false">IF(Delay!R75="","",Fee*$A75+F$3*Delay!R75)</f>
        <v>19.3852479995739</v>
      </c>
      <c r="G75" s="19" t="n">
        <f aca="false">IF(Delay!T75="","",Fee*$A75+G$3*Delay!T75)</f>
        <v>17.8478663423932</v>
      </c>
    </row>
    <row r="76" customFormat="false" ht="15" hidden="false" customHeight="false" outlineLevel="0" collapsed="false">
      <c r="A76" s="25" t="n">
        <f aca="false">Quantiles!A76</f>
        <v>355</v>
      </c>
      <c r="B76" s="19" t="n">
        <f aca="false">IF(Delay!P76="","",Fee*$A76+B$3*Delay!P76)</f>
        <v>13.299242483229</v>
      </c>
      <c r="C76" s="19" t="n">
        <f aca="false">IF(Delay!R76="","",Fee*$A76+C$3*Delay!R76)</f>
        <v>12.8684816334419</v>
      </c>
      <c r="D76" s="19" t="n">
        <f aca="false">IF(Delay!T76="","",Fee*$A76+D$3*Delay!T76)</f>
        <v>12.4860920102572</v>
      </c>
      <c r="E76" s="19" t="n">
        <f aca="false">IF(Delay!P76="","",Fee*$A76+E$3*Delay!P76)</f>
        <v>21.2469699329158</v>
      </c>
      <c r="F76" s="19" t="n">
        <f aca="false">IF(Delay!R76="","",Fee*$A76+F$3*Delay!R76)</f>
        <v>19.5239265337676</v>
      </c>
      <c r="G76" s="19" t="n">
        <f aca="false">IF(Delay!T76="","",Fee*$A76+G$3*Delay!T76)</f>
        <v>17.9943680410286</v>
      </c>
    </row>
    <row r="77" customFormat="false" ht="15" hidden="false" customHeight="false" outlineLevel="0" collapsed="false">
      <c r="A77" s="25" t="n">
        <f aca="false">Quantiles!A77</f>
        <v>360</v>
      </c>
      <c r="B77" s="19" t="n">
        <f aca="false">IF(Delay!P77="","",Fee*$A77+B$3*Delay!P77)</f>
        <v>13.449242483229</v>
      </c>
      <c r="C77" s="19" t="n">
        <f aca="false">IF(Delay!R77="","",Fee*$A77+C$3*Delay!R77)</f>
        <v>13.0184816334419</v>
      </c>
      <c r="D77" s="19" t="n">
        <f aca="false">IF(Delay!T77="","",Fee*$A77+D$3*Delay!T77)</f>
        <v>12.6360920102572</v>
      </c>
      <c r="E77" s="19" t="n">
        <f aca="false">IF(Delay!P77="","",Fee*$A77+E$3*Delay!P77)</f>
        <v>21.3969699329158</v>
      </c>
      <c r="F77" s="19" t="n">
        <f aca="false">IF(Delay!R77="","",Fee*$A77+F$3*Delay!R77)</f>
        <v>19.6739265337676</v>
      </c>
      <c r="G77" s="19" t="n">
        <f aca="false">IF(Delay!T77="","",Fee*$A77+G$3*Delay!T77)</f>
        <v>18.1443680410286</v>
      </c>
    </row>
    <row r="78" customFormat="false" ht="15" hidden="false" customHeight="false" outlineLevel="0" collapsed="false">
      <c r="A78" s="25" t="n">
        <f aca="false">Quantiles!A78</f>
        <v>365</v>
      </c>
      <c r="B78" s="19" t="n">
        <f aca="false">IF(Delay!P78="","",Fee*$A78+B$3*Delay!P78)</f>
        <v>13.599242483229</v>
      </c>
      <c r="C78" s="19" t="n">
        <f aca="false">IF(Delay!R78="","",Fee*$A78+C$3*Delay!R78)</f>
        <v>13.1684816334419</v>
      </c>
      <c r="D78" s="19" t="n">
        <f aca="false">IF(Delay!T78="","",Fee*$A78+D$3*Delay!T78)</f>
        <v>12.7860920102572</v>
      </c>
      <c r="E78" s="19" t="n">
        <f aca="false">IF(Delay!P78="","",Fee*$A78+E$3*Delay!P78)</f>
        <v>21.5469699329158</v>
      </c>
      <c r="F78" s="19" t="n">
        <f aca="false">IF(Delay!R78="","",Fee*$A78+F$3*Delay!R78)</f>
        <v>19.8239265337676</v>
      </c>
      <c r="G78" s="19" t="n">
        <f aca="false">IF(Delay!T78="","",Fee*$A78+G$3*Delay!T78)</f>
        <v>18.2943680410286</v>
      </c>
    </row>
    <row r="79" customFormat="false" ht="15" hidden="false" customHeight="false" outlineLevel="0" collapsed="false">
      <c r="A79" s="25" t="n">
        <f aca="false">Quantiles!A79</f>
        <v>370</v>
      </c>
      <c r="B79" s="19" t="n">
        <f aca="false">IF(Delay!P79="","",Fee*$A79+B$3*Delay!P79)</f>
        <v>13.749242483229</v>
      </c>
      <c r="C79" s="19" t="n">
        <f aca="false">IF(Delay!R79="","",Fee*$A79+C$3*Delay!R79)</f>
        <v>13.3184816334419</v>
      </c>
      <c r="D79" s="19" t="n">
        <f aca="false">IF(Delay!T79="","",Fee*$A79+D$3*Delay!T79)</f>
        <v>12.9360920102572</v>
      </c>
      <c r="E79" s="19" t="n">
        <f aca="false">IF(Delay!P79="","",Fee*$A79+E$3*Delay!P79)</f>
        <v>21.6969699329158</v>
      </c>
      <c r="F79" s="19" t="n">
        <f aca="false">IF(Delay!R79="","",Fee*$A79+F$3*Delay!R79)</f>
        <v>19.9739265337676</v>
      </c>
      <c r="G79" s="19" t="n">
        <f aca="false">IF(Delay!T79="","",Fee*$A79+G$3*Delay!T79)</f>
        <v>18.4443680410286</v>
      </c>
    </row>
    <row r="80" customFormat="false" ht="15" hidden="false" customHeight="false" outlineLevel="0" collapsed="false">
      <c r="A80" s="25" t="n">
        <f aca="false">Quantiles!A80</f>
        <v>375</v>
      </c>
      <c r="B80" s="19" t="n">
        <f aca="false">IF(Delay!P80="","",Fee*$A80+B$3*Delay!P80)</f>
        <v>13.899242483229</v>
      </c>
      <c r="C80" s="19" t="n">
        <f aca="false">IF(Delay!R80="","",Fee*$A80+C$3*Delay!R80)</f>
        <v>13.4684816334419</v>
      </c>
      <c r="D80" s="19" t="n">
        <f aca="false">IF(Delay!T80="","",Fee*$A80+D$3*Delay!T80)</f>
        <v>13.0860920102572</v>
      </c>
      <c r="E80" s="19" t="n">
        <f aca="false">IF(Delay!P80="","",Fee*$A80+E$3*Delay!P80)</f>
        <v>21.8469699329158</v>
      </c>
      <c r="F80" s="19" t="n">
        <f aca="false">IF(Delay!R80="","",Fee*$A80+F$3*Delay!R80)</f>
        <v>20.1239265337676</v>
      </c>
      <c r="G80" s="19" t="n">
        <f aca="false">IF(Delay!T80="","",Fee*$A80+G$3*Delay!T80)</f>
        <v>18.5943680410286</v>
      </c>
    </row>
    <row r="81" customFormat="false" ht="15" hidden="false" customHeight="false" outlineLevel="0" collapsed="false">
      <c r="A81" s="25" t="n">
        <f aca="false">Quantiles!A81</f>
        <v>380</v>
      </c>
      <c r="B81" s="19" t="n">
        <f aca="false">IF(Delay!P81="","",Fee*$A81+B$3*Delay!P81)</f>
        <v>14.049242483229</v>
      </c>
      <c r="C81" s="19" t="n">
        <f aca="false">IF(Delay!R81="","",Fee*$A81+C$3*Delay!R81)</f>
        <v>13.6184816334419</v>
      </c>
      <c r="D81" s="19" t="n">
        <f aca="false">IF(Delay!T81="","",Fee*$A81+D$3*Delay!T81)</f>
        <v>13.2360920102572</v>
      </c>
      <c r="E81" s="19" t="n">
        <f aca="false">IF(Delay!P81="","",Fee*$A81+E$3*Delay!P81)</f>
        <v>21.9969699329158</v>
      </c>
      <c r="F81" s="19" t="n">
        <f aca="false">IF(Delay!R81="","",Fee*$A81+F$3*Delay!R81)</f>
        <v>20.2739265337676</v>
      </c>
      <c r="G81" s="19" t="n">
        <f aca="false">IF(Delay!T81="","",Fee*$A81+G$3*Delay!T81)</f>
        <v>18.7443680410286</v>
      </c>
    </row>
    <row r="82" customFormat="false" ht="15" hidden="false" customHeight="false" outlineLevel="0" collapsed="false">
      <c r="A82" s="25" t="n">
        <f aca="false">Quantiles!A82</f>
        <v>385</v>
      </c>
      <c r="B82" s="19" t="n">
        <f aca="false">IF(Delay!P82="","",Fee*$A82+B$3*Delay!P82)</f>
        <v>14.199242483229</v>
      </c>
      <c r="C82" s="19" t="n">
        <f aca="false">IF(Delay!R82="","",Fee*$A82+C$3*Delay!R82)</f>
        <v>13.7684816334419</v>
      </c>
      <c r="D82" s="19" t="n">
        <f aca="false">IF(Delay!T82="","",Fee*$A82+D$3*Delay!T82)</f>
        <v>13.3860920102572</v>
      </c>
      <c r="E82" s="19" t="n">
        <f aca="false">IF(Delay!P82="","",Fee*$A82+E$3*Delay!P82)</f>
        <v>22.1469699329158</v>
      </c>
      <c r="F82" s="19" t="n">
        <f aca="false">IF(Delay!R82="","",Fee*$A82+F$3*Delay!R82)</f>
        <v>20.4239265337676</v>
      </c>
      <c r="G82" s="19" t="n">
        <f aca="false">IF(Delay!T82="","",Fee*$A82+G$3*Delay!T82)</f>
        <v>18.8943680410286</v>
      </c>
    </row>
    <row r="83" customFormat="false" ht="15" hidden="false" customHeight="false" outlineLevel="0" collapsed="false">
      <c r="A83" s="25" t="n">
        <f aca="false">Quantiles!A83</f>
        <v>390</v>
      </c>
      <c r="B83" s="19" t="n">
        <f aca="false">IF(Delay!P83="","",Fee*$A83+B$3*Delay!P83)</f>
        <v>14.349242483229</v>
      </c>
      <c r="C83" s="19" t="n">
        <f aca="false">IF(Delay!R83="","",Fee*$A83+C$3*Delay!R83)</f>
        <v>13.9184816334419</v>
      </c>
      <c r="D83" s="19" t="n">
        <f aca="false">IF(Delay!T83="","",Fee*$A83+D$3*Delay!T83)</f>
        <v>13.5360920102572</v>
      </c>
      <c r="E83" s="19" t="n">
        <f aca="false">IF(Delay!P83="","",Fee*$A83+E$3*Delay!P83)</f>
        <v>22.2969699329158</v>
      </c>
      <c r="F83" s="19" t="n">
        <f aca="false">IF(Delay!R83="","",Fee*$A83+F$3*Delay!R83)</f>
        <v>20.5739265337676</v>
      </c>
      <c r="G83" s="19" t="n">
        <f aca="false">IF(Delay!T83="","",Fee*$A83+G$3*Delay!T83)</f>
        <v>19.0443680410286</v>
      </c>
    </row>
    <row r="84" customFormat="false" ht="15" hidden="false" customHeight="false" outlineLevel="0" collapsed="false">
      <c r="A84" s="25" t="n">
        <f aca="false">Quantiles!A84</f>
        <v>395</v>
      </c>
      <c r="B84" s="19" t="n">
        <f aca="false">IF(Delay!P84="","",Fee*$A84+B$3*Delay!P84)</f>
        <v>14.499242483229</v>
      </c>
      <c r="C84" s="19" t="n">
        <f aca="false">IF(Delay!R84="","",Fee*$A84+C$3*Delay!R84)</f>
        <v>14.0684816334419</v>
      </c>
      <c r="D84" s="19" t="n">
        <f aca="false">IF(Delay!T84="","",Fee*$A84+D$3*Delay!T84)</f>
        <v>13.6860920102572</v>
      </c>
      <c r="E84" s="19" t="n">
        <f aca="false">IF(Delay!P84="","",Fee*$A84+E$3*Delay!P84)</f>
        <v>22.4469699329158</v>
      </c>
      <c r="F84" s="19" t="n">
        <f aca="false">IF(Delay!R84="","",Fee*$A84+F$3*Delay!R84)</f>
        <v>20.7239265337676</v>
      </c>
      <c r="G84" s="19" t="n">
        <f aca="false">IF(Delay!T84="","",Fee*$A84+G$3*Delay!T84)</f>
        <v>19.1943680410286</v>
      </c>
    </row>
    <row r="85" customFormat="false" ht="15" hidden="false" customHeight="false" outlineLevel="0" collapsed="false">
      <c r="A85" s="25" t="n">
        <f aca="false">Quantiles!A85</f>
        <v>400</v>
      </c>
      <c r="B85" s="19" t="n">
        <f aca="false">IF(Delay!P85="","",Fee*$A85+B$3*Delay!P85)</f>
        <v>14.6485506160296</v>
      </c>
      <c r="C85" s="19" t="n">
        <f aca="false">IF(Delay!R85="","",Fee*$A85+C$3*Delay!R85)</f>
        <v>14.2184308433443</v>
      </c>
      <c r="D85" s="19" t="n">
        <f aca="false">IF(Delay!T85="","",Fee*$A85+D$3*Delay!T85)</f>
        <v>13.8360920102572</v>
      </c>
      <c r="E85" s="19" t="n">
        <f aca="false">IF(Delay!P85="","",Fee*$A85+E$3*Delay!P85)</f>
        <v>22.5942024641184</v>
      </c>
      <c r="F85" s="19" t="n">
        <f aca="false">IF(Delay!R85="","",Fee*$A85+F$3*Delay!R85)</f>
        <v>20.8737233733773</v>
      </c>
      <c r="G85" s="19" t="n">
        <f aca="false">IF(Delay!T85="","",Fee*$A85+G$3*Delay!T85)</f>
        <v>19.3443680410286</v>
      </c>
    </row>
    <row r="88" customFormat="false" ht="15" hidden="false" customHeight="false" outlineLevel="0" collapsed="false">
      <c r="A88" s="8" t="s">
        <v>276</v>
      </c>
      <c r="B88" s="8" t="s">
        <v>150</v>
      </c>
      <c r="C88" s="8" t="s">
        <v>151</v>
      </c>
      <c r="D88" s="8" t="s">
        <v>277</v>
      </c>
    </row>
    <row r="89" customFormat="false" ht="15" hidden="false" customHeight="false" outlineLevel="0" collapsed="false">
      <c r="A89" s="2" t="s">
        <v>278</v>
      </c>
      <c r="B89" s="20" t="n">
        <f aca="false">MIN(B5:B85)</f>
        <v>7.97300399905459</v>
      </c>
      <c r="C89" s="11" t="n">
        <f aca="false">INDEX($A$5:$A$85,MATCH(B89,B5:B85,0))</f>
        <v>140</v>
      </c>
    </row>
    <row r="90" customFormat="false" ht="15" hidden="false" customHeight="false" outlineLevel="0" collapsed="false">
      <c r="A90" s="2" t="s">
        <v>279</v>
      </c>
      <c r="B90" s="20" t="n">
        <f aca="false">MIN(C5:C85)</f>
        <v>7.52462480002316</v>
      </c>
      <c r="C90" s="11" t="n">
        <f aca="false">INDEX($A$5:$A$85,MATCH(B90,C5:C85,0))</f>
        <v>140</v>
      </c>
      <c r="D90" s="20" t="n">
        <f aca="false">B89-B91</f>
        <v>0.90628879695873</v>
      </c>
    </row>
    <row r="91" customFormat="false" ht="15" hidden="false" customHeight="false" outlineLevel="0" collapsed="false">
      <c r="A91" s="2" t="s">
        <v>280</v>
      </c>
      <c r="B91" s="20" t="n">
        <f aca="false">MIN(D5:D85)</f>
        <v>7.06671520209586</v>
      </c>
      <c r="C91" s="11" t="n">
        <f aca="false">INDEX($A$5:$A$85,MATCH(B91,D5:D85,0))</f>
        <v>140</v>
      </c>
    </row>
    <row r="92" customFormat="false" ht="15" hidden="false" customHeight="false" outlineLevel="0" collapsed="false">
      <c r="A92" s="2" t="s">
        <v>281</v>
      </c>
      <c r="B92" s="20" t="n">
        <f aca="false">MIN(E5:E85)</f>
        <v>17.3318335208504</v>
      </c>
      <c r="C92" s="11" t="n">
        <f aca="false">INDEX($A$5:$A$85,MATCH(B92,E5:E85,0))</f>
        <v>190</v>
      </c>
    </row>
    <row r="93" customFormat="false" ht="15" hidden="false" customHeight="false" outlineLevel="0" collapsed="false">
      <c r="A93" s="2" t="s">
        <v>282</v>
      </c>
      <c r="B93" s="20" t="n">
        <f aca="false">MIN(F5:F85)</f>
        <v>15.5128749346568</v>
      </c>
      <c r="C93" s="11" t="n">
        <f aca="false">INDEX($A$5:$A$85,MATCH(B93,F5:F85,0))</f>
        <v>195</v>
      </c>
      <c r="D93" s="20" t="n">
        <f aca="false">B92-B94</f>
        <v>3.42197783958993</v>
      </c>
    </row>
    <row r="94" customFormat="false" ht="15" hidden="false" customHeight="false" outlineLevel="0" collapsed="false">
      <c r="A94" s="2" t="s">
        <v>283</v>
      </c>
      <c r="B94" s="20" t="n">
        <f aca="false">MIN(G5:G85)</f>
        <v>13.9098556812605</v>
      </c>
      <c r="C94" s="11" t="n">
        <f aca="false">INDEX($A$5:$A$85,MATCH(B94,G5:G85,0))</f>
        <v>190</v>
      </c>
    </row>
    <row r="96" customFormat="false" ht="15" hidden="false" customHeight="false" outlineLevel="0" collapsed="false">
      <c r="A96" s="10" t="s">
        <v>284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T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202" min="3" style="0" width="8"/>
  </cols>
  <sheetData>
    <row r="1" customFormat="false" ht="15" hidden="false" customHeight="false" outlineLevel="0" collapsed="false">
      <c r="A1" s="1" t="s">
        <v>285</v>
      </c>
    </row>
    <row r="2" customFormat="false" ht="15" hidden="false" customHeight="false" outlineLevel="0" collapsed="false">
      <c r="A2" s="10" t="s">
        <v>286</v>
      </c>
    </row>
    <row r="3" customFormat="false" ht="15" hidden="false" customHeight="false" outlineLevel="0" collapsed="false">
      <c r="A3" s="2" t="s">
        <v>287</v>
      </c>
      <c r="C3" s="13" t="n">
        <v>0.05</v>
      </c>
      <c r="D3" s="13" t="n">
        <v>0.1</v>
      </c>
      <c r="E3" s="13" t="n">
        <v>0.15</v>
      </c>
      <c r="F3" s="13" t="n">
        <v>0.2</v>
      </c>
      <c r="G3" s="13" t="n">
        <v>0.25</v>
      </c>
      <c r="H3" s="13" t="n">
        <v>0.3</v>
      </c>
      <c r="I3" s="13" t="n">
        <v>0.35</v>
      </c>
      <c r="J3" s="13" t="n">
        <v>0.4</v>
      </c>
      <c r="K3" s="13" t="n">
        <v>0.45</v>
      </c>
      <c r="L3" s="13" t="n">
        <v>0.5</v>
      </c>
      <c r="M3" s="13" t="n">
        <v>0.55</v>
      </c>
      <c r="N3" s="13" t="n">
        <v>0.6</v>
      </c>
      <c r="O3" s="13" t="n">
        <v>0.65</v>
      </c>
      <c r="P3" s="13" t="n">
        <v>0.7</v>
      </c>
      <c r="Q3" s="13" t="n">
        <v>0.75</v>
      </c>
      <c r="R3" s="13" t="n">
        <v>0.8</v>
      </c>
      <c r="S3" s="13" t="n">
        <v>0.85</v>
      </c>
      <c r="T3" s="13" t="n">
        <v>0.9</v>
      </c>
      <c r="U3" s="13" t="n">
        <v>0.95</v>
      </c>
      <c r="V3" s="13" t="n">
        <v>1</v>
      </c>
      <c r="W3" s="13" t="n">
        <v>1.05</v>
      </c>
      <c r="X3" s="13" t="n">
        <v>1.1</v>
      </c>
      <c r="Y3" s="13" t="n">
        <v>1.15</v>
      </c>
      <c r="Z3" s="13" t="n">
        <v>1.2</v>
      </c>
      <c r="AA3" s="13" t="n">
        <v>1.25</v>
      </c>
      <c r="AB3" s="13" t="n">
        <v>1.3</v>
      </c>
      <c r="AC3" s="13" t="n">
        <v>1.35</v>
      </c>
      <c r="AD3" s="13" t="n">
        <v>1.4</v>
      </c>
      <c r="AE3" s="13" t="n">
        <v>1.45</v>
      </c>
      <c r="AF3" s="13" t="n">
        <v>1.5</v>
      </c>
      <c r="AG3" s="13" t="n">
        <v>1.55</v>
      </c>
      <c r="AH3" s="13" t="n">
        <v>1.6</v>
      </c>
      <c r="AI3" s="13" t="n">
        <v>1.65</v>
      </c>
      <c r="AJ3" s="13" t="n">
        <v>1.7</v>
      </c>
      <c r="AK3" s="13" t="n">
        <v>1.75</v>
      </c>
      <c r="AL3" s="13" t="n">
        <v>1.8</v>
      </c>
      <c r="AM3" s="13" t="n">
        <v>1.85</v>
      </c>
      <c r="AN3" s="13" t="n">
        <v>1.9</v>
      </c>
      <c r="AO3" s="13" t="n">
        <v>1.95</v>
      </c>
      <c r="AP3" s="13" t="n">
        <v>2</v>
      </c>
      <c r="AQ3" s="13" t="n">
        <v>2.05</v>
      </c>
      <c r="AR3" s="13" t="n">
        <v>2.1</v>
      </c>
      <c r="AS3" s="13" t="n">
        <v>2.15</v>
      </c>
      <c r="AT3" s="13" t="n">
        <v>2.2</v>
      </c>
      <c r="AU3" s="13" t="n">
        <v>2.25</v>
      </c>
      <c r="AV3" s="13" t="n">
        <v>2.3</v>
      </c>
      <c r="AW3" s="13" t="n">
        <v>2.35</v>
      </c>
      <c r="AX3" s="13" t="n">
        <v>2.4</v>
      </c>
      <c r="AY3" s="13" t="n">
        <v>2.45</v>
      </c>
      <c r="AZ3" s="13" t="n">
        <v>2.5</v>
      </c>
      <c r="BA3" s="13" t="n">
        <v>2.55</v>
      </c>
      <c r="BB3" s="13" t="n">
        <v>2.6</v>
      </c>
      <c r="BC3" s="13" t="n">
        <v>2.65</v>
      </c>
      <c r="BD3" s="13" t="n">
        <v>2.7</v>
      </c>
      <c r="BE3" s="13" t="n">
        <v>2.75</v>
      </c>
      <c r="BF3" s="13" t="n">
        <v>2.8</v>
      </c>
      <c r="BG3" s="13" t="n">
        <v>2.85</v>
      </c>
      <c r="BH3" s="13" t="n">
        <v>2.9</v>
      </c>
      <c r="BI3" s="13" t="n">
        <v>2.95</v>
      </c>
      <c r="BJ3" s="13" t="n">
        <v>3</v>
      </c>
      <c r="BK3" s="13" t="n">
        <v>3.05</v>
      </c>
      <c r="BL3" s="13" t="n">
        <v>3.1</v>
      </c>
      <c r="BM3" s="13" t="n">
        <v>3.15</v>
      </c>
      <c r="BN3" s="13" t="n">
        <v>3.2</v>
      </c>
      <c r="BO3" s="13" t="n">
        <v>3.25</v>
      </c>
      <c r="BP3" s="13" t="n">
        <v>3.3</v>
      </c>
      <c r="BQ3" s="13" t="n">
        <v>3.35</v>
      </c>
      <c r="BR3" s="13" t="n">
        <v>3.4</v>
      </c>
      <c r="BS3" s="13" t="n">
        <v>3.45</v>
      </c>
      <c r="BT3" s="13" t="n">
        <v>3.5</v>
      </c>
      <c r="BU3" s="13" t="n">
        <v>3.55</v>
      </c>
      <c r="BV3" s="13" t="n">
        <v>3.6</v>
      </c>
      <c r="BW3" s="13" t="n">
        <v>3.65</v>
      </c>
      <c r="BX3" s="13" t="n">
        <v>3.7</v>
      </c>
      <c r="BY3" s="13" t="n">
        <v>3.75</v>
      </c>
      <c r="BZ3" s="13" t="n">
        <v>3.8</v>
      </c>
      <c r="CA3" s="13" t="n">
        <v>3.85</v>
      </c>
      <c r="CB3" s="13" t="n">
        <v>3.9</v>
      </c>
      <c r="CC3" s="13" t="n">
        <v>3.95</v>
      </c>
      <c r="CD3" s="13" t="n">
        <v>4</v>
      </c>
      <c r="CE3" s="13" t="n">
        <v>4.05</v>
      </c>
      <c r="CF3" s="13" t="n">
        <v>4.1</v>
      </c>
      <c r="CG3" s="13" t="n">
        <v>4.15</v>
      </c>
      <c r="CH3" s="13" t="n">
        <v>4.2</v>
      </c>
      <c r="CI3" s="13" t="n">
        <v>4.25</v>
      </c>
      <c r="CJ3" s="13" t="n">
        <v>4.3</v>
      </c>
      <c r="CK3" s="13" t="n">
        <v>4.35</v>
      </c>
      <c r="CL3" s="13" t="n">
        <v>4.4</v>
      </c>
      <c r="CM3" s="13" t="n">
        <v>4.45</v>
      </c>
      <c r="CN3" s="13" t="n">
        <v>4.5</v>
      </c>
      <c r="CO3" s="13" t="n">
        <v>4.55</v>
      </c>
      <c r="CP3" s="13" t="n">
        <v>4.6</v>
      </c>
      <c r="CQ3" s="13" t="n">
        <v>4.65</v>
      </c>
      <c r="CR3" s="13" t="n">
        <v>4.7</v>
      </c>
      <c r="CS3" s="13" t="n">
        <v>4.75</v>
      </c>
      <c r="CT3" s="13" t="n">
        <v>4.8</v>
      </c>
      <c r="CU3" s="13" t="n">
        <v>4.85</v>
      </c>
      <c r="CV3" s="13" t="n">
        <v>4.9</v>
      </c>
      <c r="CW3" s="13" t="n">
        <v>4.95</v>
      </c>
      <c r="CX3" s="13" t="n">
        <v>5</v>
      </c>
      <c r="CY3" s="13" t="n">
        <v>5.05</v>
      </c>
      <c r="CZ3" s="13" t="n">
        <v>5.1</v>
      </c>
      <c r="DA3" s="13" t="n">
        <v>5.15</v>
      </c>
      <c r="DB3" s="13" t="n">
        <v>5.2</v>
      </c>
      <c r="DC3" s="13" t="n">
        <v>5.25</v>
      </c>
      <c r="DD3" s="13" t="n">
        <v>5.3</v>
      </c>
      <c r="DE3" s="13" t="n">
        <v>5.35</v>
      </c>
      <c r="DF3" s="13" t="n">
        <v>5.4</v>
      </c>
      <c r="DG3" s="13" t="n">
        <v>5.45</v>
      </c>
      <c r="DH3" s="13" t="n">
        <v>5.5</v>
      </c>
      <c r="DI3" s="13" t="n">
        <v>5.55</v>
      </c>
      <c r="DJ3" s="13" t="n">
        <v>5.6</v>
      </c>
      <c r="DK3" s="13" t="n">
        <v>5.65</v>
      </c>
      <c r="DL3" s="13" t="n">
        <v>5.7</v>
      </c>
      <c r="DM3" s="13" t="n">
        <v>5.75</v>
      </c>
      <c r="DN3" s="13" t="n">
        <v>5.8</v>
      </c>
      <c r="DO3" s="13" t="n">
        <v>5.85</v>
      </c>
      <c r="DP3" s="13" t="n">
        <v>5.9</v>
      </c>
      <c r="DQ3" s="13" t="n">
        <v>5.95</v>
      </c>
      <c r="DR3" s="13" t="n">
        <v>6</v>
      </c>
      <c r="DS3" s="13" t="n">
        <v>6.05</v>
      </c>
      <c r="DT3" s="13" t="n">
        <v>6.1</v>
      </c>
      <c r="DU3" s="13" t="n">
        <v>6.15</v>
      </c>
      <c r="DV3" s="13" t="n">
        <v>6.2</v>
      </c>
      <c r="DW3" s="13" t="n">
        <v>6.25</v>
      </c>
      <c r="DX3" s="13" t="n">
        <v>6.3</v>
      </c>
      <c r="DY3" s="13" t="n">
        <v>6.35</v>
      </c>
      <c r="DZ3" s="13" t="n">
        <v>6.4</v>
      </c>
      <c r="EA3" s="13" t="n">
        <v>6.45</v>
      </c>
      <c r="EB3" s="13" t="n">
        <v>6.5</v>
      </c>
      <c r="EC3" s="13" t="n">
        <v>6.55</v>
      </c>
      <c r="ED3" s="13" t="n">
        <v>6.6</v>
      </c>
      <c r="EE3" s="13" t="n">
        <v>6.65</v>
      </c>
      <c r="EF3" s="13" t="n">
        <v>6.7</v>
      </c>
      <c r="EG3" s="13" t="n">
        <v>6.75</v>
      </c>
      <c r="EH3" s="13" t="n">
        <v>6.8</v>
      </c>
      <c r="EI3" s="13" t="n">
        <v>6.85</v>
      </c>
      <c r="EJ3" s="13" t="n">
        <v>6.9</v>
      </c>
      <c r="EK3" s="13" t="n">
        <v>6.95</v>
      </c>
      <c r="EL3" s="13" t="n">
        <v>7</v>
      </c>
      <c r="EM3" s="13" t="n">
        <v>7.05</v>
      </c>
      <c r="EN3" s="13" t="n">
        <v>7.1</v>
      </c>
      <c r="EO3" s="13" t="n">
        <v>7.15</v>
      </c>
      <c r="EP3" s="13" t="n">
        <v>7.2</v>
      </c>
      <c r="EQ3" s="13" t="n">
        <v>7.25</v>
      </c>
      <c r="ER3" s="13" t="n">
        <v>7.3</v>
      </c>
      <c r="ES3" s="13" t="n">
        <v>7.35</v>
      </c>
      <c r="ET3" s="13" t="n">
        <v>7.4</v>
      </c>
      <c r="EU3" s="13" t="n">
        <v>7.45</v>
      </c>
      <c r="EV3" s="13" t="n">
        <v>7.5</v>
      </c>
      <c r="EW3" s="13" t="n">
        <v>7.55</v>
      </c>
      <c r="EX3" s="13" t="n">
        <v>7.6</v>
      </c>
      <c r="EY3" s="13" t="n">
        <v>7.65</v>
      </c>
      <c r="EZ3" s="13" t="n">
        <v>7.7</v>
      </c>
      <c r="FA3" s="13" t="n">
        <v>7.75</v>
      </c>
      <c r="FB3" s="13" t="n">
        <v>7.8</v>
      </c>
      <c r="FC3" s="13" t="n">
        <v>7.85</v>
      </c>
      <c r="FD3" s="13" t="n">
        <v>7.9</v>
      </c>
      <c r="FE3" s="13" t="n">
        <v>7.95</v>
      </c>
      <c r="FF3" s="13" t="n">
        <v>8</v>
      </c>
      <c r="FG3" s="13" t="n">
        <v>8.05</v>
      </c>
      <c r="FH3" s="13" t="n">
        <v>8.1</v>
      </c>
      <c r="FI3" s="13" t="n">
        <v>8.15</v>
      </c>
      <c r="FJ3" s="13" t="n">
        <v>8.2</v>
      </c>
      <c r="FK3" s="13" t="n">
        <v>8.25</v>
      </c>
      <c r="FL3" s="13" t="n">
        <v>8.3</v>
      </c>
      <c r="FM3" s="13" t="n">
        <v>8.35</v>
      </c>
      <c r="FN3" s="13" t="n">
        <v>8.4</v>
      </c>
      <c r="FO3" s="13" t="n">
        <v>8.45</v>
      </c>
      <c r="FP3" s="13" t="n">
        <v>8.5</v>
      </c>
      <c r="FQ3" s="13" t="n">
        <v>8.55</v>
      </c>
      <c r="FR3" s="13" t="n">
        <v>8.6</v>
      </c>
      <c r="FS3" s="13" t="n">
        <v>8.65</v>
      </c>
      <c r="FT3" s="13" t="n">
        <v>8.7</v>
      </c>
      <c r="FU3" s="13" t="n">
        <v>8.75</v>
      </c>
      <c r="FV3" s="13" t="n">
        <v>8.8</v>
      </c>
      <c r="FW3" s="13" t="n">
        <v>8.85</v>
      </c>
      <c r="FX3" s="13" t="n">
        <v>8.9</v>
      </c>
      <c r="FY3" s="13" t="n">
        <v>8.95</v>
      </c>
      <c r="FZ3" s="13" t="n">
        <v>9</v>
      </c>
      <c r="GA3" s="13" t="n">
        <v>9.05</v>
      </c>
      <c r="GB3" s="13" t="n">
        <v>9.1</v>
      </c>
      <c r="GC3" s="13" t="n">
        <v>9.15</v>
      </c>
      <c r="GD3" s="13" t="n">
        <v>9.2</v>
      </c>
      <c r="GE3" s="13" t="n">
        <v>9.25</v>
      </c>
      <c r="GF3" s="13" t="n">
        <v>9.3</v>
      </c>
      <c r="GG3" s="13" t="n">
        <v>9.35</v>
      </c>
      <c r="GH3" s="13" t="n">
        <v>9.4</v>
      </c>
      <c r="GI3" s="13" t="n">
        <v>9.45</v>
      </c>
      <c r="GJ3" s="13" t="n">
        <v>9.5</v>
      </c>
      <c r="GK3" s="13" t="n">
        <v>9.55</v>
      </c>
      <c r="GL3" s="13" t="n">
        <v>9.6</v>
      </c>
      <c r="GM3" s="13" t="n">
        <v>9.65</v>
      </c>
      <c r="GN3" s="13" t="n">
        <v>9.7</v>
      </c>
      <c r="GO3" s="13" t="n">
        <v>9.75</v>
      </c>
      <c r="GP3" s="13" t="n">
        <v>9.8</v>
      </c>
      <c r="GQ3" s="13" t="n">
        <v>9.85</v>
      </c>
      <c r="GR3" s="13" t="n">
        <v>9.9</v>
      </c>
      <c r="GS3" s="13" t="n">
        <v>9.95</v>
      </c>
      <c r="GT3" s="13" t="n">
        <v>10</v>
      </c>
    </row>
    <row r="4" customFormat="false" ht="15" hidden="false" customHeight="false" outlineLevel="0" collapsed="false">
      <c r="A4" s="2" t="s">
        <v>288</v>
      </c>
      <c r="C4" s="19" t="n">
        <f aca="false">MIN(C7:C101)</f>
        <v>1.34064235655982</v>
      </c>
      <c r="D4" s="19" t="n">
        <f aca="false">MIN(D7:D101)</f>
        <v>2.56564235655982</v>
      </c>
      <c r="E4" s="19" t="n">
        <f aca="false">MIN(E7:E101)</f>
        <v>3.77169222821672</v>
      </c>
      <c r="F4" s="19" t="n">
        <f aca="false">MIN(F7:F101)</f>
        <v>4.97169222821672</v>
      </c>
      <c r="G4" s="19" t="n">
        <f aca="false">MIN(G7:G101)</f>
        <v>5.99191165649144</v>
      </c>
      <c r="H4" s="19" t="n">
        <f aca="false">MIN(H7:H101)</f>
        <v>6.71800335934156</v>
      </c>
      <c r="I4" s="19" t="n">
        <f aca="false">MIN(I7:I101)</f>
        <v>7.35</v>
      </c>
      <c r="J4" s="19" t="n">
        <f aca="false">MIN(J7:J101)</f>
        <v>7.95</v>
      </c>
      <c r="K4" s="19" t="n">
        <f aca="false">MIN(K7:K101)</f>
        <v>8.5125</v>
      </c>
      <c r="L4" s="19" t="n">
        <f aca="false">MIN(L7:L101)</f>
        <v>9.075</v>
      </c>
      <c r="M4" s="19" t="n">
        <f aca="false">MIN(M7:M101)</f>
        <v>9.6375</v>
      </c>
      <c r="N4" s="19" t="n">
        <f aca="false">MIN(N7:N101)</f>
        <v>10.1713729300076</v>
      </c>
      <c r="O4" s="19" t="n">
        <f aca="false">MIN(O7:O101)</f>
        <v>10.6713729300076</v>
      </c>
      <c r="P4" s="19" t="n">
        <f aca="false">MIN(P7:P101)</f>
        <v>11.1713729300076</v>
      </c>
      <c r="Q4" s="19" t="n">
        <f aca="false">MIN(Q7:Q101)</f>
        <v>11.6625</v>
      </c>
      <c r="R4" s="19" t="n">
        <f aca="false">MIN(R7:R101)</f>
        <v>12.15</v>
      </c>
      <c r="S4" s="19" t="n">
        <f aca="false">MIN(S7:S101)</f>
        <v>12.6375</v>
      </c>
      <c r="T4" s="19" t="n">
        <f aca="false">MIN(T7:T101)</f>
        <v>13.125</v>
      </c>
      <c r="U4" s="19" t="n">
        <f aca="false">MIN(U7:U101)</f>
        <v>13.6118571129978</v>
      </c>
      <c r="V4" s="19" t="n">
        <f aca="false">MIN(V7:V101)</f>
        <v>14.0868571129978</v>
      </c>
      <c r="W4" s="19" t="n">
        <f aca="false">MIN(W7:W101)</f>
        <v>14.5602684513063</v>
      </c>
      <c r="X4" s="19" t="n">
        <f aca="false">MIN(X7:X101)</f>
        <v>15.0115329937933</v>
      </c>
      <c r="Y4" s="19" t="n">
        <f aca="false">MIN(Y7:Y101)</f>
        <v>15.432352385306</v>
      </c>
      <c r="Z4" s="19" t="n">
        <f aca="false">MIN(Z7:Z101)</f>
        <v>15.8346595335389</v>
      </c>
      <c r="AA4" s="19" t="n">
        <f aca="false">MIN(AA7:AA101)</f>
        <v>16.1971595335389</v>
      </c>
      <c r="AB4" s="19" t="n">
        <f aca="false">MIN(AB7:AB101)</f>
        <v>16.5596595335389</v>
      </c>
      <c r="AC4" s="19" t="n">
        <f aca="false">MIN(AC7:AC101)</f>
        <v>16.9072232904365</v>
      </c>
      <c r="AD4" s="19" t="n">
        <f aca="false">MIN(AD7:AD101)</f>
        <v>17.2194116549605</v>
      </c>
      <c r="AE4" s="19" t="n">
        <f aca="false">MIN(AE7:AE101)</f>
        <v>17.5137252882772</v>
      </c>
      <c r="AF4" s="19" t="n">
        <f aca="false">MIN(AF7:AF101)</f>
        <v>17.8012252882772</v>
      </c>
      <c r="AG4" s="19" t="n">
        <f aca="false">MIN(AG7:AG101)</f>
        <v>18.0887252882772</v>
      </c>
      <c r="AH4" s="19" t="n">
        <f aca="false">MIN(AH7:AH101)</f>
        <v>18.3762252882772</v>
      </c>
      <c r="AI4" s="19" t="n">
        <f aca="false">MIN(AI7:AI101)</f>
        <v>18.6564895475586</v>
      </c>
      <c r="AJ4" s="19" t="n">
        <f aca="false">MIN(AJ7:AJ101)</f>
        <v>18.9262249091757</v>
      </c>
      <c r="AK4" s="19" t="n">
        <f aca="false">MIN(AK7:AK101)</f>
        <v>19.1886085596174</v>
      </c>
      <c r="AL4" s="19" t="n">
        <f aca="false">MIN(AL7:AL101)</f>
        <v>19.4261085596174</v>
      </c>
      <c r="AM4" s="19" t="n">
        <f aca="false">MIN(AM7:AM101)</f>
        <v>19.6636085596174</v>
      </c>
      <c r="AN4" s="19" t="n">
        <f aca="false">MIN(AN7:AN101)</f>
        <v>19.9011085596174</v>
      </c>
      <c r="AO4" s="19" t="n">
        <f aca="false">MIN(AO7:AO101)</f>
        <v>20.1386085596174</v>
      </c>
      <c r="AP4" s="19" t="n">
        <f aca="false">MIN(AP7:AP101)</f>
        <v>20.3504575918471</v>
      </c>
      <c r="AQ4" s="19" t="n">
        <f aca="false">MIN(AQ7:AQ101)</f>
        <v>20.5504575918471</v>
      </c>
      <c r="AR4" s="19" t="n">
        <f aca="false">MIN(AR7:AR101)</f>
        <v>20.7504575918471</v>
      </c>
      <c r="AS4" s="19" t="n">
        <f aca="false">MIN(AS7:AS101)</f>
        <v>20.9504575918471</v>
      </c>
      <c r="AT4" s="19" t="n">
        <f aca="false">MIN(AT7:AT101)</f>
        <v>21.1504575918471</v>
      </c>
      <c r="AU4" s="19" t="n">
        <f aca="false">MIN(AU7:AU101)</f>
        <v>21.3437766025807</v>
      </c>
      <c r="AV4" s="19" t="n">
        <f aca="false">MIN(AV7:AV101)</f>
        <v>21.5260759053114</v>
      </c>
      <c r="AW4" s="19" t="n">
        <f aca="false">MIN(AW7:AW101)</f>
        <v>21.7010759053114</v>
      </c>
      <c r="AX4" s="19" t="n">
        <f aca="false">MIN(AX7:AX101)</f>
        <v>21.8760759053114</v>
      </c>
      <c r="AY4" s="19" t="n">
        <f aca="false">MIN(AY7:AY101)</f>
        <v>22.0341240841621</v>
      </c>
      <c r="AZ4" s="19" t="n">
        <f aca="false">MIN(AZ7:AZ101)</f>
        <v>22.1841240841621</v>
      </c>
      <c r="BA4" s="19" t="n">
        <f aca="false">MIN(BA7:BA101)</f>
        <v>22.3341240841621</v>
      </c>
      <c r="BB4" s="19" t="n">
        <f aca="false">MIN(BB7:BB101)</f>
        <v>22.4841240841621</v>
      </c>
      <c r="BC4" s="19" t="n">
        <f aca="false">MIN(BC7:BC101)</f>
        <v>22.6262715171503</v>
      </c>
      <c r="BD4" s="19" t="n">
        <f aca="false">MIN(BD7:BD101)</f>
        <v>22.7637715171503</v>
      </c>
      <c r="BE4" s="19" t="n">
        <f aca="false">MIN(BE7:BE101)</f>
        <v>22.9012715171503</v>
      </c>
      <c r="BF4" s="19" t="n">
        <f aca="false">MIN(BF7:BF101)</f>
        <v>23.0387715171503</v>
      </c>
      <c r="BG4" s="19" t="n">
        <f aca="false">MIN(BG7:BG101)</f>
        <v>23.1762715171503</v>
      </c>
      <c r="BH4" s="19" t="n">
        <f aca="false">MIN(BH7:BH101)</f>
        <v>23.3137715171503</v>
      </c>
      <c r="BI4" s="19" t="n">
        <f aca="false">MIN(BI7:BI101)</f>
        <v>23.4512715171503</v>
      </c>
      <c r="BJ4" s="19" t="n">
        <f aca="false">MIN(BJ7:BJ101)</f>
        <v>23.5797179844774</v>
      </c>
      <c r="BK4" s="19" t="n">
        <f aca="false">MIN(BK7:BK101)</f>
        <v>23.7047179844774</v>
      </c>
      <c r="BL4" s="19" t="n">
        <f aca="false">MIN(BL7:BL101)</f>
        <v>23.8297179844774</v>
      </c>
      <c r="BM4" s="19" t="n">
        <f aca="false">MIN(BM7:BM101)</f>
        <v>23.9547179844774</v>
      </c>
      <c r="BN4" s="19" t="n">
        <f aca="false">MIN(BN7:BN101)</f>
        <v>24.0703759072327</v>
      </c>
      <c r="BO4" s="19" t="n">
        <f aca="false">MIN(BO7:BO101)</f>
        <v>24.1828759072327</v>
      </c>
      <c r="BP4" s="19" t="n">
        <f aca="false">MIN(BP7:BP101)</f>
        <v>24.2953759072327</v>
      </c>
      <c r="BQ4" s="19" t="n">
        <f aca="false">MIN(BQ7:BQ101)</f>
        <v>24.4078759072327</v>
      </c>
      <c r="BR4" s="19" t="n">
        <f aca="false">MIN(BR7:BR101)</f>
        <v>24.5203759072327</v>
      </c>
      <c r="BS4" s="19" t="n">
        <f aca="false">MIN(BS7:BS101)</f>
        <v>24.6328759072327</v>
      </c>
      <c r="BT4" s="19" t="n">
        <f aca="false">MIN(BT7:BT101)</f>
        <v>24.7453759072327</v>
      </c>
      <c r="BU4" s="19" t="n">
        <f aca="false">MIN(BU7:BU101)</f>
        <v>24.8578759072327</v>
      </c>
      <c r="BV4" s="19" t="n">
        <f aca="false">MIN(BV7:BV101)</f>
        <v>24.9703759072327</v>
      </c>
      <c r="BW4" s="19" t="n">
        <f aca="false">MIN(BW7:BW101)</f>
        <v>25.0828759072327</v>
      </c>
      <c r="BX4" s="19" t="n">
        <f aca="false">MIN(BX7:BX101)</f>
        <v>25.1953759072327</v>
      </c>
      <c r="BY4" s="19" t="n">
        <f aca="false">MIN(BY7:BY101)</f>
        <v>25.3078759072327</v>
      </c>
      <c r="BZ4" s="19" t="n">
        <f aca="false">MIN(BZ7:BZ101)</f>
        <v>25.4203759072327</v>
      </c>
      <c r="CA4" s="19" t="n">
        <f aca="false">MIN(CA7:CA101)</f>
        <v>25.5328759072327</v>
      </c>
      <c r="CB4" s="19" t="n">
        <f aca="false">MIN(CB7:CB101)</f>
        <v>25.6453759072327</v>
      </c>
      <c r="CC4" s="19" t="n">
        <f aca="false">MIN(CC7:CC101)</f>
        <v>25.7578759072327</v>
      </c>
      <c r="CD4" s="19" t="n">
        <f aca="false">MIN(CD7:CD101)</f>
        <v>25.8608514478064</v>
      </c>
      <c r="CE4" s="19" t="n">
        <f aca="false">MIN(CE7:CE101)</f>
        <v>25.9608514478064</v>
      </c>
      <c r="CF4" s="19" t="n">
        <f aca="false">MIN(CF7:CF101)</f>
        <v>26.0553675829439</v>
      </c>
      <c r="CG4" s="19" t="n">
        <f aca="false">MIN(CG7:CG101)</f>
        <v>26.1428675829439</v>
      </c>
      <c r="CH4" s="19" t="n">
        <f aca="false">MIN(CH7:CH101)</f>
        <v>26.2303675829439</v>
      </c>
      <c r="CI4" s="19" t="n">
        <f aca="false">MIN(CI7:CI101)</f>
        <v>26.3178675829439</v>
      </c>
      <c r="CJ4" s="19" t="n">
        <f aca="false">MIN(CJ7:CJ101)</f>
        <v>26.4053675829439</v>
      </c>
      <c r="CK4" s="19" t="n">
        <f aca="false">MIN(CK7:CK101)</f>
        <v>26.4928675829439</v>
      </c>
      <c r="CL4" s="19" t="n">
        <f aca="false">MIN(CL7:CL101)</f>
        <v>26.5803675829439</v>
      </c>
      <c r="CM4" s="19" t="n">
        <f aca="false">MIN(CM7:CM101)</f>
        <v>26.6678675829439</v>
      </c>
      <c r="CN4" s="19" t="n">
        <f aca="false">MIN(CN7:CN101)</f>
        <v>26.7553675829439</v>
      </c>
      <c r="CO4" s="19" t="n">
        <f aca="false">MIN(CO7:CO101)</f>
        <v>26.8428675829439</v>
      </c>
      <c r="CP4" s="19" t="n">
        <f aca="false">MIN(CP7:CP101)</f>
        <v>26.9303675829439</v>
      </c>
      <c r="CQ4" s="19" t="n">
        <f aca="false">MIN(CQ7:CQ101)</f>
        <v>27.0178675829439</v>
      </c>
      <c r="CR4" s="19" t="n">
        <f aca="false">MIN(CR7:CR101)</f>
        <v>27.1053675829439</v>
      </c>
      <c r="CS4" s="19" t="n">
        <f aca="false">MIN(CS7:CS101)</f>
        <v>27.1928675829439</v>
      </c>
      <c r="CT4" s="19" t="n">
        <f aca="false">MIN(CT7:CT101)</f>
        <v>27.2803675829439</v>
      </c>
      <c r="CU4" s="19" t="n">
        <f aca="false">MIN(CU7:CU101)</f>
        <v>27.3678675829439</v>
      </c>
      <c r="CV4" s="19" t="n">
        <f aca="false">MIN(CV7:CV101)</f>
        <v>27.4553675829439</v>
      </c>
      <c r="CW4" s="19" t="n">
        <f aca="false">MIN(CW7:CW101)</f>
        <v>27.5251059843978</v>
      </c>
      <c r="CX4" s="19" t="n">
        <f aca="false">MIN(CX7:CX101)</f>
        <v>27.5876059843978</v>
      </c>
      <c r="CY4" s="19" t="n">
        <f aca="false">MIN(CY7:CY101)</f>
        <v>27.6501059843978</v>
      </c>
      <c r="CZ4" s="19" t="n">
        <f aca="false">MIN(CZ7:CZ101)</f>
        <v>27.7126059843978</v>
      </c>
      <c r="DA4" s="19" t="n">
        <f aca="false">MIN(DA7:DA101)</f>
        <v>27.7751059843978</v>
      </c>
      <c r="DB4" s="19" t="n">
        <f aca="false">MIN(DB7:DB101)</f>
        <v>27.8376059843978</v>
      </c>
      <c r="DC4" s="19" t="n">
        <f aca="false">MIN(DC7:DC101)</f>
        <v>27.9001059843978</v>
      </c>
      <c r="DD4" s="19" t="n">
        <f aca="false">MIN(DD7:DD101)</f>
        <v>27.9626059843978</v>
      </c>
      <c r="DE4" s="19" t="n">
        <f aca="false">MIN(DE7:DE101)</f>
        <v>28.0251059843978</v>
      </c>
      <c r="DF4" s="19" t="n">
        <f aca="false">MIN(DF7:DF101)</f>
        <v>28.0876059843978</v>
      </c>
      <c r="DG4" s="19" t="n">
        <f aca="false">MIN(DG7:DG101)</f>
        <v>28.1501059843978</v>
      </c>
      <c r="DH4" s="19" t="n">
        <f aca="false">MIN(DH7:DH101)</f>
        <v>28.2126059843978</v>
      </c>
      <c r="DI4" s="19" t="n">
        <f aca="false">MIN(DI7:DI101)</f>
        <v>28.2751059843978</v>
      </c>
      <c r="DJ4" s="19" t="n">
        <f aca="false">MIN(DJ7:DJ101)</f>
        <v>28.3376059843978</v>
      </c>
      <c r="DK4" s="19" t="n">
        <f aca="false">MIN(DK7:DK101)</f>
        <v>28.4001059843978</v>
      </c>
      <c r="DL4" s="19" t="n">
        <f aca="false">MIN(DL7:DL101)</f>
        <v>28.4626059843978</v>
      </c>
      <c r="DM4" s="19" t="n">
        <f aca="false">MIN(DM7:DM101)</f>
        <v>28.5251059843978</v>
      </c>
      <c r="DN4" s="19" t="n">
        <f aca="false">MIN(DN7:DN101)</f>
        <v>28.5876059843978</v>
      </c>
      <c r="DO4" s="19" t="n">
        <f aca="false">MIN(DO7:DO101)</f>
        <v>28.6501059843978</v>
      </c>
      <c r="DP4" s="19" t="n">
        <f aca="false">MIN(DP7:DP101)</f>
        <v>28.7126059843978</v>
      </c>
      <c r="DQ4" s="19" t="n">
        <f aca="false">MIN(DQ7:DQ101)</f>
        <v>28.7751059843978</v>
      </c>
      <c r="DR4" s="19" t="n">
        <f aca="false">MIN(DR7:DR101)</f>
        <v>28.8376059843978</v>
      </c>
      <c r="DS4" s="19" t="n">
        <f aca="false">MIN(DS7:DS101)</f>
        <v>28.9001059843978</v>
      </c>
      <c r="DT4" s="19" t="n">
        <f aca="false">MIN(DT7:DT101)</f>
        <v>28.9626059843978</v>
      </c>
      <c r="DU4" s="19" t="n">
        <f aca="false">MIN(DU7:DU101)</f>
        <v>29.0251059843978</v>
      </c>
      <c r="DV4" s="19" t="n">
        <f aca="false">MIN(DV7:DV101)</f>
        <v>29.0876059843978</v>
      </c>
      <c r="DW4" s="19" t="n">
        <f aca="false">MIN(DW7:DW101)</f>
        <v>29.1501059843978</v>
      </c>
      <c r="DX4" s="19" t="n">
        <f aca="false">MIN(DX7:DX101)</f>
        <v>29.2126059843978</v>
      </c>
      <c r="DY4" s="19" t="n">
        <f aca="false">MIN(DY7:DY101)</f>
        <v>29.2751059843978</v>
      </c>
      <c r="DZ4" s="19" t="n">
        <f aca="false">MIN(DZ7:DZ101)</f>
        <v>29.3376059843978</v>
      </c>
      <c r="EA4" s="19" t="n">
        <f aca="false">MIN(EA7:EA101)</f>
        <v>29.4001059843978</v>
      </c>
      <c r="EB4" s="19" t="n">
        <f aca="false">MIN(EB7:EB101)</f>
        <v>29.4626059843978</v>
      </c>
      <c r="EC4" s="19" t="n">
        <f aca="false">MIN(EC7:EC101)</f>
        <v>29.5251059843978</v>
      </c>
      <c r="ED4" s="19" t="n">
        <f aca="false">MIN(ED7:ED101)</f>
        <v>29.5876059843978</v>
      </c>
      <c r="EE4" s="19" t="n">
        <f aca="false">MIN(EE7:EE101)</f>
        <v>29.6501059843978</v>
      </c>
      <c r="EF4" s="19" t="n">
        <f aca="false">MIN(EF7:EF101)</f>
        <v>29.7126059843978</v>
      </c>
      <c r="EG4" s="19" t="n">
        <f aca="false">MIN(EG7:EG101)</f>
        <v>29.7751059843978</v>
      </c>
      <c r="EH4" s="19" t="n">
        <f aca="false">MIN(EH7:EH101)</f>
        <v>29.8376059843978</v>
      </c>
      <c r="EI4" s="19" t="n">
        <f aca="false">MIN(EI7:EI101)</f>
        <v>29.9001059843978</v>
      </c>
      <c r="EJ4" s="19" t="n">
        <f aca="false">MIN(EJ7:EJ101)</f>
        <v>29.9626059843978</v>
      </c>
      <c r="EK4" s="19" t="n">
        <f aca="false">MIN(EK7:EK101)</f>
        <v>30.0251059843978</v>
      </c>
      <c r="EL4" s="19" t="n">
        <f aca="false">MIN(EL7:EL101)</f>
        <v>30.0876059843978</v>
      </c>
      <c r="EM4" s="19" t="n">
        <f aca="false">MIN(EM7:EM101)</f>
        <v>30.1393316858253</v>
      </c>
      <c r="EN4" s="19" t="n">
        <f aca="false">MIN(EN7:EN101)</f>
        <v>30.1893316858253</v>
      </c>
      <c r="EO4" s="19" t="n">
        <f aca="false">MIN(EO7:EO101)</f>
        <v>30.2393316858253</v>
      </c>
      <c r="EP4" s="19" t="n">
        <f aca="false">MIN(EP7:EP101)</f>
        <v>30.2893316858253</v>
      </c>
      <c r="EQ4" s="19" t="n">
        <f aca="false">MIN(EQ7:EQ101)</f>
        <v>30.3393316858253</v>
      </c>
      <c r="ER4" s="19" t="n">
        <f aca="false">MIN(ER7:ER101)</f>
        <v>30.3893316858253</v>
      </c>
      <c r="ES4" s="19" t="n">
        <f aca="false">MIN(ES7:ES101)</f>
        <v>30.4393316858253</v>
      </c>
      <c r="ET4" s="19" t="n">
        <f aca="false">MIN(ET7:ET101)</f>
        <v>30.4893316858253</v>
      </c>
      <c r="EU4" s="19" t="n">
        <f aca="false">MIN(EU7:EU101)</f>
        <v>30.5393316858253</v>
      </c>
      <c r="EV4" s="19" t="n">
        <f aca="false">MIN(EV7:EV101)</f>
        <v>30.5893316858253</v>
      </c>
      <c r="EW4" s="19" t="n">
        <f aca="false">MIN(EW7:EW101)</f>
        <v>30.6393316858253</v>
      </c>
      <c r="EX4" s="19" t="n">
        <f aca="false">MIN(EX7:EX101)</f>
        <v>30.6893316858253</v>
      </c>
      <c r="EY4" s="19" t="n">
        <f aca="false">MIN(EY7:EY101)</f>
        <v>30.7393316858253</v>
      </c>
      <c r="EZ4" s="19" t="n">
        <f aca="false">MIN(EZ7:EZ101)</f>
        <v>30.7893316858253</v>
      </c>
      <c r="FA4" s="19" t="n">
        <f aca="false">MIN(FA7:FA101)</f>
        <v>30.8393316858253</v>
      </c>
      <c r="FB4" s="19" t="n">
        <f aca="false">MIN(FB7:FB101)</f>
        <v>30.8893316858253</v>
      </c>
      <c r="FC4" s="19" t="n">
        <f aca="false">MIN(FC7:FC101)</f>
        <v>30.9393316858253</v>
      </c>
      <c r="FD4" s="19" t="n">
        <f aca="false">MIN(FD7:FD101)</f>
        <v>30.9893316858253</v>
      </c>
      <c r="FE4" s="19" t="n">
        <f aca="false">MIN(FE7:FE101)</f>
        <v>31.0393316858253</v>
      </c>
      <c r="FF4" s="19" t="n">
        <f aca="false">MIN(FF7:FF101)</f>
        <v>31.0893316858253</v>
      </c>
      <c r="FG4" s="19" t="n">
        <f aca="false">MIN(FG7:FG101)</f>
        <v>31.1393316858253</v>
      </c>
      <c r="FH4" s="19" t="n">
        <f aca="false">MIN(FH7:FH101)</f>
        <v>31.1893316858253</v>
      </c>
      <c r="FI4" s="19" t="n">
        <f aca="false">MIN(FI7:FI101)</f>
        <v>31.2393316858253</v>
      </c>
      <c r="FJ4" s="19" t="n">
        <f aca="false">MIN(FJ7:FJ101)</f>
        <v>31.2893316858253</v>
      </c>
      <c r="FK4" s="19" t="n">
        <f aca="false">MIN(FK7:FK101)</f>
        <v>31.3393316858253</v>
      </c>
      <c r="FL4" s="19" t="n">
        <f aca="false">MIN(FL7:FL101)</f>
        <v>31.3893316858253</v>
      </c>
      <c r="FM4" s="19" t="n">
        <f aca="false">MIN(FM7:FM101)</f>
        <v>31.4393316858253</v>
      </c>
      <c r="FN4" s="19" t="n">
        <f aca="false">MIN(FN7:FN101)</f>
        <v>31.4893316858253</v>
      </c>
      <c r="FO4" s="19" t="n">
        <f aca="false">MIN(FO7:FO101)</f>
        <v>31.5393316858253</v>
      </c>
      <c r="FP4" s="19" t="n">
        <f aca="false">MIN(FP7:FP101)</f>
        <v>31.5893316858253</v>
      </c>
      <c r="FQ4" s="19" t="n">
        <f aca="false">MIN(FQ7:FQ101)</f>
        <v>31.6393316858253</v>
      </c>
      <c r="FR4" s="19" t="n">
        <f aca="false">MIN(FR7:FR101)</f>
        <v>31.6893316858253</v>
      </c>
      <c r="FS4" s="19" t="n">
        <f aca="false">MIN(FS7:FS101)</f>
        <v>31.7393316858253</v>
      </c>
      <c r="FT4" s="19" t="n">
        <f aca="false">MIN(FT7:FT101)</f>
        <v>31.7893316858253</v>
      </c>
      <c r="FU4" s="19" t="n">
        <f aca="false">MIN(FU7:FU101)</f>
        <v>31.8393316858253</v>
      </c>
      <c r="FV4" s="19" t="n">
        <f aca="false">MIN(FV7:FV101)</f>
        <v>31.8893316858253</v>
      </c>
      <c r="FW4" s="19" t="n">
        <f aca="false">MIN(FW7:FW101)</f>
        <v>31.9393316858253</v>
      </c>
      <c r="FX4" s="19" t="n">
        <f aca="false">MIN(FX7:FX101)</f>
        <v>31.9893316858253</v>
      </c>
      <c r="FY4" s="19" t="n">
        <f aca="false">MIN(FY7:FY101)</f>
        <v>32.0393316858253</v>
      </c>
      <c r="FZ4" s="19" t="n">
        <f aca="false">MIN(FZ7:FZ101)</f>
        <v>32.0893316858253</v>
      </c>
      <c r="GA4" s="19" t="n">
        <f aca="false">MIN(GA7:GA101)</f>
        <v>32.1393316858253</v>
      </c>
      <c r="GB4" s="19" t="n">
        <f aca="false">MIN(GB7:GB101)</f>
        <v>32.1893316858253</v>
      </c>
      <c r="GC4" s="19" t="n">
        <f aca="false">MIN(GC7:GC101)</f>
        <v>32.2393316858253</v>
      </c>
      <c r="GD4" s="19" t="n">
        <f aca="false">MIN(GD7:GD101)</f>
        <v>32.2893316858253</v>
      </c>
      <c r="GE4" s="19" t="n">
        <f aca="false">MIN(GE7:GE101)</f>
        <v>32.3393316858253</v>
      </c>
      <c r="GF4" s="19" t="n">
        <f aca="false">MIN(GF7:GF101)</f>
        <v>32.3893316858253</v>
      </c>
      <c r="GG4" s="19" t="n">
        <f aca="false">MIN(GG7:GG101)</f>
        <v>32.4393316858253</v>
      </c>
      <c r="GH4" s="19" t="n">
        <f aca="false">MIN(GH7:GH101)</f>
        <v>32.4893316858253</v>
      </c>
      <c r="GI4" s="19" t="n">
        <f aca="false">MIN(GI7:GI101)</f>
        <v>32.5393316858253</v>
      </c>
      <c r="GJ4" s="19" t="n">
        <f aca="false">MIN(GJ7:GJ101)</f>
        <v>32.5893316858253</v>
      </c>
      <c r="GK4" s="19" t="n">
        <f aca="false">MIN(GK7:GK101)</f>
        <v>32.6393316858253</v>
      </c>
      <c r="GL4" s="19" t="n">
        <f aca="false">MIN(GL7:GL101)</f>
        <v>32.6893316858253</v>
      </c>
      <c r="GM4" s="19" t="n">
        <f aca="false">MIN(GM7:GM101)</f>
        <v>32.7393316858253</v>
      </c>
      <c r="GN4" s="19" t="n">
        <f aca="false">MIN(GN7:GN101)</f>
        <v>32.7893316858253</v>
      </c>
      <c r="GO4" s="19" t="n">
        <f aca="false">MIN(GO7:GO101)</f>
        <v>32.8393316858253</v>
      </c>
      <c r="GP4" s="19" t="n">
        <f aca="false">MIN(GP7:GP101)</f>
        <v>32.8893316858253</v>
      </c>
      <c r="GQ4" s="19" t="n">
        <f aca="false">MIN(GQ7:GQ101)</f>
        <v>32.9393316858253</v>
      </c>
      <c r="GR4" s="19" t="n">
        <f aca="false">MIN(GR7:GR101)</f>
        <v>32.9893316858253</v>
      </c>
      <c r="GS4" s="19" t="n">
        <f aca="false">MIN(GS7:GS101)</f>
        <v>33.0393316858253</v>
      </c>
      <c r="GT4" s="19" t="n">
        <f aca="false">MIN(GT7:GT101)</f>
        <v>33.0893316858253</v>
      </c>
    </row>
    <row r="5" customFormat="false" ht="15" hidden="false" customHeight="false" outlineLevel="0" collapsed="false">
      <c r="A5" s="2" t="s">
        <v>289</v>
      </c>
      <c r="C5" s="33" t="n">
        <f aca="false">INDEX($A$7:$A$101,MATCH(C4,C7:C101,0))</f>
        <v>0.245</v>
      </c>
      <c r="D5" s="33" t="n">
        <f aca="false">INDEX($A$7:$A$101,MATCH(D4,D7:D101,0))</f>
        <v>0.245</v>
      </c>
      <c r="E5" s="33" t="n">
        <f aca="false">INDEX($A$7:$A$101,MATCH(E4,E7:E101,0))</f>
        <v>0.24</v>
      </c>
      <c r="F5" s="33" t="n">
        <f aca="false">INDEX($A$7:$A$101,MATCH(F4,F7:F101,0))</f>
        <v>0.24</v>
      </c>
      <c r="G5" s="33" t="n">
        <f aca="false">INDEX($A$7:$A$101,MATCH(G4,G7:G101,0))</f>
        <v>0.1675</v>
      </c>
      <c r="H5" s="33" t="n">
        <f aca="false">INDEX($A$7:$A$101,MATCH(H4,H7:H101,0))</f>
        <v>0.1325</v>
      </c>
      <c r="I5" s="33" t="n">
        <f aca="false">INDEX($A$7:$A$101,MATCH(I4,I7:I101,0))</f>
        <v>0.12</v>
      </c>
      <c r="J5" s="33" t="n">
        <f aca="false">INDEX($A$7:$A$101,MATCH(J4,J7:J101,0))</f>
        <v>0.1125</v>
      </c>
      <c r="K5" s="33" t="n">
        <f aca="false">INDEX($A$7:$A$101,MATCH(K4,K7:K101,0))</f>
        <v>0.1125</v>
      </c>
      <c r="L5" s="33" t="n">
        <f aca="false">INDEX($A$7:$A$101,MATCH(L4,L7:L101,0))</f>
        <v>0.1125</v>
      </c>
      <c r="M5" s="33" t="n">
        <f aca="false">INDEX($A$7:$A$101,MATCH(M4,M7:M101,0))</f>
        <v>0.1125</v>
      </c>
      <c r="N5" s="33" t="n">
        <f aca="false">INDEX($A$7:$A$101,MATCH(N4,N7:N101,0))</f>
        <v>0.1</v>
      </c>
      <c r="O5" s="33" t="n">
        <f aca="false">INDEX($A$7:$A$101,MATCH(O4,O7:O101,0))</f>
        <v>0.1</v>
      </c>
      <c r="P5" s="33" t="n">
        <f aca="false">INDEX($A$7:$A$101,MATCH(P4,P7:P101,0))</f>
        <v>0.1</v>
      </c>
      <c r="Q5" s="33" t="n">
        <f aca="false">INDEX($A$7:$A$101,MATCH(Q4,Q7:Q101,0))</f>
        <v>0.0975</v>
      </c>
      <c r="R5" s="33" t="n">
        <f aca="false">INDEX($A$7:$A$101,MATCH(R4,R7:R101,0))</f>
        <v>0.0975</v>
      </c>
      <c r="S5" s="33" t="n">
        <f aca="false">INDEX($A$7:$A$101,MATCH(S4,S7:S101,0))</f>
        <v>0.0975</v>
      </c>
      <c r="T5" s="33" t="n">
        <f aca="false">INDEX($A$7:$A$101,MATCH(T4,T7:T101,0))</f>
        <v>0.0975</v>
      </c>
      <c r="U5" s="33" t="n">
        <f aca="false">INDEX($A$7:$A$101,MATCH(U4,U7:U101,0))</f>
        <v>0.095</v>
      </c>
      <c r="V5" s="33" t="n">
        <f aca="false">INDEX($A$7:$A$101,MATCH(V4,V7:V101,0))</f>
        <v>0.095</v>
      </c>
      <c r="W5" s="33" t="n">
        <f aca="false">INDEX($A$7:$A$101,MATCH(W4,W7:W101,0))</f>
        <v>0.0925</v>
      </c>
      <c r="X5" s="33" t="n">
        <f aca="false">INDEX($A$7:$A$101,MATCH(X4,X7:X101,0))</f>
        <v>0.09</v>
      </c>
      <c r="Y5" s="33" t="n">
        <f aca="false">INDEX($A$7:$A$101,MATCH(Y4,Y7:Y101,0))</f>
        <v>0.0825</v>
      </c>
      <c r="Z5" s="33" t="n">
        <f aca="false">INDEX($A$7:$A$101,MATCH(Z4,Z7:Z101,0))</f>
        <v>0.0725</v>
      </c>
      <c r="AA5" s="33" t="n">
        <f aca="false">INDEX($A$7:$A$101,MATCH(AA4,AA7:AA101,0))</f>
        <v>0.0725</v>
      </c>
      <c r="AB5" s="33" t="n">
        <f aca="false">INDEX($A$7:$A$101,MATCH(AB4,AB7:AB101,0))</f>
        <v>0.0725</v>
      </c>
      <c r="AC5" s="33" t="n">
        <f aca="false">INDEX($A$7:$A$101,MATCH(AC4,AC7:AC101,0))</f>
        <v>0.0675</v>
      </c>
      <c r="AD5" s="33" t="n">
        <f aca="false">INDEX($A$7:$A$101,MATCH(AD4,AD7:AD101,0))</f>
        <v>0.06</v>
      </c>
      <c r="AE5" s="33" t="n">
        <f aca="false">INDEX($A$7:$A$101,MATCH(AE4,AE7:AE101,0))</f>
        <v>0.0575</v>
      </c>
      <c r="AF5" s="33" t="n">
        <f aca="false">INDEX($A$7:$A$101,MATCH(AF4,AF7:AF101,0))</f>
        <v>0.0575</v>
      </c>
      <c r="AG5" s="33" t="n">
        <f aca="false">INDEX($A$7:$A$101,MATCH(AG4,AG7:AG101,0))</f>
        <v>0.0575</v>
      </c>
      <c r="AH5" s="33" t="n">
        <f aca="false">INDEX($A$7:$A$101,MATCH(AH4,AH7:AH101,0))</f>
        <v>0.0575</v>
      </c>
      <c r="AI5" s="33" t="n">
        <f aca="false">INDEX($A$7:$A$101,MATCH(AI4,AI7:AI101,0))</f>
        <v>0.055</v>
      </c>
      <c r="AJ5" s="33" t="n">
        <f aca="false">INDEX($A$7:$A$101,MATCH(AJ4,AJ7:AJ101,0))</f>
        <v>0.0525</v>
      </c>
      <c r="AK5" s="33" t="n">
        <f aca="false">INDEX($A$7:$A$101,MATCH(AK4,AK7:AK101,0))</f>
        <v>0.0475</v>
      </c>
      <c r="AL5" s="33" t="n">
        <f aca="false">INDEX($A$7:$A$101,MATCH(AL4,AL7:AL101,0))</f>
        <v>0.0475</v>
      </c>
      <c r="AM5" s="33" t="n">
        <f aca="false">INDEX($A$7:$A$101,MATCH(AM4,AM7:AM101,0))</f>
        <v>0.0475</v>
      </c>
      <c r="AN5" s="33" t="n">
        <f aca="false">INDEX($A$7:$A$101,MATCH(AN4,AN7:AN101,0))</f>
        <v>0.0475</v>
      </c>
      <c r="AO5" s="33" t="n">
        <f aca="false">INDEX($A$7:$A$101,MATCH(AO4,AO7:AO101,0))</f>
        <v>0.0475</v>
      </c>
      <c r="AP5" s="33" t="n">
        <f aca="false">INDEX($A$7:$A$101,MATCH(AP4,AP7:AP101,0))</f>
        <v>0.04</v>
      </c>
      <c r="AQ5" s="33" t="n">
        <f aca="false">INDEX($A$7:$A$101,MATCH(AQ4,AQ7:AQ101,0))</f>
        <v>0.04</v>
      </c>
      <c r="AR5" s="33" t="n">
        <f aca="false">INDEX($A$7:$A$101,MATCH(AR4,AR7:AR101,0))</f>
        <v>0.04</v>
      </c>
      <c r="AS5" s="33" t="n">
        <f aca="false">INDEX($A$7:$A$101,MATCH(AS4,AS7:AS101,0))</f>
        <v>0.04</v>
      </c>
      <c r="AT5" s="33" t="n">
        <f aca="false">INDEX($A$7:$A$101,MATCH(AT4,AT7:AT101,0))</f>
        <v>0.04</v>
      </c>
      <c r="AU5" s="33" t="n">
        <f aca="false">INDEX($A$7:$A$101,MATCH(AU4,AU7:AU101,0))</f>
        <v>0.0375</v>
      </c>
      <c r="AV5" s="33" t="n">
        <f aca="false">INDEX($A$7:$A$101,MATCH(AV4,AV7:AV101,0))</f>
        <v>0.035</v>
      </c>
      <c r="AW5" s="33" t="n">
        <f aca="false">INDEX($A$7:$A$101,MATCH(AW4,AW7:AW101,0))</f>
        <v>0.035</v>
      </c>
      <c r="AX5" s="33" t="n">
        <f aca="false">INDEX($A$7:$A$101,MATCH(AX4,AX7:AX101,0))</f>
        <v>0.035</v>
      </c>
      <c r="AY5" s="33" t="n">
        <f aca="false">INDEX($A$7:$A$101,MATCH(AY4,AY7:AY101,0))</f>
        <v>0.03</v>
      </c>
      <c r="AZ5" s="33" t="n">
        <f aca="false">INDEX($A$7:$A$101,MATCH(AZ4,AZ7:AZ101,0))</f>
        <v>0.03</v>
      </c>
      <c r="BA5" s="33" t="n">
        <f aca="false">INDEX($A$7:$A$101,MATCH(BA4,BA7:BA101,0))</f>
        <v>0.03</v>
      </c>
      <c r="BB5" s="33" t="n">
        <f aca="false">INDEX($A$7:$A$101,MATCH(BB4,BB7:BB101,0))</f>
        <v>0.03</v>
      </c>
      <c r="BC5" s="33" t="n">
        <f aca="false">INDEX($A$7:$A$101,MATCH(BC4,BC7:BC101,0))</f>
        <v>0.0275</v>
      </c>
      <c r="BD5" s="33" t="n">
        <f aca="false">INDEX($A$7:$A$101,MATCH(BD4,BD7:BD101,0))</f>
        <v>0.0275</v>
      </c>
      <c r="BE5" s="33" t="n">
        <f aca="false">INDEX($A$7:$A$101,MATCH(BE4,BE7:BE101,0))</f>
        <v>0.0275</v>
      </c>
      <c r="BF5" s="33" t="n">
        <f aca="false">INDEX($A$7:$A$101,MATCH(BF4,BF7:BF101,0))</f>
        <v>0.0275</v>
      </c>
      <c r="BG5" s="33" t="n">
        <f aca="false">INDEX($A$7:$A$101,MATCH(BG4,BG7:BG101,0))</f>
        <v>0.0275</v>
      </c>
      <c r="BH5" s="33" t="n">
        <f aca="false">INDEX($A$7:$A$101,MATCH(BH4,BH7:BH101,0))</f>
        <v>0.0275</v>
      </c>
      <c r="BI5" s="33" t="n">
        <f aca="false">INDEX($A$7:$A$101,MATCH(BI4,BI7:BI101,0))</f>
        <v>0.0275</v>
      </c>
      <c r="BJ5" s="33" t="n">
        <f aca="false">INDEX($A$7:$A$101,MATCH(BJ4,BJ7:BJ101,0))</f>
        <v>0.025</v>
      </c>
      <c r="BK5" s="33" t="n">
        <f aca="false">INDEX($A$7:$A$101,MATCH(BK4,BK7:BK101,0))</f>
        <v>0.025</v>
      </c>
      <c r="BL5" s="33" t="n">
        <f aca="false">INDEX($A$7:$A$101,MATCH(BL4,BL7:BL101,0))</f>
        <v>0.025</v>
      </c>
      <c r="BM5" s="33" t="n">
        <f aca="false">INDEX($A$7:$A$101,MATCH(BM4,BM7:BM101,0))</f>
        <v>0.025</v>
      </c>
      <c r="BN5" s="33" t="n">
        <f aca="false">INDEX($A$7:$A$101,MATCH(BN4,BN7:BN101,0))</f>
        <v>0.0225</v>
      </c>
      <c r="BO5" s="33" t="n">
        <f aca="false">INDEX($A$7:$A$101,MATCH(BO4,BO7:BO101,0))</f>
        <v>0.0225</v>
      </c>
      <c r="BP5" s="33" t="n">
        <f aca="false">INDEX($A$7:$A$101,MATCH(BP4,BP7:BP101,0))</f>
        <v>0.0225</v>
      </c>
      <c r="BQ5" s="33" t="n">
        <f aca="false">INDEX($A$7:$A$101,MATCH(BQ4,BQ7:BQ101,0))</f>
        <v>0.0225</v>
      </c>
      <c r="BR5" s="33" t="n">
        <f aca="false">INDEX($A$7:$A$101,MATCH(BR4,BR7:BR101,0))</f>
        <v>0.0225</v>
      </c>
      <c r="BS5" s="33" t="n">
        <f aca="false">INDEX($A$7:$A$101,MATCH(BS4,BS7:BS101,0))</f>
        <v>0.0225</v>
      </c>
      <c r="BT5" s="33" t="n">
        <f aca="false">INDEX($A$7:$A$101,MATCH(BT4,BT7:BT101,0))</f>
        <v>0.0225</v>
      </c>
      <c r="BU5" s="33" t="n">
        <f aca="false">INDEX($A$7:$A$101,MATCH(BU4,BU7:BU101,0))</f>
        <v>0.0225</v>
      </c>
      <c r="BV5" s="33" t="n">
        <f aca="false">INDEX($A$7:$A$101,MATCH(BV4,BV7:BV101,0))</f>
        <v>0.0225</v>
      </c>
      <c r="BW5" s="33" t="n">
        <f aca="false">INDEX($A$7:$A$101,MATCH(BW4,BW7:BW101,0))</f>
        <v>0.0225</v>
      </c>
      <c r="BX5" s="33" t="n">
        <f aca="false">INDEX($A$7:$A$101,MATCH(BX4,BX7:BX101,0))</f>
        <v>0.0225</v>
      </c>
      <c r="BY5" s="33" t="n">
        <f aca="false">INDEX($A$7:$A$101,MATCH(BY4,BY7:BY101,0))</f>
        <v>0.0225</v>
      </c>
      <c r="BZ5" s="33" t="n">
        <f aca="false">INDEX($A$7:$A$101,MATCH(BZ4,BZ7:BZ101,0))</f>
        <v>0.0225</v>
      </c>
      <c r="CA5" s="33" t="n">
        <f aca="false">INDEX($A$7:$A$101,MATCH(CA4,CA7:CA101,0))</f>
        <v>0.0225</v>
      </c>
      <c r="CB5" s="33" t="n">
        <f aca="false">INDEX($A$7:$A$101,MATCH(CB4,CB7:CB101,0))</f>
        <v>0.0225</v>
      </c>
      <c r="CC5" s="33" t="n">
        <f aca="false">INDEX($A$7:$A$101,MATCH(CC4,CC7:CC101,0))</f>
        <v>0.0225</v>
      </c>
      <c r="CD5" s="33" t="n">
        <f aca="false">INDEX($A$7:$A$101,MATCH(CD4,CD7:CD101,0))</f>
        <v>0.02</v>
      </c>
      <c r="CE5" s="33" t="n">
        <f aca="false">INDEX($A$7:$A$101,MATCH(CE4,CE7:CE101,0))</f>
        <v>0.02</v>
      </c>
      <c r="CF5" s="33" t="n">
        <f aca="false">INDEX($A$7:$A$101,MATCH(CF4,CF7:CF101,0))</f>
        <v>0.0175</v>
      </c>
      <c r="CG5" s="33" t="n">
        <f aca="false">INDEX($A$7:$A$101,MATCH(CG4,CG7:CG101,0))</f>
        <v>0.0175</v>
      </c>
      <c r="CH5" s="33" t="n">
        <f aca="false">INDEX($A$7:$A$101,MATCH(CH4,CH7:CH101,0))</f>
        <v>0.0175</v>
      </c>
      <c r="CI5" s="33" t="n">
        <f aca="false">INDEX($A$7:$A$101,MATCH(CI4,CI7:CI101,0))</f>
        <v>0.0175</v>
      </c>
      <c r="CJ5" s="33" t="n">
        <f aca="false">INDEX($A$7:$A$101,MATCH(CJ4,CJ7:CJ101,0))</f>
        <v>0.0175</v>
      </c>
      <c r="CK5" s="33" t="n">
        <f aca="false">INDEX($A$7:$A$101,MATCH(CK4,CK7:CK101,0))</f>
        <v>0.0175</v>
      </c>
      <c r="CL5" s="33" t="n">
        <f aca="false">INDEX($A$7:$A$101,MATCH(CL4,CL7:CL101,0))</f>
        <v>0.0175</v>
      </c>
      <c r="CM5" s="33" t="n">
        <f aca="false">INDEX($A$7:$A$101,MATCH(CM4,CM7:CM101,0))</f>
        <v>0.0175</v>
      </c>
      <c r="CN5" s="33" t="n">
        <f aca="false">INDEX($A$7:$A$101,MATCH(CN4,CN7:CN101,0))</f>
        <v>0.0175</v>
      </c>
      <c r="CO5" s="33" t="n">
        <f aca="false">INDEX($A$7:$A$101,MATCH(CO4,CO7:CO101,0))</f>
        <v>0.0175</v>
      </c>
      <c r="CP5" s="33" t="n">
        <f aca="false">INDEX($A$7:$A$101,MATCH(CP4,CP7:CP101,0))</f>
        <v>0.0175</v>
      </c>
      <c r="CQ5" s="33" t="n">
        <f aca="false">INDEX($A$7:$A$101,MATCH(CQ4,CQ7:CQ101,0))</f>
        <v>0.0175</v>
      </c>
      <c r="CR5" s="33" t="n">
        <f aca="false">INDEX($A$7:$A$101,MATCH(CR4,CR7:CR101,0))</f>
        <v>0.0175</v>
      </c>
      <c r="CS5" s="33" t="n">
        <f aca="false">INDEX($A$7:$A$101,MATCH(CS4,CS7:CS101,0))</f>
        <v>0.0175</v>
      </c>
      <c r="CT5" s="33" t="n">
        <f aca="false">INDEX($A$7:$A$101,MATCH(CT4,CT7:CT101,0))</f>
        <v>0.0175</v>
      </c>
      <c r="CU5" s="33" t="n">
        <f aca="false">INDEX($A$7:$A$101,MATCH(CU4,CU7:CU101,0))</f>
        <v>0.0175</v>
      </c>
      <c r="CV5" s="33" t="n">
        <f aca="false">INDEX($A$7:$A$101,MATCH(CV4,CV7:CV101,0))</f>
        <v>0.0175</v>
      </c>
      <c r="CW5" s="33" t="n">
        <f aca="false">INDEX($A$7:$A$101,MATCH(CW4,CW7:CW101,0))</f>
        <v>0.0125</v>
      </c>
      <c r="CX5" s="33" t="n">
        <f aca="false">INDEX($A$7:$A$101,MATCH(CX4,CX7:CX101,0))</f>
        <v>0.0125</v>
      </c>
      <c r="CY5" s="33" t="n">
        <f aca="false">INDEX($A$7:$A$101,MATCH(CY4,CY7:CY101,0))</f>
        <v>0.0125</v>
      </c>
      <c r="CZ5" s="33" t="n">
        <f aca="false">INDEX($A$7:$A$101,MATCH(CZ4,CZ7:CZ101,0))</f>
        <v>0.0125</v>
      </c>
      <c r="DA5" s="33" t="n">
        <f aca="false">INDEX($A$7:$A$101,MATCH(DA4,DA7:DA101,0))</f>
        <v>0.0125</v>
      </c>
      <c r="DB5" s="33" t="n">
        <f aca="false">INDEX($A$7:$A$101,MATCH(DB4,DB7:DB101,0))</f>
        <v>0.0125</v>
      </c>
      <c r="DC5" s="33" t="n">
        <f aca="false">INDEX($A$7:$A$101,MATCH(DC4,DC7:DC101,0))</f>
        <v>0.0125</v>
      </c>
      <c r="DD5" s="33" t="n">
        <f aca="false">INDEX($A$7:$A$101,MATCH(DD4,DD7:DD101,0))</f>
        <v>0.0125</v>
      </c>
      <c r="DE5" s="33" t="n">
        <f aca="false">INDEX($A$7:$A$101,MATCH(DE4,DE7:DE101,0))</f>
        <v>0.0125</v>
      </c>
      <c r="DF5" s="33" t="n">
        <f aca="false">INDEX($A$7:$A$101,MATCH(DF4,DF7:DF101,0))</f>
        <v>0.0125</v>
      </c>
      <c r="DG5" s="33" t="n">
        <f aca="false">INDEX($A$7:$A$101,MATCH(DG4,DG7:DG101,0))</f>
        <v>0.0125</v>
      </c>
      <c r="DH5" s="33" t="n">
        <f aca="false">INDEX($A$7:$A$101,MATCH(DH4,DH7:DH101,0))</f>
        <v>0.0125</v>
      </c>
      <c r="DI5" s="33" t="n">
        <f aca="false">INDEX($A$7:$A$101,MATCH(DI4,DI7:DI101,0))</f>
        <v>0.0125</v>
      </c>
      <c r="DJ5" s="33" t="n">
        <f aca="false">INDEX($A$7:$A$101,MATCH(DJ4,DJ7:DJ101,0))</f>
        <v>0.0125</v>
      </c>
      <c r="DK5" s="33" t="n">
        <f aca="false">INDEX($A$7:$A$101,MATCH(DK4,DK7:DK101,0))</f>
        <v>0.0125</v>
      </c>
      <c r="DL5" s="33" t="n">
        <f aca="false">INDEX($A$7:$A$101,MATCH(DL4,DL7:DL101,0))</f>
        <v>0.0125</v>
      </c>
      <c r="DM5" s="33" t="n">
        <f aca="false">INDEX($A$7:$A$101,MATCH(DM4,DM7:DM101,0))</f>
        <v>0.0125</v>
      </c>
      <c r="DN5" s="33" t="n">
        <f aca="false">INDEX($A$7:$A$101,MATCH(DN4,DN7:DN101,0))</f>
        <v>0.0125</v>
      </c>
      <c r="DO5" s="33" t="n">
        <f aca="false">INDEX($A$7:$A$101,MATCH(DO4,DO7:DO101,0))</f>
        <v>0.0125</v>
      </c>
      <c r="DP5" s="33" t="n">
        <f aca="false">INDEX($A$7:$A$101,MATCH(DP4,DP7:DP101,0))</f>
        <v>0.0125</v>
      </c>
      <c r="DQ5" s="33" t="n">
        <f aca="false">INDEX($A$7:$A$101,MATCH(DQ4,DQ7:DQ101,0))</f>
        <v>0.0125</v>
      </c>
      <c r="DR5" s="33" t="n">
        <f aca="false">INDEX($A$7:$A$101,MATCH(DR4,DR7:DR101,0))</f>
        <v>0.0125</v>
      </c>
      <c r="DS5" s="33" t="n">
        <f aca="false">INDEX($A$7:$A$101,MATCH(DS4,DS7:DS101,0))</f>
        <v>0.0125</v>
      </c>
      <c r="DT5" s="33" t="n">
        <f aca="false">INDEX($A$7:$A$101,MATCH(DT4,DT7:DT101,0))</f>
        <v>0.0125</v>
      </c>
      <c r="DU5" s="33" t="n">
        <f aca="false">INDEX($A$7:$A$101,MATCH(DU4,DU7:DU101,0))</f>
        <v>0.0125</v>
      </c>
      <c r="DV5" s="33" t="n">
        <f aca="false">INDEX($A$7:$A$101,MATCH(DV4,DV7:DV101,0))</f>
        <v>0.0125</v>
      </c>
      <c r="DW5" s="33" t="n">
        <f aca="false">INDEX($A$7:$A$101,MATCH(DW4,DW7:DW101,0))</f>
        <v>0.0125</v>
      </c>
      <c r="DX5" s="33" t="n">
        <f aca="false">INDEX($A$7:$A$101,MATCH(DX4,DX7:DX101,0))</f>
        <v>0.0125</v>
      </c>
      <c r="DY5" s="33" t="n">
        <f aca="false">INDEX($A$7:$A$101,MATCH(DY4,DY7:DY101,0))</f>
        <v>0.0125</v>
      </c>
      <c r="DZ5" s="33" t="n">
        <f aca="false">INDEX($A$7:$A$101,MATCH(DZ4,DZ7:DZ101,0))</f>
        <v>0.0125</v>
      </c>
      <c r="EA5" s="33" t="n">
        <f aca="false">INDEX($A$7:$A$101,MATCH(EA4,EA7:EA101,0))</f>
        <v>0.0125</v>
      </c>
      <c r="EB5" s="33" t="n">
        <f aca="false">INDEX($A$7:$A$101,MATCH(EB4,EB7:EB101,0))</f>
        <v>0.0125</v>
      </c>
      <c r="EC5" s="33" t="n">
        <f aca="false">INDEX($A$7:$A$101,MATCH(EC4,EC7:EC101,0))</f>
        <v>0.0125</v>
      </c>
      <c r="ED5" s="33" t="n">
        <f aca="false">INDEX($A$7:$A$101,MATCH(ED4,ED7:ED101,0))</f>
        <v>0.0125</v>
      </c>
      <c r="EE5" s="33" t="n">
        <f aca="false">INDEX($A$7:$A$101,MATCH(EE4,EE7:EE101,0))</f>
        <v>0.0125</v>
      </c>
      <c r="EF5" s="33" t="n">
        <f aca="false">INDEX($A$7:$A$101,MATCH(EF4,EF7:EF101,0))</f>
        <v>0.0125</v>
      </c>
      <c r="EG5" s="33" t="n">
        <f aca="false">INDEX($A$7:$A$101,MATCH(EG4,EG7:EG101,0))</f>
        <v>0.0125</v>
      </c>
      <c r="EH5" s="33" t="n">
        <f aca="false">INDEX($A$7:$A$101,MATCH(EH4,EH7:EH101,0))</f>
        <v>0.0125</v>
      </c>
      <c r="EI5" s="33" t="n">
        <f aca="false">INDEX($A$7:$A$101,MATCH(EI4,EI7:EI101,0))</f>
        <v>0.0125</v>
      </c>
      <c r="EJ5" s="33" t="n">
        <f aca="false">INDEX($A$7:$A$101,MATCH(EJ4,EJ7:EJ101,0))</f>
        <v>0.0125</v>
      </c>
      <c r="EK5" s="33" t="n">
        <f aca="false">INDEX($A$7:$A$101,MATCH(EK4,EK7:EK101,0))</f>
        <v>0.0125</v>
      </c>
      <c r="EL5" s="33" t="n">
        <f aca="false">INDEX($A$7:$A$101,MATCH(EL4,EL7:EL101,0))</f>
        <v>0.0125</v>
      </c>
      <c r="EM5" s="33" t="n">
        <f aca="false">INDEX($A$7:$A$101,MATCH(EM4,EM7:EM101,0))</f>
        <v>0.01</v>
      </c>
      <c r="EN5" s="33" t="n">
        <f aca="false">INDEX($A$7:$A$101,MATCH(EN4,EN7:EN101,0))</f>
        <v>0.01</v>
      </c>
      <c r="EO5" s="33" t="n">
        <f aca="false">INDEX($A$7:$A$101,MATCH(EO4,EO7:EO101,0))</f>
        <v>0.01</v>
      </c>
      <c r="EP5" s="33" t="n">
        <f aca="false">INDEX($A$7:$A$101,MATCH(EP4,EP7:EP101,0))</f>
        <v>0.01</v>
      </c>
      <c r="EQ5" s="33" t="n">
        <f aca="false">INDEX($A$7:$A$101,MATCH(EQ4,EQ7:EQ101,0))</f>
        <v>0.01</v>
      </c>
      <c r="ER5" s="33" t="n">
        <f aca="false">INDEX($A$7:$A$101,MATCH(ER4,ER7:ER101,0))</f>
        <v>0.01</v>
      </c>
      <c r="ES5" s="33" t="n">
        <f aca="false">INDEX($A$7:$A$101,MATCH(ES4,ES7:ES101,0))</f>
        <v>0.01</v>
      </c>
      <c r="ET5" s="33" t="n">
        <f aca="false">INDEX($A$7:$A$101,MATCH(ET4,ET7:ET101,0))</f>
        <v>0.01</v>
      </c>
      <c r="EU5" s="33" t="n">
        <f aca="false">INDEX($A$7:$A$101,MATCH(EU4,EU7:EU101,0))</f>
        <v>0.01</v>
      </c>
      <c r="EV5" s="33" t="n">
        <f aca="false">INDEX($A$7:$A$101,MATCH(EV4,EV7:EV101,0))</f>
        <v>0.01</v>
      </c>
      <c r="EW5" s="33" t="n">
        <f aca="false">INDEX($A$7:$A$101,MATCH(EW4,EW7:EW101,0))</f>
        <v>0.01</v>
      </c>
      <c r="EX5" s="33" t="n">
        <f aca="false">INDEX($A$7:$A$101,MATCH(EX4,EX7:EX101,0))</f>
        <v>0.01</v>
      </c>
      <c r="EY5" s="33" t="n">
        <f aca="false">INDEX($A$7:$A$101,MATCH(EY4,EY7:EY101,0))</f>
        <v>0.01</v>
      </c>
      <c r="EZ5" s="33" t="n">
        <f aca="false">INDEX($A$7:$A$101,MATCH(EZ4,EZ7:EZ101,0))</f>
        <v>0.01</v>
      </c>
      <c r="FA5" s="33" t="n">
        <f aca="false">INDEX($A$7:$A$101,MATCH(FA4,FA7:FA101,0))</f>
        <v>0.01</v>
      </c>
      <c r="FB5" s="33" t="n">
        <f aca="false">INDEX($A$7:$A$101,MATCH(FB4,FB7:FB101,0))</f>
        <v>0.01</v>
      </c>
      <c r="FC5" s="33" t="n">
        <f aca="false">INDEX($A$7:$A$101,MATCH(FC4,FC7:FC101,0))</f>
        <v>0.01</v>
      </c>
      <c r="FD5" s="33" t="n">
        <f aca="false">INDEX($A$7:$A$101,MATCH(FD4,FD7:FD101,0))</f>
        <v>0.01</v>
      </c>
      <c r="FE5" s="33" t="n">
        <f aca="false">INDEX($A$7:$A$101,MATCH(FE4,FE7:FE101,0))</f>
        <v>0.01</v>
      </c>
      <c r="FF5" s="33" t="n">
        <f aca="false">INDEX($A$7:$A$101,MATCH(FF4,FF7:FF101,0))</f>
        <v>0.01</v>
      </c>
      <c r="FG5" s="33" t="n">
        <f aca="false">INDEX($A$7:$A$101,MATCH(FG4,FG7:FG101,0))</f>
        <v>0.01</v>
      </c>
      <c r="FH5" s="33" t="n">
        <f aca="false">INDEX($A$7:$A$101,MATCH(FH4,FH7:FH101,0))</f>
        <v>0.01</v>
      </c>
      <c r="FI5" s="33" t="n">
        <f aca="false">INDEX($A$7:$A$101,MATCH(FI4,FI7:FI101,0))</f>
        <v>0.01</v>
      </c>
      <c r="FJ5" s="33" t="n">
        <f aca="false">INDEX($A$7:$A$101,MATCH(FJ4,FJ7:FJ101,0))</f>
        <v>0.01</v>
      </c>
      <c r="FK5" s="33" t="n">
        <f aca="false">INDEX($A$7:$A$101,MATCH(FK4,FK7:FK101,0))</f>
        <v>0.01</v>
      </c>
      <c r="FL5" s="33" t="n">
        <f aca="false">INDEX($A$7:$A$101,MATCH(FL4,FL7:FL101,0))</f>
        <v>0.01</v>
      </c>
      <c r="FM5" s="33" t="n">
        <f aca="false">INDEX($A$7:$A$101,MATCH(FM4,FM7:FM101,0))</f>
        <v>0.01</v>
      </c>
      <c r="FN5" s="33" t="n">
        <f aca="false">INDEX($A$7:$A$101,MATCH(FN4,FN7:FN101,0))</f>
        <v>0.01</v>
      </c>
      <c r="FO5" s="33" t="n">
        <f aca="false">INDEX($A$7:$A$101,MATCH(FO4,FO7:FO101,0))</f>
        <v>0.01</v>
      </c>
      <c r="FP5" s="33" t="n">
        <f aca="false">INDEX($A$7:$A$101,MATCH(FP4,FP7:FP101,0))</f>
        <v>0.01</v>
      </c>
      <c r="FQ5" s="33" t="n">
        <f aca="false">INDEX($A$7:$A$101,MATCH(FQ4,FQ7:FQ101,0))</f>
        <v>0.01</v>
      </c>
      <c r="FR5" s="33" t="n">
        <f aca="false">INDEX($A$7:$A$101,MATCH(FR4,FR7:FR101,0))</f>
        <v>0.01</v>
      </c>
      <c r="FS5" s="33" t="n">
        <f aca="false">INDEX($A$7:$A$101,MATCH(FS4,FS7:FS101,0))</f>
        <v>0.01</v>
      </c>
      <c r="FT5" s="33" t="n">
        <f aca="false">INDEX($A$7:$A$101,MATCH(FT4,FT7:FT101,0))</f>
        <v>0.01</v>
      </c>
      <c r="FU5" s="33" t="n">
        <f aca="false">INDEX($A$7:$A$101,MATCH(FU4,FU7:FU101,0))</f>
        <v>0.01</v>
      </c>
      <c r="FV5" s="33" t="n">
        <f aca="false">INDEX($A$7:$A$101,MATCH(FV4,FV7:FV101,0))</f>
        <v>0.01</v>
      </c>
      <c r="FW5" s="33" t="n">
        <f aca="false">INDEX($A$7:$A$101,MATCH(FW4,FW7:FW101,0))</f>
        <v>0.01</v>
      </c>
      <c r="FX5" s="33" t="n">
        <f aca="false">INDEX($A$7:$A$101,MATCH(FX4,FX7:FX101,0))</f>
        <v>0.01</v>
      </c>
      <c r="FY5" s="33" t="n">
        <f aca="false">INDEX($A$7:$A$101,MATCH(FY4,FY7:FY101,0))</f>
        <v>0.01</v>
      </c>
      <c r="FZ5" s="33" t="n">
        <f aca="false">INDEX($A$7:$A$101,MATCH(FZ4,FZ7:FZ101,0))</f>
        <v>0.01</v>
      </c>
      <c r="GA5" s="33" t="n">
        <f aca="false">INDEX($A$7:$A$101,MATCH(GA4,GA7:GA101,0))</f>
        <v>0.01</v>
      </c>
      <c r="GB5" s="33" t="n">
        <f aca="false">INDEX($A$7:$A$101,MATCH(GB4,GB7:GB101,0))</f>
        <v>0.01</v>
      </c>
      <c r="GC5" s="33" t="n">
        <f aca="false">INDEX($A$7:$A$101,MATCH(GC4,GC7:GC101,0))</f>
        <v>0.01</v>
      </c>
      <c r="GD5" s="33" t="n">
        <f aca="false">INDEX($A$7:$A$101,MATCH(GD4,GD7:GD101,0))</f>
        <v>0.01</v>
      </c>
      <c r="GE5" s="33" t="n">
        <f aca="false">INDEX($A$7:$A$101,MATCH(GE4,GE7:GE101,0))</f>
        <v>0.01</v>
      </c>
      <c r="GF5" s="33" t="n">
        <f aca="false">INDEX($A$7:$A$101,MATCH(GF4,GF7:GF101,0))</f>
        <v>0.01</v>
      </c>
      <c r="GG5" s="33" t="n">
        <f aca="false">INDEX($A$7:$A$101,MATCH(GG4,GG7:GG101,0))</f>
        <v>0.01</v>
      </c>
      <c r="GH5" s="33" t="n">
        <f aca="false">INDEX($A$7:$A$101,MATCH(GH4,GH7:GH101,0))</f>
        <v>0.01</v>
      </c>
      <c r="GI5" s="33" t="n">
        <f aca="false">INDEX($A$7:$A$101,MATCH(GI4,GI7:GI101,0))</f>
        <v>0.01</v>
      </c>
      <c r="GJ5" s="33" t="n">
        <f aca="false">INDEX($A$7:$A$101,MATCH(GJ4,GJ7:GJ101,0))</f>
        <v>0.01</v>
      </c>
      <c r="GK5" s="33" t="n">
        <f aca="false">INDEX($A$7:$A$101,MATCH(GK4,GK7:GK101,0))</f>
        <v>0.01</v>
      </c>
      <c r="GL5" s="33" t="n">
        <f aca="false">INDEX($A$7:$A$101,MATCH(GL4,GL7:GL101,0))</f>
        <v>0.01</v>
      </c>
      <c r="GM5" s="33" t="n">
        <f aca="false">INDEX($A$7:$A$101,MATCH(GM4,GM7:GM101,0))</f>
        <v>0.01</v>
      </c>
      <c r="GN5" s="33" t="n">
        <f aca="false">INDEX($A$7:$A$101,MATCH(GN4,GN7:GN101,0))</f>
        <v>0.01</v>
      </c>
      <c r="GO5" s="33" t="n">
        <f aca="false">INDEX($A$7:$A$101,MATCH(GO4,GO7:GO101,0))</f>
        <v>0.01</v>
      </c>
      <c r="GP5" s="33" t="n">
        <f aca="false">INDEX($A$7:$A$101,MATCH(GP4,GP7:GP101,0))</f>
        <v>0.01</v>
      </c>
      <c r="GQ5" s="33" t="n">
        <f aca="false">INDEX($A$7:$A$101,MATCH(GQ4,GQ7:GQ101,0))</f>
        <v>0.01</v>
      </c>
      <c r="GR5" s="33" t="n">
        <f aca="false">INDEX($A$7:$A$101,MATCH(GR4,GR7:GR101,0))</f>
        <v>0.01</v>
      </c>
      <c r="GS5" s="33" t="n">
        <f aca="false">INDEX($A$7:$A$101,MATCH(GS4,GS7:GS101,0))</f>
        <v>0.01</v>
      </c>
      <c r="GT5" s="33" t="n">
        <f aca="false">INDEX($A$7:$A$101,MATCH(GT4,GT7:GT101,0))</f>
        <v>0.01</v>
      </c>
    </row>
    <row r="6" customFormat="false" ht="23.85" hidden="false" customHeight="false" outlineLevel="0" collapsed="false">
      <c r="A6" s="8" t="s">
        <v>61</v>
      </c>
      <c r="B6" s="8" t="s">
        <v>150</v>
      </c>
      <c r="C6" s="8" t="s">
        <v>290</v>
      </c>
      <c r="D6" s="8" t="s">
        <v>291</v>
      </c>
      <c r="E6" s="8" t="s">
        <v>292</v>
      </c>
      <c r="F6" s="8" t="s">
        <v>293</v>
      </c>
      <c r="G6" s="8" t="s">
        <v>294</v>
      </c>
      <c r="H6" s="8" t="s">
        <v>295</v>
      </c>
      <c r="I6" s="8" t="s">
        <v>296</v>
      </c>
      <c r="J6" s="8" t="s">
        <v>297</v>
      </c>
      <c r="K6" s="8" t="s">
        <v>298</v>
      </c>
      <c r="L6" s="8" t="s">
        <v>299</v>
      </c>
      <c r="M6" s="8" t="s">
        <v>300</v>
      </c>
      <c r="N6" s="8" t="s">
        <v>301</v>
      </c>
      <c r="O6" s="8" t="s">
        <v>302</v>
      </c>
      <c r="P6" s="8" t="s">
        <v>303</v>
      </c>
      <c r="Q6" s="8" t="s">
        <v>304</v>
      </c>
      <c r="R6" s="8" t="s">
        <v>305</v>
      </c>
      <c r="S6" s="8" t="s">
        <v>306</v>
      </c>
      <c r="T6" s="8" t="s">
        <v>307</v>
      </c>
      <c r="U6" s="8" t="s">
        <v>308</v>
      </c>
      <c r="V6" s="8" t="s">
        <v>309</v>
      </c>
      <c r="W6" s="8" t="s">
        <v>310</v>
      </c>
      <c r="X6" s="8" t="s">
        <v>311</v>
      </c>
      <c r="Y6" s="8" t="s">
        <v>312</v>
      </c>
      <c r="Z6" s="8" t="s">
        <v>313</v>
      </c>
      <c r="AA6" s="8" t="s">
        <v>314</v>
      </c>
      <c r="AB6" s="8" t="s">
        <v>315</v>
      </c>
      <c r="AC6" s="8" t="s">
        <v>316</v>
      </c>
      <c r="AD6" s="8" t="s">
        <v>317</v>
      </c>
      <c r="AE6" s="8" t="s">
        <v>318</v>
      </c>
      <c r="AF6" s="8" t="s">
        <v>319</v>
      </c>
      <c r="AG6" s="8" t="s">
        <v>320</v>
      </c>
      <c r="AH6" s="8" t="s">
        <v>321</v>
      </c>
      <c r="AI6" s="8" t="s">
        <v>322</v>
      </c>
      <c r="AJ6" s="8" t="s">
        <v>323</v>
      </c>
      <c r="AK6" s="8" t="s">
        <v>324</v>
      </c>
      <c r="AL6" s="8" t="s">
        <v>325</v>
      </c>
      <c r="AM6" s="8" t="s">
        <v>326</v>
      </c>
      <c r="AN6" s="8" t="s">
        <v>327</v>
      </c>
      <c r="AO6" s="8" t="s">
        <v>328</v>
      </c>
      <c r="AP6" s="8" t="s">
        <v>329</v>
      </c>
      <c r="AQ6" s="8" t="s">
        <v>330</v>
      </c>
      <c r="AR6" s="8" t="s">
        <v>331</v>
      </c>
      <c r="AS6" s="8" t="s">
        <v>332</v>
      </c>
      <c r="AT6" s="8" t="s">
        <v>333</v>
      </c>
      <c r="AU6" s="8" t="s">
        <v>334</v>
      </c>
      <c r="AV6" s="8" t="s">
        <v>335</v>
      </c>
      <c r="AW6" s="8" t="s">
        <v>336</v>
      </c>
      <c r="AX6" s="8" t="s">
        <v>337</v>
      </c>
      <c r="AY6" s="8" t="s">
        <v>338</v>
      </c>
      <c r="AZ6" s="8" t="s">
        <v>339</v>
      </c>
      <c r="BA6" s="8" t="s">
        <v>340</v>
      </c>
      <c r="BB6" s="8" t="s">
        <v>341</v>
      </c>
      <c r="BC6" s="8" t="s">
        <v>342</v>
      </c>
      <c r="BD6" s="8" t="s">
        <v>343</v>
      </c>
      <c r="BE6" s="8" t="s">
        <v>344</v>
      </c>
      <c r="BF6" s="8" t="s">
        <v>345</v>
      </c>
      <c r="BG6" s="8" t="s">
        <v>346</v>
      </c>
      <c r="BH6" s="8" t="s">
        <v>347</v>
      </c>
      <c r="BI6" s="8" t="s">
        <v>348</v>
      </c>
      <c r="BJ6" s="8" t="s">
        <v>349</v>
      </c>
      <c r="BK6" s="8" t="s">
        <v>350</v>
      </c>
      <c r="BL6" s="8" t="s">
        <v>351</v>
      </c>
      <c r="BM6" s="8" t="s">
        <v>352</v>
      </c>
      <c r="BN6" s="8" t="s">
        <v>353</v>
      </c>
      <c r="BO6" s="8" t="s">
        <v>354</v>
      </c>
      <c r="BP6" s="8" t="s">
        <v>355</v>
      </c>
      <c r="BQ6" s="8" t="s">
        <v>356</v>
      </c>
      <c r="BR6" s="8" t="s">
        <v>357</v>
      </c>
      <c r="BS6" s="8" t="s">
        <v>358</v>
      </c>
      <c r="BT6" s="8" t="s">
        <v>359</v>
      </c>
      <c r="BU6" s="8" t="s">
        <v>360</v>
      </c>
      <c r="BV6" s="8" t="s">
        <v>361</v>
      </c>
      <c r="BW6" s="8" t="s">
        <v>362</v>
      </c>
      <c r="BX6" s="8" t="s">
        <v>363</v>
      </c>
      <c r="BY6" s="8" t="s">
        <v>364</v>
      </c>
      <c r="BZ6" s="8" t="s">
        <v>365</v>
      </c>
      <c r="CA6" s="8" t="s">
        <v>366</v>
      </c>
      <c r="CB6" s="8" t="s">
        <v>367</v>
      </c>
      <c r="CC6" s="8" t="s">
        <v>368</v>
      </c>
      <c r="CD6" s="8" t="s">
        <v>369</v>
      </c>
      <c r="CE6" s="8" t="s">
        <v>370</v>
      </c>
      <c r="CF6" s="8" t="s">
        <v>371</v>
      </c>
      <c r="CG6" s="8" t="s">
        <v>372</v>
      </c>
      <c r="CH6" s="8" t="s">
        <v>373</v>
      </c>
      <c r="CI6" s="8" t="s">
        <v>374</v>
      </c>
      <c r="CJ6" s="8" t="s">
        <v>375</v>
      </c>
      <c r="CK6" s="8" t="s">
        <v>376</v>
      </c>
      <c r="CL6" s="8" t="s">
        <v>377</v>
      </c>
      <c r="CM6" s="8" t="s">
        <v>378</v>
      </c>
      <c r="CN6" s="8" t="s">
        <v>379</v>
      </c>
      <c r="CO6" s="8" t="s">
        <v>380</v>
      </c>
      <c r="CP6" s="8" t="s">
        <v>381</v>
      </c>
      <c r="CQ6" s="8" t="s">
        <v>382</v>
      </c>
      <c r="CR6" s="8" t="s">
        <v>383</v>
      </c>
      <c r="CS6" s="8" t="s">
        <v>384</v>
      </c>
      <c r="CT6" s="8" t="s">
        <v>385</v>
      </c>
      <c r="CU6" s="8" t="s">
        <v>386</v>
      </c>
      <c r="CV6" s="8" t="s">
        <v>387</v>
      </c>
      <c r="CW6" s="8" t="s">
        <v>388</v>
      </c>
      <c r="CX6" s="8" t="s">
        <v>389</v>
      </c>
      <c r="CY6" s="8" t="s">
        <v>390</v>
      </c>
      <c r="CZ6" s="8" t="s">
        <v>391</v>
      </c>
      <c r="DA6" s="8" t="s">
        <v>392</v>
      </c>
      <c r="DB6" s="8" t="s">
        <v>393</v>
      </c>
      <c r="DC6" s="8" t="s">
        <v>394</v>
      </c>
      <c r="DD6" s="8" t="s">
        <v>395</v>
      </c>
      <c r="DE6" s="8" t="s">
        <v>396</v>
      </c>
      <c r="DF6" s="8" t="s">
        <v>397</v>
      </c>
      <c r="DG6" s="8" t="s">
        <v>398</v>
      </c>
      <c r="DH6" s="8" t="s">
        <v>399</v>
      </c>
      <c r="DI6" s="8" t="s">
        <v>400</v>
      </c>
      <c r="DJ6" s="8" t="s">
        <v>401</v>
      </c>
      <c r="DK6" s="8" t="s">
        <v>402</v>
      </c>
      <c r="DL6" s="8" t="s">
        <v>403</v>
      </c>
      <c r="DM6" s="8" t="s">
        <v>404</v>
      </c>
      <c r="DN6" s="8" t="s">
        <v>405</v>
      </c>
      <c r="DO6" s="8" t="s">
        <v>406</v>
      </c>
      <c r="DP6" s="8" t="s">
        <v>407</v>
      </c>
      <c r="DQ6" s="8" t="s">
        <v>408</v>
      </c>
      <c r="DR6" s="8" t="s">
        <v>409</v>
      </c>
      <c r="DS6" s="8" t="s">
        <v>410</v>
      </c>
      <c r="DT6" s="8" t="s">
        <v>411</v>
      </c>
      <c r="DU6" s="8" t="s">
        <v>412</v>
      </c>
      <c r="DV6" s="8" t="s">
        <v>413</v>
      </c>
      <c r="DW6" s="8" t="s">
        <v>414</v>
      </c>
      <c r="DX6" s="8" t="s">
        <v>415</v>
      </c>
      <c r="DY6" s="8" t="s">
        <v>416</v>
      </c>
      <c r="DZ6" s="8" t="s">
        <v>417</v>
      </c>
      <c r="EA6" s="8" t="s">
        <v>418</v>
      </c>
      <c r="EB6" s="8" t="s">
        <v>419</v>
      </c>
      <c r="EC6" s="8" t="s">
        <v>420</v>
      </c>
      <c r="ED6" s="8" t="s">
        <v>421</v>
      </c>
      <c r="EE6" s="8" t="s">
        <v>422</v>
      </c>
      <c r="EF6" s="8" t="s">
        <v>423</v>
      </c>
      <c r="EG6" s="8" t="s">
        <v>424</v>
      </c>
      <c r="EH6" s="8" t="s">
        <v>425</v>
      </c>
      <c r="EI6" s="8" t="s">
        <v>426</v>
      </c>
      <c r="EJ6" s="8" t="s">
        <v>427</v>
      </c>
      <c r="EK6" s="8" t="s">
        <v>428</v>
      </c>
      <c r="EL6" s="8" t="s">
        <v>429</v>
      </c>
      <c r="EM6" s="8" t="s">
        <v>430</v>
      </c>
      <c r="EN6" s="8" t="s">
        <v>431</v>
      </c>
      <c r="EO6" s="8" t="s">
        <v>432</v>
      </c>
      <c r="EP6" s="8" t="s">
        <v>433</v>
      </c>
      <c r="EQ6" s="8" t="s">
        <v>434</v>
      </c>
      <c r="ER6" s="8" t="s">
        <v>435</v>
      </c>
      <c r="ES6" s="8" t="s">
        <v>436</v>
      </c>
      <c r="ET6" s="8" t="s">
        <v>437</v>
      </c>
      <c r="EU6" s="8" t="s">
        <v>438</v>
      </c>
      <c r="EV6" s="8" t="s">
        <v>439</v>
      </c>
      <c r="EW6" s="8" t="s">
        <v>440</v>
      </c>
      <c r="EX6" s="8" t="s">
        <v>441</v>
      </c>
      <c r="EY6" s="8" t="s">
        <v>442</v>
      </c>
      <c r="EZ6" s="8" t="s">
        <v>443</v>
      </c>
      <c r="FA6" s="8" t="s">
        <v>444</v>
      </c>
      <c r="FB6" s="8" t="s">
        <v>445</v>
      </c>
      <c r="FC6" s="8" t="s">
        <v>446</v>
      </c>
      <c r="FD6" s="8" t="s">
        <v>447</v>
      </c>
      <c r="FE6" s="8" t="s">
        <v>448</v>
      </c>
      <c r="FF6" s="8" t="s">
        <v>449</v>
      </c>
      <c r="FG6" s="8" t="s">
        <v>450</v>
      </c>
      <c r="FH6" s="8" t="s">
        <v>451</v>
      </c>
      <c r="FI6" s="8" t="s">
        <v>452</v>
      </c>
      <c r="FJ6" s="8" t="s">
        <v>453</v>
      </c>
      <c r="FK6" s="8" t="s">
        <v>454</v>
      </c>
      <c r="FL6" s="8" t="s">
        <v>455</v>
      </c>
      <c r="FM6" s="8" t="s">
        <v>456</v>
      </c>
      <c r="FN6" s="8" t="s">
        <v>457</v>
      </c>
      <c r="FO6" s="8" t="s">
        <v>458</v>
      </c>
      <c r="FP6" s="8" t="s">
        <v>459</v>
      </c>
      <c r="FQ6" s="8" t="s">
        <v>460</v>
      </c>
      <c r="FR6" s="8" t="s">
        <v>461</v>
      </c>
      <c r="FS6" s="8" t="s">
        <v>462</v>
      </c>
      <c r="FT6" s="8" t="s">
        <v>463</v>
      </c>
      <c r="FU6" s="8" t="s">
        <v>464</v>
      </c>
      <c r="FV6" s="8" t="s">
        <v>465</v>
      </c>
      <c r="FW6" s="8" t="s">
        <v>466</v>
      </c>
      <c r="FX6" s="8" t="s">
        <v>467</v>
      </c>
      <c r="FY6" s="8" t="s">
        <v>468</v>
      </c>
      <c r="FZ6" s="8" t="s">
        <v>469</v>
      </c>
      <c r="GA6" s="8" t="s">
        <v>470</v>
      </c>
      <c r="GB6" s="8" t="s">
        <v>471</v>
      </c>
      <c r="GC6" s="8" t="s">
        <v>472</v>
      </c>
      <c r="GD6" s="8" t="s">
        <v>473</v>
      </c>
      <c r="GE6" s="8" t="s">
        <v>474</v>
      </c>
      <c r="GF6" s="8" t="s">
        <v>475</v>
      </c>
      <c r="GG6" s="8" t="s">
        <v>476</v>
      </c>
      <c r="GH6" s="8" t="s">
        <v>477</v>
      </c>
      <c r="GI6" s="8" t="s">
        <v>478</v>
      </c>
      <c r="GJ6" s="8" t="s">
        <v>479</v>
      </c>
      <c r="GK6" s="8" t="s">
        <v>480</v>
      </c>
      <c r="GL6" s="8" t="s">
        <v>481</v>
      </c>
      <c r="GM6" s="8" t="s">
        <v>482</v>
      </c>
      <c r="GN6" s="8" t="s">
        <v>483</v>
      </c>
      <c r="GO6" s="8" t="s">
        <v>484</v>
      </c>
      <c r="GP6" s="8" t="s">
        <v>485</v>
      </c>
      <c r="GQ6" s="8" t="s">
        <v>486</v>
      </c>
      <c r="GR6" s="8" t="s">
        <v>487</v>
      </c>
      <c r="GS6" s="8" t="s">
        <v>488</v>
      </c>
      <c r="GT6" s="8" t="s">
        <v>489</v>
      </c>
    </row>
    <row r="7" customFormat="false" ht="15" hidden="false" customHeight="false" outlineLevel="0" collapsed="false">
      <c r="A7" s="26" t="n">
        <f aca="false">Frontier!A5</f>
        <v>0.01</v>
      </c>
      <c r="B7" s="34" t="n">
        <f aca="false">Frontier!B5</f>
        <v>23.0893316858253</v>
      </c>
      <c r="C7" s="19" t="n">
        <f aca="false">$B7+C$3*100*$A7</f>
        <v>23.1393316858253</v>
      </c>
      <c r="D7" s="19" t="n">
        <f aca="false">$B7+D$3*100*$A7</f>
        <v>23.1893316858253</v>
      </c>
      <c r="E7" s="19" t="n">
        <f aca="false">$B7+E$3*100*$A7</f>
        <v>23.2393316858253</v>
      </c>
      <c r="F7" s="19" t="n">
        <f aca="false">$B7+F$3*100*$A7</f>
        <v>23.2893316858253</v>
      </c>
      <c r="G7" s="19" t="n">
        <f aca="false">$B7+G$3*100*$A7</f>
        <v>23.3393316858253</v>
      </c>
      <c r="H7" s="19" t="n">
        <f aca="false">$B7+H$3*100*$A7</f>
        <v>23.3893316858253</v>
      </c>
      <c r="I7" s="19" t="n">
        <f aca="false">$B7+I$3*100*$A7</f>
        <v>23.4393316858253</v>
      </c>
      <c r="J7" s="19" t="n">
        <f aca="false">$B7+J$3*100*$A7</f>
        <v>23.4893316858253</v>
      </c>
      <c r="K7" s="19" t="n">
        <f aca="false">$B7+K$3*100*$A7</f>
        <v>23.5393316858253</v>
      </c>
      <c r="L7" s="19" t="n">
        <f aca="false">$B7+L$3*100*$A7</f>
        <v>23.5893316858253</v>
      </c>
      <c r="M7" s="19" t="n">
        <f aca="false">$B7+M$3*100*$A7</f>
        <v>23.6393316858253</v>
      </c>
      <c r="N7" s="19" t="n">
        <f aca="false">$B7+N$3*100*$A7</f>
        <v>23.6893316858253</v>
      </c>
      <c r="O7" s="19" t="n">
        <f aca="false">$B7+O$3*100*$A7</f>
        <v>23.7393316858253</v>
      </c>
      <c r="P7" s="19" t="n">
        <f aca="false">$B7+P$3*100*$A7</f>
        <v>23.7893316858253</v>
      </c>
      <c r="Q7" s="19" t="n">
        <f aca="false">$B7+Q$3*100*$A7</f>
        <v>23.8393316858253</v>
      </c>
      <c r="R7" s="19" t="n">
        <f aca="false">$B7+R$3*100*$A7</f>
        <v>23.8893316858253</v>
      </c>
      <c r="S7" s="19" t="n">
        <f aca="false">$B7+S$3*100*$A7</f>
        <v>23.9393316858253</v>
      </c>
      <c r="T7" s="19" t="n">
        <f aca="false">$B7+T$3*100*$A7</f>
        <v>23.9893316858253</v>
      </c>
      <c r="U7" s="19" t="n">
        <f aca="false">$B7+U$3*100*$A7</f>
        <v>24.0393316858253</v>
      </c>
      <c r="V7" s="19" t="n">
        <f aca="false">$B7+V$3*100*$A7</f>
        <v>24.0893316858253</v>
      </c>
      <c r="W7" s="19" t="n">
        <f aca="false">$B7+W$3*100*$A7</f>
        <v>24.1393316858253</v>
      </c>
      <c r="X7" s="19" t="n">
        <f aca="false">$B7+X$3*100*$A7</f>
        <v>24.1893316858253</v>
      </c>
      <c r="Y7" s="19" t="n">
        <f aca="false">$B7+Y$3*100*$A7</f>
        <v>24.2393316858253</v>
      </c>
      <c r="Z7" s="19" t="n">
        <f aca="false">$B7+Z$3*100*$A7</f>
        <v>24.2893316858253</v>
      </c>
      <c r="AA7" s="19" t="n">
        <f aca="false">$B7+AA$3*100*$A7</f>
        <v>24.3393316858253</v>
      </c>
      <c r="AB7" s="19" t="n">
        <f aca="false">$B7+AB$3*100*$A7</f>
        <v>24.3893316858253</v>
      </c>
      <c r="AC7" s="19" t="n">
        <f aca="false">$B7+AC$3*100*$A7</f>
        <v>24.4393316858253</v>
      </c>
      <c r="AD7" s="19" t="n">
        <f aca="false">$B7+AD$3*100*$A7</f>
        <v>24.4893316858253</v>
      </c>
      <c r="AE7" s="19" t="n">
        <f aca="false">$B7+AE$3*100*$A7</f>
        <v>24.5393316858253</v>
      </c>
      <c r="AF7" s="19" t="n">
        <f aca="false">$B7+AF$3*100*$A7</f>
        <v>24.5893316858253</v>
      </c>
      <c r="AG7" s="19" t="n">
        <f aca="false">$B7+AG$3*100*$A7</f>
        <v>24.6393316858253</v>
      </c>
      <c r="AH7" s="19" t="n">
        <f aca="false">$B7+AH$3*100*$A7</f>
        <v>24.6893316858253</v>
      </c>
      <c r="AI7" s="19" t="n">
        <f aca="false">$B7+AI$3*100*$A7</f>
        <v>24.7393316858253</v>
      </c>
      <c r="AJ7" s="19" t="n">
        <f aca="false">$B7+AJ$3*100*$A7</f>
        <v>24.7893316858253</v>
      </c>
      <c r="AK7" s="19" t="n">
        <f aca="false">$B7+AK$3*100*$A7</f>
        <v>24.8393316858253</v>
      </c>
      <c r="AL7" s="19" t="n">
        <f aca="false">$B7+AL$3*100*$A7</f>
        <v>24.8893316858253</v>
      </c>
      <c r="AM7" s="19" t="n">
        <f aca="false">$B7+AM$3*100*$A7</f>
        <v>24.9393316858253</v>
      </c>
      <c r="AN7" s="19" t="n">
        <f aca="false">$B7+AN$3*100*$A7</f>
        <v>24.9893316858253</v>
      </c>
      <c r="AO7" s="19" t="n">
        <f aca="false">$B7+AO$3*100*$A7</f>
        <v>25.0393316858253</v>
      </c>
      <c r="AP7" s="19" t="n">
        <f aca="false">$B7+AP$3*100*$A7</f>
        <v>25.0893316858253</v>
      </c>
      <c r="AQ7" s="19" t="n">
        <f aca="false">$B7+AQ$3*100*$A7</f>
        <v>25.1393316858253</v>
      </c>
      <c r="AR7" s="19" t="n">
        <f aca="false">$B7+AR$3*100*$A7</f>
        <v>25.1893316858253</v>
      </c>
      <c r="AS7" s="19" t="n">
        <f aca="false">$B7+AS$3*100*$A7</f>
        <v>25.2393316858253</v>
      </c>
      <c r="AT7" s="19" t="n">
        <f aca="false">$B7+AT$3*100*$A7</f>
        <v>25.2893316858253</v>
      </c>
      <c r="AU7" s="19" t="n">
        <f aca="false">$B7+AU$3*100*$A7</f>
        <v>25.3393316858253</v>
      </c>
      <c r="AV7" s="19" t="n">
        <f aca="false">$B7+AV$3*100*$A7</f>
        <v>25.3893316858253</v>
      </c>
      <c r="AW7" s="19" t="n">
        <f aca="false">$B7+AW$3*100*$A7</f>
        <v>25.4393316858253</v>
      </c>
      <c r="AX7" s="19" t="n">
        <f aca="false">$B7+AX$3*100*$A7</f>
        <v>25.4893316858253</v>
      </c>
      <c r="AY7" s="19" t="n">
        <f aca="false">$B7+AY$3*100*$A7</f>
        <v>25.5393316858253</v>
      </c>
      <c r="AZ7" s="19" t="n">
        <f aca="false">$B7+AZ$3*100*$A7</f>
        <v>25.5893316858253</v>
      </c>
      <c r="BA7" s="19" t="n">
        <f aca="false">$B7+BA$3*100*$A7</f>
        <v>25.6393316858253</v>
      </c>
      <c r="BB7" s="19" t="n">
        <f aca="false">$B7+BB$3*100*$A7</f>
        <v>25.6893316858253</v>
      </c>
      <c r="BC7" s="19" t="n">
        <f aca="false">$B7+BC$3*100*$A7</f>
        <v>25.7393316858253</v>
      </c>
      <c r="BD7" s="19" t="n">
        <f aca="false">$B7+BD$3*100*$A7</f>
        <v>25.7893316858253</v>
      </c>
      <c r="BE7" s="19" t="n">
        <f aca="false">$B7+BE$3*100*$A7</f>
        <v>25.8393316858253</v>
      </c>
      <c r="BF7" s="19" t="n">
        <f aca="false">$B7+BF$3*100*$A7</f>
        <v>25.8893316858253</v>
      </c>
      <c r="BG7" s="19" t="n">
        <f aca="false">$B7+BG$3*100*$A7</f>
        <v>25.9393316858253</v>
      </c>
      <c r="BH7" s="19" t="n">
        <f aca="false">$B7+BH$3*100*$A7</f>
        <v>25.9893316858253</v>
      </c>
      <c r="BI7" s="19" t="n">
        <f aca="false">$B7+BI$3*100*$A7</f>
        <v>26.0393316858253</v>
      </c>
      <c r="BJ7" s="19" t="n">
        <f aca="false">$B7+BJ$3*100*$A7</f>
        <v>26.0893316858253</v>
      </c>
      <c r="BK7" s="19" t="n">
        <f aca="false">$B7+BK$3*100*$A7</f>
        <v>26.1393316858253</v>
      </c>
      <c r="BL7" s="19" t="n">
        <f aca="false">$B7+BL$3*100*$A7</f>
        <v>26.1893316858253</v>
      </c>
      <c r="BM7" s="19" t="n">
        <f aca="false">$B7+BM$3*100*$A7</f>
        <v>26.2393316858253</v>
      </c>
      <c r="BN7" s="19" t="n">
        <f aca="false">$B7+BN$3*100*$A7</f>
        <v>26.2893316858253</v>
      </c>
      <c r="BO7" s="19" t="n">
        <f aca="false">$B7+BO$3*100*$A7</f>
        <v>26.3393316858253</v>
      </c>
      <c r="BP7" s="19" t="n">
        <f aca="false">$B7+BP$3*100*$A7</f>
        <v>26.3893316858253</v>
      </c>
      <c r="BQ7" s="19" t="n">
        <f aca="false">$B7+BQ$3*100*$A7</f>
        <v>26.4393316858253</v>
      </c>
      <c r="BR7" s="19" t="n">
        <f aca="false">$B7+BR$3*100*$A7</f>
        <v>26.4893316858253</v>
      </c>
      <c r="BS7" s="19" t="n">
        <f aca="false">$B7+BS$3*100*$A7</f>
        <v>26.5393316858253</v>
      </c>
      <c r="BT7" s="19" t="n">
        <f aca="false">$B7+BT$3*100*$A7</f>
        <v>26.5893316858253</v>
      </c>
      <c r="BU7" s="19" t="n">
        <f aca="false">$B7+BU$3*100*$A7</f>
        <v>26.6393316858253</v>
      </c>
      <c r="BV7" s="19" t="n">
        <f aca="false">$B7+BV$3*100*$A7</f>
        <v>26.6893316858253</v>
      </c>
      <c r="BW7" s="19" t="n">
        <f aca="false">$B7+BW$3*100*$A7</f>
        <v>26.7393316858253</v>
      </c>
      <c r="BX7" s="19" t="n">
        <f aca="false">$B7+BX$3*100*$A7</f>
        <v>26.7893316858253</v>
      </c>
      <c r="BY7" s="19" t="n">
        <f aca="false">$B7+BY$3*100*$A7</f>
        <v>26.8393316858253</v>
      </c>
      <c r="BZ7" s="19" t="n">
        <f aca="false">$B7+BZ$3*100*$A7</f>
        <v>26.8893316858253</v>
      </c>
      <c r="CA7" s="19" t="n">
        <f aca="false">$B7+CA$3*100*$A7</f>
        <v>26.9393316858253</v>
      </c>
      <c r="CB7" s="19" t="n">
        <f aca="false">$B7+CB$3*100*$A7</f>
        <v>26.9893316858253</v>
      </c>
      <c r="CC7" s="19" t="n">
        <f aca="false">$B7+CC$3*100*$A7</f>
        <v>27.0393316858253</v>
      </c>
      <c r="CD7" s="19" t="n">
        <f aca="false">$B7+CD$3*100*$A7</f>
        <v>27.0893316858253</v>
      </c>
      <c r="CE7" s="19" t="n">
        <f aca="false">$B7+CE$3*100*$A7</f>
        <v>27.1393316858253</v>
      </c>
      <c r="CF7" s="19" t="n">
        <f aca="false">$B7+CF$3*100*$A7</f>
        <v>27.1893316858253</v>
      </c>
      <c r="CG7" s="19" t="n">
        <f aca="false">$B7+CG$3*100*$A7</f>
        <v>27.2393316858253</v>
      </c>
      <c r="CH7" s="19" t="n">
        <f aca="false">$B7+CH$3*100*$A7</f>
        <v>27.2893316858253</v>
      </c>
      <c r="CI7" s="19" t="n">
        <f aca="false">$B7+CI$3*100*$A7</f>
        <v>27.3393316858253</v>
      </c>
      <c r="CJ7" s="19" t="n">
        <f aca="false">$B7+CJ$3*100*$A7</f>
        <v>27.3893316858253</v>
      </c>
      <c r="CK7" s="19" t="n">
        <f aca="false">$B7+CK$3*100*$A7</f>
        <v>27.4393316858253</v>
      </c>
      <c r="CL7" s="19" t="n">
        <f aca="false">$B7+CL$3*100*$A7</f>
        <v>27.4893316858253</v>
      </c>
      <c r="CM7" s="19" t="n">
        <f aca="false">$B7+CM$3*100*$A7</f>
        <v>27.5393316858253</v>
      </c>
      <c r="CN7" s="19" t="n">
        <f aca="false">$B7+CN$3*100*$A7</f>
        <v>27.5893316858253</v>
      </c>
      <c r="CO7" s="19" t="n">
        <f aca="false">$B7+CO$3*100*$A7</f>
        <v>27.6393316858253</v>
      </c>
      <c r="CP7" s="19" t="n">
        <f aca="false">$B7+CP$3*100*$A7</f>
        <v>27.6893316858253</v>
      </c>
      <c r="CQ7" s="19" t="n">
        <f aca="false">$B7+CQ$3*100*$A7</f>
        <v>27.7393316858253</v>
      </c>
      <c r="CR7" s="19" t="n">
        <f aca="false">$B7+CR$3*100*$A7</f>
        <v>27.7893316858253</v>
      </c>
      <c r="CS7" s="19" t="n">
        <f aca="false">$B7+CS$3*100*$A7</f>
        <v>27.8393316858253</v>
      </c>
      <c r="CT7" s="19" t="n">
        <f aca="false">$B7+CT$3*100*$A7</f>
        <v>27.8893316858253</v>
      </c>
      <c r="CU7" s="19" t="n">
        <f aca="false">$B7+CU$3*100*$A7</f>
        <v>27.9393316858253</v>
      </c>
      <c r="CV7" s="19" t="n">
        <f aca="false">$B7+CV$3*100*$A7</f>
        <v>27.9893316858253</v>
      </c>
      <c r="CW7" s="19" t="n">
        <f aca="false">$B7+CW$3*100*$A7</f>
        <v>28.0393316858253</v>
      </c>
      <c r="CX7" s="19" t="n">
        <f aca="false">$B7+CX$3*100*$A7</f>
        <v>28.0893316858253</v>
      </c>
      <c r="CY7" s="19" t="n">
        <f aca="false">$B7+CY$3*100*$A7</f>
        <v>28.1393316858253</v>
      </c>
      <c r="CZ7" s="19" t="n">
        <f aca="false">$B7+CZ$3*100*$A7</f>
        <v>28.1893316858253</v>
      </c>
      <c r="DA7" s="19" t="n">
        <f aca="false">$B7+DA$3*100*$A7</f>
        <v>28.2393316858253</v>
      </c>
      <c r="DB7" s="19" t="n">
        <f aca="false">$B7+DB$3*100*$A7</f>
        <v>28.2893316858253</v>
      </c>
      <c r="DC7" s="19" t="n">
        <f aca="false">$B7+DC$3*100*$A7</f>
        <v>28.3393316858253</v>
      </c>
      <c r="DD7" s="19" t="n">
        <f aca="false">$B7+DD$3*100*$A7</f>
        <v>28.3893316858253</v>
      </c>
      <c r="DE7" s="19" t="n">
        <f aca="false">$B7+DE$3*100*$A7</f>
        <v>28.4393316858253</v>
      </c>
      <c r="DF7" s="19" t="n">
        <f aca="false">$B7+DF$3*100*$A7</f>
        <v>28.4893316858253</v>
      </c>
      <c r="DG7" s="19" t="n">
        <f aca="false">$B7+DG$3*100*$A7</f>
        <v>28.5393316858253</v>
      </c>
      <c r="DH7" s="19" t="n">
        <f aca="false">$B7+DH$3*100*$A7</f>
        <v>28.5893316858253</v>
      </c>
      <c r="DI7" s="19" t="n">
        <f aca="false">$B7+DI$3*100*$A7</f>
        <v>28.6393316858253</v>
      </c>
      <c r="DJ7" s="19" t="n">
        <f aca="false">$B7+DJ$3*100*$A7</f>
        <v>28.6893316858253</v>
      </c>
      <c r="DK7" s="19" t="n">
        <f aca="false">$B7+DK$3*100*$A7</f>
        <v>28.7393316858253</v>
      </c>
      <c r="DL7" s="19" t="n">
        <f aca="false">$B7+DL$3*100*$A7</f>
        <v>28.7893316858253</v>
      </c>
      <c r="DM7" s="19" t="n">
        <f aca="false">$B7+DM$3*100*$A7</f>
        <v>28.8393316858253</v>
      </c>
      <c r="DN7" s="19" t="n">
        <f aca="false">$B7+DN$3*100*$A7</f>
        <v>28.8893316858253</v>
      </c>
      <c r="DO7" s="19" t="n">
        <f aca="false">$B7+DO$3*100*$A7</f>
        <v>28.9393316858253</v>
      </c>
      <c r="DP7" s="19" t="n">
        <f aca="false">$B7+DP$3*100*$A7</f>
        <v>28.9893316858253</v>
      </c>
      <c r="DQ7" s="19" t="n">
        <f aca="false">$B7+DQ$3*100*$A7</f>
        <v>29.0393316858253</v>
      </c>
      <c r="DR7" s="19" t="n">
        <f aca="false">$B7+DR$3*100*$A7</f>
        <v>29.0893316858253</v>
      </c>
      <c r="DS7" s="19" t="n">
        <f aca="false">$B7+DS$3*100*$A7</f>
        <v>29.1393316858253</v>
      </c>
      <c r="DT7" s="19" t="n">
        <f aca="false">$B7+DT$3*100*$A7</f>
        <v>29.1893316858253</v>
      </c>
      <c r="DU7" s="19" t="n">
        <f aca="false">$B7+DU$3*100*$A7</f>
        <v>29.2393316858253</v>
      </c>
      <c r="DV7" s="19" t="n">
        <f aca="false">$B7+DV$3*100*$A7</f>
        <v>29.2893316858253</v>
      </c>
      <c r="DW7" s="19" t="n">
        <f aca="false">$B7+DW$3*100*$A7</f>
        <v>29.3393316858253</v>
      </c>
      <c r="DX7" s="19" t="n">
        <f aca="false">$B7+DX$3*100*$A7</f>
        <v>29.3893316858253</v>
      </c>
      <c r="DY7" s="19" t="n">
        <f aca="false">$B7+DY$3*100*$A7</f>
        <v>29.4393316858253</v>
      </c>
      <c r="DZ7" s="19" t="n">
        <f aca="false">$B7+DZ$3*100*$A7</f>
        <v>29.4893316858253</v>
      </c>
      <c r="EA7" s="19" t="n">
        <f aca="false">$B7+EA$3*100*$A7</f>
        <v>29.5393316858253</v>
      </c>
      <c r="EB7" s="19" t="n">
        <f aca="false">$B7+EB$3*100*$A7</f>
        <v>29.5893316858253</v>
      </c>
      <c r="EC7" s="19" t="n">
        <f aca="false">$B7+EC$3*100*$A7</f>
        <v>29.6393316858253</v>
      </c>
      <c r="ED7" s="19" t="n">
        <f aca="false">$B7+ED$3*100*$A7</f>
        <v>29.6893316858253</v>
      </c>
      <c r="EE7" s="19" t="n">
        <f aca="false">$B7+EE$3*100*$A7</f>
        <v>29.7393316858253</v>
      </c>
      <c r="EF7" s="19" t="n">
        <f aca="false">$B7+EF$3*100*$A7</f>
        <v>29.7893316858253</v>
      </c>
      <c r="EG7" s="19" t="n">
        <f aca="false">$B7+EG$3*100*$A7</f>
        <v>29.8393316858253</v>
      </c>
      <c r="EH7" s="19" t="n">
        <f aca="false">$B7+EH$3*100*$A7</f>
        <v>29.8893316858253</v>
      </c>
      <c r="EI7" s="19" t="n">
        <f aca="false">$B7+EI$3*100*$A7</f>
        <v>29.9393316858253</v>
      </c>
      <c r="EJ7" s="19" t="n">
        <f aca="false">$B7+EJ$3*100*$A7</f>
        <v>29.9893316858253</v>
      </c>
      <c r="EK7" s="19" t="n">
        <f aca="false">$B7+EK$3*100*$A7</f>
        <v>30.0393316858253</v>
      </c>
      <c r="EL7" s="19" t="n">
        <f aca="false">$B7+EL$3*100*$A7</f>
        <v>30.0893316858253</v>
      </c>
      <c r="EM7" s="19" t="n">
        <f aca="false">$B7+EM$3*100*$A7</f>
        <v>30.1393316858253</v>
      </c>
      <c r="EN7" s="19" t="n">
        <f aca="false">$B7+EN$3*100*$A7</f>
        <v>30.1893316858253</v>
      </c>
      <c r="EO7" s="19" t="n">
        <f aca="false">$B7+EO$3*100*$A7</f>
        <v>30.2393316858253</v>
      </c>
      <c r="EP7" s="19" t="n">
        <f aca="false">$B7+EP$3*100*$A7</f>
        <v>30.2893316858253</v>
      </c>
      <c r="EQ7" s="19" t="n">
        <f aca="false">$B7+EQ$3*100*$A7</f>
        <v>30.3393316858253</v>
      </c>
      <c r="ER7" s="19" t="n">
        <f aca="false">$B7+ER$3*100*$A7</f>
        <v>30.3893316858253</v>
      </c>
      <c r="ES7" s="19" t="n">
        <f aca="false">$B7+ES$3*100*$A7</f>
        <v>30.4393316858253</v>
      </c>
      <c r="ET7" s="19" t="n">
        <f aca="false">$B7+ET$3*100*$A7</f>
        <v>30.4893316858253</v>
      </c>
      <c r="EU7" s="19" t="n">
        <f aca="false">$B7+EU$3*100*$A7</f>
        <v>30.5393316858253</v>
      </c>
      <c r="EV7" s="19" t="n">
        <f aca="false">$B7+EV$3*100*$A7</f>
        <v>30.5893316858253</v>
      </c>
      <c r="EW7" s="19" t="n">
        <f aca="false">$B7+EW$3*100*$A7</f>
        <v>30.6393316858253</v>
      </c>
      <c r="EX7" s="19" t="n">
        <f aca="false">$B7+EX$3*100*$A7</f>
        <v>30.6893316858253</v>
      </c>
      <c r="EY7" s="19" t="n">
        <f aca="false">$B7+EY$3*100*$A7</f>
        <v>30.7393316858253</v>
      </c>
      <c r="EZ7" s="19" t="n">
        <f aca="false">$B7+EZ$3*100*$A7</f>
        <v>30.7893316858253</v>
      </c>
      <c r="FA7" s="19" t="n">
        <f aca="false">$B7+FA$3*100*$A7</f>
        <v>30.8393316858253</v>
      </c>
      <c r="FB7" s="19" t="n">
        <f aca="false">$B7+FB$3*100*$A7</f>
        <v>30.8893316858253</v>
      </c>
      <c r="FC7" s="19" t="n">
        <f aca="false">$B7+FC$3*100*$A7</f>
        <v>30.9393316858253</v>
      </c>
      <c r="FD7" s="19" t="n">
        <f aca="false">$B7+FD$3*100*$A7</f>
        <v>30.9893316858253</v>
      </c>
      <c r="FE7" s="19" t="n">
        <f aca="false">$B7+FE$3*100*$A7</f>
        <v>31.0393316858253</v>
      </c>
      <c r="FF7" s="19" t="n">
        <f aca="false">$B7+FF$3*100*$A7</f>
        <v>31.0893316858253</v>
      </c>
      <c r="FG7" s="19" t="n">
        <f aca="false">$B7+FG$3*100*$A7</f>
        <v>31.1393316858253</v>
      </c>
      <c r="FH7" s="19" t="n">
        <f aca="false">$B7+FH$3*100*$A7</f>
        <v>31.1893316858253</v>
      </c>
      <c r="FI7" s="19" t="n">
        <f aca="false">$B7+FI$3*100*$A7</f>
        <v>31.2393316858253</v>
      </c>
      <c r="FJ7" s="19" t="n">
        <f aca="false">$B7+FJ$3*100*$A7</f>
        <v>31.2893316858253</v>
      </c>
      <c r="FK7" s="19" t="n">
        <f aca="false">$B7+FK$3*100*$A7</f>
        <v>31.3393316858253</v>
      </c>
      <c r="FL7" s="19" t="n">
        <f aca="false">$B7+FL$3*100*$A7</f>
        <v>31.3893316858253</v>
      </c>
      <c r="FM7" s="19" t="n">
        <f aca="false">$B7+FM$3*100*$A7</f>
        <v>31.4393316858253</v>
      </c>
      <c r="FN7" s="19" t="n">
        <f aca="false">$B7+FN$3*100*$A7</f>
        <v>31.4893316858253</v>
      </c>
      <c r="FO7" s="19" t="n">
        <f aca="false">$B7+FO$3*100*$A7</f>
        <v>31.5393316858253</v>
      </c>
      <c r="FP7" s="19" t="n">
        <f aca="false">$B7+FP$3*100*$A7</f>
        <v>31.5893316858253</v>
      </c>
      <c r="FQ7" s="19" t="n">
        <f aca="false">$B7+FQ$3*100*$A7</f>
        <v>31.6393316858253</v>
      </c>
      <c r="FR7" s="19" t="n">
        <f aca="false">$B7+FR$3*100*$A7</f>
        <v>31.6893316858253</v>
      </c>
      <c r="FS7" s="19" t="n">
        <f aca="false">$B7+FS$3*100*$A7</f>
        <v>31.7393316858253</v>
      </c>
      <c r="FT7" s="19" t="n">
        <f aca="false">$B7+FT$3*100*$A7</f>
        <v>31.7893316858253</v>
      </c>
      <c r="FU7" s="19" t="n">
        <f aca="false">$B7+FU$3*100*$A7</f>
        <v>31.8393316858253</v>
      </c>
      <c r="FV7" s="19" t="n">
        <f aca="false">$B7+FV$3*100*$A7</f>
        <v>31.8893316858253</v>
      </c>
      <c r="FW7" s="19" t="n">
        <f aca="false">$B7+FW$3*100*$A7</f>
        <v>31.9393316858253</v>
      </c>
      <c r="FX7" s="19" t="n">
        <f aca="false">$B7+FX$3*100*$A7</f>
        <v>31.9893316858253</v>
      </c>
      <c r="FY7" s="19" t="n">
        <f aca="false">$B7+FY$3*100*$A7</f>
        <v>32.0393316858253</v>
      </c>
      <c r="FZ7" s="19" t="n">
        <f aca="false">$B7+FZ$3*100*$A7</f>
        <v>32.0893316858253</v>
      </c>
      <c r="GA7" s="19" t="n">
        <f aca="false">$B7+GA$3*100*$A7</f>
        <v>32.1393316858253</v>
      </c>
      <c r="GB7" s="19" t="n">
        <f aca="false">$B7+GB$3*100*$A7</f>
        <v>32.1893316858253</v>
      </c>
      <c r="GC7" s="19" t="n">
        <f aca="false">$B7+GC$3*100*$A7</f>
        <v>32.2393316858253</v>
      </c>
      <c r="GD7" s="19" t="n">
        <f aca="false">$B7+GD$3*100*$A7</f>
        <v>32.2893316858253</v>
      </c>
      <c r="GE7" s="19" t="n">
        <f aca="false">$B7+GE$3*100*$A7</f>
        <v>32.3393316858253</v>
      </c>
      <c r="GF7" s="19" t="n">
        <f aca="false">$B7+GF$3*100*$A7</f>
        <v>32.3893316858253</v>
      </c>
      <c r="GG7" s="19" t="n">
        <f aca="false">$B7+GG$3*100*$A7</f>
        <v>32.4393316858253</v>
      </c>
      <c r="GH7" s="19" t="n">
        <f aca="false">$B7+GH$3*100*$A7</f>
        <v>32.4893316858253</v>
      </c>
      <c r="GI7" s="19" t="n">
        <f aca="false">$B7+GI$3*100*$A7</f>
        <v>32.5393316858253</v>
      </c>
      <c r="GJ7" s="19" t="n">
        <f aca="false">$B7+GJ$3*100*$A7</f>
        <v>32.5893316858253</v>
      </c>
      <c r="GK7" s="19" t="n">
        <f aca="false">$B7+GK$3*100*$A7</f>
        <v>32.6393316858253</v>
      </c>
      <c r="GL7" s="19" t="n">
        <f aca="false">$B7+GL$3*100*$A7</f>
        <v>32.6893316858253</v>
      </c>
      <c r="GM7" s="19" t="n">
        <f aca="false">$B7+GM$3*100*$A7</f>
        <v>32.7393316858253</v>
      </c>
      <c r="GN7" s="19" t="n">
        <f aca="false">$B7+GN$3*100*$A7</f>
        <v>32.7893316858253</v>
      </c>
      <c r="GO7" s="19" t="n">
        <f aca="false">$B7+GO$3*100*$A7</f>
        <v>32.8393316858253</v>
      </c>
      <c r="GP7" s="19" t="n">
        <f aca="false">$B7+GP$3*100*$A7</f>
        <v>32.8893316858253</v>
      </c>
      <c r="GQ7" s="19" t="n">
        <f aca="false">$B7+GQ$3*100*$A7</f>
        <v>32.9393316858253</v>
      </c>
      <c r="GR7" s="19" t="n">
        <f aca="false">$B7+GR$3*100*$A7</f>
        <v>32.9893316858253</v>
      </c>
      <c r="GS7" s="19" t="n">
        <f aca="false">$B7+GS$3*100*$A7</f>
        <v>33.0393316858253</v>
      </c>
      <c r="GT7" s="19" t="n">
        <f aca="false">$B7+GT$3*100*$A7</f>
        <v>33.0893316858253</v>
      </c>
    </row>
    <row r="8" customFormat="false" ht="15" hidden="false" customHeight="false" outlineLevel="0" collapsed="false">
      <c r="A8" s="26" t="n">
        <f aca="false">Frontier!A6</f>
        <v>0.0125</v>
      </c>
      <c r="B8" s="34" t="n">
        <f aca="false">Frontier!B6</f>
        <v>21.3376059843978</v>
      </c>
      <c r="C8" s="19" t="n">
        <f aca="false">$B8+C$3*100*$A8</f>
        <v>21.4001059843978</v>
      </c>
      <c r="D8" s="19" t="n">
        <f aca="false">$B8+D$3*100*$A8</f>
        <v>21.4626059843978</v>
      </c>
      <c r="E8" s="19" t="n">
        <f aca="false">$B8+E$3*100*$A8</f>
        <v>21.5251059843978</v>
      </c>
      <c r="F8" s="19" t="n">
        <f aca="false">$B8+F$3*100*$A8</f>
        <v>21.5876059843978</v>
      </c>
      <c r="G8" s="19" t="n">
        <f aca="false">$B8+G$3*100*$A8</f>
        <v>21.6501059843978</v>
      </c>
      <c r="H8" s="19" t="n">
        <f aca="false">$B8+H$3*100*$A8</f>
        <v>21.7126059843978</v>
      </c>
      <c r="I8" s="19" t="n">
        <f aca="false">$B8+I$3*100*$A8</f>
        <v>21.7751059843978</v>
      </c>
      <c r="J8" s="19" t="n">
        <f aca="false">$B8+J$3*100*$A8</f>
        <v>21.8376059843978</v>
      </c>
      <c r="K8" s="19" t="n">
        <f aca="false">$B8+K$3*100*$A8</f>
        <v>21.9001059843978</v>
      </c>
      <c r="L8" s="19" t="n">
        <f aca="false">$B8+L$3*100*$A8</f>
        <v>21.9626059843978</v>
      </c>
      <c r="M8" s="19" t="n">
        <f aca="false">$B8+M$3*100*$A8</f>
        <v>22.0251059843978</v>
      </c>
      <c r="N8" s="19" t="n">
        <f aca="false">$B8+N$3*100*$A8</f>
        <v>22.0876059843978</v>
      </c>
      <c r="O8" s="19" t="n">
        <f aca="false">$B8+O$3*100*$A8</f>
        <v>22.1501059843978</v>
      </c>
      <c r="P8" s="19" t="n">
        <f aca="false">$B8+P$3*100*$A8</f>
        <v>22.2126059843978</v>
      </c>
      <c r="Q8" s="19" t="n">
        <f aca="false">$B8+Q$3*100*$A8</f>
        <v>22.2751059843978</v>
      </c>
      <c r="R8" s="19" t="n">
        <f aca="false">$B8+R$3*100*$A8</f>
        <v>22.3376059843978</v>
      </c>
      <c r="S8" s="19" t="n">
        <f aca="false">$B8+S$3*100*$A8</f>
        <v>22.4001059843978</v>
      </c>
      <c r="T8" s="19" t="n">
        <f aca="false">$B8+T$3*100*$A8</f>
        <v>22.4626059843978</v>
      </c>
      <c r="U8" s="19" t="n">
        <f aca="false">$B8+U$3*100*$A8</f>
        <v>22.5251059843978</v>
      </c>
      <c r="V8" s="19" t="n">
        <f aca="false">$B8+V$3*100*$A8</f>
        <v>22.5876059843978</v>
      </c>
      <c r="W8" s="19" t="n">
        <f aca="false">$B8+W$3*100*$A8</f>
        <v>22.6501059843978</v>
      </c>
      <c r="X8" s="19" t="n">
        <f aca="false">$B8+X$3*100*$A8</f>
        <v>22.7126059843978</v>
      </c>
      <c r="Y8" s="19" t="n">
        <f aca="false">$B8+Y$3*100*$A8</f>
        <v>22.7751059843978</v>
      </c>
      <c r="Z8" s="19" t="n">
        <f aca="false">$B8+Z$3*100*$A8</f>
        <v>22.8376059843978</v>
      </c>
      <c r="AA8" s="19" t="n">
        <f aca="false">$B8+AA$3*100*$A8</f>
        <v>22.9001059843978</v>
      </c>
      <c r="AB8" s="19" t="n">
        <f aca="false">$B8+AB$3*100*$A8</f>
        <v>22.9626059843978</v>
      </c>
      <c r="AC8" s="19" t="n">
        <f aca="false">$B8+AC$3*100*$A8</f>
        <v>23.0251059843978</v>
      </c>
      <c r="AD8" s="19" t="n">
        <f aca="false">$B8+AD$3*100*$A8</f>
        <v>23.0876059843978</v>
      </c>
      <c r="AE8" s="19" t="n">
        <f aca="false">$B8+AE$3*100*$A8</f>
        <v>23.1501059843978</v>
      </c>
      <c r="AF8" s="19" t="n">
        <f aca="false">$B8+AF$3*100*$A8</f>
        <v>23.2126059843978</v>
      </c>
      <c r="AG8" s="19" t="n">
        <f aca="false">$B8+AG$3*100*$A8</f>
        <v>23.2751059843978</v>
      </c>
      <c r="AH8" s="19" t="n">
        <f aca="false">$B8+AH$3*100*$A8</f>
        <v>23.3376059843978</v>
      </c>
      <c r="AI8" s="19" t="n">
        <f aca="false">$B8+AI$3*100*$A8</f>
        <v>23.4001059843978</v>
      </c>
      <c r="AJ8" s="19" t="n">
        <f aca="false">$B8+AJ$3*100*$A8</f>
        <v>23.4626059843978</v>
      </c>
      <c r="AK8" s="19" t="n">
        <f aca="false">$B8+AK$3*100*$A8</f>
        <v>23.5251059843978</v>
      </c>
      <c r="AL8" s="19" t="n">
        <f aca="false">$B8+AL$3*100*$A8</f>
        <v>23.5876059843978</v>
      </c>
      <c r="AM8" s="19" t="n">
        <f aca="false">$B8+AM$3*100*$A8</f>
        <v>23.6501059843978</v>
      </c>
      <c r="AN8" s="19" t="n">
        <f aca="false">$B8+AN$3*100*$A8</f>
        <v>23.7126059843978</v>
      </c>
      <c r="AO8" s="19" t="n">
        <f aca="false">$B8+AO$3*100*$A8</f>
        <v>23.7751059843978</v>
      </c>
      <c r="AP8" s="19" t="n">
        <f aca="false">$B8+AP$3*100*$A8</f>
        <v>23.8376059843978</v>
      </c>
      <c r="AQ8" s="19" t="n">
        <f aca="false">$B8+AQ$3*100*$A8</f>
        <v>23.9001059843978</v>
      </c>
      <c r="AR8" s="19" t="n">
        <f aca="false">$B8+AR$3*100*$A8</f>
        <v>23.9626059843978</v>
      </c>
      <c r="AS8" s="19" t="n">
        <f aca="false">$B8+AS$3*100*$A8</f>
        <v>24.0251059843978</v>
      </c>
      <c r="AT8" s="19" t="n">
        <f aca="false">$B8+AT$3*100*$A8</f>
        <v>24.0876059843978</v>
      </c>
      <c r="AU8" s="19" t="n">
        <f aca="false">$B8+AU$3*100*$A8</f>
        <v>24.1501059843978</v>
      </c>
      <c r="AV8" s="19" t="n">
        <f aca="false">$B8+AV$3*100*$A8</f>
        <v>24.2126059843978</v>
      </c>
      <c r="AW8" s="19" t="n">
        <f aca="false">$B8+AW$3*100*$A8</f>
        <v>24.2751059843978</v>
      </c>
      <c r="AX8" s="19" t="n">
        <f aca="false">$B8+AX$3*100*$A8</f>
        <v>24.3376059843978</v>
      </c>
      <c r="AY8" s="19" t="n">
        <f aca="false">$B8+AY$3*100*$A8</f>
        <v>24.4001059843978</v>
      </c>
      <c r="AZ8" s="19" t="n">
        <f aca="false">$B8+AZ$3*100*$A8</f>
        <v>24.4626059843978</v>
      </c>
      <c r="BA8" s="19" t="n">
        <f aca="false">$B8+BA$3*100*$A8</f>
        <v>24.5251059843978</v>
      </c>
      <c r="BB8" s="19" t="n">
        <f aca="false">$B8+BB$3*100*$A8</f>
        <v>24.5876059843978</v>
      </c>
      <c r="BC8" s="19" t="n">
        <f aca="false">$B8+BC$3*100*$A8</f>
        <v>24.6501059843978</v>
      </c>
      <c r="BD8" s="19" t="n">
        <f aca="false">$B8+BD$3*100*$A8</f>
        <v>24.7126059843978</v>
      </c>
      <c r="BE8" s="19" t="n">
        <f aca="false">$B8+BE$3*100*$A8</f>
        <v>24.7751059843978</v>
      </c>
      <c r="BF8" s="19" t="n">
        <f aca="false">$B8+BF$3*100*$A8</f>
        <v>24.8376059843978</v>
      </c>
      <c r="BG8" s="19" t="n">
        <f aca="false">$B8+BG$3*100*$A8</f>
        <v>24.9001059843978</v>
      </c>
      <c r="BH8" s="19" t="n">
        <f aca="false">$B8+BH$3*100*$A8</f>
        <v>24.9626059843978</v>
      </c>
      <c r="BI8" s="19" t="n">
        <f aca="false">$B8+BI$3*100*$A8</f>
        <v>25.0251059843978</v>
      </c>
      <c r="BJ8" s="19" t="n">
        <f aca="false">$B8+BJ$3*100*$A8</f>
        <v>25.0876059843978</v>
      </c>
      <c r="BK8" s="19" t="n">
        <f aca="false">$B8+BK$3*100*$A8</f>
        <v>25.1501059843978</v>
      </c>
      <c r="BL8" s="19" t="n">
        <f aca="false">$B8+BL$3*100*$A8</f>
        <v>25.2126059843978</v>
      </c>
      <c r="BM8" s="19" t="n">
        <f aca="false">$B8+BM$3*100*$A8</f>
        <v>25.2751059843978</v>
      </c>
      <c r="BN8" s="19" t="n">
        <f aca="false">$B8+BN$3*100*$A8</f>
        <v>25.3376059843978</v>
      </c>
      <c r="BO8" s="19" t="n">
        <f aca="false">$B8+BO$3*100*$A8</f>
        <v>25.4001059843978</v>
      </c>
      <c r="BP8" s="19" t="n">
        <f aca="false">$B8+BP$3*100*$A8</f>
        <v>25.4626059843978</v>
      </c>
      <c r="BQ8" s="19" t="n">
        <f aca="false">$B8+BQ$3*100*$A8</f>
        <v>25.5251059843978</v>
      </c>
      <c r="BR8" s="19" t="n">
        <f aca="false">$B8+BR$3*100*$A8</f>
        <v>25.5876059843978</v>
      </c>
      <c r="BS8" s="19" t="n">
        <f aca="false">$B8+BS$3*100*$A8</f>
        <v>25.6501059843978</v>
      </c>
      <c r="BT8" s="19" t="n">
        <f aca="false">$B8+BT$3*100*$A8</f>
        <v>25.7126059843978</v>
      </c>
      <c r="BU8" s="19" t="n">
        <f aca="false">$B8+BU$3*100*$A8</f>
        <v>25.7751059843978</v>
      </c>
      <c r="BV8" s="19" t="n">
        <f aca="false">$B8+BV$3*100*$A8</f>
        <v>25.8376059843978</v>
      </c>
      <c r="BW8" s="19" t="n">
        <f aca="false">$B8+BW$3*100*$A8</f>
        <v>25.9001059843978</v>
      </c>
      <c r="BX8" s="19" t="n">
        <f aca="false">$B8+BX$3*100*$A8</f>
        <v>25.9626059843978</v>
      </c>
      <c r="BY8" s="19" t="n">
        <f aca="false">$B8+BY$3*100*$A8</f>
        <v>26.0251059843978</v>
      </c>
      <c r="BZ8" s="19" t="n">
        <f aca="false">$B8+BZ$3*100*$A8</f>
        <v>26.0876059843978</v>
      </c>
      <c r="CA8" s="19" t="n">
        <f aca="false">$B8+CA$3*100*$A8</f>
        <v>26.1501059843978</v>
      </c>
      <c r="CB8" s="19" t="n">
        <f aca="false">$B8+CB$3*100*$A8</f>
        <v>26.2126059843978</v>
      </c>
      <c r="CC8" s="19" t="n">
        <f aca="false">$B8+CC$3*100*$A8</f>
        <v>26.2751059843978</v>
      </c>
      <c r="CD8" s="19" t="n">
        <f aca="false">$B8+CD$3*100*$A8</f>
        <v>26.3376059843978</v>
      </c>
      <c r="CE8" s="19" t="n">
        <f aca="false">$B8+CE$3*100*$A8</f>
        <v>26.4001059843978</v>
      </c>
      <c r="CF8" s="19" t="n">
        <f aca="false">$B8+CF$3*100*$A8</f>
        <v>26.4626059843978</v>
      </c>
      <c r="CG8" s="19" t="n">
        <f aca="false">$B8+CG$3*100*$A8</f>
        <v>26.5251059843978</v>
      </c>
      <c r="CH8" s="19" t="n">
        <f aca="false">$B8+CH$3*100*$A8</f>
        <v>26.5876059843978</v>
      </c>
      <c r="CI8" s="19" t="n">
        <f aca="false">$B8+CI$3*100*$A8</f>
        <v>26.6501059843978</v>
      </c>
      <c r="CJ8" s="19" t="n">
        <f aca="false">$B8+CJ$3*100*$A8</f>
        <v>26.7126059843978</v>
      </c>
      <c r="CK8" s="19" t="n">
        <f aca="false">$B8+CK$3*100*$A8</f>
        <v>26.7751059843978</v>
      </c>
      <c r="CL8" s="19" t="n">
        <f aca="false">$B8+CL$3*100*$A8</f>
        <v>26.8376059843978</v>
      </c>
      <c r="CM8" s="19" t="n">
        <f aca="false">$B8+CM$3*100*$A8</f>
        <v>26.9001059843978</v>
      </c>
      <c r="CN8" s="19" t="n">
        <f aca="false">$B8+CN$3*100*$A8</f>
        <v>26.9626059843978</v>
      </c>
      <c r="CO8" s="19" t="n">
        <f aca="false">$B8+CO$3*100*$A8</f>
        <v>27.0251059843978</v>
      </c>
      <c r="CP8" s="19" t="n">
        <f aca="false">$B8+CP$3*100*$A8</f>
        <v>27.0876059843978</v>
      </c>
      <c r="CQ8" s="19" t="n">
        <f aca="false">$B8+CQ$3*100*$A8</f>
        <v>27.1501059843978</v>
      </c>
      <c r="CR8" s="19" t="n">
        <f aca="false">$B8+CR$3*100*$A8</f>
        <v>27.2126059843978</v>
      </c>
      <c r="CS8" s="19" t="n">
        <f aca="false">$B8+CS$3*100*$A8</f>
        <v>27.2751059843978</v>
      </c>
      <c r="CT8" s="19" t="n">
        <f aca="false">$B8+CT$3*100*$A8</f>
        <v>27.3376059843978</v>
      </c>
      <c r="CU8" s="19" t="n">
        <f aca="false">$B8+CU$3*100*$A8</f>
        <v>27.4001059843978</v>
      </c>
      <c r="CV8" s="19" t="n">
        <f aca="false">$B8+CV$3*100*$A8</f>
        <v>27.4626059843978</v>
      </c>
      <c r="CW8" s="19" t="n">
        <f aca="false">$B8+CW$3*100*$A8</f>
        <v>27.5251059843978</v>
      </c>
      <c r="CX8" s="19" t="n">
        <f aca="false">$B8+CX$3*100*$A8</f>
        <v>27.5876059843978</v>
      </c>
      <c r="CY8" s="19" t="n">
        <f aca="false">$B8+CY$3*100*$A8</f>
        <v>27.6501059843978</v>
      </c>
      <c r="CZ8" s="19" t="n">
        <f aca="false">$B8+CZ$3*100*$A8</f>
        <v>27.7126059843978</v>
      </c>
      <c r="DA8" s="19" t="n">
        <f aca="false">$B8+DA$3*100*$A8</f>
        <v>27.7751059843978</v>
      </c>
      <c r="DB8" s="19" t="n">
        <f aca="false">$B8+DB$3*100*$A8</f>
        <v>27.8376059843978</v>
      </c>
      <c r="DC8" s="19" t="n">
        <f aca="false">$B8+DC$3*100*$A8</f>
        <v>27.9001059843978</v>
      </c>
      <c r="DD8" s="19" t="n">
        <f aca="false">$B8+DD$3*100*$A8</f>
        <v>27.9626059843978</v>
      </c>
      <c r="DE8" s="19" t="n">
        <f aca="false">$B8+DE$3*100*$A8</f>
        <v>28.0251059843978</v>
      </c>
      <c r="DF8" s="19" t="n">
        <f aca="false">$B8+DF$3*100*$A8</f>
        <v>28.0876059843978</v>
      </c>
      <c r="DG8" s="19" t="n">
        <f aca="false">$B8+DG$3*100*$A8</f>
        <v>28.1501059843978</v>
      </c>
      <c r="DH8" s="19" t="n">
        <f aca="false">$B8+DH$3*100*$A8</f>
        <v>28.2126059843978</v>
      </c>
      <c r="DI8" s="19" t="n">
        <f aca="false">$B8+DI$3*100*$A8</f>
        <v>28.2751059843978</v>
      </c>
      <c r="DJ8" s="19" t="n">
        <f aca="false">$B8+DJ$3*100*$A8</f>
        <v>28.3376059843978</v>
      </c>
      <c r="DK8" s="19" t="n">
        <f aca="false">$B8+DK$3*100*$A8</f>
        <v>28.4001059843978</v>
      </c>
      <c r="DL8" s="19" t="n">
        <f aca="false">$B8+DL$3*100*$A8</f>
        <v>28.4626059843978</v>
      </c>
      <c r="DM8" s="19" t="n">
        <f aca="false">$B8+DM$3*100*$A8</f>
        <v>28.5251059843978</v>
      </c>
      <c r="DN8" s="19" t="n">
        <f aca="false">$B8+DN$3*100*$A8</f>
        <v>28.5876059843978</v>
      </c>
      <c r="DO8" s="19" t="n">
        <f aca="false">$B8+DO$3*100*$A8</f>
        <v>28.6501059843978</v>
      </c>
      <c r="DP8" s="19" t="n">
        <f aca="false">$B8+DP$3*100*$A8</f>
        <v>28.7126059843978</v>
      </c>
      <c r="DQ8" s="19" t="n">
        <f aca="false">$B8+DQ$3*100*$A8</f>
        <v>28.7751059843978</v>
      </c>
      <c r="DR8" s="19" t="n">
        <f aca="false">$B8+DR$3*100*$A8</f>
        <v>28.8376059843978</v>
      </c>
      <c r="DS8" s="19" t="n">
        <f aca="false">$B8+DS$3*100*$A8</f>
        <v>28.9001059843978</v>
      </c>
      <c r="DT8" s="19" t="n">
        <f aca="false">$B8+DT$3*100*$A8</f>
        <v>28.9626059843978</v>
      </c>
      <c r="DU8" s="19" t="n">
        <f aca="false">$B8+DU$3*100*$A8</f>
        <v>29.0251059843978</v>
      </c>
      <c r="DV8" s="19" t="n">
        <f aca="false">$B8+DV$3*100*$A8</f>
        <v>29.0876059843978</v>
      </c>
      <c r="DW8" s="19" t="n">
        <f aca="false">$B8+DW$3*100*$A8</f>
        <v>29.1501059843978</v>
      </c>
      <c r="DX8" s="19" t="n">
        <f aca="false">$B8+DX$3*100*$A8</f>
        <v>29.2126059843978</v>
      </c>
      <c r="DY8" s="19" t="n">
        <f aca="false">$B8+DY$3*100*$A8</f>
        <v>29.2751059843978</v>
      </c>
      <c r="DZ8" s="19" t="n">
        <f aca="false">$B8+DZ$3*100*$A8</f>
        <v>29.3376059843978</v>
      </c>
      <c r="EA8" s="19" t="n">
        <f aca="false">$B8+EA$3*100*$A8</f>
        <v>29.4001059843978</v>
      </c>
      <c r="EB8" s="19" t="n">
        <f aca="false">$B8+EB$3*100*$A8</f>
        <v>29.4626059843978</v>
      </c>
      <c r="EC8" s="19" t="n">
        <f aca="false">$B8+EC$3*100*$A8</f>
        <v>29.5251059843978</v>
      </c>
      <c r="ED8" s="19" t="n">
        <f aca="false">$B8+ED$3*100*$A8</f>
        <v>29.5876059843978</v>
      </c>
      <c r="EE8" s="19" t="n">
        <f aca="false">$B8+EE$3*100*$A8</f>
        <v>29.6501059843978</v>
      </c>
      <c r="EF8" s="19" t="n">
        <f aca="false">$B8+EF$3*100*$A8</f>
        <v>29.7126059843978</v>
      </c>
      <c r="EG8" s="19" t="n">
        <f aca="false">$B8+EG$3*100*$A8</f>
        <v>29.7751059843978</v>
      </c>
      <c r="EH8" s="19" t="n">
        <f aca="false">$B8+EH$3*100*$A8</f>
        <v>29.8376059843978</v>
      </c>
      <c r="EI8" s="19" t="n">
        <f aca="false">$B8+EI$3*100*$A8</f>
        <v>29.9001059843978</v>
      </c>
      <c r="EJ8" s="19" t="n">
        <f aca="false">$B8+EJ$3*100*$A8</f>
        <v>29.9626059843978</v>
      </c>
      <c r="EK8" s="19" t="n">
        <f aca="false">$B8+EK$3*100*$A8</f>
        <v>30.0251059843978</v>
      </c>
      <c r="EL8" s="19" t="n">
        <f aca="false">$B8+EL$3*100*$A8</f>
        <v>30.0876059843978</v>
      </c>
      <c r="EM8" s="19" t="n">
        <f aca="false">$B8+EM$3*100*$A8</f>
        <v>30.1501059843978</v>
      </c>
      <c r="EN8" s="19" t="n">
        <f aca="false">$B8+EN$3*100*$A8</f>
        <v>30.2126059843978</v>
      </c>
      <c r="EO8" s="19" t="n">
        <f aca="false">$B8+EO$3*100*$A8</f>
        <v>30.2751059843978</v>
      </c>
      <c r="EP8" s="19" t="n">
        <f aca="false">$B8+EP$3*100*$A8</f>
        <v>30.3376059843978</v>
      </c>
      <c r="EQ8" s="19" t="n">
        <f aca="false">$B8+EQ$3*100*$A8</f>
        <v>30.4001059843978</v>
      </c>
      <c r="ER8" s="19" t="n">
        <f aca="false">$B8+ER$3*100*$A8</f>
        <v>30.4626059843978</v>
      </c>
      <c r="ES8" s="19" t="n">
        <f aca="false">$B8+ES$3*100*$A8</f>
        <v>30.5251059843978</v>
      </c>
      <c r="ET8" s="19" t="n">
        <f aca="false">$B8+ET$3*100*$A8</f>
        <v>30.5876059843978</v>
      </c>
      <c r="EU8" s="19" t="n">
        <f aca="false">$B8+EU$3*100*$A8</f>
        <v>30.6501059843978</v>
      </c>
      <c r="EV8" s="19" t="n">
        <f aca="false">$B8+EV$3*100*$A8</f>
        <v>30.7126059843978</v>
      </c>
      <c r="EW8" s="19" t="n">
        <f aca="false">$B8+EW$3*100*$A8</f>
        <v>30.7751059843978</v>
      </c>
      <c r="EX8" s="19" t="n">
        <f aca="false">$B8+EX$3*100*$A8</f>
        <v>30.8376059843978</v>
      </c>
      <c r="EY8" s="19" t="n">
        <f aca="false">$B8+EY$3*100*$A8</f>
        <v>30.9001059843978</v>
      </c>
      <c r="EZ8" s="19" t="n">
        <f aca="false">$B8+EZ$3*100*$A8</f>
        <v>30.9626059843978</v>
      </c>
      <c r="FA8" s="19" t="n">
        <f aca="false">$B8+FA$3*100*$A8</f>
        <v>31.0251059843978</v>
      </c>
      <c r="FB8" s="19" t="n">
        <f aca="false">$B8+FB$3*100*$A8</f>
        <v>31.0876059843978</v>
      </c>
      <c r="FC8" s="19" t="n">
        <f aca="false">$B8+FC$3*100*$A8</f>
        <v>31.1501059843978</v>
      </c>
      <c r="FD8" s="19" t="n">
        <f aca="false">$B8+FD$3*100*$A8</f>
        <v>31.2126059843978</v>
      </c>
      <c r="FE8" s="19" t="n">
        <f aca="false">$B8+FE$3*100*$A8</f>
        <v>31.2751059843978</v>
      </c>
      <c r="FF8" s="19" t="n">
        <f aca="false">$B8+FF$3*100*$A8</f>
        <v>31.3376059843978</v>
      </c>
      <c r="FG8" s="19" t="n">
        <f aca="false">$B8+FG$3*100*$A8</f>
        <v>31.4001059843978</v>
      </c>
      <c r="FH8" s="19" t="n">
        <f aca="false">$B8+FH$3*100*$A8</f>
        <v>31.4626059843978</v>
      </c>
      <c r="FI8" s="19" t="n">
        <f aca="false">$B8+FI$3*100*$A8</f>
        <v>31.5251059843978</v>
      </c>
      <c r="FJ8" s="19" t="n">
        <f aca="false">$B8+FJ$3*100*$A8</f>
        <v>31.5876059843978</v>
      </c>
      <c r="FK8" s="19" t="n">
        <f aca="false">$B8+FK$3*100*$A8</f>
        <v>31.6501059843978</v>
      </c>
      <c r="FL8" s="19" t="n">
        <f aca="false">$B8+FL$3*100*$A8</f>
        <v>31.7126059843978</v>
      </c>
      <c r="FM8" s="19" t="n">
        <f aca="false">$B8+FM$3*100*$A8</f>
        <v>31.7751059843978</v>
      </c>
      <c r="FN8" s="19" t="n">
        <f aca="false">$B8+FN$3*100*$A8</f>
        <v>31.8376059843978</v>
      </c>
      <c r="FO8" s="19" t="n">
        <f aca="false">$B8+FO$3*100*$A8</f>
        <v>31.9001059843978</v>
      </c>
      <c r="FP8" s="19" t="n">
        <f aca="false">$B8+FP$3*100*$A8</f>
        <v>31.9626059843978</v>
      </c>
      <c r="FQ8" s="19" t="n">
        <f aca="false">$B8+FQ$3*100*$A8</f>
        <v>32.0251059843978</v>
      </c>
      <c r="FR8" s="19" t="n">
        <f aca="false">$B8+FR$3*100*$A8</f>
        <v>32.0876059843978</v>
      </c>
      <c r="FS8" s="19" t="n">
        <f aca="false">$B8+FS$3*100*$A8</f>
        <v>32.1501059843978</v>
      </c>
      <c r="FT8" s="19" t="n">
        <f aca="false">$B8+FT$3*100*$A8</f>
        <v>32.2126059843978</v>
      </c>
      <c r="FU8" s="19" t="n">
        <f aca="false">$B8+FU$3*100*$A8</f>
        <v>32.2751059843978</v>
      </c>
      <c r="FV8" s="19" t="n">
        <f aca="false">$B8+FV$3*100*$A8</f>
        <v>32.3376059843978</v>
      </c>
      <c r="FW8" s="19" t="n">
        <f aca="false">$B8+FW$3*100*$A8</f>
        <v>32.4001059843978</v>
      </c>
      <c r="FX8" s="19" t="n">
        <f aca="false">$B8+FX$3*100*$A8</f>
        <v>32.4626059843978</v>
      </c>
      <c r="FY8" s="19" t="n">
        <f aca="false">$B8+FY$3*100*$A8</f>
        <v>32.5251059843978</v>
      </c>
      <c r="FZ8" s="19" t="n">
        <f aca="false">$B8+FZ$3*100*$A8</f>
        <v>32.5876059843978</v>
      </c>
      <c r="GA8" s="19" t="n">
        <f aca="false">$B8+GA$3*100*$A8</f>
        <v>32.6501059843978</v>
      </c>
      <c r="GB8" s="19" t="n">
        <f aca="false">$B8+GB$3*100*$A8</f>
        <v>32.7126059843978</v>
      </c>
      <c r="GC8" s="19" t="n">
        <f aca="false">$B8+GC$3*100*$A8</f>
        <v>32.7751059843978</v>
      </c>
      <c r="GD8" s="19" t="n">
        <f aca="false">$B8+GD$3*100*$A8</f>
        <v>32.8376059843978</v>
      </c>
      <c r="GE8" s="19" t="n">
        <f aca="false">$B8+GE$3*100*$A8</f>
        <v>32.9001059843978</v>
      </c>
      <c r="GF8" s="19" t="n">
        <f aca="false">$B8+GF$3*100*$A8</f>
        <v>32.9626059843978</v>
      </c>
      <c r="GG8" s="19" t="n">
        <f aca="false">$B8+GG$3*100*$A8</f>
        <v>33.0251059843978</v>
      </c>
      <c r="GH8" s="19" t="n">
        <f aca="false">$B8+GH$3*100*$A8</f>
        <v>33.0876059843978</v>
      </c>
      <c r="GI8" s="19" t="n">
        <f aca="false">$B8+GI$3*100*$A8</f>
        <v>33.1501059843978</v>
      </c>
      <c r="GJ8" s="19" t="n">
        <f aca="false">$B8+GJ$3*100*$A8</f>
        <v>33.2126059843978</v>
      </c>
      <c r="GK8" s="19" t="n">
        <f aca="false">$B8+GK$3*100*$A8</f>
        <v>33.2751059843978</v>
      </c>
      <c r="GL8" s="19" t="n">
        <f aca="false">$B8+GL$3*100*$A8</f>
        <v>33.3376059843978</v>
      </c>
      <c r="GM8" s="19" t="n">
        <f aca="false">$B8+GM$3*100*$A8</f>
        <v>33.4001059843978</v>
      </c>
      <c r="GN8" s="19" t="n">
        <f aca="false">$B8+GN$3*100*$A8</f>
        <v>33.4626059843978</v>
      </c>
      <c r="GO8" s="19" t="n">
        <f aca="false">$B8+GO$3*100*$A8</f>
        <v>33.5251059843978</v>
      </c>
      <c r="GP8" s="19" t="n">
        <f aca="false">$B8+GP$3*100*$A8</f>
        <v>33.5876059843978</v>
      </c>
      <c r="GQ8" s="19" t="n">
        <f aca="false">$B8+GQ$3*100*$A8</f>
        <v>33.6501059843978</v>
      </c>
      <c r="GR8" s="19" t="n">
        <f aca="false">$B8+GR$3*100*$A8</f>
        <v>33.7126059843978</v>
      </c>
      <c r="GS8" s="19" t="n">
        <f aca="false">$B8+GS$3*100*$A8</f>
        <v>33.7751059843978</v>
      </c>
      <c r="GT8" s="19" t="n">
        <f aca="false">$B8+GT$3*100*$A8</f>
        <v>33.8376059843978</v>
      </c>
    </row>
    <row r="9" customFormat="false" ht="15" hidden="false" customHeight="false" outlineLevel="0" collapsed="false">
      <c r="A9" s="26" t="n">
        <f aca="false">Frontier!A7</f>
        <v>0.015</v>
      </c>
      <c r="B9" s="34" t="n">
        <f aca="false">Frontier!B7</f>
        <v>20.1223677102857</v>
      </c>
      <c r="C9" s="19" t="n">
        <f aca="false">$B9+C$3*100*$A9</f>
        <v>20.1973677102857</v>
      </c>
      <c r="D9" s="19" t="n">
        <f aca="false">$B9+D$3*100*$A9</f>
        <v>20.2723677102857</v>
      </c>
      <c r="E9" s="19" t="n">
        <f aca="false">$B9+E$3*100*$A9</f>
        <v>20.3473677102857</v>
      </c>
      <c r="F9" s="19" t="n">
        <f aca="false">$B9+F$3*100*$A9</f>
        <v>20.4223677102857</v>
      </c>
      <c r="G9" s="19" t="n">
        <f aca="false">$B9+G$3*100*$A9</f>
        <v>20.4973677102857</v>
      </c>
      <c r="H9" s="19" t="n">
        <f aca="false">$B9+H$3*100*$A9</f>
        <v>20.5723677102857</v>
      </c>
      <c r="I9" s="19" t="n">
        <f aca="false">$B9+I$3*100*$A9</f>
        <v>20.6473677102857</v>
      </c>
      <c r="J9" s="19" t="n">
        <f aca="false">$B9+J$3*100*$A9</f>
        <v>20.7223677102857</v>
      </c>
      <c r="K9" s="19" t="n">
        <f aca="false">$B9+K$3*100*$A9</f>
        <v>20.7973677102857</v>
      </c>
      <c r="L9" s="19" t="n">
        <f aca="false">$B9+L$3*100*$A9</f>
        <v>20.8723677102857</v>
      </c>
      <c r="M9" s="19" t="n">
        <f aca="false">$B9+M$3*100*$A9</f>
        <v>20.9473677102857</v>
      </c>
      <c r="N9" s="19" t="n">
        <f aca="false">$B9+N$3*100*$A9</f>
        <v>21.0223677102857</v>
      </c>
      <c r="O9" s="19" t="n">
        <f aca="false">$B9+O$3*100*$A9</f>
        <v>21.0973677102857</v>
      </c>
      <c r="P9" s="19" t="n">
        <f aca="false">$B9+P$3*100*$A9</f>
        <v>21.1723677102857</v>
      </c>
      <c r="Q9" s="19" t="n">
        <f aca="false">$B9+Q$3*100*$A9</f>
        <v>21.2473677102857</v>
      </c>
      <c r="R9" s="19" t="n">
        <f aca="false">$B9+R$3*100*$A9</f>
        <v>21.3223677102857</v>
      </c>
      <c r="S9" s="19" t="n">
        <f aca="false">$B9+S$3*100*$A9</f>
        <v>21.3973677102857</v>
      </c>
      <c r="T9" s="19" t="n">
        <f aca="false">$B9+T$3*100*$A9</f>
        <v>21.4723677102857</v>
      </c>
      <c r="U9" s="19" t="n">
        <f aca="false">$B9+U$3*100*$A9</f>
        <v>21.5473677102857</v>
      </c>
      <c r="V9" s="19" t="n">
        <f aca="false">$B9+V$3*100*$A9</f>
        <v>21.6223677102857</v>
      </c>
      <c r="W9" s="19" t="n">
        <f aca="false">$B9+W$3*100*$A9</f>
        <v>21.6973677102857</v>
      </c>
      <c r="X9" s="19" t="n">
        <f aca="false">$B9+X$3*100*$A9</f>
        <v>21.7723677102857</v>
      </c>
      <c r="Y9" s="19" t="n">
        <f aca="false">$B9+Y$3*100*$A9</f>
        <v>21.8473677102857</v>
      </c>
      <c r="Z9" s="19" t="n">
        <f aca="false">$B9+Z$3*100*$A9</f>
        <v>21.9223677102857</v>
      </c>
      <c r="AA9" s="19" t="n">
        <f aca="false">$B9+AA$3*100*$A9</f>
        <v>21.9973677102857</v>
      </c>
      <c r="AB9" s="19" t="n">
        <f aca="false">$B9+AB$3*100*$A9</f>
        <v>22.0723677102857</v>
      </c>
      <c r="AC9" s="19" t="n">
        <f aca="false">$B9+AC$3*100*$A9</f>
        <v>22.1473677102857</v>
      </c>
      <c r="AD9" s="19" t="n">
        <f aca="false">$B9+AD$3*100*$A9</f>
        <v>22.2223677102857</v>
      </c>
      <c r="AE9" s="19" t="n">
        <f aca="false">$B9+AE$3*100*$A9</f>
        <v>22.2973677102857</v>
      </c>
      <c r="AF9" s="19" t="n">
        <f aca="false">$B9+AF$3*100*$A9</f>
        <v>22.3723677102857</v>
      </c>
      <c r="AG9" s="19" t="n">
        <f aca="false">$B9+AG$3*100*$A9</f>
        <v>22.4473677102857</v>
      </c>
      <c r="AH9" s="19" t="n">
        <f aca="false">$B9+AH$3*100*$A9</f>
        <v>22.5223677102857</v>
      </c>
      <c r="AI9" s="19" t="n">
        <f aca="false">$B9+AI$3*100*$A9</f>
        <v>22.5973677102857</v>
      </c>
      <c r="AJ9" s="19" t="n">
        <f aca="false">$B9+AJ$3*100*$A9</f>
        <v>22.6723677102857</v>
      </c>
      <c r="AK9" s="19" t="n">
        <f aca="false">$B9+AK$3*100*$A9</f>
        <v>22.7473677102857</v>
      </c>
      <c r="AL9" s="19" t="n">
        <f aca="false">$B9+AL$3*100*$A9</f>
        <v>22.8223677102857</v>
      </c>
      <c r="AM9" s="19" t="n">
        <f aca="false">$B9+AM$3*100*$A9</f>
        <v>22.8973677102857</v>
      </c>
      <c r="AN9" s="19" t="n">
        <f aca="false">$B9+AN$3*100*$A9</f>
        <v>22.9723677102857</v>
      </c>
      <c r="AO9" s="19" t="n">
        <f aca="false">$B9+AO$3*100*$A9</f>
        <v>23.0473677102857</v>
      </c>
      <c r="AP9" s="19" t="n">
        <f aca="false">$B9+AP$3*100*$A9</f>
        <v>23.1223677102857</v>
      </c>
      <c r="AQ9" s="19" t="n">
        <f aca="false">$B9+AQ$3*100*$A9</f>
        <v>23.1973677102857</v>
      </c>
      <c r="AR9" s="19" t="n">
        <f aca="false">$B9+AR$3*100*$A9</f>
        <v>23.2723677102857</v>
      </c>
      <c r="AS9" s="19" t="n">
        <f aca="false">$B9+AS$3*100*$A9</f>
        <v>23.3473677102857</v>
      </c>
      <c r="AT9" s="19" t="n">
        <f aca="false">$B9+AT$3*100*$A9</f>
        <v>23.4223677102857</v>
      </c>
      <c r="AU9" s="19" t="n">
        <f aca="false">$B9+AU$3*100*$A9</f>
        <v>23.4973677102857</v>
      </c>
      <c r="AV9" s="19" t="n">
        <f aca="false">$B9+AV$3*100*$A9</f>
        <v>23.5723677102857</v>
      </c>
      <c r="AW9" s="19" t="n">
        <f aca="false">$B9+AW$3*100*$A9</f>
        <v>23.6473677102857</v>
      </c>
      <c r="AX9" s="19" t="n">
        <f aca="false">$B9+AX$3*100*$A9</f>
        <v>23.7223677102857</v>
      </c>
      <c r="AY9" s="19" t="n">
        <f aca="false">$B9+AY$3*100*$A9</f>
        <v>23.7973677102857</v>
      </c>
      <c r="AZ9" s="19" t="n">
        <f aca="false">$B9+AZ$3*100*$A9</f>
        <v>23.8723677102857</v>
      </c>
      <c r="BA9" s="19" t="n">
        <f aca="false">$B9+BA$3*100*$A9</f>
        <v>23.9473677102857</v>
      </c>
      <c r="BB9" s="19" t="n">
        <f aca="false">$B9+BB$3*100*$A9</f>
        <v>24.0223677102857</v>
      </c>
      <c r="BC9" s="19" t="n">
        <f aca="false">$B9+BC$3*100*$A9</f>
        <v>24.0973677102857</v>
      </c>
      <c r="BD9" s="19" t="n">
        <f aca="false">$B9+BD$3*100*$A9</f>
        <v>24.1723677102857</v>
      </c>
      <c r="BE9" s="19" t="n">
        <f aca="false">$B9+BE$3*100*$A9</f>
        <v>24.2473677102857</v>
      </c>
      <c r="BF9" s="19" t="n">
        <f aca="false">$B9+BF$3*100*$A9</f>
        <v>24.3223677102857</v>
      </c>
      <c r="BG9" s="19" t="n">
        <f aca="false">$B9+BG$3*100*$A9</f>
        <v>24.3973677102857</v>
      </c>
      <c r="BH9" s="19" t="n">
        <f aca="false">$B9+BH$3*100*$A9</f>
        <v>24.4723677102857</v>
      </c>
      <c r="BI9" s="19" t="n">
        <f aca="false">$B9+BI$3*100*$A9</f>
        <v>24.5473677102857</v>
      </c>
      <c r="BJ9" s="19" t="n">
        <f aca="false">$B9+BJ$3*100*$A9</f>
        <v>24.6223677102857</v>
      </c>
      <c r="BK9" s="19" t="n">
        <f aca="false">$B9+BK$3*100*$A9</f>
        <v>24.6973677102857</v>
      </c>
      <c r="BL9" s="19" t="n">
        <f aca="false">$B9+BL$3*100*$A9</f>
        <v>24.7723677102857</v>
      </c>
      <c r="BM9" s="19" t="n">
        <f aca="false">$B9+BM$3*100*$A9</f>
        <v>24.8473677102857</v>
      </c>
      <c r="BN9" s="19" t="n">
        <f aca="false">$B9+BN$3*100*$A9</f>
        <v>24.9223677102857</v>
      </c>
      <c r="BO9" s="19" t="n">
        <f aca="false">$B9+BO$3*100*$A9</f>
        <v>24.9973677102857</v>
      </c>
      <c r="BP9" s="19" t="n">
        <f aca="false">$B9+BP$3*100*$A9</f>
        <v>25.0723677102857</v>
      </c>
      <c r="BQ9" s="19" t="n">
        <f aca="false">$B9+BQ$3*100*$A9</f>
        <v>25.1473677102857</v>
      </c>
      <c r="BR9" s="19" t="n">
        <f aca="false">$B9+BR$3*100*$A9</f>
        <v>25.2223677102857</v>
      </c>
      <c r="BS9" s="19" t="n">
        <f aca="false">$B9+BS$3*100*$A9</f>
        <v>25.2973677102857</v>
      </c>
      <c r="BT9" s="19" t="n">
        <f aca="false">$B9+BT$3*100*$A9</f>
        <v>25.3723677102857</v>
      </c>
      <c r="BU9" s="19" t="n">
        <f aca="false">$B9+BU$3*100*$A9</f>
        <v>25.4473677102857</v>
      </c>
      <c r="BV9" s="19" t="n">
        <f aca="false">$B9+BV$3*100*$A9</f>
        <v>25.5223677102857</v>
      </c>
      <c r="BW9" s="19" t="n">
        <f aca="false">$B9+BW$3*100*$A9</f>
        <v>25.5973677102857</v>
      </c>
      <c r="BX9" s="19" t="n">
        <f aca="false">$B9+BX$3*100*$A9</f>
        <v>25.6723677102857</v>
      </c>
      <c r="BY9" s="19" t="n">
        <f aca="false">$B9+BY$3*100*$A9</f>
        <v>25.7473677102857</v>
      </c>
      <c r="BZ9" s="19" t="n">
        <f aca="false">$B9+BZ$3*100*$A9</f>
        <v>25.8223677102857</v>
      </c>
      <c r="CA9" s="19" t="n">
        <f aca="false">$B9+CA$3*100*$A9</f>
        <v>25.8973677102857</v>
      </c>
      <c r="CB9" s="19" t="n">
        <f aca="false">$B9+CB$3*100*$A9</f>
        <v>25.9723677102857</v>
      </c>
      <c r="CC9" s="19" t="n">
        <f aca="false">$B9+CC$3*100*$A9</f>
        <v>26.0473677102857</v>
      </c>
      <c r="CD9" s="19" t="n">
        <f aca="false">$B9+CD$3*100*$A9</f>
        <v>26.1223677102857</v>
      </c>
      <c r="CE9" s="19" t="n">
        <f aca="false">$B9+CE$3*100*$A9</f>
        <v>26.1973677102857</v>
      </c>
      <c r="CF9" s="19" t="n">
        <f aca="false">$B9+CF$3*100*$A9</f>
        <v>26.2723677102857</v>
      </c>
      <c r="CG9" s="19" t="n">
        <f aca="false">$B9+CG$3*100*$A9</f>
        <v>26.3473677102857</v>
      </c>
      <c r="CH9" s="19" t="n">
        <f aca="false">$B9+CH$3*100*$A9</f>
        <v>26.4223677102857</v>
      </c>
      <c r="CI9" s="19" t="n">
        <f aca="false">$B9+CI$3*100*$A9</f>
        <v>26.4973677102857</v>
      </c>
      <c r="CJ9" s="19" t="n">
        <f aca="false">$B9+CJ$3*100*$A9</f>
        <v>26.5723677102857</v>
      </c>
      <c r="CK9" s="19" t="n">
        <f aca="false">$B9+CK$3*100*$A9</f>
        <v>26.6473677102857</v>
      </c>
      <c r="CL9" s="19" t="n">
        <f aca="false">$B9+CL$3*100*$A9</f>
        <v>26.7223677102857</v>
      </c>
      <c r="CM9" s="19" t="n">
        <f aca="false">$B9+CM$3*100*$A9</f>
        <v>26.7973677102857</v>
      </c>
      <c r="CN9" s="19" t="n">
        <f aca="false">$B9+CN$3*100*$A9</f>
        <v>26.8723677102857</v>
      </c>
      <c r="CO9" s="19" t="n">
        <f aca="false">$B9+CO$3*100*$A9</f>
        <v>26.9473677102857</v>
      </c>
      <c r="CP9" s="19" t="n">
        <f aca="false">$B9+CP$3*100*$A9</f>
        <v>27.0223677102857</v>
      </c>
      <c r="CQ9" s="19" t="n">
        <f aca="false">$B9+CQ$3*100*$A9</f>
        <v>27.0973677102857</v>
      </c>
      <c r="CR9" s="19" t="n">
        <f aca="false">$B9+CR$3*100*$A9</f>
        <v>27.1723677102857</v>
      </c>
      <c r="CS9" s="19" t="n">
        <f aca="false">$B9+CS$3*100*$A9</f>
        <v>27.2473677102857</v>
      </c>
      <c r="CT9" s="19" t="n">
        <f aca="false">$B9+CT$3*100*$A9</f>
        <v>27.3223677102857</v>
      </c>
      <c r="CU9" s="19" t="n">
        <f aca="false">$B9+CU$3*100*$A9</f>
        <v>27.3973677102857</v>
      </c>
      <c r="CV9" s="19" t="n">
        <f aca="false">$B9+CV$3*100*$A9</f>
        <v>27.4723677102857</v>
      </c>
      <c r="CW9" s="19" t="n">
        <f aca="false">$B9+CW$3*100*$A9</f>
        <v>27.5473677102857</v>
      </c>
      <c r="CX9" s="19" t="n">
        <f aca="false">$B9+CX$3*100*$A9</f>
        <v>27.6223677102857</v>
      </c>
      <c r="CY9" s="19" t="n">
        <f aca="false">$B9+CY$3*100*$A9</f>
        <v>27.6973677102857</v>
      </c>
      <c r="CZ9" s="19" t="n">
        <f aca="false">$B9+CZ$3*100*$A9</f>
        <v>27.7723677102857</v>
      </c>
      <c r="DA9" s="19" t="n">
        <f aca="false">$B9+DA$3*100*$A9</f>
        <v>27.8473677102857</v>
      </c>
      <c r="DB9" s="19" t="n">
        <f aca="false">$B9+DB$3*100*$A9</f>
        <v>27.9223677102857</v>
      </c>
      <c r="DC9" s="19" t="n">
        <f aca="false">$B9+DC$3*100*$A9</f>
        <v>27.9973677102857</v>
      </c>
      <c r="DD9" s="19" t="n">
        <f aca="false">$B9+DD$3*100*$A9</f>
        <v>28.0723677102857</v>
      </c>
      <c r="DE9" s="19" t="n">
        <f aca="false">$B9+DE$3*100*$A9</f>
        <v>28.1473677102857</v>
      </c>
      <c r="DF9" s="19" t="n">
        <f aca="false">$B9+DF$3*100*$A9</f>
        <v>28.2223677102857</v>
      </c>
      <c r="DG9" s="19" t="n">
        <f aca="false">$B9+DG$3*100*$A9</f>
        <v>28.2973677102857</v>
      </c>
      <c r="DH9" s="19" t="n">
        <f aca="false">$B9+DH$3*100*$A9</f>
        <v>28.3723677102857</v>
      </c>
      <c r="DI9" s="19" t="n">
        <f aca="false">$B9+DI$3*100*$A9</f>
        <v>28.4473677102857</v>
      </c>
      <c r="DJ9" s="19" t="n">
        <f aca="false">$B9+DJ$3*100*$A9</f>
        <v>28.5223677102857</v>
      </c>
      <c r="DK9" s="19" t="n">
        <f aca="false">$B9+DK$3*100*$A9</f>
        <v>28.5973677102857</v>
      </c>
      <c r="DL9" s="19" t="n">
        <f aca="false">$B9+DL$3*100*$A9</f>
        <v>28.6723677102857</v>
      </c>
      <c r="DM9" s="19" t="n">
        <f aca="false">$B9+DM$3*100*$A9</f>
        <v>28.7473677102857</v>
      </c>
      <c r="DN9" s="19" t="n">
        <f aca="false">$B9+DN$3*100*$A9</f>
        <v>28.8223677102857</v>
      </c>
      <c r="DO9" s="19" t="n">
        <f aca="false">$B9+DO$3*100*$A9</f>
        <v>28.8973677102857</v>
      </c>
      <c r="DP9" s="19" t="n">
        <f aca="false">$B9+DP$3*100*$A9</f>
        <v>28.9723677102857</v>
      </c>
      <c r="DQ9" s="19" t="n">
        <f aca="false">$B9+DQ$3*100*$A9</f>
        <v>29.0473677102857</v>
      </c>
      <c r="DR9" s="19" t="n">
        <f aca="false">$B9+DR$3*100*$A9</f>
        <v>29.1223677102857</v>
      </c>
      <c r="DS9" s="19" t="n">
        <f aca="false">$B9+DS$3*100*$A9</f>
        <v>29.1973677102857</v>
      </c>
      <c r="DT9" s="19" t="n">
        <f aca="false">$B9+DT$3*100*$A9</f>
        <v>29.2723677102857</v>
      </c>
      <c r="DU9" s="19" t="n">
        <f aca="false">$B9+DU$3*100*$A9</f>
        <v>29.3473677102857</v>
      </c>
      <c r="DV9" s="19" t="n">
        <f aca="false">$B9+DV$3*100*$A9</f>
        <v>29.4223677102857</v>
      </c>
      <c r="DW9" s="19" t="n">
        <f aca="false">$B9+DW$3*100*$A9</f>
        <v>29.4973677102857</v>
      </c>
      <c r="DX9" s="19" t="n">
        <f aca="false">$B9+DX$3*100*$A9</f>
        <v>29.5723677102857</v>
      </c>
      <c r="DY9" s="19" t="n">
        <f aca="false">$B9+DY$3*100*$A9</f>
        <v>29.6473677102857</v>
      </c>
      <c r="DZ9" s="19" t="n">
        <f aca="false">$B9+DZ$3*100*$A9</f>
        <v>29.7223677102857</v>
      </c>
      <c r="EA9" s="19" t="n">
        <f aca="false">$B9+EA$3*100*$A9</f>
        <v>29.7973677102857</v>
      </c>
      <c r="EB9" s="19" t="n">
        <f aca="false">$B9+EB$3*100*$A9</f>
        <v>29.8723677102857</v>
      </c>
      <c r="EC9" s="19" t="n">
        <f aca="false">$B9+EC$3*100*$A9</f>
        <v>29.9473677102857</v>
      </c>
      <c r="ED9" s="19" t="n">
        <f aca="false">$B9+ED$3*100*$A9</f>
        <v>30.0223677102857</v>
      </c>
      <c r="EE9" s="19" t="n">
        <f aca="false">$B9+EE$3*100*$A9</f>
        <v>30.0973677102857</v>
      </c>
      <c r="EF9" s="19" t="n">
        <f aca="false">$B9+EF$3*100*$A9</f>
        <v>30.1723677102857</v>
      </c>
      <c r="EG9" s="19" t="n">
        <f aca="false">$B9+EG$3*100*$A9</f>
        <v>30.2473677102857</v>
      </c>
      <c r="EH9" s="19" t="n">
        <f aca="false">$B9+EH$3*100*$A9</f>
        <v>30.3223677102857</v>
      </c>
      <c r="EI9" s="19" t="n">
        <f aca="false">$B9+EI$3*100*$A9</f>
        <v>30.3973677102857</v>
      </c>
      <c r="EJ9" s="19" t="n">
        <f aca="false">$B9+EJ$3*100*$A9</f>
        <v>30.4723677102857</v>
      </c>
      <c r="EK9" s="19" t="n">
        <f aca="false">$B9+EK$3*100*$A9</f>
        <v>30.5473677102857</v>
      </c>
      <c r="EL9" s="19" t="n">
        <f aca="false">$B9+EL$3*100*$A9</f>
        <v>30.6223677102857</v>
      </c>
      <c r="EM9" s="19" t="n">
        <f aca="false">$B9+EM$3*100*$A9</f>
        <v>30.6973677102857</v>
      </c>
      <c r="EN9" s="19" t="n">
        <f aca="false">$B9+EN$3*100*$A9</f>
        <v>30.7723677102857</v>
      </c>
      <c r="EO9" s="19" t="n">
        <f aca="false">$B9+EO$3*100*$A9</f>
        <v>30.8473677102857</v>
      </c>
      <c r="EP9" s="19" t="n">
        <f aca="false">$B9+EP$3*100*$A9</f>
        <v>30.9223677102857</v>
      </c>
      <c r="EQ9" s="19" t="n">
        <f aca="false">$B9+EQ$3*100*$A9</f>
        <v>30.9973677102857</v>
      </c>
      <c r="ER9" s="19" t="n">
        <f aca="false">$B9+ER$3*100*$A9</f>
        <v>31.0723677102857</v>
      </c>
      <c r="ES9" s="19" t="n">
        <f aca="false">$B9+ES$3*100*$A9</f>
        <v>31.1473677102857</v>
      </c>
      <c r="ET9" s="19" t="n">
        <f aca="false">$B9+ET$3*100*$A9</f>
        <v>31.2223677102857</v>
      </c>
      <c r="EU9" s="19" t="n">
        <f aca="false">$B9+EU$3*100*$A9</f>
        <v>31.2973677102857</v>
      </c>
      <c r="EV9" s="19" t="n">
        <f aca="false">$B9+EV$3*100*$A9</f>
        <v>31.3723677102857</v>
      </c>
      <c r="EW9" s="19" t="n">
        <f aca="false">$B9+EW$3*100*$A9</f>
        <v>31.4473677102857</v>
      </c>
      <c r="EX9" s="19" t="n">
        <f aca="false">$B9+EX$3*100*$A9</f>
        <v>31.5223677102857</v>
      </c>
      <c r="EY9" s="19" t="n">
        <f aca="false">$B9+EY$3*100*$A9</f>
        <v>31.5973677102857</v>
      </c>
      <c r="EZ9" s="19" t="n">
        <f aca="false">$B9+EZ$3*100*$A9</f>
        <v>31.6723677102857</v>
      </c>
      <c r="FA9" s="19" t="n">
        <f aca="false">$B9+FA$3*100*$A9</f>
        <v>31.7473677102857</v>
      </c>
      <c r="FB9" s="19" t="n">
        <f aca="false">$B9+FB$3*100*$A9</f>
        <v>31.8223677102857</v>
      </c>
      <c r="FC9" s="19" t="n">
        <f aca="false">$B9+FC$3*100*$A9</f>
        <v>31.8973677102857</v>
      </c>
      <c r="FD9" s="19" t="n">
        <f aca="false">$B9+FD$3*100*$A9</f>
        <v>31.9723677102857</v>
      </c>
      <c r="FE9" s="19" t="n">
        <f aca="false">$B9+FE$3*100*$A9</f>
        <v>32.0473677102857</v>
      </c>
      <c r="FF9" s="19" t="n">
        <f aca="false">$B9+FF$3*100*$A9</f>
        <v>32.1223677102857</v>
      </c>
      <c r="FG9" s="19" t="n">
        <f aca="false">$B9+FG$3*100*$A9</f>
        <v>32.1973677102857</v>
      </c>
      <c r="FH9" s="19" t="n">
        <f aca="false">$B9+FH$3*100*$A9</f>
        <v>32.2723677102857</v>
      </c>
      <c r="FI9" s="19" t="n">
        <f aca="false">$B9+FI$3*100*$A9</f>
        <v>32.3473677102857</v>
      </c>
      <c r="FJ9" s="19" t="n">
        <f aca="false">$B9+FJ$3*100*$A9</f>
        <v>32.4223677102857</v>
      </c>
      <c r="FK9" s="19" t="n">
        <f aca="false">$B9+FK$3*100*$A9</f>
        <v>32.4973677102857</v>
      </c>
      <c r="FL9" s="19" t="n">
        <f aca="false">$B9+FL$3*100*$A9</f>
        <v>32.5723677102857</v>
      </c>
      <c r="FM9" s="19" t="n">
        <f aca="false">$B9+FM$3*100*$A9</f>
        <v>32.6473677102857</v>
      </c>
      <c r="FN9" s="19" t="n">
        <f aca="false">$B9+FN$3*100*$A9</f>
        <v>32.7223677102857</v>
      </c>
      <c r="FO9" s="19" t="n">
        <f aca="false">$B9+FO$3*100*$A9</f>
        <v>32.7973677102857</v>
      </c>
      <c r="FP9" s="19" t="n">
        <f aca="false">$B9+FP$3*100*$A9</f>
        <v>32.8723677102857</v>
      </c>
      <c r="FQ9" s="19" t="n">
        <f aca="false">$B9+FQ$3*100*$A9</f>
        <v>32.9473677102857</v>
      </c>
      <c r="FR9" s="19" t="n">
        <f aca="false">$B9+FR$3*100*$A9</f>
        <v>33.0223677102857</v>
      </c>
      <c r="FS9" s="19" t="n">
        <f aca="false">$B9+FS$3*100*$A9</f>
        <v>33.0973677102857</v>
      </c>
      <c r="FT9" s="19" t="n">
        <f aca="false">$B9+FT$3*100*$A9</f>
        <v>33.1723677102857</v>
      </c>
      <c r="FU9" s="19" t="n">
        <f aca="false">$B9+FU$3*100*$A9</f>
        <v>33.2473677102857</v>
      </c>
      <c r="FV9" s="19" t="n">
        <f aca="false">$B9+FV$3*100*$A9</f>
        <v>33.3223677102857</v>
      </c>
      <c r="FW9" s="19" t="n">
        <f aca="false">$B9+FW$3*100*$A9</f>
        <v>33.3973677102857</v>
      </c>
      <c r="FX9" s="19" t="n">
        <f aca="false">$B9+FX$3*100*$A9</f>
        <v>33.4723677102857</v>
      </c>
      <c r="FY9" s="19" t="n">
        <f aca="false">$B9+FY$3*100*$A9</f>
        <v>33.5473677102857</v>
      </c>
      <c r="FZ9" s="19" t="n">
        <f aca="false">$B9+FZ$3*100*$A9</f>
        <v>33.6223677102857</v>
      </c>
      <c r="GA9" s="19" t="n">
        <f aca="false">$B9+GA$3*100*$A9</f>
        <v>33.6973677102857</v>
      </c>
      <c r="GB9" s="19" t="n">
        <f aca="false">$B9+GB$3*100*$A9</f>
        <v>33.7723677102857</v>
      </c>
      <c r="GC9" s="19" t="n">
        <f aca="false">$B9+GC$3*100*$A9</f>
        <v>33.8473677102857</v>
      </c>
      <c r="GD9" s="19" t="n">
        <f aca="false">$B9+GD$3*100*$A9</f>
        <v>33.9223677102857</v>
      </c>
      <c r="GE9" s="19" t="n">
        <f aca="false">$B9+GE$3*100*$A9</f>
        <v>33.9973677102857</v>
      </c>
      <c r="GF9" s="19" t="n">
        <f aca="false">$B9+GF$3*100*$A9</f>
        <v>34.0723677102857</v>
      </c>
      <c r="GG9" s="19" t="n">
        <f aca="false">$B9+GG$3*100*$A9</f>
        <v>34.1473677102857</v>
      </c>
      <c r="GH9" s="19" t="n">
        <f aca="false">$B9+GH$3*100*$A9</f>
        <v>34.2223677102857</v>
      </c>
      <c r="GI9" s="19" t="n">
        <f aca="false">$B9+GI$3*100*$A9</f>
        <v>34.2973677102857</v>
      </c>
      <c r="GJ9" s="19" t="n">
        <f aca="false">$B9+GJ$3*100*$A9</f>
        <v>34.3723677102857</v>
      </c>
      <c r="GK9" s="19" t="n">
        <f aca="false">$B9+GK$3*100*$A9</f>
        <v>34.4473677102857</v>
      </c>
      <c r="GL9" s="19" t="n">
        <f aca="false">$B9+GL$3*100*$A9</f>
        <v>34.5223677102857</v>
      </c>
      <c r="GM9" s="19" t="n">
        <f aca="false">$B9+GM$3*100*$A9</f>
        <v>34.5973677102857</v>
      </c>
      <c r="GN9" s="19" t="n">
        <f aca="false">$B9+GN$3*100*$A9</f>
        <v>34.6723677102857</v>
      </c>
      <c r="GO9" s="19" t="n">
        <f aca="false">$B9+GO$3*100*$A9</f>
        <v>34.7473677102857</v>
      </c>
      <c r="GP9" s="19" t="n">
        <f aca="false">$B9+GP$3*100*$A9</f>
        <v>34.8223677102857</v>
      </c>
      <c r="GQ9" s="19" t="n">
        <f aca="false">$B9+GQ$3*100*$A9</f>
        <v>34.8973677102857</v>
      </c>
      <c r="GR9" s="19" t="n">
        <f aca="false">$B9+GR$3*100*$A9</f>
        <v>34.9723677102857</v>
      </c>
      <c r="GS9" s="19" t="n">
        <f aca="false">$B9+GS$3*100*$A9</f>
        <v>35.0473677102857</v>
      </c>
      <c r="GT9" s="19" t="n">
        <f aca="false">$B9+GT$3*100*$A9</f>
        <v>35.1223677102857</v>
      </c>
    </row>
    <row r="10" customFormat="false" ht="15" hidden="false" customHeight="false" outlineLevel="0" collapsed="false">
      <c r="A10" s="26" t="n">
        <f aca="false">Frontier!A8</f>
        <v>0.0175</v>
      </c>
      <c r="B10" s="34" t="n">
        <f aca="false">Frontier!B8</f>
        <v>18.8803675829439</v>
      </c>
      <c r="C10" s="19" t="n">
        <f aca="false">$B10+C$3*100*$A10</f>
        <v>18.9678675829439</v>
      </c>
      <c r="D10" s="19" t="n">
        <f aca="false">$B10+D$3*100*$A10</f>
        <v>19.0553675829439</v>
      </c>
      <c r="E10" s="19" t="n">
        <f aca="false">$B10+E$3*100*$A10</f>
        <v>19.1428675829439</v>
      </c>
      <c r="F10" s="19" t="n">
        <f aca="false">$B10+F$3*100*$A10</f>
        <v>19.2303675829439</v>
      </c>
      <c r="G10" s="19" t="n">
        <f aca="false">$B10+G$3*100*$A10</f>
        <v>19.3178675829439</v>
      </c>
      <c r="H10" s="19" t="n">
        <f aca="false">$B10+H$3*100*$A10</f>
        <v>19.4053675829439</v>
      </c>
      <c r="I10" s="19" t="n">
        <f aca="false">$B10+I$3*100*$A10</f>
        <v>19.4928675829439</v>
      </c>
      <c r="J10" s="19" t="n">
        <f aca="false">$B10+J$3*100*$A10</f>
        <v>19.5803675829439</v>
      </c>
      <c r="K10" s="19" t="n">
        <f aca="false">$B10+K$3*100*$A10</f>
        <v>19.6678675829439</v>
      </c>
      <c r="L10" s="19" t="n">
        <f aca="false">$B10+L$3*100*$A10</f>
        <v>19.7553675829439</v>
      </c>
      <c r="M10" s="19" t="n">
        <f aca="false">$B10+M$3*100*$A10</f>
        <v>19.8428675829439</v>
      </c>
      <c r="N10" s="19" t="n">
        <f aca="false">$B10+N$3*100*$A10</f>
        <v>19.9303675829439</v>
      </c>
      <c r="O10" s="19" t="n">
        <f aca="false">$B10+O$3*100*$A10</f>
        <v>20.0178675829439</v>
      </c>
      <c r="P10" s="19" t="n">
        <f aca="false">$B10+P$3*100*$A10</f>
        <v>20.1053675829439</v>
      </c>
      <c r="Q10" s="19" t="n">
        <f aca="false">$B10+Q$3*100*$A10</f>
        <v>20.1928675829439</v>
      </c>
      <c r="R10" s="19" t="n">
        <f aca="false">$B10+R$3*100*$A10</f>
        <v>20.2803675829439</v>
      </c>
      <c r="S10" s="19" t="n">
        <f aca="false">$B10+S$3*100*$A10</f>
        <v>20.3678675829439</v>
      </c>
      <c r="T10" s="19" t="n">
        <f aca="false">$B10+T$3*100*$A10</f>
        <v>20.4553675829439</v>
      </c>
      <c r="U10" s="19" t="n">
        <f aca="false">$B10+U$3*100*$A10</f>
        <v>20.5428675829439</v>
      </c>
      <c r="V10" s="19" t="n">
        <f aca="false">$B10+V$3*100*$A10</f>
        <v>20.6303675829439</v>
      </c>
      <c r="W10" s="19" t="n">
        <f aca="false">$B10+W$3*100*$A10</f>
        <v>20.7178675829439</v>
      </c>
      <c r="X10" s="19" t="n">
        <f aca="false">$B10+X$3*100*$A10</f>
        <v>20.8053675829439</v>
      </c>
      <c r="Y10" s="19" t="n">
        <f aca="false">$B10+Y$3*100*$A10</f>
        <v>20.8928675829439</v>
      </c>
      <c r="Z10" s="19" t="n">
        <f aca="false">$B10+Z$3*100*$A10</f>
        <v>20.9803675829439</v>
      </c>
      <c r="AA10" s="19" t="n">
        <f aca="false">$B10+AA$3*100*$A10</f>
        <v>21.0678675829439</v>
      </c>
      <c r="AB10" s="19" t="n">
        <f aca="false">$B10+AB$3*100*$A10</f>
        <v>21.1553675829439</v>
      </c>
      <c r="AC10" s="19" t="n">
        <f aca="false">$B10+AC$3*100*$A10</f>
        <v>21.2428675829439</v>
      </c>
      <c r="AD10" s="19" t="n">
        <f aca="false">$B10+AD$3*100*$A10</f>
        <v>21.3303675829439</v>
      </c>
      <c r="AE10" s="19" t="n">
        <f aca="false">$B10+AE$3*100*$A10</f>
        <v>21.4178675829439</v>
      </c>
      <c r="AF10" s="19" t="n">
        <f aca="false">$B10+AF$3*100*$A10</f>
        <v>21.5053675829439</v>
      </c>
      <c r="AG10" s="19" t="n">
        <f aca="false">$B10+AG$3*100*$A10</f>
        <v>21.5928675829439</v>
      </c>
      <c r="AH10" s="19" t="n">
        <f aca="false">$B10+AH$3*100*$A10</f>
        <v>21.6803675829439</v>
      </c>
      <c r="AI10" s="19" t="n">
        <f aca="false">$B10+AI$3*100*$A10</f>
        <v>21.7678675829439</v>
      </c>
      <c r="AJ10" s="19" t="n">
        <f aca="false">$B10+AJ$3*100*$A10</f>
        <v>21.8553675829439</v>
      </c>
      <c r="AK10" s="19" t="n">
        <f aca="false">$B10+AK$3*100*$A10</f>
        <v>21.9428675829439</v>
      </c>
      <c r="AL10" s="19" t="n">
        <f aca="false">$B10+AL$3*100*$A10</f>
        <v>22.0303675829439</v>
      </c>
      <c r="AM10" s="19" t="n">
        <f aca="false">$B10+AM$3*100*$A10</f>
        <v>22.1178675829439</v>
      </c>
      <c r="AN10" s="19" t="n">
        <f aca="false">$B10+AN$3*100*$A10</f>
        <v>22.2053675829439</v>
      </c>
      <c r="AO10" s="19" t="n">
        <f aca="false">$B10+AO$3*100*$A10</f>
        <v>22.2928675829439</v>
      </c>
      <c r="AP10" s="19" t="n">
        <f aca="false">$B10+AP$3*100*$A10</f>
        <v>22.3803675829439</v>
      </c>
      <c r="AQ10" s="19" t="n">
        <f aca="false">$B10+AQ$3*100*$A10</f>
        <v>22.4678675829439</v>
      </c>
      <c r="AR10" s="19" t="n">
        <f aca="false">$B10+AR$3*100*$A10</f>
        <v>22.5553675829439</v>
      </c>
      <c r="AS10" s="19" t="n">
        <f aca="false">$B10+AS$3*100*$A10</f>
        <v>22.6428675829439</v>
      </c>
      <c r="AT10" s="19" t="n">
        <f aca="false">$B10+AT$3*100*$A10</f>
        <v>22.7303675829439</v>
      </c>
      <c r="AU10" s="19" t="n">
        <f aca="false">$B10+AU$3*100*$A10</f>
        <v>22.8178675829439</v>
      </c>
      <c r="AV10" s="19" t="n">
        <f aca="false">$B10+AV$3*100*$A10</f>
        <v>22.9053675829439</v>
      </c>
      <c r="AW10" s="19" t="n">
        <f aca="false">$B10+AW$3*100*$A10</f>
        <v>22.9928675829439</v>
      </c>
      <c r="AX10" s="19" t="n">
        <f aca="false">$B10+AX$3*100*$A10</f>
        <v>23.0803675829439</v>
      </c>
      <c r="AY10" s="19" t="n">
        <f aca="false">$B10+AY$3*100*$A10</f>
        <v>23.1678675829439</v>
      </c>
      <c r="AZ10" s="19" t="n">
        <f aca="false">$B10+AZ$3*100*$A10</f>
        <v>23.2553675829439</v>
      </c>
      <c r="BA10" s="19" t="n">
        <f aca="false">$B10+BA$3*100*$A10</f>
        <v>23.3428675829439</v>
      </c>
      <c r="BB10" s="19" t="n">
        <f aca="false">$B10+BB$3*100*$A10</f>
        <v>23.4303675829439</v>
      </c>
      <c r="BC10" s="19" t="n">
        <f aca="false">$B10+BC$3*100*$A10</f>
        <v>23.5178675829439</v>
      </c>
      <c r="BD10" s="19" t="n">
        <f aca="false">$B10+BD$3*100*$A10</f>
        <v>23.6053675829439</v>
      </c>
      <c r="BE10" s="19" t="n">
        <f aca="false">$B10+BE$3*100*$A10</f>
        <v>23.6928675829439</v>
      </c>
      <c r="BF10" s="19" t="n">
        <f aca="false">$B10+BF$3*100*$A10</f>
        <v>23.7803675829439</v>
      </c>
      <c r="BG10" s="19" t="n">
        <f aca="false">$B10+BG$3*100*$A10</f>
        <v>23.8678675829439</v>
      </c>
      <c r="BH10" s="19" t="n">
        <f aca="false">$B10+BH$3*100*$A10</f>
        <v>23.9553675829439</v>
      </c>
      <c r="BI10" s="19" t="n">
        <f aca="false">$B10+BI$3*100*$A10</f>
        <v>24.0428675829439</v>
      </c>
      <c r="BJ10" s="19" t="n">
        <f aca="false">$B10+BJ$3*100*$A10</f>
        <v>24.1303675829439</v>
      </c>
      <c r="BK10" s="19" t="n">
        <f aca="false">$B10+BK$3*100*$A10</f>
        <v>24.2178675829439</v>
      </c>
      <c r="BL10" s="19" t="n">
        <f aca="false">$B10+BL$3*100*$A10</f>
        <v>24.3053675829439</v>
      </c>
      <c r="BM10" s="19" t="n">
        <f aca="false">$B10+BM$3*100*$A10</f>
        <v>24.3928675829439</v>
      </c>
      <c r="BN10" s="19" t="n">
        <f aca="false">$B10+BN$3*100*$A10</f>
        <v>24.4803675829439</v>
      </c>
      <c r="BO10" s="19" t="n">
        <f aca="false">$B10+BO$3*100*$A10</f>
        <v>24.5678675829439</v>
      </c>
      <c r="BP10" s="19" t="n">
        <f aca="false">$B10+BP$3*100*$A10</f>
        <v>24.6553675829439</v>
      </c>
      <c r="BQ10" s="19" t="n">
        <f aca="false">$B10+BQ$3*100*$A10</f>
        <v>24.7428675829439</v>
      </c>
      <c r="BR10" s="19" t="n">
        <f aca="false">$B10+BR$3*100*$A10</f>
        <v>24.8303675829439</v>
      </c>
      <c r="BS10" s="19" t="n">
        <f aca="false">$B10+BS$3*100*$A10</f>
        <v>24.9178675829439</v>
      </c>
      <c r="BT10" s="19" t="n">
        <f aca="false">$B10+BT$3*100*$A10</f>
        <v>25.0053675829439</v>
      </c>
      <c r="BU10" s="19" t="n">
        <f aca="false">$B10+BU$3*100*$A10</f>
        <v>25.0928675829439</v>
      </c>
      <c r="BV10" s="19" t="n">
        <f aca="false">$B10+BV$3*100*$A10</f>
        <v>25.1803675829439</v>
      </c>
      <c r="BW10" s="19" t="n">
        <f aca="false">$B10+BW$3*100*$A10</f>
        <v>25.2678675829439</v>
      </c>
      <c r="BX10" s="19" t="n">
        <f aca="false">$B10+BX$3*100*$A10</f>
        <v>25.3553675829439</v>
      </c>
      <c r="BY10" s="19" t="n">
        <f aca="false">$B10+BY$3*100*$A10</f>
        <v>25.4428675829439</v>
      </c>
      <c r="BZ10" s="19" t="n">
        <f aca="false">$B10+BZ$3*100*$A10</f>
        <v>25.5303675829439</v>
      </c>
      <c r="CA10" s="19" t="n">
        <f aca="false">$B10+CA$3*100*$A10</f>
        <v>25.6178675829439</v>
      </c>
      <c r="CB10" s="19" t="n">
        <f aca="false">$B10+CB$3*100*$A10</f>
        <v>25.7053675829439</v>
      </c>
      <c r="CC10" s="19" t="n">
        <f aca="false">$B10+CC$3*100*$A10</f>
        <v>25.7928675829439</v>
      </c>
      <c r="CD10" s="19" t="n">
        <f aca="false">$B10+CD$3*100*$A10</f>
        <v>25.8803675829439</v>
      </c>
      <c r="CE10" s="19" t="n">
        <f aca="false">$B10+CE$3*100*$A10</f>
        <v>25.9678675829439</v>
      </c>
      <c r="CF10" s="19" t="n">
        <f aca="false">$B10+CF$3*100*$A10</f>
        <v>26.0553675829439</v>
      </c>
      <c r="CG10" s="19" t="n">
        <f aca="false">$B10+CG$3*100*$A10</f>
        <v>26.1428675829439</v>
      </c>
      <c r="CH10" s="19" t="n">
        <f aca="false">$B10+CH$3*100*$A10</f>
        <v>26.2303675829439</v>
      </c>
      <c r="CI10" s="19" t="n">
        <f aca="false">$B10+CI$3*100*$A10</f>
        <v>26.3178675829439</v>
      </c>
      <c r="CJ10" s="19" t="n">
        <f aca="false">$B10+CJ$3*100*$A10</f>
        <v>26.4053675829439</v>
      </c>
      <c r="CK10" s="19" t="n">
        <f aca="false">$B10+CK$3*100*$A10</f>
        <v>26.4928675829439</v>
      </c>
      <c r="CL10" s="19" t="n">
        <f aca="false">$B10+CL$3*100*$A10</f>
        <v>26.5803675829439</v>
      </c>
      <c r="CM10" s="19" t="n">
        <f aca="false">$B10+CM$3*100*$A10</f>
        <v>26.6678675829439</v>
      </c>
      <c r="CN10" s="19" t="n">
        <f aca="false">$B10+CN$3*100*$A10</f>
        <v>26.7553675829439</v>
      </c>
      <c r="CO10" s="19" t="n">
        <f aca="false">$B10+CO$3*100*$A10</f>
        <v>26.8428675829439</v>
      </c>
      <c r="CP10" s="19" t="n">
        <f aca="false">$B10+CP$3*100*$A10</f>
        <v>26.9303675829439</v>
      </c>
      <c r="CQ10" s="19" t="n">
        <f aca="false">$B10+CQ$3*100*$A10</f>
        <v>27.0178675829439</v>
      </c>
      <c r="CR10" s="19" t="n">
        <f aca="false">$B10+CR$3*100*$A10</f>
        <v>27.1053675829439</v>
      </c>
      <c r="CS10" s="19" t="n">
        <f aca="false">$B10+CS$3*100*$A10</f>
        <v>27.1928675829439</v>
      </c>
      <c r="CT10" s="19" t="n">
        <f aca="false">$B10+CT$3*100*$A10</f>
        <v>27.2803675829439</v>
      </c>
      <c r="CU10" s="19" t="n">
        <f aca="false">$B10+CU$3*100*$A10</f>
        <v>27.3678675829439</v>
      </c>
      <c r="CV10" s="19" t="n">
        <f aca="false">$B10+CV$3*100*$A10</f>
        <v>27.4553675829439</v>
      </c>
      <c r="CW10" s="19" t="n">
        <f aca="false">$B10+CW$3*100*$A10</f>
        <v>27.5428675829439</v>
      </c>
      <c r="CX10" s="19" t="n">
        <f aca="false">$B10+CX$3*100*$A10</f>
        <v>27.6303675829439</v>
      </c>
      <c r="CY10" s="19" t="n">
        <f aca="false">$B10+CY$3*100*$A10</f>
        <v>27.7178675829439</v>
      </c>
      <c r="CZ10" s="19" t="n">
        <f aca="false">$B10+CZ$3*100*$A10</f>
        <v>27.8053675829439</v>
      </c>
      <c r="DA10" s="19" t="n">
        <f aca="false">$B10+DA$3*100*$A10</f>
        <v>27.8928675829439</v>
      </c>
      <c r="DB10" s="19" t="n">
        <f aca="false">$B10+DB$3*100*$A10</f>
        <v>27.9803675829439</v>
      </c>
      <c r="DC10" s="19" t="n">
        <f aca="false">$B10+DC$3*100*$A10</f>
        <v>28.0678675829439</v>
      </c>
      <c r="DD10" s="19" t="n">
        <f aca="false">$B10+DD$3*100*$A10</f>
        <v>28.1553675829439</v>
      </c>
      <c r="DE10" s="19" t="n">
        <f aca="false">$B10+DE$3*100*$A10</f>
        <v>28.2428675829439</v>
      </c>
      <c r="DF10" s="19" t="n">
        <f aca="false">$B10+DF$3*100*$A10</f>
        <v>28.3303675829439</v>
      </c>
      <c r="DG10" s="19" t="n">
        <f aca="false">$B10+DG$3*100*$A10</f>
        <v>28.4178675829439</v>
      </c>
      <c r="DH10" s="19" t="n">
        <f aca="false">$B10+DH$3*100*$A10</f>
        <v>28.5053675829439</v>
      </c>
      <c r="DI10" s="19" t="n">
        <f aca="false">$B10+DI$3*100*$A10</f>
        <v>28.5928675829439</v>
      </c>
      <c r="DJ10" s="19" t="n">
        <f aca="false">$B10+DJ$3*100*$A10</f>
        <v>28.6803675829439</v>
      </c>
      <c r="DK10" s="19" t="n">
        <f aca="false">$B10+DK$3*100*$A10</f>
        <v>28.7678675829439</v>
      </c>
      <c r="DL10" s="19" t="n">
        <f aca="false">$B10+DL$3*100*$A10</f>
        <v>28.8553675829439</v>
      </c>
      <c r="DM10" s="19" t="n">
        <f aca="false">$B10+DM$3*100*$A10</f>
        <v>28.9428675829439</v>
      </c>
      <c r="DN10" s="19" t="n">
        <f aca="false">$B10+DN$3*100*$A10</f>
        <v>29.0303675829439</v>
      </c>
      <c r="DO10" s="19" t="n">
        <f aca="false">$B10+DO$3*100*$A10</f>
        <v>29.1178675829439</v>
      </c>
      <c r="DP10" s="19" t="n">
        <f aca="false">$B10+DP$3*100*$A10</f>
        <v>29.2053675829439</v>
      </c>
      <c r="DQ10" s="19" t="n">
        <f aca="false">$B10+DQ$3*100*$A10</f>
        <v>29.2928675829439</v>
      </c>
      <c r="DR10" s="19" t="n">
        <f aca="false">$B10+DR$3*100*$A10</f>
        <v>29.3803675829439</v>
      </c>
      <c r="DS10" s="19" t="n">
        <f aca="false">$B10+DS$3*100*$A10</f>
        <v>29.4678675829439</v>
      </c>
      <c r="DT10" s="19" t="n">
        <f aca="false">$B10+DT$3*100*$A10</f>
        <v>29.5553675829439</v>
      </c>
      <c r="DU10" s="19" t="n">
        <f aca="false">$B10+DU$3*100*$A10</f>
        <v>29.6428675829439</v>
      </c>
      <c r="DV10" s="19" t="n">
        <f aca="false">$B10+DV$3*100*$A10</f>
        <v>29.7303675829439</v>
      </c>
      <c r="DW10" s="19" t="n">
        <f aca="false">$B10+DW$3*100*$A10</f>
        <v>29.8178675829439</v>
      </c>
      <c r="DX10" s="19" t="n">
        <f aca="false">$B10+DX$3*100*$A10</f>
        <v>29.9053675829439</v>
      </c>
      <c r="DY10" s="19" t="n">
        <f aca="false">$B10+DY$3*100*$A10</f>
        <v>29.9928675829439</v>
      </c>
      <c r="DZ10" s="19" t="n">
        <f aca="false">$B10+DZ$3*100*$A10</f>
        <v>30.0803675829439</v>
      </c>
      <c r="EA10" s="19" t="n">
        <f aca="false">$B10+EA$3*100*$A10</f>
        <v>30.1678675829439</v>
      </c>
      <c r="EB10" s="19" t="n">
        <f aca="false">$B10+EB$3*100*$A10</f>
        <v>30.2553675829439</v>
      </c>
      <c r="EC10" s="19" t="n">
        <f aca="false">$B10+EC$3*100*$A10</f>
        <v>30.3428675829439</v>
      </c>
      <c r="ED10" s="19" t="n">
        <f aca="false">$B10+ED$3*100*$A10</f>
        <v>30.4303675829439</v>
      </c>
      <c r="EE10" s="19" t="n">
        <f aca="false">$B10+EE$3*100*$A10</f>
        <v>30.5178675829439</v>
      </c>
      <c r="EF10" s="19" t="n">
        <f aca="false">$B10+EF$3*100*$A10</f>
        <v>30.6053675829439</v>
      </c>
      <c r="EG10" s="19" t="n">
        <f aca="false">$B10+EG$3*100*$A10</f>
        <v>30.6928675829439</v>
      </c>
      <c r="EH10" s="19" t="n">
        <f aca="false">$B10+EH$3*100*$A10</f>
        <v>30.7803675829439</v>
      </c>
      <c r="EI10" s="19" t="n">
        <f aca="false">$B10+EI$3*100*$A10</f>
        <v>30.8678675829439</v>
      </c>
      <c r="EJ10" s="19" t="n">
        <f aca="false">$B10+EJ$3*100*$A10</f>
        <v>30.9553675829439</v>
      </c>
      <c r="EK10" s="19" t="n">
        <f aca="false">$B10+EK$3*100*$A10</f>
        <v>31.0428675829439</v>
      </c>
      <c r="EL10" s="19" t="n">
        <f aca="false">$B10+EL$3*100*$A10</f>
        <v>31.1303675829439</v>
      </c>
      <c r="EM10" s="19" t="n">
        <f aca="false">$B10+EM$3*100*$A10</f>
        <v>31.2178675829439</v>
      </c>
      <c r="EN10" s="19" t="n">
        <f aca="false">$B10+EN$3*100*$A10</f>
        <v>31.3053675829439</v>
      </c>
      <c r="EO10" s="19" t="n">
        <f aca="false">$B10+EO$3*100*$A10</f>
        <v>31.3928675829439</v>
      </c>
      <c r="EP10" s="19" t="n">
        <f aca="false">$B10+EP$3*100*$A10</f>
        <v>31.4803675829439</v>
      </c>
      <c r="EQ10" s="19" t="n">
        <f aca="false">$B10+EQ$3*100*$A10</f>
        <v>31.5678675829439</v>
      </c>
      <c r="ER10" s="19" t="n">
        <f aca="false">$B10+ER$3*100*$A10</f>
        <v>31.6553675829439</v>
      </c>
      <c r="ES10" s="19" t="n">
        <f aca="false">$B10+ES$3*100*$A10</f>
        <v>31.7428675829439</v>
      </c>
      <c r="ET10" s="19" t="n">
        <f aca="false">$B10+ET$3*100*$A10</f>
        <v>31.8303675829439</v>
      </c>
      <c r="EU10" s="19" t="n">
        <f aca="false">$B10+EU$3*100*$A10</f>
        <v>31.9178675829439</v>
      </c>
      <c r="EV10" s="19" t="n">
        <f aca="false">$B10+EV$3*100*$A10</f>
        <v>32.005367582944</v>
      </c>
      <c r="EW10" s="19" t="n">
        <f aca="false">$B10+EW$3*100*$A10</f>
        <v>32.0928675829439</v>
      </c>
      <c r="EX10" s="19" t="n">
        <f aca="false">$B10+EX$3*100*$A10</f>
        <v>32.1803675829439</v>
      </c>
      <c r="EY10" s="19" t="n">
        <f aca="false">$B10+EY$3*100*$A10</f>
        <v>32.2678675829439</v>
      </c>
      <c r="EZ10" s="19" t="n">
        <f aca="false">$B10+EZ$3*100*$A10</f>
        <v>32.3553675829439</v>
      </c>
      <c r="FA10" s="19" t="n">
        <f aca="false">$B10+FA$3*100*$A10</f>
        <v>32.442867582944</v>
      </c>
      <c r="FB10" s="19" t="n">
        <f aca="false">$B10+FB$3*100*$A10</f>
        <v>32.5303675829439</v>
      </c>
      <c r="FC10" s="19" t="n">
        <f aca="false">$B10+FC$3*100*$A10</f>
        <v>32.6178675829439</v>
      </c>
      <c r="FD10" s="19" t="n">
        <f aca="false">$B10+FD$3*100*$A10</f>
        <v>32.7053675829439</v>
      </c>
      <c r="FE10" s="19" t="n">
        <f aca="false">$B10+FE$3*100*$A10</f>
        <v>32.7928675829439</v>
      </c>
      <c r="FF10" s="19" t="n">
        <f aca="false">$B10+FF$3*100*$A10</f>
        <v>32.880367582944</v>
      </c>
      <c r="FG10" s="19" t="n">
        <f aca="false">$B10+FG$3*100*$A10</f>
        <v>32.9678675829439</v>
      </c>
      <c r="FH10" s="19" t="n">
        <f aca="false">$B10+FH$3*100*$A10</f>
        <v>33.0553675829439</v>
      </c>
      <c r="FI10" s="19" t="n">
        <f aca="false">$B10+FI$3*100*$A10</f>
        <v>33.1428675829439</v>
      </c>
      <c r="FJ10" s="19" t="n">
        <f aca="false">$B10+FJ$3*100*$A10</f>
        <v>33.2303675829439</v>
      </c>
      <c r="FK10" s="19" t="n">
        <f aca="false">$B10+FK$3*100*$A10</f>
        <v>33.317867582944</v>
      </c>
      <c r="FL10" s="19" t="n">
        <f aca="false">$B10+FL$3*100*$A10</f>
        <v>33.4053675829439</v>
      </c>
      <c r="FM10" s="19" t="n">
        <f aca="false">$B10+FM$3*100*$A10</f>
        <v>33.4928675829439</v>
      </c>
      <c r="FN10" s="19" t="n">
        <f aca="false">$B10+FN$3*100*$A10</f>
        <v>33.5803675829439</v>
      </c>
      <c r="FO10" s="19" t="n">
        <f aca="false">$B10+FO$3*100*$A10</f>
        <v>33.6678675829439</v>
      </c>
      <c r="FP10" s="19" t="n">
        <f aca="false">$B10+FP$3*100*$A10</f>
        <v>33.755367582944</v>
      </c>
      <c r="FQ10" s="19" t="n">
        <f aca="false">$B10+FQ$3*100*$A10</f>
        <v>33.8428675829439</v>
      </c>
      <c r="FR10" s="19" t="n">
        <f aca="false">$B10+FR$3*100*$A10</f>
        <v>33.9303675829439</v>
      </c>
      <c r="FS10" s="19" t="n">
        <f aca="false">$B10+FS$3*100*$A10</f>
        <v>34.0178675829439</v>
      </c>
      <c r="FT10" s="19" t="n">
        <f aca="false">$B10+FT$3*100*$A10</f>
        <v>34.1053675829439</v>
      </c>
      <c r="FU10" s="19" t="n">
        <f aca="false">$B10+FU$3*100*$A10</f>
        <v>34.192867582944</v>
      </c>
      <c r="FV10" s="19" t="n">
        <f aca="false">$B10+FV$3*100*$A10</f>
        <v>34.2803675829439</v>
      </c>
      <c r="FW10" s="19" t="n">
        <f aca="false">$B10+FW$3*100*$A10</f>
        <v>34.3678675829439</v>
      </c>
      <c r="FX10" s="19" t="n">
        <f aca="false">$B10+FX$3*100*$A10</f>
        <v>34.4553675829439</v>
      </c>
      <c r="FY10" s="19" t="n">
        <f aca="false">$B10+FY$3*100*$A10</f>
        <v>34.5428675829439</v>
      </c>
      <c r="FZ10" s="19" t="n">
        <f aca="false">$B10+FZ$3*100*$A10</f>
        <v>34.630367582944</v>
      </c>
      <c r="GA10" s="19" t="n">
        <f aca="false">$B10+GA$3*100*$A10</f>
        <v>34.7178675829439</v>
      </c>
      <c r="GB10" s="19" t="n">
        <f aca="false">$B10+GB$3*100*$A10</f>
        <v>34.8053675829439</v>
      </c>
      <c r="GC10" s="19" t="n">
        <f aca="false">$B10+GC$3*100*$A10</f>
        <v>34.892867582944</v>
      </c>
      <c r="GD10" s="19" t="n">
        <f aca="false">$B10+GD$3*100*$A10</f>
        <v>34.9803675829439</v>
      </c>
      <c r="GE10" s="19" t="n">
        <f aca="false">$B10+GE$3*100*$A10</f>
        <v>35.067867582944</v>
      </c>
      <c r="GF10" s="19" t="n">
        <f aca="false">$B10+GF$3*100*$A10</f>
        <v>35.1553675829439</v>
      </c>
      <c r="GG10" s="19" t="n">
        <f aca="false">$B10+GG$3*100*$A10</f>
        <v>35.2428675829439</v>
      </c>
      <c r="GH10" s="19" t="n">
        <f aca="false">$B10+GH$3*100*$A10</f>
        <v>35.330367582944</v>
      </c>
      <c r="GI10" s="19" t="n">
        <f aca="false">$B10+GI$3*100*$A10</f>
        <v>35.4178675829439</v>
      </c>
      <c r="GJ10" s="19" t="n">
        <f aca="false">$B10+GJ$3*100*$A10</f>
        <v>35.505367582944</v>
      </c>
      <c r="GK10" s="19" t="n">
        <f aca="false">$B10+GK$3*100*$A10</f>
        <v>35.5928675829439</v>
      </c>
      <c r="GL10" s="19" t="n">
        <f aca="false">$B10+GL$3*100*$A10</f>
        <v>35.6803675829439</v>
      </c>
      <c r="GM10" s="19" t="n">
        <f aca="false">$B10+GM$3*100*$A10</f>
        <v>35.767867582944</v>
      </c>
      <c r="GN10" s="19" t="n">
        <f aca="false">$B10+GN$3*100*$A10</f>
        <v>35.8553675829439</v>
      </c>
      <c r="GO10" s="19" t="n">
        <f aca="false">$B10+GO$3*100*$A10</f>
        <v>35.942867582944</v>
      </c>
      <c r="GP10" s="19" t="n">
        <f aca="false">$B10+GP$3*100*$A10</f>
        <v>36.0303675829439</v>
      </c>
      <c r="GQ10" s="19" t="n">
        <f aca="false">$B10+GQ$3*100*$A10</f>
        <v>36.1178675829439</v>
      </c>
      <c r="GR10" s="19" t="n">
        <f aca="false">$B10+GR$3*100*$A10</f>
        <v>36.205367582944</v>
      </c>
      <c r="GS10" s="19" t="n">
        <f aca="false">$B10+GS$3*100*$A10</f>
        <v>36.2928675829439</v>
      </c>
      <c r="GT10" s="19" t="n">
        <f aca="false">$B10+GT$3*100*$A10</f>
        <v>36.380367582944</v>
      </c>
    </row>
    <row r="11" customFormat="false" ht="15" hidden="false" customHeight="false" outlineLevel="0" collapsed="false">
      <c r="A11" s="26" t="n">
        <f aca="false">Frontier!A9</f>
        <v>0.02</v>
      </c>
      <c r="B11" s="34" t="n">
        <f aca="false">Frontier!B9</f>
        <v>17.8608514478064</v>
      </c>
      <c r="C11" s="19" t="n">
        <f aca="false">$B11+C$3*100*$A11</f>
        <v>17.9608514478064</v>
      </c>
      <c r="D11" s="19" t="n">
        <f aca="false">$B11+D$3*100*$A11</f>
        <v>18.0608514478064</v>
      </c>
      <c r="E11" s="19" t="n">
        <f aca="false">$B11+E$3*100*$A11</f>
        <v>18.1608514478064</v>
      </c>
      <c r="F11" s="19" t="n">
        <f aca="false">$B11+F$3*100*$A11</f>
        <v>18.2608514478064</v>
      </c>
      <c r="G11" s="19" t="n">
        <f aca="false">$B11+G$3*100*$A11</f>
        <v>18.3608514478064</v>
      </c>
      <c r="H11" s="19" t="n">
        <f aca="false">$B11+H$3*100*$A11</f>
        <v>18.4608514478064</v>
      </c>
      <c r="I11" s="19" t="n">
        <f aca="false">$B11+I$3*100*$A11</f>
        <v>18.5608514478064</v>
      </c>
      <c r="J11" s="19" t="n">
        <f aca="false">$B11+J$3*100*$A11</f>
        <v>18.6608514478064</v>
      </c>
      <c r="K11" s="19" t="n">
        <f aca="false">$B11+K$3*100*$A11</f>
        <v>18.7608514478064</v>
      </c>
      <c r="L11" s="19" t="n">
        <f aca="false">$B11+L$3*100*$A11</f>
        <v>18.8608514478064</v>
      </c>
      <c r="M11" s="19" t="n">
        <f aca="false">$B11+M$3*100*$A11</f>
        <v>18.9608514478064</v>
      </c>
      <c r="N11" s="19" t="n">
        <f aca="false">$B11+N$3*100*$A11</f>
        <v>19.0608514478064</v>
      </c>
      <c r="O11" s="19" t="n">
        <f aca="false">$B11+O$3*100*$A11</f>
        <v>19.1608514478064</v>
      </c>
      <c r="P11" s="19" t="n">
        <f aca="false">$B11+P$3*100*$A11</f>
        <v>19.2608514478064</v>
      </c>
      <c r="Q11" s="19" t="n">
        <f aca="false">$B11+Q$3*100*$A11</f>
        <v>19.3608514478064</v>
      </c>
      <c r="R11" s="19" t="n">
        <f aca="false">$B11+R$3*100*$A11</f>
        <v>19.4608514478064</v>
      </c>
      <c r="S11" s="19" t="n">
        <f aca="false">$B11+S$3*100*$A11</f>
        <v>19.5608514478064</v>
      </c>
      <c r="T11" s="19" t="n">
        <f aca="false">$B11+T$3*100*$A11</f>
        <v>19.6608514478064</v>
      </c>
      <c r="U11" s="19" t="n">
        <f aca="false">$B11+U$3*100*$A11</f>
        <v>19.7608514478064</v>
      </c>
      <c r="V11" s="19" t="n">
        <f aca="false">$B11+V$3*100*$A11</f>
        <v>19.8608514478064</v>
      </c>
      <c r="W11" s="19" t="n">
        <f aca="false">$B11+W$3*100*$A11</f>
        <v>19.9608514478064</v>
      </c>
      <c r="X11" s="19" t="n">
        <f aca="false">$B11+X$3*100*$A11</f>
        <v>20.0608514478064</v>
      </c>
      <c r="Y11" s="19" t="n">
        <f aca="false">$B11+Y$3*100*$A11</f>
        <v>20.1608514478064</v>
      </c>
      <c r="Z11" s="19" t="n">
        <f aca="false">$B11+Z$3*100*$A11</f>
        <v>20.2608514478064</v>
      </c>
      <c r="AA11" s="19" t="n">
        <f aca="false">$B11+AA$3*100*$A11</f>
        <v>20.3608514478064</v>
      </c>
      <c r="AB11" s="19" t="n">
        <f aca="false">$B11+AB$3*100*$A11</f>
        <v>20.4608514478064</v>
      </c>
      <c r="AC11" s="19" t="n">
        <f aca="false">$B11+AC$3*100*$A11</f>
        <v>20.5608514478064</v>
      </c>
      <c r="AD11" s="19" t="n">
        <f aca="false">$B11+AD$3*100*$A11</f>
        <v>20.6608514478064</v>
      </c>
      <c r="AE11" s="19" t="n">
        <f aca="false">$B11+AE$3*100*$A11</f>
        <v>20.7608514478064</v>
      </c>
      <c r="AF11" s="19" t="n">
        <f aca="false">$B11+AF$3*100*$A11</f>
        <v>20.8608514478064</v>
      </c>
      <c r="AG11" s="19" t="n">
        <f aca="false">$B11+AG$3*100*$A11</f>
        <v>20.9608514478064</v>
      </c>
      <c r="AH11" s="19" t="n">
        <f aca="false">$B11+AH$3*100*$A11</f>
        <v>21.0608514478064</v>
      </c>
      <c r="AI11" s="19" t="n">
        <f aca="false">$B11+AI$3*100*$A11</f>
        <v>21.1608514478064</v>
      </c>
      <c r="AJ11" s="19" t="n">
        <f aca="false">$B11+AJ$3*100*$A11</f>
        <v>21.2608514478064</v>
      </c>
      <c r="AK11" s="19" t="n">
        <f aca="false">$B11+AK$3*100*$A11</f>
        <v>21.3608514478064</v>
      </c>
      <c r="AL11" s="19" t="n">
        <f aca="false">$B11+AL$3*100*$A11</f>
        <v>21.4608514478064</v>
      </c>
      <c r="AM11" s="19" t="n">
        <f aca="false">$B11+AM$3*100*$A11</f>
        <v>21.5608514478064</v>
      </c>
      <c r="AN11" s="19" t="n">
        <f aca="false">$B11+AN$3*100*$A11</f>
        <v>21.6608514478064</v>
      </c>
      <c r="AO11" s="19" t="n">
        <f aca="false">$B11+AO$3*100*$A11</f>
        <v>21.7608514478064</v>
      </c>
      <c r="AP11" s="19" t="n">
        <f aca="false">$B11+AP$3*100*$A11</f>
        <v>21.8608514478064</v>
      </c>
      <c r="AQ11" s="19" t="n">
        <f aca="false">$B11+AQ$3*100*$A11</f>
        <v>21.9608514478064</v>
      </c>
      <c r="AR11" s="19" t="n">
        <f aca="false">$B11+AR$3*100*$A11</f>
        <v>22.0608514478064</v>
      </c>
      <c r="AS11" s="19" t="n">
        <f aca="false">$B11+AS$3*100*$A11</f>
        <v>22.1608514478064</v>
      </c>
      <c r="AT11" s="19" t="n">
        <f aca="false">$B11+AT$3*100*$A11</f>
        <v>22.2608514478064</v>
      </c>
      <c r="AU11" s="19" t="n">
        <f aca="false">$B11+AU$3*100*$A11</f>
        <v>22.3608514478064</v>
      </c>
      <c r="AV11" s="19" t="n">
        <f aca="false">$B11+AV$3*100*$A11</f>
        <v>22.4608514478064</v>
      </c>
      <c r="AW11" s="19" t="n">
        <f aca="false">$B11+AW$3*100*$A11</f>
        <v>22.5608514478064</v>
      </c>
      <c r="AX11" s="19" t="n">
        <f aca="false">$B11+AX$3*100*$A11</f>
        <v>22.6608514478064</v>
      </c>
      <c r="AY11" s="19" t="n">
        <f aca="false">$B11+AY$3*100*$A11</f>
        <v>22.7608514478064</v>
      </c>
      <c r="AZ11" s="19" t="n">
        <f aca="false">$B11+AZ$3*100*$A11</f>
        <v>22.8608514478064</v>
      </c>
      <c r="BA11" s="19" t="n">
        <f aca="false">$B11+BA$3*100*$A11</f>
        <v>22.9608514478064</v>
      </c>
      <c r="BB11" s="19" t="n">
        <f aca="false">$B11+BB$3*100*$A11</f>
        <v>23.0608514478064</v>
      </c>
      <c r="BC11" s="19" t="n">
        <f aca="false">$B11+BC$3*100*$A11</f>
        <v>23.1608514478064</v>
      </c>
      <c r="BD11" s="19" t="n">
        <f aca="false">$B11+BD$3*100*$A11</f>
        <v>23.2608514478064</v>
      </c>
      <c r="BE11" s="19" t="n">
        <f aca="false">$B11+BE$3*100*$A11</f>
        <v>23.3608514478064</v>
      </c>
      <c r="BF11" s="19" t="n">
        <f aca="false">$B11+BF$3*100*$A11</f>
        <v>23.4608514478064</v>
      </c>
      <c r="BG11" s="19" t="n">
        <f aca="false">$B11+BG$3*100*$A11</f>
        <v>23.5608514478064</v>
      </c>
      <c r="BH11" s="19" t="n">
        <f aca="false">$B11+BH$3*100*$A11</f>
        <v>23.6608514478064</v>
      </c>
      <c r="BI11" s="19" t="n">
        <f aca="false">$B11+BI$3*100*$A11</f>
        <v>23.7608514478064</v>
      </c>
      <c r="BJ11" s="19" t="n">
        <f aca="false">$B11+BJ$3*100*$A11</f>
        <v>23.8608514478064</v>
      </c>
      <c r="BK11" s="19" t="n">
        <f aca="false">$B11+BK$3*100*$A11</f>
        <v>23.9608514478064</v>
      </c>
      <c r="BL11" s="19" t="n">
        <f aca="false">$B11+BL$3*100*$A11</f>
        <v>24.0608514478064</v>
      </c>
      <c r="BM11" s="19" t="n">
        <f aca="false">$B11+BM$3*100*$A11</f>
        <v>24.1608514478064</v>
      </c>
      <c r="BN11" s="19" t="n">
        <f aca="false">$B11+BN$3*100*$A11</f>
        <v>24.2608514478064</v>
      </c>
      <c r="BO11" s="19" t="n">
        <f aca="false">$B11+BO$3*100*$A11</f>
        <v>24.3608514478064</v>
      </c>
      <c r="BP11" s="19" t="n">
        <f aca="false">$B11+BP$3*100*$A11</f>
        <v>24.4608514478064</v>
      </c>
      <c r="BQ11" s="19" t="n">
        <f aca="false">$B11+BQ$3*100*$A11</f>
        <v>24.5608514478064</v>
      </c>
      <c r="BR11" s="19" t="n">
        <f aca="false">$B11+BR$3*100*$A11</f>
        <v>24.6608514478064</v>
      </c>
      <c r="BS11" s="19" t="n">
        <f aca="false">$B11+BS$3*100*$A11</f>
        <v>24.7608514478064</v>
      </c>
      <c r="BT11" s="19" t="n">
        <f aca="false">$B11+BT$3*100*$A11</f>
        <v>24.8608514478064</v>
      </c>
      <c r="BU11" s="19" t="n">
        <f aca="false">$B11+BU$3*100*$A11</f>
        <v>24.9608514478064</v>
      </c>
      <c r="BV11" s="19" t="n">
        <f aca="false">$B11+BV$3*100*$A11</f>
        <v>25.0608514478064</v>
      </c>
      <c r="BW11" s="19" t="n">
        <f aca="false">$B11+BW$3*100*$A11</f>
        <v>25.1608514478064</v>
      </c>
      <c r="BX11" s="19" t="n">
        <f aca="false">$B11+BX$3*100*$A11</f>
        <v>25.2608514478064</v>
      </c>
      <c r="BY11" s="19" t="n">
        <f aca="false">$B11+BY$3*100*$A11</f>
        <v>25.3608514478064</v>
      </c>
      <c r="BZ11" s="19" t="n">
        <f aca="false">$B11+BZ$3*100*$A11</f>
        <v>25.4608514478064</v>
      </c>
      <c r="CA11" s="19" t="n">
        <f aca="false">$B11+CA$3*100*$A11</f>
        <v>25.5608514478064</v>
      </c>
      <c r="CB11" s="19" t="n">
        <f aca="false">$B11+CB$3*100*$A11</f>
        <v>25.6608514478064</v>
      </c>
      <c r="CC11" s="19" t="n">
        <f aca="false">$B11+CC$3*100*$A11</f>
        <v>25.7608514478064</v>
      </c>
      <c r="CD11" s="19" t="n">
        <f aca="false">$B11+CD$3*100*$A11</f>
        <v>25.8608514478064</v>
      </c>
      <c r="CE11" s="19" t="n">
        <f aca="false">$B11+CE$3*100*$A11</f>
        <v>25.9608514478064</v>
      </c>
      <c r="CF11" s="19" t="n">
        <f aca="false">$B11+CF$3*100*$A11</f>
        <v>26.0608514478064</v>
      </c>
      <c r="CG11" s="19" t="n">
        <f aca="false">$B11+CG$3*100*$A11</f>
        <v>26.1608514478064</v>
      </c>
      <c r="CH11" s="19" t="n">
        <f aca="false">$B11+CH$3*100*$A11</f>
        <v>26.2608514478064</v>
      </c>
      <c r="CI11" s="19" t="n">
        <f aca="false">$B11+CI$3*100*$A11</f>
        <v>26.3608514478064</v>
      </c>
      <c r="CJ11" s="19" t="n">
        <f aca="false">$B11+CJ$3*100*$A11</f>
        <v>26.4608514478064</v>
      </c>
      <c r="CK11" s="19" t="n">
        <f aca="false">$B11+CK$3*100*$A11</f>
        <v>26.5608514478064</v>
      </c>
      <c r="CL11" s="19" t="n">
        <f aca="false">$B11+CL$3*100*$A11</f>
        <v>26.6608514478064</v>
      </c>
      <c r="CM11" s="19" t="n">
        <f aca="false">$B11+CM$3*100*$A11</f>
        <v>26.7608514478064</v>
      </c>
      <c r="CN11" s="19" t="n">
        <f aca="false">$B11+CN$3*100*$A11</f>
        <v>26.8608514478064</v>
      </c>
      <c r="CO11" s="19" t="n">
        <f aca="false">$B11+CO$3*100*$A11</f>
        <v>26.9608514478064</v>
      </c>
      <c r="CP11" s="19" t="n">
        <f aca="false">$B11+CP$3*100*$A11</f>
        <v>27.0608514478064</v>
      </c>
      <c r="CQ11" s="19" t="n">
        <f aca="false">$B11+CQ$3*100*$A11</f>
        <v>27.1608514478064</v>
      </c>
      <c r="CR11" s="19" t="n">
        <f aca="false">$B11+CR$3*100*$A11</f>
        <v>27.2608514478064</v>
      </c>
      <c r="CS11" s="19" t="n">
        <f aca="false">$B11+CS$3*100*$A11</f>
        <v>27.3608514478064</v>
      </c>
      <c r="CT11" s="19" t="n">
        <f aca="false">$B11+CT$3*100*$A11</f>
        <v>27.4608514478064</v>
      </c>
      <c r="CU11" s="19" t="n">
        <f aca="false">$B11+CU$3*100*$A11</f>
        <v>27.5608514478064</v>
      </c>
      <c r="CV11" s="19" t="n">
        <f aca="false">$B11+CV$3*100*$A11</f>
        <v>27.6608514478064</v>
      </c>
      <c r="CW11" s="19" t="n">
        <f aca="false">$B11+CW$3*100*$A11</f>
        <v>27.7608514478064</v>
      </c>
      <c r="CX11" s="19" t="n">
        <f aca="false">$B11+CX$3*100*$A11</f>
        <v>27.8608514478064</v>
      </c>
      <c r="CY11" s="19" t="n">
        <f aca="false">$B11+CY$3*100*$A11</f>
        <v>27.9608514478064</v>
      </c>
      <c r="CZ11" s="19" t="n">
        <f aca="false">$B11+CZ$3*100*$A11</f>
        <v>28.0608514478064</v>
      </c>
      <c r="DA11" s="19" t="n">
        <f aca="false">$B11+DA$3*100*$A11</f>
        <v>28.1608514478064</v>
      </c>
      <c r="DB11" s="19" t="n">
        <f aca="false">$B11+DB$3*100*$A11</f>
        <v>28.2608514478064</v>
      </c>
      <c r="DC11" s="19" t="n">
        <f aca="false">$B11+DC$3*100*$A11</f>
        <v>28.3608514478064</v>
      </c>
      <c r="DD11" s="19" t="n">
        <f aca="false">$B11+DD$3*100*$A11</f>
        <v>28.4608514478064</v>
      </c>
      <c r="DE11" s="19" t="n">
        <f aca="false">$B11+DE$3*100*$A11</f>
        <v>28.5608514478064</v>
      </c>
      <c r="DF11" s="19" t="n">
        <f aca="false">$B11+DF$3*100*$A11</f>
        <v>28.6608514478064</v>
      </c>
      <c r="DG11" s="19" t="n">
        <f aca="false">$B11+DG$3*100*$A11</f>
        <v>28.7608514478064</v>
      </c>
      <c r="DH11" s="19" t="n">
        <f aca="false">$B11+DH$3*100*$A11</f>
        <v>28.8608514478064</v>
      </c>
      <c r="DI11" s="19" t="n">
        <f aca="false">$B11+DI$3*100*$A11</f>
        <v>28.9608514478064</v>
      </c>
      <c r="DJ11" s="19" t="n">
        <f aca="false">$B11+DJ$3*100*$A11</f>
        <v>29.0608514478064</v>
      </c>
      <c r="DK11" s="19" t="n">
        <f aca="false">$B11+DK$3*100*$A11</f>
        <v>29.1608514478064</v>
      </c>
      <c r="DL11" s="19" t="n">
        <f aca="false">$B11+DL$3*100*$A11</f>
        <v>29.2608514478064</v>
      </c>
      <c r="DM11" s="19" t="n">
        <f aca="false">$B11+DM$3*100*$A11</f>
        <v>29.3608514478064</v>
      </c>
      <c r="DN11" s="19" t="n">
        <f aca="false">$B11+DN$3*100*$A11</f>
        <v>29.4608514478064</v>
      </c>
      <c r="DO11" s="19" t="n">
        <f aca="false">$B11+DO$3*100*$A11</f>
        <v>29.5608514478064</v>
      </c>
      <c r="DP11" s="19" t="n">
        <f aca="false">$B11+DP$3*100*$A11</f>
        <v>29.6608514478064</v>
      </c>
      <c r="DQ11" s="19" t="n">
        <f aca="false">$B11+DQ$3*100*$A11</f>
        <v>29.7608514478064</v>
      </c>
      <c r="DR11" s="19" t="n">
        <f aca="false">$B11+DR$3*100*$A11</f>
        <v>29.8608514478064</v>
      </c>
      <c r="DS11" s="19" t="n">
        <f aca="false">$B11+DS$3*100*$A11</f>
        <v>29.9608514478064</v>
      </c>
      <c r="DT11" s="19" t="n">
        <f aca="false">$B11+DT$3*100*$A11</f>
        <v>30.0608514478064</v>
      </c>
      <c r="DU11" s="19" t="n">
        <f aca="false">$B11+DU$3*100*$A11</f>
        <v>30.1608514478064</v>
      </c>
      <c r="DV11" s="19" t="n">
        <f aca="false">$B11+DV$3*100*$A11</f>
        <v>30.2608514478064</v>
      </c>
      <c r="DW11" s="19" t="n">
        <f aca="false">$B11+DW$3*100*$A11</f>
        <v>30.3608514478064</v>
      </c>
      <c r="DX11" s="19" t="n">
        <f aca="false">$B11+DX$3*100*$A11</f>
        <v>30.4608514478064</v>
      </c>
      <c r="DY11" s="19" t="n">
        <f aca="false">$B11+DY$3*100*$A11</f>
        <v>30.5608514478064</v>
      </c>
      <c r="DZ11" s="19" t="n">
        <f aca="false">$B11+DZ$3*100*$A11</f>
        <v>30.6608514478064</v>
      </c>
      <c r="EA11" s="19" t="n">
        <f aca="false">$B11+EA$3*100*$A11</f>
        <v>30.7608514478064</v>
      </c>
      <c r="EB11" s="19" t="n">
        <f aca="false">$B11+EB$3*100*$A11</f>
        <v>30.8608514478064</v>
      </c>
      <c r="EC11" s="19" t="n">
        <f aca="false">$B11+EC$3*100*$A11</f>
        <v>30.9608514478064</v>
      </c>
      <c r="ED11" s="19" t="n">
        <f aca="false">$B11+ED$3*100*$A11</f>
        <v>31.0608514478064</v>
      </c>
      <c r="EE11" s="19" t="n">
        <f aca="false">$B11+EE$3*100*$A11</f>
        <v>31.1608514478064</v>
      </c>
      <c r="EF11" s="19" t="n">
        <f aca="false">$B11+EF$3*100*$A11</f>
        <v>31.2608514478064</v>
      </c>
      <c r="EG11" s="19" t="n">
        <f aca="false">$B11+EG$3*100*$A11</f>
        <v>31.3608514478064</v>
      </c>
      <c r="EH11" s="19" t="n">
        <f aca="false">$B11+EH$3*100*$A11</f>
        <v>31.4608514478064</v>
      </c>
      <c r="EI11" s="19" t="n">
        <f aca="false">$B11+EI$3*100*$A11</f>
        <v>31.5608514478064</v>
      </c>
      <c r="EJ11" s="19" t="n">
        <f aca="false">$B11+EJ$3*100*$A11</f>
        <v>31.6608514478064</v>
      </c>
      <c r="EK11" s="19" t="n">
        <f aca="false">$B11+EK$3*100*$A11</f>
        <v>31.7608514478064</v>
      </c>
      <c r="EL11" s="19" t="n">
        <f aca="false">$B11+EL$3*100*$A11</f>
        <v>31.8608514478064</v>
      </c>
      <c r="EM11" s="19" t="n">
        <f aca="false">$B11+EM$3*100*$A11</f>
        <v>31.9608514478064</v>
      </c>
      <c r="EN11" s="19" t="n">
        <f aca="false">$B11+EN$3*100*$A11</f>
        <v>32.0608514478064</v>
      </c>
      <c r="EO11" s="19" t="n">
        <f aca="false">$B11+EO$3*100*$A11</f>
        <v>32.1608514478064</v>
      </c>
      <c r="EP11" s="19" t="n">
        <f aca="false">$B11+EP$3*100*$A11</f>
        <v>32.2608514478064</v>
      </c>
      <c r="EQ11" s="19" t="n">
        <f aca="false">$B11+EQ$3*100*$A11</f>
        <v>32.3608514478064</v>
      </c>
      <c r="ER11" s="19" t="n">
        <f aca="false">$B11+ER$3*100*$A11</f>
        <v>32.4608514478064</v>
      </c>
      <c r="ES11" s="19" t="n">
        <f aca="false">$B11+ES$3*100*$A11</f>
        <v>32.5608514478064</v>
      </c>
      <c r="ET11" s="19" t="n">
        <f aca="false">$B11+ET$3*100*$A11</f>
        <v>32.6608514478064</v>
      </c>
      <c r="EU11" s="19" t="n">
        <f aca="false">$B11+EU$3*100*$A11</f>
        <v>32.7608514478064</v>
      </c>
      <c r="EV11" s="19" t="n">
        <f aca="false">$B11+EV$3*100*$A11</f>
        <v>32.8608514478064</v>
      </c>
      <c r="EW11" s="19" t="n">
        <f aca="false">$B11+EW$3*100*$A11</f>
        <v>32.9608514478064</v>
      </c>
      <c r="EX11" s="19" t="n">
        <f aca="false">$B11+EX$3*100*$A11</f>
        <v>33.0608514478064</v>
      </c>
      <c r="EY11" s="19" t="n">
        <f aca="false">$B11+EY$3*100*$A11</f>
        <v>33.1608514478064</v>
      </c>
      <c r="EZ11" s="19" t="n">
        <f aca="false">$B11+EZ$3*100*$A11</f>
        <v>33.2608514478064</v>
      </c>
      <c r="FA11" s="19" t="n">
        <f aca="false">$B11+FA$3*100*$A11</f>
        <v>33.3608514478064</v>
      </c>
      <c r="FB11" s="19" t="n">
        <f aca="false">$B11+FB$3*100*$A11</f>
        <v>33.4608514478064</v>
      </c>
      <c r="FC11" s="19" t="n">
        <f aca="false">$B11+FC$3*100*$A11</f>
        <v>33.5608514478064</v>
      </c>
      <c r="FD11" s="19" t="n">
        <f aca="false">$B11+FD$3*100*$A11</f>
        <v>33.6608514478064</v>
      </c>
      <c r="FE11" s="19" t="n">
        <f aca="false">$B11+FE$3*100*$A11</f>
        <v>33.7608514478064</v>
      </c>
      <c r="FF11" s="19" t="n">
        <f aca="false">$B11+FF$3*100*$A11</f>
        <v>33.8608514478064</v>
      </c>
      <c r="FG11" s="19" t="n">
        <f aca="false">$B11+FG$3*100*$A11</f>
        <v>33.9608514478064</v>
      </c>
      <c r="FH11" s="19" t="n">
        <f aca="false">$B11+FH$3*100*$A11</f>
        <v>34.0608514478064</v>
      </c>
      <c r="FI11" s="19" t="n">
        <f aca="false">$B11+FI$3*100*$A11</f>
        <v>34.1608514478064</v>
      </c>
      <c r="FJ11" s="19" t="n">
        <f aca="false">$B11+FJ$3*100*$A11</f>
        <v>34.2608514478064</v>
      </c>
      <c r="FK11" s="19" t="n">
        <f aca="false">$B11+FK$3*100*$A11</f>
        <v>34.3608514478064</v>
      </c>
      <c r="FL11" s="19" t="n">
        <f aca="false">$B11+FL$3*100*$A11</f>
        <v>34.4608514478064</v>
      </c>
      <c r="FM11" s="19" t="n">
        <f aca="false">$B11+FM$3*100*$A11</f>
        <v>34.5608514478064</v>
      </c>
      <c r="FN11" s="19" t="n">
        <f aca="false">$B11+FN$3*100*$A11</f>
        <v>34.6608514478064</v>
      </c>
      <c r="FO11" s="19" t="n">
        <f aca="false">$B11+FO$3*100*$A11</f>
        <v>34.7608514478064</v>
      </c>
      <c r="FP11" s="19" t="n">
        <f aca="false">$B11+FP$3*100*$A11</f>
        <v>34.8608514478064</v>
      </c>
      <c r="FQ11" s="19" t="n">
        <f aca="false">$B11+FQ$3*100*$A11</f>
        <v>34.9608514478064</v>
      </c>
      <c r="FR11" s="19" t="n">
        <f aca="false">$B11+FR$3*100*$A11</f>
        <v>35.0608514478064</v>
      </c>
      <c r="FS11" s="19" t="n">
        <f aca="false">$B11+FS$3*100*$A11</f>
        <v>35.1608514478064</v>
      </c>
      <c r="FT11" s="19" t="n">
        <f aca="false">$B11+FT$3*100*$A11</f>
        <v>35.2608514478064</v>
      </c>
      <c r="FU11" s="19" t="n">
        <f aca="false">$B11+FU$3*100*$A11</f>
        <v>35.3608514478064</v>
      </c>
      <c r="FV11" s="19" t="n">
        <f aca="false">$B11+FV$3*100*$A11</f>
        <v>35.4608514478064</v>
      </c>
      <c r="FW11" s="19" t="n">
        <f aca="false">$B11+FW$3*100*$A11</f>
        <v>35.5608514478064</v>
      </c>
      <c r="FX11" s="19" t="n">
        <f aca="false">$B11+FX$3*100*$A11</f>
        <v>35.6608514478064</v>
      </c>
      <c r="FY11" s="19" t="n">
        <f aca="false">$B11+FY$3*100*$A11</f>
        <v>35.7608514478064</v>
      </c>
      <c r="FZ11" s="19" t="n">
        <f aca="false">$B11+FZ$3*100*$A11</f>
        <v>35.8608514478064</v>
      </c>
      <c r="GA11" s="19" t="n">
        <f aca="false">$B11+GA$3*100*$A11</f>
        <v>35.9608514478064</v>
      </c>
      <c r="GB11" s="19" t="n">
        <f aca="false">$B11+GB$3*100*$A11</f>
        <v>36.0608514478064</v>
      </c>
      <c r="GC11" s="19" t="n">
        <f aca="false">$B11+GC$3*100*$A11</f>
        <v>36.1608514478064</v>
      </c>
      <c r="GD11" s="19" t="n">
        <f aca="false">$B11+GD$3*100*$A11</f>
        <v>36.2608514478064</v>
      </c>
      <c r="GE11" s="19" t="n">
        <f aca="false">$B11+GE$3*100*$A11</f>
        <v>36.3608514478064</v>
      </c>
      <c r="GF11" s="19" t="n">
        <f aca="false">$B11+GF$3*100*$A11</f>
        <v>36.4608514478064</v>
      </c>
      <c r="GG11" s="19" t="n">
        <f aca="false">$B11+GG$3*100*$A11</f>
        <v>36.5608514478064</v>
      </c>
      <c r="GH11" s="19" t="n">
        <f aca="false">$B11+GH$3*100*$A11</f>
        <v>36.6608514478064</v>
      </c>
      <c r="GI11" s="19" t="n">
        <f aca="false">$B11+GI$3*100*$A11</f>
        <v>36.7608514478064</v>
      </c>
      <c r="GJ11" s="19" t="n">
        <f aca="false">$B11+GJ$3*100*$A11</f>
        <v>36.8608514478064</v>
      </c>
      <c r="GK11" s="19" t="n">
        <f aca="false">$B11+GK$3*100*$A11</f>
        <v>36.9608514478064</v>
      </c>
      <c r="GL11" s="19" t="n">
        <f aca="false">$B11+GL$3*100*$A11</f>
        <v>37.0608514478064</v>
      </c>
      <c r="GM11" s="19" t="n">
        <f aca="false">$B11+GM$3*100*$A11</f>
        <v>37.1608514478064</v>
      </c>
      <c r="GN11" s="19" t="n">
        <f aca="false">$B11+GN$3*100*$A11</f>
        <v>37.2608514478064</v>
      </c>
      <c r="GO11" s="19" t="n">
        <f aca="false">$B11+GO$3*100*$A11</f>
        <v>37.3608514478064</v>
      </c>
      <c r="GP11" s="19" t="n">
        <f aca="false">$B11+GP$3*100*$A11</f>
        <v>37.4608514478064</v>
      </c>
      <c r="GQ11" s="19" t="n">
        <f aca="false">$B11+GQ$3*100*$A11</f>
        <v>37.5608514478064</v>
      </c>
      <c r="GR11" s="19" t="n">
        <f aca="false">$B11+GR$3*100*$A11</f>
        <v>37.6608514478064</v>
      </c>
      <c r="GS11" s="19" t="n">
        <f aca="false">$B11+GS$3*100*$A11</f>
        <v>37.7608514478064</v>
      </c>
      <c r="GT11" s="19" t="n">
        <f aca="false">$B11+GT$3*100*$A11</f>
        <v>37.8608514478064</v>
      </c>
    </row>
    <row r="12" customFormat="false" ht="15" hidden="false" customHeight="false" outlineLevel="0" collapsed="false">
      <c r="A12" s="26" t="n">
        <f aca="false">Frontier!A10</f>
        <v>0.0225</v>
      </c>
      <c r="B12" s="34" t="n">
        <f aca="false">Frontier!B10</f>
        <v>16.8703759072327</v>
      </c>
      <c r="C12" s="19" t="n">
        <f aca="false">$B12+C$3*100*$A12</f>
        <v>16.9828759072327</v>
      </c>
      <c r="D12" s="19" t="n">
        <f aca="false">$B12+D$3*100*$A12</f>
        <v>17.0953759072327</v>
      </c>
      <c r="E12" s="19" t="n">
        <f aca="false">$B12+E$3*100*$A12</f>
        <v>17.2078759072327</v>
      </c>
      <c r="F12" s="19" t="n">
        <f aca="false">$B12+F$3*100*$A12</f>
        <v>17.3203759072327</v>
      </c>
      <c r="G12" s="19" t="n">
        <f aca="false">$B12+G$3*100*$A12</f>
        <v>17.4328759072327</v>
      </c>
      <c r="H12" s="19" t="n">
        <f aca="false">$B12+H$3*100*$A12</f>
        <v>17.5453759072327</v>
      </c>
      <c r="I12" s="19" t="n">
        <f aca="false">$B12+I$3*100*$A12</f>
        <v>17.6578759072327</v>
      </c>
      <c r="J12" s="19" t="n">
        <f aca="false">$B12+J$3*100*$A12</f>
        <v>17.7703759072327</v>
      </c>
      <c r="K12" s="19" t="n">
        <f aca="false">$B12+K$3*100*$A12</f>
        <v>17.8828759072327</v>
      </c>
      <c r="L12" s="19" t="n">
        <f aca="false">$B12+L$3*100*$A12</f>
        <v>17.9953759072327</v>
      </c>
      <c r="M12" s="19" t="n">
        <f aca="false">$B12+M$3*100*$A12</f>
        <v>18.1078759072327</v>
      </c>
      <c r="N12" s="19" t="n">
        <f aca="false">$B12+N$3*100*$A12</f>
        <v>18.2203759072327</v>
      </c>
      <c r="O12" s="19" t="n">
        <f aca="false">$B12+O$3*100*$A12</f>
        <v>18.3328759072327</v>
      </c>
      <c r="P12" s="19" t="n">
        <f aca="false">$B12+P$3*100*$A12</f>
        <v>18.4453759072327</v>
      </c>
      <c r="Q12" s="19" t="n">
        <f aca="false">$B12+Q$3*100*$A12</f>
        <v>18.5578759072327</v>
      </c>
      <c r="R12" s="19" t="n">
        <f aca="false">$B12+R$3*100*$A12</f>
        <v>18.6703759072327</v>
      </c>
      <c r="S12" s="19" t="n">
        <f aca="false">$B12+S$3*100*$A12</f>
        <v>18.7828759072327</v>
      </c>
      <c r="T12" s="19" t="n">
        <f aca="false">$B12+T$3*100*$A12</f>
        <v>18.8953759072327</v>
      </c>
      <c r="U12" s="19" t="n">
        <f aca="false">$B12+U$3*100*$A12</f>
        <v>19.0078759072327</v>
      </c>
      <c r="V12" s="19" t="n">
        <f aca="false">$B12+V$3*100*$A12</f>
        <v>19.1203759072327</v>
      </c>
      <c r="W12" s="19" t="n">
        <f aca="false">$B12+W$3*100*$A12</f>
        <v>19.2328759072327</v>
      </c>
      <c r="X12" s="19" t="n">
        <f aca="false">$B12+X$3*100*$A12</f>
        <v>19.3453759072327</v>
      </c>
      <c r="Y12" s="19" t="n">
        <f aca="false">$B12+Y$3*100*$A12</f>
        <v>19.4578759072327</v>
      </c>
      <c r="Z12" s="19" t="n">
        <f aca="false">$B12+Z$3*100*$A12</f>
        <v>19.5703759072327</v>
      </c>
      <c r="AA12" s="19" t="n">
        <f aca="false">$B12+AA$3*100*$A12</f>
        <v>19.6828759072327</v>
      </c>
      <c r="AB12" s="19" t="n">
        <f aca="false">$B12+AB$3*100*$A12</f>
        <v>19.7953759072327</v>
      </c>
      <c r="AC12" s="19" t="n">
        <f aca="false">$B12+AC$3*100*$A12</f>
        <v>19.9078759072327</v>
      </c>
      <c r="AD12" s="19" t="n">
        <f aca="false">$B12+AD$3*100*$A12</f>
        <v>20.0203759072327</v>
      </c>
      <c r="AE12" s="19" t="n">
        <f aca="false">$B12+AE$3*100*$A12</f>
        <v>20.1328759072327</v>
      </c>
      <c r="AF12" s="19" t="n">
        <f aca="false">$B12+AF$3*100*$A12</f>
        <v>20.2453759072327</v>
      </c>
      <c r="AG12" s="19" t="n">
        <f aca="false">$B12+AG$3*100*$A12</f>
        <v>20.3578759072327</v>
      </c>
      <c r="AH12" s="19" t="n">
        <f aca="false">$B12+AH$3*100*$A12</f>
        <v>20.4703759072327</v>
      </c>
      <c r="AI12" s="19" t="n">
        <f aca="false">$B12+AI$3*100*$A12</f>
        <v>20.5828759072327</v>
      </c>
      <c r="AJ12" s="19" t="n">
        <f aca="false">$B12+AJ$3*100*$A12</f>
        <v>20.6953759072327</v>
      </c>
      <c r="AK12" s="19" t="n">
        <f aca="false">$B12+AK$3*100*$A12</f>
        <v>20.8078759072327</v>
      </c>
      <c r="AL12" s="19" t="n">
        <f aca="false">$B12+AL$3*100*$A12</f>
        <v>20.9203759072327</v>
      </c>
      <c r="AM12" s="19" t="n">
        <f aca="false">$B12+AM$3*100*$A12</f>
        <v>21.0328759072327</v>
      </c>
      <c r="AN12" s="19" t="n">
        <f aca="false">$B12+AN$3*100*$A12</f>
        <v>21.1453759072327</v>
      </c>
      <c r="AO12" s="19" t="n">
        <f aca="false">$B12+AO$3*100*$A12</f>
        <v>21.2578759072327</v>
      </c>
      <c r="AP12" s="19" t="n">
        <f aca="false">$B12+AP$3*100*$A12</f>
        <v>21.3703759072327</v>
      </c>
      <c r="AQ12" s="19" t="n">
        <f aca="false">$B12+AQ$3*100*$A12</f>
        <v>21.4828759072327</v>
      </c>
      <c r="AR12" s="19" t="n">
        <f aca="false">$B12+AR$3*100*$A12</f>
        <v>21.5953759072327</v>
      </c>
      <c r="AS12" s="19" t="n">
        <f aca="false">$B12+AS$3*100*$A12</f>
        <v>21.7078759072327</v>
      </c>
      <c r="AT12" s="19" t="n">
        <f aca="false">$B12+AT$3*100*$A12</f>
        <v>21.8203759072327</v>
      </c>
      <c r="AU12" s="19" t="n">
        <f aca="false">$B12+AU$3*100*$A12</f>
        <v>21.9328759072327</v>
      </c>
      <c r="AV12" s="19" t="n">
        <f aca="false">$B12+AV$3*100*$A12</f>
        <v>22.0453759072327</v>
      </c>
      <c r="AW12" s="19" t="n">
        <f aca="false">$B12+AW$3*100*$A12</f>
        <v>22.1578759072327</v>
      </c>
      <c r="AX12" s="19" t="n">
        <f aca="false">$B12+AX$3*100*$A12</f>
        <v>22.2703759072327</v>
      </c>
      <c r="AY12" s="19" t="n">
        <f aca="false">$B12+AY$3*100*$A12</f>
        <v>22.3828759072327</v>
      </c>
      <c r="AZ12" s="19" t="n">
        <f aca="false">$B12+AZ$3*100*$A12</f>
        <v>22.4953759072327</v>
      </c>
      <c r="BA12" s="19" t="n">
        <f aca="false">$B12+BA$3*100*$A12</f>
        <v>22.6078759072327</v>
      </c>
      <c r="BB12" s="19" t="n">
        <f aca="false">$B12+BB$3*100*$A12</f>
        <v>22.7203759072327</v>
      </c>
      <c r="BC12" s="19" t="n">
        <f aca="false">$B12+BC$3*100*$A12</f>
        <v>22.8328759072327</v>
      </c>
      <c r="BD12" s="19" t="n">
        <f aca="false">$B12+BD$3*100*$A12</f>
        <v>22.9453759072327</v>
      </c>
      <c r="BE12" s="19" t="n">
        <f aca="false">$B12+BE$3*100*$A12</f>
        <v>23.0578759072327</v>
      </c>
      <c r="BF12" s="19" t="n">
        <f aca="false">$B12+BF$3*100*$A12</f>
        <v>23.1703759072327</v>
      </c>
      <c r="BG12" s="19" t="n">
        <f aca="false">$B12+BG$3*100*$A12</f>
        <v>23.2828759072327</v>
      </c>
      <c r="BH12" s="19" t="n">
        <f aca="false">$B12+BH$3*100*$A12</f>
        <v>23.3953759072327</v>
      </c>
      <c r="BI12" s="19" t="n">
        <f aca="false">$B12+BI$3*100*$A12</f>
        <v>23.5078759072327</v>
      </c>
      <c r="BJ12" s="19" t="n">
        <f aca="false">$B12+BJ$3*100*$A12</f>
        <v>23.6203759072327</v>
      </c>
      <c r="BK12" s="19" t="n">
        <f aca="false">$B12+BK$3*100*$A12</f>
        <v>23.7328759072327</v>
      </c>
      <c r="BL12" s="19" t="n">
        <f aca="false">$B12+BL$3*100*$A12</f>
        <v>23.8453759072327</v>
      </c>
      <c r="BM12" s="19" t="n">
        <f aca="false">$B12+BM$3*100*$A12</f>
        <v>23.9578759072327</v>
      </c>
      <c r="BN12" s="19" t="n">
        <f aca="false">$B12+BN$3*100*$A12</f>
        <v>24.0703759072327</v>
      </c>
      <c r="BO12" s="19" t="n">
        <f aca="false">$B12+BO$3*100*$A12</f>
        <v>24.1828759072327</v>
      </c>
      <c r="BP12" s="19" t="n">
        <f aca="false">$B12+BP$3*100*$A12</f>
        <v>24.2953759072327</v>
      </c>
      <c r="BQ12" s="19" t="n">
        <f aca="false">$B12+BQ$3*100*$A12</f>
        <v>24.4078759072327</v>
      </c>
      <c r="BR12" s="19" t="n">
        <f aca="false">$B12+BR$3*100*$A12</f>
        <v>24.5203759072327</v>
      </c>
      <c r="BS12" s="19" t="n">
        <f aca="false">$B12+BS$3*100*$A12</f>
        <v>24.6328759072327</v>
      </c>
      <c r="BT12" s="19" t="n">
        <f aca="false">$B12+BT$3*100*$A12</f>
        <v>24.7453759072327</v>
      </c>
      <c r="BU12" s="19" t="n">
        <f aca="false">$B12+BU$3*100*$A12</f>
        <v>24.8578759072327</v>
      </c>
      <c r="BV12" s="19" t="n">
        <f aca="false">$B12+BV$3*100*$A12</f>
        <v>24.9703759072327</v>
      </c>
      <c r="BW12" s="19" t="n">
        <f aca="false">$B12+BW$3*100*$A12</f>
        <v>25.0828759072327</v>
      </c>
      <c r="BX12" s="19" t="n">
        <f aca="false">$B12+BX$3*100*$A12</f>
        <v>25.1953759072327</v>
      </c>
      <c r="BY12" s="19" t="n">
        <f aca="false">$B12+BY$3*100*$A12</f>
        <v>25.3078759072327</v>
      </c>
      <c r="BZ12" s="19" t="n">
        <f aca="false">$B12+BZ$3*100*$A12</f>
        <v>25.4203759072327</v>
      </c>
      <c r="CA12" s="19" t="n">
        <f aca="false">$B12+CA$3*100*$A12</f>
        <v>25.5328759072327</v>
      </c>
      <c r="CB12" s="19" t="n">
        <f aca="false">$B12+CB$3*100*$A12</f>
        <v>25.6453759072327</v>
      </c>
      <c r="CC12" s="19" t="n">
        <f aca="false">$B12+CC$3*100*$A12</f>
        <v>25.7578759072327</v>
      </c>
      <c r="CD12" s="19" t="n">
        <f aca="false">$B12+CD$3*100*$A12</f>
        <v>25.8703759072327</v>
      </c>
      <c r="CE12" s="19" t="n">
        <f aca="false">$B12+CE$3*100*$A12</f>
        <v>25.9828759072327</v>
      </c>
      <c r="CF12" s="19" t="n">
        <f aca="false">$B12+CF$3*100*$A12</f>
        <v>26.0953759072327</v>
      </c>
      <c r="CG12" s="19" t="n">
        <f aca="false">$B12+CG$3*100*$A12</f>
        <v>26.2078759072327</v>
      </c>
      <c r="CH12" s="19" t="n">
        <f aca="false">$B12+CH$3*100*$A12</f>
        <v>26.3203759072327</v>
      </c>
      <c r="CI12" s="19" t="n">
        <f aca="false">$B12+CI$3*100*$A12</f>
        <v>26.4328759072327</v>
      </c>
      <c r="CJ12" s="19" t="n">
        <f aca="false">$B12+CJ$3*100*$A12</f>
        <v>26.5453759072327</v>
      </c>
      <c r="CK12" s="19" t="n">
        <f aca="false">$B12+CK$3*100*$A12</f>
        <v>26.6578759072327</v>
      </c>
      <c r="CL12" s="19" t="n">
        <f aca="false">$B12+CL$3*100*$A12</f>
        <v>26.7703759072327</v>
      </c>
      <c r="CM12" s="19" t="n">
        <f aca="false">$B12+CM$3*100*$A12</f>
        <v>26.8828759072327</v>
      </c>
      <c r="CN12" s="19" t="n">
        <f aca="false">$B12+CN$3*100*$A12</f>
        <v>26.9953759072327</v>
      </c>
      <c r="CO12" s="19" t="n">
        <f aca="false">$B12+CO$3*100*$A12</f>
        <v>27.1078759072327</v>
      </c>
      <c r="CP12" s="19" t="n">
        <f aca="false">$B12+CP$3*100*$A12</f>
        <v>27.2203759072327</v>
      </c>
      <c r="CQ12" s="19" t="n">
        <f aca="false">$B12+CQ$3*100*$A12</f>
        <v>27.3328759072327</v>
      </c>
      <c r="CR12" s="19" t="n">
        <f aca="false">$B12+CR$3*100*$A12</f>
        <v>27.4453759072327</v>
      </c>
      <c r="CS12" s="19" t="n">
        <f aca="false">$B12+CS$3*100*$A12</f>
        <v>27.5578759072327</v>
      </c>
      <c r="CT12" s="19" t="n">
        <f aca="false">$B12+CT$3*100*$A12</f>
        <v>27.6703759072327</v>
      </c>
      <c r="CU12" s="19" t="n">
        <f aca="false">$B12+CU$3*100*$A12</f>
        <v>27.7828759072327</v>
      </c>
      <c r="CV12" s="19" t="n">
        <f aca="false">$B12+CV$3*100*$A12</f>
        <v>27.8953759072327</v>
      </c>
      <c r="CW12" s="19" t="n">
        <f aca="false">$B12+CW$3*100*$A12</f>
        <v>28.0078759072327</v>
      </c>
      <c r="CX12" s="19" t="n">
        <f aca="false">$B12+CX$3*100*$A12</f>
        <v>28.1203759072327</v>
      </c>
      <c r="CY12" s="19" t="n">
        <f aca="false">$B12+CY$3*100*$A12</f>
        <v>28.2328759072327</v>
      </c>
      <c r="CZ12" s="19" t="n">
        <f aca="false">$B12+CZ$3*100*$A12</f>
        <v>28.3453759072327</v>
      </c>
      <c r="DA12" s="19" t="n">
        <f aca="false">$B12+DA$3*100*$A12</f>
        <v>28.4578759072327</v>
      </c>
      <c r="DB12" s="19" t="n">
        <f aca="false">$B12+DB$3*100*$A12</f>
        <v>28.5703759072327</v>
      </c>
      <c r="DC12" s="19" t="n">
        <f aca="false">$B12+DC$3*100*$A12</f>
        <v>28.6828759072327</v>
      </c>
      <c r="DD12" s="19" t="n">
        <f aca="false">$B12+DD$3*100*$A12</f>
        <v>28.7953759072327</v>
      </c>
      <c r="DE12" s="19" t="n">
        <f aca="false">$B12+DE$3*100*$A12</f>
        <v>28.9078759072327</v>
      </c>
      <c r="DF12" s="19" t="n">
        <f aca="false">$B12+DF$3*100*$A12</f>
        <v>29.0203759072327</v>
      </c>
      <c r="DG12" s="19" t="n">
        <f aca="false">$B12+DG$3*100*$A12</f>
        <v>29.1328759072327</v>
      </c>
      <c r="DH12" s="19" t="n">
        <f aca="false">$B12+DH$3*100*$A12</f>
        <v>29.2453759072327</v>
      </c>
      <c r="DI12" s="19" t="n">
        <f aca="false">$B12+DI$3*100*$A12</f>
        <v>29.3578759072327</v>
      </c>
      <c r="DJ12" s="19" t="n">
        <f aca="false">$B12+DJ$3*100*$A12</f>
        <v>29.4703759072327</v>
      </c>
      <c r="DK12" s="19" t="n">
        <f aca="false">$B12+DK$3*100*$A12</f>
        <v>29.5828759072327</v>
      </c>
      <c r="DL12" s="19" t="n">
        <f aca="false">$B12+DL$3*100*$A12</f>
        <v>29.6953759072327</v>
      </c>
      <c r="DM12" s="19" t="n">
        <f aca="false">$B12+DM$3*100*$A12</f>
        <v>29.8078759072327</v>
      </c>
      <c r="DN12" s="19" t="n">
        <f aca="false">$B12+DN$3*100*$A12</f>
        <v>29.9203759072327</v>
      </c>
      <c r="DO12" s="19" t="n">
        <f aca="false">$B12+DO$3*100*$A12</f>
        <v>30.0328759072327</v>
      </c>
      <c r="DP12" s="19" t="n">
        <f aca="false">$B12+DP$3*100*$A12</f>
        <v>30.1453759072327</v>
      </c>
      <c r="DQ12" s="19" t="n">
        <f aca="false">$B12+DQ$3*100*$A12</f>
        <v>30.2578759072327</v>
      </c>
      <c r="DR12" s="19" t="n">
        <f aca="false">$B12+DR$3*100*$A12</f>
        <v>30.3703759072327</v>
      </c>
      <c r="DS12" s="19" t="n">
        <f aca="false">$B12+DS$3*100*$A12</f>
        <v>30.4828759072327</v>
      </c>
      <c r="DT12" s="19" t="n">
        <f aca="false">$B12+DT$3*100*$A12</f>
        <v>30.5953759072327</v>
      </c>
      <c r="DU12" s="19" t="n">
        <f aca="false">$B12+DU$3*100*$A12</f>
        <v>30.7078759072327</v>
      </c>
      <c r="DV12" s="19" t="n">
        <f aca="false">$B12+DV$3*100*$A12</f>
        <v>30.8203759072327</v>
      </c>
      <c r="DW12" s="19" t="n">
        <f aca="false">$B12+DW$3*100*$A12</f>
        <v>30.9328759072327</v>
      </c>
      <c r="DX12" s="19" t="n">
        <f aca="false">$B12+DX$3*100*$A12</f>
        <v>31.0453759072327</v>
      </c>
      <c r="DY12" s="19" t="n">
        <f aca="false">$B12+DY$3*100*$A12</f>
        <v>31.1578759072327</v>
      </c>
      <c r="DZ12" s="19" t="n">
        <f aca="false">$B12+DZ$3*100*$A12</f>
        <v>31.2703759072327</v>
      </c>
      <c r="EA12" s="19" t="n">
        <f aca="false">$B12+EA$3*100*$A12</f>
        <v>31.3828759072327</v>
      </c>
      <c r="EB12" s="19" t="n">
        <f aca="false">$B12+EB$3*100*$A12</f>
        <v>31.4953759072327</v>
      </c>
      <c r="EC12" s="19" t="n">
        <f aca="false">$B12+EC$3*100*$A12</f>
        <v>31.6078759072327</v>
      </c>
      <c r="ED12" s="19" t="n">
        <f aca="false">$B12+ED$3*100*$A12</f>
        <v>31.7203759072327</v>
      </c>
      <c r="EE12" s="19" t="n">
        <f aca="false">$B12+EE$3*100*$A12</f>
        <v>31.8328759072327</v>
      </c>
      <c r="EF12" s="19" t="n">
        <f aca="false">$B12+EF$3*100*$A12</f>
        <v>31.9453759072327</v>
      </c>
      <c r="EG12" s="19" t="n">
        <f aca="false">$B12+EG$3*100*$A12</f>
        <v>32.0578759072327</v>
      </c>
      <c r="EH12" s="19" t="n">
        <f aca="false">$B12+EH$3*100*$A12</f>
        <v>32.1703759072327</v>
      </c>
      <c r="EI12" s="19" t="n">
        <f aca="false">$B12+EI$3*100*$A12</f>
        <v>32.2828759072327</v>
      </c>
      <c r="EJ12" s="19" t="n">
        <f aca="false">$B12+EJ$3*100*$A12</f>
        <v>32.3953759072327</v>
      </c>
      <c r="EK12" s="19" t="n">
        <f aca="false">$B12+EK$3*100*$A12</f>
        <v>32.5078759072327</v>
      </c>
      <c r="EL12" s="19" t="n">
        <f aca="false">$B12+EL$3*100*$A12</f>
        <v>32.6203759072327</v>
      </c>
      <c r="EM12" s="19" t="n">
        <f aca="false">$B12+EM$3*100*$A12</f>
        <v>32.7328759072327</v>
      </c>
      <c r="EN12" s="19" t="n">
        <f aca="false">$B12+EN$3*100*$A12</f>
        <v>32.8453759072327</v>
      </c>
      <c r="EO12" s="19" t="n">
        <f aca="false">$B12+EO$3*100*$A12</f>
        <v>32.9578759072327</v>
      </c>
      <c r="EP12" s="19" t="n">
        <f aca="false">$B12+EP$3*100*$A12</f>
        <v>33.0703759072327</v>
      </c>
      <c r="EQ12" s="19" t="n">
        <f aca="false">$B12+EQ$3*100*$A12</f>
        <v>33.1828759072327</v>
      </c>
      <c r="ER12" s="19" t="n">
        <f aca="false">$B12+ER$3*100*$A12</f>
        <v>33.2953759072327</v>
      </c>
      <c r="ES12" s="19" t="n">
        <f aca="false">$B12+ES$3*100*$A12</f>
        <v>33.4078759072327</v>
      </c>
      <c r="ET12" s="19" t="n">
        <f aca="false">$B12+ET$3*100*$A12</f>
        <v>33.5203759072327</v>
      </c>
      <c r="EU12" s="19" t="n">
        <f aca="false">$B12+EU$3*100*$A12</f>
        <v>33.6328759072327</v>
      </c>
      <c r="EV12" s="19" t="n">
        <f aca="false">$B12+EV$3*100*$A12</f>
        <v>33.7453759072327</v>
      </c>
      <c r="EW12" s="19" t="n">
        <f aca="false">$B12+EW$3*100*$A12</f>
        <v>33.8578759072327</v>
      </c>
      <c r="EX12" s="19" t="n">
        <f aca="false">$B12+EX$3*100*$A12</f>
        <v>33.9703759072327</v>
      </c>
      <c r="EY12" s="19" t="n">
        <f aca="false">$B12+EY$3*100*$A12</f>
        <v>34.0828759072327</v>
      </c>
      <c r="EZ12" s="19" t="n">
        <f aca="false">$B12+EZ$3*100*$A12</f>
        <v>34.1953759072327</v>
      </c>
      <c r="FA12" s="19" t="n">
        <f aca="false">$B12+FA$3*100*$A12</f>
        <v>34.3078759072327</v>
      </c>
      <c r="FB12" s="19" t="n">
        <f aca="false">$B12+FB$3*100*$A12</f>
        <v>34.4203759072327</v>
      </c>
      <c r="FC12" s="19" t="n">
        <f aca="false">$B12+FC$3*100*$A12</f>
        <v>34.5328759072327</v>
      </c>
      <c r="FD12" s="19" t="n">
        <f aca="false">$B12+FD$3*100*$A12</f>
        <v>34.6453759072327</v>
      </c>
      <c r="FE12" s="19" t="n">
        <f aca="false">$B12+FE$3*100*$A12</f>
        <v>34.7578759072327</v>
      </c>
      <c r="FF12" s="19" t="n">
        <f aca="false">$B12+FF$3*100*$A12</f>
        <v>34.8703759072327</v>
      </c>
      <c r="FG12" s="19" t="n">
        <f aca="false">$B12+FG$3*100*$A12</f>
        <v>34.9828759072327</v>
      </c>
      <c r="FH12" s="19" t="n">
        <f aca="false">$B12+FH$3*100*$A12</f>
        <v>35.0953759072327</v>
      </c>
      <c r="FI12" s="19" t="n">
        <f aca="false">$B12+FI$3*100*$A12</f>
        <v>35.2078759072327</v>
      </c>
      <c r="FJ12" s="19" t="n">
        <f aca="false">$B12+FJ$3*100*$A12</f>
        <v>35.3203759072327</v>
      </c>
      <c r="FK12" s="19" t="n">
        <f aca="false">$B12+FK$3*100*$A12</f>
        <v>35.4328759072327</v>
      </c>
      <c r="FL12" s="19" t="n">
        <f aca="false">$B12+FL$3*100*$A12</f>
        <v>35.5453759072327</v>
      </c>
      <c r="FM12" s="19" t="n">
        <f aca="false">$B12+FM$3*100*$A12</f>
        <v>35.6578759072327</v>
      </c>
      <c r="FN12" s="19" t="n">
        <f aca="false">$B12+FN$3*100*$A12</f>
        <v>35.7703759072327</v>
      </c>
      <c r="FO12" s="19" t="n">
        <f aca="false">$B12+FO$3*100*$A12</f>
        <v>35.8828759072327</v>
      </c>
      <c r="FP12" s="19" t="n">
        <f aca="false">$B12+FP$3*100*$A12</f>
        <v>35.9953759072327</v>
      </c>
      <c r="FQ12" s="19" t="n">
        <f aca="false">$B12+FQ$3*100*$A12</f>
        <v>36.1078759072327</v>
      </c>
      <c r="FR12" s="19" t="n">
        <f aca="false">$B12+FR$3*100*$A12</f>
        <v>36.2203759072327</v>
      </c>
      <c r="FS12" s="19" t="n">
        <f aca="false">$B12+FS$3*100*$A12</f>
        <v>36.3328759072327</v>
      </c>
      <c r="FT12" s="19" t="n">
        <f aca="false">$B12+FT$3*100*$A12</f>
        <v>36.4453759072327</v>
      </c>
      <c r="FU12" s="19" t="n">
        <f aca="false">$B12+FU$3*100*$A12</f>
        <v>36.5578759072327</v>
      </c>
      <c r="FV12" s="19" t="n">
        <f aca="false">$B12+FV$3*100*$A12</f>
        <v>36.6703759072327</v>
      </c>
      <c r="FW12" s="19" t="n">
        <f aca="false">$B12+FW$3*100*$A12</f>
        <v>36.7828759072327</v>
      </c>
      <c r="FX12" s="19" t="n">
        <f aca="false">$B12+FX$3*100*$A12</f>
        <v>36.8953759072327</v>
      </c>
      <c r="FY12" s="19" t="n">
        <f aca="false">$B12+FY$3*100*$A12</f>
        <v>37.0078759072327</v>
      </c>
      <c r="FZ12" s="19" t="n">
        <f aca="false">$B12+FZ$3*100*$A12</f>
        <v>37.1203759072327</v>
      </c>
      <c r="GA12" s="19" t="n">
        <f aca="false">$B12+GA$3*100*$A12</f>
        <v>37.2328759072327</v>
      </c>
      <c r="GB12" s="19" t="n">
        <f aca="false">$B12+GB$3*100*$A12</f>
        <v>37.3453759072327</v>
      </c>
      <c r="GC12" s="19" t="n">
        <f aca="false">$B12+GC$3*100*$A12</f>
        <v>37.4578759072327</v>
      </c>
      <c r="GD12" s="19" t="n">
        <f aca="false">$B12+GD$3*100*$A12</f>
        <v>37.5703759072327</v>
      </c>
      <c r="GE12" s="19" t="n">
        <f aca="false">$B12+GE$3*100*$A12</f>
        <v>37.6828759072327</v>
      </c>
      <c r="GF12" s="19" t="n">
        <f aca="false">$B12+GF$3*100*$A12</f>
        <v>37.7953759072327</v>
      </c>
      <c r="GG12" s="19" t="n">
        <f aca="false">$B12+GG$3*100*$A12</f>
        <v>37.9078759072327</v>
      </c>
      <c r="GH12" s="19" t="n">
        <f aca="false">$B12+GH$3*100*$A12</f>
        <v>38.0203759072327</v>
      </c>
      <c r="GI12" s="19" t="n">
        <f aca="false">$B12+GI$3*100*$A12</f>
        <v>38.1328759072327</v>
      </c>
      <c r="GJ12" s="19" t="n">
        <f aca="false">$B12+GJ$3*100*$A12</f>
        <v>38.2453759072327</v>
      </c>
      <c r="GK12" s="19" t="n">
        <f aca="false">$B12+GK$3*100*$A12</f>
        <v>38.3578759072327</v>
      </c>
      <c r="GL12" s="19" t="n">
        <f aca="false">$B12+GL$3*100*$A12</f>
        <v>38.4703759072327</v>
      </c>
      <c r="GM12" s="19" t="n">
        <f aca="false">$B12+GM$3*100*$A12</f>
        <v>38.5828759072327</v>
      </c>
      <c r="GN12" s="19" t="n">
        <f aca="false">$B12+GN$3*100*$A12</f>
        <v>38.6953759072327</v>
      </c>
      <c r="GO12" s="19" t="n">
        <f aca="false">$B12+GO$3*100*$A12</f>
        <v>38.8078759072327</v>
      </c>
      <c r="GP12" s="19" t="n">
        <f aca="false">$B12+GP$3*100*$A12</f>
        <v>38.9203759072327</v>
      </c>
      <c r="GQ12" s="19" t="n">
        <f aca="false">$B12+GQ$3*100*$A12</f>
        <v>39.0328759072327</v>
      </c>
      <c r="GR12" s="19" t="n">
        <f aca="false">$B12+GR$3*100*$A12</f>
        <v>39.1453759072327</v>
      </c>
      <c r="GS12" s="19" t="n">
        <f aca="false">$B12+GS$3*100*$A12</f>
        <v>39.2578759072327</v>
      </c>
      <c r="GT12" s="19" t="n">
        <f aca="false">$B12+GT$3*100*$A12</f>
        <v>39.3703759072327</v>
      </c>
    </row>
    <row r="13" customFormat="false" ht="15" hidden="false" customHeight="false" outlineLevel="0" collapsed="false">
      <c r="A13" s="26" t="n">
        <f aca="false">Frontier!A11</f>
        <v>0.025</v>
      </c>
      <c r="B13" s="34" t="n">
        <f aca="false">Frontier!B11</f>
        <v>16.0797179844774</v>
      </c>
      <c r="C13" s="19" t="n">
        <f aca="false">$B13+C$3*100*$A13</f>
        <v>16.2047179844774</v>
      </c>
      <c r="D13" s="19" t="n">
        <f aca="false">$B13+D$3*100*$A13</f>
        <v>16.3297179844774</v>
      </c>
      <c r="E13" s="19" t="n">
        <f aca="false">$B13+E$3*100*$A13</f>
        <v>16.4547179844774</v>
      </c>
      <c r="F13" s="19" t="n">
        <f aca="false">$B13+F$3*100*$A13</f>
        <v>16.5797179844774</v>
      </c>
      <c r="G13" s="19" t="n">
        <f aca="false">$B13+G$3*100*$A13</f>
        <v>16.7047179844774</v>
      </c>
      <c r="H13" s="19" t="n">
        <f aca="false">$B13+H$3*100*$A13</f>
        <v>16.8297179844774</v>
      </c>
      <c r="I13" s="19" t="n">
        <f aca="false">$B13+I$3*100*$A13</f>
        <v>16.9547179844774</v>
      </c>
      <c r="J13" s="19" t="n">
        <f aca="false">$B13+J$3*100*$A13</f>
        <v>17.0797179844774</v>
      </c>
      <c r="K13" s="19" t="n">
        <f aca="false">$B13+K$3*100*$A13</f>
        <v>17.2047179844774</v>
      </c>
      <c r="L13" s="19" t="n">
        <f aca="false">$B13+L$3*100*$A13</f>
        <v>17.3297179844774</v>
      </c>
      <c r="M13" s="19" t="n">
        <f aca="false">$B13+M$3*100*$A13</f>
        <v>17.4547179844774</v>
      </c>
      <c r="N13" s="19" t="n">
        <f aca="false">$B13+N$3*100*$A13</f>
        <v>17.5797179844774</v>
      </c>
      <c r="O13" s="19" t="n">
        <f aca="false">$B13+O$3*100*$A13</f>
        <v>17.7047179844774</v>
      </c>
      <c r="P13" s="19" t="n">
        <f aca="false">$B13+P$3*100*$A13</f>
        <v>17.8297179844774</v>
      </c>
      <c r="Q13" s="19" t="n">
        <f aca="false">$B13+Q$3*100*$A13</f>
        <v>17.9547179844774</v>
      </c>
      <c r="R13" s="19" t="n">
        <f aca="false">$B13+R$3*100*$A13</f>
        <v>18.0797179844774</v>
      </c>
      <c r="S13" s="19" t="n">
        <f aca="false">$B13+S$3*100*$A13</f>
        <v>18.2047179844774</v>
      </c>
      <c r="T13" s="19" t="n">
        <f aca="false">$B13+T$3*100*$A13</f>
        <v>18.3297179844774</v>
      </c>
      <c r="U13" s="19" t="n">
        <f aca="false">$B13+U$3*100*$A13</f>
        <v>18.4547179844774</v>
      </c>
      <c r="V13" s="19" t="n">
        <f aca="false">$B13+V$3*100*$A13</f>
        <v>18.5797179844774</v>
      </c>
      <c r="W13" s="19" t="n">
        <f aca="false">$B13+W$3*100*$A13</f>
        <v>18.7047179844774</v>
      </c>
      <c r="X13" s="19" t="n">
        <f aca="false">$B13+X$3*100*$A13</f>
        <v>18.8297179844774</v>
      </c>
      <c r="Y13" s="19" t="n">
        <f aca="false">$B13+Y$3*100*$A13</f>
        <v>18.9547179844774</v>
      </c>
      <c r="Z13" s="19" t="n">
        <f aca="false">$B13+Z$3*100*$A13</f>
        <v>19.0797179844774</v>
      </c>
      <c r="AA13" s="19" t="n">
        <f aca="false">$B13+AA$3*100*$A13</f>
        <v>19.2047179844774</v>
      </c>
      <c r="AB13" s="19" t="n">
        <f aca="false">$B13+AB$3*100*$A13</f>
        <v>19.3297179844774</v>
      </c>
      <c r="AC13" s="19" t="n">
        <f aca="false">$B13+AC$3*100*$A13</f>
        <v>19.4547179844774</v>
      </c>
      <c r="AD13" s="19" t="n">
        <f aca="false">$B13+AD$3*100*$A13</f>
        <v>19.5797179844774</v>
      </c>
      <c r="AE13" s="19" t="n">
        <f aca="false">$B13+AE$3*100*$A13</f>
        <v>19.7047179844774</v>
      </c>
      <c r="AF13" s="19" t="n">
        <f aca="false">$B13+AF$3*100*$A13</f>
        <v>19.8297179844774</v>
      </c>
      <c r="AG13" s="19" t="n">
        <f aca="false">$B13+AG$3*100*$A13</f>
        <v>19.9547179844774</v>
      </c>
      <c r="AH13" s="19" t="n">
        <f aca="false">$B13+AH$3*100*$A13</f>
        <v>20.0797179844774</v>
      </c>
      <c r="AI13" s="19" t="n">
        <f aca="false">$B13+AI$3*100*$A13</f>
        <v>20.2047179844774</v>
      </c>
      <c r="AJ13" s="19" t="n">
        <f aca="false">$B13+AJ$3*100*$A13</f>
        <v>20.3297179844774</v>
      </c>
      <c r="AK13" s="19" t="n">
        <f aca="false">$B13+AK$3*100*$A13</f>
        <v>20.4547179844774</v>
      </c>
      <c r="AL13" s="19" t="n">
        <f aca="false">$B13+AL$3*100*$A13</f>
        <v>20.5797179844774</v>
      </c>
      <c r="AM13" s="19" t="n">
        <f aca="false">$B13+AM$3*100*$A13</f>
        <v>20.7047179844774</v>
      </c>
      <c r="AN13" s="19" t="n">
        <f aca="false">$B13+AN$3*100*$A13</f>
        <v>20.8297179844774</v>
      </c>
      <c r="AO13" s="19" t="n">
        <f aca="false">$B13+AO$3*100*$A13</f>
        <v>20.9547179844774</v>
      </c>
      <c r="AP13" s="19" t="n">
        <f aca="false">$B13+AP$3*100*$A13</f>
        <v>21.0797179844774</v>
      </c>
      <c r="AQ13" s="19" t="n">
        <f aca="false">$B13+AQ$3*100*$A13</f>
        <v>21.2047179844774</v>
      </c>
      <c r="AR13" s="19" t="n">
        <f aca="false">$B13+AR$3*100*$A13</f>
        <v>21.3297179844774</v>
      </c>
      <c r="AS13" s="19" t="n">
        <f aca="false">$B13+AS$3*100*$A13</f>
        <v>21.4547179844774</v>
      </c>
      <c r="AT13" s="19" t="n">
        <f aca="false">$B13+AT$3*100*$A13</f>
        <v>21.5797179844774</v>
      </c>
      <c r="AU13" s="19" t="n">
        <f aca="false">$B13+AU$3*100*$A13</f>
        <v>21.7047179844774</v>
      </c>
      <c r="AV13" s="19" t="n">
        <f aca="false">$B13+AV$3*100*$A13</f>
        <v>21.8297179844774</v>
      </c>
      <c r="AW13" s="19" t="n">
        <f aca="false">$B13+AW$3*100*$A13</f>
        <v>21.9547179844774</v>
      </c>
      <c r="AX13" s="19" t="n">
        <f aca="false">$B13+AX$3*100*$A13</f>
        <v>22.0797179844774</v>
      </c>
      <c r="AY13" s="19" t="n">
        <f aca="false">$B13+AY$3*100*$A13</f>
        <v>22.2047179844774</v>
      </c>
      <c r="AZ13" s="19" t="n">
        <f aca="false">$B13+AZ$3*100*$A13</f>
        <v>22.3297179844774</v>
      </c>
      <c r="BA13" s="19" t="n">
        <f aca="false">$B13+BA$3*100*$A13</f>
        <v>22.4547179844774</v>
      </c>
      <c r="BB13" s="19" t="n">
        <f aca="false">$B13+BB$3*100*$A13</f>
        <v>22.5797179844774</v>
      </c>
      <c r="BC13" s="19" t="n">
        <f aca="false">$B13+BC$3*100*$A13</f>
        <v>22.7047179844774</v>
      </c>
      <c r="BD13" s="19" t="n">
        <f aca="false">$B13+BD$3*100*$A13</f>
        <v>22.8297179844774</v>
      </c>
      <c r="BE13" s="19" t="n">
        <f aca="false">$B13+BE$3*100*$A13</f>
        <v>22.9547179844774</v>
      </c>
      <c r="BF13" s="19" t="n">
        <f aca="false">$B13+BF$3*100*$A13</f>
        <v>23.0797179844774</v>
      </c>
      <c r="BG13" s="19" t="n">
        <f aca="false">$B13+BG$3*100*$A13</f>
        <v>23.2047179844774</v>
      </c>
      <c r="BH13" s="19" t="n">
        <f aca="false">$B13+BH$3*100*$A13</f>
        <v>23.3297179844774</v>
      </c>
      <c r="BI13" s="19" t="n">
        <f aca="false">$B13+BI$3*100*$A13</f>
        <v>23.4547179844774</v>
      </c>
      <c r="BJ13" s="19" t="n">
        <f aca="false">$B13+BJ$3*100*$A13</f>
        <v>23.5797179844774</v>
      </c>
      <c r="BK13" s="19" t="n">
        <f aca="false">$B13+BK$3*100*$A13</f>
        <v>23.7047179844774</v>
      </c>
      <c r="BL13" s="19" t="n">
        <f aca="false">$B13+BL$3*100*$A13</f>
        <v>23.8297179844774</v>
      </c>
      <c r="BM13" s="19" t="n">
        <f aca="false">$B13+BM$3*100*$A13</f>
        <v>23.9547179844774</v>
      </c>
      <c r="BN13" s="19" t="n">
        <f aca="false">$B13+BN$3*100*$A13</f>
        <v>24.0797179844774</v>
      </c>
      <c r="BO13" s="19" t="n">
        <f aca="false">$B13+BO$3*100*$A13</f>
        <v>24.2047179844774</v>
      </c>
      <c r="BP13" s="19" t="n">
        <f aca="false">$B13+BP$3*100*$A13</f>
        <v>24.3297179844774</v>
      </c>
      <c r="BQ13" s="19" t="n">
        <f aca="false">$B13+BQ$3*100*$A13</f>
        <v>24.4547179844774</v>
      </c>
      <c r="BR13" s="19" t="n">
        <f aca="false">$B13+BR$3*100*$A13</f>
        <v>24.5797179844774</v>
      </c>
      <c r="BS13" s="19" t="n">
        <f aca="false">$B13+BS$3*100*$A13</f>
        <v>24.7047179844774</v>
      </c>
      <c r="BT13" s="19" t="n">
        <f aca="false">$B13+BT$3*100*$A13</f>
        <v>24.8297179844774</v>
      </c>
      <c r="BU13" s="19" t="n">
        <f aca="false">$B13+BU$3*100*$A13</f>
        <v>24.9547179844774</v>
      </c>
      <c r="BV13" s="19" t="n">
        <f aca="false">$B13+BV$3*100*$A13</f>
        <v>25.0797179844774</v>
      </c>
      <c r="BW13" s="19" t="n">
        <f aca="false">$B13+BW$3*100*$A13</f>
        <v>25.2047179844774</v>
      </c>
      <c r="BX13" s="19" t="n">
        <f aca="false">$B13+BX$3*100*$A13</f>
        <v>25.3297179844774</v>
      </c>
      <c r="BY13" s="19" t="n">
        <f aca="false">$B13+BY$3*100*$A13</f>
        <v>25.4547179844774</v>
      </c>
      <c r="BZ13" s="19" t="n">
        <f aca="false">$B13+BZ$3*100*$A13</f>
        <v>25.5797179844774</v>
      </c>
      <c r="CA13" s="19" t="n">
        <f aca="false">$B13+CA$3*100*$A13</f>
        <v>25.7047179844774</v>
      </c>
      <c r="CB13" s="19" t="n">
        <f aca="false">$B13+CB$3*100*$A13</f>
        <v>25.8297179844774</v>
      </c>
      <c r="CC13" s="19" t="n">
        <f aca="false">$B13+CC$3*100*$A13</f>
        <v>25.9547179844774</v>
      </c>
      <c r="CD13" s="19" t="n">
        <f aca="false">$B13+CD$3*100*$A13</f>
        <v>26.0797179844774</v>
      </c>
      <c r="CE13" s="19" t="n">
        <f aca="false">$B13+CE$3*100*$A13</f>
        <v>26.2047179844774</v>
      </c>
      <c r="CF13" s="19" t="n">
        <f aca="false">$B13+CF$3*100*$A13</f>
        <v>26.3297179844774</v>
      </c>
      <c r="CG13" s="19" t="n">
        <f aca="false">$B13+CG$3*100*$A13</f>
        <v>26.4547179844774</v>
      </c>
      <c r="CH13" s="19" t="n">
        <f aca="false">$B13+CH$3*100*$A13</f>
        <v>26.5797179844774</v>
      </c>
      <c r="CI13" s="19" t="n">
        <f aca="false">$B13+CI$3*100*$A13</f>
        <v>26.7047179844774</v>
      </c>
      <c r="CJ13" s="19" t="n">
        <f aca="false">$B13+CJ$3*100*$A13</f>
        <v>26.8297179844774</v>
      </c>
      <c r="CK13" s="19" t="n">
        <f aca="false">$B13+CK$3*100*$A13</f>
        <v>26.9547179844774</v>
      </c>
      <c r="CL13" s="19" t="n">
        <f aca="false">$B13+CL$3*100*$A13</f>
        <v>27.0797179844774</v>
      </c>
      <c r="CM13" s="19" t="n">
        <f aca="false">$B13+CM$3*100*$A13</f>
        <v>27.2047179844774</v>
      </c>
      <c r="CN13" s="19" t="n">
        <f aca="false">$B13+CN$3*100*$A13</f>
        <v>27.3297179844774</v>
      </c>
      <c r="CO13" s="19" t="n">
        <f aca="false">$B13+CO$3*100*$A13</f>
        <v>27.4547179844774</v>
      </c>
      <c r="CP13" s="19" t="n">
        <f aca="false">$B13+CP$3*100*$A13</f>
        <v>27.5797179844774</v>
      </c>
      <c r="CQ13" s="19" t="n">
        <f aca="false">$B13+CQ$3*100*$A13</f>
        <v>27.7047179844774</v>
      </c>
      <c r="CR13" s="19" t="n">
        <f aca="false">$B13+CR$3*100*$A13</f>
        <v>27.8297179844774</v>
      </c>
      <c r="CS13" s="19" t="n">
        <f aca="false">$B13+CS$3*100*$A13</f>
        <v>27.9547179844774</v>
      </c>
      <c r="CT13" s="19" t="n">
        <f aca="false">$B13+CT$3*100*$A13</f>
        <v>28.0797179844774</v>
      </c>
      <c r="CU13" s="19" t="n">
        <f aca="false">$B13+CU$3*100*$A13</f>
        <v>28.2047179844774</v>
      </c>
      <c r="CV13" s="19" t="n">
        <f aca="false">$B13+CV$3*100*$A13</f>
        <v>28.3297179844774</v>
      </c>
      <c r="CW13" s="19" t="n">
        <f aca="false">$B13+CW$3*100*$A13</f>
        <v>28.4547179844774</v>
      </c>
      <c r="CX13" s="19" t="n">
        <f aca="false">$B13+CX$3*100*$A13</f>
        <v>28.5797179844774</v>
      </c>
      <c r="CY13" s="19" t="n">
        <f aca="false">$B13+CY$3*100*$A13</f>
        <v>28.7047179844774</v>
      </c>
      <c r="CZ13" s="19" t="n">
        <f aca="false">$B13+CZ$3*100*$A13</f>
        <v>28.8297179844774</v>
      </c>
      <c r="DA13" s="19" t="n">
        <f aca="false">$B13+DA$3*100*$A13</f>
        <v>28.9547179844774</v>
      </c>
      <c r="DB13" s="19" t="n">
        <f aca="false">$B13+DB$3*100*$A13</f>
        <v>29.0797179844774</v>
      </c>
      <c r="DC13" s="19" t="n">
        <f aca="false">$B13+DC$3*100*$A13</f>
        <v>29.2047179844774</v>
      </c>
      <c r="DD13" s="19" t="n">
        <f aca="false">$B13+DD$3*100*$A13</f>
        <v>29.3297179844774</v>
      </c>
      <c r="DE13" s="19" t="n">
        <f aca="false">$B13+DE$3*100*$A13</f>
        <v>29.4547179844774</v>
      </c>
      <c r="DF13" s="19" t="n">
        <f aca="false">$B13+DF$3*100*$A13</f>
        <v>29.5797179844774</v>
      </c>
      <c r="DG13" s="19" t="n">
        <f aca="false">$B13+DG$3*100*$A13</f>
        <v>29.7047179844774</v>
      </c>
      <c r="DH13" s="19" t="n">
        <f aca="false">$B13+DH$3*100*$A13</f>
        <v>29.8297179844774</v>
      </c>
      <c r="DI13" s="19" t="n">
        <f aca="false">$B13+DI$3*100*$A13</f>
        <v>29.9547179844774</v>
      </c>
      <c r="DJ13" s="19" t="n">
        <f aca="false">$B13+DJ$3*100*$A13</f>
        <v>30.0797179844774</v>
      </c>
      <c r="DK13" s="19" t="n">
        <f aca="false">$B13+DK$3*100*$A13</f>
        <v>30.2047179844774</v>
      </c>
      <c r="DL13" s="19" t="n">
        <f aca="false">$B13+DL$3*100*$A13</f>
        <v>30.3297179844774</v>
      </c>
      <c r="DM13" s="19" t="n">
        <f aca="false">$B13+DM$3*100*$A13</f>
        <v>30.4547179844774</v>
      </c>
      <c r="DN13" s="19" t="n">
        <f aca="false">$B13+DN$3*100*$A13</f>
        <v>30.5797179844774</v>
      </c>
      <c r="DO13" s="19" t="n">
        <f aca="false">$B13+DO$3*100*$A13</f>
        <v>30.7047179844774</v>
      </c>
      <c r="DP13" s="19" t="n">
        <f aca="false">$B13+DP$3*100*$A13</f>
        <v>30.8297179844774</v>
      </c>
      <c r="DQ13" s="19" t="n">
        <f aca="false">$B13+DQ$3*100*$A13</f>
        <v>30.9547179844774</v>
      </c>
      <c r="DR13" s="19" t="n">
        <f aca="false">$B13+DR$3*100*$A13</f>
        <v>31.0797179844774</v>
      </c>
      <c r="DS13" s="19" t="n">
        <f aca="false">$B13+DS$3*100*$A13</f>
        <v>31.2047179844774</v>
      </c>
      <c r="DT13" s="19" t="n">
        <f aca="false">$B13+DT$3*100*$A13</f>
        <v>31.3297179844774</v>
      </c>
      <c r="DU13" s="19" t="n">
        <f aca="false">$B13+DU$3*100*$A13</f>
        <v>31.4547179844774</v>
      </c>
      <c r="DV13" s="19" t="n">
        <f aca="false">$B13+DV$3*100*$A13</f>
        <v>31.5797179844774</v>
      </c>
      <c r="DW13" s="19" t="n">
        <f aca="false">$B13+DW$3*100*$A13</f>
        <v>31.7047179844774</v>
      </c>
      <c r="DX13" s="19" t="n">
        <f aca="false">$B13+DX$3*100*$A13</f>
        <v>31.8297179844774</v>
      </c>
      <c r="DY13" s="19" t="n">
        <f aca="false">$B13+DY$3*100*$A13</f>
        <v>31.9547179844774</v>
      </c>
      <c r="DZ13" s="19" t="n">
        <f aca="false">$B13+DZ$3*100*$A13</f>
        <v>32.0797179844774</v>
      </c>
      <c r="EA13" s="19" t="n">
        <f aca="false">$B13+EA$3*100*$A13</f>
        <v>32.2047179844774</v>
      </c>
      <c r="EB13" s="19" t="n">
        <f aca="false">$B13+EB$3*100*$A13</f>
        <v>32.3297179844774</v>
      </c>
      <c r="EC13" s="19" t="n">
        <f aca="false">$B13+EC$3*100*$A13</f>
        <v>32.4547179844774</v>
      </c>
      <c r="ED13" s="19" t="n">
        <f aca="false">$B13+ED$3*100*$A13</f>
        <v>32.5797179844774</v>
      </c>
      <c r="EE13" s="19" t="n">
        <f aca="false">$B13+EE$3*100*$A13</f>
        <v>32.7047179844774</v>
      </c>
      <c r="EF13" s="19" t="n">
        <f aca="false">$B13+EF$3*100*$A13</f>
        <v>32.8297179844774</v>
      </c>
      <c r="EG13" s="19" t="n">
        <f aca="false">$B13+EG$3*100*$A13</f>
        <v>32.9547179844774</v>
      </c>
      <c r="EH13" s="19" t="n">
        <f aca="false">$B13+EH$3*100*$A13</f>
        <v>33.0797179844774</v>
      </c>
      <c r="EI13" s="19" t="n">
        <f aca="false">$B13+EI$3*100*$A13</f>
        <v>33.2047179844774</v>
      </c>
      <c r="EJ13" s="19" t="n">
        <f aca="false">$B13+EJ$3*100*$A13</f>
        <v>33.3297179844774</v>
      </c>
      <c r="EK13" s="19" t="n">
        <f aca="false">$B13+EK$3*100*$A13</f>
        <v>33.4547179844774</v>
      </c>
      <c r="EL13" s="19" t="n">
        <f aca="false">$B13+EL$3*100*$A13</f>
        <v>33.5797179844774</v>
      </c>
      <c r="EM13" s="19" t="n">
        <f aca="false">$B13+EM$3*100*$A13</f>
        <v>33.7047179844774</v>
      </c>
      <c r="EN13" s="19" t="n">
        <f aca="false">$B13+EN$3*100*$A13</f>
        <v>33.8297179844774</v>
      </c>
      <c r="EO13" s="19" t="n">
        <f aca="false">$B13+EO$3*100*$A13</f>
        <v>33.9547179844774</v>
      </c>
      <c r="EP13" s="19" t="n">
        <f aca="false">$B13+EP$3*100*$A13</f>
        <v>34.0797179844774</v>
      </c>
      <c r="EQ13" s="19" t="n">
        <f aca="false">$B13+EQ$3*100*$A13</f>
        <v>34.2047179844774</v>
      </c>
      <c r="ER13" s="19" t="n">
        <f aca="false">$B13+ER$3*100*$A13</f>
        <v>34.3297179844774</v>
      </c>
      <c r="ES13" s="19" t="n">
        <f aca="false">$B13+ES$3*100*$A13</f>
        <v>34.4547179844774</v>
      </c>
      <c r="ET13" s="19" t="n">
        <f aca="false">$B13+ET$3*100*$A13</f>
        <v>34.5797179844774</v>
      </c>
      <c r="EU13" s="19" t="n">
        <f aca="false">$B13+EU$3*100*$A13</f>
        <v>34.7047179844774</v>
      </c>
      <c r="EV13" s="19" t="n">
        <f aca="false">$B13+EV$3*100*$A13</f>
        <v>34.8297179844774</v>
      </c>
      <c r="EW13" s="19" t="n">
        <f aca="false">$B13+EW$3*100*$A13</f>
        <v>34.9547179844774</v>
      </c>
      <c r="EX13" s="19" t="n">
        <f aca="false">$B13+EX$3*100*$A13</f>
        <v>35.0797179844774</v>
      </c>
      <c r="EY13" s="19" t="n">
        <f aca="false">$B13+EY$3*100*$A13</f>
        <v>35.2047179844774</v>
      </c>
      <c r="EZ13" s="19" t="n">
        <f aca="false">$B13+EZ$3*100*$A13</f>
        <v>35.3297179844774</v>
      </c>
      <c r="FA13" s="19" t="n">
        <f aca="false">$B13+FA$3*100*$A13</f>
        <v>35.4547179844774</v>
      </c>
      <c r="FB13" s="19" t="n">
        <f aca="false">$B13+FB$3*100*$A13</f>
        <v>35.5797179844774</v>
      </c>
      <c r="FC13" s="19" t="n">
        <f aca="false">$B13+FC$3*100*$A13</f>
        <v>35.7047179844774</v>
      </c>
      <c r="FD13" s="19" t="n">
        <f aca="false">$B13+FD$3*100*$A13</f>
        <v>35.8297179844774</v>
      </c>
      <c r="FE13" s="19" t="n">
        <f aca="false">$B13+FE$3*100*$A13</f>
        <v>35.9547179844774</v>
      </c>
      <c r="FF13" s="19" t="n">
        <f aca="false">$B13+FF$3*100*$A13</f>
        <v>36.0797179844774</v>
      </c>
      <c r="FG13" s="19" t="n">
        <f aca="false">$B13+FG$3*100*$A13</f>
        <v>36.2047179844774</v>
      </c>
      <c r="FH13" s="19" t="n">
        <f aca="false">$B13+FH$3*100*$A13</f>
        <v>36.3297179844774</v>
      </c>
      <c r="FI13" s="19" t="n">
        <f aca="false">$B13+FI$3*100*$A13</f>
        <v>36.4547179844774</v>
      </c>
      <c r="FJ13" s="19" t="n">
        <f aca="false">$B13+FJ$3*100*$A13</f>
        <v>36.5797179844774</v>
      </c>
      <c r="FK13" s="19" t="n">
        <f aca="false">$B13+FK$3*100*$A13</f>
        <v>36.7047179844774</v>
      </c>
      <c r="FL13" s="19" t="n">
        <f aca="false">$B13+FL$3*100*$A13</f>
        <v>36.8297179844774</v>
      </c>
      <c r="FM13" s="19" t="n">
        <f aca="false">$B13+FM$3*100*$A13</f>
        <v>36.9547179844774</v>
      </c>
      <c r="FN13" s="19" t="n">
        <f aca="false">$B13+FN$3*100*$A13</f>
        <v>37.0797179844774</v>
      </c>
      <c r="FO13" s="19" t="n">
        <f aca="false">$B13+FO$3*100*$A13</f>
        <v>37.2047179844774</v>
      </c>
      <c r="FP13" s="19" t="n">
        <f aca="false">$B13+FP$3*100*$A13</f>
        <v>37.3297179844774</v>
      </c>
      <c r="FQ13" s="19" t="n">
        <f aca="false">$B13+FQ$3*100*$A13</f>
        <v>37.4547179844774</v>
      </c>
      <c r="FR13" s="19" t="n">
        <f aca="false">$B13+FR$3*100*$A13</f>
        <v>37.5797179844774</v>
      </c>
      <c r="FS13" s="19" t="n">
        <f aca="false">$B13+FS$3*100*$A13</f>
        <v>37.7047179844774</v>
      </c>
      <c r="FT13" s="19" t="n">
        <f aca="false">$B13+FT$3*100*$A13</f>
        <v>37.8297179844774</v>
      </c>
      <c r="FU13" s="19" t="n">
        <f aca="false">$B13+FU$3*100*$A13</f>
        <v>37.9547179844774</v>
      </c>
      <c r="FV13" s="19" t="n">
        <f aca="false">$B13+FV$3*100*$A13</f>
        <v>38.0797179844774</v>
      </c>
      <c r="FW13" s="19" t="n">
        <f aca="false">$B13+FW$3*100*$A13</f>
        <v>38.2047179844774</v>
      </c>
      <c r="FX13" s="19" t="n">
        <f aca="false">$B13+FX$3*100*$A13</f>
        <v>38.3297179844774</v>
      </c>
      <c r="FY13" s="19" t="n">
        <f aca="false">$B13+FY$3*100*$A13</f>
        <v>38.4547179844774</v>
      </c>
      <c r="FZ13" s="19" t="n">
        <f aca="false">$B13+FZ$3*100*$A13</f>
        <v>38.5797179844774</v>
      </c>
      <c r="GA13" s="19" t="n">
        <f aca="false">$B13+GA$3*100*$A13</f>
        <v>38.7047179844774</v>
      </c>
      <c r="GB13" s="19" t="n">
        <f aca="false">$B13+GB$3*100*$A13</f>
        <v>38.8297179844774</v>
      </c>
      <c r="GC13" s="19" t="n">
        <f aca="false">$B13+GC$3*100*$A13</f>
        <v>38.9547179844774</v>
      </c>
      <c r="GD13" s="19" t="n">
        <f aca="false">$B13+GD$3*100*$A13</f>
        <v>39.0797179844774</v>
      </c>
      <c r="GE13" s="19" t="n">
        <f aca="false">$B13+GE$3*100*$A13</f>
        <v>39.2047179844774</v>
      </c>
      <c r="GF13" s="19" t="n">
        <f aca="false">$B13+GF$3*100*$A13</f>
        <v>39.3297179844774</v>
      </c>
      <c r="GG13" s="19" t="n">
        <f aca="false">$B13+GG$3*100*$A13</f>
        <v>39.4547179844774</v>
      </c>
      <c r="GH13" s="19" t="n">
        <f aca="false">$B13+GH$3*100*$A13</f>
        <v>39.5797179844774</v>
      </c>
      <c r="GI13" s="19" t="n">
        <f aca="false">$B13+GI$3*100*$A13</f>
        <v>39.7047179844774</v>
      </c>
      <c r="GJ13" s="19" t="n">
        <f aca="false">$B13+GJ$3*100*$A13</f>
        <v>39.8297179844774</v>
      </c>
      <c r="GK13" s="19" t="n">
        <f aca="false">$B13+GK$3*100*$A13</f>
        <v>39.9547179844774</v>
      </c>
      <c r="GL13" s="19" t="n">
        <f aca="false">$B13+GL$3*100*$A13</f>
        <v>40.0797179844774</v>
      </c>
      <c r="GM13" s="19" t="n">
        <f aca="false">$B13+GM$3*100*$A13</f>
        <v>40.2047179844774</v>
      </c>
      <c r="GN13" s="19" t="n">
        <f aca="false">$B13+GN$3*100*$A13</f>
        <v>40.3297179844774</v>
      </c>
      <c r="GO13" s="19" t="n">
        <f aca="false">$B13+GO$3*100*$A13</f>
        <v>40.4547179844774</v>
      </c>
      <c r="GP13" s="19" t="n">
        <f aca="false">$B13+GP$3*100*$A13</f>
        <v>40.5797179844774</v>
      </c>
      <c r="GQ13" s="19" t="n">
        <f aca="false">$B13+GQ$3*100*$A13</f>
        <v>40.7047179844774</v>
      </c>
      <c r="GR13" s="19" t="n">
        <f aca="false">$B13+GR$3*100*$A13</f>
        <v>40.8297179844774</v>
      </c>
      <c r="GS13" s="19" t="n">
        <f aca="false">$B13+GS$3*100*$A13</f>
        <v>40.9547179844774</v>
      </c>
      <c r="GT13" s="19" t="n">
        <f aca="false">$B13+GT$3*100*$A13</f>
        <v>41.0797179844774</v>
      </c>
    </row>
    <row r="14" customFormat="false" ht="15" hidden="false" customHeight="false" outlineLevel="0" collapsed="false">
      <c r="A14" s="26" t="n">
        <f aca="false">Frontier!A12</f>
        <v>0.0275</v>
      </c>
      <c r="B14" s="34" t="n">
        <f aca="false">Frontier!B12</f>
        <v>15.3387715171503</v>
      </c>
      <c r="C14" s="19" t="n">
        <f aca="false">$B14+C$3*100*$A14</f>
        <v>15.4762715171503</v>
      </c>
      <c r="D14" s="19" t="n">
        <f aca="false">$B14+D$3*100*$A14</f>
        <v>15.6137715171503</v>
      </c>
      <c r="E14" s="19" t="n">
        <f aca="false">$B14+E$3*100*$A14</f>
        <v>15.7512715171503</v>
      </c>
      <c r="F14" s="19" t="n">
        <f aca="false">$B14+F$3*100*$A14</f>
        <v>15.8887715171503</v>
      </c>
      <c r="G14" s="19" t="n">
        <f aca="false">$B14+G$3*100*$A14</f>
        <v>16.0262715171503</v>
      </c>
      <c r="H14" s="19" t="n">
        <f aca="false">$B14+H$3*100*$A14</f>
        <v>16.1637715171503</v>
      </c>
      <c r="I14" s="19" t="n">
        <f aca="false">$B14+I$3*100*$A14</f>
        <v>16.3012715171503</v>
      </c>
      <c r="J14" s="19" t="n">
        <f aca="false">$B14+J$3*100*$A14</f>
        <v>16.4387715171503</v>
      </c>
      <c r="K14" s="19" t="n">
        <f aca="false">$B14+K$3*100*$A14</f>
        <v>16.5762715171503</v>
      </c>
      <c r="L14" s="19" t="n">
        <f aca="false">$B14+L$3*100*$A14</f>
        <v>16.7137715171503</v>
      </c>
      <c r="M14" s="19" t="n">
        <f aca="false">$B14+M$3*100*$A14</f>
        <v>16.8512715171503</v>
      </c>
      <c r="N14" s="19" t="n">
        <f aca="false">$B14+N$3*100*$A14</f>
        <v>16.9887715171503</v>
      </c>
      <c r="O14" s="19" t="n">
        <f aca="false">$B14+O$3*100*$A14</f>
        <v>17.1262715171503</v>
      </c>
      <c r="P14" s="19" t="n">
        <f aca="false">$B14+P$3*100*$A14</f>
        <v>17.2637715171503</v>
      </c>
      <c r="Q14" s="19" t="n">
        <f aca="false">$B14+Q$3*100*$A14</f>
        <v>17.4012715171503</v>
      </c>
      <c r="R14" s="19" t="n">
        <f aca="false">$B14+R$3*100*$A14</f>
        <v>17.5387715171503</v>
      </c>
      <c r="S14" s="19" t="n">
        <f aca="false">$B14+S$3*100*$A14</f>
        <v>17.6762715171503</v>
      </c>
      <c r="T14" s="19" t="n">
        <f aca="false">$B14+T$3*100*$A14</f>
        <v>17.8137715171503</v>
      </c>
      <c r="U14" s="19" t="n">
        <f aca="false">$B14+U$3*100*$A14</f>
        <v>17.9512715171503</v>
      </c>
      <c r="V14" s="19" t="n">
        <f aca="false">$B14+V$3*100*$A14</f>
        <v>18.0887715171503</v>
      </c>
      <c r="W14" s="19" t="n">
        <f aca="false">$B14+W$3*100*$A14</f>
        <v>18.2262715171503</v>
      </c>
      <c r="X14" s="19" t="n">
        <f aca="false">$B14+X$3*100*$A14</f>
        <v>18.3637715171503</v>
      </c>
      <c r="Y14" s="19" t="n">
        <f aca="false">$B14+Y$3*100*$A14</f>
        <v>18.5012715171503</v>
      </c>
      <c r="Z14" s="19" t="n">
        <f aca="false">$B14+Z$3*100*$A14</f>
        <v>18.6387715171503</v>
      </c>
      <c r="AA14" s="19" t="n">
        <f aca="false">$B14+AA$3*100*$A14</f>
        <v>18.7762715171503</v>
      </c>
      <c r="AB14" s="19" t="n">
        <f aca="false">$B14+AB$3*100*$A14</f>
        <v>18.9137715171503</v>
      </c>
      <c r="AC14" s="19" t="n">
        <f aca="false">$B14+AC$3*100*$A14</f>
        <v>19.0512715171503</v>
      </c>
      <c r="AD14" s="19" t="n">
        <f aca="false">$B14+AD$3*100*$A14</f>
        <v>19.1887715171503</v>
      </c>
      <c r="AE14" s="19" t="n">
        <f aca="false">$B14+AE$3*100*$A14</f>
        <v>19.3262715171503</v>
      </c>
      <c r="AF14" s="19" t="n">
        <f aca="false">$B14+AF$3*100*$A14</f>
        <v>19.4637715171503</v>
      </c>
      <c r="AG14" s="19" t="n">
        <f aca="false">$B14+AG$3*100*$A14</f>
        <v>19.6012715171503</v>
      </c>
      <c r="AH14" s="19" t="n">
        <f aca="false">$B14+AH$3*100*$A14</f>
        <v>19.7387715171503</v>
      </c>
      <c r="AI14" s="19" t="n">
        <f aca="false">$B14+AI$3*100*$A14</f>
        <v>19.8762715171503</v>
      </c>
      <c r="AJ14" s="19" t="n">
        <f aca="false">$B14+AJ$3*100*$A14</f>
        <v>20.0137715171503</v>
      </c>
      <c r="AK14" s="19" t="n">
        <f aca="false">$B14+AK$3*100*$A14</f>
        <v>20.1512715171503</v>
      </c>
      <c r="AL14" s="19" t="n">
        <f aca="false">$B14+AL$3*100*$A14</f>
        <v>20.2887715171503</v>
      </c>
      <c r="AM14" s="19" t="n">
        <f aca="false">$B14+AM$3*100*$A14</f>
        <v>20.4262715171503</v>
      </c>
      <c r="AN14" s="19" t="n">
        <f aca="false">$B14+AN$3*100*$A14</f>
        <v>20.5637715171503</v>
      </c>
      <c r="AO14" s="19" t="n">
        <f aca="false">$B14+AO$3*100*$A14</f>
        <v>20.7012715171503</v>
      </c>
      <c r="AP14" s="19" t="n">
        <f aca="false">$B14+AP$3*100*$A14</f>
        <v>20.8387715171503</v>
      </c>
      <c r="AQ14" s="19" t="n">
        <f aca="false">$B14+AQ$3*100*$A14</f>
        <v>20.9762715171503</v>
      </c>
      <c r="AR14" s="19" t="n">
        <f aca="false">$B14+AR$3*100*$A14</f>
        <v>21.1137715171503</v>
      </c>
      <c r="AS14" s="19" t="n">
        <f aca="false">$B14+AS$3*100*$A14</f>
        <v>21.2512715171503</v>
      </c>
      <c r="AT14" s="19" t="n">
        <f aca="false">$B14+AT$3*100*$A14</f>
        <v>21.3887715171503</v>
      </c>
      <c r="AU14" s="19" t="n">
        <f aca="false">$B14+AU$3*100*$A14</f>
        <v>21.5262715171503</v>
      </c>
      <c r="AV14" s="19" t="n">
        <f aca="false">$B14+AV$3*100*$A14</f>
        <v>21.6637715171503</v>
      </c>
      <c r="AW14" s="19" t="n">
        <f aca="false">$B14+AW$3*100*$A14</f>
        <v>21.8012715171503</v>
      </c>
      <c r="AX14" s="19" t="n">
        <f aca="false">$B14+AX$3*100*$A14</f>
        <v>21.9387715171503</v>
      </c>
      <c r="AY14" s="19" t="n">
        <f aca="false">$B14+AY$3*100*$A14</f>
        <v>22.0762715171503</v>
      </c>
      <c r="AZ14" s="19" t="n">
        <f aca="false">$B14+AZ$3*100*$A14</f>
        <v>22.2137715171503</v>
      </c>
      <c r="BA14" s="19" t="n">
        <f aca="false">$B14+BA$3*100*$A14</f>
        <v>22.3512715171503</v>
      </c>
      <c r="BB14" s="19" t="n">
        <f aca="false">$B14+BB$3*100*$A14</f>
        <v>22.4887715171503</v>
      </c>
      <c r="BC14" s="19" t="n">
        <f aca="false">$B14+BC$3*100*$A14</f>
        <v>22.6262715171503</v>
      </c>
      <c r="BD14" s="19" t="n">
        <f aca="false">$B14+BD$3*100*$A14</f>
        <v>22.7637715171503</v>
      </c>
      <c r="BE14" s="19" t="n">
        <f aca="false">$B14+BE$3*100*$A14</f>
        <v>22.9012715171503</v>
      </c>
      <c r="BF14" s="19" t="n">
        <f aca="false">$B14+BF$3*100*$A14</f>
        <v>23.0387715171503</v>
      </c>
      <c r="BG14" s="19" t="n">
        <f aca="false">$B14+BG$3*100*$A14</f>
        <v>23.1762715171503</v>
      </c>
      <c r="BH14" s="19" t="n">
        <f aca="false">$B14+BH$3*100*$A14</f>
        <v>23.3137715171503</v>
      </c>
      <c r="BI14" s="19" t="n">
        <f aca="false">$B14+BI$3*100*$A14</f>
        <v>23.4512715171503</v>
      </c>
      <c r="BJ14" s="19" t="n">
        <f aca="false">$B14+BJ$3*100*$A14</f>
        <v>23.5887715171503</v>
      </c>
      <c r="BK14" s="19" t="n">
        <f aca="false">$B14+BK$3*100*$A14</f>
        <v>23.7262715171503</v>
      </c>
      <c r="BL14" s="19" t="n">
        <f aca="false">$B14+BL$3*100*$A14</f>
        <v>23.8637715171503</v>
      </c>
      <c r="BM14" s="19" t="n">
        <f aca="false">$B14+BM$3*100*$A14</f>
        <v>24.0012715171503</v>
      </c>
      <c r="BN14" s="19" t="n">
        <f aca="false">$B14+BN$3*100*$A14</f>
        <v>24.1387715171503</v>
      </c>
      <c r="BO14" s="19" t="n">
        <f aca="false">$B14+BO$3*100*$A14</f>
        <v>24.2762715171503</v>
      </c>
      <c r="BP14" s="19" t="n">
        <f aca="false">$B14+BP$3*100*$A14</f>
        <v>24.4137715171503</v>
      </c>
      <c r="BQ14" s="19" t="n">
        <f aca="false">$B14+BQ$3*100*$A14</f>
        <v>24.5512715171503</v>
      </c>
      <c r="BR14" s="19" t="n">
        <f aca="false">$B14+BR$3*100*$A14</f>
        <v>24.6887715171503</v>
      </c>
      <c r="BS14" s="19" t="n">
        <f aca="false">$B14+BS$3*100*$A14</f>
        <v>24.8262715171503</v>
      </c>
      <c r="BT14" s="19" t="n">
        <f aca="false">$B14+BT$3*100*$A14</f>
        <v>24.9637715171503</v>
      </c>
      <c r="BU14" s="19" t="n">
        <f aca="false">$B14+BU$3*100*$A14</f>
        <v>25.1012715171503</v>
      </c>
      <c r="BV14" s="19" t="n">
        <f aca="false">$B14+BV$3*100*$A14</f>
        <v>25.2387715171503</v>
      </c>
      <c r="BW14" s="19" t="n">
        <f aca="false">$B14+BW$3*100*$A14</f>
        <v>25.3762715171503</v>
      </c>
      <c r="BX14" s="19" t="n">
        <f aca="false">$B14+BX$3*100*$A14</f>
        <v>25.5137715171503</v>
      </c>
      <c r="BY14" s="19" t="n">
        <f aca="false">$B14+BY$3*100*$A14</f>
        <v>25.6512715171503</v>
      </c>
      <c r="BZ14" s="19" t="n">
        <f aca="false">$B14+BZ$3*100*$A14</f>
        <v>25.7887715171503</v>
      </c>
      <c r="CA14" s="19" t="n">
        <f aca="false">$B14+CA$3*100*$A14</f>
        <v>25.9262715171503</v>
      </c>
      <c r="CB14" s="19" t="n">
        <f aca="false">$B14+CB$3*100*$A14</f>
        <v>26.0637715171503</v>
      </c>
      <c r="CC14" s="19" t="n">
        <f aca="false">$B14+CC$3*100*$A14</f>
        <v>26.2012715171503</v>
      </c>
      <c r="CD14" s="19" t="n">
        <f aca="false">$B14+CD$3*100*$A14</f>
        <v>26.3387715171503</v>
      </c>
      <c r="CE14" s="19" t="n">
        <f aca="false">$B14+CE$3*100*$A14</f>
        <v>26.4762715171503</v>
      </c>
      <c r="CF14" s="19" t="n">
        <f aca="false">$B14+CF$3*100*$A14</f>
        <v>26.6137715171503</v>
      </c>
      <c r="CG14" s="19" t="n">
        <f aca="false">$B14+CG$3*100*$A14</f>
        <v>26.7512715171503</v>
      </c>
      <c r="CH14" s="19" t="n">
        <f aca="false">$B14+CH$3*100*$A14</f>
        <v>26.8887715171503</v>
      </c>
      <c r="CI14" s="19" t="n">
        <f aca="false">$B14+CI$3*100*$A14</f>
        <v>27.0262715171503</v>
      </c>
      <c r="CJ14" s="19" t="n">
        <f aca="false">$B14+CJ$3*100*$A14</f>
        <v>27.1637715171503</v>
      </c>
      <c r="CK14" s="19" t="n">
        <f aca="false">$B14+CK$3*100*$A14</f>
        <v>27.3012715171503</v>
      </c>
      <c r="CL14" s="19" t="n">
        <f aca="false">$B14+CL$3*100*$A14</f>
        <v>27.4387715171503</v>
      </c>
      <c r="CM14" s="19" t="n">
        <f aca="false">$B14+CM$3*100*$A14</f>
        <v>27.5762715171503</v>
      </c>
      <c r="CN14" s="19" t="n">
        <f aca="false">$B14+CN$3*100*$A14</f>
        <v>27.7137715171503</v>
      </c>
      <c r="CO14" s="19" t="n">
        <f aca="false">$B14+CO$3*100*$A14</f>
        <v>27.8512715171503</v>
      </c>
      <c r="CP14" s="19" t="n">
        <f aca="false">$B14+CP$3*100*$A14</f>
        <v>27.9887715171503</v>
      </c>
      <c r="CQ14" s="19" t="n">
        <f aca="false">$B14+CQ$3*100*$A14</f>
        <v>28.1262715171503</v>
      </c>
      <c r="CR14" s="19" t="n">
        <f aca="false">$B14+CR$3*100*$A14</f>
        <v>28.2637715171503</v>
      </c>
      <c r="CS14" s="19" t="n">
        <f aca="false">$B14+CS$3*100*$A14</f>
        <v>28.4012715171503</v>
      </c>
      <c r="CT14" s="19" t="n">
        <f aca="false">$B14+CT$3*100*$A14</f>
        <v>28.5387715171503</v>
      </c>
      <c r="CU14" s="19" t="n">
        <f aca="false">$B14+CU$3*100*$A14</f>
        <v>28.6762715171503</v>
      </c>
      <c r="CV14" s="19" t="n">
        <f aca="false">$B14+CV$3*100*$A14</f>
        <v>28.8137715171503</v>
      </c>
      <c r="CW14" s="19" t="n">
        <f aca="false">$B14+CW$3*100*$A14</f>
        <v>28.9512715171503</v>
      </c>
      <c r="CX14" s="19" t="n">
        <f aca="false">$B14+CX$3*100*$A14</f>
        <v>29.0887715171503</v>
      </c>
      <c r="CY14" s="19" t="n">
        <f aca="false">$B14+CY$3*100*$A14</f>
        <v>29.2262715171503</v>
      </c>
      <c r="CZ14" s="19" t="n">
        <f aca="false">$B14+CZ$3*100*$A14</f>
        <v>29.3637715171503</v>
      </c>
      <c r="DA14" s="19" t="n">
        <f aca="false">$B14+DA$3*100*$A14</f>
        <v>29.5012715171503</v>
      </c>
      <c r="DB14" s="19" t="n">
        <f aca="false">$B14+DB$3*100*$A14</f>
        <v>29.6387715171503</v>
      </c>
      <c r="DC14" s="19" t="n">
        <f aca="false">$B14+DC$3*100*$A14</f>
        <v>29.7762715171503</v>
      </c>
      <c r="DD14" s="19" t="n">
        <f aca="false">$B14+DD$3*100*$A14</f>
        <v>29.9137715171503</v>
      </c>
      <c r="DE14" s="19" t="n">
        <f aca="false">$B14+DE$3*100*$A14</f>
        <v>30.0512715171503</v>
      </c>
      <c r="DF14" s="19" t="n">
        <f aca="false">$B14+DF$3*100*$A14</f>
        <v>30.1887715171503</v>
      </c>
      <c r="DG14" s="19" t="n">
        <f aca="false">$B14+DG$3*100*$A14</f>
        <v>30.3262715171503</v>
      </c>
      <c r="DH14" s="19" t="n">
        <f aca="false">$B14+DH$3*100*$A14</f>
        <v>30.4637715171503</v>
      </c>
      <c r="DI14" s="19" t="n">
        <f aca="false">$B14+DI$3*100*$A14</f>
        <v>30.6012715171503</v>
      </c>
      <c r="DJ14" s="19" t="n">
        <f aca="false">$B14+DJ$3*100*$A14</f>
        <v>30.7387715171503</v>
      </c>
      <c r="DK14" s="19" t="n">
        <f aca="false">$B14+DK$3*100*$A14</f>
        <v>30.8762715171503</v>
      </c>
      <c r="DL14" s="19" t="n">
        <f aca="false">$B14+DL$3*100*$A14</f>
        <v>31.0137715171503</v>
      </c>
      <c r="DM14" s="19" t="n">
        <f aca="false">$B14+DM$3*100*$A14</f>
        <v>31.1512715171503</v>
      </c>
      <c r="DN14" s="19" t="n">
        <f aca="false">$B14+DN$3*100*$A14</f>
        <v>31.2887715171503</v>
      </c>
      <c r="DO14" s="19" t="n">
        <f aca="false">$B14+DO$3*100*$A14</f>
        <v>31.4262715171503</v>
      </c>
      <c r="DP14" s="19" t="n">
        <f aca="false">$B14+DP$3*100*$A14</f>
        <v>31.5637715171503</v>
      </c>
      <c r="DQ14" s="19" t="n">
        <f aca="false">$B14+DQ$3*100*$A14</f>
        <v>31.7012715171503</v>
      </c>
      <c r="DR14" s="19" t="n">
        <f aca="false">$B14+DR$3*100*$A14</f>
        <v>31.8387715171503</v>
      </c>
      <c r="DS14" s="19" t="n">
        <f aca="false">$B14+DS$3*100*$A14</f>
        <v>31.9762715171503</v>
      </c>
      <c r="DT14" s="19" t="n">
        <f aca="false">$B14+DT$3*100*$A14</f>
        <v>32.1137715171503</v>
      </c>
      <c r="DU14" s="19" t="n">
        <f aca="false">$B14+DU$3*100*$A14</f>
        <v>32.2512715171503</v>
      </c>
      <c r="DV14" s="19" t="n">
        <f aca="false">$B14+DV$3*100*$A14</f>
        <v>32.3887715171503</v>
      </c>
      <c r="DW14" s="19" t="n">
        <f aca="false">$B14+DW$3*100*$A14</f>
        <v>32.5262715171503</v>
      </c>
      <c r="DX14" s="19" t="n">
        <f aca="false">$B14+DX$3*100*$A14</f>
        <v>32.6637715171503</v>
      </c>
      <c r="DY14" s="19" t="n">
        <f aca="false">$B14+DY$3*100*$A14</f>
        <v>32.8012715171503</v>
      </c>
      <c r="DZ14" s="19" t="n">
        <f aca="false">$B14+DZ$3*100*$A14</f>
        <v>32.9387715171503</v>
      </c>
      <c r="EA14" s="19" t="n">
        <f aca="false">$B14+EA$3*100*$A14</f>
        <v>33.0762715171503</v>
      </c>
      <c r="EB14" s="19" t="n">
        <f aca="false">$B14+EB$3*100*$A14</f>
        <v>33.2137715171503</v>
      </c>
      <c r="EC14" s="19" t="n">
        <f aca="false">$B14+EC$3*100*$A14</f>
        <v>33.3512715171503</v>
      </c>
      <c r="ED14" s="19" t="n">
        <f aca="false">$B14+ED$3*100*$A14</f>
        <v>33.4887715171503</v>
      </c>
      <c r="EE14" s="19" t="n">
        <f aca="false">$B14+EE$3*100*$A14</f>
        <v>33.6262715171503</v>
      </c>
      <c r="EF14" s="19" t="n">
        <f aca="false">$B14+EF$3*100*$A14</f>
        <v>33.7637715171503</v>
      </c>
      <c r="EG14" s="19" t="n">
        <f aca="false">$B14+EG$3*100*$A14</f>
        <v>33.9012715171503</v>
      </c>
      <c r="EH14" s="19" t="n">
        <f aca="false">$B14+EH$3*100*$A14</f>
        <v>34.0387715171503</v>
      </c>
      <c r="EI14" s="19" t="n">
        <f aca="false">$B14+EI$3*100*$A14</f>
        <v>34.1762715171503</v>
      </c>
      <c r="EJ14" s="19" t="n">
        <f aca="false">$B14+EJ$3*100*$A14</f>
        <v>34.3137715171503</v>
      </c>
      <c r="EK14" s="19" t="n">
        <f aca="false">$B14+EK$3*100*$A14</f>
        <v>34.4512715171503</v>
      </c>
      <c r="EL14" s="19" t="n">
        <f aca="false">$B14+EL$3*100*$A14</f>
        <v>34.5887715171503</v>
      </c>
      <c r="EM14" s="19" t="n">
        <f aca="false">$B14+EM$3*100*$A14</f>
        <v>34.7262715171503</v>
      </c>
      <c r="EN14" s="19" t="n">
        <f aca="false">$B14+EN$3*100*$A14</f>
        <v>34.8637715171503</v>
      </c>
      <c r="EO14" s="19" t="n">
        <f aca="false">$B14+EO$3*100*$A14</f>
        <v>35.0012715171503</v>
      </c>
      <c r="EP14" s="19" t="n">
        <f aca="false">$B14+EP$3*100*$A14</f>
        <v>35.1387715171503</v>
      </c>
      <c r="EQ14" s="19" t="n">
        <f aca="false">$B14+EQ$3*100*$A14</f>
        <v>35.2762715171503</v>
      </c>
      <c r="ER14" s="19" t="n">
        <f aca="false">$B14+ER$3*100*$A14</f>
        <v>35.4137715171503</v>
      </c>
      <c r="ES14" s="19" t="n">
        <f aca="false">$B14+ES$3*100*$A14</f>
        <v>35.5512715171503</v>
      </c>
      <c r="ET14" s="19" t="n">
        <f aca="false">$B14+ET$3*100*$A14</f>
        <v>35.6887715171503</v>
      </c>
      <c r="EU14" s="19" t="n">
        <f aca="false">$B14+EU$3*100*$A14</f>
        <v>35.8262715171503</v>
      </c>
      <c r="EV14" s="19" t="n">
        <f aca="false">$B14+EV$3*100*$A14</f>
        <v>35.9637715171503</v>
      </c>
      <c r="EW14" s="19" t="n">
        <f aca="false">$B14+EW$3*100*$A14</f>
        <v>36.1012715171503</v>
      </c>
      <c r="EX14" s="19" t="n">
        <f aca="false">$B14+EX$3*100*$A14</f>
        <v>36.2387715171503</v>
      </c>
      <c r="EY14" s="19" t="n">
        <f aca="false">$B14+EY$3*100*$A14</f>
        <v>36.3762715171503</v>
      </c>
      <c r="EZ14" s="19" t="n">
        <f aca="false">$B14+EZ$3*100*$A14</f>
        <v>36.5137715171503</v>
      </c>
      <c r="FA14" s="19" t="n">
        <f aca="false">$B14+FA$3*100*$A14</f>
        <v>36.6512715171503</v>
      </c>
      <c r="FB14" s="19" t="n">
        <f aca="false">$B14+FB$3*100*$A14</f>
        <v>36.7887715171503</v>
      </c>
      <c r="FC14" s="19" t="n">
        <f aca="false">$B14+FC$3*100*$A14</f>
        <v>36.9262715171503</v>
      </c>
      <c r="FD14" s="19" t="n">
        <f aca="false">$B14+FD$3*100*$A14</f>
        <v>37.0637715171503</v>
      </c>
      <c r="FE14" s="19" t="n">
        <f aca="false">$B14+FE$3*100*$A14</f>
        <v>37.2012715171503</v>
      </c>
      <c r="FF14" s="19" t="n">
        <f aca="false">$B14+FF$3*100*$A14</f>
        <v>37.3387715171503</v>
      </c>
      <c r="FG14" s="19" t="n">
        <f aca="false">$B14+FG$3*100*$A14</f>
        <v>37.4762715171503</v>
      </c>
      <c r="FH14" s="19" t="n">
        <f aca="false">$B14+FH$3*100*$A14</f>
        <v>37.6137715171503</v>
      </c>
      <c r="FI14" s="19" t="n">
        <f aca="false">$B14+FI$3*100*$A14</f>
        <v>37.7512715171503</v>
      </c>
      <c r="FJ14" s="19" t="n">
        <f aca="false">$B14+FJ$3*100*$A14</f>
        <v>37.8887715171503</v>
      </c>
      <c r="FK14" s="19" t="n">
        <f aca="false">$B14+FK$3*100*$A14</f>
        <v>38.0262715171503</v>
      </c>
      <c r="FL14" s="19" t="n">
        <f aca="false">$B14+FL$3*100*$A14</f>
        <v>38.1637715171503</v>
      </c>
      <c r="FM14" s="19" t="n">
        <f aca="false">$B14+FM$3*100*$A14</f>
        <v>38.3012715171503</v>
      </c>
      <c r="FN14" s="19" t="n">
        <f aca="false">$B14+FN$3*100*$A14</f>
        <v>38.4387715171503</v>
      </c>
      <c r="FO14" s="19" t="n">
        <f aca="false">$B14+FO$3*100*$A14</f>
        <v>38.5762715171503</v>
      </c>
      <c r="FP14" s="19" t="n">
        <f aca="false">$B14+FP$3*100*$A14</f>
        <v>38.7137715171503</v>
      </c>
      <c r="FQ14" s="19" t="n">
        <f aca="false">$B14+FQ$3*100*$A14</f>
        <v>38.8512715171503</v>
      </c>
      <c r="FR14" s="19" t="n">
        <f aca="false">$B14+FR$3*100*$A14</f>
        <v>38.9887715171503</v>
      </c>
      <c r="FS14" s="19" t="n">
        <f aca="false">$B14+FS$3*100*$A14</f>
        <v>39.1262715171503</v>
      </c>
      <c r="FT14" s="19" t="n">
        <f aca="false">$B14+FT$3*100*$A14</f>
        <v>39.2637715171503</v>
      </c>
      <c r="FU14" s="19" t="n">
        <f aca="false">$B14+FU$3*100*$A14</f>
        <v>39.4012715171503</v>
      </c>
      <c r="FV14" s="19" t="n">
        <f aca="false">$B14+FV$3*100*$A14</f>
        <v>39.5387715171503</v>
      </c>
      <c r="FW14" s="19" t="n">
        <f aca="false">$B14+FW$3*100*$A14</f>
        <v>39.6762715171503</v>
      </c>
      <c r="FX14" s="19" t="n">
        <f aca="false">$B14+FX$3*100*$A14</f>
        <v>39.8137715171503</v>
      </c>
      <c r="FY14" s="19" t="n">
        <f aca="false">$B14+FY$3*100*$A14</f>
        <v>39.9512715171503</v>
      </c>
      <c r="FZ14" s="19" t="n">
        <f aca="false">$B14+FZ$3*100*$A14</f>
        <v>40.0887715171503</v>
      </c>
      <c r="GA14" s="19" t="n">
        <f aca="false">$B14+GA$3*100*$A14</f>
        <v>40.2262715171503</v>
      </c>
      <c r="GB14" s="19" t="n">
        <f aca="false">$B14+GB$3*100*$A14</f>
        <v>40.3637715171503</v>
      </c>
      <c r="GC14" s="19" t="n">
        <f aca="false">$B14+GC$3*100*$A14</f>
        <v>40.5012715171503</v>
      </c>
      <c r="GD14" s="19" t="n">
        <f aca="false">$B14+GD$3*100*$A14</f>
        <v>40.6387715171503</v>
      </c>
      <c r="GE14" s="19" t="n">
        <f aca="false">$B14+GE$3*100*$A14</f>
        <v>40.7762715171503</v>
      </c>
      <c r="GF14" s="19" t="n">
        <f aca="false">$B14+GF$3*100*$A14</f>
        <v>40.9137715171503</v>
      </c>
      <c r="GG14" s="19" t="n">
        <f aca="false">$B14+GG$3*100*$A14</f>
        <v>41.0512715171503</v>
      </c>
      <c r="GH14" s="19" t="n">
        <f aca="false">$B14+GH$3*100*$A14</f>
        <v>41.1887715171503</v>
      </c>
      <c r="GI14" s="19" t="n">
        <f aca="false">$B14+GI$3*100*$A14</f>
        <v>41.3262715171503</v>
      </c>
      <c r="GJ14" s="19" t="n">
        <f aca="false">$B14+GJ$3*100*$A14</f>
        <v>41.4637715171503</v>
      </c>
      <c r="GK14" s="19" t="n">
        <f aca="false">$B14+GK$3*100*$A14</f>
        <v>41.6012715171503</v>
      </c>
      <c r="GL14" s="19" t="n">
        <f aca="false">$B14+GL$3*100*$A14</f>
        <v>41.7387715171503</v>
      </c>
      <c r="GM14" s="19" t="n">
        <f aca="false">$B14+GM$3*100*$A14</f>
        <v>41.8762715171503</v>
      </c>
      <c r="GN14" s="19" t="n">
        <f aca="false">$B14+GN$3*100*$A14</f>
        <v>42.0137715171503</v>
      </c>
      <c r="GO14" s="19" t="n">
        <f aca="false">$B14+GO$3*100*$A14</f>
        <v>42.1512715171503</v>
      </c>
      <c r="GP14" s="19" t="n">
        <f aca="false">$B14+GP$3*100*$A14</f>
        <v>42.2887715171503</v>
      </c>
      <c r="GQ14" s="19" t="n">
        <f aca="false">$B14+GQ$3*100*$A14</f>
        <v>42.4262715171503</v>
      </c>
      <c r="GR14" s="19" t="n">
        <f aca="false">$B14+GR$3*100*$A14</f>
        <v>42.5637715171503</v>
      </c>
      <c r="GS14" s="19" t="n">
        <f aca="false">$B14+GS$3*100*$A14</f>
        <v>42.7012715171503</v>
      </c>
      <c r="GT14" s="19" t="n">
        <f aca="false">$B14+GT$3*100*$A14</f>
        <v>42.8387715171503</v>
      </c>
    </row>
    <row r="15" customFormat="false" ht="15" hidden="false" customHeight="false" outlineLevel="0" collapsed="false">
      <c r="A15" s="26" t="n">
        <f aca="false">Frontier!A13</f>
        <v>0.03</v>
      </c>
      <c r="B15" s="34" t="n">
        <f aca="false">Frontier!B13</f>
        <v>14.6841240841621</v>
      </c>
      <c r="C15" s="19" t="n">
        <f aca="false">$B15+C$3*100*$A15</f>
        <v>14.8341240841621</v>
      </c>
      <c r="D15" s="19" t="n">
        <f aca="false">$B15+D$3*100*$A15</f>
        <v>14.9841240841621</v>
      </c>
      <c r="E15" s="19" t="n">
        <f aca="false">$B15+E$3*100*$A15</f>
        <v>15.1341240841621</v>
      </c>
      <c r="F15" s="19" t="n">
        <f aca="false">$B15+F$3*100*$A15</f>
        <v>15.2841240841621</v>
      </c>
      <c r="G15" s="19" t="n">
        <f aca="false">$B15+G$3*100*$A15</f>
        <v>15.4341240841621</v>
      </c>
      <c r="H15" s="19" t="n">
        <f aca="false">$B15+H$3*100*$A15</f>
        <v>15.5841240841621</v>
      </c>
      <c r="I15" s="19" t="n">
        <f aca="false">$B15+I$3*100*$A15</f>
        <v>15.7341240841621</v>
      </c>
      <c r="J15" s="19" t="n">
        <f aca="false">$B15+J$3*100*$A15</f>
        <v>15.8841240841621</v>
      </c>
      <c r="K15" s="19" t="n">
        <f aca="false">$B15+K$3*100*$A15</f>
        <v>16.0341240841621</v>
      </c>
      <c r="L15" s="19" t="n">
        <f aca="false">$B15+L$3*100*$A15</f>
        <v>16.1841240841621</v>
      </c>
      <c r="M15" s="19" t="n">
        <f aca="false">$B15+M$3*100*$A15</f>
        <v>16.3341240841621</v>
      </c>
      <c r="N15" s="19" t="n">
        <f aca="false">$B15+N$3*100*$A15</f>
        <v>16.4841240841621</v>
      </c>
      <c r="O15" s="19" t="n">
        <f aca="false">$B15+O$3*100*$A15</f>
        <v>16.6341240841621</v>
      </c>
      <c r="P15" s="19" t="n">
        <f aca="false">$B15+P$3*100*$A15</f>
        <v>16.7841240841621</v>
      </c>
      <c r="Q15" s="19" t="n">
        <f aca="false">$B15+Q$3*100*$A15</f>
        <v>16.9341240841621</v>
      </c>
      <c r="R15" s="19" t="n">
        <f aca="false">$B15+R$3*100*$A15</f>
        <v>17.0841240841621</v>
      </c>
      <c r="S15" s="19" t="n">
        <f aca="false">$B15+S$3*100*$A15</f>
        <v>17.2341240841621</v>
      </c>
      <c r="T15" s="19" t="n">
        <f aca="false">$B15+T$3*100*$A15</f>
        <v>17.3841240841621</v>
      </c>
      <c r="U15" s="19" t="n">
        <f aca="false">$B15+U$3*100*$A15</f>
        <v>17.5341240841621</v>
      </c>
      <c r="V15" s="19" t="n">
        <f aca="false">$B15+V$3*100*$A15</f>
        <v>17.6841240841621</v>
      </c>
      <c r="W15" s="19" t="n">
        <f aca="false">$B15+W$3*100*$A15</f>
        <v>17.8341240841621</v>
      </c>
      <c r="X15" s="19" t="n">
        <f aca="false">$B15+X$3*100*$A15</f>
        <v>17.9841240841621</v>
      </c>
      <c r="Y15" s="19" t="n">
        <f aca="false">$B15+Y$3*100*$A15</f>
        <v>18.1341240841621</v>
      </c>
      <c r="Z15" s="19" t="n">
        <f aca="false">$B15+Z$3*100*$A15</f>
        <v>18.2841240841621</v>
      </c>
      <c r="AA15" s="19" t="n">
        <f aca="false">$B15+AA$3*100*$A15</f>
        <v>18.4341240841621</v>
      </c>
      <c r="AB15" s="19" t="n">
        <f aca="false">$B15+AB$3*100*$A15</f>
        <v>18.5841240841621</v>
      </c>
      <c r="AC15" s="19" t="n">
        <f aca="false">$B15+AC$3*100*$A15</f>
        <v>18.7341240841621</v>
      </c>
      <c r="AD15" s="19" t="n">
        <f aca="false">$B15+AD$3*100*$A15</f>
        <v>18.8841240841621</v>
      </c>
      <c r="AE15" s="19" t="n">
        <f aca="false">$B15+AE$3*100*$A15</f>
        <v>19.0341240841621</v>
      </c>
      <c r="AF15" s="19" t="n">
        <f aca="false">$B15+AF$3*100*$A15</f>
        <v>19.1841240841621</v>
      </c>
      <c r="AG15" s="19" t="n">
        <f aca="false">$B15+AG$3*100*$A15</f>
        <v>19.3341240841621</v>
      </c>
      <c r="AH15" s="19" t="n">
        <f aca="false">$B15+AH$3*100*$A15</f>
        <v>19.4841240841621</v>
      </c>
      <c r="AI15" s="19" t="n">
        <f aca="false">$B15+AI$3*100*$A15</f>
        <v>19.6341240841621</v>
      </c>
      <c r="AJ15" s="19" t="n">
        <f aca="false">$B15+AJ$3*100*$A15</f>
        <v>19.7841240841621</v>
      </c>
      <c r="AK15" s="19" t="n">
        <f aca="false">$B15+AK$3*100*$A15</f>
        <v>19.9341240841621</v>
      </c>
      <c r="AL15" s="19" t="n">
        <f aca="false">$B15+AL$3*100*$A15</f>
        <v>20.0841240841621</v>
      </c>
      <c r="AM15" s="19" t="n">
        <f aca="false">$B15+AM$3*100*$A15</f>
        <v>20.2341240841621</v>
      </c>
      <c r="AN15" s="19" t="n">
        <f aca="false">$B15+AN$3*100*$A15</f>
        <v>20.3841240841621</v>
      </c>
      <c r="AO15" s="19" t="n">
        <f aca="false">$B15+AO$3*100*$A15</f>
        <v>20.5341240841621</v>
      </c>
      <c r="AP15" s="19" t="n">
        <f aca="false">$B15+AP$3*100*$A15</f>
        <v>20.6841240841621</v>
      </c>
      <c r="AQ15" s="19" t="n">
        <f aca="false">$B15+AQ$3*100*$A15</f>
        <v>20.8341240841621</v>
      </c>
      <c r="AR15" s="19" t="n">
        <f aca="false">$B15+AR$3*100*$A15</f>
        <v>20.9841240841621</v>
      </c>
      <c r="AS15" s="19" t="n">
        <f aca="false">$B15+AS$3*100*$A15</f>
        <v>21.1341240841621</v>
      </c>
      <c r="AT15" s="19" t="n">
        <f aca="false">$B15+AT$3*100*$A15</f>
        <v>21.2841240841621</v>
      </c>
      <c r="AU15" s="19" t="n">
        <f aca="false">$B15+AU$3*100*$A15</f>
        <v>21.4341240841621</v>
      </c>
      <c r="AV15" s="19" t="n">
        <f aca="false">$B15+AV$3*100*$A15</f>
        <v>21.5841240841621</v>
      </c>
      <c r="AW15" s="19" t="n">
        <f aca="false">$B15+AW$3*100*$A15</f>
        <v>21.7341240841621</v>
      </c>
      <c r="AX15" s="19" t="n">
        <f aca="false">$B15+AX$3*100*$A15</f>
        <v>21.8841240841621</v>
      </c>
      <c r="AY15" s="19" t="n">
        <f aca="false">$B15+AY$3*100*$A15</f>
        <v>22.0341240841621</v>
      </c>
      <c r="AZ15" s="19" t="n">
        <f aca="false">$B15+AZ$3*100*$A15</f>
        <v>22.1841240841621</v>
      </c>
      <c r="BA15" s="19" t="n">
        <f aca="false">$B15+BA$3*100*$A15</f>
        <v>22.3341240841621</v>
      </c>
      <c r="BB15" s="19" t="n">
        <f aca="false">$B15+BB$3*100*$A15</f>
        <v>22.4841240841621</v>
      </c>
      <c r="BC15" s="19" t="n">
        <f aca="false">$B15+BC$3*100*$A15</f>
        <v>22.6341240841621</v>
      </c>
      <c r="BD15" s="19" t="n">
        <f aca="false">$B15+BD$3*100*$A15</f>
        <v>22.7841240841621</v>
      </c>
      <c r="BE15" s="19" t="n">
        <f aca="false">$B15+BE$3*100*$A15</f>
        <v>22.9341240841621</v>
      </c>
      <c r="BF15" s="19" t="n">
        <f aca="false">$B15+BF$3*100*$A15</f>
        <v>23.0841240841621</v>
      </c>
      <c r="BG15" s="19" t="n">
        <f aca="false">$B15+BG$3*100*$A15</f>
        <v>23.2341240841621</v>
      </c>
      <c r="BH15" s="19" t="n">
        <f aca="false">$B15+BH$3*100*$A15</f>
        <v>23.3841240841621</v>
      </c>
      <c r="BI15" s="19" t="n">
        <f aca="false">$B15+BI$3*100*$A15</f>
        <v>23.5341240841621</v>
      </c>
      <c r="BJ15" s="19" t="n">
        <f aca="false">$B15+BJ$3*100*$A15</f>
        <v>23.6841240841621</v>
      </c>
      <c r="BK15" s="19" t="n">
        <f aca="false">$B15+BK$3*100*$A15</f>
        <v>23.8341240841621</v>
      </c>
      <c r="BL15" s="19" t="n">
        <f aca="false">$B15+BL$3*100*$A15</f>
        <v>23.9841240841621</v>
      </c>
      <c r="BM15" s="19" t="n">
        <f aca="false">$B15+BM$3*100*$A15</f>
        <v>24.1341240841621</v>
      </c>
      <c r="BN15" s="19" t="n">
        <f aca="false">$B15+BN$3*100*$A15</f>
        <v>24.2841240841621</v>
      </c>
      <c r="BO15" s="19" t="n">
        <f aca="false">$B15+BO$3*100*$A15</f>
        <v>24.4341240841621</v>
      </c>
      <c r="BP15" s="19" t="n">
        <f aca="false">$B15+BP$3*100*$A15</f>
        <v>24.5841240841621</v>
      </c>
      <c r="BQ15" s="19" t="n">
        <f aca="false">$B15+BQ$3*100*$A15</f>
        <v>24.7341240841621</v>
      </c>
      <c r="BR15" s="19" t="n">
        <f aca="false">$B15+BR$3*100*$A15</f>
        <v>24.8841240841621</v>
      </c>
      <c r="BS15" s="19" t="n">
        <f aca="false">$B15+BS$3*100*$A15</f>
        <v>25.0341240841621</v>
      </c>
      <c r="BT15" s="19" t="n">
        <f aca="false">$B15+BT$3*100*$A15</f>
        <v>25.1841240841621</v>
      </c>
      <c r="BU15" s="19" t="n">
        <f aca="false">$B15+BU$3*100*$A15</f>
        <v>25.3341240841621</v>
      </c>
      <c r="BV15" s="19" t="n">
        <f aca="false">$B15+BV$3*100*$A15</f>
        <v>25.4841240841621</v>
      </c>
      <c r="BW15" s="19" t="n">
        <f aca="false">$B15+BW$3*100*$A15</f>
        <v>25.6341240841621</v>
      </c>
      <c r="BX15" s="19" t="n">
        <f aca="false">$B15+BX$3*100*$A15</f>
        <v>25.7841240841621</v>
      </c>
      <c r="BY15" s="19" t="n">
        <f aca="false">$B15+BY$3*100*$A15</f>
        <v>25.9341240841621</v>
      </c>
      <c r="BZ15" s="19" t="n">
        <f aca="false">$B15+BZ$3*100*$A15</f>
        <v>26.0841240841621</v>
      </c>
      <c r="CA15" s="19" t="n">
        <f aca="false">$B15+CA$3*100*$A15</f>
        <v>26.2341240841621</v>
      </c>
      <c r="CB15" s="19" t="n">
        <f aca="false">$B15+CB$3*100*$A15</f>
        <v>26.3841240841621</v>
      </c>
      <c r="CC15" s="19" t="n">
        <f aca="false">$B15+CC$3*100*$A15</f>
        <v>26.5341240841621</v>
      </c>
      <c r="CD15" s="19" t="n">
        <f aca="false">$B15+CD$3*100*$A15</f>
        <v>26.6841240841621</v>
      </c>
      <c r="CE15" s="19" t="n">
        <f aca="false">$B15+CE$3*100*$A15</f>
        <v>26.8341240841621</v>
      </c>
      <c r="CF15" s="19" t="n">
        <f aca="false">$B15+CF$3*100*$A15</f>
        <v>26.9841240841621</v>
      </c>
      <c r="CG15" s="19" t="n">
        <f aca="false">$B15+CG$3*100*$A15</f>
        <v>27.1341240841621</v>
      </c>
      <c r="CH15" s="19" t="n">
        <f aca="false">$B15+CH$3*100*$A15</f>
        <v>27.2841240841621</v>
      </c>
      <c r="CI15" s="19" t="n">
        <f aca="false">$B15+CI$3*100*$A15</f>
        <v>27.4341240841621</v>
      </c>
      <c r="CJ15" s="19" t="n">
        <f aca="false">$B15+CJ$3*100*$A15</f>
        <v>27.5841240841621</v>
      </c>
      <c r="CK15" s="19" t="n">
        <f aca="false">$B15+CK$3*100*$A15</f>
        <v>27.7341240841621</v>
      </c>
      <c r="CL15" s="19" t="n">
        <f aca="false">$B15+CL$3*100*$A15</f>
        <v>27.8841240841621</v>
      </c>
      <c r="CM15" s="19" t="n">
        <f aca="false">$B15+CM$3*100*$A15</f>
        <v>28.0341240841621</v>
      </c>
      <c r="CN15" s="19" t="n">
        <f aca="false">$B15+CN$3*100*$A15</f>
        <v>28.1841240841621</v>
      </c>
      <c r="CO15" s="19" t="n">
        <f aca="false">$B15+CO$3*100*$A15</f>
        <v>28.3341240841621</v>
      </c>
      <c r="CP15" s="19" t="n">
        <f aca="false">$B15+CP$3*100*$A15</f>
        <v>28.4841240841621</v>
      </c>
      <c r="CQ15" s="19" t="n">
        <f aca="false">$B15+CQ$3*100*$A15</f>
        <v>28.6341240841621</v>
      </c>
      <c r="CR15" s="19" t="n">
        <f aca="false">$B15+CR$3*100*$A15</f>
        <v>28.7841240841621</v>
      </c>
      <c r="CS15" s="19" t="n">
        <f aca="false">$B15+CS$3*100*$A15</f>
        <v>28.9341240841621</v>
      </c>
      <c r="CT15" s="19" t="n">
        <f aca="false">$B15+CT$3*100*$A15</f>
        <v>29.0841240841621</v>
      </c>
      <c r="CU15" s="19" t="n">
        <f aca="false">$B15+CU$3*100*$A15</f>
        <v>29.2341240841621</v>
      </c>
      <c r="CV15" s="19" t="n">
        <f aca="false">$B15+CV$3*100*$A15</f>
        <v>29.3841240841621</v>
      </c>
      <c r="CW15" s="19" t="n">
        <f aca="false">$B15+CW$3*100*$A15</f>
        <v>29.5341240841621</v>
      </c>
      <c r="CX15" s="19" t="n">
        <f aca="false">$B15+CX$3*100*$A15</f>
        <v>29.6841240841621</v>
      </c>
      <c r="CY15" s="19" t="n">
        <f aca="false">$B15+CY$3*100*$A15</f>
        <v>29.8341240841621</v>
      </c>
      <c r="CZ15" s="19" t="n">
        <f aca="false">$B15+CZ$3*100*$A15</f>
        <v>29.9841240841621</v>
      </c>
      <c r="DA15" s="19" t="n">
        <f aca="false">$B15+DA$3*100*$A15</f>
        <v>30.1341240841621</v>
      </c>
      <c r="DB15" s="19" t="n">
        <f aca="false">$B15+DB$3*100*$A15</f>
        <v>30.2841240841621</v>
      </c>
      <c r="DC15" s="19" t="n">
        <f aca="false">$B15+DC$3*100*$A15</f>
        <v>30.4341240841621</v>
      </c>
      <c r="DD15" s="19" t="n">
        <f aca="false">$B15+DD$3*100*$A15</f>
        <v>30.5841240841621</v>
      </c>
      <c r="DE15" s="19" t="n">
        <f aca="false">$B15+DE$3*100*$A15</f>
        <v>30.7341240841621</v>
      </c>
      <c r="DF15" s="19" t="n">
        <f aca="false">$B15+DF$3*100*$A15</f>
        <v>30.8841240841621</v>
      </c>
      <c r="DG15" s="19" t="n">
        <f aca="false">$B15+DG$3*100*$A15</f>
        <v>31.0341240841621</v>
      </c>
      <c r="DH15" s="19" t="n">
        <f aca="false">$B15+DH$3*100*$A15</f>
        <v>31.1841240841621</v>
      </c>
      <c r="DI15" s="19" t="n">
        <f aca="false">$B15+DI$3*100*$A15</f>
        <v>31.3341240841621</v>
      </c>
      <c r="DJ15" s="19" t="n">
        <f aca="false">$B15+DJ$3*100*$A15</f>
        <v>31.4841240841621</v>
      </c>
      <c r="DK15" s="19" t="n">
        <f aca="false">$B15+DK$3*100*$A15</f>
        <v>31.6341240841621</v>
      </c>
      <c r="DL15" s="19" t="n">
        <f aca="false">$B15+DL$3*100*$A15</f>
        <v>31.7841240841621</v>
      </c>
      <c r="DM15" s="19" t="n">
        <f aca="false">$B15+DM$3*100*$A15</f>
        <v>31.9341240841621</v>
      </c>
      <c r="DN15" s="19" t="n">
        <f aca="false">$B15+DN$3*100*$A15</f>
        <v>32.0841240841621</v>
      </c>
      <c r="DO15" s="19" t="n">
        <f aca="false">$B15+DO$3*100*$A15</f>
        <v>32.2341240841621</v>
      </c>
      <c r="DP15" s="19" t="n">
        <f aca="false">$B15+DP$3*100*$A15</f>
        <v>32.3841240841621</v>
      </c>
      <c r="DQ15" s="19" t="n">
        <f aca="false">$B15+DQ$3*100*$A15</f>
        <v>32.5341240841621</v>
      </c>
      <c r="DR15" s="19" t="n">
        <f aca="false">$B15+DR$3*100*$A15</f>
        <v>32.6841240841621</v>
      </c>
      <c r="DS15" s="19" t="n">
        <f aca="false">$B15+DS$3*100*$A15</f>
        <v>32.8341240841621</v>
      </c>
      <c r="DT15" s="19" t="n">
        <f aca="false">$B15+DT$3*100*$A15</f>
        <v>32.9841240841621</v>
      </c>
      <c r="DU15" s="19" t="n">
        <f aca="false">$B15+DU$3*100*$A15</f>
        <v>33.1341240841621</v>
      </c>
      <c r="DV15" s="19" t="n">
        <f aca="false">$B15+DV$3*100*$A15</f>
        <v>33.2841240841621</v>
      </c>
      <c r="DW15" s="19" t="n">
        <f aca="false">$B15+DW$3*100*$A15</f>
        <v>33.4341240841621</v>
      </c>
      <c r="DX15" s="19" t="n">
        <f aca="false">$B15+DX$3*100*$A15</f>
        <v>33.5841240841621</v>
      </c>
      <c r="DY15" s="19" t="n">
        <f aca="false">$B15+DY$3*100*$A15</f>
        <v>33.7341240841621</v>
      </c>
      <c r="DZ15" s="19" t="n">
        <f aca="false">$B15+DZ$3*100*$A15</f>
        <v>33.8841240841621</v>
      </c>
      <c r="EA15" s="19" t="n">
        <f aca="false">$B15+EA$3*100*$A15</f>
        <v>34.0341240841621</v>
      </c>
      <c r="EB15" s="19" t="n">
        <f aca="false">$B15+EB$3*100*$A15</f>
        <v>34.1841240841621</v>
      </c>
      <c r="EC15" s="19" t="n">
        <f aca="false">$B15+EC$3*100*$A15</f>
        <v>34.3341240841621</v>
      </c>
      <c r="ED15" s="19" t="n">
        <f aca="false">$B15+ED$3*100*$A15</f>
        <v>34.4841240841621</v>
      </c>
      <c r="EE15" s="19" t="n">
        <f aca="false">$B15+EE$3*100*$A15</f>
        <v>34.6341240841621</v>
      </c>
      <c r="EF15" s="19" t="n">
        <f aca="false">$B15+EF$3*100*$A15</f>
        <v>34.7841240841621</v>
      </c>
      <c r="EG15" s="19" t="n">
        <f aca="false">$B15+EG$3*100*$A15</f>
        <v>34.9341240841621</v>
      </c>
      <c r="EH15" s="19" t="n">
        <f aca="false">$B15+EH$3*100*$A15</f>
        <v>35.0841240841621</v>
      </c>
      <c r="EI15" s="19" t="n">
        <f aca="false">$B15+EI$3*100*$A15</f>
        <v>35.2341240841621</v>
      </c>
      <c r="EJ15" s="19" t="n">
        <f aca="false">$B15+EJ$3*100*$A15</f>
        <v>35.3841240841621</v>
      </c>
      <c r="EK15" s="19" t="n">
        <f aca="false">$B15+EK$3*100*$A15</f>
        <v>35.5341240841621</v>
      </c>
      <c r="EL15" s="19" t="n">
        <f aca="false">$B15+EL$3*100*$A15</f>
        <v>35.6841240841621</v>
      </c>
      <c r="EM15" s="19" t="n">
        <f aca="false">$B15+EM$3*100*$A15</f>
        <v>35.8341240841621</v>
      </c>
      <c r="EN15" s="19" t="n">
        <f aca="false">$B15+EN$3*100*$A15</f>
        <v>35.9841240841621</v>
      </c>
      <c r="EO15" s="19" t="n">
        <f aca="false">$B15+EO$3*100*$A15</f>
        <v>36.1341240841621</v>
      </c>
      <c r="EP15" s="19" t="n">
        <f aca="false">$B15+EP$3*100*$A15</f>
        <v>36.2841240841621</v>
      </c>
      <c r="EQ15" s="19" t="n">
        <f aca="false">$B15+EQ$3*100*$A15</f>
        <v>36.4341240841621</v>
      </c>
      <c r="ER15" s="19" t="n">
        <f aca="false">$B15+ER$3*100*$A15</f>
        <v>36.5841240841621</v>
      </c>
      <c r="ES15" s="19" t="n">
        <f aca="false">$B15+ES$3*100*$A15</f>
        <v>36.7341240841621</v>
      </c>
      <c r="ET15" s="19" t="n">
        <f aca="false">$B15+ET$3*100*$A15</f>
        <v>36.8841240841621</v>
      </c>
      <c r="EU15" s="19" t="n">
        <f aca="false">$B15+EU$3*100*$A15</f>
        <v>37.0341240841621</v>
      </c>
      <c r="EV15" s="19" t="n">
        <f aca="false">$B15+EV$3*100*$A15</f>
        <v>37.1841240841621</v>
      </c>
      <c r="EW15" s="19" t="n">
        <f aca="false">$B15+EW$3*100*$A15</f>
        <v>37.3341240841621</v>
      </c>
      <c r="EX15" s="19" t="n">
        <f aca="false">$B15+EX$3*100*$A15</f>
        <v>37.4841240841621</v>
      </c>
      <c r="EY15" s="19" t="n">
        <f aca="false">$B15+EY$3*100*$A15</f>
        <v>37.6341240841621</v>
      </c>
      <c r="EZ15" s="19" t="n">
        <f aca="false">$B15+EZ$3*100*$A15</f>
        <v>37.7841240841621</v>
      </c>
      <c r="FA15" s="19" t="n">
        <f aca="false">$B15+FA$3*100*$A15</f>
        <v>37.9341240841621</v>
      </c>
      <c r="FB15" s="19" t="n">
        <f aca="false">$B15+FB$3*100*$A15</f>
        <v>38.0841240841621</v>
      </c>
      <c r="FC15" s="19" t="n">
        <f aca="false">$B15+FC$3*100*$A15</f>
        <v>38.2341240841621</v>
      </c>
      <c r="FD15" s="19" t="n">
        <f aca="false">$B15+FD$3*100*$A15</f>
        <v>38.3841240841621</v>
      </c>
      <c r="FE15" s="19" t="n">
        <f aca="false">$B15+FE$3*100*$A15</f>
        <v>38.5341240841621</v>
      </c>
      <c r="FF15" s="19" t="n">
        <f aca="false">$B15+FF$3*100*$A15</f>
        <v>38.6841240841621</v>
      </c>
      <c r="FG15" s="19" t="n">
        <f aca="false">$B15+FG$3*100*$A15</f>
        <v>38.8341240841621</v>
      </c>
      <c r="FH15" s="19" t="n">
        <f aca="false">$B15+FH$3*100*$A15</f>
        <v>38.9841240841621</v>
      </c>
      <c r="FI15" s="19" t="n">
        <f aca="false">$B15+FI$3*100*$A15</f>
        <v>39.1341240841621</v>
      </c>
      <c r="FJ15" s="19" t="n">
        <f aca="false">$B15+FJ$3*100*$A15</f>
        <v>39.2841240841621</v>
      </c>
      <c r="FK15" s="19" t="n">
        <f aca="false">$B15+FK$3*100*$A15</f>
        <v>39.4341240841621</v>
      </c>
      <c r="FL15" s="19" t="n">
        <f aca="false">$B15+FL$3*100*$A15</f>
        <v>39.5841240841621</v>
      </c>
      <c r="FM15" s="19" t="n">
        <f aca="false">$B15+FM$3*100*$A15</f>
        <v>39.7341240841621</v>
      </c>
      <c r="FN15" s="19" t="n">
        <f aca="false">$B15+FN$3*100*$A15</f>
        <v>39.8841240841621</v>
      </c>
      <c r="FO15" s="19" t="n">
        <f aca="false">$B15+FO$3*100*$A15</f>
        <v>40.0341240841621</v>
      </c>
      <c r="FP15" s="19" t="n">
        <f aca="false">$B15+FP$3*100*$A15</f>
        <v>40.1841240841621</v>
      </c>
      <c r="FQ15" s="19" t="n">
        <f aca="false">$B15+FQ$3*100*$A15</f>
        <v>40.3341240841621</v>
      </c>
      <c r="FR15" s="19" t="n">
        <f aca="false">$B15+FR$3*100*$A15</f>
        <v>40.4841240841621</v>
      </c>
      <c r="FS15" s="19" t="n">
        <f aca="false">$B15+FS$3*100*$A15</f>
        <v>40.6341240841621</v>
      </c>
      <c r="FT15" s="19" t="n">
        <f aca="false">$B15+FT$3*100*$A15</f>
        <v>40.7841240841621</v>
      </c>
      <c r="FU15" s="19" t="n">
        <f aca="false">$B15+FU$3*100*$A15</f>
        <v>40.9341240841621</v>
      </c>
      <c r="FV15" s="19" t="n">
        <f aca="false">$B15+FV$3*100*$A15</f>
        <v>41.0841240841621</v>
      </c>
      <c r="FW15" s="19" t="n">
        <f aca="false">$B15+FW$3*100*$A15</f>
        <v>41.2341240841621</v>
      </c>
      <c r="FX15" s="19" t="n">
        <f aca="false">$B15+FX$3*100*$A15</f>
        <v>41.3841240841621</v>
      </c>
      <c r="FY15" s="19" t="n">
        <f aca="false">$B15+FY$3*100*$A15</f>
        <v>41.5341240841621</v>
      </c>
      <c r="FZ15" s="19" t="n">
        <f aca="false">$B15+FZ$3*100*$A15</f>
        <v>41.6841240841621</v>
      </c>
      <c r="GA15" s="19" t="n">
        <f aca="false">$B15+GA$3*100*$A15</f>
        <v>41.8341240841621</v>
      </c>
      <c r="GB15" s="19" t="n">
        <f aca="false">$B15+GB$3*100*$A15</f>
        <v>41.9841240841621</v>
      </c>
      <c r="GC15" s="19" t="n">
        <f aca="false">$B15+GC$3*100*$A15</f>
        <v>42.1341240841621</v>
      </c>
      <c r="GD15" s="19" t="n">
        <f aca="false">$B15+GD$3*100*$A15</f>
        <v>42.2841240841621</v>
      </c>
      <c r="GE15" s="19" t="n">
        <f aca="false">$B15+GE$3*100*$A15</f>
        <v>42.4341240841621</v>
      </c>
      <c r="GF15" s="19" t="n">
        <f aca="false">$B15+GF$3*100*$A15</f>
        <v>42.5841240841621</v>
      </c>
      <c r="GG15" s="19" t="n">
        <f aca="false">$B15+GG$3*100*$A15</f>
        <v>42.7341240841621</v>
      </c>
      <c r="GH15" s="19" t="n">
        <f aca="false">$B15+GH$3*100*$A15</f>
        <v>42.8841240841621</v>
      </c>
      <c r="GI15" s="19" t="n">
        <f aca="false">$B15+GI$3*100*$A15</f>
        <v>43.0341240841621</v>
      </c>
      <c r="GJ15" s="19" t="n">
        <f aca="false">$B15+GJ$3*100*$A15</f>
        <v>43.1841240841621</v>
      </c>
      <c r="GK15" s="19" t="n">
        <f aca="false">$B15+GK$3*100*$A15</f>
        <v>43.3341240841621</v>
      </c>
      <c r="GL15" s="19" t="n">
        <f aca="false">$B15+GL$3*100*$A15</f>
        <v>43.4841240841621</v>
      </c>
      <c r="GM15" s="19" t="n">
        <f aca="false">$B15+GM$3*100*$A15</f>
        <v>43.6341240841621</v>
      </c>
      <c r="GN15" s="19" t="n">
        <f aca="false">$B15+GN$3*100*$A15</f>
        <v>43.7841240841621</v>
      </c>
      <c r="GO15" s="19" t="n">
        <f aca="false">$B15+GO$3*100*$A15</f>
        <v>43.9341240841621</v>
      </c>
      <c r="GP15" s="19" t="n">
        <f aca="false">$B15+GP$3*100*$A15</f>
        <v>44.0841240841621</v>
      </c>
      <c r="GQ15" s="19" t="n">
        <f aca="false">$B15+GQ$3*100*$A15</f>
        <v>44.2341240841621</v>
      </c>
      <c r="GR15" s="19" t="n">
        <f aca="false">$B15+GR$3*100*$A15</f>
        <v>44.3841240841621</v>
      </c>
      <c r="GS15" s="19" t="n">
        <f aca="false">$B15+GS$3*100*$A15</f>
        <v>44.5341240841621</v>
      </c>
      <c r="GT15" s="19" t="n">
        <f aca="false">$B15+GT$3*100*$A15</f>
        <v>44.6841240841621</v>
      </c>
    </row>
    <row r="16" customFormat="false" ht="15" hidden="false" customHeight="false" outlineLevel="0" collapsed="false">
      <c r="A16" s="26" t="n">
        <f aca="false">Frontier!A14</f>
        <v>0.0325</v>
      </c>
      <c r="B16" s="34" t="n">
        <f aca="false">Frontier!B14</f>
        <v>14.0779633594184</v>
      </c>
      <c r="C16" s="19" t="n">
        <f aca="false">$B16+C$3*100*$A16</f>
        <v>14.2404633594184</v>
      </c>
      <c r="D16" s="19" t="n">
        <f aca="false">$B16+D$3*100*$A16</f>
        <v>14.4029633594184</v>
      </c>
      <c r="E16" s="19" t="n">
        <f aca="false">$B16+E$3*100*$A16</f>
        <v>14.5654633594184</v>
      </c>
      <c r="F16" s="19" t="n">
        <f aca="false">$B16+F$3*100*$A16</f>
        <v>14.7279633594184</v>
      </c>
      <c r="G16" s="19" t="n">
        <f aca="false">$B16+G$3*100*$A16</f>
        <v>14.8904633594184</v>
      </c>
      <c r="H16" s="19" t="n">
        <f aca="false">$B16+H$3*100*$A16</f>
        <v>15.0529633594184</v>
      </c>
      <c r="I16" s="19" t="n">
        <f aca="false">$B16+I$3*100*$A16</f>
        <v>15.2154633594184</v>
      </c>
      <c r="J16" s="19" t="n">
        <f aca="false">$B16+J$3*100*$A16</f>
        <v>15.3779633594184</v>
      </c>
      <c r="K16" s="19" t="n">
        <f aca="false">$B16+K$3*100*$A16</f>
        <v>15.5404633594184</v>
      </c>
      <c r="L16" s="19" t="n">
        <f aca="false">$B16+L$3*100*$A16</f>
        <v>15.7029633594184</v>
      </c>
      <c r="M16" s="19" t="n">
        <f aca="false">$B16+M$3*100*$A16</f>
        <v>15.8654633594184</v>
      </c>
      <c r="N16" s="19" t="n">
        <f aca="false">$B16+N$3*100*$A16</f>
        <v>16.0279633594184</v>
      </c>
      <c r="O16" s="19" t="n">
        <f aca="false">$B16+O$3*100*$A16</f>
        <v>16.1904633594184</v>
      </c>
      <c r="P16" s="19" t="n">
        <f aca="false">$B16+P$3*100*$A16</f>
        <v>16.3529633594184</v>
      </c>
      <c r="Q16" s="19" t="n">
        <f aca="false">$B16+Q$3*100*$A16</f>
        <v>16.5154633594184</v>
      </c>
      <c r="R16" s="19" t="n">
        <f aca="false">$B16+R$3*100*$A16</f>
        <v>16.6779633594184</v>
      </c>
      <c r="S16" s="19" t="n">
        <f aca="false">$B16+S$3*100*$A16</f>
        <v>16.8404633594184</v>
      </c>
      <c r="T16" s="19" t="n">
        <f aca="false">$B16+T$3*100*$A16</f>
        <v>17.0029633594184</v>
      </c>
      <c r="U16" s="19" t="n">
        <f aca="false">$B16+U$3*100*$A16</f>
        <v>17.1654633594184</v>
      </c>
      <c r="V16" s="19" t="n">
        <f aca="false">$B16+V$3*100*$A16</f>
        <v>17.3279633594184</v>
      </c>
      <c r="W16" s="19" t="n">
        <f aca="false">$B16+W$3*100*$A16</f>
        <v>17.4904633594184</v>
      </c>
      <c r="X16" s="19" t="n">
        <f aca="false">$B16+X$3*100*$A16</f>
        <v>17.6529633594184</v>
      </c>
      <c r="Y16" s="19" t="n">
        <f aca="false">$B16+Y$3*100*$A16</f>
        <v>17.8154633594184</v>
      </c>
      <c r="Z16" s="19" t="n">
        <f aca="false">$B16+Z$3*100*$A16</f>
        <v>17.9779633594184</v>
      </c>
      <c r="AA16" s="19" t="n">
        <f aca="false">$B16+AA$3*100*$A16</f>
        <v>18.1404633594184</v>
      </c>
      <c r="AB16" s="19" t="n">
        <f aca="false">$B16+AB$3*100*$A16</f>
        <v>18.3029633594184</v>
      </c>
      <c r="AC16" s="19" t="n">
        <f aca="false">$B16+AC$3*100*$A16</f>
        <v>18.4654633594184</v>
      </c>
      <c r="AD16" s="19" t="n">
        <f aca="false">$B16+AD$3*100*$A16</f>
        <v>18.6279633594184</v>
      </c>
      <c r="AE16" s="19" t="n">
        <f aca="false">$B16+AE$3*100*$A16</f>
        <v>18.7904633594184</v>
      </c>
      <c r="AF16" s="19" t="n">
        <f aca="false">$B16+AF$3*100*$A16</f>
        <v>18.9529633594184</v>
      </c>
      <c r="AG16" s="19" t="n">
        <f aca="false">$B16+AG$3*100*$A16</f>
        <v>19.1154633594184</v>
      </c>
      <c r="AH16" s="19" t="n">
        <f aca="false">$B16+AH$3*100*$A16</f>
        <v>19.2779633594184</v>
      </c>
      <c r="AI16" s="19" t="n">
        <f aca="false">$B16+AI$3*100*$A16</f>
        <v>19.4404633594184</v>
      </c>
      <c r="AJ16" s="19" t="n">
        <f aca="false">$B16+AJ$3*100*$A16</f>
        <v>19.6029633594184</v>
      </c>
      <c r="AK16" s="19" t="n">
        <f aca="false">$B16+AK$3*100*$A16</f>
        <v>19.7654633594184</v>
      </c>
      <c r="AL16" s="19" t="n">
        <f aca="false">$B16+AL$3*100*$A16</f>
        <v>19.9279633594184</v>
      </c>
      <c r="AM16" s="19" t="n">
        <f aca="false">$B16+AM$3*100*$A16</f>
        <v>20.0904633594184</v>
      </c>
      <c r="AN16" s="19" t="n">
        <f aca="false">$B16+AN$3*100*$A16</f>
        <v>20.2529633594184</v>
      </c>
      <c r="AO16" s="19" t="n">
        <f aca="false">$B16+AO$3*100*$A16</f>
        <v>20.4154633594184</v>
      </c>
      <c r="AP16" s="19" t="n">
        <f aca="false">$B16+AP$3*100*$A16</f>
        <v>20.5779633594184</v>
      </c>
      <c r="AQ16" s="19" t="n">
        <f aca="false">$B16+AQ$3*100*$A16</f>
        <v>20.7404633594184</v>
      </c>
      <c r="AR16" s="19" t="n">
        <f aca="false">$B16+AR$3*100*$A16</f>
        <v>20.9029633594184</v>
      </c>
      <c r="AS16" s="19" t="n">
        <f aca="false">$B16+AS$3*100*$A16</f>
        <v>21.0654633594184</v>
      </c>
      <c r="AT16" s="19" t="n">
        <f aca="false">$B16+AT$3*100*$A16</f>
        <v>21.2279633594184</v>
      </c>
      <c r="AU16" s="19" t="n">
        <f aca="false">$B16+AU$3*100*$A16</f>
        <v>21.3904633594184</v>
      </c>
      <c r="AV16" s="19" t="n">
        <f aca="false">$B16+AV$3*100*$A16</f>
        <v>21.5529633594184</v>
      </c>
      <c r="AW16" s="19" t="n">
        <f aca="false">$B16+AW$3*100*$A16</f>
        <v>21.7154633594184</v>
      </c>
      <c r="AX16" s="19" t="n">
        <f aca="false">$B16+AX$3*100*$A16</f>
        <v>21.8779633594184</v>
      </c>
      <c r="AY16" s="19" t="n">
        <f aca="false">$B16+AY$3*100*$A16</f>
        <v>22.0404633594184</v>
      </c>
      <c r="AZ16" s="19" t="n">
        <f aca="false">$B16+AZ$3*100*$A16</f>
        <v>22.2029633594184</v>
      </c>
      <c r="BA16" s="19" t="n">
        <f aca="false">$B16+BA$3*100*$A16</f>
        <v>22.3654633594184</v>
      </c>
      <c r="BB16" s="19" t="n">
        <f aca="false">$B16+BB$3*100*$A16</f>
        <v>22.5279633594184</v>
      </c>
      <c r="BC16" s="19" t="n">
        <f aca="false">$B16+BC$3*100*$A16</f>
        <v>22.6904633594184</v>
      </c>
      <c r="BD16" s="19" t="n">
        <f aca="false">$B16+BD$3*100*$A16</f>
        <v>22.8529633594184</v>
      </c>
      <c r="BE16" s="19" t="n">
        <f aca="false">$B16+BE$3*100*$A16</f>
        <v>23.0154633594184</v>
      </c>
      <c r="BF16" s="19" t="n">
        <f aca="false">$B16+BF$3*100*$A16</f>
        <v>23.1779633594184</v>
      </c>
      <c r="BG16" s="19" t="n">
        <f aca="false">$B16+BG$3*100*$A16</f>
        <v>23.3404633594184</v>
      </c>
      <c r="BH16" s="19" t="n">
        <f aca="false">$B16+BH$3*100*$A16</f>
        <v>23.5029633594184</v>
      </c>
      <c r="BI16" s="19" t="n">
        <f aca="false">$B16+BI$3*100*$A16</f>
        <v>23.6654633594184</v>
      </c>
      <c r="BJ16" s="19" t="n">
        <f aca="false">$B16+BJ$3*100*$A16</f>
        <v>23.8279633594184</v>
      </c>
      <c r="BK16" s="19" t="n">
        <f aca="false">$B16+BK$3*100*$A16</f>
        <v>23.9904633594184</v>
      </c>
      <c r="BL16" s="19" t="n">
        <f aca="false">$B16+BL$3*100*$A16</f>
        <v>24.1529633594184</v>
      </c>
      <c r="BM16" s="19" t="n">
        <f aca="false">$B16+BM$3*100*$A16</f>
        <v>24.3154633594184</v>
      </c>
      <c r="BN16" s="19" t="n">
        <f aca="false">$B16+BN$3*100*$A16</f>
        <v>24.4779633594184</v>
      </c>
      <c r="BO16" s="19" t="n">
        <f aca="false">$B16+BO$3*100*$A16</f>
        <v>24.6404633594184</v>
      </c>
      <c r="BP16" s="19" t="n">
        <f aca="false">$B16+BP$3*100*$A16</f>
        <v>24.8029633594184</v>
      </c>
      <c r="BQ16" s="19" t="n">
        <f aca="false">$B16+BQ$3*100*$A16</f>
        <v>24.9654633594184</v>
      </c>
      <c r="BR16" s="19" t="n">
        <f aca="false">$B16+BR$3*100*$A16</f>
        <v>25.1279633594184</v>
      </c>
      <c r="BS16" s="19" t="n">
        <f aca="false">$B16+BS$3*100*$A16</f>
        <v>25.2904633594184</v>
      </c>
      <c r="BT16" s="19" t="n">
        <f aca="false">$B16+BT$3*100*$A16</f>
        <v>25.4529633594184</v>
      </c>
      <c r="BU16" s="19" t="n">
        <f aca="false">$B16+BU$3*100*$A16</f>
        <v>25.6154633594184</v>
      </c>
      <c r="BV16" s="19" t="n">
        <f aca="false">$B16+BV$3*100*$A16</f>
        <v>25.7779633594184</v>
      </c>
      <c r="BW16" s="19" t="n">
        <f aca="false">$B16+BW$3*100*$A16</f>
        <v>25.9404633594184</v>
      </c>
      <c r="BX16" s="19" t="n">
        <f aca="false">$B16+BX$3*100*$A16</f>
        <v>26.1029633594184</v>
      </c>
      <c r="BY16" s="19" t="n">
        <f aca="false">$B16+BY$3*100*$A16</f>
        <v>26.2654633594184</v>
      </c>
      <c r="BZ16" s="19" t="n">
        <f aca="false">$B16+BZ$3*100*$A16</f>
        <v>26.4279633594184</v>
      </c>
      <c r="CA16" s="19" t="n">
        <f aca="false">$B16+CA$3*100*$A16</f>
        <v>26.5904633594184</v>
      </c>
      <c r="CB16" s="19" t="n">
        <f aca="false">$B16+CB$3*100*$A16</f>
        <v>26.7529633594184</v>
      </c>
      <c r="CC16" s="19" t="n">
        <f aca="false">$B16+CC$3*100*$A16</f>
        <v>26.9154633594184</v>
      </c>
      <c r="CD16" s="19" t="n">
        <f aca="false">$B16+CD$3*100*$A16</f>
        <v>27.0779633594184</v>
      </c>
      <c r="CE16" s="19" t="n">
        <f aca="false">$B16+CE$3*100*$A16</f>
        <v>27.2404633594184</v>
      </c>
      <c r="CF16" s="19" t="n">
        <f aca="false">$B16+CF$3*100*$A16</f>
        <v>27.4029633594184</v>
      </c>
      <c r="CG16" s="19" t="n">
        <f aca="false">$B16+CG$3*100*$A16</f>
        <v>27.5654633594184</v>
      </c>
      <c r="CH16" s="19" t="n">
        <f aca="false">$B16+CH$3*100*$A16</f>
        <v>27.7279633594184</v>
      </c>
      <c r="CI16" s="19" t="n">
        <f aca="false">$B16+CI$3*100*$A16</f>
        <v>27.8904633594184</v>
      </c>
      <c r="CJ16" s="19" t="n">
        <f aca="false">$B16+CJ$3*100*$A16</f>
        <v>28.0529633594184</v>
      </c>
      <c r="CK16" s="19" t="n">
        <f aca="false">$B16+CK$3*100*$A16</f>
        <v>28.2154633594184</v>
      </c>
      <c r="CL16" s="19" t="n">
        <f aca="false">$B16+CL$3*100*$A16</f>
        <v>28.3779633594184</v>
      </c>
      <c r="CM16" s="19" t="n">
        <f aca="false">$B16+CM$3*100*$A16</f>
        <v>28.5404633594184</v>
      </c>
      <c r="CN16" s="19" t="n">
        <f aca="false">$B16+CN$3*100*$A16</f>
        <v>28.7029633594184</v>
      </c>
      <c r="CO16" s="19" t="n">
        <f aca="false">$B16+CO$3*100*$A16</f>
        <v>28.8654633594184</v>
      </c>
      <c r="CP16" s="19" t="n">
        <f aca="false">$B16+CP$3*100*$A16</f>
        <v>29.0279633594184</v>
      </c>
      <c r="CQ16" s="19" t="n">
        <f aca="false">$B16+CQ$3*100*$A16</f>
        <v>29.1904633594184</v>
      </c>
      <c r="CR16" s="19" t="n">
        <f aca="false">$B16+CR$3*100*$A16</f>
        <v>29.3529633594184</v>
      </c>
      <c r="CS16" s="19" t="n">
        <f aca="false">$B16+CS$3*100*$A16</f>
        <v>29.5154633594184</v>
      </c>
      <c r="CT16" s="19" t="n">
        <f aca="false">$B16+CT$3*100*$A16</f>
        <v>29.6779633594184</v>
      </c>
      <c r="CU16" s="19" t="n">
        <f aca="false">$B16+CU$3*100*$A16</f>
        <v>29.8404633594184</v>
      </c>
      <c r="CV16" s="19" t="n">
        <f aca="false">$B16+CV$3*100*$A16</f>
        <v>30.0029633594184</v>
      </c>
      <c r="CW16" s="19" t="n">
        <f aca="false">$B16+CW$3*100*$A16</f>
        <v>30.1654633594184</v>
      </c>
      <c r="CX16" s="19" t="n">
        <f aca="false">$B16+CX$3*100*$A16</f>
        <v>30.3279633594184</v>
      </c>
      <c r="CY16" s="19" t="n">
        <f aca="false">$B16+CY$3*100*$A16</f>
        <v>30.4904633594184</v>
      </c>
      <c r="CZ16" s="19" t="n">
        <f aca="false">$B16+CZ$3*100*$A16</f>
        <v>30.6529633594184</v>
      </c>
      <c r="DA16" s="19" t="n">
        <f aca="false">$B16+DA$3*100*$A16</f>
        <v>30.8154633594184</v>
      </c>
      <c r="DB16" s="19" t="n">
        <f aca="false">$B16+DB$3*100*$A16</f>
        <v>30.9779633594184</v>
      </c>
      <c r="DC16" s="19" t="n">
        <f aca="false">$B16+DC$3*100*$A16</f>
        <v>31.1404633594184</v>
      </c>
      <c r="DD16" s="19" t="n">
        <f aca="false">$B16+DD$3*100*$A16</f>
        <v>31.3029633594184</v>
      </c>
      <c r="DE16" s="19" t="n">
        <f aca="false">$B16+DE$3*100*$A16</f>
        <v>31.4654633594184</v>
      </c>
      <c r="DF16" s="19" t="n">
        <f aca="false">$B16+DF$3*100*$A16</f>
        <v>31.6279633594184</v>
      </c>
      <c r="DG16" s="19" t="n">
        <f aca="false">$B16+DG$3*100*$A16</f>
        <v>31.7904633594184</v>
      </c>
      <c r="DH16" s="19" t="n">
        <f aca="false">$B16+DH$3*100*$A16</f>
        <v>31.9529633594184</v>
      </c>
      <c r="DI16" s="19" t="n">
        <f aca="false">$B16+DI$3*100*$A16</f>
        <v>32.1154633594184</v>
      </c>
      <c r="DJ16" s="19" t="n">
        <f aca="false">$B16+DJ$3*100*$A16</f>
        <v>32.2779633594184</v>
      </c>
      <c r="DK16" s="19" t="n">
        <f aca="false">$B16+DK$3*100*$A16</f>
        <v>32.4404633594184</v>
      </c>
      <c r="DL16" s="19" t="n">
        <f aca="false">$B16+DL$3*100*$A16</f>
        <v>32.6029633594184</v>
      </c>
      <c r="DM16" s="19" t="n">
        <f aca="false">$B16+DM$3*100*$A16</f>
        <v>32.7654633594184</v>
      </c>
      <c r="DN16" s="19" t="n">
        <f aca="false">$B16+DN$3*100*$A16</f>
        <v>32.9279633594184</v>
      </c>
      <c r="DO16" s="19" t="n">
        <f aca="false">$B16+DO$3*100*$A16</f>
        <v>33.0904633594184</v>
      </c>
      <c r="DP16" s="19" t="n">
        <f aca="false">$B16+DP$3*100*$A16</f>
        <v>33.2529633594184</v>
      </c>
      <c r="DQ16" s="19" t="n">
        <f aca="false">$B16+DQ$3*100*$A16</f>
        <v>33.4154633594184</v>
      </c>
      <c r="DR16" s="19" t="n">
        <f aca="false">$B16+DR$3*100*$A16</f>
        <v>33.5779633594184</v>
      </c>
      <c r="DS16" s="19" t="n">
        <f aca="false">$B16+DS$3*100*$A16</f>
        <v>33.7404633594184</v>
      </c>
      <c r="DT16" s="19" t="n">
        <f aca="false">$B16+DT$3*100*$A16</f>
        <v>33.9029633594184</v>
      </c>
      <c r="DU16" s="19" t="n">
        <f aca="false">$B16+DU$3*100*$A16</f>
        <v>34.0654633594184</v>
      </c>
      <c r="DV16" s="19" t="n">
        <f aca="false">$B16+DV$3*100*$A16</f>
        <v>34.2279633594184</v>
      </c>
      <c r="DW16" s="19" t="n">
        <f aca="false">$B16+DW$3*100*$A16</f>
        <v>34.3904633594184</v>
      </c>
      <c r="DX16" s="19" t="n">
        <f aca="false">$B16+DX$3*100*$A16</f>
        <v>34.5529633594184</v>
      </c>
      <c r="DY16" s="19" t="n">
        <f aca="false">$B16+DY$3*100*$A16</f>
        <v>34.7154633594184</v>
      </c>
      <c r="DZ16" s="19" t="n">
        <f aca="false">$B16+DZ$3*100*$A16</f>
        <v>34.8779633594184</v>
      </c>
      <c r="EA16" s="19" t="n">
        <f aca="false">$B16+EA$3*100*$A16</f>
        <v>35.0404633594184</v>
      </c>
      <c r="EB16" s="19" t="n">
        <f aca="false">$B16+EB$3*100*$A16</f>
        <v>35.2029633594184</v>
      </c>
      <c r="EC16" s="19" t="n">
        <f aca="false">$B16+EC$3*100*$A16</f>
        <v>35.3654633594184</v>
      </c>
      <c r="ED16" s="19" t="n">
        <f aca="false">$B16+ED$3*100*$A16</f>
        <v>35.5279633594184</v>
      </c>
      <c r="EE16" s="19" t="n">
        <f aca="false">$B16+EE$3*100*$A16</f>
        <v>35.6904633594184</v>
      </c>
      <c r="EF16" s="19" t="n">
        <f aca="false">$B16+EF$3*100*$A16</f>
        <v>35.8529633594184</v>
      </c>
      <c r="EG16" s="19" t="n">
        <f aca="false">$B16+EG$3*100*$A16</f>
        <v>36.0154633594184</v>
      </c>
      <c r="EH16" s="19" t="n">
        <f aca="false">$B16+EH$3*100*$A16</f>
        <v>36.1779633594184</v>
      </c>
      <c r="EI16" s="19" t="n">
        <f aca="false">$B16+EI$3*100*$A16</f>
        <v>36.3404633594184</v>
      </c>
      <c r="EJ16" s="19" t="n">
        <f aca="false">$B16+EJ$3*100*$A16</f>
        <v>36.5029633594184</v>
      </c>
      <c r="EK16" s="19" t="n">
        <f aca="false">$B16+EK$3*100*$A16</f>
        <v>36.6654633594184</v>
      </c>
      <c r="EL16" s="19" t="n">
        <f aca="false">$B16+EL$3*100*$A16</f>
        <v>36.8279633594184</v>
      </c>
      <c r="EM16" s="19" t="n">
        <f aca="false">$B16+EM$3*100*$A16</f>
        <v>36.9904633594184</v>
      </c>
      <c r="EN16" s="19" t="n">
        <f aca="false">$B16+EN$3*100*$A16</f>
        <v>37.1529633594184</v>
      </c>
      <c r="EO16" s="19" t="n">
        <f aca="false">$B16+EO$3*100*$A16</f>
        <v>37.3154633594184</v>
      </c>
      <c r="EP16" s="19" t="n">
        <f aca="false">$B16+EP$3*100*$A16</f>
        <v>37.4779633594184</v>
      </c>
      <c r="EQ16" s="19" t="n">
        <f aca="false">$B16+EQ$3*100*$A16</f>
        <v>37.6404633594184</v>
      </c>
      <c r="ER16" s="19" t="n">
        <f aca="false">$B16+ER$3*100*$A16</f>
        <v>37.8029633594184</v>
      </c>
      <c r="ES16" s="19" t="n">
        <f aca="false">$B16+ES$3*100*$A16</f>
        <v>37.9654633594184</v>
      </c>
      <c r="ET16" s="19" t="n">
        <f aca="false">$B16+ET$3*100*$A16</f>
        <v>38.1279633594184</v>
      </c>
      <c r="EU16" s="19" t="n">
        <f aca="false">$B16+EU$3*100*$A16</f>
        <v>38.2904633594184</v>
      </c>
      <c r="EV16" s="19" t="n">
        <f aca="false">$B16+EV$3*100*$A16</f>
        <v>38.4529633594184</v>
      </c>
      <c r="EW16" s="19" t="n">
        <f aca="false">$B16+EW$3*100*$A16</f>
        <v>38.6154633594184</v>
      </c>
      <c r="EX16" s="19" t="n">
        <f aca="false">$B16+EX$3*100*$A16</f>
        <v>38.7779633594184</v>
      </c>
      <c r="EY16" s="19" t="n">
        <f aca="false">$B16+EY$3*100*$A16</f>
        <v>38.9404633594184</v>
      </c>
      <c r="EZ16" s="19" t="n">
        <f aca="false">$B16+EZ$3*100*$A16</f>
        <v>39.1029633594184</v>
      </c>
      <c r="FA16" s="19" t="n">
        <f aca="false">$B16+FA$3*100*$A16</f>
        <v>39.2654633594184</v>
      </c>
      <c r="FB16" s="19" t="n">
        <f aca="false">$B16+FB$3*100*$A16</f>
        <v>39.4279633594184</v>
      </c>
      <c r="FC16" s="19" t="n">
        <f aca="false">$B16+FC$3*100*$A16</f>
        <v>39.5904633594184</v>
      </c>
      <c r="FD16" s="19" t="n">
        <f aca="false">$B16+FD$3*100*$A16</f>
        <v>39.7529633594184</v>
      </c>
      <c r="FE16" s="19" t="n">
        <f aca="false">$B16+FE$3*100*$A16</f>
        <v>39.9154633594184</v>
      </c>
      <c r="FF16" s="19" t="n">
        <f aca="false">$B16+FF$3*100*$A16</f>
        <v>40.0779633594184</v>
      </c>
      <c r="FG16" s="19" t="n">
        <f aca="false">$B16+FG$3*100*$A16</f>
        <v>40.2404633594184</v>
      </c>
      <c r="FH16" s="19" t="n">
        <f aca="false">$B16+FH$3*100*$A16</f>
        <v>40.4029633594184</v>
      </c>
      <c r="FI16" s="19" t="n">
        <f aca="false">$B16+FI$3*100*$A16</f>
        <v>40.5654633594184</v>
      </c>
      <c r="FJ16" s="19" t="n">
        <f aca="false">$B16+FJ$3*100*$A16</f>
        <v>40.7279633594184</v>
      </c>
      <c r="FK16" s="19" t="n">
        <f aca="false">$B16+FK$3*100*$A16</f>
        <v>40.8904633594184</v>
      </c>
      <c r="FL16" s="19" t="n">
        <f aca="false">$B16+FL$3*100*$A16</f>
        <v>41.0529633594184</v>
      </c>
      <c r="FM16" s="19" t="n">
        <f aca="false">$B16+FM$3*100*$A16</f>
        <v>41.2154633594184</v>
      </c>
      <c r="FN16" s="19" t="n">
        <f aca="false">$B16+FN$3*100*$A16</f>
        <v>41.3779633594184</v>
      </c>
      <c r="FO16" s="19" t="n">
        <f aca="false">$B16+FO$3*100*$A16</f>
        <v>41.5404633594184</v>
      </c>
      <c r="FP16" s="19" t="n">
        <f aca="false">$B16+FP$3*100*$A16</f>
        <v>41.7029633594184</v>
      </c>
      <c r="FQ16" s="19" t="n">
        <f aca="false">$B16+FQ$3*100*$A16</f>
        <v>41.8654633594184</v>
      </c>
      <c r="FR16" s="19" t="n">
        <f aca="false">$B16+FR$3*100*$A16</f>
        <v>42.0279633594184</v>
      </c>
      <c r="FS16" s="19" t="n">
        <f aca="false">$B16+FS$3*100*$A16</f>
        <v>42.1904633594184</v>
      </c>
      <c r="FT16" s="19" t="n">
        <f aca="false">$B16+FT$3*100*$A16</f>
        <v>42.3529633594184</v>
      </c>
      <c r="FU16" s="19" t="n">
        <f aca="false">$B16+FU$3*100*$A16</f>
        <v>42.5154633594184</v>
      </c>
      <c r="FV16" s="19" t="n">
        <f aca="false">$B16+FV$3*100*$A16</f>
        <v>42.6779633594184</v>
      </c>
      <c r="FW16" s="19" t="n">
        <f aca="false">$B16+FW$3*100*$A16</f>
        <v>42.8404633594184</v>
      </c>
      <c r="FX16" s="19" t="n">
        <f aca="false">$B16+FX$3*100*$A16</f>
        <v>43.0029633594184</v>
      </c>
      <c r="FY16" s="19" t="n">
        <f aca="false">$B16+FY$3*100*$A16</f>
        <v>43.1654633594184</v>
      </c>
      <c r="FZ16" s="19" t="n">
        <f aca="false">$B16+FZ$3*100*$A16</f>
        <v>43.3279633594184</v>
      </c>
      <c r="GA16" s="19" t="n">
        <f aca="false">$B16+GA$3*100*$A16</f>
        <v>43.4904633594184</v>
      </c>
      <c r="GB16" s="19" t="n">
        <f aca="false">$B16+GB$3*100*$A16</f>
        <v>43.6529633594184</v>
      </c>
      <c r="GC16" s="19" t="n">
        <f aca="false">$B16+GC$3*100*$A16</f>
        <v>43.8154633594184</v>
      </c>
      <c r="GD16" s="19" t="n">
        <f aca="false">$B16+GD$3*100*$A16</f>
        <v>43.9779633594184</v>
      </c>
      <c r="GE16" s="19" t="n">
        <f aca="false">$B16+GE$3*100*$A16</f>
        <v>44.1404633594184</v>
      </c>
      <c r="GF16" s="19" t="n">
        <f aca="false">$B16+GF$3*100*$A16</f>
        <v>44.3029633594184</v>
      </c>
      <c r="GG16" s="19" t="n">
        <f aca="false">$B16+GG$3*100*$A16</f>
        <v>44.4654633594184</v>
      </c>
      <c r="GH16" s="19" t="n">
        <f aca="false">$B16+GH$3*100*$A16</f>
        <v>44.6279633594184</v>
      </c>
      <c r="GI16" s="19" t="n">
        <f aca="false">$B16+GI$3*100*$A16</f>
        <v>44.7904633594184</v>
      </c>
      <c r="GJ16" s="19" t="n">
        <f aca="false">$B16+GJ$3*100*$A16</f>
        <v>44.9529633594184</v>
      </c>
      <c r="GK16" s="19" t="n">
        <f aca="false">$B16+GK$3*100*$A16</f>
        <v>45.1154633594184</v>
      </c>
      <c r="GL16" s="19" t="n">
        <f aca="false">$B16+GL$3*100*$A16</f>
        <v>45.2779633594184</v>
      </c>
      <c r="GM16" s="19" t="n">
        <f aca="false">$B16+GM$3*100*$A16</f>
        <v>45.4404633594184</v>
      </c>
      <c r="GN16" s="19" t="n">
        <f aca="false">$B16+GN$3*100*$A16</f>
        <v>45.6029633594184</v>
      </c>
      <c r="GO16" s="19" t="n">
        <f aca="false">$B16+GO$3*100*$A16</f>
        <v>45.7654633594184</v>
      </c>
      <c r="GP16" s="19" t="n">
        <f aca="false">$B16+GP$3*100*$A16</f>
        <v>45.9279633594184</v>
      </c>
      <c r="GQ16" s="19" t="n">
        <f aca="false">$B16+GQ$3*100*$A16</f>
        <v>46.0904633594184</v>
      </c>
      <c r="GR16" s="19" t="n">
        <f aca="false">$B16+GR$3*100*$A16</f>
        <v>46.2529633594184</v>
      </c>
      <c r="GS16" s="19" t="n">
        <f aca="false">$B16+GS$3*100*$A16</f>
        <v>46.4154633594184</v>
      </c>
      <c r="GT16" s="19" t="n">
        <f aca="false">$B16+GT$3*100*$A16</f>
        <v>46.5779633594184</v>
      </c>
    </row>
    <row r="17" customFormat="false" ht="15" hidden="false" customHeight="false" outlineLevel="0" collapsed="false">
      <c r="A17" s="26" t="n">
        <f aca="false">Frontier!A15</f>
        <v>0.035</v>
      </c>
      <c r="B17" s="34" t="n">
        <f aca="false">Frontier!B15</f>
        <v>13.4760759053114</v>
      </c>
      <c r="C17" s="19" t="n">
        <f aca="false">$B17+C$3*100*$A17</f>
        <v>13.6510759053114</v>
      </c>
      <c r="D17" s="19" t="n">
        <f aca="false">$B17+D$3*100*$A17</f>
        <v>13.8260759053114</v>
      </c>
      <c r="E17" s="19" t="n">
        <f aca="false">$B17+E$3*100*$A17</f>
        <v>14.0010759053114</v>
      </c>
      <c r="F17" s="19" t="n">
        <f aca="false">$B17+F$3*100*$A17</f>
        <v>14.1760759053114</v>
      </c>
      <c r="G17" s="19" t="n">
        <f aca="false">$B17+G$3*100*$A17</f>
        <v>14.3510759053114</v>
      </c>
      <c r="H17" s="19" t="n">
        <f aca="false">$B17+H$3*100*$A17</f>
        <v>14.5260759053114</v>
      </c>
      <c r="I17" s="19" t="n">
        <f aca="false">$B17+I$3*100*$A17</f>
        <v>14.7010759053114</v>
      </c>
      <c r="J17" s="19" t="n">
        <f aca="false">$B17+J$3*100*$A17</f>
        <v>14.8760759053114</v>
      </c>
      <c r="K17" s="19" t="n">
        <f aca="false">$B17+K$3*100*$A17</f>
        <v>15.0510759053114</v>
      </c>
      <c r="L17" s="19" t="n">
        <f aca="false">$B17+L$3*100*$A17</f>
        <v>15.2260759053114</v>
      </c>
      <c r="M17" s="19" t="n">
        <f aca="false">$B17+M$3*100*$A17</f>
        <v>15.4010759053114</v>
      </c>
      <c r="N17" s="19" t="n">
        <f aca="false">$B17+N$3*100*$A17</f>
        <v>15.5760759053114</v>
      </c>
      <c r="O17" s="19" t="n">
        <f aca="false">$B17+O$3*100*$A17</f>
        <v>15.7510759053114</v>
      </c>
      <c r="P17" s="19" t="n">
        <f aca="false">$B17+P$3*100*$A17</f>
        <v>15.9260759053114</v>
      </c>
      <c r="Q17" s="19" t="n">
        <f aca="false">$B17+Q$3*100*$A17</f>
        <v>16.1010759053114</v>
      </c>
      <c r="R17" s="19" t="n">
        <f aca="false">$B17+R$3*100*$A17</f>
        <v>16.2760759053114</v>
      </c>
      <c r="S17" s="19" t="n">
        <f aca="false">$B17+S$3*100*$A17</f>
        <v>16.4510759053114</v>
      </c>
      <c r="T17" s="19" t="n">
        <f aca="false">$B17+T$3*100*$A17</f>
        <v>16.6260759053114</v>
      </c>
      <c r="U17" s="19" t="n">
        <f aca="false">$B17+U$3*100*$A17</f>
        <v>16.8010759053114</v>
      </c>
      <c r="V17" s="19" t="n">
        <f aca="false">$B17+V$3*100*$A17</f>
        <v>16.9760759053114</v>
      </c>
      <c r="W17" s="19" t="n">
        <f aca="false">$B17+W$3*100*$A17</f>
        <v>17.1510759053114</v>
      </c>
      <c r="X17" s="19" t="n">
        <f aca="false">$B17+X$3*100*$A17</f>
        <v>17.3260759053114</v>
      </c>
      <c r="Y17" s="19" t="n">
        <f aca="false">$B17+Y$3*100*$A17</f>
        <v>17.5010759053114</v>
      </c>
      <c r="Z17" s="19" t="n">
        <f aca="false">$B17+Z$3*100*$A17</f>
        <v>17.6760759053114</v>
      </c>
      <c r="AA17" s="19" t="n">
        <f aca="false">$B17+AA$3*100*$A17</f>
        <v>17.8510759053114</v>
      </c>
      <c r="AB17" s="19" t="n">
        <f aca="false">$B17+AB$3*100*$A17</f>
        <v>18.0260759053114</v>
      </c>
      <c r="AC17" s="19" t="n">
        <f aca="false">$B17+AC$3*100*$A17</f>
        <v>18.2010759053114</v>
      </c>
      <c r="AD17" s="19" t="n">
        <f aca="false">$B17+AD$3*100*$A17</f>
        <v>18.3760759053114</v>
      </c>
      <c r="AE17" s="19" t="n">
        <f aca="false">$B17+AE$3*100*$A17</f>
        <v>18.5510759053114</v>
      </c>
      <c r="AF17" s="19" t="n">
        <f aca="false">$B17+AF$3*100*$A17</f>
        <v>18.7260759053114</v>
      </c>
      <c r="AG17" s="19" t="n">
        <f aca="false">$B17+AG$3*100*$A17</f>
        <v>18.9010759053114</v>
      </c>
      <c r="AH17" s="19" t="n">
        <f aca="false">$B17+AH$3*100*$A17</f>
        <v>19.0760759053114</v>
      </c>
      <c r="AI17" s="19" t="n">
        <f aca="false">$B17+AI$3*100*$A17</f>
        <v>19.2510759053114</v>
      </c>
      <c r="AJ17" s="19" t="n">
        <f aca="false">$B17+AJ$3*100*$A17</f>
        <v>19.4260759053114</v>
      </c>
      <c r="AK17" s="19" t="n">
        <f aca="false">$B17+AK$3*100*$A17</f>
        <v>19.6010759053114</v>
      </c>
      <c r="AL17" s="19" t="n">
        <f aca="false">$B17+AL$3*100*$A17</f>
        <v>19.7760759053114</v>
      </c>
      <c r="AM17" s="19" t="n">
        <f aca="false">$B17+AM$3*100*$A17</f>
        <v>19.9510759053114</v>
      </c>
      <c r="AN17" s="19" t="n">
        <f aca="false">$B17+AN$3*100*$A17</f>
        <v>20.1260759053114</v>
      </c>
      <c r="AO17" s="19" t="n">
        <f aca="false">$B17+AO$3*100*$A17</f>
        <v>20.3010759053114</v>
      </c>
      <c r="AP17" s="19" t="n">
        <f aca="false">$B17+AP$3*100*$A17</f>
        <v>20.4760759053114</v>
      </c>
      <c r="AQ17" s="19" t="n">
        <f aca="false">$B17+AQ$3*100*$A17</f>
        <v>20.6510759053114</v>
      </c>
      <c r="AR17" s="19" t="n">
        <f aca="false">$B17+AR$3*100*$A17</f>
        <v>20.8260759053114</v>
      </c>
      <c r="AS17" s="19" t="n">
        <f aca="false">$B17+AS$3*100*$A17</f>
        <v>21.0010759053114</v>
      </c>
      <c r="AT17" s="19" t="n">
        <f aca="false">$B17+AT$3*100*$A17</f>
        <v>21.1760759053114</v>
      </c>
      <c r="AU17" s="19" t="n">
        <f aca="false">$B17+AU$3*100*$A17</f>
        <v>21.3510759053114</v>
      </c>
      <c r="AV17" s="19" t="n">
        <f aca="false">$B17+AV$3*100*$A17</f>
        <v>21.5260759053114</v>
      </c>
      <c r="AW17" s="19" t="n">
        <f aca="false">$B17+AW$3*100*$A17</f>
        <v>21.7010759053114</v>
      </c>
      <c r="AX17" s="19" t="n">
        <f aca="false">$B17+AX$3*100*$A17</f>
        <v>21.8760759053114</v>
      </c>
      <c r="AY17" s="19" t="n">
        <f aca="false">$B17+AY$3*100*$A17</f>
        <v>22.0510759053114</v>
      </c>
      <c r="AZ17" s="19" t="n">
        <f aca="false">$B17+AZ$3*100*$A17</f>
        <v>22.2260759053114</v>
      </c>
      <c r="BA17" s="19" t="n">
        <f aca="false">$B17+BA$3*100*$A17</f>
        <v>22.4010759053114</v>
      </c>
      <c r="BB17" s="19" t="n">
        <f aca="false">$B17+BB$3*100*$A17</f>
        <v>22.5760759053114</v>
      </c>
      <c r="BC17" s="19" t="n">
        <f aca="false">$B17+BC$3*100*$A17</f>
        <v>22.7510759053114</v>
      </c>
      <c r="BD17" s="19" t="n">
        <f aca="false">$B17+BD$3*100*$A17</f>
        <v>22.9260759053114</v>
      </c>
      <c r="BE17" s="19" t="n">
        <f aca="false">$B17+BE$3*100*$A17</f>
        <v>23.1010759053114</v>
      </c>
      <c r="BF17" s="19" t="n">
        <f aca="false">$B17+BF$3*100*$A17</f>
        <v>23.2760759053114</v>
      </c>
      <c r="BG17" s="19" t="n">
        <f aca="false">$B17+BG$3*100*$A17</f>
        <v>23.4510759053114</v>
      </c>
      <c r="BH17" s="19" t="n">
        <f aca="false">$B17+BH$3*100*$A17</f>
        <v>23.6260759053114</v>
      </c>
      <c r="BI17" s="19" t="n">
        <f aca="false">$B17+BI$3*100*$A17</f>
        <v>23.8010759053114</v>
      </c>
      <c r="BJ17" s="19" t="n">
        <f aca="false">$B17+BJ$3*100*$A17</f>
        <v>23.9760759053114</v>
      </c>
      <c r="BK17" s="19" t="n">
        <f aca="false">$B17+BK$3*100*$A17</f>
        <v>24.1510759053114</v>
      </c>
      <c r="BL17" s="19" t="n">
        <f aca="false">$B17+BL$3*100*$A17</f>
        <v>24.3260759053114</v>
      </c>
      <c r="BM17" s="19" t="n">
        <f aca="false">$B17+BM$3*100*$A17</f>
        <v>24.5010759053114</v>
      </c>
      <c r="BN17" s="19" t="n">
        <f aca="false">$B17+BN$3*100*$A17</f>
        <v>24.6760759053114</v>
      </c>
      <c r="BO17" s="19" t="n">
        <f aca="false">$B17+BO$3*100*$A17</f>
        <v>24.8510759053114</v>
      </c>
      <c r="BP17" s="19" t="n">
        <f aca="false">$B17+BP$3*100*$A17</f>
        <v>25.0260759053114</v>
      </c>
      <c r="BQ17" s="19" t="n">
        <f aca="false">$B17+BQ$3*100*$A17</f>
        <v>25.2010759053114</v>
      </c>
      <c r="BR17" s="19" t="n">
        <f aca="false">$B17+BR$3*100*$A17</f>
        <v>25.3760759053114</v>
      </c>
      <c r="BS17" s="19" t="n">
        <f aca="false">$B17+BS$3*100*$A17</f>
        <v>25.5510759053114</v>
      </c>
      <c r="BT17" s="19" t="n">
        <f aca="false">$B17+BT$3*100*$A17</f>
        <v>25.7260759053114</v>
      </c>
      <c r="BU17" s="19" t="n">
        <f aca="false">$B17+BU$3*100*$A17</f>
        <v>25.9010759053114</v>
      </c>
      <c r="BV17" s="19" t="n">
        <f aca="false">$B17+BV$3*100*$A17</f>
        <v>26.0760759053114</v>
      </c>
      <c r="BW17" s="19" t="n">
        <f aca="false">$B17+BW$3*100*$A17</f>
        <v>26.2510759053114</v>
      </c>
      <c r="BX17" s="19" t="n">
        <f aca="false">$B17+BX$3*100*$A17</f>
        <v>26.4260759053114</v>
      </c>
      <c r="BY17" s="19" t="n">
        <f aca="false">$B17+BY$3*100*$A17</f>
        <v>26.6010759053114</v>
      </c>
      <c r="BZ17" s="19" t="n">
        <f aca="false">$B17+BZ$3*100*$A17</f>
        <v>26.7760759053114</v>
      </c>
      <c r="CA17" s="19" t="n">
        <f aca="false">$B17+CA$3*100*$A17</f>
        <v>26.9510759053114</v>
      </c>
      <c r="CB17" s="19" t="n">
        <f aca="false">$B17+CB$3*100*$A17</f>
        <v>27.1260759053114</v>
      </c>
      <c r="CC17" s="19" t="n">
        <f aca="false">$B17+CC$3*100*$A17</f>
        <v>27.3010759053114</v>
      </c>
      <c r="CD17" s="19" t="n">
        <f aca="false">$B17+CD$3*100*$A17</f>
        <v>27.4760759053114</v>
      </c>
      <c r="CE17" s="19" t="n">
        <f aca="false">$B17+CE$3*100*$A17</f>
        <v>27.6510759053114</v>
      </c>
      <c r="CF17" s="19" t="n">
        <f aca="false">$B17+CF$3*100*$A17</f>
        <v>27.8260759053114</v>
      </c>
      <c r="CG17" s="19" t="n">
        <f aca="false">$B17+CG$3*100*$A17</f>
        <v>28.0010759053114</v>
      </c>
      <c r="CH17" s="19" t="n">
        <f aca="false">$B17+CH$3*100*$A17</f>
        <v>28.1760759053114</v>
      </c>
      <c r="CI17" s="19" t="n">
        <f aca="false">$B17+CI$3*100*$A17</f>
        <v>28.3510759053114</v>
      </c>
      <c r="CJ17" s="19" t="n">
        <f aca="false">$B17+CJ$3*100*$A17</f>
        <v>28.5260759053114</v>
      </c>
      <c r="CK17" s="19" t="n">
        <f aca="false">$B17+CK$3*100*$A17</f>
        <v>28.7010759053114</v>
      </c>
      <c r="CL17" s="19" t="n">
        <f aca="false">$B17+CL$3*100*$A17</f>
        <v>28.8760759053114</v>
      </c>
      <c r="CM17" s="19" t="n">
        <f aca="false">$B17+CM$3*100*$A17</f>
        <v>29.0510759053114</v>
      </c>
      <c r="CN17" s="19" t="n">
        <f aca="false">$B17+CN$3*100*$A17</f>
        <v>29.2260759053114</v>
      </c>
      <c r="CO17" s="19" t="n">
        <f aca="false">$B17+CO$3*100*$A17</f>
        <v>29.4010759053114</v>
      </c>
      <c r="CP17" s="19" t="n">
        <f aca="false">$B17+CP$3*100*$A17</f>
        <v>29.5760759053114</v>
      </c>
      <c r="CQ17" s="19" t="n">
        <f aca="false">$B17+CQ$3*100*$A17</f>
        <v>29.7510759053114</v>
      </c>
      <c r="CR17" s="19" t="n">
        <f aca="false">$B17+CR$3*100*$A17</f>
        <v>29.9260759053114</v>
      </c>
      <c r="CS17" s="19" t="n">
        <f aca="false">$B17+CS$3*100*$A17</f>
        <v>30.1010759053114</v>
      </c>
      <c r="CT17" s="19" t="n">
        <f aca="false">$B17+CT$3*100*$A17</f>
        <v>30.2760759053114</v>
      </c>
      <c r="CU17" s="19" t="n">
        <f aca="false">$B17+CU$3*100*$A17</f>
        <v>30.4510759053114</v>
      </c>
      <c r="CV17" s="19" t="n">
        <f aca="false">$B17+CV$3*100*$A17</f>
        <v>30.6260759053114</v>
      </c>
      <c r="CW17" s="19" t="n">
        <f aca="false">$B17+CW$3*100*$A17</f>
        <v>30.8010759053114</v>
      </c>
      <c r="CX17" s="19" t="n">
        <f aca="false">$B17+CX$3*100*$A17</f>
        <v>30.9760759053114</v>
      </c>
      <c r="CY17" s="19" t="n">
        <f aca="false">$B17+CY$3*100*$A17</f>
        <v>31.1510759053114</v>
      </c>
      <c r="CZ17" s="19" t="n">
        <f aca="false">$B17+CZ$3*100*$A17</f>
        <v>31.3260759053114</v>
      </c>
      <c r="DA17" s="19" t="n">
        <f aca="false">$B17+DA$3*100*$A17</f>
        <v>31.5010759053114</v>
      </c>
      <c r="DB17" s="19" t="n">
        <f aca="false">$B17+DB$3*100*$A17</f>
        <v>31.6760759053114</v>
      </c>
      <c r="DC17" s="19" t="n">
        <f aca="false">$B17+DC$3*100*$A17</f>
        <v>31.8510759053114</v>
      </c>
      <c r="DD17" s="19" t="n">
        <f aca="false">$B17+DD$3*100*$A17</f>
        <v>32.0260759053114</v>
      </c>
      <c r="DE17" s="19" t="n">
        <f aca="false">$B17+DE$3*100*$A17</f>
        <v>32.2010759053114</v>
      </c>
      <c r="DF17" s="19" t="n">
        <f aca="false">$B17+DF$3*100*$A17</f>
        <v>32.3760759053114</v>
      </c>
      <c r="DG17" s="19" t="n">
        <f aca="false">$B17+DG$3*100*$A17</f>
        <v>32.5510759053114</v>
      </c>
      <c r="DH17" s="19" t="n">
        <f aca="false">$B17+DH$3*100*$A17</f>
        <v>32.7260759053114</v>
      </c>
      <c r="DI17" s="19" t="n">
        <f aca="false">$B17+DI$3*100*$A17</f>
        <v>32.9010759053114</v>
      </c>
      <c r="DJ17" s="19" t="n">
        <f aca="false">$B17+DJ$3*100*$A17</f>
        <v>33.0760759053114</v>
      </c>
      <c r="DK17" s="19" t="n">
        <f aca="false">$B17+DK$3*100*$A17</f>
        <v>33.2510759053114</v>
      </c>
      <c r="DL17" s="19" t="n">
        <f aca="false">$B17+DL$3*100*$A17</f>
        <v>33.4260759053114</v>
      </c>
      <c r="DM17" s="19" t="n">
        <f aca="false">$B17+DM$3*100*$A17</f>
        <v>33.6010759053114</v>
      </c>
      <c r="DN17" s="19" t="n">
        <f aca="false">$B17+DN$3*100*$A17</f>
        <v>33.7760759053114</v>
      </c>
      <c r="DO17" s="19" t="n">
        <f aca="false">$B17+DO$3*100*$A17</f>
        <v>33.9510759053114</v>
      </c>
      <c r="DP17" s="19" t="n">
        <f aca="false">$B17+DP$3*100*$A17</f>
        <v>34.1260759053114</v>
      </c>
      <c r="DQ17" s="19" t="n">
        <f aca="false">$B17+DQ$3*100*$A17</f>
        <v>34.3010759053114</v>
      </c>
      <c r="DR17" s="19" t="n">
        <f aca="false">$B17+DR$3*100*$A17</f>
        <v>34.4760759053114</v>
      </c>
      <c r="DS17" s="19" t="n">
        <f aca="false">$B17+DS$3*100*$A17</f>
        <v>34.6510759053114</v>
      </c>
      <c r="DT17" s="19" t="n">
        <f aca="false">$B17+DT$3*100*$A17</f>
        <v>34.8260759053114</v>
      </c>
      <c r="DU17" s="19" t="n">
        <f aca="false">$B17+DU$3*100*$A17</f>
        <v>35.0010759053114</v>
      </c>
      <c r="DV17" s="19" t="n">
        <f aca="false">$B17+DV$3*100*$A17</f>
        <v>35.1760759053114</v>
      </c>
      <c r="DW17" s="19" t="n">
        <f aca="false">$B17+DW$3*100*$A17</f>
        <v>35.3510759053114</v>
      </c>
      <c r="DX17" s="19" t="n">
        <f aca="false">$B17+DX$3*100*$A17</f>
        <v>35.5260759053114</v>
      </c>
      <c r="DY17" s="19" t="n">
        <f aca="false">$B17+DY$3*100*$A17</f>
        <v>35.7010759053114</v>
      </c>
      <c r="DZ17" s="19" t="n">
        <f aca="false">$B17+DZ$3*100*$A17</f>
        <v>35.8760759053114</v>
      </c>
      <c r="EA17" s="19" t="n">
        <f aca="false">$B17+EA$3*100*$A17</f>
        <v>36.0510759053114</v>
      </c>
      <c r="EB17" s="19" t="n">
        <f aca="false">$B17+EB$3*100*$A17</f>
        <v>36.2260759053114</v>
      </c>
      <c r="EC17" s="19" t="n">
        <f aca="false">$B17+EC$3*100*$A17</f>
        <v>36.4010759053114</v>
      </c>
      <c r="ED17" s="19" t="n">
        <f aca="false">$B17+ED$3*100*$A17</f>
        <v>36.5760759053114</v>
      </c>
      <c r="EE17" s="19" t="n">
        <f aca="false">$B17+EE$3*100*$A17</f>
        <v>36.7510759053114</v>
      </c>
      <c r="EF17" s="19" t="n">
        <f aca="false">$B17+EF$3*100*$A17</f>
        <v>36.9260759053114</v>
      </c>
      <c r="EG17" s="19" t="n">
        <f aca="false">$B17+EG$3*100*$A17</f>
        <v>37.1010759053114</v>
      </c>
      <c r="EH17" s="19" t="n">
        <f aca="false">$B17+EH$3*100*$A17</f>
        <v>37.2760759053114</v>
      </c>
      <c r="EI17" s="19" t="n">
        <f aca="false">$B17+EI$3*100*$A17</f>
        <v>37.4510759053114</v>
      </c>
      <c r="EJ17" s="19" t="n">
        <f aca="false">$B17+EJ$3*100*$A17</f>
        <v>37.6260759053114</v>
      </c>
      <c r="EK17" s="19" t="n">
        <f aca="false">$B17+EK$3*100*$A17</f>
        <v>37.8010759053114</v>
      </c>
      <c r="EL17" s="19" t="n">
        <f aca="false">$B17+EL$3*100*$A17</f>
        <v>37.9760759053114</v>
      </c>
      <c r="EM17" s="19" t="n">
        <f aca="false">$B17+EM$3*100*$A17</f>
        <v>38.1510759053114</v>
      </c>
      <c r="EN17" s="19" t="n">
        <f aca="false">$B17+EN$3*100*$A17</f>
        <v>38.3260759053114</v>
      </c>
      <c r="EO17" s="19" t="n">
        <f aca="false">$B17+EO$3*100*$A17</f>
        <v>38.5010759053114</v>
      </c>
      <c r="EP17" s="19" t="n">
        <f aca="false">$B17+EP$3*100*$A17</f>
        <v>38.6760759053114</v>
      </c>
      <c r="EQ17" s="19" t="n">
        <f aca="false">$B17+EQ$3*100*$A17</f>
        <v>38.8510759053114</v>
      </c>
      <c r="ER17" s="19" t="n">
        <f aca="false">$B17+ER$3*100*$A17</f>
        <v>39.0260759053114</v>
      </c>
      <c r="ES17" s="19" t="n">
        <f aca="false">$B17+ES$3*100*$A17</f>
        <v>39.2010759053114</v>
      </c>
      <c r="ET17" s="19" t="n">
        <f aca="false">$B17+ET$3*100*$A17</f>
        <v>39.3760759053114</v>
      </c>
      <c r="EU17" s="19" t="n">
        <f aca="false">$B17+EU$3*100*$A17</f>
        <v>39.5510759053114</v>
      </c>
      <c r="EV17" s="19" t="n">
        <f aca="false">$B17+EV$3*100*$A17</f>
        <v>39.7260759053114</v>
      </c>
      <c r="EW17" s="19" t="n">
        <f aca="false">$B17+EW$3*100*$A17</f>
        <v>39.9010759053114</v>
      </c>
      <c r="EX17" s="19" t="n">
        <f aca="false">$B17+EX$3*100*$A17</f>
        <v>40.0760759053114</v>
      </c>
      <c r="EY17" s="19" t="n">
        <f aca="false">$B17+EY$3*100*$A17</f>
        <v>40.2510759053114</v>
      </c>
      <c r="EZ17" s="19" t="n">
        <f aca="false">$B17+EZ$3*100*$A17</f>
        <v>40.4260759053114</v>
      </c>
      <c r="FA17" s="19" t="n">
        <f aca="false">$B17+FA$3*100*$A17</f>
        <v>40.6010759053114</v>
      </c>
      <c r="FB17" s="19" t="n">
        <f aca="false">$B17+FB$3*100*$A17</f>
        <v>40.7760759053114</v>
      </c>
      <c r="FC17" s="19" t="n">
        <f aca="false">$B17+FC$3*100*$A17</f>
        <v>40.9510759053114</v>
      </c>
      <c r="FD17" s="19" t="n">
        <f aca="false">$B17+FD$3*100*$A17</f>
        <v>41.1260759053114</v>
      </c>
      <c r="FE17" s="19" t="n">
        <f aca="false">$B17+FE$3*100*$A17</f>
        <v>41.3010759053114</v>
      </c>
      <c r="FF17" s="19" t="n">
        <f aca="false">$B17+FF$3*100*$A17</f>
        <v>41.4760759053114</v>
      </c>
      <c r="FG17" s="19" t="n">
        <f aca="false">$B17+FG$3*100*$A17</f>
        <v>41.6510759053114</v>
      </c>
      <c r="FH17" s="19" t="n">
        <f aca="false">$B17+FH$3*100*$A17</f>
        <v>41.8260759053114</v>
      </c>
      <c r="FI17" s="19" t="n">
        <f aca="false">$B17+FI$3*100*$A17</f>
        <v>42.0010759053114</v>
      </c>
      <c r="FJ17" s="19" t="n">
        <f aca="false">$B17+FJ$3*100*$A17</f>
        <v>42.1760759053114</v>
      </c>
      <c r="FK17" s="19" t="n">
        <f aca="false">$B17+FK$3*100*$A17</f>
        <v>42.3510759053114</v>
      </c>
      <c r="FL17" s="19" t="n">
        <f aca="false">$B17+FL$3*100*$A17</f>
        <v>42.5260759053114</v>
      </c>
      <c r="FM17" s="19" t="n">
        <f aca="false">$B17+FM$3*100*$A17</f>
        <v>42.7010759053114</v>
      </c>
      <c r="FN17" s="19" t="n">
        <f aca="false">$B17+FN$3*100*$A17</f>
        <v>42.8760759053114</v>
      </c>
      <c r="FO17" s="19" t="n">
        <f aca="false">$B17+FO$3*100*$A17</f>
        <v>43.0510759053114</v>
      </c>
      <c r="FP17" s="19" t="n">
        <f aca="false">$B17+FP$3*100*$A17</f>
        <v>43.2260759053114</v>
      </c>
      <c r="FQ17" s="19" t="n">
        <f aca="false">$B17+FQ$3*100*$A17</f>
        <v>43.4010759053114</v>
      </c>
      <c r="FR17" s="19" t="n">
        <f aca="false">$B17+FR$3*100*$A17</f>
        <v>43.5760759053114</v>
      </c>
      <c r="FS17" s="19" t="n">
        <f aca="false">$B17+FS$3*100*$A17</f>
        <v>43.7510759053114</v>
      </c>
      <c r="FT17" s="19" t="n">
        <f aca="false">$B17+FT$3*100*$A17</f>
        <v>43.9260759053114</v>
      </c>
      <c r="FU17" s="19" t="n">
        <f aca="false">$B17+FU$3*100*$A17</f>
        <v>44.1010759053114</v>
      </c>
      <c r="FV17" s="19" t="n">
        <f aca="false">$B17+FV$3*100*$A17</f>
        <v>44.2760759053114</v>
      </c>
      <c r="FW17" s="19" t="n">
        <f aca="false">$B17+FW$3*100*$A17</f>
        <v>44.4510759053114</v>
      </c>
      <c r="FX17" s="19" t="n">
        <f aca="false">$B17+FX$3*100*$A17</f>
        <v>44.6260759053114</v>
      </c>
      <c r="FY17" s="19" t="n">
        <f aca="false">$B17+FY$3*100*$A17</f>
        <v>44.8010759053114</v>
      </c>
      <c r="FZ17" s="19" t="n">
        <f aca="false">$B17+FZ$3*100*$A17</f>
        <v>44.9760759053114</v>
      </c>
      <c r="GA17" s="19" t="n">
        <f aca="false">$B17+GA$3*100*$A17</f>
        <v>45.1510759053114</v>
      </c>
      <c r="GB17" s="19" t="n">
        <f aca="false">$B17+GB$3*100*$A17</f>
        <v>45.3260759053114</v>
      </c>
      <c r="GC17" s="19" t="n">
        <f aca="false">$B17+GC$3*100*$A17</f>
        <v>45.5010759053114</v>
      </c>
      <c r="GD17" s="19" t="n">
        <f aca="false">$B17+GD$3*100*$A17</f>
        <v>45.6760759053114</v>
      </c>
      <c r="GE17" s="19" t="n">
        <f aca="false">$B17+GE$3*100*$A17</f>
        <v>45.8510759053114</v>
      </c>
      <c r="GF17" s="19" t="n">
        <f aca="false">$B17+GF$3*100*$A17</f>
        <v>46.0260759053114</v>
      </c>
      <c r="GG17" s="19" t="n">
        <f aca="false">$B17+GG$3*100*$A17</f>
        <v>46.2010759053114</v>
      </c>
      <c r="GH17" s="19" t="n">
        <f aca="false">$B17+GH$3*100*$A17</f>
        <v>46.3760759053114</v>
      </c>
      <c r="GI17" s="19" t="n">
        <f aca="false">$B17+GI$3*100*$A17</f>
        <v>46.5510759053114</v>
      </c>
      <c r="GJ17" s="19" t="n">
        <f aca="false">$B17+GJ$3*100*$A17</f>
        <v>46.7260759053114</v>
      </c>
      <c r="GK17" s="19" t="n">
        <f aca="false">$B17+GK$3*100*$A17</f>
        <v>46.9010759053114</v>
      </c>
      <c r="GL17" s="19" t="n">
        <f aca="false">$B17+GL$3*100*$A17</f>
        <v>47.0760759053114</v>
      </c>
      <c r="GM17" s="19" t="n">
        <f aca="false">$B17+GM$3*100*$A17</f>
        <v>47.2510759053114</v>
      </c>
      <c r="GN17" s="19" t="n">
        <f aca="false">$B17+GN$3*100*$A17</f>
        <v>47.4260759053114</v>
      </c>
      <c r="GO17" s="19" t="n">
        <f aca="false">$B17+GO$3*100*$A17</f>
        <v>47.6010759053114</v>
      </c>
      <c r="GP17" s="19" t="n">
        <f aca="false">$B17+GP$3*100*$A17</f>
        <v>47.7760759053114</v>
      </c>
      <c r="GQ17" s="19" t="n">
        <f aca="false">$B17+GQ$3*100*$A17</f>
        <v>47.9510759053114</v>
      </c>
      <c r="GR17" s="19" t="n">
        <f aca="false">$B17+GR$3*100*$A17</f>
        <v>48.1260759053114</v>
      </c>
      <c r="GS17" s="19" t="n">
        <f aca="false">$B17+GS$3*100*$A17</f>
        <v>48.3010759053114</v>
      </c>
      <c r="GT17" s="19" t="n">
        <f aca="false">$B17+GT$3*100*$A17</f>
        <v>48.4760759053114</v>
      </c>
    </row>
    <row r="18" customFormat="false" ht="15" hidden="false" customHeight="false" outlineLevel="0" collapsed="false">
      <c r="A18" s="26" t="n">
        <f aca="false">Frontier!A16</f>
        <v>0.0375</v>
      </c>
      <c r="B18" s="34" t="n">
        <f aca="false">Frontier!B16</f>
        <v>12.9062766025807</v>
      </c>
      <c r="C18" s="19" t="n">
        <f aca="false">$B18+C$3*100*$A18</f>
        <v>13.0937766025807</v>
      </c>
      <c r="D18" s="19" t="n">
        <f aca="false">$B18+D$3*100*$A18</f>
        <v>13.2812766025807</v>
      </c>
      <c r="E18" s="19" t="n">
        <f aca="false">$B18+E$3*100*$A18</f>
        <v>13.4687766025807</v>
      </c>
      <c r="F18" s="19" t="n">
        <f aca="false">$B18+F$3*100*$A18</f>
        <v>13.6562766025807</v>
      </c>
      <c r="G18" s="19" t="n">
        <f aca="false">$B18+G$3*100*$A18</f>
        <v>13.8437766025807</v>
      </c>
      <c r="H18" s="19" t="n">
        <f aca="false">$B18+H$3*100*$A18</f>
        <v>14.0312766025807</v>
      </c>
      <c r="I18" s="19" t="n">
        <f aca="false">$B18+I$3*100*$A18</f>
        <v>14.2187766025807</v>
      </c>
      <c r="J18" s="19" t="n">
        <f aca="false">$B18+J$3*100*$A18</f>
        <v>14.4062766025807</v>
      </c>
      <c r="K18" s="19" t="n">
        <f aca="false">$B18+K$3*100*$A18</f>
        <v>14.5937766025807</v>
      </c>
      <c r="L18" s="19" t="n">
        <f aca="false">$B18+L$3*100*$A18</f>
        <v>14.7812766025807</v>
      </c>
      <c r="M18" s="19" t="n">
        <f aca="false">$B18+M$3*100*$A18</f>
        <v>14.9687766025807</v>
      </c>
      <c r="N18" s="19" t="n">
        <f aca="false">$B18+N$3*100*$A18</f>
        <v>15.1562766025807</v>
      </c>
      <c r="O18" s="19" t="n">
        <f aca="false">$B18+O$3*100*$A18</f>
        <v>15.3437766025807</v>
      </c>
      <c r="P18" s="19" t="n">
        <f aca="false">$B18+P$3*100*$A18</f>
        <v>15.5312766025807</v>
      </c>
      <c r="Q18" s="19" t="n">
        <f aca="false">$B18+Q$3*100*$A18</f>
        <v>15.7187766025807</v>
      </c>
      <c r="R18" s="19" t="n">
        <f aca="false">$B18+R$3*100*$A18</f>
        <v>15.9062766025807</v>
      </c>
      <c r="S18" s="19" t="n">
        <f aca="false">$B18+S$3*100*$A18</f>
        <v>16.0937766025807</v>
      </c>
      <c r="T18" s="19" t="n">
        <f aca="false">$B18+T$3*100*$A18</f>
        <v>16.2812766025807</v>
      </c>
      <c r="U18" s="19" t="n">
        <f aca="false">$B18+U$3*100*$A18</f>
        <v>16.4687766025807</v>
      </c>
      <c r="V18" s="19" t="n">
        <f aca="false">$B18+V$3*100*$A18</f>
        <v>16.6562766025807</v>
      </c>
      <c r="W18" s="19" t="n">
        <f aca="false">$B18+W$3*100*$A18</f>
        <v>16.8437766025807</v>
      </c>
      <c r="X18" s="19" t="n">
        <f aca="false">$B18+X$3*100*$A18</f>
        <v>17.0312766025807</v>
      </c>
      <c r="Y18" s="19" t="n">
        <f aca="false">$B18+Y$3*100*$A18</f>
        <v>17.2187766025807</v>
      </c>
      <c r="Z18" s="19" t="n">
        <f aca="false">$B18+Z$3*100*$A18</f>
        <v>17.4062766025807</v>
      </c>
      <c r="AA18" s="19" t="n">
        <f aca="false">$B18+AA$3*100*$A18</f>
        <v>17.5937766025807</v>
      </c>
      <c r="AB18" s="19" t="n">
        <f aca="false">$B18+AB$3*100*$A18</f>
        <v>17.7812766025807</v>
      </c>
      <c r="AC18" s="19" t="n">
        <f aca="false">$B18+AC$3*100*$A18</f>
        <v>17.9687766025807</v>
      </c>
      <c r="AD18" s="19" t="n">
        <f aca="false">$B18+AD$3*100*$A18</f>
        <v>18.1562766025807</v>
      </c>
      <c r="AE18" s="19" t="n">
        <f aca="false">$B18+AE$3*100*$A18</f>
        <v>18.3437766025807</v>
      </c>
      <c r="AF18" s="19" t="n">
        <f aca="false">$B18+AF$3*100*$A18</f>
        <v>18.5312766025807</v>
      </c>
      <c r="AG18" s="19" t="n">
        <f aca="false">$B18+AG$3*100*$A18</f>
        <v>18.7187766025807</v>
      </c>
      <c r="AH18" s="19" t="n">
        <f aca="false">$B18+AH$3*100*$A18</f>
        <v>18.9062766025807</v>
      </c>
      <c r="AI18" s="19" t="n">
        <f aca="false">$B18+AI$3*100*$A18</f>
        <v>19.0937766025807</v>
      </c>
      <c r="AJ18" s="19" t="n">
        <f aca="false">$B18+AJ$3*100*$A18</f>
        <v>19.2812766025807</v>
      </c>
      <c r="AK18" s="19" t="n">
        <f aca="false">$B18+AK$3*100*$A18</f>
        <v>19.4687766025807</v>
      </c>
      <c r="AL18" s="19" t="n">
        <f aca="false">$B18+AL$3*100*$A18</f>
        <v>19.6562766025807</v>
      </c>
      <c r="AM18" s="19" t="n">
        <f aca="false">$B18+AM$3*100*$A18</f>
        <v>19.8437766025807</v>
      </c>
      <c r="AN18" s="19" t="n">
        <f aca="false">$B18+AN$3*100*$A18</f>
        <v>20.0312766025807</v>
      </c>
      <c r="AO18" s="19" t="n">
        <f aca="false">$B18+AO$3*100*$A18</f>
        <v>20.2187766025807</v>
      </c>
      <c r="AP18" s="19" t="n">
        <f aca="false">$B18+AP$3*100*$A18</f>
        <v>20.4062766025807</v>
      </c>
      <c r="AQ18" s="19" t="n">
        <f aca="false">$B18+AQ$3*100*$A18</f>
        <v>20.5937766025807</v>
      </c>
      <c r="AR18" s="19" t="n">
        <f aca="false">$B18+AR$3*100*$A18</f>
        <v>20.7812766025807</v>
      </c>
      <c r="AS18" s="19" t="n">
        <f aca="false">$B18+AS$3*100*$A18</f>
        <v>20.9687766025807</v>
      </c>
      <c r="AT18" s="19" t="n">
        <f aca="false">$B18+AT$3*100*$A18</f>
        <v>21.1562766025807</v>
      </c>
      <c r="AU18" s="19" t="n">
        <f aca="false">$B18+AU$3*100*$A18</f>
        <v>21.3437766025807</v>
      </c>
      <c r="AV18" s="19" t="n">
        <f aca="false">$B18+AV$3*100*$A18</f>
        <v>21.5312766025807</v>
      </c>
      <c r="AW18" s="19" t="n">
        <f aca="false">$B18+AW$3*100*$A18</f>
        <v>21.7187766025807</v>
      </c>
      <c r="AX18" s="19" t="n">
        <f aca="false">$B18+AX$3*100*$A18</f>
        <v>21.9062766025807</v>
      </c>
      <c r="AY18" s="19" t="n">
        <f aca="false">$B18+AY$3*100*$A18</f>
        <v>22.0937766025807</v>
      </c>
      <c r="AZ18" s="19" t="n">
        <f aca="false">$B18+AZ$3*100*$A18</f>
        <v>22.2812766025807</v>
      </c>
      <c r="BA18" s="19" t="n">
        <f aca="false">$B18+BA$3*100*$A18</f>
        <v>22.4687766025807</v>
      </c>
      <c r="BB18" s="19" t="n">
        <f aca="false">$B18+BB$3*100*$A18</f>
        <v>22.6562766025807</v>
      </c>
      <c r="BC18" s="19" t="n">
        <f aca="false">$B18+BC$3*100*$A18</f>
        <v>22.8437766025807</v>
      </c>
      <c r="BD18" s="19" t="n">
        <f aca="false">$B18+BD$3*100*$A18</f>
        <v>23.0312766025807</v>
      </c>
      <c r="BE18" s="19" t="n">
        <f aca="false">$B18+BE$3*100*$A18</f>
        <v>23.2187766025807</v>
      </c>
      <c r="BF18" s="19" t="n">
        <f aca="false">$B18+BF$3*100*$A18</f>
        <v>23.4062766025807</v>
      </c>
      <c r="BG18" s="19" t="n">
        <f aca="false">$B18+BG$3*100*$A18</f>
        <v>23.5937766025807</v>
      </c>
      <c r="BH18" s="19" t="n">
        <f aca="false">$B18+BH$3*100*$A18</f>
        <v>23.7812766025807</v>
      </c>
      <c r="BI18" s="19" t="n">
        <f aca="false">$B18+BI$3*100*$A18</f>
        <v>23.9687766025807</v>
      </c>
      <c r="BJ18" s="19" t="n">
        <f aca="false">$B18+BJ$3*100*$A18</f>
        <v>24.1562766025807</v>
      </c>
      <c r="BK18" s="19" t="n">
        <f aca="false">$B18+BK$3*100*$A18</f>
        <v>24.3437766025807</v>
      </c>
      <c r="BL18" s="19" t="n">
        <f aca="false">$B18+BL$3*100*$A18</f>
        <v>24.5312766025807</v>
      </c>
      <c r="BM18" s="19" t="n">
        <f aca="false">$B18+BM$3*100*$A18</f>
        <v>24.7187766025807</v>
      </c>
      <c r="BN18" s="19" t="n">
        <f aca="false">$B18+BN$3*100*$A18</f>
        <v>24.9062766025807</v>
      </c>
      <c r="BO18" s="19" t="n">
        <f aca="false">$B18+BO$3*100*$A18</f>
        <v>25.0937766025807</v>
      </c>
      <c r="BP18" s="19" t="n">
        <f aca="false">$B18+BP$3*100*$A18</f>
        <v>25.2812766025807</v>
      </c>
      <c r="BQ18" s="19" t="n">
        <f aca="false">$B18+BQ$3*100*$A18</f>
        <v>25.4687766025807</v>
      </c>
      <c r="BR18" s="19" t="n">
        <f aca="false">$B18+BR$3*100*$A18</f>
        <v>25.6562766025807</v>
      </c>
      <c r="BS18" s="19" t="n">
        <f aca="false">$B18+BS$3*100*$A18</f>
        <v>25.8437766025807</v>
      </c>
      <c r="BT18" s="19" t="n">
        <f aca="false">$B18+BT$3*100*$A18</f>
        <v>26.0312766025807</v>
      </c>
      <c r="BU18" s="19" t="n">
        <f aca="false">$B18+BU$3*100*$A18</f>
        <v>26.2187766025807</v>
      </c>
      <c r="BV18" s="19" t="n">
        <f aca="false">$B18+BV$3*100*$A18</f>
        <v>26.4062766025807</v>
      </c>
      <c r="BW18" s="19" t="n">
        <f aca="false">$B18+BW$3*100*$A18</f>
        <v>26.5937766025807</v>
      </c>
      <c r="BX18" s="19" t="n">
        <f aca="false">$B18+BX$3*100*$A18</f>
        <v>26.7812766025807</v>
      </c>
      <c r="BY18" s="19" t="n">
        <f aca="false">$B18+BY$3*100*$A18</f>
        <v>26.9687766025807</v>
      </c>
      <c r="BZ18" s="19" t="n">
        <f aca="false">$B18+BZ$3*100*$A18</f>
        <v>27.1562766025807</v>
      </c>
      <c r="CA18" s="19" t="n">
        <f aca="false">$B18+CA$3*100*$A18</f>
        <v>27.3437766025807</v>
      </c>
      <c r="CB18" s="19" t="n">
        <f aca="false">$B18+CB$3*100*$A18</f>
        <v>27.5312766025807</v>
      </c>
      <c r="CC18" s="19" t="n">
        <f aca="false">$B18+CC$3*100*$A18</f>
        <v>27.7187766025807</v>
      </c>
      <c r="CD18" s="19" t="n">
        <f aca="false">$B18+CD$3*100*$A18</f>
        <v>27.9062766025807</v>
      </c>
      <c r="CE18" s="19" t="n">
        <f aca="false">$B18+CE$3*100*$A18</f>
        <v>28.0937766025807</v>
      </c>
      <c r="CF18" s="19" t="n">
        <f aca="false">$B18+CF$3*100*$A18</f>
        <v>28.2812766025807</v>
      </c>
      <c r="CG18" s="19" t="n">
        <f aca="false">$B18+CG$3*100*$A18</f>
        <v>28.4687766025807</v>
      </c>
      <c r="CH18" s="19" t="n">
        <f aca="false">$B18+CH$3*100*$A18</f>
        <v>28.6562766025807</v>
      </c>
      <c r="CI18" s="19" t="n">
        <f aca="false">$B18+CI$3*100*$A18</f>
        <v>28.8437766025807</v>
      </c>
      <c r="CJ18" s="19" t="n">
        <f aca="false">$B18+CJ$3*100*$A18</f>
        <v>29.0312766025807</v>
      </c>
      <c r="CK18" s="19" t="n">
        <f aca="false">$B18+CK$3*100*$A18</f>
        <v>29.2187766025807</v>
      </c>
      <c r="CL18" s="19" t="n">
        <f aca="false">$B18+CL$3*100*$A18</f>
        <v>29.4062766025807</v>
      </c>
      <c r="CM18" s="19" t="n">
        <f aca="false">$B18+CM$3*100*$A18</f>
        <v>29.5937766025807</v>
      </c>
      <c r="CN18" s="19" t="n">
        <f aca="false">$B18+CN$3*100*$A18</f>
        <v>29.7812766025807</v>
      </c>
      <c r="CO18" s="19" t="n">
        <f aca="false">$B18+CO$3*100*$A18</f>
        <v>29.9687766025807</v>
      </c>
      <c r="CP18" s="19" t="n">
        <f aca="false">$B18+CP$3*100*$A18</f>
        <v>30.1562766025807</v>
      </c>
      <c r="CQ18" s="19" t="n">
        <f aca="false">$B18+CQ$3*100*$A18</f>
        <v>30.3437766025807</v>
      </c>
      <c r="CR18" s="19" t="n">
        <f aca="false">$B18+CR$3*100*$A18</f>
        <v>30.5312766025807</v>
      </c>
      <c r="CS18" s="19" t="n">
        <f aca="false">$B18+CS$3*100*$A18</f>
        <v>30.7187766025807</v>
      </c>
      <c r="CT18" s="19" t="n">
        <f aca="false">$B18+CT$3*100*$A18</f>
        <v>30.9062766025807</v>
      </c>
      <c r="CU18" s="19" t="n">
        <f aca="false">$B18+CU$3*100*$A18</f>
        <v>31.0937766025807</v>
      </c>
      <c r="CV18" s="19" t="n">
        <f aca="false">$B18+CV$3*100*$A18</f>
        <v>31.2812766025807</v>
      </c>
      <c r="CW18" s="19" t="n">
        <f aca="false">$B18+CW$3*100*$A18</f>
        <v>31.4687766025807</v>
      </c>
      <c r="CX18" s="19" t="n">
        <f aca="false">$B18+CX$3*100*$A18</f>
        <v>31.6562766025807</v>
      </c>
      <c r="CY18" s="19" t="n">
        <f aca="false">$B18+CY$3*100*$A18</f>
        <v>31.8437766025807</v>
      </c>
      <c r="CZ18" s="19" t="n">
        <f aca="false">$B18+CZ$3*100*$A18</f>
        <v>32.0312766025807</v>
      </c>
      <c r="DA18" s="19" t="n">
        <f aca="false">$B18+DA$3*100*$A18</f>
        <v>32.2187766025807</v>
      </c>
      <c r="DB18" s="19" t="n">
        <f aca="false">$B18+DB$3*100*$A18</f>
        <v>32.4062766025807</v>
      </c>
      <c r="DC18" s="19" t="n">
        <f aca="false">$B18+DC$3*100*$A18</f>
        <v>32.5937766025807</v>
      </c>
      <c r="DD18" s="19" t="n">
        <f aca="false">$B18+DD$3*100*$A18</f>
        <v>32.7812766025807</v>
      </c>
      <c r="DE18" s="19" t="n">
        <f aca="false">$B18+DE$3*100*$A18</f>
        <v>32.9687766025807</v>
      </c>
      <c r="DF18" s="19" t="n">
        <f aca="false">$B18+DF$3*100*$A18</f>
        <v>33.1562766025807</v>
      </c>
      <c r="DG18" s="19" t="n">
        <f aca="false">$B18+DG$3*100*$A18</f>
        <v>33.3437766025807</v>
      </c>
      <c r="DH18" s="19" t="n">
        <f aca="false">$B18+DH$3*100*$A18</f>
        <v>33.5312766025807</v>
      </c>
      <c r="DI18" s="19" t="n">
        <f aca="false">$B18+DI$3*100*$A18</f>
        <v>33.7187766025807</v>
      </c>
      <c r="DJ18" s="19" t="n">
        <f aca="false">$B18+DJ$3*100*$A18</f>
        <v>33.9062766025807</v>
      </c>
      <c r="DK18" s="19" t="n">
        <f aca="false">$B18+DK$3*100*$A18</f>
        <v>34.0937766025807</v>
      </c>
      <c r="DL18" s="19" t="n">
        <f aca="false">$B18+DL$3*100*$A18</f>
        <v>34.2812766025807</v>
      </c>
      <c r="DM18" s="19" t="n">
        <f aca="false">$B18+DM$3*100*$A18</f>
        <v>34.4687766025807</v>
      </c>
      <c r="DN18" s="19" t="n">
        <f aca="false">$B18+DN$3*100*$A18</f>
        <v>34.6562766025807</v>
      </c>
      <c r="DO18" s="19" t="n">
        <f aca="false">$B18+DO$3*100*$A18</f>
        <v>34.8437766025807</v>
      </c>
      <c r="DP18" s="19" t="n">
        <f aca="false">$B18+DP$3*100*$A18</f>
        <v>35.0312766025807</v>
      </c>
      <c r="DQ18" s="19" t="n">
        <f aca="false">$B18+DQ$3*100*$A18</f>
        <v>35.2187766025807</v>
      </c>
      <c r="DR18" s="19" t="n">
        <f aca="false">$B18+DR$3*100*$A18</f>
        <v>35.4062766025807</v>
      </c>
      <c r="DS18" s="19" t="n">
        <f aca="false">$B18+DS$3*100*$A18</f>
        <v>35.5937766025807</v>
      </c>
      <c r="DT18" s="19" t="n">
        <f aca="false">$B18+DT$3*100*$A18</f>
        <v>35.7812766025807</v>
      </c>
      <c r="DU18" s="19" t="n">
        <f aca="false">$B18+DU$3*100*$A18</f>
        <v>35.9687766025807</v>
      </c>
      <c r="DV18" s="19" t="n">
        <f aca="false">$B18+DV$3*100*$A18</f>
        <v>36.1562766025807</v>
      </c>
      <c r="DW18" s="19" t="n">
        <f aca="false">$B18+DW$3*100*$A18</f>
        <v>36.3437766025807</v>
      </c>
      <c r="DX18" s="19" t="n">
        <f aca="false">$B18+DX$3*100*$A18</f>
        <v>36.5312766025807</v>
      </c>
      <c r="DY18" s="19" t="n">
        <f aca="false">$B18+DY$3*100*$A18</f>
        <v>36.7187766025807</v>
      </c>
      <c r="DZ18" s="19" t="n">
        <f aca="false">$B18+DZ$3*100*$A18</f>
        <v>36.9062766025807</v>
      </c>
      <c r="EA18" s="19" t="n">
        <f aca="false">$B18+EA$3*100*$A18</f>
        <v>37.0937766025807</v>
      </c>
      <c r="EB18" s="19" t="n">
        <f aca="false">$B18+EB$3*100*$A18</f>
        <v>37.2812766025807</v>
      </c>
      <c r="EC18" s="19" t="n">
        <f aca="false">$B18+EC$3*100*$A18</f>
        <v>37.4687766025807</v>
      </c>
      <c r="ED18" s="19" t="n">
        <f aca="false">$B18+ED$3*100*$A18</f>
        <v>37.6562766025807</v>
      </c>
      <c r="EE18" s="19" t="n">
        <f aca="false">$B18+EE$3*100*$A18</f>
        <v>37.8437766025807</v>
      </c>
      <c r="EF18" s="19" t="n">
        <f aca="false">$B18+EF$3*100*$A18</f>
        <v>38.0312766025807</v>
      </c>
      <c r="EG18" s="19" t="n">
        <f aca="false">$B18+EG$3*100*$A18</f>
        <v>38.2187766025807</v>
      </c>
      <c r="EH18" s="19" t="n">
        <f aca="false">$B18+EH$3*100*$A18</f>
        <v>38.4062766025807</v>
      </c>
      <c r="EI18" s="19" t="n">
        <f aca="false">$B18+EI$3*100*$A18</f>
        <v>38.5937766025807</v>
      </c>
      <c r="EJ18" s="19" t="n">
        <f aca="false">$B18+EJ$3*100*$A18</f>
        <v>38.7812766025807</v>
      </c>
      <c r="EK18" s="19" t="n">
        <f aca="false">$B18+EK$3*100*$A18</f>
        <v>38.9687766025807</v>
      </c>
      <c r="EL18" s="19" t="n">
        <f aca="false">$B18+EL$3*100*$A18</f>
        <v>39.1562766025807</v>
      </c>
      <c r="EM18" s="19" t="n">
        <f aca="false">$B18+EM$3*100*$A18</f>
        <v>39.3437766025807</v>
      </c>
      <c r="EN18" s="19" t="n">
        <f aca="false">$B18+EN$3*100*$A18</f>
        <v>39.5312766025807</v>
      </c>
      <c r="EO18" s="19" t="n">
        <f aca="false">$B18+EO$3*100*$A18</f>
        <v>39.7187766025807</v>
      </c>
      <c r="EP18" s="19" t="n">
        <f aca="false">$B18+EP$3*100*$A18</f>
        <v>39.9062766025807</v>
      </c>
      <c r="EQ18" s="19" t="n">
        <f aca="false">$B18+EQ$3*100*$A18</f>
        <v>40.0937766025807</v>
      </c>
      <c r="ER18" s="19" t="n">
        <f aca="false">$B18+ER$3*100*$A18</f>
        <v>40.2812766025807</v>
      </c>
      <c r="ES18" s="19" t="n">
        <f aca="false">$B18+ES$3*100*$A18</f>
        <v>40.4687766025807</v>
      </c>
      <c r="ET18" s="19" t="n">
        <f aca="false">$B18+ET$3*100*$A18</f>
        <v>40.6562766025807</v>
      </c>
      <c r="EU18" s="19" t="n">
        <f aca="false">$B18+EU$3*100*$A18</f>
        <v>40.8437766025807</v>
      </c>
      <c r="EV18" s="19" t="n">
        <f aca="false">$B18+EV$3*100*$A18</f>
        <v>41.0312766025807</v>
      </c>
      <c r="EW18" s="19" t="n">
        <f aca="false">$B18+EW$3*100*$A18</f>
        <v>41.2187766025807</v>
      </c>
      <c r="EX18" s="19" t="n">
        <f aca="false">$B18+EX$3*100*$A18</f>
        <v>41.4062766025807</v>
      </c>
      <c r="EY18" s="19" t="n">
        <f aca="false">$B18+EY$3*100*$A18</f>
        <v>41.5937766025807</v>
      </c>
      <c r="EZ18" s="19" t="n">
        <f aca="false">$B18+EZ$3*100*$A18</f>
        <v>41.7812766025807</v>
      </c>
      <c r="FA18" s="19" t="n">
        <f aca="false">$B18+FA$3*100*$A18</f>
        <v>41.9687766025807</v>
      </c>
      <c r="FB18" s="19" t="n">
        <f aca="false">$B18+FB$3*100*$A18</f>
        <v>42.1562766025807</v>
      </c>
      <c r="FC18" s="19" t="n">
        <f aca="false">$B18+FC$3*100*$A18</f>
        <v>42.3437766025807</v>
      </c>
      <c r="FD18" s="19" t="n">
        <f aca="false">$B18+FD$3*100*$A18</f>
        <v>42.5312766025807</v>
      </c>
      <c r="FE18" s="19" t="n">
        <f aca="false">$B18+FE$3*100*$A18</f>
        <v>42.7187766025807</v>
      </c>
      <c r="FF18" s="19" t="n">
        <f aca="false">$B18+FF$3*100*$A18</f>
        <v>42.9062766025807</v>
      </c>
      <c r="FG18" s="19" t="n">
        <f aca="false">$B18+FG$3*100*$A18</f>
        <v>43.0937766025807</v>
      </c>
      <c r="FH18" s="19" t="n">
        <f aca="false">$B18+FH$3*100*$A18</f>
        <v>43.2812766025807</v>
      </c>
      <c r="FI18" s="19" t="n">
        <f aca="false">$B18+FI$3*100*$A18</f>
        <v>43.4687766025807</v>
      </c>
      <c r="FJ18" s="19" t="n">
        <f aca="false">$B18+FJ$3*100*$A18</f>
        <v>43.6562766025807</v>
      </c>
      <c r="FK18" s="19" t="n">
        <f aca="false">$B18+FK$3*100*$A18</f>
        <v>43.8437766025807</v>
      </c>
      <c r="FL18" s="19" t="n">
        <f aca="false">$B18+FL$3*100*$A18</f>
        <v>44.0312766025807</v>
      </c>
      <c r="FM18" s="19" t="n">
        <f aca="false">$B18+FM$3*100*$A18</f>
        <v>44.2187766025807</v>
      </c>
      <c r="FN18" s="19" t="n">
        <f aca="false">$B18+FN$3*100*$A18</f>
        <v>44.4062766025807</v>
      </c>
      <c r="FO18" s="19" t="n">
        <f aca="false">$B18+FO$3*100*$A18</f>
        <v>44.5937766025807</v>
      </c>
      <c r="FP18" s="19" t="n">
        <f aca="false">$B18+FP$3*100*$A18</f>
        <v>44.7812766025807</v>
      </c>
      <c r="FQ18" s="19" t="n">
        <f aca="false">$B18+FQ$3*100*$A18</f>
        <v>44.9687766025807</v>
      </c>
      <c r="FR18" s="19" t="n">
        <f aca="false">$B18+FR$3*100*$A18</f>
        <v>45.1562766025807</v>
      </c>
      <c r="FS18" s="19" t="n">
        <f aca="false">$B18+FS$3*100*$A18</f>
        <v>45.3437766025807</v>
      </c>
      <c r="FT18" s="19" t="n">
        <f aca="false">$B18+FT$3*100*$A18</f>
        <v>45.5312766025807</v>
      </c>
      <c r="FU18" s="19" t="n">
        <f aca="false">$B18+FU$3*100*$A18</f>
        <v>45.7187766025807</v>
      </c>
      <c r="FV18" s="19" t="n">
        <f aca="false">$B18+FV$3*100*$A18</f>
        <v>45.9062766025807</v>
      </c>
      <c r="FW18" s="19" t="n">
        <f aca="false">$B18+FW$3*100*$A18</f>
        <v>46.0937766025807</v>
      </c>
      <c r="FX18" s="19" t="n">
        <f aca="false">$B18+FX$3*100*$A18</f>
        <v>46.2812766025807</v>
      </c>
      <c r="FY18" s="19" t="n">
        <f aca="false">$B18+FY$3*100*$A18</f>
        <v>46.4687766025807</v>
      </c>
      <c r="FZ18" s="19" t="n">
        <f aca="false">$B18+FZ$3*100*$A18</f>
        <v>46.6562766025807</v>
      </c>
      <c r="GA18" s="19" t="n">
        <f aca="false">$B18+GA$3*100*$A18</f>
        <v>46.8437766025807</v>
      </c>
      <c r="GB18" s="19" t="n">
        <f aca="false">$B18+GB$3*100*$A18</f>
        <v>47.0312766025807</v>
      </c>
      <c r="GC18" s="19" t="n">
        <f aca="false">$B18+GC$3*100*$A18</f>
        <v>47.2187766025807</v>
      </c>
      <c r="GD18" s="19" t="n">
        <f aca="false">$B18+GD$3*100*$A18</f>
        <v>47.4062766025807</v>
      </c>
      <c r="GE18" s="19" t="n">
        <f aca="false">$B18+GE$3*100*$A18</f>
        <v>47.5937766025807</v>
      </c>
      <c r="GF18" s="19" t="n">
        <f aca="false">$B18+GF$3*100*$A18</f>
        <v>47.7812766025807</v>
      </c>
      <c r="GG18" s="19" t="n">
        <f aca="false">$B18+GG$3*100*$A18</f>
        <v>47.9687766025807</v>
      </c>
      <c r="GH18" s="19" t="n">
        <f aca="false">$B18+GH$3*100*$A18</f>
        <v>48.1562766025807</v>
      </c>
      <c r="GI18" s="19" t="n">
        <f aca="false">$B18+GI$3*100*$A18</f>
        <v>48.3437766025807</v>
      </c>
      <c r="GJ18" s="19" t="n">
        <f aca="false">$B18+GJ$3*100*$A18</f>
        <v>48.5312766025807</v>
      </c>
      <c r="GK18" s="19" t="n">
        <f aca="false">$B18+GK$3*100*$A18</f>
        <v>48.7187766025807</v>
      </c>
      <c r="GL18" s="19" t="n">
        <f aca="false">$B18+GL$3*100*$A18</f>
        <v>48.9062766025807</v>
      </c>
      <c r="GM18" s="19" t="n">
        <f aca="false">$B18+GM$3*100*$A18</f>
        <v>49.0937766025807</v>
      </c>
      <c r="GN18" s="19" t="n">
        <f aca="false">$B18+GN$3*100*$A18</f>
        <v>49.2812766025807</v>
      </c>
      <c r="GO18" s="19" t="n">
        <f aca="false">$B18+GO$3*100*$A18</f>
        <v>49.4687766025807</v>
      </c>
      <c r="GP18" s="19" t="n">
        <f aca="false">$B18+GP$3*100*$A18</f>
        <v>49.6562766025807</v>
      </c>
      <c r="GQ18" s="19" t="n">
        <f aca="false">$B18+GQ$3*100*$A18</f>
        <v>49.8437766025807</v>
      </c>
      <c r="GR18" s="19" t="n">
        <f aca="false">$B18+GR$3*100*$A18</f>
        <v>50.0312766025807</v>
      </c>
      <c r="GS18" s="19" t="n">
        <f aca="false">$B18+GS$3*100*$A18</f>
        <v>50.2187766025807</v>
      </c>
      <c r="GT18" s="19" t="n">
        <f aca="false">$B18+GT$3*100*$A18</f>
        <v>50.4062766025807</v>
      </c>
    </row>
    <row r="19" customFormat="false" ht="15" hidden="false" customHeight="false" outlineLevel="0" collapsed="false">
      <c r="A19" s="26" t="n">
        <f aca="false">Frontier!A17</f>
        <v>0.04</v>
      </c>
      <c r="B19" s="34" t="n">
        <f aca="false">Frontier!B17</f>
        <v>12.3504575918471</v>
      </c>
      <c r="C19" s="19" t="n">
        <f aca="false">$B19+C$3*100*$A19</f>
        <v>12.5504575918471</v>
      </c>
      <c r="D19" s="19" t="n">
        <f aca="false">$B19+D$3*100*$A19</f>
        <v>12.7504575918471</v>
      </c>
      <c r="E19" s="19" t="n">
        <f aca="false">$B19+E$3*100*$A19</f>
        <v>12.9504575918471</v>
      </c>
      <c r="F19" s="19" t="n">
        <f aca="false">$B19+F$3*100*$A19</f>
        <v>13.1504575918471</v>
      </c>
      <c r="G19" s="19" t="n">
        <f aca="false">$B19+G$3*100*$A19</f>
        <v>13.3504575918471</v>
      </c>
      <c r="H19" s="19" t="n">
        <f aca="false">$B19+H$3*100*$A19</f>
        <v>13.5504575918471</v>
      </c>
      <c r="I19" s="19" t="n">
        <f aca="false">$B19+I$3*100*$A19</f>
        <v>13.7504575918471</v>
      </c>
      <c r="J19" s="19" t="n">
        <f aca="false">$B19+J$3*100*$A19</f>
        <v>13.9504575918471</v>
      </c>
      <c r="K19" s="19" t="n">
        <f aca="false">$B19+K$3*100*$A19</f>
        <v>14.1504575918471</v>
      </c>
      <c r="L19" s="19" t="n">
        <f aca="false">$B19+L$3*100*$A19</f>
        <v>14.3504575918471</v>
      </c>
      <c r="M19" s="19" t="n">
        <f aca="false">$B19+M$3*100*$A19</f>
        <v>14.5504575918471</v>
      </c>
      <c r="N19" s="19" t="n">
        <f aca="false">$B19+N$3*100*$A19</f>
        <v>14.7504575918471</v>
      </c>
      <c r="O19" s="19" t="n">
        <f aca="false">$B19+O$3*100*$A19</f>
        <v>14.9504575918471</v>
      </c>
      <c r="P19" s="19" t="n">
        <f aca="false">$B19+P$3*100*$A19</f>
        <v>15.1504575918471</v>
      </c>
      <c r="Q19" s="19" t="n">
        <f aca="false">$B19+Q$3*100*$A19</f>
        <v>15.3504575918471</v>
      </c>
      <c r="R19" s="19" t="n">
        <f aca="false">$B19+R$3*100*$A19</f>
        <v>15.5504575918471</v>
      </c>
      <c r="S19" s="19" t="n">
        <f aca="false">$B19+S$3*100*$A19</f>
        <v>15.7504575918471</v>
      </c>
      <c r="T19" s="19" t="n">
        <f aca="false">$B19+T$3*100*$A19</f>
        <v>15.9504575918471</v>
      </c>
      <c r="U19" s="19" t="n">
        <f aca="false">$B19+U$3*100*$A19</f>
        <v>16.1504575918471</v>
      </c>
      <c r="V19" s="19" t="n">
        <f aca="false">$B19+V$3*100*$A19</f>
        <v>16.3504575918471</v>
      </c>
      <c r="W19" s="19" t="n">
        <f aca="false">$B19+W$3*100*$A19</f>
        <v>16.5504575918471</v>
      </c>
      <c r="X19" s="19" t="n">
        <f aca="false">$B19+X$3*100*$A19</f>
        <v>16.7504575918471</v>
      </c>
      <c r="Y19" s="19" t="n">
        <f aca="false">$B19+Y$3*100*$A19</f>
        <v>16.9504575918471</v>
      </c>
      <c r="Z19" s="19" t="n">
        <f aca="false">$B19+Z$3*100*$A19</f>
        <v>17.1504575918471</v>
      </c>
      <c r="AA19" s="19" t="n">
        <f aca="false">$B19+AA$3*100*$A19</f>
        <v>17.3504575918471</v>
      </c>
      <c r="AB19" s="19" t="n">
        <f aca="false">$B19+AB$3*100*$A19</f>
        <v>17.5504575918471</v>
      </c>
      <c r="AC19" s="19" t="n">
        <f aca="false">$B19+AC$3*100*$A19</f>
        <v>17.7504575918471</v>
      </c>
      <c r="AD19" s="19" t="n">
        <f aca="false">$B19+AD$3*100*$A19</f>
        <v>17.9504575918471</v>
      </c>
      <c r="AE19" s="19" t="n">
        <f aca="false">$B19+AE$3*100*$A19</f>
        <v>18.1504575918471</v>
      </c>
      <c r="AF19" s="19" t="n">
        <f aca="false">$B19+AF$3*100*$A19</f>
        <v>18.3504575918471</v>
      </c>
      <c r="AG19" s="19" t="n">
        <f aca="false">$B19+AG$3*100*$A19</f>
        <v>18.5504575918471</v>
      </c>
      <c r="AH19" s="19" t="n">
        <f aca="false">$B19+AH$3*100*$A19</f>
        <v>18.7504575918471</v>
      </c>
      <c r="AI19" s="19" t="n">
        <f aca="false">$B19+AI$3*100*$A19</f>
        <v>18.9504575918471</v>
      </c>
      <c r="AJ19" s="19" t="n">
        <f aca="false">$B19+AJ$3*100*$A19</f>
        <v>19.1504575918471</v>
      </c>
      <c r="AK19" s="19" t="n">
        <f aca="false">$B19+AK$3*100*$A19</f>
        <v>19.3504575918471</v>
      </c>
      <c r="AL19" s="19" t="n">
        <f aca="false">$B19+AL$3*100*$A19</f>
        <v>19.5504575918471</v>
      </c>
      <c r="AM19" s="19" t="n">
        <f aca="false">$B19+AM$3*100*$A19</f>
        <v>19.7504575918471</v>
      </c>
      <c r="AN19" s="19" t="n">
        <f aca="false">$B19+AN$3*100*$A19</f>
        <v>19.9504575918471</v>
      </c>
      <c r="AO19" s="19" t="n">
        <f aca="false">$B19+AO$3*100*$A19</f>
        <v>20.1504575918471</v>
      </c>
      <c r="AP19" s="19" t="n">
        <f aca="false">$B19+AP$3*100*$A19</f>
        <v>20.3504575918471</v>
      </c>
      <c r="AQ19" s="19" t="n">
        <f aca="false">$B19+AQ$3*100*$A19</f>
        <v>20.5504575918471</v>
      </c>
      <c r="AR19" s="19" t="n">
        <f aca="false">$B19+AR$3*100*$A19</f>
        <v>20.7504575918471</v>
      </c>
      <c r="AS19" s="19" t="n">
        <f aca="false">$B19+AS$3*100*$A19</f>
        <v>20.9504575918471</v>
      </c>
      <c r="AT19" s="19" t="n">
        <f aca="false">$B19+AT$3*100*$A19</f>
        <v>21.1504575918471</v>
      </c>
      <c r="AU19" s="19" t="n">
        <f aca="false">$B19+AU$3*100*$A19</f>
        <v>21.3504575918471</v>
      </c>
      <c r="AV19" s="19" t="n">
        <f aca="false">$B19+AV$3*100*$A19</f>
        <v>21.5504575918471</v>
      </c>
      <c r="AW19" s="19" t="n">
        <f aca="false">$B19+AW$3*100*$A19</f>
        <v>21.7504575918471</v>
      </c>
      <c r="AX19" s="19" t="n">
        <f aca="false">$B19+AX$3*100*$A19</f>
        <v>21.9504575918471</v>
      </c>
      <c r="AY19" s="19" t="n">
        <f aca="false">$B19+AY$3*100*$A19</f>
        <v>22.1504575918471</v>
      </c>
      <c r="AZ19" s="19" t="n">
        <f aca="false">$B19+AZ$3*100*$A19</f>
        <v>22.3504575918471</v>
      </c>
      <c r="BA19" s="19" t="n">
        <f aca="false">$B19+BA$3*100*$A19</f>
        <v>22.5504575918471</v>
      </c>
      <c r="BB19" s="19" t="n">
        <f aca="false">$B19+BB$3*100*$A19</f>
        <v>22.7504575918471</v>
      </c>
      <c r="BC19" s="19" t="n">
        <f aca="false">$B19+BC$3*100*$A19</f>
        <v>22.9504575918471</v>
      </c>
      <c r="BD19" s="19" t="n">
        <f aca="false">$B19+BD$3*100*$A19</f>
        <v>23.1504575918471</v>
      </c>
      <c r="BE19" s="19" t="n">
        <f aca="false">$B19+BE$3*100*$A19</f>
        <v>23.3504575918471</v>
      </c>
      <c r="BF19" s="19" t="n">
        <f aca="false">$B19+BF$3*100*$A19</f>
        <v>23.5504575918471</v>
      </c>
      <c r="BG19" s="19" t="n">
        <f aca="false">$B19+BG$3*100*$A19</f>
        <v>23.7504575918471</v>
      </c>
      <c r="BH19" s="19" t="n">
        <f aca="false">$B19+BH$3*100*$A19</f>
        <v>23.9504575918471</v>
      </c>
      <c r="BI19" s="19" t="n">
        <f aca="false">$B19+BI$3*100*$A19</f>
        <v>24.1504575918471</v>
      </c>
      <c r="BJ19" s="19" t="n">
        <f aca="false">$B19+BJ$3*100*$A19</f>
        <v>24.3504575918471</v>
      </c>
      <c r="BK19" s="19" t="n">
        <f aca="false">$B19+BK$3*100*$A19</f>
        <v>24.5504575918471</v>
      </c>
      <c r="BL19" s="19" t="n">
        <f aca="false">$B19+BL$3*100*$A19</f>
        <v>24.7504575918471</v>
      </c>
      <c r="BM19" s="19" t="n">
        <f aca="false">$B19+BM$3*100*$A19</f>
        <v>24.9504575918471</v>
      </c>
      <c r="BN19" s="19" t="n">
        <f aca="false">$B19+BN$3*100*$A19</f>
        <v>25.1504575918471</v>
      </c>
      <c r="BO19" s="19" t="n">
        <f aca="false">$B19+BO$3*100*$A19</f>
        <v>25.3504575918471</v>
      </c>
      <c r="BP19" s="19" t="n">
        <f aca="false">$B19+BP$3*100*$A19</f>
        <v>25.5504575918471</v>
      </c>
      <c r="BQ19" s="19" t="n">
        <f aca="false">$B19+BQ$3*100*$A19</f>
        <v>25.7504575918471</v>
      </c>
      <c r="BR19" s="19" t="n">
        <f aca="false">$B19+BR$3*100*$A19</f>
        <v>25.9504575918471</v>
      </c>
      <c r="BS19" s="19" t="n">
        <f aca="false">$B19+BS$3*100*$A19</f>
        <v>26.1504575918471</v>
      </c>
      <c r="BT19" s="19" t="n">
        <f aca="false">$B19+BT$3*100*$A19</f>
        <v>26.3504575918471</v>
      </c>
      <c r="BU19" s="19" t="n">
        <f aca="false">$B19+BU$3*100*$A19</f>
        <v>26.5504575918471</v>
      </c>
      <c r="BV19" s="19" t="n">
        <f aca="false">$B19+BV$3*100*$A19</f>
        <v>26.7504575918471</v>
      </c>
      <c r="BW19" s="19" t="n">
        <f aca="false">$B19+BW$3*100*$A19</f>
        <v>26.9504575918471</v>
      </c>
      <c r="BX19" s="19" t="n">
        <f aca="false">$B19+BX$3*100*$A19</f>
        <v>27.1504575918471</v>
      </c>
      <c r="BY19" s="19" t="n">
        <f aca="false">$B19+BY$3*100*$A19</f>
        <v>27.3504575918471</v>
      </c>
      <c r="BZ19" s="19" t="n">
        <f aca="false">$B19+BZ$3*100*$A19</f>
        <v>27.5504575918471</v>
      </c>
      <c r="CA19" s="19" t="n">
        <f aca="false">$B19+CA$3*100*$A19</f>
        <v>27.7504575918471</v>
      </c>
      <c r="CB19" s="19" t="n">
        <f aca="false">$B19+CB$3*100*$A19</f>
        <v>27.9504575918471</v>
      </c>
      <c r="CC19" s="19" t="n">
        <f aca="false">$B19+CC$3*100*$A19</f>
        <v>28.1504575918471</v>
      </c>
      <c r="CD19" s="19" t="n">
        <f aca="false">$B19+CD$3*100*$A19</f>
        <v>28.3504575918471</v>
      </c>
      <c r="CE19" s="19" t="n">
        <f aca="false">$B19+CE$3*100*$A19</f>
        <v>28.5504575918471</v>
      </c>
      <c r="CF19" s="19" t="n">
        <f aca="false">$B19+CF$3*100*$A19</f>
        <v>28.7504575918471</v>
      </c>
      <c r="CG19" s="19" t="n">
        <f aca="false">$B19+CG$3*100*$A19</f>
        <v>28.9504575918471</v>
      </c>
      <c r="CH19" s="19" t="n">
        <f aca="false">$B19+CH$3*100*$A19</f>
        <v>29.1504575918471</v>
      </c>
      <c r="CI19" s="19" t="n">
        <f aca="false">$B19+CI$3*100*$A19</f>
        <v>29.3504575918471</v>
      </c>
      <c r="CJ19" s="19" t="n">
        <f aca="false">$B19+CJ$3*100*$A19</f>
        <v>29.5504575918471</v>
      </c>
      <c r="CK19" s="19" t="n">
        <f aca="false">$B19+CK$3*100*$A19</f>
        <v>29.7504575918471</v>
      </c>
      <c r="CL19" s="19" t="n">
        <f aca="false">$B19+CL$3*100*$A19</f>
        <v>29.9504575918471</v>
      </c>
      <c r="CM19" s="19" t="n">
        <f aca="false">$B19+CM$3*100*$A19</f>
        <v>30.1504575918471</v>
      </c>
      <c r="CN19" s="19" t="n">
        <f aca="false">$B19+CN$3*100*$A19</f>
        <v>30.3504575918471</v>
      </c>
      <c r="CO19" s="19" t="n">
        <f aca="false">$B19+CO$3*100*$A19</f>
        <v>30.5504575918471</v>
      </c>
      <c r="CP19" s="19" t="n">
        <f aca="false">$B19+CP$3*100*$A19</f>
        <v>30.7504575918471</v>
      </c>
      <c r="CQ19" s="19" t="n">
        <f aca="false">$B19+CQ$3*100*$A19</f>
        <v>30.9504575918471</v>
      </c>
      <c r="CR19" s="19" t="n">
        <f aca="false">$B19+CR$3*100*$A19</f>
        <v>31.1504575918471</v>
      </c>
      <c r="CS19" s="19" t="n">
        <f aca="false">$B19+CS$3*100*$A19</f>
        <v>31.3504575918471</v>
      </c>
      <c r="CT19" s="19" t="n">
        <f aca="false">$B19+CT$3*100*$A19</f>
        <v>31.5504575918471</v>
      </c>
      <c r="CU19" s="19" t="n">
        <f aca="false">$B19+CU$3*100*$A19</f>
        <v>31.7504575918471</v>
      </c>
      <c r="CV19" s="19" t="n">
        <f aca="false">$B19+CV$3*100*$A19</f>
        <v>31.9504575918471</v>
      </c>
      <c r="CW19" s="19" t="n">
        <f aca="false">$B19+CW$3*100*$A19</f>
        <v>32.1504575918471</v>
      </c>
      <c r="CX19" s="19" t="n">
        <f aca="false">$B19+CX$3*100*$A19</f>
        <v>32.3504575918471</v>
      </c>
      <c r="CY19" s="19" t="n">
        <f aca="false">$B19+CY$3*100*$A19</f>
        <v>32.5504575918471</v>
      </c>
      <c r="CZ19" s="19" t="n">
        <f aca="false">$B19+CZ$3*100*$A19</f>
        <v>32.7504575918471</v>
      </c>
      <c r="DA19" s="19" t="n">
        <f aca="false">$B19+DA$3*100*$A19</f>
        <v>32.9504575918471</v>
      </c>
      <c r="DB19" s="19" t="n">
        <f aca="false">$B19+DB$3*100*$A19</f>
        <v>33.1504575918471</v>
      </c>
      <c r="DC19" s="19" t="n">
        <f aca="false">$B19+DC$3*100*$A19</f>
        <v>33.3504575918471</v>
      </c>
      <c r="DD19" s="19" t="n">
        <f aca="false">$B19+DD$3*100*$A19</f>
        <v>33.5504575918471</v>
      </c>
      <c r="DE19" s="19" t="n">
        <f aca="false">$B19+DE$3*100*$A19</f>
        <v>33.7504575918471</v>
      </c>
      <c r="DF19" s="19" t="n">
        <f aca="false">$B19+DF$3*100*$A19</f>
        <v>33.9504575918471</v>
      </c>
      <c r="DG19" s="19" t="n">
        <f aca="false">$B19+DG$3*100*$A19</f>
        <v>34.1504575918471</v>
      </c>
      <c r="DH19" s="19" t="n">
        <f aca="false">$B19+DH$3*100*$A19</f>
        <v>34.3504575918471</v>
      </c>
      <c r="DI19" s="19" t="n">
        <f aca="false">$B19+DI$3*100*$A19</f>
        <v>34.5504575918471</v>
      </c>
      <c r="DJ19" s="19" t="n">
        <f aca="false">$B19+DJ$3*100*$A19</f>
        <v>34.7504575918471</v>
      </c>
      <c r="DK19" s="19" t="n">
        <f aca="false">$B19+DK$3*100*$A19</f>
        <v>34.9504575918471</v>
      </c>
      <c r="DL19" s="19" t="n">
        <f aca="false">$B19+DL$3*100*$A19</f>
        <v>35.1504575918471</v>
      </c>
      <c r="DM19" s="19" t="n">
        <f aca="false">$B19+DM$3*100*$A19</f>
        <v>35.3504575918471</v>
      </c>
      <c r="DN19" s="19" t="n">
        <f aca="false">$B19+DN$3*100*$A19</f>
        <v>35.5504575918471</v>
      </c>
      <c r="DO19" s="19" t="n">
        <f aca="false">$B19+DO$3*100*$A19</f>
        <v>35.7504575918471</v>
      </c>
      <c r="DP19" s="19" t="n">
        <f aca="false">$B19+DP$3*100*$A19</f>
        <v>35.9504575918471</v>
      </c>
      <c r="DQ19" s="19" t="n">
        <f aca="false">$B19+DQ$3*100*$A19</f>
        <v>36.1504575918471</v>
      </c>
      <c r="DR19" s="19" t="n">
        <f aca="false">$B19+DR$3*100*$A19</f>
        <v>36.3504575918471</v>
      </c>
      <c r="DS19" s="19" t="n">
        <f aca="false">$B19+DS$3*100*$A19</f>
        <v>36.5504575918471</v>
      </c>
      <c r="DT19" s="19" t="n">
        <f aca="false">$B19+DT$3*100*$A19</f>
        <v>36.7504575918471</v>
      </c>
      <c r="DU19" s="19" t="n">
        <f aca="false">$B19+DU$3*100*$A19</f>
        <v>36.9504575918471</v>
      </c>
      <c r="DV19" s="19" t="n">
        <f aca="false">$B19+DV$3*100*$A19</f>
        <v>37.1504575918471</v>
      </c>
      <c r="DW19" s="19" t="n">
        <f aca="false">$B19+DW$3*100*$A19</f>
        <v>37.3504575918471</v>
      </c>
      <c r="DX19" s="19" t="n">
        <f aca="false">$B19+DX$3*100*$A19</f>
        <v>37.5504575918471</v>
      </c>
      <c r="DY19" s="19" t="n">
        <f aca="false">$B19+DY$3*100*$A19</f>
        <v>37.7504575918471</v>
      </c>
      <c r="DZ19" s="19" t="n">
        <f aca="false">$B19+DZ$3*100*$A19</f>
        <v>37.9504575918471</v>
      </c>
      <c r="EA19" s="19" t="n">
        <f aca="false">$B19+EA$3*100*$A19</f>
        <v>38.1504575918471</v>
      </c>
      <c r="EB19" s="19" t="n">
        <f aca="false">$B19+EB$3*100*$A19</f>
        <v>38.3504575918471</v>
      </c>
      <c r="EC19" s="19" t="n">
        <f aca="false">$B19+EC$3*100*$A19</f>
        <v>38.5504575918471</v>
      </c>
      <c r="ED19" s="19" t="n">
        <f aca="false">$B19+ED$3*100*$A19</f>
        <v>38.7504575918471</v>
      </c>
      <c r="EE19" s="19" t="n">
        <f aca="false">$B19+EE$3*100*$A19</f>
        <v>38.9504575918471</v>
      </c>
      <c r="EF19" s="19" t="n">
        <f aca="false">$B19+EF$3*100*$A19</f>
        <v>39.1504575918471</v>
      </c>
      <c r="EG19" s="19" t="n">
        <f aca="false">$B19+EG$3*100*$A19</f>
        <v>39.3504575918471</v>
      </c>
      <c r="EH19" s="19" t="n">
        <f aca="false">$B19+EH$3*100*$A19</f>
        <v>39.5504575918471</v>
      </c>
      <c r="EI19" s="19" t="n">
        <f aca="false">$B19+EI$3*100*$A19</f>
        <v>39.7504575918471</v>
      </c>
      <c r="EJ19" s="19" t="n">
        <f aca="false">$B19+EJ$3*100*$A19</f>
        <v>39.9504575918471</v>
      </c>
      <c r="EK19" s="19" t="n">
        <f aca="false">$B19+EK$3*100*$A19</f>
        <v>40.1504575918471</v>
      </c>
      <c r="EL19" s="19" t="n">
        <f aca="false">$B19+EL$3*100*$A19</f>
        <v>40.3504575918471</v>
      </c>
      <c r="EM19" s="19" t="n">
        <f aca="false">$B19+EM$3*100*$A19</f>
        <v>40.5504575918471</v>
      </c>
      <c r="EN19" s="19" t="n">
        <f aca="false">$B19+EN$3*100*$A19</f>
        <v>40.7504575918471</v>
      </c>
      <c r="EO19" s="19" t="n">
        <f aca="false">$B19+EO$3*100*$A19</f>
        <v>40.9504575918471</v>
      </c>
      <c r="EP19" s="19" t="n">
        <f aca="false">$B19+EP$3*100*$A19</f>
        <v>41.1504575918471</v>
      </c>
      <c r="EQ19" s="19" t="n">
        <f aca="false">$B19+EQ$3*100*$A19</f>
        <v>41.3504575918471</v>
      </c>
      <c r="ER19" s="19" t="n">
        <f aca="false">$B19+ER$3*100*$A19</f>
        <v>41.5504575918471</v>
      </c>
      <c r="ES19" s="19" t="n">
        <f aca="false">$B19+ES$3*100*$A19</f>
        <v>41.7504575918471</v>
      </c>
      <c r="ET19" s="19" t="n">
        <f aca="false">$B19+ET$3*100*$A19</f>
        <v>41.9504575918471</v>
      </c>
      <c r="EU19" s="19" t="n">
        <f aca="false">$B19+EU$3*100*$A19</f>
        <v>42.1504575918471</v>
      </c>
      <c r="EV19" s="19" t="n">
        <f aca="false">$B19+EV$3*100*$A19</f>
        <v>42.3504575918471</v>
      </c>
      <c r="EW19" s="19" t="n">
        <f aca="false">$B19+EW$3*100*$A19</f>
        <v>42.5504575918471</v>
      </c>
      <c r="EX19" s="19" t="n">
        <f aca="false">$B19+EX$3*100*$A19</f>
        <v>42.7504575918471</v>
      </c>
      <c r="EY19" s="19" t="n">
        <f aca="false">$B19+EY$3*100*$A19</f>
        <v>42.9504575918471</v>
      </c>
      <c r="EZ19" s="19" t="n">
        <f aca="false">$B19+EZ$3*100*$A19</f>
        <v>43.1504575918471</v>
      </c>
      <c r="FA19" s="19" t="n">
        <f aca="false">$B19+FA$3*100*$A19</f>
        <v>43.3504575918471</v>
      </c>
      <c r="FB19" s="19" t="n">
        <f aca="false">$B19+FB$3*100*$A19</f>
        <v>43.5504575918471</v>
      </c>
      <c r="FC19" s="19" t="n">
        <f aca="false">$B19+FC$3*100*$A19</f>
        <v>43.7504575918471</v>
      </c>
      <c r="FD19" s="19" t="n">
        <f aca="false">$B19+FD$3*100*$A19</f>
        <v>43.9504575918471</v>
      </c>
      <c r="FE19" s="19" t="n">
        <f aca="false">$B19+FE$3*100*$A19</f>
        <v>44.1504575918471</v>
      </c>
      <c r="FF19" s="19" t="n">
        <f aca="false">$B19+FF$3*100*$A19</f>
        <v>44.3504575918471</v>
      </c>
      <c r="FG19" s="19" t="n">
        <f aca="false">$B19+FG$3*100*$A19</f>
        <v>44.5504575918471</v>
      </c>
      <c r="FH19" s="19" t="n">
        <f aca="false">$B19+FH$3*100*$A19</f>
        <v>44.7504575918471</v>
      </c>
      <c r="FI19" s="19" t="n">
        <f aca="false">$B19+FI$3*100*$A19</f>
        <v>44.9504575918471</v>
      </c>
      <c r="FJ19" s="19" t="n">
        <f aca="false">$B19+FJ$3*100*$A19</f>
        <v>45.1504575918471</v>
      </c>
      <c r="FK19" s="19" t="n">
        <f aca="false">$B19+FK$3*100*$A19</f>
        <v>45.3504575918471</v>
      </c>
      <c r="FL19" s="19" t="n">
        <f aca="false">$B19+FL$3*100*$A19</f>
        <v>45.5504575918471</v>
      </c>
      <c r="FM19" s="19" t="n">
        <f aca="false">$B19+FM$3*100*$A19</f>
        <v>45.7504575918471</v>
      </c>
      <c r="FN19" s="19" t="n">
        <f aca="false">$B19+FN$3*100*$A19</f>
        <v>45.9504575918471</v>
      </c>
      <c r="FO19" s="19" t="n">
        <f aca="false">$B19+FO$3*100*$A19</f>
        <v>46.1504575918471</v>
      </c>
      <c r="FP19" s="19" t="n">
        <f aca="false">$B19+FP$3*100*$A19</f>
        <v>46.3504575918471</v>
      </c>
      <c r="FQ19" s="19" t="n">
        <f aca="false">$B19+FQ$3*100*$A19</f>
        <v>46.5504575918471</v>
      </c>
      <c r="FR19" s="19" t="n">
        <f aca="false">$B19+FR$3*100*$A19</f>
        <v>46.7504575918471</v>
      </c>
      <c r="FS19" s="19" t="n">
        <f aca="false">$B19+FS$3*100*$A19</f>
        <v>46.9504575918471</v>
      </c>
      <c r="FT19" s="19" t="n">
        <f aca="false">$B19+FT$3*100*$A19</f>
        <v>47.1504575918471</v>
      </c>
      <c r="FU19" s="19" t="n">
        <f aca="false">$B19+FU$3*100*$A19</f>
        <v>47.3504575918471</v>
      </c>
      <c r="FV19" s="19" t="n">
        <f aca="false">$B19+FV$3*100*$A19</f>
        <v>47.5504575918471</v>
      </c>
      <c r="FW19" s="19" t="n">
        <f aca="false">$B19+FW$3*100*$A19</f>
        <v>47.7504575918471</v>
      </c>
      <c r="FX19" s="19" t="n">
        <f aca="false">$B19+FX$3*100*$A19</f>
        <v>47.9504575918471</v>
      </c>
      <c r="FY19" s="19" t="n">
        <f aca="false">$B19+FY$3*100*$A19</f>
        <v>48.1504575918471</v>
      </c>
      <c r="FZ19" s="19" t="n">
        <f aca="false">$B19+FZ$3*100*$A19</f>
        <v>48.3504575918471</v>
      </c>
      <c r="GA19" s="19" t="n">
        <f aca="false">$B19+GA$3*100*$A19</f>
        <v>48.5504575918471</v>
      </c>
      <c r="GB19" s="19" t="n">
        <f aca="false">$B19+GB$3*100*$A19</f>
        <v>48.7504575918471</v>
      </c>
      <c r="GC19" s="19" t="n">
        <f aca="false">$B19+GC$3*100*$A19</f>
        <v>48.9504575918471</v>
      </c>
      <c r="GD19" s="19" t="n">
        <f aca="false">$B19+GD$3*100*$A19</f>
        <v>49.1504575918471</v>
      </c>
      <c r="GE19" s="19" t="n">
        <f aca="false">$B19+GE$3*100*$A19</f>
        <v>49.3504575918471</v>
      </c>
      <c r="GF19" s="19" t="n">
        <f aca="false">$B19+GF$3*100*$A19</f>
        <v>49.5504575918471</v>
      </c>
      <c r="GG19" s="19" t="n">
        <f aca="false">$B19+GG$3*100*$A19</f>
        <v>49.7504575918471</v>
      </c>
      <c r="GH19" s="19" t="n">
        <f aca="false">$B19+GH$3*100*$A19</f>
        <v>49.9504575918471</v>
      </c>
      <c r="GI19" s="19" t="n">
        <f aca="false">$B19+GI$3*100*$A19</f>
        <v>50.1504575918471</v>
      </c>
      <c r="GJ19" s="19" t="n">
        <f aca="false">$B19+GJ$3*100*$A19</f>
        <v>50.3504575918471</v>
      </c>
      <c r="GK19" s="19" t="n">
        <f aca="false">$B19+GK$3*100*$A19</f>
        <v>50.5504575918471</v>
      </c>
      <c r="GL19" s="19" t="n">
        <f aca="false">$B19+GL$3*100*$A19</f>
        <v>50.7504575918471</v>
      </c>
      <c r="GM19" s="19" t="n">
        <f aca="false">$B19+GM$3*100*$A19</f>
        <v>50.9504575918471</v>
      </c>
      <c r="GN19" s="19" t="n">
        <f aca="false">$B19+GN$3*100*$A19</f>
        <v>51.1504575918471</v>
      </c>
      <c r="GO19" s="19" t="n">
        <f aca="false">$B19+GO$3*100*$A19</f>
        <v>51.3504575918471</v>
      </c>
      <c r="GP19" s="19" t="n">
        <f aca="false">$B19+GP$3*100*$A19</f>
        <v>51.5504575918471</v>
      </c>
      <c r="GQ19" s="19" t="n">
        <f aca="false">$B19+GQ$3*100*$A19</f>
        <v>51.7504575918471</v>
      </c>
      <c r="GR19" s="19" t="n">
        <f aca="false">$B19+GR$3*100*$A19</f>
        <v>51.9504575918471</v>
      </c>
      <c r="GS19" s="19" t="n">
        <f aca="false">$B19+GS$3*100*$A19</f>
        <v>52.1504575918471</v>
      </c>
      <c r="GT19" s="19" t="n">
        <f aca="false">$B19+GT$3*100*$A19</f>
        <v>52.3504575918471</v>
      </c>
    </row>
    <row r="20" customFormat="false" ht="15" hidden="false" customHeight="false" outlineLevel="0" collapsed="false">
      <c r="A20" s="26" t="n">
        <f aca="false">Frontier!A18</f>
        <v>0.0425</v>
      </c>
      <c r="B20" s="34" t="n">
        <f aca="false">Frontier!B18</f>
        <v>11.8648465307387</v>
      </c>
      <c r="C20" s="19" t="n">
        <f aca="false">$B20+C$3*100*$A20</f>
        <v>12.0773465307387</v>
      </c>
      <c r="D20" s="19" t="n">
        <f aca="false">$B20+D$3*100*$A20</f>
        <v>12.2898465307387</v>
      </c>
      <c r="E20" s="19" t="n">
        <f aca="false">$B20+E$3*100*$A20</f>
        <v>12.5023465307387</v>
      </c>
      <c r="F20" s="19" t="n">
        <f aca="false">$B20+F$3*100*$A20</f>
        <v>12.7148465307387</v>
      </c>
      <c r="G20" s="19" t="n">
        <f aca="false">$B20+G$3*100*$A20</f>
        <v>12.9273465307387</v>
      </c>
      <c r="H20" s="19" t="n">
        <f aca="false">$B20+H$3*100*$A20</f>
        <v>13.1398465307387</v>
      </c>
      <c r="I20" s="19" t="n">
        <f aca="false">$B20+I$3*100*$A20</f>
        <v>13.3523465307387</v>
      </c>
      <c r="J20" s="19" t="n">
        <f aca="false">$B20+J$3*100*$A20</f>
        <v>13.5648465307387</v>
      </c>
      <c r="K20" s="19" t="n">
        <f aca="false">$B20+K$3*100*$A20</f>
        <v>13.7773465307387</v>
      </c>
      <c r="L20" s="19" t="n">
        <f aca="false">$B20+L$3*100*$A20</f>
        <v>13.9898465307387</v>
      </c>
      <c r="M20" s="19" t="n">
        <f aca="false">$B20+M$3*100*$A20</f>
        <v>14.2023465307387</v>
      </c>
      <c r="N20" s="19" t="n">
        <f aca="false">$B20+N$3*100*$A20</f>
        <v>14.4148465307387</v>
      </c>
      <c r="O20" s="19" t="n">
        <f aca="false">$B20+O$3*100*$A20</f>
        <v>14.6273465307387</v>
      </c>
      <c r="P20" s="19" t="n">
        <f aca="false">$B20+P$3*100*$A20</f>
        <v>14.8398465307387</v>
      </c>
      <c r="Q20" s="19" t="n">
        <f aca="false">$B20+Q$3*100*$A20</f>
        <v>15.0523465307387</v>
      </c>
      <c r="R20" s="19" t="n">
        <f aca="false">$B20+R$3*100*$A20</f>
        <v>15.2648465307387</v>
      </c>
      <c r="S20" s="19" t="n">
        <f aca="false">$B20+S$3*100*$A20</f>
        <v>15.4773465307387</v>
      </c>
      <c r="T20" s="19" t="n">
        <f aca="false">$B20+T$3*100*$A20</f>
        <v>15.6898465307387</v>
      </c>
      <c r="U20" s="19" t="n">
        <f aca="false">$B20+U$3*100*$A20</f>
        <v>15.9023465307387</v>
      </c>
      <c r="V20" s="19" t="n">
        <f aca="false">$B20+V$3*100*$A20</f>
        <v>16.1148465307387</v>
      </c>
      <c r="W20" s="19" t="n">
        <f aca="false">$B20+W$3*100*$A20</f>
        <v>16.3273465307387</v>
      </c>
      <c r="X20" s="19" t="n">
        <f aca="false">$B20+X$3*100*$A20</f>
        <v>16.5398465307387</v>
      </c>
      <c r="Y20" s="19" t="n">
        <f aca="false">$B20+Y$3*100*$A20</f>
        <v>16.7523465307387</v>
      </c>
      <c r="Z20" s="19" t="n">
        <f aca="false">$B20+Z$3*100*$A20</f>
        <v>16.9648465307387</v>
      </c>
      <c r="AA20" s="19" t="n">
        <f aca="false">$B20+AA$3*100*$A20</f>
        <v>17.1773465307387</v>
      </c>
      <c r="AB20" s="19" t="n">
        <f aca="false">$B20+AB$3*100*$A20</f>
        <v>17.3898465307387</v>
      </c>
      <c r="AC20" s="19" t="n">
        <f aca="false">$B20+AC$3*100*$A20</f>
        <v>17.6023465307387</v>
      </c>
      <c r="AD20" s="19" t="n">
        <f aca="false">$B20+AD$3*100*$A20</f>
        <v>17.8148465307387</v>
      </c>
      <c r="AE20" s="19" t="n">
        <f aca="false">$B20+AE$3*100*$A20</f>
        <v>18.0273465307387</v>
      </c>
      <c r="AF20" s="19" t="n">
        <f aca="false">$B20+AF$3*100*$A20</f>
        <v>18.2398465307387</v>
      </c>
      <c r="AG20" s="19" t="n">
        <f aca="false">$B20+AG$3*100*$A20</f>
        <v>18.4523465307387</v>
      </c>
      <c r="AH20" s="19" t="n">
        <f aca="false">$B20+AH$3*100*$A20</f>
        <v>18.6648465307387</v>
      </c>
      <c r="AI20" s="19" t="n">
        <f aca="false">$B20+AI$3*100*$A20</f>
        <v>18.8773465307387</v>
      </c>
      <c r="AJ20" s="19" t="n">
        <f aca="false">$B20+AJ$3*100*$A20</f>
        <v>19.0898465307387</v>
      </c>
      <c r="AK20" s="19" t="n">
        <f aca="false">$B20+AK$3*100*$A20</f>
        <v>19.3023465307387</v>
      </c>
      <c r="AL20" s="19" t="n">
        <f aca="false">$B20+AL$3*100*$A20</f>
        <v>19.5148465307387</v>
      </c>
      <c r="AM20" s="19" t="n">
        <f aca="false">$B20+AM$3*100*$A20</f>
        <v>19.7273465307387</v>
      </c>
      <c r="AN20" s="19" t="n">
        <f aca="false">$B20+AN$3*100*$A20</f>
        <v>19.9398465307387</v>
      </c>
      <c r="AO20" s="19" t="n">
        <f aca="false">$B20+AO$3*100*$A20</f>
        <v>20.1523465307387</v>
      </c>
      <c r="AP20" s="19" t="n">
        <f aca="false">$B20+AP$3*100*$A20</f>
        <v>20.3648465307387</v>
      </c>
      <c r="AQ20" s="19" t="n">
        <f aca="false">$B20+AQ$3*100*$A20</f>
        <v>20.5773465307387</v>
      </c>
      <c r="AR20" s="19" t="n">
        <f aca="false">$B20+AR$3*100*$A20</f>
        <v>20.7898465307387</v>
      </c>
      <c r="AS20" s="19" t="n">
        <f aca="false">$B20+AS$3*100*$A20</f>
        <v>21.0023465307387</v>
      </c>
      <c r="AT20" s="19" t="n">
        <f aca="false">$B20+AT$3*100*$A20</f>
        <v>21.2148465307387</v>
      </c>
      <c r="AU20" s="19" t="n">
        <f aca="false">$B20+AU$3*100*$A20</f>
        <v>21.4273465307387</v>
      </c>
      <c r="AV20" s="19" t="n">
        <f aca="false">$B20+AV$3*100*$A20</f>
        <v>21.6398465307387</v>
      </c>
      <c r="AW20" s="19" t="n">
        <f aca="false">$B20+AW$3*100*$A20</f>
        <v>21.8523465307387</v>
      </c>
      <c r="AX20" s="19" t="n">
        <f aca="false">$B20+AX$3*100*$A20</f>
        <v>22.0648465307387</v>
      </c>
      <c r="AY20" s="19" t="n">
        <f aca="false">$B20+AY$3*100*$A20</f>
        <v>22.2773465307387</v>
      </c>
      <c r="AZ20" s="19" t="n">
        <f aca="false">$B20+AZ$3*100*$A20</f>
        <v>22.4898465307387</v>
      </c>
      <c r="BA20" s="19" t="n">
        <f aca="false">$B20+BA$3*100*$A20</f>
        <v>22.7023465307387</v>
      </c>
      <c r="BB20" s="19" t="n">
        <f aca="false">$B20+BB$3*100*$A20</f>
        <v>22.9148465307387</v>
      </c>
      <c r="BC20" s="19" t="n">
        <f aca="false">$B20+BC$3*100*$A20</f>
        <v>23.1273465307387</v>
      </c>
      <c r="BD20" s="19" t="n">
        <f aca="false">$B20+BD$3*100*$A20</f>
        <v>23.3398465307387</v>
      </c>
      <c r="BE20" s="19" t="n">
        <f aca="false">$B20+BE$3*100*$A20</f>
        <v>23.5523465307387</v>
      </c>
      <c r="BF20" s="19" t="n">
        <f aca="false">$B20+BF$3*100*$A20</f>
        <v>23.7648465307387</v>
      </c>
      <c r="BG20" s="19" t="n">
        <f aca="false">$B20+BG$3*100*$A20</f>
        <v>23.9773465307387</v>
      </c>
      <c r="BH20" s="19" t="n">
        <f aca="false">$B20+BH$3*100*$A20</f>
        <v>24.1898465307387</v>
      </c>
      <c r="BI20" s="19" t="n">
        <f aca="false">$B20+BI$3*100*$A20</f>
        <v>24.4023465307387</v>
      </c>
      <c r="BJ20" s="19" t="n">
        <f aca="false">$B20+BJ$3*100*$A20</f>
        <v>24.6148465307387</v>
      </c>
      <c r="BK20" s="19" t="n">
        <f aca="false">$B20+BK$3*100*$A20</f>
        <v>24.8273465307387</v>
      </c>
      <c r="BL20" s="19" t="n">
        <f aca="false">$B20+BL$3*100*$A20</f>
        <v>25.0398465307387</v>
      </c>
      <c r="BM20" s="19" t="n">
        <f aca="false">$B20+BM$3*100*$A20</f>
        <v>25.2523465307387</v>
      </c>
      <c r="BN20" s="19" t="n">
        <f aca="false">$B20+BN$3*100*$A20</f>
        <v>25.4648465307387</v>
      </c>
      <c r="BO20" s="19" t="n">
        <f aca="false">$B20+BO$3*100*$A20</f>
        <v>25.6773465307387</v>
      </c>
      <c r="BP20" s="19" t="n">
        <f aca="false">$B20+BP$3*100*$A20</f>
        <v>25.8898465307387</v>
      </c>
      <c r="BQ20" s="19" t="n">
        <f aca="false">$B20+BQ$3*100*$A20</f>
        <v>26.1023465307387</v>
      </c>
      <c r="BR20" s="19" t="n">
        <f aca="false">$B20+BR$3*100*$A20</f>
        <v>26.3148465307387</v>
      </c>
      <c r="BS20" s="19" t="n">
        <f aca="false">$B20+BS$3*100*$A20</f>
        <v>26.5273465307387</v>
      </c>
      <c r="BT20" s="19" t="n">
        <f aca="false">$B20+BT$3*100*$A20</f>
        <v>26.7398465307387</v>
      </c>
      <c r="BU20" s="19" t="n">
        <f aca="false">$B20+BU$3*100*$A20</f>
        <v>26.9523465307387</v>
      </c>
      <c r="BV20" s="19" t="n">
        <f aca="false">$B20+BV$3*100*$A20</f>
        <v>27.1648465307387</v>
      </c>
      <c r="BW20" s="19" t="n">
        <f aca="false">$B20+BW$3*100*$A20</f>
        <v>27.3773465307387</v>
      </c>
      <c r="BX20" s="19" t="n">
        <f aca="false">$B20+BX$3*100*$A20</f>
        <v>27.5898465307387</v>
      </c>
      <c r="BY20" s="19" t="n">
        <f aca="false">$B20+BY$3*100*$A20</f>
        <v>27.8023465307387</v>
      </c>
      <c r="BZ20" s="19" t="n">
        <f aca="false">$B20+BZ$3*100*$A20</f>
        <v>28.0148465307387</v>
      </c>
      <c r="CA20" s="19" t="n">
        <f aca="false">$B20+CA$3*100*$A20</f>
        <v>28.2273465307387</v>
      </c>
      <c r="CB20" s="19" t="n">
        <f aca="false">$B20+CB$3*100*$A20</f>
        <v>28.4398465307387</v>
      </c>
      <c r="CC20" s="19" t="n">
        <f aca="false">$B20+CC$3*100*$A20</f>
        <v>28.6523465307387</v>
      </c>
      <c r="CD20" s="19" t="n">
        <f aca="false">$B20+CD$3*100*$A20</f>
        <v>28.8648465307387</v>
      </c>
      <c r="CE20" s="19" t="n">
        <f aca="false">$B20+CE$3*100*$A20</f>
        <v>29.0773465307387</v>
      </c>
      <c r="CF20" s="19" t="n">
        <f aca="false">$B20+CF$3*100*$A20</f>
        <v>29.2898465307387</v>
      </c>
      <c r="CG20" s="19" t="n">
        <f aca="false">$B20+CG$3*100*$A20</f>
        <v>29.5023465307387</v>
      </c>
      <c r="CH20" s="19" t="n">
        <f aca="false">$B20+CH$3*100*$A20</f>
        <v>29.7148465307387</v>
      </c>
      <c r="CI20" s="19" t="n">
        <f aca="false">$B20+CI$3*100*$A20</f>
        <v>29.9273465307387</v>
      </c>
      <c r="CJ20" s="19" t="n">
        <f aca="false">$B20+CJ$3*100*$A20</f>
        <v>30.1398465307387</v>
      </c>
      <c r="CK20" s="19" t="n">
        <f aca="false">$B20+CK$3*100*$A20</f>
        <v>30.3523465307387</v>
      </c>
      <c r="CL20" s="19" t="n">
        <f aca="false">$B20+CL$3*100*$A20</f>
        <v>30.5648465307387</v>
      </c>
      <c r="CM20" s="19" t="n">
        <f aca="false">$B20+CM$3*100*$A20</f>
        <v>30.7773465307387</v>
      </c>
      <c r="CN20" s="19" t="n">
        <f aca="false">$B20+CN$3*100*$A20</f>
        <v>30.9898465307387</v>
      </c>
      <c r="CO20" s="19" t="n">
        <f aca="false">$B20+CO$3*100*$A20</f>
        <v>31.2023465307387</v>
      </c>
      <c r="CP20" s="19" t="n">
        <f aca="false">$B20+CP$3*100*$A20</f>
        <v>31.4148465307387</v>
      </c>
      <c r="CQ20" s="19" t="n">
        <f aca="false">$B20+CQ$3*100*$A20</f>
        <v>31.6273465307387</v>
      </c>
      <c r="CR20" s="19" t="n">
        <f aca="false">$B20+CR$3*100*$A20</f>
        <v>31.8398465307387</v>
      </c>
      <c r="CS20" s="19" t="n">
        <f aca="false">$B20+CS$3*100*$A20</f>
        <v>32.0523465307387</v>
      </c>
      <c r="CT20" s="19" t="n">
        <f aca="false">$B20+CT$3*100*$A20</f>
        <v>32.2648465307387</v>
      </c>
      <c r="CU20" s="19" t="n">
        <f aca="false">$B20+CU$3*100*$A20</f>
        <v>32.4773465307387</v>
      </c>
      <c r="CV20" s="19" t="n">
        <f aca="false">$B20+CV$3*100*$A20</f>
        <v>32.6898465307387</v>
      </c>
      <c r="CW20" s="19" t="n">
        <f aca="false">$B20+CW$3*100*$A20</f>
        <v>32.9023465307387</v>
      </c>
      <c r="CX20" s="19" t="n">
        <f aca="false">$B20+CX$3*100*$A20</f>
        <v>33.1148465307387</v>
      </c>
      <c r="CY20" s="19" t="n">
        <f aca="false">$B20+CY$3*100*$A20</f>
        <v>33.3273465307387</v>
      </c>
      <c r="CZ20" s="19" t="n">
        <f aca="false">$B20+CZ$3*100*$A20</f>
        <v>33.5398465307387</v>
      </c>
      <c r="DA20" s="19" t="n">
        <f aca="false">$B20+DA$3*100*$A20</f>
        <v>33.7523465307387</v>
      </c>
      <c r="DB20" s="19" t="n">
        <f aca="false">$B20+DB$3*100*$A20</f>
        <v>33.9648465307387</v>
      </c>
      <c r="DC20" s="19" t="n">
        <f aca="false">$B20+DC$3*100*$A20</f>
        <v>34.1773465307387</v>
      </c>
      <c r="DD20" s="19" t="n">
        <f aca="false">$B20+DD$3*100*$A20</f>
        <v>34.3898465307387</v>
      </c>
      <c r="DE20" s="19" t="n">
        <f aca="false">$B20+DE$3*100*$A20</f>
        <v>34.6023465307387</v>
      </c>
      <c r="DF20" s="19" t="n">
        <f aca="false">$B20+DF$3*100*$A20</f>
        <v>34.8148465307387</v>
      </c>
      <c r="DG20" s="19" t="n">
        <f aca="false">$B20+DG$3*100*$A20</f>
        <v>35.0273465307387</v>
      </c>
      <c r="DH20" s="19" t="n">
        <f aca="false">$B20+DH$3*100*$A20</f>
        <v>35.2398465307387</v>
      </c>
      <c r="DI20" s="19" t="n">
        <f aca="false">$B20+DI$3*100*$A20</f>
        <v>35.4523465307387</v>
      </c>
      <c r="DJ20" s="19" t="n">
        <f aca="false">$B20+DJ$3*100*$A20</f>
        <v>35.6648465307387</v>
      </c>
      <c r="DK20" s="19" t="n">
        <f aca="false">$B20+DK$3*100*$A20</f>
        <v>35.8773465307387</v>
      </c>
      <c r="DL20" s="19" t="n">
        <f aca="false">$B20+DL$3*100*$A20</f>
        <v>36.0898465307387</v>
      </c>
      <c r="DM20" s="19" t="n">
        <f aca="false">$B20+DM$3*100*$A20</f>
        <v>36.3023465307387</v>
      </c>
      <c r="DN20" s="19" t="n">
        <f aca="false">$B20+DN$3*100*$A20</f>
        <v>36.5148465307387</v>
      </c>
      <c r="DO20" s="19" t="n">
        <f aca="false">$B20+DO$3*100*$A20</f>
        <v>36.7273465307387</v>
      </c>
      <c r="DP20" s="19" t="n">
        <f aca="false">$B20+DP$3*100*$A20</f>
        <v>36.9398465307387</v>
      </c>
      <c r="DQ20" s="19" t="n">
        <f aca="false">$B20+DQ$3*100*$A20</f>
        <v>37.1523465307387</v>
      </c>
      <c r="DR20" s="19" t="n">
        <f aca="false">$B20+DR$3*100*$A20</f>
        <v>37.3648465307387</v>
      </c>
      <c r="DS20" s="19" t="n">
        <f aca="false">$B20+DS$3*100*$A20</f>
        <v>37.5773465307387</v>
      </c>
      <c r="DT20" s="19" t="n">
        <f aca="false">$B20+DT$3*100*$A20</f>
        <v>37.7898465307387</v>
      </c>
      <c r="DU20" s="19" t="n">
        <f aca="false">$B20+DU$3*100*$A20</f>
        <v>38.0023465307387</v>
      </c>
      <c r="DV20" s="19" t="n">
        <f aca="false">$B20+DV$3*100*$A20</f>
        <v>38.2148465307387</v>
      </c>
      <c r="DW20" s="19" t="n">
        <f aca="false">$B20+DW$3*100*$A20</f>
        <v>38.4273465307387</v>
      </c>
      <c r="DX20" s="19" t="n">
        <f aca="false">$B20+DX$3*100*$A20</f>
        <v>38.6398465307387</v>
      </c>
      <c r="DY20" s="19" t="n">
        <f aca="false">$B20+DY$3*100*$A20</f>
        <v>38.8523465307387</v>
      </c>
      <c r="DZ20" s="19" t="n">
        <f aca="false">$B20+DZ$3*100*$A20</f>
        <v>39.0648465307387</v>
      </c>
      <c r="EA20" s="19" t="n">
        <f aca="false">$B20+EA$3*100*$A20</f>
        <v>39.2773465307387</v>
      </c>
      <c r="EB20" s="19" t="n">
        <f aca="false">$B20+EB$3*100*$A20</f>
        <v>39.4898465307387</v>
      </c>
      <c r="EC20" s="19" t="n">
        <f aca="false">$B20+EC$3*100*$A20</f>
        <v>39.7023465307387</v>
      </c>
      <c r="ED20" s="19" t="n">
        <f aca="false">$B20+ED$3*100*$A20</f>
        <v>39.9148465307387</v>
      </c>
      <c r="EE20" s="19" t="n">
        <f aca="false">$B20+EE$3*100*$A20</f>
        <v>40.1273465307387</v>
      </c>
      <c r="EF20" s="19" t="n">
        <f aca="false">$B20+EF$3*100*$A20</f>
        <v>40.3398465307387</v>
      </c>
      <c r="EG20" s="19" t="n">
        <f aca="false">$B20+EG$3*100*$A20</f>
        <v>40.5523465307387</v>
      </c>
      <c r="EH20" s="19" t="n">
        <f aca="false">$B20+EH$3*100*$A20</f>
        <v>40.7648465307387</v>
      </c>
      <c r="EI20" s="19" t="n">
        <f aca="false">$B20+EI$3*100*$A20</f>
        <v>40.9773465307387</v>
      </c>
      <c r="EJ20" s="19" t="n">
        <f aca="false">$B20+EJ$3*100*$A20</f>
        <v>41.1898465307387</v>
      </c>
      <c r="EK20" s="19" t="n">
        <f aca="false">$B20+EK$3*100*$A20</f>
        <v>41.4023465307387</v>
      </c>
      <c r="EL20" s="19" t="n">
        <f aca="false">$B20+EL$3*100*$A20</f>
        <v>41.6148465307387</v>
      </c>
      <c r="EM20" s="19" t="n">
        <f aca="false">$B20+EM$3*100*$A20</f>
        <v>41.8273465307387</v>
      </c>
      <c r="EN20" s="19" t="n">
        <f aca="false">$B20+EN$3*100*$A20</f>
        <v>42.0398465307387</v>
      </c>
      <c r="EO20" s="19" t="n">
        <f aca="false">$B20+EO$3*100*$A20</f>
        <v>42.2523465307387</v>
      </c>
      <c r="EP20" s="19" t="n">
        <f aca="false">$B20+EP$3*100*$A20</f>
        <v>42.4648465307387</v>
      </c>
      <c r="EQ20" s="19" t="n">
        <f aca="false">$B20+EQ$3*100*$A20</f>
        <v>42.6773465307387</v>
      </c>
      <c r="ER20" s="19" t="n">
        <f aca="false">$B20+ER$3*100*$A20</f>
        <v>42.8898465307387</v>
      </c>
      <c r="ES20" s="19" t="n">
        <f aca="false">$B20+ES$3*100*$A20</f>
        <v>43.1023465307387</v>
      </c>
      <c r="ET20" s="19" t="n">
        <f aca="false">$B20+ET$3*100*$A20</f>
        <v>43.3148465307387</v>
      </c>
      <c r="EU20" s="19" t="n">
        <f aca="false">$B20+EU$3*100*$A20</f>
        <v>43.5273465307387</v>
      </c>
      <c r="EV20" s="19" t="n">
        <f aca="false">$B20+EV$3*100*$A20</f>
        <v>43.7398465307387</v>
      </c>
      <c r="EW20" s="19" t="n">
        <f aca="false">$B20+EW$3*100*$A20</f>
        <v>43.9523465307387</v>
      </c>
      <c r="EX20" s="19" t="n">
        <f aca="false">$B20+EX$3*100*$A20</f>
        <v>44.1648465307387</v>
      </c>
      <c r="EY20" s="19" t="n">
        <f aca="false">$B20+EY$3*100*$A20</f>
        <v>44.3773465307387</v>
      </c>
      <c r="EZ20" s="19" t="n">
        <f aca="false">$B20+EZ$3*100*$A20</f>
        <v>44.5898465307387</v>
      </c>
      <c r="FA20" s="19" t="n">
        <f aca="false">$B20+FA$3*100*$A20</f>
        <v>44.8023465307387</v>
      </c>
      <c r="FB20" s="19" t="n">
        <f aca="false">$B20+FB$3*100*$A20</f>
        <v>45.0148465307387</v>
      </c>
      <c r="FC20" s="19" t="n">
        <f aca="false">$B20+FC$3*100*$A20</f>
        <v>45.2273465307387</v>
      </c>
      <c r="FD20" s="19" t="n">
        <f aca="false">$B20+FD$3*100*$A20</f>
        <v>45.4398465307387</v>
      </c>
      <c r="FE20" s="19" t="n">
        <f aca="false">$B20+FE$3*100*$A20</f>
        <v>45.6523465307387</v>
      </c>
      <c r="FF20" s="19" t="n">
        <f aca="false">$B20+FF$3*100*$A20</f>
        <v>45.8648465307387</v>
      </c>
      <c r="FG20" s="19" t="n">
        <f aca="false">$B20+FG$3*100*$A20</f>
        <v>46.0773465307387</v>
      </c>
      <c r="FH20" s="19" t="n">
        <f aca="false">$B20+FH$3*100*$A20</f>
        <v>46.2898465307387</v>
      </c>
      <c r="FI20" s="19" t="n">
        <f aca="false">$B20+FI$3*100*$A20</f>
        <v>46.5023465307387</v>
      </c>
      <c r="FJ20" s="19" t="n">
        <f aca="false">$B20+FJ$3*100*$A20</f>
        <v>46.7148465307387</v>
      </c>
      <c r="FK20" s="19" t="n">
        <f aca="false">$B20+FK$3*100*$A20</f>
        <v>46.9273465307387</v>
      </c>
      <c r="FL20" s="19" t="n">
        <f aca="false">$B20+FL$3*100*$A20</f>
        <v>47.1398465307387</v>
      </c>
      <c r="FM20" s="19" t="n">
        <f aca="false">$B20+FM$3*100*$A20</f>
        <v>47.3523465307387</v>
      </c>
      <c r="FN20" s="19" t="n">
        <f aca="false">$B20+FN$3*100*$A20</f>
        <v>47.5648465307387</v>
      </c>
      <c r="FO20" s="19" t="n">
        <f aca="false">$B20+FO$3*100*$A20</f>
        <v>47.7773465307387</v>
      </c>
      <c r="FP20" s="19" t="n">
        <f aca="false">$B20+FP$3*100*$A20</f>
        <v>47.9898465307387</v>
      </c>
      <c r="FQ20" s="19" t="n">
        <f aca="false">$B20+FQ$3*100*$A20</f>
        <v>48.2023465307387</v>
      </c>
      <c r="FR20" s="19" t="n">
        <f aca="false">$B20+FR$3*100*$A20</f>
        <v>48.4148465307387</v>
      </c>
      <c r="FS20" s="19" t="n">
        <f aca="false">$B20+FS$3*100*$A20</f>
        <v>48.6273465307387</v>
      </c>
      <c r="FT20" s="19" t="n">
        <f aca="false">$B20+FT$3*100*$A20</f>
        <v>48.8398465307387</v>
      </c>
      <c r="FU20" s="19" t="n">
        <f aca="false">$B20+FU$3*100*$A20</f>
        <v>49.0523465307387</v>
      </c>
      <c r="FV20" s="19" t="n">
        <f aca="false">$B20+FV$3*100*$A20</f>
        <v>49.2648465307387</v>
      </c>
      <c r="FW20" s="19" t="n">
        <f aca="false">$B20+FW$3*100*$A20</f>
        <v>49.4773465307387</v>
      </c>
      <c r="FX20" s="19" t="n">
        <f aca="false">$B20+FX$3*100*$A20</f>
        <v>49.6898465307387</v>
      </c>
      <c r="FY20" s="19" t="n">
        <f aca="false">$B20+FY$3*100*$A20</f>
        <v>49.9023465307387</v>
      </c>
      <c r="FZ20" s="19" t="n">
        <f aca="false">$B20+FZ$3*100*$A20</f>
        <v>50.1148465307387</v>
      </c>
      <c r="GA20" s="19" t="n">
        <f aca="false">$B20+GA$3*100*$A20</f>
        <v>50.3273465307387</v>
      </c>
      <c r="GB20" s="19" t="n">
        <f aca="false">$B20+GB$3*100*$A20</f>
        <v>50.5398465307387</v>
      </c>
      <c r="GC20" s="19" t="n">
        <f aca="false">$B20+GC$3*100*$A20</f>
        <v>50.7523465307387</v>
      </c>
      <c r="GD20" s="19" t="n">
        <f aca="false">$B20+GD$3*100*$A20</f>
        <v>50.9648465307387</v>
      </c>
      <c r="GE20" s="19" t="n">
        <f aca="false">$B20+GE$3*100*$A20</f>
        <v>51.1773465307387</v>
      </c>
      <c r="GF20" s="19" t="n">
        <f aca="false">$B20+GF$3*100*$A20</f>
        <v>51.3898465307387</v>
      </c>
      <c r="GG20" s="19" t="n">
        <f aca="false">$B20+GG$3*100*$A20</f>
        <v>51.6023465307387</v>
      </c>
      <c r="GH20" s="19" t="n">
        <f aca="false">$B20+GH$3*100*$A20</f>
        <v>51.8148465307387</v>
      </c>
      <c r="GI20" s="19" t="n">
        <f aca="false">$B20+GI$3*100*$A20</f>
        <v>52.0273465307387</v>
      </c>
      <c r="GJ20" s="19" t="n">
        <f aca="false">$B20+GJ$3*100*$A20</f>
        <v>52.2398465307387</v>
      </c>
      <c r="GK20" s="19" t="n">
        <f aca="false">$B20+GK$3*100*$A20</f>
        <v>52.4523465307387</v>
      </c>
      <c r="GL20" s="19" t="n">
        <f aca="false">$B20+GL$3*100*$A20</f>
        <v>52.6648465307387</v>
      </c>
      <c r="GM20" s="19" t="n">
        <f aca="false">$B20+GM$3*100*$A20</f>
        <v>52.8773465307387</v>
      </c>
      <c r="GN20" s="19" t="n">
        <f aca="false">$B20+GN$3*100*$A20</f>
        <v>53.0898465307387</v>
      </c>
      <c r="GO20" s="19" t="n">
        <f aca="false">$B20+GO$3*100*$A20</f>
        <v>53.3023465307387</v>
      </c>
      <c r="GP20" s="19" t="n">
        <f aca="false">$B20+GP$3*100*$A20</f>
        <v>53.5148465307387</v>
      </c>
      <c r="GQ20" s="19" t="n">
        <f aca="false">$B20+GQ$3*100*$A20</f>
        <v>53.7273465307387</v>
      </c>
      <c r="GR20" s="19" t="n">
        <f aca="false">$B20+GR$3*100*$A20</f>
        <v>53.9398465307387</v>
      </c>
      <c r="GS20" s="19" t="n">
        <f aca="false">$B20+GS$3*100*$A20</f>
        <v>54.1523465307387</v>
      </c>
      <c r="GT20" s="19" t="n">
        <f aca="false">$B20+GT$3*100*$A20</f>
        <v>54.3648465307387</v>
      </c>
    </row>
    <row r="21" customFormat="false" ht="15" hidden="false" customHeight="false" outlineLevel="0" collapsed="false">
      <c r="A21" s="26" t="n">
        <f aca="false">Frontier!A19</f>
        <v>0.045</v>
      </c>
      <c r="B21" s="34" t="n">
        <f aca="false">Frontier!B19</f>
        <v>11.3885043322234</v>
      </c>
      <c r="C21" s="19" t="n">
        <f aca="false">$B21+C$3*100*$A21</f>
        <v>11.6135043322234</v>
      </c>
      <c r="D21" s="19" t="n">
        <f aca="false">$B21+D$3*100*$A21</f>
        <v>11.8385043322234</v>
      </c>
      <c r="E21" s="19" t="n">
        <f aca="false">$B21+E$3*100*$A21</f>
        <v>12.0635043322234</v>
      </c>
      <c r="F21" s="19" t="n">
        <f aca="false">$B21+F$3*100*$A21</f>
        <v>12.2885043322234</v>
      </c>
      <c r="G21" s="19" t="n">
        <f aca="false">$B21+G$3*100*$A21</f>
        <v>12.5135043322234</v>
      </c>
      <c r="H21" s="19" t="n">
        <f aca="false">$B21+H$3*100*$A21</f>
        <v>12.7385043322234</v>
      </c>
      <c r="I21" s="19" t="n">
        <f aca="false">$B21+I$3*100*$A21</f>
        <v>12.9635043322234</v>
      </c>
      <c r="J21" s="19" t="n">
        <f aca="false">$B21+J$3*100*$A21</f>
        <v>13.1885043322234</v>
      </c>
      <c r="K21" s="19" t="n">
        <f aca="false">$B21+K$3*100*$A21</f>
        <v>13.4135043322234</v>
      </c>
      <c r="L21" s="19" t="n">
        <f aca="false">$B21+L$3*100*$A21</f>
        <v>13.6385043322234</v>
      </c>
      <c r="M21" s="19" t="n">
        <f aca="false">$B21+M$3*100*$A21</f>
        <v>13.8635043322234</v>
      </c>
      <c r="N21" s="19" t="n">
        <f aca="false">$B21+N$3*100*$A21</f>
        <v>14.0885043322234</v>
      </c>
      <c r="O21" s="19" t="n">
        <f aca="false">$B21+O$3*100*$A21</f>
        <v>14.3135043322234</v>
      </c>
      <c r="P21" s="19" t="n">
        <f aca="false">$B21+P$3*100*$A21</f>
        <v>14.5385043322234</v>
      </c>
      <c r="Q21" s="19" t="n">
        <f aca="false">$B21+Q$3*100*$A21</f>
        <v>14.7635043322234</v>
      </c>
      <c r="R21" s="19" t="n">
        <f aca="false">$B21+R$3*100*$A21</f>
        <v>14.9885043322234</v>
      </c>
      <c r="S21" s="19" t="n">
        <f aca="false">$B21+S$3*100*$A21</f>
        <v>15.2135043322234</v>
      </c>
      <c r="T21" s="19" t="n">
        <f aca="false">$B21+T$3*100*$A21</f>
        <v>15.4385043322234</v>
      </c>
      <c r="U21" s="19" t="n">
        <f aca="false">$B21+U$3*100*$A21</f>
        <v>15.6635043322234</v>
      </c>
      <c r="V21" s="19" t="n">
        <f aca="false">$B21+V$3*100*$A21</f>
        <v>15.8885043322234</v>
      </c>
      <c r="W21" s="19" t="n">
        <f aca="false">$B21+W$3*100*$A21</f>
        <v>16.1135043322234</v>
      </c>
      <c r="X21" s="19" t="n">
        <f aca="false">$B21+X$3*100*$A21</f>
        <v>16.3385043322234</v>
      </c>
      <c r="Y21" s="19" t="n">
        <f aca="false">$B21+Y$3*100*$A21</f>
        <v>16.5635043322234</v>
      </c>
      <c r="Z21" s="19" t="n">
        <f aca="false">$B21+Z$3*100*$A21</f>
        <v>16.7885043322234</v>
      </c>
      <c r="AA21" s="19" t="n">
        <f aca="false">$B21+AA$3*100*$A21</f>
        <v>17.0135043322234</v>
      </c>
      <c r="AB21" s="19" t="n">
        <f aca="false">$B21+AB$3*100*$A21</f>
        <v>17.2385043322234</v>
      </c>
      <c r="AC21" s="19" t="n">
        <f aca="false">$B21+AC$3*100*$A21</f>
        <v>17.4635043322234</v>
      </c>
      <c r="AD21" s="19" t="n">
        <f aca="false">$B21+AD$3*100*$A21</f>
        <v>17.6885043322234</v>
      </c>
      <c r="AE21" s="19" t="n">
        <f aca="false">$B21+AE$3*100*$A21</f>
        <v>17.9135043322234</v>
      </c>
      <c r="AF21" s="19" t="n">
        <f aca="false">$B21+AF$3*100*$A21</f>
        <v>18.1385043322234</v>
      </c>
      <c r="AG21" s="19" t="n">
        <f aca="false">$B21+AG$3*100*$A21</f>
        <v>18.3635043322234</v>
      </c>
      <c r="AH21" s="19" t="n">
        <f aca="false">$B21+AH$3*100*$A21</f>
        <v>18.5885043322234</v>
      </c>
      <c r="AI21" s="19" t="n">
        <f aca="false">$B21+AI$3*100*$A21</f>
        <v>18.8135043322234</v>
      </c>
      <c r="AJ21" s="19" t="n">
        <f aca="false">$B21+AJ$3*100*$A21</f>
        <v>19.0385043322234</v>
      </c>
      <c r="AK21" s="19" t="n">
        <f aca="false">$B21+AK$3*100*$A21</f>
        <v>19.2635043322234</v>
      </c>
      <c r="AL21" s="19" t="n">
        <f aca="false">$B21+AL$3*100*$A21</f>
        <v>19.4885043322234</v>
      </c>
      <c r="AM21" s="19" t="n">
        <f aca="false">$B21+AM$3*100*$A21</f>
        <v>19.7135043322234</v>
      </c>
      <c r="AN21" s="19" t="n">
        <f aca="false">$B21+AN$3*100*$A21</f>
        <v>19.9385043322234</v>
      </c>
      <c r="AO21" s="19" t="n">
        <f aca="false">$B21+AO$3*100*$A21</f>
        <v>20.1635043322234</v>
      </c>
      <c r="AP21" s="19" t="n">
        <f aca="false">$B21+AP$3*100*$A21</f>
        <v>20.3885043322234</v>
      </c>
      <c r="AQ21" s="19" t="n">
        <f aca="false">$B21+AQ$3*100*$A21</f>
        <v>20.6135043322234</v>
      </c>
      <c r="AR21" s="19" t="n">
        <f aca="false">$B21+AR$3*100*$A21</f>
        <v>20.8385043322234</v>
      </c>
      <c r="AS21" s="19" t="n">
        <f aca="false">$B21+AS$3*100*$A21</f>
        <v>21.0635043322234</v>
      </c>
      <c r="AT21" s="19" t="n">
        <f aca="false">$B21+AT$3*100*$A21</f>
        <v>21.2885043322234</v>
      </c>
      <c r="AU21" s="19" t="n">
        <f aca="false">$B21+AU$3*100*$A21</f>
        <v>21.5135043322234</v>
      </c>
      <c r="AV21" s="19" t="n">
        <f aca="false">$B21+AV$3*100*$A21</f>
        <v>21.7385043322234</v>
      </c>
      <c r="AW21" s="19" t="n">
        <f aca="false">$B21+AW$3*100*$A21</f>
        <v>21.9635043322234</v>
      </c>
      <c r="AX21" s="19" t="n">
        <f aca="false">$B21+AX$3*100*$A21</f>
        <v>22.1885043322234</v>
      </c>
      <c r="AY21" s="19" t="n">
        <f aca="false">$B21+AY$3*100*$A21</f>
        <v>22.4135043322234</v>
      </c>
      <c r="AZ21" s="19" t="n">
        <f aca="false">$B21+AZ$3*100*$A21</f>
        <v>22.6385043322234</v>
      </c>
      <c r="BA21" s="19" t="n">
        <f aca="false">$B21+BA$3*100*$A21</f>
        <v>22.8635043322234</v>
      </c>
      <c r="BB21" s="19" t="n">
        <f aca="false">$B21+BB$3*100*$A21</f>
        <v>23.0885043322234</v>
      </c>
      <c r="BC21" s="19" t="n">
        <f aca="false">$B21+BC$3*100*$A21</f>
        <v>23.3135043322234</v>
      </c>
      <c r="BD21" s="19" t="n">
        <f aca="false">$B21+BD$3*100*$A21</f>
        <v>23.5385043322234</v>
      </c>
      <c r="BE21" s="19" t="n">
        <f aca="false">$B21+BE$3*100*$A21</f>
        <v>23.7635043322234</v>
      </c>
      <c r="BF21" s="19" t="n">
        <f aca="false">$B21+BF$3*100*$A21</f>
        <v>23.9885043322234</v>
      </c>
      <c r="BG21" s="19" t="n">
        <f aca="false">$B21+BG$3*100*$A21</f>
        <v>24.2135043322234</v>
      </c>
      <c r="BH21" s="19" t="n">
        <f aca="false">$B21+BH$3*100*$A21</f>
        <v>24.4385043322234</v>
      </c>
      <c r="BI21" s="19" t="n">
        <f aca="false">$B21+BI$3*100*$A21</f>
        <v>24.6635043322234</v>
      </c>
      <c r="BJ21" s="19" t="n">
        <f aca="false">$B21+BJ$3*100*$A21</f>
        <v>24.8885043322234</v>
      </c>
      <c r="BK21" s="19" t="n">
        <f aca="false">$B21+BK$3*100*$A21</f>
        <v>25.1135043322234</v>
      </c>
      <c r="BL21" s="19" t="n">
        <f aca="false">$B21+BL$3*100*$A21</f>
        <v>25.3385043322234</v>
      </c>
      <c r="BM21" s="19" t="n">
        <f aca="false">$B21+BM$3*100*$A21</f>
        <v>25.5635043322234</v>
      </c>
      <c r="BN21" s="19" t="n">
        <f aca="false">$B21+BN$3*100*$A21</f>
        <v>25.7885043322234</v>
      </c>
      <c r="BO21" s="19" t="n">
        <f aca="false">$B21+BO$3*100*$A21</f>
        <v>26.0135043322234</v>
      </c>
      <c r="BP21" s="19" t="n">
        <f aca="false">$B21+BP$3*100*$A21</f>
        <v>26.2385043322234</v>
      </c>
      <c r="BQ21" s="19" t="n">
        <f aca="false">$B21+BQ$3*100*$A21</f>
        <v>26.4635043322234</v>
      </c>
      <c r="BR21" s="19" t="n">
        <f aca="false">$B21+BR$3*100*$A21</f>
        <v>26.6885043322234</v>
      </c>
      <c r="BS21" s="19" t="n">
        <f aca="false">$B21+BS$3*100*$A21</f>
        <v>26.9135043322234</v>
      </c>
      <c r="BT21" s="19" t="n">
        <f aca="false">$B21+BT$3*100*$A21</f>
        <v>27.1385043322234</v>
      </c>
      <c r="BU21" s="19" t="n">
        <f aca="false">$B21+BU$3*100*$A21</f>
        <v>27.3635043322234</v>
      </c>
      <c r="BV21" s="19" t="n">
        <f aca="false">$B21+BV$3*100*$A21</f>
        <v>27.5885043322234</v>
      </c>
      <c r="BW21" s="19" t="n">
        <f aca="false">$B21+BW$3*100*$A21</f>
        <v>27.8135043322234</v>
      </c>
      <c r="BX21" s="19" t="n">
        <f aca="false">$B21+BX$3*100*$A21</f>
        <v>28.0385043322234</v>
      </c>
      <c r="BY21" s="19" t="n">
        <f aca="false">$B21+BY$3*100*$A21</f>
        <v>28.2635043322234</v>
      </c>
      <c r="BZ21" s="19" t="n">
        <f aca="false">$B21+BZ$3*100*$A21</f>
        <v>28.4885043322234</v>
      </c>
      <c r="CA21" s="19" t="n">
        <f aca="false">$B21+CA$3*100*$A21</f>
        <v>28.7135043322234</v>
      </c>
      <c r="CB21" s="19" t="n">
        <f aca="false">$B21+CB$3*100*$A21</f>
        <v>28.9385043322234</v>
      </c>
      <c r="CC21" s="19" t="n">
        <f aca="false">$B21+CC$3*100*$A21</f>
        <v>29.1635043322234</v>
      </c>
      <c r="CD21" s="19" t="n">
        <f aca="false">$B21+CD$3*100*$A21</f>
        <v>29.3885043322234</v>
      </c>
      <c r="CE21" s="19" t="n">
        <f aca="false">$B21+CE$3*100*$A21</f>
        <v>29.6135043322234</v>
      </c>
      <c r="CF21" s="19" t="n">
        <f aca="false">$B21+CF$3*100*$A21</f>
        <v>29.8385043322234</v>
      </c>
      <c r="CG21" s="19" t="n">
        <f aca="false">$B21+CG$3*100*$A21</f>
        <v>30.0635043322234</v>
      </c>
      <c r="CH21" s="19" t="n">
        <f aca="false">$B21+CH$3*100*$A21</f>
        <v>30.2885043322234</v>
      </c>
      <c r="CI21" s="19" t="n">
        <f aca="false">$B21+CI$3*100*$A21</f>
        <v>30.5135043322234</v>
      </c>
      <c r="CJ21" s="19" t="n">
        <f aca="false">$B21+CJ$3*100*$A21</f>
        <v>30.7385043322234</v>
      </c>
      <c r="CK21" s="19" t="n">
        <f aca="false">$B21+CK$3*100*$A21</f>
        <v>30.9635043322234</v>
      </c>
      <c r="CL21" s="19" t="n">
        <f aca="false">$B21+CL$3*100*$A21</f>
        <v>31.1885043322234</v>
      </c>
      <c r="CM21" s="19" t="n">
        <f aca="false">$B21+CM$3*100*$A21</f>
        <v>31.4135043322234</v>
      </c>
      <c r="CN21" s="19" t="n">
        <f aca="false">$B21+CN$3*100*$A21</f>
        <v>31.6385043322234</v>
      </c>
      <c r="CO21" s="19" t="n">
        <f aca="false">$B21+CO$3*100*$A21</f>
        <v>31.8635043322234</v>
      </c>
      <c r="CP21" s="19" t="n">
        <f aca="false">$B21+CP$3*100*$A21</f>
        <v>32.0885043322234</v>
      </c>
      <c r="CQ21" s="19" t="n">
        <f aca="false">$B21+CQ$3*100*$A21</f>
        <v>32.3135043322234</v>
      </c>
      <c r="CR21" s="19" t="n">
        <f aca="false">$B21+CR$3*100*$A21</f>
        <v>32.5385043322234</v>
      </c>
      <c r="CS21" s="19" t="n">
        <f aca="false">$B21+CS$3*100*$A21</f>
        <v>32.7635043322234</v>
      </c>
      <c r="CT21" s="19" t="n">
        <f aca="false">$B21+CT$3*100*$A21</f>
        <v>32.9885043322234</v>
      </c>
      <c r="CU21" s="19" t="n">
        <f aca="false">$B21+CU$3*100*$A21</f>
        <v>33.2135043322234</v>
      </c>
      <c r="CV21" s="19" t="n">
        <f aca="false">$B21+CV$3*100*$A21</f>
        <v>33.4385043322234</v>
      </c>
      <c r="CW21" s="19" t="n">
        <f aca="false">$B21+CW$3*100*$A21</f>
        <v>33.6635043322234</v>
      </c>
      <c r="CX21" s="19" t="n">
        <f aca="false">$B21+CX$3*100*$A21</f>
        <v>33.8885043322234</v>
      </c>
      <c r="CY21" s="19" t="n">
        <f aca="false">$B21+CY$3*100*$A21</f>
        <v>34.1135043322234</v>
      </c>
      <c r="CZ21" s="19" t="n">
        <f aca="false">$B21+CZ$3*100*$A21</f>
        <v>34.3385043322234</v>
      </c>
      <c r="DA21" s="19" t="n">
        <f aca="false">$B21+DA$3*100*$A21</f>
        <v>34.5635043322234</v>
      </c>
      <c r="DB21" s="19" t="n">
        <f aca="false">$B21+DB$3*100*$A21</f>
        <v>34.7885043322234</v>
      </c>
      <c r="DC21" s="19" t="n">
        <f aca="false">$B21+DC$3*100*$A21</f>
        <v>35.0135043322234</v>
      </c>
      <c r="DD21" s="19" t="n">
        <f aca="false">$B21+DD$3*100*$A21</f>
        <v>35.2385043322234</v>
      </c>
      <c r="DE21" s="19" t="n">
        <f aca="false">$B21+DE$3*100*$A21</f>
        <v>35.4635043322234</v>
      </c>
      <c r="DF21" s="19" t="n">
        <f aca="false">$B21+DF$3*100*$A21</f>
        <v>35.6885043322234</v>
      </c>
      <c r="DG21" s="19" t="n">
        <f aca="false">$B21+DG$3*100*$A21</f>
        <v>35.9135043322234</v>
      </c>
      <c r="DH21" s="19" t="n">
        <f aca="false">$B21+DH$3*100*$A21</f>
        <v>36.1385043322234</v>
      </c>
      <c r="DI21" s="19" t="n">
        <f aca="false">$B21+DI$3*100*$A21</f>
        <v>36.3635043322234</v>
      </c>
      <c r="DJ21" s="19" t="n">
        <f aca="false">$B21+DJ$3*100*$A21</f>
        <v>36.5885043322234</v>
      </c>
      <c r="DK21" s="19" t="n">
        <f aca="false">$B21+DK$3*100*$A21</f>
        <v>36.8135043322234</v>
      </c>
      <c r="DL21" s="19" t="n">
        <f aca="false">$B21+DL$3*100*$A21</f>
        <v>37.0385043322234</v>
      </c>
      <c r="DM21" s="19" t="n">
        <f aca="false">$B21+DM$3*100*$A21</f>
        <v>37.2635043322234</v>
      </c>
      <c r="DN21" s="19" t="n">
        <f aca="false">$B21+DN$3*100*$A21</f>
        <v>37.4885043322234</v>
      </c>
      <c r="DO21" s="19" t="n">
        <f aca="false">$B21+DO$3*100*$A21</f>
        <v>37.7135043322234</v>
      </c>
      <c r="DP21" s="19" t="n">
        <f aca="false">$B21+DP$3*100*$A21</f>
        <v>37.9385043322234</v>
      </c>
      <c r="DQ21" s="19" t="n">
        <f aca="false">$B21+DQ$3*100*$A21</f>
        <v>38.1635043322234</v>
      </c>
      <c r="DR21" s="19" t="n">
        <f aca="false">$B21+DR$3*100*$A21</f>
        <v>38.3885043322234</v>
      </c>
      <c r="DS21" s="19" t="n">
        <f aca="false">$B21+DS$3*100*$A21</f>
        <v>38.6135043322234</v>
      </c>
      <c r="DT21" s="19" t="n">
        <f aca="false">$B21+DT$3*100*$A21</f>
        <v>38.8385043322234</v>
      </c>
      <c r="DU21" s="19" t="n">
        <f aca="false">$B21+DU$3*100*$A21</f>
        <v>39.0635043322234</v>
      </c>
      <c r="DV21" s="19" t="n">
        <f aca="false">$B21+DV$3*100*$A21</f>
        <v>39.2885043322234</v>
      </c>
      <c r="DW21" s="19" t="n">
        <f aca="false">$B21+DW$3*100*$A21</f>
        <v>39.5135043322234</v>
      </c>
      <c r="DX21" s="19" t="n">
        <f aca="false">$B21+DX$3*100*$A21</f>
        <v>39.7385043322234</v>
      </c>
      <c r="DY21" s="19" t="n">
        <f aca="false">$B21+DY$3*100*$A21</f>
        <v>39.9635043322234</v>
      </c>
      <c r="DZ21" s="19" t="n">
        <f aca="false">$B21+DZ$3*100*$A21</f>
        <v>40.1885043322234</v>
      </c>
      <c r="EA21" s="19" t="n">
        <f aca="false">$B21+EA$3*100*$A21</f>
        <v>40.4135043322234</v>
      </c>
      <c r="EB21" s="19" t="n">
        <f aca="false">$B21+EB$3*100*$A21</f>
        <v>40.6385043322234</v>
      </c>
      <c r="EC21" s="19" t="n">
        <f aca="false">$B21+EC$3*100*$A21</f>
        <v>40.8635043322234</v>
      </c>
      <c r="ED21" s="19" t="n">
        <f aca="false">$B21+ED$3*100*$A21</f>
        <v>41.0885043322234</v>
      </c>
      <c r="EE21" s="19" t="n">
        <f aca="false">$B21+EE$3*100*$A21</f>
        <v>41.3135043322234</v>
      </c>
      <c r="EF21" s="19" t="n">
        <f aca="false">$B21+EF$3*100*$A21</f>
        <v>41.5385043322234</v>
      </c>
      <c r="EG21" s="19" t="n">
        <f aca="false">$B21+EG$3*100*$A21</f>
        <v>41.7635043322234</v>
      </c>
      <c r="EH21" s="19" t="n">
        <f aca="false">$B21+EH$3*100*$A21</f>
        <v>41.9885043322234</v>
      </c>
      <c r="EI21" s="19" t="n">
        <f aca="false">$B21+EI$3*100*$A21</f>
        <v>42.2135043322234</v>
      </c>
      <c r="EJ21" s="19" t="n">
        <f aca="false">$B21+EJ$3*100*$A21</f>
        <v>42.4385043322234</v>
      </c>
      <c r="EK21" s="19" t="n">
        <f aca="false">$B21+EK$3*100*$A21</f>
        <v>42.6635043322234</v>
      </c>
      <c r="EL21" s="19" t="n">
        <f aca="false">$B21+EL$3*100*$A21</f>
        <v>42.8885043322234</v>
      </c>
      <c r="EM21" s="19" t="n">
        <f aca="false">$B21+EM$3*100*$A21</f>
        <v>43.1135043322234</v>
      </c>
      <c r="EN21" s="19" t="n">
        <f aca="false">$B21+EN$3*100*$A21</f>
        <v>43.3385043322234</v>
      </c>
      <c r="EO21" s="19" t="n">
        <f aca="false">$B21+EO$3*100*$A21</f>
        <v>43.5635043322234</v>
      </c>
      <c r="EP21" s="19" t="n">
        <f aca="false">$B21+EP$3*100*$A21</f>
        <v>43.7885043322234</v>
      </c>
      <c r="EQ21" s="19" t="n">
        <f aca="false">$B21+EQ$3*100*$A21</f>
        <v>44.0135043322234</v>
      </c>
      <c r="ER21" s="19" t="n">
        <f aca="false">$B21+ER$3*100*$A21</f>
        <v>44.2385043322234</v>
      </c>
      <c r="ES21" s="19" t="n">
        <f aca="false">$B21+ES$3*100*$A21</f>
        <v>44.4635043322234</v>
      </c>
      <c r="ET21" s="19" t="n">
        <f aca="false">$B21+ET$3*100*$A21</f>
        <v>44.6885043322234</v>
      </c>
      <c r="EU21" s="19" t="n">
        <f aca="false">$B21+EU$3*100*$A21</f>
        <v>44.9135043322234</v>
      </c>
      <c r="EV21" s="19" t="n">
        <f aca="false">$B21+EV$3*100*$A21</f>
        <v>45.1385043322234</v>
      </c>
      <c r="EW21" s="19" t="n">
        <f aca="false">$B21+EW$3*100*$A21</f>
        <v>45.3635043322234</v>
      </c>
      <c r="EX21" s="19" t="n">
        <f aca="false">$B21+EX$3*100*$A21</f>
        <v>45.5885043322234</v>
      </c>
      <c r="EY21" s="19" t="n">
        <f aca="false">$B21+EY$3*100*$A21</f>
        <v>45.8135043322234</v>
      </c>
      <c r="EZ21" s="19" t="n">
        <f aca="false">$B21+EZ$3*100*$A21</f>
        <v>46.0385043322234</v>
      </c>
      <c r="FA21" s="19" t="n">
        <f aca="false">$B21+FA$3*100*$A21</f>
        <v>46.2635043322234</v>
      </c>
      <c r="FB21" s="19" t="n">
        <f aca="false">$B21+FB$3*100*$A21</f>
        <v>46.4885043322234</v>
      </c>
      <c r="FC21" s="19" t="n">
        <f aca="false">$B21+FC$3*100*$A21</f>
        <v>46.7135043322234</v>
      </c>
      <c r="FD21" s="19" t="n">
        <f aca="false">$B21+FD$3*100*$A21</f>
        <v>46.9385043322234</v>
      </c>
      <c r="FE21" s="19" t="n">
        <f aca="false">$B21+FE$3*100*$A21</f>
        <v>47.1635043322234</v>
      </c>
      <c r="FF21" s="19" t="n">
        <f aca="false">$B21+FF$3*100*$A21</f>
        <v>47.3885043322234</v>
      </c>
      <c r="FG21" s="19" t="n">
        <f aca="false">$B21+FG$3*100*$A21</f>
        <v>47.6135043322234</v>
      </c>
      <c r="FH21" s="19" t="n">
        <f aca="false">$B21+FH$3*100*$A21</f>
        <v>47.8385043322234</v>
      </c>
      <c r="FI21" s="19" t="n">
        <f aca="false">$B21+FI$3*100*$A21</f>
        <v>48.0635043322234</v>
      </c>
      <c r="FJ21" s="19" t="n">
        <f aca="false">$B21+FJ$3*100*$A21</f>
        <v>48.2885043322234</v>
      </c>
      <c r="FK21" s="19" t="n">
        <f aca="false">$B21+FK$3*100*$A21</f>
        <v>48.5135043322234</v>
      </c>
      <c r="FL21" s="19" t="n">
        <f aca="false">$B21+FL$3*100*$A21</f>
        <v>48.7385043322234</v>
      </c>
      <c r="FM21" s="19" t="n">
        <f aca="false">$B21+FM$3*100*$A21</f>
        <v>48.9635043322234</v>
      </c>
      <c r="FN21" s="19" t="n">
        <f aca="false">$B21+FN$3*100*$A21</f>
        <v>49.1885043322234</v>
      </c>
      <c r="FO21" s="19" t="n">
        <f aca="false">$B21+FO$3*100*$A21</f>
        <v>49.4135043322234</v>
      </c>
      <c r="FP21" s="19" t="n">
        <f aca="false">$B21+FP$3*100*$A21</f>
        <v>49.6385043322234</v>
      </c>
      <c r="FQ21" s="19" t="n">
        <f aca="false">$B21+FQ$3*100*$A21</f>
        <v>49.8635043322234</v>
      </c>
      <c r="FR21" s="19" t="n">
        <f aca="false">$B21+FR$3*100*$A21</f>
        <v>50.0885043322234</v>
      </c>
      <c r="FS21" s="19" t="n">
        <f aca="false">$B21+FS$3*100*$A21</f>
        <v>50.3135043322234</v>
      </c>
      <c r="FT21" s="19" t="n">
        <f aca="false">$B21+FT$3*100*$A21</f>
        <v>50.5385043322234</v>
      </c>
      <c r="FU21" s="19" t="n">
        <f aca="false">$B21+FU$3*100*$A21</f>
        <v>50.7635043322234</v>
      </c>
      <c r="FV21" s="19" t="n">
        <f aca="false">$B21+FV$3*100*$A21</f>
        <v>50.9885043322234</v>
      </c>
      <c r="FW21" s="19" t="n">
        <f aca="false">$B21+FW$3*100*$A21</f>
        <v>51.2135043322234</v>
      </c>
      <c r="FX21" s="19" t="n">
        <f aca="false">$B21+FX$3*100*$A21</f>
        <v>51.4385043322234</v>
      </c>
      <c r="FY21" s="19" t="n">
        <f aca="false">$B21+FY$3*100*$A21</f>
        <v>51.6635043322234</v>
      </c>
      <c r="FZ21" s="19" t="n">
        <f aca="false">$B21+FZ$3*100*$A21</f>
        <v>51.8885043322234</v>
      </c>
      <c r="GA21" s="19" t="n">
        <f aca="false">$B21+GA$3*100*$A21</f>
        <v>52.1135043322234</v>
      </c>
      <c r="GB21" s="19" t="n">
        <f aca="false">$B21+GB$3*100*$A21</f>
        <v>52.3385043322234</v>
      </c>
      <c r="GC21" s="19" t="n">
        <f aca="false">$B21+GC$3*100*$A21</f>
        <v>52.5635043322234</v>
      </c>
      <c r="GD21" s="19" t="n">
        <f aca="false">$B21+GD$3*100*$A21</f>
        <v>52.7885043322234</v>
      </c>
      <c r="GE21" s="19" t="n">
        <f aca="false">$B21+GE$3*100*$A21</f>
        <v>53.0135043322234</v>
      </c>
      <c r="GF21" s="19" t="n">
        <f aca="false">$B21+GF$3*100*$A21</f>
        <v>53.2385043322234</v>
      </c>
      <c r="GG21" s="19" t="n">
        <f aca="false">$B21+GG$3*100*$A21</f>
        <v>53.4635043322234</v>
      </c>
      <c r="GH21" s="19" t="n">
        <f aca="false">$B21+GH$3*100*$A21</f>
        <v>53.6885043322234</v>
      </c>
      <c r="GI21" s="19" t="n">
        <f aca="false">$B21+GI$3*100*$A21</f>
        <v>53.9135043322234</v>
      </c>
      <c r="GJ21" s="19" t="n">
        <f aca="false">$B21+GJ$3*100*$A21</f>
        <v>54.1385043322234</v>
      </c>
      <c r="GK21" s="19" t="n">
        <f aca="false">$B21+GK$3*100*$A21</f>
        <v>54.3635043322234</v>
      </c>
      <c r="GL21" s="19" t="n">
        <f aca="false">$B21+GL$3*100*$A21</f>
        <v>54.5885043322234</v>
      </c>
      <c r="GM21" s="19" t="n">
        <f aca="false">$B21+GM$3*100*$A21</f>
        <v>54.8135043322234</v>
      </c>
      <c r="GN21" s="19" t="n">
        <f aca="false">$B21+GN$3*100*$A21</f>
        <v>55.0385043322234</v>
      </c>
      <c r="GO21" s="19" t="n">
        <f aca="false">$B21+GO$3*100*$A21</f>
        <v>55.2635043322234</v>
      </c>
      <c r="GP21" s="19" t="n">
        <f aca="false">$B21+GP$3*100*$A21</f>
        <v>55.4885043322234</v>
      </c>
      <c r="GQ21" s="19" t="n">
        <f aca="false">$B21+GQ$3*100*$A21</f>
        <v>55.7135043322234</v>
      </c>
      <c r="GR21" s="19" t="n">
        <f aca="false">$B21+GR$3*100*$A21</f>
        <v>55.9385043322234</v>
      </c>
      <c r="GS21" s="19" t="n">
        <f aca="false">$B21+GS$3*100*$A21</f>
        <v>56.1635043322234</v>
      </c>
      <c r="GT21" s="19" t="n">
        <f aca="false">$B21+GT$3*100*$A21</f>
        <v>56.3885043322234</v>
      </c>
    </row>
    <row r="22" customFormat="false" ht="15" hidden="false" customHeight="false" outlineLevel="0" collapsed="false">
      <c r="A22" s="26" t="n">
        <f aca="false">Frontier!A20</f>
        <v>0.0475</v>
      </c>
      <c r="B22" s="34" t="n">
        <f aca="false">Frontier!B20</f>
        <v>10.8761085596174</v>
      </c>
      <c r="C22" s="19" t="n">
        <f aca="false">$B22+C$3*100*$A22</f>
        <v>11.1136085596174</v>
      </c>
      <c r="D22" s="19" t="n">
        <f aca="false">$B22+D$3*100*$A22</f>
        <v>11.3511085596174</v>
      </c>
      <c r="E22" s="19" t="n">
        <f aca="false">$B22+E$3*100*$A22</f>
        <v>11.5886085596174</v>
      </c>
      <c r="F22" s="19" t="n">
        <f aca="false">$B22+F$3*100*$A22</f>
        <v>11.8261085596174</v>
      </c>
      <c r="G22" s="19" t="n">
        <f aca="false">$B22+G$3*100*$A22</f>
        <v>12.0636085596174</v>
      </c>
      <c r="H22" s="19" t="n">
        <f aca="false">$B22+H$3*100*$A22</f>
        <v>12.3011085596174</v>
      </c>
      <c r="I22" s="19" t="n">
        <f aca="false">$B22+I$3*100*$A22</f>
        <v>12.5386085596174</v>
      </c>
      <c r="J22" s="19" t="n">
        <f aca="false">$B22+J$3*100*$A22</f>
        <v>12.7761085596174</v>
      </c>
      <c r="K22" s="19" t="n">
        <f aca="false">$B22+K$3*100*$A22</f>
        <v>13.0136085596174</v>
      </c>
      <c r="L22" s="19" t="n">
        <f aca="false">$B22+L$3*100*$A22</f>
        <v>13.2511085596174</v>
      </c>
      <c r="M22" s="19" t="n">
        <f aca="false">$B22+M$3*100*$A22</f>
        <v>13.4886085596174</v>
      </c>
      <c r="N22" s="19" t="n">
        <f aca="false">$B22+N$3*100*$A22</f>
        <v>13.7261085596174</v>
      </c>
      <c r="O22" s="19" t="n">
        <f aca="false">$B22+O$3*100*$A22</f>
        <v>13.9636085596174</v>
      </c>
      <c r="P22" s="19" t="n">
        <f aca="false">$B22+P$3*100*$A22</f>
        <v>14.2011085596174</v>
      </c>
      <c r="Q22" s="19" t="n">
        <f aca="false">$B22+Q$3*100*$A22</f>
        <v>14.4386085596174</v>
      </c>
      <c r="R22" s="19" t="n">
        <f aca="false">$B22+R$3*100*$A22</f>
        <v>14.6761085596174</v>
      </c>
      <c r="S22" s="19" t="n">
        <f aca="false">$B22+S$3*100*$A22</f>
        <v>14.9136085596174</v>
      </c>
      <c r="T22" s="19" t="n">
        <f aca="false">$B22+T$3*100*$A22</f>
        <v>15.1511085596174</v>
      </c>
      <c r="U22" s="19" t="n">
        <f aca="false">$B22+U$3*100*$A22</f>
        <v>15.3886085596174</v>
      </c>
      <c r="V22" s="19" t="n">
        <f aca="false">$B22+V$3*100*$A22</f>
        <v>15.6261085596174</v>
      </c>
      <c r="W22" s="19" t="n">
        <f aca="false">$B22+W$3*100*$A22</f>
        <v>15.8636085596174</v>
      </c>
      <c r="X22" s="19" t="n">
        <f aca="false">$B22+X$3*100*$A22</f>
        <v>16.1011085596174</v>
      </c>
      <c r="Y22" s="19" t="n">
        <f aca="false">$B22+Y$3*100*$A22</f>
        <v>16.3386085596174</v>
      </c>
      <c r="Z22" s="19" t="n">
        <f aca="false">$B22+Z$3*100*$A22</f>
        <v>16.5761085596174</v>
      </c>
      <c r="AA22" s="19" t="n">
        <f aca="false">$B22+AA$3*100*$A22</f>
        <v>16.8136085596174</v>
      </c>
      <c r="AB22" s="19" t="n">
        <f aca="false">$B22+AB$3*100*$A22</f>
        <v>17.0511085596174</v>
      </c>
      <c r="AC22" s="19" t="n">
        <f aca="false">$B22+AC$3*100*$A22</f>
        <v>17.2886085596174</v>
      </c>
      <c r="AD22" s="19" t="n">
        <f aca="false">$B22+AD$3*100*$A22</f>
        <v>17.5261085596174</v>
      </c>
      <c r="AE22" s="19" t="n">
        <f aca="false">$B22+AE$3*100*$A22</f>
        <v>17.7636085596174</v>
      </c>
      <c r="AF22" s="19" t="n">
        <f aca="false">$B22+AF$3*100*$A22</f>
        <v>18.0011085596174</v>
      </c>
      <c r="AG22" s="19" t="n">
        <f aca="false">$B22+AG$3*100*$A22</f>
        <v>18.2386085596174</v>
      </c>
      <c r="AH22" s="19" t="n">
        <f aca="false">$B22+AH$3*100*$A22</f>
        <v>18.4761085596174</v>
      </c>
      <c r="AI22" s="19" t="n">
        <f aca="false">$B22+AI$3*100*$A22</f>
        <v>18.7136085596174</v>
      </c>
      <c r="AJ22" s="19" t="n">
        <f aca="false">$B22+AJ$3*100*$A22</f>
        <v>18.9511085596174</v>
      </c>
      <c r="AK22" s="19" t="n">
        <f aca="false">$B22+AK$3*100*$A22</f>
        <v>19.1886085596174</v>
      </c>
      <c r="AL22" s="19" t="n">
        <f aca="false">$B22+AL$3*100*$A22</f>
        <v>19.4261085596174</v>
      </c>
      <c r="AM22" s="19" t="n">
        <f aca="false">$B22+AM$3*100*$A22</f>
        <v>19.6636085596174</v>
      </c>
      <c r="AN22" s="19" t="n">
        <f aca="false">$B22+AN$3*100*$A22</f>
        <v>19.9011085596174</v>
      </c>
      <c r="AO22" s="19" t="n">
        <f aca="false">$B22+AO$3*100*$A22</f>
        <v>20.1386085596174</v>
      </c>
      <c r="AP22" s="19" t="n">
        <f aca="false">$B22+AP$3*100*$A22</f>
        <v>20.3761085596174</v>
      </c>
      <c r="AQ22" s="19" t="n">
        <f aca="false">$B22+AQ$3*100*$A22</f>
        <v>20.6136085596174</v>
      </c>
      <c r="AR22" s="19" t="n">
        <f aca="false">$B22+AR$3*100*$A22</f>
        <v>20.8511085596174</v>
      </c>
      <c r="AS22" s="19" t="n">
        <f aca="false">$B22+AS$3*100*$A22</f>
        <v>21.0886085596174</v>
      </c>
      <c r="AT22" s="19" t="n">
        <f aca="false">$B22+AT$3*100*$A22</f>
        <v>21.3261085596174</v>
      </c>
      <c r="AU22" s="19" t="n">
        <f aca="false">$B22+AU$3*100*$A22</f>
        <v>21.5636085596174</v>
      </c>
      <c r="AV22" s="19" t="n">
        <f aca="false">$B22+AV$3*100*$A22</f>
        <v>21.8011085596174</v>
      </c>
      <c r="AW22" s="19" t="n">
        <f aca="false">$B22+AW$3*100*$A22</f>
        <v>22.0386085596174</v>
      </c>
      <c r="AX22" s="19" t="n">
        <f aca="false">$B22+AX$3*100*$A22</f>
        <v>22.2761085596174</v>
      </c>
      <c r="AY22" s="19" t="n">
        <f aca="false">$B22+AY$3*100*$A22</f>
        <v>22.5136085596174</v>
      </c>
      <c r="AZ22" s="19" t="n">
        <f aca="false">$B22+AZ$3*100*$A22</f>
        <v>22.7511085596174</v>
      </c>
      <c r="BA22" s="19" t="n">
        <f aca="false">$B22+BA$3*100*$A22</f>
        <v>22.9886085596174</v>
      </c>
      <c r="BB22" s="19" t="n">
        <f aca="false">$B22+BB$3*100*$A22</f>
        <v>23.2261085596174</v>
      </c>
      <c r="BC22" s="19" t="n">
        <f aca="false">$B22+BC$3*100*$A22</f>
        <v>23.4636085596174</v>
      </c>
      <c r="BD22" s="19" t="n">
        <f aca="false">$B22+BD$3*100*$A22</f>
        <v>23.7011085596174</v>
      </c>
      <c r="BE22" s="19" t="n">
        <f aca="false">$B22+BE$3*100*$A22</f>
        <v>23.9386085596174</v>
      </c>
      <c r="BF22" s="19" t="n">
        <f aca="false">$B22+BF$3*100*$A22</f>
        <v>24.1761085596174</v>
      </c>
      <c r="BG22" s="19" t="n">
        <f aca="false">$B22+BG$3*100*$A22</f>
        <v>24.4136085596174</v>
      </c>
      <c r="BH22" s="19" t="n">
        <f aca="false">$B22+BH$3*100*$A22</f>
        <v>24.6511085596174</v>
      </c>
      <c r="BI22" s="19" t="n">
        <f aca="false">$B22+BI$3*100*$A22</f>
        <v>24.8886085596174</v>
      </c>
      <c r="BJ22" s="19" t="n">
        <f aca="false">$B22+BJ$3*100*$A22</f>
        <v>25.1261085596174</v>
      </c>
      <c r="BK22" s="19" t="n">
        <f aca="false">$B22+BK$3*100*$A22</f>
        <v>25.3636085596174</v>
      </c>
      <c r="BL22" s="19" t="n">
        <f aca="false">$B22+BL$3*100*$A22</f>
        <v>25.6011085596174</v>
      </c>
      <c r="BM22" s="19" t="n">
        <f aca="false">$B22+BM$3*100*$A22</f>
        <v>25.8386085596174</v>
      </c>
      <c r="BN22" s="19" t="n">
        <f aca="false">$B22+BN$3*100*$A22</f>
        <v>26.0761085596174</v>
      </c>
      <c r="BO22" s="19" t="n">
        <f aca="false">$B22+BO$3*100*$A22</f>
        <v>26.3136085596174</v>
      </c>
      <c r="BP22" s="19" t="n">
        <f aca="false">$B22+BP$3*100*$A22</f>
        <v>26.5511085596174</v>
      </c>
      <c r="BQ22" s="19" t="n">
        <f aca="false">$B22+BQ$3*100*$A22</f>
        <v>26.7886085596174</v>
      </c>
      <c r="BR22" s="19" t="n">
        <f aca="false">$B22+BR$3*100*$A22</f>
        <v>27.0261085596174</v>
      </c>
      <c r="BS22" s="19" t="n">
        <f aca="false">$B22+BS$3*100*$A22</f>
        <v>27.2636085596174</v>
      </c>
      <c r="BT22" s="19" t="n">
        <f aca="false">$B22+BT$3*100*$A22</f>
        <v>27.5011085596174</v>
      </c>
      <c r="BU22" s="19" t="n">
        <f aca="false">$B22+BU$3*100*$A22</f>
        <v>27.7386085596174</v>
      </c>
      <c r="BV22" s="19" t="n">
        <f aca="false">$B22+BV$3*100*$A22</f>
        <v>27.9761085596174</v>
      </c>
      <c r="BW22" s="19" t="n">
        <f aca="false">$B22+BW$3*100*$A22</f>
        <v>28.2136085596174</v>
      </c>
      <c r="BX22" s="19" t="n">
        <f aca="false">$B22+BX$3*100*$A22</f>
        <v>28.4511085596174</v>
      </c>
      <c r="BY22" s="19" t="n">
        <f aca="false">$B22+BY$3*100*$A22</f>
        <v>28.6886085596174</v>
      </c>
      <c r="BZ22" s="19" t="n">
        <f aca="false">$B22+BZ$3*100*$A22</f>
        <v>28.9261085596174</v>
      </c>
      <c r="CA22" s="19" t="n">
        <f aca="false">$B22+CA$3*100*$A22</f>
        <v>29.1636085596174</v>
      </c>
      <c r="CB22" s="19" t="n">
        <f aca="false">$B22+CB$3*100*$A22</f>
        <v>29.4011085596174</v>
      </c>
      <c r="CC22" s="19" t="n">
        <f aca="false">$B22+CC$3*100*$A22</f>
        <v>29.6386085596174</v>
      </c>
      <c r="CD22" s="19" t="n">
        <f aca="false">$B22+CD$3*100*$A22</f>
        <v>29.8761085596174</v>
      </c>
      <c r="CE22" s="19" t="n">
        <f aca="false">$B22+CE$3*100*$A22</f>
        <v>30.1136085596174</v>
      </c>
      <c r="CF22" s="19" t="n">
        <f aca="false">$B22+CF$3*100*$A22</f>
        <v>30.3511085596174</v>
      </c>
      <c r="CG22" s="19" t="n">
        <f aca="false">$B22+CG$3*100*$A22</f>
        <v>30.5886085596174</v>
      </c>
      <c r="CH22" s="19" t="n">
        <f aca="false">$B22+CH$3*100*$A22</f>
        <v>30.8261085596174</v>
      </c>
      <c r="CI22" s="19" t="n">
        <f aca="false">$B22+CI$3*100*$A22</f>
        <v>31.0636085596174</v>
      </c>
      <c r="CJ22" s="19" t="n">
        <f aca="false">$B22+CJ$3*100*$A22</f>
        <v>31.3011085596174</v>
      </c>
      <c r="CK22" s="19" t="n">
        <f aca="false">$B22+CK$3*100*$A22</f>
        <v>31.5386085596174</v>
      </c>
      <c r="CL22" s="19" t="n">
        <f aca="false">$B22+CL$3*100*$A22</f>
        <v>31.7761085596174</v>
      </c>
      <c r="CM22" s="19" t="n">
        <f aca="false">$B22+CM$3*100*$A22</f>
        <v>32.0136085596174</v>
      </c>
      <c r="CN22" s="19" t="n">
        <f aca="false">$B22+CN$3*100*$A22</f>
        <v>32.2511085596174</v>
      </c>
      <c r="CO22" s="19" t="n">
        <f aca="false">$B22+CO$3*100*$A22</f>
        <v>32.4886085596174</v>
      </c>
      <c r="CP22" s="19" t="n">
        <f aca="false">$B22+CP$3*100*$A22</f>
        <v>32.7261085596174</v>
      </c>
      <c r="CQ22" s="19" t="n">
        <f aca="false">$B22+CQ$3*100*$A22</f>
        <v>32.9636085596174</v>
      </c>
      <c r="CR22" s="19" t="n">
        <f aca="false">$B22+CR$3*100*$A22</f>
        <v>33.2011085596174</v>
      </c>
      <c r="CS22" s="19" t="n">
        <f aca="false">$B22+CS$3*100*$A22</f>
        <v>33.4386085596174</v>
      </c>
      <c r="CT22" s="19" t="n">
        <f aca="false">$B22+CT$3*100*$A22</f>
        <v>33.6761085596174</v>
      </c>
      <c r="CU22" s="19" t="n">
        <f aca="false">$B22+CU$3*100*$A22</f>
        <v>33.9136085596174</v>
      </c>
      <c r="CV22" s="19" t="n">
        <f aca="false">$B22+CV$3*100*$A22</f>
        <v>34.1511085596174</v>
      </c>
      <c r="CW22" s="19" t="n">
        <f aca="false">$B22+CW$3*100*$A22</f>
        <v>34.3886085596174</v>
      </c>
      <c r="CX22" s="19" t="n">
        <f aca="false">$B22+CX$3*100*$A22</f>
        <v>34.6261085596174</v>
      </c>
      <c r="CY22" s="19" t="n">
        <f aca="false">$B22+CY$3*100*$A22</f>
        <v>34.8636085596174</v>
      </c>
      <c r="CZ22" s="19" t="n">
        <f aca="false">$B22+CZ$3*100*$A22</f>
        <v>35.1011085596174</v>
      </c>
      <c r="DA22" s="19" t="n">
        <f aca="false">$B22+DA$3*100*$A22</f>
        <v>35.3386085596174</v>
      </c>
      <c r="DB22" s="19" t="n">
        <f aca="false">$B22+DB$3*100*$A22</f>
        <v>35.5761085596174</v>
      </c>
      <c r="DC22" s="19" t="n">
        <f aca="false">$B22+DC$3*100*$A22</f>
        <v>35.8136085596174</v>
      </c>
      <c r="DD22" s="19" t="n">
        <f aca="false">$B22+DD$3*100*$A22</f>
        <v>36.0511085596174</v>
      </c>
      <c r="DE22" s="19" t="n">
        <f aca="false">$B22+DE$3*100*$A22</f>
        <v>36.2886085596174</v>
      </c>
      <c r="DF22" s="19" t="n">
        <f aca="false">$B22+DF$3*100*$A22</f>
        <v>36.5261085596174</v>
      </c>
      <c r="DG22" s="19" t="n">
        <f aca="false">$B22+DG$3*100*$A22</f>
        <v>36.7636085596174</v>
      </c>
      <c r="DH22" s="19" t="n">
        <f aca="false">$B22+DH$3*100*$A22</f>
        <v>37.0011085596174</v>
      </c>
      <c r="DI22" s="19" t="n">
        <f aca="false">$B22+DI$3*100*$A22</f>
        <v>37.2386085596174</v>
      </c>
      <c r="DJ22" s="19" t="n">
        <f aca="false">$B22+DJ$3*100*$A22</f>
        <v>37.4761085596174</v>
      </c>
      <c r="DK22" s="19" t="n">
        <f aca="false">$B22+DK$3*100*$A22</f>
        <v>37.7136085596174</v>
      </c>
      <c r="DL22" s="19" t="n">
        <f aca="false">$B22+DL$3*100*$A22</f>
        <v>37.9511085596174</v>
      </c>
      <c r="DM22" s="19" t="n">
        <f aca="false">$B22+DM$3*100*$A22</f>
        <v>38.1886085596174</v>
      </c>
      <c r="DN22" s="19" t="n">
        <f aca="false">$B22+DN$3*100*$A22</f>
        <v>38.4261085596174</v>
      </c>
      <c r="DO22" s="19" t="n">
        <f aca="false">$B22+DO$3*100*$A22</f>
        <v>38.6636085596174</v>
      </c>
      <c r="DP22" s="19" t="n">
        <f aca="false">$B22+DP$3*100*$A22</f>
        <v>38.9011085596174</v>
      </c>
      <c r="DQ22" s="19" t="n">
        <f aca="false">$B22+DQ$3*100*$A22</f>
        <v>39.1386085596174</v>
      </c>
      <c r="DR22" s="19" t="n">
        <f aca="false">$B22+DR$3*100*$A22</f>
        <v>39.3761085596174</v>
      </c>
      <c r="DS22" s="19" t="n">
        <f aca="false">$B22+DS$3*100*$A22</f>
        <v>39.6136085596174</v>
      </c>
      <c r="DT22" s="19" t="n">
        <f aca="false">$B22+DT$3*100*$A22</f>
        <v>39.8511085596174</v>
      </c>
      <c r="DU22" s="19" t="n">
        <f aca="false">$B22+DU$3*100*$A22</f>
        <v>40.0886085596174</v>
      </c>
      <c r="DV22" s="19" t="n">
        <f aca="false">$B22+DV$3*100*$A22</f>
        <v>40.3261085596174</v>
      </c>
      <c r="DW22" s="19" t="n">
        <f aca="false">$B22+DW$3*100*$A22</f>
        <v>40.5636085596174</v>
      </c>
      <c r="DX22" s="19" t="n">
        <f aca="false">$B22+DX$3*100*$A22</f>
        <v>40.8011085596174</v>
      </c>
      <c r="DY22" s="19" t="n">
        <f aca="false">$B22+DY$3*100*$A22</f>
        <v>41.0386085596174</v>
      </c>
      <c r="DZ22" s="19" t="n">
        <f aca="false">$B22+DZ$3*100*$A22</f>
        <v>41.2761085596174</v>
      </c>
      <c r="EA22" s="19" t="n">
        <f aca="false">$B22+EA$3*100*$A22</f>
        <v>41.5136085596174</v>
      </c>
      <c r="EB22" s="19" t="n">
        <f aca="false">$B22+EB$3*100*$A22</f>
        <v>41.7511085596174</v>
      </c>
      <c r="EC22" s="19" t="n">
        <f aca="false">$B22+EC$3*100*$A22</f>
        <v>41.9886085596174</v>
      </c>
      <c r="ED22" s="19" t="n">
        <f aca="false">$B22+ED$3*100*$A22</f>
        <v>42.2261085596174</v>
      </c>
      <c r="EE22" s="19" t="n">
        <f aca="false">$B22+EE$3*100*$A22</f>
        <v>42.4636085596174</v>
      </c>
      <c r="EF22" s="19" t="n">
        <f aca="false">$B22+EF$3*100*$A22</f>
        <v>42.7011085596174</v>
      </c>
      <c r="EG22" s="19" t="n">
        <f aca="false">$B22+EG$3*100*$A22</f>
        <v>42.9386085596174</v>
      </c>
      <c r="EH22" s="19" t="n">
        <f aca="false">$B22+EH$3*100*$A22</f>
        <v>43.1761085596174</v>
      </c>
      <c r="EI22" s="19" t="n">
        <f aca="false">$B22+EI$3*100*$A22</f>
        <v>43.4136085596174</v>
      </c>
      <c r="EJ22" s="19" t="n">
        <f aca="false">$B22+EJ$3*100*$A22</f>
        <v>43.6511085596174</v>
      </c>
      <c r="EK22" s="19" t="n">
        <f aca="false">$B22+EK$3*100*$A22</f>
        <v>43.8886085596174</v>
      </c>
      <c r="EL22" s="19" t="n">
        <f aca="false">$B22+EL$3*100*$A22</f>
        <v>44.1261085596174</v>
      </c>
      <c r="EM22" s="19" t="n">
        <f aca="false">$B22+EM$3*100*$A22</f>
        <v>44.3636085596174</v>
      </c>
      <c r="EN22" s="19" t="n">
        <f aca="false">$B22+EN$3*100*$A22</f>
        <v>44.6011085596174</v>
      </c>
      <c r="EO22" s="19" t="n">
        <f aca="false">$B22+EO$3*100*$A22</f>
        <v>44.8386085596174</v>
      </c>
      <c r="EP22" s="19" t="n">
        <f aca="false">$B22+EP$3*100*$A22</f>
        <v>45.0761085596174</v>
      </c>
      <c r="EQ22" s="19" t="n">
        <f aca="false">$B22+EQ$3*100*$A22</f>
        <v>45.3136085596174</v>
      </c>
      <c r="ER22" s="19" t="n">
        <f aca="false">$B22+ER$3*100*$A22</f>
        <v>45.5511085596174</v>
      </c>
      <c r="ES22" s="19" t="n">
        <f aca="false">$B22+ES$3*100*$A22</f>
        <v>45.7886085596174</v>
      </c>
      <c r="ET22" s="19" t="n">
        <f aca="false">$B22+ET$3*100*$A22</f>
        <v>46.0261085596174</v>
      </c>
      <c r="EU22" s="19" t="n">
        <f aca="false">$B22+EU$3*100*$A22</f>
        <v>46.2636085596174</v>
      </c>
      <c r="EV22" s="19" t="n">
        <f aca="false">$B22+EV$3*100*$A22</f>
        <v>46.5011085596174</v>
      </c>
      <c r="EW22" s="19" t="n">
        <f aca="false">$B22+EW$3*100*$A22</f>
        <v>46.7386085596174</v>
      </c>
      <c r="EX22" s="19" t="n">
        <f aca="false">$B22+EX$3*100*$A22</f>
        <v>46.9761085596174</v>
      </c>
      <c r="EY22" s="19" t="n">
        <f aca="false">$B22+EY$3*100*$A22</f>
        <v>47.2136085596174</v>
      </c>
      <c r="EZ22" s="19" t="n">
        <f aca="false">$B22+EZ$3*100*$A22</f>
        <v>47.4511085596174</v>
      </c>
      <c r="FA22" s="19" t="n">
        <f aca="false">$B22+FA$3*100*$A22</f>
        <v>47.6886085596174</v>
      </c>
      <c r="FB22" s="19" t="n">
        <f aca="false">$B22+FB$3*100*$A22</f>
        <v>47.9261085596174</v>
      </c>
      <c r="FC22" s="19" t="n">
        <f aca="false">$B22+FC$3*100*$A22</f>
        <v>48.1636085596174</v>
      </c>
      <c r="FD22" s="19" t="n">
        <f aca="false">$B22+FD$3*100*$A22</f>
        <v>48.4011085596174</v>
      </c>
      <c r="FE22" s="19" t="n">
        <f aca="false">$B22+FE$3*100*$A22</f>
        <v>48.6386085596174</v>
      </c>
      <c r="FF22" s="19" t="n">
        <f aca="false">$B22+FF$3*100*$A22</f>
        <v>48.8761085596174</v>
      </c>
      <c r="FG22" s="19" t="n">
        <f aca="false">$B22+FG$3*100*$A22</f>
        <v>49.1136085596174</v>
      </c>
      <c r="FH22" s="19" t="n">
        <f aca="false">$B22+FH$3*100*$A22</f>
        <v>49.3511085596174</v>
      </c>
      <c r="FI22" s="19" t="n">
        <f aca="false">$B22+FI$3*100*$A22</f>
        <v>49.5886085596174</v>
      </c>
      <c r="FJ22" s="19" t="n">
        <f aca="false">$B22+FJ$3*100*$A22</f>
        <v>49.8261085596174</v>
      </c>
      <c r="FK22" s="19" t="n">
        <f aca="false">$B22+FK$3*100*$A22</f>
        <v>50.0636085596174</v>
      </c>
      <c r="FL22" s="19" t="n">
        <f aca="false">$B22+FL$3*100*$A22</f>
        <v>50.3011085596174</v>
      </c>
      <c r="FM22" s="19" t="n">
        <f aca="false">$B22+FM$3*100*$A22</f>
        <v>50.5386085596174</v>
      </c>
      <c r="FN22" s="19" t="n">
        <f aca="false">$B22+FN$3*100*$A22</f>
        <v>50.7761085596174</v>
      </c>
      <c r="FO22" s="19" t="n">
        <f aca="false">$B22+FO$3*100*$A22</f>
        <v>51.0136085596174</v>
      </c>
      <c r="FP22" s="19" t="n">
        <f aca="false">$B22+FP$3*100*$A22</f>
        <v>51.2511085596174</v>
      </c>
      <c r="FQ22" s="19" t="n">
        <f aca="false">$B22+FQ$3*100*$A22</f>
        <v>51.4886085596174</v>
      </c>
      <c r="FR22" s="19" t="n">
        <f aca="false">$B22+FR$3*100*$A22</f>
        <v>51.7261085596174</v>
      </c>
      <c r="FS22" s="19" t="n">
        <f aca="false">$B22+FS$3*100*$A22</f>
        <v>51.9636085596174</v>
      </c>
      <c r="FT22" s="19" t="n">
        <f aca="false">$B22+FT$3*100*$A22</f>
        <v>52.2011085596174</v>
      </c>
      <c r="FU22" s="19" t="n">
        <f aca="false">$B22+FU$3*100*$A22</f>
        <v>52.4386085596174</v>
      </c>
      <c r="FV22" s="19" t="n">
        <f aca="false">$B22+FV$3*100*$A22</f>
        <v>52.6761085596174</v>
      </c>
      <c r="FW22" s="19" t="n">
        <f aca="false">$B22+FW$3*100*$A22</f>
        <v>52.9136085596174</v>
      </c>
      <c r="FX22" s="19" t="n">
        <f aca="false">$B22+FX$3*100*$A22</f>
        <v>53.1511085596174</v>
      </c>
      <c r="FY22" s="19" t="n">
        <f aca="false">$B22+FY$3*100*$A22</f>
        <v>53.3886085596174</v>
      </c>
      <c r="FZ22" s="19" t="n">
        <f aca="false">$B22+FZ$3*100*$A22</f>
        <v>53.6261085596174</v>
      </c>
      <c r="GA22" s="19" t="n">
        <f aca="false">$B22+GA$3*100*$A22</f>
        <v>53.8636085596174</v>
      </c>
      <c r="GB22" s="19" t="n">
        <f aca="false">$B22+GB$3*100*$A22</f>
        <v>54.1011085596174</v>
      </c>
      <c r="GC22" s="19" t="n">
        <f aca="false">$B22+GC$3*100*$A22</f>
        <v>54.3386085596174</v>
      </c>
      <c r="GD22" s="19" t="n">
        <f aca="false">$B22+GD$3*100*$A22</f>
        <v>54.5761085596174</v>
      </c>
      <c r="GE22" s="19" t="n">
        <f aca="false">$B22+GE$3*100*$A22</f>
        <v>54.8136085596174</v>
      </c>
      <c r="GF22" s="19" t="n">
        <f aca="false">$B22+GF$3*100*$A22</f>
        <v>55.0511085596174</v>
      </c>
      <c r="GG22" s="19" t="n">
        <f aca="false">$B22+GG$3*100*$A22</f>
        <v>55.2886085596174</v>
      </c>
      <c r="GH22" s="19" t="n">
        <f aca="false">$B22+GH$3*100*$A22</f>
        <v>55.5261085596174</v>
      </c>
      <c r="GI22" s="19" t="n">
        <f aca="false">$B22+GI$3*100*$A22</f>
        <v>55.7636085596174</v>
      </c>
      <c r="GJ22" s="19" t="n">
        <f aca="false">$B22+GJ$3*100*$A22</f>
        <v>56.0011085596174</v>
      </c>
      <c r="GK22" s="19" t="n">
        <f aca="false">$B22+GK$3*100*$A22</f>
        <v>56.2386085596174</v>
      </c>
      <c r="GL22" s="19" t="n">
        <f aca="false">$B22+GL$3*100*$A22</f>
        <v>56.4761085596174</v>
      </c>
      <c r="GM22" s="19" t="n">
        <f aca="false">$B22+GM$3*100*$A22</f>
        <v>56.7136085596174</v>
      </c>
      <c r="GN22" s="19" t="n">
        <f aca="false">$B22+GN$3*100*$A22</f>
        <v>56.9511085596174</v>
      </c>
      <c r="GO22" s="19" t="n">
        <f aca="false">$B22+GO$3*100*$A22</f>
        <v>57.1886085596174</v>
      </c>
      <c r="GP22" s="19" t="n">
        <f aca="false">$B22+GP$3*100*$A22</f>
        <v>57.4261085596174</v>
      </c>
      <c r="GQ22" s="19" t="n">
        <f aca="false">$B22+GQ$3*100*$A22</f>
        <v>57.6636085596174</v>
      </c>
      <c r="GR22" s="19" t="n">
        <f aca="false">$B22+GR$3*100*$A22</f>
        <v>57.9011085596174</v>
      </c>
      <c r="GS22" s="19" t="n">
        <f aca="false">$B22+GS$3*100*$A22</f>
        <v>58.1386085596174</v>
      </c>
      <c r="GT22" s="19" t="n">
        <f aca="false">$B22+GT$3*100*$A22</f>
        <v>58.3761085596174</v>
      </c>
    </row>
    <row r="23" customFormat="false" ht="15" hidden="false" customHeight="false" outlineLevel="0" collapsed="false">
      <c r="A23" s="26" t="n">
        <f aca="false">Frontier!A21</f>
        <v>0.05</v>
      </c>
      <c r="B23" s="34" t="n">
        <f aca="false">Frontier!B21</f>
        <v>10.440610891413</v>
      </c>
      <c r="C23" s="19" t="n">
        <f aca="false">$B23+C$3*100*$A23</f>
        <v>10.690610891413</v>
      </c>
      <c r="D23" s="19" t="n">
        <f aca="false">$B23+D$3*100*$A23</f>
        <v>10.940610891413</v>
      </c>
      <c r="E23" s="19" t="n">
        <f aca="false">$B23+E$3*100*$A23</f>
        <v>11.190610891413</v>
      </c>
      <c r="F23" s="19" t="n">
        <f aca="false">$B23+F$3*100*$A23</f>
        <v>11.440610891413</v>
      </c>
      <c r="G23" s="19" t="n">
        <f aca="false">$B23+G$3*100*$A23</f>
        <v>11.690610891413</v>
      </c>
      <c r="H23" s="19" t="n">
        <f aca="false">$B23+H$3*100*$A23</f>
        <v>11.940610891413</v>
      </c>
      <c r="I23" s="19" t="n">
        <f aca="false">$B23+I$3*100*$A23</f>
        <v>12.190610891413</v>
      </c>
      <c r="J23" s="19" t="n">
        <f aca="false">$B23+J$3*100*$A23</f>
        <v>12.440610891413</v>
      </c>
      <c r="K23" s="19" t="n">
        <f aca="false">$B23+K$3*100*$A23</f>
        <v>12.690610891413</v>
      </c>
      <c r="L23" s="19" t="n">
        <f aca="false">$B23+L$3*100*$A23</f>
        <v>12.940610891413</v>
      </c>
      <c r="M23" s="19" t="n">
        <f aca="false">$B23+M$3*100*$A23</f>
        <v>13.190610891413</v>
      </c>
      <c r="N23" s="19" t="n">
        <f aca="false">$B23+N$3*100*$A23</f>
        <v>13.440610891413</v>
      </c>
      <c r="O23" s="19" t="n">
        <f aca="false">$B23+O$3*100*$A23</f>
        <v>13.690610891413</v>
      </c>
      <c r="P23" s="19" t="n">
        <f aca="false">$B23+P$3*100*$A23</f>
        <v>13.940610891413</v>
      </c>
      <c r="Q23" s="19" t="n">
        <f aca="false">$B23+Q$3*100*$A23</f>
        <v>14.190610891413</v>
      </c>
      <c r="R23" s="19" t="n">
        <f aca="false">$B23+R$3*100*$A23</f>
        <v>14.440610891413</v>
      </c>
      <c r="S23" s="19" t="n">
        <f aca="false">$B23+S$3*100*$A23</f>
        <v>14.690610891413</v>
      </c>
      <c r="T23" s="19" t="n">
        <f aca="false">$B23+T$3*100*$A23</f>
        <v>14.940610891413</v>
      </c>
      <c r="U23" s="19" t="n">
        <f aca="false">$B23+U$3*100*$A23</f>
        <v>15.190610891413</v>
      </c>
      <c r="V23" s="19" t="n">
        <f aca="false">$B23+V$3*100*$A23</f>
        <v>15.440610891413</v>
      </c>
      <c r="W23" s="19" t="n">
        <f aca="false">$B23+W$3*100*$A23</f>
        <v>15.690610891413</v>
      </c>
      <c r="X23" s="19" t="n">
        <f aca="false">$B23+X$3*100*$A23</f>
        <v>15.940610891413</v>
      </c>
      <c r="Y23" s="19" t="n">
        <f aca="false">$B23+Y$3*100*$A23</f>
        <v>16.190610891413</v>
      </c>
      <c r="Z23" s="19" t="n">
        <f aca="false">$B23+Z$3*100*$A23</f>
        <v>16.440610891413</v>
      </c>
      <c r="AA23" s="19" t="n">
        <f aca="false">$B23+AA$3*100*$A23</f>
        <v>16.690610891413</v>
      </c>
      <c r="AB23" s="19" t="n">
        <f aca="false">$B23+AB$3*100*$A23</f>
        <v>16.940610891413</v>
      </c>
      <c r="AC23" s="19" t="n">
        <f aca="false">$B23+AC$3*100*$A23</f>
        <v>17.190610891413</v>
      </c>
      <c r="AD23" s="19" t="n">
        <f aca="false">$B23+AD$3*100*$A23</f>
        <v>17.440610891413</v>
      </c>
      <c r="AE23" s="19" t="n">
        <f aca="false">$B23+AE$3*100*$A23</f>
        <v>17.690610891413</v>
      </c>
      <c r="AF23" s="19" t="n">
        <f aca="false">$B23+AF$3*100*$A23</f>
        <v>17.940610891413</v>
      </c>
      <c r="AG23" s="19" t="n">
        <f aca="false">$B23+AG$3*100*$A23</f>
        <v>18.190610891413</v>
      </c>
      <c r="AH23" s="19" t="n">
        <f aca="false">$B23+AH$3*100*$A23</f>
        <v>18.440610891413</v>
      </c>
      <c r="AI23" s="19" t="n">
        <f aca="false">$B23+AI$3*100*$A23</f>
        <v>18.690610891413</v>
      </c>
      <c r="AJ23" s="19" t="n">
        <f aca="false">$B23+AJ$3*100*$A23</f>
        <v>18.940610891413</v>
      </c>
      <c r="AK23" s="19" t="n">
        <f aca="false">$B23+AK$3*100*$A23</f>
        <v>19.190610891413</v>
      </c>
      <c r="AL23" s="19" t="n">
        <f aca="false">$B23+AL$3*100*$A23</f>
        <v>19.440610891413</v>
      </c>
      <c r="AM23" s="19" t="n">
        <f aca="false">$B23+AM$3*100*$A23</f>
        <v>19.690610891413</v>
      </c>
      <c r="AN23" s="19" t="n">
        <f aca="false">$B23+AN$3*100*$A23</f>
        <v>19.940610891413</v>
      </c>
      <c r="AO23" s="19" t="n">
        <f aca="false">$B23+AO$3*100*$A23</f>
        <v>20.190610891413</v>
      </c>
      <c r="AP23" s="19" t="n">
        <f aca="false">$B23+AP$3*100*$A23</f>
        <v>20.440610891413</v>
      </c>
      <c r="AQ23" s="19" t="n">
        <f aca="false">$B23+AQ$3*100*$A23</f>
        <v>20.690610891413</v>
      </c>
      <c r="AR23" s="19" t="n">
        <f aca="false">$B23+AR$3*100*$A23</f>
        <v>20.940610891413</v>
      </c>
      <c r="AS23" s="19" t="n">
        <f aca="false">$B23+AS$3*100*$A23</f>
        <v>21.190610891413</v>
      </c>
      <c r="AT23" s="19" t="n">
        <f aca="false">$B23+AT$3*100*$A23</f>
        <v>21.440610891413</v>
      </c>
      <c r="AU23" s="19" t="n">
        <f aca="false">$B23+AU$3*100*$A23</f>
        <v>21.690610891413</v>
      </c>
      <c r="AV23" s="19" t="n">
        <f aca="false">$B23+AV$3*100*$A23</f>
        <v>21.940610891413</v>
      </c>
      <c r="AW23" s="19" t="n">
        <f aca="false">$B23+AW$3*100*$A23</f>
        <v>22.190610891413</v>
      </c>
      <c r="AX23" s="19" t="n">
        <f aca="false">$B23+AX$3*100*$A23</f>
        <v>22.440610891413</v>
      </c>
      <c r="AY23" s="19" t="n">
        <f aca="false">$B23+AY$3*100*$A23</f>
        <v>22.690610891413</v>
      </c>
      <c r="AZ23" s="19" t="n">
        <f aca="false">$B23+AZ$3*100*$A23</f>
        <v>22.940610891413</v>
      </c>
      <c r="BA23" s="19" t="n">
        <f aca="false">$B23+BA$3*100*$A23</f>
        <v>23.190610891413</v>
      </c>
      <c r="BB23" s="19" t="n">
        <f aca="false">$B23+BB$3*100*$A23</f>
        <v>23.440610891413</v>
      </c>
      <c r="BC23" s="19" t="n">
        <f aca="false">$B23+BC$3*100*$A23</f>
        <v>23.690610891413</v>
      </c>
      <c r="BD23" s="19" t="n">
        <f aca="false">$B23+BD$3*100*$A23</f>
        <v>23.940610891413</v>
      </c>
      <c r="BE23" s="19" t="n">
        <f aca="false">$B23+BE$3*100*$A23</f>
        <v>24.190610891413</v>
      </c>
      <c r="BF23" s="19" t="n">
        <f aca="false">$B23+BF$3*100*$A23</f>
        <v>24.440610891413</v>
      </c>
      <c r="BG23" s="19" t="n">
        <f aca="false">$B23+BG$3*100*$A23</f>
        <v>24.690610891413</v>
      </c>
      <c r="BH23" s="19" t="n">
        <f aca="false">$B23+BH$3*100*$A23</f>
        <v>24.940610891413</v>
      </c>
      <c r="BI23" s="19" t="n">
        <f aca="false">$B23+BI$3*100*$A23</f>
        <v>25.190610891413</v>
      </c>
      <c r="BJ23" s="19" t="n">
        <f aca="false">$B23+BJ$3*100*$A23</f>
        <v>25.440610891413</v>
      </c>
      <c r="BK23" s="19" t="n">
        <f aca="false">$B23+BK$3*100*$A23</f>
        <v>25.690610891413</v>
      </c>
      <c r="BL23" s="19" t="n">
        <f aca="false">$B23+BL$3*100*$A23</f>
        <v>25.940610891413</v>
      </c>
      <c r="BM23" s="19" t="n">
        <f aca="false">$B23+BM$3*100*$A23</f>
        <v>26.190610891413</v>
      </c>
      <c r="BN23" s="19" t="n">
        <f aca="false">$B23+BN$3*100*$A23</f>
        <v>26.440610891413</v>
      </c>
      <c r="BO23" s="19" t="n">
        <f aca="false">$B23+BO$3*100*$A23</f>
        <v>26.690610891413</v>
      </c>
      <c r="BP23" s="19" t="n">
        <f aca="false">$B23+BP$3*100*$A23</f>
        <v>26.940610891413</v>
      </c>
      <c r="BQ23" s="19" t="n">
        <f aca="false">$B23+BQ$3*100*$A23</f>
        <v>27.190610891413</v>
      </c>
      <c r="BR23" s="19" t="n">
        <f aca="false">$B23+BR$3*100*$A23</f>
        <v>27.440610891413</v>
      </c>
      <c r="BS23" s="19" t="n">
        <f aca="false">$B23+BS$3*100*$A23</f>
        <v>27.690610891413</v>
      </c>
      <c r="BT23" s="19" t="n">
        <f aca="false">$B23+BT$3*100*$A23</f>
        <v>27.940610891413</v>
      </c>
      <c r="BU23" s="19" t="n">
        <f aca="false">$B23+BU$3*100*$A23</f>
        <v>28.190610891413</v>
      </c>
      <c r="BV23" s="19" t="n">
        <f aca="false">$B23+BV$3*100*$A23</f>
        <v>28.440610891413</v>
      </c>
      <c r="BW23" s="19" t="n">
        <f aca="false">$B23+BW$3*100*$A23</f>
        <v>28.690610891413</v>
      </c>
      <c r="BX23" s="19" t="n">
        <f aca="false">$B23+BX$3*100*$A23</f>
        <v>28.940610891413</v>
      </c>
      <c r="BY23" s="19" t="n">
        <f aca="false">$B23+BY$3*100*$A23</f>
        <v>29.190610891413</v>
      </c>
      <c r="BZ23" s="19" t="n">
        <f aca="false">$B23+BZ$3*100*$A23</f>
        <v>29.440610891413</v>
      </c>
      <c r="CA23" s="19" t="n">
        <f aca="false">$B23+CA$3*100*$A23</f>
        <v>29.690610891413</v>
      </c>
      <c r="CB23" s="19" t="n">
        <f aca="false">$B23+CB$3*100*$A23</f>
        <v>29.940610891413</v>
      </c>
      <c r="CC23" s="19" t="n">
        <f aca="false">$B23+CC$3*100*$A23</f>
        <v>30.190610891413</v>
      </c>
      <c r="CD23" s="19" t="n">
        <f aca="false">$B23+CD$3*100*$A23</f>
        <v>30.440610891413</v>
      </c>
      <c r="CE23" s="19" t="n">
        <f aca="false">$B23+CE$3*100*$A23</f>
        <v>30.690610891413</v>
      </c>
      <c r="CF23" s="19" t="n">
        <f aca="false">$B23+CF$3*100*$A23</f>
        <v>30.940610891413</v>
      </c>
      <c r="CG23" s="19" t="n">
        <f aca="false">$B23+CG$3*100*$A23</f>
        <v>31.190610891413</v>
      </c>
      <c r="CH23" s="19" t="n">
        <f aca="false">$B23+CH$3*100*$A23</f>
        <v>31.440610891413</v>
      </c>
      <c r="CI23" s="19" t="n">
        <f aca="false">$B23+CI$3*100*$A23</f>
        <v>31.690610891413</v>
      </c>
      <c r="CJ23" s="19" t="n">
        <f aca="false">$B23+CJ$3*100*$A23</f>
        <v>31.940610891413</v>
      </c>
      <c r="CK23" s="19" t="n">
        <f aca="false">$B23+CK$3*100*$A23</f>
        <v>32.190610891413</v>
      </c>
      <c r="CL23" s="19" t="n">
        <f aca="false">$B23+CL$3*100*$A23</f>
        <v>32.440610891413</v>
      </c>
      <c r="CM23" s="19" t="n">
        <f aca="false">$B23+CM$3*100*$A23</f>
        <v>32.690610891413</v>
      </c>
      <c r="CN23" s="19" t="n">
        <f aca="false">$B23+CN$3*100*$A23</f>
        <v>32.940610891413</v>
      </c>
      <c r="CO23" s="19" t="n">
        <f aca="false">$B23+CO$3*100*$A23</f>
        <v>33.190610891413</v>
      </c>
      <c r="CP23" s="19" t="n">
        <f aca="false">$B23+CP$3*100*$A23</f>
        <v>33.440610891413</v>
      </c>
      <c r="CQ23" s="19" t="n">
        <f aca="false">$B23+CQ$3*100*$A23</f>
        <v>33.690610891413</v>
      </c>
      <c r="CR23" s="19" t="n">
        <f aca="false">$B23+CR$3*100*$A23</f>
        <v>33.940610891413</v>
      </c>
      <c r="CS23" s="19" t="n">
        <f aca="false">$B23+CS$3*100*$A23</f>
        <v>34.190610891413</v>
      </c>
      <c r="CT23" s="19" t="n">
        <f aca="false">$B23+CT$3*100*$A23</f>
        <v>34.440610891413</v>
      </c>
      <c r="CU23" s="19" t="n">
        <f aca="false">$B23+CU$3*100*$A23</f>
        <v>34.690610891413</v>
      </c>
      <c r="CV23" s="19" t="n">
        <f aca="false">$B23+CV$3*100*$A23</f>
        <v>34.940610891413</v>
      </c>
      <c r="CW23" s="19" t="n">
        <f aca="false">$B23+CW$3*100*$A23</f>
        <v>35.190610891413</v>
      </c>
      <c r="CX23" s="19" t="n">
        <f aca="false">$B23+CX$3*100*$A23</f>
        <v>35.440610891413</v>
      </c>
      <c r="CY23" s="19" t="n">
        <f aca="false">$B23+CY$3*100*$A23</f>
        <v>35.690610891413</v>
      </c>
      <c r="CZ23" s="19" t="n">
        <f aca="false">$B23+CZ$3*100*$A23</f>
        <v>35.940610891413</v>
      </c>
      <c r="DA23" s="19" t="n">
        <f aca="false">$B23+DA$3*100*$A23</f>
        <v>36.190610891413</v>
      </c>
      <c r="DB23" s="19" t="n">
        <f aca="false">$B23+DB$3*100*$A23</f>
        <v>36.440610891413</v>
      </c>
      <c r="DC23" s="19" t="n">
        <f aca="false">$B23+DC$3*100*$A23</f>
        <v>36.690610891413</v>
      </c>
      <c r="DD23" s="19" t="n">
        <f aca="false">$B23+DD$3*100*$A23</f>
        <v>36.940610891413</v>
      </c>
      <c r="DE23" s="19" t="n">
        <f aca="false">$B23+DE$3*100*$A23</f>
        <v>37.190610891413</v>
      </c>
      <c r="DF23" s="19" t="n">
        <f aca="false">$B23+DF$3*100*$A23</f>
        <v>37.440610891413</v>
      </c>
      <c r="DG23" s="19" t="n">
        <f aca="false">$B23+DG$3*100*$A23</f>
        <v>37.690610891413</v>
      </c>
      <c r="DH23" s="19" t="n">
        <f aca="false">$B23+DH$3*100*$A23</f>
        <v>37.940610891413</v>
      </c>
      <c r="DI23" s="19" t="n">
        <f aca="false">$B23+DI$3*100*$A23</f>
        <v>38.190610891413</v>
      </c>
      <c r="DJ23" s="19" t="n">
        <f aca="false">$B23+DJ$3*100*$A23</f>
        <v>38.440610891413</v>
      </c>
      <c r="DK23" s="19" t="n">
        <f aca="false">$B23+DK$3*100*$A23</f>
        <v>38.690610891413</v>
      </c>
      <c r="DL23" s="19" t="n">
        <f aca="false">$B23+DL$3*100*$A23</f>
        <v>38.940610891413</v>
      </c>
      <c r="DM23" s="19" t="n">
        <f aca="false">$B23+DM$3*100*$A23</f>
        <v>39.190610891413</v>
      </c>
      <c r="DN23" s="19" t="n">
        <f aca="false">$B23+DN$3*100*$A23</f>
        <v>39.440610891413</v>
      </c>
      <c r="DO23" s="19" t="n">
        <f aca="false">$B23+DO$3*100*$A23</f>
        <v>39.690610891413</v>
      </c>
      <c r="DP23" s="19" t="n">
        <f aca="false">$B23+DP$3*100*$A23</f>
        <v>39.940610891413</v>
      </c>
      <c r="DQ23" s="19" t="n">
        <f aca="false">$B23+DQ$3*100*$A23</f>
        <v>40.190610891413</v>
      </c>
      <c r="DR23" s="19" t="n">
        <f aca="false">$B23+DR$3*100*$A23</f>
        <v>40.440610891413</v>
      </c>
      <c r="DS23" s="19" t="n">
        <f aca="false">$B23+DS$3*100*$A23</f>
        <v>40.690610891413</v>
      </c>
      <c r="DT23" s="19" t="n">
        <f aca="false">$B23+DT$3*100*$A23</f>
        <v>40.940610891413</v>
      </c>
      <c r="DU23" s="19" t="n">
        <f aca="false">$B23+DU$3*100*$A23</f>
        <v>41.190610891413</v>
      </c>
      <c r="DV23" s="19" t="n">
        <f aca="false">$B23+DV$3*100*$A23</f>
        <v>41.440610891413</v>
      </c>
      <c r="DW23" s="19" t="n">
        <f aca="false">$B23+DW$3*100*$A23</f>
        <v>41.690610891413</v>
      </c>
      <c r="DX23" s="19" t="n">
        <f aca="false">$B23+DX$3*100*$A23</f>
        <v>41.940610891413</v>
      </c>
      <c r="DY23" s="19" t="n">
        <f aca="false">$B23+DY$3*100*$A23</f>
        <v>42.190610891413</v>
      </c>
      <c r="DZ23" s="19" t="n">
        <f aca="false">$B23+DZ$3*100*$A23</f>
        <v>42.440610891413</v>
      </c>
      <c r="EA23" s="19" t="n">
        <f aca="false">$B23+EA$3*100*$A23</f>
        <v>42.690610891413</v>
      </c>
      <c r="EB23" s="19" t="n">
        <f aca="false">$B23+EB$3*100*$A23</f>
        <v>42.940610891413</v>
      </c>
      <c r="EC23" s="19" t="n">
        <f aca="false">$B23+EC$3*100*$A23</f>
        <v>43.190610891413</v>
      </c>
      <c r="ED23" s="19" t="n">
        <f aca="false">$B23+ED$3*100*$A23</f>
        <v>43.440610891413</v>
      </c>
      <c r="EE23" s="19" t="n">
        <f aca="false">$B23+EE$3*100*$A23</f>
        <v>43.690610891413</v>
      </c>
      <c r="EF23" s="19" t="n">
        <f aca="false">$B23+EF$3*100*$A23</f>
        <v>43.940610891413</v>
      </c>
      <c r="EG23" s="19" t="n">
        <f aca="false">$B23+EG$3*100*$A23</f>
        <v>44.190610891413</v>
      </c>
      <c r="EH23" s="19" t="n">
        <f aca="false">$B23+EH$3*100*$A23</f>
        <v>44.440610891413</v>
      </c>
      <c r="EI23" s="19" t="n">
        <f aca="false">$B23+EI$3*100*$A23</f>
        <v>44.690610891413</v>
      </c>
      <c r="EJ23" s="19" t="n">
        <f aca="false">$B23+EJ$3*100*$A23</f>
        <v>44.940610891413</v>
      </c>
      <c r="EK23" s="19" t="n">
        <f aca="false">$B23+EK$3*100*$A23</f>
        <v>45.190610891413</v>
      </c>
      <c r="EL23" s="19" t="n">
        <f aca="false">$B23+EL$3*100*$A23</f>
        <v>45.440610891413</v>
      </c>
      <c r="EM23" s="19" t="n">
        <f aca="false">$B23+EM$3*100*$A23</f>
        <v>45.690610891413</v>
      </c>
      <c r="EN23" s="19" t="n">
        <f aca="false">$B23+EN$3*100*$A23</f>
        <v>45.940610891413</v>
      </c>
      <c r="EO23" s="19" t="n">
        <f aca="false">$B23+EO$3*100*$A23</f>
        <v>46.190610891413</v>
      </c>
      <c r="EP23" s="19" t="n">
        <f aca="false">$B23+EP$3*100*$A23</f>
        <v>46.440610891413</v>
      </c>
      <c r="EQ23" s="19" t="n">
        <f aca="false">$B23+EQ$3*100*$A23</f>
        <v>46.690610891413</v>
      </c>
      <c r="ER23" s="19" t="n">
        <f aca="false">$B23+ER$3*100*$A23</f>
        <v>46.940610891413</v>
      </c>
      <c r="ES23" s="19" t="n">
        <f aca="false">$B23+ES$3*100*$A23</f>
        <v>47.190610891413</v>
      </c>
      <c r="ET23" s="19" t="n">
        <f aca="false">$B23+ET$3*100*$A23</f>
        <v>47.440610891413</v>
      </c>
      <c r="EU23" s="19" t="n">
        <f aca="false">$B23+EU$3*100*$A23</f>
        <v>47.690610891413</v>
      </c>
      <c r="EV23" s="19" t="n">
        <f aca="false">$B23+EV$3*100*$A23</f>
        <v>47.940610891413</v>
      </c>
      <c r="EW23" s="19" t="n">
        <f aca="false">$B23+EW$3*100*$A23</f>
        <v>48.190610891413</v>
      </c>
      <c r="EX23" s="19" t="n">
        <f aca="false">$B23+EX$3*100*$A23</f>
        <v>48.440610891413</v>
      </c>
      <c r="EY23" s="19" t="n">
        <f aca="false">$B23+EY$3*100*$A23</f>
        <v>48.690610891413</v>
      </c>
      <c r="EZ23" s="19" t="n">
        <f aca="false">$B23+EZ$3*100*$A23</f>
        <v>48.940610891413</v>
      </c>
      <c r="FA23" s="19" t="n">
        <f aca="false">$B23+FA$3*100*$A23</f>
        <v>49.190610891413</v>
      </c>
      <c r="FB23" s="19" t="n">
        <f aca="false">$B23+FB$3*100*$A23</f>
        <v>49.440610891413</v>
      </c>
      <c r="FC23" s="19" t="n">
        <f aca="false">$B23+FC$3*100*$A23</f>
        <v>49.690610891413</v>
      </c>
      <c r="FD23" s="19" t="n">
        <f aca="false">$B23+FD$3*100*$A23</f>
        <v>49.940610891413</v>
      </c>
      <c r="FE23" s="19" t="n">
        <f aca="false">$B23+FE$3*100*$A23</f>
        <v>50.190610891413</v>
      </c>
      <c r="FF23" s="19" t="n">
        <f aca="false">$B23+FF$3*100*$A23</f>
        <v>50.440610891413</v>
      </c>
      <c r="FG23" s="19" t="n">
        <f aca="false">$B23+FG$3*100*$A23</f>
        <v>50.690610891413</v>
      </c>
      <c r="FH23" s="19" t="n">
        <f aca="false">$B23+FH$3*100*$A23</f>
        <v>50.940610891413</v>
      </c>
      <c r="FI23" s="19" t="n">
        <f aca="false">$B23+FI$3*100*$A23</f>
        <v>51.190610891413</v>
      </c>
      <c r="FJ23" s="19" t="n">
        <f aca="false">$B23+FJ$3*100*$A23</f>
        <v>51.440610891413</v>
      </c>
      <c r="FK23" s="19" t="n">
        <f aca="false">$B23+FK$3*100*$A23</f>
        <v>51.690610891413</v>
      </c>
      <c r="FL23" s="19" t="n">
        <f aca="false">$B23+FL$3*100*$A23</f>
        <v>51.940610891413</v>
      </c>
      <c r="FM23" s="19" t="n">
        <f aca="false">$B23+FM$3*100*$A23</f>
        <v>52.190610891413</v>
      </c>
      <c r="FN23" s="19" t="n">
        <f aca="false">$B23+FN$3*100*$A23</f>
        <v>52.440610891413</v>
      </c>
      <c r="FO23" s="19" t="n">
        <f aca="false">$B23+FO$3*100*$A23</f>
        <v>52.690610891413</v>
      </c>
      <c r="FP23" s="19" t="n">
        <f aca="false">$B23+FP$3*100*$A23</f>
        <v>52.940610891413</v>
      </c>
      <c r="FQ23" s="19" t="n">
        <f aca="false">$B23+FQ$3*100*$A23</f>
        <v>53.190610891413</v>
      </c>
      <c r="FR23" s="19" t="n">
        <f aca="false">$B23+FR$3*100*$A23</f>
        <v>53.440610891413</v>
      </c>
      <c r="FS23" s="19" t="n">
        <f aca="false">$B23+FS$3*100*$A23</f>
        <v>53.690610891413</v>
      </c>
      <c r="FT23" s="19" t="n">
        <f aca="false">$B23+FT$3*100*$A23</f>
        <v>53.940610891413</v>
      </c>
      <c r="FU23" s="19" t="n">
        <f aca="false">$B23+FU$3*100*$A23</f>
        <v>54.190610891413</v>
      </c>
      <c r="FV23" s="19" t="n">
        <f aca="false">$B23+FV$3*100*$A23</f>
        <v>54.440610891413</v>
      </c>
      <c r="FW23" s="19" t="n">
        <f aca="false">$B23+FW$3*100*$A23</f>
        <v>54.690610891413</v>
      </c>
      <c r="FX23" s="19" t="n">
        <f aca="false">$B23+FX$3*100*$A23</f>
        <v>54.940610891413</v>
      </c>
      <c r="FY23" s="19" t="n">
        <f aca="false">$B23+FY$3*100*$A23</f>
        <v>55.190610891413</v>
      </c>
      <c r="FZ23" s="19" t="n">
        <f aca="false">$B23+FZ$3*100*$A23</f>
        <v>55.440610891413</v>
      </c>
      <c r="GA23" s="19" t="n">
        <f aca="false">$B23+GA$3*100*$A23</f>
        <v>55.690610891413</v>
      </c>
      <c r="GB23" s="19" t="n">
        <f aca="false">$B23+GB$3*100*$A23</f>
        <v>55.940610891413</v>
      </c>
      <c r="GC23" s="19" t="n">
        <f aca="false">$B23+GC$3*100*$A23</f>
        <v>56.190610891413</v>
      </c>
      <c r="GD23" s="19" t="n">
        <f aca="false">$B23+GD$3*100*$A23</f>
        <v>56.440610891413</v>
      </c>
      <c r="GE23" s="19" t="n">
        <f aca="false">$B23+GE$3*100*$A23</f>
        <v>56.690610891413</v>
      </c>
      <c r="GF23" s="19" t="n">
        <f aca="false">$B23+GF$3*100*$A23</f>
        <v>56.940610891413</v>
      </c>
      <c r="GG23" s="19" t="n">
        <f aca="false">$B23+GG$3*100*$A23</f>
        <v>57.190610891413</v>
      </c>
      <c r="GH23" s="19" t="n">
        <f aca="false">$B23+GH$3*100*$A23</f>
        <v>57.440610891413</v>
      </c>
      <c r="GI23" s="19" t="n">
        <f aca="false">$B23+GI$3*100*$A23</f>
        <v>57.690610891413</v>
      </c>
      <c r="GJ23" s="19" t="n">
        <f aca="false">$B23+GJ$3*100*$A23</f>
        <v>57.940610891413</v>
      </c>
      <c r="GK23" s="19" t="n">
        <f aca="false">$B23+GK$3*100*$A23</f>
        <v>58.190610891413</v>
      </c>
      <c r="GL23" s="19" t="n">
        <f aca="false">$B23+GL$3*100*$A23</f>
        <v>58.440610891413</v>
      </c>
      <c r="GM23" s="19" t="n">
        <f aca="false">$B23+GM$3*100*$A23</f>
        <v>58.690610891413</v>
      </c>
      <c r="GN23" s="19" t="n">
        <f aca="false">$B23+GN$3*100*$A23</f>
        <v>58.940610891413</v>
      </c>
      <c r="GO23" s="19" t="n">
        <f aca="false">$B23+GO$3*100*$A23</f>
        <v>59.190610891413</v>
      </c>
      <c r="GP23" s="19" t="n">
        <f aca="false">$B23+GP$3*100*$A23</f>
        <v>59.440610891413</v>
      </c>
      <c r="GQ23" s="19" t="n">
        <f aca="false">$B23+GQ$3*100*$A23</f>
        <v>59.690610891413</v>
      </c>
      <c r="GR23" s="19" t="n">
        <f aca="false">$B23+GR$3*100*$A23</f>
        <v>59.940610891413</v>
      </c>
      <c r="GS23" s="19" t="n">
        <f aca="false">$B23+GS$3*100*$A23</f>
        <v>60.190610891413</v>
      </c>
      <c r="GT23" s="19" t="n">
        <f aca="false">$B23+GT$3*100*$A23</f>
        <v>60.440610891413</v>
      </c>
    </row>
    <row r="24" customFormat="false" ht="15" hidden="false" customHeight="false" outlineLevel="0" collapsed="false">
      <c r="A24" s="26" t="n">
        <f aca="false">Frontier!A22</f>
        <v>0.0525</v>
      </c>
      <c r="B24" s="34" t="n">
        <f aca="false">Frontier!B22</f>
        <v>10.0012249091757</v>
      </c>
      <c r="C24" s="19" t="n">
        <f aca="false">$B24+C$3*100*$A24</f>
        <v>10.2637249091757</v>
      </c>
      <c r="D24" s="19" t="n">
        <f aca="false">$B24+D$3*100*$A24</f>
        <v>10.5262249091757</v>
      </c>
      <c r="E24" s="19" t="n">
        <f aca="false">$B24+E$3*100*$A24</f>
        <v>10.7887249091757</v>
      </c>
      <c r="F24" s="19" t="n">
        <f aca="false">$B24+F$3*100*$A24</f>
        <v>11.0512249091757</v>
      </c>
      <c r="G24" s="19" t="n">
        <f aca="false">$B24+G$3*100*$A24</f>
        <v>11.3137249091757</v>
      </c>
      <c r="H24" s="19" t="n">
        <f aca="false">$B24+H$3*100*$A24</f>
        <v>11.5762249091757</v>
      </c>
      <c r="I24" s="19" t="n">
        <f aca="false">$B24+I$3*100*$A24</f>
        <v>11.8387249091757</v>
      </c>
      <c r="J24" s="19" t="n">
        <f aca="false">$B24+J$3*100*$A24</f>
        <v>12.1012249091757</v>
      </c>
      <c r="K24" s="19" t="n">
        <f aca="false">$B24+K$3*100*$A24</f>
        <v>12.3637249091757</v>
      </c>
      <c r="L24" s="19" t="n">
        <f aca="false">$B24+L$3*100*$A24</f>
        <v>12.6262249091757</v>
      </c>
      <c r="M24" s="19" t="n">
        <f aca="false">$B24+M$3*100*$A24</f>
        <v>12.8887249091757</v>
      </c>
      <c r="N24" s="19" t="n">
        <f aca="false">$B24+N$3*100*$A24</f>
        <v>13.1512249091757</v>
      </c>
      <c r="O24" s="19" t="n">
        <f aca="false">$B24+O$3*100*$A24</f>
        <v>13.4137249091757</v>
      </c>
      <c r="P24" s="19" t="n">
        <f aca="false">$B24+P$3*100*$A24</f>
        <v>13.6762249091757</v>
      </c>
      <c r="Q24" s="19" t="n">
        <f aca="false">$B24+Q$3*100*$A24</f>
        <v>13.9387249091757</v>
      </c>
      <c r="R24" s="19" t="n">
        <f aca="false">$B24+R$3*100*$A24</f>
        <v>14.2012249091757</v>
      </c>
      <c r="S24" s="19" t="n">
        <f aca="false">$B24+S$3*100*$A24</f>
        <v>14.4637249091757</v>
      </c>
      <c r="T24" s="19" t="n">
        <f aca="false">$B24+T$3*100*$A24</f>
        <v>14.7262249091757</v>
      </c>
      <c r="U24" s="19" t="n">
        <f aca="false">$B24+U$3*100*$A24</f>
        <v>14.9887249091757</v>
      </c>
      <c r="V24" s="19" t="n">
        <f aca="false">$B24+V$3*100*$A24</f>
        <v>15.2512249091757</v>
      </c>
      <c r="W24" s="19" t="n">
        <f aca="false">$B24+W$3*100*$A24</f>
        <v>15.5137249091757</v>
      </c>
      <c r="X24" s="19" t="n">
        <f aca="false">$B24+X$3*100*$A24</f>
        <v>15.7762249091757</v>
      </c>
      <c r="Y24" s="19" t="n">
        <f aca="false">$B24+Y$3*100*$A24</f>
        <v>16.0387249091757</v>
      </c>
      <c r="Z24" s="19" t="n">
        <f aca="false">$B24+Z$3*100*$A24</f>
        <v>16.3012249091757</v>
      </c>
      <c r="AA24" s="19" t="n">
        <f aca="false">$B24+AA$3*100*$A24</f>
        <v>16.5637249091757</v>
      </c>
      <c r="AB24" s="19" t="n">
        <f aca="false">$B24+AB$3*100*$A24</f>
        <v>16.8262249091757</v>
      </c>
      <c r="AC24" s="19" t="n">
        <f aca="false">$B24+AC$3*100*$A24</f>
        <v>17.0887249091757</v>
      </c>
      <c r="AD24" s="19" t="n">
        <f aca="false">$B24+AD$3*100*$A24</f>
        <v>17.3512249091757</v>
      </c>
      <c r="AE24" s="19" t="n">
        <f aca="false">$B24+AE$3*100*$A24</f>
        <v>17.6137249091757</v>
      </c>
      <c r="AF24" s="19" t="n">
        <f aca="false">$B24+AF$3*100*$A24</f>
        <v>17.8762249091757</v>
      </c>
      <c r="AG24" s="19" t="n">
        <f aca="false">$B24+AG$3*100*$A24</f>
        <v>18.1387249091757</v>
      </c>
      <c r="AH24" s="19" t="n">
        <f aca="false">$B24+AH$3*100*$A24</f>
        <v>18.4012249091757</v>
      </c>
      <c r="AI24" s="19" t="n">
        <f aca="false">$B24+AI$3*100*$A24</f>
        <v>18.6637249091757</v>
      </c>
      <c r="AJ24" s="19" t="n">
        <f aca="false">$B24+AJ$3*100*$A24</f>
        <v>18.9262249091757</v>
      </c>
      <c r="AK24" s="19" t="n">
        <f aca="false">$B24+AK$3*100*$A24</f>
        <v>19.1887249091757</v>
      </c>
      <c r="AL24" s="19" t="n">
        <f aca="false">$B24+AL$3*100*$A24</f>
        <v>19.4512249091757</v>
      </c>
      <c r="AM24" s="19" t="n">
        <f aca="false">$B24+AM$3*100*$A24</f>
        <v>19.7137249091757</v>
      </c>
      <c r="AN24" s="19" t="n">
        <f aca="false">$B24+AN$3*100*$A24</f>
        <v>19.9762249091757</v>
      </c>
      <c r="AO24" s="19" t="n">
        <f aca="false">$B24+AO$3*100*$A24</f>
        <v>20.2387249091757</v>
      </c>
      <c r="AP24" s="19" t="n">
        <f aca="false">$B24+AP$3*100*$A24</f>
        <v>20.5012249091757</v>
      </c>
      <c r="AQ24" s="19" t="n">
        <f aca="false">$B24+AQ$3*100*$A24</f>
        <v>20.7637249091757</v>
      </c>
      <c r="AR24" s="19" t="n">
        <f aca="false">$B24+AR$3*100*$A24</f>
        <v>21.0262249091757</v>
      </c>
      <c r="AS24" s="19" t="n">
        <f aca="false">$B24+AS$3*100*$A24</f>
        <v>21.2887249091757</v>
      </c>
      <c r="AT24" s="19" t="n">
        <f aca="false">$B24+AT$3*100*$A24</f>
        <v>21.5512249091757</v>
      </c>
      <c r="AU24" s="19" t="n">
        <f aca="false">$B24+AU$3*100*$A24</f>
        <v>21.8137249091757</v>
      </c>
      <c r="AV24" s="19" t="n">
        <f aca="false">$B24+AV$3*100*$A24</f>
        <v>22.0762249091757</v>
      </c>
      <c r="AW24" s="19" t="n">
        <f aca="false">$B24+AW$3*100*$A24</f>
        <v>22.3387249091757</v>
      </c>
      <c r="AX24" s="19" t="n">
        <f aca="false">$B24+AX$3*100*$A24</f>
        <v>22.6012249091757</v>
      </c>
      <c r="AY24" s="19" t="n">
        <f aca="false">$B24+AY$3*100*$A24</f>
        <v>22.8637249091757</v>
      </c>
      <c r="AZ24" s="19" t="n">
        <f aca="false">$B24+AZ$3*100*$A24</f>
        <v>23.1262249091757</v>
      </c>
      <c r="BA24" s="19" t="n">
        <f aca="false">$B24+BA$3*100*$A24</f>
        <v>23.3887249091757</v>
      </c>
      <c r="BB24" s="19" t="n">
        <f aca="false">$B24+BB$3*100*$A24</f>
        <v>23.6512249091757</v>
      </c>
      <c r="BC24" s="19" t="n">
        <f aca="false">$B24+BC$3*100*$A24</f>
        <v>23.9137249091757</v>
      </c>
      <c r="BD24" s="19" t="n">
        <f aca="false">$B24+BD$3*100*$A24</f>
        <v>24.1762249091757</v>
      </c>
      <c r="BE24" s="19" t="n">
        <f aca="false">$B24+BE$3*100*$A24</f>
        <v>24.4387249091757</v>
      </c>
      <c r="BF24" s="19" t="n">
        <f aca="false">$B24+BF$3*100*$A24</f>
        <v>24.7012249091757</v>
      </c>
      <c r="BG24" s="19" t="n">
        <f aca="false">$B24+BG$3*100*$A24</f>
        <v>24.9637249091757</v>
      </c>
      <c r="BH24" s="19" t="n">
        <f aca="false">$B24+BH$3*100*$A24</f>
        <v>25.2262249091757</v>
      </c>
      <c r="BI24" s="19" t="n">
        <f aca="false">$B24+BI$3*100*$A24</f>
        <v>25.4887249091757</v>
      </c>
      <c r="BJ24" s="19" t="n">
        <f aca="false">$B24+BJ$3*100*$A24</f>
        <v>25.7512249091757</v>
      </c>
      <c r="BK24" s="19" t="n">
        <f aca="false">$B24+BK$3*100*$A24</f>
        <v>26.0137249091757</v>
      </c>
      <c r="BL24" s="19" t="n">
        <f aca="false">$B24+BL$3*100*$A24</f>
        <v>26.2762249091757</v>
      </c>
      <c r="BM24" s="19" t="n">
        <f aca="false">$B24+BM$3*100*$A24</f>
        <v>26.5387249091757</v>
      </c>
      <c r="BN24" s="19" t="n">
        <f aca="false">$B24+BN$3*100*$A24</f>
        <v>26.8012249091757</v>
      </c>
      <c r="BO24" s="19" t="n">
        <f aca="false">$B24+BO$3*100*$A24</f>
        <v>27.0637249091757</v>
      </c>
      <c r="BP24" s="19" t="n">
        <f aca="false">$B24+BP$3*100*$A24</f>
        <v>27.3262249091757</v>
      </c>
      <c r="BQ24" s="19" t="n">
        <f aca="false">$B24+BQ$3*100*$A24</f>
        <v>27.5887249091757</v>
      </c>
      <c r="BR24" s="19" t="n">
        <f aca="false">$B24+BR$3*100*$A24</f>
        <v>27.8512249091757</v>
      </c>
      <c r="BS24" s="19" t="n">
        <f aca="false">$B24+BS$3*100*$A24</f>
        <v>28.1137249091757</v>
      </c>
      <c r="BT24" s="19" t="n">
        <f aca="false">$B24+BT$3*100*$A24</f>
        <v>28.3762249091757</v>
      </c>
      <c r="BU24" s="19" t="n">
        <f aca="false">$B24+BU$3*100*$A24</f>
        <v>28.6387249091757</v>
      </c>
      <c r="BV24" s="19" t="n">
        <f aca="false">$B24+BV$3*100*$A24</f>
        <v>28.9012249091757</v>
      </c>
      <c r="BW24" s="19" t="n">
        <f aca="false">$B24+BW$3*100*$A24</f>
        <v>29.1637249091757</v>
      </c>
      <c r="BX24" s="19" t="n">
        <f aca="false">$B24+BX$3*100*$A24</f>
        <v>29.4262249091757</v>
      </c>
      <c r="BY24" s="19" t="n">
        <f aca="false">$B24+BY$3*100*$A24</f>
        <v>29.6887249091757</v>
      </c>
      <c r="BZ24" s="19" t="n">
        <f aca="false">$B24+BZ$3*100*$A24</f>
        <v>29.9512249091757</v>
      </c>
      <c r="CA24" s="19" t="n">
        <f aca="false">$B24+CA$3*100*$A24</f>
        <v>30.2137249091757</v>
      </c>
      <c r="CB24" s="19" t="n">
        <f aca="false">$B24+CB$3*100*$A24</f>
        <v>30.4762249091757</v>
      </c>
      <c r="CC24" s="19" t="n">
        <f aca="false">$B24+CC$3*100*$A24</f>
        <v>30.7387249091757</v>
      </c>
      <c r="CD24" s="19" t="n">
        <f aca="false">$B24+CD$3*100*$A24</f>
        <v>31.0012249091757</v>
      </c>
      <c r="CE24" s="19" t="n">
        <f aca="false">$B24+CE$3*100*$A24</f>
        <v>31.2637249091757</v>
      </c>
      <c r="CF24" s="19" t="n">
        <f aca="false">$B24+CF$3*100*$A24</f>
        <v>31.5262249091757</v>
      </c>
      <c r="CG24" s="19" t="n">
        <f aca="false">$B24+CG$3*100*$A24</f>
        <v>31.7887249091757</v>
      </c>
      <c r="CH24" s="19" t="n">
        <f aca="false">$B24+CH$3*100*$A24</f>
        <v>32.0512249091757</v>
      </c>
      <c r="CI24" s="19" t="n">
        <f aca="false">$B24+CI$3*100*$A24</f>
        <v>32.3137249091757</v>
      </c>
      <c r="CJ24" s="19" t="n">
        <f aca="false">$B24+CJ$3*100*$A24</f>
        <v>32.5762249091757</v>
      </c>
      <c r="CK24" s="19" t="n">
        <f aca="false">$B24+CK$3*100*$A24</f>
        <v>32.8387249091757</v>
      </c>
      <c r="CL24" s="19" t="n">
        <f aca="false">$B24+CL$3*100*$A24</f>
        <v>33.1012249091757</v>
      </c>
      <c r="CM24" s="19" t="n">
        <f aca="false">$B24+CM$3*100*$A24</f>
        <v>33.3637249091757</v>
      </c>
      <c r="CN24" s="19" t="n">
        <f aca="false">$B24+CN$3*100*$A24</f>
        <v>33.6262249091757</v>
      </c>
      <c r="CO24" s="19" t="n">
        <f aca="false">$B24+CO$3*100*$A24</f>
        <v>33.8887249091757</v>
      </c>
      <c r="CP24" s="19" t="n">
        <f aca="false">$B24+CP$3*100*$A24</f>
        <v>34.1512249091757</v>
      </c>
      <c r="CQ24" s="19" t="n">
        <f aca="false">$B24+CQ$3*100*$A24</f>
        <v>34.4137249091757</v>
      </c>
      <c r="CR24" s="19" t="n">
        <f aca="false">$B24+CR$3*100*$A24</f>
        <v>34.6762249091757</v>
      </c>
      <c r="CS24" s="19" t="n">
        <f aca="false">$B24+CS$3*100*$A24</f>
        <v>34.9387249091757</v>
      </c>
      <c r="CT24" s="19" t="n">
        <f aca="false">$B24+CT$3*100*$A24</f>
        <v>35.2012249091757</v>
      </c>
      <c r="CU24" s="19" t="n">
        <f aca="false">$B24+CU$3*100*$A24</f>
        <v>35.4637249091757</v>
      </c>
      <c r="CV24" s="19" t="n">
        <f aca="false">$B24+CV$3*100*$A24</f>
        <v>35.7262249091757</v>
      </c>
      <c r="CW24" s="19" t="n">
        <f aca="false">$B24+CW$3*100*$A24</f>
        <v>35.9887249091757</v>
      </c>
      <c r="CX24" s="19" t="n">
        <f aca="false">$B24+CX$3*100*$A24</f>
        <v>36.2512249091757</v>
      </c>
      <c r="CY24" s="19" t="n">
        <f aca="false">$B24+CY$3*100*$A24</f>
        <v>36.5137249091757</v>
      </c>
      <c r="CZ24" s="19" t="n">
        <f aca="false">$B24+CZ$3*100*$A24</f>
        <v>36.7762249091757</v>
      </c>
      <c r="DA24" s="19" t="n">
        <f aca="false">$B24+DA$3*100*$A24</f>
        <v>37.0387249091757</v>
      </c>
      <c r="DB24" s="19" t="n">
        <f aca="false">$B24+DB$3*100*$A24</f>
        <v>37.3012249091757</v>
      </c>
      <c r="DC24" s="19" t="n">
        <f aca="false">$B24+DC$3*100*$A24</f>
        <v>37.5637249091757</v>
      </c>
      <c r="DD24" s="19" t="n">
        <f aca="false">$B24+DD$3*100*$A24</f>
        <v>37.8262249091757</v>
      </c>
      <c r="DE24" s="19" t="n">
        <f aca="false">$B24+DE$3*100*$A24</f>
        <v>38.0887249091757</v>
      </c>
      <c r="DF24" s="19" t="n">
        <f aca="false">$B24+DF$3*100*$A24</f>
        <v>38.3512249091757</v>
      </c>
      <c r="DG24" s="19" t="n">
        <f aca="false">$B24+DG$3*100*$A24</f>
        <v>38.6137249091757</v>
      </c>
      <c r="DH24" s="19" t="n">
        <f aca="false">$B24+DH$3*100*$A24</f>
        <v>38.8762249091757</v>
      </c>
      <c r="DI24" s="19" t="n">
        <f aca="false">$B24+DI$3*100*$A24</f>
        <v>39.1387249091757</v>
      </c>
      <c r="DJ24" s="19" t="n">
        <f aca="false">$B24+DJ$3*100*$A24</f>
        <v>39.4012249091757</v>
      </c>
      <c r="DK24" s="19" t="n">
        <f aca="false">$B24+DK$3*100*$A24</f>
        <v>39.6637249091757</v>
      </c>
      <c r="DL24" s="19" t="n">
        <f aca="false">$B24+DL$3*100*$A24</f>
        <v>39.9262249091757</v>
      </c>
      <c r="DM24" s="19" t="n">
        <f aca="false">$B24+DM$3*100*$A24</f>
        <v>40.1887249091757</v>
      </c>
      <c r="DN24" s="19" t="n">
        <f aca="false">$B24+DN$3*100*$A24</f>
        <v>40.4512249091757</v>
      </c>
      <c r="DO24" s="19" t="n">
        <f aca="false">$B24+DO$3*100*$A24</f>
        <v>40.7137249091757</v>
      </c>
      <c r="DP24" s="19" t="n">
        <f aca="false">$B24+DP$3*100*$A24</f>
        <v>40.9762249091757</v>
      </c>
      <c r="DQ24" s="19" t="n">
        <f aca="false">$B24+DQ$3*100*$A24</f>
        <v>41.2387249091757</v>
      </c>
      <c r="DR24" s="19" t="n">
        <f aca="false">$B24+DR$3*100*$A24</f>
        <v>41.5012249091757</v>
      </c>
      <c r="DS24" s="19" t="n">
        <f aca="false">$B24+DS$3*100*$A24</f>
        <v>41.7637249091757</v>
      </c>
      <c r="DT24" s="19" t="n">
        <f aca="false">$B24+DT$3*100*$A24</f>
        <v>42.0262249091757</v>
      </c>
      <c r="DU24" s="19" t="n">
        <f aca="false">$B24+DU$3*100*$A24</f>
        <v>42.2887249091757</v>
      </c>
      <c r="DV24" s="19" t="n">
        <f aca="false">$B24+DV$3*100*$A24</f>
        <v>42.5512249091757</v>
      </c>
      <c r="DW24" s="19" t="n">
        <f aca="false">$B24+DW$3*100*$A24</f>
        <v>42.8137249091757</v>
      </c>
      <c r="DX24" s="19" t="n">
        <f aca="false">$B24+DX$3*100*$A24</f>
        <v>43.0762249091757</v>
      </c>
      <c r="DY24" s="19" t="n">
        <f aca="false">$B24+DY$3*100*$A24</f>
        <v>43.3387249091757</v>
      </c>
      <c r="DZ24" s="19" t="n">
        <f aca="false">$B24+DZ$3*100*$A24</f>
        <v>43.6012249091757</v>
      </c>
      <c r="EA24" s="19" t="n">
        <f aca="false">$B24+EA$3*100*$A24</f>
        <v>43.8637249091757</v>
      </c>
      <c r="EB24" s="19" t="n">
        <f aca="false">$B24+EB$3*100*$A24</f>
        <v>44.1262249091757</v>
      </c>
      <c r="EC24" s="19" t="n">
        <f aca="false">$B24+EC$3*100*$A24</f>
        <v>44.3887249091757</v>
      </c>
      <c r="ED24" s="19" t="n">
        <f aca="false">$B24+ED$3*100*$A24</f>
        <v>44.6512249091757</v>
      </c>
      <c r="EE24" s="19" t="n">
        <f aca="false">$B24+EE$3*100*$A24</f>
        <v>44.9137249091757</v>
      </c>
      <c r="EF24" s="19" t="n">
        <f aca="false">$B24+EF$3*100*$A24</f>
        <v>45.1762249091757</v>
      </c>
      <c r="EG24" s="19" t="n">
        <f aca="false">$B24+EG$3*100*$A24</f>
        <v>45.4387249091757</v>
      </c>
      <c r="EH24" s="19" t="n">
        <f aca="false">$B24+EH$3*100*$A24</f>
        <v>45.7012249091757</v>
      </c>
      <c r="EI24" s="19" t="n">
        <f aca="false">$B24+EI$3*100*$A24</f>
        <v>45.9637249091757</v>
      </c>
      <c r="EJ24" s="19" t="n">
        <f aca="false">$B24+EJ$3*100*$A24</f>
        <v>46.2262249091757</v>
      </c>
      <c r="EK24" s="19" t="n">
        <f aca="false">$B24+EK$3*100*$A24</f>
        <v>46.4887249091757</v>
      </c>
      <c r="EL24" s="19" t="n">
        <f aca="false">$B24+EL$3*100*$A24</f>
        <v>46.7512249091757</v>
      </c>
      <c r="EM24" s="19" t="n">
        <f aca="false">$B24+EM$3*100*$A24</f>
        <v>47.0137249091757</v>
      </c>
      <c r="EN24" s="19" t="n">
        <f aca="false">$B24+EN$3*100*$A24</f>
        <v>47.2762249091757</v>
      </c>
      <c r="EO24" s="19" t="n">
        <f aca="false">$B24+EO$3*100*$A24</f>
        <v>47.5387249091757</v>
      </c>
      <c r="EP24" s="19" t="n">
        <f aca="false">$B24+EP$3*100*$A24</f>
        <v>47.8012249091757</v>
      </c>
      <c r="EQ24" s="19" t="n">
        <f aca="false">$B24+EQ$3*100*$A24</f>
        <v>48.0637249091757</v>
      </c>
      <c r="ER24" s="19" t="n">
        <f aca="false">$B24+ER$3*100*$A24</f>
        <v>48.3262249091757</v>
      </c>
      <c r="ES24" s="19" t="n">
        <f aca="false">$B24+ES$3*100*$A24</f>
        <v>48.5887249091757</v>
      </c>
      <c r="ET24" s="19" t="n">
        <f aca="false">$B24+ET$3*100*$A24</f>
        <v>48.8512249091757</v>
      </c>
      <c r="EU24" s="19" t="n">
        <f aca="false">$B24+EU$3*100*$A24</f>
        <v>49.1137249091757</v>
      </c>
      <c r="EV24" s="19" t="n">
        <f aca="false">$B24+EV$3*100*$A24</f>
        <v>49.3762249091757</v>
      </c>
      <c r="EW24" s="19" t="n">
        <f aca="false">$B24+EW$3*100*$A24</f>
        <v>49.6387249091757</v>
      </c>
      <c r="EX24" s="19" t="n">
        <f aca="false">$B24+EX$3*100*$A24</f>
        <v>49.9012249091757</v>
      </c>
      <c r="EY24" s="19" t="n">
        <f aca="false">$B24+EY$3*100*$A24</f>
        <v>50.1637249091757</v>
      </c>
      <c r="EZ24" s="19" t="n">
        <f aca="false">$B24+EZ$3*100*$A24</f>
        <v>50.4262249091757</v>
      </c>
      <c r="FA24" s="19" t="n">
        <f aca="false">$B24+FA$3*100*$A24</f>
        <v>50.6887249091757</v>
      </c>
      <c r="FB24" s="19" t="n">
        <f aca="false">$B24+FB$3*100*$A24</f>
        <v>50.9512249091757</v>
      </c>
      <c r="FC24" s="19" t="n">
        <f aca="false">$B24+FC$3*100*$A24</f>
        <v>51.2137249091757</v>
      </c>
      <c r="FD24" s="19" t="n">
        <f aca="false">$B24+FD$3*100*$A24</f>
        <v>51.4762249091757</v>
      </c>
      <c r="FE24" s="19" t="n">
        <f aca="false">$B24+FE$3*100*$A24</f>
        <v>51.7387249091757</v>
      </c>
      <c r="FF24" s="19" t="n">
        <f aca="false">$B24+FF$3*100*$A24</f>
        <v>52.0012249091757</v>
      </c>
      <c r="FG24" s="19" t="n">
        <f aca="false">$B24+FG$3*100*$A24</f>
        <v>52.2637249091757</v>
      </c>
      <c r="FH24" s="19" t="n">
        <f aca="false">$B24+FH$3*100*$A24</f>
        <v>52.5262249091757</v>
      </c>
      <c r="FI24" s="19" t="n">
        <f aca="false">$B24+FI$3*100*$A24</f>
        <v>52.7887249091757</v>
      </c>
      <c r="FJ24" s="19" t="n">
        <f aca="false">$B24+FJ$3*100*$A24</f>
        <v>53.0512249091757</v>
      </c>
      <c r="FK24" s="19" t="n">
        <f aca="false">$B24+FK$3*100*$A24</f>
        <v>53.3137249091757</v>
      </c>
      <c r="FL24" s="19" t="n">
        <f aca="false">$B24+FL$3*100*$A24</f>
        <v>53.5762249091757</v>
      </c>
      <c r="FM24" s="19" t="n">
        <f aca="false">$B24+FM$3*100*$A24</f>
        <v>53.8387249091757</v>
      </c>
      <c r="FN24" s="19" t="n">
        <f aca="false">$B24+FN$3*100*$A24</f>
        <v>54.1012249091757</v>
      </c>
      <c r="FO24" s="19" t="n">
        <f aca="false">$B24+FO$3*100*$A24</f>
        <v>54.3637249091757</v>
      </c>
      <c r="FP24" s="19" t="n">
        <f aca="false">$B24+FP$3*100*$A24</f>
        <v>54.6262249091757</v>
      </c>
      <c r="FQ24" s="19" t="n">
        <f aca="false">$B24+FQ$3*100*$A24</f>
        <v>54.8887249091757</v>
      </c>
      <c r="FR24" s="19" t="n">
        <f aca="false">$B24+FR$3*100*$A24</f>
        <v>55.1512249091757</v>
      </c>
      <c r="FS24" s="19" t="n">
        <f aca="false">$B24+FS$3*100*$A24</f>
        <v>55.4137249091757</v>
      </c>
      <c r="FT24" s="19" t="n">
        <f aca="false">$B24+FT$3*100*$A24</f>
        <v>55.6762249091757</v>
      </c>
      <c r="FU24" s="19" t="n">
        <f aca="false">$B24+FU$3*100*$A24</f>
        <v>55.9387249091757</v>
      </c>
      <c r="FV24" s="19" t="n">
        <f aca="false">$B24+FV$3*100*$A24</f>
        <v>56.2012249091757</v>
      </c>
      <c r="FW24" s="19" t="n">
        <f aca="false">$B24+FW$3*100*$A24</f>
        <v>56.4637249091757</v>
      </c>
      <c r="FX24" s="19" t="n">
        <f aca="false">$B24+FX$3*100*$A24</f>
        <v>56.7262249091757</v>
      </c>
      <c r="FY24" s="19" t="n">
        <f aca="false">$B24+FY$3*100*$A24</f>
        <v>56.9887249091757</v>
      </c>
      <c r="FZ24" s="19" t="n">
        <f aca="false">$B24+FZ$3*100*$A24</f>
        <v>57.2512249091757</v>
      </c>
      <c r="GA24" s="19" t="n">
        <f aca="false">$B24+GA$3*100*$A24</f>
        <v>57.5137249091757</v>
      </c>
      <c r="GB24" s="19" t="n">
        <f aca="false">$B24+GB$3*100*$A24</f>
        <v>57.7762249091757</v>
      </c>
      <c r="GC24" s="19" t="n">
        <f aca="false">$B24+GC$3*100*$A24</f>
        <v>58.0387249091757</v>
      </c>
      <c r="GD24" s="19" t="n">
        <f aca="false">$B24+GD$3*100*$A24</f>
        <v>58.3012249091757</v>
      </c>
      <c r="GE24" s="19" t="n">
        <f aca="false">$B24+GE$3*100*$A24</f>
        <v>58.5637249091757</v>
      </c>
      <c r="GF24" s="19" t="n">
        <f aca="false">$B24+GF$3*100*$A24</f>
        <v>58.8262249091757</v>
      </c>
      <c r="GG24" s="19" t="n">
        <f aca="false">$B24+GG$3*100*$A24</f>
        <v>59.0887249091757</v>
      </c>
      <c r="GH24" s="19" t="n">
        <f aca="false">$B24+GH$3*100*$A24</f>
        <v>59.3512249091757</v>
      </c>
      <c r="GI24" s="19" t="n">
        <f aca="false">$B24+GI$3*100*$A24</f>
        <v>59.6137249091757</v>
      </c>
      <c r="GJ24" s="19" t="n">
        <f aca="false">$B24+GJ$3*100*$A24</f>
        <v>59.8762249091757</v>
      </c>
      <c r="GK24" s="19" t="n">
        <f aca="false">$B24+GK$3*100*$A24</f>
        <v>60.1387249091757</v>
      </c>
      <c r="GL24" s="19" t="n">
        <f aca="false">$B24+GL$3*100*$A24</f>
        <v>60.4012249091757</v>
      </c>
      <c r="GM24" s="19" t="n">
        <f aca="false">$B24+GM$3*100*$A24</f>
        <v>60.6637249091757</v>
      </c>
      <c r="GN24" s="19" t="n">
        <f aca="false">$B24+GN$3*100*$A24</f>
        <v>60.9262249091757</v>
      </c>
      <c r="GO24" s="19" t="n">
        <f aca="false">$B24+GO$3*100*$A24</f>
        <v>61.1887249091757</v>
      </c>
      <c r="GP24" s="19" t="n">
        <f aca="false">$B24+GP$3*100*$A24</f>
        <v>61.4512249091757</v>
      </c>
      <c r="GQ24" s="19" t="n">
        <f aca="false">$B24+GQ$3*100*$A24</f>
        <v>61.7137249091757</v>
      </c>
      <c r="GR24" s="19" t="n">
        <f aca="false">$B24+GR$3*100*$A24</f>
        <v>61.9762249091757</v>
      </c>
      <c r="GS24" s="19" t="n">
        <f aca="false">$B24+GS$3*100*$A24</f>
        <v>62.2387249091757</v>
      </c>
      <c r="GT24" s="19" t="n">
        <f aca="false">$B24+GT$3*100*$A24</f>
        <v>62.5012249091757</v>
      </c>
    </row>
    <row r="25" customFormat="false" ht="15" hidden="false" customHeight="false" outlineLevel="0" collapsed="false">
      <c r="A25" s="26" t="n">
        <f aca="false">Frontier!A23</f>
        <v>0.055</v>
      </c>
      <c r="B25" s="34" t="n">
        <f aca="false">Frontier!B23</f>
        <v>9.5814895475586</v>
      </c>
      <c r="C25" s="19" t="n">
        <f aca="false">$B25+C$3*100*$A25</f>
        <v>9.8564895475586</v>
      </c>
      <c r="D25" s="19" t="n">
        <f aca="false">$B25+D$3*100*$A25</f>
        <v>10.1314895475586</v>
      </c>
      <c r="E25" s="19" t="n">
        <f aca="false">$B25+E$3*100*$A25</f>
        <v>10.4064895475586</v>
      </c>
      <c r="F25" s="19" t="n">
        <f aca="false">$B25+F$3*100*$A25</f>
        <v>10.6814895475586</v>
      </c>
      <c r="G25" s="19" t="n">
        <f aca="false">$B25+G$3*100*$A25</f>
        <v>10.9564895475586</v>
      </c>
      <c r="H25" s="19" t="n">
        <f aca="false">$B25+H$3*100*$A25</f>
        <v>11.2314895475586</v>
      </c>
      <c r="I25" s="19" t="n">
        <f aca="false">$B25+I$3*100*$A25</f>
        <v>11.5064895475586</v>
      </c>
      <c r="J25" s="19" t="n">
        <f aca="false">$B25+J$3*100*$A25</f>
        <v>11.7814895475586</v>
      </c>
      <c r="K25" s="19" t="n">
        <f aca="false">$B25+K$3*100*$A25</f>
        <v>12.0564895475586</v>
      </c>
      <c r="L25" s="19" t="n">
        <f aca="false">$B25+L$3*100*$A25</f>
        <v>12.3314895475586</v>
      </c>
      <c r="M25" s="19" t="n">
        <f aca="false">$B25+M$3*100*$A25</f>
        <v>12.6064895475586</v>
      </c>
      <c r="N25" s="19" t="n">
        <f aca="false">$B25+N$3*100*$A25</f>
        <v>12.8814895475586</v>
      </c>
      <c r="O25" s="19" t="n">
        <f aca="false">$B25+O$3*100*$A25</f>
        <v>13.1564895475586</v>
      </c>
      <c r="P25" s="19" t="n">
        <f aca="false">$B25+P$3*100*$A25</f>
        <v>13.4314895475586</v>
      </c>
      <c r="Q25" s="19" t="n">
        <f aca="false">$B25+Q$3*100*$A25</f>
        <v>13.7064895475586</v>
      </c>
      <c r="R25" s="19" t="n">
        <f aca="false">$B25+R$3*100*$A25</f>
        <v>13.9814895475586</v>
      </c>
      <c r="S25" s="19" t="n">
        <f aca="false">$B25+S$3*100*$A25</f>
        <v>14.2564895475586</v>
      </c>
      <c r="T25" s="19" t="n">
        <f aca="false">$B25+T$3*100*$A25</f>
        <v>14.5314895475586</v>
      </c>
      <c r="U25" s="19" t="n">
        <f aca="false">$B25+U$3*100*$A25</f>
        <v>14.8064895475586</v>
      </c>
      <c r="V25" s="19" t="n">
        <f aca="false">$B25+V$3*100*$A25</f>
        <v>15.0814895475586</v>
      </c>
      <c r="W25" s="19" t="n">
        <f aca="false">$B25+W$3*100*$A25</f>
        <v>15.3564895475586</v>
      </c>
      <c r="X25" s="19" t="n">
        <f aca="false">$B25+X$3*100*$A25</f>
        <v>15.6314895475586</v>
      </c>
      <c r="Y25" s="19" t="n">
        <f aca="false">$B25+Y$3*100*$A25</f>
        <v>15.9064895475586</v>
      </c>
      <c r="Z25" s="19" t="n">
        <f aca="false">$B25+Z$3*100*$A25</f>
        <v>16.1814895475586</v>
      </c>
      <c r="AA25" s="19" t="n">
        <f aca="false">$B25+AA$3*100*$A25</f>
        <v>16.4564895475586</v>
      </c>
      <c r="AB25" s="19" t="n">
        <f aca="false">$B25+AB$3*100*$A25</f>
        <v>16.7314895475586</v>
      </c>
      <c r="AC25" s="19" t="n">
        <f aca="false">$B25+AC$3*100*$A25</f>
        <v>17.0064895475586</v>
      </c>
      <c r="AD25" s="19" t="n">
        <f aca="false">$B25+AD$3*100*$A25</f>
        <v>17.2814895475586</v>
      </c>
      <c r="AE25" s="19" t="n">
        <f aca="false">$B25+AE$3*100*$A25</f>
        <v>17.5564895475586</v>
      </c>
      <c r="AF25" s="19" t="n">
        <f aca="false">$B25+AF$3*100*$A25</f>
        <v>17.8314895475586</v>
      </c>
      <c r="AG25" s="19" t="n">
        <f aca="false">$B25+AG$3*100*$A25</f>
        <v>18.1064895475586</v>
      </c>
      <c r="AH25" s="19" t="n">
        <f aca="false">$B25+AH$3*100*$A25</f>
        <v>18.3814895475586</v>
      </c>
      <c r="AI25" s="19" t="n">
        <f aca="false">$B25+AI$3*100*$A25</f>
        <v>18.6564895475586</v>
      </c>
      <c r="AJ25" s="19" t="n">
        <f aca="false">$B25+AJ$3*100*$A25</f>
        <v>18.9314895475586</v>
      </c>
      <c r="AK25" s="19" t="n">
        <f aca="false">$B25+AK$3*100*$A25</f>
        <v>19.2064895475586</v>
      </c>
      <c r="AL25" s="19" t="n">
        <f aca="false">$B25+AL$3*100*$A25</f>
        <v>19.4814895475586</v>
      </c>
      <c r="AM25" s="19" t="n">
        <f aca="false">$B25+AM$3*100*$A25</f>
        <v>19.7564895475586</v>
      </c>
      <c r="AN25" s="19" t="n">
        <f aca="false">$B25+AN$3*100*$A25</f>
        <v>20.0314895475586</v>
      </c>
      <c r="AO25" s="19" t="n">
        <f aca="false">$B25+AO$3*100*$A25</f>
        <v>20.3064895475586</v>
      </c>
      <c r="AP25" s="19" t="n">
        <f aca="false">$B25+AP$3*100*$A25</f>
        <v>20.5814895475586</v>
      </c>
      <c r="AQ25" s="19" t="n">
        <f aca="false">$B25+AQ$3*100*$A25</f>
        <v>20.8564895475586</v>
      </c>
      <c r="AR25" s="19" t="n">
        <f aca="false">$B25+AR$3*100*$A25</f>
        <v>21.1314895475586</v>
      </c>
      <c r="AS25" s="19" t="n">
        <f aca="false">$B25+AS$3*100*$A25</f>
        <v>21.4064895475586</v>
      </c>
      <c r="AT25" s="19" t="n">
        <f aca="false">$B25+AT$3*100*$A25</f>
        <v>21.6814895475586</v>
      </c>
      <c r="AU25" s="19" t="n">
        <f aca="false">$B25+AU$3*100*$A25</f>
        <v>21.9564895475586</v>
      </c>
      <c r="AV25" s="19" t="n">
        <f aca="false">$B25+AV$3*100*$A25</f>
        <v>22.2314895475586</v>
      </c>
      <c r="AW25" s="19" t="n">
        <f aca="false">$B25+AW$3*100*$A25</f>
        <v>22.5064895475586</v>
      </c>
      <c r="AX25" s="19" t="n">
        <f aca="false">$B25+AX$3*100*$A25</f>
        <v>22.7814895475586</v>
      </c>
      <c r="AY25" s="19" t="n">
        <f aca="false">$B25+AY$3*100*$A25</f>
        <v>23.0564895475586</v>
      </c>
      <c r="AZ25" s="19" t="n">
        <f aca="false">$B25+AZ$3*100*$A25</f>
        <v>23.3314895475586</v>
      </c>
      <c r="BA25" s="19" t="n">
        <f aca="false">$B25+BA$3*100*$A25</f>
        <v>23.6064895475586</v>
      </c>
      <c r="BB25" s="19" t="n">
        <f aca="false">$B25+BB$3*100*$A25</f>
        <v>23.8814895475586</v>
      </c>
      <c r="BC25" s="19" t="n">
        <f aca="false">$B25+BC$3*100*$A25</f>
        <v>24.1564895475586</v>
      </c>
      <c r="BD25" s="19" t="n">
        <f aca="false">$B25+BD$3*100*$A25</f>
        <v>24.4314895475586</v>
      </c>
      <c r="BE25" s="19" t="n">
        <f aca="false">$B25+BE$3*100*$A25</f>
        <v>24.7064895475586</v>
      </c>
      <c r="BF25" s="19" t="n">
        <f aca="false">$B25+BF$3*100*$A25</f>
        <v>24.9814895475586</v>
      </c>
      <c r="BG25" s="19" t="n">
        <f aca="false">$B25+BG$3*100*$A25</f>
        <v>25.2564895475586</v>
      </c>
      <c r="BH25" s="19" t="n">
        <f aca="false">$B25+BH$3*100*$A25</f>
        <v>25.5314895475586</v>
      </c>
      <c r="BI25" s="19" t="n">
        <f aca="false">$B25+BI$3*100*$A25</f>
        <v>25.8064895475586</v>
      </c>
      <c r="BJ25" s="19" t="n">
        <f aca="false">$B25+BJ$3*100*$A25</f>
        <v>26.0814895475586</v>
      </c>
      <c r="BK25" s="19" t="n">
        <f aca="false">$B25+BK$3*100*$A25</f>
        <v>26.3564895475586</v>
      </c>
      <c r="BL25" s="19" t="n">
        <f aca="false">$B25+BL$3*100*$A25</f>
        <v>26.6314895475586</v>
      </c>
      <c r="BM25" s="19" t="n">
        <f aca="false">$B25+BM$3*100*$A25</f>
        <v>26.9064895475586</v>
      </c>
      <c r="BN25" s="19" t="n">
        <f aca="false">$B25+BN$3*100*$A25</f>
        <v>27.1814895475586</v>
      </c>
      <c r="BO25" s="19" t="n">
        <f aca="false">$B25+BO$3*100*$A25</f>
        <v>27.4564895475586</v>
      </c>
      <c r="BP25" s="19" t="n">
        <f aca="false">$B25+BP$3*100*$A25</f>
        <v>27.7314895475586</v>
      </c>
      <c r="BQ25" s="19" t="n">
        <f aca="false">$B25+BQ$3*100*$A25</f>
        <v>28.0064895475586</v>
      </c>
      <c r="BR25" s="19" t="n">
        <f aca="false">$B25+BR$3*100*$A25</f>
        <v>28.2814895475586</v>
      </c>
      <c r="BS25" s="19" t="n">
        <f aca="false">$B25+BS$3*100*$A25</f>
        <v>28.5564895475586</v>
      </c>
      <c r="BT25" s="19" t="n">
        <f aca="false">$B25+BT$3*100*$A25</f>
        <v>28.8314895475586</v>
      </c>
      <c r="BU25" s="19" t="n">
        <f aca="false">$B25+BU$3*100*$A25</f>
        <v>29.1064895475586</v>
      </c>
      <c r="BV25" s="19" t="n">
        <f aca="false">$B25+BV$3*100*$A25</f>
        <v>29.3814895475586</v>
      </c>
      <c r="BW25" s="19" t="n">
        <f aca="false">$B25+BW$3*100*$A25</f>
        <v>29.6564895475586</v>
      </c>
      <c r="BX25" s="19" t="n">
        <f aca="false">$B25+BX$3*100*$A25</f>
        <v>29.9314895475586</v>
      </c>
      <c r="BY25" s="19" t="n">
        <f aca="false">$B25+BY$3*100*$A25</f>
        <v>30.2064895475586</v>
      </c>
      <c r="BZ25" s="19" t="n">
        <f aca="false">$B25+BZ$3*100*$A25</f>
        <v>30.4814895475586</v>
      </c>
      <c r="CA25" s="19" t="n">
        <f aca="false">$B25+CA$3*100*$A25</f>
        <v>30.7564895475586</v>
      </c>
      <c r="CB25" s="19" t="n">
        <f aca="false">$B25+CB$3*100*$A25</f>
        <v>31.0314895475586</v>
      </c>
      <c r="CC25" s="19" t="n">
        <f aca="false">$B25+CC$3*100*$A25</f>
        <v>31.3064895475586</v>
      </c>
      <c r="CD25" s="19" t="n">
        <f aca="false">$B25+CD$3*100*$A25</f>
        <v>31.5814895475586</v>
      </c>
      <c r="CE25" s="19" t="n">
        <f aca="false">$B25+CE$3*100*$A25</f>
        <v>31.8564895475586</v>
      </c>
      <c r="CF25" s="19" t="n">
        <f aca="false">$B25+CF$3*100*$A25</f>
        <v>32.1314895475586</v>
      </c>
      <c r="CG25" s="19" t="n">
        <f aca="false">$B25+CG$3*100*$A25</f>
        <v>32.4064895475586</v>
      </c>
      <c r="CH25" s="19" t="n">
        <f aca="false">$B25+CH$3*100*$A25</f>
        <v>32.6814895475586</v>
      </c>
      <c r="CI25" s="19" t="n">
        <f aca="false">$B25+CI$3*100*$A25</f>
        <v>32.9564895475586</v>
      </c>
      <c r="CJ25" s="19" t="n">
        <f aca="false">$B25+CJ$3*100*$A25</f>
        <v>33.2314895475586</v>
      </c>
      <c r="CK25" s="19" t="n">
        <f aca="false">$B25+CK$3*100*$A25</f>
        <v>33.5064895475586</v>
      </c>
      <c r="CL25" s="19" t="n">
        <f aca="false">$B25+CL$3*100*$A25</f>
        <v>33.7814895475586</v>
      </c>
      <c r="CM25" s="19" t="n">
        <f aca="false">$B25+CM$3*100*$A25</f>
        <v>34.0564895475586</v>
      </c>
      <c r="CN25" s="19" t="n">
        <f aca="false">$B25+CN$3*100*$A25</f>
        <v>34.3314895475586</v>
      </c>
      <c r="CO25" s="19" t="n">
        <f aca="false">$B25+CO$3*100*$A25</f>
        <v>34.6064895475586</v>
      </c>
      <c r="CP25" s="19" t="n">
        <f aca="false">$B25+CP$3*100*$A25</f>
        <v>34.8814895475586</v>
      </c>
      <c r="CQ25" s="19" t="n">
        <f aca="false">$B25+CQ$3*100*$A25</f>
        <v>35.1564895475586</v>
      </c>
      <c r="CR25" s="19" t="n">
        <f aca="false">$B25+CR$3*100*$A25</f>
        <v>35.4314895475586</v>
      </c>
      <c r="CS25" s="19" t="n">
        <f aca="false">$B25+CS$3*100*$A25</f>
        <v>35.7064895475586</v>
      </c>
      <c r="CT25" s="19" t="n">
        <f aca="false">$B25+CT$3*100*$A25</f>
        <v>35.9814895475586</v>
      </c>
      <c r="CU25" s="19" t="n">
        <f aca="false">$B25+CU$3*100*$A25</f>
        <v>36.2564895475586</v>
      </c>
      <c r="CV25" s="19" t="n">
        <f aca="false">$B25+CV$3*100*$A25</f>
        <v>36.5314895475586</v>
      </c>
      <c r="CW25" s="19" t="n">
        <f aca="false">$B25+CW$3*100*$A25</f>
        <v>36.8064895475586</v>
      </c>
      <c r="CX25" s="19" t="n">
        <f aca="false">$B25+CX$3*100*$A25</f>
        <v>37.0814895475586</v>
      </c>
      <c r="CY25" s="19" t="n">
        <f aca="false">$B25+CY$3*100*$A25</f>
        <v>37.3564895475586</v>
      </c>
      <c r="CZ25" s="19" t="n">
        <f aca="false">$B25+CZ$3*100*$A25</f>
        <v>37.6314895475586</v>
      </c>
      <c r="DA25" s="19" t="n">
        <f aca="false">$B25+DA$3*100*$A25</f>
        <v>37.9064895475586</v>
      </c>
      <c r="DB25" s="19" t="n">
        <f aca="false">$B25+DB$3*100*$A25</f>
        <v>38.1814895475586</v>
      </c>
      <c r="DC25" s="19" t="n">
        <f aca="false">$B25+DC$3*100*$A25</f>
        <v>38.4564895475586</v>
      </c>
      <c r="DD25" s="19" t="n">
        <f aca="false">$B25+DD$3*100*$A25</f>
        <v>38.7314895475586</v>
      </c>
      <c r="DE25" s="19" t="n">
        <f aca="false">$B25+DE$3*100*$A25</f>
        <v>39.0064895475586</v>
      </c>
      <c r="DF25" s="19" t="n">
        <f aca="false">$B25+DF$3*100*$A25</f>
        <v>39.2814895475586</v>
      </c>
      <c r="DG25" s="19" t="n">
        <f aca="false">$B25+DG$3*100*$A25</f>
        <v>39.5564895475586</v>
      </c>
      <c r="DH25" s="19" t="n">
        <f aca="false">$B25+DH$3*100*$A25</f>
        <v>39.8314895475586</v>
      </c>
      <c r="DI25" s="19" t="n">
        <f aca="false">$B25+DI$3*100*$A25</f>
        <v>40.1064895475586</v>
      </c>
      <c r="DJ25" s="19" t="n">
        <f aca="false">$B25+DJ$3*100*$A25</f>
        <v>40.3814895475586</v>
      </c>
      <c r="DK25" s="19" t="n">
        <f aca="false">$B25+DK$3*100*$A25</f>
        <v>40.6564895475586</v>
      </c>
      <c r="DL25" s="19" t="n">
        <f aca="false">$B25+DL$3*100*$A25</f>
        <v>40.9314895475586</v>
      </c>
      <c r="DM25" s="19" t="n">
        <f aca="false">$B25+DM$3*100*$A25</f>
        <v>41.2064895475586</v>
      </c>
      <c r="DN25" s="19" t="n">
        <f aca="false">$B25+DN$3*100*$A25</f>
        <v>41.4814895475586</v>
      </c>
      <c r="DO25" s="19" t="n">
        <f aca="false">$B25+DO$3*100*$A25</f>
        <v>41.7564895475586</v>
      </c>
      <c r="DP25" s="19" t="n">
        <f aca="false">$B25+DP$3*100*$A25</f>
        <v>42.0314895475586</v>
      </c>
      <c r="DQ25" s="19" t="n">
        <f aca="false">$B25+DQ$3*100*$A25</f>
        <v>42.3064895475586</v>
      </c>
      <c r="DR25" s="19" t="n">
        <f aca="false">$B25+DR$3*100*$A25</f>
        <v>42.5814895475586</v>
      </c>
      <c r="DS25" s="19" t="n">
        <f aca="false">$B25+DS$3*100*$A25</f>
        <v>42.8564895475586</v>
      </c>
      <c r="DT25" s="19" t="n">
        <f aca="false">$B25+DT$3*100*$A25</f>
        <v>43.1314895475586</v>
      </c>
      <c r="DU25" s="19" t="n">
        <f aca="false">$B25+DU$3*100*$A25</f>
        <v>43.4064895475586</v>
      </c>
      <c r="DV25" s="19" t="n">
        <f aca="false">$B25+DV$3*100*$A25</f>
        <v>43.6814895475586</v>
      </c>
      <c r="DW25" s="19" t="n">
        <f aca="false">$B25+DW$3*100*$A25</f>
        <v>43.9564895475586</v>
      </c>
      <c r="DX25" s="19" t="n">
        <f aca="false">$B25+DX$3*100*$A25</f>
        <v>44.2314895475586</v>
      </c>
      <c r="DY25" s="19" t="n">
        <f aca="false">$B25+DY$3*100*$A25</f>
        <v>44.5064895475586</v>
      </c>
      <c r="DZ25" s="19" t="n">
        <f aca="false">$B25+DZ$3*100*$A25</f>
        <v>44.7814895475586</v>
      </c>
      <c r="EA25" s="19" t="n">
        <f aca="false">$B25+EA$3*100*$A25</f>
        <v>45.0564895475586</v>
      </c>
      <c r="EB25" s="19" t="n">
        <f aca="false">$B25+EB$3*100*$A25</f>
        <v>45.3314895475586</v>
      </c>
      <c r="EC25" s="19" t="n">
        <f aca="false">$B25+EC$3*100*$A25</f>
        <v>45.6064895475586</v>
      </c>
      <c r="ED25" s="19" t="n">
        <f aca="false">$B25+ED$3*100*$A25</f>
        <v>45.8814895475586</v>
      </c>
      <c r="EE25" s="19" t="n">
        <f aca="false">$B25+EE$3*100*$A25</f>
        <v>46.1564895475586</v>
      </c>
      <c r="EF25" s="19" t="n">
        <f aca="false">$B25+EF$3*100*$A25</f>
        <v>46.4314895475586</v>
      </c>
      <c r="EG25" s="19" t="n">
        <f aca="false">$B25+EG$3*100*$A25</f>
        <v>46.7064895475586</v>
      </c>
      <c r="EH25" s="19" t="n">
        <f aca="false">$B25+EH$3*100*$A25</f>
        <v>46.9814895475586</v>
      </c>
      <c r="EI25" s="19" t="n">
        <f aca="false">$B25+EI$3*100*$A25</f>
        <v>47.2564895475586</v>
      </c>
      <c r="EJ25" s="19" t="n">
        <f aca="false">$B25+EJ$3*100*$A25</f>
        <v>47.5314895475586</v>
      </c>
      <c r="EK25" s="19" t="n">
        <f aca="false">$B25+EK$3*100*$A25</f>
        <v>47.8064895475586</v>
      </c>
      <c r="EL25" s="19" t="n">
        <f aca="false">$B25+EL$3*100*$A25</f>
        <v>48.0814895475586</v>
      </c>
      <c r="EM25" s="19" t="n">
        <f aca="false">$B25+EM$3*100*$A25</f>
        <v>48.3564895475586</v>
      </c>
      <c r="EN25" s="19" t="n">
        <f aca="false">$B25+EN$3*100*$A25</f>
        <v>48.6314895475586</v>
      </c>
      <c r="EO25" s="19" t="n">
        <f aca="false">$B25+EO$3*100*$A25</f>
        <v>48.9064895475586</v>
      </c>
      <c r="EP25" s="19" t="n">
        <f aca="false">$B25+EP$3*100*$A25</f>
        <v>49.1814895475586</v>
      </c>
      <c r="EQ25" s="19" t="n">
        <f aca="false">$B25+EQ$3*100*$A25</f>
        <v>49.4564895475586</v>
      </c>
      <c r="ER25" s="19" t="n">
        <f aca="false">$B25+ER$3*100*$A25</f>
        <v>49.7314895475586</v>
      </c>
      <c r="ES25" s="19" t="n">
        <f aca="false">$B25+ES$3*100*$A25</f>
        <v>50.0064895475586</v>
      </c>
      <c r="ET25" s="19" t="n">
        <f aca="false">$B25+ET$3*100*$A25</f>
        <v>50.2814895475586</v>
      </c>
      <c r="EU25" s="19" t="n">
        <f aca="false">$B25+EU$3*100*$A25</f>
        <v>50.5564895475586</v>
      </c>
      <c r="EV25" s="19" t="n">
        <f aca="false">$B25+EV$3*100*$A25</f>
        <v>50.8314895475586</v>
      </c>
      <c r="EW25" s="19" t="n">
        <f aca="false">$B25+EW$3*100*$A25</f>
        <v>51.1064895475586</v>
      </c>
      <c r="EX25" s="19" t="n">
        <f aca="false">$B25+EX$3*100*$A25</f>
        <v>51.3814895475586</v>
      </c>
      <c r="EY25" s="19" t="n">
        <f aca="false">$B25+EY$3*100*$A25</f>
        <v>51.6564895475586</v>
      </c>
      <c r="EZ25" s="19" t="n">
        <f aca="false">$B25+EZ$3*100*$A25</f>
        <v>51.9314895475586</v>
      </c>
      <c r="FA25" s="19" t="n">
        <f aca="false">$B25+FA$3*100*$A25</f>
        <v>52.2064895475586</v>
      </c>
      <c r="FB25" s="19" t="n">
        <f aca="false">$B25+FB$3*100*$A25</f>
        <v>52.4814895475586</v>
      </c>
      <c r="FC25" s="19" t="n">
        <f aca="false">$B25+FC$3*100*$A25</f>
        <v>52.7564895475586</v>
      </c>
      <c r="FD25" s="19" t="n">
        <f aca="false">$B25+FD$3*100*$A25</f>
        <v>53.0314895475586</v>
      </c>
      <c r="FE25" s="19" t="n">
        <f aca="false">$B25+FE$3*100*$A25</f>
        <v>53.3064895475586</v>
      </c>
      <c r="FF25" s="19" t="n">
        <f aca="false">$B25+FF$3*100*$A25</f>
        <v>53.5814895475586</v>
      </c>
      <c r="FG25" s="19" t="n">
        <f aca="false">$B25+FG$3*100*$A25</f>
        <v>53.8564895475586</v>
      </c>
      <c r="FH25" s="19" t="n">
        <f aca="false">$B25+FH$3*100*$A25</f>
        <v>54.1314895475586</v>
      </c>
      <c r="FI25" s="19" t="n">
        <f aca="false">$B25+FI$3*100*$A25</f>
        <v>54.4064895475586</v>
      </c>
      <c r="FJ25" s="19" t="n">
        <f aca="false">$B25+FJ$3*100*$A25</f>
        <v>54.6814895475586</v>
      </c>
      <c r="FK25" s="19" t="n">
        <f aca="false">$B25+FK$3*100*$A25</f>
        <v>54.9564895475586</v>
      </c>
      <c r="FL25" s="19" t="n">
        <f aca="false">$B25+FL$3*100*$A25</f>
        <v>55.2314895475586</v>
      </c>
      <c r="FM25" s="19" t="n">
        <f aca="false">$B25+FM$3*100*$A25</f>
        <v>55.5064895475586</v>
      </c>
      <c r="FN25" s="19" t="n">
        <f aca="false">$B25+FN$3*100*$A25</f>
        <v>55.7814895475586</v>
      </c>
      <c r="FO25" s="19" t="n">
        <f aca="false">$B25+FO$3*100*$A25</f>
        <v>56.0564895475586</v>
      </c>
      <c r="FP25" s="19" t="n">
        <f aca="false">$B25+FP$3*100*$A25</f>
        <v>56.3314895475586</v>
      </c>
      <c r="FQ25" s="19" t="n">
        <f aca="false">$B25+FQ$3*100*$A25</f>
        <v>56.6064895475586</v>
      </c>
      <c r="FR25" s="19" t="n">
        <f aca="false">$B25+FR$3*100*$A25</f>
        <v>56.8814895475586</v>
      </c>
      <c r="FS25" s="19" t="n">
        <f aca="false">$B25+FS$3*100*$A25</f>
        <v>57.1564895475586</v>
      </c>
      <c r="FT25" s="19" t="n">
        <f aca="false">$B25+FT$3*100*$A25</f>
        <v>57.4314895475586</v>
      </c>
      <c r="FU25" s="19" t="n">
        <f aca="false">$B25+FU$3*100*$A25</f>
        <v>57.7064895475586</v>
      </c>
      <c r="FV25" s="19" t="n">
        <f aca="false">$B25+FV$3*100*$A25</f>
        <v>57.9814895475586</v>
      </c>
      <c r="FW25" s="19" t="n">
        <f aca="false">$B25+FW$3*100*$A25</f>
        <v>58.2564895475586</v>
      </c>
      <c r="FX25" s="19" t="n">
        <f aca="false">$B25+FX$3*100*$A25</f>
        <v>58.5314895475586</v>
      </c>
      <c r="FY25" s="19" t="n">
        <f aca="false">$B25+FY$3*100*$A25</f>
        <v>58.8064895475586</v>
      </c>
      <c r="FZ25" s="19" t="n">
        <f aca="false">$B25+FZ$3*100*$A25</f>
        <v>59.0814895475586</v>
      </c>
      <c r="GA25" s="19" t="n">
        <f aca="false">$B25+GA$3*100*$A25</f>
        <v>59.3564895475586</v>
      </c>
      <c r="GB25" s="19" t="n">
        <f aca="false">$B25+GB$3*100*$A25</f>
        <v>59.6314895475586</v>
      </c>
      <c r="GC25" s="19" t="n">
        <f aca="false">$B25+GC$3*100*$A25</f>
        <v>59.9064895475586</v>
      </c>
      <c r="GD25" s="19" t="n">
        <f aca="false">$B25+GD$3*100*$A25</f>
        <v>60.1814895475586</v>
      </c>
      <c r="GE25" s="19" t="n">
        <f aca="false">$B25+GE$3*100*$A25</f>
        <v>60.4564895475586</v>
      </c>
      <c r="GF25" s="19" t="n">
        <f aca="false">$B25+GF$3*100*$A25</f>
        <v>60.7314895475586</v>
      </c>
      <c r="GG25" s="19" t="n">
        <f aca="false">$B25+GG$3*100*$A25</f>
        <v>61.0064895475586</v>
      </c>
      <c r="GH25" s="19" t="n">
        <f aca="false">$B25+GH$3*100*$A25</f>
        <v>61.2814895475586</v>
      </c>
      <c r="GI25" s="19" t="n">
        <f aca="false">$B25+GI$3*100*$A25</f>
        <v>61.5564895475586</v>
      </c>
      <c r="GJ25" s="19" t="n">
        <f aca="false">$B25+GJ$3*100*$A25</f>
        <v>61.8314895475586</v>
      </c>
      <c r="GK25" s="19" t="n">
        <f aca="false">$B25+GK$3*100*$A25</f>
        <v>62.1064895475586</v>
      </c>
      <c r="GL25" s="19" t="n">
        <f aca="false">$B25+GL$3*100*$A25</f>
        <v>62.3814895475586</v>
      </c>
      <c r="GM25" s="19" t="n">
        <f aca="false">$B25+GM$3*100*$A25</f>
        <v>62.6564895475586</v>
      </c>
      <c r="GN25" s="19" t="n">
        <f aca="false">$B25+GN$3*100*$A25</f>
        <v>62.9314895475586</v>
      </c>
      <c r="GO25" s="19" t="n">
        <f aca="false">$B25+GO$3*100*$A25</f>
        <v>63.2064895475586</v>
      </c>
      <c r="GP25" s="19" t="n">
        <f aca="false">$B25+GP$3*100*$A25</f>
        <v>63.4814895475586</v>
      </c>
      <c r="GQ25" s="19" t="n">
        <f aca="false">$B25+GQ$3*100*$A25</f>
        <v>63.7564895475586</v>
      </c>
      <c r="GR25" s="19" t="n">
        <f aca="false">$B25+GR$3*100*$A25</f>
        <v>64.0314895475586</v>
      </c>
      <c r="GS25" s="19" t="n">
        <f aca="false">$B25+GS$3*100*$A25</f>
        <v>64.3064895475586</v>
      </c>
      <c r="GT25" s="19" t="n">
        <f aca="false">$B25+GT$3*100*$A25</f>
        <v>64.5814895475586</v>
      </c>
    </row>
    <row r="26" customFormat="false" ht="15" hidden="false" customHeight="false" outlineLevel="0" collapsed="false">
      <c r="A26" s="26" t="n">
        <f aca="false">Frontier!A24</f>
        <v>0.0575</v>
      </c>
      <c r="B26" s="34" t="n">
        <f aca="false">Frontier!B24</f>
        <v>9.1762252882772</v>
      </c>
      <c r="C26" s="19" t="n">
        <f aca="false">$B26+C$3*100*$A26</f>
        <v>9.4637252882772</v>
      </c>
      <c r="D26" s="19" t="n">
        <f aca="false">$B26+D$3*100*$A26</f>
        <v>9.7512252882772</v>
      </c>
      <c r="E26" s="19" t="n">
        <f aca="false">$B26+E$3*100*$A26</f>
        <v>10.0387252882772</v>
      </c>
      <c r="F26" s="19" t="n">
        <f aca="false">$B26+F$3*100*$A26</f>
        <v>10.3262252882772</v>
      </c>
      <c r="G26" s="19" t="n">
        <f aca="false">$B26+G$3*100*$A26</f>
        <v>10.6137252882772</v>
      </c>
      <c r="H26" s="19" t="n">
        <f aca="false">$B26+H$3*100*$A26</f>
        <v>10.9012252882772</v>
      </c>
      <c r="I26" s="19" t="n">
        <f aca="false">$B26+I$3*100*$A26</f>
        <v>11.1887252882772</v>
      </c>
      <c r="J26" s="19" t="n">
        <f aca="false">$B26+J$3*100*$A26</f>
        <v>11.4762252882772</v>
      </c>
      <c r="K26" s="19" t="n">
        <f aca="false">$B26+K$3*100*$A26</f>
        <v>11.7637252882772</v>
      </c>
      <c r="L26" s="19" t="n">
        <f aca="false">$B26+L$3*100*$A26</f>
        <v>12.0512252882772</v>
      </c>
      <c r="M26" s="19" t="n">
        <f aca="false">$B26+M$3*100*$A26</f>
        <v>12.3387252882772</v>
      </c>
      <c r="N26" s="19" t="n">
        <f aca="false">$B26+N$3*100*$A26</f>
        <v>12.6262252882772</v>
      </c>
      <c r="O26" s="19" t="n">
        <f aca="false">$B26+O$3*100*$A26</f>
        <v>12.9137252882772</v>
      </c>
      <c r="P26" s="19" t="n">
        <f aca="false">$B26+P$3*100*$A26</f>
        <v>13.2012252882772</v>
      </c>
      <c r="Q26" s="19" t="n">
        <f aca="false">$B26+Q$3*100*$A26</f>
        <v>13.4887252882772</v>
      </c>
      <c r="R26" s="19" t="n">
        <f aca="false">$B26+R$3*100*$A26</f>
        <v>13.7762252882772</v>
      </c>
      <c r="S26" s="19" t="n">
        <f aca="false">$B26+S$3*100*$A26</f>
        <v>14.0637252882772</v>
      </c>
      <c r="T26" s="19" t="n">
        <f aca="false">$B26+T$3*100*$A26</f>
        <v>14.3512252882772</v>
      </c>
      <c r="U26" s="19" t="n">
        <f aca="false">$B26+U$3*100*$A26</f>
        <v>14.6387252882772</v>
      </c>
      <c r="V26" s="19" t="n">
        <f aca="false">$B26+V$3*100*$A26</f>
        <v>14.9262252882772</v>
      </c>
      <c r="W26" s="19" t="n">
        <f aca="false">$B26+W$3*100*$A26</f>
        <v>15.2137252882772</v>
      </c>
      <c r="X26" s="19" t="n">
        <f aca="false">$B26+X$3*100*$A26</f>
        <v>15.5012252882772</v>
      </c>
      <c r="Y26" s="19" t="n">
        <f aca="false">$B26+Y$3*100*$A26</f>
        <v>15.7887252882772</v>
      </c>
      <c r="Z26" s="19" t="n">
        <f aca="false">$B26+Z$3*100*$A26</f>
        <v>16.0762252882772</v>
      </c>
      <c r="AA26" s="19" t="n">
        <f aca="false">$B26+AA$3*100*$A26</f>
        <v>16.3637252882772</v>
      </c>
      <c r="AB26" s="19" t="n">
        <f aca="false">$B26+AB$3*100*$A26</f>
        <v>16.6512252882772</v>
      </c>
      <c r="AC26" s="19" t="n">
        <f aca="false">$B26+AC$3*100*$A26</f>
        <v>16.9387252882772</v>
      </c>
      <c r="AD26" s="19" t="n">
        <f aca="false">$B26+AD$3*100*$A26</f>
        <v>17.2262252882772</v>
      </c>
      <c r="AE26" s="19" t="n">
        <f aca="false">$B26+AE$3*100*$A26</f>
        <v>17.5137252882772</v>
      </c>
      <c r="AF26" s="19" t="n">
        <f aca="false">$B26+AF$3*100*$A26</f>
        <v>17.8012252882772</v>
      </c>
      <c r="AG26" s="19" t="n">
        <f aca="false">$B26+AG$3*100*$A26</f>
        <v>18.0887252882772</v>
      </c>
      <c r="AH26" s="19" t="n">
        <f aca="false">$B26+AH$3*100*$A26</f>
        <v>18.3762252882772</v>
      </c>
      <c r="AI26" s="19" t="n">
        <f aca="false">$B26+AI$3*100*$A26</f>
        <v>18.6637252882772</v>
      </c>
      <c r="AJ26" s="19" t="n">
        <f aca="false">$B26+AJ$3*100*$A26</f>
        <v>18.9512252882772</v>
      </c>
      <c r="AK26" s="19" t="n">
        <f aca="false">$B26+AK$3*100*$A26</f>
        <v>19.2387252882772</v>
      </c>
      <c r="AL26" s="19" t="n">
        <f aca="false">$B26+AL$3*100*$A26</f>
        <v>19.5262252882772</v>
      </c>
      <c r="AM26" s="19" t="n">
        <f aca="false">$B26+AM$3*100*$A26</f>
        <v>19.8137252882772</v>
      </c>
      <c r="AN26" s="19" t="n">
        <f aca="false">$B26+AN$3*100*$A26</f>
        <v>20.1012252882772</v>
      </c>
      <c r="AO26" s="19" t="n">
        <f aca="false">$B26+AO$3*100*$A26</f>
        <v>20.3887252882772</v>
      </c>
      <c r="AP26" s="19" t="n">
        <f aca="false">$B26+AP$3*100*$A26</f>
        <v>20.6762252882772</v>
      </c>
      <c r="AQ26" s="19" t="n">
        <f aca="false">$B26+AQ$3*100*$A26</f>
        <v>20.9637252882772</v>
      </c>
      <c r="AR26" s="19" t="n">
        <f aca="false">$B26+AR$3*100*$A26</f>
        <v>21.2512252882772</v>
      </c>
      <c r="AS26" s="19" t="n">
        <f aca="false">$B26+AS$3*100*$A26</f>
        <v>21.5387252882772</v>
      </c>
      <c r="AT26" s="19" t="n">
        <f aca="false">$B26+AT$3*100*$A26</f>
        <v>21.8262252882772</v>
      </c>
      <c r="AU26" s="19" t="n">
        <f aca="false">$B26+AU$3*100*$A26</f>
        <v>22.1137252882772</v>
      </c>
      <c r="AV26" s="19" t="n">
        <f aca="false">$B26+AV$3*100*$A26</f>
        <v>22.4012252882772</v>
      </c>
      <c r="AW26" s="19" t="n">
        <f aca="false">$B26+AW$3*100*$A26</f>
        <v>22.6887252882772</v>
      </c>
      <c r="AX26" s="19" t="n">
        <f aca="false">$B26+AX$3*100*$A26</f>
        <v>22.9762252882772</v>
      </c>
      <c r="AY26" s="19" t="n">
        <f aca="false">$B26+AY$3*100*$A26</f>
        <v>23.2637252882772</v>
      </c>
      <c r="AZ26" s="19" t="n">
        <f aca="false">$B26+AZ$3*100*$A26</f>
        <v>23.5512252882772</v>
      </c>
      <c r="BA26" s="19" t="n">
        <f aca="false">$B26+BA$3*100*$A26</f>
        <v>23.8387252882772</v>
      </c>
      <c r="BB26" s="19" t="n">
        <f aca="false">$B26+BB$3*100*$A26</f>
        <v>24.1262252882772</v>
      </c>
      <c r="BC26" s="19" t="n">
        <f aca="false">$B26+BC$3*100*$A26</f>
        <v>24.4137252882772</v>
      </c>
      <c r="BD26" s="19" t="n">
        <f aca="false">$B26+BD$3*100*$A26</f>
        <v>24.7012252882772</v>
      </c>
      <c r="BE26" s="19" t="n">
        <f aca="false">$B26+BE$3*100*$A26</f>
        <v>24.9887252882772</v>
      </c>
      <c r="BF26" s="19" t="n">
        <f aca="false">$B26+BF$3*100*$A26</f>
        <v>25.2762252882772</v>
      </c>
      <c r="BG26" s="19" t="n">
        <f aca="false">$B26+BG$3*100*$A26</f>
        <v>25.5637252882772</v>
      </c>
      <c r="BH26" s="19" t="n">
        <f aca="false">$B26+BH$3*100*$A26</f>
        <v>25.8512252882772</v>
      </c>
      <c r="BI26" s="19" t="n">
        <f aca="false">$B26+BI$3*100*$A26</f>
        <v>26.1387252882772</v>
      </c>
      <c r="BJ26" s="19" t="n">
        <f aca="false">$B26+BJ$3*100*$A26</f>
        <v>26.4262252882772</v>
      </c>
      <c r="BK26" s="19" t="n">
        <f aca="false">$B26+BK$3*100*$A26</f>
        <v>26.7137252882772</v>
      </c>
      <c r="BL26" s="19" t="n">
        <f aca="false">$B26+BL$3*100*$A26</f>
        <v>27.0012252882772</v>
      </c>
      <c r="BM26" s="19" t="n">
        <f aca="false">$B26+BM$3*100*$A26</f>
        <v>27.2887252882772</v>
      </c>
      <c r="BN26" s="19" t="n">
        <f aca="false">$B26+BN$3*100*$A26</f>
        <v>27.5762252882772</v>
      </c>
      <c r="BO26" s="19" t="n">
        <f aca="false">$B26+BO$3*100*$A26</f>
        <v>27.8637252882772</v>
      </c>
      <c r="BP26" s="19" t="n">
        <f aca="false">$B26+BP$3*100*$A26</f>
        <v>28.1512252882772</v>
      </c>
      <c r="BQ26" s="19" t="n">
        <f aca="false">$B26+BQ$3*100*$A26</f>
        <v>28.4387252882772</v>
      </c>
      <c r="BR26" s="19" t="n">
        <f aca="false">$B26+BR$3*100*$A26</f>
        <v>28.7262252882772</v>
      </c>
      <c r="BS26" s="19" t="n">
        <f aca="false">$B26+BS$3*100*$A26</f>
        <v>29.0137252882772</v>
      </c>
      <c r="BT26" s="19" t="n">
        <f aca="false">$B26+BT$3*100*$A26</f>
        <v>29.3012252882772</v>
      </c>
      <c r="BU26" s="19" t="n">
        <f aca="false">$B26+BU$3*100*$A26</f>
        <v>29.5887252882772</v>
      </c>
      <c r="BV26" s="19" t="n">
        <f aca="false">$B26+BV$3*100*$A26</f>
        <v>29.8762252882772</v>
      </c>
      <c r="BW26" s="19" t="n">
        <f aca="false">$B26+BW$3*100*$A26</f>
        <v>30.1637252882772</v>
      </c>
      <c r="BX26" s="19" t="n">
        <f aca="false">$B26+BX$3*100*$A26</f>
        <v>30.4512252882772</v>
      </c>
      <c r="BY26" s="19" t="n">
        <f aca="false">$B26+BY$3*100*$A26</f>
        <v>30.7387252882772</v>
      </c>
      <c r="BZ26" s="19" t="n">
        <f aca="false">$B26+BZ$3*100*$A26</f>
        <v>31.0262252882772</v>
      </c>
      <c r="CA26" s="19" t="n">
        <f aca="false">$B26+CA$3*100*$A26</f>
        <v>31.3137252882772</v>
      </c>
      <c r="CB26" s="19" t="n">
        <f aca="false">$B26+CB$3*100*$A26</f>
        <v>31.6012252882772</v>
      </c>
      <c r="CC26" s="19" t="n">
        <f aca="false">$B26+CC$3*100*$A26</f>
        <v>31.8887252882772</v>
      </c>
      <c r="CD26" s="19" t="n">
        <f aca="false">$B26+CD$3*100*$A26</f>
        <v>32.1762252882772</v>
      </c>
      <c r="CE26" s="19" t="n">
        <f aca="false">$B26+CE$3*100*$A26</f>
        <v>32.4637252882772</v>
      </c>
      <c r="CF26" s="19" t="n">
        <f aca="false">$B26+CF$3*100*$A26</f>
        <v>32.7512252882772</v>
      </c>
      <c r="CG26" s="19" t="n">
        <f aca="false">$B26+CG$3*100*$A26</f>
        <v>33.0387252882772</v>
      </c>
      <c r="CH26" s="19" t="n">
        <f aca="false">$B26+CH$3*100*$A26</f>
        <v>33.3262252882772</v>
      </c>
      <c r="CI26" s="19" t="n">
        <f aca="false">$B26+CI$3*100*$A26</f>
        <v>33.6137252882772</v>
      </c>
      <c r="CJ26" s="19" t="n">
        <f aca="false">$B26+CJ$3*100*$A26</f>
        <v>33.9012252882772</v>
      </c>
      <c r="CK26" s="19" t="n">
        <f aca="false">$B26+CK$3*100*$A26</f>
        <v>34.1887252882772</v>
      </c>
      <c r="CL26" s="19" t="n">
        <f aca="false">$B26+CL$3*100*$A26</f>
        <v>34.4762252882772</v>
      </c>
      <c r="CM26" s="19" t="n">
        <f aca="false">$B26+CM$3*100*$A26</f>
        <v>34.7637252882772</v>
      </c>
      <c r="CN26" s="19" t="n">
        <f aca="false">$B26+CN$3*100*$A26</f>
        <v>35.0512252882772</v>
      </c>
      <c r="CO26" s="19" t="n">
        <f aca="false">$B26+CO$3*100*$A26</f>
        <v>35.3387252882772</v>
      </c>
      <c r="CP26" s="19" t="n">
        <f aca="false">$B26+CP$3*100*$A26</f>
        <v>35.6262252882772</v>
      </c>
      <c r="CQ26" s="19" t="n">
        <f aca="false">$B26+CQ$3*100*$A26</f>
        <v>35.9137252882772</v>
      </c>
      <c r="CR26" s="19" t="n">
        <f aca="false">$B26+CR$3*100*$A26</f>
        <v>36.2012252882772</v>
      </c>
      <c r="CS26" s="19" t="n">
        <f aca="false">$B26+CS$3*100*$A26</f>
        <v>36.4887252882772</v>
      </c>
      <c r="CT26" s="19" t="n">
        <f aca="false">$B26+CT$3*100*$A26</f>
        <v>36.7762252882772</v>
      </c>
      <c r="CU26" s="19" t="n">
        <f aca="false">$B26+CU$3*100*$A26</f>
        <v>37.0637252882772</v>
      </c>
      <c r="CV26" s="19" t="n">
        <f aca="false">$B26+CV$3*100*$A26</f>
        <v>37.3512252882772</v>
      </c>
      <c r="CW26" s="19" t="n">
        <f aca="false">$B26+CW$3*100*$A26</f>
        <v>37.6387252882772</v>
      </c>
      <c r="CX26" s="19" t="n">
        <f aca="false">$B26+CX$3*100*$A26</f>
        <v>37.9262252882772</v>
      </c>
      <c r="CY26" s="19" t="n">
        <f aca="false">$B26+CY$3*100*$A26</f>
        <v>38.2137252882772</v>
      </c>
      <c r="CZ26" s="19" t="n">
        <f aca="false">$B26+CZ$3*100*$A26</f>
        <v>38.5012252882772</v>
      </c>
      <c r="DA26" s="19" t="n">
        <f aca="false">$B26+DA$3*100*$A26</f>
        <v>38.7887252882772</v>
      </c>
      <c r="DB26" s="19" t="n">
        <f aca="false">$B26+DB$3*100*$A26</f>
        <v>39.0762252882772</v>
      </c>
      <c r="DC26" s="19" t="n">
        <f aca="false">$B26+DC$3*100*$A26</f>
        <v>39.3637252882772</v>
      </c>
      <c r="DD26" s="19" t="n">
        <f aca="false">$B26+DD$3*100*$A26</f>
        <v>39.6512252882772</v>
      </c>
      <c r="DE26" s="19" t="n">
        <f aca="false">$B26+DE$3*100*$A26</f>
        <v>39.9387252882772</v>
      </c>
      <c r="DF26" s="19" t="n">
        <f aca="false">$B26+DF$3*100*$A26</f>
        <v>40.2262252882772</v>
      </c>
      <c r="DG26" s="19" t="n">
        <f aca="false">$B26+DG$3*100*$A26</f>
        <v>40.5137252882772</v>
      </c>
      <c r="DH26" s="19" t="n">
        <f aca="false">$B26+DH$3*100*$A26</f>
        <v>40.8012252882772</v>
      </c>
      <c r="DI26" s="19" t="n">
        <f aca="false">$B26+DI$3*100*$A26</f>
        <v>41.0887252882772</v>
      </c>
      <c r="DJ26" s="19" t="n">
        <f aca="false">$B26+DJ$3*100*$A26</f>
        <v>41.3762252882772</v>
      </c>
      <c r="DK26" s="19" t="n">
        <f aca="false">$B26+DK$3*100*$A26</f>
        <v>41.6637252882772</v>
      </c>
      <c r="DL26" s="19" t="n">
        <f aca="false">$B26+DL$3*100*$A26</f>
        <v>41.9512252882772</v>
      </c>
      <c r="DM26" s="19" t="n">
        <f aca="false">$B26+DM$3*100*$A26</f>
        <v>42.2387252882772</v>
      </c>
      <c r="DN26" s="19" t="n">
        <f aca="false">$B26+DN$3*100*$A26</f>
        <v>42.5262252882772</v>
      </c>
      <c r="DO26" s="19" t="n">
        <f aca="false">$B26+DO$3*100*$A26</f>
        <v>42.8137252882772</v>
      </c>
      <c r="DP26" s="19" t="n">
        <f aca="false">$B26+DP$3*100*$A26</f>
        <v>43.1012252882772</v>
      </c>
      <c r="DQ26" s="19" t="n">
        <f aca="false">$B26+DQ$3*100*$A26</f>
        <v>43.3887252882772</v>
      </c>
      <c r="DR26" s="19" t="n">
        <f aca="false">$B26+DR$3*100*$A26</f>
        <v>43.6762252882772</v>
      </c>
      <c r="DS26" s="19" t="n">
        <f aca="false">$B26+DS$3*100*$A26</f>
        <v>43.9637252882772</v>
      </c>
      <c r="DT26" s="19" t="n">
        <f aca="false">$B26+DT$3*100*$A26</f>
        <v>44.2512252882772</v>
      </c>
      <c r="DU26" s="19" t="n">
        <f aca="false">$B26+DU$3*100*$A26</f>
        <v>44.5387252882772</v>
      </c>
      <c r="DV26" s="19" t="n">
        <f aca="false">$B26+DV$3*100*$A26</f>
        <v>44.8262252882772</v>
      </c>
      <c r="DW26" s="19" t="n">
        <f aca="false">$B26+DW$3*100*$A26</f>
        <v>45.1137252882772</v>
      </c>
      <c r="DX26" s="19" t="n">
        <f aca="false">$B26+DX$3*100*$A26</f>
        <v>45.4012252882772</v>
      </c>
      <c r="DY26" s="19" t="n">
        <f aca="false">$B26+DY$3*100*$A26</f>
        <v>45.6887252882772</v>
      </c>
      <c r="DZ26" s="19" t="n">
        <f aca="false">$B26+DZ$3*100*$A26</f>
        <v>45.9762252882772</v>
      </c>
      <c r="EA26" s="19" t="n">
        <f aca="false">$B26+EA$3*100*$A26</f>
        <v>46.2637252882772</v>
      </c>
      <c r="EB26" s="19" t="n">
        <f aca="false">$B26+EB$3*100*$A26</f>
        <v>46.5512252882772</v>
      </c>
      <c r="EC26" s="19" t="n">
        <f aca="false">$B26+EC$3*100*$A26</f>
        <v>46.8387252882772</v>
      </c>
      <c r="ED26" s="19" t="n">
        <f aca="false">$B26+ED$3*100*$A26</f>
        <v>47.1262252882772</v>
      </c>
      <c r="EE26" s="19" t="n">
        <f aca="false">$B26+EE$3*100*$A26</f>
        <v>47.4137252882772</v>
      </c>
      <c r="EF26" s="19" t="n">
        <f aca="false">$B26+EF$3*100*$A26</f>
        <v>47.7012252882772</v>
      </c>
      <c r="EG26" s="19" t="n">
        <f aca="false">$B26+EG$3*100*$A26</f>
        <v>47.9887252882772</v>
      </c>
      <c r="EH26" s="19" t="n">
        <f aca="false">$B26+EH$3*100*$A26</f>
        <v>48.2762252882772</v>
      </c>
      <c r="EI26" s="19" t="n">
        <f aca="false">$B26+EI$3*100*$A26</f>
        <v>48.5637252882772</v>
      </c>
      <c r="EJ26" s="19" t="n">
        <f aca="false">$B26+EJ$3*100*$A26</f>
        <v>48.8512252882772</v>
      </c>
      <c r="EK26" s="19" t="n">
        <f aca="false">$B26+EK$3*100*$A26</f>
        <v>49.1387252882772</v>
      </c>
      <c r="EL26" s="19" t="n">
        <f aca="false">$B26+EL$3*100*$A26</f>
        <v>49.4262252882772</v>
      </c>
      <c r="EM26" s="19" t="n">
        <f aca="false">$B26+EM$3*100*$A26</f>
        <v>49.7137252882772</v>
      </c>
      <c r="EN26" s="19" t="n">
        <f aca="false">$B26+EN$3*100*$A26</f>
        <v>50.0012252882772</v>
      </c>
      <c r="EO26" s="19" t="n">
        <f aca="false">$B26+EO$3*100*$A26</f>
        <v>50.2887252882772</v>
      </c>
      <c r="EP26" s="19" t="n">
        <f aca="false">$B26+EP$3*100*$A26</f>
        <v>50.5762252882772</v>
      </c>
      <c r="EQ26" s="19" t="n">
        <f aca="false">$B26+EQ$3*100*$A26</f>
        <v>50.8637252882772</v>
      </c>
      <c r="ER26" s="19" t="n">
        <f aca="false">$B26+ER$3*100*$A26</f>
        <v>51.1512252882772</v>
      </c>
      <c r="ES26" s="19" t="n">
        <f aca="false">$B26+ES$3*100*$A26</f>
        <v>51.4387252882772</v>
      </c>
      <c r="ET26" s="19" t="n">
        <f aca="false">$B26+ET$3*100*$A26</f>
        <v>51.7262252882772</v>
      </c>
      <c r="EU26" s="19" t="n">
        <f aca="false">$B26+EU$3*100*$A26</f>
        <v>52.0137252882772</v>
      </c>
      <c r="EV26" s="19" t="n">
        <f aca="false">$B26+EV$3*100*$A26</f>
        <v>52.3012252882772</v>
      </c>
      <c r="EW26" s="19" t="n">
        <f aca="false">$B26+EW$3*100*$A26</f>
        <v>52.5887252882772</v>
      </c>
      <c r="EX26" s="19" t="n">
        <f aca="false">$B26+EX$3*100*$A26</f>
        <v>52.8762252882772</v>
      </c>
      <c r="EY26" s="19" t="n">
        <f aca="false">$B26+EY$3*100*$A26</f>
        <v>53.1637252882772</v>
      </c>
      <c r="EZ26" s="19" t="n">
        <f aca="false">$B26+EZ$3*100*$A26</f>
        <v>53.4512252882772</v>
      </c>
      <c r="FA26" s="19" t="n">
        <f aca="false">$B26+FA$3*100*$A26</f>
        <v>53.7387252882772</v>
      </c>
      <c r="FB26" s="19" t="n">
        <f aca="false">$B26+FB$3*100*$A26</f>
        <v>54.0262252882772</v>
      </c>
      <c r="FC26" s="19" t="n">
        <f aca="false">$B26+FC$3*100*$A26</f>
        <v>54.3137252882772</v>
      </c>
      <c r="FD26" s="19" t="n">
        <f aca="false">$B26+FD$3*100*$A26</f>
        <v>54.6012252882772</v>
      </c>
      <c r="FE26" s="19" t="n">
        <f aca="false">$B26+FE$3*100*$A26</f>
        <v>54.8887252882772</v>
      </c>
      <c r="FF26" s="19" t="n">
        <f aca="false">$B26+FF$3*100*$A26</f>
        <v>55.1762252882772</v>
      </c>
      <c r="FG26" s="19" t="n">
        <f aca="false">$B26+FG$3*100*$A26</f>
        <v>55.4637252882772</v>
      </c>
      <c r="FH26" s="19" t="n">
        <f aca="false">$B26+FH$3*100*$A26</f>
        <v>55.7512252882772</v>
      </c>
      <c r="FI26" s="19" t="n">
        <f aca="false">$B26+FI$3*100*$A26</f>
        <v>56.0387252882772</v>
      </c>
      <c r="FJ26" s="19" t="n">
        <f aca="false">$B26+FJ$3*100*$A26</f>
        <v>56.3262252882772</v>
      </c>
      <c r="FK26" s="19" t="n">
        <f aca="false">$B26+FK$3*100*$A26</f>
        <v>56.6137252882772</v>
      </c>
      <c r="FL26" s="19" t="n">
        <f aca="false">$B26+FL$3*100*$A26</f>
        <v>56.9012252882772</v>
      </c>
      <c r="FM26" s="19" t="n">
        <f aca="false">$B26+FM$3*100*$A26</f>
        <v>57.1887252882772</v>
      </c>
      <c r="FN26" s="19" t="n">
        <f aca="false">$B26+FN$3*100*$A26</f>
        <v>57.4762252882772</v>
      </c>
      <c r="FO26" s="19" t="n">
        <f aca="false">$B26+FO$3*100*$A26</f>
        <v>57.7637252882772</v>
      </c>
      <c r="FP26" s="19" t="n">
        <f aca="false">$B26+FP$3*100*$A26</f>
        <v>58.0512252882772</v>
      </c>
      <c r="FQ26" s="19" t="n">
        <f aca="false">$B26+FQ$3*100*$A26</f>
        <v>58.3387252882772</v>
      </c>
      <c r="FR26" s="19" t="n">
        <f aca="false">$B26+FR$3*100*$A26</f>
        <v>58.6262252882772</v>
      </c>
      <c r="FS26" s="19" t="n">
        <f aca="false">$B26+FS$3*100*$A26</f>
        <v>58.9137252882772</v>
      </c>
      <c r="FT26" s="19" t="n">
        <f aca="false">$B26+FT$3*100*$A26</f>
        <v>59.2012252882772</v>
      </c>
      <c r="FU26" s="19" t="n">
        <f aca="false">$B26+FU$3*100*$A26</f>
        <v>59.4887252882772</v>
      </c>
      <c r="FV26" s="19" t="n">
        <f aca="false">$B26+FV$3*100*$A26</f>
        <v>59.7762252882772</v>
      </c>
      <c r="FW26" s="19" t="n">
        <f aca="false">$B26+FW$3*100*$A26</f>
        <v>60.0637252882772</v>
      </c>
      <c r="FX26" s="19" t="n">
        <f aca="false">$B26+FX$3*100*$A26</f>
        <v>60.3512252882772</v>
      </c>
      <c r="FY26" s="19" t="n">
        <f aca="false">$B26+FY$3*100*$A26</f>
        <v>60.6387252882772</v>
      </c>
      <c r="FZ26" s="19" t="n">
        <f aca="false">$B26+FZ$3*100*$A26</f>
        <v>60.9262252882772</v>
      </c>
      <c r="GA26" s="19" t="n">
        <f aca="false">$B26+GA$3*100*$A26</f>
        <v>61.2137252882772</v>
      </c>
      <c r="GB26" s="19" t="n">
        <f aca="false">$B26+GB$3*100*$A26</f>
        <v>61.5012252882772</v>
      </c>
      <c r="GC26" s="19" t="n">
        <f aca="false">$B26+GC$3*100*$A26</f>
        <v>61.7887252882772</v>
      </c>
      <c r="GD26" s="19" t="n">
        <f aca="false">$B26+GD$3*100*$A26</f>
        <v>62.0762252882772</v>
      </c>
      <c r="GE26" s="19" t="n">
        <f aca="false">$B26+GE$3*100*$A26</f>
        <v>62.3637252882772</v>
      </c>
      <c r="GF26" s="19" t="n">
        <f aca="false">$B26+GF$3*100*$A26</f>
        <v>62.6512252882772</v>
      </c>
      <c r="GG26" s="19" t="n">
        <f aca="false">$B26+GG$3*100*$A26</f>
        <v>62.9387252882772</v>
      </c>
      <c r="GH26" s="19" t="n">
        <f aca="false">$B26+GH$3*100*$A26</f>
        <v>63.2262252882772</v>
      </c>
      <c r="GI26" s="19" t="n">
        <f aca="false">$B26+GI$3*100*$A26</f>
        <v>63.5137252882772</v>
      </c>
      <c r="GJ26" s="19" t="n">
        <f aca="false">$B26+GJ$3*100*$A26</f>
        <v>63.8012252882772</v>
      </c>
      <c r="GK26" s="19" t="n">
        <f aca="false">$B26+GK$3*100*$A26</f>
        <v>64.0887252882772</v>
      </c>
      <c r="GL26" s="19" t="n">
        <f aca="false">$B26+GL$3*100*$A26</f>
        <v>64.3762252882772</v>
      </c>
      <c r="GM26" s="19" t="n">
        <f aca="false">$B26+GM$3*100*$A26</f>
        <v>64.6637252882772</v>
      </c>
      <c r="GN26" s="19" t="n">
        <f aca="false">$B26+GN$3*100*$A26</f>
        <v>64.9512252882772</v>
      </c>
      <c r="GO26" s="19" t="n">
        <f aca="false">$B26+GO$3*100*$A26</f>
        <v>65.2387252882772</v>
      </c>
      <c r="GP26" s="19" t="n">
        <f aca="false">$B26+GP$3*100*$A26</f>
        <v>65.5262252882772</v>
      </c>
      <c r="GQ26" s="19" t="n">
        <f aca="false">$B26+GQ$3*100*$A26</f>
        <v>65.8137252882772</v>
      </c>
      <c r="GR26" s="19" t="n">
        <f aca="false">$B26+GR$3*100*$A26</f>
        <v>66.1012252882772</v>
      </c>
      <c r="GS26" s="19" t="n">
        <f aca="false">$B26+GS$3*100*$A26</f>
        <v>66.3887252882772</v>
      </c>
      <c r="GT26" s="19" t="n">
        <f aca="false">$B26+GT$3*100*$A26</f>
        <v>66.6762252882772</v>
      </c>
    </row>
    <row r="27" customFormat="false" ht="15" hidden="false" customHeight="false" outlineLevel="0" collapsed="false">
      <c r="A27" s="26" t="n">
        <f aca="false">Frontier!A25</f>
        <v>0.06</v>
      </c>
      <c r="B27" s="34" t="n">
        <f aca="false">Frontier!B25</f>
        <v>8.81941165496048</v>
      </c>
      <c r="C27" s="19" t="n">
        <f aca="false">$B27+C$3*100*$A27</f>
        <v>9.11941165496048</v>
      </c>
      <c r="D27" s="19" t="n">
        <f aca="false">$B27+D$3*100*$A27</f>
        <v>9.41941165496048</v>
      </c>
      <c r="E27" s="19" t="n">
        <f aca="false">$B27+E$3*100*$A27</f>
        <v>9.71941165496048</v>
      </c>
      <c r="F27" s="19" t="n">
        <f aca="false">$B27+F$3*100*$A27</f>
        <v>10.0194116549605</v>
      </c>
      <c r="G27" s="19" t="n">
        <f aca="false">$B27+G$3*100*$A27</f>
        <v>10.3194116549605</v>
      </c>
      <c r="H27" s="19" t="n">
        <f aca="false">$B27+H$3*100*$A27</f>
        <v>10.6194116549605</v>
      </c>
      <c r="I27" s="19" t="n">
        <f aca="false">$B27+I$3*100*$A27</f>
        <v>10.9194116549605</v>
      </c>
      <c r="J27" s="19" t="n">
        <f aca="false">$B27+J$3*100*$A27</f>
        <v>11.2194116549605</v>
      </c>
      <c r="K27" s="19" t="n">
        <f aca="false">$B27+K$3*100*$A27</f>
        <v>11.5194116549605</v>
      </c>
      <c r="L27" s="19" t="n">
        <f aca="false">$B27+L$3*100*$A27</f>
        <v>11.8194116549605</v>
      </c>
      <c r="M27" s="19" t="n">
        <f aca="false">$B27+M$3*100*$A27</f>
        <v>12.1194116549605</v>
      </c>
      <c r="N27" s="19" t="n">
        <f aca="false">$B27+N$3*100*$A27</f>
        <v>12.4194116549605</v>
      </c>
      <c r="O27" s="19" t="n">
        <f aca="false">$B27+O$3*100*$A27</f>
        <v>12.7194116549605</v>
      </c>
      <c r="P27" s="19" t="n">
        <f aca="false">$B27+P$3*100*$A27</f>
        <v>13.0194116549605</v>
      </c>
      <c r="Q27" s="19" t="n">
        <f aca="false">$B27+Q$3*100*$A27</f>
        <v>13.3194116549605</v>
      </c>
      <c r="R27" s="19" t="n">
        <f aca="false">$B27+R$3*100*$A27</f>
        <v>13.6194116549605</v>
      </c>
      <c r="S27" s="19" t="n">
        <f aca="false">$B27+S$3*100*$A27</f>
        <v>13.9194116549605</v>
      </c>
      <c r="T27" s="19" t="n">
        <f aca="false">$B27+T$3*100*$A27</f>
        <v>14.2194116549605</v>
      </c>
      <c r="U27" s="19" t="n">
        <f aca="false">$B27+U$3*100*$A27</f>
        <v>14.5194116549605</v>
      </c>
      <c r="V27" s="19" t="n">
        <f aca="false">$B27+V$3*100*$A27</f>
        <v>14.8194116549605</v>
      </c>
      <c r="W27" s="19" t="n">
        <f aca="false">$B27+W$3*100*$A27</f>
        <v>15.1194116549605</v>
      </c>
      <c r="X27" s="19" t="n">
        <f aca="false">$B27+X$3*100*$A27</f>
        <v>15.4194116549605</v>
      </c>
      <c r="Y27" s="19" t="n">
        <f aca="false">$B27+Y$3*100*$A27</f>
        <v>15.7194116549605</v>
      </c>
      <c r="Z27" s="19" t="n">
        <f aca="false">$B27+Z$3*100*$A27</f>
        <v>16.0194116549605</v>
      </c>
      <c r="AA27" s="19" t="n">
        <f aca="false">$B27+AA$3*100*$A27</f>
        <v>16.3194116549605</v>
      </c>
      <c r="AB27" s="19" t="n">
        <f aca="false">$B27+AB$3*100*$A27</f>
        <v>16.6194116549605</v>
      </c>
      <c r="AC27" s="19" t="n">
        <f aca="false">$B27+AC$3*100*$A27</f>
        <v>16.9194116549605</v>
      </c>
      <c r="AD27" s="19" t="n">
        <f aca="false">$B27+AD$3*100*$A27</f>
        <v>17.2194116549605</v>
      </c>
      <c r="AE27" s="19" t="n">
        <f aca="false">$B27+AE$3*100*$A27</f>
        <v>17.5194116549605</v>
      </c>
      <c r="AF27" s="19" t="n">
        <f aca="false">$B27+AF$3*100*$A27</f>
        <v>17.8194116549605</v>
      </c>
      <c r="AG27" s="19" t="n">
        <f aca="false">$B27+AG$3*100*$A27</f>
        <v>18.1194116549605</v>
      </c>
      <c r="AH27" s="19" t="n">
        <f aca="false">$B27+AH$3*100*$A27</f>
        <v>18.4194116549605</v>
      </c>
      <c r="AI27" s="19" t="n">
        <f aca="false">$B27+AI$3*100*$A27</f>
        <v>18.7194116549605</v>
      </c>
      <c r="AJ27" s="19" t="n">
        <f aca="false">$B27+AJ$3*100*$A27</f>
        <v>19.0194116549605</v>
      </c>
      <c r="AK27" s="19" t="n">
        <f aca="false">$B27+AK$3*100*$A27</f>
        <v>19.3194116549605</v>
      </c>
      <c r="AL27" s="19" t="n">
        <f aca="false">$B27+AL$3*100*$A27</f>
        <v>19.6194116549605</v>
      </c>
      <c r="AM27" s="19" t="n">
        <f aca="false">$B27+AM$3*100*$A27</f>
        <v>19.9194116549605</v>
      </c>
      <c r="AN27" s="19" t="n">
        <f aca="false">$B27+AN$3*100*$A27</f>
        <v>20.2194116549605</v>
      </c>
      <c r="AO27" s="19" t="n">
        <f aca="false">$B27+AO$3*100*$A27</f>
        <v>20.5194116549605</v>
      </c>
      <c r="AP27" s="19" t="n">
        <f aca="false">$B27+AP$3*100*$A27</f>
        <v>20.8194116549605</v>
      </c>
      <c r="AQ27" s="19" t="n">
        <f aca="false">$B27+AQ$3*100*$A27</f>
        <v>21.1194116549605</v>
      </c>
      <c r="AR27" s="19" t="n">
        <f aca="false">$B27+AR$3*100*$A27</f>
        <v>21.4194116549605</v>
      </c>
      <c r="AS27" s="19" t="n">
        <f aca="false">$B27+AS$3*100*$A27</f>
        <v>21.7194116549605</v>
      </c>
      <c r="AT27" s="19" t="n">
        <f aca="false">$B27+AT$3*100*$A27</f>
        <v>22.0194116549605</v>
      </c>
      <c r="AU27" s="19" t="n">
        <f aca="false">$B27+AU$3*100*$A27</f>
        <v>22.3194116549605</v>
      </c>
      <c r="AV27" s="19" t="n">
        <f aca="false">$B27+AV$3*100*$A27</f>
        <v>22.6194116549605</v>
      </c>
      <c r="AW27" s="19" t="n">
        <f aca="false">$B27+AW$3*100*$A27</f>
        <v>22.9194116549605</v>
      </c>
      <c r="AX27" s="19" t="n">
        <f aca="false">$B27+AX$3*100*$A27</f>
        <v>23.2194116549605</v>
      </c>
      <c r="AY27" s="19" t="n">
        <f aca="false">$B27+AY$3*100*$A27</f>
        <v>23.5194116549605</v>
      </c>
      <c r="AZ27" s="19" t="n">
        <f aca="false">$B27+AZ$3*100*$A27</f>
        <v>23.8194116549605</v>
      </c>
      <c r="BA27" s="19" t="n">
        <f aca="false">$B27+BA$3*100*$A27</f>
        <v>24.1194116549605</v>
      </c>
      <c r="BB27" s="19" t="n">
        <f aca="false">$B27+BB$3*100*$A27</f>
        <v>24.4194116549605</v>
      </c>
      <c r="BC27" s="19" t="n">
        <f aca="false">$B27+BC$3*100*$A27</f>
        <v>24.7194116549605</v>
      </c>
      <c r="BD27" s="19" t="n">
        <f aca="false">$B27+BD$3*100*$A27</f>
        <v>25.0194116549605</v>
      </c>
      <c r="BE27" s="19" t="n">
        <f aca="false">$B27+BE$3*100*$A27</f>
        <v>25.3194116549605</v>
      </c>
      <c r="BF27" s="19" t="n">
        <f aca="false">$B27+BF$3*100*$A27</f>
        <v>25.6194116549605</v>
      </c>
      <c r="BG27" s="19" t="n">
        <f aca="false">$B27+BG$3*100*$A27</f>
        <v>25.9194116549605</v>
      </c>
      <c r="BH27" s="19" t="n">
        <f aca="false">$B27+BH$3*100*$A27</f>
        <v>26.2194116549605</v>
      </c>
      <c r="BI27" s="19" t="n">
        <f aca="false">$B27+BI$3*100*$A27</f>
        <v>26.5194116549605</v>
      </c>
      <c r="BJ27" s="19" t="n">
        <f aca="false">$B27+BJ$3*100*$A27</f>
        <v>26.8194116549605</v>
      </c>
      <c r="BK27" s="19" t="n">
        <f aca="false">$B27+BK$3*100*$A27</f>
        <v>27.1194116549605</v>
      </c>
      <c r="BL27" s="19" t="n">
        <f aca="false">$B27+BL$3*100*$A27</f>
        <v>27.4194116549605</v>
      </c>
      <c r="BM27" s="19" t="n">
        <f aca="false">$B27+BM$3*100*$A27</f>
        <v>27.7194116549605</v>
      </c>
      <c r="BN27" s="19" t="n">
        <f aca="false">$B27+BN$3*100*$A27</f>
        <v>28.0194116549605</v>
      </c>
      <c r="BO27" s="19" t="n">
        <f aca="false">$B27+BO$3*100*$A27</f>
        <v>28.3194116549605</v>
      </c>
      <c r="BP27" s="19" t="n">
        <f aca="false">$B27+BP$3*100*$A27</f>
        <v>28.6194116549605</v>
      </c>
      <c r="BQ27" s="19" t="n">
        <f aca="false">$B27+BQ$3*100*$A27</f>
        <v>28.9194116549605</v>
      </c>
      <c r="BR27" s="19" t="n">
        <f aca="false">$B27+BR$3*100*$A27</f>
        <v>29.2194116549605</v>
      </c>
      <c r="BS27" s="19" t="n">
        <f aca="false">$B27+BS$3*100*$A27</f>
        <v>29.5194116549605</v>
      </c>
      <c r="BT27" s="19" t="n">
        <f aca="false">$B27+BT$3*100*$A27</f>
        <v>29.8194116549605</v>
      </c>
      <c r="BU27" s="19" t="n">
        <f aca="false">$B27+BU$3*100*$A27</f>
        <v>30.1194116549605</v>
      </c>
      <c r="BV27" s="19" t="n">
        <f aca="false">$B27+BV$3*100*$A27</f>
        <v>30.4194116549605</v>
      </c>
      <c r="BW27" s="19" t="n">
        <f aca="false">$B27+BW$3*100*$A27</f>
        <v>30.7194116549605</v>
      </c>
      <c r="BX27" s="19" t="n">
        <f aca="false">$B27+BX$3*100*$A27</f>
        <v>31.0194116549605</v>
      </c>
      <c r="BY27" s="19" t="n">
        <f aca="false">$B27+BY$3*100*$A27</f>
        <v>31.3194116549605</v>
      </c>
      <c r="BZ27" s="19" t="n">
        <f aca="false">$B27+BZ$3*100*$A27</f>
        <v>31.6194116549605</v>
      </c>
      <c r="CA27" s="19" t="n">
        <f aca="false">$B27+CA$3*100*$A27</f>
        <v>31.9194116549605</v>
      </c>
      <c r="CB27" s="19" t="n">
        <f aca="false">$B27+CB$3*100*$A27</f>
        <v>32.2194116549605</v>
      </c>
      <c r="CC27" s="19" t="n">
        <f aca="false">$B27+CC$3*100*$A27</f>
        <v>32.5194116549605</v>
      </c>
      <c r="CD27" s="19" t="n">
        <f aca="false">$B27+CD$3*100*$A27</f>
        <v>32.8194116549605</v>
      </c>
      <c r="CE27" s="19" t="n">
        <f aca="false">$B27+CE$3*100*$A27</f>
        <v>33.1194116549605</v>
      </c>
      <c r="CF27" s="19" t="n">
        <f aca="false">$B27+CF$3*100*$A27</f>
        <v>33.4194116549605</v>
      </c>
      <c r="CG27" s="19" t="n">
        <f aca="false">$B27+CG$3*100*$A27</f>
        <v>33.7194116549605</v>
      </c>
      <c r="CH27" s="19" t="n">
        <f aca="false">$B27+CH$3*100*$A27</f>
        <v>34.0194116549605</v>
      </c>
      <c r="CI27" s="19" t="n">
        <f aca="false">$B27+CI$3*100*$A27</f>
        <v>34.3194116549605</v>
      </c>
      <c r="CJ27" s="19" t="n">
        <f aca="false">$B27+CJ$3*100*$A27</f>
        <v>34.6194116549605</v>
      </c>
      <c r="CK27" s="19" t="n">
        <f aca="false">$B27+CK$3*100*$A27</f>
        <v>34.9194116549605</v>
      </c>
      <c r="CL27" s="19" t="n">
        <f aca="false">$B27+CL$3*100*$A27</f>
        <v>35.2194116549605</v>
      </c>
      <c r="CM27" s="19" t="n">
        <f aca="false">$B27+CM$3*100*$A27</f>
        <v>35.5194116549605</v>
      </c>
      <c r="CN27" s="19" t="n">
        <f aca="false">$B27+CN$3*100*$A27</f>
        <v>35.8194116549605</v>
      </c>
      <c r="CO27" s="19" t="n">
        <f aca="false">$B27+CO$3*100*$A27</f>
        <v>36.1194116549605</v>
      </c>
      <c r="CP27" s="19" t="n">
        <f aca="false">$B27+CP$3*100*$A27</f>
        <v>36.4194116549605</v>
      </c>
      <c r="CQ27" s="19" t="n">
        <f aca="false">$B27+CQ$3*100*$A27</f>
        <v>36.7194116549605</v>
      </c>
      <c r="CR27" s="19" t="n">
        <f aca="false">$B27+CR$3*100*$A27</f>
        <v>37.0194116549605</v>
      </c>
      <c r="CS27" s="19" t="n">
        <f aca="false">$B27+CS$3*100*$A27</f>
        <v>37.3194116549605</v>
      </c>
      <c r="CT27" s="19" t="n">
        <f aca="false">$B27+CT$3*100*$A27</f>
        <v>37.6194116549605</v>
      </c>
      <c r="CU27" s="19" t="n">
        <f aca="false">$B27+CU$3*100*$A27</f>
        <v>37.9194116549605</v>
      </c>
      <c r="CV27" s="19" t="n">
        <f aca="false">$B27+CV$3*100*$A27</f>
        <v>38.2194116549605</v>
      </c>
      <c r="CW27" s="19" t="n">
        <f aca="false">$B27+CW$3*100*$A27</f>
        <v>38.5194116549605</v>
      </c>
      <c r="CX27" s="19" t="n">
        <f aca="false">$B27+CX$3*100*$A27</f>
        <v>38.8194116549605</v>
      </c>
      <c r="CY27" s="19" t="n">
        <f aca="false">$B27+CY$3*100*$A27</f>
        <v>39.1194116549605</v>
      </c>
      <c r="CZ27" s="19" t="n">
        <f aca="false">$B27+CZ$3*100*$A27</f>
        <v>39.4194116549605</v>
      </c>
      <c r="DA27" s="19" t="n">
        <f aca="false">$B27+DA$3*100*$A27</f>
        <v>39.7194116549605</v>
      </c>
      <c r="DB27" s="19" t="n">
        <f aca="false">$B27+DB$3*100*$A27</f>
        <v>40.0194116549605</v>
      </c>
      <c r="DC27" s="19" t="n">
        <f aca="false">$B27+DC$3*100*$A27</f>
        <v>40.3194116549605</v>
      </c>
      <c r="DD27" s="19" t="n">
        <f aca="false">$B27+DD$3*100*$A27</f>
        <v>40.6194116549605</v>
      </c>
      <c r="DE27" s="19" t="n">
        <f aca="false">$B27+DE$3*100*$A27</f>
        <v>40.9194116549605</v>
      </c>
      <c r="DF27" s="19" t="n">
        <f aca="false">$B27+DF$3*100*$A27</f>
        <v>41.2194116549605</v>
      </c>
      <c r="DG27" s="19" t="n">
        <f aca="false">$B27+DG$3*100*$A27</f>
        <v>41.5194116549605</v>
      </c>
      <c r="DH27" s="19" t="n">
        <f aca="false">$B27+DH$3*100*$A27</f>
        <v>41.8194116549605</v>
      </c>
      <c r="DI27" s="19" t="n">
        <f aca="false">$B27+DI$3*100*$A27</f>
        <v>42.1194116549605</v>
      </c>
      <c r="DJ27" s="19" t="n">
        <f aca="false">$B27+DJ$3*100*$A27</f>
        <v>42.4194116549605</v>
      </c>
      <c r="DK27" s="19" t="n">
        <f aca="false">$B27+DK$3*100*$A27</f>
        <v>42.7194116549605</v>
      </c>
      <c r="DL27" s="19" t="n">
        <f aca="false">$B27+DL$3*100*$A27</f>
        <v>43.0194116549605</v>
      </c>
      <c r="DM27" s="19" t="n">
        <f aca="false">$B27+DM$3*100*$A27</f>
        <v>43.3194116549605</v>
      </c>
      <c r="DN27" s="19" t="n">
        <f aca="false">$B27+DN$3*100*$A27</f>
        <v>43.6194116549605</v>
      </c>
      <c r="DO27" s="19" t="n">
        <f aca="false">$B27+DO$3*100*$A27</f>
        <v>43.9194116549605</v>
      </c>
      <c r="DP27" s="19" t="n">
        <f aca="false">$B27+DP$3*100*$A27</f>
        <v>44.2194116549605</v>
      </c>
      <c r="DQ27" s="19" t="n">
        <f aca="false">$B27+DQ$3*100*$A27</f>
        <v>44.5194116549605</v>
      </c>
      <c r="DR27" s="19" t="n">
        <f aca="false">$B27+DR$3*100*$A27</f>
        <v>44.8194116549605</v>
      </c>
      <c r="DS27" s="19" t="n">
        <f aca="false">$B27+DS$3*100*$A27</f>
        <v>45.1194116549605</v>
      </c>
      <c r="DT27" s="19" t="n">
        <f aca="false">$B27+DT$3*100*$A27</f>
        <v>45.4194116549605</v>
      </c>
      <c r="DU27" s="19" t="n">
        <f aca="false">$B27+DU$3*100*$A27</f>
        <v>45.7194116549605</v>
      </c>
      <c r="DV27" s="19" t="n">
        <f aca="false">$B27+DV$3*100*$A27</f>
        <v>46.0194116549605</v>
      </c>
      <c r="DW27" s="19" t="n">
        <f aca="false">$B27+DW$3*100*$A27</f>
        <v>46.3194116549605</v>
      </c>
      <c r="DX27" s="19" t="n">
        <f aca="false">$B27+DX$3*100*$A27</f>
        <v>46.6194116549605</v>
      </c>
      <c r="DY27" s="19" t="n">
        <f aca="false">$B27+DY$3*100*$A27</f>
        <v>46.9194116549605</v>
      </c>
      <c r="DZ27" s="19" t="n">
        <f aca="false">$B27+DZ$3*100*$A27</f>
        <v>47.2194116549605</v>
      </c>
      <c r="EA27" s="19" t="n">
        <f aca="false">$B27+EA$3*100*$A27</f>
        <v>47.5194116549605</v>
      </c>
      <c r="EB27" s="19" t="n">
        <f aca="false">$B27+EB$3*100*$A27</f>
        <v>47.8194116549605</v>
      </c>
      <c r="EC27" s="19" t="n">
        <f aca="false">$B27+EC$3*100*$A27</f>
        <v>48.1194116549605</v>
      </c>
      <c r="ED27" s="19" t="n">
        <f aca="false">$B27+ED$3*100*$A27</f>
        <v>48.4194116549605</v>
      </c>
      <c r="EE27" s="19" t="n">
        <f aca="false">$B27+EE$3*100*$A27</f>
        <v>48.7194116549605</v>
      </c>
      <c r="EF27" s="19" t="n">
        <f aca="false">$B27+EF$3*100*$A27</f>
        <v>49.0194116549605</v>
      </c>
      <c r="EG27" s="19" t="n">
        <f aca="false">$B27+EG$3*100*$A27</f>
        <v>49.3194116549605</v>
      </c>
      <c r="EH27" s="19" t="n">
        <f aca="false">$B27+EH$3*100*$A27</f>
        <v>49.6194116549605</v>
      </c>
      <c r="EI27" s="19" t="n">
        <f aca="false">$B27+EI$3*100*$A27</f>
        <v>49.9194116549605</v>
      </c>
      <c r="EJ27" s="19" t="n">
        <f aca="false">$B27+EJ$3*100*$A27</f>
        <v>50.2194116549605</v>
      </c>
      <c r="EK27" s="19" t="n">
        <f aca="false">$B27+EK$3*100*$A27</f>
        <v>50.5194116549605</v>
      </c>
      <c r="EL27" s="19" t="n">
        <f aca="false">$B27+EL$3*100*$A27</f>
        <v>50.8194116549605</v>
      </c>
      <c r="EM27" s="19" t="n">
        <f aca="false">$B27+EM$3*100*$A27</f>
        <v>51.1194116549605</v>
      </c>
      <c r="EN27" s="19" t="n">
        <f aca="false">$B27+EN$3*100*$A27</f>
        <v>51.4194116549605</v>
      </c>
      <c r="EO27" s="19" t="n">
        <f aca="false">$B27+EO$3*100*$A27</f>
        <v>51.7194116549605</v>
      </c>
      <c r="EP27" s="19" t="n">
        <f aca="false">$B27+EP$3*100*$A27</f>
        <v>52.0194116549605</v>
      </c>
      <c r="EQ27" s="19" t="n">
        <f aca="false">$B27+EQ$3*100*$A27</f>
        <v>52.3194116549605</v>
      </c>
      <c r="ER27" s="19" t="n">
        <f aca="false">$B27+ER$3*100*$A27</f>
        <v>52.6194116549605</v>
      </c>
      <c r="ES27" s="19" t="n">
        <f aca="false">$B27+ES$3*100*$A27</f>
        <v>52.9194116549605</v>
      </c>
      <c r="ET27" s="19" t="n">
        <f aca="false">$B27+ET$3*100*$A27</f>
        <v>53.2194116549605</v>
      </c>
      <c r="EU27" s="19" t="n">
        <f aca="false">$B27+EU$3*100*$A27</f>
        <v>53.5194116549605</v>
      </c>
      <c r="EV27" s="19" t="n">
        <f aca="false">$B27+EV$3*100*$A27</f>
        <v>53.8194116549605</v>
      </c>
      <c r="EW27" s="19" t="n">
        <f aca="false">$B27+EW$3*100*$A27</f>
        <v>54.1194116549605</v>
      </c>
      <c r="EX27" s="19" t="n">
        <f aca="false">$B27+EX$3*100*$A27</f>
        <v>54.4194116549605</v>
      </c>
      <c r="EY27" s="19" t="n">
        <f aca="false">$B27+EY$3*100*$A27</f>
        <v>54.7194116549605</v>
      </c>
      <c r="EZ27" s="19" t="n">
        <f aca="false">$B27+EZ$3*100*$A27</f>
        <v>55.0194116549605</v>
      </c>
      <c r="FA27" s="19" t="n">
        <f aca="false">$B27+FA$3*100*$A27</f>
        <v>55.3194116549605</v>
      </c>
      <c r="FB27" s="19" t="n">
        <f aca="false">$B27+FB$3*100*$A27</f>
        <v>55.6194116549605</v>
      </c>
      <c r="FC27" s="19" t="n">
        <f aca="false">$B27+FC$3*100*$A27</f>
        <v>55.9194116549605</v>
      </c>
      <c r="FD27" s="19" t="n">
        <f aca="false">$B27+FD$3*100*$A27</f>
        <v>56.2194116549605</v>
      </c>
      <c r="FE27" s="19" t="n">
        <f aca="false">$B27+FE$3*100*$A27</f>
        <v>56.5194116549605</v>
      </c>
      <c r="FF27" s="19" t="n">
        <f aca="false">$B27+FF$3*100*$A27</f>
        <v>56.8194116549605</v>
      </c>
      <c r="FG27" s="19" t="n">
        <f aca="false">$B27+FG$3*100*$A27</f>
        <v>57.1194116549605</v>
      </c>
      <c r="FH27" s="19" t="n">
        <f aca="false">$B27+FH$3*100*$A27</f>
        <v>57.4194116549605</v>
      </c>
      <c r="FI27" s="19" t="n">
        <f aca="false">$B27+FI$3*100*$A27</f>
        <v>57.7194116549605</v>
      </c>
      <c r="FJ27" s="19" t="n">
        <f aca="false">$B27+FJ$3*100*$A27</f>
        <v>58.0194116549605</v>
      </c>
      <c r="FK27" s="19" t="n">
        <f aca="false">$B27+FK$3*100*$A27</f>
        <v>58.3194116549605</v>
      </c>
      <c r="FL27" s="19" t="n">
        <f aca="false">$B27+FL$3*100*$A27</f>
        <v>58.6194116549605</v>
      </c>
      <c r="FM27" s="19" t="n">
        <f aca="false">$B27+FM$3*100*$A27</f>
        <v>58.9194116549605</v>
      </c>
      <c r="FN27" s="19" t="n">
        <f aca="false">$B27+FN$3*100*$A27</f>
        <v>59.2194116549605</v>
      </c>
      <c r="FO27" s="19" t="n">
        <f aca="false">$B27+FO$3*100*$A27</f>
        <v>59.5194116549605</v>
      </c>
      <c r="FP27" s="19" t="n">
        <f aca="false">$B27+FP$3*100*$A27</f>
        <v>59.8194116549605</v>
      </c>
      <c r="FQ27" s="19" t="n">
        <f aca="false">$B27+FQ$3*100*$A27</f>
        <v>60.1194116549605</v>
      </c>
      <c r="FR27" s="19" t="n">
        <f aca="false">$B27+FR$3*100*$A27</f>
        <v>60.4194116549605</v>
      </c>
      <c r="FS27" s="19" t="n">
        <f aca="false">$B27+FS$3*100*$A27</f>
        <v>60.7194116549605</v>
      </c>
      <c r="FT27" s="19" t="n">
        <f aca="false">$B27+FT$3*100*$A27</f>
        <v>61.0194116549605</v>
      </c>
      <c r="FU27" s="19" t="n">
        <f aca="false">$B27+FU$3*100*$A27</f>
        <v>61.3194116549605</v>
      </c>
      <c r="FV27" s="19" t="n">
        <f aca="false">$B27+FV$3*100*$A27</f>
        <v>61.6194116549605</v>
      </c>
      <c r="FW27" s="19" t="n">
        <f aca="false">$B27+FW$3*100*$A27</f>
        <v>61.9194116549605</v>
      </c>
      <c r="FX27" s="19" t="n">
        <f aca="false">$B27+FX$3*100*$A27</f>
        <v>62.2194116549605</v>
      </c>
      <c r="FY27" s="19" t="n">
        <f aca="false">$B27+FY$3*100*$A27</f>
        <v>62.5194116549605</v>
      </c>
      <c r="FZ27" s="19" t="n">
        <f aca="false">$B27+FZ$3*100*$A27</f>
        <v>62.8194116549605</v>
      </c>
      <c r="GA27" s="19" t="n">
        <f aca="false">$B27+GA$3*100*$A27</f>
        <v>63.1194116549605</v>
      </c>
      <c r="GB27" s="19" t="n">
        <f aca="false">$B27+GB$3*100*$A27</f>
        <v>63.4194116549605</v>
      </c>
      <c r="GC27" s="19" t="n">
        <f aca="false">$B27+GC$3*100*$A27</f>
        <v>63.7194116549605</v>
      </c>
      <c r="GD27" s="19" t="n">
        <f aca="false">$B27+GD$3*100*$A27</f>
        <v>64.0194116549605</v>
      </c>
      <c r="GE27" s="19" t="n">
        <f aca="false">$B27+GE$3*100*$A27</f>
        <v>64.3194116549605</v>
      </c>
      <c r="GF27" s="19" t="n">
        <f aca="false">$B27+GF$3*100*$A27</f>
        <v>64.6194116549605</v>
      </c>
      <c r="GG27" s="19" t="n">
        <f aca="false">$B27+GG$3*100*$A27</f>
        <v>64.9194116549605</v>
      </c>
      <c r="GH27" s="19" t="n">
        <f aca="false">$B27+GH$3*100*$A27</f>
        <v>65.2194116549605</v>
      </c>
      <c r="GI27" s="19" t="n">
        <f aca="false">$B27+GI$3*100*$A27</f>
        <v>65.5194116549605</v>
      </c>
      <c r="GJ27" s="19" t="n">
        <f aca="false">$B27+GJ$3*100*$A27</f>
        <v>65.8194116549605</v>
      </c>
      <c r="GK27" s="19" t="n">
        <f aca="false">$B27+GK$3*100*$A27</f>
        <v>66.1194116549605</v>
      </c>
      <c r="GL27" s="19" t="n">
        <f aca="false">$B27+GL$3*100*$A27</f>
        <v>66.4194116549605</v>
      </c>
      <c r="GM27" s="19" t="n">
        <f aca="false">$B27+GM$3*100*$A27</f>
        <v>66.7194116549605</v>
      </c>
      <c r="GN27" s="19" t="n">
        <f aca="false">$B27+GN$3*100*$A27</f>
        <v>67.0194116549605</v>
      </c>
      <c r="GO27" s="19" t="n">
        <f aca="false">$B27+GO$3*100*$A27</f>
        <v>67.3194116549605</v>
      </c>
      <c r="GP27" s="19" t="n">
        <f aca="false">$B27+GP$3*100*$A27</f>
        <v>67.6194116549605</v>
      </c>
      <c r="GQ27" s="19" t="n">
        <f aca="false">$B27+GQ$3*100*$A27</f>
        <v>67.9194116549605</v>
      </c>
      <c r="GR27" s="19" t="n">
        <f aca="false">$B27+GR$3*100*$A27</f>
        <v>68.2194116549605</v>
      </c>
      <c r="GS27" s="19" t="n">
        <f aca="false">$B27+GS$3*100*$A27</f>
        <v>68.5194116549605</v>
      </c>
      <c r="GT27" s="19" t="n">
        <f aca="false">$B27+GT$3*100*$A27</f>
        <v>68.8194116549605</v>
      </c>
    </row>
    <row r="28" customFormat="false" ht="15" hidden="false" customHeight="false" outlineLevel="0" collapsed="false">
      <c r="A28" s="26" t="n">
        <f aca="false">Frontier!A26</f>
        <v>0.0625</v>
      </c>
      <c r="B28" s="34" t="n">
        <f aca="false">Frontier!B26</f>
        <v>8.48257376349606</v>
      </c>
      <c r="C28" s="19" t="n">
        <f aca="false">$B28+C$3*100*$A28</f>
        <v>8.79507376349606</v>
      </c>
      <c r="D28" s="19" t="n">
        <f aca="false">$B28+D$3*100*$A28</f>
        <v>9.10757376349606</v>
      </c>
      <c r="E28" s="19" t="n">
        <f aca="false">$B28+E$3*100*$A28</f>
        <v>9.42007376349606</v>
      </c>
      <c r="F28" s="19" t="n">
        <f aca="false">$B28+F$3*100*$A28</f>
        <v>9.73257376349606</v>
      </c>
      <c r="G28" s="19" t="n">
        <f aca="false">$B28+G$3*100*$A28</f>
        <v>10.0450737634961</v>
      </c>
      <c r="H28" s="19" t="n">
        <f aca="false">$B28+H$3*100*$A28</f>
        <v>10.3575737634961</v>
      </c>
      <c r="I28" s="19" t="n">
        <f aca="false">$B28+I$3*100*$A28</f>
        <v>10.6700737634961</v>
      </c>
      <c r="J28" s="19" t="n">
        <f aca="false">$B28+J$3*100*$A28</f>
        <v>10.9825737634961</v>
      </c>
      <c r="K28" s="19" t="n">
        <f aca="false">$B28+K$3*100*$A28</f>
        <v>11.2950737634961</v>
      </c>
      <c r="L28" s="19" t="n">
        <f aca="false">$B28+L$3*100*$A28</f>
        <v>11.6075737634961</v>
      </c>
      <c r="M28" s="19" t="n">
        <f aca="false">$B28+M$3*100*$A28</f>
        <v>11.9200737634961</v>
      </c>
      <c r="N28" s="19" t="n">
        <f aca="false">$B28+N$3*100*$A28</f>
        <v>12.2325737634961</v>
      </c>
      <c r="O28" s="19" t="n">
        <f aca="false">$B28+O$3*100*$A28</f>
        <v>12.5450737634961</v>
      </c>
      <c r="P28" s="19" t="n">
        <f aca="false">$B28+P$3*100*$A28</f>
        <v>12.8575737634961</v>
      </c>
      <c r="Q28" s="19" t="n">
        <f aca="false">$B28+Q$3*100*$A28</f>
        <v>13.1700737634961</v>
      </c>
      <c r="R28" s="19" t="n">
        <f aca="false">$B28+R$3*100*$A28</f>
        <v>13.4825737634961</v>
      </c>
      <c r="S28" s="19" t="n">
        <f aca="false">$B28+S$3*100*$A28</f>
        <v>13.7950737634961</v>
      </c>
      <c r="T28" s="19" t="n">
        <f aca="false">$B28+T$3*100*$A28</f>
        <v>14.1075737634961</v>
      </c>
      <c r="U28" s="19" t="n">
        <f aca="false">$B28+U$3*100*$A28</f>
        <v>14.4200737634961</v>
      </c>
      <c r="V28" s="19" t="n">
        <f aca="false">$B28+V$3*100*$A28</f>
        <v>14.7325737634961</v>
      </c>
      <c r="W28" s="19" t="n">
        <f aca="false">$B28+W$3*100*$A28</f>
        <v>15.0450737634961</v>
      </c>
      <c r="X28" s="19" t="n">
        <f aca="false">$B28+X$3*100*$A28</f>
        <v>15.3575737634961</v>
      </c>
      <c r="Y28" s="19" t="n">
        <f aca="false">$B28+Y$3*100*$A28</f>
        <v>15.6700737634961</v>
      </c>
      <c r="Z28" s="19" t="n">
        <f aca="false">$B28+Z$3*100*$A28</f>
        <v>15.9825737634961</v>
      </c>
      <c r="AA28" s="19" t="n">
        <f aca="false">$B28+AA$3*100*$A28</f>
        <v>16.2950737634961</v>
      </c>
      <c r="AB28" s="19" t="n">
        <f aca="false">$B28+AB$3*100*$A28</f>
        <v>16.6075737634961</v>
      </c>
      <c r="AC28" s="19" t="n">
        <f aca="false">$B28+AC$3*100*$A28</f>
        <v>16.9200737634961</v>
      </c>
      <c r="AD28" s="19" t="n">
        <f aca="false">$B28+AD$3*100*$A28</f>
        <v>17.2325737634961</v>
      </c>
      <c r="AE28" s="19" t="n">
        <f aca="false">$B28+AE$3*100*$A28</f>
        <v>17.5450737634961</v>
      </c>
      <c r="AF28" s="19" t="n">
        <f aca="false">$B28+AF$3*100*$A28</f>
        <v>17.8575737634961</v>
      </c>
      <c r="AG28" s="19" t="n">
        <f aca="false">$B28+AG$3*100*$A28</f>
        <v>18.1700737634961</v>
      </c>
      <c r="AH28" s="19" t="n">
        <f aca="false">$B28+AH$3*100*$A28</f>
        <v>18.4825737634961</v>
      </c>
      <c r="AI28" s="19" t="n">
        <f aca="false">$B28+AI$3*100*$A28</f>
        <v>18.7950737634961</v>
      </c>
      <c r="AJ28" s="19" t="n">
        <f aca="false">$B28+AJ$3*100*$A28</f>
        <v>19.1075737634961</v>
      </c>
      <c r="AK28" s="19" t="n">
        <f aca="false">$B28+AK$3*100*$A28</f>
        <v>19.4200737634961</v>
      </c>
      <c r="AL28" s="19" t="n">
        <f aca="false">$B28+AL$3*100*$A28</f>
        <v>19.7325737634961</v>
      </c>
      <c r="AM28" s="19" t="n">
        <f aca="false">$B28+AM$3*100*$A28</f>
        <v>20.0450737634961</v>
      </c>
      <c r="AN28" s="19" t="n">
        <f aca="false">$B28+AN$3*100*$A28</f>
        <v>20.3575737634961</v>
      </c>
      <c r="AO28" s="19" t="n">
        <f aca="false">$B28+AO$3*100*$A28</f>
        <v>20.6700737634961</v>
      </c>
      <c r="AP28" s="19" t="n">
        <f aca="false">$B28+AP$3*100*$A28</f>
        <v>20.9825737634961</v>
      </c>
      <c r="AQ28" s="19" t="n">
        <f aca="false">$B28+AQ$3*100*$A28</f>
        <v>21.2950737634961</v>
      </c>
      <c r="AR28" s="19" t="n">
        <f aca="false">$B28+AR$3*100*$A28</f>
        <v>21.6075737634961</v>
      </c>
      <c r="AS28" s="19" t="n">
        <f aca="false">$B28+AS$3*100*$A28</f>
        <v>21.9200737634961</v>
      </c>
      <c r="AT28" s="19" t="n">
        <f aca="false">$B28+AT$3*100*$A28</f>
        <v>22.2325737634961</v>
      </c>
      <c r="AU28" s="19" t="n">
        <f aca="false">$B28+AU$3*100*$A28</f>
        <v>22.5450737634961</v>
      </c>
      <c r="AV28" s="19" t="n">
        <f aca="false">$B28+AV$3*100*$A28</f>
        <v>22.8575737634961</v>
      </c>
      <c r="AW28" s="19" t="n">
        <f aca="false">$B28+AW$3*100*$A28</f>
        <v>23.1700737634961</v>
      </c>
      <c r="AX28" s="19" t="n">
        <f aca="false">$B28+AX$3*100*$A28</f>
        <v>23.4825737634961</v>
      </c>
      <c r="AY28" s="19" t="n">
        <f aca="false">$B28+AY$3*100*$A28</f>
        <v>23.7950737634961</v>
      </c>
      <c r="AZ28" s="19" t="n">
        <f aca="false">$B28+AZ$3*100*$A28</f>
        <v>24.1075737634961</v>
      </c>
      <c r="BA28" s="19" t="n">
        <f aca="false">$B28+BA$3*100*$A28</f>
        <v>24.4200737634961</v>
      </c>
      <c r="BB28" s="19" t="n">
        <f aca="false">$B28+BB$3*100*$A28</f>
        <v>24.7325737634961</v>
      </c>
      <c r="BC28" s="19" t="n">
        <f aca="false">$B28+BC$3*100*$A28</f>
        <v>25.0450737634961</v>
      </c>
      <c r="BD28" s="19" t="n">
        <f aca="false">$B28+BD$3*100*$A28</f>
        <v>25.3575737634961</v>
      </c>
      <c r="BE28" s="19" t="n">
        <f aca="false">$B28+BE$3*100*$A28</f>
        <v>25.6700737634961</v>
      </c>
      <c r="BF28" s="19" t="n">
        <f aca="false">$B28+BF$3*100*$A28</f>
        <v>25.9825737634961</v>
      </c>
      <c r="BG28" s="19" t="n">
        <f aca="false">$B28+BG$3*100*$A28</f>
        <v>26.2950737634961</v>
      </c>
      <c r="BH28" s="19" t="n">
        <f aca="false">$B28+BH$3*100*$A28</f>
        <v>26.6075737634961</v>
      </c>
      <c r="BI28" s="19" t="n">
        <f aca="false">$B28+BI$3*100*$A28</f>
        <v>26.9200737634961</v>
      </c>
      <c r="BJ28" s="19" t="n">
        <f aca="false">$B28+BJ$3*100*$A28</f>
        <v>27.2325737634961</v>
      </c>
      <c r="BK28" s="19" t="n">
        <f aca="false">$B28+BK$3*100*$A28</f>
        <v>27.5450737634961</v>
      </c>
      <c r="BL28" s="19" t="n">
        <f aca="false">$B28+BL$3*100*$A28</f>
        <v>27.8575737634961</v>
      </c>
      <c r="BM28" s="19" t="n">
        <f aca="false">$B28+BM$3*100*$A28</f>
        <v>28.1700737634961</v>
      </c>
      <c r="BN28" s="19" t="n">
        <f aca="false">$B28+BN$3*100*$A28</f>
        <v>28.4825737634961</v>
      </c>
      <c r="BO28" s="19" t="n">
        <f aca="false">$B28+BO$3*100*$A28</f>
        <v>28.7950737634961</v>
      </c>
      <c r="BP28" s="19" t="n">
        <f aca="false">$B28+BP$3*100*$A28</f>
        <v>29.1075737634961</v>
      </c>
      <c r="BQ28" s="19" t="n">
        <f aca="false">$B28+BQ$3*100*$A28</f>
        <v>29.4200737634961</v>
      </c>
      <c r="BR28" s="19" t="n">
        <f aca="false">$B28+BR$3*100*$A28</f>
        <v>29.7325737634961</v>
      </c>
      <c r="BS28" s="19" t="n">
        <f aca="false">$B28+BS$3*100*$A28</f>
        <v>30.0450737634961</v>
      </c>
      <c r="BT28" s="19" t="n">
        <f aca="false">$B28+BT$3*100*$A28</f>
        <v>30.3575737634961</v>
      </c>
      <c r="BU28" s="19" t="n">
        <f aca="false">$B28+BU$3*100*$A28</f>
        <v>30.6700737634961</v>
      </c>
      <c r="BV28" s="19" t="n">
        <f aca="false">$B28+BV$3*100*$A28</f>
        <v>30.9825737634961</v>
      </c>
      <c r="BW28" s="19" t="n">
        <f aca="false">$B28+BW$3*100*$A28</f>
        <v>31.2950737634961</v>
      </c>
      <c r="BX28" s="19" t="n">
        <f aca="false">$B28+BX$3*100*$A28</f>
        <v>31.6075737634961</v>
      </c>
      <c r="BY28" s="19" t="n">
        <f aca="false">$B28+BY$3*100*$A28</f>
        <v>31.9200737634961</v>
      </c>
      <c r="BZ28" s="19" t="n">
        <f aca="false">$B28+BZ$3*100*$A28</f>
        <v>32.2325737634961</v>
      </c>
      <c r="CA28" s="19" t="n">
        <f aca="false">$B28+CA$3*100*$A28</f>
        <v>32.5450737634961</v>
      </c>
      <c r="CB28" s="19" t="n">
        <f aca="false">$B28+CB$3*100*$A28</f>
        <v>32.8575737634961</v>
      </c>
      <c r="CC28" s="19" t="n">
        <f aca="false">$B28+CC$3*100*$A28</f>
        <v>33.1700737634961</v>
      </c>
      <c r="CD28" s="19" t="n">
        <f aca="false">$B28+CD$3*100*$A28</f>
        <v>33.4825737634961</v>
      </c>
      <c r="CE28" s="19" t="n">
        <f aca="false">$B28+CE$3*100*$A28</f>
        <v>33.7950737634961</v>
      </c>
      <c r="CF28" s="19" t="n">
        <f aca="false">$B28+CF$3*100*$A28</f>
        <v>34.1075737634961</v>
      </c>
      <c r="CG28" s="19" t="n">
        <f aca="false">$B28+CG$3*100*$A28</f>
        <v>34.4200737634961</v>
      </c>
      <c r="CH28" s="19" t="n">
        <f aca="false">$B28+CH$3*100*$A28</f>
        <v>34.7325737634961</v>
      </c>
      <c r="CI28" s="19" t="n">
        <f aca="false">$B28+CI$3*100*$A28</f>
        <v>35.0450737634961</v>
      </c>
      <c r="CJ28" s="19" t="n">
        <f aca="false">$B28+CJ$3*100*$A28</f>
        <v>35.3575737634961</v>
      </c>
      <c r="CK28" s="19" t="n">
        <f aca="false">$B28+CK$3*100*$A28</f>
        <v>35.6700737634961</v>
      </c>
      <c r="CL28" s="19" t="n">
        <f aca="false">$B28+CL$3*100*$A28</f>
        <v>35.9825737634961</v>
      </c>
      <c r="CM28" s="19" t="n">
        <f aca="false">$B28+CM$3*100*$A28</f>
        <v>36.2950737634961</v>
      </c>
      <c r="CN28" s="19" t="n">
        <f aca="false">$B28+CN$3*100*$A28</f>
        <v>36.6075737634961</v>
      </c>
      <c r="CO28" s="19" t="n">
        <f aca="false">$B28+CO$3*100*$A28</f>
        <v>36.9200737634961</v>
      </c>
      <c r="CP28" s="19" t="n">
        <f aca="false">$B28+CP$3*100*$A28</f>
        <v>37.2325737634961</v>
      </c>
      <c r="CQ28" s="19" t="n">
        <f aca="false">$B28+CQ$3*100*$A28</f>
        <v>37.5450737634961</v>
      </c>
      <c r="CR28" s="19" t="n">
        <f aca="false">$B28+CR$3*100*$A28</f>
        <v>37.8575737634961</v>
      </c>
      <c r="CS28" s="19" t="n">
        <f aca="false">$B28+CS$3*100*$A28</f>
        <v>38.1700737634961</v>
      </c>
      <c r="CT28" s="19" t="n">
        <f aca="false">$B28+CT$3*100*$A28</f>
        <v>38.4825737634961</v>
      </c>
      <c r="CU28" s="19" t="n">
        <f aca="false">$B28+CU$3*100*$A28</f>
        <v>38.7950737634961</v>
      </c>
      <c r="CV28" s="19" t="n">
        <f aca="false">$B28+CV$3*100*$A28</f>
        <v>39.1075737634961</v>
      </c>
      <c r="CW28" s="19" t="n">
        <f aca="false">$B28+CW$3*100*$A28</f>
        <v>39.4200737634961</v>
      </c>
      <c r="CX28" s="19" t="n">
        <f aca="false">$B28+CX$3*100*$A28</f>
        <v>39.7325737634961</v>
      </c>
      <c r="CY28" s="19" t="n">
        <f aca="false">$B28+CY$3*100*$A28</f>
        <v>40.0450737634961</v>
      </c>
      <c r="CZ28" s="19" t="n">
        <f aca="false">$B28+CZ$3*100*$A28</f>
        <v>40.3575737634961</v>
      </c>
      <c r="DA28" s="19" t="n">
        <f aca="false">$B28+DA$3*100*$A28</f>
        <v>40.6700737634961</v>
      </c>
      <c r="DB28" s="19" t="n">
        <f aca="false">$B28+DB$3*100*$A28</f>
        <v>40.9825737634961</v>
      </c>
      <c r="DC28" s="19" t="n">
        <f aca="false">$B28+DC$3*100*$A28</f>
        <v>41.2950737634961</v>
      </c>
      <c r="DD28" s="19" t="n">
        <f aca="false">$B28+DD$3*100*$A28</f>
        <v>41.6075737634961</v>
      </c>
      <c r="DE28" s="19" t="n">
        <f aca="false">$B28+DE$3*100*$A28</f>
        <v>41.9200737634961</v>
      </c>
      <c r="DF28" s="19" t="n">
        <f aca="false">$B28+DF$3*100*$A28</f>
        <v>42.2325737634961</v>
      </c>
      <c r="DG28" s="19" t="n">
        <f aca="false">$B28+DG$3*100*$A28</f>
        <v>42.5450737634961</v>
      </c>
      <c r="DH28" s="19" t="n">
        <f aca="false">$B28+DH$3*100*$A28</f>
        <v>42.8575737634961</v>
      </c>
      <c r="DI28" s="19" t="n">
        <f aca="false">$B28+DI$3*100*$A28</f>
        <v>43.1700737634961</v>
      </c>
      <c r="DJ28" s="19" t="n">
        <f aca="false">$B28+DJ$3*100*$A28</f>
        <v>43.4825737634961</v>
      </c>
      <c r="DK28" s="19" t="n">
        <f aca="false">$B28+DK$3*100*$A28</f>
        <v>43.7950737634961</v>
      </c>
      <c r="DL28" s="19" t="n">
        <f aca="false">$B28+DL$3*100*$A28</f>
        <v>44.1075737634961</v>
      </c>
      <c r="DM28" s="19" t="n">
        <f aca="false">$B28+DM$3*100*$A28</f>
        <v>44.4200737634961</v>
      </c>
      <c r="DN28" s="19" t="n">
        <f aca="false">$B28+DN$3*100*$A28</f>
        <v>44.7325737634961</v>
      </c>
      <c r="DO28" s="19" t="n">
        <f aca="false">$B28+DO$3*100*$A28</f>
        <v>45.0450737634961</v>
      </c>
      <c r="DP28" s="19" t="n">
        <f aca="false">$B28+DP$3*100*$A28</f>
        <v>45.3575737634961</v>
      </c>
      <c r="DQ28" s="19" t="n">
        <f aca="false">$B28+DQ$3*100*$A28</f>
        <v>45.6700737634961</v>
      </c>
      <c r="DR28" s="19" t="n">
        <f aca="false">$B28+DR$3*100*$A28</f>
        <v>45.9825737634961</v>
      </c>
      <c r="DS28" s="19" t="n">
        <f aca="false">$B28+DS$3*100*$A28</f>
        <v>46.2950737634961</v>
      </c>
      <c r="DT28" s="19" t="n">
        <f aca="false">$B28+DT$3*100*$A28</f>
        <v>46.6075737634961</v>
      </c>
      <c r="DU28" s="19" t="n">
        <f aca="false">$B28+DU$3*100*$A28</f>
        <v>46.9200737634961</v>
      </c>
      <c r="DV28" s="19" t="n">
        <f aca="false">$B28+DV$3*100*$A28</f>
        <v>47.2325737634961</v>
      </c>
      <c r="DW28" s="19" t="n">
        <f aca="false">$B28+DW$3*100*$A28</f>
        <v>47.5450737634961</v>
      </c>
      <c r="DX28" s="19" t="n">
        <f aca="false">$B28+DX$3*100*$A28</f>
        <v>47.8575737634961</v>
      </c>
      <c r="DY28" s="19" t="n">
        <f aca="false">$B28+DY$3*100*$A28</f>
        <v>48.1700737634961</v>
      </c>
      <c r="DZ28" s="19" t="n">
        <f aca="false">$B28+DZ$3*100*$A28</f>
        <v>48.4825737634961</v>
      </c>
      <c r="EA28" s="19" t="n">
        <f aca="false">$B28+EA$3*100*$A28</f>
        <v>48.7950737634961</v>
      </c>
      <c r="EB28" s="19" t="n">
        <f aca="false">$B28+EB$3*100*$A28</f>
        <v>49.1075737634961</v>
      </c>
      <c r="EC28" s="19" t="n">
        <f aca="false">$B28+EC$3*100*$A28</f>
        <v>49.4200737634961</v>
      </c>
      <c r="ED28" s="19" t="n">
        <f aca="false">$B28+ED$3*100*$A28</f>
        <v>49.7325737634961</v>
      </c>
      <c r="EE28" s="19" t="n">
        <f aca="false">$B28+EE$3*100*$A28</f>
        <v>50.0450737634961</v>
      </c>
      <c r="EF28" s="19" t="n">
        <f aca="false">$B28+EF$3*100*$A28</f>
        <v>50.3575737634961</v>
      </c>
      <c r="EG28" s="19" t="n">
        <f aca="false">$B28+EG$3*100*$A28</f>
        <v>50.6700737634961</v>
      </c>
      <c r="EH28" s="19" t="n">
        <f aca="false">$B28+EH$3*100*$A28</f>
        <v>50.9825737634961</v>
      </c>
      <c r="EI28" s="19" t="n">
        <f aca="false">$B28+EI$3*100*$A28</f>
        <v>51.2950737634961</v>
      </c>
      <c r="EJ28" s="19" t="n">
        <f aca="false">$B28+EJ$3*100*$A28</f>
        <v>51.6075737634961</v>
      </c>
      <c r="EK28" s="19" t="n">
        <f aca="false">$B28+EK$3*100*$A28</f>
        <v>51.9200737634961</v>
      </c>
      <c r="EL28" s="19" t="n">
        <f aca="false">$B28+EL$3*100*$A28</f>
        <v>52.2325737634961</v>
      </c>
      <c r="EM28" s="19" t="n">
        <f aca="false">$B28+EM$3*100*$A28</f>
        <v>52.5450737634961</v>
      </c>
      <c r="EN28" s="19" t="n">
        <f aca="false">$B28+EN$3*100*$A28</f>
        <v>52.8575737634961</v>
      </c>
      <c r="EO28" s="19" t="n">
        <f aca="false">$B28+EO$3*100*$A28</f>
        <v>53.1700737634961</v>
      </c>
      <c r="EP28" s="19" t="n">
        <f aca="false">$B28+EP$3*100*$A28</f>
        <v>53.4825737634961</v>
      </c>
      <c r="EQ28" s="19" t="n">
        <f aca="false">$B28+EQ$3*100*$A28</f>
        <v>53.7950737634961</v>
      </c>
      <c r="ER28" s="19" t="n">
        <f aca="false">$B28+ER$3*100*$A28</f>
        <v>54.1075737634961</v>
      </c>
      <c r="ES28" s="19" t="n">
        <f aca="false">$B28+ES$3*100*$A28</f>
        <v>54.4200737634961</v>
      </c>
      <c r="ET28" s="19" t="n">
        <f aca="false">$B28+ET$3*100*$A28</f>
        <v>54.7325737634961</v>
      </c>
      <c r="EU28" s="19" t="n">
        <f aca="false">$B28+EU$3*100*$A28</f>
        <v>55.0450737634961</v>
      </c>
      <c r="EV28" s="19" t="n">
        <f aca="false">$B28+EV$3*100*$A28</f>
        <v>55.3575737634961</v>
      </c>
      <c r="EW28" s="19" t="n">
        <f aca="false">$B28+EW$3*100*$A28</f>
        <v>55.6700737634961</v>
      </c>
      <c r="EX28" s="19" t="n">
        <f aca="false">$B28+EX$3*100*$A28</f>
        <v>55.9825737634961</v>
      </c>
      <c r="EY28" s="19" t="n">
        <f aca="false">$B28+EY$3*100*$A28</f>
        <v>56.2950737634961</v>
      </c>
      <c r="EZ28" s="19" t="n">
        <f aca="false">$B28+EZ$3*100*$A28</f>
        <v>56.6075737634961</v>
      </c>
      <c r="FA28" s="19" t="n">
        <f aca="false">$B28+FA$3*100*$A28</f>
        <v>56.9200737634961</v>
      </c>
      <c r="FB28" s="19" t="n">
        <f aca="false">$B28+FB$3*100*$A28</f>
        <v>57.2325737634961</v>
      </c>
      <c r="FC28" s="19" t="n">
        <f aca="false">$B28+FC$3*100*$A28</f>
        <v>57.5450737634961</v>
      </c>
      <c r="FD28" s="19" t="n">
        <f aca="false">$B28+FD$3*100*$A28</f>
        <v>57.8575737634961</v>
      </c>
      <c r="FE28" s="19" t="n">
        <f aca="false">$B28+FE$3*100*$A28</f>
        <v>58.1700737634961</v>
      </c>
      <c r="FF28" s="19" t="n">
        <f aca="false">$B28+FF$3*100*$A28</f>
        <v>58.4825737634961</v>
      </c>
      <c r="FG28" s="19" t="n">
        <f aca="false">$B28+FG$3*100*$A28</f>
        <v>58.7950737634961</v>
      </c>
      <c r="FH28" s="19" t="n">
        <f aca="false">$B28+FH$3*100*$A28</f>
        <v>59.1075737634961</v>
      </c>
      <c r="FI28" s="19" t="n">
        <f aca="false">$B28+FI$3*100*$A28</f>
        <v>59.4200737634961</v>
      </c>
      <c r="FJ28" s="19" t="n">
        <f aca="false">$B28+FJ$3*100*$A28</f>
        <v>59.7325737634961</v>
      </c>
      <c r="FK28" s="19" t="n">
        <f aca="false">$B28+FK$3*100*$A28</f>
        <v>60.0450737634961</v>
      </c>
      <c r="FL28" s="19" t="n">
        <f aca="false">$B28+FL$3*100*$A28</f>
        <v>60.3575737634961</v>
      </c>
      <c r="FM28" s="19" t="n">
        <f aca="false">$B28+FM$3*100*$A28</f>
        <v>60.6700737634961</v>
      </c>
      <c r="FN28" s="19" t="n">
        <f aca="false">$B28+FN$3*100*$A28</f>
        <v>60.9825737634961</v>
      </c>
      <c r="FO28" s="19" t="n">
        <f aca="false">$B28+FO$3*100*$A28</f>
        <v>61.2950737634961</v>
      </c>
      <c r="FP28" s="19" t="n">
        <f aca="false">$B28+FP$3*100*$A28</f>
        <v>61.6075737634961</v>
      </c>
      <c r="FQ28" s="19" t="n">
        <f aca="false">$B28+FQ$3*100*$A28</f>
        <v>61.9200737634961</v>
      </c>
      <c r="FR28" s="19" t="n">
        <f aca="false">$B28+FR$3*100*$A28</f>
        <v>62.2325737634961</v>
      </c>
      <c r="FS28" s="19" t="n">
        <f aca="false">$B28+FS$3*100*$A28</f>
        <v>62.5450737634961</v>
      </c>
      <c r="FT28" s="19" t="n">
        <f aca="false">$B28+FT$3*100*$A28</f>
        <v>62.8575737634961</v>
      </c>
      <c r="FU28" s="19" t="n">
        <f aca="false">$B28+FU$3*100*$A28</f>
        <v>63.1700737634961</v>
      </c>
      <c r="FV28" s="19" t="n">
        <f aca="false">$B28+FV$3*100*$A28</f>
        <v>63.4825737634961</v>
      </c>
      <c r="FW28" s="19" t="n">
        <f aca="false">$B28+FW$3*100*$A28</f>
        <v>63.7950737634961</v>
      </c>
      <c r="FX28" s="19" t="n">
        <f aca="false">$B28+FX$3*100*$A28</f>
        <v>64.1075737634961</v>
      </c>
      <c r="FY28" s="19" t="n">
        <f aca="false">$B28+FY$3*100*$A28</f>
        <v>64.4200737634961</v>
      </c>
      <c r="FZ28" s="19" t="n">
        <f aca="false">$B28+FZ$3*100*$A28</f>
        <v>64.7325737634961</v>
      </c>
      <c r="GA28" s="19" t="n">
        <f aca="false">$B28+GA$3*100*$A28</f>
        <v>65.0450737634961</v>
      </c>
      <c r="GB28" s="19" t="n">
        <f aca="false">$B28+GB$3*100*$A28</f>
        <v>65.3575737634961</v>
      </c>
      <c r="GC28" s="19" t="n">
        <f aca="false">$B28+GC$3*100*$A28</f>
        <v>65.6700737634961</v>
      </c>
      <c r="GD28" s="19" t="n">
        <f aca="false">$B28+GD$3*100*$A28</f>
        <v>65.9825737634961</v>
      </c>
      <c r="GE28" s="19" t="n">
        <f aca="false">$B28+GE$3*100*$A28</f>
        <v>66.2950737634961</v>
      </c>
      <c r="GF28" s="19" t="n">
        <f aca="false">$B28+GF$3*100*$A28</f>
        <v>66.6075737634961</v>
      </c>
      <c r="GG28" s="19" t="n">
        <f aca="false">$B28+GG$3*100*$A28</f>
        <v>66.9200737634961</v>
      </c>
      <c r="GH28" s="19" t="n">
        <f aca="false">$B28+GH$3*100*$A28</f>
        <v>67.2325737634961</v>
      </c>
      <c r="GI28" s="19" t="n">
        <f aca="false">$B28+GI$3*100*$A28</f>
        <v>67.5450737634961</v>
      </c>
      <c r="GJ28" s="19" t="n">
        <f aca="false">$B28+GJ$3*100*$A28</f>
        <v>67.8575737634961</v>
      </c>
      <c r="GK28" s="19" t="n">
        <f aca="false">$B28+GK$3*100*$A28</f>
        <v>68.1700737634961</v>
      </c>
      <c r="GL28" s="19" t="n">
        <f aca="false">$B28+GL$3*100*$A28</f>
        <v>68.4825737634961</v>
      </c>
      <c r="GM28" s="19" t="n">
        <f aca="false">$B28+GM$3*100*$A28</f>
        <v>68.7950737634961</v>
      </c>
      <c r="GN28" s="19" t="n">
        <f aca="false">$B28+GN$3*100*$A28</f>
        <v>69.1075737634961</v>
      </c>
      <c r="GO28" s="19" t="n">
        <f aca="false">$B28+GO$3*100*$A28</f>
        <v>69.4200737634961</v>
      </c>
      <c r="GP28" s="19" t="n">
        <f aca="false">$B28+GP$3*100*$A28</f>
        <v>69.7325737634961</v>
      </c>
      <c r="GQ28" s="19" t="n">
        <f aca="false">$B28+GQ$3*100*$A28</f>
        <v>70.0450737634961</v>
      </c>
      <c r="GR28" s="19" t="n">
        <f aca="false">$B28+GR$3*100*$A28</f>
        <v>70.3575737634961</v>
      </c>
      <c r="GS28" s="19" t="n">
        <f aca="false">$B28+GS$3*100*$A28</f>
        <v>70.6700737634961</v>
      </c>
      <c r="GT28" s="19" t="n">
        <f aca="false">$B28+GT$3*100*$A28</f>
        <v>70.9825737634961</v>
      </c>
    </row>
    <row r="29" customFormat="false" ht="15" hidden="false" customHeight="false" outlineLevel="0" collapsed="false">
      <c r="A29" s="26" t="n">
        <f aca="false">Frontier!A27</f>
        <v>0.065</v>
      </c>
      <c r="B29" s="34" t="n">
        <f aca="false">Frontier!B27</f>
        <v>8.13483907873714</v>
      </c>
      <c r="C29" s="19" t="n">
        <f aca="false">$B29+C$3*100*$A29</f>
        <v>8.45983907873714</v>
      </c>
      <c r="D29" s="19" t="n">
        <f aca="false">$B29+D$3*100*$A29</f>
        <v>8.78483907873714</v>
      </c>
      <c r="E29" s="19" t="n">
        <f aca="false">$B29+E$3*100*$A29</f>
        <v>9.10983907873714</v>
      </c>
      <c r="F29" s="19" t="n">
        <f aca="false">$B29+F$3*100*$A29</f>
        <v>9.43483907873714</v>
      </c>
      <c r="G29" s="19" t="n">
        <f aca="false">$B29+G$3*100*$A29</f>
        <v>9.75983907873714</v>
      </c>
      <c r="H29" s="19" t="n">
        <f aca="false">$B29+H$3*100*$A29</f>
        <v>10.0848390787371</v>
      </c>
      <c r="I29" s="19" t="n">
        <f aca="false">$B29+I$3*100*$A29</f>
        <v>10.4098390787371</v>
      </c>
      <c r="J29" s="19" t="n">
        <f aca="false">$B29+J$3*100*$A29</f>
        <v>10.7348390787371</v>
      </c>
      <c r="K29" s="19" t="n">
        <f aca="false">$B29+K$3*100*$A29</f>
        <v>11.0598390787371</v>
      </c>
      <c r="L29" s="19" t="n">
        <f aca="false">$B29+L$3*100*$A29</f>
        <v>11.3848390787371</v>
      </c>
      <c r="M29" s="19" t="n">
        <f aca="false">$B29+M$3*100*$A29</f>
        <v>11.7098390787371</v>
      </c>
      <c r="N29" s="19" t="n">
        <f aca="false">$B29+N$3*100*$A29</f>
        <v>12.0348390787371</v>
      </c>
      <c r="O29" s="19" t="n">
        <f aca="false">$B29+O$3*100*$A29</f>
        <v>12.3598390787371</v>
      </c>
      <c r="P29" s="19" t="n">
        <f aca="false">$B29+P$3*100*$A29</f>
        <v>12.6848390787371</v>
      </c>
      <c r="Q29" s="19" t="n">
        <f aca="false">$B29+Q$3*100*$A29</f>
        <v>13.0098390787371</v>
      </c>
      <c r="R29" s="19" t="n">
        <f aca="false">$B29+R$3*100*$A29</f>
        <v>13.3348390787371</v>
      </c>
      <c r="S29" s="19" t="n">
        <f aca="false">$B29+S$3*100*$A29</f>
        <v>13.6598390787371</v>
      </c>
      <c r="T29" s="19" t="n">
        <f aca="false">$B29+T$3*100*$A29</f>
        <v>13.9848390787371</v>
      </c>
      <c r="U29" s="19" t="n">
        <f aca="false">$B29+U$3*100*$A29</f>
        <v>14.3098390787371</v>
      </c>
      <c r="V29" s="19" t="n">
        <f aca="false">$B29+V$3*100*$A29</f>
        <v>14.6348390787371</v>
      </c>
      <c r="W29" s="19" t="n">
        <f aca="false">$B29+W$3*100*$A29</f>
        <v>14.9598390787371</v>
      </c>
      <c r="X29" s="19" t="n">
        <f aca="false">$B29+X$3*100*$A29</f>
        <v>15.2848390787371</v>
      </c>
      <c r="Y29" s="19" t="n">
        <f aca="false">$B29+Y$3*100*$A29</f>
        <v>15.6098390787371</v>
      </c>
      <c r="Z29" s="19" t="n">
        <f aca="false">$B29+Z$3*100*$A29</f>
        <v>15.9348390787371</v>
      </c>
      <c r="AA29" s="19" t="n">
        <f aca="false">$B29+AA$3*100*$A29</f>
        <v>16.2598390787371</v>
      </c>
      <c r="AB29" s="19" t="n">
        <f aca="false">$B29+AB$3*100*$A29</f>
        <v>16.5848390787371</v>
      </c>
      <c r="AC29" s="19" t="n">
        <f aca="false">$B29+AC$3*100*$A29</f>
        <v>16.9098390787371</v>
      </c>
      <c r="AD29" s="19" t="n">
        <f aca="false">$B29+AD$3*100*$A29</f>
        <v>17.2348390787371</v>
      </c>
      <c r="AE29" s="19" t="n">
        <f aca="false">$B29+AE$3*100*$A29</f>
        <v>17.5598390787371</v>
      </c>
      <c r="AF29" s="19" t="n">
        <f aca="false">$B29+AF$3*100*$A29</f>
        <v>17.8848390787371</v>
      </c>
      <c r="AG29" s="19" t="n">
        <f aca="false">$B29+AG$3*100*$A29</f>
        <v>18.2098390787371</v>
      </c>
      <c r="AH29" s="19" t="n">
        <f aca="false">$B29+AH$3*100*$A29</f>
        <v>18.5348390787371</v>
      </c>
      <c r="AI29" s="19" t="n">
        <f aca="false">$B29+AI$3*100*$A29</f>
        <v>18.8598390787371</v>
      </c>
      <c r="AJ29" s="19" t="n">
        <f aca="false">$B29+AJ$3*100*$A29</f>
        <v>19.1848390787371</v>
      </c>
      <c r="AK29" s="19" t="n">
        <f aca="false">$B29+AK$3*100*$A29</f>
        <v>19.5098390787371</v>
      </c>
      <c r="AL29" s="19" t="n">
        <f aca="false">$B29+AL$3*100*$A29</f>
        <v>19.8348390787371</v>
      </c>
      <c r="AM29" s="19" t="n">
        <f aca="false">$B29+AM$3*100*$A29</f>
        <v>20.1598390787371</v>
      </c>
      <c r="AN29" s="19" t="n">
        <f aca="false">$B29+AN$3*100*$A29</f>
        <v>20.4848390787371</v>
      </c>
      <c r="AO29" s="19" t="n">
        <f aca="false">$B29+AO$3*100*$A29</f>
        <v>20.8098390787371</v>
      </c>
      <c r="AP29" s="19" t="n">
        <f aca="false">$B29+AP$3*100*$A29</f>
        <v>21.1348390787371</v>
      </c>
      <c r="AQ29" s="19" t="n">
        <f aca="false">$B29+AQ$3*100*$A29</f>
        <v>21.4598390787371</v>
      </c>
      <c r="AR29" s="19" t="n">
        <f aca="false">$B29+AR$3*100*$A29</f>
        <v>21.7848390787371</v>
      </c>
      <c r="AS29" s="19" t="n">
        <f aca="false">$B29+AS$3*100*$A29</f>
        <v>22.1098390787371</v>
      </c>
      <c r="AT29" s="19" t="n">
        <f aca="false">$B29+AT$3*100*$A29</f>
        <v>22.4348390787371</v>
      </c>
      <c r="AU29" s="19" t="n">
        <f aca="false">$B29+AU$3*100*$A29</f>
        <v>22.7598390787371</v>
      </c>
      <c r="AV29" s="19" t="n">
        <f aca="false">$B29+AV$3*100*$A29</f>
        <v>23.0848390787371</v>
      </c>
      <c r="AW29" s="19" t="n">
        <f aca="false">$B29+AW$3*100*$A29</f>
        <v>23.4098390787371</v>
      </c>
      <c r="AX29" s="19" t="n">
        <f aca="false">$B29+AX$3*100*$A29</f>
        <v>23.7348390787371</v>
      </c>
      <c r="AY29" s="19" t="n">
        <f aca="false">$B29+AY$3*100*$A29</f>
        <v>24.0598390787371</v>
      </c>
      <c r="AZ29" s="19" t="n">
        <f aca="false">$B29+AZ$3*100*$A29</f>
        <v>24.3848390787371</v>
      </c>
      <c r="BA29" s="19" t="n">
        <f aca="false">$B29+BA$3*100*$A29</f>
        <v>24.7098390787371</v>
      </c>
      <c r="BB29" s="19" t="n">
        <f aca="false">$B29+BB$3*100*$A29</f>
        <v>25.0348390787371</v>
      </c>
      <c r="BC29" s="19" t="n">
        <f aca="false">$B29+BC$3*100*$A29</f>
        <v>25.3598390787371</v>
      </c>
      <c r="BD29" s="19" t="n">
        <f aca="false">$B29+BD$3*100*$A29</f>
        <v>25.6848390787371</v>
      </c>
      <c r="BE29" s="19" t="n">
        <f aca="false">$B29+BE$3*100*$A29</f>
        <v>26.0098390787371</v>
      </c>
      <c r="BF29" s="19" t="n">
        <f aca="false">$B29+BF$3*100*$A29</f>
        <v>26.3348390787371</v>
      </c>
      <c r="BG29" s="19" t="n">
        <f aca="false">$B29+BG$3*100*$A29</f>
        <v>26.6598390787371</v>
      </c>
      <c r="BH29" s="19" t="n">
        <f aca="false">$B29+BH$3*100*$A29</f>
        <v>26.9848390787371</v>
      </c>
      <c r="BI29" s="19" t="n">
        <f aca="false">$B29+BI$3*100*$A29</f>
        <v>27.3098390787371</v>
      </c>
      <c r="BJ29" s="19" t="n">
        <f aca="false">$B29+BJ$3*100*$A29</f>
        <v>27.6348390787371</v>
      </c>
      <c r="BK29" s="19" t="n">
        <f aca="false">$B29+BK$3*100*$A29</f>
        <v>27.9598390787371</v>
      </c>
      <c r="BL29" s="19" t="n">
        <f aca="false">$B29+BL$3*100*$A29</f>
        <v>28.2848390787371</v>
      </c>
      <c r="BM29" s="19" t="n">
        <f aca="false">$B29+BM$3*100*$A29</f>
        <v>28.6098390787371</v>
      </c>
      <c r="BN29" s="19" t="n">
        <f aca="false">$B29+BN$3*100*$A29</f>
        <v>28.9348390787371</v>
      </c>
      <c r="BO29" s="19" t="n">
        <f aca="false">$B29+BO$3*100*$A29</f>
        <v>29.2598390787371</v>
      </c>
      <c r="BP29" s="19" t="n">
        <f aca="false">$B29+BP$3*100*$A29</f>
        <v>29.5848390787371</v>
      </c>
      <c r="BQ29" s="19" t="n">
        <f aca="false">$B29+BQ$3*100*$A29</f>
        <v>29.9098390787371</v>
      </c>
      <c r="BR29" s="19" t="n">
        <f aca="false">$B29+BR$3*100*$A29</f>
        <v>30.2348390787371</v>
      </c>
      <c r="BS29" s="19" t="n">
        <f aca="false">$B29+BS$3*100*$A29</f>
        <v>30.5598390787371</v>
      </c>
      <c r="BT29" s="19" t="n">
        <f aca="false">$B29+BT$3*100*$A29</f>
        <v>30.8848390787371</v>
      </c>
      <c r="BU29" s="19" t="n">
        <f aca="false">$B29+BU$3*100*$A29</f>
        <v>31.2098390787371</v>
      </c>
      <c r="BV29" s="19" t="n">
        <f aca="false">$B29+BV$3*100*$A29</f>
        <v>31.5348390787371</v>
      </c>
      <c r="BW29" s="19" t="n">
        <f aca="false">$B29+BW$3*100*$A29</f>
        <v>31.8598390787371</v>
      </c>
      <c r="BX29" s="19" t="n">
        <f aca="false">$B29+BX$3*100*$A29</f>
        <v>32.1848390787371</v>
      </c>
      <c r="BY29" s="19" t="n">
        <f aca="false">$B29+BY$3*100*$A29</f>
        <v>32.5098390787371</v>
      </c>
      <c r="BZ29" s="19" t="n">
        <f aca="false">$B29+BZ$3*100*$A29</f>
        <v>32.8348390787371</v>
      </c>
      <c r="CA29" s="19" t="n">
        <f aca="false">$B29+CA$3*100*$A29</f>
        <v>33.1598390787371</v>
      </c>
      <c r="CB29" s="19" t="n">
        <f aca="false">$B29+CB$3*100*$A29</f>
        <v>33.4848390787371</v>
      </c>
      <c r="CC29" s="19" t="n">
        <f aca="false">$B29+CC$3*100*$A29</f>
        <v>33.8098390787371</v>
      </c>
      <c r="CD29" s="19" t="n">
        <f aca="false">$B29+CD$3*100*$A29</f>
        <v>34.1348390787371</v>
      </c>
      <c r="CE29" s="19" t="n">
        <f aca="false">$B29+CE$3*100*$A29</f>
        <v>34.4598390787371</v>
      </c>
      <c r="CF29" s="19" t="n">
        <f aca="false">$B29+CF$3*100*$A29</f>
        <v>34.7848390787371</v>
      </c>
      <c r="CG29" s="19" t="n">
        <f aca="false">$B29+CG$3*100*$A29</f>
        <v>35.1098390787371</v>
      </c>
      <c r="CH29" s="19" t="n">
        <f aca="false">$B29+CH$3*100*$A29</f>
        <v>35.4348390787371</v>
      </c>
      <c r="CI29" s="19" t="n">
        <f aca="false">$B29+CI$3*100*$A29</f>
        <v>35.7598390787371</v>
      </c>
      <c r="CJ29" s="19" t="n">
        <f aca="false">$B29+CJ$3*100*$A29</f>
        <v>36.0848390787371</v>
      </c>
      <c r="CK29" s="19" t="n">
        <f aca="false">$B29+CK$3*100*$A29</f>
        <v>36.4098390787371</v>
      </c>
      <c r="CL29" s="19" t="n">
        <f aca="false">$B29+CL$3*100*$A29</f>
        <v>36.7348390787371</v>
      </c>
      <c r="CM29" s="19" t="n">
        <f aca="false">$B29+CM$3*100*$A29</f>
        <v>37.0598390787371</v>
      </c>
      <c r="CN29" s="19" t="n">
        <f aca="false">$B29+CN$3*100*$A29</f>
        <v>37.3848390787371</v>
      </c>
      <c r="CO29" s="19" t="n">
        <f aca="false">$B29+CO$3*100*$A29</f>
        <v>37.7098390787371</v>
      </c>
      <c r="CP29" s="19" t="n">
        <f aca="false">$B29+CP$3*100*$A29</f>
        <v>38.0348390787371</v>
      </c>
      <c r="CQ29" s="19" t="n">
        <f aca="false">$B29+CQ$3*100*$A29</f>
        <v>38.3598390787371</v>
      </c>
      <c r="CR29" s="19" t="n">
        <f aca="false">$B29+CR$3*100*$A29</f>
        <v>38.6848390787371</v>
      </c>
      <c r="CS29" s="19" t="n">
        <f aca="false">$B29+CS$3*100*$A29</f>
        <v>39.0098390787371</v>
      </c>
      <c r="CT29" s="19" t="n">
        <f aca="false">$B29+CT$3*100*$A29</f>
        <v>39.3348390787372</v>
      </c>
      <c r="CU29" s="19" t="n">
        <f aca="false">$B29+CU$3*100*$A29</f>
        <v>39.6598390787371</v>
      </c>
      <c r="CV29" s="19" t="n">
        <f aca="false">$B29+CV$3*100*$A29</f>
        <v>39.9848390787371</v>
      </c>
      <c r="CW29" s="19" t="n">
        <f aca="false">$B29+CW$3*100*$A29</f>
        <v>40.3098390787371</v>
      </c>
      <c r="CX29" s="19" t="n">
        <f aca="false">$B29+CX$3*100*$A29</f>
        <v>40.6348390787371</v>
      </c>
      <c r="CY29" s="19" t="n">
        <f aca="false">$B29+CY$3*100*$A29</f>
        <v>40.9598390787372</v>
      </c>
      <c r="CZ29" s="19" t="n">
        <f aca="false">$B29+CZ$3*100*$A29</f>
        <v>41.2848390787371</v>
      </c>
      <c r="DA29" s="19" t="n">
        <f aca="false">$B29+DA$3*100*$A29</f>
        <v>41.6098390787371</v>
      </c>
      <c r="DB29" s="19" t="n">
        <f aca="false">$B29+DB$3*100*$A29</f>
        <v>41.9348390787371</v>
      </c>
      <c r="DC29" s="19" t="n">
        <f aca="false">$B29+DC$3*100*$A29</f>
        <v>42.2598390787371</v>
      </c>
      <c r="DD29" s="19" t="n">
        <f aca="false">$B29+DD$3*100*$A29</f>
        <v>42.5848390787372</v>
      </c>
      <c r="DE29" s="19" t="n">
        <f aca="false">$B29+DE$3*100*$A29</f>
        <v>42.9098390787371</v>
      </c>
      <c r="DF29" s="19" t="n">
        <f aca="false">$B29+DF$3*100*$A29</f>
        <v>43.2348390787371</v>
      </c>
      <c r="DG29" s="19" t="n">
        <f aca="false">$B29+DG$3*100*$A29</f>
        <v>43.5598390787371</v>
      </c>
      <c r="DH29" s="19" t="n">
        <f aca="false">$B29+DH$3*100*$A29</f>
        <v>43.8848390787371</v>
      </c>
      <c r="DI29" s="19" t="n">
        <f aca="false">$B29+DI$3*100*$A29</f>
        <v>44.2098390787372</v>
      </c>
      <c r="DJ29" s="19" t="n">
        <f aca="false">$B29+DJ$3*100*$A29</f>
        <v>44.5348390787371</v>
      </c>
      <c r="DK29" s="19" t="n">
        <f aca="false">$B29+DK$3*100*$A29</f>
        <v>44.8598390787371</v>
      </c>
      <c r="DL29" s="19" t="n">
        <f aca="false">$B29+DL$3*100*$A29</f>
        <v>45.1848390787371</v>
      </c>
      <c r="DM29" s="19" t="n">
        <f aca="false">$B29+DM$3*100*$A29</f>
        <v>45.5098390787371</v>
      </c>
      <c r="DN29" s="19" t="n">
        <f aca="false">$B29+DN$3*100*$A29</f>
        <v>45.8348390787372</v>
      </c>
      <c r="DO29" s="19" t="n">
        <f aca="false">$B29+DO$3*100*$A29</f>
        <v>46.1598390787371</v>
      </c>
      <c r="DP29" s="19" t="n">
        <f aca="false">$B29+DP$3*100*$A29</f>
        <v>46.4848390787371</v>
      </c>
      <c r="DQ29" s="19" t="n">
        <f aca="false">$B29+DQ$3*100*$A29</f>
        <v>46.8098390787371</v>
      </c>
      <c r="DR29" s="19" t="n">
        <f aca="false">$B29+DR$3*100*$A29</f>
        <v>47.1348390787371</v>
      </c>
      <c r="DS29" s="19" t="n">
        <f aca="false">$B29+DS$3*100*$A29</f>
        <v>47.4598390787372</v>
      </c>
      <c r="DT29" s="19" t="n">
        <f aca="false">$B29+DT$3*100*$A29</f>
        <v>47.7848390787371</v>
      </c>
      <c r="DU29" s="19" t="n">
        <f aca="false">$B29+DU$3*100*$A29</f>
        <v>48.1098390787371</v>
      </c>
      <c r="DV29" s="19" t="n">
        <f aca="false">$B29+DV$3*100*$A29</f>
        <v>48.4348390787371</v>
      </c>
      <c r="DW29" s="19" t="n">
        <f aca="false">$B29+DW$3*100*$A29</f>
        <v>48.7598390787371</v>
      </c>
      <c r="DX29" s="19" t="n">
        <f aca="false">$B29+DX$3*100*$A29</f>
        <v>49.0848390787372</v>
      </c>
      <c r="DY29" s="19" t="n">
        <f aca="false">$B29+DY$3*100*$A29</f>
        <v>49.4098390787371</v>
      </c>
      <c r="DZ29" s="19" t="n">
        <f aca="false">$B29+DZ$3*100*$A29</f>
        <v>49.7348390787371</v>
      </c>
      <c r="EA29" s="19" t="n">
        <f aca="false">$B29+EA$3*100*$A29</f>
        <v>50.0598390787371</v>
      </c>
      <c r="EB29" s="19" t="n">
        <f aca="false">$B29+EB$3*100*$A29</f>
        <v>50.3848390787371</v>
      </c>
      <c r="EC29" s="19" t="n">
        <f aca="false">$B29+EC$3*100*$A29</f>
        <v>50.7098390787372</v>
      </c>
      <c r="ED29" s="19" t="n">
        <f aca="false">$B29+ED$3*100*$A29</f>
        <v>51.0348390787371</v>
      </c>
      <c r="EE29" s="19" t="n">
        <f aca="false">$B29+EE$3*100*$A29</f>
        <v>51.3598390787371</v>
      </c>
      <c r="EF29" s="19" t="n">
        <f aca="false">$B29+EF$3*100*$A29</f>
        <v>51.6848390787371</v>
      </c>
      <c r="EG29" s="19" t="n">
        <f aca="false">$B29+EG$3*100*$A29</f>
        <v>52.0098390787371</v>
      </c>
      <c r="EH29" s="19" t="n">
        <f aca="false">$B29+EH$3*100*$A29</f>
        <v>52.3348390787372</v>
      </c>
      <c r="EI29" s="19" t="n">
        <f aca="false">$B29+EI$3*100*$A29</f>
        <v>52.6598390787371</v>
      </c>
      <c r="EJ29" s="19" t="n">
        <f aca="false">$B29+EJ$3*100*$A29</f>
        <v>52.9848390787371</v>
      </c>
      <c r="EK29" s="19" t="n">
        <f aca="false">$B29+EK$3*100*$A29</f>
        <v>53.3098390787371</v>
      </c>
      <c r="EL29" s="19" t="n">
        <f aca="false">$B29+EL$3*100*$A29</f>
        <v>53.6348390787371</v>
      </c>
      <c r="EM29" s="19" t="n">
        <f aca="false">$B29+EM$3*100*$A29</f>
        <v>53.9598390787372</v>
      </c>
      <c r="EN29" s="19" t="n">
        <f aca="false">$B29+EN$3*100*$A29</f>
        <v>54.2848390787371</v>
      </c>
      <c r="EO29" s="19" t="n">
        <f aca="false">$B29+EO$3*100*$A29</f>
        <v>54.6098390787371</v>
      </c>
      <c r="EP29" s="19" t="n">
        <f aca="false">$B29+EP$3*100*$A29</f>
        <v>54.9348390787371</v>
      </c>
      <c r="EQ29" s="19" t="n">
        <f aca="false">$B29+EQ$3*100*$A29</f>
        <v>55.2598390787371</v>
      </c>
      <c r="ER29" s="19" t="n">
        <f aca="false">$B29+ER$3*100*$A29</f>
        <v>55.5848390787372</v>
      </c>
      <c r="ES29" s="19" t="n">
        <f aca="false">$B29+ES$3*100*$A29</f>
        <v>55.9098390787371</v>
      </c>
      <c r="ET29" s="19" t="n">
        <f aca="false">$B29+ET$3*100*$A29</f>
        <v>56.2348390787371</v>
      </c>
      <c r="EU29" s="19" t="n">
        <f aca="false">$B29+EU$3*100*$A29</f>
        <v>56.5598390787371</v>
      </c>
      <c r="EV29" s="19" t="n">
        <f aca="false">$B29+EV$3*100*$A29</f>
        <v>56.8848390787371</v>
      </c>
      <c r="EW29" s="19" t="n">
        <f aca="false">$B29+EW$3*100*$A29</f>
        <v>57.2098390787372</v>
      </c>
      <c r="EX29" s="19" t="n">
        <f aca="false">$B29+EX$3*100*$A29</f>
        <v>57.5348390787371</v>
      </c>
      <c r="EY29" s="19" t="n">
        <f aca="false">$B29+EY$3*100*$A29</f>
        <v>57.8598390787371</v>
      </c>
      <c r="EZ29" s="19" t="n">
        <f aca="false">$B29+EZ$3*100*$A29</f>
        <v>58.1848390787371</v>
      </c>
      <c r="FA29" s="19" t="n">
        <f aca="false">$B29+FA$3*100*$A29</f>
        <v>58.5098390787371</v>
      </c>
      <c r="FB29" s="19" t="n">
        <f aca="false">$B29+FB$3*100*$A29</f>
        <v>58.8348390787372</v>
      </c>
      <c r="FC29" s="19" t="n">
        <f aca="false">$B29+FC$3*100*$A29</f>
        <v>59.1598390787371</v>
      </c>
      <c r="FD29" s="19" t="n">
        <f aca="false">$B29+FD$3*100*$A29</f>
        <v>59.4848390787371</v>
      </c>
      <c r="FE29" s="19" t="n">
        <f aca="false">$B29+FE$3*100*$A29</f>
        <v>59.8098390787371</v>
      </c>
      <c r="FF29" s="19" t="n">
        <f aca="false">$B29+FF$3*100*$A29</f>
        <v>60.1348390787371</v>
      </c>
      <c r="FG29" s="19" t="n">
        <f aca="false">$B29+FG$3*100*$A29</f>
        <v>60.4598390787372</v>
      </c>
      <c r="FH29" s="19" t="n">
        <f aca="false">$B29+FH$3*100*$A29</f>
        <v>60.7848390787371</v>
      </c>
      <c r="FI29" s="19" t="n">
        <f aca="false">$B29+FI$3*100*$A29</f>
        <v>61.1098390787371</v>
      </c>
      <c r="FJ29" s="19" t="n">
        <f aca="false">$B29+FJ$3*100*$A29</f>
        <v>61.4348390787371</v>
      </c>
      <c r="FK29" s="19" t="n">
        <f aca="false">$B29+FK$3*100*$A29</f>
        <v>61.7598390787371</v>
      </c>
      <c r="FL29" s="19" t="n">
        <f aca="false">$B29+FL$3*100*$A29</f>
        <v>62.0848390787372</v>
      </c>
      <c r="FM29" s="19" t="n">
        <f aca="false">$B29+FM$3*100*$A29</f>
        <v>62.4098390787371</v>
      </c>
      <c r="FN29" s="19" t="n">
        <f aca="false">$B29+FN$3*100*$A29</f>
        <v>62.7348390787371</v>
      </c>
      <c r="FO29" s="19" t="n">
        <f aca="false">$B29+FO$3*100*$A29</f>
        <v>63.0598390787371</v>
      </c>
      <c r="FP29" s="19" t="n">
        <f aca="false">$B29+FP$3*100*$A29</f>
        <v>63.3848390787371</v>
      </c>
      <c r="FQ29" s="19" t="n">
        <f aca="false">$B29+FQ$3*100*$A29</f>
        <v>63.7098390787372</v>
      </c>
      <c r="FR29" s="19" t="n">
        <f aca="false">$B29+FR$3*100*$A29</f>
        <v>64.0348390787371</v>
      </c>
      <c r="FS29" s="19" t="n">
        <f aca="false">$B29+FS$3*100*$A29</f>
        <v>64.3598390787371</v>
      </c>
      <c r="FT29" s="19" t="n">
        <f aca="false">$B29+FT$3*100*$A29</f>
        <v>64.6848390787371</v>
      </c>
      <c r="FU29" s="19" t="n">
        <f aca="false">$B29+FU$3*100*$A29</f>
        <v>65.0098390787371</v>
      </c>
      <c r="FV29" s="19" t="n">
        <f aca="false">$B29+FV$3*100*$A29</f>
        <v>65.3348390787372</v>
      </c>
      <c r="FW29" s="19" t="n">
        <f aca="false">$B29+FW$3*100*$A29</f>
        <v>65.6598390787371</v>
      </c>
      <c r="FX29" s="19" t="n">
        <f aca="false">$B29+FX$3*100*$A29</f>
        <v>65.9848390787371</v>
      </c>
      <c r="FY29" s="19" t="n">
        <f aca="false">$B29+FY$3*100*$A29</f>
        <v>66.3098390787371</v>
      </c>
      <c r="FZ29" s="19" t="n">
        <f aca="false">$B29+FZ$3*100*$A29</f>
        <v>66.6348390787371</v>
      </c>
      <c r="GA29" s="19" t="n">
        <f aca="false">$B29+GA$3*100*$A29</f>
        <v>66.9598390787372</v>
      </c>
      <c r="GB29" s="19" t="n">
        <f aca="false">$B29+GB$3*100*$A29</f>
        <v>67.2848390787371</v>
      </c>
      <c r="GC29" s="19" t="n">
        <f aca="false">$B29+GC$3*100*$A29</f>
        <v>67.6098390787371</v>
      </c>
      <c r="GD29" s="19" t="n">
        <f aca="false">$B29+GD$3*100*$A29</f>
        <v>67.9348390787371</v>
      </c>
      <c r="GE29" s="19" t="n">
        <f aca="false">$B29+GE$3*100*$A29</f>
        <v>68.2598390787371</v>
      </c>
      <c r="GF29" s="19" t="n">
        <f aca="false">$B29+GF$3*100*$A29</f>
        <v>68.5848390787372</v>
      </c>
      <c r="GG29" s="19" t="n">
        <f aca="false">$B29+GG$3*100*$A29</f>
        <v>68.9098390787371</v>
      </c>
      <c r="GH29" s="19" t="n">
        <f aca="false">$B29+GH$3*100*$A29</f>
        <v>69.2348390787371</v>
      </c>
      <c r="GI29" s="19" t="n">
        <f aca="false">$B29+GI$3*100*$A29</f>
        <v>69.5598390787371</v>
      </c>
      <c r="GJ29" s="19" t="n">
        <f aca="false">$B29+GJ$3*100*$A29</f>
        <v>69.8848390787371</v>
      </c>
      <c r="GK29" s="19" t="n">
        <f aca="false">$B29+GK$3*100*$A29</f>
        <v>70.2098390787372</v>
      </c>
      <c r="GL29" s="19" t="n">
        <f aca="false">$B29+GL$3*100*$A29</f>
        <v>70.5348390787372</v>
      </c>
      <c r="GM29" s="19" t="n">
        <f aca="false">$B29+GM$3*100*$A29</f>
        <v>70.8598390787371</v>
      </c>
      <c r="GN29" s="19" t="n">
        <f aca="false">$B29+GN$3*100*$A29</f>
        <v>71.1848390787371</v>
      </c>
      <c r="GO29" s="19" t="n">
        <f aca="false">$B29+GO$3*100*$A29</f>
        <v>71.5098390787371</v>
      </c>
      <c r="GP29" s="19" t="n">
        <f aca="false">$B29+GP$3*100*$A29</f>
        <v>71.8348390787372</v>
      </c>
      <c r="GQ29" s="19" t="n">
        <f aca="false">$B29+GQ$3*100*$A29</f>
        <v>72.1598390787372</v>
      </c>
      <c r="GR29" s="19" t="n">
        <f aca="false">$B29+GR$3*100*$A29</f>
        <v>72.4848390787372</v>
      </c>
      <c r="GS29" s="19" t="n">
        <f aca="false">$B29+GS$3*100*$A29</f>
        <v>72.8098390787371</v>
      </c>
      <c r="GT29" s="19" t="n">
        <f aca="false">$B29+GT$3*100*$A29</f>
        <v>73.1348390787371</v>
      </c>
    </row>
    <row r="30" customFormat="false" ht="15" hidden="false" customHeight="false" outlineLevel="0" collapsed="false">
      <c r="A30" s="26" t="n">
        <f aca="false">Frontier!A28</f>
        <v>0.0675</v>
      </c>
      <c r="B30" s="34" t="n">
        <f aca="false">Frontier!B28</f>
        <v>7.79472329043648</v>
      </c>
      <c r="C30" s="19" t="n">
        <f aca="false">$B30+C$3*100*$A30</f>
        <v>8.13222329043648</v>
      </c>
      <c r="D30" s="19" t="n">
        <f aca="false">$B30+D$3*100*$A30</f>
        <v>8.46972329043648</v>
      </c>
      <c r="E30" s="19" t="n">
        <f aca="false">$B30+E$3*100*$A30</f>
        <v>8.80722329043648</v>
      </c>
      <c r="F30" s="19" t="n">
        <f aca="false">$B30+F$3*100*$A30</f>
        <v>9.14472329043648</v>
      </c>
      <c r="G30" s="19" t="n">
        <f aca="false">$B30+G$3*100*$A30</f>
        <v>9.48222329043648</v>
      </c>
      <c r="H30" s="19" t="n">
        <f aca="false">$B30+H$3*100*$A30</f>
        <v>9.81972329043648</v>
      </c>
      <c r="I30" s="19" t="n">
        <f aca="false">$B30+I$3*100*$A30</f>
        <v>10.1572232904365</v>
      </c>
      <c r="J30" s="19" t="n">
        <f aca="false">$B30+J$3*100*$A30</f>
        <v>10.4947232904365</v>
      </c>
      <c r="K30" s="19" t="n">
        <f aca="false">$B30+K$3*100*$A30</f>
        <v>10.8322232904365</v>
      </c>
      <c r="L30" s="19" t="n">
        <f aca="false">$B30+L$3*100*$A30</f>
        <v>11.1697232904365</v>
      </c>
      <c r="M30" s="19" t="n">
        <f aca="false">$B30+M$3*100*$A30</f>
        <v>11.5072232904365</v>
      </c>
      <c r="N30" s="19" t="n">
        <f aca="false">$B30+N$3*100*$A30</f>
        <v>11.8447232904365</v>
      </c>
      <c r="O30" s="19" t="n">
        <f aca="false">$B30+O$3*100*$A30</f>
        <v>12.1822232904365</v>
      </c>
      <c r="P30" s="19" t="n">
        <f aca="false">$B30+P$3*100*$A30</f>
        <v>12.5197232904365</v>
      </c>
      <c r="Q30" s="19" t="n">
        <f aca="false">$B30+Q$3*100*$A30</f>
        <v>12.8572232904365</v>
      </c>
      <c r="R30" s="19" t="n">
        <f aca="false">$B30+R$3*100*$A30</f>
        <v>13.1947232904365</v>
      </c>
      <c r="S30" s="19" t="n">
        <f aca="false">$B30+S$3*100*$A30</f>
        <v>13.5322232904365</v>
      </c>
      <c r="T30" s="19" t="n">
        <f aca="false">$B30+T$3*100*$A30</f>
        <v>13.8697232904365</v>
      </c>
      <c r="U30" s="19" t="n">
        <f aca="false">$B30+U$3*100*$A30</f>
        <v>14.2072232904365</v>
      </c>
      <c r="V30" s="19" t="n">
        <f aca="false">$B30+V$3*100*$A30</f>
        <v>14.5447232904365</v>
      </c>
      <c r="W30" s="19" t="n">
        <f aca="false">$B30+W$3*100*$A30</f>
        <v>14.8822232904365</v>
      </c>
      <c r="X30" s="19" t="n">
        <f aca="false">$B30+X$3*100*$A30</f>
        <v>15.2197232904365</v>
      </c>
      <c r="Y30" s="19" t="n">
        <f aca="false">$B30+Y$3*100*$A30</f>
        <v>15.5572232904365</v>
      </c>
      <c r="Z30" s="19" t="n">
        <f aca="false">$B30+Z$3*100*$A30</f>
        <v>15.8947232904365</v>
      </c>
      <c r="AA30" s="19" t="n">
        <f aca="false">$B30+AA$3*100*$A30</f>
        <v>16.2322232904365</v>
      </c>
      <c r="AB30" s="19" t="n">
        <f aca="false">$B30+AB$3*100*$A30</f>
        <v>16.5697232904365</v>
      </c>
      <c r="AC30" s="19" t="n">
        <f aca="false">$B30+AC$3*100*$A30</f>
        <v>16.9072232904365</v>
      </c>
      <c r="AD30" s="19" t="n">
        <f aca="false">$B30+AD$3*100*$A30</f>
        <v>17.2447232904365</v>
      </c>
      <c r="AE30" s="19" t="n">
        <f aca="false">$B30+AE$3*100*$A30</f>
        <v>17.5822232904365</v>
      </c>
      <c r="AF30" s="19" t="n">
        <f aca="false">$B30+AF$3*100*$A30</f>
        <v>17.9197232904365</v>
      </c>
      <c r="AG30" s="19" t="n">
        <f aca="false">$B30+AG$3*100*$A30</f>
        <v>18.2572232904365</v>
      </c>
      <c r="AH30" s="19" t="n">
        <f aca="false">$B30+AH$3*100*$A30</f>
        <v>18.5947232904365</v>
      </c>
      <c r="AI30" s="19" t="n">
        <f aca="false">$B30+AI$3*100*$A30</f>
        <v>18.9322232904365</v>
      </c>
      <c r="AJ30" s="19" t="n">
        <f aca="false">$B30+AJ$3*100*$A30</f>
        <v>19.2697232904365</v>
      </c>
      <c r="AK30" s="19" t="n">
        <f aca="false">$B30+AK$3*100*$A30</f>
        <v>19.6072232904365</v>
      </c>
      <c r="AL30" s="19" t="n">
        <f aca="false">$B30+AL$3*100*$A30</f>
        <v>19.9447232904365</v>
      </c>
      <c r="AM30" s="19" t="n">
        <f aca="false">$B30+AM$3*100*$A30</f>
        <v>20.2822232904365</v>
      </c>
      <c r="AN30" s="19" t="n">
        <f aca="false">$B30+AN$3*100*$A30</f>
        <v>20.6197232904365</v>
      </c>
      <c r="AO30" s="19" t="n">
        <f aca="false">$B30+AO$3*100*$A30</f>
        <v>20.9572232904365</v>
      </c>
      <c r="AP30" s="19" t="n">
        <f aca="false">$B30+AP$3*100*$A30</f>
        <v>21.2947232904365</v>
      </c>
      <c r="AQ30" s="19" t="n">
        <f aca="false">$B30+AQ$3*100*$A30</f>
        <v>21.6322232904365</v>
      </c>
      <c r="AR30" s="19" t="n">
        <f aca="false">$B30+AR$3*100*$A30</f>
        <v>21.9697232904365</v>
      </c>
      <c r="AS30" s="19" t="n">
        <f aca="false">$B30+AS$3*100*$A30</f>
        <v>22.3072232904365</v>
      </c>
      <c r="AT30" s="19" t="n">
        <f aca="false">$B30+AT$3*100*$A30</f>
        <v>22.6447232904365</v>
      </c>
      <c r="AU30" s="19" t="n">
        <f aca="false">$B30+AU$3*100*$A30</f>
        <v>22.9822232904365</v>
      </c>
      <c r="AV30" s="19" t="n">
        <f aca="false">$B30+AV$3*100*$A30</f>
        <v>23.3197232904365</v>
      </c>
      <c r="AW30" s="19" t="n">
        <f aca="false">$B30+AW$3*100*$A30</f>
        <v>23.6572232904365</v>
      </c>
      <c r="AX30" s="19" t="n">
        <f aca="false">$B30+AX$3*100*$A30</f>
        <v>23.9947232904365</v>
      </c>
      <c r="AY30" s="19" t="n">
        <f aca="false">$B30+AY$3*100*$A30</f>
        <v>24.3322232904365</v>
      </c>
      <c r="AZ30" s="19" t="n">
        <f aca="false">$B30+AZ$3*100*$A30</f>
        <v>24.6697232904365</v>
      </c>
      <c r="BA30" s="19" t="n">
        <f aca="false">$B30+BA$3*100*$A30</f>
        <v>25.0072232904365</v>
      </c>
      <c r="BB30" s="19" t="n">
        <f aca="false">$B30+BB$3*100*$A30</f>
        <v>25.3447232904365</v>
      </c>
      <c r="BC30" s="19" t="n">
        <f aca="false">$B30+BC$3*100*$A30</f>
        <v>25.6822232904365</v>
      </c>
      <c r="BD30" s="19" t="n">
        <f aca="false">$B30+BD$3*100*$A30</f>
        <v>26.0197232904365</v>
      </c>
      <c r="BE30" s="19" t="n">
        <f aca="false">$B30+BE$3*100*$A30</f>
        <v>26.3572232904365</v>
      </c>
      <c r="BF30" s="19" t="n">
        <f aca="false">$B30+BF$3*100*$A30</f>
        <v>26.6947232904365</v>
      </c>
      <c r="BG30" s="19" t="n">
        <f aca="false">$B30+BG$3*100*$A30</f>
        <v>27.0322232904365</v>
      </c>
      <c r="BH30" s="19" t="n">
        <f aca="false">$B30+BH$3*100*$A30</f>
        <v>27.3697232904365</v>
      </c>
      <c r="BI30" s="19" t="n">
        <f aca="false">$B30+BI$3*100*$A30</f>
        <v>27.7072232904365</v>
      </c>
      <c r="BJ30" s="19" t="n">
        <f aca="false">$B30+BJ$3*100*$A30</f>
        <v>28.0447232904365</v>
      </c>
      <c r="BK30" s="19" t="n">
        <f aca="false">$B30+BK$3*100*$A30</f>
        <v>28.3822232904365</v>
      </c>
      <c r="BL30" s="19" t="n">
        <f aca="false">$B30+BL$3*100*$A30</f>
        <v>28.7197232904365</v>
      </c>
      <c r="BM30" s="19" t="n">
        <f aca="false">$B30+BM$3*100*$A30</f>
        <v>29.0572232904365</v>
      </c>
      <c r="BN30" s="19" t="n">
        <f aca="false">$B30+BN$3*100*$A30</f>
        <v>29.3947232904365</v>
      </c>
      <c r="BO30" s="19" t="n">
        <f aca="false">$B30+BO$3*100*$A30</f>
        <v>29.7322232904365</v>
      </c>
      <c r="BP30" s="19" t="n">
        <f aca="false">$B30+BP$3*100*$A30</f>
        <v>30.0697232904365</v>
      </c>
      <c r="BQ30" s="19" t="n">
        <f aca="false">$B30+BQ$3*100*$A30</f>
        <v>30.4072232904365</v>
      </c>
      <c r="BR30" s="19" t="n">
        <f aca="false">$B30+BR$3*100*$A30</f>
        <v>30.7447232904365</v>
      </c>
      <c r="BS30" s="19" t="n">
        <f aca="false">$B30+BS$3*100*$A30</f>
        <v>31.0822232904365</v>
      </c>
      <c r="BT30" s="19" t="n">
        <f aca="false">$B30+BT$3*100*$A30</f>
        <v>31.4197232904365</v>
      </c>
      <c r="BU30" s="19" t="n">
        <f aca="false">$B30+BU$3*100*$A30</f>
        <v>31.7572232904365</v>
      </c>
      <c r="BV30" s="19" t="n">
        <f aca="false">$B30+BV$3*100*$A30</f>
        <v>32.0947232904365</v>
      </c>
      <c r="BW30" s="19" t="n">
        <f aca="false">$B30+BW$3*100*$A30</f>
        <v>32.4322232904365</v>
      </c>
      <c r="BX30" s="19" t="n">
        <f aca="false">$B30+BX$3*100*$A30</f>
        <v>32.7697232904365</v>
      </c>
      <c r="BY30" s="19" t="n">
        <f aca="false">$B30+BY$3*100*$A30</f>
        <v>33.1072232904365</v>
      </c>
      <c r="BZ30" s="19" t="n">
        <f aca="false">$B30+BZ$3*100*$A30</f>
        <v>33.4447232904365</v>
      </c>
      <c r="CA30" s="19" t="n">
        <f aca="false">$B30+CA$3*100*$A30</f>
        <v>33.7822232904365</v>
      </c>
      <c r="CB30" s="19" t="n">
        <f aca="false">$B30+CB$3*100*$A30</f>
        <v>34.1197232904365</v>
      </c>
      <c r="CC30" s="19" t="n">
        <f aca="false">$B30+CC$3*100*$A30</f>
        <v>34.4572232904365</v>
      </c>
      <c r="CD30" s="19" t="n">
        <f aca="false">$B30+CD$3*100*$A30</f>
        <v>34.7947232904365</v>
      </c>
      <c r="CE30" s="19" t="n">
        <f aca="false">$B30+CE$3*100*$A30</f>
        <v>35.1322232904365</v>
      </c>
      <c r="CF30" s="19" t="n">
        <f aca="false">$B30+CF$3*100*$A30</f>
        <v>35.4697232904365</v>
      </c>
      <c r="CG30" s="19" t="n">
        <f aca="false">$B30+CG$3*100*$A30</f>
        <v>35.8072232904365</v>
      </c>
      <c r="CH30" s="19" t="n">
        <f aca="false">$B30+CH$3*100*$A30</f>
        <v>36.1447232904365</v>
      </c>
      <c r="CI30" s="19" t="n">
        <f aca="false">$B30+CI$3*100*$A30</f>
        <v>36.4822232904365</v>
      </c>
      <c r="CJ30" s="19" t="n">
        <f aca="false">$B30+CJ$3*100*$A30</f>
        <v>36.8197232904365</v>
      </c>
      <c r="CK30" s="19" t="n">
        <f aca="false">$B30+CK$3*100*$A30</f>
        <v>37.1572232904365</v>
      </c>
      <c r="CL30" s="19" t="n">
        <f aca="false">$B30+CL$3*100*$A30</f>
        <v>37.4947232904365</v>
      </c>
      <c r="CM30" s="19" t="n">
        <f aca="false">$B30+CM$3*100*$A30</f>
        <v>37.8322232904365</v>
      </c>
      <c r="CN30" s="19" t="n">
        <f aca="false">$B30+CN$3*100*$A30</f>
        <v>38.1697232904365</v>
      </c>
      <c r="CO30" s="19" t="n">
        <f aca="false">$B30+CO$3*100*$A30</f>
        <v>38.5072232904365</v>
      </c>
      <c r="CP30" s="19" t="n">
        <f aca="false">$B30+CP$3*100*$A30</f>
        <v>38.8447232904365</v>
      </c>
      <c r="CQ30" s="19" t="n">
        <f aca="false">$B30+CQ$3*100*$A30</f>
        <v>39.1822232904365</v>
      </c>
      <c r="CR30" s="19" t="n">
        <f aca="false">$B30+CR$3*100*$A30</f>
        <v>39.5197232904365</v>
      </c>
      <c r="CS30" s="19" t="n">
        <f aca="false">$B30+CS$3*100*$A30</f>
        <v>39.8572232904365</v>
      </c>
      <c r="CT30" s="19" t="n">
        <f aca="false">$B30+CT$3*100*$A30</f>
        <v>40.1947232904365</v>
      </c>
      <c r="CU30" s="19" t="n">
        <f aca="false">$B30+CU$3*100*$A30</f>
        <v>40.5322232904365</v>
      </c>
      <c r="CV30" s="19" t="n">
        <f aca="false">$B30+CV$3*100*$A30</f>
        <v>40.8697232904365</v>
      </c>
      <c r="CW30" s="19" t="n">
        <f aca="false">$B30+CW$3*100*$A30</f>
        <v>41.2072232904365</v>
      </c>
      <c r="CX30" s="19" t="n">
        <f aca="false">$B30+CX$3*100*$A30</f>
        <v>41.5447232904365</v>
      </c>
      <c r="CY30" s="19" t="n">
        <f aca="false">$B30+CY$3*100*$A30</f>
        <v>41.8822232904365</v>
      </c>
      <c r="CZ30" s="19" t="n">
        <f aca="false">$B30+CZ$3*100*$A30</f>
        <v>42.2197232904365</v>
      </c>
      <c r="DA30" s="19" t="n">
        <f aca="false">$B30+DA$3*100*$A30</f>
        <v>42.5572232904365</v>
      </c>
      <c r="DB30" s="19" t="n">
        <f aca="false">$B30+DB$3*100*$A30</f>
        <v>42.8947232904365</v>
      </c>
      <c r="DC30" s="19" t="n">
        <f aca="false">$B30+DC$3*100*$A30</f>
        <v>43.2322232904365</v>
      </c>
      <c r="DD30" s="19" t="n">
        <f aca="false">$B30+DD$3*100*$A30</f>
        <v>43.5697232904365</v>
      </c>
      <c r="DE30" s="19" t="n">
        <f aca="false">$B30+DE$3*100*$A30</f>
        <v>43.9072232904365</v>
      </c>
      <c r="DF30" s="19" t="n">
        <f aca="false">$B30+DF$3*100*$A30</f>
        <v>44.2447232904365</v>
      </c>
      <c r="DG30" s="19" t="n">
        <f aca="false">$B30+DG$3*100*$A30</f>
        <v>44.5822232904365</v>
      </c>
      <c r="DH30" s="19" t="n">
        <f aca="false">$B30+DH$3*100*$A30</f>
        <v>44.9197232904365</v>
      </c>
      <c r="DI30" s="19" t="n">
        <f aca="false">$B30+DI$3*100*$A30</f>
        <v>45.2572232904365</v>
      </c>
      <c r="DJ30" s="19" t="n">
        <f aca="false">$B30+DJ$3*100*$A30</f>
        <v>45.5947232904365</v>
      </c>
      <c r="DK30" s="19" t="n">
        <f aca="false">$B30+DK$3*100*$A30</f>
        <v>45.9322232904365</v>
      </c>
      <c r="DL30" s="19" t="n">
        <f aca="false">$B30+DL$3*100*$A30</f>
        <v>46.2697232904365</v>
      </c>
      <c r="DM30" s="19" t="n">
        <f aca="false">$B30+DM$3*100*$A30</f>
        <v>46.6072232904365</v>
      </c>
      <c r="DN30" s="19" t="n">
        <f aca="false">$B30+DN$3*100*$A30</f>
        <v>46.9447232904365</v>
      </c>
      <c r="DO30" s="19" t="n">
        <f aca="false">$B30+DO$3*100*$A30</f>
        <v>47.2822232904365</v>
      </c>
      <c r="DP30" s="19" t="n">
        <f aca="false">$B30+DP$3*100*$A30</f>
        <v>47.6197232904365</v>
      </c>
      <c r="DQ30" s="19" t="n">
        <f aca="false">$B30+DQ$3*100*$A30</f>
        <v>47.9572232904365</v>
      </c>
      <c r="DR30" s="19" t="n">
        <f aca="false">$B30+DR$3*100*$A30</f>
        <v>48.2947232904365</v>
      </c>
      <c r="DS30" s="19" t="n">
        <f aca="false">$B30+DS$3*100*$A30</f>
        <v>48.6322232904365</v>
      </c>
      <c r="DT30" s="19" t="n">
        <f aca="false">$B30+DT$3*100*$A30</f>
        <v>48.9697232904365</v>
      </c>
      <c r="DU30" s="19" t="n">
        <f aca="false">$B30+DU$3*100*$A30</f>
        <v>49.3072232904365</v>
      </c>
      <c r="DV30" s="19" t="n">
        <f aca="false">$B30+DV$3*100*$A30</f>
        <v>49.6447232904365</v>
      </c>
      <c r="DW30" s="19" t="n">
        <f aca="false">$B30+DW$3*100*$A30</f>
        <v>49.9822232904365</v>
      </c>
      <c r="DX30" s="19" t="n">
        <f aca="false">$B30+DX$3*100*$A30</f>
        <v>50.3197232904365</v>
      </c>
      <c r="DY30" s="19" t="n">
        <f aca="false">$B30+DY$3*100*$A30</f>
        <v>50.6572232904365</v>
      </c>
      <c r="DZ30" s="19" t="n">
        <f aca="false">$B30+DZ$3*100*$A30</f>
        <v>50.9947232904365</v>
      </c>
      <c r="EA30" s="19" t="n">
        <f aca="false">$B30+EA$3*100*$A30</f>
        <v>51.3322232904365</v>
      </c>
      <c r="EB30" s="19" t="n">
        <f aca="false">$B30+EB$3*100*$A30</f>
        <v>51.6697232904365</v>
      </c>
      <c r="EC30" s="19" t="n">
        <f aca="false">$B30+EC$3*100*$A30</f>
        <v>52.0072232904365</v>
      </c>
      <c r="ED30" s="19" t="n">
        <f aca="false">$B30+ED$3*100*$A30</f>
        <v>52.3447232904365</v>
      </c>
      <c r="EE30" s="19" t="n">
        <f aca="false">$B30+EE$3*100*$A30</f>
        <v>52.6822232904365</v>
      </c>
      <c r="EF30" s="19" t="n">
        <f aca="false">$B30+EF$3*100*$A30</f>
        <v>53.0197232904365</v>
      </c>
      <c r="EG30" s="19" t="n">
        <f aca="false">$B30+EG$3*100*$A30</f>
        <v>53.3572232904365</v>
      </c>
      <c r="EH30" s="19" t="n">
        <f aca="false">$B30+EH$3*100*$A30</f>
        <v>53.6947232904365</v>
      </c>
      <c r="EI30" s="19" t="n">
        <f aca="false">$B30+EI$3*100*$A30</f>
        <v>54.0322232904365</v>
      </c>
      <c r="EJ30" s="19" t="n">
        <f aca="false">$B30+EJ$3*100*$A30</f>
        <v>54.3697232904365</v>
      </c>
      <c r="EK30" s="19" t="n">
        <f aca="false">$B30+EK$3*100*$A30</f>
        <v>54.7072232904365</v>
      </c>
      <c r="EL30" s="19" t="n">
        <f aca="false">$B30+EL$3*100*$A30</f>
        <v>55.0447232904365</v>
      </c>
      <c r="EM30" s="19" t="n">
        <f aca="false">$B30+EM$3*100*$A30</f>
        <v>55.3822232904365</v>
      </c>
      <c r="EN30" s="19" t="n">
        <f aca="false">$B30+EN$3*100*$A30</f>
        <v>55.7197232904365</v>
      </c>
      <c r="EO30" s="19" t="n">
        <f aca="false">$B30+EO$3*100*$A30</f>
        <v>56.0572232904365</v>
      </c>
      <c r="EP30" s="19" t="n">
        <f aca="false">$B30+EP$3*100*$A30</f>
        <v>56.3947232904365</v>
      </c>
      <c r="EQ30" s="19" t="n">
        <f aca="false">$B30+EQ$3*100*$A30</f>
        <v>56.7322232904365</v>
      </c>
      <c r="ER30" s="19" t="n">
        <f aca="false">$B30+ER$3*100*$A30</f>
        <v>57.0697232904365</v>
      </c>
      <c r="ES30" s="19" t="n">
        <f aca="false">$B30+ES$3*100*$A30</f>
        <v>57.4072232904365</v>
      </c>
      <c r="ET30" s="19" t="n">
        <f aca="false">$B30+ET$3*100*$A30</f>
        <v>57.7447232904365</v>
      </c>
      <c r="EU30" s="19" t="n">
        <f aca="false">$B30+EU$3*100*$A30</f>
        <v>58.0822232904365</v>
      </c>
      <c r="EV30" s="19" t="n">
        <f aca="false">$B30+EV$3*100*$A30</f>
        <v>58.4197232904365</v>
      </c>
      <c r="EW30" s="19" t="n">
        <f aca="false">$B30+EW$3*100*$A30</f>
        <v>58.7572232904365</v>
      </c>
      <c r="EX30" s="19" t="n">
        <f aca="false">$B30+EX$3*100*$A30</f>
        <v>59.0947232904365</v>
      </c>
      <c r="EY30" s="19" t="n">
        <f aca="false">$B30+EY$3*100*$A30</f>
        <v>59.4322232904365</v>
      </c>
      <c r="EZ30" s="19" t="n">
        <f aca="false">$B30+EZ$3*100*$A30</f>
        <v>59.7697232904365</v>
      </c>
      <c r="FA30" s="19" t="n">
        <f aca="false">$B30+FA$3*100*$A30</f>
        <v>60.1072232904365</v>
      </c>
      <c r="FB30" s="19" t="n">
        <f aca="false">$B30+FB$3*100*$A30</f>
        <v>60.4447232904365</v>
      </c>
      <c r="FC30" s="19" t="n">
        <f aca="false">$B30+FC$3*100*$A30</f>
        <v>60.7822232904365</v>
      </c>
      <c r="FD30" s="19" t="n">
        <f aca="false">$B30+FD$3*100*$A30</f>
        <v>61.1197232904365</v>
      </c>
      <c r="FE30" s="19" t="n">
        <f aca="false">$B30+FE$3*100*$A30</f>
        <v>61.4572232904365</v>
      </c>
      <c r="FF30" s="19" t="n">
        <f aca="false">$B30+FF$3*100*$A30</f>
        <v>61.7947232904365</v>
      </c>
      <c r="FG30" s="19" t="n">
        <f aca="false">$B30+FG$3*100*$A30</f>
        <v>62.1322232904365</v>
      </c>
      <c r="FH30" s="19" t="n">
        <f aca="false">$B30+FH$3*100*$A30</f>
        <v>62.4697232904365</v>
      </c>
      <c r="FI30" s="19" t="n">
        <f aca="false">$B30+FI$3*100*$A30</f>
        <v>62.8072232904365</v>
      </c>
      <c r="FJ30" s="19" t="n">
        <f aca="false">$B30+FJ$3*100*$A30</f>
        <v>63.1447232904365</v>
      </c>
      <c r="FK30" s="19" t="n">
        <f aca="false">$B30+FK$3*100*$A30</f>
        <v>63.4822232904365</v>
      </c>
      <c r="FL30" s="19" t="n">
        <f aca="false">$B30+FL$3*100*$A30</f>
        <v>63.8197232904365</v>
      </c>
      <c r="FM30" s="19" t="n">
        <f aca="false">$B30+FM$3*100*$A30</f>
        <v>64.1572232904365</v>
      </c>
      <c r="FN30" s="19" t="n">
        <f aca="false">$B30+FN$3*100*$A30</f>
        <v>64.4947232904365</v>
      </c>
      <c r="FO30" s="19" t="n">
        <f aca="false">$B30+FO$3*100*$A30</f>
        <v>64.8322232904365</v>
      </c>
      <c r="FP30" s="19" t="n">
        <f aca="false">$B30+FP$3*100*$A30</f>
        <v>65.1697232904365</v>
      </c>
      <c r="FQ30" s="19" t="n">
        <f aca="false">$B30+FQ$3*100*$A30</f>
        <v>65.5072232904365</v>
      </c>
      <c r="FR30" s="19" t="n">
        <f aca="false">$B30+FR$3*100*$A30</f>
        <v>65.8447232904365</v>
      </c>
      <c r="FS30" s="19" t="n">
        <f aca="false">$B30+FS$3*100*$A30</f>
        <v>66.1822232904365</v>
      </c>
      <c r="FT30" s="19" t="n">
        <f aca="false">$B30+FT$3*100*$A30</f>
        <v>66.5197232904365</v>
      </c>
      <c r="FU30" s="19" t="n">
        <f aca="false">$B30+FU$3*100*$A30</f>
        <v>66.8572232904365</v>
      </c>
      <c r="FV30" s="19" t="n">
        <f aca="false">$B30+FV$3*100*$A30</f>
        <v>67.1947232904365</v>
      </c>
      <c r="FW30" s="19" t="n">
        <f aca="false">$B30+FW$3*100*$A30</f>
        <v>67.5322232904365</v>
      </c>
      <c r="FX30" s="19" t="n">
        <f aca="false">$B30+FX$3*100*$A30</f>
        <v>67.8697232904365</v>
      </c>
      <c r="FY30" s="19" t="n">
        <f aca="false">$B30+FY$3*100*$A30</f>
        <v>68.2072232904365</v>
      </c>
      <c r="FZ30" s="19" t="n">
        <f aca="false">$B30+FZ$3*100*$A30</f>
        <v>68.5447232904365</v>
      </c>
      <c r="GA30" s="19" t="n">
        <f aca="false">$B30+GA$3*100*$A30</f>
        <v>68.8822232904365</v>
      </c>
      <c r="GB30" s="19" t="n">
        <f aca="false">$B30+GB$3*100*$A30</f>
        <v>69.2197232904365</v>
      </c>
      <c r="GC30" s="19" t="n">
        <f aca="false">$B30+GC$3*100*$A30</f>
        <v>69.5572232904365</v>
      </c>
      <c r="GD30" s="19" t="n">
        <f aca="false">$B30+GD$3*100*$A30</f>
        <v>69.8947232904365</v>
      </c>
      <c r="GE30" s="19" t="n">
        <f aca="false">$B30+GE$3*100*$A30</f>
        <v>70.2322232904365</v>
      </c>
      <c r="GF30" s="19" t="n">
        <f aca="false">$B30+GF$3*100*$A30</f>
        <v>70.5697232904365</v>
      </c>
      <c r="GG30" s="19" t="n">
        <f aca="false">$B30+GG$3*100*$A30</f>
        <v>70.9072232904365</v>
      </c>
      <c r="GH30" s="19" t="n">
        <f aca="false">$B30+GH$3*100*$A30</f>
        <v>71.2447232904365</v>
      </c>
      <c r="GI30" s="19" t="n">
        <f aca="false">$B30+GI$3*100*$A30</f>
        <v>71.5822232904365</v>
      </c>
      <c r="GJ30" s="19" t="n">
        <f aca="false">$B30+GJ$3*100*$A30</f>
        <v>71.9197232904365</v>
      </c>
      <c r="GK30" s="19" t="n">
        <f aca="false">$B30+GK$3*100*$A30</f>
        <v>72.2572232904365</v>
      </c>
      <c r="GL30" s="19" t="n">
        <f aca="false">$B30+GL$3*100*$A30</f>
        <v>72.5947232904365</v>
      </c>
      <c r="GM30" s="19" t="n">
        <f aca="false">$B30+GM$3*100*$A30</f>
        <v>72.9322232904365</v>
      </c>
      <c r="GN30" s="19" t="n">
        <f aca="false">$B30+GN$3*100*$A30</f>
        <v>73.2697232904365</v>
      </c>
      <c r="GO30" s="19" t="n">
        <f aca="false">$B30+GO$3*100*$A30</f>
        <v>73.6072232904365</v>
      </c>
      <c r="GP30" s="19" t="n">
        <f aca="false">$B30+GP$3*100*$A30</f>
        <v>73.9447232904365</v>
      </c>
      <c r="GQ30" s="19" t="n">
        <f aca="false">$B30+GQ$3*100*$A30</f>
        <v>74.2822232904365</v>
      </c>
      <c r="GR30" s="19" t="n">
        <f aca="false">$B30+GR$3*100*$A30</f>
        <v>74.6197232904365</v>
      </c>
      <c r="GS30" s="19" t="n">
        <f aca="false">$B30+GS$3*100*$A30</f>
        <v>74.9572232904365</v>
      </c>
      <c r="GT30" s="19" t="n">
        <f aca="false">$B30+GT$3*100*$A30</f>
        <v>75.2947232904365</v>
      </c>
    </row>
    <row r="31" customFormat="false" ht="15" hidden="false" customHeight="false" outlineLevel="0" collapsed="false">
      <c r="A31" s="26" t="n">
        <f aca="false">Frontier!A29</f>
        <v>0.07</v>
      </c>
      <c r="B31" s="34" t="n">
        <f aca="false">Frontier!B29</f>
        <v>7.46256560753264</v>
      </c>
      <c r="C31" s="19" t="n">
        <f aca="false">$B31+C$3*100*$A31</f>
        <v>7.81256560753264</v>
      </c>
      <c r="D31" s="19" t="n">
        <f aca="false">$B31+D$3*100*$A31</f>
        <v>8.16256560753264</v>
      </c>
      <c r="E31" s="19" t="n">
        <f aca="false">$B31+E$3*100*$A31</f>
        <v>8.51256560753264</v>
      </c>
      <c r="F31" s="19" t="n">
        <f aca="false">$B31+F$3*100*$A31</f>
        <v>8.86256560753264</v>
      </c>
      <c r="G31" s="19" t="n">
        <f aca="false">$B31+G$3*100*$A31</f>
        <v>9.21256560753264</v>
      </c>
      <c r="H31" s="19" t="n">
        <f aca="false">$B31+H$3*100*$A31</f>
        <v>9.56256560753264</v>
      </c>
      <c r="I31" s="19" t="n">
        <f aca="false">$B31+I$3*100*$A31</f>
        <v>9.91256560753264</v>
      </c>
      <c r="J31" s="19" t="n">
        <f aca="false">$B31+J$3*100*$A31</f>
        <v>10.2625656075326</v>
      </c>
      <c r="K31" s="19" t="n">
        <f aca="false">$B31+K$3*100*$A31</f>
        <v>10.6125656075326</v>
      </c>
      <c r="L31" s="19" t="n">
        <f aca="false">$B31+L$3*100*$A31</f>
        <v>10.9625656075326</v>
      </c>
      <c r="M31" s="19" t="n">
        <f aca="false">$B31+M$3*100*$A31</f>
        <v>11.3125656075326</v>
      </c>
      <c r="N31" s="19" t="n">
        <f aca="false">$B31+N$3*100*$A31</f>
        <v>11.6625656075326</v>
      </c>
      <c r="O31" s="19" t="n">
        <f aca="false">$B31+O$3*100*$A31</f>
        <v>12.0125656075326</v>
      </c>
      <c r="P31" s="19" t="n">
        <f aca="false">$B31+P$3*100*$A31</f>
        <v>12.3625656075326</v>
      </c>
      <c r="Q31" s="19" t="n">
        <f aca="false">$B31+Q$3*100*$A31</f>
        <v>12.7125656075326</v>
      </c>
      <c r="R31" s="19" t="n">
        <f aca="false">$B31+R$3*100*$A31</f>
        <v>13.0625656075326</v>
      </c>
      <c r="S31" s="19" t="n">
        <f aca="false">$B31+S$3*100*$A31</f>
        <v>13.4125656075326</v>
      </c>
      <c r="T31" s="19" t="n">
        <f aca="false">$B31+T$3*100*$A31</f>
        <v>13.7625656075326</v>
      </c>
      <c r="U31" s="19" t="n">
        <f aca="false">$B31+U$3*100*$A31</f>
        <v>14.1125656075326</v>
      </c>
      <c r="V31" s="19" t="n">
        <f aca="false">$B31+V$3*100*$A31</f>
        <v>14.4625656075326</v>
      </c>
      <c r="W31" s="19" t="n">
        <f aca="false">$B31+W$3*100*$A31</f>
        <v>14.8125656075326</v>
      </c>
      <c r="X31" s="19" t="n">
        <f aca="false">$B31+X$3*100*$A31</f>
        <v>15.1625656075326</v>
      </c>
      <c r="Y31" s="19" t="n">
        <f aca="false">$B31+Y$3*100*$A31</f>
        <v>15.5125656075326</v>
      </c>
      <c r="Z31" s="19" t="n">
        <f aca="false">$B31+Z$3*100*$A31</f>
        <v>15.8625656075326</v>
      </c>
      <c r="AA31" s="19" t="n">
        <f aca="false">$B31+AA$3*100*$A31</f>
        <v>16.2125656075326</v>
      </c>
      <c r="AB31" s="19" t="n">
        <f aca="false">$B31+AB$3*100*$A31</f>
        <v>16.5625656075326</v>
      </c>
      <c r="AC31" s="19" t="n">
        <f aca="false">$B31+AC$3*100*$A31</f>
        <v>16.9125656075326</v>
      </c>
      <c r="AD31" s="19" t="n">
        <f aca="false">$B31+AD$3*100*$A31</f>
        <v>17.2625656075326</v>
      </c>
      <c r="AE31" s="19" t="n">
        <f aca="false">$B31+AE$3*100*$A31</f>
        <v>17.6125656075326</v>
      </c>
      <c r="AF31" s="19" t="n">
        <f aca="false">$B31+AF$3*100*$A31</f>
        <v>17.9625656075326</v>
      </c>
      <c r="AG31" s="19" t="n">
        <f aca="false">$B31+AG$3*100*$A31</f>
        <v>18.3125656075326</v>
      </c>
      <c r="AH31" s="19" t="n">
        <f aca="false">$B31+AH$3*100*$A31</f>
        <v>18.6625656075326</v>
      </c>
      <c r="AI31" s="19" t="n">
        <f aca="false">$B31+AI$3*100*$A31</f>
        <v>19.0125656075326</v>
      </c>
      <c r="AJ31" s="19" t="n">
        <f aca="false">$B31+AJ$3*100*$A31</f>
        <v>19.3625656075326</v>
      </c>
      <c r="AK31" s="19" t="n">
        <f aca="false">$B31+AK$3*100*$A31</f>
        <v>19.7125656075326</v>
      </c>
      <c r="AL31" s="19" t="n">
        <f aca="false">$B31+AL$3*100*$A31</f>
        <v>20.0625656075326</v>
      </c>
      <c r="AM31" s="19" t="n">
        <f aca="false">$B31+AM$3*100*$A31</f>
        <v>20.4125656075326</v>
      </c>
      <c r="AN31" s="19" t="n">
        <f aca="false">$B31+AN$3*100*$A31</f>
        <v>20.7625656075326</v>
      </c>
      <c r="AO31" s="19" t="n">
        <f aca="false">$B31+AO$3*100*$A31</f>
        <v>21.1125656075326</v>
      </c>
      <c r="AP31" s="19" t="n">
        <f aca="false">$B31+AP$3*100*$A31</f>
        <v>21.4625656075326</v>
      </c>
      <c r="AQ31" s="19" t="n">
        <f aca="false">$B31+AQ$3*100*$A31</f>
        <v>21.8125656075326</v>
      </c>
      <c r="AR31" s="19" t="n">
        <f aca="false">$B31+AR$3*100*$A31</f>
        <v>22.1625656075326</v>
      </c>
      <c r="AS31" s="19" t="n">
        <f aca="false">$B31+AS$3*100*$A31</f>
        <v>22.5125656075326</v>
      </c>
      <c r="AT31" s="19" t="n">
        <f aca="false">$B31+AT$3*100*$A31</f>
        <v>22.8625656075326</v>
      </c>
      <c r="AU31" s="19" t="n">
        <f aca="false">$B31+AU$3*100*$A31</f>
        <v>23.2125656075326</v>
      </c>
      <c r="AV31" s="19" t="n">
        <f aca="false">$B31+AV$3*100*$A31</f>
        <v>23.5625656075326</v>
      </c>
      <c r="AW31" s="19" t="n">
        <f aca="false">$B31+AW$3*100*$A31</f>
        <v>23.9125656075326</v>
      </c>
      <c r="AX31" s="19" t="n">
        <f aca="false">$B31+AX$3*100*$A31</f>
        <v>24.2625656075326</v>
      </c>
      <c r="AY31" s="19" t="n">
        <f aca="false">$B31+AY$3*100*$A31</f>
        <v>24.6125656075326</v>
      </c>
      <c r="AZ31" s="19" t="n">
        <f aca="false">$B31+AZ$3*100*$A31</f>
        <v>24.9625656075326</v>
      </c>
      <c r="BA31" s="19" t="n">
        <f aca="false">$B31+BA$3*100*$A31</f>
        <v>25.3125656075326</v>
      </c>
      <c r="BB31" s="19" t="n">
        <f aca="false">$B31+BB$3*100*$A31</f>
        <v>25.6625656075326</v>
      </c>
      <c r="BC31" s="19" t="n">
        <f aca="false">$B31+BC$3*100*$A31</f>
        <v>26.0125656075326</v>
      </c>
      <c r="BD31" s="19" t="n">
        <f aca="false">$B31+BD$3*100*$A31</f>
        <v>26.3625656075326</v>
      </c>
      <c r="BE31" s="19" t="n">
        <f aca="false">$B31+BE$3*100*$A31</f>
        <v>26.7125656075326</v>
      </c>
      <c r="BF31" s="19" t="n">
        <f aca="false">$B31+BF$3*100*$A31</f>
        <v>27.0625656075326</v>
      </c>
      <c r="BG31" s="19" t="n">
        <f aca="false">$B31+BG$3*100*$A31</f>
        <v>27.4125656075326</v>
      </c>
      <c r="BH31" s="19" t="n">
        <f aca="false">$B31+BH$3*100*$A31</f>
        <v>27.7625656075326</v>
      </c>
      <c r="BI31" s="19" t="n">
        <f aca="false">$B31+BI$3*100*$A31</f>
        <v>28.1125656075326</v>
      </c>
      <c r="BJ31" s="19" t="n">
        <f aca="false">$B31+BJ$3*100*$A31</f>
        <v>28.4625656075326</v>
      </c>
      <c r="BK31" s="19" t="n">
        <f aca="false">$B31+BK$3*100*$A31</f>
        <v>28.8125656075326</v>
      </c>
      <c r="BL31" s="19" t="n">
        <f aca="false">$B31+BL$3*100*$A31</f>
        <v>29.1625656075326</v>
      </c>
      <c r="BM31" s="19" t="n">
        <f aca="false">$B31+BM$3*100*$A31</f>
        <v>29.5125656075326</v>
      </c>
      <c r="BN31" s="19" t="n">
        <f aca="false">$B31+BN$3*100*$A31</f>
        <v>29.8625656075326</v>
      </c>
      <c r="BO31" s="19" t="n">
        <f aca="false">$B31+BO$3*100*$A31</f>
        <v>30.2125656075326</v>
      </c>
      <c r="BP31" s="19" t="n">
        <f aca="false">$B31+BP$3*100*$A31</f>
        <v>30.5625656075326</v>
      </c>
      <c r="BQ31" s="19" t="n">
        <f aca="false">$B31+BQ$3*100*$A31</f>
        <v>30.9125656075326</v>
      </c>
      <c r="BR31" s="19" t="n">
        <f aca="false">$B31+BR$3*100*$A31</f>
        <v>31.2625656075326</v>
      </c>
      <c r="BS31" s="19" t="n">
        <f aca="false">$B31+BS$3*100*$A31</f>
        <v>31.6125656075326</v>
      </c>
      <c r="BT31" s="19" t="n">
        <f aca="false">$B31+BT$3*100*$A31</f>
        <v>31.9625656075326</v>
      </c>
      <c r="BU31" s="19" t="n">
        <f aca="false">$B31+BU$3*100*$A31</f>
        <v>32.3125656075326</v>
      </c>
      <c r="BV31" s="19" t="n">
        <f aca="false">$B31+BV$3*100*$A31</f>
        <v>32.6625656075326</v>
      </c>
      <c r="BW31" s="19" t="n">
        <f aca="false">$B31+BW$3*100*$A31</f>
        <v>33.0125656075326</v>
      </c>
      <c r="BX31" s="19" t="n">
        <f aca="false">$B31+BX$3*100*$A31</f>
        <v>33.3625656075326</v>
      </c>
      <c r="BY31" s="19" t="n">
        <f aca="false">$B31+BY$3*100*$A31</f>
        <v>33.7125656075326</v>
      </c>
      <c r="BZ31" s="19" t="n">
        <f aca="false">$B31+BZ$3*100*$A31</f>
        <v>34.0625656075326</v>
      </c>
      <c r="CA31" s="19" t="n">
        <f aca="false">$B31+CA$3*100*$A31</f>
        <v>34.4125656075326</v>
      </c>
      <c r="CB31" s="19" t="n">
        <f aca="false">$B31+CB$3*100*$A31</f>
        <v>34.7625656075326</v>
      </c>
      <c r="CC31" s="19" t="n">
        <f aca="false">$B31+CC$3*100*$A31</f>
        <v>35.1125656075326</v>
      </c>
      <c r="CD31" s="19" t="n">
        <f aca="false">$B31+CD$3*100*$A31</f>
        <v>35.4625656075326</v>
      </c>
      <c r="CE31" s="19" t="n">
        <f aca="false">$B31+CE$3*100*$A31</f>
        <v>35.8125656075326</v>
      </c>
      <c r="CF31" s="19" t="n">
        <f aca="false">$B31+CF$3*100*$A31</f>
        <v>36.1625656075326</v>
      </c>
      <c r="CG31" s="19" t="n">
        <f aca="false">$B31+CG$3*100*$A31</f>
        <v>36.5125656075327</v>
      </c>
      <c r="CH31" s="19" t="n">
        <f aca="false">$B31+CH$3*100*$A31</f>
        <v>36.8625656075326</v>
      </c>
      <c r="CI31" s="19" t="n">
        <f aca="false">$B31+CI$3*100*$A31</f>
        <v>37.2125656075326</v>
      </c>
      <c r="CJ31" s="19" t="n">
        <f aca="false">$B31+CJ$3*100*$A31</f>
        <v>37.5625656075326</v>
      </c>
      <c r="CK31" s="19" t="n">
        <f aca="false">$B31+CK$3*100*$A31</f>
        <v>37.9125656075326</v>
      </c>
      <c r="CL31" s="19" t="n">
        <f aca="false">$B31+CL$3*100*$A31</f>
        <v>38.2625656075327</v>
      </c>
      <c r="CM31" s="19" t="n">
        <f aca="false">$B31+CM$3*100*$A31</f>
        <v>38.6125656075326</v>
      </c>
      <c r="CN31" s="19" t="n">
        <f aca="false">$B31+CN$3*100*$A31</f>
        <v>38.9625656075326</v>
      </c>
      <c r="CO31" s="19" t="n">
        <f aca="false">$B31+CO$3*100*$A31</f>
        <v>39.3125656075326</v>
      </c>
      <c r="CP31" s="19" t="n">
        <f aca="false">$B31+CP$3*100*$A31</f>
        <v>39.6625656075326</v>
      </c>
      <c r="CQ31" s="19" t="n">
        <f aca="false">$B31+CQ$3*100*$A31</f>
        <v>40.0125656075326</v>
      </c>
      <c r="CR31" s="19" t="n">
        <f aca="false">$B31+CR$3*100*$A31</f>
        <v>40.3625656075326</v>
      </c>
      <c r="CS31" s="19" t="n">
        <f aca="false">$B31+CS$3*100*$A31</f>
        <v>40.7125656075326</v>
      </c>
      <c r="CT31" s="19" t="n">
        <f aca="false">$B31+CT$3*100*$A31</f>
        <v>41.0625656075326</v>
      </c>
      <c r="CU31" s="19" t="n">
        <f aca="false">$B31+CU$3*100*$A31</f>
        <v>41.4125656075326</v>
      </c>
      <c r="CV31" s="19" t="n">
        <f aca="false">$B31+CV$3*100*$A31</f>
        <v>41.7625656075326</v>
      </c>
      <c r="CW31" s="19" t="n">
        <f aca="false">$B31+CW$3*100*$A31</f>
        <v>42.1125656075326</v>
      </c>
      <c r="CX31" s="19" t="n">
        <f aca="false">$B31+CX$3*100*$A31</f>
        <v>42.4625656075326</v>
      </c>
      <c r="CY31" s="19" t="n">
        <f aca="false">$B31+CY$3*100*$A31</f>
        <v>42.8125656075326</v>
      </c>
      <c r="CZ31" s="19" t="n">
        <f aca="false">$B31+CZ$3*100*$A31</f>
        <v>43.1625656075326</v>
      </c>
      <c r="DA31" s="19" t="n">
        <f aca="false">$B31+DA$3*100*$A31</f>
        <v>43.5125656075326</v>
      </c>
      <c r="DB31" s="19" t="n">
        <f aca="false">$B31+DB$3*100*$A31</f>
        <v>43.8625656075326</v>
      </c>
      <c r="DC31" s="19" t="n">
        <f aca="false">$B31+DC$3*100*$A31</f>
        <v>44.2125656075326</v>
      </c>
      <c r="DD31" s="19" t="n">
        <f aca="false">$B31+DD$3*100*$A31</f>
        <v>44.5625656075326</v>
      </c>
      <c r="DE31" s="19" t="n">
        <f aca="false">$B31+DE$3*100*$A31</f>
        <v>44.9125656075326</v>
      </c>
      <c r="DF31" s="19" t="n">
        <f aca="false">$B31+DF$3*100*$A31</f>
        <v>45.2625656075326</v>
      </c>
      <c r="DG31" s="19" t="n">
        <f aca="false">$B31+DG$3*100*$A31</f>
        <v>45.6125656075326</v>
      </c>
      <c r="DH31" s="19" t="n">
        <f aca="false">$B31+DH$3*100*$A31</f>
        <v>45.9625656075326</v>
      </c>
      <c r="DI31" s="19" t="n">
        <f aca="false">$B31+DI$3*100*$A31</f>
        <v>46.3125656075326</v>
      </c>
      <c r="DJ31" s="19" t="n">
        <f aca="false">$B31+DJ$3*100*$A31</f>
        <v>46.6625656075326</v>
      </c>
      <c r="DK31" s="19" t="n">
        <f aca="false">$B31+DK$3*100*$A31</f>
        <v>47.0125656075326</v>
      </c>
      <c r="DL31" s="19" t="n">
        <f aca="false">$B31+DL$3*100*$A31</f>
        <v>47.3625656075326</v>
      </c>
      <c r="DM31" s="19" t="n">
        <f aca="false">$B31+DM$3*100*$A31</f>
        <v>47.7125656075326</v>
      </c>
      <c r="DN31" s="19" t="n">
        <f aca="false">$B31+DN$3*100*$A31</f>
        <v>48.0625656075326</v>
      </c>
      <c r="DO31" s="19" t="n">
        <f aca="false">$B31+DO$3*100*$A31</f>
        <v>48.4125656075326</v>
      </c>
      <c r="DP31" s="19" t="n">
        <f aca="false">$B31+DP$3*100*$A31</f>
        <v>48.7625656075326</v>
      </c>
      <c r="DQ31" s="19" t="n">
        <f aca="false">$B31+DQ$3*100*$A31</f>
        <v>49.1125656075326</v>
      </c>
      <c r="DR31" s="19" t="n">
        <f aca="false">$B31+DR$3*100*$A31</f>
        <v>49.4625656075326</v>
      </c>
      <c r="DS31" s="19" t="n">
        <f aca="false">$B31+DS$3*100*$A31</f>
        <v>49.8125656075326</v>
      </c>
      <c r="DT31" s="19" t="n">
        <f aca="false">$B31+DT$3*100*$A31</f>
        <v>50.1625656075326</v>
      </c>
      <c r="DU31" s="19" t="n">
        <f aca="false">$B31+DU$3*100*$A31</f>
        <v>50.5125656075326</v>
      </c>
      <c r="DV31" s="19" t="n">
        <f aca="false">$B31+DV$3*100*$A31</f>
        <v>50.8625656075326</v>
      </c>
      <c r="DW31" s="19" t="n">
        <f aca="false">$B31+DW$3*100*$A31</f>
        <v>51.2125656075326</v>
      </c>
      <c r="DX31" s="19" t="n">
        <f aca="false">$B31+DX$3*100*$A31</f>
        <v>51.5625656075326</v>
      </c>
      <c r="DY31" s="19" t="n">
        <f aca="false">$B31+DY$3*100*$A31</f>
        <v>51.9125656075326</v>
      </c>
      <c r="DZ31" s="19" t="n">
        <f aca="false">$B31+DZ$3*100*$A31</f>
        <v>52.2625656075326</v>
      </c>
      <c r="EA31" s="19" t="n">
        <f aca="false">$B31+EA$3*100*$A31</f>
        <v>52.6125656075326</v>
      </c>
      <c r="EB31" s="19" t="n">
        <f aca="false">$B31+EB$3*100*$A31</f>
        <v>52.9625656075326</v>
      </c>
      <c r="EC31" s="19" t="n">
        <f aca="false">$B31+EC$3*100*$A31</f>
        <v>53.3125656075326</v>
      </c>
      <c r="ED31" s="19" t="n">
        <f aca="false">$B31+ED$3*100*$A31</f>
        <v>53.6625656075326</v>
      </c>
      <c r="EE31" s="19" t="n">
        <f aca="false">$B31+EE$3*100*$A31</f>
        <v>54.0125656075326</v>
      </c>
      <c r="EF31" s="19" t="n">
        <f aca="false">$B31+EF$3*100*$A31</f>
        <v>54.3625656075326</v>
      </c>
      <c r="EG31" s="19" t="n">
        <f aca="false">$B31+EG$3*100*$A31</f>
        <v>54.7125656075326</v>
      </c>
      <c r="EH31" s="19" t="n">
        <f aca="false">$B31+EH$3*100*$A31</f>
        <v>55.0625656075326</v>
      </c>
      <c r="EI31" s="19" t="n">
        <f aca="false">$B31+EI$3*100*$A31</f>
        <v>55.4125656075326</v>
      </c>
      <c r="EJ31" s="19" t="n">
        <f aca="false">$B31+EJ$3*100*$A31</f>
        <v>55.7625656075326</v>
      </c>
      <c r="EK31" s="19" t="n">
        <f aca="false">$B31+EK$3*100*$A31</f>
        <v>56.1125656075326</v>
      </c>
      <c r="EL31" s="19" t="n">
        <f aca="false">$B31+EL$3*100*$A31</f>
        <v>56.4625656075326</v>
      </c>
      <c r="EM31" s="19" t="n">
        <f aca="false">$B31+EM$3*100*$A31</f>
        <v>56.8125656075326</v>
      </c>
      <c r="EN31" s="19" t="n">
        <f aca="false">$B31+EN$3*100*$A31</f>
        <v>57.1625656075326</v>
      </c>
      <c r="EO31" s="19" t="n">
        <f aca="false">$B31+EO$3*100*$A31</f>
        <v>57.5125656075326</v>
      </c>
      <c r="EP31" s="19" t="n">
        <f aca="false">$B31+EP$3*100*$A31</f>
        <v>57.8625656075326</v>
      </c>
      <c r="EQ31" s="19" t="n">
        <f aca="false">$B31+EQ$3*100*$A31</f>
        <v>58.2125656075326</v>
      </c>
      <c r="ER31" s="19" t="n">
        <f aca="false">$B31+ER$3*100*$A31</f>
        <v>58.5625656075326</v>
      </c>
      <c r="ES31" s="19" t="n">
        <f aca="false">$B31+ES$3*100*$A31</f>
        <v>58.9125656075326</v>
      </c>
      <c r="ET31" s="19" t="n">
        <f aca="false">$B31+ET$3*100*$A31</f>
        <v>59.2625656075326</v>
      </c>
      <c r="EU31" s="19" t="n">
        <f aca="false">$B31+EU$3*100*$A31</f>
        <v>59.6125656075326</v>
      </c>
      <c r="EV31" s="19" t="n">
        <f aca="false">$B31+EV$3*100*$A31</f>
        <v>59.9625656075326</v>
      </c>
      <c r="EW31" s="19" t="n">
        <f aca="false">$B31+EW$3*100*$A31</f>
        <v>60.3125656075327</v>
      </c>
      <c r="EX31" s="19" t="n">
        <f aca="false">$B31+EX$3*100*$A31</f>
        <v>60.6625656075326</v>
      </c>
      <c r="EY31" s="19" t="n">
        <f aca="false">$B31+EY$3*100*$A31</f>
        <v>61.0125656075326</v>
      </c>
      <c r="EZ31" s="19" t="n">
        <f aca="false">$B31+EZ$3*100*$A31</f>
        <v>61.3625656075326</v>
      </c>
      <c r="FA31" s="19" t="n">
        <f aca="false">$B31+FA$3*100*$A31</f>
        <v>61.7125656075326</v>
      </c>
      <c r="FB31" s="19" t="n">
        <f aca="false">$B31+FB$3*100*$A31</f>
        <v>62.0625656075327</v>
      </c>
      <c r="FC31" s="19" t="n">
        <f aca="false">$B31+FC$3*100*$A31</f>
        <v>62.4125656075326</v>
      </c>
      <c r="FD31" s="19" t="n">
        <f aca="false">$B31+FD$3*100*$A31</f>
        <v>62.7625656075326</v>
      </c>
      <c r="FE31" s="19" t="n">
        <f aca="false">$B31+FE$3*100*$A31</f>
        <v>63.1125656075326</v>
      </c>
      <c r="FF31" s="19" t="n">
        <f aca="false">$B31+FF$3*100*$A31</f>
        <v>63.4625656075326</v>
      </c>
      <c r="FG31" s="19" t="n">
        <f aca="false">$B31+FG$3*100*$A31</f>
        <v>63.8125656075327</v>
      </c>
      <c r="FH31" s="19" t="n">
        <f aca="false">$B31+FH$3*100*$A31</f>
        <v>64.1625656075326</v>
      </c>
      <c r="FI31" s="19" t="n">
        <f aca="false">$B31+FI$3*100*$A31</f>
        <v>64.5125656075327</v>
      </c>
      <c r="FJ31" s="19" t="n">
        <f aca="false">$B31+FJ$3*100*$A31</f>
        <v>64.8625656075326</v>
      </c>
      <c r="FK31" s="19" t="n">
        <f aca="false">$B31+FK$3*100*$A31</f>
        <v>65.2125656075327</v>
      </c>
      <c r="FL31" s="19" t="n">
        <f aca="false">$B31+FL$3*100*$A31</f>
        <v>65.5625656075327</v>
      </c>
      <c r="FM31" s="19" t="n">
        <f aca="false">$B31+FM$3*100*$A31</f>
        <v>65.9125656075326</v>
      </c>
      <c r="FN31" s="19" t="n">
        <f aca="false">$B31+FN$3*100*$A31</f>
        <v>66.2625656075327</v>
      </c>
      <c r="FO31" s="19" t="n">
        <f aca="false">$B31+FO$3*100*$A31</f>
        <v>66.6125656075326</v>
      </c>
      <c r="FP31" s="19" t="n">
        <f aca="false">$B31+FP$3*100*$A31</f>
        <v>66.9625656075327</v>
      </c>
      <c r="FQ31" s="19" t="n">
        <f aca="false">$B31+FQ$3*100*$A31</f>
        <v>67.3125656075327</v>
      </c>
      <c r="FR31" s="19" t="n">
        <f aca="false">$B31+FR$3*100*$A31</f>
        <v>67.6625656075326</v>
      </c>
      <c r="FS31" s="19" t="n">
        <f aca="false">$B31+FS$3*100*$A31</f>
        <v>68.0125656075327</v>
      </c>
      <c r="FT31" s="19" t="n">
        <f aca="false">$B31+FT$3*100*$A31</f>
        <v>68.3625656075326</v>
      </c>
      <c r="FU31" s="19" t="n">
        <f aca="false">$B31+FU$3*100*$A31</f>
        <v>68.7125656075327</v>
      </c>
      <c r="FV31" s="19" t="n">
        <f aca="false">$B31+FV$3*100*$A31</f>
        <v>69.0625656075327</v>
      </c>
      <c r="FW31" s="19" t="n">
        <f aca="false">$B31+FW$3*100*$A31</f>
        <v>69.4125656075326</v>
      </c>
      <c r="FX31" s="19" t="n">
        <f aca="false">$B31+FX$3*100*$A31</f>
        <v>69.7625656075327</v>
      </c>
      <c r="FY31" s="19" t="n">
        <f aca="false">$B31+FY$3*100*$A31</f>
        <v>70.1125656075326</v>
      </c>
      <c r="FZ31" s="19" t="n">
        <f aca="false">$B31+FZ$3*100*$A31</f>
        <v>70.4625656075327</v>
      </c>
      <c r="GA31" s="19" t="n">
        <f aca="false">$B31+GA$3*100*$A31</f>
        <v>70.8125656075327</v>
      </c>
      <c r="GB31" s="19" t="n">
        <f aca="false">$B31+GB$3*100*$A31</f>
        <v>71.1625656075326</v>
      </c>
      <c r="GC31" s="19" t="n">
        <f aca="false">$B31+GC$3*100*$A31</f>
        <v>71.5125656075327</v>
      </c>
      <c r="GD31" s="19" t="n">
        <f aca="false">$B31+GD$3*100*$A31</f>
        <v>71.8625656075326</v>
      </c>
      <c r="GE31" s="19" t="n">
        <f aca="false">$B31+GE$3*100*$A31</f>
        <v>72.2125656075326</v>
      </c>
      <c r="GF31" s="19" t="n">
        <f aca="false">$B31+GF$3*100*$A31</f>
        <v>72.5625656075327</v>
      </c>
      <c r="GG31" s="19" t="n">
        <f aca="false">$B31+GG$3*100*$A31</f>
        <v>72.9125656075326</v>
      </c>
      <c r="GH31" s="19" t="n">
        <f aca="false">$B31+GH$3*100*$A31</f>
        <v>73.2625656075327</v>
      </c>
      <c r="GI31" s="19" t="n">
        <f aca="false">$B31+GI$3*100*$A31</f>
        <v>73.6125656075326</v>
      </c>
      <c r="GJ31" s="19" t="n">
        <f aca="false">$B31+GJ$3*100*$A31</f>
        <v>73.9625656075326</v>
      </c>
      <c r="GK31" s="19" t="n">
        <f aca="false">$B31+GK$3*100*$A31</f>
        <v>74.3125656075327</v>
      </c>
      <c r="GL31" s="19" t="n">
        <f aca="false">$B31+GL$3*100*$A31</f>
        <v>74.6625656075326</v>
      </c>
      <c r="GM31" s="19" t="n">
        <f aca="false">$B31+GM$3*100*$A31</f>
        <v>75.0125656075327</v>
      </c>
      <c r="GN31" s="19" t="n">
        <f aca="false">$B31+GN$3*100*$A31</f>
        <v>75.3625656075326</v>
      </c>
      <c r="GO31" s="19" t="n">
        <f aca="false">$B31+GO$3*100*$A31</f>
        <v>75.7125656075326</v>
      </c>
      <c r="GP31" s="19" t="n">
        <f aca="false">$B31+GP$3*100*$A31</f>
        <v>76.0625656075327</v>
      </c>
      <c r="GQ31" s="19" t="n">
        <f aca="false">$B31+GQ$3*100*$A31</f>
        <v>76.4125656075326</v>
      </c>
      <c r="GR31" s="19" t="n">
        <f aca="false">$B31+GR$3*100*$A31</f>
        <v>76.7625656075327</v>
      </c>
      <c r="GS31" s="19" t="n">
        <f aca="false">$B31+GS$3*100*$A31</f>
        <v>77.1125656075326</v>
      </c>
      <c r="GT31" s="19" t="n">
        <f aca="false">$B31+GT$3*100*$A31</f>
        <v>77.4625656075326</v>
      </c>
    </row>
    <row r="32" customFormat="false" ht="15" hidden="false" customHeight="false" outlineLevel="0" collapsed="false">
      <c r="A32" s="26" t="n">
        <f aca="false">Frontier!A30</f>
        <v>0.0725</v>
      </c>
      <c r="B32" s="34" t="n">
        <f aca="false">Frontier!B30</f>
        <v>7.13465953353894</v>
      </c>
      <c r="C32" s="19" t="n">
        <f aca="false">$B32+C$3*100*$A32</f>
        <v>7.49715953353894</v>
      </c>
      <c r="D32" s="19" t="n">
        <f aca="false">$B32+D$3*100*$A32</f>
        <v>7.85965953353894</v>
      </c>
      <c r="E32" s="19" t="n">
        <f aca="false">$B32+E$3*100*$A32</f>
        <v>8.22215953353894</v>
      </c>
      <c r="F32" s="19" t="n">
        <f aca="false">$B32+F$3*100*$A32</f>
        <v>8.58465953353894</v>
      </c>
      <c r="G32" s="19" t="n">
        <f aca="false">$B32+G$3*100*$A32</f>
        <v>8.94715953353894</v>
      </c>
      <c r="H32" s="19" t="n">
        <f aca="false">$B32+H$3*100*$A32</f>
        <v>9.30965953353894</v>
      </c>
      <c r="I32" s="19" t="n">
        <f aca="false">$B32+I$3*100*$A32</f>
        <v>9.67215953353894</v>
      </c>
      <c r="J32" s="19" t="n">
        <f aca="false">$B32+J$3*100*$A32</f>
        <v>10.0346595335389</v>
      </c>
      <c r="K32" s="19" t="n">
        <f aca="false">$B32+K$3*100*$A32</f>
        <v>10.3971595335389</v>
      </c>
      <c r="L32" s="19" t="n">
        <f aca="false">$B32+L$3*100*$A32</f>
        <v>10.7596595335389</v>
      </c>
      <c r="M32" s="19" t="n">
        <f aca="false">$B32+M$3*100*$A32</f>
        <v>11.1221595335389</v>
      </c>
      <c r="N32" s="19" t="n">
        <f aca="false">$B32+N$3*100*$A32</f>
        <v>11.4846595335389</v>
      </c>
      <c r="O32" s="19" t="n">
        <f aca="false">$B32+O$3*100*$A32</f>
        <v>11.8471595335389</v>
      </c>
      <c r="P32" s="19" t="n">
        <f aca="false">$B32+P$3*100*$A32</f>
        <v>12.2096595335389</v>
      </c>
      <c r="Q32" s="19" t="n">
        <f aca="false">$B32+Q$3*100*$A32</f>
        <v>12.5721595335389</v>
      </c>
      <c r="R32" s="19" t="n">
        <f aca="false">$B32+R$3*100*$A32</f>
        <v>12.9346595335389</v>
      </c>
      <c r="S32" s="19" t="n">
        <f aca="false">$B32+S$3*100*$A32</f>
        <v>13.2971595335389</v>
      </c>
      <c r="T32" s="19" t="n">
        <f aca="false">$B32+T$3*100*$A32</f>
        <v>13.6596595335389</v>
      </c>
      <c r="U32" s="19" t="n">
        <f aca="false">$B32+U$3*100*$A32</f>
        <v>14.0221595335389</v>
      </c>
      <c r="V32" s="19" t="n">
        <f aca="false">$B32+V$3*100*$A32</f>
        <v>14.3846595335389</v>
      </c>
      <c r="W32" s="19" t="n">
        <f aca="false">$B32+W$3*100*$A32</f>
        <v>14.7471595335389</v>
      </c>
      <c r="X32" s="19" t="n">
        <f aca="false">$B32+X$3*100*$A32</f>
        <v>15.1096595335389</v>
      </c>
      <c r="Y32" s="19" t="n">
        <f aca="false">$B32+Y$3*100*$A32</f>
        <v>15.4721595335389</v>
      </c>
      <c r="Z32" s="19" t="n">
        <f aca="false">$B32+Z$3*100*$A32</f>
        <v>15.8346595335389</v>
      </c>
      <c r="AA32" s="19" t="n">
        <f aca="false">$B32+AA$3*100*$A32</f>
        <v>16.1971595335389</v>
      </c>
      <c r="AB32" s="19" t="n">
        <f aca="false">$B32+AB$3*100*$A32</f>
        <v>16.5596595335389</v>
      </c>
      <c r="AC32" s="19" t="n">
        <f aca="false">$B32+AC$3*100*$A32</f>
        <v>16.9221595335389</v>
      </c>
      <c r="AD32" s="19" t="n">
        <f aca="false">$B32+AD$3*100*$A32</f>
        <v>17.2846595335389</v>
      </c>
      <c r="AE32" s="19" t="n">
        <f aca="false">$B32+AE$3*100*$A32</f>
        <v>17.6471595335389</v>
      </c>
      <c r="AF32" s="19" t="n">
        <f aca="false">$B32+AF$3*100*$A32</f>
        <v>18.0096595335389</v>
      </c>
      <c r="AG32" s="19" t="n">
        <f aca="false">$B32+AG$3*100*$A32</f>
        <v>18.3721595335389</v>
      </c>
      <c r="AH32" s="19" t="n">
        <f aca="false">$B32+AH$3*100*$A32</f>
        <v>18.7346595335389</v>
      </c>
      <c r="AI32" s="19" t="n">
        <f aca="false">$B32+AI$3*100*$A32</f>
        <v>19.0971595335389</v>
      </c>
      <c r="AJ32" s="19" t="n">
        <f aca="false">$B32+AJ$3*100*$A32</f>
        <v>19.4596595335389</v>
      </c>
      <c r="AK32" s="19" t="n">
        <f aca="false">$B32+AK$3*100*$A32</f>
        <v>19.8221595335389</v>
      </c>
      <c r="AL32" s="19" t="n">
        <f aca="false">$B32+AL$3*100*$A32</f>
        <v>20.1846595335389</v>
      </c>
      <c r="AM32" s="19" t="n">
        <f aca="false">$B32+AM$3*100*$A32</f>
        <v>20.5471595335389</v>
      </c>
      <c r="AN32" s="19" t="n">
        <f aca="false">$B32+AN$3*100*$A32</f>
        <v>20.9096595335389</v>
      </c>
      <c r="AO32" s="19" t="n">
        <f aca="false">$B32+AO$3*100*$A32</f>
        <v>21.2721595335389</v>
      </c>
      <c r="AP32" s="19" t="n">
        <f aca="false">$B32+AP$3*100*$A32</f>
        <v>21.6346595335389</v>
      </c>
      <c r="AQ32" s="19" t="n">
        <f aca="false">$B32+AQ$3*100*$A32</f>
        <v>21.9971595335389</v>
      </c>
      <c r="AR32" s="19" t="n">
        <f aca="false">$B32+AR$3*100*$A32</f>
        <v>22.3596595335389</v>
      </c>
      <c r="AS32" s="19" t="n">
        <f aca="false">$B32+AS$3*100*$A32</f>
        <v>22.7221595335389</v>
      </c>
      <c r="AT32" s="19" t="n">
        <f aca="false">$B32+AT$3*100*$A32</f>
        <v>23.0846595335389</v>
      </c>
      <c r="AU32" s="19" t="n">
        <f aca="false">$B32+AU$3*100*$A32</f>
        <v>23.4471595335389</v>
      </c>
      <c r="AV32" s="19" t="n">
        <f aca="false">$B32+AV$3*100*$A32</f>
        <v>23.8096595335389</v>
      </c>
      <c r="AW32" s="19" t="n">
        <f aca="false">$B32+AW$3*100*$A32</f>
        <v>24.1721595335389</v>
      </c>
      <c r="AX32" s="19" t="n">
        <f aca="false">$B32+AX$3*100*$A32</f>
        <v>24.5346595335389</v>
      </c>
      <c r="AY32" s="19" t="n">
        <f aca="false">$B32+AY$3*100*$A32</f>
        <v>24.8971595335389</v>
      </c>
      <c r="AZ32" s="19" t="n">
        <f aca="false">$B32+AZ$3*100*$A32</f>
        <v>25.2596595335389</v>
      </c>
      <c r="BA32" s="19" t="n">
        <f aca="false">$B32+BA$3*100*$A32</f>
        <v>25.6221595335389</v>
      </c>
      <c r="BB32" s="19" t="n">
        <f aca="false">$B32+BB$3*100*$A32</f>
        <v>25.9846595335389</v>
      </c>
      <c r="BC32" s="19" t="n">
        <f aca="false">$B32+BC$3*100*$A32</f>
        <v>26.3471595335389</v>
      </c>
      <c r="BD32" s="19" t="n">
        <f aca="false">$B32+BD$3*100*$A32</f>
        <v>26.7096595335389</v>
      </c>
      <c r="BE32" s="19" t="n">
        <f aca="false">$B32+BE$3*100*$A32</f>
        <v>27.0721595335389</v>
      </c>
      <c r="BF32" s="19" t="n">
        <f aca="false">$B32+BF$3*100*$A32</f>
        <v>27.4346595335389</v>
      </c>
      <c r="BG32" s="19" t="n">
        <f aca="false">$B32+BG$3*100*$A32</f>
        <v>27.7971595335389</v>
      </c>
      <c r="BH32" s="19" t="n">
        <f aca="false">$B32+BH$3*100*$A32</f>
        <v>28.1596595335389</v>
      </c>
      <c r="BI32" s="19" t="n">
        <f aca="false">$B32+BI$3*100*$A32</f>
        <v>28.5221595335389</v>
      </c>
      <c r="BJ32" s="19" t="n">
        <f aca="false">$B32+BJ$3*100*$A32</f>
        <v>28.8846595335389</v>
      </c>
      <c r="BK32" s="19" t="n">
        <f aca="false">$B32+BK$3*100*$A32</f>
        <v>29.2471595335389</v>
      </c>
      <c r="BL32" s="19" t="n">
        <f aca="false">$B32+BL$3*100*$A32</f>
        <v>29.6096595335389</v>
      </c>
      <c r="BM32" s="19" t="n">
        <f aca="false">$B32+BM$3*100*$A32</f>
        <v>29.9721595335389</v>
      </c>
      <c r="BN32" s="19" t="n">
        <f aca="false">$B32+BN$3*100*$A32</f>
        <v>30.3346595335389</v>
      </c>
      <c r="BO32" s="19" t="n">
        <f aca="false">$B32+BO$3*100*$A32</f>
        <v>30.6971595335389</v>
      </c>
      <c r="BP32" s="19" t="n">
        <f aca="false">$B32+BP$3*100*$A32</f>
        <v>31.0596595335389</v>
      </c>
      <c r="BQ32" s="19" t="n">
        <f aca="false">$B32+BQ$3*100*$A32</f>
        <v>31.4221595335389</v>
      </c>
      <c r="BR32" s="19" t="n">
        <f aca="false">$B32+BR$3*100*$A32</f>
        <v>31.7846595335389</v>
      </c>
      <c r="BS32" s="19" t="n">
        <f aca="false">$B32+BS$3*100*$A32</f>
        <v>32.1471595335389</v>
      </c>
      <c r="BT32" s="19" t="n">
        <f aca="false">$B32+BT$3*100*$A32</f>
        <v>32.5096595335389</v>
      </c>
      <c r="BU32" s="19" t="n">
        <f aca="false">$B32+BU$3*100*$A32</f>
        <v>32.8721595335389</v>
      </c>
      <c r="BV32" s="19" t="n">
        <f aca="false">$B32+BV$3*100*$A32</f>
        <v>33.2346595335389</v>
      </c>
      <c r="BW32" s="19" t="n">
        <f aca="false">$B32+BW$3*100*$A32</f>
        <v>33.5971595335389</v>
      </c>
      <c r="BX32" s="19" t="n">
        <f aca="false">$B32+BX$3*100*$A32</f>
        <v>33.9596595335389</v>
      </c>
      <c r="BY32" s="19" t="n">
        <f aca="false">$B32+BY$3*100*$A32</f>
        <v>34.3221595335389</v>
      </c>
      <c r="BZ32" s="19" t="n">
        <f aca="false">$B32+BZ$3*100*$A32</f>
        <v>34.6846595335389</v>
      </c>
      <c r="CA32" s="19" t="n">
        <f aca="false">$B32+CA$3*100*$A32</f>
        <v>35.0471595335389</v>
      </c>
      <c r="CB32" s="19" t="n">
        <f aca="false">$B32+CB$3*100*$A32</f>
        <v>35.4096595335389</v>
      </c>
      <c r="CC32" s="19" t="n">
        <f aca="false">$B32+CC$3*100*$A32</f>
        <v>35.7721595335389</v>
      </c>
      <c r="CD32" s="19" t="n">
        <f aca="false">$B32+CD$3*100*$A32</f>
        <v>36.1346595335389</v>
      </c>
      <c r="CE32" s="19" t="n">
        <f aca="false">$B32+CE$3*100*$A32</f>
        <v>36.4971595335389</v>
      </c>
      <c r="CF32" s="19" t="n">
        <f aca="false">$B32+CF$3*100*$A32</f>
        <v>36.8596595335389</v>
      </c>
      <c r="CG32" s="19" t="n">
        <f aca="false">$B32+CG$3*100*$A32</f>
        <v>37.2221595335389</v>
      </c>
      <c r="CH32" s="19" t="n">
        <f aca="false">$B32+CH$3*100*$A32</f>
        <v>37.5846595335389</v>
      </c>
      <c r="CI32" s="19" t="n">
        <f aca="false">$B32+CI$3*100*$A32</f>
        <v>37.9471595335389</v>
      </c>
      <c r="CJ32" s="19" t="n">
        <f aca="false">$B32+CJ$3*100*$A32</f>
        <v>38.3096595335389</v>
      </c>
      <c r="CK32" s="19" t="n">
        <f aca="false">$B32+CK$3*100*$A32</f>
        <v>38.6721595335389</v>
      </c>
      <c r="CL32" s="19" t="n">
        <f aca="false">$B32+CL$3*100*$A32</f>
        <v>39.0346595335389</v>
      </c>
      <c r="CM32" s="19" t="n">
        <f aca="false">$B32+CM$3*100*$A32</f>
        <v>39.3971595335389</v>
      </c>
      <c r="CN32" s="19" t="n">
        <f aca="false">$B32+CN$3*100*$A32</f>
        <v>39.7596595335389</v>
      </c>
      <c r="CO32" s="19" t="n">
        <f aca="false">$B32+CO$3*100*$A32</f>
        <v>40.1221595335389</v>
      </c>
      <c r="CP32" s="19" t="n">
        <f aca="false">$B32+CP$3*100*$A32</f>
        <v>40.4846595335389</v>
      </c>
      <c r="CQ32" s="19" t="n">
        <f aca="false">$B32+CQ$3*100*$A32</f>
        <v>40.8471595335389</v>
      </c>
      <c r="CR32" s="19" t="n">
        <f aca="false">$B32+CR$3*100*$A32</f>
        <v>41.2096595335389</v>
      </c>
      <c r="CS32" s="19" t="n">
        <f aca="false">$B32+CS$3*100*$A32</f>
        <v>41.5721595335389</v>
      </c>
      <c r="CT32" s="19" t="n">
        <f aca="false">$B32+CT$3*100*$A32</f>
        <v>41.9346595335389</v>
      </c>
      <c r="CU32" s="19" t="n">
        <f aca="false">$B32+CU$3*100*$A32</f>
        <v>42.2971595335389</v>
      </c>
      <c r="CV32" s="19" t="n">
        <f aca="false">$B32+CV$3*100*$A32</f>
        <v>42.6596595335389</v>
      </c>
      <c r="CW32" s="19" t="n">
        <f aca="false">$B32+CW$3*100*$A32</f>
        <v>43.0221595335389</v>
      </c>
      <c r="CX32" s="19" t="n">
        <f aca="false">$B32+CX$3*100*$A32</f>
        <v>43.3846595335389</v>
      </c>
      <c r="CY32" s="19" t="n">
        <f aca="false">$B32+CY$3*100*$A32</f>
        <v>43.7471595335389</v>
      </c>
      <c r="CZ32" s="19" t="n">
        <f aca="false">$B32+CZ$3*100*$A32</f>
        <v>44.1096595335389</v>
      </c>
      <c r="DA32" s="19" t="n">
        <f aca="false">$B32+DA$3*100*$A32</f>
        <v>44.4721595335389</v>
      </c>
      <c r="DB32" s="19" t="n">
        <f aca="false">$B32+DB$3*100*$A32</f>
        <v>44.8346595335389</v>
      </c>
      <c r="DC32" s="19" t="n">
        <f aca="false">$B32+DC$3*100*$A32</f>
        <v>45.1971595335389</v>
      </c>
      <c r="DD32" s="19" t="n">
        <f aca="false">$B32+DD$3*100*$A32</f>
        <v>45.5596595335389</v>
      </c>
      <c r="DE32" s="19" t="n">
        <f aca="false">$B32+DE$3*100*$A32</f>
        <v>45.9221595335389</v>
      </c>
      <c r="DF32" s="19" t="n">
        <f aca="false">$B32+DF$3*100*$A32</f>
        <v>46.2846595335389</v>
      </c>
      <c r="DG32" s="19" t="n">
        <f aca="false">$B32+DG$3*100*$A32</f>
        <v>46.6471595335389</v>
      </c>
      <c r="DH32" s="19" t="n">
        <f aca="false">$B32+DH$3*100*$A32</f>
        <v>47.0096595335389</v>
      </c>
      <c r="DI32" s="19" t="n">
        <f aca="false">$B32+DI$3*100*$A32</f>
        <v>47.3721595335389</v>
      </c>
      <c r="DJ32" s="19" t="n">
        <f aca="false">$B32+DJ$3*100*$A32</f>
        <v>47.7346595335389</v>
      </c>
      <c r="DK32" s="19" t="n">
        <f aca="false">$B32+DK$3*100*$A32</f>
        <v>48.0971595335389</v>
      </c>
      <c r="DL32" s="19" t="n">
        <f aca="false">$B32+DL$3*100*$A32</f>
        <v>48.4596595335389</v>
      </c>
      <c r="DM32" s="19" t="n">
        <f aca="false">$B32+DM$3*100*$A32</f>
        <v>48.8221595335389</v>
      </c>
      <c r="DN32" s="19" t="n">
        <f aca="false">$B32+DN$3*100*$A32</f>
        <v>49.1846595335389</v>
      </c>
      <c r="DO32" s="19" t="n">
        <f aca="false">$B32+DO$3*100*$A32</f>
        <v>49.5471595335389</v>
      </c>
      <c r="DP32" s="19" t="n">
        <f aca="false">$B32+DP$3*100*$A32</f>
        <v>49.9096595335389</v>
      </c>
      <c r="DQ32" s="19" t="n">
        <f aca="false">$B32+DQ$3*100*$A32</f>
        <v>50.2721595335389</v>
      </c>
      <c r="DR32" s="19" t="n">
        <f aca="false">$B32+DR$3*100*$A32</f>
        <v>50.6346595335389</v>
      </c>
      <c r="DS32" s="19" t="n">
        <f aca="false">$B32+DS$3*100*$A32</f>
        <v>50.9971595335389</v>
      </c>
      <c r="DT32" s="19" t="n">
        <f aca="false">$B32+DT$3*100*$A32</f>
        <v>51.3596595335389</v>
      </c>
      <c r="DU32" s="19" t="n">
        <f aca="false">$B32+DU$3*100*$A32</f>
        <v>51.7221595335389</v>
      </c>
      <c r="DV32" s="19" t="n">
        <f aca="false">$B32+DV$3*100*$A32</f>
        <v>52.0846595335389</v>
      </c>
      <c r="DW32" s="19" t="n">
        <f aca="false">$B32+DW$3*100*$A32</f>
        <v>52.4471595335389</v>
      </c>
      <c r="DX32" s="19" t="n">
        <f aca="false">$B32+DX$3*100*$A32</f>
        <v>52.8096595335389</v>
      </c>
      <c r="DY32" s="19" t="n">
        <f aca="false">$B32+DY$3*100*$A32</f>
        <v>53.1721595335389</v>
      </c>
      <c r="DZ32" s="19" t="n">
        <f aca="false">$B32+DZ$3*100*$A32</f>
        <v>53.5346595335389</v>
      </c>
      <c r="EA32" s="19" t="n">
        <f aca="false">$B32+EA$3*100*$A32</f>
        <v>53.8971595335389</v>
      </c>
      <c r="EB32" s="19" t="n">
        <f aca="false">$B32+EB$3*100*$A32</f>
        <v>54.2596595335389</v>
      </c>
      <c r="EC32" s="19" t="n">
        <f aca="false">$B32+EC$3*100*$A32</f>
        <v>54.6221595335389</v>
      </c>
      <c r="ED32" s="19" t="n">
        <f aca="false">$B32+ED$3*100*$A32</f>
        <v>54.9846595335389</v>
      </c>
      <c r="EE32" s="19" t="n">
        <f aca="false">$B32+EE$3*100*$A32</f>
        <v>55.3471595335389</v>
      </c>
      <c r="EF32" s="19" t="n">
        <f aca="false">$B32+EF$3*100*$A32</f>
        <v>55.7096595335389</v>
      </c>
      <c r="EG32" s="19" t="n">
        <f aca="false">$B32+EG$3*100*$A32</f>
        <v>56.0721595335389</v>
      </c>
      <c r="EH32" s="19" t="n">
        <f aca="false">$B32+EH$3*100*$A32</f>
        <v>56.4346595335389</v>
      </c>
      <c r="EI32" s="19" t="n">
        <f aca="false">$B32+EI$3*100*$A32</f>
        <v>56.7971595335389</v>
      </c>
      <c r="EJ32" s="19" t="n">
        <f aca="false">$B32+EJ$3*100*$A32</f>
        <v>57.1596595335389</v>
      </c>
      <c r="EK32" s="19" t="n">
        <f aca="false">$B32+EK$3*100*$A32</f>
        <v>57.5221595335389</v>
      </c>
      <c r="EL32" s="19" t="n">
        <f aca="false">$B32+EL$3*100*$A32</f>
        <v>57.8846595335389</v>
      </c>
      <c r="EM32" s="19" t="n">
        <f aca="false">$B32+EM$3*100*$A32</f>
        <v>58.2471595335389</v>
      </c>
      <c r="EN32" s="19" t="n">
        <f aca="false">$B32+EN$3*100*$A32</f>
        <v>58.6096595335389</v>
      </c>
      <c r="EO32" s="19" t="n">
        <f aca="false">$B32+EO$3*100*$A32</f>
        <v>58.9721595335389</v>
      </c>
      <c r="EP32" s="19" t="n">
        <f aca="false">$B32+EP$3*100*$A32</f>
        <v>59.3346595335389</v>
      </c>
      <c r="EQ32" s="19" t="n">
        <f aca="false">$B32+EQ$3*100*$A32</f>
        <v>59.6971595335389</v>
      </c>
      <c r="ER32" s="19" t="n">
        <f aca="false">$B32+ER$3*100*$A32</f>
        <v>60.0596595335389</v>
      </c>
      <c r="ES32" s="19" t="n">
        <f aca="false">$B32+ES$3*100*$A32</f>
        <v>60.4221595335389</v>
      </c>
      <c r="ET32" s="19" t="n">
        <f aca="false">$B32+ET$3*100*$A32</f>
        <v>60.7846595335389</v>
      </c>
      <c r="EU32" s="19" t="n">
        <f aca="false">$B32+EU$3*100*$A32</f>
        <v>61.1471595335389</v>
      </c>
      <c r="EV32" s="19" t="n">
        <f aca="false">$B32+EV$3*100*$A32</f>
        <v>61.5096595335389</v>
      </c>
      <c r="EW32" s="19" t="n">
        <f aca="false">$B32+EW$3*100*$A32</f>
        <v>61.8721595335389</v>
      </c>
      <c r="EX32" s="19" t="n">
        <f aca="false">$B32+EX$3*100*$A32</f>
        <v>62.2346595335389</v>
      </c>
      <c r="EY32" s="19" t="n">
        <f aca="false">$B32+EY$3*100*$A32</f>
        <v>62.5971595335389</v>
      </c>
      <c r="EZ32" s="19" t="n">
        <f aca="false">$B32+EZ$3*100*$A32</f>
        <v>62.9596595335389</v>
      </c>
      <c r="FA32" s="19" t="n">
        <f aca="false">$B32+FA$3*100*$A32</f>
        <v>63.3221595335389</v>
      </c>
      <c r="FB32" s="19" t="n">
        <f aca="false">$B32+FB$3*100*$A32</f>
        <v>63.6846595335389</v>
      </c>
      <c r="FC32" s="19" t="n">
        <f aca="false">$B32+FC$3*100*$A32</f>
        <v>64.0471595335389</v>
      </c>
      <c r="FD32" s="19" t="n">
        <f aca="false">$B32+FD$3*100*$A32</f>
        <v>64.4096595335389</v>
      </c>
      <c r="FE32" s="19" t="n">
        <f aca="false">$B32+FE$3*100*$A32</f>
        <v>64.7721595335389</v>
      </c>
      <c r="FF32" s="19" t="n">
        <f aca="false">$B32+FF$3*100*$A32</f>
        <v>65.1346595335389</v>
      </c>
      <c r="FG32" s="19" t="n">
        <f aca="false">$B32+FG$3*100*$A32</f>
        <v>65.497159533539</v>
      </c>
      <c r="FH32" s="19" t="n">
        <f aca="false">$B32+FH$3*100*$A32</f>
        <v>65.8596595335389</v>
      </c>
      <c r="FI32" s="19" t="n">
        <f aca="false">$B32+FI$3*100*$A32</f>
        <v>66.2221595335389</v>
      </c>
      <c r="FJ32" s="19" t="n">
        <f aca="false">$B32+FJ$3*100*$A32</f>
        <v>66.5846595335389</v>
      </c>
      <c r="FK32" s="19" t="n">
        <f aca="false">$B32+FK$3*100*$A32</f>
        <v>66.9471595335389</v>
      </c>
      <c r="FL32" s="19" t="n">
        <f aca="false">$B32+FL$3*100*$A32</f>
        <v>67.309659533539</v>
      </c>
      <c r="FM32" s="19" t="n">
        <f aca="false">$B32+FM$3*100*$A32</f>
        <v>67.6721595335389</v>
      </c>
      <c r="FN32" s="19" t="n">
        <f aca="false">$B32+FN$3*100*$A32</f>
        <v>68.0346595335389</v>
      </c>
      <c r="FO32" s="19" t="n">
        <f aca="false">$B32+FO$3*100*$A32</f>
        <v>68.3971595335389</v>
      </c>
      <c r="FP32" s="19" t="n">
        <f aca="false">$B32+FP$3*100*$A32</f>
        <v>68.7596595335389</v>
      </c>
      <c r="FQ32" s="19" t="n">
        <f aca="false">$B32+FQ$3*100*$A32</f>
        <v>69.122159533539</v>
      </c>
      <c r="FR32" s="19" t="n">
        <f aca="false">$B32+FR$3*100*$A32</f>
        <v>69.4846595335389</v>
      </c>
      <c r="FS32" s="19" t="n">
        <f aca="false">$B32+FS$3*100*$A32</f>
        <v>69.8471595335389</v>
      </c>
      <c r="FT32" s="19" t="n">
        <f aca="false">$B32+FT$3*100*$A32</f>
        <v>70.2096595335389</v>
      </c>
      <c r="FU32" s="19" t="n">
        <f aca="false">$B32+FU$3*100*$A32</f>
        <v>70.5721595335389</v>
      </c>
      <c r="FV32" s="19" t="n">
        <f aca="false">$B32+FV$3*100*$A32</f>
        <v>70.934659533539</v>
      </c>
      <c r="FW32" s="19" t="n">
        <f aca="false">$B32+FW$3*100*$A32</f>
        <v>71.2971595335389</v>
      </c>
      <c r="FX32" s="19" t="n">
        <f aca="false">$B32+FX$3*100*$A32</f>
        <v>71.6596595335389</v>
      </c>
      <c r="FY32" s="19" t="n">
        <f aca="false">$B32+FY$3*100*$A32</f>
        <v>72.0221595335389</v>
      </c>
      <c r="FZ32" s="19" t="n">
        <f aca="false">$B32+FZ$3*100*$A32</f>
        <v>72.3846595335389</v>
      </c>
      <c r="GA32" s="19" t="n">
        <f aca="false">$B32+GA$3*100*$A32</f>
        <v>72.7471595335389</v>
      </c>
      <c r="GB32" s="19" t="n">
        <f aca="false">$B32+GB$3*100*$A32</f>
        <v>73.1096595335389</v>
      </c>
      <c r="GC32" s="19" t="n">
        <f aca="false">$B32+GC$3*100*$A32</f>
        <v>73.4721595335389</v>
      </c>
      <c r="GD32" s="19" t="n">
        <f aca="false">$B32+GD$3*100*$A32</f>
        <v>73.8346595335389</v>
      </c>
      <c r="GE32" s="19" t="n">
        <f aca="false">$B32+GE$3*100*$A32</f>
        <v>74.1971595335389</v>
      </c>
      <c r="GF32" s="19" t="n">
        <f aca="false">$B32+GF$3*100*$A32</f>
        <v>74.5596595335389</v>
      </c>
      <c r="GG32" s="19" t="n">
        <f aca="false">$B32+GG$3*100*$A32</f>
        <v>74.9221595335389</v>
      </c>
      <c r="GH32" s="19" t="n">
        <f aca="false">$B32+GH$3*100*$A32</f>
        <v>75.2846595335389</v>
      </c>
      <c r="GI32" s="19" t="n">
        <f aca="false">$B32+GI$3*100*$A32</f>
        <v>75.6471595335389</v>
      </c>
      <c r="GJ32" s="19" t="n">
        <f aca="false">$B32+GJ$3*100*$A32</f>
        <v>76.0096595335389</v>
      </c>
      <c r="GK32" s="19" t="n">
        <f aca="false">$B32+GK$3*100*$A32</f>
        <v>76.3721595335389</v>
      </c>
      <c r="GL32" s="19" t="n">
        <f aca="false">$B32+GL$3*100*$A32</f>
        <v>76.7346595335389</v>
      </c>
      <c r="GM32" s="19" t="n">
        <f aca="false">$B32+GM$3*100*$A32</f>
        <v>77.0971595335389</v>
      </c>
      <c r="GN32" s="19" t="n">
        <f aca="false">$B32+GN$3*100*$A32</f>
        <v>77.4596595335389</v>
      </c>
      <c r="GO32" s="19" t="n">
        <f aca="false">$B32+GO$3*100*$A32</f>
        <v>77.8221595335389</v>
      </c>
      <c r="GP32" s="19" t="n">
        <f aca="false">$B32+GP$3*100*$A32</f>
        <v>78.1846595335389</v>
      </c>
      <c r="GQ32" s="19" t="n">
        <f aca="false">$B32+GQ$3*100*$A32</f>
        <v>78.5471595335389</v>
      </c>
      <c r="GR32" s="19" t="n">
        <f aca="false">$B32+GR$3*100*$A32</f>
        <v>78.9096595335389</v>
      </c>
      <c r="GS32" s="19" t="n">
        <f aca="false">$B32+GS$3*100*$A32</f>
        <v>79.2721595335389</v>
      </c>
      <c r="GT32" s="19" t="n">
        <f aca="false">$B32+GT$3*100*$A32</f>
        <v>79.6346595335389</v>
      </c>
    </row>
    <row r="33" customFormat="false" ht="15" hidden="false" customHeight="false" outlineLevel="0" collapsed="false">
      <c r="A33" s="26" t="n">
        <f aca="false">Frontier!A31</f>
        <v>0.075</v>
      </c>
      <c r="B33" s="34" t="n">
        <f aca="false">Frontier!B31</f>
        <v>6.83855584163078</v>
      </c>
      <c r="C33" s="19" t="n">
        <f aca="false">$B33+C$3*100*$A33</f>
        <v>7.21355584163078</v>
      </c>
      <c r="D33" s="19" t="n">
        <f aca="false">$B33+D$3*100*$A33</f>
        <v>7.58855584163078</v>
      </c>
      <c r="E33" s="19" t="n">
        <f aca="false">$B33+E$3*100*$A33</f>
        <v>7.96355584163078</v>
      </c>
      <c r="F33" s="19" t="n">
        <f aca="false">$B33+F$3*100*$A33</f>
        <v>8.33855584163078</v>
      </c>
      <c r="G33" s="19" t="n">
        <f aca="false">$B33+G$3*100*$A33</f>
        <v>8.71355584163078</v>
      </c>
      <c r="H33" s="19" t="n">
        <f aca="false">$B33+H$3*100*$A33</f>
        <v>9.08855584163078</v>
      </c>
      <c r="I33" s="19" t="n">
        <f aca="false">$B33+I$3*100*$A33</f>
        <v>9.46355584163078</v>
      </c>
      <c r="J33" s="19" t="n">
        <f aca="false">$B33+J$3*100*$A33</f>
        <v>9.83855584163078</v>
      </c>
      <c r="K33" s="19" t="n">
        <f aca="false">$B33+K$3*100*$A33</f>
        <v>10.2135558416308</v>
      </c>
      <c r="L33" s="19" t="n">
        <f aca="false">$B33+L$3*100*$A33</f>
        <v>10.5885558416308</v>
      </c>
      <c r="M33" s="19" t="n">
        <f aca="false">$B33+M$3*100*$A33</f>
        <v>10.9635558416308</v>
      </c>
      <c r="N33" s="19" t="n">
        <f aca="false">$B33+N$3*100*$A33</f>
        <v>11.3385558416308</v>
      </c>
      <c r="O33" s="19" t="n">
        <f aca="false">$B33+O$3*100*$A33</f>
        <v>11.7135558416308</v>
      </c>
      <c r="P33" s="19" t="n">
        <f aca="false">$B33+P$3*100*$A33</f>
        <v>12.0885558416308</v>
      </c>
      <c r="Q33" s="19" t="n">
        <f aca="false">$B33+Q$3*100*$A33</f>
        <v>12.4635558416308</v>
      </c>
      <c r="R33" s="19" t="n">
        <f aca="false">$B33+R$3*100*$A33</f>
        <v>12.8385558416308</v>
      </c>
      <c r="S33" s="19" t="n">
        <f aca="false">$B33+S$3*100*$A33</f>
        <v>13.2135558416308</v>
      </c>
      <c r="T33" s="19" t="n">
        <f aca="false">$B33+T$3*100*$A33</f>
        <v>13.5885558416308</v>
      </c>
      <c r="U33" s="19" t="n">
        <f aca="false">$B33+U$3*100*$A33</f>
        <v>13.9635558416308</v>
      </c>
      <c r="V33" s="19" t="n">
        <f aca="false">$B33+V$3*100*$A33</f>
        <v>14.3385558416308</v>
      </c>
      <c r="W33" s="19" t="n">
        <f aca="false">$B33+W$3*100*$A33</f>
        <v>14.7135558416308</v>
      </c>
      <c r="X33" s="19" t="n">
        <f aca="false">$B33+X$3*100*$A33</f>
        <v>15.0885558416308</v>
      </c>
      <c r="Y33" s="19" t="n">
        <f aca="false">$B33+Y$3*100*$A33</f>
        <v>15.4635558416308</v>
      </c>
      <c r="Z33" s="19" t="n">
        <f aca="false">$B33+Z$3*100*$A33</f>
        <v>15.8385558416308</v>
      </c>
      <c r="AA33" s="19" t="n">
        <f aca="false">$B33+AA$3*100*$A33</f>
        <v>16.2135558416308</v>
      </c>
      <c r="AB33" s="19" t="n">
        <f aca="false">$B33+AB$3*100*$A33</f>
        <v>16.5885558416308</v>
      </c>
      <c r="AC33" s="19" t="n">
        <f aca="false">$B33+AC$3*100*$A33</f>
        <v>16.9635558416308</v>
      </c>
      <c r="AD33" s="19" t="n">
        <f aca="false">$B33+AD$3*100*$A33</f>
        <v>17.3385558416308</v>
      </c>
      <c r="AE33" s="19" t="n">
        <f aca="false">$B33+AE$3*100*$A33</f>
        <v>17.7135558416308</v>
      </c>
      <c r="AF33" s="19" t="n">
        <f aca="false">$B33+AF$3*100*$A33</f>
        <v>18.0885558416308</v>
      </c>
      <c r="AG33" s="19" t="n">
        <f aca="false">$B33+AG$3*100*$A33</f>
        <v>18.4635558416308</v>
      </c>
      <c r="AH33" s="19" t="n">
        <f aca="false">$B33+AH$3*100*$A33</f>
        <v>18.8385558416308</v>
      </c>
      <c r="AI33" s="19" t="n">
        <f aca="false">$B33+AI$3*100*$A33</f>
        <v>19.2135558416308</v>
      </c>
      <c r="AJ33" s="19" t="n">
        <f aca="false">$B33+AJ$3*100*$A33</f>
        <v>19.5885558416308</v>
      </c>
      <c r="AK33" s="19" t="n">
        <f aca="false">$B33+AK$3*100*$A33</f>
        <v>19.9635558416308</v>
      </c>
      <c r="AL33" s="19" t="n">
        <f aca="false">$B33+AL$3*100*$A33</f>
        <v>20.3385558416308</v>
      </c>
      <c r="AM33" s="19" t="n">
        <f aca="false">$B33+AM$3*100*$A33</f>
        <v>20.7135558416308</v>
      </c>
      <c r="AN33" s="19" t="n">
        <f aca="false">$B33+AN$3*100*$A33</f>
        <v>21.0885558416308</v>
      </c>
      <c r="AO33" s="19" t="n">
        <f aca="false">$B33+AO$3*100*$A33</f>
        <v>21.4635558416308</v>
      </c>
      <c r="AP33" s="19" t="n">
        <f aca="false">$B33+AP$3*100*$A33</f>
        <v>21.8385558416308</v>
      </c>
      <c r="AQ33" s="19" t="n">
        <f aca="false">$B33+AQ$3*100*$A33</f>
        <v>22.2135558416308</v>
      </c>
      <c r="AR33" s="19" t="n">
        <f aca="false">$B33+AR$3*100*$A33</f>
        <v>22.5885558416308</v>
      </c>
      <c r="AS33" s="19" t="n">
        <f aca="false">$B33+AS$3*100*$A33</f>
        <v>22.9635558416308</v>
      </c>
      <c r="AT33" s="19" t="n">
        <f aca="false">$B33+AT$3*100*$A33</f>
        <v>23.3385558416308</v>
      </c>
      <c r="AU33" s="19" t="n">
        <f aca="false">$B33+AU$3*100*$A33</f>
        <v>23.7135558416308</v>
      </c>
      <c r="AV33" s="19" t="n">
        <f aca="false">$B33+AV$3*100*$A33</f>
        <v>24.0885558416308</v>
      </c>
      <c r="AW33" s="19" t="n">
        <f aca="false">$B33+AW$3*100*$A33</f>
        <v>24.4635558416308</v>
      </c>
      <c r="AX33" s="19" t="n">
        <f aca="false">$B33+AX$3*100*$A33</f>
        <v>24.8385558416308</v>
      </c>
      <c r="AY33" s="19" t="n">
        <f aca="false">$B33+AY$3*100*$A33</f>
        <v>25.2135558416308</v>
      </c>
      <c r="AZ33" s="19" t="n">
        <f aca="false">$B33+AZ$3*100*$A33</f>
        <v>25.5885558416308</v>
      </c>
      <c r="BA33" s="19" t="n">
        <f aca="false">$B33+BA$3*100*$A33</f>
        <v>25.9635558416308</v>
      </c>
      <c r="BB33" s="19" t="n">
        <f aca="false">$B33+BB$3*100*$A33</f>
        <v>26.3385558416308</v>
      </c>
      <c r="BC33" s="19" t="n">
        <f aca="false">$B33+BC$3*100*$A33</f>
        <v>26.7135558416308</v>
      </c>
      <c r="BD33" s="19" t="n">
        <f aca="false">$B33+BD$3*100*$A33</f>
        <v>27.0885558416308</v>
      </c>
      <c r="BE33" s="19" t="n">
        <f aca="false">$B33+BE$3*100*$A33</f>
        <v>27.4635558416308</v>
      </c>
      <c r="BF33" s="19" t="n">
        <f aca="false">$B33+BF$3*100*$A33</f>
        <v>27.8385558416308</v>
      </c>
      <c r="BG33" s="19" t="n">
        <f aca="false">$B33+BG$3*100*$A33</f>
        <v>28.2135558416308</v>
      </c>
      <c r="BH33" s="19" t="n">
        <f aca="false">$B33+BH$3*100*$A33</f>
        <v>28.5885558416308</v>
      </c>
      <c r="BI33" s="19" t="n">
        <f aca="false">$B33+BI$3*100*$A33</f>
        <v>28.9635558416308</v>
      </c>
      <c r="BJ33" s="19" t="n">
        <f aca="false">$B33+BJ$3*100*$A33</f>
        <v>29.3385558416308</v>
      </c>
      <c r="BK33" s="19" t="n">
        <f aca="false">$B33+BK$3*100*$A33</f>
        <v>29.7135558416308</v>
      </c>
      <c r="BL33" s="19" t="n">
        <f aca="false">$B33+BL$3*100*$A33</f>
        <v>30.0885558416308</v>
      </c>
      <c r="BM33" s="19" t="n">
        <f aca="false">$B33+BM$3*100*$A33</f>
        <v>30.4635558416308</v>
      </c>
      <c r="BN33" s="19" t="n">
        <f aca="false">$B33+BN$3*100*$A33</f>
        <v>30.8385558416308</v>
      </c>
      <c r="BO33" s="19" t="n">
        <f aca="false">$B33+BO$3*100*$A33</f>
        <v>31.2135558416308</v>
      </c>
      <c r="BP33" s="19" t="n">
        <f aca="false">$B33+BP$3*100*$A33</f>
        <v>31.5885558416308</v>
      </c>
      <c r="BQ33" s="19" t="n">
        <f aca="false">$B33+BQ$3*100*$A33</f>
        <v>31.9635558416308</v>
      </c>
      <c r="BR33" s="19" t="n">
        <f aca="false">$B33+BR$3*100*$A33</f>
        <v>32.3385558416308</v>
      </c>
      <c r="BS33" s="19" t="n">
        <f aca="false">$B33+BS$3*100*$A33</f>
        <v>32.7135558416308</v>
      </c>
      <c r="BT33" s="19" t="n">
        <f aca="false">$B33+BT$3*100*$A33</f>
        <v>33.0885558416308</v>
      </c>
      <c r="BU33" s="19" t="n">
        <f aca="false">$B33+BU$3*100*$A33</f>
        <v>33.4635558416308</v>
      </c>
      <c r="BV33" s="19" t="n">
        <f aca="false">$B33+BV$3*100*$A33</f>
        <v>33.8385558416308</v>
      </c>
      <c r="BW33" s="19" t="n">
        <f aca="false">$B33+BW$3*100*$A33</f>
        <v>34.2135558416308</v>
      </c>
      <c r="BX33" s="19" t="n">
        <f aca="false">$B33+BX$3*100*$A33</f>
        <v>34.5885558416308</v>
      </c>
      <c r="BY33" s="19" t="n">
        <f aca="false">$B33+BY$3*100*$A33</f>
        <v>34.9635558416308</v>
      </c>
      <c r="BZ33" s="19" t="n">
        <f aca="false">$B33+BZ$3*100*$A33</f>
        <v>35.3385558416308</v>
      </c>
      <c r="CA33" s="19" t="n">
        <f aca="false">$B33+CA$3*100*$A33</f>
        <v>35.7135558416308</v>
      </c>
      <c r="CB33" s="19" t="n">
        <f aca="false">$B33+CB$3*100*$A33</f>
        <v>36.0885558416308</v>
      </c>
      <c r="CC33" s="19" t="n">
        <f aca="false">$B33+CC$3*100*$A33</f>
        <v>36.4635558416308</v>
      </c>
      <c r="CD33" s="19" t="n">
        <f aca="false">$B33+CD$3*100*$A33</f>
        <v>36.8385558416308</v>
      </c>
      <c r="CE33" s="19" t="n">
        <f aca="false">$B33+CE$3*100*$A33</f>
        <v>37.2135558416308</v>
      </c>
      <c r="CF33" s="19" t="n">
        <f aca="false">$B33+CF$3*100*$A33</f>
        <v>37.5885558416308</v>
      </c>
      <c r="CG33" s="19" t="n">
        <f aca="false">$B33+CG$3*100*$A33</f>
        <v>37.9635558416308</v>
      </c>
      <c r="CH33" s="19" t="n">
        <f aca="false">$B33+CH$3*100*$A33</f>
        <v>38.3385558416308</v>
      </c>
      <c r="CI33" s="19" t="n">
        <f aca="false">$B33+CI$3*100*$A33</f>
        <v>38.7135558416308</v>
      </c>
      <c r="CJ33" s="19" t="n">
        <f aca="false">$B33+CJ$3*100*$A33</f>
        <v>39.0885558416308</v>
      </c>
      <c r="CK33" s="19" t="n">
        <f aca="false">$B33+CK$3*100*$A33</f>
        <v>39.4635558416308</v>
      </c>
      <c r="CL33" s="19" t="n">
        <f aca="false">$B33+CL$3*100*$A33</f>
        <v>39.8385558416308</v>
      </c>
      <c r="CM33" s="19" t="n">
        <f aca="false">$B33+CM$3*100*$A33</f>
        <v>40.2135558416308</v>
      </c>
      <c r="CN33" s="19" t="n">
        <f aca="false">$B33+CN$3*100*$A33</f>
        <v>40.5885558416308</v>
      </c>
      <c r="CO33" s="19" t="n">
        <f aca="false">$B33+CO$3*100*$A33</f>
        <v>40.9635558416308</v>
      </c>
      <c r="CP33" s="19" t="n">
        <f aca="false">$B33+CP$3*100*$A33</f>
        <v>41.3385558416308</v>
      </c>
      <c r="CQ33" s="19" t="n">
        <f aca="false">$B33+CQ$3*100*$A33</f>
        <v>41.7135558416308</v>
      </c>
      <c r="CR33" s="19" t="n">
        <f aca="false">$B33+CR$3*100*$A33</f>
        <v>42.0885558416308</v>
      </c>
      <c r="CS33" s="19" t="n">
        <f aca="false">$B33+CS$3*100*$A33</f>
        <v>42.4635558416308</v>
      </c>
      <c r="CT33" s="19" t="n">
        <f aca="false">$B33+CT$3*100*$A33</f>
        <v>42.8385558416308</v>
      </c>
      <c r="CU33" s="19" t="n">
        <f aca="false">$B33+CU$3*100*$A33</f>
        <v>43.2135558416308</v>
      </c>
      <c r="CV33" s="19" t="n">
        <f aca="false">$B33+CV$3*100*$A33</f>
        <v>43.5885558416308</v>
      </c>
      <c r="CW33" s="19" t="n">
        <f aca="false">$B33+CW$3*100*$A33</f>
        <v>43.9635558416308</v>
      </c>
      <c r="CX33" s="19" t="n">
        <f aca="false">$B33+CX$3*100*$A33</f>
        <v>44.3385558416308</v>
      </c>
      <c r="CY33" s="19" t="n">
        <f aca="false">$B33+CY$3*100*$A33</f>
        <v>44.7135558416308</v>
      </c>
      <c r="CZ33" s="19" t="n">
        <f aca="false">$B33+CZ$3*100*$A33</f>
        <v>45.0885558416308</v>
      </c>
      <c r="DA33" s="19" t="n">
        <f aca="false">$B33+DA$3*100*$A33</f>
        <v>45.4635558416308</v>
      </c>
      <c r="DB33" s="19" t="n">
        <f aca="false">$B33+DB$3*100*$A33</f>
        <v>45.8385558416308</v>
      </c>
      <c r="DC33" s="19" t="n">
        <f aca="false">$B33+DC$3*100*$A33</f>
        <v>46.2135558416308</v>
      </c>
      <c r="DD33" s="19" t="n">
        <f aca="false">$B33+DD$3*100*$A33</f>
        <v>46.5885558416308</v>
      </c>
      <c r="DE33" s="19" t="n">
        <f aca="false">$B33+DE$3*100*$A33</f>
        <v>46.9635558416308</v>
      </c>
      <c r="DF33" s="19" t="n">
        <f aca="false">$B33+DF$3*100*$A33</f>
        <v>47.3385558416308</v>
      </c>
      <c r="DG33" s="19" t="n">
        <f aca="false">$B33+DG$3*100*$A33</f>
        <v>47.7135558416308</v>
      </c>
      <c r="DH33" s="19" t="n">
        <f aca="false">$B33+DH$3*100*$A33</f>
        <v>48.0885558416308</v>
      </c>
      <c r="DI33" s="19" t="n">
        <f aca="false">$B33+DI$3*100*$A33</f>
        <v>48.4635558416308</v>
      </c>
      <c r="DJ33" s="19" t="n">
        <f aca="false">$B33+DJ$3*100*$A33</f>
        <v>48.8385558416308</v>
      </c>
      <c r="DK33" s="19" t="n">
        <f aca="false">$B33+DK$3*100*$A33</f>
        <v>49.2135558416308</v>
      </c>
      <c r="DL33" s="19" t="n">
        <f aca="false">$B33+DL$3*100*$A33</f>
        <v>49.5885558416308</v>
      </c>
      <c r="DM33" s="19" t="n">
        <f aca="false">$B33+DM$3*100*$A33</f>
        <v>49.9635558416308</v>
      </c>
      <c r="DN33" s="19" t="n">
        <f aca="false">$B33+DN$3*100*$A33</f>
        <v>50.3385558416308</v>
      </c>
      <c r="DO33" s="19" t="n">
        <f aca="false">$B33+DO$3*100*$A33</f>
        <v>50.7135558416308</v>
      </c>
      <c r="DP33" s="19" t="n">
        <f aca="false">$B33+DP$3*100*$A33</f>
        <v>51.0885558416308</v>
      </c>
      <c r="DQ33" s="19" t="n">
        <f aca="false">$B33+DQ$3*100*$A33</f>
        <v>51.4635558416308</v>
      </c>
      <c r="DR33" s="19" t="n">
        <f aca="false">$B33+DR$3*100*$A33</f>
        <v>51.8385558416308</v>
      </c>
      <c r="DS33" s="19" t="n">
        <f aca="false">$B33+DS$3*100*$A33</f>
        <v>52.2135558416308</v>
      </c>
      <c r="DT33" s="19" t="n">
        <f aca="false">$B33+DT$3*100*$A33</f>
        <v>52.5885558416308</v>
      </c>
      <c r="DU33" s="19" t="n">
        <f aca="false">$B33+DU$3*100*$A33</f>
        <v>52.9635558416308</v>
      </c>
      <c r="DV33" s="19" t="n">
        <f aca="false">$B33+DV$3*100*$A33</f>
        <v>53.3385558416308</v>
      </c>
      <c r="DW33" s="19" t="n">
        <f aca="false">$B33+DW$3*100*$A33</f>
        <v>53.7135558416308</v>
      </c>
      <c r="DX33" s="19" t="n">
        <f aca="false">$B33+DX$3*100*$A33</f>
        <v>54.0885558416308</v>
      </c>
      <c r="DY33" s="19" t="n">
        <f aca="false">$B33+DY$3*100*$A33</f>
        <v>54.4635558416308</v>
      </c>
      <c r="DZ33" s="19" t="n">
        <f aca="false">$B33+DZ$3*100*$A33</f>
        <v>54.8385558416308</v>
      </c>
      <c r="EA33" s="19" t="n">
        <f aca="false">$B33+EA$3*100*$A33</f>
        <v>55.2135558416308</v>
      </c>
      <c r="EB33" s="19" t="n">
        <f aca="false">$B33+EB$3*100*$A33</f>
        <v>55.5885558416308</v>
      </c>
      <c r="EC33" s="19" t="n">
        <f aca="false">$B33+EC$3*100*$A33</f>
        <v>55.9635558416308</v>
      </c>
      <c r="ED33" s="19" t="n">
        <f aca="false">$B33+ED$3*100*$A33</f>
        <v>56.3385558416308</v>
      </c>
      <c r="EE33" s="19" t="n">
        <f aca="false">$B33+EE$3*100*$A33</f>
        <v>56.7135558416308</v>
      </c>
      <c r="EF33" s="19" t="n">
        <f aca="false">$B33+EF$3*100*$A33</f>
        <v>57.0885558416308</v>
      </c>
      <c r="EG33" s="19" t="n">
        <f aca="false">$B33+EG$3*100*$A33</f>
        <v>57.4635558416308</v>
      </c>
      <c r="EH33" s="19" t="n">
        <f aca="false">$B33+EH$3*100*$A33</f>
        <v>57.8385558416308</v>
      </c>
      <c r="EI33" s="19" t="n">
        <f aca="false">$B33+EI$3*100*$A33</f>
        <v>58.2135558416308</v>
      </c>
      <c r="EJ33" s="19" t="n">
        <f aca="false">$B33+EJ$3*100*$A33</f>
        <v>58.5885558416308</v>
      </c>
      <c r="EK33" s="19" t="n">
        <f aca="false">$B33+EK$3*100*$A33</f>
        <v>58.9635558416308</v>
      </c>
      <c r="EL33" s="19" t="n">
        <f aca="false">$B33+EL$3*100*$A33</f>
        <v>59.3385558416308</v>
      </c>
      <c r="EM33" s="19" t="n">
        <f aca="false">$B33+EM$3*100*$A33</f>
        <v>59.7135558416308</v>
      </c>
      <c r="EN33" s="19" t="n">
        <f aca="false">$B33+EN$3*100*$A33</f>
        <v>60.0885558416308</v>
      </c>
      <c r="EO33" s="19" t="n">
        <f aca="false">$B33+EO$3*100*$A33</f>
        <v>60.4635558416308</v>
      </c>
      <c r="EP33" s="19" t="n">
        <f aca="false">$B33+EP$3*100*$A33</f>
        <v>60.8385558416308</v>
      </c>
      <c r="EQ33" s="19" t="n">
        <f aca="false">$B33+EQ$3*100*$A33</f>
        <v>61.2135558416308</v>
      </c>
      <c r="ER33" s="19" t="n">
        <f aca="false">$B33+ER$3*100*$A33</f>
        <v>61.5885558416308</v>
      </c>
      <c r="ES33" s="19" t="n">
        <f aca="false">$B33+ES$3*100*$A33</f>
        <v>61.9635558416308</v>
      </c>
      <c r="ET33" s="19" t="n">
        <f aca="false">$B33+ET$3*100*$A33</f>
        <v>62.3385558416308</v>
      </c>
      <c r="EU33" s="19" t="n">
        <f aca="false">$B33+EU$3*100*$A33</f>
        <v>62.7135558416308</v>
      </c>
      <c r="EV33" s="19" t="n">
        <f aca="false">$B33+EV$3*100*$A33</f>
        <v>63.0885558416308</v>
      </c>
      <c r="EW33" s="19" t="n">
        <f aca="false">$B33+EW$3*100*$A33</f>
        <v>63.4635558416308</v>
      </c>
      <c r="EX33" s="19" t="n">
        <f aca="false">$B33+EX$3*100*$A33</f>
        <v>63.8385558416308</v>
      </c>
      <c r="EY33" s="19" t="n">
        <f aca="false">$B33+EY$3*100*$A33</f>
        <v>64.2135558416308</v>
      </c>
      <c r="EZ33" s="19" t="n">
        <f aca="false">$B33+EZ$3*100*$A33</f>
        <v>64.5885558416308</v>
      </c>
      <c r="FA33" s="19" t="n">
        <f aca="false">$B33+FA$3*100*$A33</f>
        <v>64.9635558416308</v>
      </c>
      <c r="FB33" s="19" t="n">
        <f aca="false">$B33+FB$3*100*$A33</f>
        <v>65.3385558416308</v>
      </c>
      <c r="FC33" s="19" t="n">
        <f aca="false">$B33+FC$3*100*$A33</f>
        <v>65.7135558416308</v>
      </c>
      <c r="FD33" s="19" t="n">
        <f aca="false">$B33+FD$3*100*$A33</f>
        <v>66.0885558416308</v>
      </c>
      <c r="FE33" s="19" t="n">
        <f aca="false">$B33+FE$3*100*$A33</f>
        <v>66.4635558416308</v>
      </c>
      <c r="FF33" s="19" t="n">
        <f aca="false">$B33+FF$3*100*$A33</f>
        <v>66.8385558416308</v>
      </c>
      <c r="FG33" s="19" t="n">
        <f aca="false">$B33+FG$3*100*$A33</f>
        <v>67.2135558416308</v>
      </c>
      <c r="FH33" s="19" t="n">
        <f aca="false">$B33+FH$3*100*$A33</f>
        <v>67.5885558416308</v>
      </c>
      <c r="FI33" s="19" t="n">
        <f aca="false">$B33+FI$3*100*$A33</f>
        <v>67.9635558416308</v>
      </c>
      <c r="FJ33" s="19" t="n">
        <f aca="false">$B33+FJ$3*100*$A33</f>
        <v>68.3385558416308</v>
      </c>
      <c r="FK33" s="19" t="n">
        <f aca="false">$B33+FK$3*100*$A33</f>
        <v>68.7135558416308</v>
      </c>
      <c r="FL33" s="19" t="n">
        <f aca="false">$B33+FL$3*100*$A33</f>
        <v>69.0885558416308</v>
      </c>
      <c r="FM33" s="19" t="n">
        <f aca="false">$B33+FM$3*100*$A33</f>
        <v>69.4635558416308</v>
      </c>
      <c r="FN33" s="19" t="n">
        <f aca="false">$B33+FN$3*100*$A33</f>
        <v>69.8385558416308</v>
      </c>
      <c r="FO33" s="19" t="n">
        <f aca="false">$B33+FO$3*100*$A33</f>
        <v>70.2135558416308</v>
      </c>
      <c r="FP33" s="19" t="n">
        <f aca="false">$B33+FP$3*100*$A33</f>
        <v>70.5885558416308</v>
      </c>
      <c r="FQ33" s="19" t="n">
        <f aca="false">$B33+FQ$3*100*$A33</f>
        <v>70.9635558416308</v>
      </c>
      <c r="FR33" s="19" t="n">
        <f aca="false">$B33+FR$3*100*$A33</f>
        <v>71.3385558416308</v>
      </c>
      <c r="FS33" s="19" t="n">
        <f aca="false">$B33+FS$3*100*$A33</f>
        <v>71.7135558416308</v>
      </c>
      <c r="FT33" s="19" t="n">
        <f aca="false">$B33+FT$3*100*$A33</f>
        <v>72.0885558416308</v>
      </c>
      <c r="FU33" s="19" t="n">
        <f aca="false">$B33+FU$3*100*$A33</f>
        <v>72.4635558416308</v>
      </c>
      <c r="FV33" s="19" t="n">
        <f aca="false">$B33+FV$3*100*$A33</f>
        <v>72.8385558416308</v>
      </c>
      <c r="FW33" s="19" t="n">
        <f aca="false">$B33+FW$3*100*$A33</f>
        <v>73.2135558416308</v>
      </c>
      <c r="FX33" s="19" t="n">
        <f aca="false">$B33+FX$3*100*$A33</f>
        <v>73.5885558416308</v>
      </c>
      <c r="FY33" s="19" t="n">
        <f aca="false">$B33+FY$3*100*$A33</f>
        <v>73.9635558416308</v>
      </c>
      <c r="FZ33" s="19" t="n">
        <f aca="false">$B33+FZ$3*100*$A33</f>
        <v>74.3385558416308</v>
      </c>
      <c r="GA33" s="19" t="n">
        <f aca="false">$B33+GA$3*100*$A33</f>
        <v>74.7135558416308</v>
      </c>
      <c r="GB33" s="19" t="n">
        <f aca="false">$B33+GB$3*100*$A33</f>
        <v>75.0885558416308</v>
      </c>
      <c r="GC33" s="19" t="n">
        <f aca="false">$B33+GC$3*100*$A33</f>
        <v>75.4635558416308</v>
      </c>
      <c r="GD33" s="19" t="n">
        <f aca="false">$B33+GD$3*100*$A33</f>
        <v>75.8385558416308</v>
      </c>
      <c r="GE33" s="19" t="n">
        <f aca="false">$B33+GE$3*100*$A33</f>
        <v>76.2135558416308</v>
      </c>
      <c r="GF33" s="19" t="n">
        <f aca="false">$B33+GF$3*100*$A33</f>
        <v>76.5885558416308</v>
      </c>
      <c r="GG33" s="19" t="n">
        <f aca="false">$B33+GG$3*100*$A33</f>
        <v>76.9635558416308</v>
      </c>
      <c r="GH33" s="19" t="n">
        <f aca="false">$B33+GH$3*100*$A33</f>
        <v>77.3385558416308</v>
      </c>
      <c r="GI33" s="19" t="n">
        <f aca="false">$B33+GI$3*100*$A33</f>
        <v>77.7135558416308</v>
      </c>
      <c r="GJ33" s="19" t="n">
        <f aca="false">$B33+GJ$3*100*$A33</f>
        <v>78.0885558416308</v>
      </c>
      <c r="GK33" s="19" t="n">
        <f aca="false">$B33+GK$3*100*$A33</f>
        <v>78.4635558416308</v>
      </c>
      <c r="GL33" s="19" t="n">
        <f aca="false">$B33+GL$3*100*$A33</f>
        <v>78.8385558416308</v>
      </c>
      <c r="GM33" s="19" t="n">
        <f aca="false">$B33+GM$3*100*$A33</f>
        <v>79.2135558416308</v>
      </c>
      <c r="GN33" s="19" t="n">
        <f aca="false">$B33+GN$3*100*$A33</f>
        <v>79.5885558416308</v>
      </c>
      <c r="GO33" s="19" t="n">
        <f aca="false">$B33+GO$3*100*$A33</f>
        <v>79.9635558416308</v>
      </c>
      <c r="GP33" s="19" t="n">
        <f aca="false">$B33+GP$3*100*$A33</f>
        <v>80.3385558416308</v>
      </c>
      <c r="GQ33" s="19" t="n">
        <f aca="false">$B33+GQ$3*100*$A33</f>
        <v>80.7135558416308</v>
      </c>
      <c r="GR33" s="19" t="n">
        <f aca="false">$B33+GR$3*100*$A33</f>
        <v>81.0885558416308</v>
      </c>
      <c r="GS33" s="19" t="n">
        <f aca="false">$B33+GS$3*100*$A33</f>
        <v>81.4635558416308</v>
      </c>
      <c r="GT33" s="19" t="n">
        <f aca="false">$B33+GT$3*100*$A33</f>
        <v>81.8385558416308</v>
      </c>
    </row>
    <row r="34" customFormat="false" ht="15" hidden="false" customHeight="false" outlineLevel="0" collapsed="false">
      <c r="A34" s="26" t="n">
        <f aca="false">Frontier!A32</f>
        <v>0.0775</v>
      </c>
      <c r="B34" s="34" t="n">
        <f aca="false">Frontier!B32</f>
        <v>6.5414283905648</v>
      </c>
      <c r="C34" s="19" t="n">
        <f aca="false">$B34+C$3*100*$A34</f>
        <v>6.9289283905648</v>
      </c>
      <c r="D34" s="19" t="n">
        <f aca="false">$B34+D$3*100*$A34</f>
        <v>7.3164283905648</v>
      </c>
      <c r="E34" s="19" t="n">
        <f aca="false">$B34+E$3*100*$A34</f>
        <v>7.7039283905648</v>
      </c>
      <c r="F34" s="19" t="n">
        <f aca="false">$B34+F$3*100*$A34</f>
        <v>8.0914283905648</v>
      </c>
      <c r="G34" s="19" t="n">
        <f aca="false">$B34+G$3*100*$A34</f>
        <v>8.4789283905648</v>
      </c>
      <c r="H34" s="19" t="n">
        <f aca="false">$B34+H$3*100*$A34</f>
        <v>8.8664283905648</v>
      </c>
      <c r="I34" s="19" t="n">
        <f aca="false">$B34+I$3*100*$A34</f>
        <v>9.2539283905648</v>
      </c>
      <c r="J34" s="19" t="n">
        <f aca="false">$B34+J$3*100*$A34</f>
        <v>9.6414283905648</v>
      </c>
      <c r="K34" s="19" t="n">
        <f aca="false">$B34+K$3*100*$A34</f>
        <v>10.0289283905648</v>
      </c>
      <c r="L34" s="19" t="n">
        <f aca="false">$B34+L$3*100*$A34</f>
        <v>10.4164283905648</v>
      </c>
      <c r="M34" s="19" t="n">
        <f aca="false">$B34+M$3*100*$A34</f>
        <v>10.8039283905648</v>
      </c>
      <c r="N34" s="19" t="n">
        <f aca="false">$B34+N$3*100*$A34</f>
        <v>11.1914283905648</v>
      </c>
      <c r="O34" s="19" t="n">
        <f aca="false">$B34+O$3*100*$A34</f>
        <v>11.5789283905648</v>
      </c>
      <c r="P34" s="19" t="n">
        <f aca="false">$B34+P$3*100*$A34</f>
        <v>11.9664283905648</v>
      </c>
      <c r="Q34" s="19" t="n">
        <f aca="false">$B34+Q$3*100*$A34</f>
        <v>12.3539283905648</v>
      </c>
      <c r="R34" s="19" t="n">
        <f aca="false">$B34+R$3*100*$A34</f>
        <v>12.7414283905648</v>
      </c>
      <c r="S34" s="19" t="n">
        <f aca="false">$B34+S$3*100*$A34</f>
        <v>13.1289283905648</v>
      </c>
      <c r="T34" s="19" t="n">
        <f aca="false">$B34+T$3*100*$A34</f>
        <v>13.5164283905648</v>
      </c>
      <c r="U34" s="19" t="n">
        <f aca="false">$B34+U$3*100*$A34</f>
        <v>13.9039283905648</v>
      </c>
      <c r="V34" s="19" t="n">
        <f aca="false">$B34+V$3*100*$A34</f>
        <v>14.2914283905648</v>
      </c>
      <c r="W34" s="19" t="n">
        <f aca="false">$B34+W$3*100*$A34</f>
        <v>14.6789283905648</v>
      </c>
      <c r="X34" s="19" t="n">
        <f aca="false">$B34+X$3*100*$A34</f>
        <v>15.0664283905648</v>
      </c>
      <c r="Y34" s="19" t="n">
        <f aca="false">$B34+Y$3*100*$A34</f>
        <v>15.4539283905648</v>
      </c>
      <c r="Z34" s="19" t="n">
        <f aca="false">$B34+Z$3*100*$A34</f>
        <v>15.8414283905648</v>
      </c>
      <c r="AA34" s="19" t="n">
        <f aca="false">$B34+AA$3*100*$A34</f>
        <v>16.2289283905648</v>
      </c>
      <c r="AB34" s="19" t="n">
        <f aca="false">$B34+AB$3*100*$A34</f>
        <v>16.6164283905648</v>
      </c>
      <c r="AC34" s="19" t="n">
        <f aca="false">$B34+AC$3*100*$A34</f>
        <v>17.0039283905648</v>
      </c>
      <c r="AD34" s="19" t="n">
        <f aca="false">$B34+AD$3*100*$A34</f>
        <v>17.3914283905648</v>
      </c>
      <c r="AE34" s="19" t="n">
        <f aca="false">$B34+AE$3*100*$A34</f>
        <v>17.7789283905648</v>
      </c>
      <c r="AF34" s="19" t="n">
        <f aca="false">$B34+AF$3*100*$A34</f>
        <v>18.1664283905648</v>
      </c>
      <c r="AG34" s="19" t="n">
        <f aca="false">$B34+AG$3*100*$A34</f>
        <v>18.5539283905648</v>
      </c>
      <c r="AH34" s="19" t="n">
        <f aca="false">$B34+AH$3*100*$A34</f>
        <v>18.9414283905648</v>
      </c>
      <c r="AI34" s="19" t="n">
        <f aca="false">$B34+AI$3*100*$A34</f>
        <v>19.3289283905648</v>
      </c>
      <c r="AJ34" s="19" t="n">
        <f aca="false">$B34+AJ$3*100*$A34</f>
        <v>19.7164283905648</v>
      </c>
      <c r="AK34" s="19" t="n">
        <f aca="false">$B34+AK$3*100*$A34</f>
        <v>20.1039283905648</v>
      </c>
      <c r="AL34" s="19" t="n">
        <f aca="false">$B34+AL$3*100*$A34</f>
        <v>20.4914283905648</v>
      </c>
      <c r="AM34" s="19" t="n">
        <f aca="false">$B34+AM$3*100*$A34</f>
        <v>20.8789283905648</v>
      </c>
      <c r="AN34" s="19" t="n">
        <f aca="false">$B34+AN$3*100*$A34</f>
        <v>21.2664283905648</v>
      </c>
      <c r="AO34" s="19" t="n">
        <f aca="false">$B34+AO$3*100*$A34</f>
        <v>21.6539283905648</v>
      </c>
      <c r="AP34" s="19" t="n">
        <f aca="false">$B34+AP$3*100*$A34</f>
        <v>22.0414283905648</v>
      </c>
      <c r="AQ34" s="19" t="n">
        <f aca="false">$B34+AQ$3*100*$A34</f>
        <v>22.4289283905648</v>
      </c>
      <c r="AR34" s="19" t="n">
        <f aca="false">$B34+AR$3*100*$A34</f>
        <v>22.8164283905648</v>
      </c>
      <c r="AS34" s="19" t="n">
        <f aca="false">$B34+AS$3*100*$A34</f>
        <v>23.2039283905648</v>
      </c>
      <c r="AT34" s="19" t="n">
        <f aca="false">$B34+AT$3*100*$A34</f>
        <v>23.5914283905648</v>
      </c>
      <c r="AU34" s="19" t="n">
        <f aca="false">$B34+AU$3*100*$A34</f>
        <v>23.9789283905648</v>
      </c>
      <c r="AV34" s="19" t="n">
        <f aca="false">$B34+AV$3*100*$A34</f>
        <v>24.3664283905648</v>
      </c>
      <c r="AW34" s="19" t="n">
        <f aca="false">$B34+AW$3*100*$A34</f>
        <v>24.7539283905648</v>
      </c>
      <c r="AX34" s="19" t="n">
        <f aca="false">$B34+AX$3*100*$A34</f>
        <v>25.1414283905648</v>
      </c>
      <c r="AY34" s="19" t="n">
        <f aca="false">$B34+AY$3*100*$A34</f>
        <v>25.5289283905648</v>
      </c>
      <c r="AZ34" s="19" t="n">
        <f aca="false">$B34+AZ$3*100*$A34</f>
        <v>25.9164283905648</v>
      </c>
      <c r="BA34" s="19" t="n">
        <f aca="false">$B34+BA$3*100*$A34</f>
        <v>26.3039283905648</v>
      </c>
      <c r="BB34" s="19" t="n">
        <f aca="false">$B34+BB$3*100*$A34</f>
        <v>26.6914283905648</v>
      </c>
      <c r="BC34" s="19" t="n">
        <f aca="false">$B34+BC$3*100*$A34</f>
        <v>27.0789283905648</v>
      </c>
      <c r="BD34" s="19" t="n">
        <f aca="false">$B34+BD$3*100*$A34</f>
        <v>27.4664283905648</v>
      </c>
      <c r="BE34" s="19" t="n">
        <f aca="false">$B34+BE$3*100*$A34</f>
        <v>27.8539283905648</v>
      </c>
      <c r="BF34" s="19" t="n">
        <f aca="false">$B34+BF$3*100*$A34</f>
        <v>28.2414283905648</v>
      </c>
      <c r="BG34" s="19" t="n">
        <f aca="false">$B34+BG$3*100*$A34</f>
        <v>28.6289283905648</v>
      </c>
      <c r="BH34" s="19" t="n">
        <f aca="false">$B34+BH$3*100*$A34</f>
        <v>29.0164283905648</v>
      </c>
      <c r="BI34" s="19" t="n">
        <f aca="false">$B34+BI$3*100*$A34</f>
        <v>29.4039283905648</v>
      </c>
      <c r="BJ34" s="19" t="n">
        <f aca="false">$B34+BJ$3*100*$A34</f>
        <v>29.7914283905648</v>
      </c>
      <c r="BK34" s="19" t="n">
        <f aca="false">$B34+BK$3*100*$A34</f>
        <v>30.1789283905648</v>
      </c>
      <c r="BL34" s="19" t="n">
        <f aca="false">$B34+BL$3*100*$A34</f>
        <v>30.5664283905648</v>
      </c>
      <c r="BM34" s="19" t="n">
        <f aca="false">$B34+BM$3*100*$A34</f>
        <v>30.9539283905648</v>
      </c>
      <c r="BN34" s="19" t="n">
        <f aca="false">$B34+BN$3*100*$A34</f>
        <v>31.3414283905648</v>
      </c>
      <c r="BO34" s="19" t="n">
        <f aca="false">$B34+BO$3*100*$A34</f>
        <v>31.7289283905648</v>
      </c>
      <c r="BP34" s="19" t="n">
        <f aca="false">$B34+BP$3*100*$A34</f>
        <v>32.1164283905648</v>
      </c>
      <c r="BQ34" s="19" t="n">
        <f aca="false">$B34+BQ$3*100*$A34</f>
        <v>32.5039283905648</v>
      </c>
      <c r="BR34" s="19" t="n">
        <f aca="false">$B34+BR$3*100*$A34</f>
        <v>32.8914283905648</v>
      </c>
      <c r="BS34" s="19" t="n">
        <f aca="false">$B34+BS$3*100*$A34</f>
        <v>33.2789283905648</v>
      </c>
      <c r="BT34" s="19" t="n">
        <f aca="false">$B34+BT$3*100*$A34</f>
        <v>33.6664283905648</v>
      </c>
      <c r="BU34" s="19" t="n">
        <f aca="false">$B34+BU$3*100*$A34</f>
        <v>34.0539283905648</v>
      </c>
      <c r="BV34" s="19" t="n">
        <f aca="false">$B34+BV$3*100*$A34</f>
        <v>34.4414283905648</v>
      </c>
      <c r="BW34" s="19" t="n">
        <f aca="false">$B34+BW$3*100*$A34</f>
        <v>34.8289283905648</v>
      </c>
      <c r="BX34" s="19" t="n">
        <f aca="false">$B34+BX$3*100*$A34</f>
        <v>35.2164283905648</v>
      </c>
      <c r="BY34" s="19" t="n">
        <f aca="false">$B34+BY$3*100*$A34</f>
        <v>35.6039283905648</v>
      </c>
      <c r="BZ34" s="19" t="n">
        <f aca="false">$B34+BZ$3*100*$A34</f>
        <v>35.9914283905648</v>
      </c>
      <c r="CA34" s="19" t="n">
        <f aca="false">$B34+CA$3*100*$A34</f>
        <v>36.3789283905648</v>
      </c>
      <c r="CB34" s="19" t="n">
        <f aca="false">$B34+CB$3*100*$A34</f>
        <v>36.7664283905648</v>
      </c>
      <c r="CC34" s="19" t="n">
        <f aca="false">$B34+CC$3*100*$A34</f>
        <v>37.1539283905648</v>
      </c>
      <c r="CD34" s="19" t="n">
        <f aca="false">$B34+CD$3*100*$A34</f>
        <v>37.5414283905648</v>
      </c>
      <c r="CE34" s="19" t="n">
        <f aca="false">$B34+CE$3*100*$A34</f>
        <v>37.9289283905648</v>
      </c>
      <c r="CF34" s="19" t="n">
        <f aca="false">$B34+CF$3*100*$A34</f>
        <v>38.3164283905648</v>
      </c>
      <c r="CG34" s="19" t="n">
        <f aca="false">$B34+CG$3*100*$A34</f>
        <v>38.7039283905648</v>
      </c>
      <c r="CH34" s="19" t="n">
        <f aca="false">$B34+CH$3*100*$A34</f>
        <v>39.0914283905648</v>
      </c>
      <c r="CI34" s="19" t="n">
        <f aca="false">$B34+CI$3*100*$A34</f>
        <v>39.4789283905648</v>
      </c>
      <c r="CJ34" s="19" t="n">
        <f aca="false">$B34+CJ$3*100*$A34</f>
        <v>39.8664283905648</v>
      </c>
      <c r="CK34" s="19" t="n">
        <f aca="false">$B34+CK$3*100*$A34</f>
        <v>40.2539283905648</v>
      </c>
      <c r="CL34" s="19" t="n">
        <f aca="false">$B34+CL$3*100*$A34</f>
        <v>40.6414283905648</v>
      </c>
      <c r="CM34" s="19" t="n">
        <f aca="false">$B34+CM$3*100*$A34</f>
        <v>41.0289283905648</v>
      </c>
      <c r="CN34" s="19" t="n">
        <f aca="false">$B34+CN$3*100*$A34</f>
        <v>41.4164283905648</v>
      </c>
      <c r="CO34" s="19" t="n">
        <f aca="false">$B34+CO$3*100*$A34</f>
        <v>41.8039283905648</v>
      </c>
      <c r="CP34" s="19" t="n">
        <f aca="false">$B34+CP$3*100*$A34</f>
        <v>42.1914283905648</v>
      </c>
      <c r="CQ34" s="19" t="n">
        <f aca="false">$B34+CQ$3*100*$A34</f>
        <v>42.5789283905648</v>
      </c>
      <c r="CR34" s="19" t="n">
        <f aca="false">$B34+CR$3*100*$A34</f>
        <v>42.9664283905648</v>
      </c>
      <c r="CS34" s="19" t="n">
        <f aca="false">$B34+CS$3*100*$A34</f>
        <v>43.3539283905648</v>
      </c>
      <c r="CT34" s="19" t="n">
        <f aca="false">$B34+CT$3*100*$A34</f>
        <v>43.7414283905648</v>
      </c>
      <c r="CU34" s="19" t="n">
        <f aca="false">$B34+CU$3*100*$A34</f>
        <v>44.1289283905648</v>
      </c>
      <c r="CV34" s="19" t="n">
        <f aca="false">$B34+CV$3*100*$A34</f>
        <v>44.5164283905648</v>
      </c>
      <c r="CW34" s="19" t="n">
        <f aca="false">$B34+CW$3*100*$A34</f>
        <v>44.9039283905648</v>
      </c>
      <c r="CX34" s="19" t="n">
        <f aca="false">$B34+CX$3*100*$A34</f>
        <v>45.2914283905648</v>
      </c>
      <c r="CY34" s="19" t="n">
        <f aca="false">$B34+CY$3*100*$A34</f>
        <v>45.6789283905648</v>
      </c>
      <c r="CZ34" s="19" t="n">
        <f aca="false">$B34+CZ$3*100*$A34</f>
        <v>46.0664283905648</v>
      </c>
      <c r="DA34" s="19" t="n">
        <f aca="false">$B34+DA$3*100*$A34</f>
        <v>46.4539283905648</v>
      </c>
      <c r="DB34" s="19" t="n">
        <f aca="false">$B34+DB$3*100*$A34</f>
        <v>46.8414283905648</v>
      </c>
      <c r="DC34" s="19" t="n">
        <f aca="false">$B34+DC$3*100*$A34</f>
        <v>47.2289283905648</v>
      </c>
      <c r="DD34" s="19" t="n">
        <f aca="false">$B34+DD$3*100*$A34</f>
        <v>47.6164283905648</v>
      </c>
      <c r="DE34" s="19" t="n">
        <f aca="false">$B34+DE$3*100*$A34</f>
        <v>48.0039283905648</v>
      </c>
      <c r="DF34" s="19" t="n">
        <f aca="false">$B34+DF$3*100*$A34</f>
        <v>48.3914283905648</v>
      </c>
      <c r="DG34" s="19" t="n">
        <f aca="false">$B34+DG$3*100*$A34</f>
        <v>48.7789283905648</v>
      </c>
      <c r="DH34" s="19" t="n">
        <f aca="false">$B34+DH$3*100*$A34</f>
        <v>49.1664283905648</v>
      </c>
      <c r="DI34" s="19" t="n">
        <f aca="false">$B34+DI$3*100*$A34</f>
        <v>49.5539283905648</v>
      </c>
      <c r="DJ34" s="19" t="n">
        <f aca="false">$B34+DJ$3*100*$A34</f>
        <v>49.9414283905648</v>
      </c>
      <c r="DK34" s="19" t="n">
        <f aca="false">$B34+DK$3*100*$A34</f>
        <v>50.3289283905648</v>
      </c>
      <c r="DL34" s="19" t="n">
        <f aca="false">$B34+DL$3*100*$A34</f>
        <v>50.7164283905648</v>
      </c>
      <c r="DM34" s="19" t="n">
        <f aca="false">$B34+DM$3*100*$A34</f>
        <v>51.1039283905648</v>
      </c>
      <c r="DN34" s="19" t="n">
        <f aca="false">$B34+DN$3*100*$A34</f>
        <v>51.4914283905648</v>
      </c>
      <c r="DO34" s="19" t="n">
        <f aca="false">$B34+DO$3*100*$A34</f>
        <v>51.8789283905648</v>
      </c>
      <c r="DP34" s="19" t="n">
        <f aca="false">$B34+DP$3*100*$A34</f>
        <v>52.2664283905648</v>
      </c>
      <c r="DQ34" s="19" t="n">
        <f aca="false">$B34+DQ$3*100*$A34</f>
        <v>52.6539283905648</v>
      </c>
      <c r="DR34" s="19" t="n">
        <f aca="false">$B34+DR$3*100*$A34</f>
        <v>53.0414283905648</v>
      </c>
      <c r="DS34" s="19" t="n">
        <f aca="false">$B34+DS$3*100*$A34</f>
        <v>53.4289283905648</v>
      </c>
      <c r="DT34" s="19" t="n">
        <f aca="false">$B34+DT$3*100*$A34</f>
        <v>53.8164283905648</v>
      </c>
      <c r="DU34" s="19" t="n">
        <f aca="false">$B34+DU$3*100*$A34</f>
        <v>54.2039283905648</v>
      </c>
      <c r="DV34" s="19" t="n">
        <f aca="false">$B34+DV$3*100*$A34</f>
        <v>54.5914283905648</v>
      </c>
      <c r="DW34" s="19" t="n">
        <f aca="false">$B34+DW$3*100*$A34</f>
        <v>54.9789283905648</v>
      </c>
      <c r="DX34" s="19" t="n">
        <f aca="false">$B34+DX$3*100*$A34</f>
        <v>55.3664283905648</v>
      </c>
      <c r="DY34" s="19" t="n">
        <f aca="false">$B34+DY$3*100*$A34</f>
        <v>55.7539283905648</v>
      </c>
      <c r="DZ34" s="19" t="n">
        <f aca="false">$B34+DZ$3*100*$A34</f>
        <v>56.1414283905648</v>
      </c>
      <c r="EA34" s="19" t="n">
        <f aca="false">$B34+EA$3*100*$A34</f>
        <v>56.5289283905648</v>
      </c>
      <c r="EB34" s="19" t="n">
        <f aca="false">$B34+EB$3*100*$A34</f>
        <v>56.9164283905648</v>
      </c>
      <c r="EC34" s="19" t="n">
        <f aca="false">$B34+EC$3*100*$A34</f>
        <v>57.3039283905648</v>
      </c>
      <c r="ED34" s="19" t="n">
        <f aca="false">$B34+ED$3*100*$A34</f>
        <v>57.6914283905648</v>
      </c>
      <c r="EE34" s="19" t="n">
        <f aca="false">$B34+EE$3*100*$A34</f>
        <v>58.0789283905648</v>
      </c>
      <c r="EF34" s="19" t="n">
        <f aca="false">$B34+EF$3*100*$A34</f>
        <v>58.4664283905648</v>
      </c>
      <c r="EG34" s="19" t="n">
        <f aca="false">$B34+EG$3*100*$A34</f>
        <v>58.8539283905648</v>
      </c>
      <c r="EH34" s="19" t="n">
        <f aca="false">$B34+EH$3*100*$A34</f>
        <v>59.2414283905648</v>
      </c>
      <c r="EI34" s="19" t="n">
        <f aca="false">$B34+EI$3*100*$A34</f>
        <v>59.6289283905648</v>
      </c>
      <c r="EJ34" s="19" t="n">
        <f aca="false">$B34+EJ$3*100*$A34</f>
        <v>60.0164283905648</v>
      </c>
      <c r="EK34" s="19" t="n">
        <f aca="false">$B34+EK$3*100*$A34</f>
        <v>60.4039283905648</v>
      </c>
      <c r="EL34" s="19" t="n">
        <f aca="false">$B34+EL$3*100*$A34</f>
        <v>60.7914283905648</v>
      </c>
      <c r="EM34" s="19" t="n">
        <f aca="false">$B34+EM$3*100*$A34</f>
        <v>61.1789283905648</v>
      </c>
      <c r="EN34" s="19" t="n">
        <f aca="false">$B34+EN$3*100*$A34</f>
        <v>61.5664283905648</v>
      </c>
      <c r="EO34" s="19" t="n">
        <f aca="false">$B34+EO$3*100*$A34</f>
        <v>61.9539283905648</v>
      </c>
      <c r="EP34" s="19" t="n">
        <f aca="false">$B34+EP$3*100*$A34</f>
        <v>62.3414283905648</v>
      </c>
      <c r="EQ34" s="19" t="n">
        <f aca="false">$B34+EQ$3*100*$A34</f>
        <v>62.7289283905648</v>
      </c>
      <c r="ER34" s="19" t="n">
        <f aca="false">$B34+ER$3*100*$A34</f>
        <v>63.1164283905648</v>
      </c>
      <c r="ES34" s="19" t="n">
        <f aca="false">$B34+ES$3*100*$A34</f>
        <v>63.5039283905648</v>
      </c>
      <c r="ET34" s="19" t="n">
        <f aca="false">$B34+ET$3*100*$A34</f>
        <v>63.8914283905648</v>
      </c>
      <c r="EU34" s="19" t="n">
        <f aca="false">$B34+EU$3*100*$A34</f>
        <v>64.2789283905648</v>
      </c>
      <c r="EV34" s="19" t="n">
        <f aca="false">$B34+EV$3*100*$A34</f>
        <v>64.6664283905648</v>
      </c>
      <c r="EW34" s="19" t="n">
        <f aca="false">$B34+EW$3*100*$A34</f>
        <v>65.0539283905648</v>
      </c>
      <c r="EX34" s="19" t="n">
        <f aca="false">$B34+EX$3*100*$A34</f>
        <v>65.4414283905648</v>
      </c>
      <c r="EY34" s="19" t="n">
        <f aca="false">$B34+EY$3*100*$A34</f>
        <v>65.8289283905648</v>
      </c>
      <c r="EZ34" s="19" t="n">
        <f aca="false">$B34+EZ$3*100*$A34</f>
        <v>66.2164283905648</v>
      </c>
      <c r="FA34" s="19" t="n">
        <f aca="false">$B34+FA$3*100*$A34</f>
        <v>66.6039283905648</v>
      </c>
      <c r="FB34" s="19" t="n">
        <f aca="false">$B34+FB$3*100*$A34</f>
        <v>66.9914283905648</v>
      </c>
      <c r="FC34" s="19" t="n">
        <f aca="false">$B34+FC$3*100*$A34</f>
        <v>67.3789283905648</v>
      </c>
      <c r="FD34" s="19" t="n">
        <f aca="false">$B34+FD$3*100*$A34</f>
        <v>67.7664283905648</v>
      </c>
      <c r="FE34" s="19" t="n">
        <f aca="false">$B34+FE$3*100*$A34</f>
        <v>68.1539283905648</v>
      </c>
      <c r="FF34" s="19" t="n">
        <f aca="false">$B34+FF$3*100*$A34</f>
        <v>68.5414283905648</v>
      </c>
      <c r="FG34" s="19" t="n">
        <f aca="false">$B34+FG$3*100*$A34</f>
        <v>68.9289283905648</v>
      </c>
      <c r="FH34" s="19" t="n">
        <f aca="false">$B34+FH$3*100*$A34</f>
        <v>69.3164283905648</v>
      </c>
      <c r="FI34" s="19" t="n">
        <f aca="false">$B34+FI$3*100*$A34</f>
        <v>69.7039283905648</v>
      </c>
      <c r="FJ34" s="19" t="n">
        <f aca="false">$B34+FJ$3*100*$A34</f>
        <v>70.0914283905648</v>
      </c>
      <c r="FK34" s="19" t="n">
        <f aca="false">$B34+FK$3*100*$A34</f>
        <v>70.4789283905648</v>
      </c>
      <c r="FL34" s="19" t="n">
        <f aca="false">$B34+FL$3*100*$A34</f>
        <v>70.8664283905648</v>
      </c>
      <c r="FM34" s="19" t="n">
        <f aca="false">$B34+FM$3*100*$A34</f>
        <v>71.2539283905648</v>
      </c>
      <c r="FN34" s="19" t="n">
        <f aca="false">$B34+FN$3*100*$A34</f>
        <v>71.6414283905648</v>
      </c>
      <c r="FO34" s="19" t="n">
        <f aca="false">$B34+FO$3*100*$A34</f>
        <v>72.0289283905648</v>
      </c>
      <c r="FP34" s="19" t="n">
        <f aca="false">$B34+FP$3*100*$A34</f>
        <v>72.4164283905648</v>
      </c>
      <c r="FQ34" s="19" t="n">
        <f aca="false">$B34+FQ$3*100*$A34</f>
        <v>72.8039283905648</v>
      </c>
      <c r="FR34" s="19" t="n">
        <f aca="false">$B34+FR$3*100*$A34</f>
        <v>73.1914283905648</v>
      </c>
      <c r="FS34" s="19" t="n">
        <f aca="false">$B34+FS$3*100*$A34</f>
        <v>73.5789283905648</v>
      </c>
      <c r="FT34" s="19" t="n">
        <f aca="false">$B34+FT$3*100*$A34</f>
        <v>73.9664283905648</v>
      </c>
      <c r="FU34" s="19" t="n">
        <f aca="false">$B34+FU$3*100*$A34</f>
        <v>74.3539283905648</v>
      </c>
      <c r="FV34" s="19" t="n">
        <f aca="false">$B34+FV$3*100*$A34</f>
        <v>74.7414283905648</v>
      </c>
      <c r="FW34" s="19" t="n">
        <f aca="false">$B34+FW$3*100*$A34</f>
        <v>75.1289283905648</v>
      </c>
      <c r="FX34" s="19" t="n">
        <f aca="false">$B34+FX$3*100*$A34</f>
        <v>75.5164283905648</v>
      </c>
      <c r="FY34" s="19" t="n">
        <f aca="false">$B34+FY$3*100*$A34</f>
        <v>75.9039283905648</v>
      </c>
      <c r="FZ34" s="19" t="n">
        <f aca="false">$B34+FZ$3*100*$A34</f>
        <v>76.2914283905648</v>
      </c>
      <c r="GA34" s="19" t="n">
        <f aca="false">$B34+GA$3*100*$A34</f>
        <v>76.6789283905648</v>
      </c>
      <c r="GB34" s="19" t="n">
        <f aca="false">$B34+GB$3*100*$A34</f>
        <v>77.0664283905648</v>
      </c>
      <c r="GC34" s="19" t="n">
        <f aca="false">$B34+GC$3*100*$A34</f>
        <v>77.4539283905648</v>
      </c>
      <c r="GD34" s="19" t="n">
        <f aca="false">$B34+GD$3*100*$A34</f>
        <v>77.8414283905648</v>
      </c>
      <c r="GE34" s="19" t="n">
        <f aca="false">$B34+GE$3*100*$A34</f>
        <v>78.2289283905648</v>
      </c>
      <c r="GF34" s="19" t="n">
        <f aca="false">$B34+GF$3*100*$A34</f>
        <v>78.6164283905648</v>
      </c>
      <c r="GG34" s="19" t="n">
        <f aca="false">$B34+GG$3*100*$A34</f>
        <v>79.0039283905648</v>
      </c>
      <c r="GH34" s="19" t="n">
        <f aca="false">$B34+GH$3*100*$A34</f>
        <v>79.3914283905648</v>
      </c>
      <c r="GI34" s="19" t="n">
        <f aca="false">$B34+GI$3*100*$A34</f>
        <v>79.7789283905648</v>
      </c>
      <c r="GJ34" s="19" t="n">
        <f aca="false">$B34+GJ$3*100*$A34</f>
        <v>80.1664283905648</v>
      </c>
      <c r="GK34" s="19" t="n">
        <f aca="false">$B34+GK$3*100*$A34</f>
        <v>80.5539283905648</v>
      </c>
      <c r="GL34" s="19" t="n">
        <f aca="false">$B34+GL$3*100*$A34</f>
        <v>80.9414283905648</v>
      </c>
      <c r="GM34" s="19" t="n">
        <f aca="false">$B34+GM$3*100*$A34</f>
        <v>81.3289283905648</v>
      </c>
      <c r="GN34" s="19" t="n">
        <f aca="false">$B34+GN$3*100*$A34</f>
        <v>81.7164283905648</v>
      </c>
      <c r="GO34" s="19" t="n">
        <f aca="false">$B34+GO$3*100*$A34</f>
        <v>82.1039283905648</v>
      </c>
      <c r="GP34" s="19" t="n">
        <f aca="false">$B34+GP$3*100*$A34</f>
        <v>82.4914283905648</v>
      </c>
      <c r="GQ34" s="19" t="n">
        <f aca="false">$B34+GQ$3*100*$A34</f>
        <v>82.8789283905648</v>
      </c>
      <c r="GR34" s="19" t="n">
        <f aca="false">$B34+GR$3*100*$A34</f>
        <v>83.2664283905648</v>
      </c>
      <c r="GS34" s="19" t="n">
        <f aca="false">$B34+GS$3*100*$A34</f>
        <v>83.6539283905648</v>
      </c>
      <c r="GT34" s="19" t="n">
        <f aca="false">$B34+GT$3*100*$A34</f>
        <v>84.0414283905648</v>
      </c>
    </row>
    <row r="35" customFormat="false" ht="15" hidden="false" customHeight="false" outlineLevel="0" collapsed="false">
      <c r="A35" s="26" t="n">
        <f aca="false">Frontier!A33</f>
        <v>0.08</v>
      </c>
      <c r="B35" s="34" t="n">
        <f aca="false">Frontier!B33</f>
        <v>6.25363772267894</v>
      </c>
      <c r="C35" s="19" t="n">
        <f aca="false">$B35+C$3*100*$A35</f>
        <v>6.65363772267894</v>
      </c>
      <c r="D35" s="19" t="n">
        <f aca="false">$B35+D$3*100*$A35</f>
        <v>7.05363772267894</v>
      </c>
      <c r="E35" s="19" t="n">
        <f aca="false">$B35+E$3*100*$A35</f>
        <v>7.45363772267894</v>
      </c>
      <c r="F35" s="19" t="n">
        <f aca="false">$B35+F$3*100*$A35</f>
        <v>7.85363772267894</v>
      </c>
      <c r="G35" s="19" t="n">
        <f aca="false">$B35+G$3*100*$A35</f>
        <v>8.25363772267894</v>
      </c>
      <c r="H35" s="19" t="n">
        <f aca="false">$B35+H$3*100*$A35</f>
        <v>8.65363772267894</v>
      </c>
      <c r="I35" s="19" t="n">
        <f aca="false">$B35+I$3*100*$A35</f>
        <v>9.05363772267894</v>
      </c>
      <c r="J35" s="19" t="n">
        <f aca="false">$B35+J$3*100*$A35</f>
        <v>9.45363772267894</v>
      </c>
      <c r="K35" s="19" t="n">
        <f aca="false">$B35+K$3*100*$A35</f>
        <v>9.85363772267894</v>
      </c>
      <c r="L35" s="19" t="n">
        <f aca="false">$B35+L$3*100*$A35</f>
        <v>10.2536377226789</v>
      </c>
      <c r="M35" s="19" t="n">
        <f aca="false">$B35+M$3*100*$A35</f>
        <v>10.6536377226789</v>
      </c>
      <c r="N35" s="19" t="n">
        <f aca="false">$B35+N$3*100*$A35</f>
        <v>11.0536377226789</v>
      </c>
      <c r="O35" s="19" t="n">
        <f aca="false">$B35+O$3*100*$A35</f>
        <v>11.4536377226789</v>
      </c>
      <c r="P35" s="19" t="n">
        <f aca="false">$B35+P$3*100*$A35</f>
        <v>11.8536377226789</v>
      </c>
      <c r="Q35" s="19" t="n">
        <f aca="false">$B35+Q$3*100*$A35</f>
        <v>12.2536377226789</v>
      </c>
      <c r="R35" s="19" t="n">
        <f aca="false">$B35+R$3*100*$A35</f>
        <v>12.6536377226789</v>
      </c>
      <c r="S35" s="19" t="n">
        <f aca="false">$B35+S$3*100*$A35</f>
        <v>13.0536377226789</v>
      </c>
      <c r="T35" s="19" t="n">
        <f aca="false">$B35+T$3*100*$A35</f>
        <v>13.4536377226789</v>
      </c>
      <c r="U35" s="19" t="n">
        <f aca="false">$B35+U$3*100*$A35</f>
        <v>13.8536377226789</v>
      </c>
      <c r="V35" s="19" t="n">
        <f aca="false">$B35+V$3*100*$A35</f>
        <v>14.2536377226789</v>
      </c>
      <c r="W35" s="19" t="n">
        <f aca="false">$B35+W$3*100*$A35</f>
        <v>14.6536377226789</v>
      </c>
      <c r="X35" s="19" t="n">
        <f aca="false">$B35+X$3*100*$A35</f>
        <v>15.0536377226789</v>
      </c>
      <c r="Y35" s="19" t="n">
        <f aca="false">$B35+Y$3*100*$A35</f>
        <v>15.4536377226789</v>
      </c>
      <c r="Z35" s="19" t="n">
        <f aca="false">$B35+Z$3*100*$A35</f>
        <v>15.8536377226789</v>
      </c>
      <c r="AA35" s="19" t="n">
        <f aca="false">$B35+AA$3*100*$A35</f>
        <v>16.2536377226789</v>
      </c>
      <c r="AB35" s="19" t="n">
        <f aca="false">$B35+AB$3*100*$A35</f>
        <v>16.6536377226789</v>
      </c>
      <c r="AC35" s="19" t="n">
        <f aca="false">$B35+AC$3*100*$A35</f>
        <v>17.0536377226789</v>
      </c>
      <c r="AD35" s="19" t="n">
        <f aca="false">$B35+AD$3*100*$A35</f>
        <v>17.4536377226789</v>
      </c>
      <c r="AE35" s="19" t="n">
        <f aca="false">$B35+AE$3*100*$A35</f>
        <v>17.8536377226789</v>
      </c>
      <c r="AF35" s="19" t="n">
        <f aca="false">$B35+AF$3*100*$A35</f>
        <v>18.2536377226789</v>
      </c>
      <c r="AG35" s="19" t="n">
        <f aca="false">$B35+AG$3*100*$A35</f>
        <v>18.6536377226789</v>
      </c>
      <c r="AH35" s="19" t="n">
        <f aca="false">$B35+AH$3*100*$A35</f>
        <v>19.0536377226789</v>
      </c>
      <c r="AI35" s="19" t="n">
        <f aca="false">$B35+AI$3*100*$A35</f>
        <v>19.4536377226789</v>
      </c>
      <c r="AJ35" s="19" t="n">
        <f aca="false">$B35+AJ$3*100*$A35</f>
        <v>19.8536377226789</v>
      </c>
      <c r="AK35" s="19" t="n">
        <f aca="false">$B35+AK$3*100*$A35</f>
        <v>20.2536377226789</v>
      </c>
      <c r="AL35" s="19" t="n">
        <f aca="false">$B35+AL$3*100*$A35</f>
        <v>20.6536377226789</v>
      </c>
      <c r="AM35" s="19" t="n">
        <f aca="false">$B35+AM$3*100*$A35</f>
        <v>21.0536377226789</v>
      </c>
      <c r="AN35" s="19" t="n">
        <f aca="false">$B35+AN$3*100*$A35</f>
        <v>21.4536377226789</v>
      </c>
      <c r="AO35" s="19" t="n">
        <f aca="false">$B35+AO$3*100*$A35</f>
        <v>21.8536377226789</v>
      </c>
      <c r="AP35" s="19" t="n">
        <f aca="false">$B35+AP$3*100*$A35</f>
        <v>22.2536377226789</v>
      </c>
      <c r="AQ35" s="19" t="n">
        <f aca="false">$B35+AQ$3*100*$A35</f>
        <v>22.6536377226789</v>
      </c>
      <c r="AR35" s="19" t="n">
        <f aca="false">$B35+AR$3*100*$A35</f>
        <v>23.0536377226789</v>
      </c>
      <c r="AS35" s="19" t="n">
        <f aca="false">$B35+AS$3*100*$A35</f>
        <v>23.4536377226789</v>
      </c>
      <c r="AT35" s="19" t="n">
        <f aca="false">$B35+AT$3*100*$A35</f>
        <v>23.8536377226789</v>
      </c>
      <c r="AU35" s="19" t="n">
        <f aca="false">$B35+AU$3*100*$A35</f>
        <v>24.2536377226789</v>
      </c>
      <c r="AV35" s="19" t="n">
        <f aca="false">$B35+AV$3*100*$A35</f>
        <v>24.6536377226789</v>
      </c>
      <c r="AW35" s="19" t="n">
        <f aca="false">$B35+AW$3*100*$A35</f>
        <v>25.0536377226789</v>
      </c>
      <c r="AX35" s="19" t="n">
        <f aca="false">$B35+AX$3*100*$A35</f>
        <v>25.4536377226789</v>
      </c>
      <c r="AY35" s="19" t="n">
        <f aca="false">$B35+AY$3*100*$A35</f>
        <v>25.8536377226789</v>
      </c>
      <c r="AZ35" s="19" t="n">
        <f aca="false">$B35+AZ$3*100*$A35</f>
        <v>26.2536377226789</v>
      </c>
      <c r="BA35" s="19" t="n">
        <f aca="false">$B35+BA$3*100*$A35</f>
        <v>26.6536377226789</v>
      </c>
      <c r="BB35" s="19" t="n">
        <f aca="false">$B35+BB$3*100*$A35</f>
        <v>27.0536377226789</v>
      </c>
      <c r="BC35" s="19" t="n">
        <f aca="false">$B35+BC$3*100*$A35</f>
        <v>27.4536377226789</v>
      </c>
      <c r="BD35" s="19" t="n">
        <f aca="false">$B35+BD$3*100*$A35</f>
        <v>27.8536377226789</v>
      </c>
      <c r="BE35" s="19" t="n">
        <f aca="false">$B35+BE$3*100*$A35</f>
        <v>28.2536377226789</v>
      </c>
      <c r="BF35" s="19" t="n">
        <f aca="false">$B35+BF$3*100*$A35</f>
        <v>28.6536377226789</v>
      </c>
      <c r="BG35" s="19" t="n">
        <f aca="false">$B35+BG$3*100*$A35</f>
        <v>29.0536377226789</v>
      </c>
      <c r="BH35" s="19" t="n">
        <f aca="false">$B35+BH$3*100*$A35</f>
        <v>29.4536377226789</v>
      </c>
      <c r="BI35" s="19" t="n">
        <f aca="false">$B35+BI$3*100*$A35</f>
        <v>29.8536377226789</v>
      </c>
      <c r="BJ35" s="19" t="n">
        <f aca="false">$B35+BJ$3*100*$A35</f>
        <v>30.2536377226789</v>
      </c>
      <c r="BK35" s="19" t="n">
        <f aca="false">$B35+BK$3*100*$A35</f>
        <v>30.6536377226789</v>
      </c>
      <c r="BL35" s="19" t="n">
        <f aca="false">$B35+BL$3*100*$A35</f>
        <v>31.0536377226789</v>
      </c>
      <c r="BM35" s="19" t="n">
        <f aca="false">$B35+BM$3*100*$A35</f>
        <v>31.4536377226789</v>
      </c>
      <c r="BN35" s="19" t="n">
        <f aca="false">$B35+BN$3*100*$A35</f>
        <v>31.8536377226789</v>
      </c>
      <c r="BO35" s="19" t="n">
        <f aca="false">$B35+BO$3*100*$A35</f>
        <v>32.2536377226789</v>
      </c>
      <c r="BP35" s="19" t="n">
        <f aca="false">$B35+BP$3*100*$A35</f>
        <v>32.6536377226789</v>
      </c>
      <c r="BQ35" s="19" t="n">
        <f aca="false">$B35+BQ$3*100*$A35</f>
        <v>33.0536377226789</v>
      </c>
      <c r="BR35" s="19" t="n">
        <f aca="false">$B35+BR$3*100*$A35</f>
        <v>33.4536377226789</v>
      </c>
      <c r="BS35" s="19" t="n">
        <f aca="false">$B35+BS$3*100*$A35</f>
        <v>33.8536377226789</v>
      </c>
      <c r="BT35" s="19" t="n">
        <f aca="false">$B35+BT$3*100*$A35</f>
        <v>34.2536377226789</v>
      </c>
      <c r="BU35" s="19" t="n">
        <f aca="false">$B35+BU$3*100*$A35</f>
        <v>34.6536377226789</v>
      </c>
      <c r="BV35" s="19" t="n">
        <f aca="false">$B35+BV$3*100*$A35</f>
        <v>35.0536377226789</v>
      </c>
      <c r="BW35" s="19" t="n">
        <f aca="false">$B35+BW$3*100*$A35</f>
        <v>35.4536377226789</v>
      </c>
      <c r="BX35" s="19" t="n">
        <f aca="false">$B35+BX$3*100*$A35</f>
        <v>35.8536377226789</v>
      </c>
      <c r="BY35" s="19" t="n">
        <f aca="false">$B35+BY$3*100*$A35</f>
        <v>36.2536377226789</v>
      </c>
      <c r="BZ35" s="19" t="n">
        <f aca="false">$B35+BZ$3*100*$A35</f>
        <v>36.6536377226789</v>
      </c>
      <c r="CA35" s="19" t="n">
        <f aca="false">$B35+CA$3*100*$A35</f>
        <v>37.0536377226789</v>
      </c>
      <c r="CB35" s="19" t="n">
        <f aca="false">$B35+CB$3*100*$A35</f>
        <v>37.4536377226789</v>
      </c>
      <c r="CC35" s="19" t="n">
        <f aca="false">$B35+CC$3*100*$A35</f>
        <v>37.8536377226789</v>
      </c>
      <c r="CD35" s="19" t="n">
        <f aca="false">$B35+CD$3*100*$A35</f>
        <v>38.2536377226789</v>
      </c>
      <c r="CE35" s="19" t="n">
        <f aca="false">$B35+CE$3*100*$A35</f>
        <v>38.6536377226789</v>
      </c>
      <c r="CF35" s="19" t="n">
        <f aca="false">$B35+CF$3*100*$A35</f>
        <v>39.0536377226789</v>
      </c>
      <c r="CG35" s="19" t="n">
        <f aca="false">$B35+CG$3*100*$A35</f>
        <v>39.4536377226789</v>
      </c>
      <c r="CH35" s="19" t="n">
        <f aca="false">$B35+CH$3*100*$A35</f>
        <v>39.8536377226789</v>
      </c>
      <c r="CI35" s="19" t="n">
        <f aca="false">$B35+CI$3*100*$A35</f>
        <v>40.2536377226789</v>
      </c>
      <c r="CJ35" s="19" t="n">
        <f aca="false">$B35+CJ$3*100*$A35</f>
        <v>40.6536377226789</v>
      </c>
      <c r="CK35" s="19" t="n">
        <f aca="false">$B35+CK$3*100*$A35</f>
        <v>41.0536377226789</v>
      </c>
      <c r="CL35" s="19" t="n">
        <f aca="false">$B35+CL$3*100*$A35</f>
        <v>41.4536377226789</v>
      </c>
      <c r="CM35" s="19" t="n">
        <f aca="false">$B35+CM$3*100*$A35</f>
        <v>41.8536377226789</v>
      </c>
      <c r="CN35" s="19" t="n">
        <f aca="false">$B35+CN$3*100*$A35</f>
        <v>42.2536377226789</v>
      </c>
      <c r="CO35" s="19" t="n">
        <f aca="false">$B35+CO$3*100*$A35</f>
        <v>42.6536377226789</v>
      </c>
      <c r="CP35" s="19" t="n">
        <f aca="false">$B35+CP$3*100*$A35</f>
        <v>43.0536377226789</v>
      </c>
      <c r="CQ35" s="19" t="n">
        <f aca="false">$B35+CQ$3*100*$A35</f>
        <v>43.4536377226789</v>
      </c>
      <c r="CR35" s="19" t="n">
        <f aca="false">$B35+CR$3*100*$A35</f>
        <v>43.8536377226789</v>
      </c>
      <c r="CS35" s="19" t="n">
        <f aca="false">$B35+CS$3*100*$A35</f>
        <v>44.2536377226789</v>
      </c>
      <c r="CT35" s="19" t="n">
        <f aca="false">$B35+CT$3*100*$A35</f>
        <v>44.6536377226789</v>
      </c>
      <c r="CU35" s="19" t="n">
        <f aca="false">$B35+CU$3*100*$A35</f>
        <v>45.0536377226789</v>
      </c>
      <c r="CV35" s="19" t="n">
        <f aca="false">$B35+CV$3*100*$A35</f>
        <v>45.4536377226789</v>
      </c>
      <c r="CW35" s="19" t="n">
        <f aca="false">$B35+CW$3*100*$A35</f>
        <v>45.8536377226789</v>
      </c>
      <c r="CX35" s="19" t="n">
        <f aca="false">$B35+CX$3*100*$A35</f>
        <v>46.2536377226789</v>
      </c>
      <c r="CY35" s="19" t="n">
        <f aca="false">$B35+CY$3*100*$A35</f>
        <v>46.6536377226789</v>
      </c>
      <c r="CZ35" s="19" t="n">
        <f aca="false">$B35+CZ$3*100*$A35</f>
        <v>47.0536377226789</v>
      </c>
      <c r="DA35" s="19" t="n">
        <f aca="false">$B35+DA$3*100*$A35</f>
        <v>47.4536377226789</v>
      </c>
      <c r="DB35" s="19" t="n">
        <f aca="false">$B35+DB$3*100*$A35</f>
        <v>47.8536377226789</v>
      </c>
      <c r="DC35" s="19" t="n">
        <f aca="false">$B35+DC$3*100*$A35</f>
        <v>48.2536377226789</v>
      </c>
      <c r="DD35" s="19" t="n">
        <f aca="false">$B35+DD$3*100*$A35</f>
        <v>48.6536377226789</v>
      </c>
      <c r="DE35" s="19" t="n">
        <f aca="false">$B35+DE$3*100*$A35</f>
        <v>49.0536377226789</v>
      </c>
      <c r="DF35" s="19" t="n">
        <f aca="false">$B35+DF$3*100*$A35</f>
        <v>49.4536377226789</v>
      </c>
      <c r="DG35" s="19" t="n">
        <f aca="false">$B35+DG$3*100*$A35</f>
        <v>49.8536377226789</v>
      </c>
      <c r="DH35" s="19" t="n">
        <f aca="false">$B35+DH$3*100*$A35</f>
        <v>50.2536377226789</v>
      </c>
      <c r="DI35" s="19" t="n">
        <f aca="false">$B35+DI$3*100*$A35</f>
        <v>50.6536377226789</v>
      </c>
      <c r="DJ35" s="19" t="n">
        <f aca="false">$B35+DJ$3*100*$A35</f>
        <v>51.0536377226789</v>
      </c>
      <c r="DK35" s="19" t="n">
        <f aca="false">$B35+DK$3*100*$A35</f>
        <v>51.4536377226789</v>
      </c>
      <c r="DL35" s="19" t="n">
        <f aca="false">$B35+DL$3*100*$A35</f>
        <v>51.8536377226789</v>
      </c>
      <c r="DM35" s="19" t="n">
        <f aca="false">$B35+DM$3*100*$A35</f>
        <v>52.2536377226789</v>
      </c>
      <c r="DN35" s="19" t="n">
        <f aca="false">$B35+DN$3*100*$A35</f>
        <v>52.6536377226789</v>
      </c>
      <c r="DO35" s="19" t="n">
        <f aca="false">$B35+DO$3*100*$A35</f>
        <v>53.0536377226789</v>
      </c>
      <c r="DP35" s="19" t="n">
        <f aca="false">$B35+DP$3*100*$A35</f>
        <v>53.4536377226789</v>
      </c>
      <c r="DQ35" s="19" t="n">
        <f aca="false">$B35+DQ$3*100*$A35</f>
        <v>53.8536377226789</v>
      </c>
      <c r="DR35" s="19" t="n">
        <f aca="false">$B35+DR$3*100*$A35</f>
        <v>54.2536377226789</v>
      </c>
      <c r="DS35" s="19" t="n">
        <f aca="false">$B35+DS$3*100*$A35</f>
        <v>54.6536377226789</v>
      </c>
      <c r="DT35" s="19" t="n">
        <f aca="false">$B35+DT$3*100*$A35</f>
        <v>55.0536377226789</v>
      </c>
      <c r="DU35" s="19" t="n">
        <f aca="false">$B35+DU$3*100*$A35</f>
        <v>55.4536377226789</v>
      </c>
      <c r="DV35" s="19" t="n">
        <f aca="false">$B35+DV$3*100*$A35</f>
        <v>55.8536377226789</v>
      </c>
      <c r="DW35" s="19" t="n">
        <f aca="false">$B35+DW$3*100*$A35</f>
        <v>56.2536377226789</v>
      </c>
      <c r="DX35" s="19" t="n">
        <f aca="false">$B35+DX$3*100*$A35</f>
        <v>56.6536377226789</v>
      </c>
      <c r="DY35" s="19" t="n">
        <f aca="false">$B35+DY$3*100*$A35</f>
        <v>57.0536377226789</v>
      </c>
      <c r="DZ35" s="19" t="n">
        <f aca="false">$B35+DZ$3*100*$A35</f>
        <v>57.4536377226789</v>
      </c>
      <c r="EA35" s="19" t="n">
        <f aca="false">$B35+EA$3*100*$A35</f>
        <v>57.8536377226789</v>
      </c>
      <c r="EB35" s="19" t="n">
        <f aca="false">$B35+EB$3*100*$A35</f>
        <v>58.2536377226789</v>
      </c>
      <c r="EC35" s="19" t="n">
        <f aca="false">$B35+EC$3*100*$A35</f>
        <v>58.6536377226789</v>
      </c>
      <c r="ED35" s="19" t="n">
        <f aca="false">$B35+ED$3*100*$A35</f>
        <v>59.0536377226789</v>
      </c>
      <c r="EE35" s="19" t="n">
        <f aca="false">$B35+EE$3*100*$A35</f>
        <v>59.4536377226789</v>
      </c>
      <c r="EF35" s="19" t="n">
        <f aca="false">$B35+EF$3*100*$A35</f>
        <v>59.8536377226789</v>
      </c>
      <c r="EG35" s="19" t="n">
        <f aca="false">$B35+EG$3*100*$A35</f>
        <v>60.2536377226789</v>
      </c>
      <c r="EH35" s="19" t="n">
        <f aca="false">$B35+EH$3*100*$A35</f>
        <v>60.6536377226789</v>
      </c>
      <c r="EI35" s="19" t="n">
        <f aca="false">$B35+EI$3*100*$A35</f>
        <v>61.0536377226789</v>
      </c>
      <c r="EJ35" s="19" t="n">
        <f aca="false">$B35+EJ$3*100*$A35</f>
        <v>61.4536377226789</v>
      </c>
      <c r="EK35" s="19" t="n">
        <f aca="false">$B35+EK$3*100*$A35</f>
        <v>61.8536377226789</v>
      </c>
      <c r="EL35" s="19" t="n">
        <f aca="false">$B35+EL$3*100*$A35</f>
        <v>62.2536377226789</v>
      </c>
      <c r="EM35" s="19" t="n">
        <f aca="false">$B35+EM$3*100*$A35</f>
        <v>62.6536377226789</v>
      </c>
      <c r="EN35" s="19" t="n">
        <f aca="false">$B35+EN$3*100*$A35</f>
        <v>63.0536377226789</v>
      </c>
      <c r="EO35" s="19" t="n">
        <f aca="false">$B35+EO$3*100*$A35</f>
        <v>63.4536377226789</v>
      </c>
      <c r="EP35" s="19" t="n">
        <f aca="false">$B35+EP$3*100*$A35</f>
        <v>63.8536377226789</v>
      </c>
      <c r="EQ35" s="19" t="n">
        <f aca="false">$B35+EQ$3*100*$A35</f>
        <v>64.253637722679</v>
      </c>
      <c r="ER35" s="19" t="n">
        <f aca="false">$B35+ER$3*100*$A35</f>
        <v>64.6536377226789</v>
      </c>
      <c r="ES35" s="19" t="n">
        <f aca="false">$B35+ES$3*100*$A35</f>
        <v>65.0536377226789</v>
      </c>
      <c r="ET35" s="19" t="n">
        <f aca="false">$B35+ET$3*100*$A35</f>
        <v>65.453637722679</v>
      </c>
      <c r="EU35" s="19" t="n">
        <f aca="false">$B35+EU$3*100*$A35</f>
        <v>65.8536377226789</v>
      </c>
      <c r="EV35" s="19" t="n">
        <f aca="false">$B35+EV$3*100*$A35</f>
        <v>66.253637722679</v>
      </c>
      <c r="EW35" s="19" t="n">
        <f aca="false">$B35+EW$3*100*$A35</f>
        <v>66.6536377226789</v>
      </c>
      <c r="EX35" s="19" t="n">
        <f aca="false">$B35+EX$3*100*$A35</f>
        <v>67.0536377226789</v>
      </c>
      <c r="EY35" s="19" t="n">
        <f aca="false">$B35+EY$3*100*$A35</f>
        <v>67.453637722679</v>
      </c>
      <c r="EZ35" s="19" t="n">
        <f aca="false">$B35+EZ$3*100*$A35</f>
        <v>67.8536377226789</v>
      </c>
      <c r="FA35" s="19" t="n">
        <f aca="false">$B35+FA$3*100*$A35</f>
        <v>68.253637722679</v>
      </c>
      <c r="FB35" s="19" t="n">
        <f aca="false">$B35+FB$3*100*$A35</f>
        <v>68.6536377226789</v>
      </c>
      <c r="FC35" s="19" t="n">
        <f aca="false">$B35+FC$3*100*$A35</f>
        <v>69.0536377226789</v>
      </c>
      <c r="FD35" s="19" t="n">
        <f aca="false">$B35+FD$3*100*$A35</f>
        <v>69.453637722679</v>
      </c>
      <c r="FE35" s="19" t="n">
        <f aca="false">$B35+FE$3*100*$A35</f>
        <v>69.8536377226789</v>
      </c>
      <c r="FF35" s="19" t="n">
        <f aca="false">$B35+FF$3*100*$A35</f>
        <v>70.253637722679</v>
      </c>
      <c r="FG35" s="19" t="n">
        <f aca="false">$B35+FG$3*100*$A35</f>
        <v>70.653637722679</v>
      </c>
      <c r="FH35" s="19" t="n">
        <f aca="false">$B35+FH$3*100*$A35</f>
        <v>71.0536377226789</v>
      </c>
      <c r="FI35" s="19" t="n">
        <f aca="false">$B35+FI$3*100*$A35</f>
        <v>71.453637722679</v>
      </c>
      <c r="FJ35" s="19" t="n">
        <f aca="false">$B35+FJ$3*100*$A35</f>
        <v>71.8536377226789</v>
      </c>
      <c r="FK35" s="19" t="n">
        <f aca="false">$B35+FK$3*100*$A35</f>
        <v>72.253637722679</v>
      </c>
      <c r="FL35" s="19" t="n">
        <f aca="false">$B35+FL$3*100*$A35</f>
        <v>72.653637722679</v>
      </c>
      <c r="FM35" s="19" t="n">
        <f aca="false">$B35+FM$3*100*$A35</f>
        <v>73.0536377226789</v>
      </c>
      <c r="FN35" s="19" t="n">
        <f aca="false">$B35+FN$3*100*$A35</f>
        <v>73.453637722679</v>
      </c>
      <c r="FO35" s="19" t="n">
        <f aca="false">$B35+FO$3*100*$A35</f>
        <v>73.8536377226789</v>
      </c>
      <c r="FP35" s="19" t="n">
        <f aca="false">$B35+FP$3*100*$A35</f>
        <v>74.253637722679</v>
      </c>
      <c r="FQ35" s="19" t="n">
        <f aca="false">$B35+FQ$3*100*$A35</f>
        <v>74.653637722679</v>
      </c>
      <c r="FR35" s="19" t="n">
        <f aca="false">$B35+FR$3*100*$A35</f>
        <v>75.0536377226789</v>
      </c>
      <c r="FS35" s="19" t="n">
        <f aca="false">$B35+FS$3*100*$A35</f>
        <v>75.453637722679</v>
      </c>
      <c r="FT35" s="19" t="n">
        <f aca="false">$B35+FT$3*100*$A35</f>
        <v>75.8536377226789</v>
      </c>
      <c r="FU35" s="19" t="n">
        <f aca="false">$B35+FU$3*100*$A35</f>
        <v>76.253637722679</v>
      </c>
      <c r="FV35" s="19" t="n">
        <f aca="false">$B35+FV$3*100*$A35</f>
        <v>76.653637722679</v>
      </c>
      <c r="FW35" s="19" t="n">
        <f aca="false">$B35+FW$3*100*$A35</f>
        <v>77.0536377226789</v>
      </c>
      <c r="FX35" s="19" t="n">
        <f aca="false">$B35+FX$3*100*$A35</f>
        <v>77.453637722679</v>
      </c>
      <c r="FY35" s="19" t="n">
        <f aca="false">$B35+FY$3*100*$A35</f>
        <v>77.8536377226789</v>
      </c>
      <c r="FZ35" s="19" t="n">
        <f aca="false">$B35+FZ$3*100*$A35</f>
        <v>78.253637722679</v>
      </c>
      <c r="GA35" s="19" t="n">
        <f aca="false">$B35+GA$3*100*$A35</f>
        <v>78.653637722679</v>
      </c>
      <c r="GB35" s="19" t="n">
        <f aca="false">$B35+GB$3*100*$A35</f>
        <v>79.0536377226789</v>
      </c>
      <c r="GC35" s="19" t="n">
        <f aca="false">$B35+GC$3*100*$A35</f>
        <v>79.453637722679</v>
      </c>
      <c r="GD35" s="19" t="n">
        <f aca="false">$B35+GD$3*100*$A35</f>
        <v>79.8536377226789</v>
      </c>
      <c r="GE35" s="19" t="n">
        <f aca="false">$B35+GE$3*100*$A35</f>
        <v>80.253637722679</v>
      </c>
      <c r="GF35" s="19" t="n">
        <f aca="false">$B35+GF$3*100*$A35</f>
        <v>80.653637722679</v>
      </c>
      <c r="GG35" s="19" t="n">
        <f aca="false">$B35+GG$3*100*$A35</f>
        <v>81.0536377226789</v>
      </c>
      <c r="GH35" s="19" t="n">
        <f aca="false">$B35+GH$3*100*$A35</f>
        <v>81.453637722679</v>
      </c>
      <c r="GI35" s="19" t="n">
        <f aca="false">$B35+GI$3*100*$A35</f>
        <v>81.8536377226789</v>
      </c>
      <c r="GJ35" s="19" t="n">
        <f aca="false">$B35+GJ$3*100*$A35</f>
        <v>82.253637722679</v>
      </c>
      <c r="GK35" s="19" t="n">
        <f aca="false">$B35+GK$3*100*$A35</f>
        <v>82.653637722679</v>
      </c>
      <c r="GL35" s="19" t="n">
        <f aca="false">$B35+GL$3*100*$A35</f>
        <v>83.0536377226789</v>
      </c>
      <c r="GM35" s="19" t="n">
        <f aca="false">$B35+GM$3*100*$A35</f>
        <v>83.453637722679</v>
      </c>
      <c r="GN35" s="19" t="n">
        <f aca="false">$B35+GN$3*100*$A35</f>
        <v>83.8536377226789</v>
      </c>
      <c r="GO35" s="19" t="n">
        <f aca="false">$B35+GO$3*100*$A35</f>
        <v>84.253637722679</v>
      </c>
      <c r="GP35" s="19" t="n">
        <f aca="false">$B35+GP$3*100*$A35</f>
        <v>84.653637722679</v>
      </c>
      <c r="GQ35" s="19" t="n">
        <f aca="false">$B35+GQ$3*100*$A35</f>
        <v>85.0536377226789</v>
      </c>
      <c r="GR35" s="19" t="n">
        <f aca="false">$B35+GR$3*100*$A35</f>
        <v>85.453637722679</v>
      </c>
      <c r="GS35" s="19" t="n">
        <f aca="false">$B35+GS$3*100*$A35</f>
        <v>85.8536377226789</v>
      </c>
      <c r="GT35" s="19" t="n">
        <f aca="false">$B35+GT$3*100*$A35</f>
        <v>86.253637722679</v>
      </c>
    </row>
    <row r="36" customFormat="false" ht="15" hidden="false" customHeight="false" outlineLevel="0" collapsed="false">
      <c r="A36" s="26" t="n">
        <f aca="false">Frontier!A34</f>
        <v>0.0825</v>
      </c>
      <c r="B36" s="34" t="n">
        <f aca="false">Frontier!B34</f>
        <v>5.94485238530598</v>
      </c>
      <c r="C36" s="19" t="n">
        <f aca="false">$B36+C$3*100*$A36</f>
        <v>6.35735238530598</v>
      </c>
      <c r="D36" s="19" t="n">
        <f aca="false">$B36+D$3*100*$A36</f>
        <v>6.76985238530598</v>
      </c>
      <c r="E36" s="19" t="n">
        <f aca="false">$B36+E$3*100*$A36</f>
        <v>7.18235238530598</v>
      </c>
      <c r="F36" s="19" t="n">
        <f aca="false">$B36+F$3*100*$A36</f>
        <v>7.59485238530598</v>
      </c>
      <c r="G36" s="19" t="n">
        <f aca="false">$B36+G$3*100*$A36</f>
        <v>8.00735238530598</v>
      </c>
      <c r="H36" s="19" t="n">
        <f aca="false">$B36+H$3*100*$A36</f>
        <v>8.41985238530598</v>
      </c>
      <c r="I36" s="19" t="n">
        <f aca="false">$B36+I$3*100*$A36</f>
        <v>8.83235238530598</v>
      </c>
      <c r="J36" s="19" t="n">
        <f aca="false">$B36+J$3*100*$A36</f>
        <v>9.24485238530598</v>
      </c>
      <c r="K36" s="19" t="n">
        <f aca="false">$B36+K$3*100*$A36</f>
        <v>9.65735238530598</v>
      </c>
      <c r="L36" s="19" t="n">
        <f aca="false">$B36+L$3*100*$A36</f>
        <v>10.069852385306</v>
      </c>
      <c r="M36" s="19" t="n">
        <f aca="false">$B36+M$3*100*$A36</f>
        <v>10.482352385306</v>
      </c>
      <c r="N36" s="19" t="n">
        <f aca="false">$B36+N$3*100*$A36</f>
        <v>10.894852385306</v>
      </c>
      <c r="O36" s="19" t="n">
        <f aca="false">$B36+O$3*100*$A36</f>
        <v>11.307352385306</v>
      </c>
      <c r="P36" s="19" t="n">
        <f aca="false">$B36+P$3*100*$A36</f>
        <v>11.719852385306</v>
      </c>
      <c r="Q36" s="19" t="n">
        <f aca="false">$B36+Q$3*100*$A36</f>
        <v>12.132352385306</v>
      </c>
      <c r="R36" s="19" t="n">
        <f aca="false">$B36+R$3*100*$A36</f>
        <v>12.544852385306</v>
      </c>
      <c r="S36" s="19" t="n">
        <f aca="false">$B36+S$3*100*$A36</f>
        <v>12.957352385306</v>
      </c>
      <c r="T36" s="19" t="n">
        <f aca="false">$B36+T$3*100*$A36</f>
        <v>13.369852385306</v>
      </c>
      <c r="U36" s="19" t="n">
        <f aca="false">$B36+U$3*100*$A36</f>
        <v>13.782352385306</v>
      </c>
      <c r="V36" s="19" t="n">
        <f aca="false">$B36+V$3*100*$A36</f>
        <v>14.194852385306</v>
      </c>
      <c r="W36" s="19" t="n">
        <f aca="false">$B36+W$3*100*$A36</f>
        <v>14.607352385306</v>
      </c>
      <c r="X36" s="19" t="n">
        <f aca="false">$B36+X$3*100*$A36</f>
        <v>15.019852385306</v>
      </c>
      <c r="Y36" s="19" t="n">
        <f aca="false">$B36+Y$3*100*$A36</f>
        <v>15.432352385306</v>
      </c>
      <c r="Z36" s="19" t="n">
        <f aca="false">$B36+Z$3*100*$A36</f>
        <v>15.844852385306</v>
      </c>
      <c r="AA36" s="19" t="n">
        <f aca="false">$B36+AA$3*100*$A36</f>
        <v>16.257352385306</v>
      </c>
      <c r="AB36" s="19" t="n">
        <f aca="false">$B36+AB$3*100*$A36</f>
        <v>16.669852385306</v>
      </c>
      <c r="AC36" s="19" t="n">
        <f aca="false">$B36+AC$3*100*$A36</f>
        <v>17.082352385306</v>
      </c>
      <c r="AD36" s="19" t="n">
        <f aca="false">$B36+AD$3*100*$A36</f>
        <v>17.494852385306</v>
      </c>
      <c r="AE36" s="19" t="n">
        <f aca="false">$B36+AE$3*100*$A36</f>
        <v>17.907352385306</v>
      </c>
      <c r="AF36" s="19" t="n">
        <f aca="false">$B36+AF$3*100*$A36</f>
        <v>18.319852385306</v>
      </c>
      <c r="AG36" s="19" t="n">
        <f aca="false">$B36+AG$3*100*$A36</f>
        <v>18.732352385306</v>
      </c>
      <c r="AH36" s="19" t="n">
        <f aca="false">$B36+AH$3*100*$A36</f>
        <v>19.144852385306</v>
      </c>
      <c r="AI36" s="19" t="n">
        <f aca="false">$B36+AI$3*100*$A36</f>
        <v>19.557352385306</v>
      </c>
      <c r="AJ36" s="19" t="n">
        <f aca="false">$B36+AJ$3*100*$A36</f>
        <v>19.969852385306</v>
      </c>
      <c r="AK36" s="19" t="n">
        <f aca="false">$B36+AK$3*100*$A36</f>
        <v>20.382352385306</v>
      </c>
      <c r="AL36" s="19" t="n">
        <f aca="false">$B36+AL$3*100*$A36</f>
        <v>20.794852385306</v>
      </c>
      <c r="AM36" s="19" t="n">
        <f aca="false">$B36+AM$3*100*$A36</f>
        <v>21.207352385306</v>
      </c>
      <c r="AN36" s="19" t="n">
        <f aca="false">$B36+AN$3*100*$A36</f>
        <v>21.619852385306</v>
      </c>
      <c r="AO36" s="19" t="n">
        <f aca="false">$B36+AO$3*100*$A36</f>
        <v>22.032352385306</v>
      </c>
      <c r="AP36" s="19" t="n">
        <f aca="false">$B36+AP$3*100*$A36</f>
        <v>22.444852385306</v>
      </c>
      <c r="AQ36" s="19" t="n">
        <f aca="false">$B36+AQ$3*100*$A36</f>
        <v>22.857352385306</v>
      </c>
      <c r="AR36" s="19" t="n">
        <f aca="false">$B36+AR$3*100*$A36</f>
        <v>23.269852385306</v>
      </c>
      <c r="AS36" s="19" t="n">
        <f aca="false">$B36+AS$3*100*$A36</f>
        <v>23.682352385306</v>
      </c>
      <c r="AT36" s="19" t="n">
        <f aca="false">$B36+AT$3*100*$A36</f>
        <v>24.094852385306</v>
      </c>
      <c r="AU36" s="19" t="n">
        <f aca="false">$B36+AU$3*100*$A36</f>
        <v>24.507352385306</v>
      </c>
      <c r="AV36" s="19" t="n">
        <f aca="false">$B36+AV$3*100*$A36</f>
        <v>24.919852385306</v>
      </c>
      <c r="AW36" s="19" t="n">
        <f aca="false">$B36+AW$3*100*$A36</f>
        <v>25.332352385306</v>
      </c>
      <c r="AX36" s="19" t="n">
        <f aca="false">$B36+AX$3*100*$A36</f>
        <v>25.744852385306</v>
      </c>
      <c r="AY36" s="19" t="n">
        <f aca="false">$B36+AY$3*100*$A36</f>
        <v>26.157352385306</v>
      </c>
      <c r="AZ36" s="19" t="n">
        <f aca="false">$B36+AZ$3*100*$A36</f>
        <v>26.569852385306</v>
      </c>
      <c r="BA36" s="19" t="n">
        <f aca="false">$B36+BA$3*100*$A36</f>
        <v>26.982352385306</v>
      </c>
      <c r="BB36" s="19" t="n">
        <f aca="false">$B36+BB$3*100*$A36</f>
        <v>27.394852385306</v>
      </c>
      <c r="BC36" s="19" t="n">
        <f aca="false">$B36+BC$3*100*$A36</f>
        <v>27.807352385306</v>
      </c>
      <c r="BD36" s="19" t="n">
        <f aca="false">$B36+BD$3*100*$A36</f>
        <v>28.219852385306</v>
      </c>
      <c r="BE36" s="19" t="n">
        <f aca="false">$B36+BE$3*100*$A36</f>
        <v>28.632352385306</v>
      </c>
      <c r="BF36" s="19" t="n">
        <f aca="false">$B36+BF$3*100*$A36</f>
        <v>29.044852385306</v>
      </c>
      <c r="BG36" s="19" t="n">
        <f aca="false">$B36+BG$3*100*$A36</f>
        <v>29.457352385306</v>
      </c>
      <c r="BH36" s="19" t="n">
        <f aca="false">$B36+BH$3*100*$A36</f>
        <v>29.869852385306</v>
      </c>
      <c r="BI36" s="19" t="n">
        <f aca="false">$B36+BI$3*100*$A36</f>
        <v>30.282352385306</v>
      </c>
      <c r="BJ36" s="19" t="n">
        <f aca="false">$B36+BJ$3*100*$A36</f>
        <v>30.694852385306</v>
      </c>
      <c r="BK36" s="19" t="n">
        <f aca="false">$B36+BK$3*100*$A36</f>
        <v>31.107352385306</v>
      </c>
      <c r="BL36" s="19" t="n">
        <f aca="false">$B36+BL$3*100*$A36</f>
        <v>31.519852385306</v>
      </c>
      <c r="BM36" s="19" t="n">
        <f aca="false">$B36+BM$3*100*$A36</f>
        <v>31.932352385306</v>
      </c>
      <c r="BN36" s="19" t="n">
        <f aca="false">$B36+BN$3*100*$A36</f>
        <v>32.344852385306</v>
      </c>
      <c r="BO36" s="19" t="n">
        <f aca="false">$B36+BO$3*100*$A36</f>
        <v>32.757352385306</v>
      </c>
      <c r="BP36" s="19" t="n">
        <f aca="false">$B36+BP$3*100*$A36</f>
        <v>33.169852385306</v>
      </c>
      <c r="BQ36" s="19" t="n">
        <f aca="false">$B36+BQ$3*100*$A36</f>
        <v>33.582352385306</v>
      </c>
      <c r="BR36" s="19" t="n">
        <f aca="false">$B36+BR$3*100*$A36</f>
        <v>33.994852385306</v>
      </c>
      <c r="BS36" s="19" t="n">
        <f aca="false">$B36+BS$3*100*$A36</f>
        <v>34.407352385306</v>
      </c>
      <c r="BT36" s="19" t="n">
        <f aca="false">$B36+BT$3*100*$A36</f>
        <v>34.819852385306</v>
      </c>
      <c r="BU36" s="19" t="n">
        <f aca="false">$B36+BU$3*100*$A36</f>
        <v>35.232352385306</v>
      </c>
      <c r="BV36" s="19" t="n">
        <f aca="false">$B36+BV$3*100*$A36</f>
        <v>35.644852385306</v>
      </c>
      <c r="BW36" s="19" t="n">
        <f aca="false">$B36+BW$3*100*$A36</f>
        <v>36.057352385306</v>
      </c>
      <c r="BX36" s="19" t="n">
        <f aca="false">$B36+BX$3*100*$A36</f>
        <v>36.469852385306</v>
      </c>
      <c r="BY36" s="19" t="n">
        <f aca="false">$B36+BY$3*100*$A36</f>
        <v>36.882352385306</v>
      </c>
      <c r="BZ36" s="19" t="n">
        <f aca="false">$B36+BZ$3*100*$A36</f>
        <v>37.294852385306</v>
      </c>
      <c r="CA36" s="19" t="n">
        <f aca="false">$B36+CA$3*100*$A36</f>
        <v>37.707352385306</v>
      </c>
      <c r="CB36" s="19" t="n">
        <f aca="false">$B36+CB$3*100*$A36</f>
        <v>38.119852385306</v>
      </c>
      <c r="CC36" s="19" t="n">
        <f aca="false">$B36+CC$3*100*$A36</f>
        <v>38.532352385306</v>
      </c>
      <c r="CD36" s="19" t="n">
        <f aca="false">$B36+CD$3*100*$A36</f>
        <v>38.944852385306</v>
      </c>
      <c r="CE36" s="19" t="n">
        <f aca="false">$B36+CE$3*100*$A36</f>
        <v>39.357352385306</v>
      </c>
      <c r="CF36" s="19" t="n">
        <f aca="false">$B36+CF$3*100*$A36</f>
        <v>39.769852385306</v>
      </c>
      <c r="CG36" s="19" t="n">
        <f aca="false">$B36+CG$3*100*$A36</f>
        <v>40.182352385306</v>
      </c>
      <c r="CH36" s="19" t="n">
        <f aca="false">$B36+CH$3*100*$A36</f>
        <v>40.594852385306</v>
      </c>
      <c r="CI36" s="19" t="n">
        <f aca="false">$B36+CI$3*100*$A36</f>
        <v>41.007352385306</v>
      </c>
      <c r="CJ36" s="19" t="n">
        <f aca="false">$B36+CJ$3*100*$A36</f>
        <v>41.419852385306</v>
      </c>
      <c r="CK36" s="19" t="n">
        <f aca="false">$B36+CK$3*100*$A36</f>
        <v>41.832352385306</v>
      </c>
      <c r="CL36" s="19" t="n">
        <f aca="false">$B36+CL$3*100*$A36</f>
        <v>42.244852385306</v>
      </c>
      <c r="CM36" s="19" t="n">
        <f aca="false">$B36+CM$3*100*$A36</f>
        <v>42.657352385306</v>
      </c>
      <c r="CN36" s="19" t="n">
        <f aca="false">$B36+CN$3*100*$A36</f>
        <v>43.069852385306</v>
      </c>
      <c r="CO36" s="19" t="n">
        <f aca="false">$B36+CO$3*100*$A36</f>
        <v>43.482352385306</v>
      </c>
      <c r="CP36" s="19" t="n">
        <f aca="false">$B36+CP$3*100*$A36</f>
        <v>43.894852385306</v>
      </c>
      <c r="CQ36" s="19" t="n">
        <f aca="false">$B36+CQ$3*100*$A36</f>
        <v>44.307352385306</v>
      </c>
      <c r="CR36" s="19" t="n">
        <f aca="false">$B36+CR$3*100*$A36</f>
        <v>44.719852385306</v>
      </c>
      <c r="CS36" s="19" t="n">
        <f aca="false">$B36+CS$3*100*$A36</f>
        <v>45.132352385306</v>
      </c>
      <c r="CT36" s="19" t="n">
        <f aca="false">$B36+CT$3*100*$A36</f>
        <v>45.544852385306</v>
      </c>
      <c r="CU36" s="19" t="n">
        <f aca="false">$B36+CU$3*100*$A36</f>
        <v>45.957352385306</v>
      </c>
      <c r="CV36" s="19" t="n">
        <f aca="false">$B36+CV$3*100*$A36</f>
        <v>46.369852385306</v>
      </c>
      <c r="CW36" s="19" t="n">
        <f aca="false">$B36+CW$3*100*$A36</f>
        <v>46.782352385306</v>
      </c>
      <c r="CX36" s="19" t="n">
        <f aca="false">$B36+CX$3*100*$A36</f>
        <v>47.194852385306</v>
      </c>
      <c r="CY36" s="19" t="n">
        <f aca="false">$B36+CY$3*100*$A36</f>
        <v>47.607352385306</v>
      </c>
      <c r="CZ36" s="19" t="n">
        <f aca="false">$B36+CZ$3*100*$A36</f>
        <v>48.019852385306</v>
      </c>
      <c r="DA36" s="19" t="n">
        <f aca="false">$B36+DA$3*100*$A36</f>
        <v>48.432352385306</v>
      </c>
      <c r="DB36" s="19" t="n">
        <f aca="false">$B36+DB$3*100*$A36</f>
        <v>48.844852385306</v>
      </c>
      <c r="DC36" s="19" t="n">
        <f aca="false">$B36+DC$3*100*$A36</f>
        <v>49.257352385306</v>
      </c>
      <c r="DD36" s="19" t="n">
        <f aca="false">$B36+DD$3*100*$A36</f>
        <v>49.669852385306</v>
      </c>
      <c r="DE36" s="19" t="n">
        <f aca="false">$B36+DE$3*100*$A36</f>
        <v>50.082352385306</v>
      </c>
      <c r="DF36" s="19" t="n">
        <f aca="false">$B36+DF$3*100*$A36</f>
        <v>50.494852385306</v>
      </c>
      <c r="DG36" s="19" t="n">
        <f aca="false">$B36+DG$3*100*$A36</f>
        <v>50.907352385306</v>
      </c>
      <c r="DH36" s="19" t="n">
        <f aca="false">$B36+DH$3*100*$A36</f>
        <v>51.319852385306</v>
      </c>
      <c r="DI36" s="19" t="n">
        <f aca="false">$B36+DI$3*100*$A36</f>
        <v>51.732352385306</v>
      </c>
      <c r="DJ36" s="19" t="n">
        <f aca="false">$B36+DJ$3*100*$A36</f>
        <v>52.144852385306</v>
      </c>
      <c r="DK36" s="19" t="n">
        <f aca="false">$B36+DK$3*100*$A36</f>
        <v>52.557352385306</v>
      </c>
      <c r="DL36" s="19" t="n">
        <f aca="false">$B36+DL$3*100*$A36</f>
        <v>52.969852385306</v>
      </c>
      <c r="DM36" s="19" t="n">
        <f aca="false">$B36+DM$3*100*$A36</f>
        <v>53.382352385306</v>
      </c>
      <c r="DN36" s="19" t="n">
        <f aca="false">$B36+DN$3*100*$A36</f>
        <v>53.794852385306</v>
      </c>
      <c r="DO36" s="19" t="n">
        <f aca="false">$B36+DO$3*100*$A36</f>
        <v>54.207352385306</v>
      </c>
      <c r="DP36" s="19" t="n">
        <f aca="false">$B36+DP$3*100*$A36</f>
        <v>54.619852385306</v>
      </c>
      <c r="DQ36" s="19" t="n">
        <f aca="false">$B36+DQ$3*100*$A36</f>
        <v>55.032352385306</v>
      </c>
      <c r="DR36" s="19" t="n">
        <f aca="false">$B36+DR$3*100*$A36</f>
        <v>55.444852385306</v>
      </c>
      <c r="DS36" s="19" t="n">
        <f aca="false">$B36+DS$3*100*$A36</f>
        <v>55.857352385306</v>
      </c>
      <c r="DT36" s="19" t="n">
        <f aca="false">$B36+DT$3*100*$A36</f>
        <v>56.269852385306</v>
      </c>
      <c r="DU36" s="19" t="n">
        <f aca="false">$B36+DU$3*100*$A36</f>
        <v>56.682352385306</v>
      </c>
      <c r="DV36" s="19" t="n">
        <f aca="false">$B36+DV$3*100*$A36</f>
        <v>57.094852385306</v>
      </c>
      <c r="DW36" s="19" t="n">
        <f aca="false">$B36+DW$3*100*$A36</f>
        <v>57.507352385306</v>
      </c>
      <c r="DX36" s="19" t="n">
        <f aca="false">$B36+DX$3*100*$A36</f>
        <v>57.919852385306</v>
      </c>
      <c r="DY36" s="19" t="n">
        <f aca="false">$B36+DY$3*100*$A36</f>
        <v>58.332352385306</v>
      </c>
      <c r="DZ36" s="19" t="n">
        <f aca="false">$B36+DZ$3*100*$A36</f>
        <v>58.744852385306</v>
      </c>
      <c r="EA36" s="19" t="n">
        <f aca="false">$B36+EA$3*100*$A36</f>
        <v>59.157352385306</v>
      </c>
      <c r="EB36" s="19" t="n">
        <f aca="false">$B36+EB$3*100*$A36</f>
        <v>59.569852385306</v>
      </c>
      <c r="EC36" s="19" t="n">
        <f aca="false">$B36+EC$3*100*$A36</f>
        <v>59.982352385306</v>
      </c>
      <c r="ED36" s="19" t="n">
        <f aca="false">$B36+ED$3*100*$A36</f>
        <v>60.394852385306</v>
      </c>
      <c r="EE36" s="19" t="n">
        <f aca="false">$B36+EE$3*100*$A36</f>
        <v>60.807352385306</v>
      </c>
      <c r="EF36" s="19" t="n">
        <f aca="false">$B36+EF$3*100*$A36</f>
        <v>61.219852385306</v>
      </c>
      <c r="EG36" s="19" t="n">
        <f aca="false">$B36+EG$3*100*$A36</f>
        <v>61.632352385306</v>
      </c>
      <c r="EH36" s="19" t="n">
        <f aca="false">$B36+EH$3*100*$A36</f>
        <v>62.044852385306</v>
      </c>
      <c r="EI36" s="19" t="n">
        <f aca="false">$B36+EI$3*100*$A36</f>
        <v>62.457352385306</v>
      </c>
      <c r="EJ36" s="19" t="n">
        <f aca="false">$B36+EJ$3*100*$A36</f>
        <v>62.869852385306</v>
      </c>
      <c r="EK36" s="19" t="n">
        <f aca="false">$B36+EK$3*100*$A36</f>
        <v>63.282352385306</v>
      </c>
      <c r="EL36" s="19" t="n">
        <f aca="false">$B36+EL$3*100*$A36</f>
        <v>63.694852385306</v>
      </c>
      <c r="EM36" s="19" t="n">
        <f aca="false">$B36+EM$3*100*$A36</f>
        <v>64.107352385306</v>
      </c>
      <c r="EN36" s="19" t="n">
        <f aca="false">$B36+EN$3*100*$A36</f>
        <v>64.519852385306</v>
      </c>
      <c r="EO36" s="19" t="n">
        <f aca="false">$B36+EO$3*100*$A36</f>
        <v>64.932352385306</v>
      </c>
      <c r="EP36" s="19" t="n">
        <f aca="false">$B36+EP$3*100*$A36</f>
        <v>65.344852385306</v>
      </c>
      <c r="EQ36" s="19" t="n">
        <f aca="false">$B36+EQ$3*100*$A36</f>
        <v>65.757352385306</v>
      </c>
      <c r="ER36" s="19" t="n">
        <f aca="false">$B36+ER$3*100*$A36</f>
        <v>66.169852385306</v>
      </c>
      <c r="ES36" s="19" t="n">
        <f aca="false">$B36+ES$3*100*$A36</f>
        <v>66.582352385306</v>
      </c>
      <c r="ET36" s="19" t="n">
        <f aca="false">$B36+ET$3*100*$A36</f>
        <v>66.994852385306</v>
      </c>
      <c r="EU36" s="19" t="n">
        <f aca="false">$B36+EU$3*100*$A36</f>
        <v>67.407352385306</v>
      </c>
      <c r="EV36" s="19" t="n">
        <f aca="false">$B36+EV$3*100*$A36</f>
        <v>67.819852385306</v>
      </c>
      <c r="EW36" s="19" t="n">
        <f aca="false">$B36+EW$3*100*$A36</f>
        <v>68.232352385306</v>
      </c>
      <c r="EX36" s="19" t="n">
        <f aca="false">$B36+EX$3*100*$A36</f>
        <v>68.644852385306</v>
      </c>
      <c r="EY36" s="19" t="n">
        <f aca="false">$B36+EY$3*100*$A36</f>
        <v>69.057352385306</v>
      </c>
      <c r="EZ36" s="19" t="n">
        <f aca="false">$B36+EZ$3*100*$A36</f>
        <v>69.469852385306</v>
      </c>
      <c r="FA36" s="19" t="n">
        <f aca="false">$B36+FA$3*100*$A36</f>
        <v>69.882352385306</v>
      </c>
      <c r="FB36" s="19" t="n">
        <f aca="false">$B36+FB$3*100*$A36</f>
        <v>70.294852385306</v>
      </c>
      <c r="FC36" s="19" t="n">
        <f aca="false">$B36+FC$3*100*$A36</f>
        <v>70.707352385306</v>
      </c>
      <c r="FD36" s="19" t="n">
        <f aca="false">$B36+FD$3*100*$A36</f>
        <v>71.119852385306</v>
      </c>
      <c r="FE36" s="19" t="n">
        <f aca="false">$B36+FE$3*100*$A36</f>
        <v>71.532352385306</v>
      </c>
      <c r="FF36" s="19" t="n">
        <f aca="false">$B36+FF$3*100*$A36</f>
        <v>71.944852385306</v>
      </c>
      <c r="FG36" s="19" t="n">
        <f aca="false">$B36+FG$3*100*$A36</f>
        <v>72.357352385306</v>
      </c>
      <c r="FH36" s="19" t="n">
        <f aca="false">$B36+FH$3*100*$A36</f>
        <v>72.769852385306</v>
      </c>
      <c r="FI36" s="19" t="n">
        <f aca="false">$B36+FI$3*100*$A36</f>
        <v>73.182352385306</v>
      </c>
      <c r="FJ36" s="19" t="n">
        <f aca="false">$B36+FJ$3*100*$A36</f>
        <v>73.594852385306</v>
      </c>
      <c r="FK36" s="19" t="n">
        <f aca="false">$B36+FK$3*100*$A36</f>
        <v>74.007352385306</v>
      </c>
      <c r="FL36" s="19" t="n">
        <f aca="false">$B36+FL$3*100*$A36</f>
        <v>74.419852385306</v>
      </c>
      <c r="FM36" s="19" t="n">
        <f aca="false">$B36+FM$3*100*$A36</f>
        <v>74.832352385306</v>
      </c>
      <c r="FN36" s="19" t="n">
        <f aca="false">$B36+FN$3*100*$A36</f>
        <v>75.244852385306</v>
      </c>
      <c r="FO36" s="19" t="n">
        <f aca="false">$B36+FO$3*100*$A36</f>
        <v>75.657352385306</v>
      </c>
      <c r="FP36" s="19" t="n">
        <f aca="false">$B36+FP$3*100*$A36</f>
        <v>76.069852385306</v>
      </c>
      <c r="FQ36" s="19" t="n">
        <f aca="false">$B36+FQ$3*100*$A36</f>
        <v>76.482352385306</v>
      </c>
      <c r="FR36" s="19" t="n">
        <f aca="false">$B36+FR$3*100*$A36</f>
        <v>76.894852385306</v>
      </c>
      <c r="FS36" s="19" t="n">
        <f aca="false">$B36+FS$3*100*$A36</f>
        <v>77.307352385306</v>
      </c>
      <c r="FT36" s="19" t="n">
        <f aca="false">$B36+FT$3*100*$A36</f>
        <v>77.719852385306</v>
      </c>
      <c r="FU36" s="19" t="n">
        <f aca="false">$B36+FU$3*100*$A36</f>
        <v>78.132352385306</v>
      </c>
      <c r="FV36" s="19" t="n">
        <f aca="false">$B36+FV$3*100*$A36</f>
        <v>78.544852385306</v>
      </c>
      <c r="FW36" s="19" t="n">
        <f aca="false">$B36+FW$3*100*$A36</f>
        <v>78.957352385306</v>
      </c>
      <c r="FX36" s="19" t="n">
        <f aca="false">$B36+FX$3*100*$A36</f>
        <v>79.369852385306</v>
      </c>
      <c r="FY36" s="19" t="n">
        <f aca="false">$B36+FY$3*100*$A36</f>
        <v>79.782352385306</v>
      </c>
      <c r="FZ36" s="19" t="n">
        <f aca="false">$B36+FZ$3*100*$A36</f>
        <v>80.194852385306</v>
      </c>
      <c r="GA36" s="19" t="n">
        <f aca="false">$B36+GA$3*100*$A36</f>
        <v>80.607352385306</v>
      </c>
      <c r="GB36" s="19" t="n">
        <f aca="false">$B36+GB$3*100*$A36</f>
        <v>81.019852385306</v>
      </c>
      <c r="GC36" s="19" t="n">
        <f aca="false">$B36+GC$3*100*$A36</f>
        <v>81.432352385306</v>
      </c>
      <c r="GD36" s="19" t="n">
        <f aca="false">$B36+GD$3*100*$A36</f>
        <v>81.844852385306</v>
      </c>
      <c r="GE36" s="19" t="n">
        <f aca="false">$B36+GE$3*100*$A36</f>
        <v>82.257352385306</v>
      </c>
      <c r="GF36" s="19" t="n">
        <f aca="false">$B36+GF$3*100*$A36</f>
        <v>82.669852385306</v>
      </c>
      <c r="GG36" s="19" t="n">
        <f aca="false">$B36+GG$3*100*$A36</f>
        <v>83.082352385306</v>
      </c>
      <c r="GH36" s="19" t="n">
        <f aca="false">$B36+GH$3*100*$A36</f>
        <v>83.494852385306</v>
      </c>
      <c r="GI36" s="19" t="n">
        <f aca="false">$B36+GI$3*100*$A36</f>
        <v>83.907352385306</v>
      </c>
      <c r="GJ36" s="19" t="n">
        <f aca="false">$B36+GJ$3*100*$A36</f>
        <v>84.319852385306</v>
      </c>
      <c r="GK36" s="19" t="n">
        <f aca="false">$B36+GK$3*100*$A36</f>
        <v>84.732352385306</v>
      </c>
      <c r="GL36" s="19" t="n">
        <f aca="false">$B36+GL$3*100*$A36</f>
        <v>85.144852385306</v>
      </c>
      <c r="GM36" s="19" t="n">
        <f aca="false">$B36+GM$3*100*$A36</f>
        <v>85.557352385306</v>
      </c>
      <c r="GN36" s="19" t="n">
        <f aca="false">$B36+GN$3*100*$A36</f>
        <v>85.969852385306</v>
      </c>
      <c r="GO36" s="19" t="n">
        <f aca="false">$B36+GO$3*100*$A36</f>
        <v>86.382352385306</v>
      </c>
      <c r="GP36" s="19" t="n">
        <f aca="false">$B36+GP$3*100*$A36</f>
        <v>86.794852385306</v>
      </c>
      <c r="GQ36" s="19" t="n">
        <f aca="false">$B36+GQ$3*100*$A36</f>
        <v>87.207352385306</v>
      </c>
      <c r="GR36" s="19" t="n">
        <f aca="false">$B36+GR$3*100*$A36</f>
        <v>87.619852385306</v>
      </c>
      <c r="GS36" s="19" t="n">
        <f aca="false">$B36+GS$3*100*$A36</f>
        <v>88.032352385306</v>
      </c>
      <c r="GT36" s="19" t="n">
        <f aca="false">$B36+GT$3*100*$A36</f>
        <v>88.444852385306</v>
      </c>
    </row>
    <row r="37" customFormat="false" ht="15" hidden="false" customHeight="false" outlineLevel="0" collapsed="false">
      <c r="A37" s="26" t="n">
        <f aca="false">Frontier!A35</f>
        <v>0.085</v>
      </c>
      <c r="B37" s="34" t="n">
        <f aca="false">Frontier!B35</f>
        <v>5.66482312986566</v>
      </c>
      <c r="C37" s="19" t="n">
        <f aca="false">$B37+C$3*100*$A37</f>
        <v>6.08982312986566</v>
      </c>
      <c r="D37" s="19" t="n">
        <f aca="false">$B37+D$3*100*$A37</f>
        <v>6.51482312986566</v>
      </c>
      <c r="E37" s="19" t="n">
        <f aca="false">$B37+E$3*100*$A37</f>
        <v>6.93982312986566</v>
      </c>
      <c r="F37" s="19" t="n">
        <f aca="false">$B37+F$3*100*$A37</f>
        <v>7.36482312986566</v>
      </c>
      <c r="G37" s="19" t="n">
        <f aca="false">$B37+G$3*100*$A37</f>
        <v>7.78982312986566</v>
      </c>
      <c r="H37" s="19" t="n">
        <f aca="false">$B37+H$3*100*$A37</f>
        <v>8.21482312986566</v>
      </c>
      <c r="I37" s="19" t="n">
        <f aca="false">$B37+I$3*100*$A37</f>
        <v>8.63982312986566</v>
      </c>
      <c r="J37" s="19" t="n">
        <f aca="false">$B37+J$3*100*$A37</f>
        <v>9.06482312986566</v>
      </c>
      <c r="K37" s="19" t="n">
        <f aca="false">$B37+K$3*100*$A37</f>
        <v>9.48982312986566</v>
      </c>
      <c r="L37" s="19" t="n">
        <f aca="false">$B37+L$3*100*$A37</f>
        <v>9.91482312986566</v>
      </c>
      <c r="M37" s="19" t="n">
        <f aca="false">$B37+M$3*100*$A37</f>
        <v>10.3398231298657</v>
      </c>
      <c r="N37" s="19" t="n">
        <f aca="false">$B37+N$3*100*$A37</f>
        <v>10.7648231298657</v>
      </c>
      <c r="O37" s="19" t="n">
        <f aca="false">$B37+O$3*100*$A37</f>
        <v>11.1898231298657</v>
      </c>
      <c r="P37" s="19" t="n">
        <f aca="false">$B37+P$3*100*$A37</f>
        <v>11.6148231298657</v>
      </c>
      <c r="Q37" s="19" t="n">
        <f aca="false">$B37+Q$3*100*$A37</f>
        <v>12.0398231298657</v>
      </c>
      <c r="R37" s="19" t="n">
        <f aca="false">$B37+R$3*100*$A37</f>
        <v>12.4648231298657</v>
      </c>
      <c r="S37" s="19" t="n">
        <f aca="false">$B37+S$3*100*$A37</f>
        <v>12.8898231298657</v>
      </c>
      <c r="T37" s="19" t="n">
        <f aca="false">$B37+T$3*100*$A37</f>
        <v>13.3148231298657</v>
      </c>
      <c r="U37" s="19" t="n">
        <f aca="false">$B37+U$3*100*$A37</f>
        <v>13.7398231298657</v>
      </c>
      <c r="V37" s="19" t="n">
        <f aca="false">$B37+V$3*100*$A37</f>
        <v>14.1648231298657</v>
      </c>
      <c r="W37" s="19" t="n">
        <f aca="false">$B37+W$3*100*$A37</f>
        <v>14.5898231298657</v>
      </c>
      <c r="X37" s="19" t="n">
        <f aca="false">$B37+X$3*100*$A37</f>
        <v>15.0148231298657</v>
      </c>
      <c r="Y37" s="19" t="n">
        <f aca="false">$B37+Y$3*100*$A37</f>
        <v>15.4398231298657</v>
      </c>
      <c r="Z37" s="19" t="n">
        <f aca="false">$B37+Z$3*100*$A37</f>
        <v>15.8648231298657</v>
      </c>
      <c r="AA37" s="19" t="n">
        <f aca="false">$B37+AA$3*100*$A37</f>
        <v>16.2898231298657</v>
      </c>
      <c r="AB37" s="19" t="n">
        <f aca="false">$B37+AB$3*100*$A37</f>
        <v>16.7148231298657</v>
      </c>
      <c r="AC37" s="19" t="n">
        <f aca="false">$B37+AC$3*100*$A37</f>
        <v>17.1398231298657</v>
      </c>
      <c r="AD37" s="19" t="n">
        <f aca="false">$B37+AD$3*100*$A37</f>
        <v>17.5648231298657</v>
      </c>
      <c r="AE37" s="19" t="n">
        <f aca="false">$B37+AE$3*100*$A37</f>
        <v>17.9898231298657</v>
      </c>
      <c r="AF37" s="19" t="n">
        <f aca="false">$B37+AF$3*100*$A37</f>
        <v>18.4148231298657</v>
      </c>
      <c r="AG37" s="19" t="n">
        <f aca="false">$B37+AG$3*100*$A37</f>
        <v>18.8398231298657</v>
      </c>
      <c r="AH37" s="19" t="n">
        <f aca="false">$B37+AH$3*100*$A37</f>
        <v>19.2648231298657</v>
      </c>
      <c r="AI37" s="19" t="n">
        <f aca="false">$B37+AI$3*100*$A37</f>
        <v>19.6898231298657</v>
      </c>
      <c r="AJ37" s="19" t="n">
        <f aca="false">$B37+AJ$3*100*$A37</f>
        <v>20.1148231298657</v>
      </c>
      <c r="AK37" s="19" t="n">
        <f aca="false">$B37+AK$3*100*$A37</f>
        <v>20.5398231298657</v>
      </c>
      <c r="AL37" s="19" t="n">
        <f aca="false">$B37+AL$3*100*$A37</f>
        <v>20.9648231298657</v>
      </c>
      <c r="AM37" s="19" t="n">
        <f aca="false">$B37+AM$3*100*$A37</f>
        <v>21.3898231298657</v>
      </c>
      <c r="AN37" s="19" t="n">
        <f aca="false">$B37+AN$3*100*$A37</f>
        <v>21.8148231298657</v>
      </c>
      <c r="AO37" s="19" t="n">
        <f aca="false">$B37+AO$3*100*$A37</f>
        <v>22.2398231298657</v>
      </c>
      <c r="AP37" s="19" t="n">
        <f aca="false">$B37+AP$3*100*$A37</f>
        <v>22.6648231298657</v>
      </c>
      <c r="AQ37" s="19" t="n">
        <f aca="false">$B37+AQ$3*100*$A37</f>
        <v>23.0898231298657</v>
      </c>
      <c r="AR37" s="19" t="n">
        <f aca="false">$B37+AR$3*100*$A37</f>
        <v>23.5148231298657</v>
      </c>
      <c r="AS37" s="19" t="n">
        <f aca="false">$B37+AS$3*100*$A37</f>
        <v>23.9398231298657</v>
      </c>
      <c r="AT37" s="19" t="n">
        <f aca="false">$B37+AT$3*100*$A37</f>
        <v>24.3648231298657</v>
      </c>
      <c r="AU37" s="19" t="n">
        <f aca="false">$B37+AU$3*100*$A37</f>
        <v>24.7898231298657</v>
      </c>
      <c r="AV37" s="19" t="n">
        <f aca="false">$B37+AV$3*100*$A37</f>
        <v>25.2148231298657</v>
      </c>
      <c r="AW37" s="19" t="n">
        <f aca="false">$B37+AW$3*100*$A37</f>
        <v>25.6398231298657</v>
      </c>
      <c r="AX37" s="19" t="n">
        <f aca="false">$B37+AX$3*100*$A37</f>
        <v>26.0648231298657</v>
      </c>
      <c r="AY37" s="19" t="n">
        <f aca="false">$B37+AY$3*100*$A37</f>
        <v>26.4898231298657</v>
      </c>
      <c r="AZ37" s="19" t="n">
        <f aca="false">$B37+AZ$3*100*$A37</f>
        <v>26.9148231298657</v>
      </c>
      <c r="BA37" s="19" t="n">
        <f aca="false">$B37+BA$3*100*$A37</f>
        <v>27.3398231298657</v>
      </c>
      <c r="BB37" s="19" t="n">
        <f aca="false">$B37+BB$3*100*$A37</f>
        <v>27.7648231298657</v>
      </c>
      <c r="BC37" s="19" t="n">
        <f aca="false">$B37+BC$3*100*$A37</f>
        <v>28.1898231298657</v>
      </c>
      <c r="BD37" s="19" t="n">
        <f aca="false">$B37+BD$3*100*$A37</f>
        <v>28.6148231298657</v>
      </c>
      <c r="BE37" s="19" t="n">
        <f aca="false">$B37+BE$3*100*$A37</f>
        <v>29.0398231298657</v>
      </c>
      <c r="BF37" s="19" t="n">
        <f aca="false">$B37+BF$3*100*$A37</f>
        <v>29.4648231298657</v>
      </c>
      <c r="BG37" s="19" t="n">
        <f aca="false">$B37+BG$3*100*$A37</f>
        <v>29.8898231298657</v>
      </c>
      <c r="BH37" s="19" t="n">
        <f aca="false">$B37+BH$3*100*$A37</f>
        <v>30.3148231298657</v>
      </c>
      <c r="BI37" s="19" t="n">
        <f aca="false">$B37+BI$3*100*$A37</f>
        <v>30.7398231298657</v>
      </c>
      <c r="BJ37" s="19" t="n">
        <f aca="false">$B37+BJ$3*100*$A37</f>
        <v>31.1648231298657</v>
      </c>
      <c r="BK37" s="19" t="n">
        <f aca="false">$B37+BK$3*100*$A37</f>
        <v>31.5898231298657</v>
      </c>
      <c r="BL37" s="19" t="n">
        <f aca="false">$B37+BL$3*100*$A37</f>
        <v>32.0148231298657</v>
      </c>
      <c r="BM37" s="19" t="n">
        <f aca="false">$B37+BM$3*100*$A37</f>
        <v>32.4398231298657</v>
      </c>
      <c r="BN37" s="19" t="n">
        <f aca="false">$B37+BN$3*100*$A37</f>
        <v>32.8648231298657</v>
      </c>
      <c r="BO37" s="19" t="n">
        <f aca="false">$B37+BO$3*100*$A37</f>
        <v>33.2898231298657</v>
      </c>
      <c r="BP37" s="19" t="n">
        <f aca="false">$B37+BP$3*100*$A37</f>
        <v>33.7148231298657</v>
      </c>
      <c r="BQ37" s="19" t="n">
        <f aca="false">$B37+BQ$3*100*$A37</f>
        <v>34.1398231298657</v>
      </c>
      <c r="BR37" s="19" t="n">
        <f aca="false">$B37+BR$3*100*$A37</f>
        <v>34.5648231298657</v>
      </c>
      <c r="BS37" s="19" t="n">
        <f aca="false">$B37+BS$3*100*$A37</f>
        <v>34.9898231298657</v>
      </c>
      <c r="BT37" s="19" t="n">
        <f aca="false">$B37+BT$3*100*$A37</f>
        <v>35.4148231298657</v>
      </c>
      <c r="BU37" s="19" t="n">
        <f aca="false">$B37+BU$3*100*$A37</f>
        <v>35.8398231298657</v>
      </c>
      <c r="BV37" s="19" t="n">
        <f aca="false">$B37+BV$3*100*$A37</f>
        <v>36.2648231298657</v>
      </c>
      <c r="BW37" s="19" t="n">
        <f aca="false">$B37+BW$3*100*$A37</f>
        <v>36.6898231298657</v>
      </c>
      <c r="BX37" s="19" t="n">
        <f aca="false">$B37+BX$3*100*$A37</f>
        <v>37.1148231298657</v>
      </c>
      <c r="BY37" s="19" t="n">
        <f aca="false">$B37+BY$3*100*$A37</f>
        <v>37.5398231298657</v>
      </c>
      <c r="BZ37" s="19" t="n">
        <f aca="false">$B37+BZ$3*100*$A37</f>
        <v>37.9648231298657</v>
      </c>
      <c r="CA37" s="19" t="n">
        <f aca="false">$B37+CA$3*100*$A37</f>
        <v>38.3898231298657</v>
      </c>
      <c r="CB37" s="19" t="n">
        <f aca="false">$B37+CB$3*100*$A37</f>
        <v>38.8148231298657</v>
      </c>
      <c r="CC37" s="19" t="n">
        <f aca="false">$B37+CC$3*100*$A37</f>
        <v>39.2398231298657</v>
      </c>
      <c r="CD37" s="19" t="n">
        <f aca="false">$B37+CD$3*100*$A37</f>
        <v>39.6648231298657</v>
      </c>
      <c r="CE37" s="19" t="n">
        <f aca="false">$B37+CE$3*100*$A37</f>
        <v>40.0898231298657</v>
      </c>
      <c r="CF37" s="19" t="n">
        <f aca="false">$B37+CF$3*100*$A37</f>
        <v>40.5148231298657</v>
      </c>
      <c r="CG37" s="19" t="n">
        <f aca="false">$B37+CG$3*100*$A37</f>
        <v>40.9398231298657</v>
      </c>
      <c r="CH37" s="19" t="n">
        <f aca="false">$B37+CH$3*100*$A37</f>
        <v>41.3648231298657</v>
      </c>
      <c r="CI37" s="19" t="n">
        <f aca="false">$B37+CI$3*100*$A37</f>
        <v>41.7898231298657</v>
      </c>
      <c r="CJ37" s="19" t="n">
        <f aca="false">$B37+CJ$3*100*$A37</f>
        <v>42.2148231298657</v>
      </c>
      <c r="CK37" s="19" t="n">
        <f aca="false">$B37+CK$3*100*$A37</f>
        <v>42.6398231298657</v>
      </c>
      <c r="CL37" s="19" t="n">
        <f aca="false">$B37+CL$3*100*$A37</f>
        <v>43.0648231298657</v>
      </c>
      <c r="CM37" s="19" t="n">
        <f aca="false">$B37+CM$3*100*$A37</f>
        <v>43.4898231298657</v>
      </c>
      <c r="CN37" s="19" t="n">
        <f aca="false">$B37+CN$3*100*$A37</f>
        <v>43.9148231298657</v>
      </c>
      <c r="CO37" s="19" t="n">
        <f aca="false">$B37+CO$3*100*$A37</f>
        <v>44.3398231298657</v>
      </c>
      <c r="CP37" s="19" t="n">
        <f aca="false">$B37+CP$3*100*$A37</f>
        <v>44.7648231298657</v>
      </c>
      <c r="CQ37" s="19" t="n">
        <f aca="false">$B37+CQ$3*100*$A37</f>
        <v>45.1898231298657</v>
      </c>
      <c r="CR37" s="19" t="n">
        <f aca="false">$B37+CR$3*100*$A37</f>
        <v>45.6148231298657</v>
      </c>
      <c r="CS37" s="19" t="n">
        <f aca="false">$B37+CS$3*100*$A37</f>
        <v>46.0398231298657</v>
      </c>
      <c r="CT37" s="19" t="n">
        <f aca="false">$B37+CT$3*100*$A37</f>
        <v>46.4648231298657</v>
      </c>
      <c r="CU37" s="19" t="n">
        <f aca="false">$B37+CU$3*100*$A37</f>
        <v>46.8898231298657</v>
      </c>
      <c r="CV37" s="19" t="n">
        <f aca="false">$B37+CV$3*100*$A37</f>
        <v>47.3148231298657</v>
      </c>
      <c r="CW37" s="19" t="n">
        <f aca="false">$B37+CW$3*100*$A37</f>
        <v>47.7398231298657</v>
      </c>
      <c r="CX37" s="19" t="n">
        <f aca="false">$B37+CX$3*100*$A37</f>
        <v>48.1648231298657</v>
      </c>
      <c r="CY37" s="19" t="n">
        <f aca="false">$B37+CY$3*100*$A37</f>
        <v>48.5898231298657</v>
      </c>
      <c r="CZ37" s="19" t="n">
        <f aca="false">$B37+CZ$3*100*$A37</f>
        <v>49.0148231298657</v>
      </c>
      <c r="DA37" s="19" t="n">
        <f aca="false">$B37+DA$3*100*$A37</f>
        <v>49.4398231298657</v>
      </c>
      <c r="DB37" s="19" t="n">
        <f aca="false">$B37+DB$3*100*$A37</f>
        <v>49.8648231298657</v>
      </c>
      <c r="DC37" s="19" t="n">
        <f aca="false">$B37+DC$3*100*$A37</f>
        <v>50.2898231298657</v>
      </c>
      <c r="DD37" s="19" t="n">
        <f aca="false">$B37+DD$3*100*$A37</f>
        <v>50.7148231298657</v>
      </c>
      <c r="DE37" s="19" t="n">
        <f aca="false">$B37+DE$3*100*$A37</f>
        <v>51.1398231298657</v>
      </c>
      <c r="DF37" s="19" t="n">
        <f aca="false">$B37+DF$3*100*$A37</f>
        <v>51.5648231298657</v>
      </c>
      <c r="DG37" s="19" t="n">
        <f aca="false">$B37+DG$3*100*$A37</f>
        <v>51.9898231298657</v>
      </c>
      <c r="DH37" s="19" t="n">
        <f aca="false">$B37+DH$3*100*$A37</f>
        <v>52.4148231298657</v>
      </c>
      <c r="DI37" s="19" t="n">
        <f aca="false">$B37+DI$3*100*$A37</f>
        <v>52.8398231298657</v>
      </c>
      <c r="DJ37" s="19" t="n">
        <f aca="false">$B37+DJ$3*100*$A37</f>
        <v>53.2648231298657</v>
      </c>
      <c r="DK37" s="19" t="n">
        <f aca="false">$B37+DK$3*100*$A37</f>
        <v>53.6898231298657</v>
      </c>
      <c r="DL37" s="19" t="n">
        <f aca="false">$B37+DL$3*100*$A37</f>
        <v>54.1148231298657</v>
      </c>
      <c r="DM37" s="19" t="n">
        <f aca="false">$B37+DM$3*100*$A37</f>
        <v>54.5398231298657</v>
      </c>
      <c r="DN37" s="19" t="n">
        <f aca="false">$B37+DN$3*100*$A37</f>
        <v>54.9648231298657</v>
      </c>
      <c r="DO37" s="19" t="n">
        <f aca="false">$B37+DO$3*100*$A37</f>
        <v>55.3898231298657</v>
      </c>
      <c r="DP37" s="19" t="n">
        <f aca="false">$B37+DP$3*100*$A37</f>
        <v>55.8148231298657</v>
      </c>
      <c r="DQ37" s="19" t="n">
        <f aca="false">$B37+DQ$3*100*$A37</f>
        <v>56.2398231298657</v>
      </c>
      <c r="DR37" s="19" t="n">
        <f aca="false">$B37+DR$3*100*$A37</f>
        <v>56.6648231298657</v>
      </c>
      <c r="DS37" s="19" t="n">
        <f aca="false">$B37+DS$3*100*$A37</f>
        <v>57.0898231298657</v>
      </c>
      <c r="DT37" s="19" t="n">
        <f aca="false">$B37+DT$3*100*$A37</f>
        <v>57.5148231298657</v>
      </c>
      <c r="DU37" s="19" t="n">
        <f aca="false">$B37+DU$3*100*$A37</f>
        <v>57.9398231298657</v>
      </c>
      <c r="DV37" s="19" t="n">
        <f aca="false">$B37+DV$3*100*$A37</f>
        <v>58.3648231298657</v>
      </c>
      <c r="DW37" s="19" t="n">
        <f aca="false">$B37+DW$3*100*$A37</f>
        <v>58.7898231298657</v>
      </c>
      <c r="DX37" s="19" t="n">
        <f aca="false">$B37+DX$3*100*$A37</f>
        <v>59.2148231298657</v>
      </c>
      <c r="DY37" s="19" t="n">
        <f aca="false">$B37+DY$3*100*$A37</f>
        <v>59.6398231298657</v>
      </c>
      <c r="DZ37" s="19" t="n">
        <f aca="false">$B37+DZ$3*100*$A37</f>
        <v>60.0648231298657</v>
      </c>
      <c r="EA37" s="19" t="n">
        <f aca="false">$B37+EA$3*100*$A37</f>
        <v>60.4898231298657</v>
      </c>
      <c r="EB37" s="19" t="n">
        <f aca="false">$B37+EB$3*100*$A37</f>
        <v>60.9148231298657</v>
      </c>
      <c r="EC37" s="19" t="n">
        <f aca="false">$B37+EC$3*100*$A37</f>
        <v>61.3398231298657</v>
      </c>
      <c r="ED37" s="19" t="n">
        <f aca="false">$B37+ED$3*100*$A37</f>
        <v>61.7648231298657</v>
      </c>
      <c r="EE37" s="19" t="n">
        <f aca="false">$B37+EE$3*100*$A37</f>
        <v>62.1898231298657</v>
      </c>
      <c r="EF37" s="19" t="n">
        <f aca="false">$B37+EF$3*100*$A37</f>
        <v>62.6148231298657</v>
      </c>
      <c r="EG37" s="19" t="n">
        <f aca="false">$B37+EG$3*100*$A37</f>
        <v>63.0398231298657</v>
      </c>
      <c r="EH37" s="19" t="n">
        <f aca="false">$B37+EH$3*100*$A37</f>
        <v>63.4648231298657</v>
      </c>
      <c r="EI37" s="19" t="n">
        <f aca="false">$B37+EI$3*100*$A37</f>
        <v>63.8898231298657</v>
      </c>
      <c r="EJ37" s="19" t="n">
        <f aca="false">$B37+EJ$3*100*$A37</f>
        <v>64.3148231298657</v>
      </c>
      <c r="EK37" s="19" t="n">
        <f aca="false">$B37+EK$3*100*$A37</f>
        <v>64.7398231298657</v>
      </c>
      <c r="EL37" s="19" t="n">
        <f aca="false">$B37+EL$3*100*$A37</f>
        <v>65.1648231298657</v>
      </c>
      <c r="EM37" s="19" t="n">
        <f aca="false">$B37+EM$3*100*$A37</f>
        <v>65.5898231298657</v>
      </c>
      <c r="EN37" s="19" t="n">
        <f aca="false">$B37+EN$3*100*$A37</f>
        <v>66.0148231298657</v>
      </c>
      <c r="EO37" s="19" t="n">
        <f aca="false">$B37+EO$3*100*$A37</f>
        <v>66.4398231298657</v>
      </c>
      <c r="EP37" s="19" t="n">
        <f aca="false">$B37+EP$3*100*$A37</f>
        <v>66.8648231298657</v>
      </c>
      <c r="EQ37" s="19" t="n">
        <f aca="false">$B37+EQ$3*100*$A37</f>
        <v>67.2898231298657</v>
      </c>
      <c r="ER37" s="19" t="n">
        <f aca="false">$B37+ER$3*100*$A37</f>
        <v>67.7148231298657</v>
      </c>
      <c r="ES37" s="19" t="n">
        <f aca="false">$B37+ES$3*100*$A37</f>
        <v>68.1398231298657</v>
      </c>
      <c r="ET37" s="19" t="n">
        <f aca="false">$B37+ET$3*100*$A37</f>
        <v>68.5648231298657</v>
      </c>
      <c r="EU37" s="19" t="n">
        <f aca="false">$B37+EU$3*100*$A37</f>
        <v>68.9898231298657</v>
      </c>
      <c r="EV37" s="19" t="n">
        <f aca="false">$B37+EV$3*100*$A37</f>
        <v>69.4148231298657</v>
      </c>
      <c r="EW37" s="19" t="n">
        <f aca="false">$B37+EW$3*100*$A37</f>
        <v>69.8398231298657</v>
      </c>
      <c r="EX37" s="19" t="n">
        <f aca="false">$B37+EX$3*100*$A37</f>
        <v>70.2648231298657</v>
      </c>
      <c r="EY37" s="19" t="n">
        <f aca="false">$B37+EY$3*100*$A37</f>
        <v>70.6898231298657</v>
      </c>
      <c r="EZ37" s="19" t="n">
        <f aca="false">$B37+EZ$3*100*$A37</f>
        <v>71.1148231298657</v>
      </c>
      <c r="FA37" s="19" t="n">
        <f aca="false">$B37+FA$3*100*$A37</f>
        <v>71.5398231298657</v>
      </c>
      <c r="FB37" s="19" t="n">
        <f aca="false">$B37+FB$3*100*$A37</f>
        <v>71.9648231298657</v>
      </c>
      <c r="FC37" s="19" t="n">
        <f aca="false">$B37+FC$3*100*$A37</f>
        <v>72.3898231298657</v>
      </c>
      <c r="FD37" s="19" t="n">
        <f aca="false">$B37+FD$3*100*$A37</f>
        <v>72.8148231298657</v>
      </c>
      <c r="FE37" s="19" t="n">
        <f aca="false">$B37+FE$3*100*$A37</f>
        <v>73.2398231298657</v>
      </c>
      <c r="FF37" s="19" t="n">
        <f aca="false">$B37+FF$3*100*$A37</f>
        <v>73.6648231298657</v>
      </c>
      <c r="FG37" s="19" t="n">
        <f aca="false">$B37+FG$3*100*$A37</f>
        <v>74.0898231298657</v>
      </c>
      <c r="FH37" s="19" t="n">
        <f aca="false">$B37+FH$3*100*$A37</f>
        <v>74.5148231298657</v>
      </c>
      <c r="FI37" s="19" t="n">
        <f aca="false">$B37+FI$3*100*$A37</f>
        <v>74.9398231298657</v>
      </c>
      <c r="FJ37" s="19" t="n">
        <f aca="false">$B37+FJ$3*100*$A37</f>
        <v>75.3648231298657</v>
      </c>
      <c r="FK37" s="19" t="n">
        <f aca="false">$B37+FK$3*100*$A37</f>
        <v>75.7898231298657</v>
      </c>
      <c r="FL37" s="19" t="n">
        <f aca="false">$B37+FL$3*100*$A37</f>
        <v>76.2148231298657</v>
      </c>
      <c r="FM37" s="19" t="n">
        <f aca="false">$B37+FM$3*100*$A37</f>
        <v>76.6398231298657</v>
      </c>
      <c r="FN37" s="19" t="n">
        <f aca="false">$B37+FN$3*100*$A37</f>
        <v>77.0648231298657</v>
      </c>
      <c r="FO37" s="19" t="n">
        <f aca="false">$B37+FO$3*100*$A37</f>
        <v>77.4898231298657</v>
      </c>
      <c r="FP37" s="19" t="n">
        <f aca="false">$B37+FP$3*100*$A37</f>
        <v>77.9148231298657</v>
      </c>
      <c r="FQ37" s="19" t="n">
        <f aca="false">$B37+FQ$3*100*$A37</f>
        <v>78.3398231298657</v>
      </c>
      <c r="FR37" s="19" t="n">
        <f aca="false">$B37+FR$3*100*$A37</f>
        <v>78.7648231298657</v>
      </c>
      <c r="FS37" s="19" t="n">
        <f aca="false">$B37+FS$3*100*$A37</f>
        <v>79.1898231298657</v>
      </c>
      <c r="FT37" s="19" t="n">
        <f aca="false">$B37+FT$3*100*$A37</f>
        <v>79.6148231298657</v>
      </c>
      <c r="FU37" s="19" t="n">
        <f aca="false">$B37+FU$3*100*$A37</f>
        <v>80.0398231298657</v>
      </c>
      <c r="FV37" s="19" t="n">
        <f aca="false">$B37+FV$3*100*$A37</f>
        <v>80.4648231298657</v>
      </c>
      <c r="FW37" s="19" t="n">
        <f aca="false">$B37+FW$3*100*$A37</f>
        <v>80.8898231298657</v>
      </c>
      <c r="FX37" s="19" t="n">
        <f aca="false">$B37+FX$3*100*$A37</f>
        <v>81.3148231298657</v>
      </c>
      <c r="FY37" s="19" t="n">
        <f aca="false">$B37+FY$3*100*$A37</f>
        <v>81.7398231298657</v>
      </c>
      <c r="FZ37" s="19" t="n">
        <f aca="false">$B37+FZ$3*100*$A37</f>
        <v>82.1648231298657</v>
      </c>
      <c r="GA37" s="19" t="n">
        <f aca="false">$B37+GA$3*100*$A37</f>
        <v>82.5898231298657</v>
      </c>
      <c r="GB37" s="19" t="n">
        <f aca="false">$B37+GB$3*100*$A37</f>
        <v>83.0148231298657</v>
      </c>
      <c r="GC37" s="19" t="n">
        <f aca="false">$B37+GC$3*100*$A37</f>
        <v>83.4398231298657</v>
      </c>
      <c r="GD37" s="19" t="n">
        <f aca="false">$B37+GD$3*100*$A37</f>
        <v>83.8648231298657</v>
      </c>
      <c r="GE37" s="19" t="n">
        <f aca="false">$B37+GE$3*100*$A37</f>
        <v>84.2898231298657</v>
      </c>
      <c r="GF37" s="19" t="n">
        <f aca="false">$B37+GF$3*100*$A37</f>
        <v>84.7148231298657</v>
      </c>
      <c r="GG37" s="19" t="n">
        <f aca="false">$B37+GG$3*100*$A37</f>
        <v>85.1398231298657</v>
      </c>
      <c r="GH37" s="19" t="n">
        <f aca="false">$B37+GH$3*100*$A37</f>
        <v>85.5648231298657</v>
      </c>
      <c r="GI37" s="19" t="n">
        <f aca="false">$B37+GI$3*100*$A37</f>
        <v>85.9898231298657</v>
      </c>
      <c r="GJ37" s="19" t="n">
        <f aca="false">$B37+GJ$3*100*$A37</f>
        <v>86.4148231298657</v>
      </c>
      <c r="GK37" s="19" t="n">
        <f aca="false">$B37+GK$3*100*$A37</f>
        <v>86.8398231298657</v>
      </c>
      <c r="GL37" s="19" t="n">
        <f aca="false">$B37+GL$3*100*$A37</f>
        <v>87.2648231298657</v>
      </c>
      <c r="GM37" s="19" t="n">
        <f aca="false">$B37+GM$3*100*$A37</f>
        <v>87.6898231298657</v>
      </c>
      <c r="GN37" s="19" t="n">
        <f aca="false">$B37+GN$3*100*$A37</f>
        <v>88.1148231298657</v>
      </c>
      <c r="GO37" s="19" t="n">
        <f aca="false">$B37+GO$3*100*$A37</f>
        <v>88.5398231298657</v>
      </c>
      <c r="GP37" s="19" t="n">
        <f aca="false">$B37+GP$3*100*$A37</f>
        <v>88.9648231298657</v>
      </c>
      <c r="GQ37" s="19" t="n">
        <f aca="false">$B37+GQ$3*100*$A37</f>
        <v>89.3898231298657</v>
      </c>
      <c r="GR37" s="19" t="n">
        <f aca="false">$B37+GR$3*100*$A37</f>
        <v>89.8148231298657</v>
      </c>
      <c r="GS37" s="19" t="n">
        <f aca="false">$B37+GS$3*100*$A37</f>
        <v>90.2398231298657</v>
      </c>
      <c r="GT37" s="19" t="n">
        <f aca="false">$B37+GT$3*100*$A37</f>
        <v>90.6648231298657</v>
      </c>
    </row>
    <row r="38" customFormat="false" ht="15" hidden="false" customHeight="false" outlineLevel="0" collapsed="false">
      <c r="A38" s="26" t="n">
        <f aca="false">Frontier!A36</f>
        <v>0.0875</v>
      </c>
      <c r="B38" s="34" t="n">
        <f aca="false">Frontier!B36</f>
        <v>5.39268257885108</v>
      </c>
      <c r="C38" s="19" t="n">
        <f aca="false">$B38+C$3*100*$A38</f>
        <v>5.83018257885108</v>
      </c>
      <c r="D38" s="19" t="n">
        <f aca="false">$B38+D$3*100*$A38</f>
        <v>6.26768257885108</v>
      </c>
      <c r="E38" s="19" t="n">
        <f aca="false">$B38+E$3*100*$A38</f>
        <v>6.70518257885108</v>
      </c>
      <c r="F38" s="19" t="n">
        <f aca="false">$B38+F$3*100*$A38</f>
        <v>7.14268257885108</v>
      </c>
      <c r="G38" s="19" t="n">
        <f aca="false">$B38+G$3*100*$A38</f>
        <v>7.58018257885108</v>
      </c>
      <c r="H38" s="19" t="n">
        <f aca="false">$B38+H$3*100*$A38</f>
        <v>8.01768257885108</v>
      </c>
      <c r="I38" s="19" t="n">
        <f aca="false">$B38+I$3*100*$A38</f>
        <v>8.45518257885108</v>
      </c>
      <c r="J38" s="19" t="n">
        <f aca="false">$B38+J$3*100*$A38</f>
        <v>8.89268257885108</v>
      </c>
      <c r="K38" s="19" t="n">
        <f aca="false">$B38+K$3*100*$A38</f>
        <v>9.33018257885108</v>
      </c>
      <c r="L38" s="19" t="n">
        <f aca="false">$B38+L$3*100*$A38</f>
        <v>9.76768257885108</v>
      </c>
      <c r="M38" s="19" t="n">
        <f aca="false">$B38+M$3*100*$A38</f>
        <v>10.2051825788511</v>
      </c>
      <c r="N38" s="19" t="n">
        <f aca="false">$B38+N$3*100*$A38</f>
        <v>10.6426825788511</v>
      </c>
      <c r="O38" s="19" t="n">
        <f aca="false">$B38+O$3*100*$A38</f>
        <v>11.0801825788511</v>
      </c>
      <c r="P38" s="19" t="n">
        <f aca="false">$B38+P$3*100*$A38</f>
        <v>11.5176825788511</v>
      </c>
      <c r="Q38" s="19" t="n">
        <f aca="false">$B38+Q$3*100*$A38</f>
        <v>11.9551825788511</v>
      </c>
      <c r="R38" s="19" t="n">
        <f aca="false">$B38+R$3*100*$A38</f>
        <v>12.3926825788511</v>
      </c>
      <c r="S38" s="19" t="n">
        <f aca="false">$B38+S$3*100*$A38</f>
        <v>12.8301825788511</v>
      </c>
      <c r="T38" s="19" t="n">
        <f aca="false">$B38+T$3*100*$A38</f>
        <v>13.2676825788511</v>
      </c>
      <c r="U38" s="19" t="n">
        <f aca="false">$B38+U$3*100*$A38</f>
        <v>13.7051825788511</v>
      </c>
      <c r="V38" s="19" t="n">
        <f aca="false">$B38+V$3*100*$A38</f>
        <v>14.1426825788511</v>
      </c>
      <c r="W38" s="19" t="n">
        <f aca="false">$B38+W$3*100*$A38</f>
        <v>14.5801825788511</v>
      </c>
      <c r="X38" s="19" t="n">
        <f aca="false">$B38+X$3*100*$A38</f>
        <v>15.0176825788511</v>
      </c>
      <c r="Y38" s="19" t="n">
        <f aca="false">$B38+Y$3*100*$A38</f>
        <v>15.4551825788511</v>
      </c>
      <c r="Z38" s="19" t="n">
        <f aca="false">$B38+Z$3*100*$A38</f>
        <v>15.8926825788511</v>
      </c>
      <c r="AA38" s="19" t="n">
        <f aca="false">$B38+AA$3*100*$A38</f>
        <v>16.3301825788511</v>
      </c>
      <c r="AB38" s="19" t="n">
        <f aca="false">$B38+AB$3*100*$A38</f>
        <v>16.7676825788511</v>
      </c>
      <c r="AC38" s="19" t="n">
        <f aca="false">$B38+AC$3*100*$A38</f>
        <v>17.2051825788511</v>
      </c>
      <c r="AD38" s="19" t="n">
        <f aca="false">$B38+AD$3*100*$A38</f>
        <v>17.6426825788511</v>
      </c>
      <c r="AE38" s="19" t="n">
        <f aca="false">$B38+AE$3*100*$A38</f>
        <v>18.0801825788511</v>
      </c>
      <c r="AF38" s="19" t="n">
        <f aca="false">$B38+AF$3*100*$A38</f>
        <v>18.5176825788511</v>
      </c>
      <c r="AG38" s="19" t="n">
        <f aca="false">$B38+AG$3*100*$A38</f>
        <v>18.9551825788511</v>
      </c>
      <c r="AH38" s="19" t="n">
        <f aca="false">$B38+AH$3*100*$A38</f>
        <v>19.3926825788511</v>
      </c>
      <c r="AI38" s="19" t="n">
        <f aca="false">$B38+AI$3*100*$A38</f>
        <v>19.8301825788511</v>
      </c>
      <c r="AJ38" s="19" t="n">
        <f aca="false">$B38+AJ$3*100*$A38</f>
        <v>20.2676825788511</v>
      </c>
      <c r="AK38" s="19" t="n">
        <f aca="false">$B38+AK$3*100*$A38</f>
        <v>20.7051825788511</v>
      </c>
      <c r="AL38" s="19" t="n">
        <f aca="false">$B38+AL$3*100*$A38</f>
        <v>21.1426825788511</v>
      </c>
      <c r="AM38" s="19" t="n">
        <f aca="false">$B38+AM$3*100*$A38</f>
        <v>21.5801825788511</v>
      </c>
      <c r="AN38" s="19" t="n">
        <f aca="false">$B38+AN$3*100*$A38</f>
        <v>22.0176825788511</v>
      </c>
      <c r="AO38" s="19" t="n">
        <f aca="false">$B38+AO$3*100*$A38</f>
        <v>22.4551825788511</v>
      </c>
      <c r="AP38" s="19" t="n">
        <f aca="false">$B38+AP$3*100*$A38</f>
        <v>22.8926825788511</v>
      </c>
      <c r="AQ38" s="19" t="n">
        <f aca="false">$B38+AQ$3*100*$A38</f>
        <v>23.3301825788511</v>
      </c>
      <c r="AR38" s="19" t="n">
        <f aca="false">$B38+AR$3*100*$A38</f>
        <v>23.7676825788511</v>
      </c>
      <c r="AS38" s="19" t="n">
        <f aca="false">$B38+AS$3*100*$A38</f>
        <v>24.2051825788511</v>
      </c>
      <c r="AT38" s="19" t="n">
        <f aca="false">$B38+AT$3*100*$A38</f>
        <v>24.6426825788511</v>
      </c>
      <c r="AU38" s="19" t="n">
        <f aca="false">$B38+AU$3*100*$A38</f>
        <v>25.0801825788511</v>
      </c>
      <c r="AV38" s="19" t="n">
        <f aca="false">$B38+AV$3*100*$A38</f>
        <v>25.5176825788511</v>
      </c>
      <c r="AW38" s="19" t="n">
        <f aca="false">$B38+AW$3*100*$A38</f>
        <v>25.9551825788511</v>
      </c>
      <c r="AX38" s="19" t="n">
        <f aca="false">$B38+AX$3*100*$A38</f>
        <v>26.3926825788511</v>
      </c>
      <c r="AY38" s="19" t="n">
        <f aca="false">$B38+AY$3*100*$A38</f>
        <v>26.8301825788511</v>
      </c>
      <c r="AZ38" s="19" t="n">
        <f aca="false">$B38+AZ$3*100*$A38</f>
        <v>27.2676825788511</v>
      </c>
      <c r="BA38" s="19" t="n">
        <f aca="false">$B38+BA$3*100*$A38</f>
        <v>27.7051825788511</v>
      </c>
      <c r="BB38" s="19" t="n">
        <f aca="false">$B38+BB$3*100*$A38</f>
        <v>28.1426825788511</v>
      </c>
      <c r="BC38" s="19" t="n">
        <f aca="false">$B38+BC$3*100*$A38</f>
        <v>28.5801825788511</v>
      </c>
      <c r="BD38" s="19" t="n">
        <f aca="false">$B38+BD$3*100*$A38</f>
        <v>29.0176825788511</v>
      </c>
      <c r="BE38" s="19" t="n">
        <f aca="false">$B38+BE$3*100*$A38</f>
        <v>29.4551825788511</v>
      </c>
      <c r="BF38" s="19" t="n">
        <f aca="false">$B38+BF$3*100*$A38</f>
        <v>29.8926825788511</v>
      </c>
      <c r="BG38" s="19" t="n">
        <f aca="false">$B38+BG$3*100*$A38</f>
        <v>30.3301825788511</v>
      </c>
      <c r="BH38" s="19" t="n">
        <f aca="false">$B38+BH$3*100*$A38</f>
        <v>30.7676825788511</v>
      </c>
      <c r="BI38" s="19" t="n">
        <f aca="false">$B38+BI$3*100*$A38</f>
        <v>31.2051825788511</v>
      </c>
      <c r="BJ38" s="19" t="n">
        <f aca="false">$B38+BJ$3*100*$A38</f>
        <v>31.6426825788511</v>
      </c>
      <c r="BK38" s="19" t="n">
        <f aca="false">$B38+BK$3*100*$A38</f>
        <v>32.0801825788511</v>
      </c>
      <c r="BL38" s="19" t="n">
        <f aca="false">$B38+BL$3*100*$A38</f>
        <v>32.5176825788511</v>
      </c>
      <c r="BM38" s="19" t="n">
        <f aca="false">$B38+BM$3*100*$A38</f>
        <v>32.9551825788511</v>
      </c>
      <c r="BN38" s="19" t="n">
        <f aca="false">$B38+BN$3*100*$A38</f>
        <v>33.3926825788511</v>
      </c>
      <c r="BO38" s="19" t="n">
        <f aca="false">$B38+BO$3*100*$A38</f>
        <v>33.8301825788511</v>
      </c>
      <c r="BP38" s="19" t="n">
        <f aca="false">$B38+BP$3*100*$A38</f>
        <v>34.2676825788511</v>
      </c>
      <c r="BQ38" s="19" t="n">
        <f aca="false">$B38+BQ$3*100*$A38</f>
        <v>34.7051825788511</v>
      </c>
      <c r="BR38" s="19" t="n">
        <f aca="false">$B38+BR$3*100*$A38</f>
        <v>35.1426825788511</v>
      </c>
      <c r="BS38" s="19" t="n">
        <f aca="false">$B38+BS$3*100*$A38</f>
        <v>35.5801825788511</v>
      </c>
      <c r="BT38" s="19" t="n">
        <f aca="false">$B38+BT$3*100*$A38</f>
        <v>36.0176825788511</v>
      </c>
      <c r="BU38" s="19" t="n">
        <f aca="false">$B38+BU$3*100*$A38</f>
        <v>36.4551825788511</v>
      </c>
      <c r="BV38" s="19" t="n">
        <f aca="false">$B38+BV$3*100*$A38</f>
        <v>36.8926825788511</v>
      </c>
      <c r="BW38" s="19" t="n">
        <f aca="false">$B38+BW$3*100*$A38</f>
        <v>37.3301825788511</v>
      </c>
      <c r="BX38" s="19" t="n">
        <f aca="false">$B38+BX$3*100*$A38</f>
        <v>37.7676825788511</v>
      </c>
      <c r="BY38" s="19" t="n">
        <f aca="false">$B38+BY$3*100*$A38</f>
        <v>38.2051825788511</v>
      </c>
      <c r="BZ38" s="19" t="n">
        <f aca="false">$B38+BZ$3*100*$A38</f>
        <v>38.6426825788511</v>
      </c>
      <c r="CA38" s="19" t="n">
        <f aca="false">$B38+CA$3*100*$A38</f>
        <v>39.0801825788511</v>
      </c>
      <c r="CB38" s="19" t="n">
        <f aca="false">$B38+CB$3*100*$A38</f>
        <v>39.5176825788511</v>
      </c>
      <c r="CC38" s="19" t="n">
        <f aca="false">$B38+CC$3*100*$A38</f>
        <v>39.9551825788511</v>
      </c>
      <c r="CD38" s="19" t="n">
        <f aca="false">$B38+CD$3*100*$A38</f>
        <v>40.3926825788511</v>
      </c>
      <c r="CE38" s="19" t="n">
        <f aca="false">$B38+CE$3*100*$A38</f>
        <v>40.8301825788511</v>
      </c>
      <c r="CF38" s="19" t="n">
        <f aca="false">$B38+CF$3*100*$A38</f>
        <v>41.2676825788511</v>
      </c>
      <c r="CG38" s="19" t="n">
        <f aca="false">$B38+CG$3*100*$A38</f>
        <v>41.7051825788511</v>
      </c>
      <c r="CH38" s="19" t="n">
        <f aca="false">$B38+CH$3*100*$A38</f>
        <v>42.1426825788511</v>
      </c>
      <c r="CI38" s="19" t="n">
        <f aca="false">$B38+CI$3*100*$A38</f>
        <v>42.5801825788511</v>
      </c>
      <c r="CJ38" s="19" t="n">
        <f aca="false">$B38+CJ$3*100*$A38</f>
        <v>43.0176825788511</v>
      </c>
      <c r="CK38" s="19" t="n">
        <f aca="false">$B38+CK$3*100*$A38</f>
        <v>43.4551825788511</v>
      </c>
      <c r="CL38" s="19" t="n">
        <f aca="false">$B38+CL$3*100*$A38</f>
        <v>43.8926825788511</v>
      </c>
      <c r="CM38" s="19" t="n">
        <f aca="false">$B38+CM$3*100*$A38</f>
        <v>44.3301825788511</v>
      </c>
      <c r="CN38" s="19" t="n">
        <f aca="false">$B38+CN$3*100*$A38</f>
        <v>44.7676825788511</v>
      </c>
      <c r="CO38" s="19" t="n">
        <f aca="false">$B38+CO$3*100*$A38</f>
        <v>45.2051825788511</v>
      </c>
      <c r="CP38" s="19" t="n">
        <f aca="false">$B38+CP$3*100*$A38</f>
        <v>45.6426825788511</v>
      </c>
      <c r="CQ38" s="19" t="n">
        <f aca="false">$B38+CQ$3*100*$A38</f>
        <v>46.0801825788511</v>
      </c>
      <c r="CR38" s="19" t="n">
        <f aca="false">$B38+CR$3*100*$A38</f>
        <v>46.5176825788511</v>
      </c>
      <c r="CS38" s="19" t="n">
        <f aca="false">$B38+CS$3*100*$A38</f>
        <v>46.9551825788511</v>
      </c>
      <c r="CT38" s="19" t="n">
        <f aca="false">$B38+CT$3*100*$A38</f>
        <v>47.3926825788511</v>
      </c>
      <c r="CU38" s="19" t="n">
        <f aca="false">$B38+CU$3*100*$A38</f>
        <v>47.8301825788511</v>
      </c>
      <c r="CV38" s="19" t="n">
        <f aca="false">$B38+CV$3*100*$A38</f>
        <v>48.2676825788511</v>
      </c>
      <c r="CW38" s="19" t="n">
        <f aca="false">$B38+CW$3*100*$A38</f>
        <v>48.7051825788511</v>
      </c>
      <c r="CX38" s="19" t="n">
        <f aca="false">$B38+CX$3*100*$A38</f>
        <v>49.1426825788511</v>
      </c>
      <c r="CY38" s="19" t="n">
        <f aca="false">$B38+CY$3*100*$A38</f>
        <v>49.5801825788511</v>
      </c>
      <c r="CZ38" s="19" t="n">
        <f aca="false">$B38+CZ$3*100*$A38</f>
        <v>50.0176825788511</v>
      </c>
      <c r="DA38" s="19" t="n">
        <f aca="false">$B38+DA$3*100*$A38</f>
        <v>50.4551825788511</v>
      </c>
      <c r="DB38" s="19" t="n">
        <f aca="false">$B38+DB$3*100*$A38</f>
        <v>50.8926825788511</v>
      </c>
      <c r="DC38" s="19" t="n">
        <f aca="false">$B38+DC$3*100*$A38</f>
        <v>51.3301825788511</v>
      </c>
      <c r="DD38" s="19" t="n">
        <f aca="false">$B38+DD$3*100*$A38</f>
        <v>51.7676825788511</v>
      </c>
      <c r="DE38" s="19" t="n">
        <f aca="false">$B38+DE$3*100*$A38</f>
        <v>52.2051825788511</v>
      </c>
      <c r="DF38" s="19" t="n">
        <f aca="false">$B38+DF$3*100*$A38</f>
        <v>52.6426825788511</v>
      </c>
      <c r="DG38" s="19" t="n">
        <f aca="false">$B38+DG$3*100*$A38</f>
        <v>53.0801825788511</v>
      </c>
      <c r="DH38" s="19" t="n">
        <f aca="false">$B38+DH$3*100*$A38</f>
        <v>53.5176825788511</v>
      </c>
      <c r="DI38" s="19" t="n">
        <f aca="false">$B38+DI$3*100*$A38</f>
        <v>53.9551825788511</v>
      </c>
      <c r="DJ38" s="19" t="n">
        <f aca="false">$B38+DJ$3*100*$A38</f>
        <v>54.3926825788511</v>
      </c>
      <c r="DK38" s="19" t="n">
        <f aca="false">$B38+DK$3*100*$A38</f>
        <v>54.8301825788511</v>
      </c>
      <c r="DL38" s="19" t="n">
        <f aca="false">$B38+DL$3*100*$A38</f>
        <v>55.2676825788511</v>
      </c>
      <c r="DM38" s="19" t="n">
        <f aca="false">$B38+DM$3*100*$A38</f>
        <v>55.7051825788511</v>
      </c>
      <c r="DN38" s="19" t="n">
        <f aca="false">$B38+DN$3*100*$A38</f>
        <v>56.1426825788511</v>
      </c>
      <c r="DO38" s="19" t="n">
        <f aca="false">$B38+DO$3*100*$A38</f>
        <v>56.5801825788511</v>
      </c>
      <c r="DP38" s="19" t="n">
        <f aca="false">$B38+DP$3*100*$A38</f>
        <v>57.0176825788511</v>
      </c>
      <c r="DQ38" s="19" t="n">
        <f aca="false">$B38+DQ$3*100*$A38</f>
        <v>57.4551825788511</v>
      </c>
      <c r="DR38" s="19" t="n">
        <f aca="false">$B38+DR$3*100*$A38</f>
        <v>57.8926825788511</v>
      </c>
      <c r="DS38" s="19" t="n">
        <f aca="false">$B38+DS$3*100*$A38</f>
        <v>58.3301825788511</v>
      </c>
      <c r="DT38" s="19" t="n">
        <f aca="false">$B38+DT$3*100*$A38</f>
        <v>58.7676825788511</v>
      </c>
      <c r="DU38" s="19" t="n">
        <f aca="false">$B38+DU$3*100*$A38</f>
        <v>59.2051825788511</v>
      </c>
      <c r="DV38" s="19" t="n">
        <f aca="false">$B38+DV$3*100*$A38</f>
        <v>59.6426825788511</v>
      </c>
      <c r="DW38" s="19" t="n">
        <f aca="false">$B38+DW$3*100*$A38</f>
        <v>60.0801825788511</v>
      </c>
      <c r="DX38" s="19" t="n">
        <f aca="false">$B38+DX$3*100*$A38</f>
        <v>60.5176825788511</v>
      </c>
      <c r="DY38" s="19" t="n">
        <f aca="false">$B38+DY$3*100*$A38</f>
        <v>60.9551825788511</v>
      </c>
      <c r="DZ38" s="19" t="n">
        <f aca="false">$B38+DZ$3*100*$A38</f>
        <v>61.3926825788511</v>
      </c>
      <c r="EA38" s="19" t="n">
        <f aca="false">$B38+EA$3*100*$A38</f>
        <v>61.8301825788511</v>
      </c>
      <c r="EB38" s="19" t="n">
        <f aca="false">$B38+EB$3*100*$A38</f>
        <v>62.2676825788511</v>
      </c>
      <c r="EC38" s="19" t="n">
        <f aca="false">$B38+EC$3*100*$A38</f>
        <v>62.7051825788511</v>
      </c>
      <c r="ED38" s="19" t="n">
        <f aca="false">$B38+ED$3*100*$A38</f>
        <v>63.1426825788511</v>
      </c>
      <c r="EE38" s="19" t="n">
        <f aca="false">$B38+EE$3*100*$A38</f>
        <v>63.5801825788511</v>
      </c>
      <c r="EF38" s="19" t="n">
        <f aca="false">$B38+EF$3*100*$A38</f>
        <v>64.0176825788511</v>
      </c>
      <c r="EG38" s="19" t="n">
        <f aca="false">$B38+EG$3*100*$A38</f>
        <v>64.4551825788511</v>
      </c>
      <c r="EH38" s="19" t="n">
        <f aca="false">$B38+EH$3*100*$A38</f>
        <v>64.8926825788511</v>
      </c>
      <c r="EI38" s="19" t="n">
        <f aca="false">$B38+EI$3*100*$A38</f>
        <v>65.3301825788511</v>
      </c>
      <c r="EJ38" s="19" t="n">
        <f aca="false">$B38+EJ$3*100*$A38</f>
        <v>65.7676825788511</v>
      </c>
      <c r="EK38" s="19" t="n">
        <f aca="false">$B38+EK$3*100*$A38</f>
        <v>66.2051825788511</v>
      </c>
      <c r="EL38" s="19" t="n">
        <f aca="false">$B38+EL$3*100*$A38</f>
        <v>66.6426825788511</v>
      </c>
      <c r="EM38" s="19" t="n">
        <f aca="false">$B38+EM$3*100*$A38</f>
        <v>67.0801825788511</v>
      </c>
      <c r="EN38" s="19" t="n">
        <f aca="false">$B38+EN$3*100*$A38</f>
        <v>67.5176825788511</v>
      </c>
      <c r="EO38" s="19" t="n">
        <f aca="false">$B38+EO$3*100*$A38</f>
        <v>67.9551825788511</v>
      </c>
      <c r="EP38" s="19" t="n">
        <f aca="false">$B38+EP$3*100*$A38</f>
        <v>68.3926825788511</v>
      </c>
      <c r="EQ38" s="19" t="n">
        <f aca="false">$B38+EQ$3*100*$A38</f>
        <v>68.8301825788511</v>
      </c>
      <c r="ER38" s="19" t="n">
        <f aca="false">$B38+ER$3*100*$A38</f>
        <v>69.2676825788511</v>
      </c>
      <c r="ES38" s="19" t="n">
        <f aca="false">$B38+ES$3*100*$A38</f>
        <v>69.7051825788511</v>
      </c>
      <c r="ET38" s="19" t="n">
        <f aca="false">$B38+ET$3*100*$A38</f>
        <v>70.1426825788511</v>
      </c>
      <c r="EU38" s="19" t="n">
        <f aca="false">$B38+EU$3*100*$A38</f>
        <v>70.5801825788511</v>
      </c>
      <c r="EV38" s="19" t="n">
        <f aca="false">$B38+EV$3*100*$A38</f>
        <v>71.0176825788511</v>
      </c>
      <c r="EW38" s="19" t="n">
        <f aca="false">$B38+EW$3*100*$A38</f>
        <v>71.4551825788511</v>
      </c>
      <c r="EX38" s="19" t="n">
        <f aca="false">$B38+EX$3*100*$A38</f>
        <v>71.8926825788511</v>
      </c>
      <c r="EY38" s="19" t="n">
        <f aca="false">$B38+EY$3*100*$A38</f>
        <v>72.3301825788511</v>
      </c>
      <c r="EZ38" s="19" t="n">
        <f aca="false">$B38+EZ$3*100*$A38</f>
        <v>72.7676825788511</v>
      </c>
      <c r="FA38" s="19" t="n">
        <f aca="false">$B38+FA$3*100*$A38</f>
        <v>73.2051825788511</v>
      </c>
      <c r="FB38" s="19" t="n">
        <f aca="false">$B38+FB$3*100*$A38</f>
        <v>73.6426825788511</v>
      </c>
      <c r="FC38" s="19" t="n">
        <f aca="false">$B38+FC$3*100*$A38</f>
        <v>74.0801825788511</v>
      </c>
      <c r="FD38" s="19" t="n">
        <f aca="false">$B38+FD$3*100*$A38</f>
        <v>74.5176825788511</v>
      </c>
      <c r="FE38" s="19" t="n">
        <f aca="false">$B38+FE$3*100*$A38</f>
        <v>74.9551825788511</v>
      </c>
      <c r="FF38" s="19" t="n">
        <f aca="false">$B38+FF$3*100*$A38</f>
        <v>75.3926825788511</v>
      </c>
      <c r="FG38" s="19" t="n">
        <f aca="false">$B38+FG$3*100*$A38</f>
        <v>75.8301825788511</v>
      </c>
      <c r="FH38" s="19" t="n">
        <f aca="false">$B38+FH$3*100*$A38</f>
        <v>76.2676825788511</v>
      </c>
      <c r="FI38" s="19" t="n">
        <f aca="false">$B38+FI$3*100*$A38</f>
        <v>76.7051825788511</v>
      </c>
      <c r="FJ38" s="19" t="n">
        <f aca="false">$B38+FJ$3*100*$A38</f>
        <v>77.1426825788511</v>
      </c>
      <c r="FK38" s="19" t="n">
        <f aca="false">$B38+FK$3*100*$A38</f>
        <v>77.5801825788511</v>
      </c>
      <c r="FL38" s="19" t="n">
        <f aca="false">$B38+FL$3*100*$A38</f>
        <v>78.0176825788511</v>
      </c>
      <c r="FM38" s="19" t="n">
        <f aca="false">$B38+FM$3*100*$A38</f>
        <v>78.4551825788511</v>
      </c>
      <c r="FN38" s="19" t="n">
        <f aca="false">$B38+FN$3*100*$A38</f>
        <v>78.8926825788511</v>
      </c>
      <c r="FO38" s="19" t="n">
        <f aca="false">$B38+FO$3*100*$A38</f>
        <v>79.3301825788511</v>
      </c>
      <c r="FP38" s="19" t="n">
        <f aca="false">$B38+FP$3*100*$A38</f>
        <v>79.7676825788511</v>
      </c>
      <c r="FQ38" s="19" t="n">
        <f aca="false">$B38+FQ$3*100*$A38</f>
        <v>80.2051825788511</v>
      </c>
      <c r="FR38" s="19" t="n">
        <f aca="false">$B38+FR$3*100*$A38</f>
        <v>80.6426825788511</v>
      </c>
      <c r="FS38" s="19" t="n">
        <f aca="false">$B38+FS$3*100*$A38</f>
        <v>81.0801825788511</v>
      </c>
      <c r="FT38" s="19" t="n">
        <f aca="false">$B38+FT$3*100*$A38</f>
        <v>81.5176825788511</v>
      </c>
      <c r="FU38" s="19" t="n">
        <f aca="false">$B38+FU$3*100*$A38</f>
        <v>81.9551825788511</v>
      </c>
      <c r="FV38" s="19" t="n">
        <f aca="false">$B38+FV$3*100*$A38</f>
        <v>82.3926825788511</v>
      </c>
      <c r="FW38" s="19" t="n">
        <f aca="false">$B38+FW$3*100*$A38</f>
        <v>82.8301825788511</v>
      </c>
      <c r="FX38" s="19" t="n">
        <f aca="false">$B38+FX$3*100*$A38</f>
        <v>83.2676825788511</v>
      </c>
      <c r="FY38" s="19" t="n">
        <f aca="false">$B38+FY$3*100*$A38</f>
        <v>83.7051825788511</v>
      </c>
      <c r="FZ38" s="19" t="n">
        <f aca="false">$B38+FZ$3*100*$A38</f>
        <v>84.1426825788511</v>
      </c>
      <c r="GA38" s="19" t="n">
        <f aca="false">$B38+GA$3*100*$A38</f>
        <v>84.5801825788511</v>
      </c>
      <c r="GB38" s="19" t="n">
        <f aca="false">$B38+GB$3*100*$A38</f>
        <v>85.0176825788511</v>
      </c>
      <c r="GC38" s="19" t="n">
        <f aca="false">$B38+GC$3*100*$A38</f>
        <v>85.4551825788511</v>
      </c>
      <c r="GD38" s="19" t="n">
        <f aca="false">$B38+GD$3*100*$A38</f>
        <v>85.8926825788511</v>
      </c>
      <c r="GE38" s="19" t="n">
        <f aca="false">$B38+GE$3*100*$A38</f>
        <v>86.3301825788511</v>
      </c>
      <c r="GF38" s="19" t="n">
        <f aca="false">$B38+GF$3*100*$A38</f>
        <v>86.7676825788511</v>
      </c>
      <c r="GG38" s="19" t="n">
        <f aca="false">$B38+GG$3*100*$A38</f>
        <v>87.2051825788511</v>
      </c>
      <c r="GH38" s="19" t="n">
        <f aca="false">$B38+GH$3*100*$A38</f>
        <v>87.6426825788511</v>
      </c>
      <c r="GI38" s="19" t="n">
        <f aca="false">$B38+GI$3*100*$A38</f>
        <v>88.0801825788511</v>
      </c>
      <c r="GJ38" s="19" t="n">
        <f aca="false">$B38+GJ$3*100*$A38</f>
        <v>88.5176825788511</v>
      </c>
      <c r="GK38" s="19" t="n">
        <f aca="false">$B38+GK$3*100*$A38</f>
        <v>88.9551825788511</v>
      </c>
      <c r="GL38" s="19" t="n">
        <f aca="false">$B38+GL$3*100*$A38</f>
        <v>89.3926825788511</v>
      </c>
      <c r="GM38" s="19" t="n">
        <f aca="false">$B38+GM$3*100*$A38</f>
        <v>89.8301825788511</v>
      </c>
      <c r="GN38" s="19" t="n">
        <f aca="false">$B38+GN$3*100*$A38</f>
        <v>90.2676825788511</v>
      </c>
      <c r="GO38" s="19" t="n">
        <f aca="false">$B38+GO$3*100*$A38</f>
        <v>90.7051825788511</v>
      </c>
      <c r="GP38" s="19" t="n">
        <f aca="false">$B38+GP$3*100*$A38</f>
        <v>91.1426825788511</v>
      </c>
      <c r="GQ38" s="19" t="n">
        <f aca="false">$B38+GQ$3*100*$A38</f>
        <v>91.5801825788511</v>
      </c>
      <c r="GR38" s="19" t="n">
        <f aca="false">$B38+GR$3*100*$A38</f>
        <v>92.0176825788511</v>
      </c>
      <c r="GS38" s="19" t="n">
        <f aca="false">$B38+GS$3*100*$A38</f>
        <v>92.4551825788511</v>
      </c>
      <c r="GT38" s="19" t="n">
        <f aca="false">$B38+GT$3*100*$A38</f>
        <v>92.8926825788511</v>
      </c>
    </row>
    <row r="39" customFormat="false" ht="15" hidden="false" customHeight="false" outlineLevel="0" collapsed="false">
      <c r="A39" s="26" t="n">
        <f aca="false">Frontier!A37</f>
        <v>0.09</v>
      </c>
      <c r="B39" s="34" t="n">
        <f aca="false">Frontier!B37</f>
        <v>5.1115329937933</v>
      </c>
      <c r="C39" s="19" t="n">
        <f aca="false">$B39+C$3*100*$A39</f>
        <v>5.5615329937933</v>
      </c>
      <c r="D39" s="19" t="n">
        <f aca="false">$B39+D$3*100*$A39</f>
        <v>6.0115329937933</v>
      </c>
      <c r="E39" s="19" t="n">
        <f aca="false">$B39+E$3*100*$A39</f>
        <v>6.4615329937933</v>
      </c>
      <c r="F39" s="19" t="n">
        <f aca="false">$B39+F$3*100*$A39</f>
        <v>6.9115329937933</v>
      </c>
      <c r="G39" s="19" t="n">
        <f aca="false">$B39+G$3*100*$A39</f>
        <v>7.3615329937933</v>
      </c>
      <c r="H39" s="19" t="n">
        <f aca="false">$B39+H$3*100*$A39</f>
        <v>7.8115329937933</v>
      </c>
      <c r="I39" s="19" t="n">
        <f aca="false">$B39+I$3*100*$A39</f>
        <v>8.2615329937933</v>
      </c>
      <c r="J39" s="19" t="n">
        <f aca="false">$B39+J$3*100*$A39</f>
        <v>8.7115329937933</v>
      </c>
      <c r="K39" s="19" t="n">
        <f aca="false">$B39+K$3*100*$A39</f>
        <v>9.1615329937933</v>
      </c>
      <c r="L39" s="19" t="n">
        <f aca="false">$B39+L$3*100*$A39</f>
        <v>9.6115329937933</v>
      </c>
      <c r="M39" s="19" t="n">
        <f aca="false">$B39+M$3*100*$A39</f>
        <v>10.0615329937933</v>
      </c>
      <c r="N39" s="19" t="n">
        <f aca="false">$B39+N$3*100*$A39</f>
        <v>10.5115329937933</v>
      </c>
      <c r="O39" s="19" t="n">
        <f aca="false">$B39+O$3*100*$A39</f>
        <v>10.9615329937933</v>
      </c>
      <c r="P39" s="19" t="n">
        <f aca="false">$B39+P$3*100*$A39</f>
        <v>11.4115329937933</v>
      </c>
      <c r="Q39" s="19" t="n">
        <f aca="false">$B39+Q$3*100*$A39</f>
        <v>11.8615329937933</v>
      </c>
      <c r="R39" s="19" t="n">
        <f aca="false">$B39+R$3*100*$A39</f>
        <v>12.3115329937933</v>
      </c>
      <c r="S39" s="19" t="n">
        <f aca="false">$B39+S$3*100*$A39</f>
        <v>12.7615329937933</v>
      </c>
      <c r="T39" s="19" t="n">
        <f aca="false">$B39+T$3*100*$A39</f>
        <v>13.2115329937933</v>
      </c>
      <c r="U39" s="19" t="n">
        <f aca="false">$B39+U$3*100*$A39</f>
        <v>13.6615329937933</v>
      </c>
      <c r="V39" s="19" t="n">
        <f aca="false">$B39+V$3*100*$A39</f>
        <v>14.1115329937933</v>
      </c>
      <c r="W39" s="19" t="n">
        <f aca="false">$B39+W$3*100*$A39</f>
        <v>14.5615329937933</v>
      </c>
      <c r="X39" s="19" t="n">
        <f aca="false">$B39+X$3*100*$A39</f>
        <v>15.0115329937933</v>
      </c>
      <c r="Y39" s="19" t="n">
        <f aca="false">$B39+Y$3*100*$A39</f>
        <v>15.4615329937933</v>
      </c>
      <c r="Z39" s="19" t="n">
        <f aca="false">$B39+Z$3*100*$A39</f>
        <v>15.9115329937933</v>
      </c>
      <c r="AA39" s="19" t="n">
        <f aca="false">$B39+AA$3*100*$A39</f>
        <v>16.3615329937933</v>
      </c>
      <c r="AB39" s="19" t="n">
        <f aca="false">$B39+AB$3*100*$A39</f>
        <v>16.8115329937933</v>
      </c>
      <c r="AC39" s="19" t="n">
        <f aca="false">$B39+AC$3*100*$A39</f>
        <v>17.2615329937933</v>
      </c>
      <c r="AD39" s="19" t="n">
        <f aca="false">$B39+AD$3*100*$A39</f>
        <v>17.7115329937933</v>
      </c>
      <c r="AE39" s="19" t="n">
        <f aca="false">$B39+AE$3*100*$A39</f>
        <v>18.1615329937933</v>
      </c>
      <c r="AF39" s="19" t="n">
        <f aca="false">$B39+AF$3*100*$A39</f>
        <v>18.6115329937933</v>
      </c>
      <c r="AG39" s="19" t="n">
        <f aca="false">$B39+AG$3*100*$A39</f>
        <v>19.0615329937933</v>
      </c>
      <c r="AH39" s="19" t="n">
        <f aca="false">$B39+AH$3*100*$A39</f>
        <v>19.5115329937933</v>
      </c>
      <c r="AI39" s="19" t="n">
        <f aca="false">$B39+AI$3*100*$A39</f>
        <v>19.9615329937933</v>
      </c>
      <c r="AJ39" s="19" t="n">
        <f aca="false">$B39+AJ$3*100*$A39</f>
        <v>20.4115329937933</v>
      </c>
      <c r="AK39" s="19" t="n">
        <f aca="false">$B39+AK$3*100*$A39</f>
        <v>20.8615329937933</v>
      </c>
      <c r="AL39" s="19" t="n">
        <f aca="false">$B39+AL$3*100*$A39</f>
        <v>21.3115329937933</v>
      </c>
      <c r="AM39" s="19" t="n">
        <f aca="false">$B39+AM$3*100*$A39</f>
        <v>21.7615329937933</v>
      </c>
      <c r="AN39" s="19" t="n">
        <f aca="false">$B39+AN$3*100*$A39</f>
        <v>22.2115329937933</v>
      </c>
      <c r="AO39" s="19" t="n">
        <f aca="false">$B39+AO$3*100*$A39</f>
        <v>22.6615329937933</v>
      </c>
      <c r="AP39" s="19" t="n">
        <f aca="false">$B39+AP$3*100*$A39</f>
        <v>23.1115329937933</v>
      </c>
      <c r="AQ39" s="19" t="n">
        <f aca="false">$B39+AQ$3*100*$A39</f>
        <v>23.5615329937933</v>
      </c>
      <c r="AR39" s="19" t="n">
        <f aca="false">$B39+AR$3*100*$A39</f>
        <v>24.0115329937933</v>
      </c>
      <c r="AS39" s="19" t="n">
        <f aca="false">$B39+AS$3*100*$A39</f>
        <v>24.4615329937933</v>
      </c>
      <c r="AT39" s="19" t="n">
        <f aca="false">$B39+AT$3*100*$A39</f>
        <v>24.9115329937933</v>
      </c>
      <c r="AU39" s="19" t="n">
        <f aca="false">$B39+AU$3*100*$A39</f>
        <v>25.3615329937933</v>
      </c>
      <c r="AV39" s="19" t="n">
        <f aca="false">$B39+AV$3*100*$A39</f>
        <v>25.8115329937933</v>
      </c>
      <c r="AW39" s="19" t="n">
        <f aca="false">$B39+AW$3*100*$A39</f>
        <v>26.2615329937933</v>
      </c>
      <c r="AX39" s="19" t="n">
        <f aca="false">$B39+AX$3*100*$A39</f>
        <v>26.7115329937933</v>
      </c>
      <c r="AY39" s="19" t="n">
        <f aca="false">$B39+AY$3*100*$A39</f>
        <v>27.1615329937933</v>
      </c>
      <c r="AZ39" s="19" t="n">
        <f aca="false">$B39+AZ$3*100*$A39</f>
        <v>27.6115329937933</v>
      </c>
      <c r="BA39" s="19" t="n">
        <f aca="false">$B39+BA$3*100*$A39</f>
        <v>28.0615329937933</v>
      </c>
      <c r="BB39" s="19" t="n">
        <f aca="false">$B39+BB$3*100*$A39</f>
        <v>28.5115329937933</v>
      </c>
      <c r="BC39" s="19" t="n">
        <f aca="false">$B39+BC$3*100*$A39</f>
        <v>28.9615329937933</v>
      </c>
      <c r="BD39" s="19" t="n">
        <f aca="false">$B39+BD$3*100*$A39</f>
        <v>29.4115329937933</v>
      </c>
      <c r="BE39" s="19" t="n">
        <f aca="false">$B39+BE$3*100*$A39</f>
        <v>29.8615329937933</v>
      </c>
      <c r="BF39" s="19" t="n">
        <f aca="false">$B39+BF$3*100*$A39</f>
        <v>30.3115329937933</v>
      </c>
      <c r="BG39" s="19" t="n">
        <f aca="false">$B39+BG$3*100*$A39</f>
        <v>30.7615329937933</v>
      </c>
      <c r="BH39" s="19" t="n">
        <f aca="false">$B39+BH$3*100*$A39</f>
        <v>31.2115329937933</v>
      </c>
      <c r="BI39" s="19" t="n">
        <f aca="false">$B39+BI$3*100*$A39</f>
        <v>31.6615329937933</v>
      </c>
      <c r="BJ39" s="19" t="n">
        <f aca="false">$B39+BJ$3*100*$A39</f>
        <v>32.1115329937933</v>
      </c>
      <c r="BK39" s="19" t="n">
        <f aca="false">$B39+BK$3*100*$A39</f>
        <v>32.5615329937933</v>
      </c>
      <c r="BL39" s="19" t="n">
        <f aca="false">$B39+BL$3*100*$A39</f>
        <v>33.0115329937933</v>
      </c>
      <c r="BM39" s="19" t="n">
        <f aca="false">$B39+BM$3*100*$A39</f>
        <v>33.4615329937933</v>
      </c>
      <c r="BN39" s="19" t="n">
        <f aca="false">$B39+BN$3*100*$A39</f>
        <v>33.9115329937933</v>
      </c>
      <c r="BO39" s="19" t="n">
        <f aca="false">$B39+BO$3*100*$A39</f>
        <v>34.3615329937933</v>
      </c>
      <c r="BP39" s="19" t="n">
        <f aca="false">$B39+BP$3*100*$A39</f>
        <v>34.8115329937933</v>
      </c>
      <c r="BQ39" s="19" t="n">
        <f aca="false">$B39+BQ$3*100*$A39</f>
        <v>35.2615329937933</v>
      </c>
      <c r="BR39" s="19" t="n">
        <f aca="false">$B39+BR$3*100*$A39</f>
        <v>35.7115329937933</v>
      </c>
      <c r="BS39" s="19" t="n">
        <f aca="false">$B39+BS$3*100*$A39</f>
        <v>36.1615329937933</v>
      </c>
      <c r="BT39" s="19" t="n">
        <f aca="false">$B39+BT$3*100*$A39</f>
        <v>36.6115329937933</v>
      </c>
      <c r="BU39" s="19" t="n">
        <f aca="false">$B39+BU$3*100*$A39</f>
        <v>37.0615329937933</v>
      </c>
      <c r="BV39" s="19" t="n">
        <f aca="false">$B39+BV$3*100*$A39</f>
        <v>37.5115329937933</v>
      </c>
      <c r="BW39" s="19" t="n">
        <f aca="false">$B39+BW$3*100*$A39</f>
        <v>37.9615329937933</v>
      </c>
      <c r="BX39" s="19" t="n">
        <f aca="false">$B39+BX$3*100*$A39</f>
        <v>38.4115329937933</v>
      </c>
      <c r="BY39" s="19" t="n">
        <f aca="false">$B39+BY$3*100*$A39</f>
        <v>38.8615329937933</v>
      </c>
      <c r="BZ39" s="19" t="n">
        <f aca="false">$B39+BZ$3*100*$A39</f>
        <v>39.3115329937933</v>
      </c>
      <c r="CA39" s="19" t="n">
        <f aca="false">$B39+CA$3*100*$A39</f>
        <v>39.7615329937933</v>
      </c>
      <c r="CB39" s="19" t="n">
        <f aca="false">$B39+CB$3*100*$A39</f>
        <v>40.2115329937933</v>
      </c>
      <c r="CC39" s="19" t="n">
        <f aca="false">$B39+CC$3*100*$A39</f>
        <v>40.6615329937933</v>
      </c>
      <c r="CD39" s="19" t="n">
        <f aca="false">$B39+CD$3*100*$A39</f>
        <v>41.1115329937933</v>
      </c>
      <c r="CE39" s="19" t="n">
        <f aca="false">$B39+CE$3*100*$A39</f>
        <v>41.5615329937933</v>
      </c>
      <c r="CF39" s="19" t="n">
        <f aca="false">$B39+CF$3*100*$A39</f>
        <v>42.0115329937933</v>
      </c>
      <c r="CG39" s="19" t="n">
        <f aca="false">$B39+CG$3*100*$A39</f>
        <v>42.4615329937933</v>
      </c>
      <c r="CH39" s="19" t="n">
        <f aca="false">$B39+CH$3*100*$A39</f>
        <v>42.9115329937933</v>
      </c>
      <c r="CI39" s="19" t="n">
        <f aca="false">$B39+CI$3*100*$A39</f>
        <v>43.3615329937933</v>
      </c>
      <c r="CJ39" s="19" t="n">
        <f aca="false">$B39+CJ$3*100*$A39</f>
        <v>43.8115329937933</v>
      </c>
      <c r="CK39" s="19" t="n">
        <f aca="false">$B39+CK$3*100*$A39</f>
        <v>44.2615329937933</v>
      </c>
      <c r="CL39" s="19" t="n">
        <f aca="false">$B39+CL$3*100*$A39</f>
        <v>44.7115329937933</v>
      </c>
      <c r="CM39" s="19" t="n">
        <f aca="false">$B39+CM$3*100*$A39</f>
        <v>45.1615329937933</v>
      </c>
      <c r="CN39" s="19" t="n">
        <f aca="false">$B39+CN$3*100*$A39</f>
        <v>45.6115329937933</v>
      </c>
      <c r="CO39" s="19" t="n">
        <f aca="false">$B39+CO$3*100*$A39</f>
        <v>46.0615329937933</v>
      </c>
      <c r="CP39" s="19" t="n">
        <f aca="false">$B39+CP$3*100*$A39</f>
        <v>46.5115329937933</v>
      </c>
      <c r="CQ39" s="19" t="n">
        <f aca="false">$B39+CQ$3*100*$A39</f>
        <v>46.9615329937933</v>
      </c>
      <c r="CR39" s="19" t="n">
        <f aca="false">$B39+CR$3*100*$A39</f>
        <v>47.4115329937933</v>
      </c>
      <c r="CS39" s="19" t="n">
        <f aca="false">$B39+CS$3*100*$A39</f>
        <v>47.8615329937933</v>
      </c>
      <c r="CT39" s="19" t="n">
        <f aca="false">$B39+CT$3*100*$A39</f>
        <v>48.3115329937933</v>
      </c>
      <c r="CU39" s="19" t="n">
        <f aca="false">$B39+CU$3*100*$A39</f>
        <v>48.7615329937933</v>
      </c>
      <c r="CV39" s="19" t="n">
        <f aca="false">$B39+CV$3*100*$A39</f>
        <v>49.2115329937933</v>
      </c>
      <c r="CW39" s="19" t="n">
        <f aca="false">$B39+CW$3*100*$A39</f>
        <v>49.6615329937933</v>
      </c>
      <c r="CX39" s="19" t="n">
        <f aca="false">$B39+CX$3*100*$A39</f>
        <v>50.1115329937933</v>
      </c>
      <c r="CY39" s="19" t="n">
        <f aca="false">$B39+CY$3*100*$A39</f>
        <v>50.5615329937933</v>
      </c>
      <c r="CZ39" s="19" t="n">
        <f aca="false">$B39+CZ$3*100*$A39</f>
        <v>51.0115329937933</v>
      </c>
      <c r="DA39" s="19" t="n">
        <f aca="false">$B39+DA$3*100*$A39</f>
        <v>51.4615329937933</v>
      </c>
      <c r="DB39" s="19" t="n">
        <f aca="false">$B39+DB$3*100*$A39</f>
        <v>51.9115329937933</v>
      </c>
      <c r="DC39" s="19" t="n">
        <f aca="false">$B39+DC$3*100*$A39</f>
        <v>52.3615329937933</v>
      </c>
      <c r="DD39" s="19" t="n">
        <f aca="false">$B39+DD$3*100*$A39</f>
        <v>52.8115329937933</v>
      </c>
      <c r="DE39" s="19" t="n">
        <f aca="false">$B39+DE$3*100*$A39</f>
        <v>53.2615329937933</v>
      </c>
      <c r="DF39" s="19" t="n">
        <f aca="false">$B39+DF$3*100*$A39</f>
        <v>53.7115329937933</v>
      </c>
      <c r="DG39" s="19" t="n">
        <f aca="false">$B39+DG$3*100*$A39</f>
        <v>54.1615329937933</v>
      </c>
      <c r="DH39" s="19" t="n">
        <f aca="false">$B39+DH$3*100*$A39</f>
        <v>54.6115329937933</v>
      </c>
      <c r="DI39" s="19" t="n">
        <f aca="false">$B39+DI$3*100*$A39</f>
        <v>55.0615329937933</v>
      </c>
      <c r="DJ39" s="19" t="n">
        <f aca="false">$B39+DJ$3*100*$A39</f>
        <v>55.5115329937933</v>
      </c>
      <c r="DK39" s="19" t="n">
        <f aca="false">$B39+DK$3*100*$A39</f>
        <v>55.9615329937933</v>
      </c>
      <c r="DL39" s="19" t="n">
        <f aca="false">$B39+DL$3*100*$A39</f>
        <v>56.4115329937933</v>
      </c>
      <c r="DM39" s="19" t="n">
        <f aca="false">$B39+DM$3*100*$A39</f>
        <v>56.8615329937933</v>
      </c>
      <c r="DN39" s="19" t="n">
        <f aca="false">$B39+DN$3*100*$A39</f>
        <v>57.3115329937933</v>
      </c>
      <c r="DO39" s="19" t="n">
        <f aca="false">$B39+DO$3*100*$A39</f>
        <v>57.7615329937933</v>
      </c>
      <c r="DP39" s="19" t="n">
        <f aca="false">$B39+DP$3*100*$A39</f>
        <v>58.2115329937933</v>
      </c>
      <c r="DQ39" s="19" t="n">
        <f aca="false">$B39+DQ$3*100*$A39</f>
        <v>58.6615329937933</v>
      </c>
      <c r="DR39" s="19" t="n">
        <f aca="false">$B39+DR$3*100*$A39</f>
        <v>59.1115329937933</v>
      </c>
      <c r="DS39" s="19" t="n">
        <f aca="false">$B39+DS$3*100*$A39</f>
        <v>59.5615329937933</v>
      </c>
      <c r="DT39" s="19" t="n">
        <f aca="false">$B39+DT$3*100*$A39</f>
        <v>60.0115329937933</v>
      </c>
      <c r="DU39" s="19" t="n">
        <f aca="false">$B39+DU$3*100*$A39</f>
        <v>60.4615329937933</v>
      </c>
      <c r="DV39" s="19" t="n">
        <f aca="false">$B39+DV$3*100*$A39</f>
        <v>60.9115329937933</v>
      </c>
      <c r="DW39" s="19" t="n">
        <f aca="false">$B39+DW$3*100*$A39</f>
        <v>61.3615329937933</v>
      </c>
      <c r="DX39" s="19" t="n">
        <f aca="false">$B39+DX$3*100*$A39</f>
        <v>61.8115329937933</v>
      </c>
      <c r="DY39" s="19" t="n">
        <f aca="false">$B39+DY$3*100*$A39</f>
        <v>62.2615329937933</v>
      </c>
      <c r="DZ39" s="19" t="n">
        <f aca="false">$B39+DZ$3*100*$A39</f>
        <v>62.7115329937933</v>
      </c>
      <c r="EA39" s="19" t="n">
        <f aca="false">$B39+EA$3*100*$A39</f>
        <v>63.1615329937933</v>
      </c>
      <c r="EB39" s="19" t="n">
        <f aca="false">$B39+EB$3*100*$A39</f>
        <v>63.6115329937933</v>
      </c>
      <c r="EC39" s="19" t="n">
        <f aca="false">$B39+EC$3*100*$A39</f>
        <v>64.0615329937933</v>
      </c>
      <c r="ED39" s="19" t="n">
        <f aca="false">$B39+ED$3*100*$A39</f>
        <v>64.5115329937933</v>
      </c>
      <c r="EE39" s="19" t="n">
        <f aca="false">$B39+EE$3*100*$A39</f>
        <v>64.9615329937933</v>
      </c>
      <c r="EF39" s="19" t="n">
        <f aca="false">$B39+EF$3*100*$A39</f>
        <v>65.4115329937933</v>
      </c>
      <c r="EG39" s="19" t="n">
        <f aca="false">$B39+EG$3*100*$A39</f>
        <v>65.8615329937933</v>
      </c>
      <c r="EH39" s="19" t="n">
        <f aca="false">$B39+EH$3*100*$A39</f>
        <v>66.3115329937933</v>
      </c>
      <c r="EI39" s="19" t="n">
        <f aca="false">$B39+EI$3*100*$A39</f>
        <v>66.7615329937933</v>
      </c>
      <c r="EJ39" s="19" t="n">
        <f aca="false">$B39+EJ$3*100*$A39</f>
        <v>67.2115329937933</v>
      </c>
      <c r="EK39" s="19" t="n">
        <f aca="false">$B39+EK$3*100*$A39</f>
        <v>67.6615329937933</v>
      </c>
      <c r="EL39" s="19" t="n">
        <f aca="false">$B39+EL$3*100*$A39</f>
        <v>68.1115329937933</v>
      </c>
      <c r="EM39" s="19" t="n">
        <f aca="false">$B39+EM$3*100*$A39</f>
        <v>68.5615329937933</v>
      </c>
      <c r="EN39" s="19" t="n">
        <f aca="false">$B39+EN$3*100*$A39</f>
        <v>69.0115329937933</v>
      </c>
      <c r="EO39" s="19" t="n">
        <f aca="false">$B39+EO$3*100*$A39</f>
        <v>69.4615329937933</v>
      </c>
      <c r="EP39" s="19" t="n">
        <f aca="false">$B39+EP$3*100*$A39</f>
        <v>69.9115329937933</v>
      </c>
      <c r="EQ39" s="19" t="n">
        <f aca="false">$B39+EQ$3*100*$A39</f>
        <v>70.3615329937933</v>
      </c>
      <c r="ER39" s="19" t="n">
        <f aca="false">$B39+ER$3*100*$A39</f>
        <v>70.8115329937933</v>
      </c>
      <c r="ES39" s="19" t="n">
        <f aca="false">$B39+ES$3*100*$A39</f>
        <v>71.2615329937933</v>
      </c>
      <c r="ET39" s="19" t="n">
        <f aca="false">$B39+ET$3*100*$A39</f>
        <v>71.7115329937933</v>
      </c>
      <c r="EU39" s="19" t="n">
        <f aca="false">$B39+EU$3*100*$A39</f>
        <v>72.1615329937933</v>
      </c>
      <c r="EV39" s="19" t="n">
        <f aca="false">$B39+EV$3*100*$A39</f>
        <v>72.6115329937933</v>
      </c>
      <c r="EW39" s="19" t="n">
        <f aca="false">$B39+EW$3*100*$A39</f>
        <v>73.0615329937933</v>
      </c>
      <c r="EX39" s="19" t="n">
        <f aca="false">$B39+EX$3*100*$A39</f>
        <v>73.5115329937933</v>
      </c>
      <c r="EY39" s="19" t="n">
        <f aca="false">$B39+EY$3*100*$A39</f>
        <v>73.9615329937933</v>
      </c>
      <c r="EZ39" s="19" t="n">
        <f aca="false">$B39+EZ$3*100*$A39</f>
        <v>74.4115329937933</v>
      </c>
      <c r="FA39" s="19" t="n">
        <f aca="false">$B39+FA$3*100*$A39</f>
        <v>74.8615329937933</v>
      </c>
      <c r="FB39" s="19" t="n">
        <f aca="false">$B39+FB$3*100*$A39</f>
        <v>75.3115329937933</v>
      </c>
      <c r="FC39" s="19" t="n">
        <f aca="false">$B39+FC$3*100*$A39</f>
        <v>75.7615329937933</v>
      </c>
      <c r="FD39" s="19" t="n">
        <f aca="false">$B39+FD$3*100*$A39</f>
        <v>76.2115329937933</v>
      </c>
      <c r="FE39" s="19" t="n">
        <f aca="false">$B39+FE$3*100*$A39</f>
        <v>76.6615329937933</v>
      </c>
      <c r="FF39" s="19" t="n">
        <f aca="false">$B39+FF$3*100*$A39</f>
        <v>77.1115329937933</v>
      </c>
      <c r="FG39" s="19" t="n">
        <f aca="false">$B39+FG$3*100*$A39</f>
        <v>77.5615329937933</v>
      </c>
      <c r="FH39" s="19" t="n">
        <f aca="false">$B39+FH$3*100*$A39</f>
        <v>78.0115329937933</v>
      </c>
      <c r="FI39" s="19" t="n">
        <f aca="false">$B39+FI$3*100*$A39</f>
        <v>78.4615329937933</v>
      </c>
      <c r="FJ39" s="19" t="n">
        <f aca="false">$B39+FJ$3*100*$A39</f>
        <v>78.9115329937933</v>
      </c>
      <c r="FK39" s="19" t="n">
        <f aca="false">$B39+FK$3*100*$A39</f>
        <v>79.3615329937933</v>
      </c>
      <c r="FL39" s="19" t="n">
        <f aca="false">$B39+FL$3*100*$A39</f>
        <v>79.8115329937933</v>
      </c>
      <c r="FM39" s="19" t="n">
        <f aca="false">$B39+FM$3*100*$A39</f>
        <v>80.2615329937933</v>
      </c>
      <c r="FN39" s="19" t="n">
        <f aca="false">$B39+FN$3*100*$A39</f>
        <v>80.7115329937933</v>
      </c>
      <c r="FO39" s="19" t="n">
        <f aca="false">$B39+FO$3*100*$A39</f>
        <v>81.1615329937933</v>
      </c>
      <c r="FP39" s="19" t="n">
        <f aca="false">$B39+FP$3*100*$A39</f>
        <v>81.6115329937933</v>
      </c>
      <c r="FQ39" s="19" t="n">
        <f aca="false">$B39+FQ$3*100*$A39</f>
        <v>82.0615329937933</v>
      </c>
      <c r="FR39" s="19" t="n">
        <f aca="false">$B39+FR$3*100*$A39</f>
        <v>82.5115329937933</v>
      </c>
      <c r="FS39" s="19" t="n">
        <f aca="false">$B39+FS$3*100*$A39</f>
        <v>82.9615329937933</v>
      </c>
      <c r="FT39" s="19" t="n">
        <f aca="false">$B39+FT$3*100*$A39</f>
        <v>83.4115329937933</v>
      </c>
      <c r="FU39" s="19" t="n">
        <f aca="false">$B39+FU$3*100*$A39</f>
        <v>83.8615329937933</v>
      </c>
      <c r="FV39" s="19" t="n">
        <f aca="false">$B39+FV$3*100*$A39</f>
        <v>84.3115329937933</v>
      </c>
      <c r="FW39" s="19" t="n">
        <f aca="false">$B39+FW$3*100*$A39</f>
        <v>84.7615329937933</v>
      </c>
      <c r="FX39" s="19" t="n">
        <f aca="false">$B39+FX$3*100*$A39</f>
        <v>85.2115329937933</v>
      </c>
      <c r="FY39" s="19" t="n">
        <f aca="false">$B39+FY$3*100*$A39</f>
        <v>85.6615329937933</v>
      </c>
      <c r="FZ39" s="19" t="n">
        <f aca="false">$B39+FZ$3*100*$A39</f>
        <v>86.1115329937933</v>
      </c>
      <c r="GA39" s="19" t="n">
        <f aca="false">$B39+GA$3*100*$A39</f>
        <v>86.5615329937933</v>
      </c>
      <c r="GB39" s="19" t="n">
        <f aca="false">$B39+GB$3*100*$A39</f>
        <v>87.0115329937933</v>
      </c>
      <c r="GC39" s="19" t="n">
        <f aca="false">$B39+GC$3*100*$A39</f>
        <v>87.4615329937933</v>
      </c>
      <c r="GD39" s="19" t="n">
        <f aca="false">$B39+GD$3*100*$A39</f>
        <v>87.9115329937933</v>
      </c>
      <c r="GE39" s="19" t="n">
        <f aca="false">$B39+GE$3*100*$A39</f>
        <v>88.3615329937933</v>
      </c>
      <c r="GF39" s="19" t="n">
        <f aca="false">$B39+GF$3*100*$A39</f>
        <v>88.8115329937933</v>
      </c>
      <c r="GG39" s="19" t="n">
        <f aca="false">$B39+GG$3*100*$A39</f>
        <v>89.2615329937933</v>
      </c>
      <c r="GH39" s="19" t="n">
        <f aca="false">$B39+GH$3*100*$A39</f>
        <v>89.7115329937933</v>
      </c>
      <c r="GI39" s="19" t="n">
        <f aca="false">$B39+GI$3*100*$A39</f>
        <v>90.1615329937933</v>
      </c>
      <c r="GJ39" s="19" t="n">
        <f aca="false">$B39+GJ$3*100*$A39</f>
        <v>90.6115329937933</v>
      </c>
      <c r="GK39" s="19" t="n">
        <f aca="false">$B39+GK$3*100*$A39</f>
        <v>91.0615329937933</v>
      </c>
      <c r="GL39" s="19" t="n">
        <f aca="false">$B39+GL$3*100*$A39</f>
        <v>91.5115329937933</v>
      </c>
      <c r="GM39" s="19" t="n">
        <f aca="false">$B39+GM$3*100*$A39</f>
        <v>91.9615329937933</v>
      </c>
      <c r="GN39" s="19" t="n">
        <f aca="false">$B39+GN$3*100*$A39</f>
        <v>92.4115329937933</v>
      </c>
      <c r="GO39" s="19" t="n">
        <f aca="false">$B39+GO$3*100*$A39</f>
        <v>92.8615329937933</v>
      </c>
      <c r="GP39" s="19" t="n">
        <f aca="false">$B39+GP$3*100*$A39</f>
        <v>93.3115329937933</v>
      </c>
      <c r="GQ39" s="19" t="n">
        <f aca="false">$B39+GQ$3*100*$A39</f>
        <v>93.7615329937933</v>
      </c>
      <c r="GR39" s="19" t="n">
        <f aca="false">$B39+GR$3*100*$A39</f>
        <v>94.2115329937933</v>
      </c>
      <c r="GS39" s="19" t="n">
        <f aca="false">$B39+GS$3*100*$A39</f>
        <v>94.6615329937933</v>
      </c>
      <c r="GT39" s="19" t="n">
        <f aca="false">$B39+GT$3*100*$A39</f>
        <v>95.1115329937933</v>
      </c>
    </row>
    <row r="40" customFormat="false" ht="15" hidden="false" customHeight="false" outlineLevel="0" collapsed="false">
      <c r="A40" s="26" t="n">
        <f aca="false">Frontier!A38</f>
        <v>0.0925</v>
      </c>
      <c r="B40" s="34" t="n">
        <f aca="false">Frontier!B38</f>
        <v>4.84776845130626</v>
      </c>
      <c r="C40" s="19" t="n">
        <f aca="false">$B40+C$3*100*$A40</f>
        <v>5.31026845130626</v>
      </c>
      <c r="D40" s="19" t="n">
        <f aca="false">$B40+D$3*100*$A40</f>
        <v>5.77276845130626</v>
      </c>
      <c r="E40" s="19" t="n">
        <f aca="false">$B40+E$3*100*$A40</f>
        <v>6.23526845130626</v>
      </c>
      <c r="F40" s="19" t="n">
        <f aca="false">$B40+F$3*100*$A40</f>
        <v>6.69776845130626</v>
      </c>
      <c r="G40" s="19" t="n">
        <f aca="false">$B40+G$3*100*$A40</f>
        <v>7.16026845130626</v>
      </c>
      <c r="H40" s="19" t="n">
        <f aca="false">$B40+H$3*100*$A40</f>
        <v>7.62276845130626</v>
      </c>
      <c r="I40" s="19" t="n">
        <f aca="false">$B40+I$3*100*$A40</f>
        <v>8.08526845130626</v>
      </c>
      <c r="J40" s="19" t="n">
        <f aca="false">$B40+J$3*100*$A40</f>
        <v>8.54776845130626</v>
      </c>
      <c r="K40" s="19" t="n">
        <f aca="false">$B40+K$3*100*$A40</f>
        <v>9.01026845130626</v>
      </c>
      <c r="L40" s="19" t="n">
        <f aca="false">$B40+L$3*100*$A40</f>
        <v>9.47276845130626</v>
      </c>
      <c r="M40" s="19" t="n">
        <f aca="false">$B40+M$3*100*$A40</f>
        <v>9.93526845130626</v>
      </c>
      <c r="N40" s="19" t="n">
        <f aca="false">$B40+N$3*100*$A40</f>
        <v>10.3977684513063</v>
      </c>
      <c r="O40" s="19" t="n">
        <f aca="false">$B40+O$3*100*$A40</f>
        <v>10.8602684513063</v>
      </c>
      <c r="P40" s="19" t="n">
        <f aca="false">$B40+P$3*100*$A40</f>
        <v>11.3227684513063</v>
      </c>
      <c r="Q40" s="19" t="n">
        <f aca="false">$B40+Q$3*100*$A40</f>
        <v>11.7852684513063</v>
      </c>
      <c r="R40" s="19" t="n">
        <f aca="false">$B40+R$3*100*$A40</f>
        <v>12.2477684513063</v>
      </c>
      <c r="S40" s="19" t="n">
        <f aca="false">$B40+S$3*100*$A40</f>
        <v>12.7102684513063</v>
      </c>
      <c r="T40" s="19" t="n">
        <f aca="false">$B40+T$3*100*$A40</f>
        <v>13.1727684513063</v>
      </c>
      <c r="U40" s="19" t="n">
        <f aca="false">$B40+U$3*100*$A40</f>
        <v>13.6352684513063</v>
      </c>
      <c r="V40" s="19" t="n">
        <f aca="false">$B40+V$3*100*$A40</f>
        <v>14.0977684513063</v>
      </c>
      <c r="W40" s="19" t="n">
        <f aca="false">$B40+W$3*100*$A40</f>
        <v>14.5602684513063</v>
      </c>
      <c r="X40" s="19" t="n">
        <f aca="false">$B40+X$3*100*$A40</f>
        <v>15.0227684513063</v>
      </c>
      <c r="Y40" s="19" t="n">
        <f aca="false">$B40+Y$3*100*$A40</f>
        <v>15.4852684513063</v>
      </c>
      <c r="Z40" s="19" t="n">
        <f aca="false">$B40+Z$3*100*$A40</f>
        <v>15.9477684513063</v>
      </c>
      <c r="AA40" s="19" t="n">
        <f aca="false">$B40+AA$3*100*$A40</f>
        <v>16.4102684513063</v>
      </c>
      <c r="AB40" s="19" t="n">
        <f aca="false">$B40+AB$3*100*$A40</f>
        <v>16.8727684513063</v>
      </c>
      <c r="AC40" s="19" t="n">
        <f aca="false">$B40+AC$3*100*$A40</f>
        <v>17.3352684513063</v>
      </c>
      <c r="AD40" s="19" t="n">
        <f aca="false">$B40+AD$3*100*$A40</f>
        <v>17.7977684513063</v>
      </c>
      <c r="AE40" s="19" t="n">
        <f aca="false">$B40+AE$3*100*$A40</f>
        <v>18.2602684513063</v>
      </c>
      <c r="AF40" s="19" t="n">
        <f aca="false">$B40+AF$3*100*$A40</f>
        <v>18.7227684513063</v>
      </c>
      <c r="AG40" s="19" t="n">
        <f aca="false">$B40+AG$3*100*$A40</f>
        <v>19.1852684513063</v>
      </c>
      <c r="AH40" s="19" t="n">
        <f aca="false">$B40+AH$3*100*$A40</f>
        <v>19.6477684513063</v>
      </c>
      <c r="AI40" s="19" t="n">
        <f aca="false">$B40+AI$3*100*$A40</f>
        <v>20.1102684513063</v>
      </c>
      <c r="AJ40" s="19" t="n">
        <f aca="false">$B40+AJ$3*100*$A40</f>
        <v>20.5727684513063</v>
      </c>
      <c r="AK40" s="19" t="n">
        <f aca="false">$B40+AK$3*100*$A40</f>
        <v>21.0352684513063</v>
      </c>
      <c r="AL40" s="19" t="n">
        <f aca="false">$B40+AL$3*100*$A40</f>
        <v>21.4977684513063</v>
      </c>
      <c r="AM40" s="19" t="n">
        <f aca="false">$B40+AM$3*100*$A40</f>
        <v>21.9602684513063</v>
      </c>
      <c r="AN40" s="19" t="n">
        <f aca="false">$B40+AN$3*100*$A40</f>
        <v>22.4227684513063</v>
      </c>
      <c r="AO40" s="19" t="n">
        <f aca="false">$B40+AO$3*100*$A40</f>
        <v>22.8852684513063</v>
      </c>
      <c r="AP40" s="19" t="n">
        <f aca="false">$B40+AP$3*100*$A40</f>
        <v>23.3477684513063</v>
      </c>
      <c r="AQ40" s="19" t="n">
        <f aca="false">$B40+AQ$3*100*$A40</f>
        <v>23.8102684513063</v>
      </c>
      <c r="AR40" s="19" t="n">
        <f aca="false">$B40+AR$3*100*$A40</f>
        <v>24.2727684513063</v>
      </c>
      <c r="AS40" s="19" t="n">
        <f aca="false">$B40+AS$3*100*$A40</f>
        <v>24.7352684513063</v>
      </c>
      <c r="AT40" s="19" t="n">
        <f aca="false">$B40+AT$3*100*$A40</f>
        <v>25.1977684513063</v>
      </c>
      <c r="AU40" s="19" t="n">
        <f aca="false">$B40+AU$3*100*$A40</f>
        <v>25.6602684513063</v>
      </c>
      <c r="AV40" s="19" t="n">
        <f aca="false">$B40+AV$3*100*$A40</f>
        <v>26.1227684513063</v>
      </c>
      <c r="AW40" s="19" t="n">
        <f aca="false">$B40+AW$3*100*$A40</f>
        <v>26.5852684513063</v>
      </c>
      <c r="AX40" s="19" t="n">
        <f aca="false">$B40+AX$3*100*$A40</f>
        <v>27.0477684513063</v>
      </c>
      <c r="AY40" s="19" t="n">
        <f aca="false">$B40+AY$3*100*$A40</f>
        <v>27.5102684513063</v>
      </c>
      <c r="AZ40" s="19" t="n">
        <f aca="false">$B40+AZ$3*100*$A40</f>
        <v>27.9727684513063</v>
      </c>
      <c r="BA40" s="19" t="n">
        <f aca="false">$B40+BA$3*100*$A40</f>
        <v>28.4352684513063</v>
      </c>
      <c r="BB40" s="19" t="n">
        <f aca="false">$B40+BB$3*100*$A40</f>
        <v>28.8977684513063</v>
      </c>
      <c r="BC40" s="19" t="n">
        <f aca="false">$B40+BC$3*100*$A40</f>
        <v>29.3602684513063</v>
      </c>
      <c r="BD40" s="19" t="n">
        <f aca="false">$B40+BD$3*100*$A40</f>
        <v>29.8227684513063</v>
      </c>
      <c r="BE40" s="19" t="n">
        <f aca="false">$B40+BE$3*100*$A40</f>
        <v>30.2852684513063</v>
      </c>
      <c r="BF40" s="19" t="n">
        <f aca="false">$B40+BF$3*100*$A40</f>
        <v>30.7477684513063</v>
      </c>
      <c r="BG40" s="19" t="n">
        <f aca="false">$B40+BG$3*100*$A40</f>
        <v>31.2102684513063</v>
      </c>
      <c r="BH40" s="19" t="n">
        <f aca="false">$B40+BH$3*100*$A40</f>
        <v>31.6727684513063</v>
      </c>
      <c r="BI40" s="19" t="n">
        <f aca="false">$B40+BI$3*100*$A40</f>
        <v>32.1352684513063</v>
      </c>
      <c r="BJ40" s="19" t="n">
        <f aca="false">$B40+BJ$3*100*$A40</f>
        <v>32.5977684513063</v>
      </c>
      <c r="BK40" s="19" t="n">
        <f aca="false">$B40+BK$3*100*$A40</f>
        <v>33.0602684513063</v>
      </c>
      <c r="BL40" s="19" t="n">
        <f aca="false">$B40+BL$3*100*$A40</f>
        <v>33.5227684513063</v>
      </c>
      <c r="BM40" s="19" t="n">
        <f aca="false">$B40+BM$3*100*$A40</f>
        <v>33.9852684513063</v>
      </c>
      <c r="BN40" s="19" t="n">
        <f aca="false">$B40+BN$3*100*$A40</f>
        <v>34.4477684513063</v>
      </c>
      <c r="BO40" s="19" t="n">
        <f aca="false">$B40+BO$3*100*$A40</f>
        <v>34.9102684513063</v>
      </c>
      <c r="BP40" s="19" t="n">
        <f aca="false">$B40+BP$3*100*$A40</f>
        <v>35.3727684513063</v>
      </c>
      <c r="BQ40" s="19" t="n">
        <f aca="false">$B40+BQ$3*100*$A40</f>
        <v>35.8352684513063</v>
      </c>
      <c r="BR40" s="19" t="n">
        <f aca="false">$B40+BR$3*100*$A40</f>
        <v>36.2977684513063</v>
      </c>
      <c r="BS40" s="19" t="n">
        <f aca="false">$B40+BS$3*100*$A40</f>
        <v>36.7602684513063</v>
      </c>
      <c r="BT40" s="19" t="n">
        <f aca="false">$B40+BT$3*100*$A40</f>
        <v>37.2227684513063</v>
      </c>
      <c r="BU40" s="19" t="n">
        <f aca="false">$B40+BU$3*100*$A40</f>
        <v>37.6852684513063</v>
      </c>
      <c r="BV40" s="19" t="n">
        <f aca="false">$B40+BV$3*100*$A40</f>
        <v>38.1477684513063</v>
      </c>
      <c r="BW40" s="19" t="n">
        <f aca="false">$B40+BW$3*100*$A40</f>
        <v>38.6102684513063</v>
      </c>
      <c r="BX40" s="19" t="n">
        <f aca="false">$B40+BX$3*100*$A40</f>
        <v>39.0727684513063</v>
      </c>
      <c r="BY40" s="19" t="n">
        <f aca="false">$B40+BY$3*100*$A40</f>
        <v>39.5352684513063</v>
      </c>
      <c r="BZ40" s="19" t="n">
        <f aca="false">$B40+BZ$3*100*$A40</f>
        <v>39.9977684513063</v>
      </c>
      <c r="CA40" s="19" t="n">
        <f aca="false">$B40+CA$3*100*$A40</f>
        <v>40.4602684513063</v>
      </c>
      <c r="CB40" s="19" t="n">
        <f aca="false">$B40+CB$3*100*$A40</f>
        <v>40.9227684513063</v>
      </c>
      <c r="CC40" s="19" t="n">
        <f aca="false">$B40+CC$3*100*$A40</f>
        <v>41.3852684513063</v>
      </c>
      <c r="CD40" s="19" t="n">
        <f aca="false">$B40+CD$3*100*$A40</f>
        <v>41.8477684513063</v>
      </c>
      <c r="CE40" s="19" t="n">
        <f aca="false">$B40+CE$3*100*$A40</f>
        <v>42.3102684513063</v>
      </c>
      <c r="CF40" s="19" t="n">
        <f aca="false">$B40+CF$3*100*$A40</f>
        <v>42.7727684513063</v>
      </c>
      <c r="CG40" s="19" t="n">
        <f aca="false">$B40+CG$3*100*$A40</f>
        <v>43.2352684513063</v>
      </c>
      <c r="CH40" s="19" t="n">
        <f aca="false">$B40+CH$3*100*$A40</f>
        <v>43.6977684513063</v>
      </c>
      <c r="CI40" s="19" t="n">
        <f aca="false">$B40+CI$3*100*$A40</f>
        <v>44.1602684513063</v>
      </c>
      <c r="CJ40" s="19" t="n">
        <f aca="false">$B40+CJ$3*100*$A40</f>
        <v>44.6227684513063</v>
      </c>
      <c r="CK40" s="19" t="n">
        <f aca="false">$B40+CK$3*100*$A40</f>
        <v>45.0852684513063</v>
      </c>
      <c r="CL40" s="19" t="n">
        <f aca="false">$B40+CL$3*100*$A40</f>
        <v>45.5477684513063</v>
      </c>
      <c r="CM40" s="19" t="n">
        <f aca="false">$B40+CM$3*100*$A40</f>
        <v>46.0102684513063</v>
      </c>
      <c r="CN40" s="19" t="n">
        <f aca="false">$B40+CN$3*100*$A40</f>
        <v>46.4727684513063</v>
      </c>
      <c r="CO40" s="19" t="n">
        <f aca="false">$B40+CO$3*100*$A40</f>
        <v>46.9352684513063</v>
      </c>
      <c r="CP40" s="19" t="n">
        <f aca="false">$B40+CP$3*100*$A40</f>
        <v>47.3977684513063</v>
      </c>
      <c r="CQ40" s="19" t="n">
        <f aca="false">$B40+CQ$3*100*$A40</f>
        <v>47.8602684513063</v>
      </c>
      <c r="CR40" s="19" t="n">
        <f aca="false">$B40+CR$3*100*$A40</f>
        <v>48.3227684513063</v>
      </c>
      <c r="CS40" s="19" t="n">
        <f aca="false">$B40+CS$3*100*$A40</f>
        <v>48.7852684513063</v>
      </c>
      <c r="CT40" s="19" t="n">
        <f aca="false">$B40+CT$3*100*$A40</f>
        <v>49.2477684513063</v>
      </c>
      <c r="CU40" s="19" t="n">
        <f aca="false">$B40+CU$3*100*$A40</f>
        <v>49.7102684513063</v>
      </c>
      <c r="CV40" s="19" t="n">
        <f aca="false">$B40+CV$3*100*$A40</f>
        <v>50.1727684513063</v>
      </c>
      <c r="CW40" s="19" t="n">
        <f aca="false">$B40+CW$3*100*$A40</f>
        <v>50.6352684513063</v>
      </c>
      <c r="CX40" s="19" t="n">
        <f aca="false">$B40+CX$3*100*$A40</f>
        <v>51.0977684513063</v>
      </c>
      <c r="CY40" s="19" t="n">
        <f aca="false">$B40+CY$3*100*$A40</f>
        <v>51.5602684513063</v>
      </c>
      <c r="CZ40" s="19" t="n">
        <f aca="false">$B40+CZ$3*100*$A40</f>
        <v>52.0227684513063</v>
      </c>
      <c r="DA40" s="19" t="n">
        <f aca="false">$B40+DA$3*100*$A40</f>
        <v>52.4852684513063</v>
      </c>
      <c r="DB40" s="19" t="n">
        <f aca="false">$B40+DB$3*100*$A40</f>
        <v>52.9477684513063</v>
      </c>
      <c r="DC40" s="19" t="n">
        <f aca="false">$B40+DC$3*100*$A40</f>
        <v>53.4102684513063</v>
      </c>
      <c r="DD40" s="19" t="n">
        <f aca="false">$B40+DD$3*100*$A40</f>
        <v>53.8727684513063</v>
      </c>
      <c r="DE40" s="19" t="n">
        <f aca="false">$B40+DE$3*100*$A40</f>
        <v>54.3352684513063</v>
      </c>
      <c r="DF40" s="19" t="n">
        <f aca="false">$B40+DF$3*100*$A40</f>
        <v>54.7977684513063</v>
      </c>
      <c r="DG40" s="19" t="n">
        <f aca="false">$B40+DG$3*100*$A40</f>
        <v>55.2602684513063</v>
      </c>
      <c r="DH40" s="19" t="n">
        <f aca="false">$B40+DH$3*100*$A40</f>
        <v>55.7227684513063</v>
      </c>
      <c r="DI40" s="19" t="n">
        <f aca="false">$B40+DI$3*100*$A40</f>
        <v>56.1852684513063</v>
      </c>
      <c r="DJ40" s="19" t="n">
        <f aca="false">$B40+DJ$3*100*$A40</f>
        <v>56.6477684513063</v>
      </c>
      <c r="DK40" s="19" t="n">
        <f aca="false">$B40+DK$3*100*$A40</f>
        <v>57.1102684513063</v>
      </c>
      <c r="DL40" s="19" t="n">
        <f aca="false">$B40+DL$3*100*$A40</f>
        <v>57.5727684513063</v>
      </c>
      <c r="DM40" s="19" t="n">
        <f aca="false">$B40+DM$3*100*$A40</f>
        <v>58.0352684513063</v>
      </c>
      <c r="DN40" s="19" t="n">
        <f aca="false">$B40+DN$3*100*$A40</f>
        <v>58.4977684513063</v>
      </c>
      <c r="DO40" s="19" t="n">
        <f aca="false">$B40+DO$3*100*$A40</f>
        <v>58.9602684513063</v>
      </c>
      <c r="DP40" s="19" t="n">
        <f aca="false">$B40+DP$3*100*$A40</f>
        <v>59.4227684513063</v>
      </c>
      <c r="DQ40" s="19" t="n">
        <f aca="false">$B40+DQ$3*100*$A40</f>
        <v>59.8852684513063</v>
      </c>
      <c r="DR40" s="19" t="n">
        <f aca="false">$B40+DR$3*100*$A40</f>
        <v>60.3477684513063</v>
      </c>
      <c r="DS40" s="19" t="n">
        <f aca="false">$B40+DS$3*100*$A40</f>
        <v>60.8102684513063</v>
      </c>
      <c r="DT40" s="19" t="n">
        <f aca="false">$B40+DT$3*100*$A40</f>
        <v>61.2727684513063</v>
      </c>
      <c r="DU40" s="19" t="n">
        <f aca="false">$B40+DU$3*100*$A40</f>
        <v>61.7352684513063</v>
      </c>
      <c r="DV40" s="19" t="n">
        <f aca="false">$B40+DV$3*100*$A40</f>
        <v>62.1977684513063</v>
      </c>
      <c r="DW40" s="19" t="n">
        <f aca="false">$B40+DW$3*100*$A40</f>
        <v>62.6602684513063</v>
      </c>
      <c r="DX40" s="19" t="n">
        <f aca="false">$B40+DX$3*100*$A40</f>
        <v>63.1227684513063</v>
      </c>
      <c r="DY40" s="19" t="n">
        <f aca="false">$B40+DY$3*100*$A40</f>
        <v>63.5852684513063</v>
      </c>
      <c r="DZ40" s="19" t="n">
        <f aca="false">$B40+DZ$3*100*$A40</f>
        <v>64.0477684513063</v>
      </c>
      <c r="EA40" s="19" t="n">
        <f aca="false">$B40+EA$3*100*$A40</f>
        <v>64.5102684513063</v>
      </c>
      <c r="EB40" s="19" t="n">
        <f aca="false">$B40+EB$3*100*$A40</f>
        <v>64.9727684513063</v>
      </c>
      <c r="EC40" s="19" t="n">
        <f aca="false">$B40+EC$3*100*$A40</f>
        <v>65.4352684513063</v>
      </c>
      <c r="ED40" s="19" t="n">
        <f aca="false">$B40+ED$3*100*$A40</f>
        <v>65.8977684513063</v>
      </c>
      <c r="EE40" s="19" t="n">
        <f aca="false">$B40+EE$3*100*$A40</f>
        <v>66.3602684513063</v>
      </c>
      <c r="EF40" s="19" t="n">
        <f aca="false">$B40+EF$3*100*$A40</f>
        <v>66.8227684513063</v>
      </c>
      <c r="EG40" s="19" t="n">
        <f aca="false">$B40+EG$3*100*$A40</f>
        <v>67.2852684513063</v>
      </c>
      <c r="EH40" s="19" t="n">
        <f aca="false">$B40+EH$3*100*$A40</f>
        <v>67.7477684513063</v>
      </c>
      <c r="EI40" s="19" t="n">
        <f aca="false">$B40+EI$3*100*$A40</f>
        <v>68.2102684513063</v>
      </c>
      <c r="EJ40" s="19" t="n">
        <f aca="false">$B40+EJ$3*100*$A40</f>
        <v>68.6727684513063</v>
      </c>
      <c r="EK40" s="19" t="n">
        <f aca="false">$B40+EK$3*100*$A40</f>
        <v>69.1352684513063</v>
      </c>
      <c r="EL40" s="19" t="n">
        <f aca="false">$B40+EL$3*100*$A40</f>
        <v>69.5977684513063</v>
      </c>
      <c r="EM40" s="19" t="n">
        <f aca="false">$B40+EM$3*100*$A40</f>
        <v>70.0602684513063</v>
      </c>
      <c r="EN40" s="19" t="n">
        <f aca="false">$B40+EN$3*100*$A40</f>
        <v>70.5227684513063</v>
      </c>
      <c r="EO40" s="19" t="n">
        <f aca="false">$B40+EO$3*100*$A40</f>
        <v>70.9852684513063</v>
      </c>
      <c r="EP40" s="19" t="n">
        <f aca="false">$B40+EP$3*100*$A40</f>
        <v>71.4477684513063</v>
      </c>
      <c r="EQ40" s="19" t="n">
        <f aca="false">$B40+EQ$3*100*$A40</f>
        <v>71.9102684513063</v>
      </c>
      <c r="ER40" s="19" t="n">
        <f aca="false">$B40+ER$3*100*$A40</f>
        <v>72.3727684513063</v>
      </c>
      <c r="ES40" s="19" t="n">
        <f aca="false">$B40+ES$3*100*$A40</f>
        <v>72.8352684513063</v>
      </c>
      <c r="ET40" s="19" t="n">
        <f aca="false">$B40+ET$3*100*$A40</f>
        <v>73.2977684513063</v>
      </c>
      <c r="EU40" s="19" t="n">
        <f aca="false">$B40+EU$3*100*$A40</f>
        <v>73.7602684513063</v>
      </c>
      <c r="EV40" s="19" t="n">
        <f aca="false">$B40+EV$3*100*$A40</f>
        <v>74.2227684513063</v>
      </c>
      <c r="EW40" s="19" t="n">
        <f aca="false">$B40+EW$3*100*$A40</f>
        <v>74.6852684513063</v>
      </c>
      <c r="EX40" s="19" t="n">
        <f aca="false">$B40+EX$3*100*$A40</f>
        <v>75.1477684513063</v>
      </c>
      <c r="EY40" s="19" t="n">
        <f aca="false">$B40+EY$3*100*$A40</f>
        <v>75.6102684513063</v>
      </c>
      <c r="EZ40" s="19" t="n">
        <f aca="false">$B40+EZ$3*100*$A40</f>
        <v>76.0727684513063</v>
      </c>
      <c r="FA40" s="19" t="n">
        <f aca="false">$B40+FA$3*100*$A40</f>
        <v>76.5352684513063</v>
      </c>
      <c r="FB40" s="19" t="n">
        <f aca="false">$B40+FB$3*100*$A40</f>
        <v>76.9977684513063</v>
      </c>
      <c r="FC40" s="19" t="n">
        <f aca="false">$B40+FC$3*100*$A40</f>
        <v>77.4602684513063</v>
      </c>
      <c r="FD40" s="19" t="n">
        <f aca="false">$B40+FD$3*100*$A40</f>
        <v>77.9227684513063</v>
      </c>
      <c r="FE40" s="19" t="n">
        <f aca="false">$B40+FE$3*100*$A40</f>
        <v>78.3852684513063</v>
      </c>
      <c r="FF40" s="19" t="n">
        <f aca="false">$B40+FF$3*100*$A40</f>
        <v>78.8477684513063</v>
      </c>
      <c r="FG40" s="19" t="n">
        <f aca="false">$B40+FG$3*100*$A40</f>
        <v>79.3102684513063</v>
      </c>
      <c r="FH40" s="19" t="n">
        <f aca="false">$B40+FH$3*100*$A40</f>
        <v>79.7727684513063</v>
      </c>
      <c r="FI40" s="19" t="n">
        <f aca="false">$B40+FI$3*100*$A40</f>
        <v>80.2352684513063</v>
      </c>
      <c r="FJ40" s="19" t="n">
        <f aca="false">$B40+FJ$3*100*$A40</f>
        <v>80.6977684513063</v>
      </c>
      <c r="FK40" s="19" t="n">
        <f aca="false">$B40+FK$3*100*$A40</f>
        <v>81.1602684513063</v>
      </c>
      <c r="FL40" s="19" t="n">
        <f aca="false">$B40+FL$3*100*$A40</f>
        <v>81.6227684513063</v>
      </c>
      <c r="FM40" s="19" t="n">
        <f aca="false">$B40+FM$3*100*$A40</f>
        <v>82.0852684513063</v>
      </c>
      <c r="FN40" s="19" t="n">
        <f aca="false">$B40+FN$3*100*$A40</f>
        <v>82.5477684513063</v>
      </c>
      <c r="FO40" s="19" t="n">
        <f aca="false">$B40+FO$3*100*$A40</f>
        <v>83.0102684513063</v>
      </c>
      <c r="FP40" s="19" t="n">
        <f aca="false">$B40+FP$3*100*$A40</f>
        <v>83.4727684513063</v>
      </c>
      <c r="FQ40" s="19" t="n">
        <f aca="false">$B40+FQ$3*100*$A40</f>
        <v>83.9352684513063</v>
      </c>
      <c r="FR40" s="19" t="n">
        <f aca="false">$B40+FR$3*100*$A40</f>
        <v>84.3977684513063</v>
      </c>
      <c r="FS40" s="19" t="n">
        <f aca="false">$B40+FS$3*100*$A40</f>
        <v>84.8602684513063</v>
      </c>
      <c r="FT40" s="19" t="n">
        <f aca="false">$B40+FT$3*100*$A40</f>
        <v>85.3227684513063</v>
      </c>
      <c r="FU40" s="19" t="n">
        <f aca="false">$B40+FU$3*100*$A40</f>
        <v>85.7852684513063</v>
      </c>
      <c r="FV40" s="19" t="n">
        <f aca="false">$B40+FV$3*100*$A40</f>
        <v>86.2477684513063</v>
      </c>
      <c r="FW40" s="19" t="n">
        <f aca="false">$B40+FW$3*100*$A40</f>
        <v>86.7102684513063</v>
      </c>
      <c r="FX40" s="19" t="n">
        <f aca="false">$B40+FX$3*100*$A40</f>
        <v>87.1727684513063</v>
      </c>
      <c r="FY40" s="19" t="n">
        <f aca="false">$B40+FY$3*100*$A40</f>
        <v>87.6352684513063</v>
      </c>
      <c r="FZ40" s="19" t="n">
        <f aca="false">$B40+FZ$3*100*$A40</f>
        <v>88.0977684513063</v>
      </c>
      <c r="GA40" s="19" t="n">
        <f aca="false">$B40+GA$3*100*$A40</f>
        <v>88.5602684513063</v>
      </c>
      <c r="GB40" s="19" t="n">
        <f aca="false">$B40+GB$3*100*$A40</f>
        <v>89.0227684513063</v>
      </c>
      <c r="GC40" s="19" t="n">
        <f aca="false">$B40+GC$3*100*$A40</f>
        <v>89.4852684513063</v>
      </c>
      <c r="GD40" s="19" t="n">
        <f aca="false">$B40+GD$3*100*$A40</f>
        <v>89.9477684513063</v>
      </c>
      <c r="GE40" s="19" t="n">
        <f aca="false">$B40+GE$3*100*$A40</f>
        <v>90.4102684513063</v>
      </c>
      <c r="GF40" s="19" t="n">
        <f aca="false">$B40+GF$3*100*$A40</f>
        <v>90.8727684513063</v>
      </c>
      <c r="GG40" s="19" t="n">
        <f aca="false">$B40+GG$3*100*$A40</f>
        <v>91.3352684513063</v>
      </c>
      <c r="GH40" s="19" t="n">
        <f aca="false">$B40+GH$3*100*$A40</f>
        <v>91.7977684513063</v>
      </c>
      <c r="GI40" s="19" t="n">
        <f aca="false">$B40+GI$3*100*$A40</f>
        <v>92.2602684513063</v>
      </c>
      <c r="GJ40" s="19" t="n">
        <f aca="false">$B40+GJ$3*100*$A40</f>
        <v>92.7227684513063</v>
      </c>
      <c r="GK40" s="19" t="n">
        <f aca="false">$B40+GK$3*100*$A40</f>
        <v>93.1852684513063</v>
      </c>
      <c r="GL40" s="19" t="n">
        <f aca="false">$B40+GL$3*100*$A40</f>
        <v>93.6477684513063</v>
      </c>
      <c r="GM40" s="19" t="n">
        <f aca="false">$B40+GM$3*100*$A40</f>
        <v>94.1102684513063</v>
      </c>
      <c r="GN40" s="19" t="n">
        <f aca="false">$B40+GN$3*100*$A40</f>
        <v>94.5727684513063</v>
      </c>
      <c r="GO40" s="19" t="n">
        <f aca="false">$B40+GO$3*100*$A40</f>
        <v>95.0352684513063</v>
      </c>
      <c r="GP40" s="19" t="n">
        <f aca="false">$B40+GP$3*100*$A40</f>
        <v>95.4977684513063</v>
      </c>
      <c r="GQ40" s="19" t="n">
        <f aca="false">$B40+GQ$3*100*$A40</f>
        <v>95.9602684513063</v>
      </c>
      <c r="GR40" s="19" t="n">
        <f aca="false">$B40+GR$3*100*$A40</f>
        <v>96.4227684513063</v>
      </c>
      <c r="GS40" s="19" t="n">
        <f aca="false">$B40+GS$3*100*$A40</f>
        <v>96.8852684513063</v>
      </c>
      <c r="GT40" s="19" t="n">
        <f aca="false">$B40+GT$3*100*$A40</f>
        <v>97.3477684513063</v>
      </c>
    </row>
    <row r="41" customFormat="false" ht="15" hidden="false" customHeight="false" outlineLevel="0" collapsed="false">
      <c r="A41" s="26" t="n">
        <f aca="false">Frontier!A39</f>
        <v>0.095</v>
      </c>
      <c r="B41" s="34" t="n">
        <f aca="false">Frontier!B39</f>
        <v>4.58685711299776</v>
      </c>
      <c r="C41" s="19" t="n">
        <f aca="false">$B41+C$3*100*$A41</f>
        <v>5.06185711299776</v>
      </c>
      <c r="D41" s="19" t="n">
        <f aca="false">$B41+D$3*100*$A41</f>
        <v>5.53685711299776</v>
      </c>
      <c r="E41" s="19" t="n">
        <f aca="false">$B41+E$3*100*$A41</f>
        <v>6.01185711299776</v>
      </c>
      <c r="F41" s="19" t="n">
        <f aca="false">$B41+F$3*100*$A41</f>
        <v>6.48685711299776</v>
      </c>
      <c r="G41" s="19" t="n">
        <f aca="false">$B41+G$3*100*$A41</f>
        <v>6.96185711299776</v>
      </c>
      <c r="H41" s="19" t="n">
        <f aca="false">$B41+H$3*100*$A41</f>
        <v>7.43685711299776</v>
      </c>
      <c r="I41" s="19" t="n">
        <f aca="false">$B41+I$3*100*$A41</f>
        <v>7.91185711299776</v>
      </c>
      <c r="J41" s="19" t="n">
        <f aca="false">$B41+J$3*100*$A41</f>
        <v>8.38685711299776</v>
      </c>
      <c r="K41" s="19" t="n">
        <f aca="false">$B41+K$3*100*$A41</f>
        <v>8.86185711299776</v>
      </c>
      <c r="L41" s="19" t="n">
        <f aca="false">$B41+L$3*100*$A41</f>
        <v>9.33685711299776</v>
      </c>
      <c r="M41" s="19" t="n">
        <f aca="false">$B41+M$3*100*$A41</f>
        <v>9.81185711299776</v>
      </c>
      <c r="N41" s="19" t="n">
        <f aca="false">$B41+N$3*100*$A41</f>
        <v>10.2868571129978</v>
      </c>
      <c r="O41" s="19" t="n">
        <f aca="false">$B41+O$3*100*$A41</f>
        <v>10.7618571129978</v>
      </c>
      <c r="P41" s="19" t="n">
        <f aca="false">$B41+P$3*100*$A41</f>
        <v>11.2368571129978</v>
      </c>
      <c r="Q41" s="19" t="n">
        <f aca="false">$B41+Q$3*100*$A41</f>
        <v>11.7118571129978</v>
      </c>
      <c r="R41" s="19" t="n">
        <f aca="false">$B41+R$3*100*$A41</f>
        <v>12.1868571129978</v>
      </c>
      <c r="S41" s="19" t="n">
        <f aca="false">$B41+S$3*100*$A41</f>
        <v>12.6618571129978</v>
      </c>
      <c r="T41" s="19" t="n">
        <f aca="false">$B41+T$3*100*$A41</f>
        <v>13.1368571129978</v>
      </c>
      <c r="U41" s="19" t="n">
        <f aca="false">$B41+U$3*100*$A41</f>
        <v>13.6118571129978</v>
      </c>
      <c r="V41" s="19" t="n">
        <f aca="false">$B41+V$3*100*$A41</f>
        <v>14.0868571129978</v>
      </c>
      <c r="W41" s="19" t="n">
        <f aca="false">$B41+W$3*100*$A41</f>
        <v>14.5618571129978</v>
      </c>
      <c r="X41" s="19" t="n">
        <f aca="false">$B41+X$3*100*$A41</f>
        <v>15.0368571129978</v>
      </c>
      <c r="Y41" s="19" t="n">
        <f aca="false">$B41+Y$3*100*$A41</f>
        <v>15.5118571129978</v>
      </c>
      <c r="Z41" s="19" t="n">
        <f aca="false">$B41+Z$3*100*$A41</f>
        <v>15.9868571129978</v>
      </c>
      <c r="AA41" s="19" t="n">
        <f aca="false">$B41+AA$3*100*$A41</f>
        <v>16.4618571129978</v>
      </c>
      <c r="AB41" s="19" t="n">
        <f aca="false">$B41+AB$3*100*$A41</f>
        <v>16.9368571129978</v>
      </c>
      <c r="AC41" s="19" t="n">
        <f aca="false">$B41+AC$3*100*$A41</f>
        <v>17.4118571129978</v>
      </c>
      <c r="AD41" s="19" t="n">
        <f aca="false">$B41+AD$3*100*$A41</f>
        <v>17.8868571129978</v>
      </c>
      <c r="AE41" s="19" t="n">
        <f aca="false">$B41+AE$3*100*$A41</f>
        <v>18.3618571129978</v>
      </c>
      <c r="AF41" s="19" t="n">
        <f aca="false">$B41+AF$3*100*$A41</f>
        <v>18.8368571129978</v>
      </c>
      <c r="AG41" s="19" t="n">
        <f aca="false">$B41+AG$3*100*$A41</f>
        <v>19.3118571129978</v>
      </c>
      <c r="AH41" s="19" t="n">
        <f aca="false">$B41+AH$3*100*$A41</f>
        <v>19.7868571129978</v>
      </c>
      <c r="AI41" s="19" t="n">
        <f aca="false">$B41+AI$3*100*$A41</f>
        <v>20.2618571129978</v>
      </c>
      <c r="AJ41" s="19" t="n">
        <f aca="false">$B41+AJ$3*100*$A41</f>
        <v>20.7368571129978</v>
      </c>
      <c r="AK41" s="19" t="n">
        <f aca="false">$B41+AK$3*100*$A41</f>
        <v>21.2118571129978</v>
      </c>
      <c r="AL41" s="19" t="n">
        <f aca="false">$B41+AL$3*100*$A41</f>
        <v>21.6868571129978</v>
      </c>
      <c r="AM41" s="19" t="n">
        <f aca="false">$B41+AM$3*100*$A41</f>
        <v>22.1618571129978</v>
      </c>
      <c r="AN41" s="19" t="n">
        <f aca="false">$B41+AN$3*100*$A41</f>
        <v>22.6368571129978</v>
      </c>
      <c r="AO41" s="19" t="n">
        <f aca="false">$B41+AO$3*100*$A41</f>
        <v>23.1118571129978</v>
      </c>
      <c r="AP41" s="19" t="n">
        <f aca="false">$B41+AP$3*100*$A41</f>
        <v>23.5868571129978</v>
      </c>
      <c r="AQ41" s="19" t="n">
        <f aca="false">$B41+AQ$3*100*$A41</f>
        <v>24.0618571129978</v>
      </c>
      <c r="AR41" s="19" t="n">
        <f aca="false">$B41+AR$3*100*$A41</f>
        <v>24.5368571129978</v>
      </c>
      <c r="AS41" s="19" t="n">
        <f aca="false">$B41+AS$3*100*$A41</f>
        <v>25.0118571129978</v>
      </c>
      <c r="AT41" s="19" t="n">
        <f aca="false">$B41+AT$3*100*$A41</f>
        <v>25.4868571129978</v>
      </c>
      <c r="AU41" s="19" t="n">
        <f aca="false">$B41+AU$3*100*$A41</f>
        <v>25.9618571129978</v>
      </c>
      <c r="AV41" s="19" t="n">
        <f aca="false">$B41+AV$3*100*$A41</f>
        <v>26.4368571129978</v>
      </c>
      <c r="AW41" s="19" t="n">
        <f aca="false">$B41+AW$3*100*$A41</f>
        <v>26.9118571129978</v>
      </c>
      <c r="AX41" s="19" t="n">
        <f aca="false">$B41+AX$3*100*$A41</f>
        <v>27.3868571129978</v>
      </c>
      <c r="AY41" s="19" t="n">
        <f aca="false">$B41+AY$3*100*$A41</f>
        <v>27.8618571129978</v>
      </c>
      <c r="AZ41" s="19" t="n">
        <f aca="false">$B41+AZ$3*100*$A41</f>
        <v>28.3368571129978</v>
      </c>
      <c r="BA41" s="19" t="n">
        <f aca="false">$B41+BA$3*100*$A41</f>
        <v>28.8118571129978</v>
      </c>
      <c r="BB41" s="19" t="n">
        <f aca="false">$B41+BB$3*100*$A41</f>
        <v>29.2868571129978</v>
      </c>
      <c r="BC41" s="19" t="n">
        <f aca="false">$B41+BC$3*100*$A41</f>
        <v>29.7618571129978</v>
      </c>
      <c r="BD41" s="19" t="n">
        <f aca="false">$B41+BD$3*100*$A41</f>
        <v>30.2368571129978</v>
      </c>
      <c r="BE41" s="19" t="n">
        <f aca="false">$B41+BE$3*100*$A41</f>
        <v>30.7118571129978</v>
      </c>
      <c r="BF41" s="19" t="n">
        <f aca="false">$B41+BF$3*100*$A41</f>
        <v>31.1868571129978</v>
      </c>
      <c r="BG41" s="19" t="n">
        <f aca="false">$B41+BG$3*100*$A41</f>
        <v>31.6618571129978</v>
      </c>
      <c r="BH41" s="19" t="n">
        <f aca="false">$B41+BH$3*100*$A41</f>
        <v>32.1368571129978</v>
      </c>
      <c r="BI41" s="19" t="n">
        <f aca="false">$B41+BI$3*100*$A41</f>
        <v>32.6118571129978</v>
      </c>
      <c r="BJ41" s="19" t="n">
        <f aca="false">$B41+BJ$3*100*$A41</f>
        <v>33.0868571129978</v>
      </c>
      <c r="BK41" s="19" t="n">
        <f aca="false">$B41+BK$3*100*$A41</f>
        <v>33.5618571129978</v>
      </c>
      <c r="BL41" s="19" t="n">
        <f aca="false">$B41+BL$3*100*$A41</f>
        <v>34.0368571129978</v>
      </c>
      <c r="BM41" s="19" t="n">
        <f aca="false">$B41+BM$3*100*$A41</f>
        <v>34.5118571129978</v>
      </c>
      <c r="BN41" s="19" t="n">
        <f aca="false">$B41+BN$3*100*$A41</f>
        <v>34.9868571129978</v>
      </c>
      <c r="BO41" s="19" t="n">
        <f aca="false">$B41+BO$3*100*$A41</f>
        <v>35.4618571129978</v>
      </c>
      <c r="BP41" s="19" t="n">
        <f aca="false">$B41+BP$3*100*$A41</f>
        <v>35.9368571129978</v>
      </c>
      <c r="BQ41" s="19" t="n">
        <f aca="false">$B41+BQ$3*100*$A41</f>
        <v>36.4118571129978</v>
      </c>
      <c r="BR41" s="19" t="n">
        <f aca="false">$B41+BR$3*100*$A41</f>
        <v>36.8868571129978</v>
      </c>
      <c r="BS41" s="19" t="n">
        <f aca="false">$B41+BS$3*100*$A41</f>
        <v>37.3618571129978</v>
      </c>
      <c r="BT41" s="19" t="n">
        <f aca="false">$B41+BT$3*100*$A41</f>
        <v>37.8368571129978</v>
      </c>
      <c r="BU41" s="19" t="n">
        <f aca="false">$B41+BU$3*100*$A41</f>
        <v>38.3118571129978</v>
      </c>
      <c r="BV41" s="19" t="n">
        <f aca="false">$B41+BV$3*100*$A41</f>
        <v>38.7868571129978</v>
      </c>
      <c r="BW41" s="19" t="n">
        <f aca="false">$B41+BW$3*100*$A41</f>
        <v>39.2618571129978</v>
      </c>
      <c r="BX41" s="19" t="n">
        <f aca="false">$B41+BX$3*100*$A41</f>
        <v>39.7368571129978</v>
      </c>
      <c r="BY41" s="19" t="n">
        <f aca="false">$B41+BY$3*100*$A41</f>
        <v>40.2118571129978</v>
      </c>
      <c r="BZ41" s="19" t="n">
        <f aca="false">$B41+BZ$3*100*$A41</f>
        <v>40.6868571129978</v>
      </c>
      <c r="CA41" s="19" t="n">
        <f aca="false">$B41+CA$3*100*$A41</f>
        <v>41.1618571129978</v>
      </c>
      <c r="CB41" s="19" t="n">
        <f aca="false">$B41+CB$3*100*$A41</f>
        <v>41.6368571129978</v>
      </c>
      <c r="CC41" s="19" t="n">
        <f aca="false">$B41+CC$3*100*$A41</f>
        <v>42.1118571129978</v>
      </c>
      <c r="CD41" s="19" t="n">
        <f aca="false">$B41+CD$3*100*$A41</f>
        <v>42.5868571129978</v>
      </c>
      <c r="CE41" s="19" t="n">
        <f aca="false">$B41+CE$3*100*$A41</f>
        <v>43.0618571129978</v>
      </c>
      <c r="CF41" s="19" t="n">
        <f aca="false">$B41+CF$3*100*$A41</f>
        <v>43.5368571129978</v>
      </c>
      <c r="CG41" s="19" t="n">
        <f aca="false">$B41+CG$3*100*$A41</f>
        <v>44.0118571129978</v>
      </c>
      <c r="CH41" s="19" t="n">
        <f aca="false">$B41+CH$3*100*$A41</f>
        <v>44.4868571129978</v>
      </c>
      <c r="CI41" s="19" t="n">
        <f aca="false">$B41+CI$3*100*$A41</f>
        <v>44.9618571129978</v>
      </c>
      <c r="CJ41" s="19" t="n">
        <f aca="false">$B41+CJ$3*100*$A41</f>
        <v>45.4368571129978</v>
      </c>
      <c r="CK41" s="19" t="n">
        <f aca="false">$B41+CK$3*100*$A41</f>
        <v>45.9118571129978</v>
      </c>
      <c r="CL41" s="19" t="n">
        <f aca="false">$B41+CL$3*100*$A41</f>
        <v>46.3868571129978</v>
      </c>
      <c r="CM41" s="19" t="n">
        <f aca="false">$B41+CM$3*100*$A41</f>
        <v>46.8618571129978</v>
      </c>
      <c r="CN41" s="19" t="n">
        <f aca="false">$B41+CN$3*100*$A41</f>
        <v>47.3368571129978</v>
      </c>
      <c r="CO41" s="19" t="n">
        <f aca="false">$B41+CO$3*100*$A41</f>
        <v>47.8118571129978</v>
      </c>
      <c r="CP41" s="19" t="n">
        <f aca="false">$B41+CP$3*100*$A41</f>
        <v>48.2868571129978</v>
      </c>
      <c r="CQ41" s="19" t="n">
        <f aca="false">$B41+CQ$3*100*$A41</f>
        <v>48.7618571129978</v>
      </c>
      <c r="CR41" s="19" t="n">
        <f aca="false">$B41+CR$3*100*$A41</f>
        <v>49.2368571129978</v>
      </c>
      <c r="CS41" s="19" t="n">
        <f aca="false">$B41+CS$3*100*$A41</f>
        <v>49.7118571129978</v>
      </c>
      <c r="CT41" s="19" t="n">
        <f aca="false">$B41+CT$3*100*$A41</f>
        <v>50.1868571129978</v>
      </c>
      <c r="CU41" s="19" t="n">
        <f aca="false">$B41+CU$3*100*$A41</f>
        <v>50.6618571129978</v>
      </c>
      <c r="CV41" s="19" t="n">
        <f aca="false">$B41+CV$3*100*$A41</f>
        <v>51.1368571129978</v>
      </c>
      <c r="CW41" s="19" t="n">
        <f aca="false">$B41+CW$3*100*$A41</f>
        <v>51.6118571129978</v>
      </c>
      <c r="CX41" s="19" t="n">
        <f aca="false">$B41+CX$3*100*$A41</f>
        <v>52.0868571129978</v>
      </c>
      <c r="CY41" s="19" t="n">
        <f aca="false">$B41+CY$3*100*$A41</f>
        <v>52.5618571129978</v>
      </c>
      <c r="CZ41" s="19" t="n">
        <f aca="false">$B41+CZ$3*100*$A41</f>
        <v>53.0368571129978</v>
      </c>
      <c r="DA41" s="19" t="n">
        <f aca="false">$B41+DA$3*100*$A41</f>
        <v>53.5118571129978</v>
      </c>
      <c r="DB41" s="19" t="n">
        <f aca="false">$B41+DB$3*100*$A41</f>
        <v>53.9868571129978</v>
      </c>
      <c r="DC41" s="19" t="n">
        <f aca="false">$B41+DC$3*100*$A41</f>
        <v>54.4618571129978</v>
      </c>
      <c r="DD41" s="19" t="n">
        <f aca="false">$B41+DD$3*100*$A41</f>
        <v>54.9368571129978</v>
      </c>
      <c r="DE41" s="19" t="n">
        <f aca="false">$B41+DE$3*100*$A41</f>
        <v>55.4118571129978</v>
      </c>
      <c r="DF41" s="19" t="n">
        <f aca="false">$B41+DF$3*100*$A41</f>
        <v>55.8868571129978</v>
      </c>
      <c r="DG41" s="19" t="n">
        <f aca="false">$B41+DG$3*100*$A41</f>
        <v>56.3618571129978</v>
      </c>
      <c r="DH41" s="19" t="n">
        <f aca="false">$B41+DH$3*100*$A41</f>
        <v>56.8368571129978</v>
      </c>
      <c r="DI41" s="19" t="n">
        <f aca="false">$B41+DI$3*100*$A41</f>
        <v>57.3118571129978</v>
      </c>
      <c r="DJ41" s="19" t="n">
        <f aca="false">$B41+DJ$3*100*$A41</f>
        <v>57.7868571129978</v>
      </c>
      <c r="DK41" s="19" t="n">
        <f aca="false">$B41+DK$3*100*$A41</f>
        <v>58.2618571129978</v>
      </c>
      <c r="DL41" s="19" t="n">
        <f aca="false">$B41+DL$3*100*$A41</f>
        <v>58.7368571129978</v>
      </c>
      <c r="DM41" s="19" t="n">
        <f aca="false">$B41+DM$3*100*$A41</f>
        <v>59.2118571129978</v>
      </c>
      <c r="DN41" s="19" t="n">
        <f aca="false">$B41+DN$3*100*$A41</f>
        <v>59.6868571129978</v>
      </c>
      <c r="DO41" s="19" t="n">
        <f aca="false">$B41+DO$3*100*$A41</f>
        <v>60.1618571129978</v>
      </c>
      <c r="DP41" s="19" t="n">
        <f aca="false">$B41+DP$3*100*$A41</f>
        <v>60.6368571129978</v>
      </c>
      <c r="DQ41" s="19" t="n">
        <f aca="false">$B41+DQ$3*100*$A41</f>
        <v>61.1118571129978</v>
      </c>
      <c r="DR41" s="19" t="n">
        <f aca="false">$B41+DR$3*100*$A41</f>
        <v>61.5868571129978</v>
      </c>
      <c r="DS41" s="19" t="n">
        <f aca="false">$B41+DS$3*100*$A41</f>
        <v>62.0618571129978</v>
      </c>
      <c r="DT41" s="19" t="n">
        <f aca="false">$B41+DT$3*100*$A41</f>
        <v>62.5368571129978</v>
      </c>
      <c r="DU41" s="19" t="n">
        <f aca="false">$B41+DU$3*100*$A41</f>
        <v>63.0118571129978</v>
      </c>
      <c r="DV41" s="19" t="n">
        <f aca="false">$B41+DV$3*100*$A41</f>
        <v>63.4868571129978</v>
      </c>
      <c r="DW41" s="19" t="n">
        <f aca="false">$B41+DW$3*100*$A41</f>
        <v>63.9618571129978</v>
      </c>
      <c r="DX41" s="19" t="n">
        <f aca="false">$B41+DX$3*100*$A41</f>
        <v>64.4368571129978</v>
      </c>
      <c r="DY41" s="19" t="n">
        <f aca="false">$B41+DY$3*100*$A41</f>
        <v>64.9118571129978</v>
      </c>
      <c r="DZ41" s="19" t="n">
        <f aca="false">$B41+DZ$3*100*$A41</f>
        <v>65.3868571129978</v>
      </c>
      <c r="EA41" s="19" t="n">
        <f aca="false">$B41+EA$3*100*$A41</f>
        <v>65.8618571129978</v>
      </c>
      <c r="EB41" s="19" t="n">
        <f aca="false">$B41+EB$3*100*$A41</f>
        <v>66.3368571129978</v>
      </c>
      <c r="EC41" s="19" t="n">
        <f aca="false">$B41+EC$3*100*$A41</f>
        <v>66.8118571129978</v>
      </c>
      <c r="ED41" s="19" t="n">
        <f aca="false">$B41+ED$3*100*$A41</f>
        <v>67.2868571129978</v>
      </c>
      <c r="EE41" s="19" t="n">
        <f aca="false">$B41+EE$3*100*$A41</f>
        <v>67.7618571129978</v>
      </c>
      <c r="EF41" s="19" t="n">
        <f aca="false">$B41+EF$3*100*$A41</f>
        <v>68.2368571129978</v>
      </c>
      <c r="EG41" s="19" t="n">
        <f aca="false">$B41+EG$3*100*$A41</f>
        <v>68.7118571129978</v>
      </c>
      <c r="EH41" s="19" t="n">
        <f aca="false">$B41+EH$3*100*$A41</f>
        <v>69.1868571129978</v>
      </c>
      <c r="EI41" s="19" t="n">
        <f aca="false">$B41+EI$3*100*$A41</f>
        <v>69.6618571129978</v>
      </c>
      <c r="EJ41" s="19" t="n">
        <f aca="false">$B41+EJ$3*100*$A41</f>
        <v>70.1368571129978</v>
      </c>
      <c r="EK41" s="19" t="n">
        <f aca="false">$B41+EK$3*100*$A41</f>
        <v>70.6118571129978</v>
      </c>
      <c r="EL41" s="19" t="n">
        <f aca="false">$B41+EL$3*100*$A41</f>
        <v>71.0868571129978</v>
      </c>
      <c r="EM41" s="19" t="n">
        <f aca="false">$B41+EM$3*100*$A41</f>
        <v>71.5618571129978</v>
      </c>
      <c r="EN41" s="19" t="n">
        <f aca="false">$B41+EN$3*100*$A41</f>
        <v>72.0368571129978</v>
      </c>
      <c r="EO41" s="19" t="n">
        <f aca="false">$B41+EO$3*100*$A41</f>
        <v>72.5118571129978</v>
      </c>
      <c r="EP41" s="19" t="n">
        <f aca="false">$B41+EP$3*100*$A41</f>
        <v>72.9868571129978</v>
      </c>
      <c r="EQ41" s="19" t="n">
        <f aca="false">$B41+EQ$3*100*$A41</f>
        <v>73.4618571129978</v>
      </c>
      <c r="ER41" s="19" t="n">
        <f aca="false">$B41+ER$3*100*$A41</f>
        <v>73.9368571129978</v>
      </c>
      <c r="ES41" s="19" t="n">
        <f aca="false">$B41+ES$3*100*$A41</f>
        <v>74.4118571129978</v>
      </c>
      <c r="ET41" s="19" t="n">
        <f aca="false">$B41+ET$3*100*$A41</f>
        <v>74.8868571129978</v>
      </c>
      <c r="EU41" s="19" t="n">
        <f aca="false">$B41+EU$3*100*$A41</f>
        <v>75.3618571129978</v>
      </c>
      <c r="EV41" s="19" t="n">
        <f aca="false">$B41+EV$3*100*$A41</f>
        <v>75.8368571129978</v>
      </c>
      <c r="EW41" s="19" t="n">
        <f aca="false">$B41+EW$3*100*$A41</f>
        <v>76.3118571129978</v>
      </c>
      <c r="EX41" s="19" t="n">
        <f aca="false">$B41+EX$3*100*$A41</f>
        <v>76.7868571129978</v>
      </c>
      <c r="EY41" s="19" t="n">
        <f aca="false">$B41+EY$3*100*$A41</f>
        <v>77.2618571129978</v>
      </c>
      <c r="EZ41" s="19" t="n">
        <f aca="false">$B41+EZ$3*100*$A41</f>
        <v>77.7368571129978</v>
      </c>
      <c r="FA41" s="19" t="n">
        <f aca="false">$B41+FA$3*100*$A41</f>
        <v>78.2118571129978</v>
      </c>
      <c r="FB41" s="19" t="n">
        <f aca="false">$B41+FB$3*100*$A41</f>
        <v>78.6868571129978</v>
      </c>
      <c r="FC41" s="19" t="n">
        <f aca="false">$B41+FC$3*100*$A41</f>
        <v>79.1618571129978</v>
      </c>
      <c r="FD41" s="19" t="n">
        <f aca="false">$B41+FD$3*100*$A41</f>
        <v>79.6368571129978</v>
      </c>
      <c r="FE41" s="19" t="n">
        <f aca="false">$B41+FE$3*100*$A41</f>
        <v>80.1118571129978</v>
      </c>
      <c r="FF41" s="19" t="n">
        <f aca="false">$B41+FF$3*100*$A41</f>
        <v>80.5868571129978</v>
      </c>
      <c r="FG41" s="19" t="n">
        <f aca="false">$B41+FG$3*100*$A41</f>
        <v>81.0618571129978</v>
      </c>
      <c r="FH41" s="19" t="n">
        <f aca="false">$B41+FH$3*100*$A41</f>
        <v>81.5368571129978</v>
      </c>
      <c r="FI41" s="19" t="n">
        <f aca="false">$B41+FI$3*100*$A41</f>
        <v>82.0118571129978</v>
      </c>
      <c r="FJ41" s="19" t="n">
        <f aca="false">$B41+FJ$3*100*$A41</f>
        <v>82.4868571129978</v>
      </c>
      <c r="FK41" s="19" t="n">
        <f aca="false">$B41+FK$3*100*$A41</f>
        <v>82.9618571129978</v>
      </c>
      <c r="FL41" s="19" t="n">
        <f aca="false">$B41+FL$3*100*$A41</f>
        <v>83.4368571129978</v>
      </c>
      <c r="FM41" s="19" t="n">
        <f aca="false">$B41+FM$3*100*$A41</f>
        <v>83.9118571129978</v>
      </c>
      <c r="FN41" s="19" t="n">
        <f aca="false">$B41+FN$3*100*$A41</f>
        <v>84.3868571129978</v>
      </c>
      <c r="FO41" s="19" t="n">
        <f aca="false">$B41+FO$3*100*$A41</f>
        <v>84.8618571129978</v>
      </c>
      <c r="FP41" s="19" t="n">
        <f aca="false">$B41+FP$3*100*$A41</f>
        <v>85.3368571129978</v>
      </c>
      <c r="FQ41" s="19" t="n">
        <f aca="false">$B41+FQ$3*100*$A41</f>
        <v>85.8118571129978</v>
      </c>
      <c r="FR41" s="19" t="n">
        <f aca="false">$B41+FR$3*100*$A41</f>
        <v>86.2868571129978</v>
      </c>
      <c r="FS41" s="19" t="n">
        <f aca="false">$B41+FS$3*100*$A41</f>
        <v>86.7618571129978</v>
      </c>
      <c r="FT41" s="19" t="n">
        <f aca="false">$B41+FT$3*100*$A41</f>
        <v>87.2368571129978</v>
      </c>
      <c r="FU41" s="19" t="n">
        <f aca="false">$B41+FU$3*100*$A41</f>
        <v>87.7118571129978</v>
      </c>
      <c r="FV41" s="19" t="n">
        <f aca="false">$B41+FV$3*100*$A41</f>
        <v>88.1868571129978</v>
      </c>
      <c r="FW41" s="19" t="n">
        <f aca="false">$B41+FW$3*100*$A41</f>
        <v>88.6618571129978</v>
      </c>
      <c r="FX41" s="19" t="n">
        <f aca="false">$B41+FX$3*100*$A41</f>
        <v>89.1368571129978</v>
      </c>
      <c r="FY41" s="19" t="n">
        <f aca="false">$B41+FY$3*100*$A41</f>
        <v>89.6118571129978</v>
      </c>
      <c r="FZ41" s="19" t="n">
        <f aca="false">$B41+FZ$3*100*$A41</f>
        <v>90.0868571129978</v>
      </c>
      <c r="GA41" s="19" t="n">
        <f aca="false">$B41+GA$3*100*$A41</f>
        <v>90.5618571129978</v>
      </c>
      <c r="GB41" s="19" t="n">
        <f aca="false">$B41+GB$3*100*$A41</f>
        <v>91.0368571129978</v>
      </c>
      <c r="GC41" s="19" t="n">
        <f aca="false">$B41+GC$3*100*$A41</f>
        <v>91.5118571129978</v>
      </c>
      <c r="GD41" s="19" t="n">
        <f aca="false">$B41+GD$3*100*$A41</f>
        <v>91.9868571129978</v>
      </c>
      <c r="GE41" s="19" t="n">
        <f aca="false">$B41+GE$3*100*$A41</f>
        <v>92.4618571129978</v>
      </c>
      <c r="GF41" s="19" t="n">
        <f aca="false">$B41+GF$3*100*$A41</f>
        <v>92.9368571129978</v>
      </c>
      <c r="GG41" s="19" t="n">
        <f aca="false">$B41+GG$3*100*$A41</f>
        <v>93.4118571129978</v>
      </c>
      <c r="GH41" s="19" t="n">
        <f aca="false">$B41+GH$3*100*$A41</f>
        <v>93.8868571129978</v>
      </c>
      <c r="GI41" s="19" t="n">
        <f aca="false">$B41+GI$3*100*$A41</f>
        <v>94.3618571129978</v>
      </c>
      <c r="GJ41" s="19" t="n">
        <f aca="false">$B41+GJ$3*100*$A41</f>
        <v>94.8368571129978</v>
      </c>
      <c r="GK41" s="19" t="n">
        <f aca="false">$B41+GK$3*100*$A41</f>
        <v>95.3118571129978</v>
      </c>
      <c r="GL41" s="19" t="n">
        <f aca="false">$B41+GL$3*100*$A41</f>
        <v>95.7868571129978</v>
      </c>
      <c r="GM41" s="19" t="n">
        <f aca="false">$B41+GM$3*100*$A41</f>
        <v>96.2618571129978</v>
      </c>
      <c r="GN41" s="19" t="n">
        <f aca="false">$B41+GN$3*100*$A41</f>
        <v>96.7368571129978</v>
      </c>
      <c r="GO41" s="19" t="n">
        <f aca="false">$B41+GO$3*100*$A41</f>
        <v>97.2118571129978</v>
      </c>
      <c r="GP41" s="19" t="n">
        <f aca="false">$B41+GP$3*100*$A41</f>
        <v>97.6868571129978</v>
      </c>
      <c r="GQ41" s="19" t="n">
        <f aca="false">$B41+GQ$3*100*$A41</f>
        <v>98.1618571129978</v>
      </c>
      <c r="GR41" s="19" t="n">
        <f aca="false">$B41+GR$3*100*$A41</f>
        <v>98.6368571129978</v>
      </c>
      <c r="GS41" s="19" t="n">
        <f aca="false">$B41+GS$3*100*$A41</f>
        <v>99.1118571129978</v>
      </c>
      <c r="GT41" s="19" t="n">
        <f aca="false">$B41+GT$3*100*$A41</f>
        <v>99.5868571129978</v>
      </c>
    </row>
    <row r="42" customFormat="false" ht="15" hidden="false" customHeight="false" outlineLevel="0" collapsed="false">
      <c r="A42" s="26" t="n">
        <f aca="false">Frontier!A40</f>
        <v>0.0975</v>
      </c>
      <c r="B42" s="34" t="n">
        <f aca="false">Frontier!B40</f>
        <v>4.35</v>
      </c>
      <c r="C42" s="19" t="n">
        <f aca="false">$B42+C$3*100*$A42</f>
        <v>4.8375</v>
      </c>
      <c r="D42" s="19" t="n">
        <f aca="false">$B42+D$3*100*$A42</f>
        <v>5.325</v>
      </c>
      <c r="E42" s="19" t="n">
        <f aca="false">$B42+E$3*100*$A42</f>
        <v>5.8125</v>
      </c>
      <c r="F42" s="19" t="n">
        <f aca="false">$B42+F$3*100*$A42</f>
        <v>6.3</v>
      </c>
      <c r="G42" s="19" t="n">
        <f aca="false">$B42+G$3*100*$A42</f>
        <v>6.7875</v>
      </c>
      <c r="H42" s="19" t="n">
        <f aca="false">$B42+H$3*100*$A42</f>
        <v>7.275</v>
      </c>
      <c r="I42" s="19" t="n">
        <f aca="false">$B42+I$3*100*$A42</f>
        <v>7.7625</v>
      </c>
      <c r="J42" s="19" t="n">
        <f aca="false">$B42+J$3*100*$A42</f>
        <v>8.25</v>
      </c>
      <c r="K42" s="19" t="n">
        <f aca="false">$B42+K$3*100*$A42</f>
        <v>8.7375</v>
      </c>
      <c r="L42" s="19" t="n">
        <f aca="false">$B42+L$3*100*$A42</f>
        <v>9.225</v>
      </c>
      <c r="M42" s="19" t="n">
        <f aca="false">$B42+M$3*100*$A42</f>
        <v>9.7125</v>
      </c>
      <c r="N42" s="19" t="n">
        <f aca="false">$B42+N$3*100*$A42</f>
        <v>10.2</v>
      </c>
      <c r="O42" s="19" t="n">
        <f aca="false">$B42+O$3*100*$A42</f>
        <v>10.6875</v>
      </c>
      <c r="P42" s="19" t="n">
        <f aca="false">$B42+P$3*100*$A42</f>
        <v>11.175</v>
      </c>
      <c r="Q42" s="19" t="n">
        <f aca="false">$B42+Q$3*100*$A42</f>
        <v>11.6625</v>
      </c>
      <c r="R42" s="19" t="n">
        <f aca="false">$B42+R$3*100*$A42</f>
        <v>12.15</v>
      </c>
      <c r="S42" s="19" t="n">
        <f aca="false">$B42+S$3*100*$A42</f>
        <v>12.6375</v>
      </c>
      <c r="T42" s="19" t="n">
        <f aca="false">$B42+T$3*100*$A42</f>
        <v>13.125</v>
      </c>
      <c r="U42" s="19" t="n">
        <f aca="false">$B42+U$3*100*$A42</f>
        <v>13.6125</v>
      </c>
      <c r="V42" s="19" t="n">
        <f aca="false">$B42+V$3*100*$A42</f>
        <v>14.1</v>
      </c>
      <c r="W42" s="19" t="n">
        <f aca="false">$B42+W$3*100*$A42</f>
        <v>14.5875</v>
      </c>
      <c r="X42" s="19" t="n">
        <f aca="false">$B42+X$3*100*$A42</f>
        <v>15.075</v>
      </c>
      <c r="Y42" s="19" t="n">
        <f aca="false">$B42+Y$3*100*$A42</f>
        <v>15.5625</v>
      </c>
      <c r="Z42" s="19" t="n">
        <f aca="false">$B42+Z$3*100*$A42</f>
        <v>16.05</v>
      </c>
      <c r="AA42" s="19" t="n">
        <f aca="false">$B42+AA$3*100*$A42</f>
        <v>16.5375</v>
      </c>
      <c r="AB42" s="19" t="n">
        <f aca="false">$B42+AB$3*100*$A42</f>
        <v>17.025</v>
      </c>
      <c r="AC42" s="19" t="n">
        <f aca="false">$B42+AC$3*100*$A42</f>
        <v>17.5125</v>
      </c>
      <c r="AD42" s="19" t="n">
        <f aca="false">$B42+AD$3*100*$A42</f>
        <v>18</v>
      </c>
      <c r="AE42" s="19" t="n">
        <f aca="false">$B42+AE$3*100*$A42</f>
        <v>18.4875</v>
      </c>
      <c r="AF42" s="19" t="n">
        <f aca="false">$B42+AF$3*100*$A42</f>
        <v>18.975</v>
      </c>
      <c r="AG42" s="19" t="n">
        <f aca="false">$B42+AG$3*100*$A42</f>
        <v>19.4625</v>
      </c>
      <c r="AH42" s="19" t="n">
        <f aca="false">$B42+AH$3*100*$A42</f>
        <v>19.95</v>
      </c>
      <c r="AI42" s="19" t="n">
        <f aca="false">$B42+AI$3*100*$A42</f>
        <v>20.4375</v>
      </c>
      <c r="AJ42" s="19" t="n">
        <f aca="false">$B42+AJ$3*100*$A42</f>
        <v>20.925</v>
      </c>
      <c r="AK42" s="19" t="n">
        <f aca="false">$B42+AK$3*100*$A42</f>
        <v>21.4125</v>
      </c>
      <c r="AL42" s="19" t="n">
        <f aca="false">$B42+AL$3*100*$A42</f>
        <v>21.9</v>
      </c>
      <c r="AM42" s="19" t="n">
        <f aca="false">$B42+AM$3*100*$A42</f>
        <v>22.3875</v>
      </c>
      <c r="AN42" s="19" t="n">
        <f aca="false">$B42+AN$3*100*$A42</f>
        <v>22.875</v>
      </c>
      <c r="AO42" s="19" t="n">
        <f aca="false">$B42+AO$3*100*$A42</f>
        <v>23.3625</v>
      </c>
      <c r="AP42" s="19" t="n">
        <f aca="false">$B42+AP$3*100*$A42</f>
        <v>23.85</v>
      </c>
      <c r="AQ42" s="19" t="n">
        <f aca="false">$B42+AQ$3*100*$A42</f>
        <v>24.3375</v>
      </c>
      <c r="AR42" s="19" t="n">
        <f aca="false">$B42+AR$3*100*$A42</f>
        <v>24.825</v>
      </c>
      <c r="AS42" s="19" t="n">
        <f aca="false">$B42+AS$3*100*$A42</f>
        <v>25.3125</v>
      </c>
      <c r="AT42" s="19" t="n">
        <f aca="false">$B42+AT$3*100*$A42</f>
        <v>25.8</v>
      </c>
      <c r="AU42" s="19" t="n">
        <f aca="false">$B42+AU$3*100*$A42</f>
        <v>26.2875</v>
      </c>
      <c r="AV42" s="19" t="n">
        <f aca="false">$B42+AV$3*100*$A42</f>
        <v>26.775</v>
      </c>
      <c r="AW42" s="19" t="n">
        <f aca="false">$B42+AW$3*100*$A42</f>
        <v>27.2625</v>
      </c>
      <c r="AX42" s="19" t="n">
        <f aca="false">$B42+AX$3*100*$A42</f>
        <v>27.75</v>
      </c>
      <c r="AY42" s="19" t="n">
        <f aca="false">$B42+AY$3*100*$A42</f>
        <v>28.2375</v>
      </c>
      <c r="AZ42" s="19" t="n">
        <f aca="false">$B42+AZ$3*100*$A42</f>
        <v>28.725</v>
      </c>
      <c r="BA42" s="19" t="n">
        <f aca="false">$B42+BA$3*100*$A42</f>
        <v>29.2125</v>
      </c>
      <c r="BB42" s="19" t="n">
        <f aca="false">$B42+BB$3*100*$A42</f>
        <v>29.7</v>
      </c>
      <c r="BC42" s="19" t="n">
        <f aca="false">$B42+BC$3*100*$A42</f>
        <v>30.1875</v>
      </c>
      <c r="BD42" s="19" t="n">
        <f aca="false">$B42+BD$3*100*$A42</f>
        <v>30.675</v>
      </c>
      <c r="BE42" s="19" t="n">
        <f aca="false">$B42+BE$3*100*$A42</f>
        <v>31.1625</v>
      </c>
      <c r="BF42" s="19" t="n">
        <f aca="false">$B42+BF$3*100*$A42</f>
        <v>31.65</v>
      </c>
      <c r="BG42" s="19" t="n">
        <f aca="false">$B42+BG$3*100*$A42</f>
        <v>32.1375</v>
      </c>
      <c r="BH42" s="19" t="n">
        <f aca="false">$B42+BH$3*100*$A42</f>
        <v>32.625</v>
      </c>
      <c r="BI42" s="19" t="n">
        <f aca="false">$B42+BI$3*100*$A42</f>
        <v>33.1125</v>
      </c>
      <c r="BJ42" s="19" t="n">
        <f aca="false">$B42+BJ$3*100*$A42</f>
        <v>33.6</v>
      </c>
      <c r="BK42" s="19" t="n">
        <f aca="false">$B42+BK$3*100*$A42</f>
        <v>34.0875</v>
      </c>
      <c r="BL42" s="19" t="n">
        <f aca="false">$B42+BL$3*100*$A42</f>
        <v>34.575</v>
      </c>
      <c r="BM42" s="19" t="n">
        <f aca="false">$B42+BM$3*100*$A42</f>
        <v>35.0625</v>
      </c>
      <c r="BN42" s="19" t="n">
        <f aca="false">$B42+BN$3*100*$A42</f>
        <v>35.55</v>
      </c>
      <c r="BO42" s="19" t="n">
        <f aca="false">$B42+BO$3*100*$A42</f>
        <v>36.0375</v>
      </c>
      <c r="BP42" s="19" t="n">
        <f aca="false">$B42+BP$3*100*$A42</f>
        <v>36.525</v>
      </c>
      <c r="BQ42" s="19" t="n">
        <f aca="false">$B42+BQ$3*100*$A42</f>
        <v>37.0125</v>
      </c>
      <c r="BR42" s="19" t="n">
        <f aca="false">$B42+BR$3*100*$A42</f>
        <v>37.5</v>
      </c>
      <c r="BS42" s="19" t="n">
        <f aca="false">$B42+BS$3*100*$A42</f>
        <v>37.9875</v>
      </c>
      <c r="BT42" s="19" t="n">
        <f aca="false">$B42+BT$3*100*$A42</f>
        <v>38.475</v>
      </c>
      <c r="BU42" s="19" t="n">
        <f aca="false">$B42+BU$3*100*$A42</f>
        <v>38.9625</v>
      </c>
      <c r="BV42" s="19" t="n">
        <f aca="false">$B42+BV$3*100*$A42</f>
        <v>39.45</v>
      </c>
      <c r="BW42" s="19" t="n">
        <f aca="false">$B42+BW$3*100*$A42</f>
        <v>39.9375</v>
      </c>
      <c r="BX42" s="19" t="n">
        <f aca="false">$B42+BX$3*100*$A42</f>
        <v>40.425</v>
      </c>
      <c r="BY42" s="19" t="n">
        <f aca="false">$B42+BY$3*100*$A42</f>
        <v>40.9125</v>
      </c>
      <c r="BZ42" s="19" t="n">
        <f aca="false">$B42+BZ$3*100*$A42</f>
        <v>41.4</v>
      </c>
      <c r="CA42" s="19" t="n">
        <f aca="false">$B42+CA$3*100*$A42</f>
        <v>41.8875</v>
      </c>
      <c r="CB42" s="19" t="n">
        <f aca="false">$B42+CB$3*100*$A42</f>
        <v>42.375</v>
      </c>
      <c r="CC42" s="19" t="n">
        <f aca="false">$B42+CC$3*100*$A42</f>
        <v>42.8625</v>
      </c>
      <c r="CD42" s="19" t="n">
        <f aca="false">$B42+CD$3*100*$A42</f>
        <v>43.35</v>
      </c>
      <c r="CE42" s="19" t="n">
        <f aca="false">$B42+CE$3*100*$A42</f>
        <v>43.8375</v>
      </c>
      <c r="CF42" s="19" t="n">
        <f aca="false">$B42+CF$3*100*$A42</f>
        <v>44.325</v>
      </c>
      <c r="CG42" s="19" t="n">
        <f aca="false">$B42+CG$3*100*$A42</f>
        <v>44.8125</v>
      </c>
      <c r="CH42" s="19" t="n">
        <f aca="false">$B42+CH$3*100*$A42</f>
        <v>45.3</v>
      </c>
      <c r="CI42" s="19" t="n">
        <f aca="false">$B42+CI$3*100*$A42</f>
        <v>45.7875</v>
      </c>
      <c r="CJ42" s="19" t="n">
        <f aca="false">$B42+CJ$3*100*$A42</f>
        <v>46.275</v>
      </c>
      <c r="CK42" s="19" t="n">
        <f aca="false">$B42+CK$3*100*$A42</f>
        <v>46.7625</v>
      </c>
      <c r="CL42" s="19" t="n">
        <f aca="false">$B42+CL$3*100*$A42</f>
        <v>47.25</v>
      </c>
      <c r="CM42" s="19" t="n">
        <f aca="false">$B42+CM$3*100*$A42</f>
        <v>47.7375</v>
      </c>
      <c r="CN42" s="19" t="n">
        <f aca="false">$B42+CN$3*100*$A42</f>
        <v>48.225</v>
      </c>
      <c r="CO42" s="19" t="n">
        <f aca="false">$B42+CO$3*100*$A42</f>
        <v>48.7125</v>
      </c>
      <c r="CP42" s="19" t="n">
        <f aca="false">$B42+CP$3*100*$A42</f>
        <v>49.2</v>
      </c>
      <c r="CQ42" s="19" t="n">
        <f aca="false">$B42+CQ$3*100*$A42</f>
        <v>49.6875</v>
      </c>
      <c r="CR42" s="19" t="n">
        <f aca="false">$B42+CR$3*100*$A42</f>
        <v>50.175</v>
      </c>
      <c r="CS42" s="19" t="n">
        <f aca="false">$B42+CS$3*100*$A42</f>
        <v>50.6625</v>
      </c>
      <c r="CT42" s="19" t="n">
        <f aca="false">$B42+CT$3*100*$A42</f>
        <v>51.15</v>
      </c>
      <c r="CU42" s="19" t="n">
        <f aca="false">$B42+CU$3*100*$A42</f>
        <v>51.6375</v>
      </c>
      <c r="CV42" s="19" t="n">
        <f aca="false">$B42+CV$3*100*$A42</f>
        <v>52.125</v>
      </c>
      <c r="CW42" s="19" t="n">
        <f aca="false">$B42+CW$3*100*$A42</f>
        <v>52.6125</v>
      </c>
      <c r="CX42" s="19" t="n">
        <f aca="false">$B42+CX$3*100*$A42</f>
        <v>53.1</v>
      </c>
      <c r="CY42" s="19" t="n">
        <f aca="false">$B42+CY$3*100*$A42</f>
        <v>53.5875</v>
      </c>
      <c r="CZ42" s="19" t="n">
        <f aca="false">$B42+CZ$3*100*$A42</f>
        <v>54.075</v>
      </c>
      <c r="DA42" s="19" t="n">
        <f aca="false">$B42+DA$3*100*$A42</f>
        <v>54.5625</v>
      </c>
      <c r="DB42" s="19" t="n">
        <f aca="false">$B42+DB$3*100*$A42</f>
        <v>55.05</v>
      </c>
      <c r="DC42" s="19" t="n">
        <f aca="false">$B42+DC$3*100*$A42</f>
        <v>55.5375</v>
      </c>
      <c r="DD42" s="19" t="n">
        <f aca="false">$B42+DD$3*100*$A42</f>
        <v>56.025</v>
      </c>
      <c r="DE42" s="19" t="n">
        <f aca="false">$B42+DE$3*100*$A42</f>
        <v>56.5125</v>
      </c>
      <c r="DF42" s="19" t="n">
        <f aca="false">$B42+DF$3*100*$A42</f>
        <v>57</v>
      </c>
      <c r="DG42" s="19" t="n">
        <f aca="false">$B42+DG$3*100*$A42</f>
        <v>57.4875</v>
      </c>
      <c r="DH42" s="19" t="n">
        <f aca="false">$B42+DH$3*100*$A42</f>
        <v>57.975</v>
      </c>
      <c r="DI42" s="19" t="n">
        <f aca="false">$B42+DI$3*100*$A42</f>
        <v>58.4625</v>
      </c>
      <c r="DJ42" s="19" t="n">
        <f aca="false">$B42+DJ$3*100*$A42</f>
        <v>58.95</v>
      </c>
      <c r="DK42" s="19" t="n">
        <f aca="false">$B42+DK$3*100*$A42</f>
        <v>59.4375</v>
      </c>
      <c r="DL42" s="19" t="n">
        <f aca="false">$B42+DL$3*100*$A42</f>
        <v>59.925</v>
      </c>
      <c r="DM42" s="19" t="n">
        <f aca="false">$B42+DM$3*100*$A42</f>
        <v>60.4125</v>
      </c>
      <c r="DN42" s="19" t="n">
        <f aca="false">$B42+DN$3*100*$A42</f>
        <v>60.9</v>
      </c>
      <c r="DO42" s="19" t="n">
        <f aca="false">$B42+DO$3*100*$A42</f>
        <v>61.3875</v>
      </c>
      <c r="DP42" s="19" t="n">
        <f aca="false">$B42+DP$3*100*$A42</f>
        <v>61.875</v>
      </c>
      <c r="DQ42" s="19" t="n">
        <f aca="false">$B42+DQ$3*100*$A42</f>
        <v>62.3625</v>
      </c>
      <c r="DR42" s="19" t="n">
        <f aca="false">$B42+DR$3*100*$A42</f>
        <v>62.85</v>
      </c>
      <c r="DS42" s="19" t="n">
        <f aca="false">$B42+DS$3*100*$A42</f>
        <v>63.3375</v>
      </c>
      <c r="DT42" s="19" t="n">
        <f aca="false">$B42+DT$3*100*$A42</f>
        <v>63.825</v>
      </c>
      <c r="DU42" s="19" t="n">
        <f aca="false">$B42+DU$3*100*$A42</f>
        <v>64.3125</v>
      </c>
      <c r="DV42" s="19" t="n">
        <f aca="false">$B42+DV$3*100*$A42</f>
        <v>64.8</v>
      </c>
      <c r="DW42" s="19" t="n">
        <f aca="false">$B42+DW$3*100*$A42</f>
        <v>65.2875</v>
      </c>
      <c r="DX42" s="19" t="n">
        <f aca="false">$B42+DX$3*100*$A42</f>
        <v>65.775</v>
      </c>
      <c r="DY42" s="19" t="n">
        <f aca="false">$B42+DY$3*100*$A42</f>
        <v>66.2625</v>
      </c>
      <c r="DZ42" s="19" t="n">
        <f aca="false">$B42+DZ$3*100*$A42</f>
        <v>66.75</v>
      </c>
      <c r="EA42" s="19" t="n">
        <f aca="false">$B42+EA$3*100*$A42</f>
        <v>67.2375</v>
      </c>
      <c r="EB42" s="19" t="n">
        <f aca="false">$B42+EB$3*100*$A42</f>
        <v>67.725</v>
      </c>
      <c r="EC42" s="19" t="n">
        <f aca="false">$B42+EC$3*100*$A42</f>
        <v>68.2125</v>
      </c>
      <c r="ED42" s="19" t="n">
        <f aca="false">$B42+ED$3*100*$A42</f>
        <v>68.7</v>
      </c>
      <c r="EE42" s="19" t="n">
        <f aca="false">$B42+EE$3*100*$A42</f>
        <v>69.1875</v>
      </c>
      <c r="EF42" s="19" t="n">
        <f aca="false">$B42+EF$3*100*$A42</f>
        <v>69.675</v>
      </c>
      <c r="EG42" s="19" t="n">
        <f aca="false">$B42+EG$3*100*$A42</f>
        <v>70.1625</v>
      </c>
      <c r="EH42" s="19" t="n">
        <f aca="false">$B42+EH$3*100*$A42</f>
        <v>70.65</v>
      </c>
      <c r="EI42" s="19" t="n">
        <f aca="false">$B42+EI$3*100*$A42</f>
        <v>71.1375</v>
      </c>
      <c r="EJ42" s="19" t="n">
        <f aca="false">$B42+EJ$3*100*$A42</f>
        <v>71.625</v>
      </c>
      <c r="EK42" s="19" t="n">
        <f aca="false">$B42+EK$3*100*$A42</f>
        <v>72.1125</v>
      </c>
      <c r="EL42" s="19" t="n">
        <f aca="false">$B42+EL$3*100*$A42</f>
        <v>72.6</v>
      </c>
      <c r="EM42" s="19" t="n">
        <f aca="false">$B42+EM$3*100*$A42</f>
        <v>73.0875</v>
      </c>
      <c r="EN42" s="19" t="n">
        <f aca="false">$B42+EN$3*100*$A42</f>
        <v>73.575</v>
      </c>
      <c r="EO42" s="19" t="n">
        <f aca="false">$B42+EO$3*100*$A42</f>
        <v>74.0625</v>
      </c>
      <c r="EP42" s="19" t="n">
        <f aca="false">$B42+EP$3*100*$A42</f>
        <v>74.55</v>
      </c>
      <c r="EQ42" s="19" t="n">
        <f aca="false">$B42+EQ$3*100*$A42</f>
        <v>75.0375</v>
      </c>
      <c r="ER42" s="19" t="n">
        <f aca="false">$B42+ER$3*100*$A42</f>
        <v>75.525</v>
      </c>
      <c r="ES42" s="19" t="n">
        <f aca="false">$B42+ES$3*100*$A42</f>
        <v>76.0125</v>
      </c>
      <c r="ET42" s="19" t="n">
        <f aca="false">$B42+ET$3*100*$A42</f>
        <v>76.5</v>
      </c>
      <c r="EU42" s="19" t="n">
        <f aca="false">$B42+EU$3*100*$A42</f>
        <v>76.9875</v>
      </c>
      <c r="EV42" s="19" t="n">
        <f aca="false">$B42+EV$3*100*$A42</f>
        <v>77.475</v>
      </c>
      <c r="EW42" s="19" t="n">
        <f aca="false">$B42+EW$3*100*$A42</f>
        <v>77.9625</v>
      </c>
      <c r="EX42" s="19" t="n">
        <f aca="false">$B42+EX$3*100*$A42</f>
        <v>78.45</v>
      </c>
      <c r="EY42" s="19" t="n">
        <f aca="false">$B42+EY$3*100*$A42</f>
        <v>78.9375</v>
      </c>
      <c r="EZ42" s="19" t="n">
        <f aca="false">$B42+EZ$3*100*$A42</f>
        <v>79.425</v>
      </c>
      <c r="FA42" s="19" t="n">
        <f aca="false">$B42+FA$3*100*$A42</f>
        <v>79.9125</v>
      </c>
      <c r="FB42" s="19" t="n">
        <f aca="false">$B42+FB$3*100*$A42</f>
        <v>80.4</v>
      </c>
      <c r="FC42" s="19" t="n">
        <f aca="false">$B42+FC$3*100*$A42</f>
        <v>80.8875</v>
      </c>
      <c r="FD42" s="19" t="n">
        <f aca="false">$B42+FD$3*100*$A42</f>
        <v>81.375</v>
      </c>
      <c r="FE42" s="19" t="n">
        <f aca="false">$B42+FE$3*100*$A42</f>
        <v>81.8625</v>
      </c>
      <c r="FF42" s="19" t="n">
        <f aca="false">$B42+FF$3*100*$A42</f>
        <v>82.35</v>
      </c>
      <c r="FG42" s="19" t="n">
        <f aca="false">$B42+FG$3*100*$A42</f>
        <v>82.8375</v>
      </c>
      <c r="FH42" s="19" t="n">
        <f aca="false">$B42+FH$3*100*$A42</f>
        <v>83.325</v>
      </c>
      <c r="FI42" s="19" t="n">
        <f aca="false">$B42+FI$3*100*$A42</f>
        <v>83.8125</v>
      </c>
      <c r="FJ42" s="19" t="n">
        <f aca="false">$B42+FJ$3*100*$A42</f>
        <v>84.3</v>
      </c>
      <c r="FK42" s="19" t="n">
        <f aca="false">$B42+FK$3*100*$A42</f>
        <v>84.7875</v>
      </c>
      <c r="FL42" s="19" t="n">
        <f aca="false">$B42+FL$3*100*$A42</f>
        <v>85.275</v>
      </c>
      <c r="FM42" s="19" t="n">
        <f aca="false">$B42+FM$3*100*$A42</f>
        <v>85.7625</v>
      </c>
      <c r="FN42" s="19" t="n">
        <f aca="false">$B42+FN$3*100*$A42</f>
        <v>86.25</v>
      </c>
      <c r="FO42" s="19" t="n">
        <f aca="false">$B42+FO$3*100*$A42</f>
        <v>86.7375</v>
      </c>
      <c r="FP42" s="19" t="n">
        <f aca="false">$B42+FP$3*100*$A42</f>
        <v>87.225</v>
      </c>
      <c r="FQ42" s="19" t="n">
        <f aca="false">$B42+FQ$3*100*$A42</f>
        <v>87.7125</v>
      </c>
      <c r="FR42" s="19" t="n">
        <f aca="false">$B42+FR$3*100*$A42</f>
        <v>88.2</v>
      </c>
      <c r="FS42" s="19" t="n">
        <f aca="false">$B42+FS$3*100*$A42</f>
        <v>88.6875</v>
      </c>
      <c r="FT42" s="19" t="n">
        <f aca="false">$B42+FT$3*100*$A42</f>
        <v>89.175</v>
      </c>
      <c r="FU42" s="19" t="n">
        <f aca="false">$B42+FU$3*100*$A42</f>
        <v>89.6625</v>
      </c>
      <c r="FV42" s="19" t="n">
        <f aca="false">$B42+FV$3*100*$A42</f>
        <v>90.15</v>
      </c>
      <c r="FW42" s="19" t="n">
        <f aca="false">$B42+FW$3*100*$A42</f>
        <v>90.6375</v>
      </c>
      <c r="FX42" s="19" t="n">
        <f aca="false">$B42+FX$3*100*$A42</f>
        <v>91.125</v>
      </c>
      <c r="FY42" s="19" t="n">
        <f aca="false">$B42+FY$3*100*$A42</f>
        <v>91.6125</v>
      </c>
      <c r="FZ42" s="19" t="n">
        <f aca="false">$B42+FZ$3*100*$A42</f>
        <v>92.1</v>
      </c>
      <c r="GA42" s="19" t="n">
        <f aca="false">$B42+GA$3*100*$A42</f>
        <v>92.5875</v>
      </c>
      <c r="GB42" s="19" t="n">
        <f aca="false">$B42+GB$3*100*$A42</f>
        <v>93.075</v>
      </c>
      <c r="GC42" s="19" t="n">
        <f aca="false">$B42+GC$3*100*$A42</f>
        <v>93.5625</v>
      </c>
      <c r="GD42" s="19" t="n">
        <f aca="false">$B42+GD$3*100*$A42</f>
        <v>94.05</v>
      </c>
      <c r="GE42" s="19" t="n">
        <f aca="false">$B42+GE$3*100*$A42</f>
        <v>94.5375</v>
      </c>
      <c r="GF42" s="19" t="n">
        <f aca="false">$B42+GF$3*100*$A42</f>
        <v>95.025</v>
      </c>
      <c r="GG42" s="19" t="n">
        <f aca="false">$B42+GG$3*100*$A42</f>
        <v>95.5125</v>
      </c>
      <c r="GH42" s="19" t="n">
        <f aca="false">$B42+GH$3*100*$A42</f>
        <v>96</v>
      </c>
      <c r="GI42" s="19" t="n">
        <f aca="false">$B42+GI$3*100*$A42</f>
        <v>96.4875</v>
      </c>
      <c r="GJ42" s="19" t="n">
        <f aca="false">$B42+GJ$3*100*$A42</f>
        <v>96.975</v>
      </c>
      <c r="GK42" s="19" t="n">
        <f aca="false">$B42+GK$3*100*$A42</f>
        <v>97.4625</v>
      </c>
      <c r="GL42" s="19" t="n">
        <f aca="false">$B42+GL$3*100*$A42</f>
        <v>97.95</v>
      </c>
      <c r="GM42" s="19" t="n">
        <f aca="false">$B42+GM$3*100*$A42</f>
        <v>98.4375</v>
      </c>
      <c r="GN42" s="19" t="n">
        <f aca="false">$B42+GN$3*100*$A42</f>
        <v>98.925</v>
      </c>
      <c r="GO42" s="19" t="n">
        <f aca="false">$B42+GO$3*100*$A42</f>
        <v>99.4125</v>
      </c>
      <c r="GP42" s="19" t="n">
        <f aca="false">$B42+GP$3*100*$A42</f>
        <v>99.9</v>
      </c>
      <c r="GQ42" s="19" t="n">
        <f aca="false">$B42+GQ$3*100*$A42</f>
        <v>100.3875</v>
      </c>
      <c r="GR42" s="19" t="n">
        <f aca="false">$B42+GR$3*100*$A42</f>
        <v>100.875</v>
      </c>
      <c r="GS42" s="19" t="n">
        <f aca="false">$B42+GS$3*100*$A42</f>
        <v>101.3625</v>
      </c>
      <c r="GT42" s="19" t="n">
        <f aca="false">$B42+GT$3*100*$A42</f>
        <v>101.85</v>
      </c>
    </row>
    <row r="43" customFormat="false" ht="15" hidden="false" customHeight="false" outlineLevel="0" collapsed="false">
      <c r="A43" s="26" t="n">
        <f aca="false">Frontier!A41</f>
        <v>0.1</v>
      </c>
      <c r="B43" s="34" t="n">
        <f aca="false">Frontier!B41</f>
        <v>4.17137293000762</v>
      </c>
      <c r="C43" s="19" t="n">
        <f aca="false">$B43+C$3*100*$A43</f>
        <v>4.67137293000762</v>
      </c>
      <c r="D43" s="19" t="n">
        <f aca="false">$B43+D$3*100*$A43</f>
        <v>5.17137293000762</v>
      </c>
      <c r="E43" s="19" t="n">
        <f aca="false">$B43+E$3*100*$A43</f>
        <v>5.67137293000762</v>
      </c>
      <c r="F43" s="19" t="n">
        <f aca="false">$B43+F$3*100*$A43</f>
        <v>6.17137293000762</v>
      </c>
      <c r="G43" s="19" t="n">
        <f aca="false">$B43+G$3*100*$A43</f>
        <v>6.67137293000762</v>
      </c>
      <c r="H43" s="19" t="n">
        <f aca="false">$B43+H$3*100*$A43</f>
        <v>7.17137293000762</v>
      </c>
      <c r="I43" s="19" t="n">
        <f aca="false">$B43+I$3*100*$A43</f>
        <v>7.67137293000762</v>
      </c>
      <c r="J43" s="19" t="n">
        <f aca="false">$B43+J$3*100*$A43</f>
        <v>8.17137293000762</v>
      </c>
      <c r="K43" s="19" t="n">
        <f aca="false">$B43+K$3*100*$A43</f>
        <v>8.67137293000762</v>
      </c>
      <c r="L43" s="19" t="n">
        <f aca="false">$B43+L$3*100*$A43</f>
        <v>9.17137293000762</v>
      </c>
      <c r="M43" s="19" t="n">
        <f aca="false">$B43+M$3*100*$A43</f>
        <v>9.67137293000762</v>
      </c>
      <c r="N43" s="19" t="n">
        <f aca="false">$B43+N$3*100*$A43</f>
        <v>10.1713729300076</v>
      </c>
      <c r="O43" s="19" t="n">
        <f aca="false">$B43+O$3*100*$A43</f>
        <v>10.6713729300076</v>
      </c>
      <c r="P43" s="19" t="n">
        <f aca="false">$B43+P$3*100*$A43</f>
        <v>11.1713729300076</v>
      </c>
      <c r="Q43" s="19" t="n">
        <f aca="false">$B43+Q$3*100*$A43</f>
        <v>11.6713729300076</v>
      </c>
      <c r="R43" s="19" t="n">
        <f aca="false">$B43+R$3*100*$A43</f>
        <v>12.1713729300076</v>
      </c>
      <c r="S43" s="19" t="n">
        <f aca="false">$B43+S$3*100*$A43</f>
        <v>12.6713729300076</v>
      </c>
      <c r="T43" s="19" t="n">
        <f aca="false">$B43+T$3*100*$A43</f>
        <v>13.1713729300076</v>
      </c>
      <c r="U43" s="19" t="n">
        <f aca="false">$B43+U$3*100*$A43</f>
        <v>13.6713729300076</v>
      </c>
      <c r="V43" s="19" t="n">
        <f aca="false">$B43+V$3*100*$A43</f>
        <v>14.1713729300076</v>
      </c>
      <c r="W43" s="19" t="n">
        <f aca="false">$B43+W$3*100*$A43</f>
        <v>14.6713729300076</v>
      </c>
      <c r="X43" s="19" t="n">
        <f aca="false">$B43+X$3*100*$A43</f>
        <v>15.1713729300076</v>
      </c>
      <c r="Y43" s="19" t="n">
        <f aca="false">$B43+Y$3*100*$A43</f>
        <v>15.6713729300076</v>
      </c>
      <c r="Z43" s="19" t="n">
        <f aca="false">$B43+Z$3*100*$A43</f>
        <v>16.1713729300076</v>
      </c>
      <c r="AA43" s="19" t="n">
        <f aca="false">$B43+AA$3*100*$A43</f>
        <v>16.6713729300076</v>
      </c>
      <c r="AB43" s="19" t="n">
        <f aca="false">$B43+AB$3*100*$A43</f>
        <v>17.1713729300076</v>
      </c>
      <c r="AC43" s="19" t="n">
        <f aca="false">$B43+AC$3*100*$A43</f>
        <v>17.6713729300076</v>
      </c>
      <c r="AD43" s="19" t="n">
        <f aca="false">$B43+AD$3*100*$A43</f>
        <v>18.1713729300076</v>
      </c>
      <c r="AE43" s="19" t="n">
        <f aca="false">$B43+AE$3*100*$A43</f>
        <v>18.6713729300076</v>
      </c>
      <c r="AF43" s="19" t="n">
        <f aca="false">$B43+AF$3*100*$A43</f>
        <v>19.1713729300076</v>
      </c>
      <c r="AG43" s="19" t="n">
        <f aca="false">$B43+AG$3*100*$A43</f>
        <v>19.6713729300076</v>
      </c>
      <c r="AH43" s="19" t="n">
        <f aca="false">$B43+AH$3*100*$A43</f>
        <v>20.1713729300076</v>
      </c>
      <c r="AI43" s="19" t="n">
        <f aca="false">$B43+AI$3*100*$A43</f>
        <v>20.6713729300076</v>
      </c>
      <c r="AJ43" s="19" t="n">
        <f aca="false">$B43+AJ$3*100*$A43</f>
        <v>21.1713729300076</v>
      </c>
      <c r="AK43" s="19" t="n">
        <f aca="false">$B43+AK$3*100*$A43</f>
        <v>21.6713729300076</v>
      </c>
      <c r="AL43" s="19" t="n">
        <f aca="false">$B43+AL$3*100*$A43</f>
        <v>22.1713729300076</v>
      </c>
      <c r="AM43" s="19" t="n">
        <f aca="false">$B43+AM$3*100*$A43</f>
        <v>22.6713729300076</v>
      </c>
      <c r="AN43" s="19" t="n">
        <f aca="false">$B43+AN$3*100*$A43</f>
        <v>23.1713729300076</v>
      </c>
      <c r="AO43" s="19" t="n">
        <f aca="false">$B43+AO$3*100*$A43</f>
        <v>23.6713729300076</v>
      </c>
      <c r="AP43" s="19" t="n">
        <f aca="false">$B43+AP$3*100*$A43</f>
        <v>24.1713729300076</v>
      </c>
      <c r="AQ43" s="19" t="n">
        <f aca="false">$B43+AQ$3*100*$A43</f>
        <v>24.6713729300076</v>
      </c>
      <c r="AR43" s="19" t="n">
        <f aca="false">$B43+AR$3*100*$A43</f>
        <v>25.1713729300076</v>
      </c>
      <c r="AS43" s="19" t="n">
        <f aca="false">$B43+AS$3*100*$A43</f>
        <v>25.6713729300076</v>
      </c>
      <c r="AT43" s="19" t="n">
        <f aca="false">$B43+AT$3*100*$A43</f>
        <v>26.1713729300076</v>
      </c>
      <c r="AU43" s="19" t="n">
        <f aca="false">$B43+AU$3*100*$A43</f>
        <v>26.6713729300076</v>
      </c>
      <c r="AV43" s="19" t="n">
        <f aca="false">$B43+AV$3*100*$A43</f>
        <v>27.1713729300076</v>
      </c>
      <c r="AW43" s="19" t="n">
        <f aca="false">$B43+AW$3*100*$A43</f>
        <v>27.6713729300076</v>
      </c>
      <c r="AX43" s="19" t="n">
        <f aca="false">$B43+AX$3*100*$A43</f>
        <v>28.1713729300076</v>
      </c>
      <c r="AY43" s="19" t="n">
        <f aca="false">$B43+AY$3*100*$A43</f>
        <v>28.6713729300076</v>
      </c>
      <c r="AZ43" s="19" t="n">
        <f aca="false">$B43+AZ$3*100*$A43</f>
        <v>29.1713729300076</v>
      </c>
      <c r="BA43" s="19" t="n">
        <f aca="false">$B43+BA$3*100*$A43</f>
        <v>29.6713729300076</v>
      </c>
      <c r="BB43" s="19" t="n">
        <f aca="false">$B43+BB$3*100*$A43</f>
        <v>30.1713729300076</v>
      </c>
      <c r="BC43" s="19" t="n">
        <f aca="false">$B43+BC$3*100*$A43</f>
        <v>30.6713729300076</v>
      </c>
      <c r="BD43" s="19" t="n">
        <f aca="false">$B43+BD$3*100*$A43</f>
        <v>31.1713729300076</v>
      </c>
      <c r="BE43" s="19" t="n">
        <f aca="false">$B43+BE$3*100*$A43</f>
        <v>31.6713729300076</v>
      </c>
      <c r="BF43" s="19" t="n">
        <f aca="false">$B43+BF$3*100*$A43</f>
        <v>32.1713729300076</v>
      </c>
      <c r="BG43" s="19" t="n">
        <f aca="false">$B43+BG$3*100*$A43</f>
        <v>32.6713729300076</v>
      </c>
      <c r="BH43" s="19" t="n">
        <f aca="false">$B43+BH$3*100*$A43</f>
        <v>33.1713729300076</v>
      </c>
      <c r="BI43" s="19" t="n">
        <f aca="false">$B43+BI$3*100*$A43</f>
        <v>33.6713729300076</v>
      </c>
      <c r="BJ43" s="19" t="n">
        <f aca="false">$B43+BJ$3*100*$A43</f>
        <v>34.1713729300076</v>
      </c>
      <c r="BK43" s="19" t="n">
        <f aca="false">$B43+BK$3*100*$A43</f>
        <v>34.6713729300076</v>
      </c>
      <c r="BL43" s="19" t="n">
        <f aca="false">$B43+BL$3*100*$A43</f>
        <v>35.1713729300076</v>
      </c>
      <c r="BM43" s="19" t="n">
        <f aca="false">$B43+BM$3*100*$A43</f>
        <v>35.6713729300076</v>
      </c>
      <c r="BN43" s="19" t="n">
        <f aca="false">$B43+BN$3*100*$A43</f>
        <v>36.1713729300076</v>
      </c>
      <c r="BO43" s="19" t="n">
        <f aca="false">$B43+BO$3*100*$A43</f>
        <v>36.6713729300076</v>
      </c>
      <c r="BP43" s="19" t="n">
        <f aca="false">$B43+BP$3*100*$A43</f>
        <v>37.1713729300076</v>
      </c>
      <c r="BQ43" s="19" t="n">
        <f aca="false">$B43+BQ$3*100*$A43</f>
        <v>37.6713729300076</v>
      </c>
      <c r="BR43" s="19" t="n">
        <f aca="false">$B43+BR$3*100*$A43</f>
        <v>38.1713729300076</v>
      </c>
      <c r="BS43" s="19" t="n">
        <f aca="false">$B43+BS$3*100*$A43</f>
        <v>38.6713729300076</v>
      </c>
      <c r="BT43" s="19" t="n">
        <f aca="false">$B43+BT$3*100*$A43</f>
        <v>39.1713729300076</v>
      </c>
      <c r="BU43" s="19" t="n">
        <f aca="false">$B43+BU$3*100*$A43</f>
        <v>39.6713729300076</v>
      </c>
      <c r="BV43" s="19" t="n">
        <f aca="false">$B43+BV$3*100*$A43</f>
        <v>40.1713729300076</v>
      </c>
      <c r="BW43" s="19" t="n">
        <f aca="false">$B43+BW$3*100*$A43</f>
        <v>40.6713729300076</v>
      </c>
      <c r="BX43" s="19" t="n">
        <f aca="false">$B43+BX$3*100*$A43</f>
        <v>41.1713729300076</v>
      </c>
      <c r="BY43" s="19" t="n">
        <f aca="false">$B43+BY$3*100*$A43</f>
        <v>41.6713729300076</v>
      </c>
      <c r="BZ43" s="19" t="n">
        <f aca="false">$B43+BZ$3*100*$A43</f>
        <v>42.1713729300076</v>
      </c>
      <c r="CA43" s="19" t="n">
        <f aca="false">$B43+CA$3*100*$A43</f>
        <v>42.6713729300076</v>
      </c>
      <c r="CB43" s="19" t="n">
        <f aca="false">$B43+CB$3*100*$A43</f>
        <v>43.1713729300076</v>
      </c>
      <c r="CC43" s="19" t="n">
        <f aca="false">$B43+CC$3*100*$A43</f>
        <v>43.6713729300076</v>
      </c>
      <c r="CD43" s="19" t="n">
        <f aca="false">$B43+CD$3*100*$A43</f>
        <v>44.1713729300076</v>
      </c>
      <c r="CE43" s="19" t="n">
        <f aca="false">$B43+CE$3*100*$A43</f>
        <v>44.6713729300076</v>
      </c>
      <c r="CF43" s="19" t="n">
        <f aca="false">$B43+CF$3*100*$A43</f>
        <v>45.1713729300076</v>
      </c>
      <c r="CG43" s="19" t="n">
        <f aca="false">$B43+CG$3*100*$A43</f>
        <v>45.6713729300076</v>
      </c>
      <c r="CH43" s="19" t="n">
        <f aca="false">$B43+CH$3*100*$A43</f>
        <v>46.1713729300076</v>
      </c>
      <c r="CI43" s="19" t="n">
        <f aca="false">$B43+CI$3*100*$A43</f>
        <v>46.6713729300076</v>
      </c>
      <c r="CJ43" s="19" t="n">
        <f aca="false">$B43+CJ$3*100*$A43</f>
        <v>47.1713729300076</v>
      </c>
      <c r="CK43" s="19" t="n">
        <f aca="false">$B43+CK$3*100*$A43</f>
        <v>47.6713729300076</v>
      </c>
      <c r="CL43" s="19" t="n">
        <f aca="false">$B43+CL$3*100*$A43</f>
        <v>48.1713729300076</v>
      </c>
      <c r="CM43" s="19" t="n">
        <f aca="false">$B43+CM$3*100*$A43</f>
        <v>48.6713729300076</v>
      </c>
      <c r="CN43" s="19" t="n">
        <f aca="false">$B43+CN$3*100*$A43</f>
        <v>49.1713729300076</v>
      </c>
      <c r="CO43" s="19" t="n">
        <f aca="false">$B43+CO$3*100*$A43</f>
        <v>49.6713729300076</v>
      </c>
      <c r="CP43" s="19" t="n">
        <f aca="false">$B43+CP$3*100*$A43</f>
        <v>50.1713729300076</v>
      </c>
      <c r="CQ43" s="19" t="n">
        <f aca="false">$B43+CQ$3*100*$A43</f>
        <v>50.6713729300076</v>
      </c>
      <c r="CR43" s="19" t="n">
        <f aca="false">$B43+CR$3*100*$A43</f>
        <v>51.1713729300076</v>
      </c>
      <c r="CS43" s="19" t="n">
        <f aca="false">$B43+CS$3*100*$A43</f>
        <v>51.6713729300076</v>
      </c>
      <c r="CT43" s="19" t="n">
        <f aca="false">$B43+CT$3*100*$A43</f>
        <v>52.1713729300076</v>
      </c>
      <c r="CU43" s="19" t="n">
        <f aca="false">$B43+CU$3*100*$A43</f>
        <v>52.6713729300076</v>
      </c>
      <c r="CV43" s="19" t="n">
        <f aca="false">$B43+CV$3*100*$A43</f>
        <v>53.1713729300076</v>
      </c>
      <c r="CW43" s="19" t="n">
        <f aca="false">$B43+CW$3*100*$A43</f>
        <v>53.6713729300076</v>
      </c>
      <c r="CX43" s="19" t="n">
        <f aca="false">$B43+CX$3*100*$A43</f>
        <v>54.1713729300076</v>
      </c>
      <c r="CY43" s="19" t="n">
        <f aca="false">$B43+CY$3*100*$A43</f>
        <v>54.6713729300076</v>
      </c>
      <c r="CZ43" s="19" t="n">
        <f aca="false">$B43+CZ$3*100*$A43</f>
        <v>55.1713729300076</v>
      </c>
      <c r="DA43" s="19" t="n">
        <f aca="false">$B43+DA$3*100*$A43</f>
        <v>55.6713729300076</v>
      </c>
      <c r="DB43" s="19" t="n">
        <f aca="false">$B43+DB$3*100*$A43</f>
        <v>56.1713729300076</v>
      </c>
      <c r="DC43" s="19" t="n">
        <f aca="false">$B43+DC$3*100*$A43</f>
        <v>56.6713729300076</v>
      </c>
      <c r="DD43" s="19" t="n">
        <f aca="false">$B43+DD$3*100*$A43</f>
        <v>57.1713729300076</v>
      </c>
      <c r="DE43" s="19" t="n">
        <f aca="false">$B43+DE$3*100*$A43</f>
        <v>57.6713729300076</v>
      </c>
      <c r="DF43" s="19" t="n">
        <f aca="false">$B43+DF$3*100*$A43</f>
        <v>58.1713729300076</v>
      </c>
      <c r="DG43" s="19" t="n">
        <f aca="false">$B43+DG$3*100*$A43</f>
        <v>58.6713729300076</v>
      </c>
      <c r="DH43" s="19" t="n">
        <f aca="false">$B43+DH$3*100*$A43</f>
        <v>59.1713729300076</v>
      </c>
      <c r="DI43" s="19" t="n">
        <f aca="false">$B43+DI$3*100*$A43</f>
        <v>59.6713729300076</v>
      </c>
      <c r="DJ43" s="19" t="n">
        <f aca="false">$B43+DJ$3*100*$A43</f>
        <v>60.1713729300076</v>
      </c>
      <c r="DK43" s="19" t="n">
        <f aca="false">$B43+DK$3*100*$A43</f>
        <v>60.6713729300076</v>
      </c>
      <c r="DL43" s="19" t="n">
        <f aca="false">$B43+DL$3*100*$A43</f>
        <v>61.1713729300076</v>
      </c>
      <c r="DM43" s="19" t="n">
        <f aca="false">$B43+DM$3*100*$A43</f>
        <v>61.6713729300076</v>
      </c>
      <c r="DN43" s="19" t="n">
        <f aca="false">$B43+DN$3*100*$A43</f>
        <v>62.1713729300076</v>
      </c>
      <c r="DO43" s="19" t="n">
        <f aca="false">$B43+DO$3*100*$A43</f>
        <v>62.6713729300076</v>
      </c>
      <c r="DP43" s="19" t="n">
        <f aca="false">$B43+DP$3*100*$A43</f>
        <v>63.1713729300076</v>
      </c>
      <c r="DQ43" s="19" t="n">
        <f aca="false">$B43+DQ$3*100*$A43</f>
        <v>63.6713729300076</v>
      </c>
      <c r="DR43" s="19" t="n">
        <f aca="false">$B43+DR$3*100*$A43</f>
        <v>64.1713729300076</v>
      </c>
      <c r="DS43" s="19" t="n">
        <f aca="false">$B43+DS$3*100*$A43</f>
        <v>64.6713729300076</v>
      </c>
      <c r="DT43" s="19" t="n">
        <f aca="false">$B43+DT$3*100*$A43</f>
        <v>65.1713729300076</v>
      </c>
      <c r="DU43" s="19" t="n">
        <f aca="false">$B43+DU$3*100*$A43</f>
        <v>65.6713729300076</v>
      </c>
      <c r="DV43" s="19" t="n">
        <f aca="false">$B43+DV$3*100*$A43</f>
        <v>66.1713729300076</v>
      </c>
      <c r="DW43" s="19" t="n">
        <f aca="false">$B43+DW$3*100*$A43</f>
        <v>66.6713729300076</v>
      </c>
      <c r="DX43" s="19" t="n">
        <f aca="false">$B43+DX$3*100*$A43</f>
        <v>67.1713729300076</v>
      </c>
      <c r="DY43" s="19" t="n">
        <f aca="false">$B43+DY$3*100*$A43</f>
        <v>67.6713729300076</v>
      </c>
      <c r="DZ43" s="19" t="n">
        <f aca="false">$B43+DZ$3*100*$A43</f>
        <v>68.1713729300076</v>
      </c>
      <c r="EA43" s="19" t="n">
        <f aca="false">$B43+EA$3*100*$A43</f>
        <v>68.6713729300076</v>
      </c>
      <c r="EB43" s="19" t="n">
        <f aca="false">$B43+EB$3*100*$A43</f>
        <v>69.1713729300076</v>
      </c>
      <c r="EC43" s="19" t="n">
        <f aca="false">$B43+EC$3*100*$A43</f>
        <v>69.6713729300076</v>
      </c>
      <c r="ED43" s="19" t="n">
        <f aca="false">$B43+ED$3*100*$A43</f>
        <v>70.1713729300076</v>
      </c>
      <c r="EE43" s="19" t="n">
        <f aca="false">$B43+EE$3*100*$A43</f>
        <v>70.6713729300076</v>
      </c>
      <c r="EF43" s="19" t="n">
        <f aca="false">$B43+EF$3*100*$A43</f>
        <v>71.1713729300076</v>
      </c>
      <c r="EG43" s="19" t="n">
        <f aca="false">$B43+EG$3*100*$A43</f>
        <v>71.6713729300076</v>
      </c>
      <c r="EH43" s="19" t="n">
        <f aca="false">$B43+EH$3*100*$A43</f>
        <v>72.1713729300076</v>
      </c>
      <c r="EI43" s="19" t="n">
        <f aca="false">$B43+EI$3*100*$A43</f>
        <v>72.6713729300076</v>
      </c>
      <c r="EJ43" s="19" t="n">
        <f aca="false">$B43+EJ$3*100*$A43</f>
        <v>73.1713729300076</v>
      </c>
      <c r="EK43" s="19" t="n">
        <f aca="false">$B43+EK$3*100*$A43</f>
        <v>73.6713729300076</v>
      </c>
      <c r="EL43" s="19" t="n">
        <f aca="false">$B43+EL$3*100*$A43</f>
        <v>74.1713729300076</v>
      </c>
      <c r="EM43" s="19" t="n">
        <f aca="false">$B43+EM$3*100*$A43</f>
        <v>74.6713729300076</v>
      </c>
      <c r="EN43" s="19" t="n">
        <f aca="false">$B43+EN$3*100*$A43</f>
        <v>75.1713729300076</v>
      </c>
      <c r="EO43" s="19" t="n">
        <f aca="false">$B43+EO$3*100*$A43</f>
        <v>75.6713729300076</v>
      </c>
      <c r="EP43" s="19" t="n">
        <f aca="false">$B43+EP$3*100*$A43</f>
        <v>76.1713729300076</v>
      </c>
      <c r="EQ43" s="19" t="n">
        <f aca="false">$B43+EQ$3*100*$A43</f>
        <v>76.6713729300076</v>
      </c>
      <c r="ER43" s="19" t="n">
        <f aca="false">$B43+ER$3*100*$A43</f>
        <v>77.1713729300076</v>
      </c>
      <c r="ES43" s="19" t="n">
        <f aca="false">$B43+ES$3*100*$A43</f>
        <v>77.6713729300076</v>
      </c>
      <c r="ET43" s="19" t="n">
        <f aca="false">$B43+ET$3*100*$A43</f>
        <v>78.1713729300076</v>
      </c>
      <c r="EU43" s="19" t="n">
        <f aca="false">$B43+EU$3*100*$A43</f>
        <v>78.6713729300076</v>
      </c>
      <c r="EV43" s="19" t="n">
        <f aca="false">$B43+EV$3*100*$A43</f>
        <v>79.1713729300076</v>
      </c>
      <c r="EW43" s="19" t="n">
        <f aca="false">$B43+EW$3*100*$A43</f>
        <v>79.6713729300076</v>
      </c>
      <c r="EX43" s="19" t="n">
        <f aca="false">$B43+EX$3*100*$A43</f>
        <v>80.1713729300076</v>
      </c>
      <c r="EY43" s="19" t="n">
        <f aca="false">$B43+EY$3*100*$A43</f>
        <v>80.6713729300076</v>
      </c>
      <c r="EZ43" s="19" t="n">
        <f aca="false">$B43+EZ$3*100*$A43</f>
        <v>81.1713729300076</v>
      </c>
      <c r="FA43" s="19" t="n">
        <f aca="false">$B43+FA$3*100*$A43</f>
        <v>81.6713729300076</v>
      </c>
      <c r="FB43" s="19" t="n">
        <f aca="false">$B43+FB$3*100*$A43</f>
        <v>82.1713729300076</v>
      </c>
      <c r="FC43" s="19" t="n">
        <f aca="false">$B43+FC$3*100*$A43</f>
        <v>82.6713729300076</v>
      </c>
      <c r="FD43" s="19" t="n">
        <f aca="false">$B43+FD$3*100*$A43</f>
        <v>83.1713729300076</v>
      </c>
      <c r="FE43" s="19" t="n">
        <f aca="false">$B43+FE$3*100*$A43</f>
        <v>83.6713729300076</v>
      </c>
      <c r="FF43" s="19" t="n">
        <f aca="false">$B43+FF$3*100*$A43</f>
        <v>84.1713729300076</v>
      </c>
      <c r="FG43" s="19" t="n">
        <f aca="false">$B43+FG$3*100*$A43</f>
        <v>84.6713729300076</v>
      </c>
      <c r="FH43" s="19" t="n">
        <f aca="false">$B43+FH$3*100*$A43</f>
        <v>85.1713729300076</v>
      </c>
      <c r="FI43" s="19" t="n">
        <f aca="false">$B43+FI$3*100*$A43</f>
        <v>85.6713729300076</v>
      </c>
      <c r="FJ43" s="19" t="n">
        <f aca="false">$B43+FJ$3*100*$A43</f>
        <v>86.1713729300076</v>
      </c>
      <c r="FK43" s="19" t="n">
        <f aca="false">$B43+FK$3*100*$A43</f>
        <v>86.6713729300076</v>
      </c>
      <c r="FL43" s="19" t="n">
        <f aca="false">$B43+FL$3*100*$A43</f>
        <v>87.1713729300076</v>
      </c>
      <c r="FM43" s="19" t="n">
        <f aca="false">$B43+FM$3*100*$A43</f>
        <v>87.6713729300076</v>
      </c>
      <c r="FN43" s="19" t="n">
        <f aca="false">$B43+FN$3*100*$A43</f>
        <v>88.1713729300076</v>
      </c>
      <c r="FO43" s="19" t="n">
        <f aca="false">$B43+FO$3*100*$A43</f>
        <v>88.6713729300076</v>
      </c>
      <c r="FP43" s="19" t="n">
        <f aca="false">$B43+FP$3*100*$A43</f>
        <v>89.1713729300076</v>
      </c>
      <c r="FQ43" s="19" t="n">
        <f aca="false">$B43+FQ$3*100*$A43</f>
        <v>89.6713729300076</v>
      </c>
      <c r="FR43" s="19" t="n">
        <f aca="false">$B43+FR$3*100*$A43</f>
        <v>90.1713729300076</v>
      </c>
      <c r="FS43" s="19" t="n">
        <f aca="false">$B43+FS$3*100*$A43</f>
        <v>90.6713729300076</v>
      </c>
      <c r="FT43" s="19" t="n">
        <f aca="false">$B43+FT$3*100*$A43</f>
        <v>91.1713729300076</v>
      </c>
      <c r="FU43" s="19" t="n">
        <f aca="false">$B43+FU$3*100*$A43</f>
        <v>91.6713729300076</v>
      </c>
      <c r="FV43" s="19" t="n">
        <f aca="false">$B43+FV$3*100*$A43</f>
        <v>92.1713729300076</v>
      </c>
      <c r="FW43" s="19" t="n">
        <f aca="false">$B43+FW$3*100*$A43</f>
        <v>92.6713729300076</v>
      </c>
      <c r="FX43" s="19" t="n">
        <f aca="false">$B43+FX$3*100*$A43</f>
        <v>93.1713729300076</v>
      </c>
      <c r="FY43" s="19" t="n">
        <f aca="false">$B43+FY$3*100*$A43</f>
        <v>93.6713729300076</v>
      </c>
      <c r="FZ43" s="19" t="n">
        <f aca="false">$B43+FZ$3*100*$A43</f>
        <v>94.1713729300076</v>
      </c>
      <c r="GA43" s="19" t="n">
        <f aca="false">$B43+GA$3*100*$A43</f>
        <v>94.6713729300076</v>
      </c>
      <c r="GB43" s="19" t="n">
        <f aca="false">$B43+GB$3*100*$A43</f>
        <v>95.1713729300076</v>
      </c>
      <c r="GC43" s="19" t="n">
        <f aca="false">$B43+GC$3*100*$A43</f>
        <v>95.6713729300076</v>
      </c>
      <c r="GD43" s="19" t="n">
        <f aca="false">$B43+GD$3*100*$A43</f>
        <v>96.1713729300076</v>
      </c>
      <c r="GE43" s="19" t="n">
        <f aca="false">$B43+GE$3*100*$A43</f>
        <v>96.6713729300076</v>
      </c>
      <c r="GF43" s="19" t="n">
        <f aca="false">$B43+GF$3*100*$A43</f>
        <v>97.1713729300076</v>
      </c>
      <c r="GG43" s="19" t="n">
        <f aca="false">$B43+GG$3*100*$A43</f>
        <v>97.6713729300076</v>
      </c>
      <c r="GH43" s="19" t="n">
        <f aca="false">$B43+GH$3*100*$A43</f>
        <v>98.1713729300076</v>
      </c>
      <c r="GI43" s="19" t="n">
        <f aca="false">$B43+GI$3*100*$A43</f>
        <v>98.6713729300076</v>
      </c>
      <c r="GJ43" s="19" t="n">
        <f aca="false">$B43+GJ$3*100*$A43</f>
        <v>99.1713729300076</v>
      </c>
      <c r="GK43" s="19" t="n">
        <f aca="false">$B43+GK$3*100*$A43</f>
        <v>99.6713729300076</v>
      </c>
      <c r="GL43" s="19" t="n">
        <f aca="false">$B43+GL$3*100*$A43</f>
        <v>100.171372930008</v>
      </c>
      <c r="GM43" s="19" t="n">
        <f aca="false">$B43+GM$3*100*$A43</f>
        <v>100.671372930008</v>
      </c>
      <c r="GN43" s="19" t="n">
        <f aca="false">$B43+GN$3*100*$A43</f>
        <v>101.171372930008</v>
      </c>
      <c r="GO43" s="19" t="n">
        <f aca="false">$B43+GO$3*100*$A43</f>
        <v>101.671372930008</v>
      </c>
      <c r="GP43" s="19" t="n">
        <f aca="false">$B43+GP$3*100*$A43</f>
        <v>102.171372930008</v>
      </c>
      <c r="GQ43" s="19" t="n">
        <f aca="false">$B43+GQ$3*100*$A43</f>
        <v>102.671372930008</v>
      </c>
      <c r="GR43" s="19" t="n">
        <f aca="false">$B43+GR$3*100*$A43</f>
        <v>103.171372930008</v>
      </c>
      <c r="GS43" s="19" t="n">
        <f aca="false">$B43+GS$3*100*$A43</f>
        <v>103.671372930008</v>
      </c>
      <c r="GT43" s="19" t="n">
        <f aca="false">$B43+GT$3*100*$A43</f>
        <v>104.171372930008</v>
      </c>
    </row>
    <row r="44" customFormat="false" ht="15" hidden="false" customHeight="false" outlineLevel="0" collapsed="false">
      <c r="A44" s="26" t="n">
        <f aca="false">Frontier!A42</f>
        <v>0.1025</v>
      </c>
      <c r="B44" s="34" t="n">
        <f aca="false">Frontier!B42</f>
        <v>4.0275130854879</v>
      </c>
      <c r="C44" s="19" t="n">
        <f aca="false">$B44+C$3*100*$A44</f>
        <v>4.5400130854879</v>
      </c>
      <c r="D44" s="19" t="n">
        <f aca="false">$B44+D$3*100*$A44</f>
        <v>5.0525130854879</v>
      </c>
      <c r="E44" s="19" t="n">
        <f aca="false">$B44+E$3*100*$A44</f>
        <v>5.5650130854879</v>
      </c>
      <c r="F44" s="19" t="n">
        <f aca="false">$B44+F$3*100*$A44</f>
        <v>6.0775130854879</v>
      </c>
      <c r="G44" s="19" t="n">
        <f aca="false">$B44+G$3*100*$A44</f>
        <v>6.5900130854879</v>
      </c>
      <c r="H44" s="19" t="n">
        <f aca="false">$B44+H$3*100*$A44</f>
        <v>7.1025130854879</v>
      </c>
      <c r="I44" s="19" t="n">
        <f aca="false">$B44+I$3*100*$A44</f>
        <v>7.6150130854879</v>
      </c>
      <c r="J44" s="19" t="n">
        <f aca="false">$B44+J$3*100*$A44</f>
        <v>8.1275130854879</v>
      </c>
      <c r="K44" s="19" t="n">
        <f aca="false">$B44+K$3*100*$A44</f>
        <v>8.6400130854879</v>
      </c>
      <c r="L44" s="19" t="n">
        <f aca="false">$B44+L$3*100*$A44</f>
        <v>9.1525130854879</v>
      </c>
      <c r="M44" s="19" t="n">
        <f aca="false">$B44+M$3*100*$A44</f>
        <v>9.6650130854879</v>
      </c>
      <c r="N44" s="19" t="n">
        <f aca="false">$B44+N$3*100*$A44</f>
        <v>10.1775130854879</v>
      </c>
      <c r="O44" s="19" t="n">
        <f aca="false">$B44+O$3*100*$A44</f>
        <v>10.6900130854879</v>
      </c>
      <c r="P44" s="19" t="n">
        <f aca="false">$B44+P$3*100*$A44</f>
        <v>11.2025130854879</v>
      </c>
      <c r="Q44" s="19" t="n">
        <f aca="false">$B44+Q$3*100*$A44</f>
        <v>11.7150130854879</v>
      </c>
      <c r="R44" s="19" t="n">
        <f aca="false">$B44+R$3*100*$A44</f>
        <v>12.2275130854879</v>
      </c>
      <c r="S44" s="19" t="n">
        <f aca="false">$B44+S$3*100*$A44</f>
        <v>12.7400130854879</v>
      </c>
      <c r="T44" s="19" t="n">
        <f aca="false">$B44+T$3*100*$A44</f>
        <v>13.2525130854879</v>
      </c>
      <c r="U44" s="19" t="n">
        <f aca="false">$B44+U$3*100*$A44</f>
        <v>13.7650130854879</v>
      </c>
      <c r="V44" s="19" t="n">
        <f aca="false">$B44+V$3*100*$A44</f>
        <v>14.2775130854879</v>
      </c>
      <c r="W44" s="19" t="n">
        <f aca="false">$B44+W$3*100*$A44</f>
        <v>14.7900130854879</v>
      </c>
      <c r="X44" s="19" t="n">
        <f aca="false">$B44+X$3*100*$A44</f>
        <v>15.3025130854879</v>
      </c>
      <c r="Y44" s="19" t="n">
        <f aca="false">$B44+Y$3*100*$A44</f>
        <v>15.8150130854879</v>
      </c>
      <c r="Z44" s="19" t="n">
        <f aca="false">$B44+Z$3*100*$A44</f>
        <v>16.3275130854879</v>
      </c>
      <c r="AA44" s="19" t="n">
        <f aca="false">$B44+AA$3*100*$A44</f>
        <v>16.8400130854879</v>
      </c>
      <c r="AB44" s="19" t="n">
        <f aca="false">$B44+AB$3*100*$A44</f>
        <v>17.3525130854879</v>
      </c>
      <c r="AC44" s="19" t="n">
        <f aca="false">$B44+AC$3*100*$A44</f>
        <v>17.8650130854879</v>
      </c>
      <c r="AD44" s="19" t="n">
        <f aca="false">$B44+AD$3*100*$A44</f>
        <v>18.3775130854879</v>
      </c>
      <c r="AE44" s="19" t="n">
        <f aca="false">$B44+AE$3*100*$A44</f>
        <v>18.8900130854879</v>
      </c>
      <c r="AF44" s="19" t="n">
        <f aca="false">$B44+AF$3*100*$A44</f>
        <v>19.4025130854879</v>
      </c>
      <c r="AG44" s="19" t="n">
        <f aca="false">$B44+AG$3*100*$A44</f>
        <v>19.9150130854879</v>
      </c>
      <c r="AH44" s="19" t="n">
        <f aca="false">$B44+AH$3*100*$A44</f>
        <v>20.4275130854879</v>
      </c>
      <c r="AI44" s="19" t="n">
        <f aca="false">$B44+AI$3*100*$A44</f>
        <v>20.9400130854879</v>
      </c>
      <c r="AJ44" s="19" t="n">
        <f aca="false">$B44+AJ$3*100*$A44</f>
        <v>21.4525130854879</v>
      </c>
      <c r="AK44" s="19" t="n">
        <f aca="false">$B44+AK$3*100*$A44</f>
        <v>21.9650130854879</v>
      </c>
      <c r="AL44" s="19" t="n">
        <f aca="false">$B44+AL$3*100*$A44</f>
        <v>22.4775130854879</v>
      </c>
      <c r="AM44" s="19" t="n">
        <f aca="false">$B44+AM$3*100*$A44</f>
        <v>22.9900130854879</v>
      </c>
      <c r="AN44" s="19" t="n">
        <f aca="false">$B44+AN$3*100*$A44</f>
        <v>23.5025130854879</v>
      </c>
      <c r="AO44" s="19" t="n">
        <f aca="false">$B44+AO$3*100*$A44</f>
        <v>24.0150130854879</v>
      </c>
      <c r="AP44" s="19" t="n">
        <f aca="false">$B44+AP$3*100*$A44</f>
        <v>24.5275130854879</v>
      </c>
      <c r="AQ44" s="19" t="n">
        <f aca="false">$B44+AQ$3*100*$A44</f>
        <v>25.0400130854879</v>
      </c>
      <c r="AR44" s="19" t="n">
        <f aca="false">$B44+AR$3*100*$A44</f>
        <v>25.5525130854879</v>
      </c>
      <c r="AS44" s="19" t="n">
        <f aca="false">$B44+AS$3*100*$A44</f>
        <v>26.0650130854879</v>
      </c>
      <c r="AT44" s="19" t="n">
        <f aca="false">$B44+AT$3*100*$A44</f>
        <v>26.5775130854879</v>
      </c>
      <c r="AU44" s="19" t="n">
        <f aca="false">$B44+AU$3*100*$A44</f>
        <v>27.0900130854879</v>
      </c>
      <c r="AV44" s="19" t="n">
        <f aca="false">$B44+AV$3*100*$A44</f>
        <v>27.6025130854879</v>
      </c>
      <c r="AW44" s="19" t="n">
        <f aca="false">$B44+AW$3*100*$A44</f>
        <v>28.1150130854879</v>
      </c>
      <c r="AX44" s="19" t="n">
        <f aca="false">$B44+AX$3*100*$A44</f>
        <v>28.6275130854879</v>
      </c>
      <c r="AY44" s="19" t="n">
        <f aca="false">$B44+AY$3*100*$A44</f>
        <v>29.1400130854879</v>
      </c>
      <c r="AZ44" s="19" t="n">
        <f aca="false">$B44+AZ$3*100*$A44</f>
        <v>29.6525130854879</v>
      </c>
      <c r="BA44" s="19" t="n">
        <f aca="false">$B44+BA$3*100*$A44</f>
        <v>30.1650130854879</v>
      </c>
      <c r="BB44" s="19" t="n">
        <f aca="false">$B44+BB$3*100*$A44</f>
        <v>30.6775130854879</v>
      </c>
      <c r="BC44" s="19" t="n">
        <f aca="false">$B44+BC$3*100*$A44</f>
        <v>31.1900130854879</v>
      </c>
      <c r="BD44" s="19" t="n">
        <f aca="false">$B44+BD$3*100*$A44</f>
        <v>31.7025130854879</v>
      </c>
      <c r="BE44" s="19" t="n">
        <f aca="false">$B44+BE$3*100*$A44</f>
        <v>32.2150130854879</v>
      </c>
      <c r="BF44" s="19" t="n">
        <f aca="false">$B44+BF$3*100*$A44</f>
        <v>32.7275130854879</v>
      </c>
      <c r="BG44" s="19" t="n">
        <f aca="false">$B44+BG$3*100*$A44</f>
        <v>33.2400130854879</v>
      </c>
      <c r="BH44" s="19" t="n">
        <f aca="false">$B44+BH$3*100*$A44</f>
        <v>33.7525130854879</v>
      </c>
      <c r="BI44" s="19" t="n">
        <f aca="false">$B44+BI$3*100*$A44</f>
        <v>34.2650130854879</v>
      </c>
      <c r="BJ44" s="19" t="n">
        <f aca="false">$B44+BJ$3*100*$A44</f>
        <v>34.7775130854879</v>
      </c>
      <c r="BK44" s="19" t="n">
        <f aca="false">$B44+BK$3*100*$A44</f>
        <v>35.2900130854879</v>
      </c>
      <c r="BL44" s="19" t="n">
        <f aca="false">$B44+BL$3*100*$A44</f>
        <v>35.8025130854879</v>
      </c>
      <c r="BM44" s="19" t="n">
        <f aca="false">$B44+BM$3*100*$A44</f>
        <v>36.3150130854879</v>
      </c>
      <c r="BN44" s="19" t="n">
        <f aca="false">$B44+BN$3*100*$A44</f>
        <v>36.8275130854879</v>
      </c>
      <c r="BO44" s="19" t="n">
        <f aca="false">$B44+BO$3*100*$A44</f>
        <v>37.3400130854879</v>
      </c>
      <c r="BP44" s="19" t="n">
        <f aca="false">$B44+BP$3*100*$A44</f>
        <v>37.8525130854879</v>
      </c>
      <c r="BQ44" s="19" t="n">
        <f aca="false">$B44+BQ$3*100*$A44</f>
        <v>38.3650130854879</v>
      </c>
      <c r="BR44" s="19" t="n">
        <f aca="false">$B44+BR$3*100*$A44</f>
        <v>38.8775130854879</v>
      </c>
      <c r="BS44" s="19" t="n">
        <f aca="false">$B44+BS$3*100*$A44</f>
        <v>39.3900130854879</v>
      </c>
      <c r="BT44" s="19" t="n">
        <f aca="false">$B44+BT$3*100*$A44</f>
        <v>39.9025130854879</v>
      </c>
      <c r="BU44" s="19" t="n">
        <f aca="false">$B44+BU$3*100*$A44</f>
        <v>40.4150130854879</v>
      </c>
      <c r="BV44" s="19" t="n">
        <f aca="false">$B44+BV$3*100*$A44</f>
        <v>40.9275130854879</v>
      </c>
      <c r="BW44" s="19" t="n">
        <f aca="false">$B44+BW$3*100*$A44</f>
        <v>41.4400130854879</v>
      </c>
      <c r="BX44" s="19" t="n">
        <f aca="false">$B44+BX$3*100*$A44</f>
        <v>41.9525130854879</v>
      </c>
      <c r="BY44" s="19" t="n">
        <f aca="false">$B44+BY$3*100*$A44</f>
        <v>42.4650130854879</v>
      </c>
      <c r="BZ44" s="19" t="n">
        <f aca="false">$B44+BZ$3*100*$A44</f>
        <v>42.9775130854879</v>
      </c>
      <c r="CA44" s="19" t="n">
        <f aca="false">$B44+CA$3*100*$A44</f>
        <v>43.4900130854879</v>
      </c>
      <c r="CB44" s="19" t="n">
        <f aca="false">$B44+CB$3*100*$A44</f>
        <v>44.0025130854879</v>
      </c>
      <c r="CC44" s="19" t="n">
        <f aca="false">$B44+CC$3*100*$A44</f>
        <v>44.5150130854879</v>
      </c>
      <c r="CD44" s="19" t="n">
        <f aca="false">$B44+CD$3*100*$A44</f>
        <v>45.0275130854879</v>
      </c>
      <c r="CE44" s="19" t="n">
        <f aca="false">$B44+CE$3*100*$A44</f>
        <v>45.5400130854879</v>
      </c>
      <c r="CF44" s="19" t="n">
        <f aca="false">$B44+CF$3*100*$A44</f>
        <v>46.0525130854879</v>
      </c>
      <c r="CG44" s="19" t="n">
        <f aca="false">$B44+CG$3*100*$A44</f>
        <v>46.5650130854879</v>
      </c>
      <c r="CH44" s="19" t="n">
        <f aca="false">$B44+CH$3*100*$A44</f>
        <v>47.0775130854879</v>
      </c>
      <c r="CI44" s="19" t="n">
        <f aca="false">$B44+CI$3*100*$A44</f>
        <v>47.5900130854879</v>
      </c>
      <c r="CJ44" s="19" t="n">
        <f aca="false">$B44+CJ$3*100*$A44</f>
        <v>48.1025130854879</v>
      </c>
      <c r="CK44" s="19" t="n">
        <f aca="false">$B44+CK$3*100*$A44</f>
        <v>48.6150130854879</v>
      </c>
      <c r="CL44" s="19" t="n">
        <f aca="false">$B44+CL$3*100*$A44</f>
        <v>49.1275130854879</v>
      </c>
      <c r="CM44" s="19" t="n">
        <f aca="false">$B44+CM$3*100*$A44</f>
        <v>49.6400130854879</v>
      </c>
      <c r="CN44" s="19" t="n">
        <f aca="false">$B44+CN$3*100*$A44</f>
        <v>50.1525130854879</v>
      </c>
      <c r="CO44" s="19" t="n">
        <f aca="false">$B44+CO$3*100*$A44</f>
        <v>50.6650130854879</v>
      </c>
      <c r="CP44" s="19" t="n">
        <f aca="false">$B44+CP$3*100*$A44</f>
        <v>51.1775130854879</v>
      </c>
      <c r="CQ44" s="19" t="n">
        <f aca="false">$B44+CQ$3*100*$A44</f>
        <v>51.6900130854879</v>
      </c>
      <c r="CR44" s="19" t="n">
        <f aca="false">$B44+CR$3*100*$A44</f>
        <v>52.2025130854879</v>
      </c>
      <c r="CS44" s="19" t="n">
        <f aca="false">$B44+CS$3*100*$A44</f>
        <v>52.7150130854879</v>
      </c>
      <c r="CT44" s="19" t="n">
        <f aca="false">$B44+CT$3*100*$A44</f>
        <v>53.2275130854879</v>
      </c>
      <c r="CU44" s="19" t="n">
        <f aca="false">$B44+CU$3*100*$A44</f>
        <v>53.7400130854879</v>
      </c>
      <c r="CV44" s="19" t="n">
        <f aca="false">$B44+CV$3*100*$A44</f>
        <v>54.2525130854879</v>
      </c>
      <c r="CW44" s="19" t="n">
        <f aca="false">$B44+CW$3*100*$A44</f>
        <v>54.7650130854879</v>
      </c>
      <c r="CX44" s="19" t="n">
        <f aca="false">$B44+CX$3*100*$A44</f>
        <v>55.2775130854879</v>
      </c>
      <c r="CY44" s="19" t="n">
        <f aca="false">$B44+CY$3*100*$A44</f>
        <v>55.7900130854879</v>
      </c>
      <c r="CZ44" s="19" t="n">
        <f aca="false">$B44+CZ$3*100*$A44</f>
        <v>56.3025130854879</v>
      </c>
      <c r="DA44" s="19" t="n">
        <f aca="false">$B44+DA$3*100*$A44</f>
        <v>56.8150130854879</v>
      </c>
      <c r="DB44" s="19" t="n">
        <f aca="false">$B44+DB$3*100*$A44</f>
        <v>57.3275130854879</v>
      </c>
      <c r="DC44" s="19" t="n">
        <f aca="false">$B44+DC$3*100*$A44</f>
        <v>57.8400130854879</v>
      </c>
      <c r="DD44" s="19" t="n">
        <f aca="false">$B44+DD$3*100*$A44</f>
        <v>58.3525130854879</v>
      </c>
      <c r="DE44" s="19" t="n">
        <f aca="false">$B44+DE$3*100*$A44</f>
        <v>58.8650130854879</v>
      </c>
      <c r="DF44" s="19" t="n">
        <f aca="false">$B44+DF$3*100*$A44</f>
        <v>59.3775130854879</v>
      </c>
      <c r="DG44" s="19" t="n">
        <f aca="false">$B44+DG$3*100*$A44</f>
        <v>59.8900130854879</v>
      </c>
      <c r="DH44" s="19" t="n">
        <f aca="false">$B44+DH$3*100*$A44</f>
        <v>60.4025130854879</v>
      </c>
      <c r="DI44" s="19" t="n">
        <f aca="false">$B44+DI$3*100*$A44</f>
        <v>60.9150130854879</v>
      </c>
      <c r="DJ44" s="19" t="n">
        <f aca="false">$B44+DJ$3*100*$A44</f>
        <v>61.4275130854879</v>
      </c>
      <c r="DK44" s="19" t="n">
        <f aca="false">$B44+DK$3*100*$A44</f>
        <v>61.9400130854879</v>
      </c>
      <c r="DL44" s="19" t="n">
        <f aca="false">$B44+DL$3*100*$A44</f>
        <v>62.4525130854879</v>
      </c>
      <c r="DM44" s="19" t="n">
        <f aca="false">$B44+DM$3*100*$A44</f>
        <v>62.9650130854879</v>
      </c>
      <c r="DN44" s="19" t="n">
        <f aca="false">$B44+DN$3*100*$A44</f>
        <v>63.4775130854879</v>
      </c>
      <c r="DO44" s="19" t="n">
        <f aca="false">$B44+DO$3*100*$A44</f>
        <v>63.9900130854879</v>
      </c>
      <c r="DP44" s="19" t="n">
        <f aca="false">$B44+DP$3*100*$A44</f>
        <v>64.5025130854879</v>
      </c>
      <c r="DQ44" s="19" t="n">
        <f aca="false">$B44+DQ$3*100*$A44</f>
        <v>65.0150130854879</v>
      </c>
      <c r="DR44" s="19" t="n">
        <f aca="false">$B44+DR$3*100*$A44</f>
        <v>65.5275130854879</v>
      </c>
      <c r="DS44" s="19" t="n">
        <f aca="false">$B44+DS$3*100*$A44</f>
        <v>66.0400130854879</v>
      </c>
      <c r="DT44" s="19" t="n">
        <f aca="false">$B44+DT$3*100*$A44</f>
        <v>66.5525130854879</v>
      </c>
      <c r="DU44" s="19" t="n">
        <f aca="false">$B44+DU$3*100*$A44</f>
        <v>67.0650130854879</v>
      </c>
      <c r="DV44" s="19" t="n">
        <f aca="false">$B44+DV$3*100*$A44</f>
        <v>67.5775130854879</v>
      </c>
      <c r="DW44" s="19" t="n">
        <f aca="false">$B44+DW$3*100*$A44</f>
        <v>68.0900130854879</v>
      </c>
      <c r="DX44" s="19" t="n">
        <f aca="false">$B44+DX$3*100*$A44</f>
        <v>68.6025130854879</v>
      </c>
      <c r="DY44" s="19" t="n">
        <f aca="false">$B44+DY$3*100*$A44</f>
        <v>69.1150130854879</v>
      </c>
      <c r="DZ44" s="19" t="n">
        <f aca="false">$B44+DZ$3*100*$A44</f>
        <v>69.6275130854879</v>
      </c>
      <c r="EA44" s="19" t="n">
        <f aca="false">$B44+EA$3*100*$A44</f>
        <v>70.1400130854879</v>
      </c>
      <c r="EB44" s="19" t="n">
        <f aca="false">$B44+EB$3*100*$A44</f>
        <v>70.6525130854879</v>
      </c>
      <c r="EC44" s="19" t="n">
        <f aca="false">$B44+EC$3*100*$A44</f>
        <v>71.1650130854879</v>
      </c>
      <c r="ED44" s="19" t="n">
        <f aca="false">$B44+ED$3*100*$A44</f>
        <v>71.6775130854879</v>
      </c>
      <c r="EE44" s="19" t="n">
        <f aca="false">$B44+EE$3*100*$A44</f>
        <v>72.1900130854879</v>
      </c>
      <c r="EF44" s="19" t="n">
        <f aca="false">$B44+EF$3*100*$A44</f>
        <v>72.7025130854879</v>
      </c>
      <c r="EG44" s="19" t="n">
        <f aca="false">$B44+EG$3*100*$A44</f>
        <v>73.2150130854879</v>
      </c>
      <c r="EH44" s="19" t="n">
        <f aca="false">$B44+EH$3*100*$A44</f>
        <v>73.7275130854879</v>
      </c>
      <c r="EI44" s="19" t="n">
        <f aca="false">$B44+EI$3*100*$A44</f>
        <v>74.2400130854879</v>
      </c>
      <c r="EJ44" s="19" t="n">
        <f aca="false">$B44+EJ$3*100*$A44</f>
        <v>74.7525130854879</v>
      </c>
      <c r="EK44" s="19" t="n">
        <f aca="false">$B44+EK$3*100*$A44</f>
        <v>75.2650130854879</v>
      </c>
      <c r="EL44" s="19" t="n">
        <f aca="false">$B44+EL$3*100*$A44</f>
        <v>75.7775130854879</v>
      </c>
      <c r="EM44" s="19" t="n">
        <f aca="false">$B44+EM$3*100*$A44</f>
        <v>76.2900130854879</v>
      </c>
      <c r="EN44" s="19" t="n">
        <f aca="false">$B44+EN$3*100*$A44</f>
        <v>76.8025130854879</v>
      </c>
      <c r="EO44" s="19" t="n">
        <f aca="false">$B44+EO$3*100*$A44</f>
        <v>77.3150130854879</v>
      </c>
      <c r="EP44" s="19" t="n">
        <f aca="false">$B44+EP$3*100*$A44</f>
        <v>77.8275130854879</v>
      </c>
      <c r="EQ44" s="19" t="n">
        <f aca="false">$B44+EQ$3*100*$A44</f>
        <v>78.3400130854879</v>
      </c>
      <c r="ER44" s="19" t="n">
        <f aca="false">$B44+ER$3*100*$A44</f>
        <v>78.8525130854879</v>
      </c>
      <c r="ES44" s="19" t="n">
        <f aca="false">$B44+ES$3*100*$A44</f>
        <v>79.3650130854879</v>
      </c>
      <c r="ET44" s="19" t="n">
        <f aca="false">$B44+ET$3*100*$A44</f>
        <v>79.8775130854879</v>
      </c>
      <c r="EU44" s="19" t="n">
        <f aca="false">$B44+EU$3*100*$A44</f>
        <v>80.3900130854879</v>
      </c>
      <c r="EV44" s="19" t="n">
        <f aca="false">$B44+EV$3*100*$A44</f>
        <v>80.9025130854879</v>
      </c>
      <c r="EW44" s="19" t="n">
        <f aca="false">$B44+EW$3*100*$A44</f>
        <v>81.4150130854879</v>
      </c>
      <c r="EX44" s="19" t="n">
        <f aca="false">$B44+EX$3*100*$A44</f>
        <v>81.9275130854879</v>
      </c>
      <c r="EY44" s="19" t="n">
        <f aca="false">$B44+EY$3*100*$A44</f>
        <v>82.4400130854879</v>
      </c>
      <c r="EZ44" s="19" t="n">
        <f aca="false">$B44+EZ$3*100*$A44</f>
        <v>82.9525130854879</v>
      </c>
      <c r="FA44" s="19" t="n">
        <f aca="false">$B44+FA$3*100*$A44</f>
        <v>83.4650130854879</v>
      </c>
      <c r="FB44" s="19" t="n">
        <f aca="false">$B44+FB$3*100*$A44</f>
        <v>83.9775130854879</v>
      </c>
      <c r="FC44" s="19" t="n">
        <f aca="false">$B44+FC$3*100*$A44</f>
        <v>84.4900130854879</v>
      </c>
      <c r="FD44" s="19" t="n">
        <f aca="false">$B44+FD$3*100*$A44</f>
        <v>85.0025130854879</v>
      </c>
      <c r="FE44" s="19" t="n">
        <f aca="false">$B44+FE$3*100*$A44</f>
        <v>85.5150130854879</v>
      </c>
      <c r="FF44" s="19" t="n">
        <f aca="false">$B44+FF$3*100*$A44</f>
        <v>86.0275130854879</v>
      </c>
      <c r="FG44" s="19" t="n">
        <f aca="false">$B44+FG$3*100*$A44</f>
        <v>86.5400130854879</v>
      </c>
      <c r="FH44" s="19" t="n">
        <f aca="false">$B44+FH$3*100*$A44</f>
        <v>87.0525130854879</v>
      </c>
      <c r="FI44" s="19" t="n">
        <f aca="false">$B44+FI$3*100*$A44</f>
        <v>87.5650130854879</v>
      </c>
      <c r="FJ44" s="19" t="n">
        <f aca="false">$B44+FJ$3*100*$A44</f>
        <v>88.0775130854879</v>
      </c>
      <c r="FK44" s="19" t="n">
        <f aca="false">$B44+FK$3*100*$A44</f>
        <v>88.5900130854879</v>
      </c>
      <c r="FL44" s="19" t="n">
        <f aca="false">$B44+FL$3*100*$A44</f>
        <v>89.1025130854879</v>
      </c>
      <c r="FM44" s="19" t="n">
        <f aca="false">$B44+FM$3*100*$A44</f>
        <v>89.6150130854879</v>
      </c>
      <c r="FN44" s="19" t="n">
        <f aca="false">$B44+FN$3*100*$A44</f>
        <v>90.1275130854879</v>
      </c>
      <c r="FO44" s="19" t="n">
        <f aca="false">$B44+FO$3*100*$A44</f>
        <v>90.6400130854879</v>
      </c>
      <c r="FP44" s="19" t="n">
        <f aca="false">$B44+FP$3*100*$A44</f>
        <v>91.1525130854879</v>
      </c>
      <c r="FQ44" s="19" t="n">
        <f aca="false">$B44+FQ$3*100*$A44</f>
        <v>91.6650130854879</v>
      </c>
      <c r="FR44" s="19" t="n">
        <f aca="false">$B44+FR$3*100*$A44</f>
        <v>92.1775130854879</v>
      </c>
      <c r="FS44" s="19" t="n">
        <f aca="false">$B44+FS$3*100*$A44</f>
        <v>92.6900130854879</v>
      </c>
      <c r="FT44" s="19" t="n">
        <f aca="false">$B44+FT$3*100*$A44</f>
        <v>93.2025130854879</v>
      </c>
      <c r="FU44" s="19" t="n">
        <f aca="false">$B44+FU$3*100*$A44</f>
        <v>93.7150130854879</v>
      </c>
      <c r="FV44" s="19" t="n">
        <f aca="false">$B44+FV$3*100*$A44</f>
        <v>94.2275130854879</v>
      </c>
      <c r="FW44" s="19" t="n">
        <f aca="false">$B44+FW$3*100*$A44</f>
        <v>94.7400130854879</v>
      </c>
      <c r="FX44" s="19" t="n">
        <f aca="false">$B44+FX$3*100*$A44</f>
        <v>95.2525130854879</v>
      </c>
      <c r="FY44" s="19" t="n">
        <f aca="false">$B44+FY$3*100*$A44</f>
        <v>95.7650130854879</v>
      </c>
      <c r="FZ44" s="19" t="n">
        <f aca="false">$B44+FZ$3*100*$A44</f>
        <v>96.2775130854879</v>
      </c>
      <c r="GA44" s="19" t="n">
        <f aca="false">$B44+GA$3*100*$A44</f>
        <v>96.7900130854879</v>
      </c>
      <c r="GB44" s="19" t="n">
        <f aca="false">$B44+GB$3*100*$A44</f>
        <v>97.3025130854879</v>
      </c>
      <c r="GC44" s="19" t="n">
        <f aca="false">$B44+GC$3*100*$A44</f>
        <v>97.8150130854879</v>
      </c>
      <c r="GD44" s="19" t="n">
        <f aca="false">$B44+GD$3*100*$A44</f>
        <v>98.3275130854879</v>
      </c>
      <c r="GE44" s="19" t="n">
        <f aca="false">$B44+GE$3*100*$A44</f>
        <v>98.8400130854879</v>
      </c>
      <c r="GF44" s="19" t="n">
        <f aca="false">$B44+GF$3*100*$A44</f>
        <v>99.3525130854879</v>
      </c>
      <c r="GG44" s="19" t="n">
        <f aca="false">$B44+GG$3*100*$A44</f>
        <v>99.8650130854879</v>
      </c>
      <c r="GH44" s="19" t="n">
        <f aca="false">$B44+GH$3*100*$A44</f>
        <v>100.377513085488</v>
      </c>
      <c r="GI44" s="19" t="n">
        <f aca="false">$B44+GI$3*100*$A44</f>
        <v>100.890013085488</v>
      </c>
      <c r="GJ44" s="19" t="n">
        <f aca="false">$B44+GJ$3*100*$A44</f>
        <v>101.402513085488</v>
      </c>
      <c r="GK44" s="19" t="n">
        <f aca="false">$B44+GK$3*100*$A44</f>
        <v>101.915013085488</v>
      </c>
      <c r="GL44" s="19" t="n">
        <f aca="false">$B44+GL$3*100*$A44</f>
        <v>102.427513085488</v>
      </c>
      <c r="GM44" s="19" t="n">
        <f aca="false">$B44+GM$3*100*$A44</f>
        <v>102.940013085488</v>
      </c>
      <c r="GN44" s="19" t="n">
        <f aca="false">$B44+GN$3*100*$A44</f>
        <v>103.452513085488</v>
      </c>
      <c r="GO44" s="19" t="n">
        <f aca="false">$B44+GO$3*100*$A44</f>
        <v>103.965013085488</v>
      </c>
      <c r="GP44" s="19" t="n">
        <f aca="false">$B44+GP$3*100*$A44</f>
        <v>104.477513085488</v>
      </c>
      <c r="GQ44" s="19" t="n">
        <f aca="false">$B44+GQ$3*100*$A44</f>
        <v>104.990013085488</v>
      </c>
      <c r="GR44" s="19" t="n">
        <f aca="false">$B44+GR$3*100*$A44</f>
        <v>105.502513085488</v>
      </c>
      <c r="GS44" s="19" t="n">
        <f aca="false">$B44+GS$3*100*$A44</f>
        <v>106.015013085488</v>
      </c>
      <c r="GT44" s="19" t="n">
        <f aca="false">$B44+GT$3*100*$A44</f>
        <v>106.527513085488</v>
      </c>
    </row>
    <row r="45" customFormat="false" ht="15" hidden="false" customHeight="false" outlineLevel="0" collapsed="false">
      <c r="A45" s="26" t="n">
        <f aca="false">Frontier!A43</f>
        <v>0.105</v>
      </c>
      <c r="B45" s="34" t="n">
        <f aca="false">Frontier!B43</f>
        <v>3.8775130854879</v>
      </c>
      <c r="C45" s="19" t="n">
        <f aca="false">$B45+C$3*100*$A45</f>
        <v>4.4025130854879</v>
      </c>
      <c r="D45" s="19" t="n">
        <f aca="false">$B45+D$3*100*$A45</f>
        <v>4.9275130854879</v>
      </c>
      <c r="E45" s="19" t="n">
        <f aca="false">$B45+E$3*100*$A45</f>
        <v>5.4525130854879</v>
      </c>
      <c r="F45" s="19" t="n">
        <f aca="false">$B45+F$3*100*$A45</f>
        <v>5.9775130854879</v>
      </c>
      <c r="G45" s="19" t="n">
        <f aca="false">$B45+G$3*100*$A45</f>
        <v>6.5025130854879</v>
      </c>
      <c r="H45" s="19" t="n">
        <f aca="false">$B45+H$3*100*$A45</f>
        <v>7.0275130854879</v>
      </c>
      <c r="I45" s="19" t="n">
        <f aca="false">$B45+I$3*100*$A45</f>
        <v>7.5525130854879</v>
      </c>
      <c r="J45" s="19" t="n">
        <f aca="false">$B45+J$3*100*$A45</f>
        <v>8.0775130854879</v>
      </c>
      <c r="K45" s="19" t="n">
        <f aca="false">$B45+K$3*100*$A45</f>
        <v>8.6025130854879</v>
      </c>
      <c r="L45" s="19" t="n">
        <f aca="false">$B45+L$3*100*$A45</f>
        <v>9.1275130854879</v>
      </c>
      <c r="M45" s="19" t="n">
        <f aca="false">$B45+M$3*100*$A45</f>
        <v>9.6525130854879</v>
      </c>
      <c r="N45" s="19" t="n">
        <f aca="false">$B45+N$3*100*$A45</f>
        <v>10.1775130854879</v>
      </c>
      <c r="O45" s="19" t="n">
        <f aca="false">$B45+O$3*100*$A45</f>
        <v>10.7025130854879</v>
      </c>
      <c r="P45" s="19" t="n">
        <f aca="false">$B45+P$3*100*$A45</f>
        <v>11.2275130854879</v>
      </c>
      <c r="Q45" s="19" t="n">
        <f aca="false">$B45+Q$3*100*$A45</f>
        <v>11.7525130854879</v>
      </c>
      <c r="R45" s="19" t="n">
        <f aca="false">$B45+R$3*100*$A45</f>
        <v>12.2775130854879</v>
      </c>
      <c r="S45" s="19" t="n">
        <f aca="false">$B45+S$3*100*$A45</f>
        <v>12.8025130854879</v>
      </c>
      <c r="T45" s="19" t="n">
        <f aca="false">$B45+T$3*100*$A45</f>
        <v>13.3275130854879</v>
      </c>
      <c r="U45" s="19" t="n">
        <f aca="false">$B45+U$3*100*$A45</f>
        <v>13.8525130854879</v>
      </c>
      <c r="V45" s="19" t="n">
        <f aca="false">$B45+V$3*100*$A45</f>
        <v>14.3775130854879</v>
      </c>
      <c r="W45" s="19" t="n">
        <f aca="false">$B45+W$3*100*$A45</f>
        <v>14.9025130854879</v>
      </c>
      <c r="X45" s="19" t="n">
        <f aca="false">$B45+X$3*100*$A45</f>
        <v>15.4275130854879</v>
      </c>
      <c r="Y45" s="19" t="n">
        <f aca="false">$B45+Y$3*100*$A45</f>
        <v>15.9525130854879</v>
      </c>
      <c r="Z45" s="19" t="n">
        <f aca="false">$B45+Z$3*100*$A45</f>
        <v>16.4775130854879</v>
      </c>
      <c r="AA45" s="19" t="n">
        <f aca="false">$B45+AA$3*100*$A45</f>
        <v>17.0025130854879</v>
      </c>
      <c r="AB45" s="19" t="n">
        <f aca="false">$B45+AB$3*100*$A45</f>
        <v>17.5275130854879</v>
      </c>
      <c r="AC45" s="19" t="n">
        <f aca="false">$B45+AC$3*100*$A45</f>
        <v>18.0525130854879</v>
      </c>
      <c r="AD45" s="19" t="n">
        <f aca="false">$B45+AD$3*100*$A45</f>
        <v>18.5775130854879</v>
      </c>
      <c r="AE45" s="19" t="n">
        <f aca="false">$B45+AE$3*100*$A45</f>
        <v>19.1025130854879</v>
      </c>
      <c r="AF45" s="19" t="n">
        <f aca="false">$B45+AF$3*100*$A45</f>
        <v>19.6275130854879</v>
      </c>
      <c r="AG45" s="19" t="n">
        <f aca="false">$B45+AG$3*100*$A45</f>
        <v>20.1525130854879</v>
      </c>
      <c r="AH45" s="19" t="n">
        <f aca="false">$B45+AH$3*100*$A45</f>
        <v>20.6775130854879</v>
      </c>
      <c r="AI45" s="19" t="n">
        <f aca="false">$B45+AI$3*100*$A45</f>
        <v>21.2025130854879</v>
      </c>
      <c r="AJ45" s="19" t="n">
        <f aca="false">$B45+AJ$3*100*$A45</f>
        <v>21.7275130854879</v>
      </c>
      <c r="AK45" s="19" t="n">
        <f aca="false">$B45+AK$3*100*$A45</f>
        <v>22.2525130854879</v>
      </c>
      <c r="AL45" s="19" t="n">
        <f aca="false">$B45+AL$3*100*$A45</f>
        <v>22.7775130854879</v>
      </c>
      <c r="AM45" s="19" t="n">
        <f aca="false">$B45+AM$3*100*$A45</f>
        <v>23.3025130854879</v>
      </c>
      <c r="AN45" s="19" t="n">
        <f aca="false">$B45+AN$3*100*$A45</f>
        <v>23.8275130854879</v>
      </c>
      <c r="AO45" s="19" t="n">
        <f aca="false">$B45+AO$3*100*$A45</f>
        <v>24.3525130854879</v>
      </c>
      <c r="AP45" s="19" t="n">
        <f aca="false">$B45+AP$3*100*$A45</f>
        <v>24.8775130854879</v>
      </c>
      <c r="AQ45" s="19" t="n">
        <f aca="false">$B45+AQ$3*100*$A45</f>
        <v>25.4025130854879</v>
      </c>
      <c r="AR45" s="19" t="n">
        <f aca="false">$B45+AR$3*100*$A45</f>
        <v>25.9275130854879</v>
      </c>
      <c r="AS45" s="19" t="n">
        <f aca="false">$B45+AS$3*100*$A45</f>
        <v>26.4525130854879</v>
      </c>
      <c r="AT45" s="19" t="n">
        <f aca="false">$B45+AT$3*100*$A45</f>
        <v>26.9775130854879</v>
      </c>
      <c r="AU45" s="19" t="n">
        <f aca="false">$B45+AU$3*100*$A45</f>
        <v>27.5025130854879</v>
      </c>
      <c r="AV45" s="19" t="n">
        <f aca="false">$B45+AV$3*100*$A45</f>
        <v>28.0275130854879</v>
      </c>
      <c r="AW45" s="19" t="n">
        <f aca="false">$B45+AW$3*100*$A45</f>
        <v>28.5525130854879</v>
      </c>
      <c r="AX45" s="19" t="n">
        <f aca="false">$B45+AX$3*100*$A45</f>
        <v>29.0775130854879</v>
      </c>
      <c r="AY45" s="19" t="n">
        <f aca="false">$B45+AY$3*100*$A45</f>
        <v>29.6025130854879</v>
      </c>
      <c r="AZ45" s="19" t="n">
        <f aca="false">$B45+AZ$3*100*$A45</f>
        <v>30.1275130854879</v>
      </c>
      <c r="BA45" s="19" t="n">
        <f aca="false">$B45+BA$3*100*$A45</f>
        <v>30.6525130854879</v>
      </c>
      <c r="BB45" s="19" t="n">
        <f aca="false">$B45+BB$3*100*$A45</f>
        <v>31.1775130854879</v>
      </c>
      <c r="BC45" s="19" t="n">
        <f aca="false">$B45+BC$3*100*$A45</f>
        <v>31.7025130854879</v>
      </c>
      <c r="BD45" s="19" t="n">
        <f aca="false">$B45+BD$3*100*$A45</f>
        <v>32.2275130854879</v>
      </c>
      <c r="BE45" s="19" t="n">
        <f aca="false">$B45+BE$3*100*$A45</f>
        <v>32.7525130854879</v>
      </c>
      <c r="BF45" s="19" t="n">
        <f aca="false">$B45+BF$3*100*$A45</f>
        <v>33.2775130854879</v>
      </c>
      <c r="BG45" s="19" t="n">
        <f aca="false">$B45+BG$3*100*$A45</f>
        <v>33.8025130854879</v>
      </c>
      <c r="BH45" s="19" t="n">
        <f aca="false">$B45+BH$3*100*$A45</f>
        <v>34.3275130854879</v>
      </c>
      <c r="BI45" s="19" t="n">
        <f aca="false">$B45+BI$3*100*$A45</f>
        <v>34.8525130854879</v>
      </c>
      <c r="BJ45" s="19" t="n">
        <f aca="false">$B45+BJ$3*100*$A45</f>
        <v>35.3775130854879</v>
      </c>
      <c r="BK45" s="19" t="n">
        <f aca="false">$B45+BK$3*100*$A45</f>
        <v>35.9025130854879</v>
      </c>
      <c r="BL45" s="19" t="n">
        <f aca="false">$B45+BL$3*100*$A45</f>
        <v>36.4275130854879</v>
      </c>
      <c r="BM45" s="19" t="n">
        <f aca="false">$B45+BM$3*100*$A45</f>
        <v>36.9525130854879</v>
      </c>
      <c r="BN45" s="19" t="n">
        <f aca="false">$B45+BN$3*100*$A45</f>
        <v>37.4775130854879</v>
      </c>
      <c r="BO45" s="19" t="n">
        <f aca="false">$B45+BO$3*100*$A45</f>
        <v>38.0025130854879</v>
      </c>
      <c r="BP45" s="19" t="n">
        <f aca="false">$B45+BP$3*100*$A45</f>
        <v>38.5275130854879</v>
      </c>
      <c r="BQ45" s="19" t="n">
        <f aca="false">$B45+BQ$3*100*$A45</f>
        <v>39.0525130854879</v>
      </c>
      <c r="BR45" s="19" t="n">
        <f aca="false">$B45+BR$3*100*$A45</f>
        <v>39.5775130854879</v>
      </c>
      <c r="BS45" s="19" t="n">
        <f aca="false">$B45+BS$3*100*$A45</f>
        <v>40.1025130854879</v>
      </c>
      <c r="BT45" s="19" t="n">
        <f aca="false">$B45+BT$3*100*$A45</f>
        <v>40.6275130854879</v>
      </c>
      <c r="BU45" s="19" t="n">
        <f aca="false">$B45+BU$3*100*$A45</f>
        <v>41.1525130854879</v>
      </c>
      <c r="BV45" s="19" t="n">
        <f aca="false">$B45+BV$3*100*$A45</f>
        <v>41.6775130854879</v>
      </c>
      <c r="BW45" s="19" t="n">
        <f aca="false">$B45+BW$3*100*$A45</f>
        <v>42.2025130854879</v>
      </c>
      <c r="BX45" s="19" t="n">
        <f aca="false">$B45+BX$3*100*$A45</f>
        <v>42.7275130854879</v>
      </c>
      <c r="BY45" s="19" t="n">
        <f aca="false">$B45+BY$3*100*$A45</f>
        <v>43.2525130854879</v>
      </c>
      <c r="BZ45" s="19" t="n">
        <f aca="false">$B45+BZ$3*100*$A45</f>
        <v>43.7775130854879</v>
      </c>
      <c r="CA45" s="19" t="n">
        <f aca="false">$B45+CA$3*100*$A45</f>
        <v>44.3025130854879</v>
      </c>
      <c r="CB45" s="19" t="n">
        <f aca="false">$B45+CB$3*100*$A45</f>
        <v>44.8275130854879</v>
      </c>
      <c r="CC45" s="19" t="n">
        <f aca="false">$B45+CC$3*100*$A45</f>
        <v>45.3525130854879</v>
      </c>
      <c r="CD45" s="19" t="n">
        <f aca="false">$B45+CD$3*100*$A45</f>
        <v>45.8775130854879</v>
      </c>
      <c r="CE45" s="19" t="n">
        <f aca="false">$B45+CE$3*100*$A45</f>
        <v>46.4025130854879</v>
      </c>
      <c r="CF45" s="19" t="n">
        <f aca="false">$B45+CF$3*100*$A45</f>
        <v>46.9275130854879</v>
      </c>
      <c r="CG45" s="19" t="n">
        <f aca="false">$B45+CG$3*100*$A45</f>
        <v>47.4525130854879</v>
      </c>
      <c r="CH45" s="19" t="n">
        <f aca="false">$B45+CH$3*100*$A45</f>
        <v>47.9775130854879</v>
      </c>
      <c r="CI45" s="19" t="n">
        <f aca="false">$B45+CI$3*100*$A45</f>
        <v>48.5025130854879</v>
      </c>
      <c r="CJ45" s="19" t="n">
        <f aca="false">$B45+CJ$3*100*$A45</f>
        <v>49.0275130854879</v>
      </c>
      <c r="CK45" s="19" t="n">
        <f aca="false">$B45+CK$3*100*$A45</f>
        <v>49.5525130854879</v>
      </c>
      <c r="CL45" s="19" t="n">
        <f aca="false">$B45+CL$3*100*$A45</f>
        <v>50.0775130854879</v>
      </c>
      <c r="CM45" s="19" t="n">
        <f aca="false">$B45+CM$3*100*$A45</f>
        <v>50.6025130854879</v>
      </c>
      <c r="CN45" s="19" t="n">
        <f aca="false">$B45+CN$3*100*$A45</f>
        <v>51.1275130854879</v>
      </c>
      <c r="CO45" s="19" t="n">
        <f aca="false">$B45+CO$3*100*$A45</f>
        <v>51.6525130854879</v>
      </c>
      <c r="CP45" s="19" t="n">
        <f aca="false">$B45+CP$3*100*$A45</f>
        <v>52.1775130854879</v>
      </c>
      <c r="CQ45" s="19" t="n">
        <f aca="false">$B45+CQ$3*100*$A45</f>
        <v>52.7025130854879</v>
      </c>
      <c r="CR45" s="19" t="n">
        <f aca="false">$B45+CR$3*100*$A45</f>
        <v>53.2275130854879</v>
      </c>
      <c r="CS45" s="19" t="n">
        <f aca="false">$B45+CS$3*100*$A45</f>
        <v>53.7525130854879</v>
      </c>
      <c r="CT45" s="19" t="n">
        <f aca="false">$B45+CT$3*100*$A45</f>
        <v>54.2775130854879</v>
      </c>
      <c r="CU45" s="19" t="n">
        <f aca="false">$B45+CU$3*100*$A45</f>
        <v>54.8025130854879</v>
      </c>
      <c r="CV45" s="19" t="n">
        <f aca="false">$B45+CV$3*100*$A45</f>
        <v>55.3275130854879</v>
      </c>
      <c r="CW45" s="19" t="n">
        <f aca="false">$B45+CW$3*100*$A45</f>
        <v>55.8525130854879</v>
      </c>
      <c r="CX45" s="19" t="n">
        <f aca="false">$B45+CX$3*100*$A45</f>
        <v>56.3775130854879</v>
      </c>
      <c r="CY45" s="19" t="n">
        <f aca="false">$B45+CY$3*100*$A45</f>
        <v>56.9025130854879</v>
      </c>
      <c r="CZ45" s="19" t="n">
        <f aca="false">$B45+CZ$3*100*$A45</f>
        <v>57.4275130854879</v>
      </c>
      <c r="DA45" s="19" t="n">
        <f aca="false">$B45+DA$3*100*$A45</f>
        <v>57.9525130854879</v>
      </c>
      <c r="DB45" s="19" t="n">
        <f aca="false">$B45+DB$3*100*$A45</f>
        <v>58.4775130854879</v>
      </c>
      <c r="DC45" s="19" t="n">
        <f aca="false">$B45+DC$3*100*$A45</f>
        <v>59.0025130854879</v>
      </c>
      <c r="DD45" s="19" t="n">
        <f aca="false">$B45+DD$3*100*$A45</f>
        <v>59.5275130854879</v>
      </c>
      <c r="DE45" s="19" t="n">
        <f aca="false">$B45+DE$3*100*$A45</f>
        <v>60.0525130854879</v>
      </c>
      <c r="DF45" s="19" t="n">
        <f aca="false">$B45+DF$3*100*$A45</f>
        <v>60.5775130854879</v>
      </c>
      <c r="DG45" s="19" t="n">
        <f aca="false">$B45+DG$3*100*$A45</f>
        <v>61.1025130854879</v>
      </c>
      <c r="DH45" s="19" t="n">
        <f aca="false">$B45+DH$3*100*$A45</f>
        <v>61.6275130854879</v>
      </c>
      <c r="DI45" s="19" t="n">
        <f aca="false">$B45+DI$3*100*$A45</f>
        <v>62.1525130854879</v>
      </c>
      <c r="DJ45" s="19" t="n">
        <f aca="false">$B45+DJ$3*100*$A45</f>
        <v>62.6775130854879</v>
      </c>
      <c r="DK45" s="19" t="n">
        <f aca="false">$B45+DK$3*100*$A45</f>
        <v>63.2025130854879</v>
      </c>
      <c r="DL45" s="19" t="n">
        <f aca="false">$B45+DL$3*100*$A45</f>
        <v>63.7275130854879</v>
      </c>
      <c r="DM45" s="19" t="n">
        <f aca="false">$B45+DM$3*100*$A45</f>
        <v>64.2525130854879</v>
      </c>
      <c r="DN45" s="19" t="n">
        <f aca="false">$B45+DN$3*100*$A45</f>
        <v>64.7775130854879</v>
      </c>
      <c r="DO45" s="19" t="n">
        <f aca="false">$B45+DO$3*100*$A45</f>
        <v>65.3025130854879</v>
      </c>
      <c r="DP45" s="19" t="n">
        <f aca="false">$B45+DP$3*100*$A45</f>
        <v>65.8275130854879</v>
      </c>
      <c r="DQ45" s="19" t="n">
        <f aca="false">$B45+DQ$3*100*$A45</f>
        <v>66.3525130854879</v>
      </c>
      <c r="DR45" s="19" t="n">
        <f aca="false">$B45+DR$3*100*$A45</f>
        <v>66.8775130854879</v>
      </c>
      <c r="DS45" s="19" t="n">
        <f aca="false">$B45+DS$3*100*$A45</f>
        <v>67.4025130854879</v>
      </c>
      <c r="DT45" s="19" t="n">
        <f aca="false">$B45+DT$3*100*$A45</f>
        <v>67.9275130854879</v>
      </c>
      <c r="DU45" s="19" t="n">
        <f aca="false">$B45+DU$3*100*$A45</f>
        <v>68.4525130854879</v>
      </c>
      <c r="DV45" s="19" t="n">
        <f aca="false">$B45+DV$3*100*$A45</f>
        <v>68.9775130854879</v>
      </c>
      <c r="DW45" s="19" t="n">
        <f aca="false">$B45+DW$3*100*$A45</f>
        <v>69.5025130854879</v>
      </c>
      <c r="DX45" s="19" t="n">
        <f aca="false">$B45+DX$3*100*$A45</f>
        <v>70.0275130854879</v>
      </c>
      <c r="DY45" s="19" t="n">
        <f aca="false">$B45+DY$3*100*$A45</f>
        <v>70.5525130854879</v>
      </c>
      <c r="DZ45" s="19" t="n">
        <f aca="false">$B45+DZ$3*100*$A45</f>
        <v>71.0775130854879</v>
      </c>
      <c r="EA45" s="19" t="n">
        <f aca="false">$B45+EA$3*100*$A45</f>
        <v>71.6025130854879</v>
      </c>
      <c r="EB45" s="19" t="n">
        <f aca="false">$B45+EB$3*100*$A45</f>
        <v>72.1275130854879</v>
      </c>
      <c r="EC45" s="19" t="n">
        <f aca="false">$B45+EC$3*100*$A45</f>
        <v>72.6525130854879</v>
      </c>
      <c r="ED45" s="19" t="n">
        <f aca="false">$B45+ED$3*100*$A45</f>
        <v>73.1775130854879</v>
      </c>
      <c r="EE45" s="19" t="n">
        <f aca="false">$B45+EE$3*100*$A45</f>
        <v>73.7025130854879</v>
      </c>
      <c r="EF45" s="19" t="n">
        <f aca="false">$B45+EF$3*100*$A45</f>
        <v>74.2275130854879</v>
      </c>
      <c r="EG45" s="19" t="n">
        <f aca="false">$B45+EG$3*100*$A45</f>
        <v>74.7525130854879</v>
      </c>
      <c r="EH45" s="19" t="n">
        <f aca="false">$B45+EH$3*100*$A45</f>
        <v>75.2775130854879</v>
      </c>
      <c r="EI45" s="19" t="n">
        <f aca="false">$B45+EI$3*100*$A45</f>
        <v>75.8025130854879</v>
      </c>
      <c r="EJ45" s="19" t="n">
        <f aca="false">$B45+EJ$3*100*$A45</f>
        <v>76.3275130854879</v>
      </c>
      <c r="EK45" s="19" t="n">
        <f aca="false">$B45+EK$3*100*$A45</f>
        <v>76.8525130854879</v>
      </c>
      <c r="EL45" s="19" t="n">
        <f aca="false">$B45+EL$3*100*$A45</f>
        <v>77.3775130854879</v>
      </c>
      <c r="EM45" s="19" t="n">
        <f aca="false">$B45+EM$3*100*$A45</f>
        <v>77.9025130854879</v>
      </c>
      <c r="EN45" s="19" t="n">
        <f aca="false">$B45+EN$3*100*$A45</f>
        <v>78.4275130854879</v>
      </c>
      <c r="EO45" s="19" t="n">
        <f aca="false">$B45+EO$3*100*$A45</f>
        <v>78.9525130854879</v>
      </c>
      <c r="EP45" s="19" t="n">
        <f aca="false">$B45+EP$3*100*$A45</f>
        <v>79.4775130854879</v>
      </c>
      <c r="EQ45" s="19" t="n">
        <f aca="false">$B45+EQ$3*100*$A45</f>
        <v>80.0025130854879</v>
      </c>
      <c r="ER45" s="19" t="n">
        <f aca="false">$B45+ER$3*100*$A45</f>
        <v>80.5275130854879</v>
      </c>
      <c r="ES45" s="19" t="n">
        <f aca="false">$B45+ES$3*100*$A45</f>
        <v>81.0525130854879</v>
      </c>
      <c r="ET45" s="19" t="n">
        <f aca="false">$B45+ET$3*100*$A45</f>
        <v>81.5775130854879</v>
      </c>
      <c r="EU45" s="19" t="n">
        <f aca="false">$B45+EU$3*100*$A45</f>
        <v>82.1025130854879</v>
      </c>
      <c r="EV45" s="19" t="n">
        <f aca="false">$B45+EV$3*100*$A45</f>
        <v>82.6275130854879</v>
      </c>
      <c r="EW45" s="19" t="n">
        <f aca="false">$B45+EW$3*100*$A45</f>
        <v>83.1525130854879</v>
      </c>
      <c r="EX45" s="19" t="n">
        <f aca="false">$B45+EX$3*100*$A45</f>
        <v>83.6775130854879</v>
      </c>
      <c r="EY45" s="19" t="n">
        <f aca="false">$B45+EY$3*100*$A45</f>
        <v>84.2025130854879</v>
      </c>
      <c r="EZ45" s="19" t="n">
        <f aca="false">$B45+EZ$3*100*$A45</f>
        <v>84.7275130854879</v>
      </c>
      <c r="FA45" s="19" t="n">
        <f aca="false">$B45+FA$3*100*$A45</f>
        <v>85.2525130854879</v>
      </c>
      <c r="FB45" s="19" t="n">
        <f aca="false">$B45+FB$3*100*$A45</f>
        <v>85.7775130854879</v>
      </c>
      <c r="FC45" s="19" t="n">
        <f aca="false">$B45+FC$3*100*$A45</f>
        <v>86.3025130854879</v>
      </c>
      <c r="FD45" s="19" t="n">
        <f aca="false">$B45+FD$3*100*$A45</f>
        <v>86.8275130854879</v>
      </c>
      <c r="FE45" s="19" t="n">
        <f aca="false">$B45+FE$3*100*$A45</f>
        <v>87.3525130854879</v>
      </c>
      <c r="FF45" s="19" t="n">
        <f aca="false">$B45+FF$3*100*$A45</f>
        <v>87.8775130854879</v>
      </c>
      <c r="FG45" s="19" t="n">
        <f aca="false">$B45+FG$3*100*$A45</f>
        <v>88.4025130854879</v>
      </c>
      <c r="FH45" s="19" t="n">
        <f aca="false">$B45+FH$3*100*$A45</f>
        <v>88.9275130854879</v>
      </c>
      <c r="FI45" s="19" t="n">
        <f aca="false">$B45+FI$3*100*$A45</f>
        <v>89.4525130854879</v>
      </c>
      <c r="FJ45" s="19" t="n">
        <f aca="false">$B45+FJ$3*100*$A45</f>
        <v>89.9775130854879</v>
      </c>
      <c r="FK45" s="19" t="n">
        <f aca="false">$B45+FK$3*100*$A45</f>
        <v>90.5025130854879</v>
      </c>
      <c r="FL45" s="19" t="n">
        <f aca="false">$B45+FL$3*100*$A45</f>
        <v>91.0275130854879</v>
      </c>
      <c r="FM45" s="19" t="n">
        <f aca="false">$B45+FM$3*100*$A45</f>
        <v>91.5525130854879</v>
      </c>
      <c r="FN45" s="19" t="n">
        <f aca="false">$B45+FN$3*100*$A45</f>
        <v>92.0775130854879</v>
      </c>
      <c r="FO45" s="19" t="n">
        <f aca="false">$B45+FO$3*100*$A45</f>
        <v>92.6025130854879</v>
      </c>
      <c r="FP45" s="19" t="n">
        <f aca="false">$B45+FP$3*100*$A45</f>
        <v>93.1275130854879</v>
      </c>
      <c r="FQ45" s="19" t="n">
        <f aca="false">$B45+FQ$3*100*$A45</f>
        <v>93.6525130854879</v>
      </c>
      <c r="FR45" s="19" t="n">
        <f aca="false">$B45+FR$3*100*$A45</f>
        <v>94.1775130854879</v>
      </c>
      <c r="FS45" s="19" t="n">
        <f aca="false">$B45+FS$3*100*$A45</f>
        <v>94.7025130854879</v>
      </c>
      <c r="FT45" s="19" t="n">
        <f aca="false">$B45+FT$3*100*$A45</f>
        <v>95.2275130854879</v>
      </c>
      <c r="FU45" s="19" t="n">
        <f aca="false">$B45+FU$3*100*$A45</f>
        <v>95.7525130854879</v>
      </c>
      <c r="FV45" s="19" t="n">
        <f aca="false">$B45+FV$3*100*$A45</f>
        <v>96.2775130854879</v>
      </c>
      <c r="FW45" s="19" t="n">
        <f aca="false">$B45+FW$3*100*$A45</f>
        <v>96.8025130854879</v>
      </c>
      <c r="FX45" s="19" t="n">
        <f aca="false">$B45+FX$3*100*$A45</f>
        <v>97.3275130854879</v>
      </c>
      <c r="FY45" s="19" t="n">
        <f aca="false">$B45+FY$3*100*$A45</f>
        <v>97.8525130854879</v>
      </c>
      <c r="FZ45" s="19" t="n">
        <f aca="false">$B45+FZ$3*100*$A45</f>
        <v>98.3775130854879</v>
      </c>
      <c r="GA45" s="19" t="n">
        <f aca="false">$B45+GA$3*100*$A45</f>
        <v>98.9025130854879</v>
      </c>
      <c r="GB45" s="19" t="n">
        <f aca="false">$B45+GB$3*100*$A45</f>
        <v>99.4275130854879</v>
      </c>
      <c r="GC45" s="19" t="n">
        <f aca="false">$B45+GC$3*100*$A45</f>
        <v>99.9525130854879</v>
      </c>
      <c r="GD45" s="19" t="n">
        <f aca="false">$B45+GD$3*100*$A45</f>
        <v>100.477513085488</v>
      </c>
      <c r="GE45" s="19" t="n">
        <f aca="false">$B45+GE$3*100*$A45</f>
        <v>101.002513085488</v>
      </c>
      <c r="GF45" s="19" t="n">
        <f aca="false">$B45+GF$3*100*$A45</f>
        <v>101.527513085488</v>
      </c>
      <c r="GG45" s="19" t="n">
        <f aca="false">$B45+GG$3*100*$A45</f>
        <v>102.052513085488</v>
      </c>
      <c r="GH45" s="19" t="n">
        <f aca="false">$B45+GH$3*100*$A45</f>
        <v>102.577513085488</v>
      </c>
      <c r="GI45" s="19" t="n">
        <f aca="false">$B45+GI$3*100*$A45</f>
        <v>103.102513085488</v>
      </c>
      <c r="GJ45" s="19" t="n">
        <f aca="false">$B45+GJ$3*100*$A45</f>
        <v>103.627513085488</v>
      </c>
      <c r="GK45" s="19" t="n">
        <f aca="false">$B45+GK$3*100*$A45</f>
        <v>104.152513085488</v>
      </c>
      <c r="GL45" s="19" t="n">
        <f aca="false">$B45+GL$3*100*$A45</f>
        <v>104.677513085488</v>
      </c>
      <c r="GM45" s="19" t="n">
        <f aca="false">$B45+GM$3*100*$A45</f>
        <v>105.202513085488</v>
      </c>
      <c r="GN45" s="19" t="n">
        <f aca="false">$B45+GN$3*100*$A45</f>
        <v>105.727513085488</v>
      </c>
      <c r="GO45" s="19" t="n">
        <f aca="false">$B45+GO$3*100*$A45</f>
        <v>106.252513085488</v>
      </c>
      <c r="GP45" s="19" t="n">
        <f aca="false">$B45+GP$3*100*$A45</f>
        <v>106.777513085488</v>
      </c>
      <c r="GQ45" s="19" t="n">
        <f aca="false">$B45+GQ$3*100*$A45</f>
        <v>107.302513085488</v>
      </c>
      <c r="GR45" s="19" t="n">
        <f aca="false">$B45+GR$3*100*$A45</f>
        <v>107.827513085488</v>
      </c>
      <c r="GS45" s="19" t="n">
        <f aca="false">$B45+GS$3*100*$A45</f>
        <v>108.352513085488</v>
      </c>
      <c r="GT45" s="19" t="n">
        <f aca="false">$B45+GT$3*100*$A45</f>
        <v>108.877513085488</v>
      </c>
    </row>
    <row r="46" customFormat="false" ht="15" hidden="false" customHeight="false" outlineLevel="0" collapsed="false">
      <c r="A46" s="26" t="n">
        <f aca="false">Frontier!A44</f>
        <v>0.1075</v>
      </c>
      <c r="B46" s="34" t="n">
        <f aca="false">Frontier!B44</f>
        <v>3.75</v>
      </c>
      <c r="C46" s="19" t="n">
        <f aca="false">$B46+C$3*100*$A46</f>
        <v>4.2875</v>
      </c>
      <c r="D46" s="19" t="n">
        <f aca="false">$B46+D$3*100*$A46</f>
        <v>4.825</v>
      </c>
      <c r="E46" s="19" t="n">
        <f aca="false">$B46+E$3*100*$A46</f>
        <v>5.3625</v>
      </c>
      <c r="F46" s="19" t="n">
        <f aca="false">$B46+F$3*100*$A46</f>
        <v>5.9</v>
      </c>
      <c r="G46" s="19" t="n">
        <f aca="false">$B46+G$3*100*$A46</f>
        <v>6.4375</v>
      </c>
      <c r="H46" s="19" t="n">
        <f aca="false">$B46+H$3*100*$A46</f>
        <v>6.975</v>
      </c>
      <c r="I46" s="19" t="n">
        <f aca="false">$B46+I$3*100*$A46</f>
        <v>7.5125</v>
      </c>
      <c r="J46" s="19" t="n">
        <f aca="false">$B46+J$3*100*$A46</f>
        <v>8.05</v>
      </c>
      <c r="K46" s="19" t="n">
        <f aca="false">$B46+K$3*100*$A46</f>
        <v>8.5875</v>
      </c>
      <c r="L46" s="19" t="n">
        <f aca="false">$B46+L$3*100*$A46</f>
        <v>9.125</v>
      </c>
      <c r="M46" s="19" t="n">
        <f aca="false">$B46+M$3*100*$A46</f>
        <v>9.6625</v>
      </c>
      <c r="N46" s="19" t="n">
        <f aca="false">$B46+N$3*100*$A46</f>
        <v>10.2</v>
      </c>
      <c r="O46" s="19" t="n">
        <f aca="false">$B46+O$3*100*$A46</f>
        <v>10.7375</v>
      </c>
      <c r="P46" s="19" t="n">
        <f aca="false">$B46+P$3*100*$A46</f>
        <v>11.275</v>
      </c>
      <c r="Q46" s="19" t="n">
        <f aca="false">$B46+Q$3*100*$A46</f>
        <v>11.8125</v>
      </c>
      <c r="R46" s="19" t="n">
        <f aca="false">$B46+R$3*100*$A46</f>
        <v>12.35</v>
      </c>
      <c r="S46" s="19" t="n">
        <f aca="false">$B46+S$3*100*$A46</f>
        <v>12.8875</v>
      </c>
      <c r="T46" s="19" t="n">
        <f aca="false">$B46+T$3*100*$A46</f>
        <v>13.425</v>
      </c>
      <c r="U46" s="19" t="n">
        <f aca="false">$B46+U$3*100*$A46</f>
        <v>13.9625</v>
      </c>
      <c r="V46" s="19" t="n">
        <f aca="false">$B46+V$3*100*$A46</f>
        <v>14.5</v>
      </c>
      <c r="W46" s="19" t="n">
        <f aca="false">$B46+W$3*100*$A46</f>
        <v>15.0375</v>
      </c>
      <c r="X46" s="19" t="n">
        <f aca="false">$B46+X$3*100*$A46</f>
        <v>15.575</v>
      </c>
      <c r="Y46" s="19" t="n">
        <f aca="false">$B46+Y$3*100*$A46</f>
        <v>16.1125</v>
      </c>
      <c r="Z46" s="19" t="n">
        <f aca="false">$B46+Z$3*100*$A46</f>
        <v>16.65</v>
      </c>
      <c r="AA46" s="19" t="n">
        <f aca="false">$B46+AA$3*100*$A46</f>
        <v>17.1875</v>
      </c>
      <c r="AB46" s="19" t="n">
        <f aca="false">$B46+AB$3*100*$A46</f>
        <v>17.725</v>
      </c>
      <c r="AC46" s="19" t="n">
        <f aca="false">$B46+AC$3*100*$A46</f>
        <v>18.2625</v>
      </c>
      <c r="AD46" s="19" t="n">
        <f aca="false">$B46+AD$3*100*$A46</f>
        <v>18.8</v>
      </c>
      <c r="AE46" s="19" t="n">
        <f aca="false">$B46+AE$3*100*$A46</f>
        <v>19.3375</v>
      </c>
      <c r="AF46" s="19" t="n">
        <f aca="false">$B46+AF$3*100*$A46</f>
        <v>19.875</v>
      </c>
      <c r="AG46" s="19" t="n">
        <f aca="false">$B46+AG$3*100*$A46</f>
        <v>20.4125</v>
      </c>
      <c r="AH46" s="19" t="n">
        <f aca="false">$B46+AH$3*100*$A46</f>
        <v>20.95</v>
      </c>
      <c r="AI46" s="19" t="n">
        <f aca="false">$B46+AI$3*100*$A46</f>
        <v>21.4875</v>
      </c>
      <c r="AJ46" s="19" t="n">
        <f aca="false">$B46+AJ$3*100*$A46</f>
        <v>22.025</v>
      </c>
      <c r="AK46" s="19" t="n">
        <f aca="false">$B46+AK$3*100*$A46</f>
        <v>22.5625</v>
      </c>
      <c r="AL46" s="19" t="n">
        <f aca="false">$B46+AL$3*100*$A46</f>
        <v>23.1</v>
      </c>
      <c r="AM46" s="19" t="n">
        <f aca="false">$B46+AM$3*100*$A46</f>
        <v>23.6375</v>
      </c>
      <c r="AN46" s="19" t="n">
        <f aca="false">$B46+AN$3*100*$A46</f>
        <v>24.175</v>
      </c>
      <c r="AO46" s="19" t="n">
        <f aca="false">$B46+AO$3*100*$A46</f>
        <v>24.7125</v>
      </c>
      <c r="AP46" s="19" t="n">
        <f aca="false">$B46+AP$3*100*$A46</f>
        <v>25.25</v>
      </c>
      <c r="AQ46" s="19" t="n">
        <f aca="false">$B46+AQ$3*100*$A46</f>
        <v>25.7875</v>
      </c>
      <c r="AR46" s="19" t="n">
        <f aca="false">$B46+AR$3*100*$A46</f>
        <v>26.325</v>
      </c>
      <c r="AS46" s="19" t="n">
        <f aca="false">$B46+AS$3*100*$A46</f>
        <v>26.8625</v>
      </c>
      <c r="AT46" s="19" t="n">
        <f aca="false">$B46+AT$3*100*$A46</f>
        <v>27.4</v>
      </c>
      <c r="AU46" s="19" t="n">
        <f aca="false">$B46+AU$3*100*$A46</f>
        <v>27.9375</v>
      </c>
      <c r="AV46" s="19" t="n">
        <f aca="false">$B46+AV$3*100*$A46</f>
        <v>28.475</v>
      </c>
      <c r="AW46" s="19" t="n">
        <f aca="false">$B46+AW$3*100*$A46</f>
        <v>29.0125</v>
      </c>
      <c r="AX46" s="19" t="n">
        <f aca="false">$B46+AX$3*100*$A46</f>
        <v>29.55</v>
      </c>
      <c r="AY46" s="19" t="n">
        <f aca="false">$B46+AY$3*100*$A46</f>
        <v>30.0875</v>
      </c>
      <c r="AZ46" s="19" t="n">
        <f aca="false">$B46+AZ$3*100*$A46</f>
        <v>30.625</v>
      </c>
      <c r="BA46" s="19" t="n">
        <f aca="false">$B46+BA$3*100*$A46</f>
        <v>31.1625</v>
      </c>
      <c r="BB46" s="19" t="n">
        <f aca="false">$B46+BB$3*100*$A46</f>
        <v>31.7</v>
      </c>
      <c r="BC46" s="19" t="n">
        <f aca="false">$B46+BC$3*100*$A46</f>
        <v>32.2375</v>
      </c>
      <c r="BD46" s="19" t="n">
        <f aca="false">$B46+BD$3*100*$A46</f>
        <v>32.775</v>
      </c>
      <c r="BE46" s="19" t="n">
        <f aca="false">$B46+BE$3*100*$A46</f>
        <v>33.3125</v>
      </c>
      <c r="BF46" s="19" t="n">
        <f aca="false">$B46+BF$3*100*$A46</f>
        <v>33.85</v>
      </c>
      <c r="BG46" s="19" t="n">
        <f aca="false">$B46+BG$3*100*$A46</f>
        <v>34.3875</v>
      </c>
      <c r="BH46" s="19" t="n">
        <f aca="false">$B46+BH$3*100*$A46</f>
        <v>34.925</v>
      </c>
      <c r="BI46" s="19" t="n">
        <f aca="false">$B46+BI$3*100*$A46</f>
        <v>35.4625</v>
      </c>
      <c r="BJ46" s="19" t="n">
        <f aca="false">$B46+BJ$3*100*$A46</f>
        <v>36</v>
      </c>
      <c r="BK46" s="19" t="n">
        <f aca="false">$B46+BK$3*100*$A46</f>
        <v>36.5375</v>
      </c>
      <c r="BL46" s="19" t="n">
        <f aca="false">$B46+BL$3*100*$A46</f>
        <v>37.075</v>
      </c>
      <c r="BM46" s="19" t="n">
        <f aca="false">$B46+BM$3*100*$A46</f>
        <v>37.6125</v>
      </c>
      <c r="BN46" s="19" t="n">
        <f aca="false">$B46+BN$3*100*$A46</f>
        <v>38.15</v>
      </c>
      <c r="BO46" s="19" t="n">
        <f aca="false">$B46+BO$3*100*$A46</f>
        <v>38.6875</v>
      </c>
      <c r="BP46" s="19" t="n">
        <f aca="false">$B46+BP$3*100*$A46</f>
        <v>39.225</v>
      </c>
      <c r="BQ46" s="19" t="n">
        <f aca="false">$B46+BQ$3*100*$A46</f>
        <v>39.7625</v>
      </c>
      <c r="BR46" s="19" t="n">
        <f aca="false">$B46+BR$3*100*$A46</f>
        <v>40.3</v>
      </c>
      <c r="BS46" s="19" t="n">
        <f aca="false">$B46+BS$3*100*$A46</f>
        <v>40.8375</v>
      </c>
      <c r="BT46" s="19" t="n">
        <f aca="false">$B46+BT$3*100*$A46</f>
        <v>41.375</v>
      </c>
      <c r="BU46" s="19" t="n">
        <f aca="false">$B46+BU$3*100*$A46</f>
        <v>41.9125</v>
      </c>
      <c r="BV46" s="19" t="n">
        <f aca="false">$B46+BV$3*100*$A46</f>
        <v>42.45</v>
      </c>
      <c r="BW46" s="19" t="n">
        <f aca="false">$B46+BW$3*100*$A46</f>
        <v>42.9875</v>
      </c>
      <c r="BX46" s="19" t="n">
        <f aca="false">$B46+BX$3*100*$A46</f>
        <v>43.525</v>
      </c>
      <c r="BY46" s="19" t="n">
        <f aca="false">$B46+BY$3*100*$A46</f>
        <v>44.0625</v>
      </c>
      <c r="BZ46" s="19" t="n">
        <f aca="false">$B46+BZ$3*100*$A46</f>
        <v>44.6</v>
      </c>
      <c r="CA46" s="19" t="n">
        <f aca="false">$B46+CA$3*100*$A46</f>
        <v>45.1375</v>
      </c>
      <c r="CB46" s="19" t="n">
        <f aca="false">$B46+CB$3*100*$A46</f>
        <v>45.675</v>
      </c>
      <c r="CC46" s="19" t="n">
        <f aca="false">$B46+CC$3*100*$A46</f>
        <v>46.2125</v>
      </c>
      <c r="CD46" s="19" t="n">
        <f aca="false">$B46+CD$3*100*$A46</f>
        <v>46.75</v>
      </c>
      <c r="CE46" s="19" t="n">
        <f aca="false">$B46+CE$3*100*$A46</f>
        <v>47.2875</v>
      </c>
      <c r="CF46" s="19" t="n">
        <f aca="false">$B46+CF$3*100*$A46</f>
        <v>47.825</v>
      </c>
      <c r="CG46" s="19" t="n">
        <f aca="false">$B46+CG$3*100*$A46</f>
        <v>48.3625</v>
      </c>
      <c r="CH46" s="19" t="n">
        <f aca="false">$B46+CH$3*100*$A46</f>
        <v>48.9</v>
      </c>
      <c r="CI46" s="19" t="n">
        <f aca="false">$B46+CI$3*100*$A46</f>
        <v>49.4375</v>
      </c>
      <c r="CJ46" s="19" t="n">
        <f aca="false">$B46+CJ$3*100*$A46</f>
        <v>49.975</v>
      </c>
      <c r="CK46" s="19" t="n">
        <f aca="false">$B46+CK$3*100*$A46</f>
        <v>50.5125</v>
      </c>
      <c r="CL46" s="19" t="n">
        <f aca="false">$B46+CL$3*100*$A46</f>
        <v>51.05</v>
      </c>
      <c r="CM46" s="19" t="n">
        <f aca="false">$B46+CM$3*100*$A46</f>
        <v>51.5875</v>
      </c>
      <c r="CN46" s="19" t="n">
        <f aca="false">$B46+CN$3*100*$A46</f>
        <v>52.125</v>
      </c>
      <c r="CO46" s="19" t="n">
        <f aca="false">$B46+CO$3*100*$A46</f>
        <v>52.6625</v>
      </c>
      <c r="CP46" s="19" t="n">
        <f aca="false">$B46+CP$3*100*$A46</f>
        <v>53.2</v>
      </c>
      <c r="CQ46" s="19" t="n">
        <f aca="false">$B46+CQ$3*100*$A46</f>
        <v>53.7375</v>
      </c>
      <c r="CR46" s="19" t="n">
        <f aca="false">$B46+CR$3*100*$A46</f>
        <v>54.275</v>
      </c>
      <c r="CS46" s="19" t="n">
        <f aca="false">$B46+CS$3*100*$A46</f>
        <v>54.8125</v>
      </c>
      <c r="CT46" s="19" t="n">
        <f aca="false">$B46+CT$3*100*$A46</f>
        <v>55.35</v>
      </c>
      <c r="CU46" s="19" t="n">
        <f aca="false">$B46+CU$3*100*$A46</f>
        <v>55.8875</v>
      </c>
      <c r="CV46" s="19" t="n">
        <f aca="false">$B46+CV$3*100*$A46</f>
        <v>56.425</v>
      </c>
      <c r="CW46" s="19" t="n">
        <f aca="false">$B46+CW$3*100*$A46</f>
        <v>56.9625</v>
      </c>
      <c r="CX46" s="19" t="n">
        <f aca="false">$B46+CX$3*100*$A46</f>
        <v>57.5</v>
      </c>
      <c r="CY46" s="19" t="n">
        <f aca="false">$B46+CY$3*100*$A46</f>
        <v>58.0375</v>
      </c>
      <c r="CZ46" s="19" t="n">
        <f aca="false">$B46+CZ$3*100*$A46</f>
        <v>58.575</v>
      </c>
      <c r="DA46" s="19" t="n">
        <f aca="false">$B46+DA$3*100*$A46</f>
        <v>59.1125</v>
      </c>
      <c r="DB46" s="19" t="n">
        <f aca="false">$B46+DB$3*100*$A46</f>
        <v>59.65</v>
      </c>
      <c r="DC46" s="19" t="n">
        <f aca="false">$B46+DC$3*100*$A46</f>
        <v>60.1875</v>
      </c>
      <c r="DD46" s="19" t="n">
        <f aca="false">$B46+DD$3*100*$A46</f>
        <v>60.725</v>
      </c>
      <c r="DE46" s="19" t="n">
        <f aca="false">$B46+DE$3*100*$A46</f>
        <v>61.2625</v>
      </c>
      <c r="DF46" s="19" t="n">
        <f aca="false">$B46+DF$3*100*$A46</f>
        <v>61.8</v>
      </c>
      <c r="DG46" s="19" t="n">
        <f aca="false">$B46+DG$3*100*$A46</f>
        <v>62.3375</v>
      </c>
      <c r="DH46" s="19" t="n">
        <f aca="false">$B46+DH$3*100*$A46</f>
        <v>62.875</v>
      </c>
      <c r="DI46" s="19" t="n">
        <f aca="false">$B46+DI$3*100*$A46</f>
        <v>63.4125</v>
      </c>
      <c r="DJ46" s="19" t="n">
        <f aca="false">$B46+DJ$3*100*$A46</f>
        <v>63.95</v>
      </c>
      <c r="DK46" s="19" t="n">
        <f aca="false">$B46+DK$3*100*$A46</f>
        <v>64.4875</v>
      </c>
      <c r="DL46" s="19" t="n">
        <f aca="false">$B46+DL$3*100*$A46</f>
        <v>65.025</v>
      </c>
      <c r="DM46" s="19" t="n">
        <f aca="false">$B46+DM$3*100*$A46</f>
        <v>65.5625</v>
      </c>
      <c r="DN46" s="19" t="n">
        <f aca="false">$B46+DN$3*100*$A46</f>
        <v>66.1</v>
      </c>
      <c r="DO46" s="19" t="n">
        <f aca="false">$B46+DO$3*100*$A46</f>
        <v>66.6375</v>
      </c>
      <c r="DP46" s="19" t="n">
        <f aca="false">$B46+DP$3*100*$A46</f>
        <v>67.175</v>
      </c>
      <c r="DQ46" s="19" t="n">
        <f aca="false">$B46+DQ$3*100*$A46</f>
        <v>67.7125</v>
      </c>
      <c r="DR46" s="19" t="n">
        <f aca="false">$B46+DR$3*100*$A46</f>
        <v>68.25</v>
      </c>
      <c r="DS46" s="19" t="n">
        <f aca="false">$B46+DS$3*100*$A46</f>
        <v>68.7875</v>
      </c>
      <c r="DT46" s="19" t="n">
        <f aca="false">$B46+DT$3*100*$A46</f>
        <v>69.325</v>
      </c>
      <c r="DU46" s="19" t="n">
        <f aca="false">$B46+DU$3*100*$A46</f>
        <v>69.8625</v>
      </c>
      <c r="DV46" s="19" t="n">
        <f aca="false">$B46+DV$3*100*$A46</f>
        <v>70.4</v>
      </c>
      <c r="DW46" s="19" t="n">
        <f aca="false">$B46+DW$3*100*$A46</f>
        <v>70.9375</v>
      </c>
      <c r="DX46" s="19" t="n">
        <f aca="false">$B46+DX$3*100*$A46</f>
        <v>71.475</v>
      </c>
      <c r="DY46" s="19" t="n">
        <f aca="false">$B46+DY$3*100*$A46</f>
        <v>72.0125</v>
      </c>
      <c r="DZ46" s="19" t="n">
        <f aca="false">$B46+DZ$3*100*$A46</f>
        <v>72.55</v>
      </c>
      <c r="EA46" s="19" t="n">
        <f aca="false">$B46+EA$3*100*$A46</f>
        <v>73.0875</v>
      </c>
      <c r="EB46" s="19" t="n">
        <f aca="false">$B46+EB$3*100*$A46</f>
        <v>73.625</v>
      </c>
      <c r="EC46" s="19" t="n">
        <f aca="false">$B46+EC$3*100*$A46</f>
        <v>74.1625</v>
      </c>
      <c r="ED46" s="19" t="n">
        <f aca="false">$B46+ED$3*100*$A46</f>
        <v>74.7</v>
      </c>
      <c r="EE46" s="19" t="n">
        <f aca="false">$B46+EE$3*100*$A46</f>
        <v>75.2375</v>
      </c>
      <c r="EF46" s="19" t="n">
        <f aca="false">$B46+EF$3*100*$A46</f>
        <v>75.775</v>
      </c>
      <c r="EG46" s="19" t="n">
        <f aca="false">$B46+EG$3*100*$A46</f>
        <v>76.3125</v>
      </c>
      <c r="EH46" s="19" t="n">
        <f aca="false">$B46+EH$3*100*$A46</f>
        <v>76.85</v>
      </c>
      <c r="EI46" s="19" t="n">
        <f aca="false">$B46+EI$3*100*$A46</f>
        <v>77.3875</v>
      </c>
      <c r="EJ46" s="19" t="n">
        <f aca="false">$B46+EJ$3*100*$A46</f>
        <v>77.925</v>
      </c>
      <c r="EK46" s="19" t="n">
        <f aca="false">$B46+EK$3*100*$A46</f>
        <v>78.4625</v>
      </c>
      <c r="EL46" s="19" t="n">
        <f aca="false">$B46+EL$3*100*$A46</f>
        <v>79</v>
      </c>
      <c r="EM46" s="19" t="n">
        <f aca="false">$B46+EM$3*100*$A46</f>
        <v>79.5375</v>
      </c>
      <c r="EN46" s="19" t="n">
        <f aca="false">$B46+EN$3*100*$A46</f>
        <v>80.075</v>
      </c>
      <c r="EO46" s="19" t="n">
        <f aca="false">$B46+EO$3*100*$A46</f>
        <v>80.6125</v>
      </c>
      <c r="EP46" s="19" t="n">
        <f aca="false">$B46+EP$3*100*$A46</f>
        <v>81.15</v>
      </c>
      <c r="EQ46" s="19" t="n">
        <f aca="false">$B46+EQ$3*100*$A46</f>
        <v>81.6875</v>
      </c>
      <c r="ER46" s="19" t="n">
        <f aca="false">$B46+ER$3*100*$A46</f>
        <v>82.225</v>
      </c>
      <c r="ES46" s="19" t="n">
        <f aca="false">$B46+ES$3*100*$A46</f>
        <v>82.7625</v>
      </c>
      <c r="ET46" s="19" t="n">
        <f aca="false">$B46+ET$3*100*$A46</f>
        <v>83.3</v>
      </c>
      <c r="EU46" s="19" t="n">
        <f aca="false">$B46+EU$3*100*$A46</f>
        <v>83.8375</v>
      </c>
      <c r="EV46" s="19" t="n">
        <f aca="false">$B46+EV$3*100*$A46</f>
        <v>84.375</v>
      </c>
      <c r="EW46" s="19" t="n">
        <f aca="false">$B46+EW$3*100*$A46</f>
        <v>84.9125</v>
      </c>
      <c r="EX46" s="19" t="n">
        <f aca="false">$B46+EX$3*100*$A46</f>
        <v>85.45</v>
      </c>
      <c r="EY46" s="19" t="n">
        <f aca="false">$B46+EY$3*100*$A46</f>
        <v>85.9875</v>
      </c>
      <c r="EZ46" s="19" t="n">
        <f aca="false">$B46+EZ$3*100*$A46</f>
        <v>86.525</v>
      </c>
      <c r="FA46" s="19" t="n">
        <f aca="false">$B46+FA$3*100*$A46</f>
        <v>87.0625</v>
      </c>
      <c r="FB46" s="19" t="n">
        <f aca="false">$B46+FB$3*100*$A46</f>
        <v>87.6</v>
      </c>
      <c r="FC46" s="19" t="n">
        <f aca="false">$B46+FC$3*100*$A46</f>
        <v>88.1375</v>
      </c>
      <c r="FD46" s="19" t="n">
        <f aca="false">$B46+FD$3*100*$A46</f>
        <v>88.675</v>
      </c>
      <c r="FE46" s="19" t="n">
        <f aca="false">$B46+FE$3*100*$A46</f>
        <v>89.2125</v>
      </c>
      <c r="FF46" s="19" t="n">
        <f aca="false">$B46+FF$3*100*$A46</f>
        <v>89.75</v>
      </c>
      <c r="FG46" s="19" t="n">
        <f aca="false">$B46+FG$3*100*$A46</f>
        <v>90.2875</v>
      </c>
      <c r="FH46" s="19" t="n">
        <f aca="false">$B46+FH$3*100*$A46</f>
        <v>90.825</v>
      </c>
      <c r="FI46" s="19" t="n">
        <f aca="false">$B46+FI$3*100*$A46</f>
        <v>91.3625</v>
      </c>
      <c r="FJ46" s="19" t="n">
        <f aca="false">$B46+FJ$3*100*$A46</f>
        <v>91.9</v>
      </c>
      <c r="FK46" s="19" t="n">
        <f aca="false">$B46+FK$3*100*$A46</f>
        <v>92.4375</v>
      </c>
      <c r="FL46" s="19" t="n">
        <f aca="false">$B46+FL$3*100*$A46</f>
        <v>92.975</v>
      </c>
      <c r="FM46" s="19" t="n">
        <f aca="false">$B46+FM$3*100*$A46</f>
        <v>93.5125</v>
      </c>
      <c r="FN46" s="19" t="n">
        <f aca="false">$B46+FN$3*100*$A46</f>
        <v>94.05</v>
      </c>
      <c r="FO46" s="19" t="n">
        <f aca="false">$B46+FO$3*100*$A46</f>
        <v>94.5875</v>
      </c>
      <c r="FP46" s="19" t="n">
        <f aca="false">$B46+FP$3*100*$A46</f>
        <v>95.125</v>
      </c>
      <c r="FQ46" s="19" t="n">
        <f aca="false">$B46+FQ$3*100*$A46</f>
        <v>95.6625</v>
      </c>
      <c r="FR46" s="19" t="n">
        <f aca="false">$B46+FR$3*100*$A46</f>
        <v>96.2</v>
      </c>
      <c r="FS46" s="19" t="n">
        <f aca="false">$B46+FS$3*100*$A46</f>
        <v>96.7375</v>
      </c>
      <c r="FT46" s="19" t="n">
        <f aca="false">$B46+FT$3*100*$A46</f>
        <v>97.275</v>
      </c>
      <c r="FU46" s="19" t="n">
        <f aca="false">$B46+FU$3*100*$A46</f>
        <v>97.8125</v>
      </c>
      <c r="FV46" s="19" t="n">
        <f aca="false">$B46+FV$3*100*$A46</f>
        <v>98.35</v>
      </c>
      <c r="FW46" s="19" t="n">
        <f aca="false">$B46+FW$3*100*$A46</f>
        <v>98.8875</v>
      </c>
      <c r="FX46" s="19" t="n">
        <f aca="false">$B46+FX$3*100*$A46</f>
        <v>99.425</v>
      </c>
      <c r="FY46" s="19" t="n">
        <f aca="false">$B46+FY$3*100*$A46</f>
        <v>99.9625</v>
      </c>
      <c r="FZ46" s="19" t="n">
        <f aca="false">$B46+FZ$3*100*$A46</f>
        <v>100.5</v>
      </c>
      <c r="GA46" s="19" t="n">
        <f aca="false">$B46+GA$3*100*$A46</f>
        <v>101.0375</v>
      </c>
      <c r="GB46" s="19" t="n">
        <f aca="false">$B46+GB$3*100*$A46</f>
        <v>101.575</v>
      </c>
      <c r="GC46" s="19" t="n">
        <f aca="false">$B46+GC$3*100*$A46</f>
        <v>102.1125</v>
      </c>
      <c r="GD46" s="19" t="n">
        <f aca="false">$B46+GD$3*100*$A46</f>
        <v>102.65</v>
      </c>
      <c r="GE46" s="19" t="n">
        <f aca="false">$B46+GE$3*100*$A46</f>
        <v>103.1875</v>
      </c>
      <c r="GF46" s="19" t="n">
        <f aca="false">$B46+GF$3*100*$A46</f>
        <v>103.725</v>
      </c>
      <c r="GG46" s="19" t="n">
        <f aca="false">$B46+GG$3*100*$A46</f>
        <v>104.2625</v>
      </c>
      <c r="GH46" s="19" t="n">
        <f aca="false">$B46+GH$3*100*$A46</f>
        <v>104.8</v>
      </c>
      <c r="GI46" s="19" t="n">
        <f aca="false">$B46+GI$3*100*$A46</f>
        <v>105.3375</v>
      </c>
      <c r="GJ46" s="19" t="n">
        <f aca="false">$B46+GJ$3*100*$A46</f>
        <v>105.875</v>
      </c>
      <c r="GK46" s="19" t="n">
        <f aca="false">$B46+GK$3*100*$A46</f>
        <v>106.4125</v>
      </c>
      <c r="GL46" s="19" t="n">
        <f aca="false">$B46+GL$3*100*$A46</f>
        <v>106.95</v>
      </c>
      <c r="GM46" s="19" t="n">
        <f aca="false">$B46+GM$3*100*$A46</f>
        <v>107.4875</v>
      </c>
      <c r="GN46" s="19" t="n">
        <f aca="false">$B46+GN$3*100*$A46</f>
        <v>108.025</v>
      </c>
      <c r="GO46" s="19" t="n">
        <f aca="false">$B46+GO$3*100*$A46</f>
        <v>108.5625</v>
      </c>
      <c r="GP46" s="19" t="n">
        <f aca="false">$B46+GP$3*100*$A46</f>
        <v>109.1</v>
      </c>
      <c r="GQ46" s="19" t="n">
        <f aca="false">$B46+GQ$3*100*$A46</f>
        <v>109.6375</v>
      </c>
      <c r="GR46" s="19" t="n">
        <f aca="false">$B46+GR$3*100*$A46</f>
        <v>110.175</v>
      </c>
      <c r="GS46" s="19" t="n">
        <f aca="false">$B46+GS$3*100*$A46</f>
        <v>110.7125</v>
      </c>
      <c r="GT46" s="19" t="n">
        <f aca="false">$B46+GT$3*100*$A46</f>
        <v>111.25</v>
      </c>
    </row>
    <row r="47" customFormat="false" ht="15" hidden="false" customHeight="false" outlineLevel="0" collapsed="false">
      <c r="A47" s="26" t="n">
        <f aca="false">Frontier!A45</f>
        <v>0.11</v>
      </c>
      <c r="B47" s="34" t="n">
        <f aca="false">Frontier!B45</f>
        <v>3.6</v>
      </c>
      <c r="C47" s="19" t="n">
        <f aca="false">$B47+C$3*100*$A47</f>
        <v>4.15</v>
      </c>
      <c r="D47" s="19" t="n">
        <f aca="false">$B47+D$3*100*$A47</f>
        <v>4.7</v>
      </c>
      <c r="E47" s="19" t="n">
        <f aca="false">$B47+E$3*100*$A47</f>
        <v>5.25</v>
      </c>
      <c r="F47" s="19" t="n">
        <f aca="false">$B47+F$3*100*$A47</f>
        <v>5.8</v>
      </c>
      <c r="G47" s="19" t="n">
        <f aca="false">$B47+G$3*100*$A47</f>
        <v>6.35</v>
      </c>
      <c r="H47" s="19" t="n">
        <f aca="false">$B47+H$3*100*$A47</f>
        <v>6.9</v>
      </c>
      <c r="I47" s="19" t="n">
        <f aca="false">$B47+I$3*100*$A47</f>
        <v>7.45</v>
      </c>
      <c r="J47" s="19" t="n">
        <f aca="false">$B47+J$3*100*$A47</f>
        <v>8</v>
      </c>
      <c r="K47" s="19" t="n">
        <f aca="false">$B47+K$3*100*$A47</f>
        <v>8.55</v>
      </c>
      <c r="L47" s="19" t="n">
        <f aca="false">$B47+L$3*100*$A47</f>
        <v>9.1</v>
      </c>
      <c r="M47" s="19" t="n">
        <f aca="false">$B47+M$3*100*$A47</f>
        <v>9.65</v>
      </c>
      <c r="N47" s="19" t="n">
        <f aca="false">$B47+N$3*100*$A47</f>
        <v>10.2</v>
      </c>
      <c r="O47" s="19" t="n">
        <f aca="false">$B47+O$3*100*$A47</f>
        <v>10.75</v>
      </c>
      <c r="P47" s="19" t="n">
        <f aca="false">$B47+P$3*100*$A47</f>
        <v>11.3</v>
      </c>
      <c r="Q47" s="19" t="n">
        <f aca="false">$B47+Q$3*100*$A47</f>
        <v>11.85</v>
      </c>
      <c r="R47" s="19" t="n">
        <f aca="false">$B47+R$3*100*$A47</f>
        <v>12.4</v>
      </c>
      <c r="S47" s="19" t="n">
        <f aca="false">$B47+S$3*100*$A47</f>
        <v>12.95</v>
      </c>
      <c r="T47" s="19" t="n">
        <f aca="false">$B47+T$3*100*$A47</f>
        <v>13.5</v>
      </c>
      <c r="U47" s="19" t="n">
        <f aca="false">$B47+U$3*100*$A47</f>
        <v>14.05</v>
      </c>
      <c r="V47" s="19" t="n">
        <f aca="false">$B47+V$3*100*$A47</f>
        <v>14.6</v>
      </c>
      <c r="W47" s="19" t="n">
        <f aca="false">$B47+W$3*100*$A47</f>
        <v>15.15</v>
      </c>
      <c r="X47" s="19" t="n">
        <f aca="false">$B47+X$3*100*$A47</f>
        <v>15.7</v>
      </c>
      <c r="Y47" s="19" t="n">
        <f aca="false">$B47+Y$3*100*$A47</f>
        <v>16.25</v>
      </c>
      <c r="Z47" s="19" t="n">
        <f aca="false">$B47+Z$3*100*$A47</f>
        <v>16.8</v>
      </c>
      <c r="AA47" s="19" t="n">
        <f aca="false">$B47+AA$3*100*$A47</f>
        <v>17.35</v>
      </c>
      <c r="AB47" s="19" t="n">
        <f aca="false">$B47+AB$3*100*$A47</f>
        <v>17.9</v>
      </c>
      <c r="AC47" s="19" t="n">
        <f aca="false">$B47+AC$3*100*$A47</f>
        <v>18.45</v>
      </c>
      <c r="AD47" s="19" t="n">
        <f aca="false">$B47+AD$3*100*$A47</f>
        <v>19</v>
      </c>
      <c r="AE47" s="19" t="n">
        <f aca="false">$B47+AE$3*100*$A47</f>
        <v>19.55</v>
      </c>
      <c r="AF47" s="19" t="n">
        <f aca="false">$B47+AF$3*100*$A47</f>
        <v>20.1</v>
      </c>
      <c r="AG47" s="19" t="n">
        <f aca="false">$B47+AG$3*100*$A47</f>
        <v>20.65</v>
      </c>
      <c r="AH47" s="19" t="n">
        <f aca="false">$B47+AH$3*100*$A47</f>
        <v>21.2</v>
      </c>
      <c r="AI47" s="19" t="n">
        <f aca="false">$B47+AI$3*100*$A47</f>
        <v>21.75</v>
      </c>
      <c r="AJ47" s="19" t="n">
        <f aca="false">$B47+AJ$3*100*$A47</f>
        <v>22.3</v>
      </c>
      <c r="AK47" s="19" t="n">
        <f aca="false">$B47+AK$3*100*$A47</f>
        <v>22.85</v>
      </c>
      <c r="AL47" s="19" t="n">
        <f aca="false">$B47+AL$3*100*$A47</f>
        <v>23.4</v>
      </c>
      <c r="AM47" s="19" t="n">
        <f aca="false">$B47+AM$3*100*$A47</f>
        <v>23.95</v>
      </c>
      <c r="AN47" s="19" t="n">
        <f aca="false">$B47+AN$3*100*$A47</f>
        <v>24.5</v>
      </c>
      <c r="AO47" s="19" t="n">
        <f aca="false">$B47+AO$3*100*$A47</f>
        <v>25.05</v>
      </c>
      <c r="AP47" s="19" t="n">
        <f aca="false">$B47+AP$3*100*$A47</f>
        <v>25.6</v>
      </c>
      <c r="AQ47" s="19" t="n">
        <f aca="false">$B47+AQ$3*100*$A47</f>
        <v>26.15</v>
      </c>
      <c r="AR47" s="19" t="n">
        <f aca="false">$B47+AR$3*100*$A47</f>
        <v>26.7</v>
      </c>
      <c r="AS47" s="19" t="n">
        <f aca="false">$B47+AS$3*100*$A47</f>
        <v>27.25</v>
      </c>
      <c r="AT47" s="19" t="n">
        <f aca="false">$B47+AT$3*100*$A47</f>
        <v>27.8</v>
      </c>
      <c r="AU47" s="19" t="n">
        <f aca="false">$B47+AU$3*100*$A47</f>
        <v>28.35</v>
      </c>
      <c r="AV47" s="19" t="n">
        <f aca="false">$B47+AV$3*100*$A47</f>
        <v>28.9</v>
      </c>
      <c r="AW47" s="19" t="n">
        <f aca="false">$B47+AW$3*100*$A47</f>
        <v>29.45</v>
      </c>
      <c r="AX47" s="19" t="n">
        <f aca="false">$B47+AX$3*100*$A47</f>
        <v>30</v>
      </c>
      <c r="AY47" s="19" t="n">
        <f aca="false">$B47+AY$3*100*$A47</f>
        <v>30.55</v>
      </c>
      <c r="AZ47" s="19" t="n">
        <f aca="false">$B47+AZ$3*100*$A47</f>
        <v>31.1</v>
      </c>
      <c r="BA47" s="19" t="n">
        <f aca="false">$B47+BA$3*100*$A47</f>
        <v>31.65</v>
      </c>
      <c r="BB47" s="19" t="n">
        <f aca="false">$B47+BB$3*100*$A47</f>
        <v>32.2</v>
      </c>
      <c r="BC47" s="19" t="n">
        <f aca="false">$B47+BC$3*100*$A47</f>
        <v>32.75</v>
      </c>
      <c r="BD47" s="19" t="n">
        <f aca="false">$B47+BD$3*100*$A47</f>
        <v>33.3</v>
      </c>
      <c r="BE47" s="19" t="n">
        <f aca="false">$B47+BE$3*100*$A47</f>
        <v>33.85</v>
      </c>
      <c r="BF47" s="19" t="n">
        <f aca="false">$B47+BF$3*100*$A47</f>
        <v>34.4</v>
      </c>
      <c r="BG47" s="19" t="n">
        <f aca="false">$B47+BG$3*100*$A47</f>
        <v>34.95</v>
      </c>
      <c r="BH47" s="19" t="n">
        <f aca="false">$B47+BH$3*100*$A47</f>
        <v>35.5</v>
      </c>
      <c r="BI47" s="19" t="n">
        <f aca="false">$B47+BI$3*100*$A47</f>
        <v>36.05</v>
      </c>
      <c r="BJ47" s="19" t="n">
        <f aca="false">$B47+BJ$3*100*$A47</f>
        <v>36.6</v>
      </c>
      <c r="BK47" s="19" t="n">
        <f aca="false">$B47+BK$3*100*$A47</f>
        <v>37.15</v>
      </c>
      <c r="BL47" s="19" t="n">
        <f aca="false">$B47+BL$3*100*$A47</f>
        <v>37.7</v>
      </c>
      <c r="BM47" s="19" t="n">
        <f aca="false">$B47+BM$3*100*$A47</f>
        <v>38.25</v>
      </c>
      <c r="BN47" s="19" t="n">
        <f aca="false">$B47+BN$3*100*$A47</f>
        <v>38.8</v>
      </c>
      <c r="BO47" s="19" t="n">
        <f aca="false">$B47+BO$3*100*$A47</f>
        <v>39.35</v>
      </c>
      <c r="BP47" s="19" t="n">
        <f aca="false">$B47+BP$3*100*$A47</f>
        <v>39.9</v>
      </c>
      <c r="BQ47" s="19" t="n">
        <f aca="false">$B47+BQ$3*100*$A47</f>
        <v>40.45</v>
      </c>
      <c r="BR47" s="19" t="n">
        <f aca="false">$B47+BR$3*100*$A47</f>
        <v>41</v>
      </c>
      <c r="BS47" s="19" t="n">
        <f aca="false">$B47+BS$3*100*$A47</f>
        <v>41.55</v>
      </c>
      <c r="BT47" s="19" t="n">
        <f aca="false">$B47+BT$3*100*$A47</f>
        <v>42.1</v>
      </c>
      <c r="BU47" s="19" t="n">
        <f aca="false">$B47+BU$3*100*$A47</f>
        <v>42.65</v>
      </c>
      <c r="BV47" s="19" t="n">
        <f aca="false">$B47+BV$3*100*$A47</f>
        <v>43.2</v>
      </c>
      <c r="BW47" s="19" t="n">
        <f aca="false">$B47+BW$3*100*$A47</f>
        <v>43.75</v>
      </c>
      <c r="BX47" s="19" t="n">
        <f aca="false">$B47+BX$3*100*$A47</f>
        <v>44.3</v>
      </c>
      <c r="BY47" s="19" t="n">
        <f aca="false">$B47+BY$3*100*$A47</f>
        <v>44.85</v>
      </c>
      <c r="BZ47" s="19" t="n">
        <f aca="false">$B47+BZ$3*100*$A47</f>
        <v>45.4</v>
      </c>
      <c r="CA47" s="19" t="n">
        <f aca="false">$B47+CA$3*100*$A47</f>
        <v>45.95</v>
      </c>
      <c r="CB47" s="19" t="n">
        <f aca="false">$B47+CB$3*100*$A47</f>
        <v>46.5</v>
      </c>
      <c r="CC47" s="19" t="n">
        <f aca="false">$B47+CC$3*100*$A47</f>
        <v>47.05</v>
      </c>
      <c r="CD47" s="19" t="n">
        <f aca="false">$B47+CD$3*100*$A47</f>
        <v>47.6</v>
      </c>
      <c r="CE47" s="19" t="n">
        <f aca="false">$B47+CE$3*100*$A47</f>
        <v>48.15</v>
      </c>
      <c r="CF47" s="19" t="n">
        <f aca="false">$B47+CF$3*100*$A47</f>
        <v>48.7</v>
      </c>
      <c r="CG47" s="19" t="n">
        <f aca="false">$B47+CG$3*100*$A47</f>
        <v>49.25</v>
      </c>
      <c r="CH47" s="19" t="n">
        <f aca="false">$B47+CH$3*100*$A47</f>
        <v>49.8</v>
      </c>
      <c r="CI47" s="19" t="n">
        <f aca="false">$B47+CI$3*100*$A47</f>
        <v>50.35</v>
      </c>
      <c r="CJ47" s="19" t="n">
        <f aca="false">$B47+CJ$3*100*$A47</f>
        <v>50.9</v>
      </c>
      <c r="CK47" s="19" t="n">
        <f aca="false">$B47+CK$3*100*$A47</f>
        <v>51.45</v>
      </c>
      <c r="CL47" s="19" t="n">
        <f aca="false">$B47+CL$3*100*$A47</f>
        <v>52</v>
      </c>
      <c r="CM47" s="19" t="n">
        <f aca="false">$B47+CM$3*100*$A47</f>
        <v>52.55</v>
      </c>
      <c r="CN47" s="19" t="n">
        <f aca="false">$B47+CN$3*100*$A47</f>
        <v>53.1</v>
      </c>
      <c r="CO47" s="19" t="n">
        <f aca="false">$B47+CO$3*100*$A47</f>
        <v>53.65</v>
      </c>
      <c r="CP47" s="19" t="n">
        <f aca="false">$B47+CP$3*100*$A47</f>
        <v>54.2</v>
      </c>
      <c r="CQ47" s="19" t="n">
        <f aca="false">$B47+CQ$3*100*$A47</f>
        <v>54.75</v>
      </c>
      <c r="CR47" s="19" t="n">
        <f aca="false">$B47+CR$3*100*$A47</f>
        <v>55.3</v>
      </c>
      <c r="CS47" s="19" t="n">
        <f aca="false">$B47+CS$3*100*$A47</f>
        <v>55.85</v>
      </c>
      <c r="CT47" s="19" t="n">
        <f aca="false">$B47+CT$3*100*$A47</f>
        <v>56.4</v>
      </c>
      <c r="CU47" s="19" t="n">
        <f aca="false">$B47+CU$3*100*$A47</f>
        <v>56.95</v>
      </c>
      <c r="CV47" s="19" t="n">
        <f aca="false">$B47+CV$3*100*$A47</f>
        <v>57.5</v>
      </c>
      <c r="CW47" s="19" t="n">
        <f aca="false">$B47+CW$3*100*$A47</f>
        <v>58.05</v>
      </c>
      <c r="CX47" s="19" t="n">
        <f aca="false">$B47+CX$3*100*$A47</f>
        <v>58.6</v>
      </c>
      <c r="CY47" s="19" t="n">
        <f aca="false">$B47+CY$3*100*$A47</f>
        <v>59.15</v>
      </c>
      <c r="CZ47" s="19" t="n">
        <f aca="false">$B47+CZ$3*100*$A47</f>
        <v>59.7</v>
      </c>
      <c r="DA47" s="19" t="n">
        <f aca="false">$B47+DA$3*100*$A47</f>
        <v>60.25</v>
      </c>
      <c r="DB47" s="19" t="n">
        <f aca="false">$B47+DB$3*100*$A47</f>
        <v>60.8</v>
      </c>
      <c r="DC47" s="19" t="n">
        <f aca="false">$B47+DC$3*100*$A47</f>
        <v>61.35</v>
      </c>
      <c r="DD47" s="19" t="n">
        <f aca="false">$B47+DD$3*100*$A47</f>
        <v>61.9</v>
      </c>
      <c r="DE47" s="19" t="n">
        <f aca="false">$B47+DE$3*100*$A47</f>
        <v>62.45</v>
      </c>
      <c r="DF47" s="19" t="n">
        <f aca="false">$B47+DF$3*100*$A47</f>
        <v>63</v>
      </c>
      <c r="DG47" s="19" t="n">
        <f aca="false">$B47+DG$3*100*$A47</f>
        <v>63.55</v>
      </c>
      <c r="DH47" s="19" t="n">
        <f aca="false">$B47+DH$3*100*$A47</f>
        <v>64.1</v>
      </c>
      <c r="DI47" s="19" t="n">
        <f aca="false">$B47+DI$3*100*$A47</f>
        <v>64.65</v>
      </c>
      <c r="DJ47" s="19" t="n">
        <f aca="false">$B47+DJ$3*100*$A47</f>
        <v>65.2</v>
      </c>
      <c r="DK47" s="19" t="n">
        <f aca="false">$B47+DK$3*100*$A47</f>
        <v>65.75</v>
      </c>
      <c r="DL47" s="19" t="n">
        <f aca="false">$B47+DL$3*100*$A47</f>
        <v>66.3</v>
      </c>
      <c r="DM47" s="19" t="n">
        <f aca="false">$B47+DM$3*100*$A47</f>
        <v>66.85</v>
      </c>
      <c r="DN47" s="19" t="n">
        <f aca="false">$B47+DN$3*100*$A47</f>
        <v>67.4</v>
      </c>
      <c r="DO47" s="19" t="n">
        <f aca="false">$B47+DO$3*100*$A47</f>
        <v>67.95</v>
      </c>
      <c r="DP47" s="19" t="n">
        <f aca="false">$B47+DP$3*100*$A47</f>
        <v>68.5</v>
      </c>
      <c r="DQ47" s="19" t="n">
        <f aca="false">$B47+DQ$3*100*$A47</f>
        <v>69.05</v>
      </c>
      <c r="DR47" s="19" t="n">
        <f aca="false">$B47+DR$3*100*$A47</f>
        <v>69.6</v>
      </c>
      <c r="DS47" s="19" t="n">
        <f aca="false">$B47+DS$3*100*$A47</f>
        <v>70.15</v>
      </c>
      <c r="DT47" s="19" t="n">
        <f aca="false">$B47+DT$3*100*$A47</f>
        <v>70.7</v>
      </c>
      <c r="DU47" s="19" t="n">
        <f aca="false">$B47+DU$3*100*$A47</f>
        <v>71.25</v>
      </c>
      <c r="DV47" s="19" t="n">
        <f aca="false">$B47+DV$3*100*$A47</f>
        <v>71.8</v>
      </c>
      <c r="DW47" s="19" t="n">
        <f aca="false">$B47+DW$3*100*$A47</f>
        <v>72.35</v>
      </c>
      <c r="DX47" s="19" t="n">
        <f aca="false">$B47+DX$3*100*$A47</f>
        <v>72.9</v>
      </c>
      <c r="DY47" s="19" t="n">
        <f aca="false">$B47+DY$3*100*$A47</f>
        <v>73.45</v>
      </c>
      <c r="DZ47" s="19" t="n">
        <f aca="false">$B47+DZ$3*100*$A47</f>
        <v>74</v>
      </c>
      <c r="EA47" s="19" t="n">
        <f aca="false">$B47+EA$3*100*$A47</f>
        <v>74.55</v>
      </c>
      <c r="EB47" s="19" t="n">
        <f aca="false">$B47+EB$3*100*$A47</f>
        <v>75.1</v>
      </c>
      <c r="EC47" s="19" t="n">
        <f aca="false">$B47+EC$3*100*$A47</f>
        <v>75.65</v>
      </c>
      <c r="ED47" s="19" t="n">
        <f aca="false">$B47+ED$3*100*$A47</f>
        <v>76.2</v>
      </c>
      <c r="EE47" s="19" t="n">
        <f aca="false">$B47+EE$3*100*$A47</f>
        <v>76.75</v>
      </c>
      <c r="EF47" s="19" t="n">
        <f aca="false">$B47+EF$3*100*$A47</f>
        <v>77.3</v>
      </c>
      <c r="EG47" s="19" t="n">
        <f aca="false">$B47+EG$3*100*$A47</f>
        <v>77.85</v>
      </c>
      <c r="EH47" s="19" t="n">
        <f aca="false">$B47+EH$3*100*$A47</f>
        <v>78.4</v>
      </c>
      <c r="EI47" s="19" t="n">
        <f aca="false">$B47+EI$3*100*$A47</f>
        <v>78.95</v>
      </c>
      <c r="EJ47" s="19" t="n">
        <f aca="false">$B47+EJ$3*100*$A47</f>
        <v>79.5</v>
      </c>
      <c r="EK47" s="19" t="n">
        <f aca="false">$B47+EK$3*100*$A47</f>
        <v>80.05</v>
      </c>
      <c r="EL47" s="19" t="n">
        <f aca="false">$B47+EL$3*100*$A47</f>
        <v>80.6</v>
      </c>
      <c r="EM47" s="19" t="n">
        <f aca="false">$B47+EM$3*100*$A47</f>
        <v>81.15</v>
      </c>
      <c r="EN47" s="19" t="n">
        <f aca="false">$B47+EN$3*100*$A47</f>
        <v>81.7</v>
      </c>
      <c r="EO47" s="19" t="n">
        <f aca="false">$B47+EO$3*100*$A47</f>
        <v>82.25</v>
      </c>
      <c r="EP47" s="19" t="n">
        <f aca="false">$B47+EP$3*100*$A47</f>
        <v>82.8</v>
      </c>
      <c r="EQ47" s="19" t="n">
        <f aca="false">$B47+EQ$3*100*$A47</f>
        <v>83.35</v>
      </c>
      <c r="ER47" s="19" t="n">
        <f aca="false">$B47+ER$3*100*$A47</f>
        <v>83.9</v>
      </c>
      <c r="ES47" s="19" t="n">
        <f aca="false">$B47+ES$3*100*$A47</f>
        <v>84.45</v>
      </c>
      <c r="ET47" s="19" t="n">
        <f aca="false">$B47+ET$3*100*$A47</f>
        <v>85</v>
      </c>
      <c r="EU47" s="19" t="n">
        <f aca="false">$B47+EU$3*100*$A47</f>
        <v>85.55</v>
      </c>
      <c r="EV47" s="19" t="n">
        <f aca="false">$B47+EV$3*100*$A47</f>
        <v>86.1</v>
      </c>
      <c r="EW47" s="19" t="n">
        <f aca="false">$B47+EW$3*100*$A47</f>
        <v>86.65</v>
      </c>
      <c r="EX47" s="19" t="n">
        <f aca="false">$B47+EX$3*100*$A47</f>
        <v>87.2</v>
      </c>
      <c r="EY47" s="19" t="n">
        <f aca="false">$B47+EY$3*100*$A47</f>
        <v>87.75</v>
      </c>
      <c r="EZ47" s="19" t="n">
        <f aca="false">$B47+EZ$3*100*$A47</f>
        <v>88.3</v>
      </c>
      <c r="FA47" s="19" t="n">
        <f aca="false">$B47+FA$3*100*$A47</f>
        <v>88.85</v>
      </c>
      <c r="FB47" s="19" t="n">
        <f aca="false">$B47+FB$3*100*$A47</f>
        <v>89.4</v>
      </c>
      <c r="FC47" s="19" t="n">
        <f aca="false">$B47+FC$3*100*$A47</f>
        <v>89.95</v>
      </c>
      <c r="FD47" s="19" t="n">
        <f aca="false">$B47+FD$3*100*$A47</f>
        <v>90.5</v>
      </c>
      <c r="FE47" s="19" t="n">
        <f aca="false">$B47+FE$3*100*$A47</f>
        <v>91.05</v>
      </c>
      <c r="FF47" s="19" t="n">
        <f aca="false">$B47+FF$3*100*$A47</f>
        <v>91.6</v>
      </c>
      <c r="FG47" s="19" t="n">
        <f aca="false">$B47+FG$3*100*$A47</f>
        <v>92.15</v>
      </c>
      <c r="FH47" s="19" t="n">
        <f aca="false">$B47+FH$3*100*$A47</f>
        <v>92.7</v>
      </c>
      <c r="FI47" s="19" t="n">
        <f aca="false">$B47+FI$3*100*$A47</f>
        <v>93.25</v>
      </c>
      <c r="FJ47" s="19" t="n">
        <f aca="false">$B47+FJ$3*100*$A47</f>
        <v>93.8</v>
      </c>
      <c r="FK47" s="19" t="n">
        <f aca="false">$B47+FK$3*100*$A47</f>
        <v>94.35</v>
      </c>
      <c r="FL47" s="19" t="n">
        <f aca="false">$B47+FL$3*100*$A47</f>
        <v>94.9</v>
      </c>
      <c r="FM47" s="19" t="n">
        <f aca="false">$B47+FM$3*100*$A47</f>
        <v>95.45</v>
      </c>
      <c r="FN47" s="19" t="n">
        <f aca="false">$B47+FN$3*100*$A47</f>
        <v>96</v>
      </c>
      <c r="FO47" s="19" t="n">
        <f aca="false">$B47+FO$3*100*$A47</f>
        <v>96.55</v>
      </c>
      <c r="FP47" s="19" t="n">
        <f aca="false">$B47+FP$3*100*$A47</f>
        <v>97.1</v>
      </c>
      <c r="FQ47" s="19" t="n">
        <f aca="false">$B47+FQ$3*100*$A47</f>
        <v>97.65</v>
      </c>
      <c r="FR47" s="19" t="n">
        <f aca="false">$B47+FR$3*100*$A47</f>
        <v>98.2</v>
      </c>
      <c r="FS47" s="19" t="n">
        <f aca="false">$B47+FS$3*100*$A47</f>
        <v>98.75</v>
      </c>
      <c r="FT47" s="19" t="n">
        <f aca="false">$B47+FT$3*100*$A47</f>
        <v>99.3</v>
      </c>
      <c r="FU47" s="19" t="n">
        <f aca="false">$B47+FU$3*100*$A47</f>
        <v>99.85</v>
      </c>
      <c r="FV47" s="19" t="n">
        <f aca="false">$B47+FV$3*100*$A47</f>
        <v>100.4</v>
      </c>
      <c r="FW47" s="19" t="n">
        <f aca="false">$B47+FW$3*100*$A47</f>
        <v>100.95</v>
      </c>
      <c r="FX47" s="19" t="n">
        <f aca="false">$B47+FX$3*100*$A47</f>
        <v>101.5</v>
      </c>
      <c r="FY47" s="19" t="n">
        <f aca="false">$B47+FY$3*100*$A47</f>
        <v>102.05</v>
      </c>
      <c r="FZ47" s="19" t="n">
        <f aca="false">$B47+FZ$3*100*$A47</f>
        <v>102.6</v>
      </c>
      <c r="GA47" s="19" t="n">
        <f aca="false">$B47+GA$3*100*$A47</f>
        <v>103.15</v>
      </c>
      <c r="GB47" s="19" t="n">
        <f aca="false">$B47+GB$3*100*$A47</f>
        <v>103.7</v>
      </c>
      <c r="GC47" s="19" t="n">
        <f aca="false">$B47+GC$3*100*$A47</f>
        <v>104.25</v>
      </c>
      <c r="GD47" s="19" t="n">
        <f aca="false">$B47+GD$3*100*$A47</f>
        <v>104.8</v>
      </c>
      <c r="GE47" s="19" t="n">
        <f aca="false">$B47+GE$3*100*$A47</f>
        <v>105.35</v>
      </c>
      <c r="GF47" s="19" t="n">
        <f aca="false">$B47+GF$3*100*$A47</f>
        <v>105.9</v>
      </c>
      <c r="GG47" s="19" t="n">
        <f aca="false">$B47+GG$3*100*$A47</f>
        <v>106.45</v>
      </c>
      <c r="GH47" s="19" t="n">
        <f aca="false">$B47+GH$3*100*$A47</f>
        <v>107</v>
      </c>
      <c r="GI47" s="19" t="n">
        <f aca="false">$B47+GI$3*100*$A47</f>
        <v>107.55</v>
      </c>
      <c r="GJ47" s="19" t="n">
        <f aca="false">$B47+GJ$3*100*$A47</f>
        <v>108.1</v>
      </c>
      <c r="GK47" s="19" t="n">
        <f aca="false">$B47+GK$3*100*$A47</f>
        <v>108.65</v>
      </c>
      <c r="GL47" s="19" t="n">
        <f aca="false">$B47+GL$3*100*$A47</f>
        <v>109.2</v>
      </c>
      <c r="GM47" s="19" t="n">
        <f aca="false">$B47+GM$3*100*$A47</f>
        <v>109.75</v>
      </c>
      <c r="GN47" s="19" t="n">
        <f aca="false">$B47+GN$3*100*$A47</f>
        <v>110.3</v>
      </c>
      <c r="GO47" s="19" t="n">
        <f aca="false">$B47+GO$3*100*$A47</f>
        <v>110.85</v>
      </c>
      <c r="GP47" s="19" t="n">
        <f aca="false">$B47+GP$3*100*$A47</f>
        <v>111.4</v>
      </c>
      <c r="GQ47" s="19" t="n">
        <f aca="false">$B47+GQ$3*100*$A47</f>
        <v>111.95</v>
      </c>
      <c r="GR47" s="19" t="n">
        <f aca="false">$B47+GR$3*100*$A47</f>
        <v>112.5</v>
      </c>
      <c r="GS47" s="19" t="n">
        <f aca="false">$B47+GS$3*100*$A47</f>
        <v>113.05</v>
      </c>
      <c r="GT47" s="19" t="n">
        <f aca="false">$B47+GT$3*100*$A47</f>
        <v>113.6</v>
      </c>
    </row>
    <row r="48" customFormat="false" ht="15" hidden="false" customHeight="false" outlineLevel="0" collapsed="false">
      <c r="A48" s="26" t="n">
        <f aca="false">Frontier!A46</f>
        <v>0.1125</v>
      </c>
      <c r="B48" s="34" t="n">
        <f aca="false">Frontier!B46</f>
        <v>3.45</v>
      </c>
      <c r="C48" s="19" t="n">
        <f aca="false">$B48+C$3*100*$A48</f>
        <v>4.0125</v>
      </c>
      <c r="D48" s="19" t="n">
        <f aca="false">$B48+D$3*100*$A48</f>
        <v>4.575</v>
      </c>
      <c r="E48" s="19" t="n">
        <f aca="false">$B48+E$3*100*$A48</f>
        <v>5.1375</v>
      </c>
      <c r="F48" s="19" t="n">
        <f aca="false">$B48+F$3*100*$A48</f>
        <v>5.7</v>
      </c>
      <c r="G48" s="19" t="n">
        <f aca="false">$B48+G$3*100*$A48</f>
        <v>6.2625</v>
      </c>
      <c r="H48" s="19" t="n">
        <f aca="false">$B48+H$3*100*$A48</f>
        <v>6.825</v>
      </c>
      <c r="I48" s="19" t="n">
        <f aca="false">$B48+I$3*100*$A48</f>
        <v>7.3875</v>
      </c>
      <c r="J48" s="19" t="n">
        <f aca="false">$B48+J$3*100*$A48</f>
        <v>7.95</v>
      </c>
      <c r="K48" s="19" t="n">
        <f aca="false">$B48+K$3*100*$A48</f>
        <v>8.5125</v>
      </c>
      <c r="L48" s="19" t="n">
        <f aca="false">$B48+L$3*100*$A48</f>
        <v>9.075</v>
      </c>
      <c r="M48" s="19" t="n">
        <f aca="false">$B48+M$3*100*$A48</f>
        <v>9.6375</v>
      </c>
      <c r="N48" s="19" t="n">
        <f aca="false">$B48+N$3*100*$A48</f>
        <v>10.2</v>
      </c>
      <c r="O48" s="19" t="n">
        <f aca="false">$B48+O$3*100*$A48</f>
        <v>10.7625</v>
      </c>
      <c r="P48" s="19" t="n">
        <f aca="false">$B48+P$3*100*$A48</f>
        <v>11.325</v>
      </c>
      <c r="Q48" s="19" t="n">
        <f aca="false">$B48+Q$3*100*$A48</f>
        <v>11.8875</v>
      </c>
      <c r="R48" s="19" t="n">
        <f aca="false">$B48+R$3*100*$A48</f>
        <v>12.45</v>
      </c>
      <c r="S48" s="19" t="n">
        <f aca="false">$B48+S$3*100*$A48</f>
        <v>13.0125</v>
      </c>
      <c r="T48" s="19" t="n">
        <f aca="false">$B48+T$3*100*$A48</f>
        <v>13.575</v>
      </c>
      <c r="U48" s="19" t="n">
        <f aca="false">$B48+U$3*100*$A48</f>
        <v>14.1375</v>
      </c>
      <c r="V48" s="19" t="n">
        <f aca="false">$B48+V$3*100*$A48</f>
        <v>14.7</v>
      </c>
      <c r="W48" s="19" t="n">
        <f aca="false">$B48+W$3*100*$A48</f>
        <v>15.2625</v>
      </c>
      <c r="X48" s="19" t="n">
        <f aca="false">$B48+X$3*100*$A48</f>
        <v>15.825</v>
      </c>
      <c r="Y48" s="19" t="n">
        <f aca="false">$B48+Y$3*100*$A48</f>
        <v>16.3875</v>
      </c>
      <c r="Z48" s="19" t="n">
        <f aca="false">$B48+Z$3*100*$A48</f>
        <v>16.95</v>
      </c>
      <c r="AA48" s="19" t="n">
        <f aca="false">$B48+AA$3*100*$A48</f>
        <v>17.5125</v>
      </c>
      <c r="AB48" s="19" t="n">
        <f aca="false">$B48+AB$3*100*$A48</f>
        <v>18.075</v>
      </c>
      <c r="AC48" s="19" t="n">
        <f aca="false">$B48+AC$3*100*$A48</f>
        <v>18.6375</v>
      </c>
      <c r="AD48" s="19" t="n">
        <f aca="false">$B48+AD$3*100*$A48</f>
        <v>19.2</v>
      </c>
      <c r="AE48" s="19" t="n">
        <f aca="false">$B48+AE$3*100*$A48</f>
        <v>19.7625</v>
      </c>
      <c r="AF48" s="19" t="n">
        <f aca="false">$B48+AF$3*100*$A48</f>
        <v>20.325</v>
      </c>
      <c r="AG48" s="19" t="n">
        <f aca="false">$B48+AG$3*100*$A48</f>
        <v>20.8875</v>
      </c>
      <c r="AH48" s="19" t="n">
        <f aca="false">$B48+AH$3*100*$A48</f>
        <v>21.45</v>
      </c>
      <c r="AI48" s="19" t="n">
        <f aca="false">$B48+AI$3*100*$A48</f>
        <v>22.0125</v>
      </c>
      <c r="AJ48" s="19" t="n">
        <f aca="false">$B48+AJ$3*100*$A48</f>
        <v>22.575</v>
      </c>
      <c r="AK48" s="19" t="n">
        <f aca="false">$B48+AK$3*100*$A48</f>
        <v>23.1375</v>
      </c>
      <c r="AL48" s="19" t="n">
        <f aca="false">$B48+AL$3*100*$A48</f>
        <v>23.7</v>
      </c>
      <c r="AM48" s="19" t="n">
        <f aca="false">$B48+AM$3*100*$A48</f>
        <v>24.2625</v>
      </c>
      <c r="AN48" s="19" t="n">
        <f aca="false">$B48+AN$3*100*$A48</f>
        <v>24.825</v>
      </c>
      <c r="AO48" s="19" t="n">
        <f aca="false">$B48+AO$3*100*$A48</f>
        <v>25.3875</v>
      </c>
      <c r="AP48" s="19" t="n">
        <f aca="false">$B48+AP$3*100*$A48</f>
        <v>25.95</v>
      </c>
      <c r="AQ48" s="19" t="n">
        <f aca="false">$B48+AQ$3*100*$A48</f>
        <v>26.5125</v>
      </c>
      <c r="AR48" s="19" t="n">
        <f aca="false">$B48+AR$3*100*$A48</f>
        <v>27.075</v>
      </c>
      <c r="AS48" s="19" t="n">
        <f aca="false">$B48+AS$3*100*$A48</f>
        <v>27.6375</v>
      </c>
      <c r="AT48" s="19" t="n">
        <f aca="false">$B48+AT$3*100*$A48</f>
        <v>28.2</v>
      </c>
      <c r="AU48" s="19" t="n">
        <f aca="false">$B48+AU$3*100*$A48</f>
        <v>28.7625</v>
      </c>
      <c r="AV48" s="19" t="n">
        <f aca="false">$B48+AV$3*100*$A48</f>
        <v>29.325</v>
      </c>
      <c r="AW48" s="19" t="n">
        <f aca="false">$B48+AW$3*100*$A48</f>
        <v>29.8875</v>
      </c>
      <c r="AX48" s="19" t="n">
        <f aca="false">$B48+AX$3*100*$A48</f>
        <v>30.45</v>
      </c>
      <c r="AY48" s="19" t="n">
        <f aca="false">$B48+AY$3*100*$A48</f>
        <v>31.0125</v>
      </c>
      <c r="AZ48" s="19" t="n">
        <f aca="false">$B48+AZ$3*100*$A48</f>
        <v>31.575</v>
      </c>
      <c r="BA48" s="19" t="n">
        <f aca="false">$B48+BA$3*100*$A48</f>
        <v>32.1375</v>
      </c>
      <c r="BB48" s="19" t="n">
        <f aca="false">$B48+BB$3*100*$A48</f>
        <v>32.7</v>
      </c>
      <c r="BC48" s="19" t="n">
        <f aca="false">$B48+BC$3*100*$A48</f>
        <v>33.2625</v>
      </c>
      <c r="BD48" s="19" t="n">
        <f aca="false">$B48+BD$3*100*$A48</f>
        <v>33.825</v>
      </c>
      <c r="BE48" s="19" t="n">
        <f aca="false">$B48+BE$3*100*$A48</f>
        <v>34.3875</v>
      </c>
      <c r="BF48" s="19" t="n">
        <f aca="false">$B48+BF$3*100*$A48</f>
        <v>34.95</v>
      </c>
      <c r="BG48" s="19" t="n">
        <f aca="false">$B48+BG$3*100*$A48</f>
        <v>35.5125</v>
      </c>
      <c r="BH48" s="19" t="n">
        <f aca="false">$B48+BH$3*100*$A48</f>
        <v>36.075</v>
      </c>
      <c r="BI48" s="19" t="n">
        <f aca="false">$B48+BI$3*100*$A48</f>
        <v>36.6375</v>
      </c>
      <c r="BJ48" s="19" t="n">
        <f aca="false">$B48+BJ$3*100*$A48</f>
        <v>37.2</v>
      </c>
      <c r="BK48" s="19" t="n">
        <f aca="false">$B48+BK$3*100*$A48</f>
        <v>37.7625</v>
      </c>
      <c r="BL48" s="19" t="n">
        <f aca="false">$B48+BL$3*100*$A48</f>
        <v>38.325</v>
      </c>
      <c r="BM48" s="19" t="n">
        <f aca="false">$B48+BM$3*100*$A48</f>
        <v>38.8875</v>
      </c>
      <c r="BN48" s="19" t="n">
        <f aca="false">$B48+BN$3*100*$A48</f>
        <v>39.45</v>
      </c>
      <c r="BO48" s="19" t="n">
        <f aca="false">$B48+BO$3*100*$A48</f>
        <v>40.0125</v>
      </c>
      <c r="BP48" s="19" t="n">
        <f aca="false">$B48+BP$3*100*$A48</f>
        <v>40.575</v>
      </c>
      <c r="BQ48" s="19" t="n">
        <f aca="false">$B48+BQ$3*100*$A48</f>
        <v>41.1375</v>
      </c>
      <c r="BR48" s="19" t="n">
        <f aca="false">$B48+BR$3*100*$A48</f>
        <v>41.7</v>
      </c>
      <c r="BS48" s="19" t="n">
        <f aca="false">$B48+BS$3*100*$A48</f>
        <v>42.2625</v>
      </c>
      <c r="BT48" s="19" t="n">
        <f aca="false">$B48+BT$3*100*$A48</f>
        <v>42.825</v>
      </c>
      <c r="BU48" s="19" t="n">
        <f aca="false">$B48+BU$3*100*$A48</f>
        <v>43.3875</v>
      </c>
      <c r="BV48" s="19" t="n">
        <f aca="false">$B48+BV$3*100*$A48</f>
        <v>43.95</v>
      </c>
      <c r="BW48" s="19" t="n">
        <f aca="false">$B48+BW$3*100*$A48</f>
        <v>44.5125</v>
      </c>
      <c r="BX48" s="19" t="n">
        <f aca="false">$B48+BX$3*100*$A48</f>
        <v>45.075</v>
      </c>
      <c r="BY48" s="19" t="n">
        <f aca="false">$B48+BY$3*100*$A48</f>
        <v>45.6375</v>
      </c>
      <c r="BZ48" s="19" t="n">
        <f aca="false">$B48+BZ$3*100*$A48</f>
        <v>46.2</v>
      </c>
      <c r="CA48" s="19" t="n">
        <f aca="false">$B48+CA$3*100*$A48</f>
        <v>46.7625</v>
      </c>
      <c r="CB48" s="19" t="n">
        <f aca="false">$B48+CB$3*100*$A48</f>
        <v>47.325</v>
      </c>
      <c r="CC48" s="19" t="n">
        <f aca="false">$B48+CC$3*100*$A48</f>
        <v>47.8875</v>
      </c>
      <c r="CD48" s="19" t="n">
        <f aca="false">$B48+CD$3*100*$A48</f>
        <v>48.45</v>
      </c>
      <c r="CE48" s="19" t="n">
        <f aca="false">$B48+CE$3*100*$A48</f>
        <v>49.0125</v>
      </c>
      <c r="CF48" s="19" t="n">
        <f aca="false">$B48+CF$3*100*$A48</f>
        <v>49.575</v>
      </c>
      <c r="CG48" s="19" t="n">
        <f aca="false">$B48+CG$3*100*$A48</f>
        <v>50.1375</v>
      </c>
      <c r="CH48" s="19" t="n">
        <f aca="false">$B48+CH$3*100*$A48</f>
        <v>50.7</v>
      </c>
      <c r="CI48" s="19" t="n">
        <f aca="false">$B48+CI$3*100*$A48</f>
        <v>51.2625</v>
      </c>
      <c r="CJ48" s="19" t="n">
        <f aca="false">$B48+CJ$3*100*$A48</f>
        <v>51.825</v>
      </c>
      <c r="CK48" s="19" t="n">
        <f aca="false">$B48+CK$3*100*$A48</f>
        <v>52.3875</v>
      </c>
      <c r="CL48" s="19" t="n">
        <f aca="false">$B48+CL$3*100*$A48</f>
        <v>52.95</v>
      </c>
      <c r="CM48" s="19" t="n">
        <f aca="false">$B48+CM$3*100*$A48</f>
        <v>53.5125</v>
      </c>
      <c r="CN48" s="19" t="n">
        <f aca="false">$B48+CN$3*100*$A48</f>
        <v>54.075</v>
      </c>
      <c r="CO48" s="19" t="n">
        <f aca="false">$B48+CO$3*100*$A48</f>
        <v>54.6375</v>
      </c>
      <c r="CP48" s="19" t="n">
        <f aca="false">$B48+CP$3*100*$A48</f>
        <v>55.2</v>
      </c>
      <c r="CQ48" s="19" t="n">
        <f aca="false">$B48+CQ$3*100*$A48</f>
        <v>55.7625</v>
      </c>
      <c r="CR48" s="19" t="n">
        <f aca="false">$B48+CR$3*100*$A48</f>
        <v>56.325</v>
      </c>
      <c r="CS48" s="19" t="n">
        <f aca="false">$B48+CS$3*100*$A48</f>
        <v>56.8875</v>
      </c>
      <c r="CT48" s="19" t="n">
        <f aca="false">$B48+CT$3*100*$A48</f>
        <v>57.45</v>
      </c>
      <c r="CU48" s="19" t="n">
        <f aca="false">$B48+CU$3*100*$A48</f>
        <v>58.0125</v>
      </c>
      <c r="CV48" s="19" t="n">
        <f aca="false">$B48+CV$3*100*$A48</f>
        <v>58.575</v>
      </c>
      <c r="CW48" s="19" t="n">
        <f aca="false">$B48+CW$3*100*$A48</f>
        <v>59.1375</v>
      </c>
      <c r="CX48" s="19" t="n">
        <f aca="false">$B48+CX$3*100*$A48</f>
        <v>59.7</v>
      </c>
      <c r="CY48" s="19" t="n">
        <f aca="false">$B48+CY$3*100*$A48</f>
        <v>60.2625</v>
      </c>
      <c r="CZ48" s="19" t="n">
        <f aca="false">$B48+CZ$3*100*$A48</f>
        <v>60.825</v>
      </c>
      <c r="DA48" s="19" t="n">
        <f aca="false">$B48+DA$3*100*$A48</f>
        <v>61.3875</v>
      </c>
      <c r="DB48" s="19" t="n">
        <f aca="false">$B48+DB$3*100*$A48</f>
        <v>61.95</v>
      </c>
      <c r="DC48" s="19" t="n">
        <f aca="false">$B48+DC$3*100*$A48</f>
        <v>62.5125</v>
      </c>
      <c r="DD48" s="19" t="n">
        <f aca="false">$B48+DD$3*100*$A48</f>
        <v>63.075</v>
      </c>
      <c r="DE48" s="19" t="n">
        <f aca="false">$B48+DE$3*100*$A48</f>
        <v>63.6375</v>
      </c>
      <c r="DF48" s="19" t="n">
        <f aca="false">$B48+DF$3*100*$A48</f>
        <v>64.2</v>
      </c>
      <c r="DG48" s="19" t="n">
        <f aca="false">$B48+DG$3*100*$A48</f>
        <v>64.7625</v>
      </c>
      <c r="DH48" s="19" t="n">
        <f aca="false">$B48+DH$3*100*$A48</f>
        <v>65.325</v>
      </c>
      <c r="DI48" s="19" t="n">
        <f aca="false">$B48+DI$3*100*$A48</f>
        <v>65.8875</v>
      </c>
      <c r="DJ48" s="19" t="n">
        <f aca="false">$B48+DJ$3*100*$A48</f>
        <v>66.45</v>
      </c>
      <c r="DK48" s="19" t="n">
        <f aca="false">$B48+DK$3*100*$A48</f>
        <v>67.0125</v>
      </c>
      <c r="DL48" s="19" t="n">
        <f aca="false">$B48+DL$3*100*$A48</f>
        <v>67.575</v>
      </c>
      <c r="DM48" s="19" t="n">
        <f aca="false">$B48+DM$3*100*$A48</f>
        <v>68.1375</v>
      </c>
      <c r="DN48" s="19" t="n">
        <f aca="false">$B48+DN$3*100*$A48</f>
        <v>68.7</v>
      </c>
      <c r="DO48" s="19" t="n">
        <f aca="false">$B48+DO$3*100*$A48</f>
        <v>69.2625</v>
      </c>
      <c r="DP48" s="19" t="n">
        <f aca="false">$B48+DP$3*100*$A48</f>
        <v>69.825</v>
      </c>
      <c r="DQ48" s="19" t="n">
        <f aca="false">$B48+DQ$3*100*$A48</f>
        <v>70.3875</v>
      </c>
      <c r="DR48" s="19" t="n">
        <f aca="false">$B48+DR$3*100*$A48</f>
        <v>70.95</v>
      </c>
      <c r="DS48" s="19" t="n">
        <f aca="false">$B48+DS$3*100*$A48</f>
        <v>71.5125</v>
      </c>
      <c r="DT48" s="19" t="n">
        <f aca="false">$B48+DT$3*100*$A48</f>
        <v>72.075</v>
      </c>
      <c r="DU48" s="19" t="n">
        <f aca="false">$B48+DU$3*100*$A48</f>
        <v>72.6375</v>
      </c>
      <c r="DV48" s="19" t="n">
        <f aca="false">$B48+DV$3*100*$A48</f>
        <v>73.2</v>
      </c>
      <c r="DW48" s="19" t="n">
        <f aca="false">$B48+DW$3*100*$A48</f>
        <v>73.7625</v>
      </c>
      <c r="DX48" s="19" t="n">
        <f aca="false">$B48+DX$3*100*$A48</f>
        <v>74.325</v>
      </c>
      <c r="DY48" s="19" t="n">
        <f aca="false">$B48+DY$3*100*$A48</f>
        <v>74.8875</v>
      </c>
      <c r="DZ48" s="19" t="n">
        <f aca="false">$B48+DZ$3*100*$A48</f>
        <v>75.45</v>
      </c>
      <c r="EA48" s="19" t="n">
        <f aca="false">$B48+EA$3*100*$A48</f>
        <v>76.0125</v>
      </c>
      <c r="EB48" s="19" t="n">
        <f aca="false">$B48+EB$3*100*$A48</f>
        <v>76.575</v>
      </c>
      <c r="EC48" s="19" t="n">
        <f aca="false">$B48+EC$3*100*$A48</f>
        <v>77.1375</v>
      </c>
      <c r="ED48" s="19" t="n">
        <f aca="false">$B48+ED$3*100*$A48</f>
        <v>77.7</v>
      </c>
      <c r="EE48" s="19" t="n">
        <f aca="false">$B48+EE$3*100*$A48</f>
        <v>78.2625</v>
      </c>
      <c r="EF48" s="19" t="n">
        <f aca="false">$B48+EF$3*100*$A48</f>
        <v>78.825</v>
      </c>
      <c r="EG48" s="19" t="n">
        <f aca="false">$B48+EG$3*100*$A48</f>
        <v>79.3875</v>
      </c>
      <c r="EH48" s="19" t="n">
        <f aca="false">$B48+EH$3*100*$A48</f>
        <v>79.95</v>
      </c>
      <c r="EI48" s="19" t="n">
        <f aca="false">$B48+EI$3*100*$A48</f>
        <v>80.5125</v>
      </c>
      <c r="EJ48" s="19" t="n">
        <f aca="false">$B48+EJ$3*100*$A48</f>
        <v>81.075</v>
      </c>
      <c r="EK48" s="19" t="n">
        <f aca="false">$B48+EK$3*100*$A48</f>
        <v>81.6375</v>
      </c>
      <c r="EL48" s="19" t="n">
        <f aca="false">$B48+EL$3*100*$A48</f>
        <v>82.2</v>
      </c>
      <c r="EM48" s="19" t="n">
        <f aca="false">$B48+EM$3*100*$A48</f>
        <v>82.7625</v>
      </c>
      <c r="EN48" s="19" t="n">
        <f aca="false">$B48+EN$3*100*$A48</f>
        <v>83.325</v>
      </c>
      <c r="EO48" s="19" t="n">
        <f aca="false">$B48+EO$3*100*$A48</f>
        <v>83.8875</v>
      </c>
      <c r="EP48" s="19" t="n">
        <f aca="false">$B48+EP$3*100*$A48</f>
        <v>84.45</v>
      </c>
      <c r="EQ48" s="19" t="n">
        <f aca="false">$B48+EQ$3*100*$A48</f>
        <v>85.0125</v>
      </c>
      <c r="ER48" s="19" t="n">
        <f aca="false">$B48+ER$3*100*$A48</f>
        <v>85.575</v>
      </c>
      <c r="ES48" s="19" t="n">
        <f aca="false">$B48+ES$3*100*$A48</f>
        <v>86.1375</v>
      </c>
      <c r="ET48" s="19" t="n">
        <f aca="false">$B48+ET$3*100*$A48</f>
        <v>86.7</v>
      </c>
      <c r="EU48" s="19" t="n">
        <f aca="false">$B48+EU$3*100*$A48</f>
        <v>87.2625</v>
      </c>
      <c r="EV48" s="19" t="n">
        <f aca="false">$B48+EV$3*100*$A48</f>
        <v>87.825</v>
      </c>
      <c r="EW48" s="19" t="n">
        <f aca="false">$B48+EW$3*100*$A48</f>
        <v>88.3875</v>
      </c>
      <c r="EX48" s="19" t="n">
        <f aca="false">$B48+EX$3*100*$A48</f>
        <v>88.95</v>
      </c>
      <c r="EY48" s="19" t="n">
        <f aca="false">$B48+EY$3*100*$A48</f>
        <v>89.5125</v>
      </c>
      <c r="EZ48" s="19" t="n">
        <f aca="false">$B48+EZ$3*100*$A48</f>
        <v>90.075</v>
      </c>
      <c r="FA48" s="19" t="n">
        <f aca="false">$B48+FA$3*100*$A48</f>
        <v>90.6375</v>
      </c>
      <c r="FB48" s="19" t="n">
        <f aca="false">$B48+FB$3*100*$A48</f>
        <v>91.2</v>
      </c>
      <c r="FC48" s="19" t="n">
        <f aca="false">$B48+FC$3*100*$A48</f>
        <v>91.7625</v>
      </c>
      <c r="FD48" s="19" t="n">
        <f aca="false">$B48+FD$3*100*$A48</f>
        <v>92.325</v>
      </c>
      <c r="FE48" s="19" t="n">
        <f aca="false">$B48+FE$3*100*$A48</f>
        <v>92.8875</v>
      </c>
      <c r="FF48" s="19" t="n">
        <f aca="false">$B48+FF$3*100*$A48</f>
        <v>93.45</v>
      </c>
      <c r="FG48" s="19" t="n">
        <f aca="false">$B48+FG$3*100*$A48</f>
        <v>94.0125</v>
      </c>
      <c r="FH48" s="19" t="n">
        <f aca="false">$B48+FH$3*100*$A48</f>
        <v>94.575</v>
      </c>
      <c r="FI48" s="19" t="n">
        <f aca="false">$B48+FI$3*100*$A48</f>
        <v>95.1375</v>
      </c>
      <c r="FJ48" s="19" t="n">
        <f aca="false">$B48+FJ$3*100*$A48</f>
        <v>95.7</v>
      </c>
      <c r="FK48" s="19" t="n">
        <f aca="false">$B48+FK$3*100*$A48</f>
        <v>96.2625</v>
      </c>
      <c r="FL48" s="19" t="n">
        <f aca="false">$B48+FL$3*100*$A48</f>
        <v>96.825</v>
      </c>
      <c r="FM48" s="19" t="n">
        <f aca="false">$B48+FM$3*100*$A48</f>
        <v>97.3875</v>
      </c>
      <c r="FN48" s="19" t="n">
        <f aca="false">$B48+FN$3*100*$A48</f>
        <v>97.95</v>
      </c>
      <c r="FO48" s="19" t="n">
        <f aca="false">$B48+FO$3*100*$A48</f>
        <v>98.5125</v>
      </c>
      <c r="FP48" s="19" t="n">
        <f aca="false">$B48+FP$3*100*$A48</f>
        <v>99.075</v>
      </c>
      <c r="FQ48" s="19" t="n">
        <f aca="false">$B48+FQ$3*100*$A48</f>
        <v>99.6375</v>
      </c>
      <c r="FR48" s="19" t="n">
        <f aca="false">$B48+FR$3*100*$A48</f>
        <v>100.2</v>
      </c>
      <c r="FS48" s="19" t="n">
        <f aca="false">$B48+FS$3*100*$A48</f>
        <v>100.7625</v>
      </c>
      <c r="FT48" s="19" t="n">
        <f aca="false">$B48+FT$3*100*$A48</f>
        <v>101.325</v>
      </c>
      <c r="FU48" s="19" t="n">
        <f aca="false">$B48+FU$3*100*$A48</f>
        <v>101.8875</v>
      </c>
      <c r="FV48" s="19" t="n">
        <f aca="false">$B48+FV$3*100*$A48</f>
        <v>102.45</v>
      </c>
      <c r="FW48" s="19" t="n">
        <f aca="false">$B48+FW$3*100*$A48</f>
        <v>103.0125</v>
      </c>
      <c r="FX48" s="19" t="n">
        <f aca="false">$B48+FX$3*100*$A48</f>
        <v>103.575</v>
      </c>
      <c r="FY48" s="19" t="n">
        <f aca="false">$B48+FY$3*100*$A48</f>
        <v>104.1375</v>
      </c>
      <c r="FZ48" s="19" t="n">
        <f aca="false">$B48+FZ$3*100*$A48</f>
        <v>104.7</v>
      </c>
      <c r="GA48" s="19" t="n">
        <f aca="false">$B48+GA$3*100*$A48</f>
        <v>105.2625</v>
      </c>
      <c r="GB48" s="19" t="n">
        <f aca="false">$B48+GB$3*100*$A48</f>
        <v>105.825</v>
      </c>
      <c r="GC48" s="19" t="n">
        <f aca="false">$B48+GC$3*100*$A48</f>
        <v>106.3875</v>
      </c>
      <c r="GD48" s="19" t="n">
        <f aca="false">$B48+GD$3*100*$A48</f>
        <v>106.95</v>
      </c>
      <c r="GE48" s="19" t="n">
        <f aca="false">$B48+GE$3*100*$A48</f>
        <v>107.5125</v>
      </c>
      <c r="GF48" s="19" t="n">
        <f aca="false">$B48+GF$3*100*$A48</f>
        <v>108.075</v>
      </c>
      <c r="GG48" s="19" t="n">
        <f aca="false">$B48+GG$3*100*$A48</f>
        <v>108.6375</v>
      </c>
      <c r="GH48" s="19" t="n">
        <f aca="false">$B48+GH$3*100*$A48</f>
        <v>109.2</v>
      </c>
      <c r="GI48" s="19" t="n">
        <f aca="false">$B48+GI$3*100*$A48</f>
        <v>109.7625</v>
      </c>
      <c r="GJ48" s="19" t="n">
        <f aca="false">$B48+GJ$3*100*$A48</f>
        <v>110.325</v>
      </c>
      <c r="GK48" s="19" t="n">
        <f aca="false">$B48+GK$3*100*$A48</f>
        <v>110.8875</v>
      </c>
      <c r="GL48" s="19" t="n">
        <f aca="false">$B48+GL$3*100*$A48</f>
        <v>111.45</v>
      </c>
      <c r="GM48" s="19" t="n">
        <f aca="false">$B48+GM$3*100*$A48</f>
        <v>112.0125</v>
      </c>
      <c r="GN48" s="19" t="n">
        <f aca="false">$B48+GN$3*100*$A48</f>
        <v>112.575</v>
      </c>
      <c r="GO48" s="19" t="n">
        <f aca="false">$B48+GO$3*100*$A48</f>
        <v>113.1375</v>
      </c>
      <c r="GP48" s="19" t="n">
        <f aca="false">$B48+GP$3*100*$A48</f>
        <v>113.7</v>
      </c>
      <c r="GQ48" s="19" t="n">
        <f aca="false">$B48+GQ$3*100*$A48</f>
        <v>114.2625</v>
      </c>
      <c r="GR48" s="19" t="n">
        <f aca="false">$B48+GR$3*100*$A48</f>
        <v>114.825</v>
      </c>
      <c r="GS48" s="19" t="n">
        <f aca="false">$B48+GS$3*100*$A48</f>
        <v>115.3875</v>
      </c>
      <c r="GT48" s="19" t="n">
        <f aca="false">$B48+GT$3*100*$A48</f>
        <v>115.95</v>
      </c>
    </row>
    <row r="49" customFormat="false" ht="15" hidden="false" customHeight="false" outlineLevel="0" collapsed="false">
      <c r="A49" s="26" t="n">
        <f aca="false">Frontier!A47</f>
        <v>0.115</v>
      </c>
      <c r="B49" s="34" t="n">
        <f aca="false">Frontier!B47</f>
        <v>3.3644175837846</v>
      </c>
      <c r="C49" s="19" t="n">
        <f aca="false">$B49+C$3*100*$A49</f>
        <v>3.9394175837846</v>
      </c>
      <c r="D49" s="19" t="n">
        <f aca="false">$B49+D$3*100*$A49</f>
        <v>4.5144175837846</v>
      </c>
      <c r="E49" s="19" t="n">
        <f aca="false">$B49+E$3*100*$A49</f>
        <v>5.0894175837846</v>
      </c>
      <c r="F49" s="19" t="n">
        <f aca="false">$B49+F$3*100*$A49</f>
        <v>5.6644175837846</v>
      </c>
      <c r="G49" s="19" t="n">
        <f aca="false">$B49+G$3*100*$A49</f>
        <v>6.2394175837846</v>
      </c>
      <c r="H49" s="19" t="n">
        <f aca="false">$B49+H$3*100*$A49</f>
        <v>6.8144175837846</v>
      </c>
      <c r="I49" s="19" t="n">
        <f aca="false">$B49+I$3*100*$A49</f>
        <v>7.3894175837846</v>
      </c>
      <c r="J49" s="19" t="n">
        <f aca="false">$B49+J$3*100*$A49</f>
        <v>7.9644175837846</v>
      </c>
      <c r="K49" s="19" t="n">
        <f aca="false">$B49+K$3*100*$A49</f>
        <v>8.5394175837846</v>
      </c>
      <c r="L49" s="19" t="n">
        <f aca="false">$B49+L$3*100*$A49</f>
        <v>9.1144175837846</v>
      </c>
      <c r="M49" s="19" t="n">
        <f aca="false">$B49+M$3*100*$A49</f>
        <v>9.6894175837846</v>
      </c>
      <c r="N49" s="19" t="n">
        <f aca="false">$B49+N$3*100*$A49</f>
        <v>10.2644175837846</v>
      </c>
      <c r="O49" s="19" t="n">
        <f aca="false">$B49+O$3*100*$A49</f>
        <v>10.8394175837846</v>
      </c>
      <c r="P49" s="19" t="n">
        <f aca="false">$B49+P$3*100*$A49</f>
        <v>11.4144175837846</v>
      </c>
      <c r="Q49" s="19" t="n">
        <f aca="false">$B49+Q$3*100*$A49</f>
        <v>11.9894175837846</v>
      </c>
      <c r="R49" s="19" t="n">
        <f aca="false">$B49+R$3*100*$A49</f>
        <v>12.5644175837846</v>
      </c>
      <c r="S49" s="19" t="n">
        <f aca="false">$B49+S$3*100*$A49</f>
        <v>13.1394175837846</v>
      </c>
      <c r="T49" s="19" t="n">
        <f aca="false">$B49+T$3*100*$A49</f>
        <v>13.7144175837846</v>
      </c>
      <c r="U49" s="19" t="n">
        <f aca="false">$B49+U$3*100*$A49</f>
        <v>14.2894175837846</v>
      </c>
      <c r="V49" s="19" t="n">
        <f aca="false">$B49+V$3*100*$A49</f>
        <v>14.8644175837846</v>
      </c>
      <c r="W49" s="19" t="n">
        <f aca="false">$B49+W$3*100*$A49</f>
        <v>15.4394175837846</v>
      </c>
      <c r="X49" s="19" t="n">
        <f aca="false">$B49+X$3*100*$A49</f>
        <v>16.0144175837846</v>
      </c>
      <c r="Y49" s="19" t="n">
        <f aca="false">$B49+Y$3*100*$A49</f>
        <v>16.5894175837846</v>
      </c>
      <c r="Z49" s="19" t="n">
        <f aca="false">$B49+Z$3*100*$A49</f>
        <v>17.1644175837846</v>
      </c>
      <c r="AA49" s="19" t="n">
        <f aca="false">$B49+AA$3*100*$A49</f>
        <v>17.7394175837846</v>
      </c>
      <c r="AB49" s="19" t="n">
        <f aca="false">$B49+AB$3*100*$A49</f>
        <v>18.3144175837846</v>
      </c>
      <c r="AC49" s="19" t="n">
        <f aca="false">$B49+AC$3*100*$A49</f>
        <v>18.8894175837846</v>
      </c>
      <c r="AD49" s="19" t="n">
        <f aca="false">$B49+AD$3*100*$A49</f>
        <v>19.4644175837846</v>
      </c>
      <c r="AE49" s="19" t="n">
        <f aca="false">$B49+AE$3*100*$A49</f>
        <v>20.0394175837846</v>
      </c>
      <c r="AF49" s="19" t="n">
        <f aca="false">$B49+AF$3*100*$A49</f>
        <v>20.6144175837846</v>
      </c>
      <c r="AG49" s="19" t="n">
        <f aca="false">$B49+AG$3*100*$A49</f>
        <v>21.1894175837846</v>
      </c>
      <c r="AH49" s="19" t="n">
        <f aca="false">$B49+AH$3*100*$A49</f>
        <v>21.7644175837846</v>
      </c>
      <c r="AI49" s="19" t="n">
        <f aca="false">$B49+AI$3*100*$A49</f>
        <v>22.3394175837846</v>
      </c>
      <c r="AJ49" s="19" t="n">
        <f aca="false">$B49+AJ$3*100*$A49</f>
        <v>22.9144175837846</v>
      </c>
      <c r="AK49" s="19" t="n">
        <f aca="false">$B49+AK$3*100*$A49</f>
        <v>23.4894175837846</v>
      </c>
      <c r="AL49" s="19" t="n">
        <f aca="false">$B49+AL$3*100*$A49</f>
        <v>24.0644175837846</v>
      </c>
      <c r="AM49" s="19" t="n">
        <f aca="false">$B49+AM$3*100*$A49</f>
        <v>24.6394175837846</v>
      </c>
      <c r="AN49" s="19" t="n">
        <f aca="false">$B49+AN$3*100*$A49</f>
        <v>25.2144175837846</v>
      </c>
      <c r="AO49" s="19" t="n">
        <f aca="false">$B49+AO$3*100*$A49</f>
        <v>25.7894175837846</v>
      </c>
      <c r="AP49" s="19" t="n">
        <f aca="false">$B49+AP$3*100*$A49</f>
        <v>26.3644175837846</v>
      </c>
      <c r="AQ49" s="19" t="n">
        <f aca="false">$B49+AQ$3*100*$A49</f>
        <v>26.9394175837846</v>
      </c>
      <c r="AR49" s="19" t="n">
        <f aca="false">$B49+AR$3*100*$A49</f>
        <v>27.5144175837846</v>
      </c>
      <c r="AS49" s="19" t="n">
        <f aca="false">$B49+AS$3*100*$A49</f>
        <v>28.0894175837846</v>
      </c>
      <c r="AT49" s="19" t="n">
        <f aca="false">$B49+AT$3*100*$A49</f>
        <v>28.6644175837846</v>
      </c>
      <c r="AU49" s="19" t="n">
        <f aca="false">$B49+AU$3*100*$A49</f>
        <v>29.2394175837846</v>
      </c>
      <c r="AV49" s="19" t="n">
        <f aca="false">$B49+AV$3*100*$A49</f>
        <v>29.8144175837846</v>
      </c>
      <c r="AW49" s="19" t="n">
        <f aca="false">$B49+AW$3*100*$A49</f>
        <v>30.3894175837846</v>
      </c>
      <c r="AX49" s="19" t="n">
        <f aca="false">$B49+AX$3*100*$A49</f>
        <v>30.9644175837846</v>
      </c>
      <c r="AY49" s="19" t="n">
        <f aca="false">$B49+AY$3*100*$A49</f>
        <v>31.5394175837846</v>
      </c>
      <c r="AZ49" s="19" t="n">
        <f aca="false">$B49+AZ$3*100*$A49</f>
        <v>32.1144175837846</v>
      </c>
      <c r="BA49" s="19" t="n">
        <f aca="false">$B49+BA$3*100*$A49</f>
        <v>32.6894175837846</v>
      </c>
      <c r="BB49" s="19" t="n">
        <f aca="false">$B49+BB$3*100*$A49</f>
        <v>33.2644175837846</v>
      </c>
      <c r="BC49" s="19" t="n">
        <f aca="false">$B49+BC$3*100*$A49</f>
        <v>33.8394175837846</v>
      </c>
      <c r="BD49" s="19" t="n">
        <f aca="false">$B49+BD$3*100*$A49</f>
        <v>34.4144175837846</v>
      </c>
      <c r="BE49" s="19" t="n">
        <f aca="false">$B49+BE$3*100*$A49</f>
        <v>34.9894175837846</v>
      </c>
      <c r="BF49" s="19" t="n">
        <f aca="false">$B49+BF$3*100*$A49</f>
        <v>35.5644175837846</v>
      </c>
      <c r="BG49" s="19" t="n">
        <f aca="false">$B49+BG$3*100*$A49</f>
        <v>36.1394175837846</v>
      </c>
      <c r="BH49" s="19" t="n">
        <f aca="false">$B49+BH$3*100*$A49</f>
        <v>36.7144175837846</v>
      </c>
      <c r="BI49" s="19" t="n">
        <f aca="false">$B49+BI$3*100*$A49</f>
        <v>37.2894175837846</v>
      </c>
      <c r="BJ49" s="19" t="n">
        <f aca="false">$B49+BJ$3*100*$A49</f>
        <v>37.8644175837846</v>
      </c>
      <c r="BK49" s="19" t="n">
        <f aca="false">$B49+BK$3*100*$A49</f>
        <v>38.4394175837846</v>
      </c>
      <c r="BL49" s="19" t="n">
        <f aca="false">$B49+BL$3*100*$A49</f>
        <v>39.0144175837846</v>
      </c>
      <c r="BM49" s="19" t="n">
        <f aca="false">$B49+BM$3*100*$A49</f>
        <v>39.5894175837846</v>
      </c>
      <c r="BN49" s="19" t="n">
        <f aca="false">$B49+BN$3*100*$A49</f>
        <v>40.1644175837846</v>
      </c>
      <c r="BO49" s="19" t="n">
        <f aca="false">$B49+BO$3*100*$A49</f>
        <v>40.7394175837846</v>
      </c>
      <c r="BP49" s="19" t="n">
        <f aca="false">$B49+BP$3*100*$A49</f>
        <v>41.3144175837846</v>
      </c>
      <c r="BQ49" s="19" t="n">
        <f aca="false">$B49+BQ$3*100*$A49</f>
        <v>41.8894175837846</v>
      </c>
      <c r="BR49" s="19" t="n">
        <f aca="false">$B49+BR$3*100*$A49</f>
        <v>42.4644175837846</v>
      </c>
      <c r="BS49" s="19" t="n">
        <f aca="false">$B49+BS$3*100*$A49</f>
        <v>43.0394175837846</v>
      </c>
      <c r="BT49" s="19" t="n">
        <f aca="false">$B49+BT$3*100*$A49</f>
        <v>43.6144175837846</v>
      </c>
      <c r="BU49" s="19" t="n">
        <f aca="false">$B49+BU$3*100*$A49</f>
        <v>44.1894175837846</v>
      </c>
      <c r="BV49" s="19" t="n">
        <f aca="false">$B49+BV$3*100*$A49</f>
        <v>44.7644175837846</v>
      </c>
      <c r="BW49" s="19" t="n">
        <f aca="false">$B49+BW$3*100*$A49</f>
        <v>45.3394175837846</v>
      </c>
      <c r="BX49" s="19" t="n">
        <f aca="false">$B49+BX$3*100*$A49</f>
        <v>45.9144175837846</v>
      </c>
      <c r="BY49" s="19" t="n">
        <f aca="false">$B49+BY$3*100*$A49</f>
        <v>46.4894175837846</v>
      </c>
      <c r="BZ49" s="19" t="n">
        <f aca="false">$B49+BZ$3*100*$A49</f>
        <v>47.0644175837846</v>
      </c>
      <c r="CA49" s="19" t="n">
        <f aca="false">$B49+CA$3*100*$A49</f>
        <v>47.6394175837846</v>
      </c>
      <c r="CB49" s="19" t="n">
        <f aca="false">$B49+CB$3*100*$A49</f>
        <v>48.2144175837846</v>
      </c>
      <c r="CC49" s="19" t="n">
        <f aca="false">$B49+CC$3*100*$A49</f>
        <v>48.7894175837846</v>
      </c>
      <c r="CD49" s="19" t="n">
        <f aca="false">$B49+CD$3*100*$A49</f>
        <v>49.3644175837846</v>
      </c>
      <c r="CE49" s="19" t="n">
        <f aca="false">$B49+CE$3*100*$A49</f>
        <v>49.9394175837846</v>
      </c>
      <c r="CF49" s="19" t="n">
        <f aca="false">$B49+CF$3*100*$A49</f>
        <v>50.5144175837846</v>
      </c>
      <c r="CG49" s="19" t="n">
        <f aca="false">$B49+CG$3*100*$A49</f>
        <v>51.0894175837846</v>
      </c>
      <c r="CH49" s="19" t="n">
        <f aca="false">$B49+CH$3*100*$A49</f>
        <v>51.6644175837846</v>
      </c>
      <c r="CI49" s="19" t="n">
        <f aca="false">$B49+CI$3*100*$A49</f>
        <v>52.2394175837846</v>
      </c>
      <c r="CJ49" s="19" t="n">
        <f aca="false">$B49+CJ$3*100*$A49</f>
        <v>52.8144175837846</v>
      </c>
      <c r="CK49" s="19" t="n">
        <f aca="false">$B49+CK$3*100*$A49</f>
        <v>53.3894175837846</v>
      </c>
      <c r="CL49" s="19" t="n">
        <f aca="false">$B49+CL$3*100*$A49</f>
        <v>53.9644175837846</v>
      </c>
      <c r="CM49" s="19" t="n">
        <f aca="false">$B49+CM$3*100*$A49</f>
        <v>54.5394175837846</v>
      </c>
      <c r="CN49" s="19" t="n">
        <f aca="false">$B49+CN$3*100*$A49</f>
        <v>55.1144175837846</v>
      </c>
      <c r="CO49" s="19" t="n">
        <f aca="false">$B49+CO$3*100*$A49</f>
        <v>55.6894175837846</v>
      </c>
      <c r="CP49" s="19" t="n">
        <f aca="false">$B49+CP$3*100*$A49</f>
        <v>56.2644175837846</v>
      </c>
      <c r="CQ49" s="19" t="n">
        <f aca="false">$B49+CQ$3*100*$A49</f>
        <v>56.8394175837846</v>
      </c>
      <c r="CR49" s="19" t="n">
        <f aca="false">$B49+CR$3*100*$A49</f>
        <v>57.4144175837846</v>
      </c>
      <c r="CS49" s="19" t="n">
        <f aca="false">$B49+CS$3*100*$A49</f>
        <v>57.9894175837846</v>
      </c>
      <c r="CT49" s="19" t="n">
        <f aca="false">$B49+CT$3*100*$A49</f>
        <v>58.5644175837846</v>
      </c>
      <c r="CU49" s="19" t="n">
        <f aca="false">$B49+CU$3*100*$A49</f>
        <v>59.1394175837846</v>
      </c>
      <c r="CV49" s="19" t="n">
        <f aca="false">$B49+CV$3*100*$A49</f>
        <v>59.7144175837846</v>
      </c>
      <c r="CW49" s="19" t="n">
        <f aca="false">$B49+CW$3*100*$A49</f>
        <v>60.2894175837846</v>
      </c>
      <c r="CX49" s="19" t="n">
        <f aca="false">$B49+CX$3*100*$A49</f>
        <v>60.8644175837846</v>
      </c>
      <c r="CY49" s="19" t="n">
        <f aca="false">$B49+CY$3*100*$A49</f>
        <v>61.4394175837846</v>
      </c>
      <c r="CZ49" s="19" t="n">
        <f aca="false">$B49+CZ$3*100*$A49</f>
        <v>62.0144175837846</v>
      </c>
      <c r="DA49" s="19" t="n">
        <f aca="false">$B49+DA$3*100*$A49</f>
        <v>62.5894175837846</v>
      </c>
      <c r="DB49" s="19" t="n">
        <f aca="false">$B49+DB$3*100*$A49</f>
        <v>63.1644175837846</v>
      </c>
      <c r="DC49" s="19" t="n">
        <f aca="false">$B49+DC$3*100*$A49</f>
        <v>63.7394175837846</v>
      </c>
      <c r="DD49" s="19" t="n">
        <f aca="false">$B49+DD$3*100*$A49</f>
        <v>64.3144175837846</v>
      </c>
      <c r="DE49" s="19" t="n">
        <f aca="false">$B49+DE$3*100*$A49</f>
        <v>64.8894175837846</v>
      </c>
      <c r="DF49" s="19" t="n">
        <f aca="false">$B49+DF$3*100*$A49</f>
        <v>65.4644175837846</v>
      </c>
      <c r="DG49" s="19" t="n">
        <f aca="false">$B49+DG$3*100*$A49</f>
        <v>66.0394175837846</v>
      </c>
      <c r="DH49" s="19" t="n">
        <f aca="false">$B49+DH$3*100*$A49</f>
        <v>66.6144175837846</v>
      </c>
      <c r="DI49" s="19" t="n">
        <f aca="false">$B49+DI$3*100*$A49</f>
        <v>67.1894175837846</v>
      </c>
      <c r="DJ49" s="19" t="n">
        <f aca="false">$B49+DJ$3*100*$A49</f>
        <v>67.7644175837846</v>
      </c>
      <c r="DK49" s="19" t="n">
        <f aca="false">$B49+DK$3*100*$A49</f>
        <v>68.3394175837846</v>
      </c>
      <c r="DL49" s="19" t="n">
        <f aca="false">$B49+DL$3*100*$A49</f>
        <v>68.9144175837846</v>
      </c>
      <c r="DM49" s="19" t="n">
        <f aca="false">$B49+DM$3*100*$A49</f>
        <v>69.4894175837846</v>
      </c>
      <c r="DN49" s="19" t="n">
        <f aca="false">$B49+DN$3*100*$A49</f>
        <v>70.0644175837846</v>
      </c>
      <c r="DO49" s="19" t="n">
        <f aca="false">$B49+DO$3*100*$A49</f>
        <v>70.6394175837846</v>
      </c>
      <c r="DP49" s="19" t="n">
        <f aca="false">$B49+DP$3*100*$A49</f>
        <v>71.2144175837846</v>
      </c>
      <c r="DQ49" s="19" t="n">
        <f aca="false">$B49+DQ$3*100*$A49</f>
        <v>71.7894175837846</v>
      </c>
      <c r="DR49" s="19" t="n">
        <f aca="false">$B49+DR$3*100*$A49</f>
        <v>72.3644175837846</v>
      </c>
      <c r="DS49" s="19" t="n">
        <f aca="false">$B49+DS$3*100*$A49</f>
        <v>72.9394175837846</v>
      </c>
      <c r="DT49" s="19" t="n">
        <f aca="false">$B49+DT$3*100*$A49</f>
        <v>73.5144175837846</v>
      </c>
      <c r="DU49" s="19" t="n">
        <f aca="false">$B49+DU$3*100*$A49</f>
        <v>74.0894175837846</v>
      </c>
      <c r="DV49" s="19" t="n">
        <f aca="false">$B49+DV$3*100*$A49</f>
        <v>74.6644175837846</v>
      </c>
      <c r="DW49" s="19" t="n">
        <f aca="false">$B49+DW$3*100*$A49</f>
        <v>75.2394175837846</v>
      </c>
      <c r="DX49" s="19" t="n">
        <f aca="false">$B49+DX$3*100*$A49</f>
        <v>75.8144175837846</v>
      </c>
      <c r="DY49" s="19" t="n">
        <f aca="false">$B49+DY$3*100*$A49</f>
        <v>76.3894175837846</v>
      </c>
      <c r="DZ49" s="19" t="n">
        <f aca="false">$B49+DZ$3*100*$A49</f>
        <v>76.9644175837846</v>
      </c>
      <c r="EA49" s="19" t="n">
        <f aca="false">$B49+EA$3*100*$A49</f>
        <v>77.5394175837846</v>
      </c>
      <c r="EB49" s="19" t="n">
        <f aca="false">$B49+EB$3*100*$A49</f>
        <v>78.1144175837846</v>
      </c>
      <c r="EC49" s="19" t="n">
        <f aca="false">$B49+EC$3*100*$A49</f>
        <v>78.6894175837846</v>
      </c>
      <c r="ED49" s="19" t="n">
        <f aca="false">$B49+ED$3*100*$A49</f>
        <v>79.2644175837846</v>
      </c>
      <c r="EE49" s="19" t="n">
        <f aca="false">$B49+EE$3*100*$A49</f>
        <v>79.8394175837846</v>
      </c>
      <c r="EF49" s="19" t="n">
        <f aca="false">$B49+EF$3*100*$A49</f>
        <v>80.4144175837846</v>
      </c>
      <c r="EG49" s="19" t="n">
        <f aca="false">$B49+EG$3*100*$A49</f>
        <v>80.9894175837846</v>
      </c>
      <c r="EH49" s="19" t="n">
        <f aca="false">$B49+EH$3*100*$A49</f>
        <v>81.5644175837846</v>
      </c>
      <c r="EI49" s="19" t="n">
        <f aca="false">$B49+EI$3*100*$A49</f>
        <v>82.1394175837846</v>
      </c>
      <c r="EJ49" s="19" t="n">
        <f aca="false">$B49+EJ$3*100*$A49</f>
        <v>82.7144175837846</v>
      </c>
      <c r="EK49" s="19" t="n">
        <f aca="false">$B49+EK$3*100*$A49</f>
        <v>83.2894175837846</v>
      </c>
      <c r="EL49" s="19" t="n">
        <f aca="false">$B49+EL$3*100*$A49</f>
        <v>83.8644175837846</v>
      </c>
      <c r="EM49" s="19" t="n">
        <f aca="false">$B49+EM$3*100*$A49</f>
        <v>84.4394175837846</v>
      </c>
      <c r="EN49" s="19" t="n">
        <f aca="false">$B49+EN$3*100*$A49</f>
        <v>85.0144175837846</v>
      </c>
      <c r="EO49" s="19" t="n">
        <f aca="false">$B49+EO$3*100*$A49</f>
        <v>85.5894175837846</v>
      </c>
      <c r="EP49" s="19" t="n">
        <f aca="false">$B49+EP$3*100*$A49</f>
        <v>86.1644175837846</v>
      </c>
      <c r="EQ49" s="19" t="n">
        <f aca="false">$B49+EQ$3*100*$A49</f>
        <v>86.7394175837846</v>
      </c>
      <c r="ER49" s="19" t="n">
        <f aca="false">$B49+ER$3*100*$A49</f>
        <v>87.3144175837846</v>
      </c>
      <c r="ES49" s="19" t="n">
        <f aca="false">$B49+ES$3*100*$A49</f>
        <v>87.8894175837846</v>
      </c>
      <c r="ET49" s="19" t="n">
        <f aca="false">$B49+ET$3*100*$A49</f>
        <v>88.4644175837846</v>
      </c>
      <c r="EU49" s="19" t="n">
        <f aca="false">$B49+EU$3*100*$A49</f>
        <v>89.0394175837846</v>
      </c>
      <c r="EV49" s="19" t="n">
        <f aca="false">$B49+EV$3*100*$A49</f>
        <v>89.6144175837846</v>
      </c>
      <c r="EW49" s="19" t="n">
        <f aca="false">$B49+EW$3*100*$A49</f>
        <v>90.1894175837846</v>
      </c>
      <c r="EX49" s="19" t="n">
        <f aca="false">$B49+EX$3*100*$A49</f>
        <v>90.7644175837846</v>
      </c>
      <c r="EY49" s="19" t="n">
        <f aca="false">$B49+EY$3*100*$A49</f>
        <v>91.3394175837846</v>
      </c>
      <c r="EZ49" s="19" t="n">
        <f aca="false">$B49+EZ$3*100*$A49</f>
        <v>91.9144175837846</v>
      </c>
      <c r="FA49" s="19" t="n">
        <f aca="false">$B49+FA$3*100*$A49</f>
        <v>92.4894175837846</v>
      </c>
      <c r="FB49" s="19" t="n">
        <f aca="false">$B49+FB$3*100*$A49</f>
        <v>93.0644175837846</v>
      </c>
      <c r="FC49" s="19" t="n">
        <f aca="false">$B49+FC$3*100*$A49</f>
        <v>93.6394175837846</v>
      </c>
      <c r="FD49" s="19" t="n">
        <f aca="false">$B49+FD$3*100*$A49</f>
        <v>94.2144175837846</v>
      </c>
      <c r="FE49" s="19" t="n">
        <f aca="false">$B49+FE$3*100*$A49</f>
        <v>94.7894175837846</v>
      </c>
      <c r="FF49" s="19" t="n">
        <f aca="false">$B49+FF$3*100*$A49</f>
        <v>95.3644175837846</v>
      </c>
      <c r="FG49" s="19" t="n">
        <f aca="false">$B49+FG$3*100*$A49</f>
        <v>95.9394175837846</v>
      </c>
      <c r="FH49" s="19" t="n">
        <f aca="false">$B49+FH$3*100*$A49</f>
        <v>96.5144175837846</v>
      </c>
      <c r="FI49" s="19" t="n">
        <f aca="false">$B49+FI$3*100*$A49</f>
        <v>97.0894175837846</v>
      </c>
      <c r="FJ49" s="19" t="n">
        <f aca="false">$B49+FJ$3*100*$A49</f>
        <v>97.6644175837846</v>
      </c>
      <c r="FK49" s="19" t="n">
        <f aca="false">$B49+FK$3*100*$A49</f>
        <v>98.2394175837846</v>
      </c>
      <c r="FL49" s="19" t="n">
        <f aca="false">$B49+FL$3*100*$A49</f>
        <v>98.8144175837846</v>
      </c>
      <c r="FM49" s="19" t="n">
        <f aca="false">$B49+FM$3*100*$A49</f>
        <v>99.3894175837846</v>
      </c>
      <c r="FN49" s="19" t="n">
        <f aca="false">$B49+FN$3*100*$A49</f>
        <v>99.9644175837846</v>
      </c>
      <c r="FO49" s="19" t="n">
        <f aca="false">$B49+FO$3*100*$A49</f>
        <v>100.539417583785</v>
      </c>
      <c r="FP49" s="19" t="n">
        <f aca="false">$B49+FP$3*100*$A49</f>
        <v>101.114417583785</v>
      </c>
      <c r="FQ49" s="19" t="n">
        <f aca="false">$B49+FQ$3*100*$A49</f>
        <v>101.689417583785</v>
      </c>
      <c r="FR49" s="19" t="n">
        <f aca="false">$B49+FR$3*100*$A49</f>
        <v>102.264417583785</v>
      </c>
      <c r="FS49" s="19" t="n">
        <f aca="false">$B49+FS$3*100*$A49</f>
        <v>102.839417583785</v>
      </c>
      <c r="FT49" s="19" t="n">
        <f aca="false">$B49+FT$3*100*$A49</f>
        <v>103.414417583785</v>
      </c>
      <c r="FU49" s="19" t="n">
        <f aca="false">$B49+FU$3*100*$A49</f>
        <v>103.989417583785</v>
      </c>
      <c r="FV49" s="19" t="n">
        <f aca="false">$B49+FV$3*100*$A49</f>
        <v>104.564417583785</v>
      </c>
      <c r="FW49" s="19" t="n">
        <f aca="false">$B49+FW$3*100*$A49</f>
        <v>105.139417583785</v>
      </c>
      <c r="FX49" s="19" t="n">
        <f aca="false">$B49+FX$3*100*$A49</f>
        <v>105.714417583785</v>
      </c>
      <c r="FY49" s="19" t="n">
        <f aca="false">$B49+FY$3*100*$A49</f>
        <v>106.289417583785</v>
      </c>
      <c r="FZ49" s="19" t="n">
        <f aca="false">$B49+FZ$3*100*$A49</f>
        <v>106.864417583785</v>
      </c>
      <c r="GA49" s="19" t="n">
        <f aca="false">$B49+GA$3*100*$A49</f>
        <v>107.439417583785</v>
      </c>
      <c r="GB49" s="19" t="n">
        <f aca="false">$B49+GB$3*100*$A49</f>
        <v>108.014417583785</v>
      </c>
      <c r="GC49" s="19" t="n">
        <f aca="false">$B49+GC$3*100*$A49</f>
        <v>108.589417583785</v>
      </c>
      <c r="GD49" s="19" t="n">
        <f aca="false">$B49+GD$3*100*$A49</f>
        <v>109.164417583785</v>
      </c>
      <c r="GE49" s="19" t="n">
        <f aca="false">$B49+GE$3*100*$A49</f>
        <v>109.739417583785</v>
      </c>
      <c r="GF49" s="19" t="n">
        <f aca="false">$B49+GF$3*100*$A49</f>
        <v>110.314417583785</v>
      </c>
      <c r="GG49" s="19" t="n">
        <f aca="false">$B49+GG$3*100*$A49</f>
        <v>110.889417583785</v>
      </c>
      <c r="GH49" s="19" t="n">
        <f aca="false">$B49+GH$3*100*$A49</f>
        <v>111.464417583785</v>
      </c>
      <c r="GI49" s="19" t="n">
        <f aca="false">$B49+GI$3*100*$A49</f>
        <v>112.039417583785</v>
      </c>
      <c r="GJ49" s="19" t="n">
        <f aca="false">$B49+GJ$3*100*$A49</f>
        <v>112.614417583785</v>
      </c>
      <c r="GK49" s="19" t="n">
        <f aca="false">$B49+GK$3*100*$A49</f>
        <v>113.189417583785</v>
      </c>
      <c r="GL49" s="19" t="n">
        <f aca="false">$B49+GL$3*100*$A49</f>
        <v>113.764417583785</v>
      </c>
      <c r="GM49" s="19" t="n">
        <f aca="false">$B49+GM$3*100*$A49</f>
        <v>114.339417583785</v>
      </c>
      <c r="GN49" s="19" t="n">
        <f aca="false">$B49+GN$3*100*$A49</f>
        <v>114.914417583785</v>
      </c>
      <c r="GO49" s="19" t="n">
        <f aca="false">$B49+GO$3*100*$A49</f>
        <v>115.489417583785</v>
      </c>
      <c r="GP49" s="19" t="n">
        <f aca="false">$B49+GP$3*100*$A49</f>
        <v>116.064417583785</v>
      </c>
      <c r="GQ49" s="19" t="n">
        <f aca="false">$B49+GQ$3*100*$A49</f>
        <v>116.639417583785</v>
      </c>
      <c r="GR49" s="19" t="n">
        <f aca="false">$B49+GR$3*100*$A49</f>
        <v>117.214417583785</v>
      </c>
      <c r="GS49" s="19" t="n">
        <f aca="false">$B49+GS$3*100*$A49</f>
        <v>117.789417583785</v>
      </c>
      <c r="GT49" s="19" t="n">
        <f aca="false">$B49+GT$3*100*$A49</f>
        <v>118.364417583785</v>
      </c>
    </row>
    <row r="50" customFormat="false" ht="15" hidden="false" customHeight="false" outlineLevel="0" collapsed="false">
      <c r="A50" s="26" t="n">
        <f aca="false">Frontier!A48</f>
        <v>0.1175</v>
      </c>
      <c r="B50" s="34" t="n">
        <f aca="false">Frontier!B48</f>
        <v>3.3</v>
      </c>
      <c r="C50" s="19" t="n">
        <f aca="false">$B50+C$3*100*$A50</f>
        <v>3.8875</v>
      </c>
      <c r="D50" s="19" t="n">
        <f aca="false">$B50+D$3*100*$A50</f>
        <v>4.475</v>
      </c>
      <c r="E50" s="19" t="n">
        <f aca="false">$B50+E$3*100*$A50</f>
        <v>5.0625</v>
      </c>
      <c r="F50" s="19" t="n">
        <f aca="false">$B50+F$3*100*$A50</f>
        <v>5.65</v>
      </c>
      <c r="G50" s="19" t="n">
        <f aca="false">$B50+G$3*100*$A50</f>
        <v>6.2375</v>
      </c>
      <c r="H50" s="19" t="n">
        <f aca="false">$B50+H$3*100*$A50</f>
        <v>6.825</v>
      </c>
      <c r="I50" s="19" t="n">
        <f aca="false">$B50+I$3*100*$A50</f>
        <v>7.4125</v>
      </c>
      <c r="J50" s="19" t="n">
        <f aca="false">$B50+J$3*100*$A50</f>
        <v>8</v>
      </c>
      <c r="K50" s="19" t="n">
        <f aca="false">$B50+K$3*100*$A50</f>
        <v>8.5875</v>
      </c>
      <c r="L50" s="19" t="n">
        <f aca="false">$B50+L$3*100*$A50</f>
        <v>9.175</v>
      </c>
      <c r="M50" s="19" t="n">
        <f aca="false">$B50+M$3*100*$A50</f>
        <v>9.7625</v>
      </c>
      <c r="N50" s="19" t="n">
        <f aca="false">$B50+N$3*100*$A50</f>
        <v>10.35</v>
      </c>
      <c r="O50" s="19" t="n">
        <f aca="false">$B50+O$3*100*$A50</f>
        <v>10.9375</v>
      </c>
      <c r="P50" s="19" t="n">
        <f aca="false">$B50+P$3*100*$A50</f>
        <v>11.525</v>
      </c>
      <c r="Q50" s="19" t="n">
        <f aca="false">$B50+Q$3*100*$A50</f>
        <v>12.1125</v>
      </c>
      <c r="R50" s="19" t="n">
        <f aca="false">$B50+R$3*100*$A50</f>
        <v>12.7</v>
      </c>
      <c r="S50" s="19" t="n">
        <f aca="false">$B50+S$3*100*$A50</f>
        <v>13.2875</v>
      </c>
      <c r="T50" s="19" t="n">
        <f aca="false">$B50+T$3*100*$A50</f>
        <v>13.875</v>
      </c>
      <c r="U50" s="19" t="n">
        <f aca="false">$B50+U$3*100*$A50</f>
        <v>14.4625</v>
      </c>
      <c r="V50" s="19" t="n">
        <f aca="false">$B50+V$3*100*$A50</f>
        <v>15.05</v>
      </c>
      <c r="W50" s="19" t="n">
        <f aca="false">$B50+W$3*100*$A50</f>
        <v>15.6375</v>
      </c>
      <c r="X50" s="19" t="n">
        <f aca="false">$B50+X$3*100*$A50</f>
        <v>16.225</v>
      </c>
      <c r="Y50" s="19" t="n">
        <f aca="false">$B50+Y$3*100*$A50</f>
        <v>16.8125</v>
      </c>
      <c r="Z50" s="19" t="n">
        <f aca="false">$B50+Z$3*100*$A50</f>
        <v>17.4</v>
      </c>
      <c r="AA50" s="19" t="n">
        <f aca="false">$B50+AA$3*100*$A50</f>
        <v>17.9875</v>
      </c>
      <c r="AB50" s="19" t="n">
        <f aca="false">$B50+AB$3*100*$A50</f>
        <v>18.575</v>
      </c>
      <c r="AC50" s="19" t="n">
        <f aca="false">$B50+AC$3*100*$A50</f>
        <v>19.1625</v>
      </c>
      <c r="AD50" s="19" t="n">
        <f aca="false">$B50+AD$3*100*$A50</f>
        <v>19.75</v>
      </c>
      <c r="AE50" s="19" t="n">
        <f aca="false">$B50+AE$3*100*$A50</f>
        <v>20.3375</v>
      </c>
      <c r="AF50" s="19" t="n">
        <f aca="false">$B50+AF$3*100*$A50</f>
        <v>20.925</v>
      </c>
      <c r="AG50" s="19" t="n">
        <f aca="false">$B50+AG$3*100*$A50</f>
        <v>21.5125</v>
      </c>
      <c r="AH50" s="19" t="n">
        <f aca="false">$B50+AH$3*100*$A50</f>
        <v>22.1</v>
      </c>
      <c r="AI50" s="19" t="n">
        <f aca="false">$B50+AI$3*100*$A50</f>
        <v>22.6875</v>
      </c>
      <c r="AJ50" s="19" t="n">
        <f aca="false">$B50+AJ$3*100*$A50</f>
        <v>23.275</v>
      </c>
      <c r="AK50" s="19" t="n">
        <f aca="false">$B50+AK$3*100*$A50</f>
        <v>23.8625</v>
      </c>
      <c r="AL50" s="19" t="n">
        <f aca="false">$B50+AL$3*100*$A50</f>
        <v>24.45</v>
      </c>
      <c r="AM50" s="19" t="n">
        <f aca="false">$B50+AM$3*100*$A50</f>
        <v>25.0375</v>
      </c>
      <c r="AN50" s="19" t="n">
        <f aca="false">$B50+AN$3*100*$A50</f>
        <v>25.625</v>
      </c>
      <c r="AO50" s="19" t="n">
        <f aca="false">$B50+AO$3*100*$A50</f>
        <v>26.2125</v>
      </c>
      <c r="AP50" s="19" t="n">
        <f aca="false">$B50+AP$3*100*$A50</f>
        <v>26.8</v>
      </c>
      <c r="AQ50" s="19" t="n">
        <f aca="false">$B50+AQ$3*100*$A50</f>
        <v>27.3875</v>
      </c>
      <c r="AR50" s="19" t="n">
        <f aca="false">$B50+AR$3*100*$A50</f>
        <v>27.975</v>
      </c>
      <c r="AS50" s="19" t="n">
        <f aca="false">$B50+AS$3*100*$A50</f>
        <v>28.5625</v>
      </c>
      <c r="AT50" s="19" t="n">
        <f aca="false">$B50+AT$3*100*$A50</f>
        <v>29.15</v>
      </c>
      <c r="AU50" s="19" t="n">
        <f aca="false">$B50+AU$3*100*$A50</f>
        <v>29.7375</v>
      </c>
      <c r="AV50" s="19" t="n">
        <f aca="false">$B50+AV$3*100*$A50</f>
        <v>30.325</v>
      </c>
      <c r="AW50" s="19" t="n">
        <f aca="false">$B50+AW$3*100*$A50</f>
        <v>30.9125</v>
      </c>
      <c r="AX50" s="19" t="n">
        <f aca="false">$B50+AX$3*100*$A50</f>
        <v>31.5</v>
      </c>
      <c r="AY50" s="19" t="n">
        <f aca="false">$B50+AY$3*100*$A50</f>
        <v>32.0875</v>
      </c>
      <c r="AZ50" s="19" t="n">
        <f aca="false">$B50+AZ$3*100*$A50</f>
        <v>32.675</v>
      </c>
      <c r="BA50" s="19" t="n">
        <f aca="false">$B50+BA$3*100*$A50</f>
        <v>33.2625</v>
      </c>
      <c r="BB50" s="19" t="n">
        <f aca="false">$B50+BB$3*100*$A50</f>
        <v>33.85</v>
      </c>
      <c r="BC50" s="19" t="n">
        <f aca="false">$B50+BC$3*100*$A50</f>
        <v>34.4375</v>
      </c>
      <c r="BD50" s="19" t="n">
        <f aca="false">$B50+BD$3*100*$A50</f>
        <v>35.025</v>
      </c>
      <c r="BE50" s="19" t="n">
        <f aca="false">$B50+BE$3*100*$A50</f>
        <v>35.6125</v>
      </c>
      <c r="BF50" s="19" t="n">
        <f aca="false">$B50+BF$3*100*$A50</f>
        <v>36.2</v>
      </c>
      <c r="BG50" s="19" t="n">
        <f aca="false">$B50+BG$3*100*$A50</f>
        <v>36.7875</v>
      </c>
      <c r="BH50" s="19" t="n">
        <f aca="false">$B50+BH$3*100*$A50</f>
        <v>37.375</v>
      </c>
      <c r="BI50" s="19" t="n">
        <f aca="false">$B50+BI$3*100*$A50</f>
        <v>37.9625</v>
      </c>
      <c r="BJ50" s="19" t="n">
        <f aca="false">$B50+BJ$3*100*$A50</f>
        <v>38.55</v>
      </c>
      <c r="BK50" s="19" t="n">
        <f aca="false">$B50+BK$3*100*$A50</f>
        <v>39.1375</v>
      </c>
      <c r="BL50" s="19" t="n">
        <f aca="false">$B50+BL$3*100*$A50</f>
        <v>39.725</v>
      </c>
      <c r="BM50" s="19" t="n">
        <f aca="false">$B50+BM$3*100*$A50</f>
        <v>40.3125</v>
      </c>
      <c r="BN50" s="19" t="n">
        <f aca="false">$B50+BN$3*100*$A50</f>
        <v>40.9</v>
      </c>
      <c r="BO50" s="19" t="n">
        <f aca="false">$B50+BO$3*100*$A50</f>
        <v>41.4875</v>
      </c>
      <c r="BP50" s="19" t="n">
        <f aca="false">$B50+BP$3*100*$A50</f>
        <v>42.075</v>
      </c>
      <c r="BQ50" s="19" t="n">
        <f aca="false">$B50+BQ$3*100*$A50</f>
        <v>42.6625</v>
      </c>
      <c r="BR50" s="19" t="n">
        <f aca="false">$B50+BR$3*100*$A50</f>
        <v>43.25</v>
      </c>
      <c r="BS50" s="19" t="n">
        <f aca="false">$B50+BS$3*100*$A50</f>
        <v>43.8375</v>
      </c>
      <c r="BT50" s="19" t="n">
        <f aca="false">$B50+BT$3*100*$A50</f>
        <v>44.425</v>
      </c>
      <c r="BU50" s="19" t="n">
        <f aca="false">$B50+BU$3*100*$A50</f>
        <v>45.0125</v>
      </c>
      <c r="BV50" s="19" t="n">
        <f aca="false">$B50+BV$3*100*$A50</f>
        <v>45.6</v>
      </c>
      <c r="BW50" s="19" t="n">
        <f aca="false">$B50+BW$3*100*$A50</f>
        <v>46.1875</v>
      </c>
      <c r="BX50" s="19" t="n">
        <f aca="false">$B50+BX$3*100*$A50</f>
        <v>46.775</v>
      </c>
      <c r="BY50" s="19" t="n">
        <f aca="false">$B50+BY$3*100*$A50</f>
        <v>47.3625</v>
      </c>
      <c r="BZ50" s="19" t="n">
        <f aca="false">$B50+BZ$3*100*$A50</f>
        <v>47.95</v>
      </c>
      <c r="CA50" s="19" t="n">
        <f aca="false">$B50+CA$3*100*$A50</f>
        <v>48.5375</v>
      </c>
      <c r="CB50" s="19" t="n">
        <f aca="false">$B50+CB$3*100*$A50</f>
        <v>49.125</v>
      </c>
      <c r="CC50" s="19" t="n">
        <f aca="false">$B50+CC$3*100*$A50</f>
        <v>49.7125</v>
      </c>
      <c r="CD50" s="19" t="n">
        <f aca="false">$B50+CD$3*100*$A50</f>
        <v>50.3</v>
      </c>
      <c r="CE50" s="19" t="n">
        <f aca="false">$B50+CE$3*100*$A50</f>
        <v>50.8875</v>
      </c>
      <c r="CF50" s="19" t="n">
        <f aca="false">$B50+CF$3*100*$A50</f>
        <v>51.475</v>
      </c>
      <c r="CG50" s="19" t="n">
        <f aca="false">$B50+CG$3*100*$A50</f>
        <v>52.0625</v>
      </c>
      <c r="CH50" s="19" t="n">
        <f aca="false">$B50+CH$3*100*$A50</f>
        <v>52.65</v>
      </c>
      <c r="CI50" s="19" t="n">
        <f aca="false">$B50+CI$3*100*$A50</f>
        <v>53.2375</v>
      </c>
      <c r="CJ50" s="19" t="n">
        <f aca="false">$B50+CJ$3*100*$A50</f>
        <v>53.825</v>
      </c>
      <c r="CK50" s="19" t="n">
        <f aca="false">$B50+CK$3*100*$A50</f>
        <v>54.4125</v>
      </c>
      <c r="CL50" s="19" t="n">
        <f aca="false">$B50+CL$3*100*$A50</f>
        <v>55</v>
      </c>
      <c r="CM50" s="19" t="n">
        <f aca="false">$B50+CM$3*100*$A50</f>
        <v>55.5875</v>
      </c>
      <c r="CN50" s="19" t="n">
        <f aca="false">$B50+CN$3*100*$A50</f>
        <v>56.175</v>
      </c>
      <c r="CO50" s="19" t="n">
        <f aca="false">$B50+CO$3*100*$A50</f>
        <v>56.7625</v>
      </c>
      <c r="CP50" s="19" t="n">
        <f aca="false">$B50+CP$3*100*$A50</f>
        <v>57.35</v>
      </c>
      <c r="CQ50" s="19" t="n">
        <f aca="false">$B50+CQ$3*100*$A50</f>
        <v>57.9375</v>
      </c>
      <c r="CR50" s="19" t="n">
        <f aca="false">$B50+CR$3*100*$A50</f>
        <v>58.525</v>
      </c>
      <c r="CS50" s="19" t="n">
        <f aca="false">$B50+CS$3*100*$A50</f>
        <v>59.1125</v>
      </c>
      <c r="CT50" s="19" t="n">
        <f aca="false">$B50+CT$3*100*$A50</f>
        <v>59.7</v>
      </c>
      <c r="CU50" s="19" t="n">
        <f aca="false">$B50+CU$3*100*$A50</f>
        <v>60.2875</v>
      </c>
      <c r="CV50" s="19" t="n">
        <f aca="false">$B50+CV$3*100*$A50</f>
        <v>60.875</v>
      </c>
      <c r="CW50" s="19" t="n">
        <f aca="false">$B50+CW$3*100*$A50</f>
        <v>61.4625</v>
      </c>
      <c r="CX50" s="19" t="n">
        <f aca="false">$B50+CX$3*100*$A50</f>
        <v>62.05</v>
      </c>
      <c r="CY50" s="19" t="n">
        <f aca="false">$B50+CY$3*100*$A50</f>
        <v>62.6375</v>
      </c>
      <c r="CZ50" s="19" t="n">
        <f aca="false">$B50+CZ$3*100*$A50</f>
        <v>63.225</v>
      </c>
      <c r="DA50" s="19" t="n">
        <f aca="false">$B50+DA$3*100*$A50</f>
        <v>63.8125</v>
      </c>
      <c r="DB50" s="19" t="n">
        <f aca="false">$B50+DB$3*100*$A50</f>
        <v>64.4</v>
      </c>
      <c r="DC50" s="19" t="n">
        <f aca="false">$B50+DC$3*100*$A50</f>
        <v>64.9875</v>
      </c>
      <c r="DD50" s="19" t="n">
        <f aca="false">$B50+DD$3*100*$A50</f>
        <v>65.575</v>
      </c>
      <c r="DE50" s="19" t="n">
        <f aca="false">$B50+DE$3*100*$A50</f>
        <v>66.1625</v>
      </c>
      <c r="DF50" s="19" t="n">
        <f aca="false">$B50+DF$3*100*$A50</f>
        <v>66.75</v>
      </c>
      <c r="DG50" s="19" t="n">
        <f aca="false">$B50+DG$3*100*$A50</f>
        <v>67.3375</v>
      </c>
      <c r="DH50" s="19" t="n">
        <f aca="false">$B50+DH$3*100*$A50</f>
        <v>67.925</v>
      </c>
      <c r="DI50" s="19" t="n">
        <f aca="false">$B50+DI$3*100*$A50</f>
        <v>68.5125</v>
      </c>
      <c r="DJ50" s="19" t="n">
        <f aca="false">$B50+DJ$3*100*$A50</f>
        <v>69.1</v>
      </c>
      <c r="DK50" s="19" t="n">
        <f aca="false">$B50+DK$3*100*$A50</f>
        <v>69.6875</v>
      </c>
      <c r="DL50" s="19" t="n">
        <f aca="false">$B50+DL$3*100*$A50</f>
        <v>70.275</v>
      </c>
      <c r="DM50" s="19" t="n">
        <f aca="false">$B50+DM$3*100*$A50</f>
        <v>70.8625</v>
      </c>
      <c r="DN50" s="19" t="n">
        <f aca="false">$B50+DN$3*100*$A50</f>
        <v>71.45</v>
      </c>
      <c r="DO50" s="19" t="n">
        <f aca="false">$B50+DO$3*100*$A50</f>
        <v>72.0375</v>
      </c>
      <c r="DP50" s="19" t="n">
        <f aca="false">$B50+DP$3*100*$A50</f>
        <v>72.625</v>
      </c>
      <c r="DQ50" s="19" t="n">
        <f aca="false">$B50+DQ$3*100*$A50</f>
        <v>73.2125</v>
      </c>
      <c r="DR50" s="19" t="n">
        <f aca="false">$B50+DR$3*100*$A50</f>
        <v>73.8</v>
      </c>
      <c r="DS50" s="19" t="n">
        <f aca="false">$B50+DS$3*100*$A50</f>
        <v>74.3875</v>
      </c>
      <c r="DT50" s="19" t="n">
        <f aca="false">$B50+DT$3*100*$A50</f>
        <v>74.975</v>
      </c>
      <c r="DU50" s="19" t="n">
        <f aca="false">$B50+DU$3*100*$A50</f>
        <v>75.5625</v>
      </c>
      <c r="DV50" s="19" t="n">
        <f aca="false">$B50+DV$3*100*$A50</f>
        <v>76.15</v>
      </c>
      <c r="DW50" s="19" t="n">
        <f aca="false">$B50+DW$3*100*$A50</f>
        <v>76.7375</v>
      </c>
      <c r="DX50" s="19" t="n">
        <f aca="false">$B50+DX$3*100*$A50</f>
        <v>77.325</v>
      </c>
      <c r="DY50" s="19" t="n">
        <f aca="false">$B50+DY$3*100*$A50</f>
        <v>77.9125</v>
      </c>
      <c r="DZ50" s="19" t="n">
        <f aca="false">$B50+DZ$3*100*$A50</f>
        <v>78.5</v>
      </c>
      <c r="EA50" s="19" t="n">
        <f aca="false">$B50+EA$3*100*$A50</f>
        <v>79.0875</v>
      </c>
      <c r="EB50" s="19" t="n">
        <f aca="false">$B50+EB$3*100*$A50</f>
        <v>79.675</v>
      </c>
      <c r="EC50" s="19" t="n">
        <f aca="false">$B50+EC$3*100*$A50</f>
        <v>80.2625</v>
      </c>
      <c r="ED50" s="19" t="n">
        <f aca="false">$B50+ED$3*100*$A50</f>
        <v>80.85</v>
      </c>
      <c r="EE50" s="19" t="n">
        <f aca="false">$B50+EE$3*100*$A50</f>
        <v>81.4375</v>
      </c>
      <c r="EF50" s="19" t="n">
        <f aca="false">$B50+EF$3*100*$A50</f>
        <v>82.025</v>
      </c>
      <c r="EG50" s="19" t="n">
        <f aca="false">$B50+EG$3*100*$A50</f>
        <v>82.6125</v>
      </c>
      <c r="EH50" s="19" t="n">
        <f aca="false">$B50+EH$3*100*$A50</f>
        <v>83.2</v>
      </c>
      <c r="EI50" s="19" t="n">
        <f aca="false">$B50+EI$3*100*$A50</f>
        <v>83.7875</v>
      </c>
      <c r="EJ50" s="19" t="n">
        <f aca="false">$B50+EJ$3*100*$A50</f>
        <v>84.375</v>
      </c>
      <c r="EK50" s="19" t="n">
        <f aca="false">$B50+EK$3*100*$A50</f>
        <v>84.9625</v>
      </c>
      <c r="EL50" s="19" t="n">
        <f aca="false">$B50+EL$3*100*$A50</f>
        <v>85.55</v>
      </c>
      <c r="EM50" s="19" t="n">
        <f aca="false">$B50+EM$3*100*$A50</f>
        <v>86.1375</v>
      </c>
      <c r="EN50" s="19" t="n">
        <f aca="false">$B50+EN$3*100*$A50</f>
        <v>86.725</v>
      </c>
      <c r="EO50" s="19" t="n">
        <f aca="false">$B50+EO$3*100*$A50</f>
        <v>87.3125</v>
      </c>
      <c r="EP50" s="19" t="n">
        <f aca="false">$B50+EP$3*100*$A50</f>
        <v>87.9</v>
      </c>
      <c r="EQ50" s="19" t="n">
        <f aca="false">$B50+EQ$3*100*$A50</f>
        <v>88.4875</v>
      </c>
      <c r="ER50" s="19" t="n">
        <f aca="false">$B50+ER$3*100*$A50</f>
        <v>89.075</v>
      </c>
      <c r="ES50" s="19" t="n">
        <f aca="false">$B50+ES$3*100*$A50</f>
        <v>89.6625</v>
      </c>
      <c r="ET50" s="19" t="n">
        <f aca="false">$B50+ET$3*100*$A50</f>
        <v>90.25</v>
      </c>
      <c r="EU50" s="19" t="n">
        <f aca="false">$B50+EU$3*100*$A50</f>
        <v>90.8375</v>
      </c>
      <c r="EV50" s="19" t="n">
        <f aca="false">$B50+EV$3*100*$A50</f>
        <v>91.425</v>
      </c>
      <c r="EW50" s="19" t="n">
        <f aca="false">$B50+EW$3*100*$A50</f>
        <v>92.0125</v>
      </c>
      <c r="EX50" s="19" t="n">
        <f aca="false">$B50+EX$3*100*$A50</f>
        <v>92.6</v>
      </c>
      <c r="EY50" s="19" t="n">
        <f aca="false">$B50+EY$3*100*$A50</f>
        <v>93.1875</v>
      </c>
      <c r="EZ50" s="19" t="n">
        <f aca="false">$B50+EZ$3*100*$A50</f>
        <v>93.775</v>
      </c>
      <c r="FA50" s="19" t="n">
        <f aca="false">$B50+FA$3*100*$A50</f>
        <v>94.3625</v>
      </c>
      <c r="FB50" s="19" t="n">
        <f aca="false">$B50+FB$3*100*$A50</f>
        <v>94.95</v>
      </c>
      <c r="FC50" s="19" t="n">
        <f aca="false">$B50+FC$3*100*$A50</f>
        <v>95.5375</v>
      </c>
      <c r="FD50" s="19" t="n">
        <f aca="false">$B50+FD$3*100*$A50</f>
        <v>96.125</v>
      </c>
      <c r="FE50" s="19" t="n">
        <f aca="false">$B50+FE$3*100*$A50</f>
        <v>96.7125</v>
      </c>
      <c r="FF50" s="19" t="n">
        <f aca="false">$B50+FF$3*100*$A50</f>
        <v>97.3</v>
      </c>
      <c r="FG50" s="19" t="n">
        <f aca="false">$B50+FG$3*100*$A50</f>
        <v>97.8875</v>
      </c>
      <c r="FH50" s="19" t="n">
        <f aca="false">$B50+FH$3*100*$A50</f>
        <v>98.475</v>
      </c>
      <c r="FI50" s="19" t="n">
        <f aca="false">$B50+FI$3*100*$A50</f>
        <v>99.0625</v>
      </c>
      <c r="FJ50" s="19" t="n">
        <f aca="false">$B50+FJ$3*100*$A50</f>
        <v>99.65</v>
      </c>
      <c r="FK50" s="19" t="n">
        <f aca="false">$B50+FK$3*100*$A50</f>
        <v>100.2375</v>
      </c>
      <c r="FL50" s="19" t="n">
        <f aca="false">$B50+FL$3*100*$A50</f>
        <v>100.825</v>
      </c>
      <c r="FM50" s="19" t="n">
        <f aca="false">$B50+FM$3*100*$A50</f>
        <v>101.4125</v>
      </c>
      <c r="FN50" s="19" t="n">
        <f aca="false">$B50+FN$3*100*$A50</f>
        <v>102</v>
      </c>
      <c r="FO50" s="19" t="n">
        <f aca="false">$B50+FO$3*100*$A50</f>
        <v>102.5875</v>
      </c>
      <c r="FP50" s="19" t="n">
        <f aca="false">$B50+FP$3*100*$A50</f>
        <v>103.175</v>
      </c>
      <c r="FQ50" s="19" t="n">
        <f aca="false">$B50+FQ$3*100*$A50</f>
        <v>103.7625</v>
      </c>
      <c r="FR50" s="19" t="n">
        <f aca="false">$B50+FR$3*100*$A50</f>
        <v>104.35</v>
      </c>
      <c r="FS50" s="19" t="n">
        <f aca="false">$B50+FS$3*100*$A50</f>
        <v>104.9375</v>
      </c>
      <c r="FT50" s="19" t="n">
        <f aca="false">$B50+FT$3*100*$A50</f>
        <v>105.525</v>
      </c>
      <c r="FU50" s="19" t="n">
        <f aca="false">$B50+FU$3*100*$A50</f>
        <v>106.1125</v>
      </c>
      <c r="FV50" s="19" t="n">
        <f aca="false">$B50+FV$3*100*$A50</f>
        <v>106.7</v>
      </c>
      <c r="FW50" s="19" t="n">
        <f aca="false">$B50+FW$3*100*$A50</f>
        <v>107.2875</v>
      </c>
      <c r="FX50" s="19" t="n">
        <f aca="false">$B50+FX$3*100*$A50</f>
        <v>107.875</v>
      </c>
      <c r="FY50" s="19" t="n">
        <f aca="false">$B50+FY$3*100*$A50</f>
        <v>108.4625</v>
      </c>
      <c r="FZ50" s="19" t="n">
        <f aca="false">$B50+FZ$3*100*$A50</f>
        <v>109.05</v>
      </c>
      <c r="GA50" s="19" t="n">
        <f aca="false">$B50+GA$3*100*$A50</f>
        <v>109.6375</v>
      </c>
      <c r="GB50" s="19" t="n">
        <f aca="false">$B50+GB$3*100*$A50</f>
        <v>110.225</v>
      </c>
      <c r="GC50" s="19" t="n">
        <f aca="false">$B50+GC$3*100*$A50</f>
        <v>110.8125</v>
      </c>
      <c r="GD50" s="19" t="n">
        <f aca="false">$B50+GD$3*100*$A50</f>
        <v>111.4</v>
      </c>
      <c r="GE50" s="19" t="n">
        <f aca="false">$B50+GE$3*100*$A50</f>
        <v>111.9875</v>
      </c>
      <c r="GF50" s="19" t="n">
        <f aca="false">$B50+GF$3*100*$A50</f>
        <v>112.575</v>
      </c>
      <c r="GG50" s="19" t="n">
        <f aca="false">$B50+GG$3*100*$A50</f>
        <v>113.1625</v>
      </c>
      <c r="GH50" s="19" t="n">
        <f aca="false">$B50+GH$3*100*$A50</f>
        <v>113.75</v>
      </c>
      <c r="GI50" s="19" t="n">
        <f aca="false">$B50+GI$3*100*$A50</f>
        <v>114.3375</v>
      </c>
      <c r="GJ50" s="19" t="n">
        <f aca="false">$B50+GJ$3*100*$A50</f>
        <v>114.925</v>
      </c>
      <c r="GK50" s="19" t="n">
        <f aca="false">$B50+GK$3*100*$A50</f>
        <v>115.5125</v>
      </c>
      <c r="GL50" s="19" t="n">
        <f aca="false">$B50+GL$3*100*$A50</f>
        <v>116.1</v>
      </c>
      <c r="GM50" s="19" t="n">
        <f aca="false">$B50+GM$3*100*$A50</f>
        <v>116.6875</v>
      </c>
      <c r="GN50" s="19" t="n">
        <f aca="false">$B50+GN$3*100*$A50</f>
        <v>117.275</v>
      </c>
      <c r="GO50" s="19" t="n">
        <f aca="false">$B50+GO$3*100*$A50</f>
        <v>117.8625</v>
      </c>
      <c r="GP50" s="19" t="n">
        <f aca="false">$B50+GP$3*100*$A50</f>
        <v>118.45</v>
      </c>
      <c r="GQ50" s="19" t="n">
        <f aca="false">$B50+GQ$3*100*$A50</f>
        <v>119.0375</v>
      </c>
      <c r="GR50" s="19" t="n">
        <f aca="false">$B50+GR$3*100*$A50</f>
        <v>119.625</v>
      </c>
      <c r="GS50" s="19" t="n">
        <f aca="false">$B50+GS$3*100*$A50</f>
        <v>120.2125</v>
      </c>
      <c r="GT50" s="19" t="n">
        <f aca="false">$B50+GT$3*100*$A50</f>
        <v>120.8</v>
      </c>
    </row>
    <row r="51" customFormat="false" ht="15" hidden="false" customHeight="false" outlineLevel="0" collapsed="false">
      <c r="A51" s="26" t="n">
        <f aca="false">Frontier!A49</f>
        <v>0.12</v>
      </c>
      <c r="B51" s="34" t="n">
        <f aca="false">Frontier!B49</f>
        <v>3.15</v>
      </c>
      <c r="C51" s="19" t="n">
        <f aca="false">$B51+C$3*100*$A51</f>
        <v>3.75</v>
      </c>
      <c r="D51" s="19" t="n">
        <f aca="false">$B51+D$3*100*$A51</f>
        <v>4.35</v>
      </c>
      <c r="E51" s="19" t="n">
        <f aca="false">$B51+E$3*100*$A51</f>
        <v>4.95</v>
      </c>
      <c r="F51" s="19" t="n">
        <f aca="false">$B51+F$3*100*$A51</f>
        <v>5.55</v>
      </c>
      <c r="G51" s="19" t="n">
        <f aca="false">$B51+G$3*100*$A51</f>
        <v>6.15</v>
      </c>
      <c r="H51" s="19" t="n">
        <f aca="false">$B51+H$3*100*$A51</f>
        <v>6.75</v>
      </c>
      <c r="I51" s="19" t="n">
        <f aca="false">$B51+I$3*100*$A51</f>
        <v>7.35</v>
      </c>
      <c r="J51" s="19" t="n">
        <f aca="false">$B51+J$3*100*$A51</f>
        <v>7.95</v>
      </c>
      <c r="K51" s="19" t="n">
        <f aca="false">$B51+K$3*100*$A51</f>
        <v>8.55</v>
      </c>
      <c r="L51" s="19" t="n">
        <f aca="false">$B51+L$3*100*$A51</f>
        <v>9.15</v>
      </c>
      <c r="M51" s="19" t="n">
        <f aca="false">$B51+M$3*100*$A51</f>
        <v>9.75</v>
      </c>
      <c r="N51" s="19" t="n">
        <f aca="false">$B51+N$3*100*$A51</f>
        <v>10.35</v>
      </c>
      <c r="O51" s="19" t="n">
        <f aca="false">$B51+O$3*100*$A51</f>
        <v>10.95</v>
      </c>
      <c r="P51" s="19" t="n">
        <f aca="false">$B51+P$3*100*$A51</f>
        <v>11.55</v>
      </c>
      <c r="Q51" s="19" t="n">
        <f aca="false">$B51+Q$3*100*$A51</f>
        <v>12.15</v>
      </c>
      <c r="R51" s="19" t="n">
        <f aca="false">$B51+R$3*100*$A51</f>
        <v>12.75</v>
      </c>
      <c r="S51" s="19" t="n">
        <f aca="false">$B51+S$3*100*$A51</f>
        <v>13.35</v>
      </c>
      <c r="T51" s="19" t="n">
        <f aca="false">$B51+T$3*100*$A51</f>
        <v>13.95</v>
      </c>
      <c r="U51" s="19" t="n">
        <f aca="false">$B51+U$3*100*$A51</f>
        <v>14.55</v>
      </c>
      <c r="V51" s="19" t="n">
        <f aca="false">$B51+V$3*100*$A51</f>
        <v>15.15</v>
      </c>
      <c r="W51" s="19" t="n">
        <f aca="false">$B51+W$3*100*$A51</f>
        <v>15.75</v>
      </c>
      <c r="X51" s="19" t="n">
        <f aca="false">$B51+X$3*100*$A51</f>
        <v>16.35</v>
      </c>
      <c r="Y51" s="19" t="n">
        <f aca="false">$B51+Y$3*100*$A51</f>
        <v>16.95</v>
      </c>
      <c r="Z51" s="19" t="n">
        <f aca="false">$B51+Z$3*100*$A51</f>
        <v>17.55</v>
      </c>
      <c r="AA51" s="19" t="n">
        <f aca="false">$B51+AA$3*100*$A51</f>
        <v>18.15</v>
      </c>
      <c r="AB51" s="19" t="n">
        <f aca="false">$B51+AB$3*100*$A51</f>
        <v>18.75</v>
      </c>
      <c r="AC51" s="19" t="n">
        <f aca="false">$B51+AC$3*100*$A51</f>
        <v>19.35</v>
      </c>
      <c r="AD51" s="19" t="n">
        <f aca="false">$B51+AD$3*100*$A51</f>
        <v>19.95</v>
      </c>
      <c r="AE51" s="19" t="n">
        <f aca="false">$B51+AE$3*100*$A51</f>
        <v>20.55</v>
      </c>
      <c r="AF51" s="19" t="n">
        <f aca="false">$B51+AF$3*100*$A51</f>
        <v>21.15</v>
      </c>
      <c r="AG51" s="19" t="n">
        <f aca="false">$B51+AG$3*100*$A51</f>
        <v>21.75</v>
      </c>
      <c r="AH51" s="19" t="n">
        <f aca="false">$B51+AH$3*100*$A51</f>
        <v>22.35</v>
      </c>
      <c r="AI51" s="19" t="n">
        <f aca="false">$B51+AI$3*100*$A51</f>
        <v>22.95</v>
      </c>
      <c r="AJ51" s="19" t="n">
        <f aca="false">$B51+AJ$3*100*$A51</f>
        <v>23.55</v>
      </c>
      <c r="AK51" s="19" t="n">
        <f aca="false">$B51+AK$3*100*$A51</f>
        <v>24.15</v>
      </c>
      <c r="AL51" s="19" t="n">
        <f aca="false">$B51+AL$3*100*$A51</f>
        <v>24.75</v>
      </c>
      <c r="AM51" s="19" t="n">
        <f aca="false">$B51+AM$3*100*$A51</f>
        <v>25.35</v>
      </c>
      <c r="AN51" s="19" t="n">
        <f aca="false">$B51+AN$3*100*$A51</f>
        <v>25.95</v>
      </c>
      <c r="AO51" s="19" t="n">
        <f aca="false">$B51+AO$3*100*$A51</f>
        <v>26.55</v>
      </c>
      <c r="AP51" s="19" t="n">
        <f aca="false">$B51+AP$3*100*$A51</f>
        <v>27.15</v>
      </c>
      <c r="AQ51" s="19" t="n">
        <f aca="false">$B51+AQ$3*100*$A51</f>
        <v>27.75</v>
      </c>
      <c r="AR51" s="19" t="n">
        <f aca="false">$B51+AR$3*100*$A51</f>
        <v>28.35</v>
      </c>
      <c r="AS51" s="19" t="n">
        <f aca="false">$B51+AS$3*100*$A51</f>
        <v>28.95</v>
      </c>
      <c r="AT51" s="19" t="n">
        <f aca="false">$B51+AT$3*100*$A51</f>
        <v>29.55</v>
      </c>
      <c r="AU51" s="19" t="n">
        <f aca="false">$B51+AU$3*100*$A51</f>
        <v>30.15</v>
      </c>
      <c r="AV51" s="19" t="n">
        <f aca="false">$B51+AV$3*100*$A51</f>
        <v>30.75</v>
      </c>
      <c r="AW51" s="19" t="n">
        <f aca="false">$B51+AW$3*100*$A51</f>
        <v>31.35</v>
      </c>
      <c r="AX51" s="19" t="n">
        <f aca="false">$B51+AX$3*100*$A51</f>
        <v>31.95</v>
      </c>
      <c r="AY51" s="19" t="n">
        <f aca="false">$B51+AY$3*100*$A51</f>
        <v>32.55</v>
      </c>
      <c r="AZ51" s="19" t="n">
        <f aca="false">$B51+AZ$3*100*$A51</f>
        <v>33.15</v>
      </c>
      <c r="BA51" s="19" t="n">
        <f aca="false">$B51+BA$3*100*$A51</f>
        <v>33.75</v>
      </c>
      <c r="BB51" s="19" t="n">
        <f aca="false">$B51+BB$3*100*$A51</f>
        <v>34.35</v>
      </c>
      <c r="BC51" s="19" t="n">
        <f aca="false">$B51+BC$3*100*$A51</f>
        <v>34.95</v>
      </c>
      <c r="BD51" s="19" t="n">
        <f aca="false">$B51+BD$3*100*$A51</f>
        <v>35.55</v>
      </c>
      <c r="BE51" s="19" t="n">
        <f aca="false">$B51+BE$3*100*$A51</f>
        <v>36.15</v>
      </c>
      <c r="BF51" s="19" t="n">
        <f aca="false">$B51+BF$3*100*$A51</f>
        <v>36.75</v>
      </c>
      <c r="BG51" s="19" t="n">
        <f aca="false">$B51+BG$3*100*$A51</f>
        <v>37.35</v>
      </c>
      <c r="BH51" s="19" t="n">
        <f aca="false">$B51+BH$3*100*$A51</f>
        <v>37.95</v>
      </c>
      <c r="BI51" s="19" t="n">
        <f aca="false">$B51+BI$3*100*$A51</f>
        <v>38.55</v>
      </c>
      <c r="BJ51" s="19" t="n">
        <f aca="false">$B51+BJ$3*100*$A51</f>
        <v>39.15</v>
      </c>
      <c r="BK51" s="19" t="n">
        <f aca="false">$B51+BK$3*100*$A51</f>
        <v>39.75</v>
      </c>
      <c r="BL51" s="19" t="n">
        <f aca="false">$B51+BL$3*100*$A51</f>
        <v>40.35</v>
      </c>
      <c r="BM51" s="19" t="n">
        <f aca="false">$B51+BM$3*100*$A51</f>
        <v>40.95</v>
      </c>
      <c r="BN51" s="19" t="n">
        <f aca="false">$B51+BN$3*100*$A51</f>
        <v>41.55</v>
      </c>
      <c r="BO51" s="19" t="n">
        <f aca="false">$B51+BO$3*100*$A51</f>
        <v>42.15</v>
      </c>
      <c r="BP51" s="19" t="n">
        <f aca="false">$B51+BP$3*100*$A51</f>
        <v>42.75</v>
      </c>
      <c r="BQ51" s="19" t="n">
        <f aca="false">$B51+BQ$3*100*$A51</f>
        <v>43.35</v>
      </c>
      <c r="BR51" s="19" t="n">
        <f aca="false">$B51+BR$3*100*$A51</f>
        <v>43.95</v>
      </c>
      <c r="BS51" s="19" t="n">
        <f aca="false">$B51+BS$3*100*$A51</f>
        <v>44.55</v>
      </c>
      <c r="BT51" s="19" t="n">
        <f aca="false">$B51+BT$3*100*$A51</f>
        <v>45.15</v>
      </c>
      <c r="BU51" s="19" t="n">
        <f aca="false">$B51+BU$3*100*$A51</f>
        <v>45.75</v>
      </c>
      <c r="BV51" s="19" t="n">
        <f aca="false">$B51+BV$3*100*$A51</f>
        <v>46.35</v>
      </c>
      <c r="BW51" s="19" t="n">
        <f aca="false">$B51+BW$3*100*$A51</f>
        <v>46.95</v>
      </c>
      <c r="BX51" s="19" t="n">
        <f aca="false">$B51+BX$3*100*$A51</f>
        <v>47.55</v>
      </c>
      <c r="BY51" s="19" t="n">
        <f aca="false">$B51+BY$3*100*$A51</f>
        <v>48.15</v>
      </c>
      <c r="BZ51" s="19" t="n">
        <f aca="false">$B51+BZ$3*100*$A51</f>
        <v>48.75</v>
      </c>
      <c r="CA51" s="19" t="n">
        <f aca="false">$B51+CA$3*100*$A51</f>
        <v>49.35</v>
      </c>
      <c r="CB51" s="19" t="n">
        <f aca="false">$B51+CB$3*100*$A51</f>
        <v>49.95</v>
      </c>
      <c r="CC51" s="19" t="n">
        <f aca="false">$B51+CC$3*100*$A51</f>
        <v>50.55</v>
      </c>
      <c r="CD51" s="19" t="n">
        <f aca="false">$B51+CD$3*100*$A51</f>
        <v>51.15</v>
      </c>
      <c r="CE51" s="19" t="n">
        <f aca="false">$B51+CE$3*100*$A51</f>
        <v>51.75</v>
      </c>
      <c r="CF51" s="19" t="n">
        <f aca="false">$B51+CF$3*100*$A51</f>
        <v>52.35</v>
      </c>
      <c r="CG51" s="19" t="n">
        <f aca="false">$B51+CG$3*100*$A51</f>
        <v>52.95</v>
      </c>
      <c r="CH51" s="19" t="n">
        <f aca="false">$B51+CH$3*100*$A51</f>
        <v>53.55</v>
      </c>
      <c r="CI51" s="19" t="n">
        <f aca="false">$B51+CI$3*100*$A51</f>
        <v>54.15</v>
      </c>
      <c r="CJ51" s="19" t="n">
        <f aca="false">$B51+CJ$3*100*$A51</f>
        <v>54.75</v>
      </c>
      <c r="CK51" s="19" t="n">
        <f aca="false">$B51+CK$3*100*$A51</f>
        <v>55.35</v>
      </c>
      <c r="CL51" s="19" t="n">
        <f aca="false">$B51+CL$3*100*$A51</f>
        <v>55.95</v>
      </c>
      <c r="CM51" s="19" t="n">
        <f aca="false">$B51+CM$3*100*$A51</f>
        <v>56.55</v>
      </c>
      <c r="CN51" s="19" t="n">
        <f aca="false">$B51+CN$3*100*$A51</f>
        <v>57.15</v>
      </c>
      <c r="CO51" s="19" t="n">
        <f aca="false">$B51+CO$3*100*$A51</f>
        <v>57.75</v>
      </c>
      <c r="CP51" s="19" t="n">
        <f aca="false">$B51+CP$3*100*$A51</f>
        <v>58.35</v>
      </c>
      <c r="CQ51" s="19" t="n">
        <f aca="false">$B51+CQ$3*100*$A51</f>
        <v>58.95</v>
      </c>
      <c r="CR51" s="19" t="n">
        <f aca="false">$B51+CR$3*100*$A51</f>
        <v>59.55</v>
      </c>
      <c r="CS51" s="19" t="n">
        <f aca="false">$B51+CS$3*100*$A51</f>
        <v>60.15</v>
      </c>
      <c r="CT51" s="19" t="n">
        <f aca="false">$B51+CT$3*100*$A51</f>
        <v>60.75</v>
      </c>
      <c r="CU51" s="19" t="n">
        <f aca="false">$B51+CU$3*100*$A51</f>
        <v>61.35</v>
      </c>
      <c r="CV51" s="19" t="n">
        <f aca="false">$B51+CV$3*100*$A51</f>
        <v>61.95</v>
      </c>
      <c r="CW51" s="19" t="n">
        <f aca="false">$B51+CW$3*100*$A51</f>
        <v>62.55</v>
      </c>
      <c r="CX51" s="19" t="n">
        <f aca="false">$B51+CX$3*100*$A51</f>
        <v>63.15</v>
      </c>
      <c r="CY51" s="19" t="n">
        <f aca="false">$B51+CY$3*100*$A51</f>
        <v>63.75</v>
      </c>
      <c r="CZ51" s="19" t="n">
        <f aca="false">$B51+CZ$3*100*$A51</f>
        <v>64.35</v>
      </c>
      <c r="DA51" s="19" t="n">
        <f aca="false">$B51+DA$3*100*$A51</f>
        <v>64.95</v>
      </c>
      <c r="DB51" s="19" t="n">
        <f aca="false">$B51+DB$3*100*$A51</f>
        <v>65.55</v>
      </c>
      <c r="DC51" s="19" t="n">
        <f aca="false">$B51+DC$3*100*$A51</f>
        <v>66.15</v>
      </c>
      <c r="DD51" s="19" t="n">
        <f aca="false">$B51+DD$3*100*$A51</f>
        <v>66.75</v>
      </c>
      <c r="DE51" s="19" t="n">
        <f aca="false">$B51+DE$3*100*$A51</f>
        <v>67.35</v>
      </c>
      <c r="DF51" s="19" t="n">
        <f aca="false">$B51+DF$3*100*$A51</f>
        <v>67.95</v>
      </c>
      <c r="DG51" s="19" t="n">
        <f aca="false">$B51+DG$3*100*$A51</f>
        <v>68.55</v>
      </c>
      <c r="DH51" s="19" t="n">
        <f aca="false">$B51+DH$3*100*$A51</f>
        <v>69.15</v>
      </c>
      <c r="DI51" s="19" t="n">
        <f aca="false">$B51+DI$3*100*$A51</f>
        <v>69.75</v>
      </c>
      <c r="DJ51" s="19" t="n">
        <f aca="false">$B51+DJ$3*100*$A51</f>
        <v>70.35</v>
      </c>
      <c r="DK51" s="19" t="n">
        <f aca="false">$B51+DK$3*100*$A51</f>
        <v>70.95</v>
      </c>
      <c r="DL51" s="19" t="n">
        <f aca="false">$B51+DL$3*100*$A51</f>
        <v>71.55</v>
      </c>
      <c r="DM51" s="19" t="n">
        <f aca="false">$B51+DM$3*100*$A51</f>
        <v>72.15</v>
      </c>
      <c r="DN51" s="19" t="n">
        <f aca="false">$B51+DN$3*100*$A51</f>
        <v>72.75</v>
      </c>
      <c r="DO51" s="19" t="n">
        <f aca="false">$B51+DO$3*100*$A51</f>
        <v>73.35</v>
      </c>
      <c r="DP51" s="19" t="n">
        <f aca="false">$B51+DP$3*100*$A51</f>
        <v>73.95</v>
      </c>
      <c r="DQ51" s="19" t="n">
        <f aca="false">$B51+DQ$3*100*$A51</f>
        <v>74.55</v>
      </c>
      <c r="DR51" s="19" t="n">
        <f aca="false">$B51+DR$3*100*$A51</f>
        <v>75.15</v>
      </c>
      <c r="DS51" s="19" t="n">
        <f aca="false">$B51+DS$3*100*$A51</f>
        <v>75.75</v>
      </c>
      <c r="DT51" s="19" t="n">
        <f aca="false">$B51+DT$3*100*$A51</f>
        <v>76.35</v>
      </c>
      <c r="DU51" s="19" t="n">
        <f aca="false">$B51+DU$3*100*$A51</f>
        <v>76.95</v>
      </c>
      <c r="DV51" s="19" t="n">
        <f aca="false">$B51+DV$3*100*$A51</f>
        <v>77.55</v>
      </c>
      <c r="DW51" s="19" t="n">
        <f aca="false">$B51+DW$3*100*$A51</f>
        <v>78.15</v>
      </c>
      <c r="DX51" s="19" t="n">
        <f aca="false">$B51+DX$3*100*$A51</f>
        <v>78.75</v>
      </c>
      <c r="DY51" s="19" t="n">
        <f aca="false">$B51+DY$3*100*$A51</f>
        <v>79.35</v>
      </c>
      <c r="DZ51" s="19" t="n">
        <f aca="false">$B51+DZ$3*100*$A51</f>
        <v>79.95</v>
      </c>
      <c r="EA51" s="19" t="n">
        <f aca="false">$B51+EA$3*100*$A51</f>
        <v>80.55</v>
      </c>
      <c r="EB51" s="19" t="n">
        <f aca="false">$B51+EB$3*100*$A51</f>
        <v>81.15</v>
      </c>
      <c r="EC51" s="19" t="n">
        <f aca="false">$B51+EC$3*100*$A51</f>
        <v>81.75</v>
      </c>
      <c r="ED51" s="19" t="n">
        <f aca="false">$B51+ED$3*100*$A51</f>
        <v>82.35</v>
      </c>
      <c r="EE51" s="19" t="n">
        <f aca="false">$B51+EE$3*100*$A51</f>
        <v>82.95</v>
      </c>
      <c r="EF51" s="19" t="n">
        <f aca="false">$B51+EF$3*100*$A51</f>
        <v>83.55</v>
      </c>
      <c r="EG51" s="19" t="n">
        <f aca="false">$B51+EG$3*100*$A51</f>
        <v>84.15</v>
      </c>
      <c r="EH51" s="19" t="n">
        <f aca="false">$B51+EH$3*100*$A51</f>
        <v>84.75</v>
      </c>
      <c r="EI51" s="19" t="n">
        <f aca="false">$B51+EI$3*100*$A51</f>
        <v>85.35</v>
      </c>
      <c r="EJ51" s="19" t="n">
        <f aca="false">$B51+EJ$3*100*$A51</f>
        <v>85.95</v>
      </c>
      <c r="EK51" s="19" t="n">
        <f aca="false">$B51+EK$3*100*$A51</f>
        <v>86.55</v>
      </c>
      <c r="EL51" s="19" t="n">
        <f aca="false">$B51+EL$3*100*$A51</f>
        <v>87.15</v>
      </c>
      <c r="EM51" s="19" t="n">
        <f aca="false">$B51+EM$3*100*$A51</f>
        <v>87.75</v>
      </c>
      <c r="EN51" s="19" t="n">
        <f aca="false">$B51+EN$3*100*$A51</f>
        <v>88.35</v>
      </c>
      <c r="EO51" s="19" t="n">
        <f aca="false">$B51+EO$3*100*$A51</f>
        <v>88.95</v>
      </c>
      <c r="EP51" s="19" t="n">
        <f aca="false">$B51+EP$3*100*$A51</f>
        <v>89.55</v>
      </c>
      <c r="EQ51" s="19" t="n">
        <f aca="false">$B51+EQ$3*100*$A51</f>
        <v>90.15</v>
      </c>
      <c r="ER51" s="19" t="n">
        <f aca="false">$B51+ER$3*100*$A51</f>
        <v>90.75</v>
      </c>
      <c r="ES51" s="19" t="n">
        <f aca="false">$B51+ES$3*100*$A51</f>
        <v>91.35</v>
      </c>
      <c r="ET51" s="19" t="n">
        <f aca="false">$B51+ET$3*100*$A51</f>
        <v>91.95</v>
      </c>
      <c r="EU51" s="19" t="n">
        <f aca="false">$B51+EU$3*100*$A51</f>
        <v>92.55</v>
      </c>
      <c r="EV51" s="19" t="n">
        <f aca="false">$B51+EV$3*100*$A51</f>
        <v>93.15</v>
      </c>
      <c r="EW51" s="19" t="n">
        <f aca="false">$B51+EW$3*100*$A51</f>
        <v>93.75</v>
      </c>
      <c r="EX51" s="19" t="n">
        <f aca="false">$B51+EX$3*100*$A51</f>
        <v>94.35</v>
      </c>
      <c r="EY51" s="19" t="n">
        <f aca="false">$B51+EY$3*100*$A51</f>
        <v>94.95</v>
      </c>
      <c r="EZ51" s="19" t="n">
        <f aca="false">$B51+EZ$3*100*$A51</f>
        <v>95.55</v>
      </c>
      <c r="FA51" s="19" t="n">
        <f aca="false">$B51+FA$3*100*$A51</f>
        <v>96.15</v>
      </c>
      <c r="FB51" s="19" t="n">
        <f aca="false">$B51+FB$3*100*$A51</f>
        <v>96.75</v>
      </c>
      <c r="FC51" s="19" t="n">
        <f aca="false">$B51+FC$3*100*$A51</f>
        <v>97.35</v>
      </c>
      <c r="FD51" s="19" t="n">
        <f aca="false">$B51+FD$3*100*$A51</f>
        <v>97.95</v>
      </c>
      <c r="FE51" s="19" t="n">
        <f aca="false">$B51+FE$3*100*$A51</f>
        <v>98.55</v>
      </c>
      <c r="FF51" s="19" t="n">
        <f aca="false">$B51+FF$3*100*$A51</f>
        <v>99.15</v>
      </c>
      <c r="FG51" s="19" t="n">
        <f aca="false">$B51+FG$3*100*$A51</f>
        <v>99.75</v>
      </c>
      <c r="FH51" s="19" t="n">
        <f aca="false">$B51+FH$3*100*$A51</f>
        <v>100.35</v>
      </c>
      <c r="FI51" s="19" t="n">
        <f aca="false">$B51+FI$3*100*$A51</f>
        <v>100.95</v>
      </c>
      <c r="FJ51" s="19" t="n">
        <f aca="false">$B51+FJ$3*100*$A51</f>
        <v>101.55</v>
      </c>
      <c r="FK51" s="19" t="n">
        <f aca="false">$B51+FK$3*100*$A51</f>
        <v>102.15</v>
      </c>
      <c r="FL51" s="19" t="n">
        <f aca="false">$B51+FL$3*100*$A51</f>
        <v>102.75</v>
      </c>
      <c r="FM51" s="19" t="n">
        <f aca="false">$B51+FM$3*100*$A51</f>
        <v>103.35</v>
      </c>
      <c r="FN51" s="19" t="n">
        <f aca="false">$B51+FN$3*100*$A51</f>
        <v>103.95</v>
      </c>
      <c r="FO51" s="19" t="n">
        <f aca="false">$B51+FO$3*100*$A51</f>
        <v>104.55</v>
      </c>
      <c r="FP51" s="19" t="n">
        <f aca="false">$B51+FP$3*100*$A51</f>
        <v>105.15</v>
      </c>
      <c r="FQ51" s="19" t="n">
        <f aca="false">$B51+FQ$3*100*$A51</f>
        <v>105.75</v>
      </c>
      <c r="FR51" s="19" t="n">
        <f aca="false">$B51+FR$3*100*$A51</f>
        <v>106.35</v>
      </c>
      <c r="FS51" s="19" t="n">
        <f aca="false">$B51+FS$3*100*$A51</f>
        <v>106.95</v>
      </c>
      <c r="FT51" s="19" t="n">
        <f aca="false">$B51+FT$3*100*$A51</f>
        <v>107.55</v>
      </c>
      <c r="FU51" s="19" t="n">
        <f aca="false">$B51+FU$3*100*$A51</f>
        <v>108.15</v>
      </c>
      <c r="FV51" s="19" t="n">
        <f aca="false">$B51+FV$3*100*$A51</f>
        <v>108.75</v>
      </c>
      <c r="FW51" s="19" t="n">
        <f aca="false">$B51+FW$3*100*$A51</f>
        <v>109.35</v>
      </c>
      <c r="FX51" s="19" t="n">
        <f aca="false">$B51+FX$3*100*$A51</f>
        <v>109.95</v>
      </c>
      <c r="FY51" s="19" t="n">
        <f aca="false">$B51+FY$3*100*$A51</f>
        <v>110.55</v>
      </c>
      <c r="FZ51" s="19" t="n">
        <f aca="false">$B51+FZ$3*100*$A51</f>
        <v>111.15</v>
      </c>
      <c r="GA51" s="19" t="n">
        <f aca="false">$B51+GA$3*100*$A51</f>
        <v>111.75</v>
      </c>
      <c r="GB51" s="19" t="n">
        <f aca="false">$B51+GB$3*100*$A51</f>
        <v>112.35</v>
      </c>
      <c r="GC51" s="19" t="n">
        <f aca="false">$B51+GC$3*100*$A51</f>
        <v>112.95</v>
      </c>
      <c r="GD51" s="19" t="n">
        <f aca="false">$B51+GD$3*100*$A51</f>
        <v>113.55</v>
      </c>
      <c r="GE51" s="19" t="n">
        <f aca="false">$B51+GE$3*100*$A51</f>
        <v>114.15</v>
      </c>
      <c r="GF51" s="19" t="n">
        <f aca="false">$B51+GF$3*100*$A51</f>
        <v>114.75</v>
      </c>
      <c r="GG51" s="19" t="n">
        <f aca="false">$B51+GG$3*100*$A51</f>
        <v>115.35</v>
      </c>
      <c r="GH51" s="19" t="n">
        <f aca="false">$B51+GH$3*100*$A51</f>
        <v>115.95</v>
      </c>
      <c r="GI51" s="19" t="n">
        <f aca="false">$B51+GI$3*100*$A51</f>
        <v>116.55</v>
      </c>
      <c r="GJ51" s="19" t="n">
        <f aca="false">$B51+GJ$3*100*$A51</f>
        <v>117.15</v>
      </c>
      <c r="GK51" s="19" t="n">
        <f aca="false">$B51+GK$3*100*$A51</f>
        <v>117.75</v>
      </c>
      <c r="GL51" s="19" t="n">
        <f aca="false">$B51+GL$3*100*$A51</f>
        <v>118.35</v>
      </c>
      <c r="GM51" s="19" t="n">
        <f aca="false">$B51+GM$3*100*$A51</f>
        <v>118.95</v>
      </c>
      <c r="GN51" s="19" t="n">
        <f aca="false">$B51+GN$3*100*$A51</f>
        <v>119.55</v>
      </c>
      <c r="GO51" s="19" t="n">
        <f aca="false">$B51+GO$3*100*$A51</f>
        <v>120.15</v>
      </c>
      <c r="GP51" s="19" t="n">
        <f aca="false">$B51+GP$3*100*$A51</f>
        <v>120.75</v>
      </c>
      <c r="GQ51" s="19" t="n">
        <f aca="false">$B51+GQ$3*100*$A51</f>
        <v>121.35</v>
      </c>
      <c r="GR51" s="19" t="n">
        <f aca="false">$B51+GR$3*100*$A51</f>
        <v>121.95</v>
      </c>
      <c r="GS51" s="19" t="n">
        <f aca="false">$B51+GS$3*100*$A51</f>
        <v>122.55</v>
      </c>
      <c r="GT51" s="19" t="n">
        <f aca="false">$B51+GT$3*100*$A51</f>
        <v>123.15</v>
      </c>
    </row>
    <row r="52" customFormat="false" ht="15" hidden="false" customHeight="false" outlineLevel="0" collapsed="false">
      <c r="A52" s="26" t="n">
        <f aca="false">Frontier!A50</f>
        <v>0.1225</v>
      </c>
      <c r="B52" s="34" t="n">
        <f aca="false">Frontier!B50</f>
        <v>3.11793411019712</v>
      </c>
      <c r="C52" s="19" t="n">
        <f aca="false">$B52+C$3*100*$A52</f>
        <v>3.73043411019712</v>
      </c>
      <c r="D52" s="19" t="n">
        <f aca="false">$B52+D$3*100*$A52</f>
        <v>4.34293411019712</v>
      </c>
      <c r="E52" s="19" t="n">
        <f aca="false">$B52+E$3*100*$A52</f>
        <v>4.95543411019712</v>
      </c>
      <c r="F52" s="19" t="n">
        <f aca="false">$B52+F$3*100*$A52</f>
        <v>5.56793411019712</v>
      </c>
      <c r="G52" s="19" t="n">
        <f aca="false">$B52+G$3*100*$A52</f>
        <v>6.18043411019712</v>
      </c>
      <c r="H52" s="19" t="n">
        <f aca="false">$B52+H$3*100*$A52</f>
        <v>6.79293411019712</v>
      </c>
      <c r="I52" s="19" t="n">
        <f aca="false">$B52+I$3*100*$A52</f>
        <v>7.40543411019712</v>
      </c>
      <c r="J52" s="19" t="n">
        <f aca="false">$B52+J$3*100*$A52</f>
        <v>8.01793411019712</v>
      </c>
      <c r="K52" s="19" t="n">
        <f aca="false">$B52+K$3*100*$A52</f>
        <v>8.63043411019712</v>
      </c>
      <c r="L52" s="19" t="n">
        <f aca="false">$B52+L$3*100*$A52</f>
        <v>9.24293411019712</v>
      </c>
      <c r="M52" s="19" t="n">
        <f aca="false">$B52+M$3*100*$A52</f>
        <v>9.85543411019712</v>
      </c>
      <c r="N52" s="19" t="n">
        <f aca="false">$B52+N$3*100*$A52</f>
        <v>10.4679341101971</v>
      </c>
      <c r="O52" s="19" t="n">
        <f aca="false">$B52+O$3*100*$A52</f>
        <v>11.0804341101971</v>
      </c>
      <c r="P52" s="19" t="n">
        <f aca="false">$B52+P$3*100*$A52</f>
        <v>11.6929341101971</v>
      </c>
      <c r="Q52" s="19" t="n">
        <f aca="false">$B52+Q$3*100*$A52</f>
        <v>12.3054341101971</v>
      </c>
      <c r="R52" s="19" t="n">
        <f aca="false">$B52+R$3*100*$A52</f>
        <v>12.9179341101971</v>
      </c>
      <c r="S52" s="19" t="n">
        <f aca="false">$B52+S$3*100*$A52</f>
        <v>13.5304341101971</v>
      </c>
      <c r="T52" s="19" t="n">
        <f aca="false">$B52+T$3*100*$A52</f>
        <v>14.1429341101971</v>
      </c>
      <c r="U52" s="19" t="n">
        <f aca="false">$B52+U$3*100*$A52</f>
        <v>14.7554341101971</v>
      </c>
      <c r="V52" s="19" t="n">
        <f aca="false">$B52+V$3*100*$A52</f>
        <v>15.3679341101971</v>
      </c>
      <c r="W52" s="19" t="n">
        <f aca="false">$B52+W$3*100*$A52</f>
        <v>15.9804341101971</v>
      </c>
      <c r="X52" s="19" t="n">
        <f aca="false">$B52+X$3*100*$A52</f>
        <v>16.5929341101971</v>
      </c>
      <c r="Y52" s="19" t="n">
        <f aca="false">$B52+Y$3*100*$A52</f>
        <v>17.2054341101971</v>
      </c>
      <c r="Z52" s="19" t="n">
        <f aca="false">$B52+Z$3*100*$A52</f>
        <v>17.8179341101971</v>
      </c>
      <c r="AA52" s="19" t="n">
        <f aca="false">$B52+AA$3*100*$A52</f>
        <v>18.4304341101971</v>
      </c>
      <c r="AB52" s="19" t="n">
        <f aca="false">$B52+AB$3*100*$A52</f>
        <v>19.0429341101971</v>
      </c>
      <c r="AC52" s="19" t="n">
        <f aca="false">$B52+AC$3*100*$A52</f>
        <v>19.6554341101971</v>
      </c>
      <c r="AD52" s="19" t="n">
        <f aca="false">$B52+AD$3*100*$A52</f>
        <v>20.2679341101971</v>
      </c>
      <c r="AE52" s="19" t="n">
        <f aca="false">$B52+AE$3*100*$A52</f>
        <v>20.8804341101971</v>
      </c>
      <c r="AF52" s="19" t="n">
        <f aca="false">$B52+AF$3*100*$A52</f>
        <v>21.4929341101971</v>
      </c>
      <c r="AG52" s="19" t="n">
        <f aca="false">$B52+AG$3*100*$A52</f>
        <v>22.1054341101971</v>
      </c>
      <c r="AH52" s="19" t="n">
        <f aca="false">$B52+AH$3*100*$A52</f>
        <v>22.7179341101971</v>
      </c>
      <c r="AI52" s="19" t="n">
        <f aca="false">$B52+AI$3*100*$A52</f>
        <v>23.3304341101971</v>
      </c>
      <c r="AJ52" s="19" t="n">
        <f aca="false">$B52+AJ$3*100*$A52</f>
        <v>23.9429341101971</v>
      </c>
      <c r="AK52" s="19" t="n">
        <f aca="false">$B52+AK$3*100*$A52</f>
        <v>24.5554341101971</v>
      </c>
      <c r="AL52" s="19" t="n">
        <f aca="false">$B52+AL$3*100*$A52</f>
        <v>25.1679341101971</v>
      </c>
      <c r="AM52" s="19" t="n">
        <f aca="false">$B52+AM$3*100*$A52</f>
        <v>25.7804341101971</v>
      </c>
      <c r="AN52" s="19" t="n">
        <f aca="false">$B52+AN$3*100*$A52</f>
        <v>26.3929341101971</v>
      </c>
      <c r="AO52" s="19" t="n">
        <f aca="false">$B52+AO$3*100*$A52</f>
        <v>27.0054341101971</v>
      </c>
      <c r="AP52" s="19" t="n">
        <f aca="false">$B52+AP$3*100*$A52</f>
        <v>27.6179341101971</v>
      </c>
      <c r="AQ52" s="19" t="n">
        <f aca="false">$B52+AQ$3*100*$A52</f>
        <v>28.2304341101971</v>
      </c>
      <c r="AR52" s="19" t="n">
        <f aca="false">$B52+AR$3*100*$A52</f>
        <v>28.8429341101971</v>
      </c>
      <c r="AS52" s="19" t="n">
        <f aca="false">$B52+AS$3*100*$A52</f>
        <v>29.4554341101971</v>
      </c>
      <c r="AT52" s="19" t="n">
        <f aca="false">$B52+AT$3*100*$A52</f>
        <v>30.0679341101971</v>
      </c>
      <c r="AU52" s="19" t="n">
        <f aca="false">$B52+AU$3*100*$A52</f>
        <v>30.6804341101971</v>
      </c>
      <c r="AV52" s="19" t="n">
        <f aca="false">$B52+AV$3*100*$A52</f>
        <v>31.2929341101971</v>
      </c>
      <c r="AW52" s="19" t="n">
        <f aca="false">$B52+AW$3*100*$A52</f>
        <v>31.9054341101971</v>
      </c>
      <c r="AX52" s="19" t="n">
        <f aca="false">$B52+AX$3*100*$A52</f>
        <v>32.5179341101971</v>
      </c>
      <c r="AY52" s="19" t="n">
        <f aca="false">$B52+AY$3*100*$A52</f>
        <v>33.1304341101971</v>
      </c>
      <c r="AZ52" s="19" t="n">
        <f aca="false">$B52+AZ$3*100*$A52</f>
        <v>33.7429341101971</v>
      </c>
      <c r="BA52" s="19" t="n">
        <f aca="false">$B52+BA$3*100*$A52</f>
        <v>34.3554341101971</v>
      </c>
      <c r="BB52" s="19" t="n">
        <f aca="false">$B52+BB$3*100*$A52</f>
        <v>34.9679341101971</v>
      </c>
      <c r="BC52" s="19" t="n">
        <f aca="false">$B52+BC$3*100*$A52</f>
        <v>35.5804341101971</v>
      </c>
      <c r="BD52" s="19" t="n">
        <f aca="false">$B52+BD$3*100*$A52</f>
        <v>36.1929341101971</v>
      </c>
      <c r="BE52" s="19" t="n">
        <f aca="false">$B52+BE$3*100*$A52</f>
        <v>36.8054341101971</v>
      </c>
      <c r="BF52" s="19" t="n">
        <f aca="false">$B52+BF$3*100*$A52</f>
        <v>37.4179341101971</v>
      </c>
      <c r="BG52" s="19" t="n">
        <f aca="false">$B52+BG$3*100*$A52</f>
        <v>38.0304341101971</v>
      </c>
      <c r="BH52" s="19" t="n">
        <f aca="false">$B52+BH$3*100*$A52</f>
        <v>38.6429341101971</v>
      </c>
      <c r="BI52" s="19" t="n">
        <f aca="false">$B52+BI$3*100*$A52</f>
        <v>39.2554341101971</v>
      </c>
      <c r="BJ52" s="19" t="n">
        <f aca="false">$B52+BJ$3*100*$A52</f>
        <v>39.8679341101971</v>
      </c>
      <c r="BK52" s="19" t="n">
        <f aca="false">$B52+BK$3*100*$A52</f>
        <v>40.4804341101971</v>
      </c>
      <c r="BL52" s="19" t="n">
        <f aca="false">$B52+BL$3*100*$A52</f>
        <v>41.0929341101971</v>
      </c>
      <c r="BM52" s="19" t="n">
        <f aca="false">$B52+BM$3*100*$A52</f>
        <v>41.7054341101971</v>
      </c>
      <c r="BN52" s="19" t="n">
        <f aca="false">$B52+BN$3*100*$A52</f>
        <v>42.3179341101971</v>
      </c>
      <c r="BO52" s="19" t="n">
        <f aca="false">$B52+BO$3*100*$A52</f>
        <v>42.9304341101971</v>
      </c>
      <c r="BP52" s="19" t="n">
        <f aca="false">$B52+BP$3*100*$A52</f>
        <v>43.5429341101971</v>
      </c>
      <c r="BQ52" s="19" t="n">
        <f aca="false">$B52+BQ$3*100*$A52</f>
        <v>44.1554341101971</v>
      </c>
      <c r="BR52" s="19" t="n">
        <f aca="false">$B52+BR$3*100*$A52</f>
        <v>44.7679341101971</v>
      </c>
      <c r="BS52" s="19" t="n">
        <f aca="false">$B52+BS$3*100*$A52</f>
        <v>45.3804341101971</v>
      </c>
      <c r="BT52" s="19" t="n">
        <f aca="false">$B52+BT$3*100*$A52</f>
        <v>45.9929341101971</v>
      </c>
      <c r="BU52" s="19" t="n">
        <f aca="false">$B52+BU$3*100*$A52</f>
        <v>46.6054341101971</v>
      </c>
      <c r="BV52" s="19" t="n">
        <f aca="false">$B52+BV$3*100*$A52</f>
        <v>47.2179341101971</v>
      </c>
      <c r="BW52" s="19" t="n">
        <f aca="false">$B52+BW$3*100*$A52</f>
        <v>47.8304341101971</v>
      </c>
      <c r="BX52" s="19" t="n">
        <f aca="false">$B52+BX$3*100*$A52</f>
        <v>48.4429341101971</v>
      </c>
      <c r="BY52" s="19" t="n">
        <f aca="false">$B52+BY$3*100*$A52</f>
        <v>49.0554341101971</v>
      </c>
      <c r="BZ52" s="19" t="n">
        <f aca="false">$B52+BZ$3*100*$A52</f>
        <v>49.6679341101971</v>
      </c>
      <c r="CA52" s="19" t="n">
        <f aca="false">$B52+CA$3*100*$A52</f>
        <v>50.2804341101971</v>
      </c>
      <c r="CB52" s="19" t="n">
        <f aca="false">$B52+CB$3*100*$A52</f>
        <v>50.8929341101971</v>
      </c>
      <c r="CC52" s="19" t="n">
        <f aca="false">$B52+CC$3*100*$A52</f>
        <v>51.5054341101971</v>
      </c>
      <c r="CD52" s="19" t="n">
        <f aca="false">$B52+CD$3*100*$A52</f>
        <v>52.1179341101971</v>
      </c>
      <c r="CE52" s="19" t="n">
        <f aca="false">$B52+CE$3*100*$A52</f>
        <v>52.7304341101971</v>
      </c>
      <c r="CF52" s="19" t="n">
        <f aca="false">$B52+CF$3*100*$A52</f>
        <v>53.3429341101971</v>
      </c>
      <c r="CG52" s="19" t="n">
        <f aca="false">$B52+CG$3*100*$A52</f>
        <v>53.9554341101971</v>
      </c>
      <c r="CH52" s="19" t="n">
        <f aca="false">$B52+CH$3*100*$A52</f>
        <v>54.5679341101971</v>
      </c>
      <c r="CI52" s="19" t="n">
        <f aca="false">$B52+CI$3*100*$A52</f>
        <v>55.1804341101971</v>
      </c>
      <c r="CJ52" s="19" t="n">
        <f aca="false">$B52+CJ$3*100*$A52</f>
        <v>55.7929341101971</v>
      </c>
      <c r="CK52" s="19" t="n">
        <f aca="false">$B52+CK$3*100*$A52</f>
        <v>56.4054341101971</v>
      </c>
      <c r="CL52" s="19" t="n">
        <f aca="false">$B52+CL$3*100*$A52</f>
        <v>57.0179341101971</v>
      </c>
      <c r="CM52" s="19" t="n">
        <f aca="false">$B52+CM$3*100*$A52</f>
        <v>57.6304341101971</v>
      </c>
      <c r="CN52" s="19" t="n">
        <f aca="false">$B52+CN$3*100*$A52</f>
        <v>58.2429341101971</v>
      </c>
      <c r="CO52" s="19" t="n">
        <f aca="false">$B52+CO$3*100*$A52</f>
        <v>58.8554341101971</v>
      </c>
      <c r="CP52" s="19" t="n">
        <f aca="false">$B52+CP$3*100*$A52</f>
        <v>59.4679341101971</v>
      </c>
      <c r="CQ52" s="19" t="n">
        <f aca="false">$B52+CQ$3*100*$A52</f>
        <v>60.0804341101971</v>
      </c>
      <c r="CR52" s="19" t="n">
        <f aca="false">$B52+CR$3*100*$A52</f>
        <v>60.6929341101971</v>
      </c>
      <c r="CS52" s="19" t="n">
        <f aca="false">$B52+CS$3*100*$A52</f>
        <v>61.3054341101971</v>
      </c>
      <c r="CT52" s="19" t="n">
        <f aca="false">$B52+CT$3*100*$A52</f>
        <v>61.9179341101971</v>
      </c>
      <c r="CU52" s="19" t="n">
        <f aca="false">$B52+CU$3*100*$A52</f>
        <v>62.5304341101971</v>
      </c>
      <c r="CV52" s="19" t="n">
        <f aca="false">$B52+CV$3*100*$A52</f>
        <v>63.1429341101971</v>
      </c>
      <c r="CW52" s="19" t="n">
        <f aca="false">$B52+CW$3*100*$A52</f>
        <v>63.7554341101971</v>
      </c>
      <c r="CX52" s="19" t="n">
        <f aca="false">$B52+CX$3*100*$A52</f>
        <v>64.3679341101971</v>
      </c>
      <c r="CY52" s="19" t="n">
        <f aca="false">$B52+CY$3*100*$A52</f>
        <v>64.9804341101971</v>
      </c>
      <c r="CZ52" s="19" t="n">
        <f aca="false">$B52+CZ$3*100*$A52</f>
        <v>65.5929341101971</v>
      </c>
      <c r="DA52" s="19" t="n">
        <f aca="false">$B52+DA$3*100*$A52</f>
        <v>66.2054341101971</v>
      </c>
      <c r="DB52" s="19" t="n">
        <f aca="false">$B52+DB$3*100*$A52</f>
        <v>66.8179341101971</v>
      </c>
      <c r="DC52" s="19" t="n">
        <f aca="false">$B52+DC$3*100*$A52</f>
        <v>67.4304341101971</v>
      </c>
      <c r="DD52" s="19" t="n">
        <f aca="false">$B52+DD$3*100*$A52</f>
        <v>68.0429341101971</v>
      </c>
      <c r="DE52" s="19" t="n">
        <f aca="false">$B52+DE$3*100*$A52</f>
        <v>68.6554341101971</v>
      </c>
      <c r="DF52" s="19" t="n">
        <f aca="false">$B52+DF$3*100*$A52</f>
        <v>69.2679341101971</v>
      </c>
      <c r="DG52" s="19" t="n">
        <f aca="false">$B52+DG$3*100*$A52</f>
        <v>69.8804341101971</v>
      </c>
      <c r="DH52" s="19" t="n">
        <f aca="false">$B52+DH$3*100*$A52</f>
        <v>70.4929341101971</v>
      </c>
      <c r="DI52" s="19" t="n">
        <f aca="false">$B52+DI$3*100*$A52</f>
        <v>71.1054341101971</v>
      </c>
      <c r="DJ52" s="19" t="n">
        <f aca="false">$B52+DJ$3*100*$A52</f>
        <v>71.7179341101971</v>
      </c>
      <c r="DK52" s="19" t="n">
        <f aca="false">$B52+DK$3*100*$A52</f>
        <v>72.3304341101971</v>
      </c>
      <c r="DL52" s="19" t="n">
        <f aca="false">$B52+DL$3*100*$A52</f>
        <v>72.9429341101971</v>
      </c>
      <c r="DM52" s="19" t="n">
        <f aca="false">$B52+DM$3*100*$A52</f>
        <v>73.5554341101971</v>
      </c>
      <c r="DN52" s="19" t="n">
        <f aca="false">$B52+DN$3*100*$A52</f>
        <v>74.1679341101971</v>
      </c>
      <c r="DO52" s="19" t="n">
        <f aca="false">$B52+DO$3*100*$A52</f>
        <v>74.7804341101971</v>
      </c>
      <c r="DP52" s="19" t="n">
        <f aca="false">$B52+DP$3*100*$A52</f>
        <v>75.3929341101971</v>
      </c>
      <c r="DQ52" s="19" t="n">
        <f aca="false">$B52+DQ$3*100*$A52</f>
        <v>76.0054341101971</v>
      </c>
      <c r="DR52" s="19" t="n">
        <f aca="false">$B52+DR$3*100*$A52</f>
        <v>76.6179341101971</v>
      </c>
      <c r="DS52" s="19" t="n">
        <f aca="false">$B52+DS$3*100*$A52</f>
        <v>77.2304341101971</v>
      </c>
      <c r="DT52" s="19" t="n">
        <f aca="false">$B52+DT$3*100*$A52</f>
        <v>77.8429341101971</v>
      </c>
      <c r="DU52" s="19" t="n">
        <f aca="false">$B52+DU$3*100*$A52</f>
        <v>78.4554341101971</v>
      </c>
      <c r="DV52" s="19" t="n">
        <f aca="false">$B52+DV$3*100*$A52</f>
        <v>79.0679341101971</v>
      </c>
      <c r="DW52" s="19" t="n">
        <f aca="false">$B52+DW$3*100*$A52</f>
        <v>79.6804341101971</v>
      </c>
      <c r="DX52" s="19" t="n">
        <f aca="false">$B52+DX$3*100*$A52</f>
        <v>80.2929341101971</v>
      </c>
      <c r="DY52" s="19" t="n">
        <f aca="false">$B52+DY$3*100*$A52</f>
        <v>80.9054341101971</v>
      </c>
      <c r="DZ52" s="19" t="n">
        <f aca="false">$B52+DZ$3*100*$A52</f>
        <v>81.5179341101971</v>
      </c>
      <c r="EA52" s="19" t="n">
        <f aca="false">$B52+EA$3*100*$A52</f>
        <v>82.1304341101971</v>
      </c>
      <c r="EB52" s="19" t="n">
        <f aca="false">$B52+EB$3*100*$A52</f>
        <v>82.7429341101971</v>
      </c>
      <c r="EC52" s="19" t="n">
        <f aca="false">$B52+EC$3*100*$A52</f>
        <v>83.3554341101971</v>
      </c>
      <c r="ED52" s="19" t="n">
        <f aca="false">$B52+ED$3*100*$A52</f>
        <v>83.9679341101971</v>
      </c>
      <c r="EE52" s="19" t="n">
        <f aca="false">$B52+EE$3*100*$A52</f>
        <v>84.5804341101971</v>
      </c>
      <c r="EF52" s="19" t="n">
        <f aca="false">$B52+EF$3*100*$A52</f>
        <v>85.1929341101971</v>
      </c>
      <c r="EG52" s="19" t="n">
        <f aca="false">$B52+EG$3*100*$A52</f>
        <v>85.8054341101971</v>
      </c>
      <c r="EH52" s="19" t="n">
        <f aca="false">$B52+EH$3*100*$A52</f>
        <v>86.4179341101971</v>
      </c>
      <c r="EI52" s="19" t="n">
        <f aca="false">$B52+EI$3*100*$A52</f>
        <v>87.0304341101971</v>
      </c>
      <c r="EJ52" s="19" t="n">
        <f aca="false">$B52+EJ$3*100*$A52</f>
        <v>87.6429341101971</v>
      </c>
      <c r="EK52" s="19" t="n">
        <f aca="false">$B52+EK$3*100*$A52</f>
        <v>88.2554341101971</v>
      </c>
      <c r="EL52" s="19" t="n">
        <f aca="false">$B52+EL$3*100*$A52</f>
        <v>88.8679341101971</v>
      </c>
      <c r="EM52" s="19" t="n">
        <f aca="false">$B52+EM$3*100*$A52</f>
        <v>89.4804341101971</v>
      </c>
      <c r="EN52" s="19" t="n">
        <f aca="false">$B52+EN$3*100*$A52</f>
        <v>90.0929341101971</v>
      </c>
      <c r="EO52" s="19" t="n">
        <f aca="false">$B52+EO$3*100*$A52</f>
        <v>90.7054341101971</v>
      </c>
      <c r="EP52" s="19" t="n">
        <f aca="false">$B52+EP$3*100*$A52</f>
        <v>91.3179341101971</v>
      </c>
      <c r="EQ52" s="19" t="n">
        <f aca="false">$B52+EQ$3*100*$A52</f>
        <v>91.9304341101971</v>
      </c>
      <c r="ER52" s="19" t="n">
        <f aca="false">$B52+ER$3*100*$A52</f>
        <v>92.5429341101971</v>
      </c>
      <c r="ES52" s="19" t="n">
        <f aca="false">$B52+ES$3*100*$A52</f>
        <v>93.1554341101971</v>
      </c>
      <c r="ET52" s="19" t="n">
        <f aca="false">$B52+ET$3*100*$A52</f>
        <v>93.7679341101971</v>
      </c>
      <c r="EU52" s="19" t="n">
        <f aca="false">$B52+EU$3*100*$A52</f>
        <v>94.3804341101971</v>
      </c>
      <c r="EV52" s="19" t="n">
        <f aca="false">$B52+EV$3*100*$A52</f>
        <v>94.9929341101971</v>
      </c>
      <c r="EW52" s="19" t="n">
        <f aca="false">$B52+EW$3*100*$A52</f>
        <v>95.6054341101971</v>
      </c>
      <c r="EX52" s="19" t="n">
        <f aca="false">$B52+EX$3*100*$A52</f>
        <v>96.2179341101971</v>
      </c>
      <c r="EY52" s="19" t="n">
        <f aca="false">$B52+EY$3*100*$A52</f>
        <v>96.8304341101971</v>
      </c>
      <c r="EZ52" s="19" t="n">
        <f aca="false">$B52+EZ$3*100*$A52</f>
        <v>97.4429341101971</v>
      </c>
      <c r="FA52" s="19" t="n">
        <f aca="false">$B52+FA$3*100*$A52</f>
        <v>98.0554341101971</v>
      </c>
      <c r="FB52" s="19" t="n">
        <f aca="false">$B52+FB$3*100*$A52</f>
        <v>98.6679341101971</v>
      </c>
      <c r="FC52" s="19" t="n">
        <f aca="false">$B52+FC$3*100*$A52</f>
        <v>99.2804341101971</v>
      </c>
      <c r="FD52" s="19" t="n">
        <f aca="false">$B52+FD$3*100*$A52</f>
        <v>99.8929341101971</v>
      </c>
      <c r="FE52" s="19" t="n">
        <f aca="false">$B52+FE$3*100*$A52</f>
        <v>100.505434110197</v>
      </c>
      <c r="FF52" s="19" t="n">
        <f aca="false">$B52+FF$3*100*$A52</f>
        <v>101.117934110197</v>
      </c>
      <c r="FG52" s="19" t="n">
        <f aca="false">$B52+FG$3*100*$A52</f>
        <v>101.730434110197</v>
      </c>
      <c r="FH52" s="19" t="n">
        <f aca="false">$B52+FH$3*100*$A52</f>
        <v>102.342934110197</v>
      </c>
      <c r="FI52" s="19" t="n">
        <f aca="false">$B52+FI$3*100*$A52</f>
        <v>102.955434110197</v>
      </c>
      <c r="FJ52" s="19" t="n">
        <f aca="false">$B52+FJ$3*100*$A52</f>
        <v>103.567934110197</v>
      </c>
      <c r="FK52" s="19" t="n">
        <f aca="false">$B52+FK$3*100*$A52</f>
        <v>104.180434110197</v>
      </c>
      <c r="FL52" s="19" t="n">
        <f aca="false">$B52+FL$3*100*$A52</f>
        <v>104.792934110197</v>
      </c>
      <c r="FM52" s="19" t="n">
        <f aca="false">$B52+FM$3*100*$A52</f>
        <v>105.405434110197</v>
      </c>
      <c r="FN52" s="19" t="n">
        <f aca="false">$B52+FN$3*100*$A52</f>
        <v>106.017934110197</v>
      </c>
      <c r="FO52" s="19" t="n">
        <f aca="false">$B52+FO$3*100*$A52</f>
        <v>106.630434110197</v>
      </c>
      <c r="FP52" s="19" t="n">
        <f aca="false">$B52+FP$3*100*$A52</f>
        <v>107.242934110197</v>
      </c>
      <c r="FQ52" s="19" t="n">
        <f aca="false">$B52+FQ$3*100*$A52</f>
        <v>107.855434110197</v>
      </c>
      <c r="FR52" s="19" t="n">
        <f aca="false">$B52+FR$3*100*$A52</f>
        <v>108.467934110197</v>
      </c>
      <c r="FS52" s="19" t="n">
        <f aca="false">$B52+FS$3*100*$A52</f>
        <v>109.080434110197</v>
      </c>
      <c r="FT52" s="19" t="n">
        <f aca="false">$B52+FT$3*100*$A52</f>
        <v>109.692934110197</v>
      </c>
      <c r="FU52" s="19" t="n">
        <f aca="false">$B52+FU$3*100*$A52</f>
        <v>110.305434110197</v>
      </c>
      <c r="FV52" s="19" t="n">
        <f aca="false">$B52+FV$3*100*$A52</f>
        <v>110.917934110197</v>
      </c>
      <c r="FW52" s="19" t="n">
        <f aca="false">$B52+FW$3*100*$A52</f>
        <v>111.530434110197</v>
      </c>
      <c r="FX52" s="19" t="n">
        <f aca="false">$B52+FX$3*100*$A52</f>
        <v>112.142934110197</v>
      </c>
      <c r="FY52" s="19" t="n">
        <f aca="false">$B52+FY$3*100*$A52</f>
        <v>112.755434110197</v>
      </c>
      <c r="FZ52" s="19" t="n">
        <f aca="false">$B52+FZ$3*100*$A52</f>
        <v>113.367934110197</v>
      </c>
      <c r="GA52" s="19" t="n">
        <f aca="false">$B52+GA$3*100*$A52</f>
        <v>113.980434110197</v>
      </c>
      <c r="GB52" s="19" t="n">
        <f aca="false">$B52+GB$3*100*$A52</f>
        <v>114.592934110197</v>
      </c>
      <c r="GC52" s="19" t="n">
        <f aca="false">$B52+GC$3*100*$A52</f>
        <v>115.205434110197</v>
      </c>
      <c r="GD52" s="19" t="n">
        <f aca="false">$B52+GD$3*100*$A52</f>
        <v>115.817934110197</v>
      </c>
      <c r="GE52" s="19" t="n">
        <f aca="false">$B52+GE$3*100*$A52</f>
        <v>116.430434110197</v>
      </c>
      <c r="GF52" s="19" t="n">
        <f aca="false">$B52+GF$3*100*$A52</f>
        <v>117.042934110197</v>
      </c>
      <c r="GG52" s="19" t="n">
        <f aca="false">$B52+GG$3*100*$A52</f>
        <v>117.655434110197</v>
      </c>
      <c r="GH52" s="19" t="n">
        <f aca="false">$B52+GH$3*100*$A52</f>
        <v>118.267934110197</v>
      </c>
      <c r="GI52" s="19" t="n">
        <f aca="false">$B52+GI$3*100*$A52</f>
        <v>118.880434110197</v>
      </c>
      <c r="GJ52" s="19" t="n">
        <f aca="false">$B52+GJ$3*100*$A52</f>
        <v>119.492934110197</v>
      </c>
      <c r="GK52" s="19" t="n">
        <f aca="false">$B52+GK$3*100*$A52</f>
        <v>120.105434110197</v>
      </c>
      <c r="GL52" s="19" t="n">
        <f aca="false">$B52+GL$3*100*$A52</f>
        <v>120.717934110197</v>
      </c>
      <c r="GM52" s="19" t="n">
        <f aca="false">$B52+GM$3*100*$A52</f>
        <v>121.330434110197</v>
      </c>
      <c r="GN52" s="19" t="n">
        <f aca="false">$B52+GN$3*100*$A52</f>
        <v>121.942934110197</v>
      </c>
      <c r="GO52" s="19" t="n">
        <f aca="false">$B52+GO$3*100*$A52</f>
        <v>122.555434110197</v>
      </c>
      <c r="GP52" s="19" t="n">
        <f aca="false">$B52+GP$3*100*$A52</f>
        <v>123.167934110197</v>
      </c>
      <c r="GQ52" s="19" t="n">
        <f aca="false">$B52+GQ$3*100*$A52</f>
        <v>123.780434110197</v>
      </c>
      <c r="GR52" s="19" t="n">
        <f aca="false">$B52+GR$3*100*$A52</f>
        <v>124.392934110197</v>
      </c>
      <c r="GS52" s="19" t="n">
        <f aca="false">$B52+GS$3*100*$A52</f>
        <v>125.005434110197</v>
      </c>
      <c r="GT52" s="19" t="n">
        <f aca="false">$B52+GT$3*100*$A52</f>
        <v>125.617934110197</v>
      </c>
    </row>
    <row r="53" customFormat="false" ht="15" hidden="false" customHeight="false" outlineLevel="0" collapsed="false">
      <c r="A53" s="26" t="n">
        <f aca="false">Frontier!A51</f>
        <v>0.125</v>
      </c>
      <c r="B53" s="34" t="n">
        <f aca="false">Frontier!B51</f>
        <v>3</v>
      </c>
      <c r="C53" s="19" t="n">
        <f aca="false">$B53+C$3*100*$A53</f>
        <v>3.625</v>
      </c>
      <c r="D53" s="19" t="n">
        <f aca="false">$B53+D$3*100*$A53</f>
        <v>4.25</v>
      </c>
      <c r="E53" s="19" t="n">
        <f aca="false">$B53+E$3*100*$A53</f>
        <v>4.875</v>
      </c>
      <c r="F53" s="19" t="n">
        <f aca="false">$B53+F$3*100*$A53</f>
        <v>5.5</v>
      </c>
      <c r="G53" s="19" t="n">
        <f aca="false">$B53+G$3*100*$A53</f>
        <v>6.125</v>
      </c>
      <c r="H53" s="19" t="n">
        <f aca="false">$B53+H$3*100*$A53</f>
        <v>6.75</v>
      </c>
      <c r="I53" s="19" t="n">
        <f aca="false">$B53+I$3*100*$A53</f>
        <v>7.375</v>
      </c>
      <c r="J53" s="19" t="n">
        <f aca="false">$B53+J$3*100*$A53</f>
        <v>8</v>
      </c>
      <c r="K53" s="19" t="n">
        <f aca="false">$B53+K$3*100*$A53</f>
        <v>8.625</v>
      </c>
      <c r="L53" s="19" t="n">
        <f aca="false">$B53+L$3*100*$A53</f>
        <v>9.25</v>
      </c>
      <c r="M53" s="19" t="n">
        <f aca="false">$B53+M$3*100*$A53</f>
        <v>9.875</v>
      </c>
      <c r="N53" s="19" t="n">
        <f aca="false">$B53+N$3*100*$A53</f>
        <v>10.5</v>
      </c>
      <c r="O53" s="19" t="n">
        <f aca="false">$B53+O$3*100*$A53</f>
        <v>11.125</v>
      </c>
      <c r="P53" s="19" t="n">
        <f aca="false">$B53+P$3*100*$A53</f>
        <v>11.75</v>
      </c>
      <c r="Q53" s="19" t="n">
        <f aca="false">$B53+Q$3*100*$A53</f>
        <v>12.375</v>
      </c>
      <c r="R53" s="19" t="n">
        <f aca="false">$B53+R$3*100*$A53</f>
        <v>13</v>
      </c>
      <c r="S53" s="19" t="n">
        <f aca="false">$B53+S$3*100*$A53</f>
        <v>13.625</v>
      </c>
      <c r="T53" s="19" t="n">
        <f aca="false">$B53+T$3*100*$A53</f>
        <v>14.25</v>
      </c>
      <c r="U53" s="19" t="n">
        <f aca="false">$B53+U$3*100*$A53</f>
        <v>14.875</v>
      </c>
      <c r="V53" s="19" t="n">
        <f aca="false">$B53+V$3*100*$A53</f>
        <v>15.5</v>
      </c>
      <c r="W53" s="19" t="n">
        <f aca="false">$B53+W$3*100*$A53</f>
        <v>16.125</v>
      </c>
      <c r="X53" s="19" t="n">
        <f aca="false">$B53+X$3*100*$A53</f>
        <v>16.75</v>
      </c>
      <c r="Y53" s="19" t="n">
        <f aca="false">$B53+Y$3*100*$A53</f>
        <v>17.375</v>
      </c>
      <c r="Z53" s="19" t="n">
        <f aca="false">$B53+Z$3*100*$A53</f>
        <v>18</v>
      </c>
      <c r="AA53" s="19" t="n">
        <f aca="false">$B53+AA$3*100*$A53</f>
        <v>18.625</v>
      </c>
      <c r="AB53" s="19" t="n">
        <f aca="false">$B53+AB$3*100*$A53</f>
        <v>19.25</v>
      </c>
      <c r="AC53" s="19" t="n">
        <f aca="false">$B53+AC$3*100*$A53</f>
        <v>19.875</v>
      </c>
      <c r="AD53" s="19" t="n">
        <f aca="false">$B53+AD$3*100*$A53</f>
        <v>20.5</v>
      </c>
      <c r="AE53" s="19" t="n">
        <f aca="false">$B53+AE$3*100*$A53</f>
        <v>21.125</v>
      </c>
      <c r="AF53" s="19" t="n">
        <f aca="false">$B53+AF$3*100*$A53</f>
        <v>21.75</v>
      </c>
      <c r="AG53" s="19" t="n">
        <f aca="false">$B53+AG$3*100*$A53</f>
        <v>22.375</v>
      </c>
      <c r="AH53" s="19" t="n">
        <f aca="false">$B53+AH$3*100*$A53</f>
        <v>23</v>
      </c>
      <c r="AI53" s="19" t="n">
        <f aca="false">$B53+AI$3*100*$A53</f>
        <v>23.625</v>
      </c>
      <c r="AJ53" s="19" t="n">
        <f aca="false">$B53+AJ$3*100*$A53</f>
        <v>24.25</v>
      </c>
      <c r="AK53" s="19" t="n">
        <f aca="false">$B53+AK$3*100*$A53</f>
        <v>24.875</v>
      </c>
      <c r="AL53" s="19" t="n">
        <f aca="false">$B53+AL$3*100*$A53</f>
        <v>25.5</v>
      </c>
      <c r="AM53" s="19" t="n">
        <f aca="false">$B53+AM$3*100*$A53</f>
        <v>26.125</v>
      </c>
      <c r="AN53" s="19" t="n">
        <f aca="false">$B53+AN$3*100*$A53</f>
        <v>26.75</v>
      </c>
      <c r="AO53" s="19" t="n">
        <f aca="false">$B53+AO$3*100*$A53</f>
        <v>27.375</v>
      </c>
      <c r="AP53" s="19" t="n">
        <f aca="false">$B53+AP$3*100*$A53</f>
        <v>28</v>
      </c>
      <c r="AQ53" s="19" t="n">
        <f aca="false">$B53+AQ$3*100*$A53</f>
        <v>28.625</v>
      </c>
      <c r="AR53" s="19" t="n">
        <f aca="false">$B53+AR$3*100*$A53</f>
        <v>29.25</v>
      </c>
      <c r="AS53" s="19" t="n">
        <f aca="false">$B53+AS$3*100*$A53</f>
        <v>29.875</v>
      </c>
      <c r="AT53" s="19" t="n">
        <f aca="false">$B53+AT$3*100*$A53</f>
        <v>30.5</v>
      </c>
      <c r="AU53" s="19" t="n">
        <f aca="false">$B53+AU$3*100*$A53</f>
        <v>31.125</v>
      </c>
      <c r="AV53" s="19" t="n">
        <f aca="false">$B53+AV$3*100*$A53</f>
        <v>31.75</v>
      </c>
      <c r="AW53" s="19" t="n">
        <f aca="false">$B53+AW$3*100*$A53</f>
        <v>32.375</v>
      </c>
      <c r="AX53" s="19" t="n">
        <f aca="false">$B53+AX$3*100*$A53</f>
        <v>33</v>
      </c>
      <c r="AY53" s="19" t="n">
        <f aca="false">$B53+AY$3*100*$A53</f>
        <v>33.625</v>
      </c>
      <c r="AZ53" s="19" t="n">
        <f aca="false">$B53+AZ$3*100*$A53</f>
        <v>34.25</v>
      </c>
      <c r="BA53" s="19" t="n">
        <f aca="false">$B53+BA$3*100*$A53</f>
        <v>34.875</v>
      </c>
      <c r="BB53" s="19" t="n">
        <f aca="false">$B53+BB$3*100*$A53</f>
        <v>35.5</v>
      </c>
      <c r="BC53" s="19" t="n">
        <f aca="false">$B53+BC$3*100*$A53</f>
        <v>36.125</v>
      </c>
      <c r="BD53" s="19" t="n">
        <f aca="false">$B53+BD$3*100*$A53</f>
        <v>36.75</v>
      </c>
      <c r="BE53" s="19" t="n">
        <f aca="false">$B53+BE$3*100*$A53</f>
        <v>37.375</v>
      </c>
      <c r="BF53" s="19" t="n">
        <f aca="false">$B53+BF$3*100*$A53</f>
        <v>38</v>
      </c>
      <c r="BG53" s="19" t="n">
        <f aca="false">$B53+BG$3*100*$A53</f>
        <v>38.625</v>
      </c>
      <c r="BH53" s="19" t="n">
        <f aca="false">$B53+BH$3*100*$A53</f>
        <v>39.25</v>
      </c>
      <c r="BI53" s="19" t="n">
        <f aca="false">$B53+BI$3*100*$A53</f>
        <v>39.875</v>
      </c>
      <c r="BJ53" s="19" t="n">
        <f aca="false">$B53+BJ$3*100*$A53</f>
        <v>40.5</v>
      </c>
      <c r="BK53" s="19" t="n">
        <f aca="false">$B53+BK$3*100*$A53</f>
        <v>41.125</v>
      </c>
      <c r="BL53" s="19" t="n">
        <f aca="false">$B53+BL$3*100*$A53</f>
        <v>41.75</v>
      </c>
      <c r="BM53" s="19" t="n">
        <f aca="false">$B53+BM$3*100*$A53</f>
        <v>42.375</v>
      </c>
      <c r="BN53" s="19" t="n">
        <f aca="false">$B53+BN$3*100*$A53</f>
        <v>43</v>
      </c>
      <c r="BO53" s="19" t="n">
        <f aca="false">$B53+BO$3*100*$A53</f>
        <v>43.625</v>
      </c>
      <c r="BP53" s="19" t="n">
        <f aca="false">$B53+BP$3*100*$A53</f>
        <v>44.25</v>
      </c>
      <c r="BQ53" s="19" t="n">
        <f aca="false">$B53+BQ$3*100*$A53</f>
        <v>44.875</v>
      </c>
      <c r="BR53" s="19" t="n">
        <f aca="false">$B53+BR$3*100*$A53</f>
        <v>45.5</v>
      </c>
      <c r="BS53" s="19" t="n">
        <f aca="false">$B53+BS$3*100*$A53</f>
        <v>46.125</v>
      </c>
      <c r="BT53" s="19" t="n">
        <f aca="false">$B53+BT$3*100*$A53</f>
        <v>46.75</v>
      </c>
      <c r="BU53" s="19" t="n">
        <f aca="false">$B53+BU$3*100*$A53</f>
        <v>47.375</v>
      </c>
      <c r="BV53" s="19" t="n">
        <f aca="false">$B53+BV$3*100*$A53</f>
        <v>48</v>
      </c>
      <c r="BW53" s="19" t="n">
        <f aca="false">$B53+BW$3*100*$A53</f>
        <v>48.625</v>
      </c>
      <c r="BX53" s="19" t="n">
        <f aca="false">$B53+BX$3*100*$A53</f>
        <v>49.25</v>
      </c>
      <c r="BY53" s="19" t="n">
        <f aca="false">$B53+BY$3*100*$A53</f>
        <v>49.875</v>
      </c>
      <c r="BZ53" s="19" t="n">
        <f aca="false">$B53+BZ$3*100*$A53</f>
        <v>50.5</v>
      </c>
      <c r="CA53" s="19" t="n">
        <f aca="false">$B53+CA$3*100*$A53</f>
        <v>51.125</v>
      </c>
      <c r="CB53" s="19" t="n">
        <f aca="false">$B53+CB$3*100*$A53</f>
        <v>51.75</v>
      </c>
      <c r="CC53" s="19" t="n">
        <f aca="false">$B53+CC$3*100*$A53</f>
        <v>52.375</v>
      </c>
      <c r="CD53" s="19" t="n">
        <f aca="false">$B53+CD$3*100*$A53</f>
        <v>53</v>
      </c>
      <c r="CE53" s="19" t="n">
        <f aca="false">$B53+CE$3*100*$A53</f>
        <v>53.625</v>
      </c>
      <c r="CF53" s="19" t="n">
        <f aca="false">$B53+CF$3*100*$A53</f>
        <v>54.25</v>
      </c>
      <c r="CG53" s="19" t="n">
        <f aca="false">$B53+CG$3*100*$A53</f>
        <v>54.875</v>
      </c>
      <c r="CH53" s="19" t="n">
        <f aca="false">$B53+CH$3*100*$A53</f>
        <v>55.5</v>
      </c>
      <c r="CI53" s="19" t="n">
        <f aca="false">$B53+CI$3*100*$A53</f>
        <v>56.125</v>
      </c>
      <c r="CJ53" s="19" t="n">
        <f aca="false">$B53+CJ$3*100*$A53</f>
        <v>56.75</v>
      </c>
      <c r="CK53" s="19" t="n">
        <f aca="false">$B53+CK$3*100*$A53</f>
        <v>57.375</v>
      </c>
      <c r="CL53" s="19" t="n">
        <f aca="false">$B53+CL$3*100*$A53</f>
        <v>58</v>
      </c>
      <c r="CM53" s="19" t="n">
        <f aca="false">$B53+CM$3*100*$A53</f>
        <v>58.625</v>
      </c>
      <c r="CN53" s="19" t="n">
        <f aca="false">$B53+CN$3*100*$A53</f>
        <v>59.25</v>
      </c>
      <c r="CO53" s="19" t="n">
        <f aca="false">$B53+CO$3*100*$A53</f>
        <v>59.875</v>
      </c>
      <c r="CP53" s="19" t="n">
        <f aca="false">$B53+CP$3*100*$A53</f>
        <v>60.5</v>
      </c>
      <c r="CQ53" s="19" t="n">
        <f aca="false">$B53+CQ$3*100*$A53</f>
        <v>61.125</v>
      </c>
      <c r="CR53" s="19" t="n">
        <f aca="false">$B53+CR$3*100*$A53</f>
        <v>61.75</v>
      </c>
      <c r="CS53" s="19" t="n">
        <f aca="false">$B53+CS$3*100*$A53</f>
        <v>62.375</v>
      </c>
      <c r="CT53" s="19" t="n">
        <f aca="false">$B53+CT$3*100*$A53</f>
        <v>63</v>
      </c>
      <c r="CU53" s="19" t="n">
        <f aca="false">$B53+CU$3*100*$A53</f>
        <v>63.625</v>
      </c>
      <c r="CV53" s="19" t="n">
        <f aca="false">$B53+CV$3*100*$A53</f>
        <v>64.25</v>
      </c>
      <c r="CW53" s="19" t="n">
        <f aca="false">$B53+CW$3*100*$A53</f>
        <v>64.875</v>
      </c>
      <c r="CX53" s="19" t="n">
        <f aca="false">$B53+CX$3*100*$A53</f>
        <v>65.5</v>
      </c>
      <c r="CY53" s="19" t="n">
        <f aca="false">$B53+CY$3*100*$A53</f>
        <v>66.125</v>
      </c>
      <c r="CZ53" s="19" t="n">
        <f aca="false">$B53+CZ$3*100*$A53</f>
        <v>66.75</v>
      </c>
      <c r="DA53" s="19" t="n">
        <f aca="false">$B53+DA$3*100*$A53</f>
        <v>67.375</v>
      </c>
      <c r="DB53" s="19" t="n">
        <f aca="false">$B53+DB$3*100*$A53</f>
        <v>68</v>
      </c>
      <c r="DC53" s="19" t="n">
        <f aca="false">$B53+DC$3*100*$A53</f>
        <v>68.625</v>
      </c>
      <c r="DD53" s="19" t="n">
        <f aca="false">$B53+DD$3*100*$A53</f>
        <v>69.25</v>
      </c>
      <c r="DE53" s="19" t="n">
        <f aca="false">$B53+DE$3*100*$A53</f>
        <v>69.875</v>
      </c>
      <c r="DF53" s="19" t="n">
        <f aca="false">$B53+DF$3*100*$A53</f>
        <v>70.5</v>
      </c>
      <c r="DG53" s="19" t="n">
        <f aca="false">$B53+DG$3*100*$A53</f>
        <v>71.125</v>
      </c>
      <c r="DH53" s="19" t="n">
        <f aca="false">$B53+DH$3*100*$A53</f>
        <v>71.75</v>
      </c>
      <c r="DI53" s="19" t="n">
        <f aca="false">$B53+DI$3*100*$A53</f>
        <v>72.375</v>
      </c>
      <c r="DJ53" s="19" t="n">
        <f aca="false">$B53+DJ$3*100*$A53</f>
        <v>73</v>
      </c>
      <c r="DK53" s="19" t="n">
        <f aca="false">$B53+DK$3*100*$A53</f>
        <v>73.625</v>
      </c>
      <c r="DL53" s="19" t="n">
        <f aca="false">$B53+DL$3*100*$A53</f>
        <v>74.25</v>
      </c>
      <c r="DM53" s="19" t="n">
        <f aca="false">$B53+DM$3*100*$A53</f>
        <v>74.875</v>
      </c>
      <c r="DN53" s="19" t="n">
        <f aca="false">$B53+DN$3*100*$A53</f>
        <v>75.5</v>
      </c>
      <c r="DO53" s="19" t="n">
        <f aca="false">$B53+DO$3*100*$A53</f>
        <v>76.125</v>
      </c>
      <c r="DP53" s="19" t="n">
        <f aca="false">$B53+DP$3*100*$A53</f>
        <v>76.75</v>
      </c>
      <c r="DQ53" s="19" t="n">
        <f aca="false">$B53+DQ$3*100*$A53</f>
        <v>77.375</v>
      </c>
      <c r="DR53" s="19" t="n">
        <f aca="false">$B53+DR$3*100*$A53</f>
        <v>78</v>
      </c>
      <c r="DS53" s="19" t="n">
        <f aca="false">$B53+DS$3*100*$A53</f>
        <v>78.625</v>
      </c>
      <c r="DT53" s="19" t="n">
        <f aca="false">$B53+DT$3*100*$A53</f>
        <v>79.25</v>
      </c>
      <c r="DU53" s="19" t="n">
        <f aca="false">$B53+DU$3*100*$A53</f>
        <v>79.875</v>
      </c>
      <c r="DV53" s="19" t="n">
        <f aca="false">$B53+DV$3*100*$A53</f>
        <v>80.5</v>
      </c>
      <c r="DW53" s="19" t="n">
        <f aca="false">$B53+DW$3*100*$A53</f>
        <v>81.125</v>
      </c>
      <c r="DX53" s="19" t="n">
        <f aca="false">$B53+DX$3*100*$A53</f>
        <v>81.75</v>
      </c>
      <c r="DY53" s="19" t="n">
        <f aca="false">$B53+DY$3*100*$A53</f>
        <v>82.375</v>
      </c>
      <c r="DZ53" s="19" t="n">
        <f aca="false">$B53+DZ$3*100*$A53</f>
        <v>83</v>
      </c>
      <c r="EA53" s="19" t="n">
        <f aca="false">$B53+EA$3*100*$A53</f>
        <v>83.625</v>
      </c>
      <c r="EB53" s="19" t="n">
        <f aca="false">$B53+EB$3*100*$A53</f>
        <v>84.25</v>
      </c>
      <c r="EC53" s="19" t="n">
        <f aca="false">$B53+EC$3*100*$A53</f>
        <v>84.875</v>
      </c>
      <c r="ED53" s="19" t="n">
        <f aca="false">$B53+ED$3*100*$A53</f>
        <v>85.5</v>
      </c>
      <c r="EE53" s="19" t="n">
        <f aca="false">$B53+EE$3*100*$A53</f>
        <v>86.125</v>
      </c>
      <c r="EF53" s="19" t="n">
        <f aca="false">$B53+EF$3*100*$A53</f>
        <v>86.75</v>
      </c>
      <c r="EG53" s="19" t="n">
        <f aca="false">$B53+EG$3*100*$A53</f>
        <v>87.375</v>
      </c>
      <c r="EH53" s="19" t="n">
        <f aca="false">$B53+EH$3*100*$A53</f>
        <v>88</v>
      </c>
      <c r="EI53" s="19" t="n">
        <f aca="false">$B53+EI$3*100*$A53</f>
        <v>88.625</v>
      </c>
      <c r="EJ53" s="19" t="n">
        <f aca="false">$B53+EJ$3*100*$A53</f>
        <v>89.25</v>
      </c>
      <c r="EK53" s="19" t="n">
        <f aca="false">$B53+EK$3*100*$A53</f>
        <v>89.875</v>
      </c>
      <c r="EL53" s="19" t="n">
        <f aca="false">$B53+EL$3*100*$A53</f>
        <v>90.5</v>
      </c>
      <c r="EM53" s="19" t="n">
        <f aca="false">$B53+EM$3*100*$A53</f>
        <v>91.125</v>
      </c>
      <c r="EN53" s="19" t="n">
        <f aca="false">$B53+EN$3*100*$A53</f>
        <v>91.75</v>
      </c>
      <c r="EO53" s="19" t="n">
        <f aca="false">$B53+EO$3*100*$A53</f>
        <v>92.375</v>
      </c>
      <c r="EP53" s="19" t="n">
        <f aca="false">$B53+EP$3*100*$A53</f>
        <v>93</v>
      </c>
      <c r="EQ53" s="19" t="n">
        <f aca="false">$B53+EQ$3*100*$A53</f>
        <v>93.625</v>
      </c>
      <c r="ER53" s="19" t="n">
        <f aca="false">$B53+ER$3*100*$A53</f>
        <v>94.25</v>
      </c>
      <c r="ES53" s="19" t="n">
        <f aca="false">$B53+ES$3*100*$A53</f>
        <v>94.875</v>
      </c>
      <c r="ET53" s="19" t="n">
        <f aca="false">$B53+ET$3*100*$A53</f>
        <v>95.5</v>
      </c>
      <c r="EU53" s="19" t="n">
        <f aca="false">$B53+EU$3*100*$A53</f>
        <v>96.125</v>
      </c>
      <c r="EV53" s="19" t="n">
        <f aca="false">$B53+EV$3*100*$A53</f>
        <v>96.75</v>
      </c>
      <c r="EW53" s="19" t="n">
        <f aca="false">$B53+EW$3*100*$A53</f>
        <v>97.375</v>
      </c>
      <c r="EX53" s="19" t="n">
        <f aca="false">$B53+EX$3*100*$A53</f>
        <v>98</v>
      </c>
      <c r="EY53" s="19" t="n">
        <f aca="false">$B53+EY$3*100*$A53</f>
        <v>98.625</v>
      </c>
      <c r="EZ53" s="19" t="n">
        <f aca="false">$B53+EZ$3*100*$A53</f>
        <v>99.25</v>
      </c>
      <c r="FA53" s="19" t="n">
        <f aca="false">$B53+FA$3*100*$A53</f>
        <v>99.875</v>
      </c>
      <c r="FB53" s="19" t="n">
        <f aca="false">$B53+FB$3*100*$A53</f>
        <v>100.5</v>
      </c>
      <c r="FC53" s="19" t="n">
        <f aca="false">$B53+FC$3*100*$A53</f>
        <v>101.125</v>
      </c>
      <c r="FD53" s="19" t="n">
        <f aca="false">$B53+FD$3*100*$A53</f>
        <v>101.75</v>
      </c>
      <c r="FE53" s="19" t="n">
        <f aca="false">$B53+FE$3*100*$A53</f>
        <v>102.375</v>
      </c>
      <c r="FF53" s="19" t="n">
        <f aca="false">$B53+FF$3*100*$A53</f>
        <v>103</v>
      </c>
      <c r="FG53" s="19" t="n">
        <f aca="false">$B53+FG$3*100*$A53</f>
        <v>103.625</v>
      </c>
      <c r="FH53" s="19" t="n">
        <f aca="false">$B53+FH$3*100*$A53</f>
        <v>104.25</v>
      </c>
      <c r="FI53" s="19" t="n">
        <f aca="false">$B53+FI$3*100*$A53</f>
        <v>104.875</v>
      </c>
      <c r="FJ53" s="19" t="n">
        <f aca="false">$B53+FJ$3*100*$A53</f>
        <v>105.5</v>
      </c>
      <c r="FK53" s="19" t="n">
        <f aca="false">$B53+FK$3*100*$A53</f>
        <v>106.125</v>
      </c>
      <c r="FL53" s="19" t="n">
        <f aca="false">$B53+FL$3*100*$A53</f>
        <v>106.75</v>
      </c>
      <c r="FM53" s="19" t="n">
        <f aca="false">$B53+FM$3*100*$A53</f>
        <v>107.375</v>
      </c>
      <c r="FN53" s="19" t="n">
        <f aca="false">$B53+FN$3*100*$A53</f>
        <v>108</v>
      </c>
      <c r="FO53" s="19" t="n">
        <f aca="false">$B53+FO$3*100*$A53</f>
        <v>108.625</v>
      </c>
      <c r="FP53" s="19" t="n">
        <f aca="false">$B53+FP$3*100*$A53</f>
        <v>109.25</v>
      </c>
      <c r="FQ53" s="19" t="n">
        <f aca="false">$B53+FQ$3*100*$A53</f>
        <v>109.875</v>
      </c>
      <c r="FR53" s="19" t="n">
        <f aca="false">$B53+FR$3*100*$A53</f>
        <v>110.5</v>
      </c>
      <c r="FS53" s="19" t="n">
        <f aca="false">$B53+FS$3*100*$A53</f>
        <v>111.125</v>
      </c>
      <c r="FT53" s="19" t="n">
        <f aca="false">$B53+FT$3*100*$A53</f>
        <v>111.75</v>
      </c>
      <c r="FU53" s="19" t="n">
        <f aca="false">$B53+FU$3*100*$A53</f>
        <v>112.375</v>
      </c>
      <c r="FV53" s="19" t="n">
        <f aca="false">$B53+FV$3*100*$A53</f>
        <v>113</v>
      </c>
      <c r="FW53" s="19" t="n">
        <f aca="false">$B53+FW$3*100*$A53</f>
        <v>113.625</v>
      </c>
      <c r="FX53" s="19" t="n">
        <f aca="false">$B53+FX$3*100*$A53</f>
        <v>114.25</v>
      </c>
      <c r="FY53" s="19" t="n">
        <f aca="false">$B53+FY$3*100*$A53</f>
        <v>114.875</v>
      </c>
      <c r="FZ53" s="19" t="n">
        <f aca="false">$B53+FZ$3*100*$A53</f>
        <v>115.5</v>
      </c>
      <c r="GA53" s="19" t="n">
        <f aca="false">$B53+GA$3*100*$A53</f>
        <v>116.125</v>
      </c>
      <c r="GB53" s="19" t="n">
        <f aca="false">$B53+GB$3*100*$A53</f>
        <v>116.75</v>
      </c>
      <c r="GC53" s="19" t="n">
        <f aca="false">$B53+GC$3*100*$A53</f>
        <v>117.375</v>
      </c>
      <c r="GD53" s="19" t="n">
        <f aca="false">$B53+GD$3*100*$A53</f>
        <v>118</v>
      </c>
      <c r="GE53" s="19" t="n">
        <f aca="false">$B53+GE$3*100*$A53</f>
        <v>118.625</v>
      </c>
      <c r="GF53" s="19" t="n">
        <f aca="false">$B53+GF$3*100*$A53</f>
        <v>119.25</v>
      </c>
      <c r="GG53" s="19" t="n">
        <f aca="false">$B53+GG$3*100*$A53</f>
        <v>119.875</v>
      </c>
      <c r="GH53" s="19" t="n">
        <f aca="false">$B53+GH$3*100*$A53</f>
        <v>120.5</v>
      </c>
      <c r="GI53" s="19" t="n">
        <f aca="false">$B53+GI$3*100*$A53</f>
        <v>121.125</v>
      </c>
      <c r="GJ53" s="19" t="n">
        <f aca="false">$B53+GJ$3*100*$A53</f>
        <v>121.75</v>
      </c>
      <c r="GK53" s="19" t="n">
        <f aca="false">$B53+GK$3*100*$A53</f>
        <v>122.375</v>
      </c>
      <c r="GL53" s="19" t="n">
        <f aca="false">$B53+GL$3*100*$A53</f>
        <v>123</v>
      </c>
      <c r="GM53" s="19" t="n">
        <f aca="false">$B53+GM$3*100*$A53</f>
        <v>123.625</v>
      </c>
      <c r="GN53" s="19" t="n">
        <f aca="false">$B53+GN$3*100*$A53</f>
        <v>124.25</v>
      </c>
      <c r="GO53" s="19" t="n">
        <f aca="false">$B53+GO$3*100*$A53</f>
        <v>124.875</v>
      </c>
      <c r="GP53" s="19" t="n">
        <f aca="false">$B53+GP$3*100*$A53</f>
        <v>125.5</v>
      </c>
      <c r="GQ53" s="19" t="n">
        <f aca="false">$B53+GQ$3*100*$A53</f>
        <v>126.125</v>
      </c>
      <c r="GR53" s="19" t="n">
        <f aca="false">$B53+GR$3*100*$A53</f>
        <v>126.75</v>
      </c>
      <c r="GS53" s="19" t="n">
        <f aca="false">$B53+GS$3*100*$A53</f>
        <v>127.375</v>
      </c>
      <c r="GT53" s="19" t="n">
        <f aca="false">$B53+GT$3*100*$A53</f>
        <v>128</v>
      </c>
    </row>
    <row r="54" customFormat="false" ht="15" hidden="false" customHeight="false" outlineLevel="0" collapsed="false">
      <c r="A54" s="26" t="n">
        <f aca="false">Frontier!A52</f>
        <v>0.1275</v>
      </c>
      <c r="B54" s="34" t="n">
        <f aca="false">Frontier!B52</f>
        <v>2.906501728721</v>
      </c>
      <c r="C54" s="19" t="n">
        <f aca="false">$B54+C$3*100*$A54</f>
        <v>3.544001728721</v>
      </c>
      <c r="D54" s="19" t="n">
        <f aca="false">$B54+D$3*100*$A54</f>
        <v>4.181501728721</v>
      </c>
      <c r="E54" s="19" t="n">
        <f aca="false">$B54+E$3*100*$A54</f>
        <v>4.819001728721</v>
      </c>
      <c r="F54" s="19" t="n">
        <f aca="false">$B54+F$3*100*$A54</f>
        <v>5.456501728721</v>
      </c>
      <c r="G54" s="19" t="n">
        <f aca="false">$B54+G$3*100*$A54</f>
        <v>6.094001728721</v>
      </c>
      <c r="H54" s="19" t="n">
        <f aca="false">$B54+H$3*100*$A54</f>
        <v>6.731501728721</v>
      </c>
      <c r="I54" s="19" t="n">
        <f aca="false">$B54+I$3*100*$A54</f>
        <v>7.369001728721</v>
      </c>
      <c r="J54" s="19" t="n">
        <f aca="false">$B54+J$3*100*$A54</f>
        <v>8.006501728721</v>
      </c>
      <c r="K54" s="19" t="n">
        <f aca="false">$B54+K$3*100*$A54</f>
        <v>8.644001728721</v>
      </c>
      <c r="L54" s="19" t="n">
        <f aca="false">$B54+L$3*100*$A54</f>
        <v>9.281501728721</v>
      </c>
      <c r="M54" s="19" t="n">
        <f aca="false">$B54+M$3*100*$A54</f>
        <v>9.919001728721</v>
      </c>
      <c r="N54" s="19" t="n">
        <f aca="false">$B54+N$3*100*$A54</f>
        <v>10.556501728721</v>
      </c>
      <c r="O54" s="19" t="n">
        <f aca="false">$B54+O$3*100*$A54</f>
        <v>11.194001728721</v>
      </c>
      <c r="P54" s="19" t="n">
        <f aca="false">$B54+P$3*100*$A54</f>
        <v>11.831501728721</v>
      </c>
      <c r="Q54" s="19" t="n">
        <f aca="false">$B54+Q$3*100*$A54</f>
        <v>12.469001728721</v>
      </c>
      <c r="R54" s="19" t="n">
        <f aca="false">$B54+R$3*100*$A54</f>
        <v>13.106501728721</v>
      </c>
      <c r="S54" s="19" t="n">
        <f aca="false">$B54+S$3*100*$A54</f>
        <v>13.744001728721</v>
      </c>
      <c r="T54" s="19" t="n">
        <f aca="false">$B54+T$3*100*$A54</f>
        <v>14.381501728721</v>
      </c>
      <c r="U54" s="19" t="n">
        <f aca="false">$B54+U$3*100*$A54</f>
        <v>15.019001728721</v>
      </c>
      <c r="V54" s="19" t="n">
        <f aca="false">$B54+V$3*100*$A54</f>
        <v>15.656501728721</v>
      </c>
      <c r="W54" s="19" t="n">
        <f aca="false">$B54+W$3*100*$A54</f>
        <v>16.294001728721</v>
      </c>
      <c r="X54" s="19" t="n">
        <f aca="false">$B54+X$3*100*$A54</f>
        <v>16.931501728721</v>
      </c>
      <c r="Y54" s="19" t="n">
        <f aca="false">$B54+Y$3*100*$A54</f>
        <v>17.569001728721</v>
      </c>
      <c r="Z54" s="19" t="n">
        <f aca="false">$B54+Z$3*100*$A54</f>
        <v>18.206501728721</v>
      </c>
      <c r="AA54" s="19" t="n">
        <f aca="false">$B54+AA$3*100*$A54</f>
        <v>18.844001728721</v>
      </c>
      <c r="AB54" s="19" t="n">
        <f aca="false">$B54+AB$3*100*$A54</f>
        <v>19.481501728721</v>
      </c>
      <c r="AC54" s="19" t="n">
        <f aca="false">$B54+AC$3*100*$A54</f>
        <v>20.119001728721</v>
      </c>
      <c r="AD54" s="19" t="n">
        <f aca="false">$B54+AD$3*100*$A54</f>
        <v>20.756501728721</v>
      </c>
      <c r="AE54" s="19" t="n">
        <f aca="false">$B54+AE$3*100*$A54</f>
        <v>21.394001728721</v>
      </c>
      <c r="AF54" s="19" t="n">
        <f aca="false">$B54+AF$3*100*$A54</f>
        <v>22.031501728721</v>
      </c>
      <c r="AG54" s="19" t="n">
        <f aca="false">$B54+AG$3*100*$A54</f>
        <v>22.669001728721</v>
      </c>
      <c r="AH54" s="19" t="n">
        <f aca="false">$B54+AH$3*100*$A54</f>
        <v>23.306501728721</v>
      </c>
      <c r="AI54" s="19" t="n">
        <f aca="false">$B54+AI$3*100*$A54</f>
        <v>23.944001728721</v>
      </c>
      <c r="AJ54" s="19" t="n">
        <f aca="false">$B54+AJ$3*100*$A54</f>
        <v>24.581501728721</v>
      </c>
      <c r="AK54" s="19" t="n">
        <f aca="false">$B54+AK$3*100*$A54</f>
        <v>25.219001728721</v>
      </c>
      <c r="AL54" s="19" t="n">
        <f aca="false">$B54+AL$3*100*$A54</f>
        <v>25.856501728721</v>
      </c>
      <c r="AM54" s="19" t="n">
        <f aca="false">$B54+AM$3*100*$A54</f>
        <v>26.494001728721</v>
      </c>
      <c r="AN54" s="19" t="n">
        <f aca="false">$B54+AN$3*100*$A54</f>
        <v>27.131501728721</v>
      </c>
      <c r="AO54" s="19" t="n">
        <f aca="false">$B54+AO$3*100*$A54</f>
        <v>27.769001728721</v>
      </c>
      <c r="AP54" s="19" t="n">
        <f aca="false">$B54+AP$3*100*$A54</f>
        <v>28.406501728721</v>
      </c>
      <c r="AQ54" s="19" t="n">
        <f aca="false">$B54+AQ$3*100*$A54</f>
        <v>29.044001728721</v>
      </c>
      <c r="AR54" s="19" t="n">
        <f aca="false">$B54+AR$3*100*$A54</f>
        <v>29.681501728721</v>
      </c>
      <c r="AS54" s="19" t="n">
        <f aca="false">$B54+AS$3*100*$A54</f>
        <v>30.319001728721</v>
      </c>
      <c r="AT54" s="19" t="n">
        <f aca="false">$B54+AT$3*100*$A54</f>
        <v>30.956501728721</v>
      </c>
      <c r="AU54" s="19" t="n">
        <f aca="false">$B54+AU$3*100*$A54</f>
        <v>31.594001728721</v>
      </c>
      <c r="AV54" s="19" t="n">
        <f aca="false">$B54+AV$3*100*$A54</f>
        <v>32.231501728721</v>
      </c>
      <c r="AW54" s="19" t="n">
        <f aca="false">$B54+AW$3*100*$A54</f>
        <v>32.869001728721</v>
      </c>
      <c r="AX54" s="19" t="n">
        <f aca="false">$B54+AX$3*100*$A54</f>
        <v>33.506501728721</v>
      </c>
      <c r="AY54" s="19" t="n">
        <f aca="false">$B54+AY$3*100*$A54</f>
        <v>34.144001728721</v>
      </c>
      <c r="AZ54" s="19" t="n">
        <f aca="false">$B54+AZ$3*100*$A54</f>
        <v>34.781501728721</v>
      </c>
      <c r="BA54" s="19" t="n">
        <f aca="false">$B54+BA$3*100*$A54</f>
        <v>35.419001728721</v>
      </c>
      <c r="BB54" s="19" t="n">
        <f aca="false">$B54+BB$3*100*$A54</f>
        <v>36.056501728721</v>
      </c>
      <c r="BC54" s="19" t="n">
        <f aca="false">$B54+BC$3*100*$A54</f>
        <v>36.694001728721</v>
      </c>
      <c r="BD54" s="19" t="n">
        <f aca="false">$B54+BD$3*100*$A54</f>
        <v>37.331501728721</v>
      </c>
      <c r="BE54" s="19" t="n">
        <f aca="false">$B54+BE$3*100*$A54</f>
        <v>37.969001728721</v>
      </c>
      <c r="BF54" s="19" t="n">
        <f aca="false">$B54+BF$3*100*$A54</f>
        <v>38.606501728721</v>
      </c>
      <c r="BG54" s="19" t="n">
        <f aca="false">$B54+BG$3*100*$A54</f>
        <v>39.244001728721</v>
      </c>
      <c r="BH54" s="19" t="n">
        <f aca="false">$B54+BH$3*100*$A54</f>
        <v>39.881501728721</v>
      </c>
      <c r="BI54" s="19" t="n">
        <f aca="false">$B54+BI$3*100*$A54</f>
        <v>40.519001728721</v>
      </c>
      <c r="BJ54" s="19" t="n">
        <f aca="false">$B54+BJ$3*100*$A54</f>
        <v>41.156501728721</v>
      </c>
      <c r="BK54" s="19" t="n">
        <f aca="false">$B54+BK$3*100*$A54</f>
        <v>41.794001728721</v>
      </c>
      <c r="BL54" s="19" t="n">
        <f aca="false">$B54+BL$3*100*$A54</f>
        <v>42.431501728721</v>
      </c>
      <c r="BM54" s="19" t="n">
        <f aca="false">$B54+BM$3*100*$A54</f>
        <v>43.069001728721</v>
      </c>
      <c r="BN54" s="19" t="n">
        <f aca="false">$B54+BN$3*100*$A54</f>
        <v>43.706501728721</v>
      </c>
      <c r="BO54" s="19" t="n">
        <f aca="false">$B54+BO$3*100*$A54</f>
        <v>44.344001728721</v>
      </c>
      <c r="BP54" s="19" t="n">
        <f aca="false">$B54+BP$3*100*$A54</f>
        <v>44.981501728721</v>
      </c>
      <c r="BQ54" s="19" t="n">
        <f aca="false">$B54+BQ$3*100*$A54</f>
        <v>45.619001728721</v>
      </c>
      <c r="BR54" s="19" t="n">
        <f aca="false">$B54+BR$3*100*$A54</f>
        <v>46.256501728721</v>
      </c>
      <c r="BS54" s="19" t="n">
        <f aca="false">$B54+BS$3*100*$A54</f>
        <v>46.894001728721</v>
      </c>
      <c r="BT54" s="19" t="n">
        <f aca="false">$B54+BT$3*100*$A54</f>
        <v>47.531501728721</v>
      </c>
      <c r="BU54" s="19" t="n">
        <f aca="false">$B54+BU$3*100*$A54</f>
        <v>48.169001728721</v>
      </c>
      <c r="BV54" s="19" t="n">
        <f aca="false">$B54+BV$3*100*$A54</f>
        <v>48.806501728721</v>
      </c>
      <c r="BW54" s="19" t="n">
        <f aca="false">$B54+BW$3*100*$A54</f>
        <v>49.444001728721</v>
      </c>
      <c r="BX54" s="19" t="n">
        <f aca="false">$B54+BX$3*100*$A54</f>
        <v>50.081501728721</v>
      </c>
      <c r="BY54" s="19" t="n">
        <f aca="false">$B54+BY$3*100*$A54</f>
        <v>50.719001728721</v>
      </c>
      <c r="BZ54" s="19" t="n">
        <f aca="false">$B54+BZ$3*100*$A54</f>
        <v>51.356501728721</v>
      </c>
      <c r="CA54" s="19" t="n">
        <f aca="false">$B54+CA$3*100*$A54</f>
        <v>51.994001728721</v>
      </c>
      <c r="CB54" s="19" t="n">
        <f aca="false">$B54+CB$3*100*$A54</f>
        <v>52.631501728721</v>
      </c>
      <c r="CC54" s="19" t="n">
        <f aca="false">$B54+CC$3*100*$A54</f>
        <v>53.269001728721</v>
      </c>
      <c r="CD54" s="19" t="n">
        <f aca="false">$B54+CD$3*100*$A54</f>
        <v>53.906501728721</v>
      </c>
      <c r="CE54" s="19" t="n">
        <f aca="false">$B54+CE$3*100*$A54</f>
        <v>54.544001728721</v>
      </c>
      <c r="CF54" s="19" t="n">
        <f aca="false">$B54+CF$3*100*$A54</f>
        <v>55.181501728721</v>
      </c>
      <c r="CG54" s="19" t="n">
        <f aca="false">$B54+CG$3*100*$A54</f>
        <v>55.819001728721</v>
      </c>
      <c r="CH54" s="19" t="n">
        <f aca="false">$B54+CH$3*100*$A54</f>
        <v>56.456501728721</v>
      </c>
      <c r="CI54" s="19" t="n">
        <f aca="false">$B54+CI$3*100*$A54</f>
        <v>57.094001728721</v>
      </c>
      <c r="CJ54" s="19" t="n">
        <f aca="false">$B54+CJ$3*100*$A54</f>
        <v>57.731501728721</v>
      </c>
      <c r="CK54" s="19" t="n">
        <f aca="false">$B54+CK$3*100*$A54</f>
        <v>58.369001728721</v>
      </c>
      <c r="CL54" s="19" t="n">
        <f aca="false">$B54+CL$3*100*$A54</f>
        <v>59.006501728721</v>
      </c>
      <c r="CM54" s="19" t="n">
        <f aca="false">$B54+CM$3*100*$A54</f>
        <v>59.644001728721</v>
      </c>
      <c r="CN54" s="19" t="n">
        <f aca="false">$B54+CN$3*100*$A54</f>
        <v>60.281501728721</v>
      </c>
      <c r="CO54" s="19" t="n">
        <f aca="false">$B54+CO$3*100*$A54</f>
        <v>60.919001728721</v>
      </c>
      <c r="CP54" s="19" t="n">
        <f aca="false">$B54+CP$3*100*$A54</f>
        <v>61.556501728721</v>
      </c>
      <c r="CQ54" s="19" t="n">
        <f aca="false">$B54+CQ$3*100*$A54</f>
        <v>62.194001728721</v>
      </c>
      <c r="CR54" s="19" t="n">
        <f aca="false">$B54+CR$3*100*$A54</f>
        <v>62.831501728721</v>
      </c>
      <c r="CS54" s="19" t="n">
        <f aca="false">$B54+CS$3*100*$A54</f>
        <v>63.469001728721</v>
      </c>
      <c r="CT54" s="19" t="n">
        <f aca="false">$B54+CT$3*100*$A54</f>
        <v>64.106501728721</v>
      </c>
      <c r="CU54" s="19" t="n">
        <f aca="false">$B54+CU$3*100*$A54</f>
        <v>64.744001728721</v>
      </c>
      <c r="CV54" s="19" t="n">
        <f aca="false">$B54+CV$3*100*$A54</f>
        <v>65.381501728721</v>
      </c>
      <c r="CW54" s="19" t="n">
        <f aca="false">$B54+CW$3*100*$A54</f>
        <v>66.019001728721</v>
      </c>
      <c r="CX54" s="19" t="n">
        <f aca="false">$B54+CX$3*100*$A54</f>
        <v>66.656501728721</v>
      </c>
      <c r="CY54" s="19" t="n">
        <f aca="false">$B54+CY$3*100*$A54</f>
        <v>67.294001728721</v>
      </c>
      <c r="CZ54" s="19" t="n">
        <f aca="false">$B54+CZ$3*100*$A54</f>
        <v>67.931501728721</v>
      </c>
      <c r="DA54" s="19" t="n">
        <f aca="false">$B54+DA$3*100*$A54</f>
        <v>68.569001728721</v>
      </c>
      <c r="DB54" s="19" t="n">
        <f aca="false">$B54+DB$3*100*$A54</f>
        <v>69.206501728721</v>
      </c>
      <c r="DC54" s="19" t="n">
        <f aca="false">$B54+DC$3*100*$A54</f>
        <v>69.844001728721</v>
      </c>
      <c r="DD54" s="19" t="n">
        <f aca="false">$B54+DD$3*100*$A54</f>
        <v>70.481501728721</v>
      </c>
      <c r="DE54" s="19" t="n">
        <f aca="false">$B54+DE$3*100*$A54</f>
        <v>71.119001728721</v>
      </c>
      <c r="DF54" s="19" t="n">
        <f aca="false">$B54+DF$3*100*$A54</f>
        <v>71.756501728721</v>
      </c>
      <c r="DG54" s="19" t="n">
        <f aca="false">$B54+DG$3*100*$A54</f>
        <v>72.394001728721</v>
      </c>
      <c r="DH54" s="19" t="n">
        <f aca="false">$B54+DH$3*100*$A54</f>
        <v>73.031501728721</v>
      </c>
      <c r="DI54" s="19" t="n">
        <f aca="false">$B54+DI$3*100*$A54</f>
        <v>73.669001728721</v>
      </c>
      <c r="DJ54" s="19" t="n">
        <f aca="false">$B54+DJ$3*100*$A54</f>
        <v>74.306501728721</v>
      </c>
      <c r="DK54" s="19" t="n">
        <f aca="false">$B54+DK$3*100*$A54</f>
        <v>74.944001728721</v>
      </c>
      <c r="DL54" s="19" t="n">
        <f aca="false">$B54+DL$3*100*$A54</f>
        <v>75.581501728721</v>
      </c>
      <c r="DM54" s="19" t="n">
        <f aca="false">$B54+DM$3*100*$A54</f>
        <v>76.219001728721</v>
      </c>
      <c r="DN54" s="19" t="n">
        <f aca="false">$B54+DN$3*100*$A54</f>
        <v>76.856501728721</v>
      </c>
      <c r="DO54" s="19" t="n">
        <f aca="false">$B54+DO$3*100*$A54</f>
        <v>77.494001728721</v>
      </c>
      <c r="DP54" s="19" t="n">
        <f aca="false">$B54+DP$3*100*$A54</f>
        <v>78.131501728721</v>
      </c>
      <c r="DQ54" s="19" t="n">
        <f aca="false">$B54+DQ$3*100*$A54</f>
        <v>78.769001728721</v>
      </c>
      <c r="DR54" s="19" t="n">
        <f aca="false">$B54+DR$3*100*$A54</f>
        <v>79.406501728721</v>
      </c>
      <c r="DS54" s="19" t="n">
        <f aca="false">$B54+DS$3*100*$A54</f>
        <v>80.044001728721</v>
      </c>
      <c r="DT54" s="19" t="n">
        <f aca="false">$B54+DT$3*100*$A54</f>
        <v>80.681501728721</v>
      </c>
      <c r="DU54" s="19" t="n">
        <f aca="false">$B54+DU$3*100*$A54</f>
        <v>81.319001728721</v>
      </c>
      <c r="DV54" s="19" t="n">
        <f aca="false">$B54+DV$3*100*$A54</f>
        <v>81.956501728721</v>
      </c>
      <c r="DW54" s="19" t="n">
        <f aca="false">$B54+DW$3*100*$A54</f>
        <v>82.594001728721</v>
      </c>
      <c r="DX54" s="19" t="n">
        <f aca="false">$B54+DX$3*100*$A54</f>
        <v>83.231501728721</v>
      </c>
      <c r="DY54" s="19" t="n">
        <f aca="false">$B54+DY$3*100*$A54</f>
        <v>83.869001728721</v>
      </c>
      <c r="DZ54" s="19" t="n">
        <f aca="false">$B54+DZ$3*100*$A54</f>
        <v>84.506501728721</v>
      </c>
      <c r="EA54" s="19" t="n">
        <f aca="false">$B54+EA$3*100*$A54</f>
        <v>85.144001728721</v>
      </c>
      <c r="EB54" s="19" t="n">
        <f aca="false">$B54+EB$3*100*$A54</f>
        <v>85.781501728721</v>
      </c>
      <c r="EC54" s="19" t="n">
        <f aca="false">$B54+EC$3*100*$A54</f>
        <v>86.419001728721</v>
      </c>
      <c r="ED54" s="19" t="n">
        <f aca="false">$B54+ED$3*100*$A54</f>
        <v>87.056501728721</v>
      </c>
      <c r="EE54" s="19" t="n">
        <f aca="false">$B54+EE$3*100*$A54</f>
        <v>87.694001728721</v>
      </c>
      <c r="EF54" s="19" t="n">
        <f aca="false">$B54+EF$3*100*$A54</f>
        <v>88.331501728721</v>
      </c>
      <c r="EG54" s="19" t="n">
        <f aca="false">$B54+EG$3*100*$A54</f>
        <v>88.969001728721</v>
      </c>
      <c r="EH54" s="19" t="n">
        <f aca="false">$B54+EH$3*100*$A54</f>
        <v>89.606501728721</v>
      </c>
      <c r="EI54" s="19" t="n">
        <f aca="false">$B54+EI$3*100*$A54</f>
        <v>90.244001728721</v>
      </c>
      <c r="EJ54" s="19" t="n">
        <f aca="false">$B54+EJ$3*100*$A54</f>
        <v>90.881501728721</v>
      </c>
      <c r="EK54" s="19" t="n">
        <f aca="false">$B54+EK$3*100*$A54</f>
        <v>91.519001728721</v>
      </c>
      <c r="EL54" s="19" t="n">
        <f aca="false">$B54+EL$3*100*$A54</f>
        <v>92.156501728721</v>
      </c>
      <c r="EM54" s="19" t="n">
        <f aca="false">$B54+EM$3*100*$A54</f>
        <v>92.794001728721</v>
      </c>
      <c r="EN54" s="19" t="n">
        <f aca="false">$B54+EN$3*100*$A54</f>
        <v>93.431501728721</v>
      </c>
      <c r="EO54" s="19" t="n">
        <f aca="false">$B54+EO$3*100*$A54</f>
        <v>94.069001728721</v>
      </c>
      <c r="EP54" s="19" t="n">
        <f aca="false">$B54+EP$3*100*$A54</f>
        <v>94.706501728721</v>
      </c>
      <c r="EQ54" s="19" t="n">
        <f aca="false">$B54+EQ$3*100*$A54</f>
        <v>95.344001728721</v>
      </c>
      <c r="ER54" s="19" t="n">
        <f aca="false">$B54+ER$3*100*$A54</f>
        <v>95.981501728721</v>
      </c>
      <c r="ES54" s="19" t="n">
        <f aca="false">$B54+ES$3*100*$A54</f>
        <v>96.619001728721</v>
      </c>
      <c r="ET54" s="19" t="n">
        <f aca="false">$B54+ET$3*100*$A54</f>
        <v>97.256501728721</v>
      </c>
      <c r="EU54" s="19" t="n">
        <f aca="false">$B54+EU$3*100*$A54</f>
        <v>97.894001728721</v>
      </c>
      <c r="EV54" s="19" t="n">
        <f aca="false">$B54+EV$3*100*$A54</f>
        <v>98.531501728721</v>
      </c>
      <c r="EW54" s="19" t="n">
        <f aca="false">$B54+EW$3*100*$A54</f>
        <v>99.169001728721</v>
      </c>
      <c r="EX54" s="19" t="n">
        <f aca="false">$B54+EX$3*100*$A54</f>
        <v>99.806501728721</v>
      </c>
      <c r="EY54" s="19" t="n">
        <f aca="false">$B54+EY$3*100*$A54</f>
        <v>100.444001728721</v>
      </c>
      <c r="EZ54" s="19" t="n">
        <f aca="false">$B54+EZ$3*100*$A54</f>
        <v>101.081501728721</v>
      </c>
      <c r="FA54" s="19" t="n">
        <f aca="false">$B54+FA$3*100*$A54</f>
        <v>101.719001728721</v>
      </c>
      <c r="FB54" s="19" t="n">
        <f aca="false">$B54+FB$3*100*$A54</f>
        <v>102.356501728721</v>
      </c>
      <c r="FC54" s="19" t="n">
        <f aca="false">$B54+FC$3*100*$A54</f>
        <v>102.994001728721</v>
      </c>
      <c r="FD54" s="19" t="n">
        <f aca="false">$B54+FD$3*100*$A54</f>
        <v>103.631501728721</v>
      </c>
      <c r="FE54" s="19" t="n">
        <f aca="false">$B54+FE$3*100*$A54</f>
        <v>104.269001728721</v>
      </c>
      <c r="FF54" s="19" t="n">
        <f aca="false">$B54+FF$3*100*$A54</f>
        <v>104.906501728721</v>
      </c>
      <c r="FG54" s="19" t="n">
        <f aca="false">$B54+FG$3*100*$A54</f>
        <v>105.544001728721</v>
      </c>
      <c r="FH54" s="19" t="n">
        <f aca="false">$B54+FH$3*100*$A54</f>
        <v>106.181501728721</v>
      </c>
      <c r="FI54" s="19" t="n">
        <f aca="false">$B54+FI$3*100*$A54</f>
        <v>106.819001728721</v>
      </c>
      <c r="FJ54" s="19" t="n">
        <f aca="false">$B54+FJ$3*100*$A54</f>
        <v>107.456501728721</v>
      </c>
      <c r="FK54" s="19" t="n">
        <f aca="false">$B54+FK$3*100*$A54</f>
        <v>108.094001728721</v>
      </c>
      <c r="FL54" s="19" t="n">
        <f aca="false">$B54+FL$3*100*$A54</f>
        <v>108.731501728721</v>
      </c>
      <c r="FM54" s="19" t="n">
        <f aca="false">$B54+FM$3*100*$A54</f>
        <v>109.369001728721</v>
      </c>
      <c r="FN54" s="19" t="n">
        <f aca="false">$B54+FN$3*100*$A54</f>
        <v>110.006501728721</v>
      </c>
      <c r="FO54" s="19" t="n">
        <f aca="false">$B54+FO$3*100*$A54</f>
        <v>110.644001728721</v>
      </c>
      <c r="FP54" s="19" t="n">
        <f aca="false">$B54+FP$3*100*$A54</f>
        <v>111.281501728721</v>
      </c>
      <c r="FQ54" s="19" t="n">
        <f aca="false">$B54+FQ$3*100*$A54</f>
        <v>111.919001728721</v>
      </c>
      <c r="FR54" s="19" t="n">
        <f aca="false">$B54+FR$3*100*$A54</f>
        <v>112.556501728721</v>
      </c>
      <c r="FS54" s="19" t="n">
        <f aca="false">$B54+FS$3*100*$A54</f>
        <v>113.194001728721</v>
      </c>
      <c r="FT54" s="19" t="n">
        <f aca="false">$B54+FT$3*100*$A54</f>
        <v>113.831501728721</v>
      </c>
      <c r="FU54" s="19" t="n">
        <f aca="false">$B54+FU$3*100*$A54</f>
        <v>114.469001728721</v>
      </c>
      <c r="FV54" s="19" t="n">
        <f aca="false">$B54+FV$3*100*$A54</f>
        <v>115.106501728721</v>
      </c>
      <c r="FW54" s="19" t="n">
        <f aca="false">$B54+FW$3*100*$A54</f>
        <v>115.744001728721</v>
      </c>
      <c r="FX54" s="19" t="n">
        <f aca="false">$B54+FX$3*100*$A54</f>
        <v>116.381501728721</v>
      </c>
      <c r="FY54" s="19" t="n">
        <f aca="false">$B54+FY$3*100*$A54</f>
        <v>117.019001728721</v>
      </c>
      <c r="FZ54" s="19" t="n">
        <f aca="false">$B54+FZ$3*100*$A54</f>
        <v>117.656501728721</v>
      </c>
      <c r="GA54" s="19" t="n">
        <f aca="false">$B54+GA$3*100*$A54</f>
        <v>118.294001728721</v>
      </c>
      <c r="GB54" s="19" t="n">
        <f aca="false">$B54+GB$3*100*$A54</f>
        <v>118.931501728721</v>
      </c>
      <c r="GC54" s="19" t="n">
        <f aca="false">$B54+GC$3*100*$A54</f>
        <v>119.569001728721</v>
      </c>
      <c r="GD54" s="19" t="n">
        <f aca="false">$B54+GD$3*100*$A54</f>
        <v>120.206501728721</v>
      </c>
      <c r="GE54" s="19" t="n">
        <f aca="false">$B54+GE$3*100*$A54</f>
        <v>120.844001728721</v>
      </c>
      <c r="GF54" s="19" t="n">
        <f aca="false">$B54+GF$3*100*$A54</f>
        <v>121.481501728721</v>
      </c>
      <c r="GG54" s="19" t="n">
        <f aca="false">$B54+GG$3*100*$A54</f>
        <v>122.119001728721</v>
      </c>
      <c r="GH54" s="19" t="n">
        <f aca="false">$B54+GH$3*100*$A54</f>
        <v>122.756501728721</v>
      </c>
      <c r="GI54" s="19" t="n">
        <f aca="false">$B54+GI$3*100*$A54</f>
        <v>123.394001728721</v>
      </c>
      <c r="GJ54" s="19" t="n">
        <f aca="false">$B54+GJ$3*100*$A54</f>
        <v>124.031501728721</v>
      </c>
      <c r="GK54" s="19" t="n">
        <f aca="false">$B54+GK$3*100*$A54</f>
        <v>124.669001728721</v>
      </c>
      <c r="GL54" s="19" t="n">
        <f aca="false">$B54+GL$3*100*$A54</f>
        <v>125.306501728721</v>
      </c>
      <c r="GM54" s="19" t="n">
        <f aca="false">$B54+GM$3*100*$A54</f>
        <v>125.944001728721</v>
      </c>
      <c r="GN54" s="19" t="n">
        <f aca="false">$B54+GN$3*100*$A54</f>
        <v>126.581501728721</v>
      </c>
      <c r="GO54" s="19" t="n">
        <f aca="false">$B54+GO$3*100*$A54</f>
        <v>127.219001728721</v>
      </c>
      <c r="GP54" s="19" t="n">
        <f aca="false">$B54+GP$3*100*$A54</f>
        <v>127.856501728721</v>
      </c>
      <c r="GQ54" s="19" t="n">
        <f aca="false">$B54+GQ$3*100*$A54</f>
        <v>128.494001728721</v>
      </c>
      <c r="GR54" s="19" t="n">
        <f aca="false">$B54+GR$3*100*$A54</f>
        <v>129.131501728721</v>
      </c>
      <c r="GS54" s="19" t="n">
        <f aca="false">$B54+GS$3*100*$A54</f>
        <v>129.769001728721</v>
      </c>
      <c r="GT54" s="19" t="n">
        <f aca="false">$B54+GT$3*100*$A54</f>
        <v>130.406501728721</v>
      </c>
    </row>
    <row r="55" customFormat="false" ht="15" hidden="false" customHeight="false" outlineLevel="0" collapsed="false">
      <c r="A55" s="26" t="n">
        <f aca="false">Frontier!A53</f>
        <v>0.13</v>
      </c>
      <c r="B55" s="34" t="n">
        <f aca="false">Frontier!B53</f>
        <v>2.85</v>
      </c>
      <c r="C55" s="19" t="n">
        <f aca="false">$B55+C$3*100*$A55</f>
        <v>3.5</v>
      </c>
      <c r="D55" s="19" t="n">
        <f aca="false">$B55+D$3*100*$A55</f>
        <v>4.15</v>
      </c>
      <c r="E55" s="19" t="n">
        <f aca="false">$B55+E$3*100*$A55</f>
        <v>4.8</v>
      </c>
      <c r="F55" s="19" t="n">
        <f aca="false">$B55+F$3*100*$A55</f>
        <v>5.45</v>
      </c>
      <c r="G55" s="19" t="n">
        <f aca="false">$B55+G$3*100*$A55</f>
        <v>6.1</v>
      </c>
      <c r="H55" s="19" t="n">
        <f aca="false">$B55+H$3*100*$A55</f>
        <v>6.75</v>
      </c>
      <c r="I55" s="19" t="n">
        <f aca="false">$B55+I$3*100*$A55</f>
        <v>7.4</v>
      </c>
      <c r="J55" s="19" t="n">
        <f aca="false">$B55+J$3*100*$A55</f>
        <v>8.05</v>
      </c>
      <c r="K55" s="19" t="n">
        <f aca="false">$B55+K$3*100*$A55</f>
        <v>8.7</v>
      </c>
      <c r="L55" s="19" t="n">
        <f aca="false">$B55+L$3*100*$A55</f>
        <v>9.35</v>
      </c>
      <c r="M55" s="19" t="n">
        <f aca="false">$B55+M$3*100*$A55</f>
        <v>10</v>
      </c>
      <c r="N55" s="19" t="n">
        <f aca="false">$B55+N$3*100*$A55</f>
        <v>10.65</v>
      </c>
      <c r="O55" s="19" t="n">
        <f aca="false">$B55+O$3*100*$A55</f>
        <v>11.3</v>
      </c>
      <c r="P55" s="19" t="n">
        <f aca="false">$B55+P$3*100*$A55</f>
        <v>11.95</v>
      </c>
      <c r="Q55" s="19" t="n">
        <f aca="false">$B55+Q$3*100*$A55</f>
        <v>12.6</v>
      </c>
      <c r="R55" s="19" t="n">
        <f aca="false">$B55+R$3*100*$A55</f>
        <v>13.25</v>
      </c>
      <c r="S55" s="19" t="n">
        <f aca="false">$B55+S$3*100*$A55</f>
        <v>13.9</v>
      </c>
      <c r="T55" s="19" t="n">
        <f aca="false">$B55+T$3*100*$A55</f>
        <v>14.55</v>
      </c>
      <c r="U55" s="19" t="n">
        <f aca="false">$B55+U$3*100*$A55</f>
        <v>15.2</v>
      </c>
      <c r="V55" s="19" t="n">
        <f aca="false">$B55+V$3*100*$A55</f>
        <v>15.85</v>
      </c>
      <c r="W55" s="19" t="n">
        <f aca="false">$B55+W$3*100*$A55</f>
        <v>16.5</v>
      </c>
      <c r="X55" s="19" t="n">
        <f aca="false">$B55+X$3*100*$A55</f>
        <v>17.15</v>
      </c>
      <c r="Y55" s="19" t="n">
        <f aca="false">$B55+Y$3*100*$A55</f>
        <v>17.8</v>
      </c>
      <c r="Z55" s="19" t="n">
        <f aca="false">$B55+Z$3*100*$A55</f>
        <v>18.45</v>
      </c>
      <c r="AA55" s="19" t="n">
        <f aca="false">$B55+AA$3*100*$A55</f>
        <v>19.1</v>
      </c>
      <c r="AB55" s="19" t="n">
        <f aca="false">$B55+AB$3*100*$A55</f>
        <v>19.75</v>
      </c>
      <c r="AC55" s="19" t="n">
        <f aca="false">$B55+AC$3*100*$A55</f>
        <v>20.4</v>
      </c>
      <c r="AD55" s="19" t="n">
        <f aca="false">$B55+AD$3*100*$A55</f>
        <v>21.05</v>
      </c>
      <c r="AE55" s="19" t="n">
        <f aca="false">$B55+AE$3*100*$A55</f>
        <v>21.7</v>
      </c>
      <c r="AF55" s="19" t="n">
        <f aca="false">$B55+AF$3*100*$A55</f>
        <v>22.35</v>
      </c>
      <c r="AG55" s="19" t="n">
        <f aca="false">$B55+AG$3*100*$A55</f>
        <v>23</v>
      </c>
      <c r="AH55" s="19" t="n">
        <f aca="false">$B55+AH$3*100*$A55</f>
        <v>23.65</v>
      </c>
      <c r="AI55" s="19" t="n">
        <f aca="false">$B55+AI$3*100*$A55</f>
        <v>24.3</v>
      </c>
      <c r="AJ55" s="19" t="n">
        <f aca="false">$B55+AJ$3*100*$A55</f>
        <v>24.95</v>
      </c>
      <c r="AK55" s="19" t="n">
        <f aca="false">$B55+AK$3*100*$A55</f>
        <v>25.6</v>
      </c>
      <c r="AL55" s="19" t="n">
        <f aca="false">$B55+AL$3*100*$A55</f>
        <v>26.25</v>
      </c>
      <c r="AM55" s="19" t="n">
        <f aca="false">$B55+AM$3*100*$A55</f>
        <v>26.9</v>
      </c>
      <c r="AN55" s="19" t="n">
        <f aca="false">$B55+AN$3*100*$A55</f>
        <v>27.55</v>
      </c>
      <c r="AO55" s="19" t="n">
        <f aca="false">$B55+AO$3*100*$A55</f>
        <v>28.2</v>
      </c>
      <c r="AP55" s="19" t="n">
        <f aca="false">$B55+AP$3*100*$A55</f>
        <v>28.85</v>
      </c>
      <c r="AQ55" s="19" t="n">
        <f aca="false">$B55+AQ$3*100*$A55</f>
        <v>29.5</v>
      </c>
      <c r="AR55" s="19" t="n">
        <f aca="false">$B55+AR$3*100*$A55</f>
        <v>30.15</v>
      </c>
      <c r="AS55" s="19" t="n">
        <f aca="false">$B55+AS$3*100*$A55</f>
        <v>30.8</v>
      </c>
      <c r="AT55" s="19" t="n">
        <f aca="false">$B55+AT$3*100*$A55</f>
        <v>31.45</v>
      </c>
      <c r="AU55" s="19" t="n">
        <f aca="false">$B55+AU$3*100*$A55</f>
        <v>32.1</v>
      </c>
      <c r="AV55" s="19" t="n">
        <f aca="false">$B55+AV$3*100*$A55</f>
        <v>32.75</v>
      </c>
      <c r="AW55" s="19" t="n">
        <f aca="false">$B55+AW$3*100*$A55</f>
        <v>33.4</v>
      </c>
      <c r="AX55" s="19" t="n">
        <f aca="false">$B55+AX$3*100*$A55</f>
        <v>34.05</v>
      </c>
      <c r="AY55" s="19" t="n">
        <f aca="false">$B55+AY$3*100*$A55</f>
        <v>34.7</v>
      </c>
      <c r="AZ55" s="19" t="n">
        <f aca="false">$B55+AZ$3*100*$A55</f>
        <v>35.35</v>
      </c>
      <c r="BA55" s="19" t="n">
        <f aca="false">$B55+BA$3*100*$A55</f>
        <v>36</v>
      </c>
      <c r="BB55" s="19" t="n">
        <f aca="false">$B55+BB$3*100*$A55</f>
        <v>36.65</v>
      </c>
      <c r="BC55" s="19" t="n">
        <f aca="false">$B55+BC$3*100*$A55</f>
        <v>37.3</v>
      </c>
      <c r="BD55" s="19" t="n">
        <f aca="false">$B55+BD$3*100*$A55</f>
        <v>37.95</v>
      </c>
      <c r="BE55" s="19" t="n">
        <f aca="false">$B55+BE$3*100*$A55</f>
        <v>38.6</v>
      </c>
      <c r="BF55" s="19" t="n">
        <f aca="false">$B55+BF$3*100*$A55</f>
        <v>39.25</v>
      </c>
      <c r="BG55" s="19" t="n">
        <f aca="false">$B55+BG$3*100*$A55</f>
        <v>39.9</v>
      </c>
      <c r="BH55" s="19" t="n">
        <f aca="false">$B55+BH$3*100*$A55</f>
        <v>40.55</v>
      </c>
      <c r="BI55" s="19" t="n">
        <f aca="false">$B55+BI$3*100*$A55</f>
        <v>41.2</v>
      </c>
      <c r="BJ55" s="19" t="n">
        <f aca="false">$B55+BJ$3*100*$A55</f>
        <v>41.85</v>
      </c>
      <c r="BK55" s="19" t="n">
        <f aca="false">$B55+BK$3*100*$A55</f>
        <v>42.5</v>
      </c>
      <c r="BL55" s="19" t="n">
        <f aca="false">$B55+BL$3*100*$A55</f>
        <v>43.15</v>
      </c>
      <c r="BM55" s="19" t="n">
        <f aca="false">$B55+BM$3*100*$A55</f>
        <v>43.8</v>
      </c>
      <c r="BN55" s="19" t="n">
        <f aca="false">$B55+BN$3*100*$A55</f>
        <v>44.45</v>
      </c>
      <c r="BO55" s="19" t="n">
        <f aca="false">$B55+BO$3*100*$A55</f>
        <v>45.1</v>
      </c>
      <c r="BP55" s="19" t="n">
        <f aca="false">$B55+BP$3*100*$A55</f>
        <v>45.75</v>
      </c>
      <c r="BQ55" s="19" t="n">
        <f aca="false">$B55+BQ$3*100*$A55</f>
        <v>46.4</v>
      </c>
      <c r="BR55" s="19" t="n">
        <f aca="false">$B55+BR$3*100*$A55</f>
        <v>47.05</v>
      </c>
      <c r="BS55" s="19" t="n">
        <f aca="false">$B55+BS$3*100*$A55</f>
        <v>47.7</v>
      </c>
      <c r="BT55" s="19" t="n">
        <f aca="false">$B55+BT$3*100*$A55</f>
        <v>48.35</v>
      </c>
      <c r="BU55" s="19" t="n">
        <f aca="false">$B55+BU$3*100*$A55</f>
        <v>49</v>
      </c>
      <c r="BV55" s="19" t="n">
        <f aca="false">$B55+BV$3*100*$A55</f>
        <v>49.65</v>
      </c>
      <c r="BW55" s="19" t="n">
        <f aca="false">$B55+BW$3*100*$A55</f>
        <v>50.3</v>
      </c>
      <c r="BX55" s="19" t="n">
        <f aca="false">$B55+BX$3*100*$A55</f>
        <v>50.95</v>
      </c>
      <c r="BY55" s="19" t="n">
        <f aca="false">$B55+BY$3*100*$A55</f>
        <v>51.6</v>
      </c>
      <c r="BZ55" s="19" t="n">
        <f aca="false">$B55+BZ$3*100*$A55</f>
        <v>52.25</v>
      </c>
      <c r="CA55" s="19" t="n">
        <f aca="false">$B55+CA$3*100*$A55</f>
        <v>52.9</v>
      </c>
      <c r="CB55" s="19" t="n">
        <f aca="false">$B55+CB$3*100*$A55</f>
        <v>53.55</v>
      </c>
      <c r="CC55" s="19" t="n">
        <f aca="false">$B55+CC$3*100*$A55</f>
        <v>54.2</v>
      </c>
      <c r="CD55" s="19" t="n">
        <f aca="false">$B55+CD$3*100*$A55</f>
        <v>54.85</v>
      </c>
      <c r="CE55" s="19" t="n">
        <f aca="false">$B55+CE$3*100*$A55</f>
        <v>55.5</v>
      </c>
      <c r="CF55" s="19" t="n">
        <f aca="false">$B55+CF$3*100*$A55</f>
        <v>56.15</v>
      </c>
      <c r="CG55" s="19" t="n">
        <f aca="false">$B55+CG$3*100*$A55</f>
        <v>56.8</v>
      </c>
      <c r="CH55" s="19" t="n">
        <f aca="false">$B55+CH$3*100*$A55</f>
        <v>57.45</v>
      </c>
      <c r="CI55" s="19" t="n">
        <f aca="false">$B55+CI$3*100*$A55</f>
        <v>58.1</v>
      </c>
      <c r="CJ55" s="19" t="n">
        <f aca="false">$B55+CJ$3*100*$A55</f>
        <v>58.75</v>
      </c>
      <c r="CK55" s="19" t="n">
        <f aca="false">$B55+CK$3*100*$A55</f>
        <v>59.4</v>
      </c>
      <c r="CL55" s="19" t="n">
        <f aca="false">$B55+CL$3*100*$A55</f>
        <v>60.05</v>
      </c>
      <c r="CM55" s="19" t="n">
        <f aca="false">$B55+CM$3*100*$A55</f>
        <v>60.7</v>
      </c>
      <c r="CN55" s="19" t="n">
        <f aca="false">$B55+CN$3*100*$A55</f>
        <v>61.35</v>
      </c>
      <c r="CO55" s="19" t="n">
        <f aca="false">$B55+CO$3*100*$A55</f>
        <v>62</v>
      </c>
      <c r="CP55" s="19" t="n">
        <f aca="false">$B55+CP$3*100*$A55</f>
        <v>62.65</v>
      </c>
      <c r="CQ55" s="19" t="n">
        <f aca="false">$B55+CQ$3*100*$A55</f>
        <v>63.3</v>
      </c>
      <c r="CR55" s="19" t="n">
        <f aca="false">$B55+CR$3*100*$A55</f>
        <v>63.95</v>
      </c>
      <c r="CS55" s="19" t="n">
        <f aca="false">$B55+CS$3*100*$A55</f>
        <v>64.6</v>
      </c>
      <c r="CT55" s="19" t="n">
        <f aca="false">$B55+CT$3*100*$A55</f>
        <v>65.25</v>
      </c>
      <c r="CU55" s="19" t="n">
        <f aca="false">$B55+CU$3*100*$A55</f>
        <v>65.9</v>
      </c>
      <c r="CV55" s="19" t="n">
        <f aca="false">$B55+CV$3*100*$A55</f>
        <v>66.55</v>
      </c>
      <c r="CW55" s="19" t="n">
        <f aca="false">$B55+CW$3*100*$A55</f>
        <v>67.2</v>
      </c>
      <c r="CX55" s="19" t="n">
        <f aca="false">$B55+CX$3*100*$A55</f>
        <v>67.85</v>
      </c>
      <c r="CY55" s="19" t="n">
        <f aca="false">$B55+CY$3*100*$A55</f>
        <v>68.5</v>
      </c>
      <c r="CZ55" s="19" t="n">
        <f aca="false">$B55+CZ$3*100*$A55</f>
        <v>69.15</v>
      </c>
      <c r="DA55" s="19" t="n">
        <f aca="false">$B55+DA$3*100*$A55</f>
        <v>69.8</v>
      </c>
      <c r="DB55" s="19" t="n">
        <f aca="false">$B55+DB$3*100*$A55</f>
        <v>70.45</v>
      </c>
      <c r="DC55" s="19" t="n">
        <f aca="false">$B55+DC$3*100*$A55</f>
        <v>71.1</v>
      </c>
      <c r="DD55" s="19" t="n">
        <f aca="false">$B55+DD$3*100*$A55</f>
        <v>71.75</v>
      </c>
      <c r="DE55" s="19" t="n">
        <f aca="false">$B55+DE$3*100*$A55</f>
        <v>72.4</v>
      </c>
      <c r="DF55" s="19" t="n">
        <f aca="false">$B55+DF$3*100*$A55</f>
        <v>73.05</v>
      </c>
      <c r="DG55" s="19" t="n">
        <f aca="false">$B55+DG$3*100*$A55</f>
        <v>73.7</v>
      </c>
      <c r="DH55" s="19" t="n">
        <f aca="false">$B55+DH$3*100*$A55</f>
        <v>74.35</v>
      </c>
      <c r="DI55" s="19" t="n">
        <f aca="false">$B55+DI$3*100*$A55</f>
        <v>75</v>
      </c>
      <c r="DJ55" s="19" t="n">
        <f aca="false">$B55+DJ$3*100*$A55</f>
        <v>75.65</v>
      </c>
      <c r="DK55" s="19" t="n">
        <f aca="false">$B55+DK$3*100*$A55</f>
        <v>76.3</v>
      </c>
      <c r="DL55" s="19" t="n">
        <f aca="false">$B55+DL$3*100*$A55</f>
        <v>76.95</v>
      </c>
      <c r="DM55" s="19" t="n">
        <f aca="false">$B55+DM$3*100*$A55</f>
        <v>77.6</v>
      </c>
      <c r="DN55" s="19" t="n">
        <f aca="false">$B55+DN$3*100*$A55</f>
        <v>78.25</v>
      </c>
      <c r="DO55" s="19" t="n">
        <f aca="false">$B55+DO$3*100*$A55</f>
        <v>78.9</v>
      </c>
      <c r="DP55" s="19" t="n">
        <f aca="false">$B55+DP$3*100*$A55</f>
        <v>79.55</v>
      </c>
      <c r="DQ55" s="19" t="n">
        <f aca="false">$B55+DQ$3*100*$A55</f>
        <v>80.2</v>
      </c>
      <c r="DR55" s="19" t="n">
        <f aca="false">$B55+DR$3*100*$A55</f>
        <v>80.85</v>
      </c>
      <c r="DS55" s="19" t="n">
        <f aca="false">$B55+DS$3*100*$A55</f>
        <v>81.5</v>
      </c>
      <c r="DT55" s="19" t="n">
        <f aca="false">$B55+DT$3*100*$A55</f>
        <v>82.15</v>
      </c>
      <c r="DU55" s="19" t="n">
        <f aca="false">$B55+DU$3*100*$A55</f>
        <v>82.8</v>
      </c>
      <c r="DV55" s="19" t="n">
        <f aca="false">$B55+DV$3*100*$A55</f>
        <v>83.45</v>
      </c>
      <c r="DW55" s="19" t="n">
        <f aca="false">$B55+DW$3*100*$A55</f>
        <v>84.1</v>
      </c>
      <c r="DX55" s="19" t="n">
        <f aca="false">$B55+DX$3*100*$A55</f>
        <v>84.75</v>
      </c>
      <c r="DY55" s="19" t="n">
        <f aca="false">$B55+DY$3*100*$A55</f>
        <v>85.4</v>
      </c>
      <c r="DZ55" s="19" t="n">
        <f aca="false">$B55+DZ$3*100*$A55</f>
        <v>86.05</v>
      </c>
      <c r="EA55" s="19" t="n">
        <f aca="false">$B55+EA$3*100*$A55</f>
        <v>86.7</v>
      </c>
      <c r="EB55" s="19" t="n">
        <f aca="false">$B55+EB$3*100*$A55</f>
        <v>87.35</v>
      </c>
      <c r="EC55" s="19" t="n">
        <f aca="false">$B55+EC$3*100*$A55</f>
        <v>88</v>
      </c>
      <c r="ED55" s="19" t="n">
        <f aca="false">$B55+ED$3*100*$A55</f>
        <v>88.65</v>
      </c>
      <c r="EE55" s="19" t="n">
        <f aca="false">$B55+EE$3*100*$A55</f>
        <v>89.3</v>
      </c>
      <c r="EF55" s="19" t="n">
        <f aca="false">$B55+EF$3*100*$A55</f>
        <v>89.95</v>
      </c>
      <c r="EG55" s="19" t="n">
        <f aca="false">$B55+EG$3*100*$A55</f>
        <v>90.6</v>
      </c>
      <c r="EH55" s="19" t="n">
        <f aca="false">$B55+EH$3*100*$A55</f>
        <v>91.25</v>
      </c>
      <c r="EI55" s="19" t="n">
        <f aca="false">$B55+EI$3*100*$A55</f>
        <v>91.9</v>
      </c>
      <c r="EJ55" s="19" t="n">
        <f aca="false">$B55+EJ$3*100*$A55</f>
        <v>92.55</v>
      </c>
      <c r="EK55" s="19" t="n">
        <f aca="false">$B55+EK$3*100*$A55</f>
        <v>93.2</v>
      </c>
      <c r="EL55" s="19" t="n">
        <f aca="false">$B55+EL$3*100*$A55</f>
        <v>93.85</v>
      </c>
      <c r="EM55" s="19" t="n">
        <f aca="false">$B55+EM$3*100*$A55</f>
        <v>94.5</v>
      </c>
      <c r="EN55" s="19" t="n">
        <f aca="false">$B55+EN$3*100*$A55</f>
        <v>95.15</v>
      </c>
      <c r="EO55" s="19" t="n">
        <f aca="false">$B55+EO$3*100*$A55</f>
        <v>95.8</v>
      </c>
      <c r="EP55" s="19" t="n">
        <f aca="false">$B55+EP$3*100*$A55</f>
        <v>96.45</v>
      </c>
      <c r="EQ55" s="19" t="n">
        <f aca="false">$B55+EQ$3*100*$A55</f>
        <v>97.1</v>
      </c>
      <c r="ER55" s="19" t="n">
        <f aca="false">$B55+ER$3*100*$A55</f>
        <v>97.75</v>
      </c>
      <c r="ES55" s="19" t="n">
        <f aca="false">$B55+ES$3*100*$A55</f>
        <v>98.4</v>
      </c>
      <c r="ET55" s="19" t="n">
        <f aca="false">$B55+ET$3*100*$A55</f>
        <v>99.05</v>
      </c>
      <c r="EU55" s="19" t="n">
        <f aca="false">$B55+EU$3*100*$A55</f>
        <v>99.7</v>
      </c>
      <c r="EV55" s="19" t="n">
        <f aca="false">$B55+EV$3*100*$A55</f>
        <v>100.35</v>
      </c>
      <c r="EW55" s="19" t="n">
        <f aca="false">$B55+EW$3*100*$A55</f>
        <v>101</v>
      </c>
      <c r="EX55" s="19" t="n">
        <f aca="false">$B55+EX$3*100*$A55</f>
        <v>101.65</v>
      </c>
      <c r="EY55" s="19" t="n">
        <f aca="false">$B55+EY$3*100*$A55</f>
        <v>102.3</v>
      </c>
      <c r="EZ55" s="19" t="n">
        <f aca="false">$B55+EZ$3*100*$A55</f>
        <v>102.95</v>
      </c>
      <c r="FA55" s="19" t="n">
        <f aca="false">$B55+FA$3*100*$A55</f>
        <v>103.6</v>
      </c>
      <c r="FB55" s="19" t="n">
        <f aca="false">$B55+FB$3*100*$A55</f>
        <v>104.25</v>
      </c>
      <c r="FC55" s="19" t="n">
        <f aca="false">$B55+FC$3*100*$A55</f>
        <v>104.9</v>
      </c>
      <c r="FD55" s="19" t="n">
        <f aca="false">$B55+FD$3*100*$A55</f>
        <v>105.55</v>
      </c>
      <c r="FE55" s="19" t="n">
        <f aca="false">$B55+FE$3*100*$A55</f>
        <v>106.2</v>
      </c>
      <c r="FF55" s="19" t="n">
        <f aca="false">$B55+FF$3*100*$A55</f>
        <v>106.85</v>
      </c>
      <c r="FG55" s="19" t="n">
        <f aca="false">$B55+FG$3*100*$A55</f>
        <v>107.5</v>
      </c>
      <c r="FH55" s="19" t="n">
        <f aca="false">$B55+FH$3*100*$A55</f>
        <v>108.15</v>
      </c>
      <c r="FI55" s="19" t="n">
        <f aca="false">$B55+FI$3*100*$A55</f>
        <v>108.8</v>
      </c>
      <c r="FJ55" s="19" t="n">
        <f aca="false">$B55+FJ$3*100*$A55</f>
        <v>109.45</v>
      </c>
      <c r="FK55" s="19" t="n">
        <f aca="false">$B55+FK$3*100*$A55</f>
        <v>110.1</v>
      </c>
      <c r="FL55" s="19" t="n">
        <f aca="false">$B55+FL$3*100*$A55</f>
        <v>110.75</v>
      </c>
      <c r="FM55" s="19" t="n">
        <f aca="false">$B55+FM$3*100*$A55</f>
        <v>111.4</v>
      </c>
      <c r="FN55" s="19" t="n">
        <f aca="false">$B55+FN$3*100*$A55</f>
        <v>112.05</v>
      </c>
      <c r="FO55" s="19" t="n">
        <f aca="false">$B55+FO$3*100*$A55</f>
        <v>112.7</v>
      </c>
      <c r="FP55" s="19" t="n">
        <f aca="false">$B55+FP$3*100*$A55</f>
        <v>113.35</v>
      </c>
      <c r="FQ55" s="19" t="n">
        <f aca="false">$B55+FQ$3*100*$A55</f>
        <v>114</v>
      </c>
      <c r="FR55" s="19" t="n">
        <f aca="false">$B55+FR$3*100*$A55</f>
        <v>114.65</v>
      </c>
      <c r="FS55" s="19" t="n">
        <f aca="false">$B55+FS$3*100*$A55</f>
        <v>115.3</v>
      </c>
      <c r="FT55" s="19" t="n">
        <f aca="false">$B55+FT$3*100*$A55</f>
        <v>115.95</v>
      </c>
      <c r="FU55" s="19" t="n">
        <f aca="false">$B55+FU$3*100*$A55</f>
        <v>116.6</v>
      </c>
      <c r="FV55" s="19" t="n">
        <f aca="false">$B55+FV$3*100*$A55</f>
        <v>117.25</v>
      </c>
      <c r="FW55" s="19" t="n">
        <f aca="false">$B55+FW$3*100*$A55</f>
        <v>117.9</v>
      </c>
      <c r="FX55" s="19" t="n">
        <f aca="false">$B55+FX$3*100*$A55</f>
        <v>118.55</v>
      </c>
      <c r="FY55" s="19" t="n">
        <f aca="false">$B55+FY$3*100*$A55</f>
        <v>119.2</v>
      </c>
      <c r="FZ55" s="19" t="n">
        <f aca="false">$B55+FZ$3*100*$A55</f>
        <v>119.85</v>
      </c>
      <c r="GA55" s="19" t="n">
        <f aca="false">$B55+GA$3*100*$A55</f>
        <v>120.5</v>
      </c>
      <c r="GB55" s="19" t="n">
        <f aca="false">$B55+GB$3*100*$A55</f>
        <v>121.15</v>
      </c>
      <c r="GC55" s="19" t="n">
        <f aca="false">$B55+GC$3*100*$A55</f>
        <v>121.8</v>
      </c>
      <c r="GD55" s="19" t="n">
        <f aca="false">$B55+GD$3*100*$A55</f>
        <v>122.45</v>
      </c>
      <c r="GE55" s="19" t="n">
        <f aca="false">$B55+GE$3*100*$A55</f>
        <v>123.1</v>
      </c>
      <c r="GF55" s="19" t="n">
        <f aca="false">$B55+GF$3*100*$A55</f>
        <v>123.75</v>
      </c>
      <c r="GG55" s="19" t="n">
        <f aca="false">$B55+GG$3*100*$A55</f>
        <v>124.4</v>
      </c>
      <c r="GH55" s="19" t="n">
        <f aca="false">$B55+GH$3*100*$A55</f>
        <v>125.05</v>
      </c>
      <c r="GI55" s="19" t="n">
        <f aca="false">$B55+GI$3*100*$A55</f>
        <v>125.7</v>
      </c>
      <c r="GJ55" s="19" t="n">
        <f aca="false">$B55+GJ$3*100*$A55</f>
        <v>126.35</v>
      </c>
      <c r="GK55" s="19" t="n">
        <f aca="false">$B55+GK$3*100*$A55</f>
        <v>127</v>
      </c>
      <c r="GL55" s="19" t="n">
        <f aca="false">$B55+GL$3*100*$A55</f>
        <v>127.65</v>
      </c>
      <c r="GM55" s="19" t="n">
        <f aca="false">$B55+GM$3*100*$A55</f>
        <v>128.3</v>
      </c>
      <c r="GN55" s="19" t="n">
        <f aca="false">$B55+GN$3*100*$A55</f>
        <v>128.95</v>
      </c>
      <c r="GO55" s="19" t="n">
        <f aca="false">$B55+GO$3*100*$A55</f>
        <v>129.6</v>
      </c>
      <c r="GP55" s="19" t="n">
        <f aca="false">$B55+GP$3*100*$A55</f>
        <v>130.25</v>
      </c>
      <c r="GQ55" s="19" t="n">
        <f aca="false">$B55+GQ$3*100*$A55</f>
        <v>130.9</v>
      </c>
      <c r="GR55" s="19" t="n">
        <f aca="false">$B55+GR$3*100*$A55</f>
        <v>131.55</v>
      </c>
      <c r="GS55" s="19" t="n">
        <f aca="false">$B55+GS$3*100*$A55</f>
        <v>132.2</v>
      </c>
      <c r="GT55" s="19" t="n">
        <f aca="false">$B55+GT$3*100*$A55</f>
        <v>132.85</v>
      </c>
    </row>
    <row r="56" customFormat="false" ht="15" hidden="false" customHeight="false" outlineLevel="0" collapsed="false">
      <c r="A56" s="26" t="n">
        <f aca="false">Frontier!A54</f>
        <v>0.1325</v>
      </c>
      <c r="B56" s="34" t="n">
        <f aca="false">Frontier!B54</f>
        <v>2.74300335934156</v>
      </c>
      <c r="C56" s="19" t="n">
        <f aca="false">$B56+C$3*100*$A56</f>
        <v>3.40550335934156</v>
      </c>
      <c r="D56" s="19" t="n">
        <f aca="false">$B56+D$3*100*$A56</f>
        <v>4.06800335934156</v>
      </c>
      <c r="E56" s="19" t="n">
        <f aca="false">$B56+E$3*100*$A56</f>
        <v>4.73050335934156</v>
      </c>
      <c r="F56" s="19" t="n">
        <f aca="false">$B56+F$3*100*$A56</f>
        <v>5.39300335934156</v>
      </c>
      <c r="G56" s="19" t="n">
        <f aca="false">$B56+G$3*100*$A56</f>
        <v>6.05550335934156</v>
      </c>
      <c r="H56" s="19" t="n">
        <f aca="false">$B56+H$3*100*$A56</f>
        <v>6.71800335934156</v>
      </c>
      <c r="I56" s="19" t="n">
        <f aca="false">$B56+I$3*100*$A56</f>
        <v>7.38050335934156</v>
      </c>
      <c r="J56" s="19" t="n">
        <f aca="false">$B56+J$3*100*$A56</f>
        <v>8.04300335934156</v>
      </c>
      <c r="K56" s="19" t="n">
        <f aca="false">$B56+K$3*100*$A56</f>
        <v>8.70550335934156</v>
      </c>
      <c r="L56" s="19" t="n">
        <f aca="false">$B56+L$3*100*$A56</f>
        <v>9.36800335934156</v>
      </c>
      <c r="M56" s="19" t="n">
        <f aca="false">$B56+M$3*100*$A56</f>
        <v>10.0305033593416</v>
      </c>
      <c r="N56" s="19" t="n">
        <f aca="false">$B56+N$3*100*$A56</f>
        <v>10.6930033593416</v>
      </c>
      <c r="O56" s="19" t="n">
        <f aca="false">$B56+O$3*100*$A56</f>
        <v>11.3555033593416</v>
      </c>
      <c r="P56" s="19" t="n">
        <f aca="false">$B56+P$3*100*$A56</f>
        <v>12.0180033593416</v>
      </c>
      <c r="Q56" s="19" t="n">
        <f aca="false">$B56+Q$3*100*$A56</f>
        <v>12.6805033593416</v>
      </c>
      <c r="R56" s="19" t="n">
        <f aca="false">$B56+R$3*100*$A56</f>
        <v>13.3430033593416</v>
      </c>
      <c r="S56" s="19" t="n">
        <f aca="false">$B56+S$3*100*$A56</f>
        <v>14.0055033593416</v>
      </c>
      <c r="T56" s="19" t="n">
        <f aca="false">$B56+T$3*100*$A56</f>
        <v>14.6680033593416</v>
      </c>
      <c r="U56" s="19" t="n">
        <f aca="false">$B56+U$3*100*$A56</f>
        <v>15.3305033593416</v>
      </c>
      <c r="V56" s="19" t="n">
        <f aca="false">$B56+V$3*100*$A56</f>
        <v>15.9930033593416</v>
      </c>
      <c r="W56" s="19" t="n">
        <f aca="false">$B56+W$3*100*$A56</f>
        <v>16.6555033593416</v>
      </c>
      <c r="X56" s="19" t="n">
        <f aca="false">$B56+X$3*100*$A56</f>
        <v>17.3180033593416</v>
      </c>
      <c r="Y56" s="19" t="n">
        <f aca="false">$B56+Y$3*100*$A56</f>
        <v>17.9805033593416</v>
      </c>
      <c r="Z56" s="19" t="n">
        <f aca="false">$B56+Z$3*100*$A56</f>
        <v>18.6430033593416</v>
      </c>
      <c r="AA56" s="19" t="n">
        <f aca="false">$B56+AA$3*100*$A56</f>
        <v>19.3055033593416</v>
      </c>
      <c r="AB56" s="19" t="n">
        <f aca="false">$B56+AB$3*100*$A56</f>
        <v>19.9680033593416</v>
      </c>
      <c r="AC56" s="19" t="n">
        <f aca="false">$B56+AC$3*100*$A56</f>
        <v>20.6305033593416</v>
      </c>
      <c r="AD56" s="19" t="n">
        <f aca="false">$B56+AD$3*100*$A56</f>
        <v>21.2930033593416</v>
      </c>
      <c r="AE56" s="19" t="n">
        <f aca="false">$B56+AE$3*100*$A56</f>
        <v>21.9555033593416</v>
      </c>
      <c r="AF56" s="19" t="n">
        <f aca="false">$B56+AF$3*100*$A56</f>
        <v>22.6180033593416</v>
      </c>
      <c r="AG56" s="19" t="n">
        <f aca="false">$B56+AG$3*100*$A56</f>
        <v>23.2805033593416</v>
      </c>
      <c r="AH56" s="19" t="n">
        <f aca="false">$B56+AH$3*100*$A56</f>
        <v>23.9430033593416</v>
      </c>
      <c r="AI56" s="19" t="n">
        <f aca="false">$B56+AI$3*100*$A56</f>
        <v>24.6055033593416</v>
      </c>
      <c r="AJ56" s="19" t="n">
        <f aca="false">$B56+AJ$3*100*$A56</f>
        <v>25.2680033593416</v>
      </c>
      <c r="AK56" s="19" t="n">
        <f aca="false">$B56+AK$3*100*$A56</f>
        <v>25.9305033593416</v>
      </c>
      <c r="AL56" s="19" t="n">
        <f aca="false">$B56+AL$3*100*$A56</f>
        <v>26.5930033593416</v>
      </c>
      <c r="AM56" s="19" t="n">
        <f aca="false">$B56+AM$3*100*$A56</f>
        <v>27.2555033593416</v>
      </c>
      <c r="AN56" s="19" t="n">
        <f aca="false">$B56+AN$3*100*$A56</f>
        <v>27.9180033593416</v>
      </c>
      <c r="AO56" s="19" t="n">
        <f aca="false">$B56+AO$3*100*$A56</f>
        <v>28.5805033593416</v>
      </c>
      <c r="AP56" s="19" t="n">
        <f aca="false">$B56+AP$3*100*$A56</f>
        <v>29.2430033593416</v>
      </c>
      <c r="AQ56" s="19" t="n">
        <f aca="false">$B56+AQ$3*100*$A56</f>
        <v>29.9055033593416</v>
      </c>
      <c r="AR56" s="19" t="n">
        <f aca="false">$B56+AR$3*100*$A56</f>
        <v>30.5680033593416</v>
      </c>
      <c r="AS56" s="19" t="n">
        <f aca="false">$B56+AS$3*100*$A56</f>
        <v>31.2305033593416</v>
      </c>
      <c r="AT56" s="19" t="n">
        <f aca="false">$B56+AT$3*100*$A56</f>
        <v>31.8930033593416</v>
      </c>
      <c r="AU56" s="19" t="n">
        <f aca="false">$B56+AU$3*100*$A56</f>
        <v>32.5555033593416</v>
      </c>
      <c r="AV56" s="19" t="n">
        <f aca="false">$B56+AV$3*100*$A56</f>
        <v>33.2180033593416</v>
      </c>
      <c r="AW56" s="19" t="n">
        <f aca="false">$B56+AW$3*100*$A56</f>
        <v>33.8805033593416</v>
      </c>
      <c r="AX56" s="19" t="n">
        <f aca="false">$B56+AX$3*100*$A56</f>
        <v>34.5430033593416</v>
      </c>
      <c r="AY56" s="19" t="n">
        <f aca="false">$B56+AY$3*100*$A56</f>
        <v>35.2055033593416</v>
      </c>
      <c r="AZ56" s="19" t="n">
        <f aca="false">$B56+AZ$3*100*$A56</f>
        <v>35.8680033593416</v>
      </c>
      <c r="BA56" s="19" t="n">
        <f aca="false">$B56+BA$3*100*$A56</f>
        <v>36.5305033593416</v>
      </c>
      <c r="BB56" s="19" t="n">
        <f aca="false">$B56+BB$3*100*$A56</f>
        <v>37.1930033593416</v>
      </c>
      <c r="BC56" s="19" t="n">
        <f aca="false">$B56+BC$3*100*$A56</f>
        <v>37.8555033593416</v>
      </c>
      <c r="BD56" s="19" t="n">
        <f aca="false">$B56+BD$3*100*$A56</f>
        <v>38.5180033593416</v>
      </c>
      <c r="BE56" s="19" t="n">
        <f aca="false">$B56+BE$3*100*$A56</f>
        <v>39.1805033593416</v>
      </c>
      <c r="BF56" s="19" t="n">
        <f aca="false">$B56+BF$3*100*$A56</f>
        <v>39.8430033593416</v>
      </c>
      <c r="BG56" s="19" t="n">
        <f aca="false">$B56+BG$3*100*$A56</f>
        <v>40.5055033593416</v>
      </c>
      <c r="BH56" s="19" t="n">
        <f aca="false">$B56+BH$3*100*$A56</f>
        <v>41.1680033593416</v>
      </c>
      <c r="BI56" s="19" t="n">
        <f aca="false">$B56+BI$3*100*$A56</f>
        <v>41.8305033593416</v>
      </c>
      <c r="BJ56" s="19" t="n">
        <f aca="false">$B56+BJ$3*100*$A56</f>
        <v>42.4930033593416</v>
      </c>
      <c r="BK56" s="19" t="n">
        <f aca="false">$B56+BK$3*100*$A56</f>
        <v>43.1555033593416</v>
      </c>
      <c r="BL56" s="19" t="n">
        <f aca="false">$B56+BL$3*100*$A56</f>
        <v>43.8180033593416</v>
      </c>
      <c r="BM56" s="19" t="n">
        <f aca="false">$B56+BM$3*100*$A56</f>
        <v>44.4805033593416</v>
      </c>
      <c r="BN56" s="19" t="n">
        <f aca="false">$B56+BN$3*100*$A56</f>
        <v>45.1430033593416</v>
      </c>
      <c r="BO56" s="19" t="n">
        <f aca="false">$B56+BO$3*100*$A56</f>
        <v>45.8055033593416</v>
      </c>
      <c r="BP56" s="19" t="n">
        <f aca="false">$B56+BP$3*100*$A56</f>
        <v>46.4680033593416</v>
      </c>
      <c r="BQ56" s="19" t="n">
        <f aca="false">$B56+BQ$3*100*$A56</f>
        <v>47.1305033593416</v>
      </c>
      <c r="BR56" s="19" t="n">
        <f aca="false">$B56+BR$3*100*$A56</f>
        <v>47.7930033593416</v>
      </c>
      <c r="BS56" s="19" t="n">
        <f aca="false">$B56+BS$3*100*$A56</f>
        <v>48.4555033593416</v>
      </c>
      <c r="BT56" s="19" t="n">
        <f aca="false">$B56+BT$3*100*$A56</f>
        <v>49.1180033593416</v>
      </c>
      <c r="BU56" s="19" t="n">
        <f aca="false">$B56+BU$3*100*$A56</f>
        <v>49.7805033593416</v>
      </c>
      <c r="BV56" s="19" t="n">
        <f aca="false">$B56+BV$3*100*$A56</f>
        <v>50.4430033593416</v>
      </c>
      <c r="BW56" s="19" t="n">
        <f aca="false">$B56+BW$3*100*$A56</f>
        <v>51.1055033593416</v>
      </c>
      <c r="BX56" s="19" t="n">
        <f aca="false">$B56+BX$3*100*$A56</f>
        <v>51.7680033593416</v>
      </c>
      <c r="BY56" s="19" t="n">
        <f aca="false">$B56+BY$3*100*$A56</f>
        <v>52.4305033593416</v>
      </c>
      <c r="BZ56" s="19" t="n">
        <f aca="false">$B56+BZ$3*100*$A56</f>
        <v>53.0930033593416</v>
      </c>
      <c r="CA56" s="19" t="n">
        <f aca="false">$B56+CA$3*100*$A56</f>
        <v>53.7555033593416</v>
      </c>
      <c r="CB56" s="19" t="n">
        <f aca="false">$B56+CB$3*100*$A56</f>
        <v>54.4180033593416</v>
      </c>
      <c r="CC56" s="19" t="n">
        <f aca="false">$B56+CC$3*100*$A56</f>
        <v>55.0805033593416</v>
      </c>
      <c r="CD56" s="19" t="n">
        <f aca="false">$B56+CD$3*100*$A56</f>
        <v>55.7430033593416</v>
      </c>
      <c r="CE56" s="19" t="n">
        <f aca="false">$B56+CE$3*100*$A56</f>
        <v>56.4055033593416</v>
      </c>
      <c r="CF56" s="19" t="n">
        <f aca="false">$B56+CF$3*100*$A56</f>
        <v>57.0680033593416</v>
      </c>
      <c r="CG56" s="19" t="n">
        <f aca="false">$B56+CG$3*100*$A56</f>
        <v>57.7305033593416</v>
      </c>
      <c r="CH56" s="19" t="n">
        <f aca="false">$B56+CH$3*100*$A56</f>
        <v>58.3930033593416</v>
      </c>
      <c r="CI56" s="19" t="n">
        <f aca="false">$B56+CI$3*100*$A56</f>
        <v>59.0555033593416</v>
      </c>
      <c r="CJ56" s="19" t="n">
        <f aca="false">$B56+CJ$3*100*$A56</f>
        <v>59.7180033593416</v>
      </c>
      <c r="CK56" s="19" t="n">
        <f aca="false">$B56+CK$3*100*$A56</f>
        <v>60.3805033593416</v>
      </c>
      <c r="CL56" s="19" t="n">
        <f aca="false">$B56+CL$3*100*$A56</f>
        <v>61.0430033593416</v>
      </c>
      <c r="CM56" s="19" t="n">
        <f aca="false">$B56+CM$3*100*$A56</f>
        <v>61.7055033593416</v>
      </c>
      <c r="CN56" s="19" t="n">
        <f aca="false">$B56+CN$3*100*$A56</f>
        <v>62.3680033593416</v>
      </c>
      <c r="CO56" s="19" t="n">
        <f aca="false">$B56+CO$3*100*$A56</f>
        <v>63.0305033593416</v>
      </c>
      <c r="CP56" s="19" t="n">
        <f aca="false">$B56+CP$3*100*$A56</f>
        <v>63.6930033593416</v>
      </c>
      <c r="CQ56" s="19" t="n">
        <f aca="false">$B56+CQ$3*100*$A56</f>
        <v>64.3555033593416</v>
      </c>
      <c r="CR56" s="19" t="n">
        <f aca="false">$B56+CR$3*100*$A56</f>
        <v>65.0180033593416</v>
      </c>
      <c r="CS56" s="19" t="n">
        <f aca="false">$B56+CS$3*100*$A56</f>
        <v>65.6805033593416</v>
      </c>
      <c r="CT56" s="19" t="n">
        <f aca="false">$B56+CT$3*100*$A56</f>
        <v>66.3430033593416</v>
      </c>
      <c r="CU56" s="19" t="n">
        <f aca="false">$B56+CU$3*100*$A56</f>
        <v>67.0055033593416</v>
      </c>
      <c r="CV56" s="19" t="n">
        <f aca="false">$B56+CV$3*100*$A56</f>
        <v>67.6680033593416</v>
      </c>
      <c r="CW56" s="19" t="n">
        <f aca="false">$B56+CW$3*100*$A56</f>
        <v>68.3305033593416</v>
      </c>
      <c r="CX56" s="19" t="n">
        <f aca="false">$B56+CX$3*100*$A56</f>
        <v>68.9930033593416</v>
      </c>
      <c r="CY56" s="19" t="n">
        <f aca="false">$B56+CY$3*100*$A56</f>
        <v>69.6555033593416</v>
      </c>
      <c r="CZ56" s="19" t="n">
        <f aca="false">$B56+CZ$3*100*$A56</f>
        <v>70.3180033593416</v>
      </c>
      <c r="DA56" s="19" t="n">
        <f aca="false">$B56+DA$3*100*$A56</f>
        <v>70.9805033593416</v>
      </c>
      <c r="DB56" s="19" t="n">
        <f aca="false">$B56+DB$3*100*$A56</f>
        <v>71.6430033593416</v>
      </c>
      <c r="DC56" s="19" t="n">
        <f aca="false">$B56+DC$3*100*$A56</f>
        <v>72.3055033593416</v>
      </c>
      <c r="DD56" s="19" t="n">
        <f aca="false">$B56+DD$3*100*$A56</f>
        <v>72.9680033593416</v>
      </c>
      <c r="DE56" s="19" t="n">
        <f aca="false">$B56+DE$3*100*$A56</f>
        <v>73.6305033593416</v>
      </c>
      <c r="DF56" s="19" t="n">
        <f aca="false">$B56+DF$3*100*$A56</f>
        <v>74.2930033593416</v>
      </c>
      <c r="DG56" s="19" t="n">
        <f aca="false">$B56+DG$3*100*$A56</f>
        <v>74.9555033593416</v>
      </c>
      <c r="DH56" s="19" t="n">
        <f aca="false">$B56+DH$3*100*$A56</f>
        <v>75.6180033593416</v>
      </c>
      <c r="DI56" s="19" t="n">
        <f aca="false">$B56+DI$3*100*$A56</f>
        <v>76.2805033593416</v>
      </c>
      <c r="DJ56" s="19" t="n">
        <f aca="false">$B56+DJ$3*100*$A56</f>
        <v>76.9430033593416</v>
      </c>
      <c r="DK56" s="19" t="n">
        <f aca="false">$B56+DK$3*100*$A56</f>
        <v>77.6055033593416</v>
      </c>
      <c r="DL56" s="19" t="n">
        <f aca="false">$B56+DL$3*100*$A56</f>
        <v>78.2680033593416</v>
      </c>
      <c r="DM56" s="19" t="n">
        <f aca="false">$B56+DM$3*100*$A56</f>
        <v>78.9305033593416</v>
      </c>
      <c r="DN56" s="19" t="n">
        <f aca="false">$B56+DN$3*100*$A56</f>
        <v>79.5930033593416</v>
      </c>
      <c r="DO56" s="19" t="n">
        <f aca="false">$B56+DO$3*100*$A56</f>
        <v>80.2555033593416</v>
      </c>
      <c r="DP56" s="19" t="n">
        <f aca="false">$B56+DP$3*100*$A56</f>
        <v>80.9180033593416</v>
      </c>
      <c r="DQ56" s="19" t="n">
        <f aca="false">$B56+DQ$3*100*$A56</f>
        <v>81.5805033593416</v>
      </c>
      <c r="DR56" s="19" t="n">
        <f aca="false">$B56+DR$3*100*$A56</f>
        <v>82.2430033593416</v>
      </c>
      <c r="DS56" s="19" t="n">
        <f aca="false">$B56+DS$3*100*$A56</f>
        <v>82.9055033593416</v>
      </c>
      <c r="DT56" s="19" t="n">
        <f aca="false">$B56+DT$3*100*$A56</f>
        <v>83.5680033593416</v>
      </c>
      <c r="DU56" s="19" t="n">
        <f aca="false">$B56+DU$3*100*$A56</f>
        <v>84.2305033593416</v>
      </c>
      <c r="DV56" s="19" t="n">
        <f aca="false">$B56+DV$3*100*$A56</f>
        <v>84.8930033593416</v>
      </c>
      <c r="DW56" s="19" t="n">
        <f aca="false">$B56+DW$3*100*$A56</f>
        <v>85.5555033593416</v>
      </c>
      <c r="DX56" s="19" t="n">
        <f aca="false">$B56+DX$3*100*$A56</f>
        <v>86.2180033593416</v>
      </c>
      <c r="DY56" s="19" t="n">
        <f aca="false">$B56+DY$3*100*$A56</f>
        <v>86.8805033593416</v>
      </c>
      <c r="DZ56" s="19" t="n">
        <f aca="false">$B56+DZ$3*100*$A56</f>
        <v>87.5430033593416</v>
      </c>
      <c r="EA56" s="19" t="n">
        <f aca="false">$B56+EA$3*100*$A56</f>
        <v>88.2055033593416</v>
      </c>
      <c r="EB56" s="19" t="n">
        <f aca="false">$B56+EB$3*100*$A56</f>
        <v>88.8680033593416</v>
      </c>
      <c r="EC56" s="19" t="n">
        <f aca="false">$B56+EC$3*100*$A56</f>
        <v>89.5305033593416</v>
      </c>
      <c r="ED56" s="19" t="n">
        <f aca="false">$B56+ED$3*100*$A56</f>
        <v>90.1930033593416</v>
      </c>
      <c r="EE56" s="19" t="n">
        <f aca="false">$B56+EE$3*100*$A56</f>
        <v>90.8555033593416</v>
      </c>
      <c r="EF56" s="19" t="n">
        <f aca="false">$B56+EF$3*100*$A56</f>
        <v>91.5180033593416</v>
      </c>
      <c r="EG56" s="19" t="n">
        <f aca="false">$B56+EG$3*100*$A56</f>
        <v>92.1805033593416</v>
      </c>
      <c r="EH56" s="19" t="n">
        <f aca="false">$B56+EH$3*100*$A56</f>
        <v>92.8430033593416</v>
      </c>
      <c r="EI56" s="19" t="n">
        <f aca="false">$B56+EI$3*100*$A56</f>
        <v>93.5055033593416</v>
      </c>
      <c r="EJ56" s="19" t="n">
        <f aca="false">$B56+EJ$3*100*$A56</f>
        <v>94.1680033593416</v>
      </c>
      <c r="EK56" s="19" t="n">
        <f aca="false">$B56+EK$3*100*$A56</f>
        <v>94.8305033593416</v>
      </c>
      <c r="EL56" s="19" t="n">
        <f aca="false">$B56+EL$3*100*$A56</f>
        <v>95.4930033593416</v>
      </c>
      <c r="EM56" s="19" t="n">
        <f aca="false">$B56+EM$3*100*$A56</f>
        <v>96.1555033593416</v>
      </c>
      <c r="EN56" s="19" t="n">
        <f aca="false">$B56+EN$3*100*$A56</f>
        <v>96.8180033593416</v>
      </c>
      <c r="EO56" s="19" t="n">
        <f aca="false">$B56+EO$3*100*$A56</f>
        <v>97.4805033593416</v>
      </c>
      <c r="EP56" s="19" t="n">
        <f aca="false">$B56+EP$3*100*$A56</f>
        <v>98.1430033593416</v>
      </c>
      <c r="EQ56" s="19" t="n">
        <f aca="false">$B56+EQ$3*100*$A56</f>
        <v>98.8055033593416</v>
      </c>
      <c r="ER56" s="19" t="n">
        <f aca="false">$B56+ER$3*100*$A56</f>
        <v>99.4680033593416</v>
      </c>
      <c r="ES56" s="19" t="n">
        <f aca="false">$B56+ES$3*100*$A56</f>
        <v>100.130503359342</v>
      </c>
      <c r="ET56" s="19" t="n">
        <f aca="false">$B56+ET$3*100*$A56</f>
        <v>100.793003359342</v>
      </c>
      <c r="EU56" s="19" t="n">
        <f aca="false">$B56+EU$3*100*$A56</f>
        <v>101.455503359342</v>
      </c>
      <c r="EV56" s="19" t="n">
        <f aca="false">$B56+EV$3*100*$A56</f>
        <v>102.118003359342</v>
      </c>
      <c r="EW56" s="19" t="n">
        <f aca="false">$B56+EW$3*100*$A56</f>
        <v>102.780503359342</v>
      </c>
      <c r="EX56" s="19" t="n">
        <f aca="false">$B56+EX$3*100*$A56</f>
        <v>103.443003359342</v>
      </c>
      <c r="EY56" s="19" t="n">
        <f aca="false">$B56+EY$3*100*$A56</f>
        <v>104.105503359342</v>
      </c>
      <c r="EZ56" s="19" t="n">
        <f aca="false">$B56+EZ$3*100*$A56</f>
        <v>104.768003359342</v>
      </c>
      <c r="FA56" s="19" t="n">
        <f aca="false">$B56+FA$3*100*$A56</f>
        <v>105.430503359342</v>
      </c>
      <c r="FB56" s="19" t="n">
        <f aca="false">$B56+FB$3*100*$A56</f>
        <v>106.093003359342</v>
      </c>
      <c r="FC56" s="19" t="n">
        <f aca="false">$B56+FC$3*100*$A56</f>
        <v>106.755503359342</v>
      </c>
      <c r="FD56" s="19" t="n">
        <f aca="false">$B56+FD$3*100*$A56</f>
        <v>107.418003359342</v>
      </c>
      <c r="FE56" s="19" t="n">
        <f aca="false">$B56+FE$3*100*$A56</f>
        <v>108.080503359342</v>
      </c>
      <c r="FF56" s="19" t="n">
        <f aca="false">$B56+FF$3*100*$A56</f>
        <v>108.743003359342</v>
      </c>
      <c r="FG56" s="19" t="n">
        <f aca="false">$B56+FG$3*100*$A56</f>
        <v>109.405503359342</v>
      </c>
      <c r="FH56" s="19" t="n">
        <f aca="false">$B56+FH$3*100*$A56</f>
        <v>110.068003359342</v>
      </c>
      <c r="FI56" s="19" t="n">
        <f aca="false">$B56+FI$3*100*$A56</f>
        <v>110.730503359342</v>
      </c>
      <c r="FJ56" s="19" t="n">
        <f aca="false">$B56+FJ$3*100*$A56</f>
        <v>111.393003359342</v>
      </c>
      <c r="FK56" s="19" t="n">
        <f aca="false">$B56+FK$3*100*$A56</f>
        <v>112.055503359342</v>
      </c>
      <c r="FL56" s="19" t="n">
        <f aca="false">$B56+FL$3*100*$A56</f>
        <v>112.718003359342</v>
      </c>
      <c r="FM56" s="19" t="n">
        <f aca="false">$B56+FM$3*100*$A56</f>
        <v>113.380503359342</v>
      </c>
      <c r="FN56" s="19" t="n">
        <f aca="false">$B56+FN$3*100*$A56</f>
        <v>114.043003359342</v>
      </c>
      <c r="FO56" s="19" t="n">
        <f aca="false">$B56+FO$3*100*$A56</f>
        <v>114.705503359342</v>
      </c>
      <c r="FP56" s="19" t="n">
        <f aca="false">$B56+FP$3*100*$A56</f>
        <v>115.368003359342</v>
      </c>
      <c r="FQ56" s="19" t="n">
        <f aca="false">$B56+FQ$3*100*$A56</f>
        <v>116.030503359342</v>
      </c>
      <c r="FR56" s="19" t="n">
        <f aca="false">$B56+FR$3*100*$A56</f>
        <v>116.693003359342</v>
      </c>
      <c r="FS56" s="19" t="n">
        <f aca="false">$B56+FS$3*100*$A56</f>
        <v>117.355503359342</v>
      </c>
      <c r="FT56" s="19" t="n">
        <f aca="false">$B56+FT$3*100*$A56</f>
        <v>118.018003359342</v>
      </c>
      <c r="FU56" s="19" t="n">
        <f aca="false">$B56+FU$3*100*$A56</f>
        <v>118.680503359342</v>
      </c>
      <c r="FV56" s="19" t="n">
        <f aca="false">$B56+FV$3*100*$A56</f>
        <v>119.343003359342</v>
      </c>
      <c r="FW56" s="19" t="n">
        <f aca="false">$B56+FW$3*100*$A56</f>
        <v>120.005503359342</v>
      </c>
      <c r="FX56" s="19" t="n">
        <f aca="false">$B56+FX$3*100*$A56</f>
        <v>120.668003359342</v>
      </c>
      <c r="FY56" s="19" t="n">
        <f aca="false">$B56+FY$3*100*$A56</f>
        <v>121.330503359342</v>
      </c>
      <c r="FZ56" s="19" t="n">
        <f aca="false">$B56+FZ$3*100*$A56</f>
        <v>121.993003359342</v>
      </c>
      <c r="GA56" s="19" t="n">
        <f aca="false">$B56+GA$3*100*$A56</f>
        <v>122.655503359342</v>
      </c>
      <c r="GB56" s="19" t="n">
        <f aca="false">$B56+GB$3*100*$A56</f>
        <v>123.318003359342</v>
      </c>
      <c r="GC56" s="19" t="n">
        <f aca="false">$B56+GC$3*100*$A56</f>
        <v>123.980503359342</v>
      </c>
      <c r="GD56" s="19" t="n">
        <f aca="false">$B56+GD$3*100*$A56</f>
        <v>124.643003359342</v>
      </c>
      <c r="GE56" s="19" t="n">
        <f aca="false">$B56+GE$3*100*$A56</f>
        <v>125.305503359342</v>
      </c>
      <c r="GF56" s="19" t="n">
        <f aca="false">$B56+GF$3*100*$A56</f>
        <v>125.968003359342</v>
      </c>
      <c r="GG56" s="19" t="n">
        <f aca="false">$B56+GG$3*100*$A56</f>
        <v>126.630503359342</v>
      </c>
      <c r="GH56" s="19" t="n">
        <f aca="false">$B56+GH$3*100*$A56</f>
        <v>127.293003359342</v>
      </c>
      <c r="GI56" s="19" t="n">
        <f aca="false">$B56+GI$3*100*$A56</f>
        <v>127.955503359342</v>
      </c>
      <c r="GJ56" s="19" t="n">
        <f aca="false">$B56+GJ$3*100*$A56</f>
        <v>128.618003359342</v>
      </c>
      <c r="GK56" s="19" t="n">
        <f aca="false">$B56+GK$3*100*$A56</f>
        <v>129.280503359342</v>
      </c>
      <c r="GL56" s="19" t="n">
        <f aca="false">$B56+GL$3*100*$A56</f>
        <v>129.943003359342</v>
      </c>
      <c r="GM56" s="19" t="n">
        <f aca="false">$B56+GM$3*100*$A56</f>
        <v>130.605503359342</v>
      </c>
      <c r="GN56" s="19" t="n">
        <f aca="false">$B56+GN$3*100*$A56</f>
        <v>131.268003359342</v>
      </c>
      <c r="GO56" s="19" t="n">
        <f aca="false">$B56+GO$3*100*$A56</f>
        <v>131.930503359342</v>
      </c>
      <c r="GP56" s="19" t="n">
        <f aca="false">$B56+GP$3*100*$A56</f>
        <v>132.593003359342</v>
      </c>
      <c r="GQ56" s="19" t="n">
        <f aca="false">$B56+GQ$3*100*$A56</f>
        <v>133.255503359342</v>
      </c>
      <c r="GR56" s="19" t="n">
        <f aca="false">$B56+GR$3*100*$A56</f>
        <v>133.918003359342</v>
      </c>
      <c r="GS56" s="19" t="n">
        <f aca="false">$B56+GS$3*100*$A56</f>
        <v>134.580503359342</v>
      </c>
      <c r="GT56" s="19" t="n">
        <f aca="false">$B56+GT$3*100*$A56</f>
        <v>135.243003359342</v>
      </c>
    </row>
    <row r="57" customFormat="false" ht="15" hidden="false" customHeight="false" outlineLevel="0" collapsed="false">
      <c r="A57" s="26" t="n">
        <f aca="false">Frontier!A55</f>
        <v>0.135</v>
      </c>
      <c r="B57" s="34" t="n">
        <f aca="false">Frontier!B55</f>
        <v>2.7</v>
      </c>
      <c r="C57" s="19" t="n">
        <f aca="false">$B57+C$3*100*$A57</f>
        <v>3.375</v>
      </c>
      <c r="D57" s="19" t="n">
        <f aca="false">$B57+D$3*100*$A57</f>
        <v>4.05</v>
      </c>
      <c r="E57" s="19" t="n">
        <f aca="false">$B57+E$3*100*$A57</f>
        <v>4.725</v>
      </c>
      <c r="F57" s="19" t="n">
        <f aca="false">$B57+F$3*100*$A57</f>
        <v>5.4</v>
      </c>
      <c r="G57" s="19" t="n">
        <f aca="false">$B57+G$3*100*$A57</f>
        <v>6.075</v>
      </c>
      <c r="H57" s="19" t="n">
        <f aca="false">$B57+H$3*100*$A57</f>
        <v>6.75</v>
      </c>
      <c r="I57" s="19" t="n">
        <f aca="false">$B57+I$3*100*$A57</f>
        <v>7.425</v>
      </c>
      <c r="J57" s="19" t="n">
        <f aca="false">$B57+J$3*100*$A57</f>
        <v>8.1</v>
      </c>
      <c r="K57" s="19" t="n">
        <f aca="false">$B57+K$3*100*$A57</f>
        <v>8.775</v>
      </c>
      <c r="L57" s="19" t="n">
        <f aca="false">$B57+L$3*100*$A57</f>
        <v>9.45</v>
      </c>
      <c r="M57" s="19" t="n">
        <f aca="false">$B57+M$3*100*$A57</f>
        <v>10.125</v>
      </c>
      <c r="N57" s="19" t="n">
        <f aca="false">$B57+N$3*100*$A57</f>
        <v>10.8</v>
      </c>
      <c r="O57" s="19" t="n">
        <f aca="false">$B57+O$3*100*$A57</f>
        <v>11.475</v>
      </c>
      <c r="P57" s="19" t="n">
        <f aca="false">$B57+P$3*100*$A57</f>
        <v>12.15</v>
      </c>
      <c r="Q57" s="19" t="n">
        <f aca="false">$B57+Q$3*100*$A57</f>
        <v>12.825</v>
      </c>
      <c r="R57" s="19" t="n">
        <f aca="false">$B57+R$3*100*$A57</f>
        <v>13.5</v>
      </c>
      <c r="S57" s="19" t="n">
        <f aca="false">$B57+S$3*100*$A57</f>
        <v>14.175</v>
      </c>
      <c r="T57" s="19" t="n">
        <f aca="false">$B57+T$3*100*$A57</f>
        <v>14.85</v>
      </c>
      <c r="U57" s="19" t="n">
        <f aca="false">$B57+U$3*100*$A57</f>
        <v>15.525</v>
      </c>
      <c r="V57" s="19" t="n">
        <f aca="false">$B57+V$3*100*$A57</f>
        <v>16.2</v>
      </c>
      <c r="W57" s="19" t="n">
        <f aca="false">$B57+W$3*100*$A57</f>
        <v>16.875</v>
      </c>
      <c r="X57" s="19" t="n">
        <f aca="false">$B57+X$3*100*$A57</f>
        <v>17.55</v>
      </c>
      <c r="Y57" s="19" t="n">
        <f aca="false">$B57+Y$3*100*$A57</f>
        <v>18.225</v>
      </c>
      <c r="Z57" s="19" t="n">
        <f aca="false">$B57+Z$3*100*$A57</f>
        <v>18.9</v>
      </c>
      <c r="AA57" s="19" t="n">
        <f aca="false">$B57+AA$3*100*$A57</f>
        <v>19.575</v>
      </c>
      <c r="AB57" s="19" t="n">
        <f aca="false">$B57+AB$3*100*$A57</f>
        <v>20.25</v>
      </c>
      <c r="AC57" s="19" t="n">
        <f aca="false">$B57+AC$3*100*$A57</f>
        <v>20.925</v>
      </c>
      <c r="AD57" s="19" t="n">
        <f aca="false">$B57+AD$3*100*$A57</f>
        <v>21.6</v>
      </c>
      <c r="AE57" s="19" t="n">
        <f aca="false">$B57+AE$3*100*$A57</f>
        <v>22.275</v>
      </c>
      <c r="AF57" s="19" t="n">
        <f aca="false">$B57+AF$3*100*$A57</f>
        <v>22.95</v>
      </c>
      <c r="AG57" s="19" t="n">
        <f aca="false">$B57+AG$3*100*$A57</f>
        <v>23.625</v>
      </c>
      <c r="AH57" s="19" t="n">
        <f aca="false">$B57+AH$3*100*$A57</f>
        <v>24.3</v>
      </c>
      <c r="AI57" s="19" t="n">
        <f aca="false">$B57+AI$3*100*$A57</f>
        <v>24.975</v>
      </c>
      <c r="AJ57" s="19" t="n">
        <f aca="false">$B57+AJ$3*100*$A57</f>
        <v>25.65</v>
      </c>
      <c r="AK57" s="19" t="n">
        <f aca="false">$B57+AK$3*100*$A57</f>
        <v>26.325</v>
      </c>
      <c r="AL57" s="19" t="n">
        <f aca="false">$B57+AL$3*100*$A57</f>
        <v>27</v>
      </c>
      <c r="AM57" s="19" t="n">
        <f aca="false">$B57+AM$3*100*$A57</f>
        <v>27.675</v>
      </c>
      <c r="AN57" s="19" t="n">
        <f aca="false">$B57+AN$3*100*$A57</f>
        <v>28.35</v>
      </c>
      <c r="AO57" s="19" t="n">
        <f aca="false">$B57+AO$3*100*$A57</f>
        <v>29.025</v>
      </c>
      <c r="AP57" s="19" t="n">
        <f aca="false">$B57+AP$3*100*$A57</f>
        <v>29.7</v>
      </c>
      <c r="AQ57" s="19" t="n">
        <f aca="false">$B57+AQ$3*100*$A57</f>
        <v>30.375</v>
      </c>
      <c r="AR57" s="19" t="n">
        <f aca="false">$B57+AR$3*100*$A57</f>
        <v>31.05</v>
      </c>
      <c r="AS57" s="19" t="n">
        <f aca="false">$B57+AS$3*100*$A57</f>
        <v>31.725</v>
      </c>
      <c r="AT57" s="19" t="n">
        <f aca="false">$B57+AT$3*100*$A57</f>
        <v>32.4</v>
      </c>
      <c r="AU57" s="19" t="n">
        <f aca="false">$B57+AU$3*100*$A57</f>
        <v>33.075</v>
      </c>
      <c r="AV57" s="19" t="n">
        <f aca="false">$B57+AV$3*100*$A57</f>
        <v>33.75</v>
      </c>
      <c r="AW57" s="19" t="n">
        <f aca="false">$B57+AW$3*100*$A57</f>
        <v>34.425</v>
      </c>
      <c r="AX57" s="19" t="n">
        <f aca="false">$B57+AX$3*100*$A57</f>
        <v>35.1</v>
      </c>
      <c r="AY57" s="19" t="n">
        <f aca="false">$B57+AY$3*100*$A57</f>
        <v>35.775</v>
      </c>
      <c r="AZ57" s="19" t="n">
        <f aca="false">$B57+AZ$3*100*$A57</f>
        <v>36.45</v>
      </c>
      <c r="BA57" s="19" t="n">
        <f aca="false">$B57+BA$3*100*$A57</f>
        <v>37.125</v>
      </c>
      <c r="BB57" s="19" t="n">
        <f aca="false">$B57+BB$3*100*$A57</f>
        <v>37.8</v>
      </c>
      <c r="BC57" s="19" t="n">
        <f aca="false">$B57+BC$3*100*$A57</f>
        <v>38.475</v>
      </c>
      <c r="BD57" s="19" t="n">
        <f aca="false">$B57+BD$3*100*$A57</f>
        <v>39.15</v>
      </c>
      <c r="BE57" s="19" t="n">
        <f aca="false">$B57+BE$3*100*$A57</f>
        <v>39.825</v>
      </c>
      <c r="BF57" s="19" t="n">
        <f aca="false">$B57+BF$3*100*$A57</f>
        <v>40.5</v>
      </c>
      <c r="BG57" s="19" t="n">
        <f aca="false">$B57+BG$3*100*$A57</f>
        <v>41.175</v>
      </c>
      <c r="BH57" s="19" t="n">
        <f aca="false">$B57+BH$3*100*$A57</f>
        <v>41.85</v>
      </c>
      <c r="BI57" s="19" t="n">
        <f aca="false">$B57+BI$3*100*$A57</f>
        <v>42.525</v>
      </c>
      <c r="BJ57" s="19" t="n">
        <f aca="false">$B57+BJ$3*100*$A57</f>
        <v>43.2</v>
      </c>
      <c r="BK57" s="19" t="n">
        <f aca="false">$B57+BK$3*100*$A57</f>
        <v>43.875</v>
      </c>
      <c r="BL57" s="19" t="n">
        <f aca="false">$B57+BL$3*100*$A57</f>
        <v>44.55</v>
      </c>
      <c r="BM57" s="19" t="n">
        <f aca="false">$B57+BM$3*100*$A57</f>
        <v>45.225</v>
      </c>
      <c r="BN57" s="19" t="n">
        <f aca="false">$B57+BN$3*100*$A57</f>
        <v>45.9</v>
      </c>
      <c r="BO57" s="19" t="n">
        <f aca="false">$B57+BO$3*100*$A57</f>
        <v>46.575</v>
      </c>
      <c r="BP57" s="19" t="n">
        <f aca="false">$B57+BP$3*100*$A57</f>
        <v>47.25</v>
      </c>
      <c r="BQ57" s="19" t="n">
        <f aca="false">$B57+BQ$3*100*$A57</f>
        <v>47.925</v>
      </c>
      <c r="BR57" s="19" t="n">
        <f aca="false">$B57+BR$3*100*$A57</f>
        <v>48.6</v>
      </c>
      <c r="BS57" s="19" t="n">
        <f aca="false">$B57+BS$3*100*$A57</f>
        <v>49.275</v>
      </c>
      <c r="BT57" s="19" t="n">
        <f aca="false">$B57+BT$3*100*$A57</f>
        <v>49.95</v>
      </c>
      <c r="BU57" s="19" t="n">
        <f aca="false">$B57+BU$3*100*$A57</f>
        <v>50.625</v>
      </c>
      <c r="BV57" s="19" t="n">
        <f aca="false">$B57+BV$3*100*$A57</f>
        <v>51.3</v>
      </c>
      <c r="BW57" s="19" t="n">
        <f aca="false">$B57+BW$3*100*$A57</f>
        <v>51.975</v>
      </c>
      <c r="BX57" s="19" t="n">
        <f aca="false">$B57+BX$3*100*$A57</f>
        <v>52.65</v>
      </c>
      <c r="BY57" s="19" t="n">
        <f aca="false">$B57+BY$3*100*$A57</f>
        <v>53.325</v>
      </c>
      <c r="BZ57" s="19" t="n">
        <f aca="false">$B57+BZ$3*100*$A57</f>
        <v>54</v>
      </c>
      <c r="CA57" s="19" t="n">
        <f aca="false">$B57+CA$3*100*$A57</f>
        <v>54.675</v>
      </c>
      <c r="CB57" s="19" t="n">
        <f aca="false">$B57+CB$3*100*$A57</f>
        <v>55.35</v>
      </c>
      <c r="CC57" s="19" t="n">
        <f aca="false">$B57+CC$3*100*$A57</f>
        <v>56.025</v>
      </c>
      <c r="CD57" s="19" t="n">
        <f aca="false">$B57+CD$3*100*$A57</f>
        <v>56.7</v>
      </c>
      <c r="CE57" s="19" t="n">
        <f aca="false">$B57+CE$3*100*$A57</f>
        <v>57.375</v>
      </c>
      <c r="CF57" s="19" t="n">
        <f aca="false">$B57+CF$3*100*$A57</f>
        <v>58.05</v>
      </c>
      <c r="CG57" s="19" t="n">
        <f aca="false">$B57+CG$3*100*$A57</f>
        <v>58.725</v>
      </c>
      <c r="CH57" s="19" t="n">
        <f aca="false">$B57+CH$3*100*$A57</f>
        <v>59.4</v>
      </c>
      <c r="CI57" s="19" t="n">
        <f aca="false">$B57+CI$3*100*$A57</f>
        <v>60.075</v>
      </c>
      <c r="CJ57" s="19" t="n">
        <f aca="false">$B57+CJ$3*100*$A57</f>
        <v>60.75</v>
      </c>
      <c r="CK57" s="19" t="n">
        <f aca="false">$B57+CK$3*100*$A57</f>
        <v>61.425</v>
      </c>
      <c r="CL57" s="19" t="n">
        <f aca="false">$B57+CL$3*100*$A57</f>
        <v>62.1</v>
      </c>
      <c r="CM57" s="19" t="n">
        <f aca="false">$B57+CM$3*100*$A57</f>
        <v>62.775</v>
      </c>
      <c r="CN57" s="19" t="n">
        <f aca="false">$B57+CN$3*100*$A57</f>
        <v>63.45</v>
      </c>
      <c r="CO57" s="19" t="n">
        <f aca="false">$B57+CO$3*100*$A57</f>
        <v>64.125</v>
      </c>
      <c r="CP57" s="19" t="n">
        <f aca="false">$B57+CP$3*100*$A57</f>
        <v>64.8</v>
      </c>
      <c r="CQ57" s="19" t="n">
        <f aca="false">$B57+CQ$3*100*$A57</f>
        <v>65.475</v>
      </c>
      <c r="CR57" s="19" t="n">
        <f aca="false">$B57+CR$3*100*$A57</f>
        <v>66.15</v>
      </c>
      <c r="CS57" s="19" t="n">
        <f aca="false">$B57+CS$3*100*$A57</f>
        <v>66.825</v>
      </c>
      <c r="CT57" s="19" t="n">
        <f aca="false">$B57+CT$3*100*$A57</f>
        <v>67.5</v>
      </c>
      <c r="CU57" s="19" t="n">
        <f aca="false">$B57+CU$3*100*$A57</f>
        <v>68.175</v>
      </c>
      <c r="CV57" s="19" t="n">
        <f aca="false">$B57+CV$3*100*$A57</f>
        <v>68.85</v>
      </c>
      <c r="CW57" s="19" t="n">
        <f aca="false">$B57+CW$3*100*$A57</f>
        <v>69.525</v>
      </c>
      <c r="CX57" s="19" t="n">
        <f aca="false">$B57+CX$3*100*$A57</f>
        <v>70.2</v>
      </c>
      <c r="CY57" s="19" t="n">
        <f aca="false">$B57+CY$3*100*$A57</f>
        <v>70.875</v>
      </c>
      <c r="CZ57" s="19" t="n">
        <f aca="false">$B57+CZ$3*100*$A57</f>
        <v>71.55</v>
      </c>
      <c r="DA57" s="19" t="n">
        <f aca="false">$B57+DA$3*100*$A57</f>
        <v>72.225</v>
      </c>
      <c r="DB57" s="19" t="n">
        <f aca="false">$B57+DB$3*100*$A57</f>
        <v>72.9</v>
      </c>
      <c r="DC57" s="19" t="n">
        <f aca="false">$B57+DC$3*100*$A57</f>
        <v>73.575</v>
      </c>
      <c r="DD57" s="19" t="n">
        <f aca="false">$B57+DD$3*100*$A57</f>
        <v>74.25</v>
      </c>
      <c r="DE57" s="19" t="n">
        <f aca="false">$B57+DE$3*100*$A57</f>
        <v>74.925</v>
      </c>
      <c r="DF57" s="19" t="n">
        <f aca="false">$B57+DF$3*100*$A57</f>
        <v>75.6</v>
      </c>
      <c r="DG57" s="19" t="n">
        <f aca="false">$B57+DG$3*100*$A57</f>
        <v>76.275</v>
      </c>
      <c r="DH57" s="19" t="n">
        <f aca="false">$B57+DH$3*100*$A57</f>
        <v>76.95</v>
      </c>
      <c r="DI57" s="19" t="n">
        <f aca="false">$B57+DI$3*100*$A57</f>
        <v>77.625</v>
      </c>
      <c r="DJ57" s="19" t="n">
        <f aca="false">$B57+DJ$3*100*$A57</f>
        <v>78.3</v>
      </c>
      <c r="DK57" s="19" t="n">
        <f aca="false">$B57+DK$3*100*$A57</f>
        <v>78.975</v>
      </c>
      <c r="DL57" s="19" t="n">
        <f aca="false">$B57+DL$3*100*$A57</f>
        <v>79.65</v>
      </c>
      <c r="DM57" s="19" t="n">
        <f aca="false">$B57+DM$3*100*$A57</f>
        <v>80.325</v>
      </c>
      <c r="DN57" s="19" t="n">
        <f aca="false">$B57+DN$3*100*$A57</f>
        <v>81</v>
      </c>
      <c r="DO57" s="19" t="n">
        <f aca="false">$B57+DO$3*100*$A57</f>
        <v>81.675</v>
      </c>
      <c r="DP57" s="19" t="n">
        <f aca="false">$B57+DP$3*100*$A57</f>
        <v>82.35</v>
      </c>
      <c r="DQ57" s="19" t="n">
        <f aca="false">$B57+DQ$3*100*$A57</f>
        <v>83.025</v>
      </c>
      <c r="DR57" s="19" t="n">
        <f aca="false">$B57+DR$3*100*$A57</f>
        <v>83.7</v>
      </c>
      <c r="DS57" s="19" t="n">
        <f aca="false">$B57+DS$3*100*$A57</f>
        <v>84.375</v>
      </c>
      <c r="DT57" s="19" t="n">
        <f aca="false">$B57+DT$3*100*$A57</f>
        <v>85.05</v>
      </c>
      <c r="DU57" s="19" t="n">
        <f aca="false">$B57+DU$3*100*$A57</f>
        <v>85.725</v>
      </c>
      <c r="DV57" s="19" t="n">
        <f aca="false">$B57+DV$3*100*$A57</f>
        <v>86.4</v>
      </c>
      <c r="DW57" s="19" t="n">
        <f aca="false">$B57+DW$3*100*$A57</f>
        <v>87.075</v>
      </c>
      <c r="DX57" s="19" t="n">
        <f aca="false">$B57+DX$3*100*$A57</f>
        <v>87.75</v>
      </c>
      <c r="DY57" s="19" t="n">
        <f aca="false">$B57+DY$3*100*$A57</f>
        <v>88.425</v>
      </c>
      <c r="DZ57" s="19" t="n">
        <f aca="false">$B57+DZ$3*100*$A57</f>
        <v>89.1</v>
      </c>
      <c r="EA57" s="19" t="n">
        <f aca="false">$B57+EA$3*100*$A57</f>
        <v>89.775</v>
      </c>
      <c r="EB57" s="19" t="n">
        <f aca="false">$B57+EB$3*100*$A57</f>
        <v>90.45</v>
      </c>
      <c r="EC57" s="19" t="n">
        <f aca="false">$B57+EC$3*100*$A57</f>
        <v>91.125</v>
      </c>
      <c r="ED57" s="19" t="n">
        <f aca="false">$B57+ED$3*100*$A57</f>
        <v>91.8</v>
      </c>
      <c r="EE57" s="19" t="n">
        <f aca="false">$B57+EE$3*100*$A57</f>
        <v>92.475</v>
      </c>
      <c r="EF57" s="19" t="n">
        <f aca="false">$B57+EF$3*100*$A57</f>
        <v>93.15</v>
      </c>
      <c r="EG57" s="19" t="n">
        <f aca="false">$B57+EG$3*100*$A57</f>
        <v>93.825</v>
      </c>
      <c r="EH57" s="19" t="n">
        <f aca="false">$B57+EH$3*100*$A57</f>
        <v>94.5</v>
      </c>
      <c r="EI57" s="19" t="n">
        <f aca="false">$B57+EI$3*100*$A57</f>
        <v>95.175</v>
      </c>
      <c r="EJ57" s="19" t="n">
        <f aca="false">$B57+EJ$3*100*$A57</f>
        <v>95.85</v>
      </c>
      <c r="EK57" s="19" t="n">
        <f aca="false">$B57+EK$3*100*$A57</f>
        <v>96.525</v>
      </c>
      <c r="EL57" s="19" t="n">
        <f aca="false">$B57+EL$3*100*$A57</f>
        <v>97.2</v>
      </c>
      <c r="EM57" s="19" t="n">
        <f aca="false">$B57+EM$3*100*$A57</f>
        <v>97.875</v>
      </c>
      <c r="EN57" s="19" t="n">
        <f aca="false">$B57+EN$3*100*$A57</f>
        <v>98.55</v>
      </c>
      <c r="EO57" s="19" t="n">
        <f aca="false">$B57+EO$3*100*$A57</f>
        <v>99.225</v>
      </c>
      <c r="EP57" s="19" t="n">
        <f aca="false">$B57+EP$3*100*$A57</f>
        <v>99.9</v>
      </c>
      <c r="EQ57" s="19" t="n">
        <f aca="false">$B57+EQ$3*100*$A57</f>
        <v>100.575</v>
      </c>
      <c r="ER57" s="19" t="n">
        <f aca="false">$B57+ER$3*100*$A57</f>
        <v>101.25</v>
      </c>
      <c r="ES57" s="19" t="n">
        <f aca="false">$B57+ES$3*100*$A57</f>
        <v>101.925</v>
      </c>
      <c r="ET57" s="19" t="n">
        <f aca="false">$B57+ET$3*100*$A57</f>
        <v>102.6</v>
      </c>
      <c r="EU57" s="19" t="n">
        <f aca="false">$B57+EU$3*100*$A57</f>
        <v>103.275</v>
      </c>
      <c r="EV57" s="19" t="n">
        <f aca="false">$B57+EV$3*100*$A57</f>
        <v>103.95</v>
      </c>
      <c r="EW57" s="19" t="n">
        <f aca="false">$B57+EW$3*100*$A57</f>
        <v>104.625</v>
      </c>
      <c r="EX57" s="19" t="n">
        <f aca="false">$B57+EX$3*100*$A57</f>
        <v>105.3</v>
      </c>
      <c r="EY57" s="19" t="n">
        <f aca="false">$B57+EY$3*100*$A57</f>
        <v>105.975</v>
      </c>
      <c r="EZ57" s="19" t="n">
        <f aca="false">$B57+EZ$3*100*$A57</f>
        <v>106.65</v>
      </c>
      <c r="FA57" s="19" t="n">
        <f aca="false">$B57+FA$3*100*$A57</f>
        <v>107.325</v>
      </c>
      <c r="FB57" s="19" t="n">
        <f aca="false">$B57+FB$3*100*$A57</f>
        <v>108</v>
      </c>
      <c r="FC57" s="19" t="n">
        <f aca="false">$B57+FC$3*100*$A57</f>
        <v>108.675</v>
      </c>
      <c r="FD57" s="19" t="n">
        <f aca="false">$B57+FD$3*100*$A57</f>
        <v>109.35</v>
      </c>
      <c r="FE57" s="19" t="n">
        <f aca="false">$B57+FE$3*100*$A57</f>
        <v>110.025</v>
      </c>
      <c r="FF57" s="19" t="n">
        <f aca="false">$B57+FF$3*100*$A57</f>
        <v>110.7</v>
      </c>
      <c r="FG57" s="19" t="n">
        <f aca="false">$B57+FG$3*100*$A57</f>
        <v>111.375</v>
      </c>
      <c r="FH57" s="19" t="n">
        <f aca="false">$B57+FH$3*100*$A57</f>
        <v>112.05</v>
      </c>
      <c r="FI57" s="19" t="n">
        <f aca="false">$B57+FI$3*100*$A57</f>
        <v>112.725</v>
      </c>
      <c r="FJ57" s="19" t="n">
        <f aca="false">$B57+FJ$3*100*$A57</f>
        <v>113.4</v>
      </c>
      <c r="FK57" s="19" t="n">
        <f aca="false">$B57+FK$3*100*$A57</f>
        <v>114.075</v>
      </c>
      <c r="FL57" s="19" t="n">
        <f aca="false">$B57+FL$3*100*$A57</f>
        <v>114.75</v>
      </c>
      <c r="FM57" s="19" t="n">
        <f aca="false">$B57+FM$3*100*$A57</f>
        <v>115.425</v>
      </c>
      <c r="FN57" s="19" t="n">
        <f aca="false">$B57+FN$3*100*$A57</f>
        <v>116.1</v>
      </c>
      <c r="FO57" s="19" t="n">
        <f aca="false">$B57+FO$3*100*$A57</f>
        <v>116.775</v>
      </c>
      <c r="FP57" s="19" t="n">
        <f aca="false">$B57+FP$3*100*$A57</f>
        <v>117.45</v>
      </c>
      <c r="FQ57" s="19" t="n">
        <f aca="false">$B57+FQ$3*100*$A57</f>
        <v>118.125</v>
      </c>
      <c r="FR57" s="19" t="n">
        <f aca="false">$B57+FR$3*100*$A57</f>
        <v>118.8</v>
      </c>
      <c r="FS57" s="19" t="n">
        <f aca="false">$B57+FS$3*100*$A57</f>
        <v>119.475</v>
      </c>
      <c r="FT57" s="19" t="n">
        <f aca="false">$B57+FT$3*100*$A57</f>
        <v>120.15</v>
      </c>
      <c r="FU57" s="19" t="n">
        <f aca="false">$B57+FU$3*100*$A57</f>
        <v>120.825</v>
      </c>
      <c r="FV57" s="19" t="n">
        <f aca="false">$B57+FV$3*100*$A57</f>
        <v>121.5</v>
      </c>
      <c r="FW57" s="19" t="n">
        <f aca="false">$B57+FW$3*100*$A57</f>
        <v>122.175</v>
      </c>
      <c r="FX57" s="19" t="n">
        <f aca="false">$B57+FX$3*100*$A57</f>
        <v>122.85</v>
      </c>
      <c r="FY57" s="19" t="n">
        <f aca="false">$B57+FY$3*100*$A57</f>
        <v>123.525</v>
      </c>
      <c r="FZ57" s="19" t="n">
        <f aca="false">$B57+FZ$3*100*$A57</f>
        <v>124.2</v>
      </c>
      <c r="GA57" s="19" t="n">
        <f aca="false">$B57+GA$3*100*$A57</f>
        <v>124.875</v>
      </c>
      <c r="GB57" s="19" t="n">
        <f aca="false">$B57+GB$3*100*$A57</f>
        <v>125.55</v>
      </c>
      <c r="GC57" s="19" t="n">
        <f aca="false">$B57+GC$3*100*$A57</f>
        <v>126.225</v>
      </c>
      <c r="GD57" s="19" t="n">
        <f aca="false">$B57+GD$3*100*$A57</f>
        <v>126.9</v>
      </c>
      <c r="GE57" s="19" t="n">
        <f aca="false">$B57+GE$3*100*$A57</f>
        <v>127.575</v>
      </c>
      <c r="GF57" s="19" t="n">
        <f aca="false">$B57+GF$3*100*$A57</f>
        <v>128.25</v>
      </c>
      <c r="GG57" s="19" t="n">
        <f aca="false">$B57+GG$3*100*$A57</f>
        <v>128.925</v>
      </c>
      <c r="GH57" s="19" t="n">
        <f aca="false">$B57+GH$3*100*$A57</f>
        <v>129.6</v>
      </c>
      <c r="GI57" s="19" t="n">
        <f aca="false">$B57+GI$3*100*$A57</f>
        <v>130.275</v>
      </c>
      <c r="GJ57" s="19" t="n">
        <f aca="false">$B57+GJ$3*100*$A57</f>
        <v>130.95</v>
      </c>
      <c r="GK57" s="19" t="n">
        <f aca="false">$B57+GK$3*100*$A57</f>
        <v>131.625</v>
      </c>
      <c r="GL57" s="19" t="n">
        <f aca="false">$B57+GL$3*100*$A57</f>
        <v>132.3</v>
      </c>
      <c r="GM57" s="19" t="n">
        <f aca="false">$B57+GM$3*100*$A57</f>
        <v>132.975</v>
      </c>
      <c r="GN57" s="19" t="n">
        <f aca="false">$B57+GN$3*100*$A57</f>
        <v>133.65</v>
      </c>
      <c r="GO57" s="19" t="n">
        <f aca="false">$B57+GO$3*100*$A57</f>
        <v>134.325</v>
      </c>
      <c r="GP57" s="19" t="n">
        <f aca="false">$B57+GP$3*100*$A57</f>
        <v>135</v>
      </c>
      <c r="GQ57" s="19" t="n">
        <f aca="false">$B57+GQ$3*100*$A57</f>
        <v>135.675</v>
      </c>
      <c r="GR57" s="19" t="n">
        <f aca="false">$B57+GR$3*100*$A57</f>
        <v>136.35</v>
      </c>
      <c r="GS57" s="19" t="n">
        <f aca="false">$B57+GS$3*100*$A57</f>
        <v>137.025</v>
      </c>
      <c r="GT57" s="19" t="n">
        <f aca="false">$B57+GT$3*100*$A57</f>
        <v>137.7</v>
      </c>
    </row>
    <row r="58" customFormat="false" ht="15" hidden="false" customHeight="false" outlineLevel="0" collapsed="false">
      <c r="A58" s="26" t="n">
        <f aca="false">Frontier!A56</f>
        <v>0.1375</v>
      </c>
      <c r="B58" s="34" t="n">
        <f aca="false">Frontier!B56</f>
        <v>2.60662098050632</v>
      </c>
      <c r="C58" s="19" t="n">
        <f aca="false">$B58+C$3*100*$A58</f>
        <v>3.29412098050632</v>
      </c>
      <c r="D58" s="19" t="n">
        <f aca="false">$B58+D$3*100*$A58</f>
        <v>3.98162098050632</v>
      </c>
      <c r="E58" s="19" t="n">
        <f aca="false">$B58+E$3*100*$A58</f>
        <v>4.66912098050632</v>
      </c>
      <c r="F58" s="19" t="n">
        <f aca="false">$B58+F$3*100*$A58</f>
        <v>5.35662098050632</v>
      </c>
      <c r="G58" s="19" t="n">
        <f aca="false">$B58+G$3*100*$A58</f>
        <v>6.04412098050632</v>
      </c>
      <c r="H58" s="19" t="n">
        <f aca="false">$B58+H$3*100*$A58</f>
        <v>6.73162098050632</v>
      </c>
      <c r="I58" s="19" t="n">
        <f aca="false">$B58+I$3*100*$A58</f>
        <v>7.41912098050632</v>
      </c>
      <c r="J58" s="19" t="n">
        <f aca="false">$B58+J$3*100*$A58</f>
        <v>8.10662098050632</v>
      </c>
      <c r="K58" s="19" t="n">
        <f aca="false">$B58+K$3*100*$A58</f>
        <v>8.79412098050632</v>
      </c>
      <c r="L58" s="19" t="n">
        <f aca="false">$B58+L$3*100*$A58</f>
        <v>9.48162098050632</v>
      </c>
      <c r="M58" s="19" t="n">
        <f aca="false">$B58+M$3*100*$A58</f>
        <v>10.1691209805063</v>
      </c>
      <c r="N58" s="19" t="n">
        <f aca="false">$B58+N$3*100*$A58</f>
        <v>10.8566209805063</v>
      </c>
      <c r="O58" s="19" t="n">
        <f aca="false">$B58+O$3*100*$A58</f>
        <v>11.5441209805063</v>
      </c>
      <c r="P58" s="19" t="n">
        <f aca="false">$B58+P$3*100*$A58</f>
        <v>12.2316209805063</v>
      </c>
      <c r="Q58" s="19" t="n">
        <f aca="false">$B58+Q$3*100*$A58</f>
        <v>12.9191209805063</v>
      </c>
      <c r="R58" s="19" t="n">
        <f aca="false">$B58+R$3*100*$A58</f>
        <v>13.6066209805063</v>
      </c>
      <c r="S58" s="19" t="n">
        <f aca="false">$B58+S$3*100*$A58</f>
        <v>14.2941209805063</v>
      </c>
      <c r="T58" s="19" t="n">
        <f aca="false">$B58+T$3*100*$A58</f>
        <v>14.9816209805063</v>
      </c>
      <c r="U58" s="19" t="n">
        <f aca="false">$B58+U$3*100*$A58</f>
        <v>15.6691209805063</v>
      </c>
      <c r="V58" s="19" t="n">
        <f aca="false">$B58+V$3*100*$A58</f>
        <v>16.3566209805063</v>
      </c>
      <c r="W58" s="19" t="n">
        <f aca="false">$B58+W$3*100*$A58</f>
        <v>17.0441209805063</v>
      </c>
      <c r="X58" s="19" t="n">
        <f aca="false">$B58+X$3*100*$A58</f>
        <v>17.7316209805063</v>
      </c>
      <c r="Y58" s="19" t="n">
        <f aca="false">$B58+Y$3*100*$A58</f>
        <v>18.4191209805063</v>
      </c>
      <c r="Z58" s="19" t="n">
        <f aca="false">$B58+Z$3*100*$A58</f>
        <v>19.1066209805063</v>
      </c>
      <c r="AA58" s="19" t="n">
        <f aca="false">$B58+AA$3*100*$A58</f>
        <v>19.7941209805063</v>
      </c>
      <c r="AB58" s="19" t="n">
        <f aca="false">$B58+AB$3*100*$A58</f>
        <v>20.4816209805063</v>
      </c>
      <c r="AC58" s="19" t="n">
        <f aca="false">$B58+AC$3*100*$A58</f>
        <v>21.1691209805063</v>
      </c>
      <c r="AD58" s="19" t="n">
        <f aca="false">$B58+AD$3*100*$A58</f>
        <v>21.8566209805063</v>
      </c>
      <c r="AE58" s="19" t="n">
        <f aca="false">$B58+AE$3*100*$A58</f>
        <v>22.5441209805063</v>
      </c>
      <c r="AF58" s="19" t="n">
        <f aca="false">$B58+AF$3*100*$A58</f>
        <v>23.2316209805063</v>
      </c>
      <c r="AG58" s="19" t="n">
        <f aca="false">$B58+AG$3*100*$A58</f>
        <v>23.9191209805063</v>
      </c>
      <c r="AH58" s="19" t="n">
        <f aca="false">$B58+AH$3*100*$A58</f>
        <v>24.6066209805063</v>
      </c>
      <c r="AI58" s="19" t="n">
        <f aca="false">$B58+AI$3*100*$A58</f>
        <v>25.2941209805063</v>
      </c>
      <c r="AJ58" s="19" t="n">
        <f aca="false">$B58+AJ$3*100*$A58</f>
        <v>25.9816209805063</v>
      </c>
      <c r="AK58" s="19" t="n">
        <f aca="false">$B58+AK$3*100*$A58</f>
        <v>26.6691209805063</v>
      </c>
      <c r="AL58" s="19" t="n">
        <f aca="false">$B58+AL$3*100*$A58</f>
        <v>27.3566209805063</v>
      </c>
      <c r="AM58" s="19" t="n">
        <f aca="false">$B58+AM$3*100*$A58</f>
        <v>28.0441209805063</v>
      </c>
      <c r="AN58" s="19" t="n">
        <f aca="false">$B58+AN$3*100*$A58</f>
        <v>28.7316209805063</v>
      </c>
      <c r="AO58" s="19" t="n">
        <f aca="false">$B58+AO$3*100*$A58</f>
        <v>29.4191209805063</v>
      </c>
      <c r="AP58" s="19" t="n">
        <f aca="false">$B58+AP$3*100*$A58</f>
        <v>30.1066209805063</v>
      </c>
      <c r="AQ58" s="19" t="n">
        <f aca="false">$B58+AQ$3*100*$A58</f>
        <v>30.7941209805063</v>
      </c>
      <c r="AR58" s="19" t="n">
        <f aca="false">$B58+AR$3*100*$A58</f>
        <v>31.4816209805063</v>
      </c>
      <c r="AS58" s="19" t="n">
        <f aca="false">$B58+AS$3*100*$A58</f>
        <v>32.1691209805063</v>
      </c>
      <c r="AT58" s="19" t="n">
        <f aca="false">$B58+AT$3*100*$A58</f>
        <v>32.8566209805063</v>
      </c>
      <c r="AU58" s="19" t="n">
        <f aca="false">$B58+AU$3*100*$A58</f>
        <v>33.5441209805063</v>
      </c>
      <c r="AV58" s="19" t="n">
        <f aca="false">$B58+AV$3*100*$A58</f>
        <v>34.2316209805063</v>
      </c>
      <c r="AW58" s="19" t="n">
        <f aca="false">$B58+AW$3*100*$A58</f>
        <v>34.9191209805063</v>
      </c>
      <c r="AX58" s="19" t="n">
        <f aca="false">$B58+AX$3*100*$A58</f>
        <v>35.6066209805063</v>
      </c>
      <c r="AY58" s="19" t="n">
        <f aca="false">$B58+AY$3*100*$A58</f>
        <v>36.2941209805063</v>
      </c>
      <c r="AZ58" s="19" t="n">
        <f aca="false">$B58+AZ$3*100*$A58</f>
        <v>36.9816209805063</v>
      </c>
      <c r="BA58" s="19" t="n">
        <f aca="false">$B58+BA$3*100*$A58</f>
        <v>37.6691209805063</v>
      </c>
      <c r="BB58" s="19" t="n">
        <f aca="false">$B58+BB$3*100*$A58</f>
        <v>38.3566209805063</v>
      </c>
      <c r="BC58" s="19" t="n">
        <f aca="false">$B58+BC$3*100*$A58</f>
        <v>39.0441209805063</v>
      </c>
      <c r="BD58" s="19" t="n">
        <f aca="false">$B58+BD$3*100*$A58</f>
        <v>39.7316209805063</v>
      </c>
      <c r="BE58" s="19" t="n">
        <f aca="false">$B58+BE$3*100*$A58</f>
        <v>40.4191209805063</v>
      </c>
      <c r="BF58" s="19" t="n">
        <f aca="false">$B58+BF$3*100*$A58</f>
        <v>41.1066209805063</v>
      </c>
      <c r="BG58" s="19" t="n">
        <f aca="false">$B58+BG$3*100*$A58</f>
        <v>41.7941209805063</v>
      </c>
      <c r="BH58" s="19" t="n">
        <f aca="false">$B58+BH$3*100*$A58</f>
        <v>42.4816209805063</v>
      </c>
      <c r="BI58" s="19" t="n">
        <f aca="false">$B58+BI$3*100*$A58</f>
        <v>43.1691209805063</v>
      </c>
      <c r="BJ58" s="19" t="n">
        <f aca="false">$B58+BJ$3*100*$A58</f>
        <v>43.8566209805063</v>
      </c>
      <c r="BK58" s="19" t="n">
        <f aca="false">$B58+BK$3*100*$A58</f>
        <v>44.5441209805063</v>
      </c>
      <c r="BL58" s="19" t="n">
        <f aca="false">$B58+BL$3*100*$A58</f>
        <v>45.2316209805063</v>
      </c>
      <c r="BM58" s="19" t="n">
        <f aca="false">$B58+BM$3*100*$A58</f>
        <v>45.9191209805063</v>
      </c>
      <c r="BN58" s="19" t="n">
        <f aca="false">$B58+BN$3*100*$A58</f>
        <v>46.6066209805063</v>
      </c>
      <c r="BO58" s="19" t="n">
        <f aca="false">$B58+BO$3*100*$A58</f>
        <v>47.2941209805063</v>
      </c>
      <c r="BP58" s="19" t="n">
        <f aca="false">$B58+BP$3*100*$A58</f>
        <v>47.9816209805063</v>
      </c>
      <c r="BQ58" s="19" t="n">
        <f aca="false">$B58+BQ$3*100*$A58</f>
        <v>48.6691209805063</v>
      </c>
      <c r="BR58" s="19" t="n">
        <f aca="false">$B58+BR$3*100*$A58</f>
        <v>49.3566209805063</v>
      </c>
      <c r="BS58" s="19" t="n">
        <f aca="false">$B58+BS$3*100*$A58</f>
        <v>50.0441209805063</v>
      </c>
      <c r="BT58" s="19" t="n">
        <f aca="false">$B58+BT$3*100*$A58</f>
        <v>50.7316209805063</v>
      </c>
      <c r="BU58" s="19" t="n">
        <f aca="false">$B58+BU$3*100*$A58</f>
        <v>51.4191209805063</v>
      </c>
      <c r="BV58" s="19" t="n">
        <f aca="false">$B58+BV$3*100*$A58</f>
        <v>52.1066209805063</v>
      </c>
      <c r="BW58" s="19" t="n">
        <f aca="false">$B58+BW$3*100*$A58</f>
        <v>52.7941209805063</v>
      </c>
      <c r="BX58" s="19" t="n">
        <f aca="false">$B58+BX$3*100*$A58</f>
        <v>53.4816209805063</v>
      </c>
      <c r="BY58" s="19" t="n">
        <f aca="false">$B58+BY$3*100*$A58</f>
        <v>54.1691209805063</v>
      </c>
      <c r="BZ58" s="19" t="n">
        <f aca="false">$B58+BZ$3*100*$A58</f>
        <v>54.8566209805063</v>
      </c>
      <c r="CA58" s="19" t="n">
        <f aca="false">$B58+CA$3*100*$A58</f>
        <v>55.5441209805063</v>
      </c>
      <c r="CB58" s="19" t="n">
        <f aca="false">$B58+CB$3*100*$A58</f>
        <v>56.2316209805063</v>
      </c>
      <c r="CC58" s="19" t="n">
        <f aca="false">$B58+CC$3*100*$A58</f>
        <v>56.9191209805063</v>
      </c>
      <c r="CD58" s="19" t="n">
        <f aca="false">$B58+CD$3*100*$A58</f>
        <v>57.6066209805063</v>
      </c>
      <c r="CE58" s="19" t="n">
        <f aca="false">$B58+CE$3*100*$A58</f>
        <v>58.2941209805063</v>
      </c>
      <c r="CF58" s="19" t="n">
        <f aca="false">$B58+CF$3*100*$A58</f>
        <v>58.9816209805063</v>
      </c>
      <c r="CG58" s="19" t="n">
        <f aca="false">$B58+CG$3*100*$A58</f>
        <v>59.6691209805063</v>
      </c>
      <c r="CH58" s="19" t="n">
        <f aca="false">$B58+CH$3*100*$A58</f>
        <v>60.3566209805063</v>
      </c>
      <c r="CI58" s="19" t="n">
        <f aca="false">$B58+CI$3*100*$A58</f>
        <v>61.0441209805063</v>
      </c>
      <c r="CJ58" s="19" t="n">
        <f aca="false">$B58+CJ$3*100*$A58</f>
        <v>61.7316209805063</v>
      </c>
      <c r="CK58" s="19" t="n">
        <f aca="false">$B58+CK$3*100*$A58</f>
        <v>62.4191209805063</v>
      </c>
      <c r="CL58" s="19" t="n">
        <f aca="false">$B58+CL$3*100*$A58</f>
        <v>63.1066209805063</v>
      </c>
      <c r="CM58" s="19" t="n">
        <f aca="false">$B58+CM$3*100*$A58</f>
        <v>63.7941209805063</v>
      </c>
      <c r="CN58" s="19" t="n">
        <f aca="false">$B58+CN$3*100*$A58</f>
        <v>64.4816209805063</v>
      </c>
      <c r="CO58" s="19" t="n">
        <f aca="false">$B58+CO$3*100*$A58</f>
        <v>65.1691209805063</v>
      </c>
      <c r="CP58" s="19" t="n">
        <f aca="false">$B58+CP$3*100*$A58</f>
        <v>65.8566209805063</v>
      </c>
      <c r="CQ58" s="19" t="n">
        <f aca="false">$B58+CQ$3*100*$A58</f>
        <v>66.5441209805063</v>
      </c>
      <c r="CR58" s="19" t="n">
        <f aca="false">$B58+CR$3*100*$A58</f>
        <v>67.2316209805063</v>
      </c>
      <c r="CS58" s="19" t="n">
        <f aca="false">$B58+CS$3*100*$A58</f>
        <v>67.9191209805063</v>
      </c>
      <c r="CT58" s="19" t="n">
        <f aca="false">$B58+CT$3*100*$A58</f>
        <v>68.6066209805063</v>
      </c>
      <c r="CU58" s="19" t="n">
        <f aca="false">$B58+CU$3*100*$A58</f>
        <v>69.2941209805063</v>
      </c>
      <c r="CV58" s="19" t="n">
        <f aca="false">$B58+CV$3*100*$A58</f>
        <v>69.9816209805063</v>
      </c>
      <c r="CW58" s="19" t="n">
        <f aca="false">$B58+CW$3*100*$A58</f>
        <v>70.6691209805063</v>
      </c>
      <c r="CX58" s="19" t="n">
        <f aca="false">$B58+CX$3*100*$A58</f>
        <v>71.3566209805063</v>
      </c>
      <c r="CY58" s="19" t="n">
        <f aca="false">$B58+CY$3*100*$A58</f>
        <v>72.0441209805063</v>
      </c>
      <c r="CZ58" s="19" t="n">
        <f aca="false">$B58+CZ$3*100*$A58</f>
        <v>72.7316209805063</v>
      </c>
      <c r="DA58" s="19" t="n">
        <f aca="false">$B58+DA$3*100*$A58</f>
        <v>73.4191209805063</v>
      </c>
      <c r="DB58" s="19" t="n">
        <f aca="false">$B58+DB$3*100*$A58</f>
        <v>74.1066209805063</v>
      </c>
      <c r="DC58" s="19" t="n">
        <f aca="false">$B58+DC$3*100*$A58</f>
        <v>74.7941209805063</v>
      </c>
      <c r="DD58" s="19" t="n">
        <f aca="false">$B58+DD$3*100*$A58</f>
        <v>75.4816209805063</v>
      </c>
      <c r="DE58" s="19" t="n">
        <f aca="false">$B58+DE$3*100*$A58</f>
        <v>76.1691209805063</v>
      </c>
      <c r="DF58" s="19" t="n">
        <f aca="false">$B58+DF$3*100*$A58</f>
        <v>76.8566209805063</v>
      </c>
      <c r="DG58" s="19" t="n">
        <f aca="false">$B58+DG$3*100*$A58</f>
        <v>77.5441209805063</v>
      </c>
      <c r="DH58" s="19" t="n">
        <f aca="false">$B58+DH$3*100*$A58</f>
        <v>78.2316209805063</v>
      </c>
      <c r="DI58" s="19" t="n">
        <f aca="false">$B58+DI$3*100*$A58</f>
        <v>78.9191209805063</v>
      </c>
      <c r="DJ58" s="19" t="n">
        <f aca="false">$B58+DJ$3*100*$A58</f>
        <v>79.6066209805063</v>
      </c>
      <c r="DK58" s="19" t="n">
        <f aca="false">$B58+DK$3*100*$A58</f>
        <v>80.2941209805063</v>
      </c>
      <c r="DL58" s="19" t="n">
        <f aca="false">$B58+DL$3*100*$A58</f>
        <v>80.9816209805063</v>
      </c>
      <c r="DM58" s="19" t="n">
        <f aca="false">$B58+DM$3*100*$A58</f>
        <v>81.6691209805063</v>
      </c>
      <c r="DN58" s="19" t="n">
        <f aca="false">$B58+DN$3*100*$A58</f>
        <v>82.3566209805063</v>
      </c>
      <c r="DO58" s="19" t="n">
        <f aca="false">$B58+DO$3*100*$A58</f>
        <v>83.0441209805063</v>
      </c>
      <c r="DP58" s="19" t="n">
        <f aca="false">$B58+DP$3*100*$A58</f>
        <v>83.7316209805063</v>
      </c>
      <c r="DQ58" s="19" t="n">
        <f aca="false">$B58+DQ$3*100*$A58</f>
        <v>84.4191209805063</v>
      </c>
      <c r="DR58" s="19" t="n">
        <f aca="false">$B58+DR$3*100*$A58</f>
        <v>85.1066209805063</v>
      </c>
      <c r="DS58" s="19" t="n">
        <f aca="false">$B58+DS$3*100*$A58</f>
        <v>85.7941209805063</v>
      </c>
      <c r="DT58" s="19" t="n">
        <f aca="false">$B58+DT$3*100*$A58</f>
        <v>86.4816209805063</v>
      </c>
      <c r="DU58" s="19" t="n">
        <f aca="false">$B58+DU$3*100*$A58</f>
        <v>87.1691209805063</v>
      </c>
      <c r="DV58" s="19" t="n">
        <f aca="false">$B58+DV$3*100*$A58</f>
        <v>87.8566209805063</v>
      </c>
      <c r="DW58" s="19" t="n">
        <f aca="false">$B58+DW$3*100*$A58</f>
        <v>88.5441209805063</v>
      </c>
      <c r="DX58" s="19" t="n">
        <f aca="false">$B58+DX$3*100*$A58</f>
        <v>89.2316209805063</v>
      </c>
      <c r="DY58" s="19" t="n">
        <f aca="false">$B58+DY$3*100*$A58</f>
        <v>89.9191209805063</v>
      </c>
      <c r="DZ58" s="19" t="n">
        <f aca="false">$B58+DZ$3*100*$A58</f>
        <v>90.6066209805063</v>
      </c>
      <c r="EA58" s="19" t="n">
        <f aca="false">$B58+EA$3*100*$A58</f>
        <v>91.2941209805063</v>
      </c>
      <c r="EB58" s="19" t="n">
        <f aca="false">$B58+EB$3*100*$A58</f>
        <v>91.9816209805063</v>
      </c>
      <c r="EC58" s="19" t="n">
        <f aca="false">$B58+EC$3*100*$A58</f>
        <v>92.6691209805063</v>
      </c>
      <c r="ED58" s="19" t="n">
        <f aca="false">$B58+ED$3*100*$A58</f>
        <v>93.3566209805063</v>
      </c>
      <c r="EE58" s="19" t="n">
        <f aca="false">$B58+EE$3*100*$A58</f>
        <v>94.0441209805063</v>
      </c>
      <c r="EF58" s="19" t="n">
        <f aca="false">$B58+EF$3*100*$A58</f>
        <v>94.7316209805063</v>
      </c>
      <c r="EG58" s="19" t="n">
        <f aca="false">$B58+EG$3*100*$A58</f>
        <v>95.4191209805063</v>
      </c>
      <c r="EH58" s="19" t="n">
        <f aca="false">$B58+EH$3*100*$A58</f>
        <v>96.1066209805063</v>
      </c>
      <c r="EI58" s="19" t="n">
        <f aca="false">$B58+EI$3*100*$A58</f>
        <v>96.7941209805063</v>
      </c>
      <c r="EJ58" s="19" t="n">
        <f aca="false">$B58+EJ$3*100*$A58</f>
        <v>97.4816209805063</v>
      </c>
      <c r="EK58" s="19" t="n">
        <f aca="false">$B58+EK$3*100*$A58</f>
        <v>98.1691209805063</v>
      </c>
      <c r="EL58" s="19" t="n">
        <f aca="false">$B58+EL$3*100*$A58</f>
        <v>98.8566209805063</v>
      </c>
      <c r="EM58" s="19" t="n">
        <f aca="false">$B58+EM$3*100*$A58</f>
        <v>99.5441209805063</v>
      </c>
      <c r="EN58" s="19" t="n">
        <f aca="false">$B58+EN$3*100*$A58</f>
        <v>100.231620980506</v>
      </c>
      <c r="EO58" s="19" t="n">
        <f aca="false">$B58+EO$3*100*$A58</f>
        <v>100.919120980506</v>
      </c>
      <c r="EP58" s="19" t="n">
        <f aca="false">$B58+EP$3*100*$A58</f>
        <v>101.606620980506</v>
      </c>
      <c r="EQ58" s="19" t="n">
        <f aca="false">$B58+EQ$3*100*$A58</f>
        <v>102.294120980506</v>
      </c>
      <c r="ER58" s="19" t="n">
        <f aca="false">$B58+ER$3*100*$A58</f>
        <v>102.981620980506</v>
      </c>
      <c r="ES58" s="19" t="n">
        <f aca="false">$B58+ES$3*100*$A58</f>
        <v>103.669120980506</v>
      </c>
      <c r="ET58" s="19" t="n">
        <f aca="false">$B58+ET$3*100*$A58</f>
        <v>104.356620980506</v>
      </c>
      <c r="EU58" s="19" t="n">
        <f aca="false">$B58+EU$3*100*$A58</f>
        <v>105.044120980506</v>
      </c>
      <c r="EV58" s="19" t="n">
        <f aca="false">$B58+EV$3*100*$A58</f>
        <v>105.731620980506</v>
      </c>
      <c r="EW58" s="19" t="n">
        <f aca="false">$B58+EW$3*100*$A58</f>
        <v>106.419120980506</v>
      </c>
      <c r="EX58" s="19" t="n">
        <f aca="false">$B58+EX$3*100*$A58</f>
        <v>107.106620980506</v>
      </c>
      <c r="EY58" s="19" t="n">
        <f aca="false">$B58+EY$3*100*$A58</f>
        <v>107.794120980506</v>
      </c>
      <c r="EZ58" s="19" t="n">
        <f aca="false">$B58+EZ$3*100*$A58</f>
        <v>108.481620980506</v>
      </c>
      <c r="FA58" s="19" t="n">
        <f aca="false">$B58+FA$3*100*$A58</f>
        <v>109.169120980506</v>
      </c>
      <c r="FB58" s="19" t="n">
        <f aca="false">$B58+FB$3*100*$A58</f>
        <v>109.856620980506</v>
      </c>
      <c r="FC58" s="19" t="n">
        <f aca="false">$B58+FC$3*100*$A58</f>
        <v>110.544120980506</v>
      </c>
      <c r="FD58" s="19" t="n">
        <f aca="false">$B58+FD$3*100*$A58</f>
        <v>111.231620980506</v>
      </c>
      <c r="FE58" s="19" t="n">
        <f aca="false">$B58+FE$3*100*$A58</f>
        <v>111.919120980506</v>
      </c>
      <c r="FF58" s="19" t="n">
        <f aca="false">$B58+FF$3*100*$A58</f>
        <v>112.606620980506</v>
      </c>
      <c r="FG58" s="19" t="n">
        <f aca="false">$B58+FG$3*100*$A58</f>
        <v>113.294120980506</v>
      </c>
      <c r="FH58" s="19" t="n">
        <f aca="false">$B58+FH$3*100*$A58</f>
        <v>113.981620980506</v>
      </c>
      <c r="FI58" s="19" t="n">
        <f aca="false">$B58+FI$3*100*$A58</f>
        <v>114.669120980506</v>
      </c>
      <c r="FJ58" s="19" t="n">
        <f aca="false">$B58+FJ$3*100*$A58</f>
        <v>115.356620980506</v>
      </c>
      <c r="FK58" s="19" t="n">
        <f aca="false">$B58+FK$3*100*$A58</f>
        <v>116.044120980506</v>
      </c>
      <c r="FL58" s="19" t="n">
        <f aca="false">$B58+FL$3*100*$A58</f>
        <v>116.731620980506</v>
      </c>
      <c r="FM58" s="19" t="n">
        <f aca="false">$B58+FM$3*100*$A58</f>
        <v>117.419120980506</v>
      </c>
      <c r="FN58" s="19" t="n">
        <f aca="false">$B58+FN$3*100*$A58</f>
        <v>118.106620980506</v>
      </c>
      <c r="FO58" s="19" t="n">
        <f aca="false">$B58+FO$3*100*$A58</f>
        <v>118.794120980506</v>
      </c>
      <c r="FP58" s="19" t="n">
        <f aca="false">$B58+FP$3*100*$A58</f>
        <v>119.481620980506</v>
      </c>
      <c r="FQ58" s="19" t="n">
        <f aca="false">$B58+FQ$3*100*$A58</f>
        <v>120.169120980506</v>
      </c>
      <c r="FR58" s="19" t="n">
        <f aca="false">$B58+FR$3*100*$A58</f>
        <v>120.856620980506</v>
      </c>
      <c r="FS58" s="19" t="n">
        <f aca="false">$B58+FS$3*100*$A58</f>
        <v>121.544120980506</v>
      </c>
      <c r="FT58" s="19" t="n">
        <f aca="false">$B58+FT$3*100*$A58</f>
        <v>122.231620980506</v>
      </c>
      <c r="FU58" s="19" t="n">
        <f aca="false">$B58+FU$3*100*$A58</f>
        <v>122.919120980506</v>
      </c>
      <c r="FV58" s="19" t="n">
        <f aca="false">$B58+FV$3*100*$A58</f>
        <v>123.606620980506</v>
      </c>
      <c r="FW58" s="19" t="n">
        <f aca="false">$B58+FW$3*100*$A58</f>
        <v>124.294120980506</v>
      </c>
      <c r="FX58" s="19" t="n">
        <f aca="false">$B58+FX$3*100*$A58</f>
        <v>124.981620980506</v>
      </c>
      <c r="FY58" s="19" t="n">
        <f aca="false">$B58+FY$3*100*$A58</f>
        <v>125.669120980506</v>
      </c>
      <c r="FZ58" s="19" t="n">
        <f aca="false">$B58+FZ$3*100*$A58</f>
        <v>126.356620980506</v>
      </c>
      <c r="GA58" s="19" t="n">
        <f aca="false">$B58+GA$3*100*$A58</f>
        <v>127.044120980506</v>
      </c>
      <c r="GB58" s="19" t="n">
        <f aca="false">$B58+GB$3*100*$A58</f>
        <v>127.731620980506</v>
      </c>
      <c r="GC58" s="19" t="n">
        <f aca="false">$B58+GC$3*100*$A58</f>
        <v>128.419120980506</v>
      </c>
      <c r="GD58" s="19" t="n">
        <f aca="false">$B58+GD$3*100*$A58</f>
        <v>129.106620980506</v>
      </c>
      <c r="GE58" s="19" t="n">
        <f aca="false">$B58+GE$3*100*$A58</f>
        <v>129.794120980506</v>
      </c>
      <c r="GF58" s="19" t="n">
        <f aca="false">$B58+GF$3*100*$A58</f>
        <v>130.481620980506</v>
      </c>
      <c r="GG58" s="19" t="n">
        <f aca="false">$B58+GG$3*100*$A58</f>
        <v>131.169120980506</v>
      </c>
      <c r="GH58" s="19" t="n">
        <f aca="false">$B58+GH$3*100*$A58</f>
        <v>131.856620980506</v>
      </c>
      <c r="GI58" s="19" t="n">
        <f aca="false">$B58+GI$3*100*$A58</f>
        <v>132.544120980506</v>
      </c>
      <c r="GJ58" s="19" t="n">
        <f aca="false">$B58+GJ$3*100*$A58</f>
        <v>133.231620980506</v>
      </c>
      <c r="GK58" s="19" t="n">
        <f aca="false">$B58+GK$3*100*$A58</f>
        <v>133.919120980506</v>
      </c>
      <c r="GL58" s="19" t="n">
        <f aca="false">$B58+GL$3*100*$A58</f>
        <v>134.606620980506</v>
      </c>
      <c r="GM58" s="19" t="n">
        <f aca="false">$B58+GM$3*100*$A58</f>
        <v>135.294120980506</v>
      </c>
      <c r="GN58" s="19" t="n">
        <f aca="false">$B58+GN$3*100*$A58</f>
        <v>135.981620980506</v>
      </c>
      <c r="GO58" s="19" t="n">
        <f aca="false">$B58+GO$3*100*$A58</f>
        <v>136.669120980506</v>
      </c>
      <c r="GP58" s="19" t="n">
        <f aca="false">$B58+GP$3*100*$A58</f>
        <v>137.356620980506</v>
      </c>
      <c r="GQ58" s="19" t="n">
        <f aca="false">$B58+GQ$3*100*$A58</f>
        <v>138.044120980506</v>
      </c>
      <c r="GR58" s="19" t="n">
        <f aca="false">$B58+GR$3*100*$A58</f>
        <v>138.731620980506</v>
      </c>
      <c r="GS58" s="19" t="n">
        <f aca="false">$B58+GS$3*100*$A58</f>
        <v>139.419120980506</v>
      </c>
      <c r="GT58" s="19" t="n">
        <f aca="false">$B58+GT$3*100*$A58</f>
        <v>140.106620980506</v>
      </c>
    </row>
    <row r="59" customFormat="false" ht="15" hidden="false" customHeight="false" outlineLevel="0" collapsed="false">
      <c r="A59" s="26" t="n">
        <f aca="false">Frontier!A57</f>
        <v>0.14</v>
      </c>
      <c r="B59" s="34" t="n">
        <f aca="false">Frontier!B57</f>
        <v>2.55</v>
      </c>
      <c r="C59" s="19" t="n">
        <f aca="false">$B59+C$3*100*$A59</f>
        <v>3.25</v>
      </c>
      <c r="D59" s="19" t="n">
        <f aca="false">$B59+D$3*100*$A59</f>
        <v>3.95</v>
      </c>
      <c r="E59" s="19" t="n">
        <f aca="false">$B59+E$3*100*$A59</f>
        <v>4.65</v>
      </c>
      <c r="F59" s="19" t="n">
        <f aca="false">$B59+F$3*100*$A59</f>
        <v>5.35</v>
      </c>
      <c r="G59" s="19" t="n">
        <f aca="false">$B59+G$3*100*$A59</f>
        <v>6.05</v>
      </c>
      <c r="H59" s="19" t="n">
        <f aca="false">$B59+H$3*100*$A59</f>
        <v>6.75</v>
      </c>
      <c r="I59" s="19" t="n">
        <f aca="false">$B59+I$3*100*$A59</f>
        <v>7.45</v>
      </c>
      <c r="J59" s="19" t="n">
        <f aca="false">$B59+J$3*100*$A59</f>
        <v>8.15</v>
      </c>
      <c r="K59" s="19" t="n">
        <f aca="false">$B59+K$3*100*$A59</f>
        <v>8.85</v>
      </c>
      <c r="L59" s="19" t="n">
        <f aca="false">$B59+L$3*100*$A59</f>
        <v>9.55</v>
      </c>
      <c r="M59" s="19" t="n">
        <f aca="false">$B59+M$3*100*$A59</f>
        <v>10.25</v>
      </c>
      <c r="N59" s="19" t="n">
        <f aca="false">$B59+N$3*100*$A59</f>
        <v>10.95</v>
      </c>
      <c r="O59" s="19" t="n">
        <f aca="false">$B59+O$3*100*$A59</f>
        <v>11.65</v>
      </c>
      <c r="P59" s="19" t="n">
        <f aca="false">$B59+P$3*100*$A59</f>
        <v>12.35</v>
      </c>
      <c r="Q59" s="19" t="n">
        <f aca="false">$B59+Q$3*100*$A59</f>
        <v>13.05</v>
      </c>
      <c r="R59" s="19" t="n">
        <f aca="false">$B59+R$3*100*$A59</f>
        <v>13.75</v>
      </c>
      <c r="S59" s="19" t="n">
        <f aca="false">$B59+S$3*100*$A59</f>
        <v>14.45</v>
      </c>
      <c r="T59" s="19" t="n">
        <f aca="false">$B59+T$3*100*$A59</f>
        <v>15.15</v>
      </c>
      <c r="U59" s="19" t="n">
        <f aca="false">$B59+U$3*100*$A59</f>
        <v>15.85</v>
      </c>
      <c r="V59" s="19" t="n">
        <f aca="false">$B59+V$3*100*$A59</f>
        <v>16.55</v>
      </c>
      <c r="W59" s="19" t="n">
        <f aca="false">$B59+W$3*100*$A59</f>
        <v>17.25</v>
      </c>
      <c r="X59" s="19" t="n">
        <f aca="false">$B59+X$3*100*$A59</f>
        <v>17.95</v>
      </c>
      <c r="Y59" s="19" t="n">
        <f aca="false">$B59+Y$3*100*$A59</f>
        <v>18.65</v>
      </c>
      <c r="Z59" s="19" t="n">
        <f aca="false">$B59+Z$3*100*$A59</f>
        <v>19.35</v>
      </c>
      <c r="AA59" s="19" t="n">
        <f aca="false">$B59+AA$3*100*$A59</f>
        <v>20.05</v>
      </c>
      <c r="AB59" s="19" t="n">
        <f aca="false">$B59+AB$3*100*$A59</f>
        <v>20.75</v>
      </c>
      <c r="AC59" s="19" t="n">
        <f aca="false">$B59+AC$3*100*$A59</f>
        <v>21.45</v>
      </c>
      <c r="AD59" s="19" t="n">
        <f aca="false">$B59+AD$3*100*$A59</f>
        <v>22.15</v>
      </c>
      <c r="AE59" s="19" t="n">
        <f aca="false">$B59+AE$3*100*$A59</f>
        <v>22.85</v>
      </c>
      <c r="AF59" s="19" t="n">
        <f aca="false">$B59+AF$3*100*$A59</f>
        <v>23.55</v>
      </c>
      <c r="AG59" s="19" t="n">
        <f aca="false">$B59+AG$3*100*$A59</f>
        <v>24.25</v>
      </c>
      <c r="AH59" s="19" t="n">
        <f aca="false">$B59+AH$3*100*$A59</f>
        <v>24.95</v>
      </c>
      <c r="AI59" s="19" t="n">
        <f aca="false">$B59+AI$3*100*$A59</f>
        <v>25.65</v>
      </c>
      <c r="AJ59" s="19" t="n">
        <f aca="false">$B59+AJ$3*100*$A59</f>
        <v>26.35</v>
      </c>
      <c r="AK59" s="19" t="n">
        <f aca="false">$B59+AK$3*100*$A59</f>
        <v>27.05</v>
      </c>
      <c r="AL59" s="19" t="n">
        <f aca="false">$B59+AL$3*100*$A59</f>
        <v>27.75</v>
      </c>
      <c r="AM59" s="19" t="n">
        <f aca="false">$B59+AM$3*100*$A59</f>
        <v>28.45</v>
      </c>
      <c r="AN59" s="19" t="n">
        <f aca="false">$B59+AN$3*100*$A59</f>
        <v>29.15</v>
      </c>
      <c r="AO59" s="19" t="n">
        <f aca="false">$B59+AO$3*100*$A59</f>
        <v>29.85</v>
      </c>
      <c r="AP59" s="19" t="n">
        <f aca="false">$B59+AP$3*100*$A59</f>
        <v>30.55</v>
      </c>
      <c r="AQ59" s="19" t="n">
        <f aca="false">$B59+AQ$3*100*$A59</f>
        <v>31.25</v>
      </c>
      <c r="AR59" s="19" t="n">
        <f aca="false">$B59+AR$3*100*$A59</f>
        <v>31.95</v>
      </c>
      <c r="AS59" s="19" t="n">
        <f aca="false">$B59+AS$3*100*$A59</f>
        <v>32.65</v>
      </c>
      <c r="AT59" s="19" t="n">
        <f aca="false">$B59+AT$3*100*$A59</f>
        <v>33.35</v>
      </c>
      <c r="AU59" s="19" t="n">
        <f aca="false">$B59+AU$3*100*$A59</f>
        <v>34.05</v>
      </c>
      <c r="AV59" s="19" t="n">
        <f aca="false">$B59+AV$3*100*$A59</f>
        <v>34.75</v>
      </c>
      <c r="AW59" s="19" t="n">
        <f aca="false">$B59+AW$3*100*$A59</f>
        <v>35.45</v>
      </c>
      <c r="AX59" s="19" t="n">
        <f aca="false">$B59+AX$3*100*$A59</f>
        <v>36.15</v>
      </c>
      <c r="AY59" s="19" t="n">
        <f aca="false">$B59+AY$3*100*$A59</f>
        <v>36.85</v>
      </c>
      <c r="AZ59" s="19" t="n">
        <f aca="false">$B59+AZ$3*100*$A59</f>
        <v>37.55</v>
      </c>
      <c r="BA59" s="19" t="n">
        <f aca="false">$B59+BA$3*100*$A59</f>
        <v>38.25</v>
      </c>
      <c r="BB59" s="19" t="n">
        <f aca="false">$B59+BB$3*100*$A59</f>
        <v>38.95</v>
      </c>
      <c r="BC59" s="19" t="n">
        <f aca="false">$B59+BC$3*100*$A59</f>
        <v>39.65</v>
      </c>
      <c r="BD59" s="19" t="n">
        <f aca="false">$B59+BD$3*100*$A59</f>
        <v>40.35</v>
      </c>
      <c r="BE59" s="19" t="n">
        <f aca="false">$B59+BE$3*100*$A59</f>
        <v>41.05</v>
      </c>
      <c r="BF59" s="19" t="n">
        <f aca="false">$B59+BF$3*100*$A59</f>
        <v>41.75</v>
      </c>
      <c r="BG59" s="19" t="n">
        <f aca="false">$B59+BG$3*100*$A59</f>
        <v>42.45</v>
      </c>
      <c r="BH59" s="19" t="n">
        <f aca="false">$B59+BH$3*100*$A59</f>
        <v>43.15</v>
      </c>
      <c r="BI59" s="19" t="n">
        <f aca="false">$B59+BI$3*100*$A59</f>
        <v>43.85</v>
      </c>
      <c r="BJ59" s="19" t="n">
        <f aca="false">$B59+BJ$3*100*$A59</f>
        <v>44.55</v>
      </c>
      <c r="BK59" s="19" t="n">
        <f aca="false">$B59+BK$3*100*$A59</f>
        <v>45.25</v>
      </c>
      <c r="BL59" s="19" t="n">
        <f aca="false">$B59+BL$3*100*$A59</f>
        <v>45.95</v>
      </c>
      <c r="BM59" s="19" t="n">
        <f aca="false">$B59+BM$3*100*$A59</f>
        <v>46.65</v>
      </c>
      <c r="BN59" s="19" t="n">
        <f aca="false">$B59+BN$3*100*$A59</f>
        <v>47.35</v>
      </c>
      <c r="BO59" s="19" t="n">
        <f aca="false">$B59+BO$3*100*$A59</f>
        <v>48.05</v>
      </c>
      <c r="BP59" s="19" t="n">
        <f aca="false">$B59+BP$3*100*$A59</f>
        <v>48.75</v>
      </c>
      <c r="BQ59" s="19" t="n">
        <f aca="false">$B59+BQ$3*100*$A59</f>
        <v>49.45</v>
      </c>
      <c r="BR59" s="19" t="n">
        <f aca="false">$B59+BR$3*100*$A59</f>
        <v>50.15</v>
      </c>
      <c r="BS59" s="19" t="n">
        <f aca="false">$B59+BS$3*100*$A59</f>
        <v>50.85</v>
      </c>
      <c r="BT59" s="19" t="n">
        <f aca="false">$B59+BT$3*100*$A59</f>
        <v>51.55</v>
      </c>
      <c r="BU59" s="19" t="n">
        <f aca="false">$B59+BU$3*100*$A59</f>
        <v>52.25</v>
      </c>
      <c r="BV59" s="19" t="n">
        <f aca="false">$B59+BV$3*100*$A59</f>
        <v>52.95</v>
      </c>
      <c r="BW59" s="19" t="n">
        <f aca="false">$B59+BW$3*100*$A59</f>
        <v>53.65</v>
      </c>
      <c r="BX59" s="19" t="n">
        <f aca="false">$B59+BX$3*100*$A59</f>
        <v>54.35</v>
      </c>
      <c r="BY59" s="19" t="n">
        <f aca="false">$B59+BY$3*100*$A59</f>
        <v>55.05</v>
      </c>
      <c r="BZ59" s="19" t="n">
        <f aca="false">$B59+BZ$3*100*$A59</f>
        <v>55.75</v>
      </c>
      <c r="CA59" s="19" t="n">
        <f aca="false">$B59+CA$3*100*$A59</f>
        <v>56.45</v>
      </c>
      <c r="CB59" s="19" t="n">
        <f aca="false">$B59+CB$3*100*$A59</f>
        <v>57.15</v>
      </c>
      <c r="CC59" s="19" t="n">
        <f aca="false">$B59+CC$3*100*$A59</f>
        <v>57.85</v>
      </c>
      <c r="CD59" s="19" t="n">
        <f aca="false">$B59+CD$3*100*$A59</f>
        <v>58.55</v>
      </c>
      <c r="CE59" s="19" t="n">
        <f aca="false">$B59+CE$3*100*$A59</f>
        <v>59.25</v>
      </c>
      <c r="CF59" s="19" t="n">
        <f aca="false">$B59+CF$3*100*$A59</f>
        <v>59.95</v>
      </c>
      <c r="CG59" s="19" t="n">
        <f aca="false">$B59+CG$3*100*$A59</f>
        <v>60.65</v>
      </c>
      <c r="CH59" s="19" t="n">
        <f aca="false">$B59+CH$3*100*$A59</f>
        <v>61.35</v>
      </c>
      <c r="CI59" s="19" t="n">
        <f aca="false">$B59+CI$3*100*$A59</f>
        <v>62.05</v>
      </c>
      <c r="CJ59" s="19" t="n">
        <f aca="false">$B59+CJ$3*100*$A59</f>
        <v>62.75</v>
      </c>
      <c r="CK59" s="19" t="n">
        <f aca="false">$B59+CK$3*100*$A59</f>
        <v>63.45</v>
      </c>
      <c r="CL59" s="19" t="n">
        <f aca="false">$B59+CL$3*100*$A59</f>
        <v>64.15</v>
      </c>
      <c r="CM59" s="19" t="n">
        <f aca="false">$B59+CM$3*100*$A59</f>
        <v>64.85</v>
      </c>
      <c r="CN59" s="19" t="n">
        <f aca="false">$B59+CN$3*100*$A59</f>
        <v>65.55</v>
      </c>
      <c r="CO59" s="19" t="n">
        <f aca="false">$B59+CO$3*100*$A59</f>
        <v>66.25</v>
      </c>
      <c r="CP59" s="19" t="n">
        <f aca="false">$B59+CP$3*100*$A59</f>
        <v>66.95</v>
      </c>
      <c r="CQ59" s="19" t="n">
        <f aca="false">$B59+CQ$3*100*$A59</f>
        <v>67.65</v>
      </c>
      <c r="CR59" s="19" t="n">
        <f aca="false">$B59+CR$3*100*$A59</f>
        <v>68.35</v>
      </c>
      <c r="CS59" s="19" t="n">
        <f aca="false">$B59+CS$3*100*$A59</f>
        <v>69.05</v>
      </c>
      <c r="CT59" s="19" t="n">
        <f aca="false">$B59+CT$3*100*$A59</f>
        <v>69.75</v>
      </c>
      <c r="CU59" s="19" t="n">
        <f aca="false">$B59+CU$3*100*$A59</f>
        <v>70.45</v>
      </c>
      <c r="CV59" s="19" t="n">
        <f aca="false">$B59+CV$3*100*$A59</f>
        <v>71.15</v>
      </c>
      <c r="CW59" s="19" t="n">
        <f aca="false">$B59+CW$3*100*$A59</f>
        <v>71.85</v>
      </c>
      <c r="CX59" s="19" t="n">
        <f aca="false">$B59+CX$3*100*$A59</f>
        <v>72.55</v>
      </c>
      <c r="CY59" s="19" t="n">
        <f aca="false">$B59+CY$3*100*$A59</f>
        <v>73.25</v>
      </c>
      <c r="CZ59" s="19" t="n">
        <f aca="false">$B59+CZ$3*100*$A59</f>
        <v>73.95</v>
      </c>
      <c r="DA59" s="19" t="n">
        <f aca="false">$B59+DA$3*100*$A59</f>
        <v>74.65</v>
      </c>
      <c r="DB59" s="19" t="n">
        <f aca="false">$B59+DB$3*100*$A59</f>
        <v>75.35</v>
      </c>
      <c r="DC59" s="19" t="n">
        <f aca="false">$B59+DC$3*100*$A59</f>
        <v>76.05</v>
      </c>
      <c r="DD59" s="19" t="n">
        <f aca="false">$B59+DD$3*100*$A59</f>
        <v>76.75</v>
      </c>
      <c r="DE59" s="19" t="n">
        <f aca="false">$B59+DE$3*100*$A59</f>
        <v>77.45</v>
      </c>
      <c r="DF59" s="19" t="n">
        <f aca="false">$B59+DF$3*100*$A59</f>
        <v>78.15</v>
      </c>
      <c r="DG59" s="19" t="n">
        <f aca="false">$B59+DG$3*100*$A59</f>
        <v>78.85</v>
      </c>
      <c r="DH59" s="19" t="n">
        <f aca="false">$B59+DH$3*100*$A59</f>
        <v>79.55</v>
      </c>
      <c r="DI59" s="19" t="n">
        <f aca="false">$B59+DI$3*100*$A59</f>
        <v>80.25</v>
      </c>
      <c r="DJ59" s="19" t="n">
        <f aca="false">$B59+DJ$3*100*$A59</f>
        <v>80.95</v>
      </c>
      <c r="DK59" s="19" t="n">
        <f aca="false">$B59+DK$3*100*$A59</f>
        <v>81.65</v>
      </c>
      <c r="DL59" s="19" t="n">
        <f aca="false">$B59+DL$3*100*$A59</f>
        <v>82.35</v>
      </c>
      <c r="DM59" s="19" t="n">
        <f aca="false">$B59+DM$3*100*$A59</f>
        <v>83.05</v>
      </c>
      <c r="DN59" s="19" t="n">
        <f aca="false">$B59+DN$3*100*$A59</f>
        <v>83.75</v>
      </c>
      <c r="DO59" s="19" t="n">
        <f aca="false">$B59+DO$3*100*$A59</f>
        <v>84.45</v>
      </c>
      <c r="DP59" s="19" t="n">
        <f aca="false">$B59+DP$3*100*$A59</f>
        <v>85.15</v>
      </c>
      <c r="DQ59" s="19" t="n">
        <f aca="false">$B59+DQ$3*100*$A59</f>
        <v>85.85</v>
      </c>
      <c r="DR59" s="19" t="n">
        <f aca="false">$B59+DR$3*100*$A59</f>
        <v>86.55</v>
      </c>
      <c r="DS59" s="19" t="n">
        <f aca="false">$B59+DS$3*100*$A59</f>
        <v>87.25</v>
      </c>
      <c r="DT59" s="19" t="n">
        <f aca="false">$B59+DT$3*100*$A59</f>
        <v>87.95</v>
      </c>
      <c r="DU59" s="19" t="n">
        <f aca="false">$B59+DU$3*100*$A59</f>
        <v>88.65</v>
      </c>
      <c r="DV59" s="19" t="n">
        <f aca="false">$B59+DV$3*100*$A59</f>
        <v>89.35</v>
      </c>
      <c r="DW59" s="19" t="n">
        <f aca="false">$B59+DW$3*100*$A59</f>
        <v>90.05</v>
      </c>
      <c r="DX59" s="19" t="n">
        <f aca="false">$B59+DX$3*100*$A59</f>
        <v>90.75</v>
      </c>
      <c r="DY59" s="19" t="n">
        <f aca="false">$B59+DY$3*100*$A59</f>
        <v>91.45</v>
      </c>
      <c r="DZ59" s="19" t="n">
        <f aca="false">$B59+DZ$3*100*$A59</f>
        <v>92.15</v>
      </c>
      <c r="EA59" s="19" t="n">
        <f aca="false">$B59+EA$3*100*$A59</f>
        <v>92.85</v>
      </c>
      <c r="EB59" s="19" t="n">
        <f aca="false">$B59+EB$3*100*$A59</f>
        <v>93.55</v>
      </c>
      <c r="EC59" s="19" t="n">
        <f aca="false">$B59+EC$3*100*$A59</f>
        <v>94.25</v>
      </c>
      <c r="ED59" s="19" t="n">
        <f aca="false">$B59+ED$3*100*$A59</f>
        <v>94.95</v>
      </c>
      <c r="EE59" s="19" t="n">
        <f aca="false">$B59+EE$3*100*$A59</f>
        <v>95.65</v>
      </c>
      <c r="EF59" s="19" t="n">
        <f aca="false">$B59+EF$3*100*$A59</f>
        <v>96.35</v>
      </c>
      <c r="EG59" s="19" t="n">
        <f aca="false">$B59+EG$3*100*$A59</f>
        <v>97.05</v>
      </c>
      <c r="EH59" s="19" t="n">
        <f aca="false">$B59+EH$3*100*$A59</f>
        <v>97.75</v>
      </c>
      <c r="EI59" s="19" t="n">
        <f aca="false">$B59+EI$3*100*$A59</f>
        <v>98.45</v>
      </c>
      <c r="EJ59" s="19" t="n">
        <f aca="false">$B59+EJ$3*100*$A59</f>
        <v>99.15</v>
      </c>
      <c r="EK59" s="19" t="n">
        <f aca="false">$B59+EK$3*100*$A59</f>
        <v>99.85</v>
      </c>
      <c r="EL59" s="19" t="n">
        <f aca="false">$B59+EL$3*100*$A59</f>
        <v>100.55</v>
      </c>
      <c r="EM59" s="19" t="n">
        <f aca="false">$B59+EM$3*100*$A59</f>
        <v>101.25</v>
      </c>
      <c r="EN59" s="19" t="n">
        <f aca="false">$B59+EN$3*100*$A59</f>
        <v>101.95</v>
      </c>
      <c r="EO59" s="19" t="n">
        <f aca="false">$B59+EO$3*100*$A59</f>
        <v>102.65</v>
      </c>
      <c r="EP59" s="19" t="n">
        <f aca="false">$B59+EP$3*100*$A59</f>
        <v>103.35</v>
      </c>
      <c r="EQ59" s="19" t="n">
        <f aca="false">$B59+EQ$3*100*$A59</f>
        <v>104.05</v>
      </c>
      <c r="ER59" s="19" t="n">
        <f aca="false">$B59+ER$3*100*$A59</f>
        <v>104.75</v>
      </c>
      <c r="ES59" s="19" t="n">
        <f aca="false">$B59+ES$3*100*$A59</f>
        <v>105.45</v>
      </c>
      <c r="ET59" s="19" t="n">
        <f aca="false">$B59+ET$3*100*$A59</f>
        <v>106.15</v>
      </c>
      <c r="EU59" s="19" t="n">
        <f aca="false">$B59+EU$3*100*$A59</f>
        <v>106.85</v>
      </c>
      <c r="EV59" s="19" t="n">
        <f aca="false">$B59+EV$3*100*$A59</f>
        <v>107.55</v>
      </c>
      <c r="EW59" s="19" t="n">
        <f aca="false">$B59+EW$3*100*$A59</f>
        <v>108.25</v>
      </c>
      <c r="EX59" s="19" t="n">
        <f aca="false">$B59+EX$3*100*$A59</f>
        <v>108.95</v>
      </c>
      <c r="EY59" s="19" t="n">
        <f aca="false">$B59+EY$3*100*$A59</f>
        <v>109.65</v>
      </c>
      <c r="EZ59" s="19" t="n">
        <f aca="false">$B59+EZ$3*100*$A59</f>
        <v>110.35</v>
      </c>
      <c r="FA59" s="19" t="n">
        <f aca="false">$B59+FA$3*100*$A59</f>
        <v>111.05</v>
      </c>
      <c r="FB59" s="19" t="n">
        <f aca="false">$B59+FB$3*100*$A59</f>
        <v>111.75</v>
      </c>
      <c r="FC59" s="19" t="n">
        <f aca="false">$B59+FC$3*100*$A59</f>
        <v>112.45</v>
      </c>
      <c r="FD59" s="19" t="n">
        <f aca="false">$B59+FD$3*100*$A59</f>
        <v>113.15</v>
      </c>
      <c r="FE59" s="19" t="n">
        <f aca="false">$B59+FE$3*100*$A59</f>
        <v>113.85</v>
      </c>
      <c r="FF59" s="19" t="n">
        <f aca="false">$B59+FF$3*100*$A59</f>
        <v>114.55</v>
      </c>
      <c r="FG59" s="19" t="n">
        <f aca="false">$B59+FG$3*100*$A59</f>
        <v>115.25</v>
      </c>
      <c r="FH59" s="19" t="n">
        <f aca="false">$B59+FH$3*100*$A59</f>
        <v>115.95</v>
      </c>
      <c r="FI59" s="19" t="n">
        <f aca="false">$B59+FI$3*100*$A59</f>
        <v>116.65</v>
      </c>
      <c r="FJ59" s="19" t="n">
        <f aca="false">$B59+FJ$3*100*$A59</f>
        <v>117.35</v>
      </c>
      <c r="FK59" s="19" t="n">
        <f aca="false">$B59+FK$3*100*$A59</f>
        <v>118.05</v>
      </c>
      <c r="FL59" s="19" t="n">
        <f aca="false">$B59+FL$3*100*$A59</f>
        <v>118.75</v>
      </c>
      <c r="FM59" s="19" t="n">
        <f aca="false">$B59+FM$3*100*$A59</f>
        <v>119.45</v>
      </c>
      <c r="FN59" s="19" t="n">
        <f aca="false">$B59+FN$3*100*$A59</f>
        <v>120.15</v>
      </c>
      <c r="FO59" s="19" t="n">
        <f aca="false">$B59+FO$3*100*$A59</f>
        <v>120.85</v>
      </c>
      <c r="FP59" s="19" t="n">
        <f aca="false">$B59+FP$3*100*$A59</f>
        <v>121.55</v>
      </c>
      <c r="FQ59" s="19" t="n">
        <f aca="false">$B59+FQ$3*100*$A59</f>
        <v>122.25</v>
      </c>
      <c r="FR59" s="19" t="n">
        <f aca="false">$B59+FR$3*100*$A59</f>
        <v>122.95</v>
      </c>
      <c r="FS59" s="19" t="n">
        <f aca="false">$B59+FS$3*100*$A59</f>
        <v>123.65</v>
      </c>
      <c r="FT59" s="19" t="n">
        <f aca="false">$B59+FT$3*100*$A59</f>
        <v>124.35</v>
      </c>
      <c r="FU59" s="19" t="n">
        <f aca="false">$B59+FU$3*100*$A59</f>
        <v>125.05</v>
      </c>
      <c r="FV59" s="19" t="n">
        <f aca="false">$B59+FV$3*100*$A59</f>
        <v>125.75</v>
      </c>
      <c r="FW59" s="19" t="n">
        <f aca="false">$B59+FW$3*100*$A59</f>
        <v>126.45</v>
      </c>
      <c r="FX59" s="19" t="n">
        <f aca="false">$B59+FX$3*100*$A59</f>
        <v>127.15</v>
      </c>
      <c r="FY59" s="19" t="n">
        <f aca="false">$B59+FY$3*100*$A59</f>
        <v>127.85</v>
      </c>
      <c r="FZ59" s="19" t="n">
        <f aca="false">$B59+FZ$3*100*$A59</f>
        <v>128.55</v>
      </c>
      <c r="GA59" s="19" t="n">
        <f aca="false">$B59+GA$3*100*$A59</f>
        <v>129.25</v>
      </c>
      <c r="GB59" s="19" t="n">
        <f aca="false">$B59+GB$3*100*$A59</f>
        <v>129.95</v>
      </c>
      <c r="GC59" s="19" t="n">
        <f aca="false">$B59+GC$3*100*$A59</f>
        <v>130.65</v>
      </c>
      <c r="GD59" s="19" t="n">
        <f aca="false">$B59+GD$3*100*$A59</f>
        <v>131.35</v>
      </c>
      <c r="GE59" s="19" t="n">
        <f aca="false">$B59+GE$3*100*$A59</f>
        <v>132.05</v>
      </c>
      <c r="GF59" s="19" t="n">
        <f aca="false">$B59+GF$3*100*$A59</f>
        <v>132.75</v>
      </c>
      <c r="GG59" s="19" t="n">
        <f aca="false">$B59+GG$3*100*$A59</f>
        <v>133.45</v>
      </c>
      <c r="GH59" s="19" t="n">
        <f aca="false">$B59+GH$3*100*$A59</f>
        <v>134.15</v>
      </c>
      <c r="GI59" s="19" t="n">
        <f aca="false">$B59+GI$3*100*$A59</f>
        <v>134.85</v>
      </c>
      <c r="GJ59" s="19" t="n">
        <f aca="false">$B59+GJ$3*100*$A59</f>
        <v>135.55</v>
      </c>
      <c r="GK59" s="19" t="n">
        <f aca="false">$B59+GK$3*100*$A59</f>
        <v>136.25</v>
      </c>
      <c r="GL59" s="19" t="n">
        <f aca="false">$B59+GL$3*100*$A59</f>
        <v>136.95</v>
      </c>
      <c r="GM59" s="19" t="n">
        <f aca="false">$B59+GM$3*100*$A59</f>
        <v>137.65</v>
      </c>
      <c r="GN59" s="19" t="n">
        <f aca="false">$B59+GN$3*100*$A59</f>
        <v>138.35</v>
      </c>
      <c r="GO59" s="19" t="n">
        <f aca="false">$B59+GO$3*100*$A59</f>
        <v>139.05</v>
      </c>
      <c r="GP59" s="19" t="n">
        <f aca="false">$B59+GP$3*100*$A59</f>
        <v>139.75</v>
      </c>
      <c r="GQ59" s="19" t="n">
        <f aca="false">$B59+GQ$3*100*$A59</f>
        <v>140.45</v>
      </c>
      <c r="GR59" s="19" t="n">
        <f aca="false">$B59+GR$3*100*$A59</f>
        <v>141.15</v>
      </c>
      <c r="GS59" s="19" t="n">
        <f aca="false">$B59+GS$3*100*$A59</f>
        <v>141.85</v>
      </c>
      <c r="GT59" s="19" t="n">
        <f aca="false">$B59+GT$3*100*$A59</f>
        <v>142.55</v>
      </c>
    </row>
    <row r="60" customFormat="false" ht="15" hidden="false" customHeight="false" outlineLevel="0" collapsed="false">
      <c r="A60" s="26" t="n">
        <f aca="false">Frontier!A58</f>
        <v>0.1425</v>
      </c>
      <c r="B60" s="34" t="n">
        <f aca="false">Frontier!B58</f>
        <v>2.48617844713688</v>
      </c>
      <c r="C60" s="19" t="n">
        <f aca="false">$B60+C$3*100*$A60</f>
        <v>3.19867844713688</v>
      </c>
      <c r="D60" s="19" t="n">
        <f aca="false">$B60+D$3*100*$A60</f>
        <v>3.91117844713688</v>
      </c>
      <c r="E60" s="19" t="n">
        <f aca="false">$B60+E$3*100*$A60</f>
        <v>4.62367844713688</v>
      </c>
      <c r="F60" s="19" t="n">
        <f aca="false">$B60+F$3*100*$A60</f>
        <v>5.33617844713688</v>
      </c>
      <c r="G60" s="19" t="n">
        <f aca="false">$B60+G$3*100*$A60</f>
        <v>6.04867844713688</v>
      </c>
      <c r="H60" s="19" t="n">
        <f aca="false">$B60+H$3*100*$A60</f>
        <v>6.76117844713688</v>
      </c>
      <c r="I60" s="19" t="n">
        <f aca="false">$B60+I$3*100*$A60</f>
        <v>7.47367844713688</v>
      </c>
      <c r="J60" s="19" t="n">
        <f aca="false">$B60+J$3*100*$A60</f>
        <v>8.18617844713688</v>
      </c>
      <c r="K60" s="19" t="n">
        <f aca="false">$B60+K$3*100*$A60</f>
        <v>8.89867844713688</v>
      </c>
      <c r="L60" s="19" t="n">
        <f aca="false">$B60+L$3*100*$A60</f>
        <v>9.61117844713688</v>
      </c>
      <c r="M60" s="19" t="n">
        <f aca="false">$B60+M$3*100*$A60</f>
        <v>10.3236784471369</v>
      </c>
      <c r="N60" s="19" t="n">
        <f aca="false">$B60+N$3*100*$A60</f>
        <v>11.0361784471369</v>
      </c>
      <c r="O60" s="19" t="n">
        <f aca="false">$B60+O$3*100*$A60</f>
        <v>11.7486784471369</v>
      </c>
      <c r="P60" s="19" t="n">
        <f aca="false">$B60+P$3*100*$A60</f>
        <v>12.4611784471369</v>
      </c>
      <c r="Q60" s="19" t="n">
        <f aca="false">$B60+Q$3*100*$A60</f>
        <v>13.1736784471369</v>
      </c>
      <c r="R60" s="19" t="n">
        <f aca="false">$B60+R$3*100*$A60</f>
        <v>13.8861784471369</v>
      </c>
      <c r="S60" s="19" t="n">
        <f aca="false">$B60+S$3*100*$A60</f>
        <v>14.5986784471369</v>
      </c>
      <c r="T60" s="19" t="n">
        <f aca="false">$B60+T$3*100*$A60</f>
        <v>15.3111784471369</v>
      </c>
      <c r="U60" s="19" t="n">
        <f aca="false">$B60+U$3*100*$A60</f>
        <v>16.0236784471369</v>
      </c>
      <c r="V60" s="19" t="n">
        <f aca="false">$B60+V$3*100*$A60</f>
        <v>16.7361784471369</v>
      </c>
      <c r="W60" s="19" t="n">
        <f aca="false">$B60+W$3*100*$A60</f>
        <v>17.4486784471369</v>
      </c>
      <c r="X60" s="19" t="n">
        <f aca="false">$B60+X$3*100*$A60</f>
        <v>18.1611784471369</v>
      </c>
      <c r="Y60" s="19" t="n">
        <f aca="false">$B60+Y$3*100*$A60</f>
        <v>18.8736784471369</v>
      </c>
      <c r="Z60" s="19" t="n">
        <f aca="false">$B60+Z$3*100*$A60</f>
        <v>19.5861784471369</v>
      </c>
      <c r="AA60" s="19" t="n">
        <f aca="false">$B60+AA$3*100*$A60</f>
        <v>20.2986784471369</v>
      </c>
      <c r="AB60" s="19" t="n">
        <f aca="false">$B60+AB$3*100*$A60</f>
        <v>21.0111784471369</v>
      </c>
      <c r="AC60" s="19" t="n">
        <f aca="false">$B60+AC$3*100*$A60</f>
        <v>21.7236784471369</v>
      </c>
      <c r="AD60" s="19" t="n">
        <f aca="false">$B60+AD$3*100*$A60</f>
        <v>22.4361784471369</v>
      </c>
      <c r="AE60" s="19" t="n">
        <f aca="false">$B60+AE$3*100*$A60</f>
        <v>23.1486784471369</v>
      </c>
      <c r="AF60" s="19" t="n">
        <f aca="false">$B60+AF$3*100*$A60</f>
        <v>23.8611784471369</v>
      </c>
      <c r="AG60" s="19" t="n">
        <f aca="false">$B60+AG$3*100*$A60</f>
        <v>24.5736784471369</v>
      </c>
      <c r="AH60" s="19" t="n">
        <f aca="false">$B60+AH$3*100*$A60</f>
        <v>25.2861784471369</v>
      </c>
      <c r="AI60" s="19" t="n">
        <f aca="false">$B60+AI$3*100*$A60</f>
        <v>25.9986784471369</v>
      </c>
      <c r="AJ60" s="19" t="n">
        <f aca="false">$B60+AJ$3*100*$A60</f>
        <v>26.7111784471369</v>
      </c>
      <c r="AK60" s="19" t="n">
        <f aca="false">$B60+AK$3*100*$A60</f>
        <v>27.4236784471369</v>
      </c>
      <c r="AL60" s="19" t="n">
        <f aca="false">$B60+AL$3*100*$A60</f>
        <v>28.1361784471369</v>
      </c>
      <c r="AM60" s="19" t="n">
        <f aca="false">$B60+AM$3*100*$A60</f>
        <v>28.8486784471369</v>
      </c>
      <c r="AN60" s="19" t="n">
        <f aca="false">$B60+AN$3*100*$A60</f>
        <v>29.5611784471369</v>
      </c>
      <c r="AO60" s="19" t="n">
        <f aca="false">$B60+AO$3*100*$A60</f>
        <v>30.2736784471369</v>
      </c>
      <c r="AP60" s="19" t="n">
        <f aca="false">$B60+AP$3*100*$A60</f>
        <v>30.9861784471369</v>
      </c>
      <c r="AQ60" s="19" t="n">
        <f aca="false">$B60+AQ$3*100*$A60</f>
        <v>31.6986784471369</v>
      </c>
      <c r="AR60" s="19" t="n">
        <f aca="false">$B60+AR$3*100*$A60</f>
        <v>32.4111784471369</v>
      </c>
      <c r="AS60" s="19" t="n">
        <f aca="false">$B60+AS$3*100*$A60</f>
        <v>33.1236784471369</v>
      </c>
      <c r="AT60" s="19" t="n">
        <f aca="false">$B60+AT$3*100*$A60</f>
        <v>33.8361784471369</v>
      </c>
      <c r="AU60" s="19" t="n">
        <f aca="false">$B60+AU$3*100*$A60</f>
        <v>34.5486784471369</v>
      </c>
      <c r="AV60" s="19" t="n">
        <f aca="false">$B60+AV$3*100*$A60</f>
        <v>35.2611784471369</v>
      </c>
      <c r="AW60" s="19" t="n">
        <f aca="false">$B60+AW$3*100*$A60</f>
        <v>35.9736784471369</v>
      </c>
      <c r="AX60" s="19" t="n">
        <f aca="false">$B60+AX$3*100*$A60</f>
        <v>36.6861784471369</v>
      </c>
      <c r="AY60" s="19" t="n">
        <f aca="false">$B60+AY$3*100*$A60</f>
        <v>37.3986784471369</v>
      </c>
      <c r="AZ60" s="19" t="n">
        <f aca="false">$B60+AZ$3*100*$A60</f>
        <v>38.1111784471369</v>
      </c>
      <c r="BA60" s="19" t="n">
        <f aca="false">$B60+BA$3*100*$A60</f>
        <v>38.8236784471369</v>
      </c>
      <c r="BB60" s="19" t="n">
        <f aca="false">$B60+BB$3*100*$A60</f>
        <v>39.5361784471369</v>
      </c>
      <c r="BC60" s="19" t="n">
        <f aca="false">$B60+BC$3*100*$A60</f>
        <v>40.2486784471369</v>
      </c>
      <c r="BD60" s="19" t="n">
        <f aca="false">$B60+BD$3*100*$A60</f>
        <v>40.9611784471369</v>
      </c>
      <c r="BE60" s="19" t="n">
        <f aca="false">$B60+BE$3*100*$A60</f>
        <v>41.6736784471369</v>
      </c>
      <c r="BF60" s="19" t="n">
        <f aca="false">$B60+BF$3*100*$A60</f>
        <v>42.3861784471369</v>
      </c>
      <c r="BG60" s="19" t="n">
        <f aca="false">$B60+BG$3*100*$A60</f>
        <v>43.0986784471369</v>
      </c>
      <c r="BH60" s="19" t="n">
        <f aca="false">$B60+BH$3*100*$A60</f>
        <v>43.8111784471369</v>
      </c>
      <c r="BI60" s="19" t="n">
        <f aca="false">$B60+BI$3*100*$A60</f>
        <v>44.5236784471369</v>
      </c>
      <c r="BJ60" s="19" t="n">
        <f aca="false">$B60+BJ$3*100*$A60</f>
        <v>45.2361784471369</v>
      </c>
      <c r="BK60" s="19" t="n">
        <f aca="false">$B60+BK$3*100*$A60</f>
        <v>45.9486784471369</v>
      </c>
      <c r="BL60" s="19" t="n">
        <f aca="false">$B60+BL$3*100*$A60</f>
        <v>46.6611784471369</v>
      </c>
      <c r="BM60" s="19" t="n">
        <f aca="false">$B60+BM$3*100*$A60</f>
        <v>47.3736784471369</v>
      </c>
      <c r="BN60" s="19" t="n">
        <f aca="false">$B60+BN$3*100*$A60</f>
        <v>48.0861784471369</v>
      </c>
      <c r="BO60" s="19" t="n">
        <f aca="false">$B60+BO$3*100*$A60</f>
        <v>48.7986784471369</v>
      </c>
      <c r="BP60" s="19" t="n">
        <f aca="false">$B60+BP$3*100*$A60</f>
        <v>49.5111784471369</v>
      </c>
      <c r="BQ60" s="19" t="n">
        <f aca="false">$B60+BQ$3*100*$A60</f>
        <v>50.2236784471369</v>
      </c>
      <c r="BR60" s="19" t="n">
        <f aca="false">$B60+BR$3*100*$A60</f>
        <v>50.9361784471369</v>
      </c>
      <c r="BS60" s="19" t="n">
        <f aca="false">$B60+BS$3*100*$A60</f>
        <v>51.6486784471369</v>
      </c>
      <c r="BT60" s="19" t="n">
        <f aca="false">$B60+BT$3*100*$A60</f>
        <v>52.3611784471369</v>
      </c>
      <c r="BU60" s="19" t="n">
        <f aca="false">$B60+BU$3*100*$A60</f>
        <v>53.0736784471369</v>
      </c>
      <c r="BV60" s="19" t="n">
        <f aca="false">$B60+BV$3*100*$A60</f>
        <v>53.7861784471369</v>
      </c>
      <c r="BW60" s="19" t="n">
        <f aca="false">$B60+BW$3*100*$A60</f>
        <v>54.4986784471369</v>
      </c>
      <c r="BX60" s="19" t="n">
        <f aca="false">$B60+BX$3*100*$A60</f>
        <v>55.2111784471369</v>
      </c>
      <c r="BY60" s="19" t="n">
        <f aca="false">$B60+BY$3*100*$A60</f>
        <v>55.9236784471369</v>
      </c>
      <c r="BZ60" s="19" t="n">
        <f aca="false">$B60+BZ$3*100*$A60</f>
        <v>56.6361784471369</v>
      </c>
      <c r="CA60" s="19" t="n">
        <f aca="false">$B60+CA$3*100*$A60</f>
        <v>57.3486784471369</v>
      </c>
      <c r="CB60" s="19" t="n">
        <f aca="false">$B60+CB$3*100*$A60</f>
        <v>58.0611784471369</v>
      </c>
      <c r="CC60" s="19" t="n">
        <f aca="false">$B60+CC$3*100*$A60</f>
        <v>58.7736784471369</v>
      </c>
      <c r="CD60" s="19" t="n">
        <f aca="false">$B60+CD$3*100*$A60</f>
        <v>59.4861784471369</v>
      </c>
      <c r="CE60" s="19" t="n">
        <f aca="false">$B60+CE$3*100*$A60</f>
        <v>60.1986784471369</v>
      </c>
      <c r="CF60" s="19" t="n">
        <f aca="false">$B60+CF$3*100*$A60</f>
        <v>60.9111784471369</v>
      </c>
      <c r="CG60" s="19" t="n">
        <f aca="false">$B60+CG$3*100*$A60</f>
        <v>61.6236784471369</v>
      </c>
      <c r="CH60" s="19" t="n">
        <f aca="false">$B60+CH$3*100*$A60</f>
        <v>62.3361784471369</v>
      </c>
      <c r="CI60" s="19" t="n">
        <f aca="false">$B60+CI$3*100*$A60</f>
        <v>63.0486784471369</v>
      </c>
      <c r="CJ60" s="19" t="n">
        <f aca="false">$B60+CJ$3*100*$A60</f>
        <v>63.7611784471369</v>
      </c>
      <c r="CK60" s="19" t="n">
        <f aca="false">$B60+CK$3*100*$A60</f>
        <v>64.4736784471369</v>
      </c>
      <c r="CL60" s="19" t="n">
        <f aca="false">$B60+CL$3*100*$A60</f>
        <v>65.1861784471369</v>
      </c>
      <c r="CM60" s="19" t="n">
        <f aca="false">$B60+CM$3*100*$A60</f>
        <v>65.8986784471369</v>
      </c>
      <c r="CN60" s="19" t="n">
        <f aca="false">$B60+CN$3*100*$A60</f>
        <v>66.6111784471369</v>
      </c>
      <c r="CO60" s="19" t="n">
        <f aca="false">$B60+CO$3*100*$A60</f>
        <v>67.3236784471369</v>
      </c>
      <c r="CP60" s="19" t="n">
        <f aca="false">$B60+CP$3*100*$A60</f>
        <v>68.0361784471369</v>
      </c>
      <c r="CQ60" s="19" t="n">
        <f aca="false">$B60+CQ$3*100*$A60</f>
        <v>68.7486784471369</v>
      </c>
      <c r="CR60" s="19" t="n">
        <f aca="false">$B60+CR$3*100*$A60</f>
        <v>69.4611784471369</v>
      </c>
      <c r="CS60" s="19" t="n">
        <f aca="false">$B60+CS$3*100*$A60</f>
        <v>70.1736784471369</v>
      </c>
      <c r="CT60" s="19" t="n">
        <f aca="false">$B60+CT$3*100*$A60</f>
        <v>70.8861784471369</v>
      </c>
      <c r="CU60" s="19" t="n">
        <f aca="false">$B60+CU$3*100*$A60</f>
        <v>71.5986784471369</v>
      </c>
      <c r="CV60" s="19" t="n">
        <f aca="false">$B60+CV$3*100*$A60</f>
        <v>72.3111784471369</v>
      </c>
      <c r="CW60" s="19" t="n">
        <f aca="false">$B60+CW$3*100*$A60</f>
        <v>73.0236784471369</v>
      </c>
      <c r="CX60" s="19" t="n">
        <f aca="false">$B60+CX$3*100*$A60</f>
        <v>73.7361784471369</v>
      </c>
      <c r="CY60" s="19" t="n">
        <f aca="false">$B60+CY$3*100*$A60</f>
        <v>74.4486784471369</v>
      </c>
      <c r="CZ60" s="19" t="n">
        <f aca="false">$B60+CZ$3*100*$A60</f>
        <v>75.1611784471369</v>
      </c>
      <c r="DA60" s="19" t="n">
        <f aca="false">$B60+DA$3*100*$A60</f>
        <v>75.8736784471369</v>
      </c>
      <c r="DB60" s="19" t="n">
        <f aca="false">$B60+DB$3*100*$A60</f>
        <v>76.5861784471369</v>
      </c>
      <c r="DC60" s="19" t="n">
        <f aca="false">$B60+DC$3*100*$A60</f>
        <v>77.2986784471369</v>
      </c>
      <c r="DD60" s="19" t="n">
        <f aca="false">$B60+DD$3*100*$A60</f>
        <v>78.0111784471369</v>
      </c>
      <c r="DE60" s="19" t="n">
        <f aca="false">$B60+DE$3*100*$A60</f>
        <v>78.7236784471369</v>
      </c>
      <c r="DF60" s="19" t="n">
        <f aca="false">$B60+DF$3*100*$A60</f>
        <v>79.4361784471369</v>
      </c>
      <c r="DG60" s="19" t="n">
        <f aca="false">$B60+DG$3*100*$A60</f>
        <v>80.1486784471369</v>
      </c>
      <c r="DH60" s="19" t="n">
        <f aca="false">$B60+DH$3*100*$A60</f>
        <v>80.8611784471369</v>
      </c>
      <c r="DI60" s="19" t="n">
        <f aca="false">$B60+DI$3*100*$A60</f>
        <v>81.5736784471369</v>
      </c>
      <c r="DJ60" s="19" t="n">
        <f aca="false">$B60+DJ$3*100*$A60</f>
        <v>82.2861784471369</v>
      </c>
      <c r="DK60" s="19" t="n">
        <f aca="false">$B60+DK$3*100*$A60</f>
        <v>82.9986784471369</v>
      </c>
      <c r="DL60" s="19" t="n">
        <f aca="false">$B60+DL$3*100*$A60</f>
        <v>83.7111784471369</v>
      </c>
      <c r="DM60" s="19" t="n">
        <f aca="false">$B60+DM$3*100*$A60</f>
        <v>84.4236784471369</v>
      </c>
      <c r="DN60" s="19" t="n">
        <f aca="false">$B60+DN$3*100*$A60</f>
        <v>85.1361784471369</v>
      </c>
      <c r="DO60" s="19" t="n">
        <f aca="false">$B60+DO$3*100*$A60</f>
        <v>85.8486784471369</v>
      </c>
      <c r="DP60" s="19" t="n">
        <f aca="false">$B60+DP$3*100*$A60</f>
        <v>86.5611784471369</v>
      </c>
      <c r="DQ60" s="19" t="n">
        <f aca="false">$B60+DQ$3*100*$A60</f>
        <v>87.2736784471369</v>
      </c>
      <c r="DR60" s="19" t="n">
        <f aca="false">$B60+DR$3*100*$A60</f>
        <v>87.9861784471369</v>
      </c>
      <c r="DS60" s="19" t="n">
        <f aca="false">$B60+DS$3*100*$A60</f>
        <v>88.6986784471369</v>
      </c>
      <c r="DT60" s="19" t="n">
        <f aca="false">$B60+DT$3*100*$A60</f>
        <v>89.4111784471369</v>
      </c>
      <c r="DU60" s="19" t="n">
        <f aca="false">$B60+DU$3*100*$A60</f>
        <v>90.1236784471369</v>
      </c>
      <c r="DV60" s="19" t="n">
        <f aca="false">$B60+DV$3*100*$A60</f>
        <v>90.8361784471369</v>
      </c>
      <c r="DW60" s="19" t="n">
        <f aca="false">$B60+DW$3*100*$A60</f>
        <v>91.5486784471369</v>
      </c>
      <c r="DX60" s="19" t="n">
        <f aca="false">$B60+DX$3*100*$A60</f>
        <v>92.2611784471369</v>
      </c>
      <c r="DY60" s="19" t="n">
        <f aca="false">$B60+DY$3*100*$A60</f>
        <v>92.9736784471369</v>
      </c>
      <c r="DZ60" s="19" t="n">
        <f aca="false">$B60+DZ$3*100*$A60</f>
        <v>93.6861784471369</v>
      </c>
      <c r="EA60" s="19" t="n">
        <f aca="false">$B60+EA$3*100*$A60</f>
        <v>94.3986784471369</v>
      </c>
      <c r="EB60" s="19" t="n">
        <f aca="false">$B60+EB$3*100*$A60</f>
        <v>95.1111784471369</v>
      </c>
      <c r="EC60" s="19" t="n">
        <f aca="false">$B60+EC$3*100*$A60</f>
        <v>95.8236784471369</v>
      </c>
      <c r="ED60" s="19" t="n">
        <f aca="false">$B60+ED$3*100*$A60</f>
        <v>96.5361784471369</v>
      </c>
      <c r="EE60" s="19" t="n">
        <f aca="false">$B60+EE$3*100*$A60</f>
        <v>97.2486784471369</v>
      </c>
      <c r="EF60" s="19" t="n">
        <f aca="false">$B60+EF$3*100*$A60</f>
        <v>97.9611784471369</v>
      </c>
      <c r="EG60" s="19" t="n">
        <f aca="false">$B60+EG$3*100*$A60</f>
        <v>98.6736784471369</v>
      </c>
      <c r="EH60" s="19" t="n">
        <f aca="false">$B60+EH$3*100*$A60</f>
        <v>99.3861784471369</v>
      </c>
      <c r="EI60" s="19" t="n">
        <f aca="false">$B60+EI$3*100*$A60</f>
        <v>100.098678447137</v>
      </c>
      <c r="EJ60" s="19" t="n">
        <f aca="false">$B60+EJ$3*100*$A60</f>
        <v>100.811178447137</v>
      </c>
      <c r="EK60" s="19" t="n">
        <f aca="false">$B60+EK$3*100*$A60</f>
        <v>101.523678447137</v>
      </c>
      <c r="EL60" s="19" t="n">
        <f aca="false">$B60+EL$3*100*$A60</f>
        <v>102.236178447137</v>
      </c>
      <c r="EM60" s="19" t="n">
        <f aca="false">$B60+EM$3*100*$A60</f>
        <v>102.948678447137</v>
      </c>
      <c r="EN60" s="19" t="n">
        <f aca="false">$B60+EN$3*100*$A60</f>
        <v>103.661178447137</v>
      </c>
      <c r="EO60" s="19" t="n">
        <f aca="false">$B60+EO$3*100*$A60</f>
        <v>104.373678447137</v>
      </c>
      <c r="EP60" s="19" t="n">
        <f aca="false">$B60+EP$3*100*$A60</f>
        <v>105.086178447137</v>
      </c>
      <c r="EQ60" s="19" t="n">
        <f aca="false">$B60+EQ$3*100*$A60</f>
        <v>105.798678447137</v>
      </c>
      <c r="ER60" s="19" t="n">
        <f aca="false">$B60+ER$3*100*$A60</f>
        <v>106.511178447137</v>
      </c>
      <c r="ES60" s="19" t="n">
        <f aca="false">$B60+ES$3*100*$A60</f>
        <v>107.223678447137</v>
      </c>
      <c r="ET60" s="19" t="n">
        <f aca="false">$B60+ET$3*100*$A60</f>
        <v>107.936178447137</v>
      </c>
      <c r="EU60" s="19" t="n">
        <f aca="false">$B60+EU$3*100*$A60</f>
        <v>108.648678447137</v>
      </c>
      <c r="EV60" s="19" t="n">
        <f aca="false">$B60+EV$3*100*$A60</f>
        <v>109.361178447137</v>
      </c>
      <c r="EW60" s="19" t="n">
        <f aca="false">$B60+EW$3*100*$A60</f>
        <v>110.073678447137</v>
      </c>
      <c r="EX60" s="19" t="n">
        <f aca="false">$B60+EX$3*100*$A60</f>
        <v>110.786178447137</v>
      </c>
      <c r="EY60" s="19" t="n">
        <f aca="false">$B60+EY$3*100*$A60</f>
        <v>111.498678447137</v>
      </c>
      <c r="EZ60" s="19" t="n">
        <f aca="false">$B60+EZ$3*100*$A60</f>
        <v>112.211178447137</v>
      </c>
      <c r="FA60" s="19" t="n">
        <f aca="false">$B60+FA$3*100*$A60</f>
        <v>112.923678447137</v>
      </c>
      <c r="FB60" s="19" t="n">
        <f aca="false">$B60+FB$3*100*$A60</f>
        <v>113.636178447137</v>
      </c>
      <c r="FC60" s="19" t="n">
        <f aca="false">$B60+FC$3*100*$A60</f>
        <v>114.348678447137</v>
      </c>
      <c r="FD60" s="19" t="n">
        <f aca="false">$B60+FD$3*100*$A60</f>
        <v>115.061178447137</v>
      </c>
      <c r="FE60" s="19" t="n">
        <f aca="false">$B60+FE$3*100*$A60</f>
        <v>115.773678447137</v>
      </c>
      <c r="FF60" s="19" t="n">
        <f aca="false">$B60+FF$3*100*$A60</f>
        <v>116.486178447137</v>
      </c>
      <c r="FG60" s="19" t="n">
        <f aca="false">$B60+FG$3*100*$A60</f>
        <v>117.198678447137</v>
      </c>
      <c r="FH60" s="19" t="n">
        <f aca="false">$B60+FH$3*100*$A60</f>
        <v>117.911178447137</v>
      </c>
      <c r="FI60" s="19" t="n">
        <f aca="false">$B60+FI$3*100*$A60</f>
        <v>118.623678447137</v>
      </c>
      <c r="FJ60" s="19" t="n">
        <f aca="false">$B60+FJ$3*100*$A60</f>
        <v>119.336178447137</v>
      </c>
      <c r="FK60" s="19" t="n">
        <f aca="false">$B60+FK$3*100*$A60</f>
        <v>120.048678447137</v>
      </c>
      <c r="FL60" s="19" t="n">
        <f aca="false">$B60+FL$3*100*$A60</f>
        <v>120.761178447137</v>
      </c>
      <c r="FM60" s="19" t="n">
        <f aca="false">$B60+FM$3*100*$A60</f>
        <v>121.473678447137</v>
      </c>
      <c r="FN60" s="19" t="n">
        <f aca="false">$B60+FN$3*100*$A60</f>
        <v>122.186178447137</v>
      </c>
      <c r="FO60" s="19" t="n">
        <f aca="false">$B60+FO$3*100*$A60</f>
        <v>122.898678447137</v>
      </c>
      <c r="FP60" s="19" t="n">
        <f aca="false">$B60+FP$3*100*$A60</f>
        <v>123.611178447137</v>
      </c>
      <c r="FQ60" s="19" t="n">
        <f aca="false">$B60+FQ$3*100*$A60</f>
        <v>124.323678447137</v>
      </c>
      <c r="FR60" s="19" t="n">
        <f aca="false">$B60+FR$3*100*$A60</f>
        <v>125.036178447137</v>
      </c>
      <c r="FS60" s="19" t="n">
        <f aca="false">$B60+FS$3*100*$A60</f>
        <v>125.748678447137</v>
      </c>
      <c r="FT60" s="19" t="n">
        <f aca="false">$B60+FT$3*100*$A60</f>
        <v>126.461178447137</v>
      </c>
      <c r="FU60" s="19" t="n">
        <f aca="false">$B60+FU$3*100*$A60</f>
        <v>127.173678447137</v>
      </c>
      <c r="FV60" s="19" t="n">
        <f aca="false">$B60+FV$3*100*$A60</f>
        <v>127.886178447137</v>
      </c>
      <c r="FW60" s="19" t="n">
        <f aca="false">$B60+FW$3*100*$A60</f>
        <v>128.598678447137</v>
      </c>
      <c r="FX60" s="19" t="n">
        <f aca="false">$B60+FX$3*100*$A60</f>
        <v>129.311178447137</v>
      </c>
      <c r="FY60" s="19" t="n">
        <f aca="false">$B60+FY$3*100*$A60</f>
        <v>130.023678447137</v>
      </c>
      <c r="FZ60" s="19" t="n">
        <f aca="false">$B60+FZ$3*100*$A60</f>
        <v>130.736178447137</v>
      </c>
      <c r="GA60" s="19" t="n">
        <f aca="false">$B60+GA$3*100*$A60</f>
        <v>131.448678447137</v>
      </c>
      <c r="GB60" s="19" t="n">
        <f aca="false">$B60+GB$3*100*$A60</f>
        <v>132.161178447137</v>
      </c>
      <c r="GC60" s="19" t="n">
        <f aca="false">$B60+GC$3*100*$A60</f>
        <v>132.873678447137</v>
      </c>
      <c r="GD60" s="19" t="n">
        <f aca="false">$B60+GD$3*100*$A60</f>
        <v>133.586178447137</v>
      </c>
      <c r="GE60" s="19" t="n">
        <f aca="false">$B60+GE$3*100*$A60</f>
        <v>134.298678447137</v>
      </c>
      <c r="GF60" s="19" t="n">
        <f aca="false">$B60+GF$3*100*$A60</f>
        <v>135.011178447137</v>
      </c>
      <c r="GG60" s="19" t="n">
        <f aca="false">$B60+GG$3*100*$A60</f>
        <v>135.723678447137</v>
      </c>
      <c r="GH60" s="19" t="n">
        <f aca="false">$B60+GH$3*100*$A60</f>
        <v>136.436178447137</v>
      </c>
      <c r="GI60" s="19" t="n">
        <f aca="false">$B60+GI$3*100*$A60</f>
        <v>137.148678447137</v>
      </c>
      <c r="GJ60" s="19" t="n">
        <f aca="false">$B60+GJ$3*100*$A60</f>
        <v>137.861178447137</v>
      </c>
      <c r="GK60" s="19" t="n">
        <f aca="false">$B60+GK$3*100*$A60</f>
        <v>138.573678447137</v>
      </c>
      <c r="GL60" s="19" t="n">
        <f aca="false">$B60+GL$3*100*$A60</f>
        <v>139.286178447137</v>
      </c>
      <c r="GM60" s="19" t="n">
        <f aca="false">$B60+GM$3*100*$A60</f>
        <v>139.998678447137</v>
      </c>
      <c r="GN60" s="19" t="n">
        <f aca="false">$B60+GN$3*100*$A60</f>
        <v>140.711178447137</v>
      </c>
      <c r="GO60" s="19" t="n">
        <f aca="false">$B60+GO$3*100*$A60</f>
        <v>141.423678447137</v>
      </c>
      <c r="GP60" s="19" t="n">
        <f aca="false">$B60+GP$3*100*$A60</f>
        <v>142.136178447137</v>
      </c>
      <c r="GQ60" s="19" t="n">
        <f aca="false">$B60+GQ$3*100*$A60</f>
        <v>142.848678447137</v>
      </c>
      <c r="GR60" s="19" t="n">
        <f aca="false">$B60+GR$3*100*$A60</f>
        <v>143.561178447137</v>
      </c>
      <c r="GS60" s="19" t="n">
        <f aca="false">$B60+GS$3*100*$A60</f>
        <v>144.273678447137</v>
      </c>
      <c r="GT60" s="19" t="n">
        <f aca="false">$B60+GT$3*100*$A60</f>
        <v>144.986178447137</v>
      </c>
    </row>
    <row r="61" customFormat="false" ht="15" hidden="false" customHeight="false" outlineLevel="0" collapsed="false">
      <c r="A61" s="26" t="n">
        <f aca="false">Frontier!A59</f>
        <v>0.145</v>
      </c>
      <c r="B61" s="34" t="n">
        <f aca="false">Frontier!B59</f>
        <v>2.4</v>
      </c>
      <c r="C61" s="19" t="n">
        <f aca="false">$B61+C$3*100*$A61</f>
        <v>3.125</v>
      </c>
      <c r="D61" s="19" t="n">
        <f aca="false">$B61+D$3*100*$A61</f>
        <v>3.85</v>
      </c>
      <c r="E61" s="19" t="n">
        <f aca="false">$B61+E$3*100*$A61</f>
        <v>4.575</v>
      </c>
      <c r="F61" s="19" t="n">
        <f aca="false">$B61+F$3*100*$A61</f>
        <v>5.3</v>
      </c>
      <c r="G61" s="19" t="n">
        <f aca="false">$B61+G$3*100*$A61</f>
        <v>6.025</v>
      </c>
      <c r="H61" s="19" t="n">
        <f aca="false">$B61+H$3*100*$A61</f>
        <v>6.75</v>
      </c>
      <c r="I61" s="19" t="n">
        <f aca="false">$B61+I$3*100*$A61</f>
        <v>7.475</v>
      </c>
      <c r="J61" s="19" t="n">
        <f aca="false">$B61+J$3*100*$A61</f>
        <v>8.2</v>
      </c>
      <c r="K61" s="19" t="n">
        <f aca="false">$B61+K$3*100*$A61</f>
        <v>8.925</v>
      </c>
      <c r="L61" s="19" t="n">
        <f aca="false">$B61+L$3*100*$A61</f>
        <v>9.65</v>
      </c>
      <c r="M61" s="19" t="n">
        <f aca="false">$B61+M$3*100*$A61</f>
        <v>10.375</v>
      </c>
      <c r="N61" s="19" t="n">
        <f aca="false">$B61+N$3*100*$A61</f>
        <v>11.1</v>
      </c>
      <c r="O61" s="19" t="n">
        <f aca="false">$B61+O$3*100*$A61</f>
        <v>11.825</v>
      </c>
      <c r="P61" s="19" t="n">
        <f aca="false">$B61+P$3*100*$A61</f>
        <v>12.55</v>
      </c>
      <c r="Q61" s="19" t="n">
        <f aca="false">$B61+Q$3*100*$A61</f>
        <v>13.275</v>
      </c>
      <c r="R61" s="19" t="n">
        <f aca="false">$B61+R$3*100*$A61</f>
        <v>14</v>
      </c>
      <c r="S61" s="19" t="n">
        <f aca="false">$B61+S$3*100*$A61</f>
        <v>14.725</v>
      </c>
      <c r="T61" s="19" t="n">
        <f aca="false">$B61+T$3*100*$A61</f>
        <v>15.45</v>
      </c>
      <c r="U61" s="19" t="n">
        <f aca="false">$B61+U$3*100*$A61</f>
        <v>16.175</v>
      </c>
      <c r="V61" s="19" t="n">
        <f aca="false">$B61+V$3*100*$A61</f>
        <v>16.9</v>
      </c>
      <c r="W61" s="19" t="n">
        <f aca="false">$B61+W$3*100*$A61</f>
        <v>17.625</v>
      </c>
      <c r="X61" s="19" t="n">
        <f aca="false">$B61+X$3*100*$A61</f>
        <v>18.35</v>
      </c>
      <c r="Y61" s="19" t="n">
        <f aca="false">$B61+Y$3*100*$A61</f>
        <v>19.075</v>
      </c>
      <c r="Z61" s="19" t="n">
        <f aca="false">$B61+Z$3*100*$A61</f>
        <v>19.8</v>
      </c>
      <c r="AA61" s="19" t="n">
        <f aca="false">$B61+AA$3*100*$A61</f>
        <v>20.525</v>
      </c>
      <c r="AB61" s="19" t="n">
        <f aca="false">$B61+AB$3*100*$A61</f>
        <v>21.25</v>
      </c>
      <c r="AC61" s="19" t="n">
        <f aca="false">$B61+AC$3*100*$A61</f>
        <v>21.975</v>
      </c>
      <c r="AD61" s="19" t="n">
        <f aca="false">$B61+AD$3*100*$A61</f>
        <v>22.7</v>
      </c>
      <c r="AE61" s="19" t="n">
        <f aca="false">$B61+AE$3*100*$A61</f>
        <v>23.425</v>
      </c>
      <c r="AF61" s="19" t="n">
        <f aca="false">$B61+AF$3*100*$A61</f>
        <v>24.15</v>
      </c>
      <c r="AG61" s="19" t="n">
        <f aca="false">$B61+AG$3*100*$A61</f>
        <v>24.875</v>
      </c>
      <c r="AH61" s="19" t="n">
        <f aca="false">$B61+AH$3*100*$A61</f>
        <v>25.6</v>
      </c>
      <c r="AI61" s="19" t="n">
        <f aca="false">$B61+AI$3*100*$A61</f>
        <v>26.325</v>
      </c>
      <c r="AJ61" s="19" t="n">
        <f aca="false">$B61+AJ$3*100*$A61</f>
        <v>27.05</v>
      </c>
      <c r="AK61" s="19" t="n">
        <f aca="false">$B61+AK$3*100*$A61</f>
        <v>27.775</v>
      </c>
      <c r="AL61" s="19" t="n">
        <f aca="false">$B61+AL$3*100*$A61</f>
        <v>28.5</v>
      </c>
      <c r="AM61" s="19" t="n">
        <f aca="false">$B61+AM$3*100*$A61</f>
        <v>29.225</v>
      </c>
      <c r="AN61" s="19" t="n">
        <f aca="false">$B61+AN$3*100*$A61</f>
        <v>29.95</v>
      </c>
      <c r="AO61" s="19" t="n">
        <f aca="false">$B61+AO$3*100*$A61</f>
        <v>30.675</v>
      </c>
      <c r="AP61" s="19" t="n">
        <f aca="false">$B61+AP$3*100*$A61</f>
        <v>31.4</v>
      </c>
      <c r="AQ61" s="19" t="n">
        <f aca="false">$B61+AQ$3*100*$A61</f>
        <v>32.125</v>
      </c>
      <c r="AR61" s="19" t="n">
        <f aca="false">$B61+AR$3*100*$A61</f>
        <v>32.85</v>
      </c>
      <c r="AS61" s="19" t="n">
        <f aca="false">$B61+AS$3*100*$A61</f>
        <v>33.575</v>
      </c>
      <c r="AT61" s="19" t="n">
        <f aca="false">$B61+AT$3*100*$A61</f>
        <v>34.3</v>
      </c>
      <c r="AU61" s="19" t="n">
        <f aca="false">$B61+AU$3*100*$A61</f>
        <v>35.025</v>
      </c>
      <c r="AV61" s="19" t="n">
        <f aca="false">$B61+AV$3*100*$A61</f>
        <v>35.75</v>
      </c>
      <c r="AW61" s="19" t="n">
        <f aca="false">$B61+AW$3*100*$A61</f>
        <v>36.475</v>
      </c>
      <c r="AX61" s="19" t="n">
        <f aca="false">$B61+AX$3*100*$A61</f>
        <v>37.2</v>
      </c>
      <c r="AY61" s="19" t="n">
        <f aca="false">$B61+AY$3*100*$A61</f>
        <v>37.925</v>
      </c>
      <c r="AZ61" s="19" t="n">
        <f aca="false">$B61+AZ$3*100*$A61</f>
        <v>38.65</v>
      </c>
      <c r="BA61" s="19" t="n">
        <f aca="false">$B61+BA$3*100*$A61</f>
        <v>39.375</v>
      </c>
      <c r="BB61" s="19" t="n">
        <f aca="false">$B61+BB$3*100*$A61</f>
        <v>40.1</v>
      </c>
      <c r="BC61" s="19" t="n">
        <f aca="false">$B61+BC$3*100*$A61</f>
        <v>40.825</v>
      </c>
      <c r="BD61" s="19" t="n">
        <f aca="false">$B61+BD$3*100*$A61</f>
        <v>41.55</v>
      </c>
      <c r="BE61" s="19" t="n">
        <f aca="false">$B61+BE$3*100*$A61</f>
        <v>42.275</v>
      </c>
      <c r="BF61" s="19" t="n">
        <f aca="false">$B61+BF$3*100*$A61</f>
        <v>43</v>
      </c>
      <c r="BG61" s="19" t="n">
        <f aca="false">$B61+BG$3*100*$A61</f>
        <v>43.725</v>
      </c>
      <c r="BH61" s="19" t="n">
        <f aca="false">$B61+BH$3*100*$A61</f>
        <v>44.45</v>
      </c>
      <c r="BI61" s="19" t="n">
        <f aca="false">$B61+BI$3*100*$A61</f>
        <v>45.175</v>
      </c>
      <c r="BJ61" s="19" t="n">
        <f aca="false">$B61+BJ$3*100*$A61</f>
        <v>45.9</v>
      </c>
      <c r="BK61" s="19" t="n">
        <f aca="false">$B61+BK$3*100*$A61</f>
        <v>46.625</v>
      </c>
      <c r="BL61" s="19" t="n">
        <f aca="false">$B61+BL$3*100*$A61</f>
        <v>47.35</v>
      </c>
      <c r="BM61" s="19" t="n">
        <f aca="false">$B61+BM$3*100*$A61</f>
        <v>48.075</v>
      </c>
      <c r="BN61" s="19" t="n">
        <f aca="false">$B61+BN$3*100*$A61</f>
        <v>48.8</v>
      </c>
      <c r="BO61" s="19" t="n">
        <f aca="false">$B61+BO$3*100*$A61</f>
        <v>49.525</v>
      </c>
      <c r="BP61" s="19" t="n">
        <f aca="false">$B61+BP$3*100*$A61</f>
        <v>50.25</v>
      </c>
      <c r="BQ61" s="19" t="n">
        <f aca="false">$B61+BQ$3*100*$A61</f>
        <v>50.975</v>
      </c>
      <c r="BR61" s="19" t="n">
        <f aca="false">$B61+BR$3*100*$A61</f>
        <v>51.7</v>
      </c>
      <c r="BS61" s="19" t="n">
        <f aca="false">$B61+BS$3*100*$A61</f>
        <v>52.425</v>
      </c>
      <c r="BT61" s="19" t="n">
        <f aca="false">$B61+BT$3*100*$A61</f>
        <v>53.15</v>
      </c>
      <c r="BU61" s="19" t="n">
        <f aca="false">$B61+BU$3*100*$A61</f>
        <v>53.875</v>
      </c>
      <c r="BV61" s="19" t="n">
        <f aca="false">$B61+BV$3*100*$A61</f>
        <v>54.6</v>
      </c>
      <c r="BW61" s="19" t="n">
        <f aca="false">$B61+BW$3*100*$A61</f>
        <v>55.325</v>
      </c>
      <c r="BX61" s="19" t="n">
        <f aca="false">$B61+BX$3*100*$A61</f>
        <v>56.05</v>
      </c>
      <c r="BY61" s="19" t="n">
        <f aca="false">$B61+BY$3*100*$A61</f>
        <v>56.775</v>
      </c>
      <c r="BZ61" s="19" t="n">
        <f aca="false">$B61+BZ$3*100*$A61</f>
        <v>57.5</v>
      </c>
      <c r="CA61" s="19" t="n">
        <f aca="false">$B61+CA$3*100*$A61</f>
        <v>58.225</v>
      </c>
      <c r="CB61" s="19" t="n">
        <f aca="false">$B61+CB$3*100*$A61</f>
        <v>58.95</v>
      </c>
      <c r="CC61" s="19" t="n">
        <f aca="false">$B61+CC$3*100*$A61</f>
        <v>59.675</v>
      </c>
      <c r="CD61" s="19" t="n">
        <f aca="false">$B61+CD$3*100*$A61</f>
        <v>60.4</v>
      </c>
      <c r="CE61" s="19" t="n">
        <f aca="false">$B61+CE$3*100*$A61</f>
        <v>61.125</v>
      </c>
      <c r="CF61" s="19" t="n">
        <f aca="false">$B61+CF$3*100*$A61</f>
        <v>61.85</v>
      </c>
      <c r="CG61" s="19" t="n">
        <f aca="false">$B61+CG$3*100*$A61</f>
        <v>62.575</v>
      </c>
      <c r="CH61" s="19" t="n">
        <f aca="false">$B61+CH$3*100*$A61</f>
        <v>63.3</v>
      </c>
      <c r="CI61" s="19" t="n">
        <f aca="false">$B61+CI$3*100*$A61</f>
        <v>64.025</v>
      </c>
      <c r="CJ61" s="19" t="n">
        <f aca="false">$B61+CJ$3*100*$A61</f>
        <v>64.75</v>
      </c>
      <c r="CK61" s="19" t="n">
        <f aca="false">$B61+CK$3*100*$A61</f>
        <v>65.475</v>
      </c>
      <c r="CL61" s="19" t="n">
        <f aca="false">$B61+CL$3*100*$A61</f>
        <v>66.2</v>
      </c>
      <c r="CM61" s="19" t="n">
        <f aca="false">$B61+CM$3*100*$A61</f>
        <v>66.925</v>
      </c>
      <c r="CN61" s="19" t="n">
        <f aca="false">$B61+CN$3*100*$A61</f>
        <v>67.65</v>
      </c>
      <c r="CO61" s="19" t="n">
        <f aca="false">$B61+CO$3*100*$A61</f>
        <v>68.375</v>
      </c>
      <c r="CP61" s="19" t="n">
        <f aca="false">$B61+CP$3*100*$A61</f>
        <v>69.1</v>
      </c>
      <c r="CQ61" s="19" t="n">
        <f aca="false">$B61+CQ$3*100*$A61</f>
        <v>69.825</v>
      </c>
      <c r="CR61" s="19" t="n">
        <f aca="false">$B61+CR$3*100*$A61</f>
        <v>70.55</v>
      </c>
      <c r="CS61" s="19" t="n">
        <f aca="false">$B61+CS$3*100*$A61</f>
        <v>71.275</v>
      </c>
      <c r="CT61" s="19" t="n">
        <f aca="false">$B61+CT$3*100*$A61</f>
        <v>72</v>
      </c>
      <c r="CU61" s="19" t="n">
        <f aca="false">$B61+CU$3*100*$A61</f>
        <v>72.725</v>
      </c>
      <c r="CV61" s="19" t="n">
        <f aca="false">$B61+CV$3*100*$A61</f>
        <v>73.45</v>
      </c>
      <c r="CW61" s="19" t="n">
        <f aca="false">$B61+CW$3*100*$A61</f>
        <v>74.175</v>
      </c>
      <c r="CX61" s="19" t="n">
        <f aca="false">$B61+CX$3*100*$A61</f>
        <v>74.9</v>
      </c>
      <c r="CY61" s="19" t="n">
        <f aca="false">$B61+CY$3*100*$A61</f>
        <v>75.625</v>
      </c>
      <c r="CZ61" s="19" t="n">
        <f aca="false">$B61+CZ$3*100*$A61</f>
        <v>76.35</v>
      </c>
      <c r="DA61" s="19" t="n">
        <f aca="false">$B61+DA$3*100*$A61</f>
        <v>77.075</v>
      </c>
      <c r="DB61" s="19" t="n">
        <f aca="false">$B61+DB$3*100*$A61</f>
        <v>77.8</v>
      </c>
      <c r="DC61" s="19" t="n">
        <f aca="false">$B61+DC$3*100*$A61</f>
        <v>78.525</v>
      </c>
      <c r="DD61" s="19" t="n">
        <f aca="false">$B61+DD$3*100*$A61</f>
        <v>79.25</v>
      </c>
      <c r="DE61" s="19" t="n">
        <f aca="false">$B61+DE$3*100*$A61</f>
        <v>79.975</v>
      </c>
      <c r="DF61" s="19" t="n">
        <f aca="false">$B61+DF$3*100*$A61</f>
        <v>80.7</v>
      </c>
      <c r="DG61" s="19" t="n">
        <f aca="false">$B61+DG$3*100*$A61</f>
        <v>81.425</v>
      </c>
      <c r="DH61" s="19" t="n">
        <f aca="false">$B61+DH$3*100*$A61</f>
        <v>82.15</v>
      </c>
      <c r="DI61" s="19" t="n">
        <f aca="false">$B61+DI$3*100*$A61</f>
        <v>82.875</v>
      </c>
      <c r="DJ61" s="19" t="n">
        <f aca="false">$B61+DJ$3*100*$A61</f>
        <v>83.6</v>
      </c>
      <c r="DK61" s="19" t="n">
        <f aca="false">$B61+DK$3*100*$A61</f>
        <v>84.325</v>
      </c>
      <c r="DL61" s="19" t="n">
        <f aca="false">$B61+DL$3*100*$A61</f>
        <v>85.05</v>
      </c>
      <c r="DM61" s="19" t="n">
        <f aca="false">$B61+DM$3*100*$A61</f>
        <v>85.775</v>
      </c>
      <c r="DN61" s="19" t="n">
        <f aca="false">$B61+DN$3*100*$A61</f>
        <v>86.5</v>
      </c>
      <c r="DO61" s="19" t="n">
        <f aca="false">$B61+DO$3*100*$A61</f>
        <v>87.225</v>
      </c>
      <c r="DP61" s="19" t="n">
        <f aca="false">$B61+DP$3*100*$A61</f>
        <v>87.95</v>
      </c>
      <c r="DQ61" s="19" t="n">
        <f aca="false">$B61+DQ$3*100*$A61</f>
        <v>88.675</v>
      </c>
      <c r="DR61" s="19" t="n">
        <f aca="false">$B61+DR$3*100*$A61</f>
        <v>89.4</v>
      </c>
      <c r="DS61" s="19" t="n">
        <f aca="false">$B61+DS$3*100*$A61</f>
        <v>90.125</v>
      </c>
      <c r="DT61" s="19" t="n">
        <f aca="false">$B61+DT$3*100*$A61</f>
        <v>90.85</v>
      </c>
      <c r="DU61" s="19" t="n">
        <f aca="false">$B61+DU$3*100*$A61</f>
        <v>91.575</v>
      </c>
      <c r="DV61" s="19" t="n">
        <f aca="false">$B61+DV$3*100*$A61</f>
        <v>92.3</v>
      </c>
      <c r="DW61" s="19" t="n">
        <f aca="false">$B61+DW$3*100*$A61</f>
        <v>93.025</v>
      </c>
      <c r="DX61" s="19" t="n">
        <f aca="false">$B61+DX$3*100*$A61</f>
        <v>93.75</v>
      </c>
      <c r="DY61" s="19" t="n">
        <f aca="false">$B61+DY$3*100*$A61</f>
        <v>94.475</v>
      </c>
      <c r="DZ61" s="19" t="n">
        <f aca="false">$B61+DZ$3*100*$A61</f>
        <v>95.2</v>
      </c>
      <c r="EA61" s="19" t="n">
        <f aca="false">$B61+EA$3*100*$A61</f>
        <v>95.925</v>
      </c>
      <c r="EB61" s="19" t="n">
        <f aca="false">$B61+EB$3*100*$A61</f>
        <v>96.65</v>
      </c>
      <c r="EC61" s="19" t="n">
        <f aca="false">$B61+EC$3*100*$A61</f>
        <v>97.375</v>
      </c>
      <c r="ED61" s="19" t="n">
        <f aca="false">$B61+ED$3*100*$A61</f>
        <v>98.1</v>
      </c>
      <c r="EE61" s="19" t="n">
        <f aca="false">$B61+EE$3*100*$A61</f>
        <v>98.825</v>
      </c>
      <c r="EF61" s="19" t="n">
        <f aca="false">$B61+EF$3*100*$A61</f>
        <v>99.55</v>
      </c>
      <c r="EG61" s="19" t="n">
        <f aca="false">$B61+EG$3*100*$A61</f>
        <v>100.275</v>
      </c>
      <c r="EH61" s="19" t="n">
        <f aca="false">$B61+EH$3*100*$A61</f>
        <v>101</v>
      </c>
      <c r="EI61" s="19" t="n">
        <f aca="false">$B61+EI$3*100*$A61</f>
        <v>101.725</v>
      </c>
      <c r="EJ61" s="19" t="n">
        <f aca="false">$B61+EJ$3*100*$A61</f>
        <v>102.45</v>
      </c>
      <c r="EK61" s="19" t="n">
        <f aca="false">$B61+EK$3*100*$A61</f>
        <v>103.175</v>
      </c>
      <c r="EL61" s="19" t="n">
        <f aca="false">$B61+EL$3*100*$A61</f>
        <v>103.9</v>
      </c>
      <c r="EM61" s="19" t="n">
        <f aca="false">$B61+EM$3*100*$A61</f>
        <v>104.625</v>
      </c>
      <c r="EN61" s="19" t="n">
        <f aca="false">$B61+EN$3*100*$A61</f>
        <v>105.35</v>
      </c>
      <c r="EO61" s="19" t="n">
        <f aca="false">$B61+EO$3*100*$A61</f>
        <v>106.075</v>
      </c>
      <c r="EP61" s="19" t="n">
        <f aca="false">$B61+EP$3*100*$A61</f>
        <v>106.8</v>
      </c>
      <c r="EQ61" s="19" t="n">
        <f aca="false">$B61+EQ$3*100*$A61</f>
        <v>107.525</v>
      </c>
      <c r="ER61" s="19" t="n">
        <f aca="false">$B61+ER$3*100*$A61</f>
        <v>108.25</v>
      </c>
      <c r="ES61" s="19" t="n">
        <f aca="false">$B61+ES$3*100*$A61</f>
        <v>108.975</v>
      </c>
      <c r="ET61" s="19" t="n">
        <f aca="false">$B61+ET$3*100*$A61</f>
        <v>109.7</v>
      </c>
      <c r="EU61" s="19" t="n">
        <f aca="false">$B61+EU$3*100*$A61</f>
        <v>110.425</v>
      </c>
      <c r="EV61" s="19" t="n">
        <f aca="false">$B61+EV$3*100*$A61</f>
        <v>111.15</v>
      </c>
      <c r="EW61" s="19" t="n">
        <f aca="false">$B61+EW$3*100*$A61</f>
        <v>111.875</v>
      </c>
      <c r="EX61" s="19" t="n">
        <f aca="false">$B61+EX$3*100*$A61</f>
        <v>112.6</v>
      </c>
      <c r="EY61" s="19" t="n">
        <f aca="false">$B61+EY$3*100*$A61</f>
        <v>113.325</v>
      </c>
      <c r="EZ61" s="19" t="n">
        <f aca="false">$B61+EZ$3*100*$A61</f>
        <v>114.05</v>
      </c>
      <c r="FA61" s="19" t="n">
        <f aca="false">$B61+FA$3*100*$A61</f>
        <v>114.775</v>
      </c>
      <c r="FB61" s="19" t="n">
        <f aca="false">$B61+FB$3*100*$A61</f>
        <v>115.5</v>
      </c>
      <c r="FC61" s="19" t="n">
        <f aca="false">$B61+FC$3*100*$A61</f>
        <v>116.225</v>
      </c>
      <c r="FD61" s="19" t="n">
        <f aca="false">$B61+FD$3*100*$A61</f>
        <v>116.95</v>
      </c>
      <c r="FE61" s="19" t="n">
        <f aca="false">$B61+FE$3*100*$A61</f>
        <v>117.675</v>
      </c>
      <c r="FF61" s="19" t="n">
        <f aca="false">$B61+FF$3*100*$A61</f>
        <v>118.4</v>
      </c>
      <c r="FG61" s="19" t="n">
        <f aca="false">$B61+FG$3*100*$A61</f>
        <v>119.125</v>
      </c>
      <c r="FH61" s="19" t="n">
        <f aca="false">$B61+FH$3*100*$A61</f>
        <v>119.85</v>
      </c>
      <c r="FI61" s="19" t="n">
        <f aca="false">$B61+FI$3*100*$A61</f>
        <v>120.575</v>
      </c>
      <c r="FJ61" s="19" t="n">
        <f aca="false">$B61+FJ$3*100*$A61</f>
        <v>121.3</v>
      </c>
      <c r="FK61" s="19" t="n">
        <f aca="false">$B61+FK$3*100*$A61</f>
        <v>122.025</v>
      </c>
      <c r="FL61" s="19" t="n">
        <f aca="false">$B61+FL$3*100*$A61</f>
        <v>122.75</v>
      </c>
      <c r="FM61" s="19" t="n">
        <f aca="false">$B61+FM$3*100*$A61</f>
        <v>123.475</v>
      </c>
      <c r="FN61" s="19" t="n">
        <f aca="false">$B61+FN$3*100*$A61</f>
        <v>124.2</v>
      </c>
      <c r="FO61" s="19" t="n">
        <f aca="false">$B61+FO$3*100*$A61</f>
        <v>124.925</v>
      </c>
      <c r="FP61" s="19" t="n">
        <f aca="false">$B61+FP$3*100*$A61</f>
        <v>125.65</v>
      </c>
      <c r="FQ61" s="19" t="n">
        <f aca="false">$B61+FQ$3*100*$A61</f>
        <v>126.375</v>
      </c>
      <c r="FR61" s="19" t="n">
        <f aca="false">$B61+FR$3*100*$A61</f>
        <v>127.1</v>
      </c>
      <c r="FS61" s="19" t="n">
        <f aca="false">$B61+FS$3*100*$A61</f>
        <v>127.825</v>
      </c>
      <c r="FT61" s="19" t="n">
        <f aca="false">$B61+FT$3*100*$A61</f>
        <v>128.55</v>
      </c>
      <c r="FU61" s="19" t="n">
        <f aca="false">$B61+FU$3*100*$A61</f>
        <v>129.275</v>
      </c>
      <c r="FV61" s="19" t="n">
        <f aca="false">$B61+FV$3*100*$A61</f>
        <v>130</v>
      </c>
      <c r="FW61" s="19" t="n">
        <f aca="false">$B61+FW$3*100*$A61</f>
        <v>130.725</v>
      </c>
      <c r="FX61" s="19" t="n">
        <f aca="false">$B61+FX$3*100*$A61</f>
        <v>131.45</v>
      </c>
      <c r="FY61" s="19" t="n">
        <f aca="false">$B61+FY$3*100*$A61</f>
        <v>132.175</v>
      </c>
      <c r="FZ61" s="19" t="n">
        <f aca="false">$B61+FZ$3*100*$A61</f>
        <v>132.9</v>
      </c>
      <c r="GA61" s="19" t="n">
        <f aca="false">$B61+GA$3*100*$A61</f>
        <v>133.625</v>
      </c>
      <c r="GB61" s="19" t="n">
        <f aca="false">$B61+GB$3*100*$A61</f>
        <v>134.35</v>
      </c>
      <c r="GC61" s="19" t="n">
        <f aca="false">$B61+GC$3*100*$A61</f>
        <v>135.075</v>
      </c>
      <c r="GD61" s="19" t="n">
        <f aca="false">$B61+GD$3*100*$A61</f>
        <v>135.8</v>
      </c>
      <c r="GE61" s="19" t="n">
        <f aca="false">$B61+GE$3*100*$A61</f>
        <v>136.525</v>
      </c>
      <c r="GF61" s="19" t="n">
        <f aca="false">$B61+GF$3*100*$A61</f>
        <v>137.25</v>
      </c>
      <c r="GG61" s="19" t="n">
        <f aca="false">$B61+GG$3*100*$A61</f>
        <v>137.975</v>
      </c>
      <c r="GH61" s="19" t="n">
        <f aca="false">$B61+GH$3*100*$A61</f>
        <v>138.7</v>
      </c>
      <c r="GI61" s="19" t="n">
        <f aca="false">$B61+GI$3*100*$A61</f>
        <v>139.425</v>
      </c>
      <c r="GJ61" s="19" t="n">
        <f aca="false">$B61+GJ$3*100*$A61</f>
        <v>140.15</v>
      </c>
      <c r="GK61" s="19" t="n">
        <f aca="false">$B61+GK$3*100*$A61</f>
        <v>140.875</v>
      </c>
      <c r="GL61" s="19" t="n">
        <f aca="false">$B61+GL$3*100*$A61</f>
        <v>141.6</v>
      </c>
      <c r="GM61" s="19" t="n">
        <f aca="false">$B61+GM$3*100*$A61</f>
        <v>142.325</v>
      </c>
      <c r="GN61" s="19" t="n">
        <f aca="false">$B61+GN$3*100*$A61</f>
        <v>143.05</v>
      </c>
      <c r="GO61" s="19" t="n">
        <f aca="false">$B61+GO$3*100*$A61</f>
        <v>143.775</v>
      </c>
      <c r="GP61" s="19" t="n">
        <f aca="false">$B61+GP$3*100*$A61</f>
        <v>144.5</v>
      </c>
      <c r="GQ61" s="19" t="n">
        <f aca="false">$B61+GQ$3*100*$A61</f>
        <v>145.225</v>
      </c>
      <c r="GR61" s="19" t="n">
        <f aca="false">$B61+GR$3*100*$A61</f>
        <v>145.95</v>
      </c>
      <c r="GS61" s="19" t="n">
        <f aca="false">$B61+GS$3*100*$A61</f>
        <v>146.675</v>
      </c>
      <c r="GT61" s="19" t="n">
        <f aca="false">$B61+GT$3*100*$A61</f>
        <v>147.4</v>
      </c>
    </row>
    <row r="62" customFormat="false" ht="15" hidden="false" customHeight="false" outlineLevel="0" collapsed="false">
      <c r="A62" s="26" t="n">
        <f aca="false">Frontier!A60</f>
        <v>0.1475</v>
      </c>
      <c r="B62" s="34" t="n">
        <f aca="false">Frontier!B60</f>
        <v>2.4</v>
      </c>
      <c r="C62" s="19" t="n">
        <f aca="false">$B62+C$3*100*$A62</f>
        <v>3.1375</v>
      </c>
      <c r="D62" s="19" t="n">
        <f aca="false">$B62+D$3*100*$A62</f>
        <v>3.875</v>
      </c>
      <c r="E62" s="19" t="n">
        <f aca="false">$B62+E$3*100*$A62</f>
        <v>4.6125</v>
      </c>
      <c r="F62" s="19" t="n">
        <f aca="false">$B62+F$3*100*$A62</f>
        <v>5.35</v>
      </c>
      <c r="G62" s="19" t="n">
        <f aca="false">$B62+G$3*100*$A62</f>
        <v>6.0875</v>
      </c>
      <c r="H62" s="19" t="n">
        <f aca="false">$B62+H$3*100*$A62</f>
        <v>6.825</v>
      </c>
      <c r="I62" s="19" t="n">
        <f aca="false">$B62+I$3*100*$A62</f>
        <v>7.5625</v>
      </c>
      <c r="J62" s="19" t="n">
        <f aca="false">$B62+J$3*100*$A62</f>
        <v>8.3</v>
      </c>
      <c r="K62" s="19" t="n">
        <f aca="false">$B62+K$3*100*$A62</f>
        <v>9.0375</v>
      </c>
      <c r="L62" s="19" t="n">
        <f aca="false">$B62+L$3*100*$A62</f>
        <v>9.775</v>
      </c>
      <c r="M62" s="19" t="n">
        <f aca="false">$B62+M$3*100*$A62</f>
        <v>10.5125</v>
      </c>
      <c r="N62" s="19" t="n">
        <f aca="false">$B62+N$3*100*$A62</f>
        <v>11.25</v>
      </c>
      <c r="O62" s="19" t="n">
        <f aca="false">$B62+O$3*100*$A62</f>
        <v>11.9875</v>
      </c>
      <c r="P62" s="19" t="n">
        <f aca="false">$B62+P$3*100*$A62</f>
        <v>12.725</v>
      </c>
      <c r="Q62" s="19" t="n">
        <f aca="false">$B62+Q$3*100*$A62</f>
        <v>13.4625</v>
      </c>
      <c r="R62" s="19" t="n">
        <f aca="false">$B62+R$3*100*$A62</f>
        <v>14.2</v>
      </c>
      <c r="S62" s="19" t="n">
        <f aca="false">$B62+S$3*100*$A62</f>
        <v>14.9375</v>
      </c>
      <c r="T62" s="19" t="n">
        <f aca="false">$B62+T$3*100*$A62</f>
        <v>15.675</v>
      </c>
      <c r="U62" s="19" t="n">
        <f aca="false">$B62+U$3*100*$A62</f>
        <v>16.4125</v>
      </c>
      <c r="V62" s="19" t="n">
        <f aca="false">$B62+V$3*100*$A62</f>
        <v>17.15</v>
      </c>
      <c r="W62" s="19" t="n">
        <f aca="false">$B62+W$3*100*$A62</f>
        <v>17.8875</v>
      </c>
      <c r="X62" s="19" t="n">
        <f aca="false">$B62+X$3*100*$A62</f>
        <v>18.625</v>
      </c>
      <c r="Y62" s="19" t="n">
        <f aca="false">$B62+Y$3*100*$A62</f>
        <v>19.3625</v>
      </c>
      <c r="Z62" s="19" t="n">
        <f aca="false">$B62+Z$3*100*$A62</f>
        <v>20.1</v>
      </c>
      <c r="AA62" s="19" t="n">
        <f aca="false">$B62+AA$3*100*$A62</f>
        <v>20.8375</v>
      </c>
      <c r="AB62" s="19" t="n">
        <f aca="false">$B62+AB$3*100*$A62</f>
        <v>21.575</v>
      </c>
      <c r="AC62" s="19" t="n">
        <f aca="false">$B62+AC$3*100*$A62</f>
        <v>22.3125</v>
      </c>
      <c r="AD62" s="19" t="n">
        <f aca="false">$B62+AD$3*100*$A62</f>
        <v>23.05</v>
      </c>
      <c r="AE62" s="19" t="n">
        <f aca="false">$B62+AE$3*100*$A62</f>
        <v>23.7875</v>
      </c>
      <c r="AF62" s="19" t="n">
        <f aca="false">$B62+AF$3*100*$A62</f>
        <v>24.525</v>
      </c>
      <c r="AG62" s="19" t="n">
        <f aca="false">$B62+AG$3*100*$A62</f>
        <v>25.2625</v>
      </c>
      <c r="AH62" s="19" t="n">
        <f aca="false">$B62+AH$3*100*$A62</f>
        <v>26</v>
      </c>
      <c r="AI62" s="19" t="n">
        <f aca="false">$B62+AI$3*100*$A62</f>
        <v>26.7375</v>
      </c>
      <c r="AJ62" s="19" t="n">
        <f aca="false">$B62+AJ$3*100*$A62</f>
        <v>27.475</v>
      </c>
      <c r="AK62" s="19" t="n">
        <f aca="false">$B62+AK$3*100*$A62</f>
        <v>28.2125</v>
      </c>
      <c r="AL62" s="19" t="n">
        <f aca="false">$B62+AL$3*100*$A62</f>
        <v>28.95</v>
      </c>
      <c r="AM62" s="19" t="n">
        <f aca="false">$B62+AM$3*100*$A62</f>
        <v>29.6875</v>
      </c>
      <c r="AN62" s="19" t="n">
        <f aca="false">$B62+AN$3*100*$A62</f>
        <v>30.425</v>
      </c>
      <c r="AO62" s="19" t="n">
        <f aca="false">$B62+AO$3*100*$A62</f>
        <v>31.1625</v>
      </c>
      <c r="AP62" s="19" t="n">
        <f aca="false">$B62+AP$3*100*$A62</f>
        <v>31.9</v>
      </c>
      <c r="AQ62" s="19" t="n">
        <f aca="false">$B62+AQ$3*100*$A62</f>
        <v>32.6375</v>
      </c>
      <c r="AR62" s="19" t="n">
        <f aca="false">$B62+AR$3*100*$A62</f>
        <v>33.375</v>
      </c>
      <c r="AS62" s="19" t="n">
        <f aca="false">$B62+AS$3*100*$A62</f>
        <v>34.1125</v>
      </c>
      <c r="AT62" s="19" t="n">
        <f aca="false">$B62+AT$3*100*$A62</f>
        <v>34.85</v>
      </c>
      <c r="AU62" s="19" t="n">
        <f aca="false">$B62+AU$3*100*$A62</f>
        <v>35.5875</v>
      </c>
      <c r="AV62" s="19" t="n">
        <f aca="false">$B62+AV$3*100*$A62</f>
        <v>36.325</v>
      </c>
      <c r="AW62" s="19" t="n">
        <f aca="false">$B62+AW$3*100*$A62</f>
        <v>37.0625</v>
      </c>
      <c r="AX62" s="19" t="n">
        <f aca="false">$B62+AX$3*100*$A62</f>
        <v>37.8</v>
      </c>
      <c r="AY62" s="19" t="n">
        <f aca="false">$B62+AY$3*100*$A62</f>
        <v>38.5375</v>
      </c>
      <c r="AZ62" s="19" t="n">
        <f aca="false">$B62+AZ$3*100*$A62</f>
        <v>39.275</v>
      </c>
      <c r="BA62" s="19" t="n">
        <f aca="false">$B62+BA$3*100*$A62</f>
        <v>40.0125</v>
      </c>
      <c r="BB62" s="19" t="n">
        <f aca="false">$B62+BB$3*100*$A62</f>
        <v>40.75</v>
      </c>
      <c r="BC62" s="19" t="n">
        <f aca="false">$B62+BC$3*100*$A62</f>
        <v>41.4875</v>
      </c>
      <c r="BD62" s="19" t="n">
        <f aca="false">$B62+BD$3*100*$A62</f>
        <v>42.225</v>
      </c>
      <c r="BE62" s="19" t="n">
        <f aca="false">$B62+BE$3*100*$A62</f>
        <v>42.9625</v>
      </c>
      <c r="BF62" s="19" t="n">
        <f aca="false">$B62+BF$3*100*$A62</f>
        <v>43.7</v>
      </c>
      <c r="BG62" s="19" t="n">
        <f aca="false">$B62+BG$3*100*$A62</f>
        <v>44.4375</v>
      </c>
      <c r="BH62" s="19" t="n">
        <f aca="false">$B62+BH$3*100*$A62</f>
        <v>45.175</v>
      </c>
      <c r="BI62" s="19" t="n">
        <f aca="false">$B62+BI$3*100*$A62</f>
        <v>45.9125</v>
      </c>
      <c r="BJ62" s="19" t="n">
        <f aca="false">$B62+BJ$3*100*$A62</f>
        <v>46.65</v>
      </c>
      <c r="BK62" s="19" t="n">
        <f aca="false">$B62+BK$3*100*$A62</f>
        <v>47.3875</v>
      </c>
      <c r="BL62" s="19" t="n">
        <f aca="false">$B62+BL$3*100*$A62</f>
        <v>48.125</v>
      </c>
      <c r="BM62" s="19" t="n">
        <f aca="false">$B62+BM$3*100*$A62</f>
        <v>48.8625</v>
      </c>
      <c r="BN62" s="19" t="n">
        <f aca="false">$B62+BN$3*100*$A62</f>
        <v>49.6</v>
      </c>
      <c r="BO62" s="19" t="n">
        <f aca="false">$B62+BO$3*100*$A62</f>
        <v>50.3375</v>
      </c>
      <c r="BP62" s="19" t="n">
        <f aca="false">$B62+BP$3*100*$A62</f>
        <v>51.075</v>
      </c>
      <c r="BQ62" s="19" t="n">
        <f aca="false">$B62+BQ$3*100*$A62</f>
        <v>51.8125</v>
      </c>
      <c r="BR62" s="19" t="n">
        <f aca="false">$B62+BR$3*100*$A62</f>
        <v>52.55</v>
      </c>
      <c r="BS62" s="19" t="n">
        <f aca="false">$B62+BS$3*100*$A62</f>
        <v>53.2875</v>
      </c>
      <c r="BT62" s="19" t="n">
        <f aca="false">$B62+BT$3*100*$A62</f>
        <v>54.025</v>
      </c>
      <c r="BU62" s="19" t="n">
        <f aca="false">$B62+BU$3*100*$A62</f>
        <v>54.7625</v>
      </c>
      <c r="BV62" s="19" t="n">
        <f aca="false">$B62+BV$3*100*$A62</f>
        <v>55.5</v>
      </c>
      <c r="BW62" s="19" t="n">
        <f aca="false">$B62+BW$3*100*$A62</f>
        <v>56.2375</v>
      </c>
      <c r="BX62" s="19" t="n">
        <f aca="false">$B62+BX$3*100*$A62</f>
        <v>56.975</v>
      </c>
      <c r="BY62" s="19" t="n">
        <f aca="false">$B62+BY$3*100*$A62</f>
        <v>57.7125</v>
      </c>
      <c r="BZ62" s="19" t="n">
        <f aca="false">$B62+BZ$3*100*$A62</f>
        <v>58.45</v>
      </c>
      <c r="CA62" s="19" t="n">
        <f aca="false">$B62+CA$3*100*$A62</f>
        <v>59.1875</v>
      </c>
      <c r="CB62" s="19" t="n">
        <f aca="false">$B62+CB$3*100*$A62</f>
        <v>59.925</v>
      </c>
      <c r="CC62" s="19" t="n">
        <f aca="false">$B62+CC$3*100*$A62</f>
        <v>60.6625</v>
      </c>
      <c r="CD62" s="19" t="n">
        <f aca="false">$B62+CD$3*100*$A62</f>
        <v>61.4</v>
      </c>
      <c r="CE62" s="19" t="n">
        <f aca="false">$B62+CE$3*100*$A62</f>
        <v>62.1375</v>
      </c>
      <c r="CF62" s="19" t="n">
        <f aca="false">$B62+CF$3*100*$A62</f>
        <v>62.875</v>
      </c>
      <c r="CG62" s="19" t="n">
        <f aca="false">$B62+CG$3*100*$A62</f>
        <v>63.6125</v>
      </c>
      <c r="CH62" s="19" t="n">
        <f aca="false">$B62+CH$3*100*$A62</f>
        <v>64.35</v>
      </c>
      <c r="CI62" s="19" t="n">
        <f aca="false">$B62+CI$3*100*$A62</f>
        <v>65.0875</v>
      </c>
      <c r="CJ62" s="19" t="n">
        <f aca="false">$B62+CJ$3*100*$A62</f>
        <v>65.825</v>
      </c>
      <c r="CK62" s="19" t="n">
        <f aca="false">$B62+CK$3*100*$A62</f>
        <v>66.5625</v>
      </c>
      <c r="CL62" s="19" t="n">
        <f aca="false">$B62+CL$3*100*$A62</f>
        <v>67.3</v>
      </c>
      <c r="CM62" s="19" t="n">
        <f aca="false">$B62+CM$3*100*$A62</f>
        <v>68.0375</v>
      </c>
      <c r="CN62" s="19" t="n">
        <f aca="false">$B62+CN$3*100*$A62</f>
        <v>68.775</v>
      </c>
      <c r="CO62" s="19" t="n">
        <f aca="false">$B62+CO$3*100*$A62</f>
        <v>69.5125</v>
      </c>
      <c r="CP62" s="19" t="n">
        <f aca="false">$B62+CP$3*100*$A62</f>
        <v>70.25</v>
      </c>
      <c r="CQ62" s="19" t="n">
        <f aca="false">$B62+CQ$3*100*$A62</f>
        <v>70.9875</v>
      </c>
      <c r="CR62" s="19" t="n">
        <f aca="false">$B62+CR$3*100*$A62</f>
        <v>71.725</v>
      </c>
      <c r="CS62" s="19" t="n">
        <f aca="false">$B62+CS$3*100*$A62</f>
        <v>72.4625</v>
      </c>
      <c r="CT62" s="19" t="n">
        <f aca="false">$B62+CT$3*100*$A62</f>
        <v>73.2</v>
      </c>
      <c r="CU62" s="19" t="n">
        <f aca="false">$B62+CU$3*100*$A62</f>
        <v>73.9375</v>
      </c>
      <c r="CV62" s="19" t="n">
        <f aca="false">$B62+CV$3*100*$A62</f>
        <v>74.675</v>
      </c>
      <c r="CW62" s="19" t="n">
        <f aca="false">$B62+CW$3*100*$A62</f>
        <v>75.4125</v>
      </c>
      <c r="CX62" s="19" t="n">
        <f aca="false">$B62+CX$3*100*$A62</f>
        <v>76.15</v>
      </c>
      <c r="CY62" s="19" t="n">
        <f aca="false">$B62+CY$3*100*$A62</f>
        <v>76.8875</v>
      </c>
      <c r="CZ62" s="19" t="n">
        <f aca="false">$B62+CZ$3*100*$A62</f>
        <v>77.625</v>
      </c>
      <c r="DA62" s="19" t="n">
        <f aca="false">$B62+DA$3*100*$A62</f>
        <v>78.3625</v>
      </c>
      <c r="DB62" s="19" t="n">
        <f aca="false">$B62+DB$3*100*$A62</f>
        <v>79.1</v>
      </c>
      <c r="DC62" s="19" t="n">
        <f aca="false">$B62+DC$3*100*$A62</f>
        <v>79.8375</v>
      </c>
      <c r="DD62" s="19" t="n">
        <f aca="false">$B62+DD$3*100*$A62</f>
        <v>80.575</v>
      </c>
      <c r="DE62" s="19" t="n">
        <f aca="false">$B62+DE$3*100*$A62</f>
        <v>81.3125</v>
      </c>
      <c r="DF62" s="19" t="n">
        <f aca="false">$B62+DF$3*100*$A62</f>
        <v>82.05</v>
      </c>
      <c r="DG62" s="19" t="n">
        <f aca="false">$B62+DG$3*100*$A62</f>
        <v>82.7875</v>
      </c>
      <c r="DH62" s="19" t="n">
        <f aca="false">$B62+DH$3*100*$A62</f>
        <v>83.525</v>
      </c>
      <c r="DI62" s="19" t="n">
        <f aca="false">$B62+DI$3*100*$A62</f>
        <v>84.2625</v>
      </c>
      <c r="DJ62" s="19" t="n">
        <f aca="false">$B62+DJ$3*100*$A62</f>
        <v>85</v>
      </c>
      <c r="DK62" s="19" t="n">
        <f aca="false">$B62+DK$3*100*$A62</f>
        <v>85.7375</v>
      </c>
      <c r="DL62" s="19" t="n">
        <f aca="false">$B62+DL$3*100*$A62</f>
        <v>86.475</v>
      </c>
      <c r="DM62" s="19" t="n">
        <f aca="false">$B62+DM$3*100*$A62</f>
        <v>87.2125</v>
      </c>
      <c r="DN62" s="19" t="n">
        <f aca="false">$B62+DN$3*100*$A62</f>
        <v>87.95</v>
      </c>
      <c r="DO62" s="19" t="n">
        <f aca="false">$B62+DO$3*100*$A62</f>
        <v>88.6875</v>
      </c>
      <c r="DP62" s="19" t="n">
        <f aca="false">$B62+DP$3*100*$A62</f>
        <v>89.425</v>
      </c>
      <c r="DQ62" s="19" t="n">
        <f aca="false">$B62+DQ$3*100*$A62</f>
        <v>90.1625</v>
      </c>
      <c r="DR62" s="19" t="n">
        <f aca="false">$B62+DR$3*100*$A62</f>
        <v>90.9</v>
      </c>
      <c r="DS62" s="19" t="n">
        <f aca="false">$B62+DS$3*100*$A62</f>
        <v>91.6375</v>
      </c>
      <c r="DT62" s="19" t="n">
        <f aca="false">$B62+DT$3*100*$A62</f>
        <v>92.375</v>
      </c>
      <c r="DU62" s="19" t="n">
        <f aca="false">$B62+DU$3*100*$A62</f>
        <v>93.1125</v>
      </c>
      <c r="DV62" s="19" t="n">
        <f aca="false">$B62+DV$3*100*$A62</f>
        <v>93.85</v>
      </c>
      <c r="DW62" s="19" t="n">
        <f aca="false">$B62+DW$3*100*$A62</f>
        <v>94.5875</v>
      </c>
      <c r="DX62" s="19" t="n">
        <f aca="false">$B62+DX$3*100*$A62</f>
        <v>95.325</v>
      </c>
      <c r="DY62" s="19" t="n">
        <f aca="false">$B62+DY$3*100*$A62</f>
        <v>96.0625</v>
      </c>
      <c r="DZ62" s="19" t="n">
        <f aca="false">$B62+DZ$3*100*$A62</f>
        <v>96.8</v>
      </c>
      <c r="EA62" s="19" t="n">
        <f aca="false">$B62+EA$3*100*$A62</f>
        <v>97.5375</v>
      </c>
      <c r="EB62" s="19" t="n">
        <f aca="false">$B62+EB$3*100*$A62</f>
        <v>98.275</v>
      </c>
      <c r="EC62" s="19" t="n">
        <f aca="false">$B62+EC$3*100*$A62</f>
        <v>99.0125</v>
      </c>
      <c r="ED62" s="19" t="n">
        <f aca="false">$B62+ED$3*100*$A62</f>
        <v>99.75</v>
      </c>
      <c r="EE62" s="19" t="n">
        <f aca="false">$B62+EE$3*100*$A62</f>
        <v>100.4875</v>
      </c>
      <c r="EF62" s="19" t="n">
        <f aca="false">$B62+EF$3*100*$A62</f>
        <v>101.225</v>
      </c>
      <c r="EG62" s="19" t="n">
        <f aca="false">$B62+EG$3*100*$A62</f>
        <v>101.9625</v>
      </c>
      <c r="EH62" s="19" t="n">
        <f aca="false">$B62+EH$3*100*$A62</f>
        <v>102.7</v>
      </c>
      <c r="EI62" s="19" t="n">
        <f aca="false">$B62+EI$3*100*$A62</f>
        <v>103.4375</v>
      </c>
      <c r="EJ62" s="19" t="n">
        <f aca="false">$B62+EJ$3*100*$A62</f>
        <v>104.175</v>
      </c>
      <c r="EK62" s="19" t="n">
        <f aca="false">$B62+EK$3*100*$A62</f>
        <v>104.9125</v>
      </c>
      <c r="EL62" s="19" t="n">
        <f aca="false">$B62+EL$3*100*$A62</f>
        <v>105.65</v>
      </c>
      <c r="EM62" s="19" t="n">
        <f aca="false">$B62+EM$3*100*$A62</f>
        <v>106.3875</v>
      </c>
      <c r="EN62" s="19" t="n">
        <f aca="false">$B62+EN$3*100*$A62</f>
        <v>107.125</v>
      </c>
      <c r="EO62" s="19" t="n">
        <f aca="false">$B62+EO$3*100*$A62</f>
        <v>107.8625</v>
      </c>
      <c r="EP62" s="19" t="n">
        <f aca="false">$B62+EP$3*100*$A62</f>
        <v>108.6</v>
      </c>
      <c r="EQ62" s="19" t="n">
        <f aca="false">$B62+EQ$3*100*$A62</f>
        <v>109.3375</v>
      </c>
      <c r="ER62" s="19" t="n">
        <f aca="false">$B62+ER$3*100*$A62</f>
        <v>110.075</v>
      </c>
      <c r="ES62" s="19" t="n">
        <f aca="false">$B62+ES$3*100*$A62</f>
        <v>110.8125</v>
      </c>
      <c r="ET62" s="19" t="n">
        <f aca="false">$B62+ET$3*100*$A62</f>
        <v>111.55</v>
      </c>
      <c r="EU62" s="19" t="n">
        <f aca="false">$B62+EU$3*100*$A62</f>
        <v>112.2875</v>
      </c>
      <c r="EV62" s="19" t="n">
        <f aca="false">$B62+EV$3*100*$A62</f>
        <v>113.025</v>
      </c>
      <c r="EW62" s="19" t="n">
        <f aca="false">$B62+EW$3*100*$A62</f>
        <v>113.7625</v>
      </c>
      <c r="EX62" s="19" t="n">
        <f aca="false">$B62+EX$3*100*$A62</f>
        <v>114.5</v>
      </c>
      <c r="EY62" s="19" t="n">
        <f aca="false">$B62+EY$3*100*$A62</f>
        <v>115.2375</v>
      </c>
      <c r="EZ62" s="19" t="n">
        <f aca="false">$B62+EZ$3*100*$A62</f>
        <v>115.975</v>
      </c>
      <c r="FA62" s="19" t="n">
        <f aca="false">$B62+FA$3*100*$A62</f>
        <v>116.7125</v>
      </c>
      <c r="FB62" s="19" t="n">
        <f aca="false">$B62+FB$3*100*$A62</f>
        <v>117.45</v>
      </c>
      <c r="FC62" s="19" t="n">
        <f aca="false">$B62+FC$3*100*$A62</f>
        <v>118.1875</v>
      </c>
      <c r="FD62" s="19" t="n">
        <f aca="false">$B62+FD$3*100*$A62</f>
        <v>118.925</v>
      </c>
      <c r="FE62" s="19" t="n">
        <f aca="false">$B62+FE$3*100*$A62</f>
        <v>119.6625</v>
      </c>
      <c r="FF62" s="19" t="n">
        <f aca="false">$B62+FF$3*100*$A62</f>
        <v>120.4</v>
      </c>
      <c r="FG62" s="19" t="n">
        <f aca="false">$B62+FG$3*100*$A62</f>
        <v>121.1375</v>
      </c>
      <c r="FH62" s="19" t="n">
        <f aca="false">$B62+FH$3*100*$A62</f>
        <v>121.875</v>
      </c>
      <c r="FI62" s="19" t="n">
        <f aca="false">$B62+FI$3*100*$A62</f>
        <v>122.6125</v>
      </c>
      <c r="FJ62" s="19" t="n">
        <f aca="false">$B62+FJ$3*100*$A62</f>
        <v>123.35</v>
      </c>
      <c r="FK62" s="19" t="n">
        <f aca="false">$B62+FK$3*100*$A62</f>
        <v>124.0875</v>
      </c>
      <c r="FL62" s="19" t="n">
        <f aca="false">$B62+FL$3*100*$A62</f>
        <v>124.825</v>
      </c>
      <c r="FM62" s="19" t="n">
        <f aca="false">$B62+FM$3*100*$A62</f>
        <v>125.5625</v>
      </c>
      <c r="FN62" s="19" t="n">
        <f aca="false">$B62+FN$3*100*$A62</f>
        <v>126.3</v>
      </c>
      <c r="FO62" s="19" t="n">
        <f aca="false">$B62+FO$3*100*$A62</f>
        <v>127.0375</v>
      </c>
      <c r="FP62" s="19" t="n">
        <f aca="false">$B62+FP$3*100*$A62</f>
        <v>127.775</v>
      </c>
      <c r="FQ62" s="19" t="n">
        <f aca="false">$B62+FQ$3*100*$A62</f>
        <v>128.5125</v>
      </c>
      <c r="FR62" s="19" t="n">
        <f aca="false">$B62+FR$3*100*$A62</f>
        <v>129.25</v>
      </c>
      <c r="FS62" s="19" t="n">
        <f aca="false">$B62+FS$3*100*$A62</f>
        <v>129.9875</v>
      </c>
      <c r="FT62" s="19" t="n">
        <f aca="false">$B62+FT$3*100*$A62</f>
        <v>130.725</v>
      </c>
      <c r="FU62" s="19" t="n">
        <f aca="false">$B62+FU$3*100*$A62</f>
        <v>131.4625</v>
      </c>
      <c r="FV62" s="19" t="n">
        <f aca="false">$B62+FV$3*100*$A62</f>
        <v>132.2</v>
      </c>
      <c r="FW62" s="19" t="n">
        <f aca="false">$B62+FW$3*100*$A62</f>
        <v>132.9375</v>
      </c>
      <c r="FX62" s="19" t="n">
        <f aca="false">$B62+FX$3*100*$A62</f>
        <v>133.675</v>
      </c>
      <c r="FY62" s="19" t="n">
        <f aca="false">$B62+FY$3*100*$A62</f>
        <v>134.4125</v>
      </c>
      <c r="FZ62" s="19" t="n">
        <f aca="false">$B62+FZ$3*100*$A62</f>
        <v>135.15</v>
      </c>
      <c r="GA62" s="19" t="n">
        <f aca="false">$B62+GA$3*100*$A62</f>
        <v>135.8875</v>
      </c>
      <c r="GB62" s="19" t="n">
        <f aca="false">$B62+GB$3*100*$A62</f>
        <v>136.625</v>
      </c>
      <c r="GC62" s="19" t="n">
        <f aca="false">$B62+GC$3*100*$A62</f>
        <v>137.3625</v>
      </c>
      <c r="GD62" s="19" t="n">
        <f aca="false">$B62+GD$3*100*$A62</f>
        <v>138.1</v>
      </c>
      <c r="GE62" s="19" t="n">
        <f aca="false">$B62+GE$3*100*$A62</f>
        <v>138.8375</v>
      </c>
      <c r="GF62" s="19" t="n">
        <f aca="false">$B62+GF$3*100*$A62</f>
        <v>139.575</v>
      </c>
      <c r="GG62" s="19" t="n">
        <f aca="false">$B62+GG$3*100*$A62</f>
        <v>140.3125</v>
      </c>
      <c r="GH62" s="19" t="n">
        <f aca="false">$B62+GH$3*100*$A62</f>
        <v>141.05</v>
      </c>
      <c r="GI62" s="19" t="n">
        <f aca="false">$B62+GI$3*100*$A62</f>
        <v>141.7875</v>
      </c>
      <c r="GJ62" s="19" t="n">
        <f aca="false">$B62+GJ$3*100*$A62</f>
        <v>142.525</v>
      </c>
      <c r="GK62" s="19" t="n">
        <f aca="false">$B62+GK$3*100*$A62</f>
        <v>143.2625</v>
      </c>
      <c r="GL62" s="19" t="n">
        <f aca="false">$B62+GL$3*100*$A62</f>
        <v>144</v>
      </c>
      <c r="GM62" s="19" t="n">
        <f aca="false">$B62+GM$3*100*$A62</f>
        <v>144.7375</v>
      </c>
      <c r="GN62" s="19" t="n">
        <f aca="false">$B62+GN$3*100*$A62</f>
        <v>145.475</v>
      </c>
      <c r="GO62" s="19" t="n">
        <f aca="false">$B62+GO$3*100*$A62</f>
        <v>146.2125</v>
      </c>
      <c r="GP62" s="19" t="n">
        <f aca="false">$B62+GP$3*100*$A62</f>
        <v>146.95</v>
      </c>
      <c r="GQ62" s="19" t="n">
        <f aca="false">$B62+GQ$3*100*$A62</f>
        <v>147.6875</v>
      </c>
      <c r="GR62" s="19" t="n">
        <f aca="false">$B62+GR$3*100*$A62</f>
        <v>148.425</v>
      </c>
      <c r="GS62" s="19" t="n">
        <f aca="false">$B62+GS$3*100*$A62</f>
        <v>149.1625</v>
      </c>
      <c r="GT62" s="19" t="n">
        <f aca="false">$B62+GT$3*100*$A62</f>
        <v>149.9</v>
      </c>
    </row>
    <row r="63" customFormat="false" ht="15" hidden="false" customHeight="false" outlineLevel="0" collapsed="false">
      <c r="A63" s="26" t="n">
        <f aca="false">Frontier!A61</f>
        <v>0.15</v>
      </c>
      <c r="B63" s="34" t="n">
        <f aca="false">Frontier!B61</f>
        <v>2.25</v>
      </c>
      <c r="C63" s="19" t="n">
        <f aca="false">$B63+C$3*100*$A63</f>
        <v>3</v>
      </c>
      <c r="D63" s="19" t="n">
        <f aca="false">$B63+D$3*100*$A63</f>
        <v>3.75</v>
      </c>
      <c r="E63" s="19" t="n">
        <f aca="false">$B63+E$3*100*$A63</f>
        <v>4.5</v>
      </c>
      <c r="F63" s="19" t="n">
        <f aca="false">$B63+F$3*100*$A63</f>
        <v>5.25</v>
      </c>
      <c r="G63" s="19" t="n">
        <f aca="false">$B63+G$3*100*$A63</f>
        <v>6</v>
      </c>
      <c r="H63" s="19" t="n">
        <f aca="false">$B63+H$3*100*$A63</f>
        <v>6.75</v>
      </c>
      <c r="I63" s="19" t="n">
        <f aca="false">$B63+I$3*100*$A63</f>
        <v>7.5</v>
      </c>
      <c r="J63" s="19" t="n">
        <f aca="false">$B63+J$3*100*$A63</f>
        <v>8.25</v>
      </c>
      <c r="K63" s="19" t="n">
        <f aca="false">$B63+K$3*100*$A63</f>
        <v>9</v>
      </c>
      <c r="L63" s="19" t="n">
        <f aca="false">$B63+L$3*100*$A63</f>
        <v>9.75</v>
      </c>
      <c r="M63" s="19" t="n">
        <f aca="false">$B63+M$3*100*$A63</f>
        <v>10.5</v>
      </c>
      <c r="N63" s="19" t="n">
        <f aca="false">$B63+N$3*100*$A63</f>
        <v>11.25</v>
      </c>
      <c r="O63" s="19" t="n">
        <f aca="false">$B63+O$3*100*$A63</f>
        <v>12</v>
      </c>
      <c r="P63" s="19" t="n">
        <f aca="false">$B63+P$3*100*$A63</f>
        <v>12.75</v>
      </c>
      <c r="Q63" s="19" t="n">
        <f aca="false">$B63+Q$3*100*$A63</f>
        <v>13.5</v>
      </c>
      <c r="R63" s="19" t="n">
        <f aca="false">$B63+R$3*100*$A63</f>
        <v>14.25</v>
      </c>
      <c r="S63" s="19" t="n">
        <f aca="false">$B63+S$3*100*$A63</f>
        <v>15</v>
      </c>
      <c r="T63" s="19" t="n">
        <f aca="false">$B63+T$3*100*$A63</f>
        <v>15.75</v>
      </c>
      <c r="U63" s="19" t="n">
        <f aca="false">$B63+U$3*100*$A63</f>
        <v>16.5</v>
      </c>
      <c r="V63" s="19" t="n">
        <f aca="false">$B63+V$3*100*$A63</f>
        <v>17.25</v>
      </c>
      <c r="W63" s="19" t="n">
        <f aca="false">$B63+W$3*100*$A63</f>
        <v>18</v>
      </c>
      <c r="X63" s="19" t="n">
        <f aca="false">$B63+X$3*100*$A63</f>
        <v>18.75</v>
      </c>
      <c r="Y63" s="19" t="n">
        <f aca="false">$B63+Y$3*100*$A63</f>
        <v>19.5</v>
      </c>
      <c r="Z63" s="19" t="n">
        <f aca="false">$B63+Z$3*100*$A63</f>
        <v>20.25</v>
      </c>
      <c r="AA63" s="19" t="n">
        <f aca="false">$B63+AA$3*100*$A63</f>
        <v>21</v>
      </c>
      <c r="AB63" s="19" t="n">
        <f aca="false">$B63+AB$3*100*$A63</f>
        <v>21.75</v>
      </c>
      <c r="AC63" s="19" t="n">
        <f aca="false">$B63+AC$3*100*$A63</f>
        <v>22.5</v>
      </c>
      <c r="AD63" s="19" t="n">
        <f aca="false">$B63+AD$3*100*$A63</f>
        <v>23.25</v>
      </c>
      <c r="AE63" s="19" t="n">
        <f aca="false">$B63+AE$3*100*$A63</f>
        <v>24</v>
      </c>
      <c r="AF63" s="19" t="n">
        <f aca="false">$B63+AF$3*100*$A63</f>
        <v>24.75</v>
      </c>
      <c r="AG63" s="19" t="n">
        <f aca="false">$B63+AG$3*100*$A63</f>
        <v>25.5</v>
      </c>
      <c r="AH63" s="19" t="n">
        <f aca="false">$B63+AH$3*100*$A63</f>
        <v>26.25</v>
      </c>
      <c r="AI63" s="19" t="n">
        <f aca="false">$B63+AI$3*100*$A63</f>
        <v>27</v>
      </c>
      <c r="AJ63" s="19" t="n">
        <f aca="false">$B63+AJ$3*100*$A63</f>
        <v>27.75</v>
      </c>
      <c r="AK63" s="19" t="n">
        <f aca="false">$B63+AK$3*100*$A63</f>
        <v>28.5</v>
      </c>
      <c r="AL63" s="19" t="n">
        <f aca="false">$B63+AL$3*100*$A63</f>
        <v>29.25</v>
      </c>
      <c r="AM63" s="19" t="n">
        <f aca="false">$B63+AM$3*100*$A63</f>
        <v>30</v>
      </c>
      <c r="AN63" s="19" t="n">
        <f aca="false">$B63+AN$3*100*$A63</f>
        <v>30.75</v>
      </c>
      <c r="AO63" s="19" t="n">
        <f aca="false">$B63+AO$3*100*$A63</f>
        <v>31.5</v>
      </c>
      <c r="AP63" s="19" t="n">
        <f aca="false">$B63+AP$3*100*$A63</f>
        <v>32.25</v>
      </c>
      <c r="AQ63" s="19" t="n">
        <f aca="false">$B63+AQ$3*100*$A63</f>
        <v>33</v>
      </c>
      <c r="AR63" s="19" t="n">
        <f aca="false">$B63+AR$3*100*$A63</f>
        <v>33.75</v>
      </c>
      <c r="AS63" s="19" t="n">
        <f aca="false">$B63+AS$3*100*$A63</f>
        <v>34.5</v>
      </c>
      <c r="AT63" s="19" t="n">
        <f aca="false">$B63+AT$3*100*$A63</f>
        <v>35.25</v>
      </c>
      <c r="AU63" s="19" t="n">
        <f aca="false">$B63+AU$3*100*$A63</f>
        <v>36</v>
      </c>
      <c r="AV63" s="19" t="n">
        <f aca="false">$B63+AV$3*100*$A63</f>
        <v>36.75</v>
      </c>
      <c r="AW63" s="19" t="n">
        <f aca="false">$B63+AW$3*100*$A63</f>
        <v>37.5</v>
      </c>
      <c r="AX63" s="19" t="n">
        <f aca="false">$B63+AX$3*100*$A63</f>
        <v>38.25</v>
      </c>
      <c r="AY63" s="19" t="n">
        <f aca="false">$B63+AY$3*100*$A63</f>
        <v>39</v>
      </c>
      <c r="AZ63" s="19" t="n">
        <f aca="false">$B63+AZ$3*100*$A63</f>
        <v>39.75</v>
      </c>
      <c r="BA63" s="19" t="n">
        <f aca="false">$B63+BA$3*100*$A63</f>
        <v>40.5</v>
      </c>
      <c r="BB63" s="19" t="n">
        <f aca="false">$B63+BB$3*100*$A63</f>
        <v>41.25</v>
      </c>
      <c r="BC63" s="19" t="n">
        <f aca="false">$B63+BC$3*100*$A63</f>
        <v>42</v>
      </c>
      <c r="BD63" s="19" t="n">
        <f aca="false">$B63+BD$3*100*$A63</f>
        <v>42.75</v>
      </c>
      <c r="BE63" s="19" t="n">
        <f aca="false">$B63+BE$3*100*$A63</f>
        <v>43.5</v>
      </c>
      <c r="BF63" s="19" t="n">
        <f aca="false">$B63+BF$3*100*$A63</f>
        <v>44.25</v>
      </c>
      <c r="BG63" s="19" t="n">
        <f aca="false">$B63+BG$3*100*$A63</f>
        <v>45</v>
      </c>
      <c r="BH63" s="19" t="n">
        <f aca="false">$B63+BH$3*100*$A63</f>
        <v>45.75</v>
      </c>
      <c r="BI63" s="19" t="n">
        <f aca="false">$B63+BI$3*100*$A63</f>
        <v>46.5</v>
      </c>
      <c r="BJ63" s="19" t="n">
        <f aca="false">$B63+BJ$3*100*$A63</f>
        <v>47.25</v>
      </c>
      <c r="BK63" s="19" t="n">
        <f aca="false">$B63+BK$3*100*$A63</f>
        <v>48</v>
      </c>
      <c r="BL63" s="19" t="n">
        <f aca="false">$B63+BL$3*100*$A63</f>
        <v>48.75</v>
      </c>
      <c r="BM63" s="19" t="n">
        <f aca="false">$B63+BM$3*100*$A63</f>
        <v>49.5</v>
      </c>
      <c r="BN63" s="19" t="n">
        <f aca="false">$B63+BN$3*100*$A63</f>
        <v>50.25</v>
      </c>
      <c r="BO63" s="19" t="n">
        <f aca="false">$B63+BO$3*100*$A63</f>
        <v>51</v>
      </c>
      <c r="BP63" s="19" t="n">
        <f aca="false">$B63+BP$3*100*$A63</f>
        <v>51.75</v>
      </c>
      <c r="BQ63" s="19" t="n">
        <f aca="false">$B63+BQ$3*100*$A63</f>
        <v>52.5</v>
      </c>
      <c r="BR63" s="19" t="n">
        <f aca="false">$B63+BR$3*100*$A63</f>
        <v>53.25</v>
      </c>
      <c r="BS63" s="19" t="n">
        <f aca="false">$B63+BS$3*100*$A63</f>
        <v>54</v>
      </c>
      <c r="BT63" s="19" t="n">
        <f aca="false">$B63+BT$3*100*$A63</f>
        <v>54.75</v>
      </c>
      <c r="BU63" s="19" t="n">
        <f aca="false">$B63+BU$3*100*$A63</f>
        <v>55.5</v>
      </c>
      <c r="BV63" s="19" t="n">
        <f aca="false">$B63+BV$3*100*$A63</f>
        <v>56.25</v>
      </c>
      <c r="BW63" s="19" t="n">
        <f aca="false">$B63+BW$3*100*$A63</f>
        <v>57</v>
      </c>
      <c r="BX63" s="19" t="n">
        <f aca="false">$B63+BX$3*100*$A63</f>
        <v>57.75</v>
      </c>
      <c r="BY63" s="19" t="n">
        <f aca="false">$B63+BY$3*100*$A63</f>
        <v>58.5</v>
      </c>
      <c r="BZ63" s="19" t="n">
        <f aca="false">$B63+BZ$3*100*$A63</f>
        <v>59.25</v>
      </c>
      <c r="CA63" s="19" t="n">
        <f aca="false">$B63+CA$3*100*$A63</f>
        <v>60</v>
      </c>
      <c r="CB63" s="19" t="n">
        <f aca="false">$B63+CB$3*100*$A63</f>
        <v>60.75</v>
      </c>
      <c r="CC63" s="19" t="n">
        <f aca="false">$B63+CC$3*100*$A63</f>
        <v>61.5</v>
      </c>
      <c r="CD63" s="19" t="n">
        <f aca="false">$B63+CD$3*100*$A63</f>
        <v>62.25</v>
      </c>
      <c r="CE63" s="19" t="n">
        <f aca="false">$B63+CE$3*100*$A63</f>
        <v>63</v>
      </c>
      <c r="CF63" s="19" t="n">
        <f aca="false">$B63+CF$3*100*$A63</f>
        <v>63.75</v>
      </c>
      <c r="CG63" s="19" t="n">
        <f aca="false">$B63+CG$3*100*$A63</f>
        <v>64.5</v>
      </c>
      <c r="CH63" s="19" t="n">
        <f aca="false">$B63+CH$3*100*$A63</f>
        <v>65.25</v>
      </c>
      <c r="CI63" s="19" t="n">
        <f aca="false">$B63+CI$3*100*$A63</f>
        <v>66</v>
      </c>
      <c r="CJ63" s="19" t="n">
        <f aca="false">$B63+CJ$3*100*$A63</f>
        <v>66.75</v>
      </c>
      <c r="CK63" s="19" t="n">
        <f aca="false">$B63+CK$3*100*$A63</f>
        <v>67.5</v>
      </c>
      <c r="CL63" s="19" t="n">
        <f aca="false">$B63+CL$3*100*$A63</f>
        <v>68.25</v>
      </c>
      <c r="CM63" s="19" t="n">
        <f aca="false">$B63+CM$3*100*$A63</f>
        <v>69</v>
      </c>
      <c r="CN63" s="19" t="n">
        <f aca="false">$B63+CN$3*100*$A63</f>
        <v>69.75</v>
      </c>
      <c r="CO63" s="19" t="n">
        <f aca="false">$B63+CO$3*100*$A63</f>
        <v>70.5</v>
      </c>
      <c r="CP63" s="19" t="n">
        <f aca="false">$B63+CP$3*100*$A63</f>
        <v>71.25</v>
      </c>
      <c r="CQ63" s="19" t="n">
        <f aca="false">$B63+CQ$3*100*$A63</f>
        <v>72</v>
      </c>
      <c r="CR63" s="19" t="n">
        <f aca="false">$B63+CR$3*100*$A63</f>
        <v>72.75</v>
      </c>
      <c r="CS63" s="19" t="n">
        <f aca="false">$B63+CS$3*100*$A63</f>
        <v>73.5</v>
      </c>
      <c r="CT63" s="19" t="n">
        <f aca="false">$B63+CT$3*100*$A63</f>
        <v>74.25</v>
      </c>
      <c r="CU63" s="19" t="n">
        <f aca="false">$B63+CU$3*100*$A63</f>
        <v>75</v>
      </c>
      <c r="CV63" s="19" t="n">
        <f aca="false">$B63+CV$3*100*$A63</f>
        <v>75.75</v>
      </c>
      <c r="CW63" s="19" t="n">
        <f aca="false">$B63+CW$3*100*$A63</f>
        <v>76.5</v>
      </c>
      <c r="CX63" s="19" t="n">
        <f aca="false">$B63+CX$3*100*$A63</f>
        <v>77.25</v>
      </c>
      <c r="CY63" s="19" t="n">
        <f aca="false">$B63+CY$3*100*$A63</f>
        <v>78</v>
      </c>
      <c r="CZ63" s="19" t="n">
        <f aca="false">$B63+CZ$3*100*$A63</f>
        <v>78.75</v>
      </c>
      <c r="DA63" s="19" t="n">
        <f aca="false">$B63+DA$3*100*$A63</f>
        <v>79.5</v>
      </c>
      <c r="DB63" s="19" t="n">
        <f aca="false">$B63+DB$3*100*$A63</f>
        <v>80.25</v>
      </c>
      <c r="DC63" s="19" t="n">
        <f aca="false">$B63+DC$3*100*$A63</f>
        <v>81</v>
      </c>
      <c r="DD63" s="19" t="n">
        <f aca="false">$B63+DD$3*100*$A63</f>
        <v>81.75</v>
      </c>
      <c r="DE63" s="19" t="n">
        <f aca="false">$B63+DE$3*100*$A63</f>
        <v>82.5</v>
      </c>
      <c r="DF63" s="19" t="n">
        <f aca="false">$B63+DF$3*100*$A63</f>
        <v>83.25</v>
      </c>
      <c r="DG63" s="19" t="n">
        <f aca="false">$B63+DG$3*100*$A63</f>
        <v>84</v>
      </c>
      <c r="DH63" s="19" t="n">
        <f aca="false">$B63+DH$3*100*$A63</f>
        <v>84.75</v>
      </c>
      <c r="DI63" s="19" t="n">
        <f aca="false">$B63+DI$3*100*$A63</f>
        <v>85.5</v>
      </c>
      <c r="DJ63" s="19" t="n">
        <f aca="false">$B63+DJ$3*100*$A63</f>
        <v>86.25</v>
      </c>
      <c r="DK63" s="19" t="n">
        <f aca="false">$B63+DK$3*100*$A63</f>
        <v>87</v>
      </c>
      <c r="DL63" s="19" t="n">
        <f aca="false">$B63+DL$3*100*$A63</f>
        <v>87.75</v>
      </c>
      <c r="DM63" s="19" t="n">
        <f aca="false">$B63+DM$3*100*$A63</f>
        <v>88.5</v>
      </c>
      <c r="DN63" s="19" t="n">
        <f aca="false">$B63+DN$3*100*$A63</f>
        <v>89.25</v>
      </c>
      <c r="DO63" s="19" t="n">
        <f aca="false">$B63+DO$3*100*$A63</f>
        <v>90</v>
      </c>
      <c r="DP63" s="19" t="n">
        <f aca="false">$B63+DP$3*100*$A63</f>
        <v>90.75</v>
      </c>
      <c r="DQ63" s="19" t="n">
        <f aca="false">$B63+DQ$3*100*$A63</f>
        <v>91.5</v>
      </c>
      <c r="DR63" s="19" t="n">
        <f aca="false">$B63+DR$3*100*$A63</f>
        <v>92.25</v>
      </c>
      <c r="DS63" s="19" t="n">
        <f aca="false">$B63+DS$3*100*$A63</f>
        <v>93</v>
      </c>
      <c r="DT63" s="19" t="n">
        <f aca="false">$B63+DT$3*100*$A63</f>
        <v>93.75</v>
      </c>
      <c r="DU63" s="19" t="n">
        <f aca="false">$B63+DU$3*100*$A63</f>
        <v>94.5</v>
      </c>
      <c r="DV63" s="19" t="n">
        <f aca="false">$B63+DV$3*100*$A63</f>
        <v>95.25</v>
      </c>
      <c r="DW63" s="19" t="n">
        <f aca="false">$B63+DW$3*100*$A63</f>
        <v>96</v>
      </c>
      <c r="DX63" s="19" t="n">
        <f aca="false">$B63+DX$3*100*$A63</f>
        <v>96.75</v>
      </c>
      <c r="DY63" s="19" t="n">
        <f aca="false">$B63+DY$3*100*$A63</f>
        <v>97.5</v>
      </c>
      <c r="DZ63" s="19" t="n">
        <f aca="false">$B63+DZ$3*100*$A63</f>
        <v>98.25</v>
      </c>
      <c r="EA63" s="19" t="n">
        <f aca="false">$B63+EA$3*100*$A63</f>
        <v>99</v>
      </c>
      <c r="EB63" s="19" t="n">
        <f aca="false">$B63+EB$3*100*$A63</f>
        <v>99.75</v>
      </c>
      <c r="EC63" s="19" t="n">
        <f aca="false">$B63+EC$3*100*$A63</f>
        <v>100.5</v>
      </c>
      <c r="ED63" s="19" t="n">
        <f aca="false">$B63+ED$3*100*$A63</f>
        <v>101.25</v>
      </c>
      <c r="EE63" s="19" t="n">
        <f aca="false">$B63+EE$3*100*$A63</f>
        <v>102</v>
      </c>
      <c r="EF63" s="19" t="n">
        <f aca="false">$B63+EF$3*100*$A63</f>
        <v>102.75</v>
      </c>
      <c r="EG63" s="19" t="n">
        <f aca="false">$B63+EG$3*100*$A63</f>
        <v>103.5</v>
      </c>
      <c r="EH63" s="19" t="n">
        <f aca="false">$B63+EH$3*100*$A63</f>
        <v>104.25</v>
      </c>
      <c r="EI63" s="19" t="n">
        <f aca="false">$B63+EI$3*100*$A63</f>
        <v>105</v>
      </c>
      <c r="EJ63" s="19" t="n">
        <f aca="false">$B63+EJ$3*100*$A63</f>
        <v>105.75</v>
      </c>
      <c r="EK63" s="19" t="n">
        <f aca="false">$B63+EK$3*100*$A63</f>
        <v>106.5</v>
      </c>
      <c r="EL63" s="19" t="n">
        <f aca="false">$B63+EL$3*100*$A63</f>
        <v>107.25</v>
      </c>
      <c r="EM63" s="19" t="n">
        <f aca="false">$B63+EM$3*100*$A63</f>
        <v>108</v>
      </c>
      <c r="EN63" s="19" t="n">
        <f aca="false">$B63+EN$3*100*$A63</f>
        <v>108.75</v>
      </c>
      <c r="EO63" s="19" t="n">
        <f aca="false">$B63+EO$3*100*$A63</f>
        <v>109.5</v>
      </c>
      <c r="EP63" s="19" t="n">
        <f aca="false">$B63+EP$3*100*$A63</f>
        <v>110.25</v>
      </c>
      <c r="EQ63" s="19" t="n">
        <f aca="false">$B63+EQ$3*100*$A63</f>
        <v>111</v>
      </c>
      <c r="ER63" s="19" t="n">
        <f aca="false">$B63+ER$3*100*$A63</f>
        <v>111.75</v>
      </c>
      <c r="ES63" s="19" t="n">
        <f aca="false">$B63+ES$3*100*$A63</f>
        <v>112.5</v>
      </c>
      <c r="ET63" s="19" t="n">
        <f aca="false">$B63+ET$3*100*$A63</f>
        <v>113.25</v>
      </c>
      <c r="EU63" s="19" t="n">
        <f aca="false">$B63+EU$3*100*$A63</f>
        <v>114</v>
      </c>
      <c r="EV63" s="19" t="n">
        <f aca="false">$B63+EV$3*100*$A63</f>
        <v>114.75</v>
      </c>
      <c r="EW63" s="19" t="n">
        <f aca="false">$B63+EW$3*100*$A63</f>
        <v>115.5</v>
      </c>
      <c r="EX63" s="19" t="n">
        <f aca="false">$B63+EX$3*100*$A63</f>
        <v>116.25</v>
      </c>
      <c r="EY63" s="19" t="n">
        <f aca="false">$B63+EY$3*100*$A63</f>
        <v>117</v>
      </c>
      <c r="EZ63" s="19" t="n">
        <f aca="false">$B63+EZ$3*100*$A63</f>
        <v>117.75</v>
      </c>
      <c r="FA63" s="19" t="n">
        <f aca="false">$B63+FA$3*100*$A63</f>
        <v>118.5</v>
      </c>
      <c r="FB63" s="19" t="n">
        <f aca="false">$B63+FB$3*100*$A63</f>
        <v>119.25</v>
      </c>
      <c r="FC63" s="19" t="n">
        <f aca="false">$B63+FC$3*100*$A63</f>
        <v>120</v>
      </c>
      <c r="FD63" s="19" t="n">
        <f aca="false">$B63+FD$3*100*$A63</f>
        <v>120.75</v>
      </c>
      <c r="FE63" s="19" t="n">
        <f aca="false">$B63+FE$3*100*$A63</f>
        <v>121.5</v>
      </c>
      <c r="FF63" s="19" t="n">
        <f aca="false">$B63+FF$3*100*$A63</f>
        <v>122.25</v>
      </c>
      <c r="FG63" s="19" t="n">
        <f aca="false">$B63+FG$3*100*$A63</f>
        <v>123</v>
      </c>
      <c r="FH63" s="19" t="n">
        <f aca="false">$B63+FH$3*100*$A63</f>
        <v>123.75</v>
      </c>
      <c r="FI63" s="19" t="n">
        <f aca="false">$B63+FI$3*100*$A63</f>
        <v>124.5</v>
      </c>
      <c r="FJ63" s="19" t="n">
        <f aca="false">$B63+FJ$3*100*$A63</f>
        <v>125.25</v>
      </c>
      <c r="FK63" s="19" t="n">
        <f aca="false">$B63+FK$3*100*$A63</f>
        <v>126</v>
      </c>
      <c r="FL63" s="19" t="n">
        <f aca="false">$B63+FL$3*100*$A63</f>
        <v>126.75</v>
      </c>
      <c r="FM63" s="19" t="n">
        <f aca="false">$B63+FM$3*100*$A63</f>
        <v>127.5</v>
      </c>
      <c r="FN63" s="19" t="n">
        <f aca="false">$B63+FN$3*100*$A63</f>
        <v>128.25</v>
      </c>
      <c r="FO63" s="19" t="n">
        <f aca="false">$B63+FO$3*100*$A63</f>
        <v>129</v>
      </c>
      <c r="FP63" s="19" t="n">
        <f aca="false">$B63+FP$3*100*$A63</f>
        <v>129.75</v>
      </c>
      <c r="FQ63" s="19" t="n">
        <f aca="false">$B63+FQ$3*100*$A63</f>
        <v>130.5</v>
      </c>
      <c r="FR63" s="19" t="n">
        <f aca="false">$B63+FR$3*100*$A63</f>
        <v>131.25</v>
      </c>
      <c r="FS63" s="19" t="n">
        <f aca="false">$B63+FS$3*100*$A63</f>
        <v>132</v>
      </c>
      <c r="FT63" s="19" t="n">
        <f aca="false">$B63+FT$3*100*$A63</f>
        <v>132.75</v>
      </c>
      <c r="FU63" s="19" t="n">
        <f aca="false">$B63+FU$3*100*$A63</f>
        <v>133.5</v>
      </c>
      <c r="FV63" s="19" t="n">
        <f aca="false">$B63+FV$3*100*$A63</f>
        <v>134.25</v>
      </c>
      <c r="FW63" s="19" t="n">
        <f aca="false">$B63+FW$3*100*$A63</f>
        <v>135</v>
      </c>
      <c r="FX63" s="19" t="n">
        <f aca="false">$B63+FX$3*100*$A63</f>
        <v>135.75</v>
      </c>
      <c r="FY63" s="19" t="n">
        <f aca="false">$B63+FY$3*100*$A63</f>
        <v>136.5</v>
      </c>
      <c r="FZ63" s="19" t="n">
        <f aca="false">$B63+FZ$3*100*$A63</f>
        <v>137.25</v>
      </c>
      <c r="GA63" s="19" t="n">
        <f aca="false">$B63+GA$3*100*$A63</f>
        <v>138</v>
      </c>
      <c r="GB63" s="19" t="n">
        <f aca="false">$B63+GB$3*100*$A63</f>
        <v>138.75</v>
      </c>
      <c r="GC63" s="19" t="n">
        <f aca="false">$B63+GC$3*100*$A63</f>
        <v>139.5</v>
      </c>
      <c r="GD63" s="19" t="n">
        <f aca="false">$B63+GD$3*100*$A63</f>
        <v>140.25</v>
      </c>
      <c r="GE63" s="19" t="n">
        <f aca="false">$B63+GE$3*100*$A63</f>
        <v>141</v>
      </c>
      <c r="GF63" s="19" t="n">
        <f aca="false">$B63+GF$3*100*$A63</f>
        <v>141.75</v>
      </c>
      <c r="GG63" s="19" t="n">
        <f aca="false">$B63+GG$3*100*$A63</f>
        <v>142.5</v>
      </c>
      <c r="GH63" s="19" t="n">
        <f aca="false">$B63+GH$3*100*$A63</f>
        <v>143.25</v>
      </c>
      <c r="GI63" s="19" t="n">
        <f aca="false">$B63+GI$3*100*$A63</f>
        <v>144</v>
      </c>
      <c r="GJ63" s="19" t="n">
        <f aca="false">$B63+GJ$3*100*$A63</f>
        <v>144.75</v>
      </c>
      <c r="GK63" s="19" t="n">
        <f aca="false">$B63+GK$3*100*$A63</f>
        <v>145.5</v>
      </c>
      <c r="GL63" s="19" t="n">
        <f aca="false">$B63+GL$3*100*$A63</f>
        <v>146.25</v>
      </c>
      <c r="GM63" s="19" t="n">
        <f aca="false">$B63+GM$3*100*$A63</f>
        <v>147</v>
      </c>
      <c r="GN63" s="19" t="n">
        <f aca="false">$B63+GN$3*100*$A63</f>
        <v>147.75</v>
      </c>
      <c r="GO63" s="19" t="n">
        <f aca="false">$B63+GO$3*100*$A63</f>
        <v>148.5</v>
      </c>
      <c r="GP63" s="19" t="n">
        <f aca="false">$B63+GP$3*100*$A63</f>
        <v>149.25</v>
      </c>
      <c r="GQ63" s="19" t="n">
        <f aca="false">$B63+GQ$3*100*$A63</f>
        <v>150</v>
      </c>
      <c r="GR63" s="19" t="n">
        <f aca="false">$B63+GR$3*100*$A63</f>
        <v>150.75</v>
      </c>
      <c r="GS63" s="19" t="n">
        <f aca="false">$B63+GS$3*100*$A63</f>
        <v>151.5</v>
      </c>
      <c r="GT63" s="19" t="n">
        <f aca="false">$B63+GT$3*100*$A63</f>
        <v>152.25</v>
      </c>
    </row>
    <row r="64" customFormat="false" ht="15" hidden="false" customHeight="false" outlineLevel="0" collapsed="false">
      <c r="A64" s="26" t="n">
        <f aca="false">Frontier!A62</f>
        <v>0.1525</v>
      </c>
      <c r="B64" s="34" t="n">
        <f aca="false">Frontier!B62</f>
        <v>2.25</v>
      </c>
      <c r="C64" s="19" t="n">
        <f aca="false">$B64+C$3*100*$A64</f>
        <v>3.0125</v>
      </c>
      <c r="D64" s="19" t="n">
        <f aca="false">$B64+D$3*100*$A64</f>
        <v>3.775</v>
      </c>
      <c r="E64" s="19" t="n">
        <f aca="false">$B64+E$3*100*$A64</f>
        <v>4.5375</v>
      </c>
      <c r="F64" s="19" t="n">
        <f aca="false">$B64+F$3*100*$A64</f>
        <v>5.3</v>
      </c>
      <c r="G64" s="19" t="n">
        <f aca="false">$B64+G$3*100*$A64</f>
        <v>6.0625</v>
      </c>
      <c r="H64" s="19" t="n">
        <f aca="false">$B64+H$3*100*$A64</f>
        <v>6.825</v>
      </c>
      <c r="I64" s="19" t="n">
        <f aca="false">$B64+I$3*100*$A64</f>
        <v>7.5875</v>
      </c>
      <c r="J64" s="19" t="n">
        <f aca="false">$B64+J$3*100*$A64</f>
        <v>8.35</v>
      </c>
      <c r="K64" s="19" t="n">
        <f aca="false">$B64+K$3*100*$A64</f>
        <v>9.1125</v>
      </c>
      <c r="L64" s="19" t="n">
        <f aca="false">$B64+L$3*100*$A64</f>
        <v>9.875</v>
      </c>
      <c r="M64" s="19" t="n">
        <f aca="false">$B64+M$3*100*$A64</f>
        <v>10.6375</v>
      </c>
      <c r="N64" s="19" t="n">
        <f aca="false">$B64+N$3*100*$A64</f>
        <v>11.4</v>
      </c>
      <c r="O64" s="19" t="n">
        <f aca="false">$B64+O$3*100*$A64</f>
        <v>12.1625</v>
      </c>
      <c r="P64" s="19" t="n">
        <f aca="false">$B64+P$3*100*$A64</f>
        <v>12.925</v>
      </c>
      <c r="Q64" s="19" t="n">
        <f aca="false">$B64+Q$3*100*$A64</f>
        <v>13.6875</v>
      </c>
      <c r="R64" s="19" t="n">
        <f aca="false">$B64+R$3*100*$A64</f>
        <v>14.45</v>
      </c>
      <c r="S64" s="19" t="n">
        <f aca="false">$B64+S$3*100*$A64</f>
        <v>15.2125</v>
      </c>
      <c r="T64" s="19" t="n">
        <f aca="false">$B64+T$3*100*$A64</f>
        <v>15.975</v>
      </c>
      <c r="U64" s="19" t="n">
        <f aca="false">$B64+U$3*100*$A64</f>
        <v>16.7375</v>
      </c>
      <c r="V64" s="19" t="n">
        <f aca="false">$B64+V$3*100*$A64</f>
        <v>17.5</v>
      </c>
      <c r="W64" s="19" t="n">
        <f aca="false">$B64+W$3*100*$A64</f>
        <v>18.2625</v>
      </c>
      <c r="X64" s="19" t="n">
        <f aca="false">$B64+X$3*100*$A64</f>
        <v>19.025</v>
      </c>
      <c r="Y64" s="19" t="n">
        <f aca="false">$B64+Y$3*100*$A64</f>
        <v>19.7875</v>
      </c>
      <c r="Z64" s="19" t="n">
        <f aca="false">$B64+Z$3*100*$A64</f>
        <v>20.55</v>
      </c>
      <c r="AA64" s="19" t="n">
        <f aca="false">$B64+AA$3*100*$A64</f>
        <v>21.3125</v>
      </c>
      <c r="AB64" s="19" t="n">
        <f aca="false">$B64+AB$3*100*$A64</f>
        <v>22.075</v>
      </c>
      <c r="AC64" s="19" t="n">
        <f aca="false">$B64+AC$3*100*$A64</f>
        <v>22.8375</v>
      </c>
      <c r="AD64" s="19" t="n">
        <f aca="false">$B64+AD$3*100*$A64</f>
        <v>23.6</v>
      </c>
      <c r="AE64" s="19" t="n">
        <f aca="false">$B64+AE$3*100*$A64</f>
        <v>24.3625</v>
      </c>
      <c r="AF64" s="19" t="n">
        <f aca="false">$B64+AF$3*100*$A64</f>
        <v>25.125</v>
      </c>
      <c r="AG64" s="19" t="n">
        <f aca="false">$B64+AG$3*100*$A64</f>
        <v>25.8875</v>
      </c>
      <c r="AH64" s="19" t="n">
        <f aca="false">$B64+AH$3*100*$A64</f>
        <v>26.65</v>
      </c>
      <c r="AI64" s="19" t="n">
        <f aca="false">$B64+AI$3*100*$A64</f>
        <v>27.4125</v>
      </c>
      <c r="AJ64" s="19" t="n">
        <f aca="false">$B64+AJ$3*100*$A64</f>
        <v>28.175</v>
      </c>
      <c r="AK64" s="19" t="n">
        <f aca="false">$B64+AK$3*100*$A64</f>
        <v>28.9375</v>
      </c>
      <c r="AL64" s="19" t="n">
        <f aca="false">$B64+AL$3*100*$A64</f>
        <v>29.7</v>
      </c>
      <c r="AM64" s="19" t="n">
        <f aca="false">$B64+AM$3*100*$A64</f>
        <v>30.4625</v>
      </c>
      <c r="AN64" s="19" t="n">
        <f aca="false">$B64+AN$3*100*$A64</f>
        <v>31.225</v>
      </c>
      <c r="AO64" s="19" t="n">
        <f aca="false">$B64+AO$3*100*$A64</f>
        <v>31.9875</v>
      </c>
      <c r="AP64" s="19" t="n">
        <f aca="false">$B64+AP$3*100*$A64</f>
        <v>32.75</v>
      </c>
      <c r="AQ64" s="19" t="n">
        <f aca="false">$B64+AQ$3*100*$A64</f>
        <v>33.5125</v>
      </c>
      <c r="AR64" s="19" t="n">
        <f aca="false">$B64+AR$3*100*$A64</f>
        <v>34.275</v>
      </c>
      <c r="AS64" s="19" t="n">
        <f aca="false">$B64+AS$3*100*$A64</f>
        <v>35.0375</v>
      </c>
      <c r="AT64" s="19" t="n">
        <f aca="false">$B64+AT$3*100*$A64</f>
        <v>35.8</v>
      </c>
      <c r="AU64" s="19" t="n">
        <f aca="false">$B64+AU$3*100*$A64</f>
        <v>36.5625</v>
      </c>
      <c r="AV64" s="19" t="n">
        <f aca="false">$B64+AV$3*100*$A64</f>
        <v>37.325</v>
      </c>
      <c r="AW64" s="19" t="n">
        <f aca="false">$B64+AW$3*100*$A64</f>
        <v>38.0875</v>
      </c>
      <c r="AX64" s="19" t="n">
        <f aca="false">$B64+AX$3*100*$A64</f>
        <v>38.85</v>
      </c>
      <c r="AY64" s="19" t="n">
        <f aca="false">$B64+AY$3*100*$A64</f>
        <v>39.6125</v>
      </c>
      <c r="AZ64" s="19" t="n">
        <f aca="false">$B64+AZ$3*100*$A64</f>
        <v>40.375</v>
      </c>
      <c r="BA64" s="19" t="n">
        <f aca="false">$B64+BA$3*100*$A64</f>
        <v>41.1375</v>
      </c>
      <c r="BB64" s="19" t="n">
        <f aca="false">$B64+BB$3*100*$A64</f>
        <v>41.9</v>
      </c>
      <c r="BC64" s="19" t="n">
        <f aca="false">$B64+BC$3*100*$A64</f>
        <v>42.6625</v>
      </c>
      <c r="BD64" s="19" t="n">
        <f aca="false">$B64+BD$3*100*$A64</f>
        <v>43.425</v>
      </c>
      <c r="BE64" s="19" t="n">
        <f aca="false">$B64+BE$3*100*$A64</f>
        <v>44.1875</v>
      </c>
      <c r="BF64" s="19" t="n">
        <f aca="false">$B64+BF$3*100*$A64</f>
        <v>44.95</v>
      </c>
      <c r="BG64" s="19" t="n">
        <f aca="false">$B64+BG$3*100*$A64</f>
        <v>45.7125</v>
      </c>
      <c r="BH64" s="19" t="n">
        <f aca="false">$B64+BH$3*100*$A64</f>
        <v>46.475</v>
      </c>
      <c r="BI64" s="19" t="n">
        <f aca="false">$B64+BI$3*100*$A64</f>
        <v>47.2375</v>
      </c>
      <c r="BJ64" s="19" t="n">
        <f aca="false">$B64+BJ$3*100*$A64</f>
        <v>48</v>
      </c>
      <c r="BK64" s="19" t="n">
        <f aca="false">$B64+BK$3*100*$A64</f>
        <v>48.7625</v>
      </c>
      <c r="BL64" s="19" t="n">
        <f aca="false">$B64+BL$3*100*$A64</f>
        <v>49.525</v>
      </c>
      <c r="BM64" s="19" t="n">
        <f aca="false">$B64+BM$3*100*$A64</f>
        <v>50.2875</v>
      </c>
      <c r="BN64" s="19" t="n">
        <f aca="false">$B64+BN$3*100*$A64</f>
        <v>51.05</v>
      </c>
      <c r="BO64" s="19" t="n">
        <f aca="false">$B64+BO$3*100*$A64</f>
        <v>51.8125</v>
      </c>
      <c r="BP64" s="19" t="n">
        <f aca="false">$B64+BP$3*100*$A64</f>
        <v>52.575</v>
      </c>
      <c r="BQ64" s="19" t="n">
        <f aca="false">$B64+BQ$3*100*$A64</f>
        <v>53.3375</v>
      </c>
      <c r="BR64" s="19" t="n">
        <f aca="false">$B64+BR$3*100*$A64</f>
        <v>54.1</v>
      </c>
      <c r="BS64" s="19" t="n">
        <f aca="false">$B64+BS$3*100*$A64</f>
        <v>54.8625</v>
      </c>
      <c r="BT64" s="19" t="n">
        <f aca="false">$B64+BT$3*100*$A64</f>
        <v>55.625</v>
      </c>
      <c r="BU64" s="19" t="n">
        <f aca="false">$B64+BU$3*100*$A64</f>
        <v>56.3875</v>
      </c>
      <c r="BV64" s="19" t="n">
        <f aca="false">$B64+BV$3*100*$A64</f>
        <v>57.15</v>
      </c>
      <c r="BW64" s="19" t="n">
        <f aca="false">$B64+BW$3*100*$A64</f>
        <v>57.9125</v>
      </c>
      <c r="BX64" s="19" t="n">
        <f aca="false">$B64+BX$3*100*$A64</f>
        <v>58.675</v>
      </c>
      <c r="BY64" s="19" t="n">
        <f aca="false">$B64+BY$3*100*$A64</f>
        <v>59.4375</v>
      </c>
      <c r="BZ64" s="19" t="n">
        <f aca="false">$B64+BZ$3*100*$A64</f>
        <v>60.2</v>
      </c>
      <c r="CA64" s="19" t="n">
        <f aca="false">$B64+CA$3*100*$A64</f>
        <v>60.9625</v>
      </c>
      <c r="CB64" s="19" t="n">
        <f aca="false">$B64+CB$3*100*$A64</f>
        <v>61.725</v>
      </c>
      <c r="CC64" s="19" t="n">
        <f aca="false">$B64+CC$3*100*$A64</f>
        <v>62.4875</v>
      </c>
      <c r="CD64" s="19" t="n">
        <f aca="false">$B64+CD$3*100*$A64</f>
        <v>63.25</v>
      </c>
      <c r="CE64" s="19" t="n">
        <f aca="false">$B64+CE$3*100*$A64</f>
        <v>64.0125</v>
      </c>
      <c r="CF64" s="19" t="n">
        <f aca="false">$B64+CF$3*100*$A64</f>
        <v>64.775</v>
      </c>
      <c r="CG64" s="19" t="n">
        <f aca="false">$B64+CG$3*100*$A64</f>
        <v>65.5375</v>
      </c>
      <c r="CH64" s="19" t="n">
        <f aca="false">$B64+CH$3*100*$A64</f>
        <v>66.3</v>
      </c>
      <c r="CI64" s="19" t="n">
        <f aca="false">$B64+CI$3*100*$A64</f>
        <v>67.0625</v>
      </c>
      <c r="CJ64" s="19" t="n">
        <f aca="false">$B64+CJ$3*100*$A64</f>
        <v>67.825</v>
      </c>
      <c r="CK64" s="19" t="n">
        <f aca="false">$B64+CK$3*100*$A64</f>
        <v>68.5875</v>
      </c>
      <c r="CL64" s="19" t="n">
        <f aca="false">$B64+CL$3*100*$A64</f>
        <v>69.35</v>
      </c>
      <c r="CM64" s="19" t="n">
        <f aca="false">$B64+CM$3*100*$A64</f>
        <v>70.1125</v>
      </c>
      <c r="CN64" s="19" t="n">
        <f aca="false">$B64+CN$3*100*$A64</f>
        <v>70.875</v>
      </c>
      <c r="CO64" s="19" t="n">
        <f aca="false">$B64+CO$3*100*$A64</f>
        <v>71.6375</v>
      </c>
      <c r="CP64" s="19" t="n">
        <f aca="false">$B64+CP$3*100*$A64</f>
        <v>72.4</v>
      </c>
      <c r="CQ64" s="19" t="n">
        <f aca="false">$B64+CQ$3*100*$A64</f>
        <v>73.1625</v>
      </c>
      <c r="CR64" s="19" t="n">
        <f aca="false">$B64+CR$3*100*$A64</f>
        <v>73.925</v>
      </c>
      <c r="CS64" s="19" t="n">
        <f aca="false">$B64+CS$3*100*$A64</f>
        <v>74.6875</v>
      </c>
      <c r="CT64" s="19" t="n">
        <f aca="false">$B64+CT$3*100*$A64</f>
        <v>75.45</v>
      </c>
      <c r="CU64" s="19" t="n">
        <f aca="false">$B64+CU$3*100*$A64</f>
        <v>76.2125</v>
      </c>
      <c r="CV64" s="19" t="n">
        <f aca="false">$B64+CV$3*100*$A64</f>
        <v>76.975</v>
      </c>
      <c r="CW64" s="19" t="n">
        <f aca="false">$B64+CW$3*100*$A64</f>
        <v>77.7375</v>
      </c>
      <c r="CX64" s="19" t="n">
        <f aca="false">$B64+CX$3*100*$A64</f>
        <v>78.5</v>
      </c>
      <c r="CY64" s="19" t="n">
        <f aca="false">$B64+CY$3*100*$A64</f>
        <v>79.2625</v>
      </c>
      <c r="CZ64" s="19" t="n">
        <f aca="false">$B64+CZ$3*100*$A64</f>
        <v>80.025</v>
      </c>
      <c r="DA64" s="19" t="n">
        <f aca="false">$B64+DA$3*100*$A64</f>
        <v>80.7875</v>
      </c>
      <c r="DB64" s="19" t="n">
        <f aca="false">$B64+DB$3*100*$A64</f>
        <v>81.55</v>
      </c>
      <c r="DC64" s="19" t="n">
        <f aca="false">$B64+DC$3*100*$A64</f>
        <v>82.3125</v>
      </c>
      <c r="DD64" s="19" t="n">
        <f aca="false">$B64+DD$3*100*$A64</f>
        <v>83.075</v>
      </c>
      <c r="DE64" s="19" t="n">
        <f aca="false">$B64+DE$3*100*$A64</f>
        <v>83.8375</v>
      </c>
      <c r="DF64" s="19" t="n">
        <f aca="false">$B64+DF$3*100*$A64</f>
        <v>84.6</v>
      </c>
      <c r="DG64" s="19" t="n">
        <f aca="false">$B64+DG$3*100*$A64</f>
        <v>85.3625</v>
      </c>
      <c r="DH64" s="19" t="n">
        <f aca="false">$B64+DH$3*100*$A64</f>
        <v>86.125</v>
      </c>
      <c r="DI64" s="19" t="n">
        <f aca="false">$B64+DI$3*100*$A64</f>
        <v>86.8875</v>
      </c>
      <c r="DJ64" s="19" t="n">
        <f aca="false">$B64+DJ$3*100*$A64</f>
        <v>87.65</v>
      </c>
      <c r="DK64" s="19" t="n">
        <f aca="false">$B64+DK$3*100*$A64</f>
        <v>88.4125</v>
      </c>
      <c r="DL64" s="19" t="n">
        <f aca="false">$B64+DL$3*100*$A64</f>
        <v>89.175</v>
      </c>
      <c r="DM64" s="19" t="n">
        <f aca="false">$B64+DM$3*100*$A64</f>
        <v>89.9375</v>
      </c>
      <c r="DN64" s="19" t="n">
        <f aca="false">$B64+DN$3*100*$A64</f>
        <v>90.7</v>
      </c>
      <c r="DO64" s="19" t="n">
        <f aca="false">$B64+DO$3*100*$A64</f>
        <v>91.4625</v>
      </c>
      <c r="DP64" s="19" t="n">
        <f aca="false">$B64+DP$3*100*$A64</f>
        <v>92.225</v>
      </c>
      <c r="DQ64" s="19" t="n">
        <f aca="false">$B64+DQ$3*100*$A64</f>
        <v>92.9875</v>
      </c>
      <c r="DR64" s="19" t="n">
        <f aca="false">$B64+DR$3*100*$A64</f>
        <v>93.75</v>
      </c>
      <c r="DS64" s="19" t="n">
        <f aca="false">$B64+DS$3*100*$A64</f>
        <v>94.5125</v>
      </c>
      <c r="DT64" s="19" t="n">
        <f aca="false">$B64+DT$3*100*$A64</f>
        <v>95.275</v>
      </c>
      <c r="DU64" s="19" t="n">
        <f aca="false">$B64+DU$3*100*$A64</f>
        <v>96.0375</v>
      </c>
      <c r="DV64" s="19" t="n">
        <f aca="false">$B64+DV$3*100*$A64</f>
        <v>96.8</v>
      </c>
      <c r="DW64" s="19" t="n">
        <f aca="false">$B64+DW$3*100*$A64</f>
        <v>97.5625</v>
      </c>
      <c r="DX64" s="19" t="n">
        <f aca="false">$B64+DX$3*100*$A64</f>
        <v>98.325</v>
      </c>
      <c r="DY64" s="19" t="n">
        <f aca="false">$B64+DY$3*100*$A64</f>
        <v>99.0875</v>
      </c>
      <c r="DZ64" s="19" t="n">
        <f aca="false">$B64+DZ$3*100*$A64</f>
        <v>99.85</v>
      </c>
      <c r="EA64" s="19" t="n">
        <f aca="false">$B64+EA$3*100*$A64</f>
        <v>100.6125</v>
      </c>
      <c r="EB64" s="19" t="n">
        <f aca="false">$B64+EB$3*100*$A64</f>
        <v>101.375</v>
      </c>
      <c r="EC64" s="19" t="n">
        <f aca="false">$B64+EC$3*100*$A64</f>
        <v>102.1375</v>
      </c>
      <c r="ED64" s="19" t="n">
        <f aca="false">$B64+ED$3*100*$A64</f>
        <v>102.9</v>
      </c>
      <c r="EE64" s="19" t="n">
        <f aca="false">$B64+EE$3*100*$A64</f>
        <v>103.6625</v>
      </c>
      <c r="EF64" s="19" t="n">
        <f aca="false">$B64+EF$3*100*$A64</f>
        <v>104.425</v>
      </c>
      <c r="EG64" s="19" t="n">
        <f aca="false">$B64+EG$3*100*$A64</f>
        <v>105.1875</v>
      </c>
      <c r="EH64" s="19" t="n">
        <f aca="false">$B64+EH$3*100*$A64</f>
        <v>105.95</v>
      </c>
      <c r="EI64" s="19" t="n">
        <f aca="false">$B64+EI$3*100*$A64</f>
        <v>106.7125</v>
      </c>
      <c r="EJ64" s="19" t="n">
        <f aca="false">$B64+EJ$3*100*$A64</f>
        <v>107.475</v>
      </c>
      <c r="EK64" s="19" t="n">
        <f aca="false">$B64+EK$3*100*$A64</f>
        <v>108.2375</v>
      </c>
      <c r="EL64" s="19" t="n">
        <f aca="false">$B64+EL$3*100*$A64</f>
        <v>109</v>
      </c>
      <c r="EM64" s="19" t="n">
        <f aca="false">$B64+EM$3*100*$A64</f>
        <v>109.7625</v>
      </c>
      <c r="EN64" s="19" t="n">
        <f aca="false">$B64+EN$3*100*$A64</f>
        <v>110.525</v>
      </c>
      <c r="EO64" s="19" t="n">
        <f aca="false">$B64+EO$3*100*$A64</f>
        <v>111.2875</v>
      </c>
      <c r="EP64" s="19" t="n">
        <f aca="false">$B64+EP$3*100*$A64</f>
        <v>112.05</v>
      </c>
      <c r="EQ64" s="19" t="n">
        <f aca="false">$B64+EQ$3*100*$A64</f>
        <v>112.8125</v>
      </c>
      <c r="ER64" s="19" t="n">
        <f aca="false">$B64+ER$3*100*$A64</f>
        <v>113.575</v>
      </c>
      <c r="ES64" s="19" t="n">
        <f aca="false">$B64+ES$3*100*$A64</f>
        <v>114.3375</v>
      </c>
      <c r="ET64" s="19" t="n">
        <f aca="false">$B64+ET$3*100*$A64</f>
        <v>115.1</v>
      </c>
      <c r="EU64" s="19" t="n">
        <f aca="false">$B64+EU$3*100*$A64</f>
        <v>115.8625</v>
      </c>
      <c r="EV64" s="19" t="n">
        <f aca="false">$B64+EV$3*100*$A64</f>
        <v>116.625</v>
      </c>
      <c r="EW64" s="19" t="n">
        <f aca="false">$B64+EW$3*100*$A64</f>
        <v>117.3875</v>
      </c>
      <c r="EX64" s="19" t="n">
        <f aca="false">$B64+EX$3*100*$A64</f>
        <v>118.15</v>
      </c>
      <c r="EY64" s="19" t="n">
        <f aca="false">$B64+EY$3*100*$A64</f>
        <v>118.9125</v>
      </c>
      <c r="EZ64" s="19" t="n">
        <f aca="false">$B64+EZ$3*100*$A64</f>
        <v>119.675</v>
      </c>
      <c r="FA64" s="19" t="n">
        <f aca="false">$B64+FA$3*100*$A64</f>
        <v>120.4375</v>
      </c>
      <c r="FB64" s="19" t="n">
        <f aca="false">$B64+FB$3*100*$A64</f>
        <v>121.2</v>
      </c>
      <c r="FC64" s="19" t="n">
        <f aca="false">$B64+FC$3*100*$A64</f>
        <v>121.9625</v>
      </c>
      <c r="FD64" s="19" t="n">
        <f aca="false">$B64+FD$3*100*$A64</f>
        <v>122.725</v>
      </c>
      <c r="FE64" s="19" t="n">
        <f aca="false">$B64+FE$3*100*$A64</f>
        <v>123.4875</v>
      </c>
      <c r="FF64" s="19" t="n">
        <f aca="false">$B64+FF$3*100*$A64</f>
        <v>124.25</v>
      </c>
      <c r="FG64" s="19" t="n">
        <f aca="false">$B64+FG$3*100*$A64</f>
        <v>125.0125</v>
      </c>
      <c r="FH64" s="19" t="n">
        <f aca="false">$B64+FH$3*100*$A64</f>
        <v>125.775</v>
      </c>
      <c r="FI64" s="19" t="n">
        <f aca="false">$B64+FI$3*100*$A64</f>
        <v>126.5375</v>
      </c>
      <c r="FJ64" s="19" t="n">
        <f aca="false">$B64+FJ$3*100*$A64</f>
        <v>127.3</v>
      </c>
      <c r="FK64" s="19" t="n">
        <f aca="false">$B64+FK$3*100*$A64</f>
        <v>128.0625</v>
      </c>
      <c r="FL64" s="19" t="n">
        <f aca="false">$B64+FL$3*100*$A64</f>
        <v>128.825</v>
      </c>
      <c r="FM64" s="19" t="n">
        <f aca="false">$B64+FM$3*100*$A64</f>
        <v>129.5875</v>
      </c>
      <c r="FN64" s="19" t="n">
        <f aca="false">$B64+FN$3*100*$A64</f>
        <v>130.35</v>
      </c>
      <c r="FO64" s="19" t="n">
        <f aca="false">$B64+FO$3*100*$A64</f>
        <v>131.1125</v>
      </c>
      <c r="FP64" s="19" t="n">
        <f aca="false">$B64+FP$3*100*$A64</f>
        <v>131.875</v>
      </c>
      <c r="FQ64" s="19" t="n">
        <f aca="false">$B64+FQ$3*100*$A64</f>
        <v>132.6375</v>
      </c>
      <c r="FR64" s="19" t="n">
        <f aca="false">$B64+FR$3*100*$A64</f>
        <v>133.4</v>
      </c>
      <c r="FS64" s="19" t="n">
        <f aca="false">$B64+FS$3*100*$A64</f>
        <v>134.1625</v>
      </c>
      <c r="FT64" s="19" t="n">
        <f aca="false">$B64+FT$3*100*$A64</f>
        <v>134.925</v>
      </c>
      <c r="FU64" s="19" t="n">
        <f aca="false">$B64+FU$3*100*$A64</f>
        <v>135.6875</v>
      </c>
      <c r="FV64" s="19" t="n">
        <f aca="false">$B64+FV$3*100*$A64</f>
        <v>136.45</v>
      </c>
      <c r="FW64" s="19" t="n">
        <f aca="false">$B64+FW$3*100*$A64</f>
        <v>137.2125</v>
      </c>
      <c r="FX64" s="19" t="n">
        <f aca="false">$B64+FX$3*100*$A64</f>
        <v>137.975</v>
      </c>
      <c r="FY64" s="19" t="n">
        <f aca="false">$B64+FY$3*100*$A64</f>
        <v>138.7375</v>
      </c>
      <c r="FZ64" s="19" t="n">
        <f aca="false">$B64+FZ$3*100*$A64</f>
        <v>139.5</v>
      </c>
      <c r="GA64" s="19" t="n">
        <f aca="false">$B64+GA$3*100*$A64</f>
        <v>140.2625</v>
      </c>
      <c r="GB64" s="19" t="n">
        <f aca="false">$B64+GB$3*100*$A64</f>
        <v>141.025</v>
      </c>
      <c r="GC64" s="19" t="n">
        <f aca="false">$B64+GC$3*100*$A64</f>
        <v>141.7875</v>
      </c>
      <c r="GD64" s="19" t="n">
        <f aca="false">$B64+GD$3*100*$A64</f>
        <v>142.55</v>
      </c>
      <c r="GE64" s="19" t="n">
        <f aca="false">$B64+GE$3*100*$A64</f>
        <v>143.3125</v>
      </c>
      <c r="GF64" s="19" t="n">
        <f aca="false">$B64+GF$3*100*$A64</f>
        <v>144.075</v>
      </c>
      <c r="GG64" s="19" t="n">
        <f aca="false">$B64+GG$3*100*$A64</f>
        <v>144.8375</v>
      </c>
      <c r="GH64" s="19" t="n">
        <f aca="false">$B64+GH$3*100*$A64</f>
        <v>145.6</v>
      </c>
      <c r="GI64" s="19" t="n">
        <f aca="false">$B64+GI$3*100*$A64</f>
        <v>146.3625</v>
      </c>
      <c r="GJ64" s="19" t="n">
        <f aca="false">$B64+GJ$3*100*$A64</f>
        <v>147.125</v>
      </c>
      <c r="GK64" s="19" t="n">
        <f aca="false">$B64+GK$3*100*$A64</f>
        <v>147.8875</v>
      </c>
      <c r="GL64" s="19" t="n">
        <f aca="false">$B64+GL$3*100*$A64</f>
        <v>148.65</v>
      </c>
      <c r="GM64" s="19" t="n">
        <f aca="false">$B64+GM$3*100*$A64</f>
        <v>149.4125</v>
      </c>
      <c r="GN64" s="19" t="n">
        <f aca="false">$B64+GN$3*100*$A64</f>
        <v>150.175</v>
      </c>
      <c r="GO64" s="19" t="n">
        <f aca="false">$B64+GO$3*100*$A64</f>
        <v>150.9375</v>
      </c>
      <c r="GP64" s="19" t="n">
        <f aca="false">$B64+GP$3*100*$A64</f>
        <v>151.7</v>
      </c>
      <c r="GQ64" s="19" t="n">
        <f aca="false">$B64+GQ$3*100*$A64</f>
        <v>152.4625</v>
      </c>
      <c r="GR64" s="19" t="n">
        <f aca="false">$B64+GR$3*100*$A64</f>
        <v>153.225</v>
      </c>
      <c r="GS64" s="19" t="n">
        <f aca="false">$B64+GS$3*100*$A64</f>
        <v>153.9875</v>
      </c>
      <c r="GT64" s="19" t="n">
        <f aca="false">$B64+GT$3*100*$A64</f>
        <v>154.75</v>
      </c>
    </row>
    <row r="65" customFormat="false" ht="15" hidden="false" customHeight="false" outlineLevel="0" collapsed="false">
      <c r="A65" s="26" t="n">
        <f aca="false">Frontier!A63</f>
        <v>0.155</v>
      </c>
      <c r="B65" s="34" t="n">
        <f aca="false">Frontier!B63</f>
        <v>2.11768409636464</v>
      </c>
      <c r="C65" s="19" t="n">
        <f aca="false">$B65+C$3*100*$A65</f>
        <v>2.89268409636464</v>
      </c>
      <c r="D65" s="19" t="n">
        <f aca="false">$B65+D$3*100*$A65</f>
        <v>3.66768409636464</v>
      </c>
      <c r="E65" s="19" t="n">
        <f aca="false">$B65+E$3*100*$A65</f>
        <v>4.44268409636464</v>
      </c>
      <c r="F65" s="19" t="n">
        <f aca="false">$B65+F$3*100*$A65</f>
        <v>5.21768409636464</v>
      </c>
      <c r="G65" s="19" t="n">
        <f aca="false">$B65+G$3*100*$A65</f>
        <v>5.99268409636464</v>
      </c>
      <c r="H65" s="19" t="n">
        <f aca="false">$B65+H$3*100*$A65</f>
        <v>6.76768409636464</v>
      </c>
      <c r="I65" s="19" t="n">
        <f aca="false">$B65+I$3*100*$A65</f>
        <v>7.54268409636464</v>
      </c>
      <c r="J65" s="19" t="n">
        <f aca="false">$B65+J$3*100*$A65</f>
        <v>8.31768409636464</v>
      </c>
      <c r="K65" s="19" t="n">
        <f aca="false">$B65+K$3*100*$A65</f>
        <v>9.09268409636464</v>
      </c>
      <c r="L65" s="19" t="n">
        <f aca="false">$B65+L$3*100*$A65</f>
        <v>9.86768409636464</v>
      </c>
      <c r="M65" s="19" t="n">
        <f aca="false">$B65+M$3*100*$A65</f>
        <v>10.6426840963646</v>
      </c>
      <c r="N65" s="19" t="n">
        <f aca="false">$B65+N$3*100*$A65</f>
        <v>11.4176840963646</v>
      </c>
      <c r="O65" s="19" t="n">
        <f aca="false">$B65+O$3*100*$A65</f>
        <v>12.1926840963646</v>
      </c>
      <c r="P65" s="19" t="n">
        <f aca="false">$B65+P$3*100*$A65</f>
        <v>12.9676840963646</v>
      </c>
      <c r="Q65" s="19" t="n">
        <f aca="false">$B65+Q$3*100*$A65</f>
        <v>13.7426840963646</v>
      </c>
      <c r="R65" s="19" t="n">
        <f aca="false">$B65+R$3*100*$A65</f>
        <v>14.5176840963646</v>
      </c>
      <c r="S65" s="19" t="n">
        <f aca="false">$B65+S$3*100*$A65</f>
        <v>15.2926840963646</v>
      </c>
      <c r="T65" s="19" t="n">
        <f aca="false">$B65+T$3*100*$A65</f>
        <v>16.0676840963646</v>
      </c>
      <c r="U65" s="19" t="n">
        <f aca="false">$B65+U$3*100*$A65</f>
        <v>16.8426840963646</v>
      </c>
      <c r="V65" s="19" t="n">
        <f aca="false">$B65+V$3*100*$A65</f>
        <v>17.6176840963646</v>
      </c>
      <c r="W65" s="19" t="n">
        <f aca="false">$B65+W$3*100*$A65</f>
        <v>18.3926840963646</v>
      </c>
      <c r="X65" s="19" t="n">
        <f aca="false">$B65+X$3*100*$A65</f>
        <v>19.1676840963646</v>
      </c>
      <c r="Y65" s="19" t="n">
        <f aca="false">$B65+Y$3*100*$A65</f>
        <v>19.9426840963646</v>
      </c>
      <c r="Z65" s="19" t="n">
        <f aca="false">$B65+Z$3*100*$A65</f>
        <v>20.7176840963646</v>
      </c>
      <c r="AA65" s="19" t="n">
        <f aca="false">$B65+AA$3*100*$A65</f>
        <v>21.4926840963646</v>
      </c>
      <c r="AB65" s="19" t="n">
        <f aca="false">$B65+AB$3*100*$A65</f>
        <v>22.2676840963646</v>
      </c>
      <c r="AC65" s="19" t="n">
        <f aca="false">$B65+AC$3*100*$A65</f>
        <v>23.0426840963646</v>
      </c>
      <c r="AD65" s="19" t="n">
        <f aca="false">$B65+AD$3*100*$A65</f>
        <v>23.8176840963646</v>
      </c>
      <c r="AE65" s="19" t="n">
        <f aca="false">$B65+AE$3*100*$A65</f>
        <v>24.5926840963646</v>
      </c>
      <c r="AF65" s="19" t="n">
        <f aca="false">$B65+AF$3*100*$A65</f>
        <v>25.3676840963646</v>
      </c>
      <c r="AG65" s="19" t="n">
        <f aca="false">$B65+AG$3*100*$A65</f>
        <v>26.1426840963646</v>
      </c>
      <c r="AH65" s="19" t="n">
        <f aca="false">$B65+AH$3*100*$A65</f>
        <v>26.9176840963646</v>
      </c>
      <c r="AI65" s="19" t="n">
        <f aca="false">$B65+AI$3*100*$A65</f>
        <v>27.6926840963646</v>
      </c>
      <c r="AJ65" s="19" t="n">
        <f aca="false">$B65+AJ$3*100*$A65</f>
        <v>28.4676840963646</v>
      </c>
      <c r="AK65" s="19" t="n">
        <f aca="false">$B65+AK$3*100*$A65</f>
        <v>29.2426840963646</v>
      </c>
      <c r="AL65" s="19" t="n">
        <f aca="false">$B65+AL$3*100*$A65</f>
        <v>30.0176840963646</v>
      </c>
      <c r="AM65" s="19" t="n">
        <f aca="false">$B65+AM$3*100*$A65</f>
        <v>30.7926840963646</v>
      </c>
      <c r="AN65" s="19" t="n">
        <f aca="false">$B65+AN$3*100*$A65</f>
        <v>31.5676840963646</v>
      </c>
      <c r="AO65" s="19" t="n">
        <f aca="false">$B65+AO$3*100*$A65</f>
        <v>32.3426840963646</v>
      </c>
      <c r="AP65" s="19" t="n">
        <f aca="false">$B65+AP$3*100*$A65</f>
        <v>33.1176840963646</v>
      </c>
      <c r="AQ65" s="19" t="n">
        <f aca="false">$B65+AQ$3*100*$A65</f>
        <v>33.8926840963646</v>
      </c>
      <c r="AR65" s="19" t="n">
        <f aca="false">$B65+AR$3*100*$A65</f>
        <v>34.6676840963646</v>
      </c>
      <c r="AS65" s="19" t="n">
        <f aca="false">$B65+AS$3*100*$A65</f>
        <v>35.4426840963646</v>
      </c>
      <c r="AT65" s="19" t="n">
        <f aca="false">$B65+AT$3*100*$A65</f>
        <v>36.2176840963646</v>
      </c>
      <c r="AU65" s="19" t="n">
        <f aca="false">$B65+AU$3*100*$A65</f>
        <v>36.9926840963646</v>
      </c>
      <c r="AV65" s="19" t="n">
        <f aca="false">$B65+AV$3*100*$A65</f>
        <v>37.7676840963646</v>
      </c>
      <c r="AW65" s="19" t="n">
        <f aca="false">$B65+AW$3*100*$A65</f>
        <v>38.5426840963646</v>
      </c>
      <c r="AX65" s="19" t="n">
        <f aca="false">$B65+AX$3*100*$A65</f>
        <v>39.3176840963646</v>
      </c>
      <c r="AY65" s="19" t="n">
        <f aca="false">$B65+AY$3*100*$A65</f>
        <v>40.0926840963646</v>
      </c>
      <c r="AZ65" s="19" t="n">
        <f aca="false">$B65+AZ$3*100*$A65</f>
        <v>40.8676840963646</v>
      </c>
      <c r="BA65" s="19" t="n">
        <f aca="false">$B65+BA$3*100*$A65</f>
        <v>41.6426840963646</v>
      </c>
      <c r="BB65" s="19" t="n">
        <f aca="false">$B65+BB$3*100*$A65</f>
        <v>42.4176840963646</v>
      </c>
      <c r="BC65" s="19" t="n">
        <f aca="false">$B65+BC$3*100*$A65</f>
        <v>43.1926840963646</v>
      </c>
      <c r="BD65" s="19" t="n">
        <f aca="false">$B65+BD$3*100*$A65</f>
        <v>43.9676840963646</v>
      </c>
      <c r="BE65" s="19" t="n">
        <f aca="false">$B65+BE$3*100*$A65</f>
        <v>44.7426840963646</v>
      </c>
      <c r="BF65" s="19" t="n">
        <f aca="false">$B65+BF$3*100*$A65</f>
        <v>45.5176840963646</v>
      </c>
      <c r="BG65" s="19" t="n">
        <f aca="false">$B65+BG$3*100*$A65</f>
        <v>46.2926840963646</v>
      </c>
      <c r="BH65" s="19" t="n">
        <f aca="false">$B65+BH$3*100*$A65</f>
        <v>47.0676840963646</v>
      </c>
      <c r="BI65" s="19" t="n">
        <f aca="false">$B65+BI$3*100*$A65</f>
        <v>47.8426840963646</v>
      </c>
      <c r="BJ65" s="19" t="n">
        <f aca="false">$B65+BJ$3*100*$A65</f>
        <v>48.6176840963646</v>
      </c>
      <c r="BK65" s="19" t="n">
        <f aca="false">$B65+BK$3*100*$A65</f>
        <v>49.3926840963646</v>
      </c>
      <c r="BL65" s="19" t="n">
        <f aca="false">$B65+BL$3*100*$A65</f>
        <v>50.1676840963646</v>
      </c>
      <c r="BM65" s="19" t="n">
        <f aca="false">$B65+BM$3*100*$A65</f>
        <v>50.9426840963646</v>
      </c>
      <c r="BN65" s="19" t="n">
        <f aca="false">$B65+BN$3*100*$A65</f>
        <v>51.7176840963646</v>
      </c>
      <c r="BO65" s="19" t="n">
        <f aca="false">$B65+BO$3*100*$A65</f>
        <v>52.4926840963646</v>
      </c>
      <c r="BP65" s="19" t="n">
        <f aca="false">$B65+BP$3*100*$A65</f>
        <v>53.2676840963646</v>
      </c>
      <c r="BQ65" s="19" t="n">
        <f aca="false">$B65+BQ$3*100*$A65</f>
        <v>54.0426840963646</v>
      </c>
      <c r="BR65" s="19" t="n">
        <f aca="false">$B65+BR$3*100*$A65</f>
        <v>54.8176840963646</v>
      </c>
      <c r="BS65" s="19" t="n">
        <f aca="false">$B65+BS$3*100*$A65</f>
        <v>55.5926840963646</v>
      </c>
      <c r="BT65" s="19" t="n">
        <f aca="false">$B65+BT$3*100*$A65</f>
        <v>56.3676840963646</v>
      </c>
      <c r="BU65" s="19" t="n">
        <f aca="false">$B65+BU$3*100*$A65</f>
        <v>57.1426840963646</v>
      </c>
      <c r="BV65" s="19" t="n">
        <f aca="false">$B65+BV$3*100*$A65</f>
        <v>57.9176840963646</v>
      </c>
      <c r="BW65" s="19" t="n">
        <f aca="false">$B65+BW$3*100*$A65</f>
        <v>58.6926840963646</v>
      </c>
      <c r="BX65" s="19" t="n">
        <f aca="false">$B65+BX$3*100*$A65</f>
        <v>59.4676840963646</v>
      </c>
      <c r="BY65" s="19" t="n">
        <f aca="false">$B65+BY$3*100*$A65</f>
        <v>60.2426840963646</v>
      </c>
      <c r="BZ65" s="19" t="n">
        <f aca="false">$B65+BZ$3*100*$A65</f>
        <v>61.0176840963646</v>
      </c>
      <c r="CA65" s="19" t="n">
        <f aca="false">$B65+CA$3*100*$A65</f>
        <v>61.7926840963646</v>
      </c>
      <c r="CB65" s="19" t="n">
        <f aca="false">$B65+CB$3*100*$A65</f>
        <v>62.5676840963646</v>
      </c>
      <c r="CC65" s="19" t="n">
        <f aca="false">$B65+CC$3*100*$A65</f>
        <v>63.3426840963646</v>
      </c>
      <c r="CD65" s="19" t="n">
        <f aca="false">$B65+CD$3*100*$A65</f>
        <v>64.1176840963646</v>
      </c>
      <c r="CE65" s="19" t="n">
        <f aca="false">$B65+CE$3*100*$A65</f>
        <v>64.8926840963646</v>
      </c>
      <c r="CF65" s="19" t="n">
        <f aca="false">$B65+CF$3*100*$A65</f>
        <v>65.6676840963646</v>
      </c>
      <c r="CG65" s="19" t="n">
        <f aca="false">$B65+CG$3*100*$A65</f>
        <v>66.4426840963646</v>
      </c>
      <c r="CH65" s="19" t="n">
        <f aca="false">$B65+CH$3*100*$A65</f>
        <v>67.2176840963646</v>
      </c>
      <c r="CI65" s="19" t="n">
        <f aca="false">$B65+CI$3*100*$A65</f>
        <v>67.9926840963646</v>
      </c>
      <c r="CJ65" s="19" t="n">
        <f aca="false">$B65+CJ$3*100*$A65</f>
        <v>68.7676840963647</v>
      </c>
      <c r="CK65" s="19" t="n">
        <f aca="false">$B65+CK$3*100*$A65</f>
        <v>69.5426840963646</v>
      </c>
      <c r="CL65" s="19" t="n">
        <f aca="false">$B65+CL$3*100*$A65</f>
        <v>70.3176840963646</v>
      </c>
      <c r="CM65" s="19" t="n">
        <f aca="false">$B65+CM$3*100*$A65</f>
        <v>71.0926840963646</v>
      </c>
      <c r="CN65" s="19" t="n">
        <f aca="false">$B65+CN$3*100*$A65</f>
        <v>71.8676840963646</v>
      </c>
      <c r="CO65" s="19" t="n">
        <f aca="false">$B65+CO$3*100*$A65</f>
        <v>72.6426840963647</v>
      </c>
      <c r="CP65" s="19" t="n">
        <f aca="false">$B65+CP$3*100*$A65</f>
        <v>73.4176840963646</v>
      </c>
      <c r="CQ65" s="19" t="n">
        <f aca="false">$B65+CQ$3*100*$A65</f>
        <v>74.1926840963646</v>
      </c>
      <c r="CR65" s="19" t="n">
        <f aca="false">$B65+CR$3*100*$A65</f>
        <v>74.9676840963646</v>
      </c>
      <c r="CS65" s="19" t="n">
        <f aca="false">$B65+CS$3*100*$A65</f>
        <v>75.7426840963646</v>
      </c>
      <c r="CT65" s="19" t="n">
        <f aca="false">$B65+CT$3*100*$A65</f>
        <v>76.5176840963647</v>
      </c>
      <c r="CU65" s="19" t="n">
        <f aca="false">$B65+CU$3*100*$A65</f>
        <v>77.2926840963646</v>
      </c>
      <c r="CV65" s="19" t="n">
        <f aca="false">$B65+CV$3*100*$A65</f>
        <v>78.0676840963646</v>
      </c>
      <c r="CW65" s="19" t="n">
        <f aca="false">$B65+CW$3*100*$A65</f>
        <v>78.8426840963646</v>
      </c>
      <c r="CX65" s="19" t="n">
        <f aca="false">$B65+CX$3*100*$A65</f>
        <v>79.6176840963646</v>
      </c>
      <c r="CY65" s="19" t="n">
        <f aca="false">$B65+CY$3*100*$A65</f>
        <v>80.3926840963647</v>
      </c>
      <c r="CZ65" s="19" t="n">
        <f aca="false">$B65+CZ$3*100*$A65</f>
        <v>81.1676840963646</v>
      </c>
      <c r="DA65" s="19" t="n">
        <f aca="false">$B65+DA$3*100*$A65</f>
        <v>81.9426840963646</v>
      </c>
      <c r="DB65" s="19" t="n">
        <f aca="false">$B65+DB$3*100*$A65</f>
        <v>82.7176840963646</v>
      </c>
      <c r="DC65" s="19" t="n">
        <f aca="false">$B65+DC$3*100*$A65</f>
        <v>83.4926840963646</v>
      </c>
      <c r="DD65" s="19" t="n">
        <f aca="false">$B65+DD$3*100*$A65</f>
        <v>84.2676840963647</v>
      </c>
      <c r="DE65" s="19" t="n">
        <f aca="false">$B65+DE$3*100*$A65</f>
        <v>85.0426840963646</v>
      </c>
      <c r="DF65" s="19" t="n">
        <f aca="false">$B65+DF$3*100*$A65</f>
        <v>85.8176840963646</v>
      </c>
      <c r="DG65" s="19" t="n">
        <f aca="false">$B65+DG$3*100*$A65</f>
        <v>86.5926840963646</v>
      </c>
      <c r="DH65" s="19" t="n">
        <f aca="false">$B65+DH$3*100*$A65</f>
        <v>87.3676840963646</v>
      </c>
      <c r="DI65" s="19" t="n">
        <f aca="false">$B65+DI$3*100*$A65</f>
        <v>88.1426840963647</v>
      </c>
      <c r="DJ65" s="19" t="n">
        <f aca="false">$B65+DJ$3*100*$A65</f>
        <v>88.9176840963646</v>
      </c>
      <c r="DK65" s="19" t="n">
        <f aca="false">$B65+DK$3*100*$A65</f>
        <v>89.6926840963646</v>
      </c>
      <c r="DL65" s="19" t="n">
        <f aca="false">$B65+DL$3*100*$A65</f>
        <v>90.4676840963646</v>
      </c>
      <c r="DM65" s="19" t="n">
        <f aca="false">$B65+DM$3*100*$A65</f>
        <v>91.2426840963646</v>
      </c>
      <c r="DN65" s="19" t="n">
        <f aca="false">$B65+DN$3*100*$A65</f>
        <v>92.0176840963647</v>
      </c>
      <c r="DO65" s="19" t="n">
        <f aca="false">$B65+DO$3*100*$A65</f>
        <v>92.7926840963646</v>
      </c>
      <c r="DP65" s="19" t="n">
        <f aca="false">$B65+DP$3*100*$A65</f>
        <v>93.5676840963646</v>
      </c>
      <c r="DQ65" s="19" t="n">
        <f aca="false">$B65+DQ$3*100*$A65</f>
        <v>94.3426840963646</v>
      </c>
      <c r="DR65" s="19" t="n">
        <f aca="false">$B65+DR$3*100*$A65</f>
        <v>95.1176840963646</v>
      </c>
      <c r="DS65" s="19" t="n">
        <f aca="false">$B65+DS$3*100*$A65</f>
        <v>95.8926840963647</v>
      </c>
      <c r="DT65" s="19" t="n">
        <f aca="false">$B65+DT$3*100*$A65</f>
        <v>96.6676840963646</v>
      </c>
      <c r="DU65" s="19" t="n">
        <f aca="false">$B65+DU$3*100*$A65</f>
        <v>97.4426840963646</v>
      </c>
      <c r="DV65" s="19" t="n">
        <f aca="false">$B65+DV$3*100*$A65</f>
        <v>98.2176840963646</v>
      </c>
      <c r="DW65" s="19" t="n">
        <f aca="false">$B65+DW$3*100*$A65</f>
        <v>98.9926840963646</v>
      </c>
      <c r="DX65" s="19" t="n">
        <f aca="false">$B65+DX$3*100*$A65</f>
        <v>99.7676840963647</v>
      </c>
      <c r="DY65" s="19" t="n">
        <f aca="false">$B65+DY$3*100*$A65</f>
        <v>100.542684096365</v>
      </c>
      <c r="DZ65" s="19" t="n">
        <f aca="false">$B65+DZ$3*100*$A65</f>
        <v>101.317684096365</v>
      </c>
      <c r="EA65" s="19" t="n">
        <f aca="false">$B65+EA$3*100*$A65</f>
        <v>102.092684096365</v>
      </c>
      <c r="EB65" s="19" t="n">
        <f aca="false">$B65+EB$3*100*$A65</f>
        <v>102.867684096365</v>
      </c>
      <c r="EC65" s="19" t="n">
        <f aca="false">$B65+EC$3*100*$A65</f>
        <v>103.642684096365</v>
      </c>
      <c r="ED65" s="19" t="n">
        <f aca="false">$B65+ED$3*100*$A65</f>
        <v>104.417684096365</v>
      </c>
      <c r="EE65" s="19" t="n">
        <f aca="false">$B65+EE$3*100*$A65</f>
        <v>105.192684096365</v>
      </c>
      <c r="EF65" s="19" t="n">
        <f aca="false">$B65+EF$3*100*$A65</f>
        <v>105.967684096365</v>
      </c>
      <c r="EG65" s="19" t="n">
        <f aca="false">$B65+EG$3*100*$A65</f>
        <v>106.742684096365</v>
      </c>
      <c r="EH65" s="19" t="n">
        <f aca="false">$B65+EH$3*100*$A65</f>
        <v>107.517684096365</v>
      </c>
      <c r="EI65" s="19" t="n">
        <f aca="false">$B65+EI$3*100*$A65</f>
        <v>108.292684096365</v>
      </c>
      <c r="EJ65" s="19" t="n">
        <f aca="false">$B65+EJ$3*100*$A65</f>
        <v>109.067684096365</v>
      </c>
      <c r="EK65" s="19" t="n">
        <f aca="false">$B65+EK$3*100*$A65</f>
        <v>109.842684096365</v>
      </c>
      <c r="EL65" s="19" t="n">
        <f aca="false">$B65+EL$3*100*$A65</f>
        <v>110.617684096365</v>
      </c>
      <c r="EM65" s="19" t="n">
        <f aca="false">$B65+EM$3*100*$A65</f>
        <v>111.392684096365</v>
      </c>
      <c r="EN65" s="19" t="n">
        <f aca="false">$B65+EN$3*100*$A65</f>
        <v>112.167684096365</v>
      </c>
      <c r="EO65" s="19" t="n">
        <f aca="false">$B65+EO$3*100*$A65</f>
        <v>112.942684096365</v>
      </c>
      <c r="EP65" s="19" t="n">
        <f aca="false">$B65+EP$3*100*$A65</f>
        <v>113.717684096365</v>
      </c>
      <c r="EQ65" s="19" t="n">
        <f aca="false">$B65+EQ$3*100*$A65</f>
        <v>114.492684096365</v>
      </c>
      <c r="ER65" s="19" t="n">
        <f aca="false">$B65+ER$3*100*$A65</f>
        <v>115.267684096365</v>
      </c>
      <c r="ES65" s="19" t="n">
        <f aca="false">$B65+ES$3*100*$A65</f>
        <v>116.042684096365</v>
      </c>
      <c r="ET65" s="19" t="n">
        <f aca="false">$B65+ET$3*100*$A65</f>
        <v>116.817684096365</v>
      </c>
      <c r="EU65" s="19" t="n">
        <f aca="false">$B65+EU$3*100*$A65</f>
        <v>117.592684096365</v>
      </c>
      <c r="EV65" s="19" t="n">
        <f aca="false">$B65+EV$3*100*$A65</f>
        <v>118.367684096365</v>
      </c>
      <c r="EW65" s="19" t="n">
        <f aca="false">$B65+EW$3*100*$A65</f>
        <v>119.142684096365</v>
      </c>
      <c r="EX65" s="19" t="n">
        <f aca="false">$B65+EX$3*100*$A65</f>
        <v>119.917684096365</v>
      </c>
      <c r="EY65" s="19" t="n">
        <f aca="false">$B65+EY$3*100*$A65</f>
        <v>120.692684096365</v>
      </c>
      <c r="EZ65" s="19" t="n">
        <f aca="false">$B65+EZ$3*100*$A65</f>
        <v>121.467684096365</v>
      </c>
      <c r="FA65" s="19" t="n">
        <f aca="false">$B65+FA$3*100*$A65</f>
        <v>122.242684096365</v>
      </c>
      <c r="FB65" s="19" t="n">
        <f aca="false">$B65+FB$3*100*$A65</f>
        <v>123.017684096365</v>
      </c>
      <c r="FC65" s="19" t="n">
        <f aca="false">$B65+FC$3*100*$A65</f>
        <v>123.792684096365</v>
      </c>
      <c r="FD65" s="19" t="n">
        <f aca="false">$B65+FD$3*100*$A65</f>
        <v>124.567684096365</v>
      </c>
      <c r="FE65" s="19" t="n">
        <f aca="false">$B65+FE$3*100*$A65</f>
        <v>125.342684096365</v>
      </c>
      <c r="FF65" s="19" t="n">
        <f aca="false">$B65+FF$3*100*$A65</f>
        <v>126.117684096365</v>
      </c>
      <c r="FG65" s="19" t="n">
        <f aca="false">$B65+FG$3*100*$A65</f>
        <v>126.892684096365</v>
      </c>
      <c r="FH65" s="19" t="n">
        <f aca="false">$B65+FH$3*100*$A65</f>
        <v>127.667684096365</v>
      </c>
      <c r="FI65" s="19" t="n">
        <f aca="false">$B65+FI$3*100*$A65</f>
        <v>128.442684096365</v>
      </c>
      <c r="FJ65" s="19" t="n">
        <f aca="false">$B65+FJ$3*100*$A65</f>
        <v>129.217684096365</v>
      </c>
      <c r="FK65" s="19" t="n">
        <f aca="false">$B65+FK$3*100*$A65</f>
        <v>129.992684096365</v>
      </c>
      <c r="FL65" s="19" t="n">
        <f aca="false">$B65+FL$3*100*$A65</f>
        <v>130.767684096365</v>
      </c>
      <c r="FM65" s="19" t="n">
        <f aca="false">$B65+FM$3*100*$A65</f>
        <v>131.542684096365</v>
      </c>
      <c r="FN65" s="19" t="n">
        <f aca="false">$B65+FN$3*100*$A65</f>
        <v>132.317684096365</v>
      </c>
      <c r="FO65" s="19" t="n">
        <f aca="false">$B65+FO$3*100*$A65</f>
        <v>133.092684096365</v>
      </c>
      <c r="FP65" s="19" t="n">
        <f aca="false">$B65+FP$3*100*$A65</f>
        <v>133.867684096365</v>
      </c>
      <c r="FQ65" s="19" t="n">
        <f aca="false">$B65+FQ$3*100*$A65</f>
        <v>134.642684096365</v>
      </c>
      <c r="FR65" s="19" t="n">
        <f aca="false">$B65+FR$3*100*$A65</f>
        <v>135.417684096365</v>
      </c>
      <c r="FS65" s="19" t="n">
        <f aca="false">$B65+FS$3*100*$A65</f>
        <v>136.192684096365</v>
      </c>
      <c r="FT65" s="19" t="n">
        <f aca="false">$B65+FT$3*100*$A65</f>
        <v>136.967684096365</v>
      </c>
      <c r="FU65" s="19" t="n">
        <f aca="false">$B65+FU$3*100*$A65</f>
        <v>137.742684096365</v>
      </c>
      <c r="FV65" s="19" t="n">
        <f aca="false">$B65+FV$3*100*$A65</f>
        <v>138.517684096365</v>
      </c>
      <c r="FW65" s="19" t="n">
        <f aca="false">$B65+FW$3*100*$A65</f>
        <v>139.292684096365</v>
      </c>
      <c r="FX65" s="19" t="n">
        <f aca="false">$B65+FX$3*100*$A65</f>
        <v>140.067684096365</v>
      </c>
      <c r="FY65" s="19" t="n">
        <f aca="false">$B65+FY$3*100*$A65</f>
        <v>140.842684096365</v>
      </c>
      <c r="FZ65" s="19" t="n">
        <f aca="false">$B65+FZ$3*100*$A65</f>
        <v>141.617684096365</v>
      </c>
      <c r="GA65" s="19" t="n">
        <f aca="false">$B65+GA$3*100*$A65</f>
        <v>142.392684096365</v>
      </c>
      <c r="GB65" s="19" t="n">
        <f aca="false">$B65+GB$3*100*$A65</f>
        <v>143.167684096365</v>
      </c>
      <c r="GC65" s="19" t="n">
        <f aca="false">$B65+GC$3*100*$A65</f>
        <v>143.942684096365</v>
      </c>
      <c r="GD65" s="19" t="n">
        <f aca="false">$B65+GD$3*100*$A65</f>
        <v>144.717684096365</v>
      </c>
      <c r="GE65" s="19" t="n">
        <f aca="false">$B65+GE$3*100*$A65</f>
        <v>145.492684096365</v>
      </c>
      <c r="GF65" s="19" t="n">
        <f aca="false">$B65+GF$3*100*$A65</f>
        <v>146.267684096365</v>
      </c>
      <c r="GG65" s="19" t="n">
        <f aca="false">$B65+GG$3*100*$A65</f>
        <v>147.042684096365</v>
      </c>
      <c r="GH65" s="19" t="n">
        <f aca="false">$B65+GH$3*100*$A65</f>
        <v>147.817684096365</v>
      </c>
      <c r="GI65" s="19" t="n">
        <f aca="false">$B65+GI$3*100*$A65</f>
        <v>148.592684096365</v>
      </c>
      <c r="GJ65" s="19" t="n">
        <f aca="false">$B65+GJ$3*100*$A65</f>
        <v>149.367684096365</v>
      </c>
      <c r="GK65" s="19" t="n">
        <f aca="false">$B65+GK$3*100*$A65</f>
        <v>150.142684096365</v>
      </c>
      <c r="GL65" s="19" t="n">
        <f aca="false">$B65+GL$3*100*$A65</f>
        <v>150.917684096365</v>
      </c>
      <c r="GM65" s="19" t="n">
        <f aca="false">$B65+GM$3*100*$A65</f>
        <v>151.692684096365</v>
      </c>
      <c r="GN65" s="19" t="n">
        <f aca="false">$B65+GN$3*100*$A65</f>
        <v>152.467684096365</v>
      </c>
      <c r="GO65" s="19" t="n">
        <f aca="false">$B65+GO$3*100*$A65</f>
        <v>153.242684096365</v>
      </c>
      <c r="GP65" s="19" t="n">
        <f aca="false">$B65+GP$3*100*$A65</f>
        <v>154.017684096365</v>
      </c>
      <c r="GQ65" s="19" t="n">
        <f aca="false">$B65+GQ$3*100*$A65</f>
        <v>154.792684096365</v>
      </c>
      <c r="GR65" s="19" t="n">
        <f aca="false">$B65+GR$3*100*$A65</f>
        <v>155.567684096365</v>
      </c>
      <c r="GS65" s="19" t="n">
        <f aca="false">$B65+GS$3*100*$A65</f>
        <v>156.342684096365</v>
      </c>
      <c r="GT65" s="19" t="n">
        <f aca="false">$B65+GT$3*100*$A65</f>
        <v>157.117684096365</v>
      </c>
    </row>
    <row r="66" customFormat="false" ht="15" hidden="false" customHeight="false" outlineLevel="0" collapsed="false">
      <c r="A66" s="26" t="n">
        <f aca="false">Frontier!A64</f>
        <v>0.1575</v>
      </c>
      <c r="B66" s="34" t="n">
        <f aca="false">Frontier!B64</f>
        <v>2.1</v>
      </c>
      <c r="C66" s="19" t="n">
        <f aca="false">$B66+C$3*100*$A66</f>
        <v>2.8875</v>
      </c>
      <c r="D66" s="19" t="n">
        <f aca="false">$B66+D$3*100*$A66</f>
        <v>3.675</v>
      </c>
      <c r="E66" s="19" t="n">
        <f aca="false">$B66+E$3*100*$A66</f>
        <v>4.4625</v>
      </c>
      <c r="F66" s="19" t="n">
        <f aca="false">$B66+F$3*100*$A66</f>
        <v>5.25</v>
      </c>
      <c r="G66" s="19" t="n">
        <f aca="false">$B66+G$3*100*$A66</f>
        <v>6.0375</v>
      </c>
      <c r="H66" s="19" t="n">
        <f aca="false">$B66+H$3*100*$A66</f>
        <v>6.825</v>
      </c>
      <c r="I66" s="19" t="n">
        <f aca="false">$B66+I$3*100*$A66</f>
        <v>7.6125</v>
      </c>
      <c r="J66" s="19" t="n">
        <f aca="false">$B66+J$3*100*$A66</f>
        <v>8.4</v>
      </c>
      <c r="K66" s="19" t="n">
        <f aca="false">$B66+K$3*100*$A66</f>
        <v>9.1875</v>
      </c>
      <c r="L66" s="19" t="n">
        <f aca="false">$B66+L$3*100*$A66</f>
        <v>9.975</v>
      </c>
      <c r="M66" s="19" t="n">
        <f aca="false">$B66+M$3*100*$A66</f>
        <v>10.7625</v>
      </c>
      <c r="N66" s="19" t="n">
        <f aca="false">$B66+N$3*100*$A66</f>
        <v>11.55</v>
      </c>
      <c r="O66" s="19" t="n">
        <f aca="false">$B66+O$3*100*$A66</f>
        <v>12.3375</v>
      </c>
      <c r="P66" s="19" t="n">
        <f aca="false">$B66+P$3*100*$A66</f>
        <v>13.125</v>
      </c>
      <c r="Q66" s="19" t="n">
        <f aca="false">$B66+Q$3*100*$A66</f>
        <v>13.9125</v>
      </c>
      <c r="R66" s="19" t="n">
        <f aca="false">$B66+R$3*100*$A66</f>
        <v>14.7</v>
      </c>
      <c r="S66" s="19" t="n">
        <f aca="false">$B66+S$3*100*$A66</f>
        <v>15.4875</v>
      </c>
      <c r="T66" s="19" t="n">
        <f aca="false">$B66+T$3*100*$A66</f>
        <v>16.275</v>
      </c>
      <c r="U66" s="19" t="n">
        <f aca="false">$B66+U$3*100*$A66</f>
        <v>17.0625</v>
      </c>
      <c r="V66" s="19" t="n">
        <f aca="false">$B66+V$3*100*$A66</f>
        <v>17.85</v>
      </c>
      <c r="W66" s="19" t="n">
        <f aca="false">$B66+W$3*100*$A66</f>
        <v>18.6375</v>
      </c>
      <c r="X66" s="19" t="n">
        <f aca="false">$B66+X$3*100*$A66</f>
        <v>19.425</v>
      </c>
      <c r="Y66" s="19" t="n">
        <f aca="false">$B66+Y$3*100*$A66</f>
        <v>20.2125</v>
      </c>
      <c r="Z66" s="19" t="n">
        <f aca="false">$B66+Z$3*100*$A66</f>
        <v>21</v>
      </c>
      <c r="AA66" s="19" t="n">
        <f aca="false">$B66+AA$3*100*$A66</f>
        <v>21.7875</v>
      </c>
      <c r="AB66" s="19" t="n">
        <f aca="false">$B66+AB$3*100*$A66</f>
        <v>22.575</v>
      </c>
      <c r="AC66" s="19" t="n">
        <f aca="false">$B66+AC$3*100*$A66</f>
        <v>23.3625</v>
      </c>
      <c r="AD66" s="19" t="n">
        <f aca="false">$B66+AD$3*100*$A66</f>
        <v>24.15</v>
      </c>
      <c r="AE66" s="19" t="n">
        <f aca="false">$B66+AE$3*100*$A66</f>
        <v>24.9375</v>
      </c>
      <c r="AF66" s="19" t="n">
        <f aca="false">$B66+AF$3*100*$A66</f>
        <v>25.725</v>
      </c>
      <c r="AG66" s="19" t="n">
        <f aca="false">$B66+AG$3*100*$A66</f>
        <v>26.5125</v>
      </c>
      <c r="AH66" s="19" t="n">
        <f aca="false">$B66+AH$3*100*$A66</f>
        <v>27.3</v>
      </c>
      <c r="AI66" s="19" t="n">
        <f aca="false">$B66+AI$3*100*$A66</f>
        <v>28.0875</v>
      </c>
      <c r="AJ66" s="19" t="n">
        <f aca="false">$B66+AJ$3*100*$A66</f>
        <v>28.875</v>
      </c>
      <c r="AK66" s="19" t="n">
        <f aca="false">$B66+AK$3*100*$A66</f>
        <v>29.6625</v>
      </c>
      <c r="AL66" s="19" t="n">
        <f aca="false">$B66+AL$3*100*$A66</f>
        <v>30.45</v>
      </c>
      <c r="AM66" s="19" t="n">
        <f aca="false">$B66+AM$3*100*$A66</f>
        <v>31.2375</v>
      </c>
      <c r="AN66" s="19" t="n">
        <f aca="false">$B66+AN$3*100*$A66</f>
        <v>32.025</v>
      </c>
      <c r="AO66" s="19" t="n">
        <f aca="false">$B66+AO$3*100*$A66</f>
        <v>32.8125</v>
      </c>
      <c r="AP66" s="19" t="n">
        <f aca="false">$B66+AP$3*100*$A66</f>
        <v>33.6</v>
      </c>
      <c r="AQ66" s="19" t="n">
        <f aca="false">$B66+AQ$3*100*$A66</f>
        <v>34.3875</v>
      </c>
      <c r="AR66" s="19" t="n">
        <f aca="false">$B66+AR$3*100*$A66</f>
        <v>35.175</v>
      </c>
      <c r="AS66" s="19" t="n">
        <f aca="false">$B66+AS$3*100*$A66</f>
        <v>35.9625</v>
      </c>
      <c r="AT66" s="19" t="n">
        <f aca="false">$B66+AT$3*100*$A66</f>
        <v>36.75</v>
      </c>
      <c r="AU66" s="19" t="n">
        <f aca="false">$B66+AU$3*100*$A66</f>
        <v>37.5375</v>
      </c>
      <c r="AV66" s="19" t="n">
        <f aca="false">$B66+AV$3*100*$A66</f>
        <v>38.325</v>
      </c>
      <c r="AW66" s="19" t="n">
        <f aca="false">$B66+AW$3*100*$A66</f>
        <v>39.1125</v>
      </c>
      <c r="AX66" s="19" t="n">
        <f aca="false">$B66+AX$3*100*$A66</f>
        <v>39.9</v>
      </c>
      <c r="AY66" s="19" t="n">
        <f aca="false">$B66+AY$3*100*$A66</f>
        <v>40.6875</v>
      </c>
      <c r="AZ66" s="19" t="n">
        <f aca="false">$B66+AZ$3*100*$A66</f>
        <v>41.475</v>
      </c>
      <c r="BA66" s="19" t="n">
        <f aca="false">$B66+BA$3*100*$A66</f>
        <v>42.2625</v>
      </c>
      <c r="BB66" s="19" t="n">
        <f aca="false">$B66+BB$3*100*$A66</f>
        <v>43.05</v>
      </c>
      <c r="BC66" s="19" t="n">
        <f aca="false">$B66+BC$3*100*$A66</f>
        <v>43.8375</v>
      </c>
      <c r="BD66" s="19" t="n">
        <f aca="false">$B66+BD$3*100*$A66</f>
        <v>44.625</v>
      </c>
      <c r="BE66" s="19" t="n">
        <f aca="false">$B66+BE$3*100*$A66</f>
        <v>45.4125</v>
      </c>
      <c r="BF66" s="19" t="n">
        <f aca="false">$B66+BF$3*100*$A66</f>
        <v>46.2</v>
      </c>
      <c r="BG66" s="19" t="n">
        <f aca="false">$B66+BG$3*100*$A66</f>
        <v>46.9875</v>
      </c>
      <c r="BH66" s="19" t="n">
        <f aca="false">$B66+BH$3*100*$A66</f>
        <v>47.775</v>
      </c>
      <c r="BI66" s="19" t="n">
        <f aca="false">$B66+BI$3*100*$A66</f>
        <v>48.5625</v>
      </c>
      <c r="BJ66" s="19" t="n">
        <f aca="false">$B66+BJ$3*100*$A66</f>
        <v>49.35</v>
      </c>
      <c r="BK66" s="19" t="n">
        <f aca="false">$B66+BK$3*100*$A66</f>
        <v>50.1375</v>
      </c>
      <c r="BL66" s="19" t="n">
        <f aca="false">$B66+BL$3*100*$A66</f>
        <v>50.925</v>
      </c>
      <c r="BM66" s="19" t="n">
        <f aca="false">$B66+BM$3*100*$A66</f>
        <v>51.7125</v>
      </c>
      <c r="BN66" s="19" t="n">
        <f aca="false">$B66+BN$3*100*$A66</f>
        <v>52.5</v>
      </c>
      <c r="BO66" s="19" t="n">
        <f aca="false">$B66+BO$3*100*$A66</f>
        <v>53.2875</v>
      </c>
      <c r="BP66" s="19" t="n">
        <f aca="false">$B66+BP$3*100*$A66</f>
        <v>54.075</v>
      </c>
      <c r="BQ66" s="19" t="n">
        <f aca="false">$B66+BQ$3*100*$A66</f>
        <v>54.8625</v>
      </c>
      <c r="BR66" s="19" t="n">
        <f aca="false">$B66+BR$3*100*$A66</f>
        <v>55.65</v>
      </c>
      <c r="BS66" s="19" t="n">
        <f aca="false">$B66+BS$3*100*$A66</f>
        <v>56.4375</v>
      </c>
      <c r="BT66" s="19" t="n">
        <f aca="false">$B66+BT$3*100*$A66</f>
        <v>57.225</v>
      </c>
      <c r="BU66" s="19" t="n">
        <f aca="false">$B66+BU$3*100*$A66</f>
        <v>58.0125</v>
      </c>
      <c r="BV66" s="19" t="n">
        <f aca="false">$B66+BV$3*100*$A66</f>
        <v>58.8</v>
      </c>
      <c r="BW66" s="19" t="n">
        <f aca="false">$B66+BW$3*100*$A66</f>
        <v>59.5875</v>
      </c>
      <c r="BX66" s="19" t="n">
        <f aca="false">$B66+BX$3*100*$A66</f>
        <v>60.375</v>
      </c>
      <c r="BY66" s="19" t="n">
        <f aca="false">$B66+BY$3*100*$A66</f>
        <v>61.1625</v>
      </c>
      <c r="BZ66" s="19" t="n">
        <f aca="false">$B66+BZ$3*100*$A66</f>
        <v>61.95</v>
      </c>
      <c r="CA66" s="19" t="n">
        <f aca="false">$B66+CA$3*100*$A66</f>
        <v>62.7375</v>
      </c>
      <c r="CB66" s="19" t="n">
        <f aca="false">$B66+CB$3*100*$A66</f>
        <v>63.525</v>
      </c>
      <c r="CC66" s="19" t="n">
        <f aca="false">$B66+CC$3*100*$A66</f>
        <v>64.3125</v>
      </c>
      <c r="CD66" s="19" t="n">
        <f aca="false">$B66+CD$3*100*$A66</f>
        <v>65.1</v>
      </c>
      <c r="CE66" s="19" t="n">
        <f aca="false">$B66+CE$3*100*$A66</f>
        <v>65.8875</v>
      </c>
      <c r="CF66" s="19" t="n">
        <f aca="false">$B66+CF$3*100*$A66</f>
        <v>66.675</v>
      </c>
      <c r="CG66" s="19" t="n">
        <f aca="false">$B66+CG$3*100*$A66</f>
        <v>67.4625</v>
      </c>
      <c r="CH66" s="19" t="n">
        <f aca="false">$B66+CH$3*100*$A66</f>
        <v>68.25</v>
      </c>
      <c r="CI66" s="19" t="n">
        <f aca="false">$B66+CI$3*100*$A66</f>
        <v>69.0375</v>
      </c>
      <c r="CJ66" s="19" t="n">
        <f aca="false">$B66+CJ$3*100*$A66</f>
        <v>69.825</v>
      </c>
      <c r="CK66" s="19" t="n">
        <f aca="false">$B66+CK$3*100*$A66</f>
        <v>70.6125</v>
      </c>
      <c r="CL66" s="19" t="n">
        <f aca="false">$B66+CL$3*100*$A66</f>
        <v>71.4</v>
      </c>
      <c r="CM66" s="19" t="n">
        <f aca="false">$B66+CM$3*100*$A66</f>
        <v>72.1875</v>
      </c>
      <c r="CN66" s="19" t="n">
        <f aca="false">$B66+CN$3*100*$A66</f>
        <v>72.975</v>
      </c>
      <c r="CO66" s="19" t="n">
        <f aca="false">$B66+CO$3*100*$A66</f>
        <v>73.7625</v>
      </c>
      <c r="CP66" s="19" t="n">
        <f aca="false">$B66+CP$3*100*$A66</f>
        <v>74.55</v>
      </c>
      <c r="CQ66" s="19" t="n">
        <f aca="false">$B66+CQ$3*100*$A66</f>
        <v>75.3375</v>
      </c>
      <c r="CR66" s="19" t="n">
        <f aca="false">$B66+CR$3*100*$A66</f>
        <v>76.125</v>
      </c>
      <c r="CS66" s="19" t="n">
        <f aca="false">$B66+CS$3*100*$A66</f>
        <v>76.9125</v>
      </c>
      <c r="CT66" s="19" t="n">
        <f aca="false">$B66+CT$3*100*$A66</f>
        <v>77.7</v>
      </c>
      <c r="CU66" s="19" t="n">
        <f aca="false">$B66+CU$3*100*$A66</f>
        <v>78.4875</v>
      </c>
      <c r="CV66" s="19" t="n">
        <f aca="false">$B66+CV$3*100*$A66</f>
        <v>79.275</v>
      </c>
      <c r="CW66" s="19" t="n">
        <f aca="false">$B66+CW$3*100*$A66</f>
        <v>80.0625</v>
      </c>
      <c r="CX66" s="19" t="n">
        <f aca="false">$B66+CX$3*100*$A66</f>
        <v>80.85</v>
      </c>
      <c r="CY66" s="19" t="n">
        <f aca="false">$B66+CY$3*100*$A66</f>
        <v>81.6375</v>
      </c>
      <c r="CZ66" s="19" t="n">
        <f aca="false">$B66+CZ$3*100*$A66</f>
        <v>82.425</v>
      </c>
      <c r="DA66" s="19" t="n">
        <f aca="false">$B66+DA$3*100*$A66</f>
        <v>83.2125</v>
      </c>
      <c r="DB66" s="19" t="n">
        <f aca="false">$B66+DB$3*100*$A66</f>
        <v>84</v>
      </c>
      <c r="DC66" s="19" t="n">
        <f aca="false">$B66+DC$3*100*$A66</f>
        <v>84.7875</v>
      </c>
      <c r="DD66" s="19" t="n">
        <f aca="false">$B66+DD$3*100*$A66</f>
        <v>85.575</v>
      </c>
      <c r="DE66" s="19" t="n">
        <f aca="false">$B66+DE$3*100*$A66</f>
        <v>86.3625</v>
      </c>
      <c r="DF66" s="19" t="n">
        <f aca="false">$B66+DF$3*100*$A66</f>
        <v>87.15</v>
      </c>
      <c r="DG66" s="19" t="n">
        <f aca="false">$B66+DG$3*100*$A66</f>
        <v>87.9375</v>
      </c>
      <c r="DH66" s="19" t="n">
        <f aca="false">$B66+DH$3*100*$A66</f>
        <v>88.725</v>
      </c>
      <c r="DI66" s="19" t="n">
        <f aca="false">$B66+DI$3*100*$A66</f>
        <v>89.5125</v>
      </c>
      <c r="DJ66" s="19" t="n">
        <f aca="false">$B66+DJ$3*100*$A66</f>
        <v>90.3</v>
      </c>
      <c r="DK66" s="19" t="n">
        <f aca="false">$B66+DK$3*100*$A66</f>
        <v>91.0875</v>
      </c>
      <c r="DL66" s="19" t="n">
        <f aca="false">$B66+DL$3*100*$A66</f>
        <v>91.875</v>
      </c>
      <c r="DM66" s="19" t="n">
        <f aca="false">$B66+DM$3*100*$A66</f>
        <v>92.6625</v>
      </c>
      <c r="DN66" s="19" t="n">
        <f aca="false">$B66+DN$3*100*$A66</f>
        <v>93.45</v>
      </c>
      <c r="DO66" s="19" t="n">
        <f aca="false">$B66+DO$3*100*$A66</f>
        <v>94.2375</v>
      </c>
      <c r="DP66" s="19" t="n">
        <f aca="false">$B66+DP$3*100*$A66</f>
        <v>95.025</v>
      </c>
      <c r="DQ66" s="19" t="n">
        <f aca="false">$B66+DQ$3*100*$A66</f>
        <v>95.8125</v>
      </c>
      <c r="DR66" s="19" t="n">
        <f aca="false">$B66+DR$3*100*$A66</f>
        <v>96.6</v>
      </c>
      <c r="DS66" s="19" t="n">
        <f aca="false">$B66+DS$3*100*$A66</f>
        <v>97.3875</v>
      </c>
      <c r="DT66" s="19" t="n">
        <f aca="false">$B66+DT$3*100*$A66</f>
        <v>98.175</v>
      </c>
      <c r="DU66" s="19" t="n">
        <f aca="false">$B66+DU$3*100*$A66</f>
        <v>98.9625</v>
      </c>
      <c r="DV66" s="19" t="n">
        <f aca="false">$B66+DV$3*100*$A66</f>
        <v>99.75</v>
      </c>
      <c r="DW66" s="19" t="n">
        <f aca="false">$B66+DW$3*100*$A66</f>
        <v>100.5375</v>
      </c>
      <c r="DX66" s="19" t="n">
        <f aca="false">$B66+DX$3*100*$A66</f>
        <v>101.325</v>
      </c>
      <c r="DY66" s="19" t="n">
        <f aca="false">$B66+DY$3*100*$A66</f>
        <v>102.1125</v>
      </c>
      <c r="DZ66" s="19" t="n">
        <f aca="false">$B66+DZ$3*100*$A66</f>
        <v>102.9</v>
      </c>
      <c r="EA66" s="19" t="n">
        <f aca="false">$B66+EA$3*100*$A66</f>
        <v>103.6875</v>
      </c>
      <c r="EB66" s="19" t="n">
        <f aca="false">$B66+EB$3*100*$A66</f>
        <v>104.475</v>
      </c>
      <c r="EC66" s="19" t="n">
        <f aca="false">$B66+EC$3*100*$A66</f>
        <v>105.2625</v>
      </c>
      <c r="ED66" s="19" t="n">
        <f aca="false">$B66+ED$3*100*$A66</f>
        <v>106.05</v>
      </c>
      <c r="EE66" s="19" t="n">
        <f aca="false">$B66+EE$3*100*$A66</f>
        <v>106.8375</v>
      </c>
      <c r="EF66" s="19" t="n">
        <f aca="false">$B66+EF$3*100*$A66</f>
        <v>107.625</v>
      </c>
      <c r="EG66" s="19" t="n">
        <f aca="false">$B66+EG$3*100*$A66</f>
        <v>108.4125</v>
      </c>
      <c r="EH66" s="19" t="n">
        <f aca="false">$B66+EH$3*100*$A66</f>
        <v>109.2</v>
      </c>
      <c r="EI66" s="19" t="n">
        <f aca="false">$B66+EI$3*100*$A66</f>
        <v>109.9875</v>
      </c>
      <c r="EJ66" s="19" t="n">
        <f aca="false">$B66+EJ$3*100*$A66</f>
        <v>110.775</v>
      </c>
      <c r="EK66" s="19" t="n">
        <f aca="false">$B66+EK$3*100*$A66</f>
        <v>111.5625</v>
      </c>
      <c r="EL66" s="19" t="n">
        <f aca="false">$B66+EL$3*100*$A66</f>
        <v>112.35</v>
      </c>
      <c r="EM66" s="19" t="n">
        <f aca="false">$B66+EM$3*100*$A66</f>
        <v>113.1375</v>
      </c>
      <c r="EN66" s="19" t="n">
        <f aca="false">$B66+EN$3*100*$A66</f>
        <v>113.925</v>
      </c>
      <c r="EO66" s="19" t="n">
        <f aca="false">$B66+EO$3*100*$A66</f>
        <v>114.7125</v>
      </c>
      <c r="EP66" s="19" t="n">
        <f aca="false">$B66+EP$3*100*$A66</f>
        <v>115.5</v>
      </c>
      <c r="EQ66" s="19" t="n">
        <f aca="false">$B66+EQ$3*100*$A66</f>
        <v>116.2875</v>
      </c>
      <c r="ER66" s="19" t="n">
        <f aca="false">$B66+ER$3*100*$A66</f>
        <v>117.075</v>
      </c>
      <c r="ES66" s="19" t="n">
        <f aca="false">$B66+ES$3*100*$A66</f>
        <v>117.8625</v>
      </c>
      <c r="ET66" s="19" t="n">
        <f aca="false">$B66+ET$3*100*$A66</f>
        <v>118.65</v>
      </c>
      <c r="EU66" s="19" t="n">
        <f aca="false">$B66+EU$3*100*$A66</f>
        <v>119.4375</v>
      </c>
      <c r="EV66" s="19" t="n">
        <f aca="false">$B66+EV$3*100*$A66</f>
        <v>120.225</v>
      </c>
      <c r="EW66" s="19" t="n">
        <f aca="false">$B66+EW$3*100*$A66</f>
        <v>121.0125</v>
      </c>
      <c r="EX66" s="19" t="n">
        <f aca="false">$B66+EX$3*100*$A66</f>
        <v>121.8</v>
      </c>
      <c r="EY66" s="19" t="n">
        <f aca="false">$B66+EY$3*100*$A66</f>
        <v>122.5875</v>
      </c>
      <c r="EZ66" s="19" t="n">
        <f aca="false">$B66+EZ$3*100*$A66</f>
        <v>123.375</v>
      </c>
      <c r="FA66" s="19" t="n">
        <f aca="false">$B66+FA$3*100*$A66</f>
        <v>124.1625</v>
      </c>
      <c r="FB66" s="19" t="n">
        <f aca="false">$B66+FB$3*100*$A66</f>
        <v>124.95</v>
      </c>
      <c r="FC66" s="19" t="n">
        <f aca="false">$B66+FC$3*100*$A66</f>
        <v>125.7375</v>
      </c>
      <c r="FD66" s="19" t="n">
        <f aca="false">$B66+FD$3*100*$A66</f>
        <v>126.525</v>
      </c>
      <c r="FE66" s="19" t="n">
        <f aca="false">$B66+FE$3*100*$A66</f>
        <v>127.3125</v>
      </c>
      <c r="FF66" s="19" t="n">
        <f aca="false">$B66+FF$3*100*$A66</f>
        <v>128.1</v>
      </c>
      <c r="FG66" s="19" t="n">
        <f aca="false">$B66+FG$3*100*$A66</f>
        <v>128.8875</v>
      </c>
      <c r="FH66" s="19" t="n">
        <f aca="false">$B66+FH$3*100*$A66</f>
        <v>129.675</v>
      </c>
      <c r="FI66" s="19" t="n">
        <f aca="false">$B66+FI$3*100*$A66</f>
        <v>130.4625</v>
      </c>
      <c r="FJ66" s="19" t="n">
        <f aca="false">$B66+FJ$3*100*$A66</f>
        <v>131.25</v>
      </c>
      <c r="FK66" s="19" t="n">
        <f aca="false">$B66+FK$3*100*$A66</f>
        <v>132.0375</v>
      </c>
      <c r="FL66" s="19" t="n">
        <f aca="false">$B66+FL$3*100*$A66</f>
        <v>132.825</v>
      </c>
      <c r="FM66" s="19" t="n">
        <f aca="false">$B66+FM$3*100*$A66</f>
        <v>133.6125</v>
      </c>
      <c r="FN66" s="19" t="n">
        <f aca="false">$B66+FN$3*100*$A66</f>
        <v>134.4</v>
      </c>
      <c r="FO66" s="19" t="n">
        <f aca="false">$B66+FO$3*100*$A66</f>
        <v>135.1875</v>
      </c>
      <c r="FP66" s="19" t="n">
        <f aca="false">$B66+FP$3*100*$A66</f>
        <v>135.975</v>
      </c>
      <c r="FQ66" s="19" t="n">
        <f aca="false">$B66+FQ$3*100*$A66</f>
        <v>136.7625</v>
      </c>
      <c r="FR66" s="19" t="n">
        <f aca="false">$B66+FR$3*100*$A66</f>
        <v>137.55</v>
      </c>
      <c r="FS66" s="19" t="n">
        <f aca="false">$B66+FS$3*100*$A66</f>
        <v>138.3375</v>
      </c>
      <c r="FT66" s="19" t="n">
        <f aca="false">$B66+FT$3*100*$A66</f>
        <v>139.125</v>
      </c>
      <c r="FU66" s="19" t="n">
        <f aca="false">$B66+FU$3*100*$A66</f>
        <v>139.9125</v>
      </c>
      <c r="FV66" s="19" t="n">
        <f aca="false">$B66+FV$3*100*$A66</f>
        <v>140.7</v>
      </c>
      <c r="FW66" s="19" t="n">
        <f aca="false">$B66+FW$3*100*$A66</f>
        <v>141.4875</v>
      </c>
      <c r="FX66" s="19" t="n">
        <f aca="false">$B66+FX$3*100*$A66</f>
        <v>142.275</v>
      </c>
      <c r="FY66" s="19" t="n">
        <f aca="false">$B66+FY$3*100*$A66</f>
        <v>143.0625</v>
      </c>
      <c r="FZ66" s="19" t="n">
        <f aca="false">$B66+FZ$3*100*$A66</f>
        <v>143.85</v>
      </c>
      <c r="GA66" s="19" t="n">
        <f aca="false">$B66+GA$3*100*$A66</f>
        <v>144.6375</v>
      </c>
      <c r="GB66" s="19" t="n">
        <f aca="false">$B66+GB$3*100*$A66</f>
        <v>145.425</v>
      </c>
      <c r="GC66" s="19" t="n">
        <f aca="false">$B66+GC$3*100*$A66</f>
        <v>146.2125</v>
      </c>
      <c r="GD66" s="19" t="n">
        <f aca="false">$B66+GD$3*100*$A66</f>
        <v>147</v>
      </c>
      <c r="GE66" s="19" t="n">
        <f aca="false">$B66+GE$3*100*$A66</f>
        <v>147.7875</v>
      </c>
      <c r="GF66" s="19" t="n">
        <f aca="false">$B66+GF$3*100*$A66</f>
        <v>148.575</v>
      </c>
      <c r="GG66" s="19" t="n">
        <f aca="false">$B66+GG$3*100*$A66</f>
        <v>149.3625</v>
      </c>
      <c r="GH66" s="19" t="n">
        <f aca="false">$B66+GH$3*100*$A66</f>
        <v>150.15</v>
      </c>
      <c r="GI66" s="19" t="n">
        <f aca="false">$B66+GI$3*100*$A66</f>
        <v>150.9375</v>
      </c>
      <c r="GJ66" s="19" t="n">
        <f aca="false">$B66+GJ$3*100*$A66</f>
        <v>151.725</v>
      </c>
      <c r="GK66" s="19" t="n">
        <f aca="false">$B66+GK$3*100*$A66</f>
        <v>152.5125</v>
      </c>
      <c r="GL66" s="19" t="n">
        <f aca="false">$B66+GL$3*100*$A66</f>
        <v>153.3</v>
      </c>
      <c r="GM66" s="19" t="n">
        <f aca="false">$B66+GM$3*100*$A66</f>
        <v>154.0875</v>
      </c>
      <c r="GN66" s="19" t="n">
        <f aca="false">$B66+GN$3*100*$A66</f>
        <v>154.875</v>
      </c>
      <c r="GO66" s="19" t="n">
        <f aca="false">$B66+GO$3*100*$A66</f>
        <v>155.6625</v>
      </c>
      <c r="GP66" s="19" t="n">
        <f aca="false">$B66+GP$3*100*$A66</f>
        <v>156.45</v>
      </c>
      <c r="GQ66" s="19" t="n">
        <f aca="false">$B66+GQ$3*100*$A66</f>
        <v>157.2375</v>
      </c>
      <c r="GR66" s="19" t="n">
        <f aca="false">$B66+GR$3*100*$A66</f>
        <v>158.025</v>
      </c>
      <c r="GS66" s="19" t="n">
        <f aca="false">$B66+GS$3*100*$A66</f>
        <v>158.8125</v>
      </c>
      <c r="GT66" s="19" t="n">
        <f aca="false">$B66+GT$3*100*$A66</f>
        <v>159.6</v>
      </c>
    </row>
    <row r="67" customFormat="false" ht="15" hidden="false" customHeight="false" outlineLevel="0" collapsed="false">
      <c r="A67" s="26" t="n">
        <f aca="false">Frontier!A65</f>
        <v>0.16</v>
      </c>
      <c r="B67" s="34" t="n">
        <f aca="false">Frontier!B65</f>
        <v>2.06871559135782</v>
      </c>
      <c r="C67" s="19" t="n">
        <f aca="false">$B67+C$3*100*$A67</f>
        <v>2.86871559135782</v>
      </c>
      <c r="D67" s="19" t="n">
        <f aca="false">$B67+D$3*100*$A67</f>
        <v>3.66871559135782</v>
      </c>
      <c r="E67" s="19" t="n">
        <f aca="false">$B67+E$3*100*$A67</f>
        <v>4.46871559135782</v>
      </c>
      <c r="F67" s="19" t="n">
        <f aca="false">$B67+F$3*100*$A67</f>
        <v>5.26871559135782</v>
      </c>
      <c r="G67" s="19" t="n">
        <f aca="false">$B67+G$3*100*$A67</f>
        <v>6.06871559135782</v>
      </c>
      <c r="H67" s="19" t="n">
        <f aca="false">$B67+H$3*100*$A67</f>
        <v>6.86871559135782</v>
      </c>
      <c r="I67" s="19" t="n">
        <f aca="false">$B67+I$3*100*$A67</f>
        <v>7.66871559135782</v>
      </c>
      <c r="J67" s="19" t="n">
        <f aca="false">$B67+J$3*100*$A67</f>
        <v>8.46871559135782</v>
      </c>
      <c r="K67" s="19" t="n">
        <f aca="false">$B67+K$3*100*$A67</f>
        <v>9.26871559135782</v>
      </c>
      <c r="L67" s="19" t="n">
        <f aca="false">$B67+L$3*100*$A67</f>
        <v>10.0687155913578</v>
      </c>
      <c r="M67" s="19" t="n">
        <f aca="false">$B67+M$3*100*$A67</f>
        <v>10.8687155913578</v>
      </c>
      <c r="N67" s="19" t="n">
        <f aca="false">$B67+N$3*100*$A67</f>
        <v>11.6687155913578</v>
      </c>
      <c r="O67" s="19" t="n">
        <f aca="false">$B67+O$3*100*$A67</f>
        <v>12.4687155913578</v>
      </c>
      <c r="P67" s="19" t="n">
        <f aca="false">$B67+P$3*100*$A67</f>
        <v>13.2687155913578</v>
      </c>
      <c r="Q67" s="19" t="n">
        <f aca="false">$B67+Q$3*100*$A67</f>
        <v>14.0687155913578</v>
      </c>
      <c r="R67" s="19" t="n">
        <f aca="false">$B67+R$3*100*$A67</f>
        <v>14.8687155913578</v>
      </c>
      <c r="S67" s="19" t="n">
        <f aca="false">$B67+S$3*100*$A67</f>
        <v>15.6687155913578</v>
      </c>
      <c r="T67" s="19" t="n">
        <f aca="false">$B67+T$3*100*$A67</f>
        <v>16.4687155913578</v>
      </c>
      <c r="U67" s="19" t="n">
        <f aca="false">$B67+U$3*100*$A67</f>
        <v>17.2687155913578</v>
      </c>
      <c r="V67" s="19" t="n">
        <f aca="false">$B67+V$3*100*$A67</f>
        <v>18.0687155913578</v>
      </c>
      <c r="W67" s="19" t="n">
        <f aca="false">$B67+W$3*100*$A67</f>
        <v>18.8687155913578</v>
      </c>
      <c r="X67" s="19" t="n">
        <f aca="false">$B67+X$3*100*$A67</f>
        <v>19.6687155913578</v>
      </c>
      <c r="Y67" s="19" t="n">
        <f aca="false">$B67+Y$3*100*$A67</f>
        <v>20.4687155913578</v>
      </c>
      <c r="Z67" s="19" t="n">
        <f aca="false">$B67+Z$3*100*$A67</f>
        <v>21.2687155913578</v>
      </c>
      <c r="AA67" s="19" t="n">
        <f aca="false">$B67+AA$3*100*$A67</f>
        <v>22.0687155913578</v>
      </c>
      <c r="AB67" s="19" t="n">
        <f aca="false">$B67+AB$3*100*$A67</f>
        <v>22.8687155913578</v>
      </c>
      <c r="AC67" s="19" t="n">
        <f aca="false">$B67+AC$3*100*$A67</f>
        <v>23.6687155913578</v>
      </c>
      <c r="AD67" s="19" t="n">
        <f aca="false">$B67+AD$3*100*$A67</f>
        <v>24.4687155913578</v>
      </c>
      <c r="AE67" s="19" t="n">
        <f aca="false">$B67+AE$3*100*$A67</f>
        <v>25.2687155913578</v>
      </c>
      <c r="AF67" s="19" t="n">
        <f aca="false">$B67+AF$3*100*$A67</f>
        <v>26.0687155913578</v>
      </c>
      <c r="AG67" s="19" t="n">
        <f aca="false">$B67+AG$3*100*$A67</f>
        <v>26.8687155913578</v>
      </c>
      <c r="AH67" s="19" t="n">
        <f aca="false">$B67+AH$3*100*$A67</f>
        <v>27.6687155913578</v>
      </c>
      <c r="AI67" s="19" t="n">
        <f aca="false">$B67+AI$3*100*$A67</f>
        <v>28.4687155913578</v>
      </c>
      <c r="AJ67" s="19" t="n">
        <f aca="false">$B67+AJ$3*100*$A67</f>
        <v>29.2687155913578</v>
      </c>
      <c r="AK67" s="19" t="n">
        <f aca="false">$B67+AK$3*100*$A67</f>
        <v>30.0687155913578</v>
      </c>
      <c r="AL67" s="19" t="n">
        <f aca="false">$B67+AL$3*100*$A67</f>
        <v>30.8687155913578</v>
      </c>
      <c r="AM67" s="19" t="n">
        <f aca="false">$B67+AM$3*100*$A67</f>
        <v>31.6687155913578</v>
      </c>
      <c r="AN67" s="19" t="n">
        <f aca="false">$B67+AN$3*100*$A67</f>
        <v>32.4687155913578</v>
      </c>
      <c r="AO67" s="19" t="n">
        <f aca="false">$B67+AO$3*100*$A67</f>
        <v>33.2687155913578</v>
      </c>
      <c r="AP67" s="19" t="n">
        <f aca="false">$B67+AP$3*100*$A67</f>
        <v>34.0687155913578</v>
      </c>
      <c r="AQ67" s="19" t="n">
        <f aca="false">$B67+AQ$3*100*$A67</f>
        <v>34.8687155913578</v>
      </c>
      <c r="AR67" s="19" t="n">
        <f aca="false">$B67+AR$3*100*$A67</f>
        <v>35.6687155913578</v>
      </c>
      <c r="AS67" s="19" t="n">
        <f aca="false">$B67+AS$3*100*$A67</f>
        <v>36.4687155913578</v>
      </c>
      <c r="AT67" s="19" t="n">
        <f aca="false">$B67+AT$3*100*$A67</f>
        <v>37.2687155913578</v>
      </c>
      <c r="AU67" s="19" t="n">
        <f aca="false">$B67+AU$3*100*$A67</f>
        <v>38.0687155913578</v>
      </c>
      <c r="AV67" s="19" t="n">
        <f aca="false">$B67+AV$3*100*$A67</f>
        <v>38.8687155913578</v>
      </c>
      <c r="AW67" s="19" t="n">
        <f aca="false">$B67+AW$3*100*$A67</f>
        <v>39.6687155913578</v>
      </c>
      <c r="AX67" s="19" t="n">
        <f aca="false">$B67+AX$3*100*$A67</f>
        <v>40.4687155913578</v>
      </c>
      <c r="AY67" s="19" t="n">
        <f aca="false">$B67+AY$3*100*$A67</f>
        <v>41.2687155913578</v>
      </c>
      <c r="AZ67" s="19" t="n">
        <f aca="false">$B67+AZ$3*100*$A67</f>
        <v>42.0687155913578</v>
      </c>
      <c r="BA67" s="19" t="n">
        <f aca="false">$B67+BA$3*100*$A67</f>
        <v>42.8687155913578</v>
      </c>
      <c r="BB67" s="19" t="n">
        <f aca="false">$B67+BB$3*100*$A67</f>
        <v>43.6687155913578</v>
      </c>
      <c r="BC67" s="19" t="n">
        <f aca="false">$B67+BC$3*100*$A67</f>
        <v>44.4687155913578</v>
      </c>
      <c r="BD67" s="19" t="n">
        <f aca="false">$B67+BD$3*100*$A67</f>
        <v>45.2687155913578</v>
      </c>
      <c r="BE67" s="19" t="n">
        <f aca="false">$B67+BE$3*100*$A67</f>
        <v>46.0687155913578</v>
      </c>
      <c r="BF67" s="19" t="n">
        <f aca="false">$B67+BF$3*100*$A67</f>
        <v>46.8687155913578</v>
      </c>
      <c r="BG67" s="19" t="n">
        <f aca="false">$B67+BG$3*100*$A67</f>
        <v>47.6687155913578</v>
      </c>
      <c r="BH67" s="19" t="n">
        <f aca="false">$B67+BH$3*100*$A67</f>
        <v>48.4687155913578</v>
      </c>
      <c r="BI67" s="19" t="n">
        <f aca="false">$B67+BI$3*100*$A67</f>
        <v>49.2687155913578</v>
      </c>
      <c r="BJ67" s="19" t="n">
        <f aca="false">$B67+BJ$3*100*$A67</f>
        <v>50.0687155913578</v>
      </c>
      <c r="BK67" s="19" t="n">
        <f aca="false">$B67+BK$3*100*$A67</f>
        <v>50.8687155913578</v>
      </c>
      <c r="BL67" s="19" t="n">
        <f aca="false">$B67+BL$3*100*$A67</f>
        <v>51.6687155913578</v>
      </c>
      <c r="BM67" s="19" t="n">
        <f aca="false">$B67+BM$3*100*$A67</f>
        <v>52.4687155913578</v>
      </c>
      <c r="BN67" s="19" t="n">
        <f aca="false">$B67+BN$3*100*$A67</f>
        <v>53.2687155913578</v>
      </c>
      <c r="BO67" s="19" t="n">
        <f aca="false">$B67+BO$3*100*$A67</f>
        <v>54.0687155913578</v>
      </c>
      <c r="BP67" s="19" t="n">
        <f aca="false">$B67+BP$3*100*$A67</f>
        <v>54.8687155913578</v>
      </c>
      <c r="BQ67" s="19" t="n">
        <f aca="false">$B67+BQ$3*100*$A67</f>
        <v>55.6687155913578</v>
      </c>
      <c r="BR67" s="19" t="n">
        <f aca="false">$B67+BR$3*100*$A67</f>
        <v>56.4687155913578</v>
      </c>
      <c r="BS67" s="19" t="n">
        <f aca="false">$B67+BS$3*100*$A67</f>
        <v>57.2687155913578</v>
      </c>
      <c r="BT67" s="19" t="n">
        <f aca="false">$B67+BT$3*100*$A67</f>
        <v>58.0687155913578</v>
      </c>
      <c r="BU67" s="19" t="n">
        <f aca="false">$B67+BU$3*100*$A67</f>
        <v>58.8687155913578</v>
      </c>
      <c r="BV67" s="19" t="n">
        <f aca="false">$B67+BV$3*100*$A67</f>
        <v>59.6687155913578</v>
      </c>
      <c r="BW67" s="19" t="n">
        <f aca="false">$B67+BW$3*100*$A67</f>
        <v>60.4687155913578</v>
      </c>
      <c r="BX67" s="19" t="n">
        <f aca="false">$B67+BX$3*100*$A67</f>
        <v>61.2687155913578</v>
      </c>
      <c r="BY67" s="19" t="n">
        <f aca="false">$B67+BY$3*100*$A67</f>
        <v>62.0687155913578</v>
      </c>
      <c r="BZ67" s="19" t="n">
        <f aca="false">$B67+BZ$3*100*$A67</f>
        <v>62.8687155913578</v>
      </c>
      <c r="CA67" s="19" t="n">
        <f aca="false">$B67+CA$3*100*$A67</f>
        <v>63.6687155913578</v>
      </c>
      <c r="CB67" s="19" t="n">
        <f aca="false">$B67+CB$3*100*$A67</f>
        <v>64.4687155913578</v>
      </c>
      <c r="CC67" s="19" t="n">
        <f aca="false">$B67+CC$3*100*$A67</f>
        <v>65.2687155913578</v>
      </c>
      <c r="CD67" s="19" t="n">
        <f aca="false">$B67+CD$3*100*$A67</f>
        <v>66.0687155913578</v>
      </c>
      <c r="CE67" s="19" t="n">
        <f aca="false">$B67+CE$3*100*$A67</f>
        <v>66.8687155913578</v>
      </c>
      <c r="CF67" s="19" t="n">
        <f aca="false">$B67+CF$3*100*$A67</f>
        <v>67.6687155913578</v>
      </c>
      <c r="CG67" s="19" t="n">
        <f aca="false">$B67+CG$3*100*$A67</f>
        <v>68.4687155913578</v>
      </c>
      <c r="CH67" s="19" t="n">
        <f aca="false">$B67+CH$3*100*$A67</f>
        <v>69.2687155913578</v>
      </c>
      <c r="CI67" s="19" t="n">
        <f aca="false">$B67+CI$3*100*$A67</f>
        <v>70.0687155913578</v>
      </c>
      <c r="CJ67" s="19" t="n">
        <f aca="false">$B67+CJ$3*100*$A67</f>
        <v>70.8687155913578</v>
      </c>
      <c r="CK67" s="19" t="n">
        <f aca="false">$B67+CK$3*100*$A67</f>
        <v>71.6687155913578</v>
      </c>
      <c r="CL67" s="19" t="n">
        <f aca="false">$B67+CL$3*100*$A67</f>
        <v>72.4687155913578</v>
      </c>
      <c r="CM67" s="19" t="n">
        <f aca="false">$B67+CM$3*100*$A67</f>
        <v>73.2687155913578</v>
      </c>
      <c r="CN67" s="19" t="n">
        <f aca="false">$B67+CN$3*100*$A67</f>
        <v>74.0687155913578</v>
      </c>
      <c r="CO67" s="19" t="n">
        <f aca="false">$B67+CO$3*100*$A67</f>
        <v>74.8687155913578</v>
      </c>
      <c r="CP67" s="19" t="n">
        <f aca="false">$B67+CP$3*100*$A67</f>
        <v>75.6687155913578</v>
      </c>
      <c r="CQ67" s="19" t="n">
        <f aca="false">$B67+CQ$3*100*$A67</f>
        <v>76.4687155913578</v>
      </c>
      <c r="CR67" s="19" t="n">
        <f aca="false">$B67+CR$3*100*$A67</f>
        <v>77.2687155913578</v>
      </c>
      <c r="CS67" s="19" t="n">
        <f aca="false">$B67+CS$3*100*$A67</f>
        <v>78.0687155913578</v>
      </c>
      <c r="CT67" s="19" t="n">
        <f aca="false">$B67+CT$3*100*$A67</f>
        <v>78.8687155913578</v>
      </c>
      <c r="CU67" s="19" t="n">
        <f aca="false">$B67+CU$3*100*$A67</f>
        <v>79.6687155913578</v>
      </c>
      <c r="CV67" s="19" t="n">
        <f aca="false">$B67+CV$3*100*$A67</f>
        <v>80.4687155913578</v>
      </c>
      <c r="CW67" s="19" t="n">
        <f aca="false">$B67+CW$3*100*$A67</f>
        <v>81.2687155913578</v>
      </c>
      <c r="CX67" s="19" t="n">
        <f aca="false">$B67+CX$3*100*$A67</f>
        <v>82.0687155913578</v>
      </c>
      <c r="CY67" s="19" t="n">
        <f aca="false">$B67+CY$3*100*$A67</f>
        <v>82.8687155913578</v>
      </c>
      <c r="CZ67" s="19" t="n">
        <f aca="false">$B67+CZ$3*100*$A67</f>
        <v>83.6687155913578</v>
      </c>
      <c r="DA67" s="19" t="n">
        <f aca="false">$B67+DA$3*100*$A67</f>
        <v>84.4687155913578</v>
      </c>
      <c r="DB67" s="19" t="n">
        <f aca="false">$B67+DB$3*100*$A67</f>
        <v>85.2687155913578</v>
      </c>
      <c r="DC67" s="19" t="n">
        <f aca="false">$B67+DC$3*100*$A67</f>
        <v>86.0687155913578</v>
      </c>
      <c r="DD67" s="19" t="n">
        <f aca="false">$B67+DD$3*100*$A67</f>
        <v>86.8687155913578</v>
      </c>
      <c r="DE67" s="19" t="n">
        <f aca="false">$B67+DE$3*100*$A67</f>
        <v>87.6687155913578</v>
      </c>
      <c r="DF67" s="19" t="n">
        <f aca="false">$B67+DF$3*100*$A67</f>
        <v>88.4687155913578</v>
      </c>
      <c r="DG67" s="19" t="n">
        <f aca="false">$B67+DG$3*100*$A67</f>
        <v>89.2687155913578</v>
      </c>
      <c r="DH67" s="19" t="n">
        <f aca="false">$B67+DH$3*100*$A67</f>
        <v>90.0687155913578</v>
      </c>
      <c r="DI67" s="19" t="n">
        <f aca="false">$B67+DI$3*100*$A67</f>
        <v>90.8687155913578</v>
      </c>
      <c r="DJ67" s="19" t="n">
        <f aca="false">$B67+DJ$3*100*$A67</f>
        <v>91.6687155913578</v>
      </c>
      <c r="DK67" s="19" t="n">
        <f aca="false">$B67+DK$3*100*$A67</f>
        <v>92.4687155913578</v>
      </c>
      <c r="DL67" s="19" t="n">
        <f aca="false">$B67+DL$3*100*$A67</f>
        <v>93.2687155913578</v>
      </c>
      <c r="DM67" s="19" t="n">
        <f aca="false">$B67+DM$3*100*$A67</f>
        <v>94.0687155913578</v>
      </c>
      <c r="DN67" s="19" t="n">
        <f aca="false">$B67+DN$3*100*$A67</f>
        <v>94.8687155913578</v>
      </c>
      <c r="DO67" s="19" t="n">
        <f aca="false">$B67+DO$3*100*$A67</f>
        <v>95.6687155913578</v>
      </c>
      <c r="DP67" s="19" t="n">
        <f aca="false">$B67+DP$3*100*$A67</f>
        <v>96.4687155913578</v>
      </c>
      <c r="DQ67" s="19" t="n">
        <f aca="false">$B67+DQ$3*100*$A67</f>
        <v>97.2687155913578</v>
      </c>
      <c r="DR67" s="19" t="n">
        <f aca="false">$B67+DR$3*100*$A67</f>
        <v>98.0687155913578</v>
      </c>
      <c r="DS67" s="19" t="n">
        <f aca="false">$B67+DS$3*100*$A67</f>
        <v>98.8687155913578</v>
      </c>
      <c r="DT67" s="19" t="n">
        <f aca="false">$B67+DT$3*100*$A67</f>
        <v>99.6687155913578</v>
      </c>
      <c r="DU67" s="19" t="n">
        <f aca="false">$B67+DU$3*100*$A67</f>
        <v>100.468715591358</v>
      </c>
      <c r="DV67" s="19" t="n">
        <f aca="false">$B67+DV$3*100*$A67</f>
        <v>101.268715591358</v>
      </c>
      <c r="DW67" s="19" t="n">
        <f aca="false">$B67+DW$3*100*$A67</f>
        <v>102.068715591358</v>
      </c>
      <c r="DX67" s="19" t="n">
        <f aca="false">$B67+DX$3*100*$A67</f>
        <v>102.868715591358</v>
      </c>
      <c r="DY67" s="19" t="n">
        <f aca="false">$B67+DY$3*100*$A67</f>
        <v>103.668715591358</v>
      </c>
      <c r="DZ67" s="19" t="n">
        <f aca="false">$B67+DZ$3*100*$A67</f>
        <v>104.468715591358</v>
      </c>
      <c r="EA67" s="19" t="n">
        <f aca="false">$B67+EA$3*100*$A67</f>
        <v>105.268715591358</v>
      </c>
      <c r="EB67" s="19" t="n">
        <f aca="false">$B67+EB$3*100*$A67</f>
        <v>106.068715591358</v>
      </c>
      <c r="EC67" s="19" t="n">
        <f aca="false">$B67+EC$3*100*$A67</f>
        <v>106.868715591358</v>
      </c>
      <c r="ED67" s="19" t="n">
        <f aca="false">$B67+ED$3*100*$A67</f>
        <v>107.668715591358</v>
      </c>
      <c r="EE67" s="19" t="n">
        <f aca="false">$B67+EE$3*100*$A67</f>
        <v>108.468715591358</v>
      </c>
      <c r="EF67" s="19" t="n">
        <f aca="false">$B67+EF$3*100*$A67</f>
        <v>109.268715591358</v>
      </c>
      <c r="EG67" s="19" t="n">
        <f aca="false">$B67+EG$3*100*$A67</f>
        <v>110.068715591358</v>
      </c>
      <c r="EH67" s="19" t="n">
        <f aca="false">$B67+EH$3*100*$A67</f>
        <v>110.868715591358</v>
      </c>
      <c r="EI67" s="19" t="n">
        <f aca="false">$B67+EI$3*100*$A67</f>
        <v>111.668715591358</v>
      </c>
      <c r="EJ67" s="19" t="n">
        <f aca="false">$B67+EJ$3*100*$A67</f>
        <v>112.468715591358</v>
      </c>
      <c r="EK67" s="19" t="n">
        <f aca="false">$B67+EK$3*100*$A67</f>
        <v>113.268715591358</v>
      </c>
      <c r="EL67" s="19" t="n">
        <f aca="false">$B67+EL$3*100*$A67</f>
        <v>114.068715591358</v>
      </c>
      <c r="EM67" s="19" t="n">
        <f aca="false">$B67+EM$3*100*$A67</f>
        <v>114.868715591358</v>
      </c>
      <c r="EN67" s="19" t="n">
        <f aca="false">$B67+EN$3*100*$A67</f>
        <v>115.668715591358</v>
      </c>
      <c r="EO67" s="19" t="n">
        <f aca="false">$B67+EO$3*100*$A67</f>
        <v>116.468715591358</v>
      </c>
      <c r="EP67" s="19" t="n">
        <f aca="false">$B67+EP$3*100*$A67</f>
        <v>117.268715591358</v>
      </c>
      <c r="EQ67" s="19" t="n">
        <f aca="false">$B67+EQ$3*100*$A67</f>
        <v>118.068715591358</v>
      </c>
      <c r="ER67" s="19" t="n">
        <f aca="false">$B67+ER$3*100*$A67</f>
        <v>118.868715591358</v>
      </c>
      <c r="ES67" s="19" t="n">
        <f aca="false">$B67+ES$3*100*$A67</f>
        <v>119.668715591358</v>
      </c>
      <c r="ET67" s="19" t="n">
        <f aca="false">$B67+ET$3*100*$A67</f>
        <v>120.468715591358</v>
      </c>
      <c r="EU67" s="19" t="n">
        <f aca="false">$B67+EU$3*100*$A67</f>
        <v>121.268715591358</v>
      </c>
      <c r="EV67" s="19" t="n">
        <f aca="false">$B67+EV$3*100*$A67</f>
        <v>122.068715591358</v>
      </c>
      <c r="EW67" s="19" t="n">
        <f aca="false">$B67+EW$3*100*$A67</f>
        <v>122.868715591358</v>
      </c>
      <c r="EX67" s="19" t="n">
        <f aca="false">$B67+EX$3*100*$A67</f>
        <v>123.668715591358</v>
      </c>
      <c r="EY67" s="19" t="n">
        <f aca="false">$B67+EY$3*100*$A67</f>
        <v>124.468715591358</v>
      </c>
      <c r="EZ67" s="19" t="n">
        <f aca="false">$B67+EZ$3*100*$A67</f>
        <v>125.268715591358</v>
      </c>
      <c r="FA67" s="19" t="n">
        <f aca="false">$B67+FA$3*100*$A67</f>
        <v>126.068715591358</v>
      </c>
      <c r="FB67" s="19" t="n">
        <f aca="false">$B67+FB$3*100*$A67</f>
        <v>126.868715591358</v>
      </c>
      <c r="FC67" s="19" t="n">
        <f aca="false">$B67+FC$3*100*$A67</f>
        <v>127.668715591358</v>
      </c>
      <c r="FD67" s="19" t="n">
        <f aca="false">$B67+FD$3*100*$A67</f>
        <v>128.468715591358</v>
      </c>
      <c r="FE67" s="19" t="n">
        <f aca="false">$B67+FE$3*100*$A67</f>
        <v>129.268715591358</v>
      </c>
      <c r="FF67" s="19" t="n">
        <f aca="false">$B67+FF$3*100*$A67</f>
        <v>130.068715591358</v>
      </c>
      <c r="FG67" s="19" t="n">
        <f aca="false">$B67+FG$3*100*$A67</f>
        <v>130.868715591358</v>
      </c>
      <c r="FH67" s="19" t="n">
        <f aca="false">$B67+FH$3*100*$A67</f>
        <v>131.668715591358</v>
      </c>
      <c r="FI67" s="19" t="n">
        <f aca="false">$B67+FI$3*100*$A67</f>
        <v>132.468715591358</v>
      </c>
      <c r="FJ67" s="19" t="n">
        <f aca="false">$B67+FJ$3*100*$A67</f>
        <v>133.268715591358</v>
      </c>
      <c r="FK67" s="19" t="n">
        <f aca="false">$B67+FK$3*100*$A67</f>
        <v>134.068715591358</v>
      </c>
      <c r="FL67" s="19" t="n">
        <f aca="false">$B67+FL$3*100*$A67</f>
        <v>134.868715591358</v>
      </c>
      <c r="FM67" s="19" t="n">
        <f aca="false">$B67+FM$3*100*$A67</f>
        <v>135.668715591358</v>
      </c>
      <c r="FN67" s="19" t="n">
        <f aca="false">$B67+FN$3*100*$A67</f>
        <v>136.468715591358</v>
      </c>
      <c r="FO67" s="19" t="n">
        <f aca="false">$B67+FO$3*100*$A67</f>
        <v>137.268715591358</v>
      </c>
      <c r="FP67" s="19" t="n">
        <f aca="false">$B67+FP$3*100*$A67</f>
        <v>138.068715591358</v>
      </c>
      <c r="FQ67" s="19" t="n">
        <f aca="false">$B67+FQ$3*100*$A67</f>
        <v>138.868715591358</v>
      </c>
      <c r="FR67" s="19" t="n">
        <f aca="false">$B67+FR$3*100*$A67</f>
        <v>139.668715591358</v>
      </c>
      <c r="FS67" s="19" t="n">
        <f aca="false">$B67+FS$3*100*$A67</f>
        <v>140.468715591358</v>
      </c>
      <c r="FT67" s="19" t="n">
        <f aca="false">$B67+FT$3*100*$A67</f>
        <v>141.268715591358</v>
      </c>
      <c r="FU67" s="19" t="n">
        <f aca="false">$B67+FU$3*100*$A67</f>
        <v>142.068715591358</v>
      </c>
      <c r="FV67" s="19" t="n">
        <f aca="false">$B67+FV$3*100*$A67</f>
        <v>142.868715591358</v>
      </c>
      <c r="FW67" s="19" t="n">
        <f aca="false">$B67+FW$3*100*$A67</f>
        <v>143.668715591358</v>
      </c>
      <c r="FX67" s="19" t="n">
        <f aca="false">$B67+FX$3*100*$A67</f>
        <v>144.468715591358</v>
      </c>
      <c r="FY67" s="19" t="n">
        <f aca="false">$B67+FY$3*100*$A67</f>
        <v>145.268715591358</v>
      </c>
      <c r="FZ67" s="19" t="n">
        <f aca="false">$B67+FZ$3*100*$A67</f>
        <v>146.068715591358</v>
      </c>
      <c r="GA67" s="19" t="n">
        <f aca="false">$B67+GA$3*100*$A67</f>
        <v>146.868715591358</v>
      </c>
      <c r="GB67" s="19" t="n">
        <f aca="false">$B67+GB$3*100*$A67</f>
        <v>147.668715591358</v>
      </c>
      <c r="GC67" s="19" t="n">
        <f aca="false">$B67+GC$3*100*$A67</f>
        <v>148.468715591358</v>
      </c>
      <c r="GD67" s="19" t="n">
        <f aca="false">$B67+GD$3*100*$A67</f>
        <v>149.268715591358</v>
      </c>
      <c r="GE67" s="19" t="n">
        <f aca="false">$B67+GE$3*100*$A67</f>
        <v>150.068715591358</v>
      </c>
      <c r="GF67" s="19" t="n">
        <f aca="false">$B67+GF$3*100*$A67</f>
        <v>150.868715591358</v>
      </c>
      <c r="GG67" s="19" t="n">
        <f aca="false">$B67+GG$3*100*$A67</f>
        <v>151.668715591358</v>
      </c>
      <c r="GH67" s="19" t="n">
        <f aca="false">$B67+GH$3*100*$A67</f>
        <v>152.468715591358</v>
      </c>
      <c r="GI67" s="19" t="n">
        <f aca="false">$B67+GI$3*100*$A67</f>
        <v>153.268715591358</v>
      </c>
      <c r="GJ67" s="19" t="n">
        <f aca="false">$B67+GJ$3*100*$A67</f>
        <v>154.068715591358</v>
      </c>
      <c r="GK67" s="19" t="n">
        <f aca="false">$B67+GK$3*100*$A67</f>
        <v>154.868715591358</v>
      </c>
      <c r="GL67" s="19" t="n">
        <f aca="false">$B67+GL$3*100*$A67</f>
        <v>155.668715591358</v>
      </c>
      <c r="GM67" s="19" t="n">
        <f aca="false">$B67+GM$3*100*$A67</f>
        <v>156.468715591358</v>
      </c>
      <c r="GN67" s="19" t="n">
        <f aca="false">$B67+GN$3*100*$A67</f>
        <v>157.268715591358</v>
      </c>
      <c r="GO67" s="19" t="n">
        <f aca="false">$B67+GO$3*100*$A67</f>
        <v>158.068715591358</v>
      </c>
      <c r="GP67" s="19" t="n">
        <f aca="false">$B67+GP$3*100*$A67</f>
        <v>158.868715591358</v>
      </c>
      <c r="GQ67" s="19" t="n">
        <f aca="false">$B67+GQ$3*100*$A67</f>
        <v>159.668715591358</v>
      </c>
      <c r="GR67" s="19" t="n">
        <f aca="false">$B67+GR$3*100*$A67</f>
        <v>160.468715591358</v>
      </c>
      <c r="GS67" s="19" t="n">
        <f aca="false">$B67+GS$3*100*$A67</f>
        <v>161.268715591358</v>
      </c>
      <c r="GT67" s="19" t="n">
        <f aca="false">$B67+GT$3*100*$A67</f>
        <v>162.068715591358</v>
      </c>
    </row>
    <row r="68" customFormat="false" ht="15" hidden="false" customHeight="false" outlineLevel="0" collapsed="false">
      <c r="A68" s="26" t="n">
        <f aca="false">Frontier!A66</f>
        <v>0.1625</v>
      </c>
      <c r="B68" s="34" t="n">
        <f aca="false">Frontier!B66</f>
        <v>1.95</v>
      </c>
      <c r="C68" s="19" t="n">
        <f aca="false">$B68+C$3*100*$A68</f>
        <v>2.7625</v>
      </c>
      <c r="D68" s="19" t="n">
        <f aca="false">$B68+D$3*100*$A68</f>
        <v>3.575</v>
      </c>
      <c r="E68" s="19" t="n">
        <f aca="false">$B68+E$3*100*$A68</f>
        <v>4.3875</v>
      </c>
      <c r="F68" s="19" t="n">
        <f aca="false">$B68+F$3*100*$A68</f>
        <v>5.2</v>
      </c>
      <c r="G68" s="19" t="n">
        <f aca="false">$B68+G$3*100*$A68</f>
        <v>6.0125</v>
      </c>
      <c r="H68" s="19" t="n">
        <f aca="false">$B68+H$3*100*$A68</f>
        <v>6.825</v>
      </c>
      <c r="I68" s="19" t="n">
        <f aca="false">$B68+I$3*100*$A68</f>
        <v>7.6375</v>
      </c>
      <c r="J68" s="19" t="n">
        <f aca="false">$B68+J$3*100*$A68</f>
        <v>8.45</v>
      </c>
      <c r="K68" s="19" t="n">
        <f aca="false">$B68+K$3*100*$A68</f>
        <v>9.2625</v>
      </c>
      <c r="L68" s="19" t="n">
        <f aca="false">$B68+L$3*100*$A68</f>
        <v>10.075</v>
      </c>
      <c r="M68" s="19" t="n">
        <f aca="false">$B68+M$3*100*$A68</f>
        <v>10.8875</v>
      </c>
      <c r="N68" s="19" t="n">
        <f aca="false">$B68+N$3*100*$A68</f>
        <v>11.7</v>
      </c>
      <c r="O68" s="19" t="n">
        <f aca="false">$B68+O$3*100*$A68</f>
        <v>12.5125</v>
      </c>
      <c r="P68" s="19" t="n">
        <f aca="false">$B68+P$3*100*$A68</f>
        <v>13.325</v>
      </c>
      <c r="Q68" s="19" t="n">
        <f aca="false">$B68+Q$3*100*$A68</f>
        <v>14.1375</v>
      </c>
      <c r="R68" s="19" t="n">
        <f aca="false">$B68+R$3*100*$A68</f>
        <v>14.95</v>
      </c>
      <c r="S68" s="19" t="n">
        <f aca="false">$B68+S$3*100*$A68</f>
        <v>15.7625</v>
      </c>
      <c r="T68" s="19" t="n">
        <f aca="false">$B68+T$3*100*$A68</f>
        <v>16.575</v>
      </c>
      <c r="U68" s="19" t="n">
        <f aca="false">$B68+U$3*100*$A68</f>
        <v>17.3875</v>
      </c>
      <c r="V68" s="19" t="n">
        <f aca="false">$B68+V$3*100*$A68</f>
        <v>18.2</v>
      </c>
      <c r="W68" s="19" t="n">
        <f aca="false">$B68+W$3*100*$A68</f>
        <v>19.0125</v>
      </c>
      <c r="X68" s="19" t="n">
        <f aca="false">$B68+X$3*100*$A68</f>
        <v>19.825</v>
      </c>
      <c r="Y68" s="19" t="n">
        <f aca="false">$B68+Y$3*100*$A68</f>
        <v>20.6375</v>
      </c>
      <c r="Z68" s="19" t="n">
        <f aca="false">$B68+Z$3*100*$A68</f>
        <v>21.45</v>
      </c>
      <c r="AA68" s="19" t="n">
        <f aca="false">$B68+AA$3*100*$A68</f>
        <v>22.2625</v>
      </c>
      <c r="AB68" s="19" t="n">
        <f aca="false">$B68+AB$3*100*$A68</f>
        <v>23.075</v>
      </c>
      <c r="AC68" s="19" t="n">
        <f aca="false">$B68+AC$3*100*$A68</f>
        <v>23.8875</v>
      </c>
      <c r="AD68" s="19" t="n">
        <f aca="false">$B68+AD$3*100*$A68</f>
        <v>24.7</v>
      </c>
      <c r="AE68" s="19" t="n">
        <f aca="false">$B68+AE$3*100*$A68</f>
        <v>25.5125</v>
      </c>
      <c r="AF68" s="19" t="n">
        <f aca="false">$B68+AF$3*100*$A68</f>
        <v>26.325</v>
      </c>
      <c r="AG68" s="19" t="n">
        <f aca="false">$B68+AG$3*100*$A68</f>
        <v>27.1375</v>
      </c>
      <c r="AH68" s="19" t="n">
        <f aca="false">$B68+AH$3*100*$A68</f>
        <v>27.95</v>
      </c>
      <c r="AI68" s="19" t="n">
        <f aca="false">$B68+AI$3*100*$A68</f>
        <v>28.7625</v>
      </c>
      <c r="AJ68" s="19" t="n">
        <f aca="false">$B68+AJ$3*100*$A68</f>
        <v>29.575</v>
      </c>
      <c r="AK68" s="19" t="n">
        <f aca="false">$B68+AK$3*100*$A68</f>
        <v>30.3875</v>
      </c>
      <c r="AL68" s="19" t="n">
        <f aca="false">$B68+AL$3*100*$A68</f>
        <v>31.2</v>
      </c>
      <c r="AM68" s="19" t="n">
        <f aca="false">$B68+AM$3*100*$A68</f>
        <v>32.0125</v>
      </c>
      <c r="AN68" s="19" t="n">
        <f aca="false">$B68+AN$3*100*$A68</f>
        <v>32.825</v>
      </c>
      <c r="AO68" s="19" t="n">
        <f aca="false">$B68+AO$3*100*$A68</f>
        <v>33.6375</v>
      </c>
      <c r="AP68" s="19" t="n">
        <f aca="false">$B68+AP$3*100*$A68</f>
        <v>34.45</v>
      </c>
      <c r="AQ68" s="19" t="n">
        <f aca="false">$B68+AQ$3*100*$A68</f>
        <v>35.2625</v>
      </c>
      <c r="AR68" s="19" t="n">
        <f aca="false">$B68+AR$3*100*$A68</f>
        <v>36.075</v>
      </c>
      <c r="AS68" s="19" t="n">
        <f aca="false">$B68+AS$3*100*$A68</f>
        <v>36.8875</v>
      </c>
      <c r="AT68" s="19" t="n">
        <f aca="false">$B68+AT$3*100*$A68</f>
        <v>37.7</v>
      </c>
      <c r="AU68" s="19" t="n">
        <f aca="false">$B68+AU$3*100*$A68</f>
        <v>38.5125</v>
      </c>
      <c r="AV68" s="19" t="n">
        <f aca="false">$B68+AV$3*100*$A68</f>
        <v>39.325</v>
      </c>
      <c r="AW68" s="19" t="n">
        <f aca="false">$B68+AW$3*100*$A68</f>
        <v>40.1375</v>
      </c>
      <c r="AX68" s="19" t="n">
        <f aca="false">$B68+AX$3*100*$A68</f>
        <v>40.95</v>
      </c>
      <c r="AY68" s="19" t="n">
        <f aca="false">$B68+AY$3*100*$A68</f>
        <v>41.7625</v>
      </c>
      <c r="AZ68" s="19" t="n">
        <f aca="false">$B68+AZ$3*100*$A68</f>
        <v>42.575</v>
      </c>
      <c r="BA68" s="19" t="n">
        <f aca="false">$B68+BA$3*100*$A68</f>
        <v>43.3875</v>
      </c>
      <c r="BB68" s="19" t="n">
        <f aca="false">$B68+BB$3*100*$A68</f>
        <v>44.2</v>
      </c>
      <c r="BC68" s="19" t="n">
        <f aca="false">$B68+BC$3*100*$A68</f>
        <v>45.0125</v>
      </c>
      <c r="BD68" s="19" t="n">
        <f aca="false">$B68+BD$3*100*$A68</f>
        <v>45.825</v>
      </c>
      <c r="BE68" s="19" t="n">
        <f aca="false">$B68+BE$3*100*$A68</f>
        <v>46.6375</v>
      </c>
      <c r="BF68" s="19" t="n">
        <f aca="false">$B68+BF$3*100*$A68</f>
        <v>47.45</v>
      </c>
      <c r="BG68" s="19" t="n">
        <f aca="false">$B68+BG$3*100*$A68</f>
        <v>48.2625</v>
      </c>
      <c r="BH68" s="19" t="n">
        <f aca="false">$B68+BH$3*100*$A68</f>
        <v>49.075</v>
      </c>
      <c r="BI68" s="19" t="n">
        <f aca="false">$B68+BI$3*100*$A68</f>
        <v>49.8875</v>
      </c>
      <c r="BJ68" s="19" t="n">
        <f aca="false">$B68+BJ$3*100*$A68</f>
        <v>50.7</v>
      </c>
      <c r="BK68" s="19" t="n">
        <f aca="false">$B68+BK$3*100*$A68</f>
        <v>51.5125</v>
      </c>
      <c r="BL68" s="19" t="n">
        <f aca="false">$B68+BL$3*100*$A68</f>
        <v>52.325</v>
      </c>
      <c r="BM68" s="19" t="n">
        <f aca="false">$B68+BM$3*100*$A68</f>
        <v>53.1375</v>
      </c>
      <c r="BN68" s="19" t="n">
        <f aca="false">$B68+BN$3*100*$A68</f>
        <v>53.95</v>
      </c>
      <c r="BO68" s="19" t="n">
        <f aca="false">$B68+BO$3*100*$A68</f>
        <v>54.7625</v>
      </c>
      <c r="BP68" s="19" t="n">
        <f aca="false">$B68+BP$3*100*$A68</f>
        <v>55.575</v>
      </c>
      <c r="BQ68" s="19" t="n">
        <f aca="false">$B68+BQ$3*100*$A68</f>
        <v>56.3875</v>
      </c>
      <c r="BR68" s="19" t="n">
        <f aca="false">$B68+BR$3*100*$A68</f>
        <v>57.2</v>
      </c>
      <c r="BS68" s="19" t="n">
        <f aca="false">$B68+BS$3*100*$A68</f>
        <v>58.0125</v>
      </c>
      <c r="BT68" s="19" t="n">
        <f aca="false">$B68+BT$3*100*$A68</f>
        <v>58.825</v>
      </c>
      <c r="BU68" s="19" t="n">
        <f aca="false">$B68+BU$3*100*$A68</f>
        <v>59.6375</v>
      </c>
      <c r="BV68" s="19" t="n">
        <f aca="false">$B68+BV$3*100*$A68</f>
        <v>60.45</v>
      </c>
      <c r="BW68" s="19" t="n">
        <f aca="false">$B68+BW$3*100*$A68</f>
        <v>61.2625</v>
      </c>
      <c r="BX68" s="19" t="n">
        <f aca="false">$B68+BX$3*100*$A68</f>
        <v>62.075</v>
      </c>
      <c r="BY68" s="19" t="n">
        <f aca="false">$B68+BY$3*100*$A68</f>
        <v>62.8875</v>
      </c>
      <c r="BZ68" s="19" t="n">
        <f aca="false">$B68+BZ$3*100*$A68</f>
        <v>63.7</v>
      </c>
      <c r="CA68" s="19" t="n">
        <f aca="false">$B68+CA$3*100*$A68</f>
        <v>64.5125</v>
      </c>
      <c r="CB68" s="19" t="n">
        <f aca="false">$B68+CB$3*100*$A68</f>
        <v>65.325</v>
      </c>
      <c r="CC68" s="19" t="n">
        <f aca="false">$B68+CC$3*100*$A68</f>
        <v>66.1375</v>
      </c>
      <c r="CD68" s="19" t="n">
        <f aca="false">$B68+CD$3*100*$A68</f>
        <v>66.95</v>
      </c>
      <c r="CE68" s="19" t="n">
        <f aca="false">$B68+CE$3*100*$A68</f>
        <v>67.7625</v>
      </c>
      <c r="CF68" s="19" t="n">
        <f aca="false">$B68+CF$3*100*$A68</f>
        <v>68.575</v>
      </c>
      <c r="CG68" s="19" t="n">
        <f aca="false">$B68+CG$3*100*$A68</f>
        <v>69.3875</v>
      </c>
      <c r="CH68" s="19" t="n">
        <f aca="false">$B68+CH$3*100*$A68</f>
        <v>70.2</v>
      </c>
      <c r="CI68" s="19" t="n">
        <f aca="false">$B68+CI$3*100*$A68</f>
        <v>71.0125</v>
      </c>
      <c r="CJ68" s="19" t="n">
        <f aca="false">$B68+CJ$3*100*$A68</f>
        <v>71.825</v>
      </c>
      <c r="CK68" s="19" t="n">
        <f aca="false">$B68+CK$3*100*$A68</f>
        <v>72.6375</v>
      </c>
      <c r="CL68" s="19" t="n">
        <f aca="false">$B68+CL$3*100*$A68</f>
        <v>73.45</v>
      </c>
      <c r="CM68" s="19" t="n">
        <f aca="false">$B68+CM$3*100*$A68</f>
        <v>74.2625</v>
      </c>
      <c r="CN68" s="19" t="n">
        <f aca="false">$B68+CN$3*100*$A68</f>
        <v>75.075</v>
      </c>
      <c r="CO68" s="19" t="n">
        <f aca="false">$B68+CO$3*100*$A68</f>
        <v>75.8875</v>
      </c>
      <c r="CP68" s="19" t="n">
        <f aca="false">$B68+CP$3*100*$A68</f>
        <v>76.7</v>
      </c>
      <c r="CQ68" s="19" t="n">
        <f aca="false">$B68+CQ$3*100*$A68</f>
        <v>77.5125</v>
      </c>
      <c r="CR68" s="19" t="n">
        <f aca="false">$B68+CR$3*100*$A68</f>
        <v>78.325</v>
      </c>
      <c r="CS68" s="19" t="n">
        <f aca="false">$B68+CS$3*100*$A68</f>
        <v>79.1375</v>
      </c>
      <c r="CT68" s="19" t="n">
        <f aca="false">$B68+CT$3*100*$A68</f>
        <v>79.95</v>
      </c>
      <c r="CU68" s="19" t="n">
        <f aca="false">$B68+CU$3*100*$A68</f>
        <v>80.7625</v>
      </c>
      <c r="CV68" s="19" t="n">
        <f aca="false">$B68+CV$3*100*$A68</f>
        <v>81.575</v>
      </c>
      <c r="CW68" s="19" t="n">
        <f aca="false">$B68+CW$3*100*$A68</f>
        <v>82.3875</v>
      </c>
      <c r="CX68" s="19" t="n">
        <f aca="false">$B68+CX$3*100*$A68</f>
        <v>83.2</v>
      </c>
      <c r="CY68" s="19" t="n">
        <f aca="false">$B68+CY$3*100*$A68</f>
        <v>84.0125</v>
      </c>
      <c r="CZ68" s="19" t="n">
        <f aca="false">$B68+CZ$3*100*$A68</f>
        <v>84.825</v>
      </c>
      <c r="DA68" s="19" t="n">
        <f aca="false">$B68+DA$3*100*$A68</f>
        <v>85.6375</v>
      </c>
      <c r="DB68" s="19" t="n">
        <f aca="false">$B68+DB$3*100*$A68</f>
        <v>86.45</v>
      </c>
      <c r="DC68" s="19" t="n">
        <f aca="false">$B68+DC$3*100*$A68</f>
        <v>87.2625</v>
      </c>
      <c r="DD68" s="19" t="n">
        <f aca="false">$B68+DD$3*100*$A68</f>
        <v>88.075</v>
      </c>
      <c r="DE68" s="19" t="n">
        <f aca="false">$B68+DE$3*100*$A68</f>
        <v>88.8875</v>
      </c>
      <c r="DF68" s="19" t="n">
        <f aca="false">$B68+DF$3*100*$A68</f>
        <v>89.7</v>
      </c>
      <c r="DG68" s="19" t="n">
        <f aca="false">$B68+DG$3*100*$A68</f>
        <v>90.5125</v>
      </c>
      <c r="DH68" s="19" t="n">
        <f aca="false">$B68+DH$3*100*$A68</f>
        <v>91.325</v>
      </c>
      <c r="DI68" s="19" t="n">
        <f aca="false">$B68+DI$3*100*$A68</f>
        <v>92.1375</v>
      </c>
      <c r="DJ68" s="19" t="n">
        <f aca="false">$B68+DJ$3*100*$A68</f>
        <v>92.95</v>
      </c>
      <c r="DK68" s="19" t="n">
        <f aca="false">$B68+DK$3*100*$A68</f>
        <v>93.7625</v>
      </c>
      <c r="DL68" s="19" t="n">
        <f aca="false">$B68+DL$3*100*$A68</f>
        <v>94.575</v>
      </c>
      <c r="DM68" s="19" t="n">
        <f aca="false">$B68+DM$3*100*$A68</f>
        <v>95.3875</v>
      </c>
      <c r="DN68" s="19" t="n">
        <f aca="false">$B68+DN$3*100*$A68</f>
        <v>96.2</v>
      </c>
      <c r="DO68" s="19" t="n">
        <f aca="false">$B68+DO$3*100*$A68</f>
        <v>97.0125</v>
      </c>
      <c r="DP68" s="19" t="n">
        <f aca="false">$B68+DP$3*100*$A68</f>
        <v>97.825</v>
      </c>
      <c r="DQ68" s="19" t="n">
        <f aca="false">$B68+DQ$3*100*$A68</f>
        <v>98.6375</v>
      </c>
      <c r="DR68" s="19" t="n">
        <f aca="false">$B68+DR$3*100*$A68</f>
        <v>99.45</v>
      </c>
      <c r="DS68" s="19" t="n">
        <f aca="false">$B68+DS$3*100*$A68</f>
        <v>100.2625</v>
      </c>
      <c r="DT68" s="19" t="n">
        <f aca="false">$B68+DT$3*100*$A68</f>
        <v>101.075</v>
      </c>
      <c r="DU68" s="19" t="n">
        <f aca="false">$B68+DU$3*100*$A68</f>
        <v>101.8875</v>
      </c>
      <c r="DV68" s="19" t="n">
        <f aca="false">$B68+DV$3*100*$A68</f>
        <v>102.7</v>
      </c>
      <c r="DW68" s="19" t="n">
        <f aca="false">$B68+DW$3*100*$A68</f>
        <v>103.5125</v>
      </c>
      <c r="DX68" s="19" t="n">
        <f aca="false">$B68+DX$3*100*$A68</f>
        <v>104.325</v>
      </c>
      <c r="DY68" s="19" t="n">
        <f aca="false">$B68+DY$3*100*$A68</f>
        <v>105.1375</v>
      </c>
      <c r="DZ68" s="19" t="n">
        <f aca="false">$B68+DZ$3*100*$A68</f>
        <v>105.95</v>
      </c>
      <c r="EA68" s="19" t="n">
        <f aca="false">$B68+EA$3*100*$A68</f>
        <v>106.7625</v>
      </c>
      <c r="EB68" s="19" t="n">
        <f aca="false">$B68+EB$3*100*$A68</f>
        <v>107.575</v>
      </c>
      <c r="EC68" s="19" t="n">
        <f aca="false">$B68+EC$3*100*$A68</f>
        <v>108.3875</v>
      </c>
      <c r="ED68" s="19" t="n">
        <f aca="false">$B68+ED$3*100*$A68</f>
        <v>109.2</v>
      </c>
      <c r="EE68" s="19" t="n">
        <f aca="false">$B68+EE$3*100*$A68</f>
        <v>110.0125</v>
      </c>
      <c r="EF68" s="19" t="n">
        <f aca="false">$B68+EF$3*100*$A68</f>
        <v>110.825</v>
      </c>
      <c r="EG68" s="19" t="n">
        <f aca="false">$B68+EG$3*100*$A68</f>
        <v>111.6375</v>
      </c>
      <c r="EH68" s="19" t="n">
        <f aca="false">$B68+EH$3*100*$A68</f>
        <v>112.45</v>
      </c>
      <c r="EI68" s="19" t="n">
        <f aca="false">$B68+EI$3*100*$A68</f>
        <v>113.2625</v>
      </c>
      <c r="EJ68" s="19" t="n">
        <f aca="false">$B68+EJ$3*100*$A68</f>
        <v>114.075</v>
      </c>
      <c r="EK68" s="19" t="n">
        <f aca="false">$B68+EK$3*100*$A68</f>
        <v>114.8875</v>
      </c>
      <c r="EL68" s="19" t="n">
        <f aca="false">$B68+EL$3*100*$A68</f>
        <v>115.7</v>
      </c>
      <c r="EM68" s="19" t="n">
        <f aca="false">$B68+EM$3*100*$A68</f>
        <v>116.5125</v>
      </c>
      <c r="EN68" s="19" t="n">
        <f aca="false">$B68+EN$3*100*$A68</f>
        <v>117.325</v>
      </c>
      <c r="EO68" s="19" t="n">
        <f aca="false">$B68+EO$3*100*$A68</f>
        <v>118.1375</v>
      </c>
      <c r="EP68" s="19" t="n">
        <f aca="false">$B68+EP$3*100*$A68</f>
        <v>118.95</v>
      </c>
      <c r="EQ68" s="19" t="n">
        <f aca="false">$B68+EQ$3*100*$A68</f>
        <v>119.7625</v>
      </c>
      <c r="ER68" s="19" t="n">
        <f aca="false">$B68+ER$3*100*$A68</f>
        <v>120.575</v>
      </c>
      <c r="ES68" s="19" t="n">
        <f aca="false">$B68+ES$3*100*$A68</f>
        <v>121.3875</v>
      </c>
      <c r="ET68" s="19" t="n">
        <f aca="false">$B68+ET$3*100*$A68</f>
        <v>122.2</v>
      </c>
      <c r="EU68" s="19" t="n">
        <f aca="false">$B68+EU$3*100*$A68</f>
        <v>123.0125</v>
      </c>
      <c r="EV68" s="19" t="n">
        <f aca="false">$B68+EV$3*100*$A68</f>
        <v>123.825</v>
      </c>
      <c r="EW68" s="19" t="n">
        <f aca="false">$B68+EW$3*100*$A68</f>
        <v>124.6375</v>
      </c>
      <c r="EX68" s="19" t="n">
        <f aca="false">$B68+EX$3*100*$A68</f>
        <v>125.45</v>
      </c>
      <c r="EY68" s="19" t="n">
        <f aca="false">$B68+EY$3*100*$A68</f>
        <v>126.2625</v>
      </c>
      <c r="EZ68" s="19" t="n">
        <f aca="false">$B68+EZ$3*100*$A68</f>
        <v>127.075</v>
      </c>
      <c r="FA68" s="19" t="n">
        <f aca="false">$B68+FA$3*100*$A68</f>
        <v>127.8875</v>
      </c>
      <c r="FB68" s="19" t="n">
        <f aca="false">$B68+FB$3*100*$A68</f>
        <v>128.7</v>
      </c>
      <c r="FC68" s="19" t="n">
        <f aca="false">$B68+FC$3*100*$A68</f>
        <v>129.5125</v>
      </c>
      <c r="FD68" s="19" t="n">
        <f aca="false">$B68+FD$3*100*$A68</f>
        <v>130.325</v>
      </c>
      <c r="FE68" s="19" t="n">
        <f aca="false">$B68+FE$3*100*$A68</f>
        <v>131.1375</v>
      </c>
      <c r="FF68" s="19" t="n">
        <f aca="false">$B68+FF$3*100*$A68</f>
        <v>131.95</v>
      </c>
      <c r="FG68" s="19" t="n">
        <f aca="false">$B68+FG$3*100*$A68</f>
        <v>132.7625</v>
      </c>
      <c r="FH68" s="19" t="n">
        <f aca="false">$B68+FH$3*100*$A68</f>
        <v>133.575</v>
      </c>
      <c r="FI68" s="19" t="n">
        <f aca="false">$B68+FI$3*100*$A68</f>
        <v>134.3875</v>
      </c>
      <c r="FJ68" s="19" t="n">
        <f aca="false">$B68+FJ$3*100*$A68</f>
        <v>135.2</v>
      </c>
      <c r="FK68" s="19" t="n">
        <f aca="false">$B68+FK$3*100*$A68</f>
        <v>136.0125</v>
      </c>
      <c r="FL68" s="19" t="n">
        <f aca="false">$B68+FL$3*100*$A68</f>
        <v>136.825</v>
      </c>
      <c r="FM68" s="19" t="n">
        <f aca="false">$B68+FM$3*100*$A68</f>
        <v>137.6375</v>
      </c>
      <c r="FN68" s="19" t="n">
        <f aca="false">$B68+FN$3*100*$A68</f>
        <v>138.45</v>
      </c>
      <c r="FO68" s="19" t="n">
        <f aca="false">$B68+FO$3*100*$A68</f>
        <v>139.2625</v>
      </c>
      <c r="FP68" s="19" t="n">
        <f aca="false">$B68+FP$3*100*$A68</f>
        <v>140.075</v>
      </c>
      <c r="FQ68" s="19" t="n">
        <f aca="false">$B68+FQ$3*100*$A68</f>
        <v>140.8875</v>
      </c>
      <c r="FR68" s="19" t="n">
        <f aca="false">$B68+FR$3*100*$A68</f>
        <v>141.7</v>
      </c>
      <c r="FS68" s="19" t="n">
        <f aca="false">$B68+FS$3*100*$A68</f>
        <v>142.5125</v>
      </c>
      <c r="FT68" s="19" t="n">
        <f aca="false">$B68+FT$3*100*$A68</f>
        <v>143.325</v>
      </c>
      <c r="FU68" s="19" t="n">
        <f aca="false">$B68+FU$3*100*$A68</f>
        <v>144.1375</v>
      </c>
      <c r="FV68" s="19" t="n">
        <f aca="false">$B68+FV$3*100*$A68</f>
        <v>144.95</v>
      </c>
      <c r="FW68" s="19" t="n">
        <f aca="false">$B68+FW$3*100*$A68</f>
        <v>145.7625</v>
      </c>
      <c r="FX68" s="19" t="n">
        <f aca="false">$B68+FX$3*100*$A68</f>
        <v>146.575</v>
      </c>
      <c r="FY68" s="19" t="n">
        <f aca="false">$B68+FY$3*100*$A68</f>
        <v>147.3875</v>
      </c>
      <c r="FZ68" s="19" t="n">
        <f aca="false">$B68+FZ$3*100*$A68</f>
        <v>148.2</v>
      </c>
      <c r="GA68" s="19" t="n">
        <f aca="false">$B68+GA$3*100*$A68</f>
        <v>149.0125</v>
      </c>
      <c r="GB68" s="19" t="n">
        <f aca="false">$B68+GB$3*100*$A68</f>
        <v>149.825</v>
      </c>
      <c r="GC68" s="19" t="n">
        <f aca="false">$B68+GC$3*100*$A68</f>
        <v>150.6375</v>
      </c>
      <c r="GD68" s="19" t="n">
        <f aca="false">$B68+GD$3*100*$A68</f>
        <v>151.45</v>
      </c>
      <c r="GE68" s="19" t="n">
        <f aca="false">$B68+GE$3*100*$A68</f>
        <v>152.2625</v>
      </c>
      <c r="GF68" s="19" t="n">
        <f aca="false">$B68+GF$3*100*$A68</f>
        <v>153.075</v>
      </c>
      <c r="GG68" s="19" t="n">
        <f aca="false">$B68+GG$3*100*$A68</f>
        <v>153.8875</v>
      </c>
      <c r="GH68" s="19" t="n">
        <f aca="false">$B68+GH$3*100*$A68</f>
        <v>154.7</v>
      </c>
      <c r="GI68" s="19" t="n">
        <f aca="false">$B68+GI$3*100*$A68</f>
        <v>155.5125</v>
      </c>
      <c r="GJ68" s="19" t="n">
        <f aca="false">$B68+GJ$3*100*$A68</f>
        <v>156.325</v>
      </c>
      <c r="GK68" s="19" t="n">
        <f aca="false">$B68+GK$3*100*$A68</f>
        <v>157.1375</v>
      </c>
      <c r="GL68" s="19" t="n">
        <f aca="false">$B68+GL$3*100*$A68</f>
        <v>157.95</v>
      </c>
      <c r="GM68" s="19" t="n">
        <f aca="false">$B68+GM$3*100*$A68</f>
        <v>158.7625</v>
      </c>
      <c r="GN68" s="19" t="n">
        <f aca="false">$B68+GN$3*100*$A68</f>
        <v>159.575</v>
      </c>
      <c r="GO68" s="19" t="n">
        <f aca="false">$B68+GO$3*100*$A68</f>
        <v>160.3875</v>
      </c>
      <c r="GP68" s="19" t="n">
        <f aca="false">$B68+GP$3*100*$A68</f>
        <v>161.2</v>
      </c>
      <c r="GQ68" s="19" t="n">
        <f aca="false">$B68+GQ$3*100*$A68</f>
        <v>162.0125</v>
      </c>
      <c r="GR68" s="19" t="n">
        <f aca="false">$B68+GR$3*100*$A68</f>
        <v>162.825</v>
      </c>
      <c r="GS68" s="19" t="n">
        <f aca="false">$B68+GS$3*100*$A68</f>
        <v>163.6375</v>
      </c>
      <c r="GT68" s="19" t="n">
        <f aca="false">$B68+GT$3*100*$A68</f>
        <v>164.45</v>
      </c>
    </row>
    <row r="69" customFormat="false" ht="15" hidden="false" customHeight="false" outlineLevel="0" collapsed="false">
      <c r="A69" s="26" t="n">
        <f aca="false">Frontier!A67</f>
        <v>0.165</v>
      </c>
      <c r="B69" s="34" t="n">
        <f aca="false">Frontier!B67</f>
        <v>1.95</v>
      </c>
      <c r="C69" s="19" t="n">
        <f aca="false">$B69+C$3*100*$A69</f>
        <v>2.775</v>
      </c>
      <c r="D69" s="19" t="n">
        <f aca="false">$B69+D$3*100*$A69</f>
        <v>3.6</v>
      </c>
      <c r="E69" s="19" t="n">
        <f aca="false">$B69+E$3*100*$A69</f>
        <v>4.425</v>
      </c>
      <c r="F69" s="19" t="n">
        <f aca="false">$B69+F$3*100*$A69</f>
        <v>5.25</v>
      </c>
      <c r="G69" s="19" t="n">
        <f aca="false">$B69+G$3*100*$A69</f>
        <v>6.075</v>
      </c>
      <c r="H69" s="19" t="n">
        <f aca="false">$B69+H$3*100*$A69</f>
        <v>6.9</v>
      </c>
      <c r="I69" s="19" t="n">
        <f aca="false">$B69+I$3*100*$A69</f>
        <v>7.725</v>
      </c>
      <c r="J69" s="19" t="n">
        <f aca="false">$B69+J$3*100*$A69</f>
        <v>8.55</v>
      </c>
      <c r="K69" s="19" t="n">
        <f aca="false">$B69+K$3*100*$A69</f>
        <v>9.375</v>
      </c>
      <c r="L69" s="19" t="n">
        <f aca="false">$B69+L$3*100*$A69</f>
        <v>10.2</v>
      </c>
      <c r="M69" s="19" t="n">
        <f aca="false">$B69+M$3*100*$A69</f>
        <v>11.025</v>
      </c>
      <c r="N69" s="19" t="n">
        <f aca="false">$B69+N$3*100*$A69</f>
        <v>11.85</v>
      </c>
      <c r="O69" s="19" t="n">
        <f aca="false">$B69+O$3*100*$A69</f>
        <v>12.675</v>
      </c>
      <c r="P69" s="19" t="n">
        <f aca="false">$B69+P$3*100*$A69</f>
        <v>13.5</v>
      </c>
      <c r="Q69" s="19" t="n">
        <f aca="false">$B69+Q$3*100*$A69</f>
        <v>14.325</v>
      </c>
      <c r="R69" s="19" t="n">
        <f aca="false">$B69+R$3*100*$A69</f>
        <v>15.15</v>
      </c>
      <c r="S69" s="19" t="n">
        <f aca="false">$B69+S$3*100*$A69</f>
        <v>15.975</v>
      </c>
      <c r="T69" s="19" t="n">
        <f aca="false">$B69+T$3*100*$A69</f>
        <v>16.8</v>
      </c>
      <c r="U69" s="19" t="n">
        <f aca="false">$B69+U$3*100*$A69</f>
        <v>17.625</v>
      </c>
      <c r="V69" s="19" t="n">
        <f aca="false">$B69+V$3*100*$A69</f>
        <v>18.45</v>
      </c>
      <c r="W69" s="19" t="n">
        <f aca="false">$B69+W$3*100*$A69</f>
        <v>19.275</v>
      </c>
      <c r="X69" s="19" t="n">
        <f aca="false">$B69+X$3*100*$A69</f>
        <v>20.1</v>
      </c>
      <c r="Y69" s="19" t="n">
        <f aca="false">$B69+Y$3*100*$A69</f>
        <v>20.925</v>
      </c>
      <c r="Z69" s="19" t="n">
        <f aca="false">$B69+Z$3*100*$A69</f>
        <v>21.75</v>
      </c>
      <c r="AA69" s="19" t="n">
        <f aca="false">$B69+AA$3*100*$A69</f>
        <v>22.575</v>
      </c>
      <c r="AB69" s="19" t="n">
        <f aca="false">$B69+AB$3*100*$A69</f>
        <v>23.4</v>
      </c>
      <c r="AC69" s="19" t="n">
        <f aca="false">$B69+AC$3*100*$A69</f>
        <v>24.225</v>
      </c>
      <c r="AD69" s="19" t="n">
        <f aca="false">$B69+AD$3*100*$A69</f>
        <v>25.05</v>
      </c>
      <c r="AE69" s="19" t="n">
        <f aca="false">$B69+AE$3*100*$A69</f>
        <v>25.875</v>
      </c>
      <c r="AF69" s="19" t="n">
        <f aca="false">$B69+AF$3*100*$A69</f>
        <v>26.7</v>
      </c>
      <c r="AG69" s="19" t="n">
        <f aca="false">$B69+AG$3*100*$A69</f>
        <v>27.525</v>
      </c>
      <c r="AH69" s="19" t="n">
        <f aca="false">$B69+AH$3*100*$A69</f>
        <v>28.35</v>
      </c>
      <c r="AI69" s="19" t="n">
        <f aca="false">$B69+AI$3*100*$A69</f>
        <v>29.175</v>
      </c>
      <c r="AJ69" s="19" t="n">
        <f aca="false">$B69+AJ$3*100*$A69</f>
        <v>30</v>
      </c>
      <c r="AK69" s="19" t="n">
        <f aca="false">$B69+AK$3*100*$A69</f>
        <v>30.825</v>
      </c>
      <c r="AL69" s="19" t="n">
        <f aca="false">$B69+AL$3*100*$A69</f>
        <v>31.65</v>
      </c>
      <c r="AM69" s="19" t="n">
        <f aca="false">$B69+AM$3*100*$A69</f>
        <v>32.475</v>
      </c>
      <c r="AN69" s="19" t="n">
        <f aca="false">$B69+AN$3*100*$A69</f>
        <v>33.3</v>
      </c>
      <c r="AO69" s="19" t="n">
        <f aca="false">$B69+AO$3*100*$A69</f>
        <v>34.125</v>
      </c>
      <c r="AP69" s="19" t="n">
        <f aca="false">$B69+AP$3*100*$A69</f>
        <v>34.95</v>
      </c>
      <c r="AQ69" s="19" t="n">
        <f aca="false">$B69+AQ$3*100*$A69</f>
        <v>35.775</v>
      </c>
      <c r="AR69" s="19" t="n">
        <f aca="false">$B69+AR$3*100*$A69</f>
        <v>36.6</v>
      </c>
      <c r="AS69" s="19" t="n">
        <f aca="false">$B69+AS$3*100*$A69</f>
        <v>37.425</v>
      </c>
      <c r="AT69" s="19" t="n">
        <f aca="false">$B69+AT$3*100*$A69</f>
        <v>38.25</v>
      </c>
      <c r="AU69" s="19" t="n">
        <f aca="false">$B69+AU$3*100*$A69</f>
        <v>39.075</v>
      </c>
      <c r="AV69" s="19" t="n">
        <f aca="false">$B69+AV$3*100*$A69</f>
        <v>39.9</v>
      </c>
      <c r="AW69" s="19" t="n">
        <f aca="false">$B69+AW$3*100*$A69</f>
        <v>40.725</v>
      </c>
      <c r="AX69" s="19" t="n">
        <f aca="false">$B69+AX$3*100*$A69</f>
        <v>41.55</v>
      </c>
      <c r="AY69" s="19" t="n">
        <f aca="false">$B69+AY$3*100*$A69</f>
        <v>42.375</v>
      </c>
      <c r="AZ69" s="19" t="n">
        <f aca="false">$B69+AZ$3*100*$A69</f>
        <v>43.2</v>
      </c>
      <c r="BA69" s="19" t="n">
        <f aca="false">$B69+BA$3*100*$A69</f>
        <v>44.025</v>
      </c>
      <c r="BB69" s="19" t="n">
        <f aca="false">$B69+BB$3*100*$A69</f>
        <v>44.85</v>
      </c>
      <c r="BC69" s="19" t="n">
        <f aca="false">$B69+BC$3*100*$A69</f>
        <v>45.675</v>
      </c>
      <c r="BD69" s="19" t="n">
        <f aca="false">$B69+BD$3*100*$A69</f>
        <v>46.5</v>
      </c>
      <c r="BE69" s="19" t="n">
        <f aca="false">$B69+BE$3*100*$A69</f>
        <v>47.325</v>
      </c>
      <c r="BF69" s="19" t="n">
        <f aca="false">$B69+BF$3*100*$A69</f>
        <v>48.15</v>
      </c>
      <c r="BG69" s="19" t="n">
        <f aca="false">$B69+BG$3*100*$A69</f>
        <v>48.975</v>
      </c>
      <c r="BH69" s="19" t="n">
        <f aca="false">$B69+BH$3*100*$A69</f>
        <v>49.8</v>
      </c>
      <c r="BI69" s="19" t="n">
        <f aca="false">$B69+BI$3*100*$A69</f>
        <v>50.625</v>
      </c>
      <c r="BJ69" s="19" t="n">
        <f aca="false">$B69+BJ$3*100*$A69</f>
        <v>51.45</v>
      </c>
      <c r="BK69" s="19" t="n">
        <f aca="false">$B69+BK$3*100*$A69</f>
        <v>52.275</v>
      </c>
      <c r="BL69" s="19" t="n">
        <f aca="false">$B69+BL$3*100*$A69</f>
        <v>53.1</v>
      </c>
      <c r="BM69" s="19" t="n">
        <f aca="false">$B69+BM$3*100*$A69</f>
        <v>53.925</v>
      </c>
      <c r="BN69" s="19" t="n">
        <f aca="false">$B69+BN$3*100*$A69</f>
        <v>54.75</v>
      </c>
      <c r="BO69" s="19" t="n">
        <f aca="false">$B69+BO$3*100*$A69</f>
        <v>55.575</v>
      </c>
      <c r="BP69" s="19" t="n">
        <f aca="false">$B69+BP$3*100*$A69</f>
        <v>56.4</v>
      </c>
      <c r="BQ69" s="19" t="n">
        <f aca="false">$B69+BQ$3*100*$A69</f>
        <v>57.225</v>
      </c>
      <c r="BR69" s="19" t="n">
        <f aca="false">$B69+BR$3*100*$A69</f>
        <v>58.05</v>
      </c>
      <c r="BS69" s="19" t="n">
        <f aca="false">$B69+BS$3*100*$A69</f>
        <v>58.875</v>
      </c>
      <c r="BT69" s="19" t="n">
        <f aca="false">$B69+BT$3*100*$A69</f>
        <v>59.7</v>
      </c>
      <c r="BU69" s="19" t="n">
        <f aca="false">$B69+BU$3*100*$A69</f>
        <v>60.525</v>
      </c>
      <c r="BV69" s="19" t="n">
        <f aca="false">$B69+BV$3*100*$A69</f>
        <v>61.35</v>
      </c>
      <c r="BW69" s="19" t="n">
        <f aca="false">$B69+BW$3*100*$A69</f>
        <v>62.175</v>
      </c>
      <c r="BX69" s="19" t="n">
        <f aca="false">$B69+BX$3*100*$A69</f>
        <v>63</v>
      </c>
      <c r="BY69" s="19" t="n">
        <f aca="false">$B69+BY$3*100*$A69</f>
        <v>63.825</v>
      </c>
      <c r="BZ69" s="19" t="n">
        <f aca="false">$B69+BZ$3*100*$A69</f>
        <v>64.65</v>
      </c>
      <c r="CA69" s="19" t="n">
        <f aca="false">$B69+CA$3*100*$A69</f>
        <v>65.475</v>
      </c>
      <c r="CB69" s="19" t="n">
        <f aca="false">$B69+CB$3*100*$A69</f>
        <v>66.3</v>
      </c>
      <c r="CC69" s="19" t="n">
        <f aca="false">$B69+CC$3*100*$A69</f>
        <v>67.125</v>
      </c>
      <c r="CD69" s="19" t="n">
        <f aca="false">$B69+CD$3*100*$A69</f>
        <v>67.95</v>
      </c>
      <c r="CE69" s="19" t="n">
        <f aca="false">$B69+CE$3*100*$A69</f>
        <v>68.775</v>
      </c>
      <c r="CF69" s="19" t="n">
        <f aca="false">$B69+CF$3*100*$A69</f>
        <v>69.6</v>
      </c>
      <c r="CG69" s="19" t="n">
        <f aca="false">$B69+CG$3*100*$A69</f>
        <v>70.425</v>
      </c>
      <c r="CH69" s="19" t="n">
        <f aca="false">$B69+CH$3*100*$A69</f>
        <v>71.25</v>
      </c>
      <c r="CI69" s="19" t="n">
        <f aca="false">$B69+CI$3*100*$A69</f>
        <v>72.075</v>
      </c>
      <c r="CJ69" s="19" t="n">
        <f aca="false">$B69+CJ$3*100*$A69</f>
        <v>72.9</v>
      </c>
      <c r="CK69" s="19" t="n">
        <f aca="false">$B69+CK$3*100*$A69</f>
        <v>73.725</v>
      </c>
      <c r="CL69" s="19" t="n">
        <f aca="false">$B69+CL$3*100*$A69</f>
        <v>74.55</v>
      </c>
      <c r="CM69" s="19" t="n">
        <f aca="false">$B69+CM$3*100*$A69</f>
        <v>75.375</v>
      </c>
      <c r="CN69" s="19" t="n">
        <f aca="false">$B69+CN$3*100*$A69</f>
        <v>76.2</v>
      </c>
      <c r="CO69" s="19" t="n">
        <f aca="false">$B69+CO$3*100*$A69</f>
        <v>77.025</v>
      </c>
      <c r="CP69" s="19" t="n">
        <f aca="false">$B69+CP$3*100*$A69</f>
        <v>77.85</v>
      </c>
      <c r="CQ69" s="19" t="n">
        <f aca="false">$B69+CQ$3*100*$A69</f>
        <v>78.675</v>
      </c>
      <c r="CR69" s="19" t="n">
        <f aca="false">$B69+CR$3*100*$A69</f>
        <v>79.5</v>
      </c>
      <c r="CS69" s="19" t="n">
        <f aca="false">$B69+CS$3*100*$A69</f>
        <v>80.325</v>
      </c>
      <c r="CT69" s="19" t="n">
        <f aca="false">$B69+CT$3*100*$A69</f>
        <v>81.15</v>
      </c>
      <c r="CU69" s="19" t="n">
        <f aca="false">$B69+CU$3*100*$A69</f>
        <v>81.975</v>
      </c>
      <c r="CV69" s="19" t="n">
        <f aca="false">$B69+CV$3*100*$A69</f>
        <v>82.8</v>
      </c>
      <c r="CW69" s="19" t="n">
        <f aca="false">$B69+CW$3*100*$A69</f>
        <v>83.625</v>
      </c>
      <c r="CX69" s="19" t="n">
        <f aca="false">$B69+CX$3*100*$A69</f>
        <v>84.45</v>
      </c>
      <c r="CY69" s="19" t="n">
        <f aca="false">$B69+CY$3*100*$A69</f>
        <v>85.275</v>
      </c>
      <c r="CZ69" s="19" t="n">
        <f aca="false">$B69+CZ$3*100*$A69</f>
        <v>86.1</v>
      </c>
      <c r="DA69" s="19" t="n">
        <f aca="false">$B69+DA$3*100*$A69</f>
        <v>86.925</v>
      </c>
      <c r="DB69" s="19" t="n">
        <f aca="false">$B69+DB$3*100*$A69</f>
        <v>87.75</v>
      </c>
      <c r="DC69" s="19" t="n">
        <f aca="false">$B69+DC$3*100*$A69</f>
        <v>88.575</v>
      </c>
      <c r="DD69" s="19" t="n">
        <f aca="false">$B69+DD$3*100*$A69</f>
        <v>89.4</v>
      </c>
      <c r="DE69" s="19" t="n">
        <f aca="false">$B69+DE$3*100*$A69</f>
        <v>90.225</v>
      </c>
      <c r="DF69" s="19" t="n">
        <f aca="false">$B69+DF$3*100*$A69</f>
        <v>91.05</v>
      </c>
      <c r="DG69" s="19" t="n">
        <f aca="false">$B69+DG$3*100*$A69</f>
        <v>91.875</v>
      </c>
      <c r="DH69" s="19" t="n">
        <f aca="false">$B69+DH$3*100*$A69</f>
        <v>92.7</v>
      </c>
      <c r="DI69" s="19" t="n">
        <f aca="false">$B69+DI$3*100*$A69</f>
        <v>93.525</v>
      </c>
      <c r="DJ69" s="19" t="n">
        <f aca="false">$B69+DJ$3*100*$A69</f>
        <v>94.35</v>
      </c>
      <c r="DK69" s="19" t="n">
        <f aca="false">$B69+DK$3*100*$A69</f>
        <v>95.175</v>
      </c>
      <c r="DL69" s="19" t="n">
        <f aca="false">$B69+DL$3*100*$A69</f>
        <v>96</v>
      </c>
      <c r="DM69" s="19" t="n">
        <f aca="false">$B69+DM$3*100*$A69</f>
        <v>96.825</v>
      </c>
      <c r="DN69" s="19" t="n">
        <f aca="false">$B69+DN$3*100*$A69</f>
        <v>97.65</v>
      </c>
      <c r="DO69" s="19" t="n">
        <f aca="false">$B69+DO$3*100*$A69</f>
        <v>98.475</v>
      </c>
      <c r="DP69" s="19" t="n">
        <f aca="false">$B69+DP$3*100*$A69</f>
        <v>99.3</v>
      </c>
      <c r="DQ69" s="19" t="n">
        <f aca="false">$B69+DQ$3*100*$A69</f>
        <v>100.125</v>
      </c>
      <c r="DR69" s="19" t="n">
        <f aca="false">$B69+DR$3*100*$A69</f>
        <v>100.95</v>
      </c>
      <c r="DS69" s="19" t="n">
        <f aca="false">$B69+DS$3*100*$A69</f>
        <v>101.775</v>
      </c>
      <c r="DT69" s="19" t="n">
        <f aca="false">$B69+DT$3*100*$A69</f>
        <v>102.6</v>
      </c>
      <c r="DU69" s="19" t="n">
        <f aca="false">$B69+DU$3*100*$A69</f>
        <v>103.425</v>
      </c>
      <c r="DV69" s="19" t="n">
        <f aca="false">$B69+DV$3*100*$A69</f>
        <v>104.25</v>
      </c>
      <c r="DW69" s="19" t="n">
        <f aca="false">$B69+DW$3*100*$A69</f>
        <v>105.075</v>
      </c>
      <c r="DX69" s="19" t="n">
        <f aca="false">$B69+DX$3*100*$A69</f>
        <v>105.9</v>
      </c>
      <c r="DY69" s="19" t="n">
        <f aca="false">$B69+DY$3*100*$A69</f>
        <v>106.725</v>
      </c>
      <c r="DZ69" s="19" t="n">
        <f aca="false">$B69+DZ$3*100*$A69</f>
        <v>107.55</v>
      </c>
      <c r="EA69" s="19" t="n">
        <f aca="false">$B69+EA$3*100*$A69</f>
        <v>108.375</v>
      </c>
      <c r="EB69" s="19" t="n">
        <f aca="false">$B69+EB$3*100*$A69</f>
        <v>109.2</v>
      </c>
      <c r="EC69" s="19" t="n">
        <f aca="false">$B69+EC$3*100*$A69</f>
        <v>110.025</v>
      </c>
      <c r="ED69" s="19" t="n">
        <f aca="false">$B69+ED$3*100*$A69</f>
        <v>110.85</v>
      </c>
      <c r="EE69" s="19" t="n">
        <f aca="false">$B69+EE$3*100*$A69</f>
        <v>111.675</v>
      </c>
      <c r="EF69" s="19" t="n">
        <f aca="false">$B69+EF$3*100*$A69</f>
        <v>112.5</v>
      </c>
      <c r="EG69" s="19" t="n">
        <f aca="false">$B69+EG$3*100*$A69</f>
        <v>113.325</v>
      </c>
      <c r="EH69" s="19" t="n">
        <f aca="false">$B69+EH$3*100*$A69</f>
        <v>114.15</v>
      </c>
      <c r="EI69" s="19" t="n">
        <f aca="false">$B69+EI$3*100*$A69</f>
        <v>114.975</v>
      </c>
      <c r="EJ69" s="19" t="n">
        <f aca="false">$B69+EJ$3*100*$A69</f>
        <v>115.8</v>
      </c>
      <c r="EK69" s="19" t="n">
        <f aca="false">$B69+EK$3*100*$A69</f>
        <v>116.625</v>
      </c>
      <c r="EL69" s="19" t="n">
        <f aca="false">$B69+EL$3*100*$A69</f>
        <v>117.45</v>
      </c>
      <c r="EM69" s="19" t="n">
        <f aca="false">$B69+EM$3*100*$A69</f>
        <v>118.275</v>
      </c>
      <c r="EN69" s="19" t="n">
        <f aca="false">$B69+EN$3*100*$A69</f>
        <v>119.1</v>
      </c>
      <c r="EO69" s="19" t="n">
        <f aca="false">$B69+EO$3*100*$A69</f>
        <v>119.925</v>
      </c>
      <c r="EP69" s="19" t="n">
        <f aca="false">$B69+EP$3*100*$A69</f>
        <v>120.75</v>
      </c>
      <c r="EQ69" s="19" t="n">
        <f aca="false">$B69+EQ$3*100*$A69</f>
        <v>121.575</v>
      </c>
      <c r="ER69" s="19" t="n">
        <f aca="false">$B69+ER$3*100*$A69</f>
        <v>122.4</v>
      </c>
      <c r="ES69" s="19" t="n">
        <f aca="false">$B69+ES$3*100*$A69</f>
        <v>123.225</v>
      </c>
      <c r="ET69" s="19" t="n">
        <f aca="false">$B69+ET$3*100*$A69</f>
        <v>124.05</v>
      </c>
      <c r="EU69" s="19" t="n">
        <f aca="false">$B69+EU$3*100*$A69</f>
        <v>124.875</v>
      </c>
      <c r="EV69" s="19" t="n">
        <f aca="false">$B69+EV$3*100*$A69</f>
        <v>125.7</v>
      </c>
      <c r="EW69" s="19" t="n">
        <f aca="false">$B69+EW$3*100*$A69</f>
        <v>126.525</v>
      </c>
      <c r="EX69" s="19" t="n">
        <f aca="false">$B69+EX$3*100*$A69</f>
        <v>127.35</v>
      </c>
      <c r="EY69" s="19" t="n">
        <f aca="false">$B69+EY$3*100*$A69</f>
        <v>128.175</v>
      </c>
      <c r="EZ69" s="19" t="n">
        <f aca="false">$B69+EZ$3*100*$A69</f>
        <v>129</v>
      </c>
      <c r="FA69" s="19" t="n">
        <f aca="false">$B69+FA$3*100*$A69</f>
        <v>129.825</v>
      </c>
      <c r="FB69" s="19" t="n">
        <f aca="false">$B69+FB$3*100*$A69</f>
        <v>130.65</v>
      </c>
      <c r="FC69" s="19" t="n">
        <f aca="false">$B69+FC$3*100*$A69</f>
        <v>131.475</v>
      </c>
      <c r="FD69" s="19" t="n">
        <f aca="false">$B69+FD$3*100*$A69</f>
        <v>132.3</v>
      </c>
      <c r="FE69" s="19" t="n">
        <f aca="false">$B69+FE$3*100*$A69</f>
        <v>133.125</v>
      </c>
      <c r="FF69" s="19" t="n">
        <f aca="false">$B69+FF$3*100*$A69</f>
        <v>133.95</v>
      </c>
      <c r="FG69" s="19" t="n">
        <f aca="false">$B69+FG$3*100*$A69</f>
        <v>134.775</v>
      </c>
      <c r="FH69" s="19" t="n">
        <f aca="false">$B69+FH$3*100*$A69</f>
        <v>135.6</v>
      </c>
      <c r="FI69" s="19" t="n">
        <f aca="false">$B69+FI$3*100*$A69</f>
        <v>136.425</v>
      </c>
      <c r="FJ69" s="19" t="n">
        <f aca="false">$B69+FJ$3*100*$A69</f>
        <v>137.25</v>
      </c>
      <c r="FK69" s="19" t="n">
        <f aca="false">$B69+FK$3*100*$A69</f>
        <v>138.075</v>
      </c>
      <c r="FL69" s="19" t="n">
        <f aca="false">$B69+FL$3*100*$A69</f>
        <v>138.9</v>
      </c>
      <c r="FM69" s="19" t="n">
        <f aca="false">$B69+FM$3*100*$A69</f>
        <v>139.725</v>
      </c>
      <c r="FN69" s="19" t="n">
        <f aca="false">$B69+FN$3*100*$A69</f>
        <v>140.55</v>
      </c>
      <c r="FO69" s="19" t="n">
        <f aca="false">$B69+FO$3*100*$A69</f>
        <v>141.375</v>
      </c>
      <c r="FP69" s="19" t="n">
        <f aca="false">$B69+FP$3*100*$A69</f>
        <v>142.2</v>
      </c>
      <c r="FQ69" s="19" t="n">
        <f aca="false">$B69+FQ$3*100*$A69</f>
        <v>143.025</v>
      </c>
      <c r="FR69" s="19" t="n">
        <f aca="false">$B69+FR$3*100*$A69</f>
        <v>143.85</v>
      </c>
      <c r="FS69" s="19" t="n">
        <f aca="false">$B69+FS$3*100*$A69</f>
        <v>144.675</v>
      </c>
      <c r="FT69" s="19" t="n">
        <f aca="false">$B69+FT$3*100*$A69</f>
        <v>145.5</v>
      </c>
      <c r="FU69" s="19" t="n">
        <f aca="false">$B69+FU$3*100*$A69</f>
        <v>146.325</v>
      </c>
      <c r="FV69" s="19" t="n">
        <f aca="false">$B69+FV$3*100*$A69</f>
        <v>147.15</v>
      </c>
      <c r="FW69" s="19" t="n">
        <f aca="false">$B69+FW$3*100*$A69</f>
        <v>147.975</v>
      </c>
      <c r="FX69" s="19" t="n">
        <f aca="false">$B69+FX$3*100*$A69</f>
        <v>148.8</v>
      </c>
      <c r="FY69" s="19" t="n">
        <f aca="false">$B69+FY$3*100*$A69</f>
        <v>149.625</v>
      </c>
      <c r="FZ69" s="19" t="n">
        <f aca="false">$B69+FZ$3*100*$A69</f>
        <v>150.45</v>
      </c>
      <c r="GA69" s="19" t="n">
        <f aca="false">$B69+GA$3*100*$A69</f>
        <v>151.275</v>
      </c>
      <c r="GB69" s="19" t="n">
        <f aca="false">$B69+GB$3*100*$A69</f>
        <v>152.1</v>
      </c>
      <c r="GC69" s="19" t="n">
        <f aca="false">$B69+GC$3*100*$A69</f>
        <v>152.925</v>
      </c>
      <c r="GD69" s="19" t="n">
        <f aca="false">$B69+GD$3*100*$A69</f>
        <v>153.75</v>
      </c>
      <c r="GE69" s="19" t="n">
        <f aca="false">$B69+GE$3*100*$A69</f>
        <v>154.575</v>
      </c>
      <c r="GF69" s="19" t="n">
        <f aca="false">$B69+GF$3*100*$A69</f>
        <v>155.4</v>
      </c>
      <c r="GG69" s="19" t="n">
        <f aca="false">$B69+GG$3*100*$A69</f>
        <v>156.225</v>
      </c>
      <c r="GH69" s="19" t="n">
        <f aca="false">$B69+GH$3*100*$A69</f>
        <v>157.05</v>
      </c>
      <c r="GI69" s="19" t="n">
        <f aca="false">$B69+GI$3*100*$A69</f>
        <v>157.875</v>
      </c>
      <c r="GJ69" s="19" t="n">
        <f aca="false">$B69+GJ$3*100*$A69</f>
        <v>158.7</v>
      </c>
      <c r="GK69" s="19" t="n">
        <f aca="false">$B69+GK$3*100*$A69</f>
        <v>159.525</v>
      </c>
      <c r="GL69" s="19" t="n">
        <f aca="false">$B69+GL$3*100*$A69</f>
        <v>160.35</v>
      </c>
      <c r="GM69" s="19" t="n">
        <f aca="false">$B69+GM$3*100*$A69</f>
        <v>161.175</v>
      </c>
      <c r="GN69" s="19" t="n">
        <f aca="false">$B69+GN$3*100*$A69</f>
        <v>162</v>
      </c>
      <c r="GO69" s="19" t="n">
        <f aca="false">$B69+GO$3*100*$A69</f>
        <v>162.825</v>
      </c>
      <c r="GP69" s="19" t="n">
        <f aca="false">$B69+GP$3*100*$A69</f>
        <v>163.65</v>
      </c>
      <c r="GQ69" s="19" t="n">
        <f aca="false">$B69+GQ$3*100*$A69</f>
        <v>164.475</v>
      </c>
      <c r="GR69" s="19" t="n">
        <f aca="false">$B69+GR$3*100*$A69</f>
        <v>165.3</v>
      </c>
      <c r="GS69" s="19" t="n">
        <f aca="false">$B69+GS$3*100*$A69</f>
        <v>166.125</v>
      </c>
      <c r="GT69" s="19" t="n">
        <f aca="false">$B69+GT$3*100*$A69</f>
        <v>166.95</v>
      </c>
    </row>
    <row r="70" customFormat="false" ht="15" hidden="false" customHeight="false" outlineLevel="0" collapsed="false">
      <c r="A70" s="26" t="n">
        <f aca="false">Frontier!A68</f>
        <v>0.1675</v>
      </c>
      <c r="B70" s="34" t="n">
        <f aca="false">Frontier!B68</f>
        <v>1.80441165649144</v>
      </c>
      <c r="C70" s="19" t="n">
        <f aca="false">$B70+C$3*100*$A70</f>
        <v>2.64191165649144</v>
      </c>
      <c r="D70" s="19" t="n">
        <f aca="false">$B70+D$3*100*$A70</f>
        <v>3.47941165649144</v>
      </c>
      <c r="E70" s="19" t="n">
        <f aca="false">$B70+E$3*100*$A70</f>
        <v>4.31691165649144</v>
      </c>
      <c r="F70" s="19" t="n">
        <f aca="false">$B70+F$3*100*$A70</f>
        <v>5.15441165649144</v>
      </c>
      <c r="G70" s="19" t="n">
        <f aca="false">$B70+G$3*100*$A70</f>
        <v>5.99191165649144</v>
      </c>
      <c r="H70" s="19" t="n">
        <f aca="false">$B70+H$3*100*$A70</f>
        <v>6.82941165649144</v>
      </c>
      <c r="I70" s="19" t="n">
        <f aca="false">$B70+I$3*100*$A70</f>
        <v>7.66691165649144</v>
      </c>
      <c r="J70" s="19" t="n">
        <f aca="false">$B70+J$3*100*$A70</f>
        <v>8.50441165649144</v>
      </c>
      <c r="K70" s="19" t="n">
        <f aca="false">$B70+K$3*100*$A70</f>
        <v>9.34191165649144</v>
      </c>
      <c r="L70" s="19" t="n">
        <f aca="false">$B70+L$3*100*$A70</f>
        <v>10.1794116564914</v>
      </c>
      <c r="M70" s="19" t="n">
        <f aca="false">$B70+M$3*100*$A70</f>
        <v>11.0169116564914</v>
      </c>
      <c r="N70" s="19" t="n">
        <f aca="false">$B70+N$3*100*$A70</f>
        <v>11.8544116564914</v>
      </c>
      <c r="O70" s="19" t="n">
        <f aca="false">$B70+O$3*100*$A70</f>
        <v>12.6919116564914</v>
      </c>
      <c r="P70" s="19" t="n">
        <f aca="false">$B70+P$3*100*$A70</f>
        <v>13.5294116564914</v>
      </c>
      <c r="Q70" s="19" t="n">
        <f aca="false">$B70+Q$3*100*$A70</f>
        <v>14.3669116564914</v>
      </c>
      <c r="R70" s="19" t="n">
        <f aca="false">$B70+R$3*100*$A70</f>
        <v>15.2044116564914</v>
      </c>
      <c r="S70" s="19" t="n">
        <f aca="false">$B70+S$3*100*$A70</f>
        <v>16.0419116564914</v>
      </c>
      <c r="T70" s="19" t="n">
        <f aca="false">$B70+T$3*100*$A70</f>
        <v>16.8794116564914</v>
      </c>
      <c r="U70" s="19" t="n">
        <f aca="false">$B70+U$3*100*$A70</f>
        <v>17.7169116564914</v>
      </c>
      <c r="V70" s="19" t="n">
        <f aca="false">$B70+V$3*100*$A70</f>
        <v>18.5544116564914</v>
      </c>
      <c r="W70" s="19" t="n">
        <f aca="false">$B70+W$3*100*$A70</f>
        <v>19.3919116564914</v>
      </c>
      <c r="X70" s="19" t="n">
        <f aca="false">$B70+X$3*100*$A70</f>
        <v>20.2294116564914</v>
      </c>
      <c r="Y70" s="19" t="n">
        <f aca="false">$B70+Y$3*100*$A70</f>
        <v>21.0669116564914</v>
      </c>
      <c r="Z70" s="19" t="n">
        <f aca="false">$B70+Z$3*100*$A70</f>
        <v>21.9044116564914</v>
      </c>
      <c r="AA70" s="19" t="n">
        <f aca="false">$B70+AA$3*100*$A70</f>
        <v>22.7419116564914</v>
      </c>
      <c r="AB70" s="19" t="n">
        <f aca="false">$B70+AB$3*100*$A70</f>
        <v>23.5794116564914</v>
      </c>
      <c r="AC70" s="19" t="n">
        <f aca="false">$B70+AC$3*100*$A70</f>
        <v>24.4169116564914</v>
      </c>
      <c r="AD70" s="19" t="n">
        <f aca="false">$B70+AD$3*100*$A70</f>
        <v>25.2544116564914</v>
      </c>
      <c r="AE70" s="19" t="n">
        <f aca="false">$B70+AE$3*100*$A70</f>
        <v>26.0919116564914</v>
      </c>
      <c r="AF70" s="19" t="n">
        <f aca="false">$B70+AF$3*100*$A70</f>
        <v>26.9294116564914</v>
      </c>
      <c r="AG70" s="19" t="n">
        <f aca="false">$B70+AG$3*100*$A70</f>
        <v>27.7669116564914</v>
      </c>
      <c r="AH70" s="19" t="n">
        <f aca="false">$B70+AH$3*100*$A70</f>
        <v>28.6044116564914</v>
      </c>
      <c r="AI70" s="19" t="n">
        <f aca="false">$B70+AI$3*100*$A70</f>
        <v>29.4419116564914</v>
      </c>
      <c r="AJ70" s="19" t="n">
        <f aca="false">$B70+AJ$3*100*$A70</f>
        <v>30.2794116564914</v>
      </c>
      <c r="AK70" s="19" t="n">
        <f aca="false">$B70+AK$3*100*$A70</f>
        <v>31.1169116564914</v>
      </c>
      <c r="AL70" s="19" t="n">
        <f aca="false">$B70+AL$3*100*$A70</f>
        <v>31.9544116564914</v>
      </c>
      <c r="AM70" s="19" t="n">
        <f aca="false">$B70+AM$3*100*$A70</f>
        <v>32.7919116564914</v>
      </c>
      <c r="AN70" s="19" t="n">
        <f aca="false">$B70+AN$3*100*$A70</f>
        <v>33.6294116564914</v>
      </c>
      <c r="AO70" s="19" t="n">
        <f aca="false">$B70+AO$3*100*$A70</f>
        <v>34.4669116564914</v>
      </c>
      <c r="AP70" s="19" t="n">
        <f aca="false">$B70+AP$3*100*$A70</f>
        <v>35.3044116564914</v>
      </c>
      <c r="AQ70" s="19" t="n">
        <f aca="false">$B70+AQ$3*100*$A70</f>
        <v>36.1419116564914</v>
      </c>
      <c r="AR70" s="19" t="n">
        <f aca="false">$B70+AR$3*100*$A70</f>
        <v>36.9794116564914</v>
      </c>
      <c r="AS70" s="19" t="n">
        <f aca="false">$B70+AS$3*100*$A70</f>
        <v>37.8169116564914</v>
      </c>
      <c r="AT70" s="19" t="n">
        <f aca="false">$B70+AT$3*100*$A70</f>
        <v>38.6544116564915</v>
      </c>
      <c r="AU70" s="19" t="n">
        <f aca="false">$B70+AU$3*100*$A70</f>
        <v>39.4919116564914</v>
      </c>
      <c r="AV70" s="19" t="n">
        <f aca="false">$B70+AV$3*100*$A70</f>
        <v>40.3294116564914</v>
      </c>
      <c r="AW70" s="19" t="n">
        <f aca="false">$B70+AW$3*100*$A70</f>
        <v>41.1669116564914</v>
      </c>
      <c r="AX70" s="19" t="n">
        <f aca="false">$B70+AX$3*100*$A70</f>
        <v>42.0044116564914</v>
      </c>
      <c r="AY70" s="19" t="n">
        <f aca="false">$B70+AY$3*100*$A70</f>
        <v>42.8419116564915</v>
      </c>
      <c r="AZ70" s="19" t="n">
        <f aca="false">$B70+AZ$3*100*$A70</f>
        <v>43.6794116564914</v>
      </c>
      <c r="BA70" s="19" t="n">
        <f aca="false">$B70+BA$3*100*$A70</f>
        <v>44.5169116564914</v>
      </c>
      <c r="BB70" s="19" t="n">
        <f aca="false">$B70+BB$3*100*$A70</f>
        <v>45.3544116564914</v>
      </c>
      <c r="BC70" s="19" t="n">
        <f aca="false">$B70+BC$3*100*$A70</f>
        <v>46.1919116564914</v>
      </c>
      <c r="BD70" s="19" t="n">
        <f aca="false">$B70+BD$3*100*$A70</f>
        <v>47.0294116564914</v>
      </c>
      <c r="BE70" s="19" t="n">
        <f aca="false">$B70+BE$3*100*$A70</f>
        <v>47.8669116564914</v>
      </c>
      <c r="BF70" s="19" t="n">
        <f aca="false">$B70+BF$3*100*$A70</f>
        <v>48.7044116564914</v>
      </c>
      <c r="BG70" s="19" t="n">
        <f aca="false">$B70+BG$3*100*$A70</f>
        <v>49.5419116564914</v>
      </c>
      <c r="BH70" s="19" t="n">
        <f aca="false">$B70+BH$3*100*$A70</f>
        <v>50.3794116564914</v>
      </c>
      <c r="BI70" s="19" t="n">
        <f aca="false">$B70+BI$3*100*$A70</f>
        <v>51.2169116564914</v>
      </c>
      <c r="BJ70" s="19" t="n">
        <f aca="false">$B70+BJ$3*100*$A70</f>
        <v>52.0544116564914</v>
      </c>
      <c r="BK70" s="19" t="n">
        <f aca="false">$B70+BK$3*100*$A70</f>
        <v>52.8919116564914</v>
      </c>
      <c r="BL70" s="19" t="n">
        <f aca="false">$B70+BL$3*100*$A70</f>
        <v>53.7294116564914</v>
      </c>
      <c r="BM70" s="19" t="n">
        <f aca="false">$B70+BM$3*100*$A70</f>
        <v>54.5669116564914</v>
      </c>
      <c r="BN70" s="19" t="n">
        <f aca="false">$B70+BN$3*100*$A70</f>
        <v>55.4044116564914</v>
      </c>
      <c r="BO70" s="19" t="n">
        <f aca="false">$B70+BO$3*100*$A70</f>
        <v>56.2419116564914</v>
      </c>
      <c r="BP70" s="19" t="n">
        <f aca="false">$B70+BP$3*100*$A70</f>
        <v>57.0794116564914</v>
      </c>
      <c r="BQ70" s="19" t="n">
        <f aca="false">$B70+BQ$3*100*$A70</f>
        <v>57.9169116564914</v>
      </c>
      <c r="BR70" s="19" t="n">
        <f aca="false">$B70+BR$3*100*$A70</f>
        <v>58.7544116564914</v>
      </c>
      <c r="BS70" s="19" t="n">
        <f aca="false">$B70+BS$3*100*$A70</f>
        <v>59.5919116564914</v>
      </c>
      <c r="BT70" s="19" t="n">
        <f aca="false">$B70+BT$3*100*$A70</f>
        <v>60.4294116564914</v>
      </c>
      <c r="BU70" s="19" t="n">
        <f aca="false">$B70+BU$3*100*$A70</f>
        <v>61.2669116564914</v>
      </c>
      <c r="BV70" s="19" t="n">
        <f aca="false">$B70+BV$3*100*$A70</f>
        <v>62.1044116564914</v>
      </c>
      <c r="BW70" s="19" t="n">
        <f aca="false">$B70+BW$3*100*$A70</f>
        <v>62.9419116564914</v>
      </c>
      <c r="BX70" s="19" t="n">
        <f aca="false">$B70+BX$3*100*$A70</f>
        <v>63.7794116564914</v>
      </c>
      <c r="BY70" s="19" t="n">
        <f aca="false">$B70+BY$3*100*$A70</f>
        <v>64.6169116564915</v>
      </c>
      <c r="BZ70" s="19" t="n">
        <f aca="false">$B70+BZ$3*100*$A70</f>
        <v>65.4544116564914</v>
      </c>
      <c r="CA70" s="19" t="n">
        <f aca="false">$B70+CA$3*100*$A70</f>
        <v>66.2919116564914</v>
      </c>
      <c r="CB70" s="19" t="n">
        <f aca="false">$B70+CB$3*100*$A70</f>
        <v>67.1294116564914</v>
      </c>
      <c r="CC70" s="19" t="n">
        <f aca="false">$B70+CC$3*100*$A70</f>
        <v>67.9669116564915</v>
      </c>
      <c r="CD70" s="19" t="n">
        <f aca="false">$B70+CD$3*100*$A70</f>
        <v>68.8044116564914</v>
      </c>
      <c r="CE70" s="19" t="n">
        <f aca="false">$B70+CE$3*100*$A70</f>
        <v>69.6419116564914</v>
      </c>
      <c r="CF70" s="19" t="n">
        <f aca="false">$B70+CF$3*100*$A70</f>
        <v>70.4794116564914</v>
      </c>
      <c r="CG70" s="19" t="n">
        <f aca="false">$B70+CG$3*100*$A70</f>
        <v>71.3169116564915</v>
      </c>
      <c r="CH70" s="19" t="n">
        <f aca="false">$B70+CH$3*100*$A70</f>
        <v>72.1544116564915</v>
      </c>
      <c r="CI70" s="19" t="n">
        <f aca="false">$B70+CI$3*100*$A70</f>
        <v>72.9919116564914</v>
      </c>
      <c r="CJ70" s="19" t="n">
        <f aca="false">$B70+CJ$3*100*$A70</f>
        <v>73.8294116564914</v>
      </c>
      <c r="CK70" s="19" t="n">
        <f aca="false">$B70+CK$3*100*$A70</f>
        <v>74.6669116564914</v>
      </c>
      <c r="CL70" s="19" t="n">
        <f aca="false">$B70+CL$3*100*$A70</f>
        <v>75.5044116564915</v>
      </c>
      <c r="CM70" s="19" t="n">
        <f aca="false">$B70+CM$3*100*$A70</f>
        <v>76.3419116564915</v>
      </c>
      <c r="CN70" s="19" t="n">
        <f aca="false">$B70+CN$3*100*$A70</f>
        <v>77.1794116564914</v>
      </c>
      <c r="CO70" s="19" t="n">
        <f aca="false">$B70+CO$3*100*$A70</f>
        <v>78.0169116564914</v>
      </c>
      <c r="CP70" s="19" t="n">
        <f aca="false">$B70+CP$3*100*$A70</f>
        <v>78.8544116564914</v>
      </c>
      <c r="CQ70" s="19" t="n">
        <f aca="false">$B70+CQ$3*100*$A70</f>
        <v>79.6919116564915</v>
      </c>
      <c r="CR70" s="19" t="n">
        <f aca="false">$B70+CR$3*100*$A70</f>
        <v>80.5294116564915</v>
      </c>
      <c r="CS70" s="19" t="n">
        <f aca="false">$B70+CS$3*100*$A70</f>
        <v>81.3669116564914</v>
      </c>
      <c r="CT70" s="19" t="n">
        <f aca="false">$B70+CT$3*100*$A70</f>
        <v>82.2044116564914</v>
      </c>
      <c r="CU70" s="19" t="n">
        <f aca="false">$B70+CU$3*100*$A70</f>
        <v>83.0419116564914</v>
      </c>
      <c r="CV70" s="19" t="n">
        <f aca="false">$B70+CV$3*100*$A70</f>
        <v>83.8794116564915</v>
      </c>
      <c r="CW70" s="19" t="n">
        <f aca="false">$B70+CW$3*100*$A70</f>
        <v>84.7169116564915</v>
      </c>
      <c r="CX70" s="19" t="n">
        <f aca="false">$B70+CX$3*100*$A70</f>
        <v>85.5544116564914</v>
      </c>
      <c r="CY70" s="19" t="n">
        <f aca="false">$B70+CY$3*100*$A70</f>
        <v>86.3919116564914</v>
      </c>
      <c r="CZ70" s="19" t="n">
        <f aca="false">$B70+CZ$3*100*$A70</f>
        <v>87.2294116564914</v>
      </c>
      <c r="DA70" s="19" t="n">
        <f aca="false">$B70+DA$3*100*$A70</f>
        <v>88.0669116564914</v>
      </c>
      <c r="DB70" s="19" t="n">
        <f aca="false">$B70+DB$3*100*$A70</f>
        <v>88.9044116564915</v>
      </c>
      <c r="DC70" s="19" t="n">
        <f aca="false">$B70+DC$3*100*$A70</f>
        <v>89.7419116564914</v>
      </c>
      <c r="DD70" s="19" t="n">
        <f aca="false">$B70+DD$3*100*$A70</f>
        <v>90.5794116564914</v>
      </c>
      <c r="DE70" s="19" t="n">
        <f aca="false">$B70+DE$3*100*$A70</f>
        <v>91.4169116564915</v>
      </c>
      <c r="DF70" s="19" t="n">
        <f aca="false">$B70+DF$3*100*$A70</f>
        <v>92.2544116564914</v>
      </c>
      <c r="DG70" s="19" t="n">
        <f aca="false">$B70+DG$3*100*$A70</f>
        <v>93.0919116564915</v>
      </c>
      <c r="DH70" s="19" t="n">
        <f aca="false">$B70+DH$3*100*$A70</f>
        <v>93.9294116564914</v>
      </c>
      <c r="DI70" s="19" t="n">
        <f aca="false">$B70+DI$3*100*$A70</f>
        <v>94.7669116564914</v>
      </c>
      <c r="DJ70" s="19" t="n">
        <f aca="false">$B70+DJ$3*100*$A70</f>
        <v>95.6044116564915</v>
      </c>
      <c r="DK70" s="19" t="n">
        <f aca="false">$B70+DK$3*100*$A70</f>
        <v>96.4419116564914</v>
      </c>
      <c r="DL70" s="19" t="n">
        <f aca="false">$B70+DL$3*100*$A70</f>
        <v>97.2794116564915</v>
      </c>
      <c r="DM70" s="19" t="n">
        <f aca="false">$B70+DM$3*100*$A70</f>
        <v>98.1169116564914</v>
      </c>
      <c r="DN70" s="19" t="n">
        <f aca="false">$B70+DN$3*100*$A70</f>
        <v>98.9544116564914</v>
      </c>
      <c r="DO70" s="19" t="n">
        <f aca="false">$B70+DO$3*100*$A70</f>
        <v>99.7919116564915</v>
      </c>
      <c r="DP70" s="19" t="n">
        <f aca="false">$B70+DP$3*100*$A70</f>
        <v>100.629411656491</v>
      </c>
      <c r="DQ70" s="19" t="n">
        <f aca="false">$B70+DQ$3*100*$A70</f>
        <v>101.466911656491</v>
      </c>
      <c r="DR70" s="19" t="n">
        <f aca="false">$B70+DR$3*100*$A70</f>
        <v>102.304411656491</v>
      </c>
      <c r="DS70" s="19" t="n">
        <f aca="false">$B70+DS$3*100*$A70</f>
        <v>103.141911656491</v>
      </c>
      <c r="DT70" s="19" t="n">
        <f aca="false">$B70+DT$3*100*$A70</f>
        <v>103.979411656491</v>
      </c>
      <c r="DU70" s="19" t="n">
        <f aca="false">$B70+DU$3*100*$A70</f>
        <v>104.816911656491</v>
      </c>
      <c r="DV70" s="19" t="n">
        <f aca="false">$B70+DV$3*100*$A70</f>
        <v>105.654411656491</v>
      </c>
      <c r="DW70" s="19" t="n">
        <f aca="false">$B70+DW$3*100*$A70</f>
        <v>106.491911656491</v>
      </c>
      <c r="DX70" s="19" t="n">
        <f aca="false">$B70+DX$3*100*$A70</f>
        <v>107.329411656491</v>
      </c>
      <c r="DY70" s="19" t="n">
        <f aca="false">$B70+DY$3*100*$A70</f>
        <v>108.166911656491</v>
      </c>
      <c r="DZ70" s="19" t="n">
        <f aca="false">$B70+DZ$3*100*$A70</f>
        <v>109.004411656491</v>
      </c>
      <c r="EA70" s="19" t="n">
        <f aca="false">$B70+EA$3*100*$A70</f>
        <v>109.841911656491</v>
      </c>
      <c r="EB70" s="19" t="n">
        <f aca="false">$B70+EB$3*100*$A70</f>
        <v>110.679411656491</v>
      </c>
      <c r="EC70" s="19" t="n">
        <f aca="false">$B70+EC$3*100*$A70</f>
        <v>111.516911656491</v>
      </c>
      <c r="ED70" s="19" t="n">
        <f aca="false">$B70+ED$3*100*$A70</f>
        <v>112.354411656491</v>
      </c>
      <c r="EE70" s="19" t="n">
        <f aca="false">$B70+EE$3*100*$A70</f>
        <v>113.191911656491</v>
      </c>
      <c r="EF70" s="19" t="n">
        <f aca="false">$B70+EF$3*100*$A70</f>
        <v>114.029411656491</v>
      </c>
      <c r="EG70" s="19" t="n">
        <f aca="false">$B70+EG$3*100*$A70</f>
        <v>114.866911656491</v>
      </c>
      <c r="EH70" s="19" t="n">
        <f aca="false">$B70+EH$3*100*$A70</f>
        <v>115.704411656491</v>
      </c>
      <c r="EI70" s="19" t="n">
        <f aca="false">$B70+EI$3*100*$A70</f>
        <v>116.541911656491</v>
      </c>
      <c r="EJ70" s="19" t="n">
        <f aca="false">$B70+EJ$3*100*$A70</f>
        <v>117.379411656491</v>
      </c>
      <c r="EK70" s="19" t="n">
        <f aca="false">$B70+EK$3*100*$A70</f>
        <v>118.216911656491</v>
      </c>
      <c r="EL70" s="19" t="n">
        <f aca="false">$B70+EL$3*100*$A70</f>
        <v>119.054411656491</v>
      </c>
      <c r="EM70" s="19" t="n">
        <f aca="false">$B70+EM$3*100*$A70</f>
        <v>119.891911656491</v>
      </c>
      <c r="EN70" s="19" t="n">
        <f aca="false">$B70+EN$3*100*$A70</f>
        <v>120.729411656491</v>
      </c>
      <c r="EO70" s="19" t="n">
        <f aca="false">$B70+EO$3*100*$A70</f>
        <v>121.566911656491</v>
      </c>
      <c r="EP70" s="19" t="n">
        <f aca="false">$B70+EP$3*100*$A70</f>
        <v>122.404411656491</v>
      </c>
      <c r="EQ70" s="19" t="n">
        <f aca="false">$B70+EQ$3*100*$A70</f>
        <v>123.241911656491</v>
      </c>
      <c r="ER70" s="19" t="n">
        <f aca="false">$B70+ER$3*100*$A70</f>
        <v>124.079411656491</v>
      </c>
      <c r="ES70" s="19" t="n">
        <f aca="false">$B70+ES$3*100*$A70</f>
        <v>124.916911656491</v>
      </c>
      <c r="ET70" s="19" t="n">
        <f aca="false">$B70+ET$3*100*$A70</f>
        <v>125.754411656491</v>
      </c>
      <c r="EU70" s="19" t="n">
        <f aca="false">$B70+EU$3*100*$A70</f>
        <v>126.591911656491</v>
      </c>
      <c r="EV70" s="19" t="n">
        <f aca="false">$B70+EV$3*100*$A70</f>
        <v>127.429411656491</v>
      </c>
      <c r="EW70" s="19" t="n">
        <f aca="false">$B70+EW$3*100*$A70</f>
        <v>128.266911656491</v>
      </c>
      <c r="EX70" s="19" t="n">
        <f aca="false">$B70+EX$3*100*$A70</f>
        <v>129.104411656491</v>
      </c>
      <c r="EY70" s="19" t="n">
        <f aca="false">$B70+EY$3*100*$A70</f>
        <v>129.941911656491</v>
      </c>
      <c r="EZ70" s="19" t="n">
        <f aca="false">$B70+EZ$3*100*$A70</f>
        <v>130.779411656491</v>
      </c>
      <c r="FA70" s="19" t="n">
        <f aca="false">$B70+FA$3*100*$A70</f>
        <v>131.616911656491</v>
      </c>
      <c r="FB70" s="19" t="n">
        <f aca="false">$B70+FB$3*100*$A70</f>
        <v>132.454411656491</v>
      </c>
      <c r="FC70" s="19" t="n">
        <f aca="false">$B70+FC$3*100*$A70</f>
        <v>133.291911656491</v>
      </c>
      <c r="FD70" s="19" t="n">
        <f aca="false">$B70+FD$3*100*$A70</f>
        <v>134.129411656491</v>
      </c>
      <c r="FE70" s="19" t="n">
        <f aca="false">$B70+FE$3*100*$A70</f>
        <v>134.966911656491</v>
      </c>
      <c r="FF70" s="19" t="n">
        <f aca="false">$B70+FF$3*100*$A70</f>
        <v>135.804411656491</v>
      </c>
      <c r="FG70" s="19" t="n">
        <f aca="false">$B70+FG$3*100*$A70</f>
        <v>136.641911656492</v>
      </c>
      <c r="FH70" s="19" t="n">
        <f aca="false">$B70+FH$3*100*$A70</f>
        <v>137.479411656491</v>
      </c>
      <c r="FI70" s="19" t="n">
        <f aca="false">$B70+FI$3*100*$A70</f>
        <v>138.316911656491</v>
      </c>
      <c r="FJ70" s="19" t="n">
        <f aca="false">$B70+FJ$3*100*$A70</f>
        <v>139.154411656491</v>
      </c>
      <c r="FK70" s="19" t="n">
        <f aca="false">$B70+FK$3*100*$A70</f>
        <v>139.991911656491</v>
      </c>
      <c r="FL70" s="19" t="n">
        <f aca="false">$B70+FL$3*100*$A70</f>
        <v>140.829411656492</v>
      </c>
      <c r="FM70" s="19" t="n">
        <f aca="false">$B70+FM$3*100*$A70</f>
        <v>141.666911656491</v>
      </c>
      <c r="FN70" s="19" t="n">
        <f aca="false">$B70+FN$3*100*$A70</f>
        <v>142.504411656491</v>
      </c>
      <c r="FO70" s="19" t="n">
        <f aca="false">$B70+FO$3*100*$A70</f>
        <v>143.341911656491</v>
      </c>
      <c r="FP70" s="19" t="n">
        <f aca="false">$B70+FP$3*100*$A70</f>
        <v>144.179411656491</v>
      </c>
      <c r="FQ70" s="19" t="n">
        <f aca="false">$B70+FQ$3*100*$A70</f>
        <v>145.016911656492</v>
      </c>
      <c r="FR70" s="19" t="n">
        <f aca="false">$B70+FR$3*100*$A70</f>
        <v>145.854411656491</v>
      </c>
      <c r="FS70" s="19" t="n">
        <f aca="false">$B70+FS$3*100*$A70</f>
        <v>146.691911656491</v>
      </c>
      <c r="FT70" s="19" t="n">
        <f aca="false">$B70+FT$3*100*$A70</f>
        <v>147.529411656491</v>
      </c>
      <c r="FU70" s="19" t="n">
        <f aca="false">$B70+FU$3*100*$A70</f>
        <v>148.366911656491</v>
      </c>
      <c r="FV70" s="19" t="n">
        <f aca="false">$B70+FV$3*100*$A70</f>
        <v>149.204411656492</v>
      </c>
      <c r="FW70" s="19" t="n">
        <f aca="false">$B70+FW$3*100*$A70</f>
        <v>150.041911656491</v>
      </c>
      <c r="FX70" s="19" t="n">
        <f aca="false">$B70+FX$3*100*$A70</f>
        <v>150.879411656491</v>
      </c>
      <c r="FY70" s="19" t="n">
        <f aca="false">$B70+FY$3*100*$A70</f>
        <v>151.716911656491</v>
      </c>
      <c r="FZ70" s="19" t="n">
        <f aca="false">$B70+FZ$3*100*$A70</f>
        <v>152.554411656491</v>
      </c>
      <c r="GA70" s="19" t="n">
        <f aca="false">$B70+GA$3*100*$A70</f>
        <v>153.391911656492</v>
      </c>
      <c r="GB70" s="19" t="n">
        <f aca="false">$B70+GB$3*100*$A70</f>
        <v>154.229411656491</v>
      </c>
      <c r="GC70" s="19" t="n">
        <f aca="false">$B70+GC$3*100*$A70</f>
        <v>155.066911656491</v>
      </c>
      <c r="GD70" s="19" t="n">
        <f aca="false">$B70+GD$3*100*$A70</f>
        <v>155.904411656491</v>
      </c>
      <c r="GE70" s="19" t="n">
        <f aca="false">$B70+GE$3*100*$A70</f>
        <v>156.741911656491</v>
      </c>
      <c r="GF70" s="19" t="n">
        <f aca="false">$B70+GF$3*100*$A70</f>
        <v>157.579411656492</v>
      </c>
      <c r="GG70" s="19" t="n">
        <f aca="false">$B70+GG$3*100*$A70</f>
        <v>158.416911656491</v>
      </c>
      <c r="GH70" s="19" t="n">
        <f aca="false">$B70+GH$3*100*$A70</f>
        <v>159.254411656491</v>
      </c>
      <c r="GI70" s="19" t="n">
        <f aca="false">$B70+GI$3*100*$A70</f>
        <v>160.091911656491</v>
      </c>
      <c r="GJ70" s="19" t="n">
        <f aca="false">$B70+GJ$3*100*$A70</f>
        <v>160.929411656491</v>
      </c>
      <c r="GK70" s="19" t="n">
        <f aca="false">$B70+GK$3*100*$A70</f>
        <v>161.766911656492</v>
      </c>
      <c r="GL70" s="19" t="n">
        <f aca="false">$B70+GL$3*100*$A70</f>
        <v>162.604411656491</v>
      </c>
      <c r="GM70" s="19" t="n">
        <f aca="false">$B70+GM$3*100*$A70</f>
        <v>163.441911656491</v>
      </c>
      <c r="GN70" s="19" t="n">
        <f aca="false">$B70+GN$3*100*$A70</f>
        <v>164.279411656491</v>
      </c>
      <c r="GO70" s="19" t="n">
        <f aca="false">$B70+GO$3*100*$A70</f>
        <v>165.116911656491</v>
      </c>
      <c r="GP70" s="19" t="n">
        <f aca="false">$B70+GP$3*100*$A70</f>
        <v>165.954411656492</v>
      </c>
      <c r="GQ70" s="19" t="n">
        <f aca="false">$B70+GQ$3*100*$A70</f>
        <v>166.791911656491</v>
      </c>
      <c r="GR70" s="19" t="n">
        <f aca="false">$B70+GR$3*100*$A70</f>
        <v>167.629411656491</v>
      </c>
      <c r="GS70" s="19" t="n">
        <f aca="false">$B70+GS$3*100*$A70</f>
        <v>168.466911656491</v>
      </c>
      <c r="GT70" s="19" t="n">
        <f aca="false">$B70+GT$3*100*$A70</f>
        <v>169.304411656491</v>
      </c>
    </row>
    <row r="71" customFormat="false" ht="15" hidden="false" customHeight="false" outlineLevel="0" collapsed="false">
      <c r="A71" s="26" t="n">
        <f aca="false">Frontier!A69</f>
        <v>0.17</v>
      </c>
      <c r="B71" s="34" t="n">
        <f aca="false">Frontier!B69</f>
        <v>1.8</v>
      </c>
      <c r="C71" s="19" t="n">
        <f aca="false">$B71+C$3*100*$A71</f>
        <v>2.65</v>
      </c>
      <c r="D71" s="19" t="n">
        <f aca="false">$B71+D$3*100*$A71</f>
        <v>3.5</v>
      </c>
      <c r="E71" s="19" t="n">
        <f aca="false">$B71+E$3*100*$A71</f>
        <v>4.35</v>
      </c>
      <c r="F71" s="19" t="n">
        <f aca="false">$B71+F$3*100*$A71</f>
        <v>5.2</v>
      </c>
      <c r="G71" s="19" t="n">
        <f aca="false">$B71+G$3*100*$A71</f>
        <v>6.05</v>
      </c>
      <c r="H71" s="19" t="n">
        <f aca="false">$B71+H$3*100*$A71</f>
        <v>6.9</v>
      </c>
      <c r="I71" s="19" t="n">
        <f aca="false">$B71+I$3*100*$A71</f>
        <v>7.75</v>
      </c>
      <c r="J71" s="19" t="n">
        <f aca="false">$B71+J$3*100*$A71</f>
        <v>8.6</v>
      </c>
      <c r="K71" s="19" t="n">
        <f aca="false">$B71+K$3*100*$A71</f>
        <v>9.45</v>
      </c>
      <c r="L71" s="19" t="n">
        <f aca="false">$B71+L$3*100*$A71</f>
        <v>10.3</v>
      </c>
      <c r="M71" s="19" t="n">
        <f aca="false">$B71+M$3*100*$A71</f>
        <v>11.15</v>
      </c>
      <c r="N71" s="19" t="n">
        <f aca="false">$B71+N$3*100*$A71</f>
        <v>12</v>
      </c>
      <c r="O71" s="19" t="n">
        <f aca="false">$B71+O$3*100*$A71</f>
        <v>12.85</v>
      </c>
      <c r="P71" s="19" t="n">
        <f aca="false">$B71+P$3*100*$A71</f>
        <v>13.7</v>
      </c>
      <c r="Q71" s="19" t="n">
        <f aca="false">$B71+Q$3*100*$A71</f>
        <v>14.55</v>
      </c>
      <c r="R71" s="19" t="n">
        <f aca="false">$B71+R$3*100*$A71</f>
        <v>15.4</v>
      </c>
      <c r="S71" s="19" t="n">
        <f aca="false">$B71+S$3*100*$A71</f>
        <v>16.25</v>
      </c>
      <c r="T71" s="19" t="n">
        <f aca="false">$B71+T$3*100*$A71</f>
        <v>17.1</v>
      </c>
      <c r="U71" s="19" t="n">
        <f aca="false">$B71+U$3*100*$A71</f>
        <v>17.95</v>
      </c>
      <c r="V71" s="19" t="n">
        <f aca="false">$B71+V$3*100*$A71</f>
        <v>18.8</v>
      </c>
      <c r="W71" s="19" t="n">
        <f aca="false">$B71+W$3*100*$A71</f>
        <v>19.65</v>
      </c>
      <c r="X71" s="19" t="n">
        <f aca="false">$B71+X$3*100*$A71</f>
        <v>20.5</v>
      </c>
      <c r="Y71" s="19" t="n">
        <f aca="false">$B71+Y$3*100*$A71</f>
        <v>21.35</v>
      </c>
      <c r="Z71" s="19" t="n">
        <f aca="false">$B71+Z$3*100*$A71</f>
        <v>22.2</v>
      </c>
      <c r="AA71" s="19" t="n">
        <f aca="false">$B71+AA$3*100*$A71</f>
        <v>23.05</v>
      </c>
      <c r="AB71" s="19" t="n">
        <f aca="false">$B71+AB$3*100*$A71</f>
        <v>23.9</v>
      </c>
      <c r="AC71" s="19" t="n">
        <f aca="false">$B71+AC$3*100*$A71</f>
        <v>24.75</v>
      </c>
      <c r="AD71" s="19" t="n">
        <f aca="false">$B71+AD$3*100*$A71</f>
        <v>25.6</v>
      </c>
      <c r="AE71" s="19" t="n">
        <f aca="false">$B71+AE$3*100*$A71</f>
        <v>26.45</v>
      </c>
      <c r="AF71" s="19" t="n">
        <f aca="false">$B71+AF$3*100*$A71</f>
        <v>27.3</v>
      </c>
      <c r="AG71" s="19" t="n">
        <f aca="false">$B71+AG$3*100*$A71</f>
        <v>28.15</v>
      </c>
      <c r="AH71" s="19" t="n">
        <f aca="false">$B71+AH$3*100*$A71</f>
        <v>29</v>
      </c>
      <c r="AI71" s="19" t="n">
        <f aca="false">$B71+AI$3*100*$A71</f>
        <v>29.85</v>
      </c>
      <c r="AJ71" s="19" t="n">
        <f aca="false">$B71+AJ$3*100*$A71</f>
        <v>30.7</v>
      </c>
      <c r="AK71" s="19" t="n">
        <f aca="false">$B71+AK$3*100*$A71</f>
        <v>31.55</v>
      </c>
      <c r="AL71" s="19" t="n">
        <f aca="false">$B71+AL$3*100*$A71</f>
        <v>32.4</v>
      </c>
      <c r="AM71" s="19" t="n">
        <f aca="false">$B71+AM$3*100*$A71</f>
        <v>33.25</v>
      </c>
      <c r="AN71" s="19" t="n">
        <f aca="false">$B71+AN$3*100*$A71</f>
        <v>34.1</v>
      </c>
      <c r="AO71" s="19" t="n">
        <f aca="false">$B71+AO$3*100*$A71</f>
        <v>34.95</v>
      </c>
      <c r="AP71" s="19" t="n">
        <f aca="false">$B71+AP$3*100*$A71</f>
        <v>35.8</v>
      </c>
      <c r="AQ71" s="19" t="n">
        <f aca="false">$B71+AQ$3*100*$A71</f>
        <v>36.65</v>
      </c>
      <c r="AR71" s="19" t="n">
        <f aca="false">$B71+AR$3*100*$A71</f>
        <v>37.5</v>
      </c>
      <c r="AS71" s="19" t="n">
        <f aca="false">$B71+AS$3*100*$A71</f>
        <v>38.35</v>
      </c>
      <c r="AT71" s="19" t="n">
        <f aca="false">$B71+AT$3*100*$A71</f>
        <v>39.2</v>
      </c>
      <c r="AU71" s="19" t="n">
        <f aca="false">$B71+AU$3*100*$A71</f>
        <v>40.05</v>
      </c>
      <c r="AV71" s="19" t="n">
        <f aca="false">$B71+AV$3*100*$A71</f>
        <v>40.9</v>
      </c>
      <c r="AW71" s="19" t="n">
        <f aca="false">$B71+AW$3*100*$A71</f>
        <v>41.75</v>
      </c>
      <c r="AX71" s="19" t="n">
        <f aca="false">$B71+AX$3*100*$A71</f>
        <v>42.6</v>
      </c>
      <c r="AY71" s="19" t="n">
        <f aca="false">$B71+AY$3*100*$A71</f>
        <v>43.45</v>
      </c>
      <c r="AZ71" s="19" t="n">
        <f aca="false">$B71+AZ$3*100*$A71</f>
        <v>44.3</v>
      </c>
      <c r="BA71" s="19" t="n">
        <f aca="false">$B71+BA$3*100*$A71</f>
        <v>45.15</v>
      </c>
      <c r="BB71" s="19" t="n">
        <f aca="false">$B71+BB$3*100*$A71</f>
        <v>46</v>
      </c>
      <c r="BC71" s="19" t="n">
        <f aca="false">$B71+BC$3*100*$A71</f>
        <v>46.85</v>
      </c>
      <c r="BD71" s="19" t="n">
        <f aca="false">$B71+BD$3*100*$A71</f>
        <v>47.7</v>
      </c>
      <c r="BE71" s="19" t="n">
        <f aca="false">$B71+BE$3*100*$A71</f>
        <v>48.55</v>
      </c>
      <c r="BF71" s="19" t="n">
        <f aca="false">$B71+BF$3*100*$A71</f>
        <v>49.4</v>
      </c>
      <c r="BG71" s="19" t="n">
        <f aca="false">$B71+BG$3*100*$A71</f>
        <v>50.25</v>
      </c>
      <c r="BH71" s="19" t="n">
        <f aca="false">$B71+BH$3*100*$A71</f>
        <v>51.1</v>
      </c>
      <c r="BI71" s="19" t="n">
        <f aca="false">$B71+BI$3*100*$A71</f>
        <v>51.95</v>
      </c>
      <c r="BJ71" s="19" t="n">
        <f aca="false">$B71+BJ$3*100*$A71</f>
        <v>52.8</v>
      </c>
      <c r="BK71" s="19" t="n">
        <f aca="false">$B71+BK$3*100*$A71</f>
        <v>53.65</v>
      </c>
      <c r="BL71" s="19" t="n">
        <f aca="false">$B71+BL$3*100*$A71</f>
        <v>54.5</v>
      </c>
      <c r="BM71" s="19" t="n">
        <f aca="false">$B71+BM$3*100*$A71</f>
        <v>55.35</v>
      </c>
      <c r="BN71" s="19" t="n">
        <f aca="false">$B71+BN$3*100*$A71</f>
        <v>56.2</v>
      </c>
      <c r="BO71" s="19" t="n">
        <f aca="false">$B71+BO$3*100*$A71</f>
        <v>57.05</v>
      </c>
      <c r="BP71" s="19" t="n">
        <f aca="false">$B71+BP$3*100*$A71</f>
        <v>57.9</v>
      </c>
      <c r="BQ71" s="19" t="n">
        <f aca="false">$B71+BQ$3*100*$A71</f>
        <v>58.75</v>
      </c>
      <c r="BR71" s="19" t="n">
        <f aca="false">$B71+BR$3*100*$A71</f>
        <v>59.6</v>
      </c>
      <c r="BS71" s="19" t="n">
        <f aca="false">$B71+BS$3*100*$A71</f>
        <v>60.45</v>
      </c>
      <c r="BT71" s="19" t="n">
        <f aca="false">$B71+BT$3*100*$A71</f>
        <v>61.3</v>
      </c>
      <c r="BU71" s="19" t="n">
        <f aca="false">$B71+BU$3*100*$A71</f>
        <v>62.15</v>
      </c>
      <c r="BV71" s="19" t="n">
        <f aca="false">$B71+BV$3*100*$A71</f>
        <v>63</v>
      </c>
      <c r="BW71" s="19" t="n">
        <f aca="false">$B71+BW$3*100*$A71</f>
        <v>63.85</v>
      </c>
      <c r="BX71" s="19" t="n">
        <f aca="false">$B71+BX$3*100*$A71</f>
        <v>64.7</v>
      </c>
      <c r="BY71" s="19" t="n">
        <f aca="false">$B71+BY$3*100*$A71</f>
        <v>65.55</v>
      </c>
      <c r="BZ71" s="19" t="n">
        <f aca="false">$B71+BZ$3*100*$A71</f>
        <v>66.4</v>
      </c>
      <c r="CA71" s="19" t="n">
        <f aca="false">$B71+CA$3*100*$A71</f>
        <v>67.25</v>
      </c>
      <c r="CB71" s="19" t="n">
        <f aca="false">$B71+CB$3*100*$A71</f>
        <v>68.1</v>
      </c>
      <c r="CC71" s="19" t="n">
        <f aca="false">$B71+CC$3*100*$A71</f>
        <v>68.95</v>
      </c>
      <c r="CD71" s="19" t="n">
        <f aca="false">$B71+CD$3*100*$A71</f>
        <v>69.8</v>
      </c>
      <c r="CE71" s="19" t="n">
        <f aca="false">$B71+CE$3*100*$A71</f>
        <v>70.65</v>
      </c>
      <c r="CF71" s="19" t="n">
        <f aca="false">$B71+CF$3*100*$A71</f>
        <v>71.5</v>
      </c>
      <c r="CG71" s="19" t="n">
        <f aca="false">$B71+CG$3*100*$A71</f>
        <v>72.35</v>
      </c>
      <c r="CH71" s="19" t="n">
        <f aca="false">$B71+CH$3*100*$A71</f>
        <v>73.2</v>
      </c>
      <c r="CI71" s="19" t="n">
        <f aca="false">$B71+CI$3*100*$A71</f>
        <v>74.05</v>
      </c>
      <c r="CJ71" s="19" t="n">
        <f aca="false">$B71+CJ$3*100*$A71</f>
        <v>74.9</v>
      </c>
      <c r="CK71" s="19" t="n">
        <f aca="false">$B71+CK$3*100*$A71</f>
        <v>75.75</v>
      </c>
      <c r="CL71" s="19" t="n">
        <f aca="false">$B71+CL$3*100*$A71</f>
        <v>76.6</v>
      </c>
      <c r="CM71" s="19" t="n">
        <f aca="false">$B71+CM$3*100*$A71</f>
        <v>77.45</v>
      </c>
      <c r="CN71" s="19" t="n">
        <f aca="false">$B71+CN$3*100*$A71</f>
        <v>78.3</v>
      </c>
      <c r="CO71" s="19" t="n">
        <f aca="false">$B71+CO$3*100*$A71</f>
        <v>79.15</v>
      </c>
      <c r="CP71" s="19" t="n">
        <f aca="false">$B71+CP$3*100*$A71</f>
        <v>80</v>
      </c>
      <c r="CQ71" s="19" t="n">
        <f aca="false">$B71+CQ$3*100*$A71</f>
        <v>80.85</v>
      </c>
      <c r="CR71" s="19" t="n">
        <f aca="false">$B71+CR$3*100*$A71</f>
        <v>81.7</v>
      </c>
      <c r="CS71" s="19" t="n">
        <f aca="false">$B71+CS$3*100*$A71</f>
        <v>82.55</v>
      </c>
      <c r="CT71" s="19" t="n">
        <f aca="false">$B71+CT$3*100*$A71</f>
        <v>83.4</v>
      </c>
      <c r="CU71" s="19" t="n">
        <f aca="false">$B71+CU$3*100*$A71</f>
        <v>84.25</v>
      </c>
      <c r="CV71" s="19" t="n">
        <f aca="false">$B71+CV$3*100*$A71</f>
        <v>85.1</v>
      </c>
      <c r="CW71" s="19" t="n">
        <f aca="false">$B71+CW$3*100*$A71</f>
        <v>85.95</v>
      </c>
      <c r="CX71" s="19" t="n">
        <f aca="false">$B71+CX$3*100*$A71</f>
        <v>86.8</v>
      </c>
      <c r="CY71" s="19" t="n">
        <f aca="false">$B71+CY$3*100*$A71</f>
        <v>87.65</v>
      </c>
      <c r="CZ71" s="19" t="n">
        <f aca="false">$B71+CZ$3*100*$A71</f>
        <v>88.5</v>
      </c>
      <c r="DA71" s="19" t="n">
        <f aca="false">$B71+DA$3*100*$A71</f>
        <v>89.35</v>
      </c>
      <c r="DB71" s="19" t="n">
        <f aca="false">$B71+DB$3*100*$A71</f>
        <v>90.2</v>
      </c>
      <c r="DC71" s="19" t="n">
        <f aca="false">$B71+DC$3*100*$A71</f>
        <v>91.05</v>
      </c>
      <c r="DD71" s="19" t="n">
        <f aca="false">$B71+DD$3*100*$A71</f>
        <v>91.9</v>
      </c>
      <c r="DE71" s="19" t="n">
        <f aca="false">$B71+DE$3*100*$A71</f>
        <v>92.75</v>
      </c>
      <c r="DF71" s="19" t="n">
        <f aca="false">$B71+DF$3*100*$A71</f>
        <v>93.6</v>
      </c>
      <c r="DG71" s="19" t="n">
        <f aca="false">$B71+DG$3*100*$A71</f>
        <v>94.45</v>
      </c>
      <c r="DH71" s="19" t="n">
        <f aca="false">$B71+DH$3*100*$A71</f>
        <v>95.3</v>
      </c>
      <c r="DI71" s="19" t="n">
        <f aca="false">$B71+DI$3*100*$A71</f>
        <v>96.15</v>
      </c>
      <c r="DJ71" s="19" t="n">
        <f aca="false">$B71+DJ$3*100*$A71</f>
        <v>97</v>
      </c>
      <c r="DK71" s="19" t="n">
        <f aca="false">$B71+DK$3*100*$A71</f>
        <v>97.85</v>
      </c>
      <c r="DL71" s="19" t="n">
        <f aca="false">$B71+DL$3*100*$A71</f>
        <v>98.7</v>
      </c>
      <c r="DM71" s="19" t="n">
        <f aca="false">$B71+DM$3*100*$A71</f>
        <v>99.55</v>
      </c>
      <c r="DN71" s="19" t="n">
        <f aca="false">$B71+DN$3*100*$A71</f>
        <v>100.4</v>
      </c>
      <c r="DO71" s="19" t="n">
        <f aca="false">$B71+DO$3*100*$A71</f>
        <v>101.25</v>
      </c>
      <c r="DP71" s="19" t="n">
        <f aca="false">$B71+DP$3*100*$A71</f>
        <v>102.1</v>
      </c>
      <c r="DQ71" s="19" t="n">
        <f aca="false">$B71+DQ$3*100*$A71</f>
        <v>102.95</v>
      </c>
      <c r="DR71" s="19" t="n">
        <f aca="false">$B71+DR$3*100*$A71</f>
        <v>103.8</v>
      </c>
      <c r="DS71" s="19" t="n">
        <f aca="false">$B71+DS$3*100*$A71</f>
        <v>104.65</v>
      </c>
      <c r="DT71" s="19" t="n">
        <f aca="false">$B71+DT$3*100*$A71</f>
        <v>105.5</v>
      </c>
      <c r="DU71" s="19" t="n">
        <f aca="false">$B71+DU$3*100*$A71</f>
        <v>106.35</v>
      </c>
      <c r="DV71" s="19" t="n">
        <f aca="false">$B71+DV$3*100*$A71</f>
        <v>107.2</v>
      </c>
      <c r="DW71" s="19" t="n">
        <f aca="false">$B71+DW$3*100*$A71</f>
        <v>108.05</v>
      </c>
      <c r="DX71" s="19" t="n">
        <f aca="false">$B71+DX$3*100*$A71</f>
        <v>108.9</v>
      </c>
      <c r="DY71" s="19" t="n">
        <f aca="false">$B71+DY$3*100*$A71</f>
        <v>109.75</v>
      </c>
      <c r="DZ71" s="19" t="n">
        <f aca="false">$B71+DZ$3*100*$A71</f>
        <v>110.6</v>
      </c>
      <c r="EA71" s="19" t="n">
        <f aca="false">$B71+EA$3*100*$A71</f>
        <v>111.45</v>
      </c>
      <c r="EB71" s="19" t="n">
        <f aca="false">$B71+EB$3*100*$A71</f>
        <v>112.3</v>
      </c>
      <c r="EC71" s="19" t="n">
        <f aca="false">$B71+EC$3*100*$A71</f>
        <v>113.15</v>
      </c>
      <c r="ED71" s="19" t="n">
        <f aca="false">$B71+ED$3*100*$A71</f>
        <v>114</v>
      </c>
      <c r="EE71" s="19" t="n">
        <f aca="false">$B71+EE$3*100*$A71</f>
        <v>114.85</v>
      </c>
      <c r="EF71" s="19" t="n">
        <f aca="false">$B71+EF$3*100*$A71</f>
        <v>115.7</v>
      </c>
      <c r="EG71" s="19" t="n">
        <f aca="false">$B71+EG$3*100*$A71</f>
        <v>116.55</v>
      </c>
      <c r="EH71" s="19" t="n">
        <f aca="false">$B71+EH$3*100*$A71</f>
        <v>117.4</v>
      </c>
      <c r="EI71" s="19" t="n">
        <f aca="false">$B71+EI$3*100*$A71</f>
        <v>118.25</v>
      </c>
      <c r="EJ71" s="19" t="n">
        <f aca="false">$B71+EJ$3*100*$A71</f>
        <v>119.1</v>
      </c>
      <c r="EK71" s="19" t="n">
        <f aca="false">$B71+EK$3*100*$A71</f>
        <v>119.95</v>
      </c>
      <c r="EL71" s="19" t="n">
        <f aca="false">$B71+EL$3*100*$A71</f>
        <v>120.8</v>
      </c>
      <c r="EM71" s="19" t="n">
        <f aca="false">$B71+EM$3*100*$A71</f>
        <v>121.65</v>
      </c>
      <c r="EN71" s="19" t="n">
        <f aca="false">$B71+EN$3*100*$A71</f>
        <v>122.5</v>
      </c>
      <c r="EO71" s="19" t="n">
        <f aca="false">$B71+EO$3*100*$A71</f>
        <v>123.35</v>
      </c>
      <c r="EP71" s="19" t="n">
        <f aca="false">$B71+EP$3*100*$A71</f>
        <v>124.2</v>
      </c>
      <c r="EQ71" s="19" t="n">
        <f aca="false">$B71+EQ$3*100*$A71</f>
        <v>125.05</v>
      </c>
      <c r="ER71" s="19" t="n">
        <f aca="false">$B71+ER$3*100*$A71</f>
        <v>125.9</v>
      </c>
      <c r="ES71" s="19" t="n">
        <f aca="false">$B71+ES$3*100*$A71</f>
        <v>126.75</v>
      </c>
      <c r="ET71" s="19" t="n">
        <f aca="false">$B71+ET$3*100*$A71</f>
        <v>127.6</v>
      </c>
      <c r="EU71" s="19" t="n">
        <f aca="false">$B71+EU$3*100*$A71</f>
        <v>128.45</v>
      </c>
      <c r="EV71" s="19" t="n">
        <f aca="false">$B71+EV$3*100*$A71</f>
        <v>129.3</v>
      </c>
      <c r="EW71" s="19" t="n">
        <f aca="false">$B71+EW$3*100*$A71</f>
        <v>130.15</v>
      </c>
      <c r="EX71" s="19" t="n">
        <f aca="false">$B71+EX$3*100*$A71</f>
        <v>131</v>
      </c>
      <c r="EY71" s="19" t="n">
        <f aca="false">$B71+EY$3*100*$A71</f>
        <v>131.85</v>
      </c>
      <c r="EZ71" s="19" t="n">
        <f aca="false">$B71+EZ$3*100*$A71</f>
        <v>132.7</v>
      </c>
      <c r="FA71" s="19" t="n">
        <f aca="false">$B71+FA$3*100*$A71</f>
        <v>133.55</v>
      </c>
      <c r="FB71" s="19" t="n">
        <f aca="false">$B71+FB$3*100*$A71</f>
        <v>134.4</v>
      </c>
      <c r="FC71" s="19" t="n">
        <f aca="false">$B71+FC$3*100*$A71</f>
        <v>135.25</v>
      </c>
      <c r="FD71" s="19" t="n">
        <f aca="false">$B71+FD$3*100*$A71</f>
        <v>136.1</v>
      </c>
      <c r="FE71" s="19" t="n">
        <f aca="false">$B71+FE$3*100*$A71</f>
        <v>136.95</v>
      </c>
      <c r="FF71" s="19" t="n">
        <f aca="false">$B71+FF$3*100*$A71</f>
        <v>137.8</v>
      </c>
      <c r="FG71" s="19" t="n">
        <f aca="false">$B71+FG$3*100*$A71</f>
        <v>138.65</v>
      </c>
      <c r="FH71" s="19" t="n">
        <f aca="false">$B71+FH$3*100*$A71</f>
        <v>139.5</v>
      </c>
      <c r="FI71" s="19" t="n">
        <f aca="false">$B71+FI$3*100*$A71</f>
        <v>140.35</v>
      </c>
      <c r="FJ71" s="19" t="n">
        <f aca="false">$B71+FJ$3*100*$A71</f>
        <v>141.2</v>
      </c>
      <c r="FK71" s="19" t="n">
        <f aca="false">$B71+FK$3*100*$A71</f>
        <v>142.05</v>
      </c>
      <c r="FL71" s="19" t="n">
        <f aca="false">$B71+FL$3*100*$A71</f>
        <v>142.9</v>
      </c>
      <c r="FM71" s="19" t="n">
        <f aca="false">$B71+FM$3*100*$A71</f>
        <v>143.75</v>
      </c>
      <c r="FN71" s="19" t="n">
        <f aca="false">$B71+FN$3*100*$A71</f>
        <v>144.6</v>
      </c>
      <c r="FO71" s="19" t="n">
        <f aca="false">$B71+FO$3*100*$A71</f>
        <v>145.45</v>
      </c>
      <c r="FP71" s="19" t="n">
        <f aca="false">$B71+FP$3*100*$A71</f>
        <v>146.3</v>
      </c>
      <c r="FQ71" s="19" t="n">
        <f aca="false">$B71+FQ$3*100*$A71</f>
        <v>147.15</v>
      </c>
      <c r="FR71" s="19" t="n">
        <f aca="false">$B71+FR$3*100*$A71</f>
        <v>148</v>
      </c>
      <c r="FS71" s="19" t="n">
        <f aca="false">$B71+FS$3*100*$A71</f>
        <v>148.85</v>
      </c>
      <c r="FT71" s="19" t="n">
        <f aca="false">$B71+FT$3*100*$A71</f>
        <v>149.7</v>
      </c>
      <c r="FU71" s="19" t="n">
        <f aca="false">$B71+FU$3*100*$A71</f>
        <v>150.55</v>
      </c>
      <c r="FV71" s="19" t="n">
        <f aca="false">$B71+FV$3*100*$A71</f>
        <v>151.4</v>
      </c>
      <c r="FW71" s="19" t="n">
        <f aca="false">$B71+FW$3*100*$A71</f>
        <v>152.25</v>
      </c>
      <c r="FX71" s="19" t="n">
        <f aca="false">$B71+FX$3*100*$A71</f>
        <v>153.1</v>
      </c>
      <c r="FY71" s="19" t="n">
        <f aca="false">$B71+FY$3*100*$A71</f>
        <v>153.95</v>
      </c>
      <c r="FZ71" s="19" t="n">
        <f aca="false">$B71+FZ$3*100*$A71</f>
        <v>154.8</v>
      </c>
      <c r="GA71" s="19" t="n">
        <f aca="false">$B71+GA$3*100*$A71</f>
        <v>155.65</v>
      </c>
      <c r="GB71" s="19" t="n">
        <f aca="false">$B71+GB$3*100*$A71</f>
        <v>156.5</v>
      </c>
      <c r="GC71" s="19" t="n">
        <f aca="false">$B71+GC$3*100*$A71</f>
        <v>157.35</v>
      </c>
      <c r="GD71" s="19" t="n">
        <f aca="false">$B71+GD$3*100*$A71</f>
        <v>158.2</v>
      </c>
      <c r="GE71" s="19" t="n">
        <f aca="false">$B71+GE$3*100*$A71</f>
        <v>159.05</v>
      </c>
      <c r="GF71" s="19" t="n">
        <f aca="false">$B71+GF$3*100*$A71</f>
        <v>159.9</v>
      </c>
      <c r="GG71" s="19" t="n">
        <f aca="false">$B71+GG$3*100*$A71</f>
        <v>160.75</v>
      </c>
      <c r="GH71" s="19" t="n">
        <f aca="false">$B71+GH$3*100*$A71</f>
        <v>161.6</v>
      </c>
      <c r="GI71" s="19" t="n">
        <f aca="false">$B71+GI$3*100*$A71</f>
        <v>162.45</v>
      </c>
      <c r="GJ71" s="19" t="n">
        <f aca="false">$B71+GJ$3*100*$A71</f>
        <v>163.3</v>
      </c>
      <c r="GK71" s="19" t="n">
        <f aca="false">$B71+GK$3*100*$A71</f>
        <v>164.15</v>
      </c>
      <c r="GL71" s="19" t="n">
        <f aca="false">$B71+GL$3*100*$A71</f>
        <v>165</v>
      </c>
      <c r="GM71" s="19" t="n">
        <f aca="false">$B71+GM$3*100*$A71</f>
        <v>165.85</v>
      </c>
      <c r="GN71" s="19" t="n">
        <f aca="false">$B71+GN$3*100*$A71</f>
        <v>166.7</v>
      </c>
      <c r="GO71" s="19" t="n">
        <f aca="false">$B71+GO$3*100*$A71</f>
        <v>167.55</v>
      </c>
      <c r="GP71" s="19" t="n">
        <f aca="false">$B71+GP$3*100*$A71</f>
        <v>168.4</v>
      </c>
      <c r="GQ71" s="19" t="n">
        <f aca="false">$B71+GQ$3*100*$A71</f>
        <v>169.25</v>
      </c>
      <c r="GR71" s="19" t="n">
        <f aca="false">$B71+GR$3*100*$A71</f>
        <v>170.1</v>
      </c>
      <c r="GS71" s="19" t="n">
        <f aca="false">$B71+GS$3*100*$A71</f>
        <v>170.95</v>
      </c>
      <c r="GT71" s="19" t="n">
        <f aca="false">$B71+GT$3*100*$A71</f>
        <v>171.8</v>
      </c>
    </row>
    <row r="72" customFormat="false" ht="15" hidden="false" customHeight="false" outlineLevel="0" collapsed="false">
      <c r="A72" s="26" t="n">
        <f aca="false">Frontier!A70</f>
        <v>0.1725</v>
      </c>
      <c r="B72" s="34" t="n">
        <f aca="false">Frontier!B70</f>
        <v>1.77137293000762</v>
      </c>
      <c r="C72" s="19" t="n">
        <f aca="false">$B72+C$3*100*$A72</f>
        <v>2.63387293000762</v>
      </c>
      <c r="D72" s="19" t="n">
        <f aca="false">$B72+D$3*100*$A72</f>
        <v>3.49637293000762</v>
      </c>
      <c r="E72" s="19" t="n">
        <f aca="false">$B72+E$3*100*$A72</f>
        <v>4.35887293000762</v>
      </c>
      <c r="F72" s="19" t="n">
        <f aca="false">$B72+F$3*100*$A72</f>
        <v>5.22137293000762</v>
      </c>
      <c r="G72" s="19" t="n">
        <f aca="false">$B72+G$3*100*$A72</f>
        <v>6.08387293000762</v>
      </c>
      <c r="H72" s="19" t="n">
        <f aca="false">$B72+H$3*100*$A72</f>
        <v>6.94637293000762</v>
      </c>
      <c r="I72" s="19" t="n">
        <f aca="false">$B72+I$3*100*$A72</f>
        <v>7.80887293000762</v>
      </c>
      <c r="J72" s="19" t="n">
        <f aca="false">$B72+J$3*100*$A72</f>
        <v>8.67137293000762</v>
      </c>
      <c r="K72" s="19" t="n">
        <f aca="false">$B72+K$3*100*$A72</f>
        <v>9.53387293000762</v>
      </c>
      <c r="L72" s="19" t="n">
        <f aca="false">$B72+L$3*100*$A72</f>
        <v>10.3963729300076</v>
      </c>
      <c r="M72" s="19" t="n">
        <f aca="false">$B72+M$3*100*$A72</f>
        <v>11.2588729300076</v>
      </c>
      <c r="N72" s="19" t="n">
        <f aca="false">$B72+N$3*100*$A72</f>
        <v>12.1213729300076</v>
      </c>
      <c r="O72" s="19" t="n">
        <f aca="false">$B72+O$3*100*$A72</f>
        <v>12.9838729300076</v>
      </c>
      <c r="P72" s="19" t="n">
        <f aca="false">$B72+P$3*100*$A72</f>
        <v>13.8463729300076</v>
      </c>
      <c r="Q72" s="19" t="n">
        <f aca="false">$B72+Q$3*100*$A72</f>
        <v>14.7088729300076</v>
      </c>
      <c r="R72" s="19" t="n">
        <f aca="false">$B72+R$3*100*$A72</f>
        <v>15.5713729300076</v>
      </c>
      <c r="S72" s="19" t="n">
        <f aca="false">$B72+S$3*100*$A72</f>
        <v>16.4338729300076</v>
      </c>
      <c r="T72" s="19" t="n">
        <f aca="false">$B72+T$3*100*$A72</f>
        <v>17.2963729300076</v>
      </c>
      <c r="U72" s="19" t="n">
        <f aca="false">$B72+U$3*100*$A72</f>
        <v>18.1588729300076</v>
      </c>
      <c r="V72" s="19" t="n">
        <f aca="false">$B72+V$3*100*$A72</f>
        <v>19.0213729300076</v>
      </c>
      <c r="W72" s="19" t="n">
        <f aca="false">$B72+W$3*100*$A72</f>
        <v>19.8838729300076</v>
      </c>
      <c r="X72" s="19" t="n">
        <f aca="false">$B72+X$3*100*$A72</f>
        <v>20.7463729300076</v>
      </c>
      <c r="Y72" s="19" t="n">
        <f aca="false">$B72+Y$3*100*$A72</f>
        <v>21.6088729300076</v>
      </c>
      <c r="Z72" s="19" t="n">
        <f aca="false">$B72+Z$3*100*$A72</f>
        <v>22.4713729300076</v>
      </c>
      <c r="AA72" s="19" t="n">
        <f aca="false">$B72+AA$3*100*$A72</f>
        <v>23.3338729300076</v>
      </c>
      <c r="AB72" s="19" t="n">
        <f aca="false">$B72+AB$3*100*$A72</f>
        <v>24.1963729300076</v>
      </c>
      <c r="AC72" s="19" t="n">
        <f aca="false">$B72+AC$3*100*$A72</f>
        <v>25.0588729300076</v>
      </c>
      <c r="AD72" s="19" t="n">
        <f aca="false">$B72+AD$3*100*$A72</f>
        <v>25.9213729300076</v>
      </c>
      <c r="AE72" s="19" t="n">
        <f aca="false">$B72+AE$3*100*$A72</f>
        <v>26.7838729300076</v>
      </c>
      <c r="AF72" s="19" t="n">
        <f aca="false">$B72+AF$3*100*$A72</f>
        <v>27.6463729300076</v>
      </c>
      <c r="AG72" s="19" t="n">
        <f aca="false">$B72+AG$3*100*$A72</f>
        <v>28.5088729300076</v>
      </c>
      <c r="AH72" s="19" t="n">
        <f aca="false">$B72+AH$3*100*$A72</f>
        <v>29.3713729300076</v>
      </c>
      <c r="AI72" s="19" t="n">
        <f aca="false">$B72+AI$3*100*$A72</f>
        <v>30.2338729300076</v>
      </c>
      <c r="AJ72" s="19" t="n">
        <f aca="false">$B72+AJ$3*100*$A72</f>
        <v>31.0963729300076</v>
      </c>
      <c r="AK72" s="19" t="n">
        <f aca="false">$B72+AK$3*100*$A72</f>
        <v>31.9588729300076</v>
      </c>
      <c r="AL72" s="19" t="n">
        <f aca="false">$B72+AL$3*100*$A72</f>
        <v>32.8213729300076</v>
      </c>
      <c r="AM72" s="19" t="n">
        <f aca="false">$B72+AM$3*100*$A72</f>
        <v>33.6838729300076</v>
      </c>
      <c r="AN72" s="19" t="n">
        <f aca="false">$B72+AN$3*100*$A72</f>
        <v>34.5463729300076</v>
      </c>
      <c r="AO72" s="19" t="n">
        <f aca="false">$B72+AO$3*100*$A72</f>
        <v>35.4088729300076</v>
      </c>
      <c r="AP72" s="19" t="n">
        <f aca="false">$B72+AP$3*100*$A72</f>
        <v>36.2713729300076</v>
      </c>
      <c r="AQ72" s="19" t="n">
        <f aca="false">$B72+AQ$3*100*$A72</f>
        <v>37.1338729300076</v>
      </c>
      <c r="AR72" s="19" t="n">
        <f aca="false">$B72+AR$3*100*$A72</f>
        <v>37.9963729300076</v>
      </c>
      <c r="AS72" s="19" t="n">
        <f aca="false">$B72+AS$3*100*$A72</f>
        <v>38.8588729300076</v>
      </c>
      <c r="AT72" s="19" t="n">
        <f aca="false">$B72+AT$3*100*$A72</f>
        <v>39.7213729300076</v>
      </c>
      <c r="AU72" s="19" t="n">
        <f aca="false">$B72+AU$3*100*$A72</f>
        <v>40.5838729300076</v>
      </c>
      <c r="AV72" s="19" t="n">
        <f aca="false">$B72+AV$3*100*$A72</f>
        <v>41.4463729300076</v>
      </c>
      <c r="AW72" s="19" t="n">
        <f aca="false">$B72+AW$3*100*$A72</f>
        <v>42.3088729300076</v>
      </c>
      <c r="AX72" s="19" t="n">
        <f aca="false">$B72+AX$3*100*$A72</f>
        <v>43.1713729300076</v>
      </c>
      <c r="AY72" s="19" t="n">
        <f aca="false">$B72+AY$3*100*$A72</f>
        <v>44.0338729300076</v>
      </c>
      <c r="AZ72" s="19" t="n">
        <f aca="false">$B72+AZ$3*100*$A72</f>
        <v>44.8963729300076</v>
      </c>
      <c r="BA72" s="19" t="n">
        <f aca="false">$B72+BA$3*100*$A72</f>
        <v>45.7588729300076</v>
      </c>
      <c r="BB72" s="19" t="n">
        <f aca="false">$B72+BB$3*100*$A72</f>
        <v>46.6213729300076</v>
      </c>
      <c r="BC72" s="19" t="n">
        <f aca="false">$B72+BC$3*100*$A72</f>
        <v>47.4838729300076</v>
      </c>
      <c r="BD72" s="19" t="n">
        <f aca="false">$B72+BD$3*100*$A72</f>
        <v>48.3463729300076</v>
      </c>
      <c r="BE72" s="19" t="n">
        <f aca="false">$B72+BE$3*100*$A72</f>
        <v>49.2088729300076</v>
      </c>
      <c r="BF72" s="19" t="n">
        <f aca="false">$B72+BF$3*100*$A72</f>
        <v>50.0713729300076</v>
      </c>
      <c r="BG72" s="19" t="n">
        <f aca="false">$B72+BG$3*100*$A72</f>
        <v>50.9338729300076</v>
      </c>
      <c r="BH72" s="19" t="n">
        <f aca="false">$B72+BH$3*100*$A72</f>
        <v>51.7963729300076</v>
      </c>
      <c r="BI72" s="19" t="n">
        <f aca="false">$B72+BI$3*100*$A72</f>
        <v>52.6588729300076</v>
      </c>
      <c r="BJ72" s="19" t="n">
        <f aca="false">$B72+BJ$3*100*$A72</f>
        <v>53.5213729300076</v>
      </c>
      <c r="BK72" s="19" t="n">
        <f aca="false">$B72+BK$3*100*$A72</f>
        <v>54.3838729300076</v>
      </c>
      <c r="BL72" s="19" t="n">
        <f aca="false">$B72+BL$3*100*$A72</f>
        <v>55.2463729300076</v>
      </c>
      <c r="BM72" s="19" t="n">
        <f aca="false">$B72+BM$3*100*$A72</f>
        <v>56.1088729300076</v>
      </c>
      <c r="BN72" s="19" t="n">
        <f aca="false">$B72+BN$3*100*$A72</f>
        <v>56.9713729300076</v>
      </c>
      <c r="BO72" s="19" t="n">
        <f aca="false">$B72+BO$3*100*$A72</f>
        <v>57.8338729300076</v>
      </c>
      <c r="BP72" s="19" t="n">
        <f aca="false">$B72+BP$3*100*$A72</f>
        <v>58.6963729300076</v>
      </c>
      <c r="BQ72" s="19" t="n">
        <f aca="false">$B72+BQ$3*100*$A72</f>
        <v>59.5588729300076</v>
      </c>
      <c r="BR72" s="19" t="n">
        <f aca="false">$B72+BR$3*100*$A72</f>
        <v>60.4213729300076</v>
      </c>
      <c r="BS72" s="19" t="n">
        <f aca="false">$B72+BS$3*100*$A72</f>
        <v>61.2838729300076</v>
      </c>
      <c r="BT72" s="19" t="n">
        <f aca="false">$B72+BT$3*100*$A72</f>
        <v>62.1463729300076</v>
      </c>
      <c r="BU72" s="19" t="n">
        <f aca="false">$B72+BU$3*100*$A72</f>
        <v>63.0088729300076</v>
      </c>
      <c r="BV72" s="19" t="n">
        <f aca="false">$B72+BV$3*100*$A72</f>
        <v>63.8713729300076</v>
      </c>
      <c r="BW72" s="19" t="n">
        <f aca="false">$B72+BW$3*100*$A72</f>
        <v>64.7338729300076</v>
      </c>
      <c r="BX72" s="19" t="n">
        <f aca="false">$B72+BX$3*100*$A72</f>
        <v>65.5963729300076</v>
      </c>
      <c r="BY72" s="19" t="n">
        <f aca="false">$B72+BY$3*100*$A72</f>
        <v>66.4588729300076</v>
      </c>
      <c r="BZ72" s="19" t="n">
        <f aca="false">$B72+BZ$3*100*$A72</f>
        <v>67.3213729300076</v>
      </c>
      <c r="CA72" s="19" t="n">
        <f aca="false">$B72+CA$3*100*$A72</f>
        <v>68.1838729300076</v>
      </c>
      <c r="CB72" s="19" t="n">
        <f aca="false">$B72+CB$3*100*$A72</f>
        <v>69.0463729300076</v>
      </c>
      <c r="CC72" s="19" t="n">
        <f aca="false">$B72+CC$3*100*$A72</f>
        <v>69.9088729300076</v>
      </c>
      <c r="CD72" s="19" t="n">
        <f aca="false">$B72+CD$3*100*$A72</f>
        <v>70.7713729300076</v>
      </c>
      <c r="CE72" s="19" t="n">
        <f aca="false">$B72+CE$3*100*$A72</f>
        <v>71.6338729300076</v>
      </c>
      <c r="CF72" s="19" t="n">
        <f aca="false">$B72+CF$3*100*$A72</f>
        <v>72.4963729300076</v>
      </c>
      <c r="CG72" s="19" t="n">
        <f aca="false">$B72+CG$3*100*$A72</f>
        <v>73.3588729300076</v>
      </c>
      <c r="CH72" s="19" t="n">
        <f aca="false">$B72+CH$3*100*$A72</f>
        <v>74.2213729300076</v>
      </c>
      <c r="CI72" s="19" t="n">
        <f aca="false">$B72+CI$3*100*$A72</f>
        <v>75.0838729300076</v>
      </c>
      <c r="CJ72" s="19" t="n">
        <f aca="false">$B72+CJ$3*100*$A72</f>
        <v>75.9463729300076</v>
      </c>
      <c r="CK72" s="19" t="n">
        <f aca="false">$B72+CK$3*100*$A72</f>
        <v>76.8088729300076</v>
      </c>
      <c r="CL72" s="19" t="n">
        <f aca="false">$B72+CL$3*100*$A72</f>
        <v>77.6713729300076</v>
      </c>
      <c r="CM72" s="19" t="n">
        <f aca="false">$B72+CM$3*100*$A72</f>
        <v>78.5338729300076</v>
      </c>
      <c r="CN72" s="19" t="n">
        <f aca="false">$B72+CN$3*100*$A72</f>
        <v>79.3963729300076</v>
      </c>
      <c r="CO72" s="19" t="n">
        <f aca="false">$B72+CO$3*100*$A72</f>
        <v>80.2588729300076</v>
      </c>
      <c r="CP72" s="19" t="n">
        <f aca="false">$B72+CP$3*100*$A72</f>
        <v>81.1213729300076</v>
      </c>
      <c r="CQ72" s="19" t="n">
        <f aca="false">$B72+CQ$3*100*$A72</f>
        <v>81.9838729300076</v>
      </c>
      <c r="CR72" s="19" t="n">
        <f aca="false">$B72+CR$3*100*$A72</f>
        <v>82.8463729300076</v>
      </c>
      <c r="CS72" s="19" t="n">
        <f aca="false">$B72+CS$3*100*$A72</f>
        <v>83.7088729300076</v>
      </c>
      <c r="CT72" s="19" t="n">
        <f aca="false">$B72+CT$3*100*$A72</f>
        <v>84.5713729300076</v>
      </c>
      <c r="CU72" s="19" t="n">
        <f aca="false">$B72+CU$3*100*$A72</f>
        <v>85.4338729300076</v>
      </c>
      <c r="CV72" s="19" t="n">
        <f aca="false">$B72+CV$3*100*$A72</f>
        <v>86.2963729300076</v>
      </c>
      <c r="CW72" s="19" t="n">
        <f aca="false">$B72+CW$3*100*$A72</f>
        <v>87.1588729300076</v>
      </c>
      <c r="CX72" s="19" t="n">
        <f aca="false">$B72+CX$3*100*$A72</f>
        <v>88.0213729300076</v>
      </c>
      <c r="CY72" s="19" t="n">
        <f aca="false">$B72+CY$3*100*$A72</f>
        <v>88.8838729300076</v>
      </c>
      <c r="CZ72" s="19" t="n">
        <f aca="false">$B72+CZ$3*100*$A72</f>
        <v>89.7463729300076</v>
      </c>
      <c r="DA72" s="19" t="n">
        <f aca="false">$B72+DA$3*100*$A72</f>
        <v>90.6088729300076</v>
      </c>
      <c r="DB72" s="19" t="n">
        <f aca="false">$B72+DB$3*100*$A72</f>
        <v>91.4713729300076</v>
      </c>
      <c r="DC72" s="19" t="n">
        <f aca="false">$B72+DC$3*100*$A72</f>
        <v>92.3338729300076</v>
      </c>
      <c r="DD72" s="19" t="n">
        <f aca="false">$B72+DD$3*100*$A72</f>
        <v>93.1963729300076</v>
      </c>
      <c r="DE72" s="19" t="n">
        <f aca="false">$B72+DE$3*100*$A72</f>
        <v>94.0588729300076</v>
      </c>
      <c r="DF72" s="19" t="n">
        <f aca="false">$B72+DF$3*100*$A72</f>
        <v>94.9213729300076</v>
      </c>
      <c r="DG72" s="19" t="n">
        <f aca="false">$B72+DG$3*100*$A72</f>
        <v>95.7838729300076</v>
      </c>
      <c r="DH72" s="19" t="n">
        <f aca="false">$B72+DH$3*100*$A72</f>
        <v>96.6463729300076</v>
      </c>
      <c r="DI72" s="19" t="n">
        <f aca="false">$B72+DI$3*100*$A72</f>
        <v>97.5088729300076</v>
      </c>
      <c r="DJ72" s="19" t="n">
        <f aca="false">$B72+DJ$3*100*$A72</f>
        <v>98.3713729300076</v>
      </c>
      <c r="DK72" s="19" t="n">
        <f aca="false">$B72+DK$3*100*$A72</f>
        <v>99.2338729300076</v>
      </c>
      <c r="DL72" s="19" t="n">
        <f aca="false">$B72+DL$3*100*$A72</f>
        <v>100.096372930008</v>
      </c>
      <c r="DM72" s="19" t="n">
        <f aca="false">$B72+DM$3*100*$A72</f>
        <v>100.958872930008</v>
      </c>
      <c r="DN72" s="19" t="n">
        <f aca="false">$B72+DN$3*100*$A72</f>
        <v>101.821372930008</v>
      </c>
      <c r="DO72" s="19" t="n">
        <f aca="false">$B72+DO$3*100*$A72</f>
        <v>102.683872930008</v>
      </c>
      <c r="DP72" s="19" t="n">
        <f aca="false">$B72+DP$3*100*$A72</f>
        <v>103.546372930008</v>
      </c>
      <c r="DQ72" s="19" t="n">
        <f aca="false">$B72+DQ$3*100*$A72</f>
        <v>104.408872930008</v>
      </c>
      <c r="DR72" s="19" t="n">
        <f aca="false">$B72+DR$3*100*$A72</f>
        <v>105.271372930008</v>
      </c>
      <c r="DS72" s="19" t="n">
        <f aca="false">$B72+DS$3*100*$A72</f>
        <v>106.133872930008</v>
      </c>
      <c r="DT72" s="19" t="n">
        <f aca="false">$B72+DT$3*100*$A72</f>
        <v>106.996372930008</v>
      </c>
      <c r="DU72" s="19" t="n">
        <f aca="false">$B72+DU$3*100*$A72</f>
        <v>107.858872930008</v>
      </c>
      <c r="DV72" s="19" t="n">
        <f aca="false">$B72+DV$3*100*$A72</f>
        <v>108.721372930008</v>
      </c>
      <c r="DW72" s="19" t="n">
        <f aca="false">$B72+DW$3*100*$A72</f>
        <v>109.583872930008</v>
      </c>
      <c r="DX72" s="19" t="n">
        <f aca="false">$B72+DX$3*100*$A72</f>
        <v>110.446372930008</v>
      </c>
      <c r="DY72" s="19" t="n">
        <f aca="false">$B72+DY$3*100*$A72</f>
        <v>111.308872930008</v>
      </c>
      <c r="DZ72" s="19" t="n">
        <f aca="false">$B72+DZ$3*100*$A72</f>
        <v>112.171372930008</v>
      </c>
      <c r="EA72" s="19" t="n">
        <f aca="false">$B72+EA$3*100*$A72</f>
        <v>113.033872930008</v>
      </c>
      <c r="EB72" s="19" t="n">
        <f aca="false">$B72+EB$3*100*$A72</f>
        <v>113.896372930008</v>
      </c>
      <c r="EC72" s="19" t="n">
        <f aca="false">$B72+EC$3*100*$A72</f>
        <v>114.758872930008</v>
      </c>
      <c r="ED72" s="19" t="n">
        <f aca="false">$B72+ED$3*100*$A72</f>
        <v>115.621372930008</v>
      </c>
      <c r="EE72" s="19" t="n">
        <f aca="false">$B72+EE$3*100*$A72</f>
        <v>116.483872930008</v>
      </c>
      <c r="EF72" s="19" t="n">
        <f aca="false">$B72+EF$3*100*$A72</f>
        <v>117.346372930008</v>
      </c>
      <c r="EG72" s="19" t="n">
        <f aca="false">$B72+EG$3*100*$A72</f>
        <v>118.208872930008</v>
      </c>
      <c r="EH72" s="19" t="n">
        <f aca="false">$B72+EH$3*100*$A72</f>
        <v>119.071372930008</v>
      </c>
      <c r="EI72" s="19" t="n">
        <f aca="false">$B72+EI$3*100*$A72</f>
        <v>119.933872930008</v>
      </c>
      <c r="EJ72" s="19" t="n">
        <f aca="false">$B72+EJ$3*100*$A72</f>
        <v>120.796372930008</v>
      </c>
      <c r="EK72" s="19" t="n">
        <f aca="false">$B72+EK$3*100*$A72</f>
        <v>121.658872930008</v>
      </c>
      <c r="EL72" s="19" t="n">
        <f aca="false">$B72+EL$3*100*$A72</f>
        <v>122.521372930008</v>
      </c>
      <c r="EM72" s="19" t="n">
        <f aca="false">$B72+EM$3*100*$A72</f>
        <v>123.383872930008</v>
      </c>
      <c r="EN72" s="19" t="n">
        <f aca="false">$B72+EN$3*100*$A72</f>
        <v>124.246372930008</v>
      </c>
      <c r="EO72" s="19" t="n">
        <f aca="false">$B72+EO$3*100*$A72</f>
        <v>125.108872930008</v>
      </c>
      <c r="EP72" s="19" t="n">
        <f aca="false">$B72+EP$3*100*$A72</f>
        <v>125.971372930008</v>
      </c>
      <c r="EQ72" s="19" t="n">
        <f aca="false">$B72+EQ$3*100*$A72</f>
        <v>126.833872930008</v>
      </c>
      <c r="ER72" s="19" t="n">
        <f aca="false">$B72+ER$3*100*$A72</f>
        <v>127.696372930008</v>
      </c>
      <c r="ES72" s="19" t="n">
        <f aca="false">$B72+ES$3*100*$A72</f>
        <v>128.558872930008</v>
      </c>
      <c r="ET72" s="19" t="n">
        <f aca="false">$B72+ET$3*100*$A72</f>
        <v>129.421372930008</v>
      </c>
      <c r="EU72" s="19" t="n">
        <f aca="false">$B72+EU$3*100*$A72</f>
        <v>130.283872930008</v>
      </c>
      <c r="EV72" s="19" t="n">
        <f aca="false">$B72+EV$3*100*$A72</f>
        <v>131.146372930008</v>
      </c>
      <c r="EW72" s="19" t="n">
        <f aca="false">$B72+EW$3*100*$A72</f>
        <v>132.008872930008</v>
      </c>
      <c r="EX72" s="19" t="n">
        <f aca="false">$B72+EX$3*100*$A72</f>
        <v>132.871372930008</v>
      </c>
      <c r="EY72" s="19" t="n">
        <f aca="false">$B72+EY$3*100*$A72</f>
        <v>133.733872930008</v>
      </c>
      <c r="EZ72" s="19" t="n">
        <f aca="false">$B72+EZ$3*100*$A72</f>
        <v>134.596372930008</v>
      </c>
      <c r="FA72" s="19" t="n">
        <f aca="false">$B72+FA$3*100*$A72</f>
        <v>135.458872930008</v>
      </c>
      <c r="FB72" s="19" t="n">
        <f aca="false">$B72+FB$3*100*$A72</f>
        <v>136.321372930008</v>
      </c>
      <c r="FC72" s="19" t="n">
        <f aca="false">$B72+FC$3*100*$A72</f>
        <v>137.183872930008</v>
      </c>
      <c r="FD72" s="19" t="n">
        <f aca="false">$B72+FD$3*100*$A72</f>
        <v>138.046372930008</v>
      </c>
      <c r="FE72" s="19" t="n">
        <f aca="false">$B72+FE$3*100*$A72</f>
        <v>138.908872930008</v>
      </c>
      <c r="FF72" s="19" t="n">
        <f aca="false">$B72+FF$3*100*$A72</f>
        <v>139.771372930008</v>
      </c>
      <c r="FG72" s="19" t="n">
        <f aca="false">$B72+FG$3*100*$A72</f>
        <v>140.633872930008</v>
      </c>
      <c r="FH72" s="19" t="n">
        <f aca="false">$B72+FH$3*100*$A72</f>
        <v>141.496372930008</v>
      </c>
      <c r="FI72" s="19" t="n">
        <f aca="false">$B72+FI$3*100*$A72</f>
        <v>142.358872930008</v>
      </c>
      <c r="FJ72" s="19" t="n">
        <f aca="false">$B72+FJ$3*100*$A72</f>
        <v>143.221372930008</v>
      </c>
      <c r="FK72" s="19" t="n">
        <f aca="false">$B72+FK$3*100*$A72</f>
        <v>144.083872930008</v>
      </c>
      <c r="FL72" s="19" t="n">
        <f aca="false">$B72+FL$3*100*$A72</f>
        <v>144.946372930008</v>
      </c>
      <c r="FM72" s="19" t="n">
        <f aca="false">$B72+FM$3*100*$A72</f>
        <v>145.808872930008</v>
      </c>
      <c r="FN72" s="19" t="n">
        <f aca="false">$B72+FN$3*100*$A72</f>
        <v>146.671372930008</v>
      </c>
      <c r="FO72" s="19" t="n">
        <f aca="false">$B72+FO$3*100*$A72</f>
        <v>147.533872930008</v>
      </c>
      <c r="FP72" s="19" t="n">
        <f aca="false">$B72+FP$3*100*$A72</f>
        <v>148.396372930008</v>
      </c>
      <c r="FQ72" s="19" t="n">
        <f aca="false">$B72+FQ$3*100*$A72</f>
        <v>149.258872930008</v>
      </c>
      <c r="FR72" s="19" t="n">
        <f aca="false">$B72+FR$3*100*$A72</f>
        <v>150.121372930008</v>
      </c>
      <c r="FS72" s="19" t="n">
        <f aca="false">$B72+FS$3*100*$A72</f>
        <v>150.983872930008</v>
      </c>
      <c r="FT72" s="19" t="n">
        <f aca="false">$B72+FT$3*100*$A72</f>
        <v>151.846372930008</v>
      </c>
      <c r="FU72" s="19" t="n">
        <f aca="false">$B72+FU$3*100*$A72</f>
        <v>152.708872930008</v>
      </c>
      <c r="FV72" s="19" t="n">
        <f aca="false">$B72+FV$3*100*$A72</f>
        <v>153.571372930008</v>
      </c>
      <c r="FW72" s="19" t="n">
        <f aca="false">$B72+FW$3*100*$A72</f>
        <v>154.433872930008</v>
      </c>
      <c r="FX72" s="19" t="n">
        <f aca="false">$B72+FX$3*100*$A72</f>
        <v>155.296372930008</v>
      </c>
      <c r="FY72" s="19" t="n">
        <f aca="false">$B72+FY$3*100*$A72</f>
        <v>156.158872930008</v>
      </c>
      <c r="FZ72" s="19" t="n">
        <f aca="false">$B72+FZ$3*100*$A72</f>
        <v>157.021372930008</v>
      </c>
      <c r="GA72" s="19" t="n">
        <f aca="false">$B72+GA$3*100*$A72</f>
        <v>157.883872930008</v>
      </c>
      <c r="GB72" s="19" t="n">
        <f aca="false">$B72+GB$3*100*$A72</f>
        <v>158.746372930008</v>
      </c>
      <c r="GC72" s="19" t="n">
        <f aca="false">$B72+GC$3*100*$A72</f>
        <v>159.608872930008</v>
      </c>
      <c r="GD72" s="19" t="n">
        <f aca="false">$B72+GD$3*100*$A72</f>
        <v>160.471372930008</v>
      </c>
      <c r="GE72" s="19" t="n">
        <f aca="false">$B72+GE$3*100*$A72</f>
        <v>161.333872930008</v>
      </c>
      <c r="GF72" s="19" t="n">
        <f aca="false">$B72+GF$3*100*$A72</f>
        <v>162.196372930008</v>
      </c>
      <c r="GG72" s="19" t="n">
        <f aca="false">$B72+GG$3*100*$A72</f>
        <v>163.058872930008</v>
      </c>
      <c r="GH72" s="19" t="n">
        <f aca="false">$B72+GH$3*100*$A72</f>
        <v>163.921372930008</v>
      </c>
      <c r="GI72" s="19" t="n">
        <f aca="false">$B72+GI$3*100*$A72</f>
        <v>164.783872930008</v>
      </c>
      <c r="GJ72" s="19" t="n">
        <f aca="false">$B72+GJ$3*100*$A72</f>
        <v>165.646372930008</v>
      </c>
      <c r="GK72" s="19" t="n">
        <f aca="false">$B72+GK$3*100*$A72</f>
        <v>166.508872930008</v>
      </c>
      <c r="GL72" s="19" t="n">
        <f aca="false">$B72+GL$3*100*$A72</f>
        <v>167.371372930008</v>
      </c>
      <c r="GM72" s="19" t="n">
        <f aca="false">$B72+GM$3*100*$A72</f>
        <v>168.233872930008</v>
      </c>
      <c r="GN72" s="19" t="n">
        <f aca="false">$B72+GN$3*100*$A72</f>
        <v>169.096372930008</v>
      </c>
      <c r="GO72" s="19" t="n">
        <f aca="false">$B72+GO$3*100*$A72</f>
        <v>169.958872930008</v>
      </c>
      <c r="GP72" s="19" t="n">
        <f aca="false">$B72+GP$3*100*$A72</f>
        <v>170.821372930008</v>
      </c>
      <c r="GQ72" s="19" t="n">
        <f aca="false">$B72+GQ$3*100*$A72</f>
        <v>171.683872930008</v>
      </c>
      <c r="GR72" s="19" t="n">
        <f aca="false">$B72+GR$3*100*$A72</f>
        <v>172.546372930008</v>
      </c>
      <c r="GS72" s="19" t="n">
        <f aca="false">$B72+GS$3*100*$A72</f>
        <v>173.408872930008</v>
      </c>
      <c r="GT72" s="19" t="n">
        <f aca="false">$B72+GT$3*100*$A72</f>
        <v>174.271372930008</v>
      </c>
    </row>
    <row r="73" customFormat="false" ht="15" hidden="false" customHeight="false" outlineLevel="0" collapsed="false">
      <c r="A73" s="26" t="n">
        <f aca="false">Frontier!A71</f>
        <v>0.175</v>
      </c>
      <c r="B73" s="34" t="n">
        <f aca="false">Frontier!B71</f>
        <v>1.65</v>
      </c>
      <c r="C73" s="19" t="n">
        <f aca="false">$B73+C$3*100*$A73</f>
        <v>2.525</v>
      </c>
      <c r="D73" s="19" t="n">
        <f aca="false">$B73+D$3*100*$A73</f>
        <v>3.4</v>
      </c>
      <c r="E73" s="19" t="n">
        <f aca="false">$B73+E$3*100*$A73</f>
        <v>4.275</v>
      </c>
      <c r="F73" s="19" t="n">
        <f aca="false">$B73+F$3*100*$A73</f>
        <v>5.15</v>
      </c>
      <c r="G73" s="19" t="n">
        <f aca="false">$B73+G$3*100*$A73</f>
        <v>6.025</v>
      </c>
      <c r="H73" s="19" t="n">
        <f aca="false">$B73+H$3*100*$A73</f>
        <v>6.9</v>
      </c>
      <c r="I73" s="19" t="n">
        <f aca="false">$B73+I$3*100*$A73</f>
        <v>7.775</v>
      </c>
      <c r="J73" s="19" t="n">
        <f aca="false">$B73+J$3*100*$A73</f>
        <v>8.65</v>
      </c>
      <c r="K73" s="19" t="n">
        <f aca="false">$B73+K$3*100*$A73</f>
        <v>9.525</v>
      </c>
      <c r="L73" s="19" t="n">
        <f aca="false">$B73+L$3*100*$A73</f>
        <v>10.4</v>
      </c>
      <c r="M73" s="19" t="n">
        <f aca="false">$B73+M$3*100*$A73</f>
        <v>11.275</v>
      </c>
      <c r="N73" s="19" t="n">
        <f aca="false">$B73+N$3*100*$A73</f>
        <v>12.15</v>
      </c>
      <c r="O73" s="19" t="n">
        <f aca="false">$B73+O$3*100*$A73</f>
        <v>13.025</v>
      </c>
      <c r="P73" s="19" t="n">
        <f aca="false">$B73+P$3*100*$A73</f>
        <v>13.9</v>
      </c>
      <c r="Q73" s="19" t="n">
        <f aca="false">$B73+Q$3*100*$A73</f>
        <v>14.775</v>
      </c>
      <c r="R73" s="19" t="n">
        <f aca="false">$B73+R$3*100*$A73</f>
        <v>15.65</v>
      </c>
      <c r="S73" s="19" t="n">
        <f aca="false">$B73+S$3*100*$A73</f>
        <v>16.525</v>
      </c>
      <c r="T73" s="19" t="n">
        <f aca="false">$B73+T$3*100*$A73</f>
        <v>17.4</v>
      </c>
      <c r="U73" s="19" t="n">
        <f aca="false">$B73+U$3*100*$A73</f>
        <v>18.275</v>
      </c>
      <c r="V73" s="19" t="n">
        <f aca="false">$B73+V$3*100*$A73</f>
        <v>19.15</v>
      </c>
      <c r="W73" s="19" t="n">
        <f aca="false">$B73+W$3*100*$A73</f>
        <v>20.025</v>
      </c>
      <c r="X73" s="19" t="n">
        <f aca="false">$B73+X$3*100*$A73</f>
        <v>20.9</v>
      </c>
      <c r="Y73" s="19" t="n">
        <f aca="false">$B73+Y$3*100*$A73</f>
        <v>21.775</v>
      </c>
      <c r="Z73" s="19" t="n">
        <f aca="false">$B73+Z$3*100*$A73</f>
        <v>22.65</v>
      </c>
      <c r="AA73" s="19" t="n">
        <f aca="false">$B73+AA$3*100*$A73</f>
        <v>23.525</v>
      </c>
      <c r="AB73" s="19" t="n">
        <f aca="false">$B73+AB$3*100*$A73</f>
        <v>24.4</v>
      </c>
      <c r="AC73" s="19" t="n">
        <f aca="false">$B73+AC$3*100*$A73</f>
        <v>25.275</v>
      </c>
      <c r="AD73" s="19" t="n">
        <f aca="false">$B73+AD$3*100*$A73</f>
        <v>26.15</v>
      </c>
      <c r="AE73" s="19" t="n">
        <f aca="false">$B73+AE$3*100*$A73</f>
        <v>27.025</v>
      </c>
      <c r="AF73" s="19" t="n">
        <f aca="false">$B73+AF$3*100*$A73</f>
        <v>27.9</v>
      </c>
      <c r="AG73" s="19" t="n">
        <f aca="false">$B73+AG$3*100*$A73</f>
        <v>28.775</v>
      </c>
      <c r="AH73" s="19" t="n">
        <f aca="false">$B73+AH$3*100*$A73</f>
        <v>29.65</v>
      </c>
      <c r="AI73" s="19" t="n">
        <f aca="false">$B73+AI$3*100*$A73</f>
        <v>30.525</v>
      </c>
      <c r="AJ73" s="19" t="n">
        <f aca="false">$B73+AJ$3*100*$A73</f>
        <v>31.4</v>
      </c>
      <c r="AK73" s="19" t="n">
        <f aca="false">$B73+AK$3*100*$A73</f>
        <v>32.275</v>
      </c>
      <c r="AL73" s="19" t="n">
        <f aca="false">$B73+AL$3*100*$A73</f>
        <v>33.15</v>
      </c>
      <c r="AM73" s="19" t="n">
        <f aca="false">$B73+AM$3*100*$A73</f>
        <v>34.025</v>
      </c>
      <c r="AN73" s="19" t="n">
        <f aca="false">$B73+AN$3*100*$A73</f>
        <v>34.9</v>
      </c>
      <c r="AO73" s="19" t="n">
        <f aca="false">$B73+AO$3*100*$A73</f>
        <v>35.775</v>
      </c>
      <c r="AP73" s="19" t="n">
        <f aca="false">$B73+AP$3*100*$A73</f>
        <v>36.65</v>
      </c>
      <c r="AQ73" s="19" t="n">
        <f aca="false">$B73+AQ$3*100*$A73</f>
        <v>37.525</v>
      </c>
      <c r="AR73" s="19" t="n">
        <f aca="false">$B73+AR$3*100*$A73</f>
        <v>38.4</v>
      </c>
      <c r="AS73" s="19" t="n">
        <f aca="false">$B73+AS$3*100*$A73</f>
        <v>39.275</v>
      </c>
      <c r="AT73" s="19" t="n">
        <f aca="false">$B73+AT$3*100*$A73</f>
        <v>40.15</v>
      </c>
      <c r="AU73" s="19" t="n">
        <f aca="false">$B73+AU$3*100*$A73</f>
        <v>41.025</v>
      </c>
      <c r="AV73" s="19" t="n">
        <f aca="false">$B73+AV$3*100*$A73</f>
        <v>41.9</v>
      </c>
      <c r="AW73" s="19" t="n">
        <f aca="false">$B73+AW$3*100*$A73</f>
        <v>42.775</v>
      </c>
      <c r="AX73" s="19" t="n">
        <f aca="false">$B73+AX$3*100*$A73</f>
        <v>43.65</v>
      </c>
      <c r="AY73" s="19" t="n">
        <f aca="false">$B73+AY$3*100*$A73</f>
        <v>44.525</v>
      </c>
      <c r="AZ73" s="19" t="n">
        <f aca="false">$B73+AZ$3*100*$A73</f>
        <v>45.4</v>
      </c>
      <c r="BA73" s="19" t="n">
        <f aca="false">$B73+BA$3*100*$A73</f>
        <v>46.275</v>
      </c>
      <c r="BB73" s="19" t="n">
        <f aca="false">$B73+BB$3*100*$A73</f>
        <v>47.15</v>
      </c>
      <c r="BC73" s="19" t="n">
        <f aca="false">$B73+BC$3*100*$A73</f>
        <v>48.025</v>
      </c>
      <c r="BD73" s="19" t="n">
        <f aca="false">$B73+BD$3*100*$A73</f>
        <v>48.9</v>
      </c>
      <c r="BE73" s="19" t="n">
        <f aca="false">$B73+BE$3*100*$A73</f>
        <v>49.775</v>
      </c>
      <c r="BF73" s="19" t="n">
        <f aca="false">$B73+BF$3*100*$A73</f>
        <v>50.65</v>
      </c>
      <c r="BG73" s="19" t="n">
        <f aca="false">$B73+BG$3*100*$A73</f>
        <v>51.525</v>
      </c>
      <c r="BH73" s="19" t="n">
        <f aca="false">$B73+BH$3*100*$A73</f>
        <v>52.4</v>
      </c>
      <c r="BI73" s="19" t="n">
        <f aca="false">$B73+BI$3*100*$A73</f>
        <v>53.275</v>
      </c>
      <c r="BJ73" s="19" t="n">
        <f aca="false">$B73+BJ$3*100*$A73</f>
        <v>54.15</v>
      </c>
      <c r="BK73" s="19" t="n">
        <f aca="false">$B73+BK$3*100*$A73</f>
        <v>55.025</v>
      </c>
      <c r="BL73" s="19" t="n">
        <f aca="false">$B73+BL$3*100*$A73</f>
        <v>55.9</v>
      </c>
      <c r="BM73" s="19" t="n">
        <f aca="false">$B73+BM$3*100*$A73</f>
        <v>56.775</v>
      </c>
      <c r="BN73" s="19" t="n">
        <f aca="false">$B73+BN$3*100*$A73</f>
        <v>57.65</v>
      </c>
      <c r="BO73" s="19" t="n">
        <f aca="false">$B73+BO$3*100*$A73</f>
        <v>58.525</v>
      </c>
      <c r="BP73" s="19" t="n">
        <f aca="false">$B73+BP$3*100*$A73</f>
        <v>59.4</v>
      </c>
      <c r="BQ73" s="19" t="n">
        <f aca="false">$B73+BQ$3*100*$A73</f>
        <v>60.275</v>
      </c>
      <c r="BR73" s="19" t="n">
        <f aca="false">$B73+BR$3*100*$A73</f>
        <v>61.15</v>
      </c>
      <c r="BS73" s="19" t="n">
        <f aca="false">$B73+BS$3*100*$A73</f>
        <v>62.025</v>
      </c>
      <c r="BT73" s="19" t="n">
        <f aca="false">$B73+BT$3*100*$A73</f>
        <v>62.9</v>
      </c>
      <c r="BU73" s="19" t="n">
        <f aca="false">$B73+BU$3*100*$A73</f>
        <v>63.775</v>
      </c>
      <c r="BV73" s="19" t="n">
        <f aca="false">$B73+BV$3*100*$A73</f>
        <v>64.65</v>
      </c>
      <c r="BW73" s="19" t="n">
        <f aca="false">$B73+BW$3*100*$A73</f>
        <v>65.525</v>
      </c>
      <c r="BX73" s="19" t="n">
        <f aca="false">$B73+BX$3*100*$A73</f>
        <v>66.4</v>
      </c>
      <c r="BY73" s="19" t="n">
        <f aca="false">$B73+BY$3*100*$A73</f>
        <v>67.275</v>
      </c>
      <c r="BZ73" s="19" t="n">
        <f aca="false">$B73+BZ$3*100*$A73</f>
        <v>68.15</v>
      </c>
      <c r="CA73" s="19" t="n">
        <f aca="false">$B73+CA$3*100*$A73</f>
        <v>69.025</v>
      </c>
      <c r="CB73" s="19" t="n">
        <f aca="false">$B73+CB$3*100*$A73</f>
        <v>69.9</v>
      </c>
      <c r="CC73" s="19" t="n">
        <f aca="false">$B73+CC$3*100*$A73</f>
        <v>70.775</v>
      </c>
      <c r="CD73" s="19" t="n">
        <f aca="false">$B73+CD$3*100*$A73</f>
        <v>71.65</v>
      </c>
      <c r="CE73" s="19" t="n">
        <f aca="false">$B73+CE$3*100*$A73</f>
        <v>72.525</v>
      </c>
      <c r="CF73" s="19" t="n">
        <f aca="false">$B73+CF$3*100*$A73</f>
        <v>73.4</v>
      </c>
      <c r="CG73" s="19" t="n">
        <f aca="false">$B73+CG$3*100*$A73</f>
        <v>74.275</v>
      </c>
      <c r="CH73" s="19" t="n">
        <f aca="false">$B73+CH$3*100*$A73</f>
        <v>75.15</v>
      </c>
      <c r="CI73" s="19" t="n">
        <f aca="false">$B73+CI$3*100*$A73</f>
        <v>76.025</v>
      </c>
      <c r="CJ73" s="19" t="n">
        <f aca="false">$B73+CJ$3*100*$A73</f>
        <v>76.9</v>
      </c>
      <c r="CK73" s="19" t="n">
        <f aca="false">$B73+CK$3*100*$A73</f>
        <v>77.775</v>
      </c>
      <c r="CL73" s="19" t="n">
        <f aca="false">$B73+CL$3*100*$A73</f>
        <v>78.65</v>
      </c>
      <c r="CM73" s="19" t="n">
        <f aca="false">$B73+CM$3*100*$A73</f>
        <v>79.525</v>
      </c>
      <c r="CN73" s="19" t="n">
        <f aca="false">$B73+CN$3*100*$A73</f>
        <v>80.4</v>
      </c>
      <c r="CO73" s="19" t="n">
        <f aca="false">$B73+CO$3*100*$A73</f>
        <v>81.275</v>
      </c>
      <c r="CP73" s="19" t="n">
        <f aca="false">$B73+CP$3*100*$A73</f>
        <v>82.15</v>
      </c>
      <c r="CQ73" s="19" t="n">
        <f aca="false">$B73+CQ$3*100*$A73</f>
        <v>83.025</v>
      </c>
      <c r="CR73" s="19" t="n">
        <f aca="false">$B73+CR$3*100*$A73</f>
        <v>83.9</v>
      </c>
      <c r="CS73" s="19" t="n">
        <f aca="false">$B73+CS$3*100*$A73</f>
        <v>84.775</v>
      </c>
      <c r="CT73" s="19" t="n">
        <f aca="false">$B73+CT$3*100*$A73</f>
        <v>85.65</v>
      </c>
      <c r="CU73" s="19" t="n">
        <f aca="false">$B73+CU$3*100*$A73</f>
        <v>86.525</v>
      </c>
      <c r="CV73" s="19" t="n">
        <f aca="false">$B73+CV$3*100*$A73</f>
        <v>87.4</v>
      </c>
      <c r="CW73" s="19" t="n">
        <f aca="false">$B73+CW$3*100*$A73</f>
        <v>88.275</v>
      </c>
      <c r="CX73" s="19" t="n">
        <f aca="false">$B73+CX$3*100*$A73</f>
        <v>89.15</v>
      </c>
      <c r="CY73" s="19" t="n">
        <f aca="false">$B73+CY$3*100*$A73</f>
        <v>90.025</v>
      </c>
      <c r="CZ73" s="19" t="n">
        <f aca="false">$B73+CZ$3*100*$A73</f>
        <v>90.9</v>
      </c>
      <c r="DA73" s="19" t="n">
        <f aca="false">$B73+DA$3*100*$A73</f>
        <v>91.775</v>
      </c>
      <c r="DB73" s="19" t="n">
        <f aca="false">$B73+DB$3*100*$A73</f>
        <v>92.65</v>
      </c>
      <c r="DC73" s="19" t="n">
        <f aca="false">$B73+DC$3*100*$A73</f>
        <v>93.525</v>
      </c>
      <c r="DD73" s="19" t="n">
        <f aca="false">$B73+DD$3*100*$A73</f>
        <v>94.4</v>
      </c>
      <c r="DE73" s="19" t="n">
        <f aca="false">$B73+DE$3*100*$A73</f>
        <v>95.275</v>
      </c>
      <c r="DF73" s="19" t="n">
        <f aca="false">$B73+DF$3*100*$A73</f>
        <v>96.15</v>
      </c>
      <c r="DG73" s="19" t="n">
        <f aca="false">$B73+DG$3*100*$A73</f>
        <v>97.025</v>
      </c>
      <c r="DH73" s="19" t="n">
        <f aca="false">$B73+DH$3*100*$A73</f>
        <v>97.9</v>
      </c>
      <c r="DI73" s="19" t="n">
        <f aca="false">$B73+DI$3*100*$A73</f>
        <v>98.775</v>
      </c>
      <c r="DJ73" s="19" t="n">
        <f aca="false">$B73+DJ$3*100*$A73</f>
        <v>99.65</v>
      </c>
      <c r="DK73" s="19" t="n">
        <f aca="false">$B73+DK$3*100*$A73</f>
        <v>100.525</v>
      </c>
      <c r="DL73" s="19" t="n">
        <f aca="false">$B73+DL$3*100*$A73</f>
        <v>101.4</v>
      </c>
      <c r="DM73" s="19" t="n">
        <f aca="false">$B73+DM$3*100*$A73</f>
        <v>102.275</v>
      </c>
      <c r="DN73" s="19" t="n">
        <f aca="false">$B73+DN$3*100*$A73</f>
        <v>103.15</v>
      </c>
      <c r="DO73" s="19" t="n">
        <f aca="false">$B73+DO$3*100*$A73</f>
        <v>104.025</v>
      </c>
      <c r="DP73" s="19" t="n">
        <f aca="false">$B73+DP$3*100*$A73</f>
        <v>104.9</v>
      </c>
      <c r="DQ73" s="19" t="n">
        <f aca="false">$B73+DQ$3*100*$A73</f>
        <v>105.775</v>
      </c>
      <c r="DR73" s="19" t="n">
        <f aca="false">$B73+DR$3*100*$A73</f>
        <v>106.65</v>
      </c>
      <c r="DS73" s="19" t="n">
        <f aca="false">$B73+DS$3*100*$A73</f>
        <v>107.525</v>
      </c>
      <c r="DT73" s="19" t="n">
        <f aca="false">$B73+DT$3*100*$A73</f>
        <v>108.4</v>
      </c>
      <c r="DU73" s="19" t="n">
        <f aca="false">$B73+DU$3*100*$A73</f>
        <v>109.275</v>
      </c>
      <c r="DV73" s="19" t="n">
        <f aca="false">$B73+DV$3*100*$A73</f>
        <v>110.15</v>
      </c>
      <c r="DW73" s="19" t="n">
        <f aca="false">$B73+DW$3*100*$A73</f>
        <v>111.025</v>
      </c>
      <c r="DX73" s="19" t="n">
        <f aca="false">$B73+DX$3*100*$A73</f>
        <v>111.9</v>
      </c>
      <c r="DY73" s="19" t="n">
        <f aca="false">$B73+DY$3*100*$A73</f>
        <v>112.775</v>
      </c>
      <c r="DZ73" s="19" t="n">
        <f aca="false">$B73+DZ$3*100*$A73</f>
        <v>113.65</v>
      </c>
      <c r="EA73" s="19" t="n">
        <f aca="false">$B73+EA$3*100*$A73</f>
        <v>114.525</v>
      </c>
      <c r="EB73" s="19" t="n">
        <f aca="false">$B73+EB$3*100*$A73</f>
        <v>115.4</v>
      </c>
      <c r="EC73" s="19" t="n">
        <f aca="false">$B73+EC$3*100*$A73</f>
        <v>116.275</v>
      </c>
      <c r="ED73" s="19" t="n">
        <f aca="false">$B73+ED$3*100*$A73</f>
        <v>117.15</v>
      </c>
      <c r="EE73" s="19" t="n">
        <f aca="false">$B73+EE$3*100*$A73</f>
        <v>118.025</v>
      </c>
      <c r="EF73" s="19" t="n">
        <f aca="false">$B73+EF$3*100*$A73</f>
        <v>118.9</v>
      </c>
      <c r="EG73" s="19" t="n">
        <f aca="false">$B73+EG$3*100*$A73</f>
        <v>119.775</v>
      </c>
      <c r="EH73" s="19" t="n">
        <f aca="false">$B73+EH$3*100*$A73</f>
        <v>120.65</v>
      </c>
      <c r="EI73" s="19" t="n">
        <f aca="false">$B73+EI$3*100*$A73</f>
        <v>121.525</v>
      </c>
      <c r="EJ73" s="19" t="n">
        <f aca="false">$B73+EJ$3*100*$A73</f>
        <v>122.4</v>
      </c>
      <c r="EK73" s="19" t="n">
        <f aca="false">$B73+EK$3*100*$A73</f>
        <v>123.275</v>
      </c>
      <c r="EL73" s="19" t="n">
        <f aca="false">$B73+EL$3*100*$A73</f>
        <v>124.15</v>
      </c>
      <c r="EM73" s="19" t="n">
        <f aca="false">$B73+EM$3*100*$A73</f>
        <v>125.025</v>
      </c>
      <c r="EN73" s="19" t="n">
        <f aca="false">$B73+EN$3*100*$A73</f>
        <v>125.9</v>
      </c>
      <c r="EO73" s="19" t="n">
        <f aca="false">$B73+EO$3*100*$A73</f>
        <v>126.775</v>
      </c>
      <c r="EP73" s="19" t="n">
        <f aca="false">$B73+EP$3*100*$A73</f>
        <v>127.65</v>
      </c>
      <c r="EQ73" s="19" t="n">
        <f aca="false">$B73+EQ$3*100*$A73</f>
        <v>128.525</v>
      </c>
      <c r="ER73" s="19" t="n">
        <f aca="false">$B73+ER$3*100*$A73</f>
        <v>129.4</v>
      </c>
      <c r="ES73" s="19" t="n">
        <f aca="false">$B73+ES$3*100*$A73</f>
        <v>130.275</v>
      </c>
      <c r="ET73" s="19" t="n">
        <f aca="false">$B73+ET$3*100*$A73</f>
        <v>131.15</v>
      </c>
      <c r="EU73" s="19" t="n">
        <f aca="false">$B73+EU$3*100*$A73</f>
        <v>132.025</v>
      </c>
      <c r="EV73" s="19" t="n">
        <f aca="false">$B73+EV$3*100*$A73</f>
        <v>132.9</v>
      </c>
      <c r="EW73" s="19" t="n">
        <f aca="false">$B73+EW$3*100*$A73</f>
        <v>133.775</v>
      </c>
      <c r="EX73" s="19" t="n">
        <f aca="false">$B73+EX$3*100*$A73</f>
        <v>134.65</v>
      </c>
      <c r="EY73" s="19" t="n">
        <f aca="false">$B73+EY$3*100*$A73</f>
        <v>135.525</v>
      </c>
      <c r="EZ73" s="19" t="n">
        <f aca="false">$B73+EZ$3*100*$A73</f>
        <v>136.4</v>
      </c>
      <c r="FA73" s="19" t="n">
        <f aca="false">$B73+FA$3*100*$A73</f>
        <v>137.275</v>
      </c>
      <c r="FB73" s="19" t="n">
        <f aca="false">$B73+FB$3*100*$A73</f>
        <v>138.15</v>
      </c>
      <c r="FC73" s="19" t="n">
        <f aca="false">$B73+FC$3*100*$A73</f>
        <v>139.025</v>
      </c>
      <c r="FD73" s="19" t="n">
        <f aca="false">$B73+FD$3*100*$A73</f>
        <v>139.9</v>
      </c>
      <c r="FE73" s="19" t="n">
        <f aca="false">$B73+FE$3*100*$A73</f>
        <v>140.775</v>
      </c>
      <c r="FF73" s="19" t="n">
        <f aca="false">$B73+FF$3*100*$A73</f>
        <v>141.65</v>
      </c>
      <c r="FG73" s="19" t="n">
        <f aca="false">$B73+FG$3*100*$A73</f>
        <v>142.525</v>
      </c>
      <c r="FH73" s="19" t="n">
        <f aca="false">$B73+FH$3*100*$A73</f>
        <v>143.4</v>
      </c>
      <c r="FI73" s="19" t="n">
        <f aca="false">$B73+FI$3*100*$A73</f>
        <v>144.275</v>
      </c>
      <c r="FJ73" s="19" t="n">
        <f aca="false">$B73+FJ$3*100*$A73</f>
        <v>145.15</v>
      </c>
      <c r="FK73" s="19" t="n">
        <f aca="false">$B73+FK$3*100*$A73</f>
        <v>146.025</v>
      </c>
      <c r="FL73" s="19" t="n">
        <f aca="false">$B73+FL$3*100*$A73</f>
        <v>146.9</v>
      </c>
      <c r="FM73" s="19" t="n">
        <f aca="false">$B73+FM$3*100*$A73</f>
        <v>147.775</v>
      </c>
      <c r="FN73" s="19" t="n">
        <f aca="false">$B73+FN$3*100*$A73</f>
        <v>148.65</v>
      </c>
      <c r="FO73" s="19" t="n">
        <f aca="false">$B73+FO$3*100*$A73</f>
        <v>149.525</v>
      </c>
      <c r="FP73" s="19" t="n">
        <f aca="false">$B73+FP$3*100*$A73</f>
        <v>150.4</v>
      </c>
      <c r="FQ73" s="19" t="n">
        <f aca="false">$B73+FQ$3*100*$A73</f>
        <v>151.275</v>
      </c>
      <c r="FR73" s="19" t="n">
        <f aca="false">$B73+FR$3*100*$A73</f>
        <v>152.15</v>
      </c>
      <c r="FS73" s="19" t="n">
        <f aca="false">$B73+FS$3*100*$A73</f>
        <v>153.025</v>
      </c>
      <c r="FT73" s="19" t="n">
        <f aca="false">$B73+FT$3*100*$A73</f>
        <v>153.9</v>
      </c>
      <c r="FU73" s="19" t="n">
        <f aca="false">$B73+FU$3*100*$A73</f>
        <v>154.775</v>
      </c>
      <c r="FV73" s="19" t="n">
        <f aca="false">$B73+FV$3*100*$A73</f>
        <v>155.65</v>
      </c>
      <c r="FW73" s="19" t="n">
        <f aca="false">$B73+FW$3*100*$A73</f>
        <v>156.525</v>
      </c>
      <c r="FX73" s="19" t="n">
        <f aca="false">$B73+FX$3*100*$A73</f>
        <v>157.4</v>
      </c>
      <c r="FY73" s="19" t="n">
        <f aca="false">$B73+FY$3*100*$A73</f>
        <v>158.275</v>
      </c>
      <c r="FZ73" s="19" t="n">
        <f aca="false">$B73+FZ$3*100*$A73</f>
        <v>159.15</v>
      </c>
      <c r="GA73" s="19" t="n">
        <f aca="false">$B73+GA$3*100*$A73</f>
        <v>160.025</v>
      </c>
      <c r="GB73" s="19" t="n">
        <f aca="false">$B73+GB$3*100*$A73</f>
        <v>160.9</v>
      </c>
      <c r="GC73" s="19" t="n">
        <f aca="false">$B73+GC$3*100*$A73</f>
        <v>161.775</v>
      </c>
      <c r="GD73" s="19" t="n">
        <f aca="false">$B73+GD$3*100*$A73</f>
        <v>162.65</v>
      </c>
      <c r="GE73" s="19" t="n">
        <f aca="false">$B73+GE$3*100*$A73</f>
        <v>163.525</v>
      </c>
      <c r="GF73" s="19" t="n">
        <f aca="false">$B73+GF$3*100*$A73</f>
        <v>164.4</v>
      </c>
      <c r="GG73" s="19" t="n">
        <f aca="false">$B73+GG$3*100*$A73</f>
        <v>165.275</v>
      </c>
      <c r="GH73" s="19" t="n">
        <f aca="false">$B73+GH$3*100*$A73</f>
        <v>166.15</v>
      </c>
      <c r="GI73" s="19" t="n">
        <f aca="false">$B73+GI$3*100*$A73</f>
        <v>167.025</v>
      </c>
      <c r="GJ73" s="19" t="n">
        <f aca="false">$B73+GJ$3*100*$A73</f>
        <v>167.9</v>
      </c>
      <c r="GK73" s="19" t="n">
        <f aca="false">$B73+GK$3*100*$A73</f>
        <v>168.775</v>
      </c>
      <c r="GL73" s="19" t="n">
        <f aca="false">$B73+GL$3*100*$A73</f>
        <v>169.65</v>
      </c>
      <c r="GM73" s="19" t="n">
        <f aca="false">$B73+GM$3*100*$A73</f>
        <v>170.525</v>
      </c>
      <c r="GN73" s="19" t="n">
        <f aca="false">$B73+GN$3*100*$A73</f>
        <v>171.4</v>
      </c>
      <c r="GO73" s="19" t="n">
        <f aca="false">$B73+GO$3*100*$A73</f>
        <v>172.275</v>
      </c>
      <c r="GP73" s="19" t="n">
        <f aca="false">$B73+GP$3*100*$A73</f>
        <v>173.15</v>
      </c>
      <c r="GQ73" s="19" t="n">
        <f aca="false">$B73+GQ$3*100*$A73</f>
        <v>174.025</v>
      </c>
      <c r="GR73" s="19" t="n">
        <f aca="false">$B73+GR$3*100*$A73</f>
        <v>174.9</v>
      </c>
      <c r="GS73" s="19" t="n">
        <f aca="false">$B73+GS$3*100*$A73</f>
        <v>175.775</v>
      </c>
      <c r="GT73" s="19" t="n">
        <f aca="false">$B73+GT$3*100*$A73</f>
        <v>176.65</v>
      </c>
    </row>
    <row r="74" customFormat="false" ht="15" hidden="false" customHeight="false" outlineLevel="0" collapsed="false">
      <c r="A74" s="26" t="n">
        <f aca="false">Frontier!A72</f>
        <v>0.1775</v>
      </c>
      <c r="B74" s="34" t="n">
        <f aca="false">Frontier!B72</f>
        <v>1.65</v>
      </c>
      <c r="C74" s="19" t="n">
        <f aca="false">$B74+C$3*100*$A74</f>
        <v>2.5375</v>
      </c>
      <c r="D74" s="19" t="n">
        <f aca="false">$B74+D$3*100*$A74</f>
        <v>3.425</v>
      </c>
      <c r="E74" s="19" t="n">
        <f aca="false">$B74+E$3*100*$A74</f>
        <v>4.3125</v>
      </c>
      <c r="F74" s="19" t="n">
        <f aca="false">$B74+F$3*100*$A74</f>
        <v>5.2</v>
      </c>
      <c r="G74" s="19" t="n">
        <f aca="false">$B74+G$3*100*$A74</f>
        <v>6.0875</v>
      </c>
      <c r="H74" s="19" t="n">
        <f aca="false">$B74+H$3*100*$A74</f>
        <v>6.975</v>
      </c>
      <c r="I74" s="19" t="n">
        <f aca="false">$B74+I$3*100*$A74</f>
        <v>7.8625</v>
      </c>
      <c r="J74" s="19" t="n">
        <f aca="false">$B74+J$3*100*$A74</f>
        <v>8.75</v>
      </c>
      <c r="K74" s="19" t="n">
        <f aca="false">$B74+K$3*100*$A74</f>
        <v>9.6375</v>
      </c>
      <c r="L74" s="19" t="n">
        <f aca="false">$B74+L$3*100*$A74</f>
        <v>10.525</v>
      </c>
      <c r="M74" s="19" t="n">
        <f aca="false">$B74+M$3*100*$A74</f>
        <v>11.4125</v>
      </c>
      <c r="N74" s="19" t="n">
        <f aca="false">$B74+N$3*100*$A74</f>
        <v>12.3</v>
      </c>
      <c r="O74" s="19" t="n">
        <f aca="false">$B74+O$3*100*$A74</f>
        <v>13.1875</v>
      </c>
      <c r="P74" s="19" t="n">
        <f aca="false">$B74+P$3*100*$A74</f>
        <v>14.075</v>
      </c>
      <c r="Q74" s="19" t="n">
        <f aca="false">$B74+Q$3*100*$A74</f>
        <v>14.9625</v>
      </c>
      <c r="R74" s="19" t="n">
        <f aca="false">$B74+R$3*100*$A74</f>
        <v>15.85</v>
      </c>
      <c r="S74" s="19" t="n">
        <f aca="false">$B74+S$3*100*$A74</f>
        <v>16.7375</v>
      </c>
      <c r="T74" s="19" t="n">
        <f aca="false">$B74+T$3*100*$A74</f>
        <v>17.625</v>
      </c>
      <c r="U74" s="19" t="n">
        <f aca="false">$B74+U$3*100*$A74</f>
        <v>18.5125</v>
      </c>
      <c r="V74" s="19" t="n">
        <f aca="false">$B74+V$3*100*$A74</f>
        <v>19.4</v>
      </c>
      <c r="W74" s="19" t="n">
        <f aca="false">$B74+W$3*100*$A74</f>
        <v>20.2875</v>
      </c>
      <c r="X74" s="19" t="n">
        <f aca="false">$B74+X$3*100*$A74</f>
        <v>21.175</v>
      </c>
      <c r="Y74" s="19" t="n">
        <f aca="false">$B74+Y$3*100*$A74</f>
        <v>22.0625</v>
      </c>
      <c r="Z74" s="19" t="n">
        <f aca="false">$B74+Z$3*100*$A74</f>
        <v>22.95</v>
      </c>
      <c r="AA74" s="19" t="n">
        <f aca="false">$B74+AA$3*100*$A74</f>
        <v>23.8375</v>
      </c>
      <c r="AB74" s="19" t="n">
        <f aca="false">$B74+AB$3*100*$A74</f>
        <v>24.725</v>
      </c>
      <c r="AC74" s="19" t="n">
        <f aca="false">$B74+AC$3*100*$A74</f>
        <v>25.6125</v>
      </c>
      <c r="AD74" s="19" t="n">
        <f aca="false">$B74+AD$3*100*$A74</f>
        <v>26.5</v>
      </c>
      <c r="AE74" s="19" t="n">
        <f aca="false">$B74+AE$3*100*$A74</f>
        <v>27.3875</v>
      </c>
      <c r="AF74" s="19" t="n">
        <f aca="false">$B74+AF$3*100*$A74</f>
        <v>28.275</v>
      </c>
      <c r="AG74" s="19" t="n">
        <f aca="false">$B74+AG$3*100*$A74</f>
        <v>29.1625</v>
      </c>
      <c r="AH74" s="19" t="n">
        <f aca="false">$B74+AH$3*100*$A74</f>
        <v>30.05</v>
      </c>
      <c r="AI74" s="19" t="n">
        <f aca="false">$B74+AI$3*100*$A74</f>
        <v>30.9375</v>
      </c>
      <c r="AJ74" s="19" t="n">
        <f aca="false">$B74+AJ$3*100*$A74</f>
        <v>31.825</v>
      </c>
      <c r="AK74" s="19" t="n">
        <f aca="false">$B74+AK$3*100*$A74</f>
        <v>32.7125</v>
      </c>
      <c r="AL74" s="19" t="n">
        <f aca="false">$B74+AL$3*100*$A74</f>
        <v>33.6</v>
      </c>
      <c r="AM74" s="19" t="n">
        <f aca="false">$B74+AM$3*100*$A74</f>
        <v>34.4875</v>
      </c>
      <c r="AN74" s="19" t="n">
        <f aca="false">$B74+AN$3*100*$A74</f>
        <v>35.375</v>
      </c>
      <c r="AO74" s="19" t="n">
        <f aca="false">$B74+AO$3*100*$A74</f>
        <v>36.2625</v>
      </c>
      <c r="AP74" s="19" t="n">
        <f aca="false">$B74+AP$3*100*$A74</f>
        <v>37.15</v>
      </c>
      <c r="AQ74" s="19" t="n">
        <f aca="false">$B74+AQ$3*100*$A74</f>
        <v>38.0375</v>
      </c>
      <c r="AR74" s="19" t="n">
        <f aca="false">$B74+AR$3*100*$A74</f>
        <v>38.925</v>
      </c>
      <c r="AS74" s="19" t="n">
        <f aca="false">$B74+AS$3*100*$A74</f>
        <v>39.8125</v>
      </c>
      <c r="AT74" s="19" t="n">
        <f aca="false">$B74+AT$3*100*$A74</f>
        <v>40.7</v>
      </c>
      <c r="AU74" s="19" t="n">
        <f aca="false">$B74+AU$3*100*$A74</f>
        <v>41.5875</v>
      </c>
      <c r="AV74" s="19" t="n">
        <f aca="false">$B74+AV$3*100*$A74</f>
        <v>42.475</v>
      </c>
      <c r="AW74" s="19" t="n">
        <f aca="false">$B74+AW$3*100*$A74</f>
        <v>43.3625</v>
      </c>
      <c r="AX74" s="19" t="n">
        <f aca="false">$B74+AX$3*100*$A74</f>
        <v>44.25</v>
      </c>
      <c r="AY74" s="19" t="n">
        <f aca="false">$B74+AY$3*100*$A74</f>
        <v>45.1375</v>
      </c>
      <c r="AZ74" s="19" t="n">
        <f aca="false">$B74+AZ$3*100*$A74</f>
        <v>46.025</v>
      </c>
      <c r="BA74" s="19" t="n">
        <f aca="false">$B74+BA$3*100*$A74</f>
        <v>46.9125</v>
      </c>
      <c r="BB74" s="19" t="n">
        <f aca="false">$B74+BB$3*100*$A74</f>
        <v>47.8</v>
      </c>
      <c r="BC74" s="19" t="n">
        <f aca="false">$B74+BC$3*100*$A74</f>
        <v>48.6875</v>
      </c>
      <c r="BD74" s="19" t="n">
        <f aca="false">$B74+BD$3*100*$A74</f>
        <v>49.575</v>
      </c>
      <c r="BE74" s="19" t="n">
        <f aca="false">$B74+BE$3*100*$A74</f>
        <v>50.4625</v>
      </c>
      <c r="BF74" s="19" t="n">
        <f aca="false">$B74+BF$3*100*$A74</f>
        <v>51.35</v>
      </c>
      <c r="BG74" s="19" t="n">
        <f aca="false">$B74+BG$3*100*$A74</f>
        <v>52.2375</v>
      </c>
      <c r="BH74" s="19" t="n">
        <f aca="false">$B74+BH$3*100*$A74</f>
        <v>53.125</v>
      </c>
      <c r="BI74" s="19" t="n">
        <f aca="false">$B74+BI$3*100*$A74</f>
        <v>54.0125</v>
      </c>
      <c r="BJ74" s="19" t="n">
        <f aca="false">$B74+BJ$3*100*$A74</f>
        <v>54.9</v>
      </c>
      <c r="BK74" s="19" t="n">
        <f aca="false">$B74+BK$3*100*$A74</f>
        <v>55.7875</v>
      </c>
      <c r="BL74" s="19" t="n">
        <f aca="false">$B74+BL$3*100*$A74</f>
        <v>56.675</v>
      </c>
      <c r="BM74" s="19" t="n">
        <f aca="false">$B74+BM$3*100*$A74</f>
        <v>57.5625</v>
      </c>
      <c r="BN74" s="19" t="n">
        <f aca="false">$B74+BN$3*100*$A74</f>
        <v>58.45</v>
      </c>
      <c r="BO74" s="19" t="n">
        <f aca="false">$B74+BO$3*100*$A74</f>
        <v>59.3375</v>
      </c>
      <c r="BP74" s="19" t="n">
        <f aca="false">$B74+BP$3*100*$A74</f>
        <v>60.225</v>
      </c>
      <c r="BQ74" s="19" t="n">
        <f aca="false">$B74+BQ$3*100*$A74</f>
        <v>61.1125</v>
      </c>
      <c r="BR74" s="19" t="n">
        <f aca="false">$B74+BR$3*100*$A74</f>
        <v>62</v>
      </c>
      <c r="BS74" s="19" t="n">
        <f aca="false">$B74+BS$3*100*$A74</f>
        <v>62.8875</v>
      </c>
      <c r="BT74" s="19" t="n">
        <f aca="false">$B74+BT$3*100*$A74</f>
        <v>63.775</v>
      </c>
      <c r="BU74" s="19" t="n">
        <f aca="false">$B74+BU$3*100*$A74</f>
        <v>64.6625</v>
      </c>
      <c r="BV74" s="19" t="n">
        <f aca="false">$B74+BV$3*100*$A74</f>
        <v>65.55</v>
      </c>
      <c r="BW74" s="19" t="n">
        <f aca="false">$B74+BW$3*100*$A74</f>
        <v>66.4375</v>
      </c>
      <c r="BX74" s="19" t="n">
        <f aca="false">$B74+BX$3*100*$A74</f>
        <v>67.325</v>
      </c>
      <c r="BY74" s="19" t="n">
        <f aca="false">$B74+BY$3*100*$A74</f>
        <v>68.2125</v>
      </c>
      <c r="BZ74" s="19" t="n">
        <f aca="false">$B74+BZ$3*100*$A74</f>
        <v>69.1</v>
      </c>
      <c r="CA74" s="19" t="n">
        <f aca="false">$B74+CA$3*100*$A74</f>
        <v>69.9875</v>
      </c>
      <c r="CB74" s="19" t="n">
        <f aca="false">$B74+CB$3*100*$A74</f>
        <v>70.875</v>
      </c>
      <c r="CC74" s="19" t="n">
        <f aca="false">$B74+CC$3*100*$A74</f>
        <v>71.7625</v>
      </c>
      <c r="CD74" s="19" t="n">
        <f aca="false">$B74+CD$3*100*$A74</f>
        <v>72.65</v>
      </c>
      <c r="CE74" s="19" t="n">
        <f aca="false">$B74+CE$3*100*$A74</f>
        <v>73.5375</v>
      </c>
      <c r="CF74" s="19" t="n">
        <f aca="false">$B74+CF$3*100*$A74</f>
        <v>74.425</v>
      </c>
      <c r="CG74" s="19" t="n">
        <f aca="false">$B74+CG$3*100*$A74</f>
        <v>75.3125</v>
      </c>
      <c r="CH74" s="19" t="n">
        <f aca="false">$B74+CH$3*100*$A74</f>
        <v>76.2</v>
      </c>
      <c r="CI74" s="19" t="n">
        <f aca="false">$B74+CI$3*100*$A74</f>
        <v>77.0875</v>
      </c>
      <c r="CJ74" s="19" t="n">
        <f aca="false">$B74+CJ$3*100*$A74</f>
        <v>77.975</v>
      </c>
      <c r="CK74" s="19" t="n">
        <f aca="false">$B74+CK$3*100*$A74</f>
        <v>78.8625</v>
      </c>
      <c r="CL74" s="19" t="n">
        <f aca="false">$B74+CL$3*100*$A74</f>
        <v>79.75</v>
      </c>
      <c r="CM74" s="19" t="n">
        <f aca="false">$B74+CM$3*100*$A74</f>
        <v>80.6375</v>
      </c>
      <c r="CN74" s="19" t="n">
        <f aca="false">$B74+CN$3*100*$A74</f>
        <v>81.525</v>
      </c>
      <c r="CO74" s="19" t="n">
        <f aca="false">$B74+CO$3*100*$A74</f>
        <v>82.4125</v>
      </c>
      <c r="CP74" s="19" t="n">
        <f aca="false">$B74+CP$3*100*$A74</f>
        <v>83.3</v>
      </c>
      <c r="CQ74" s="19" t="n">
        <f aca="false">$B74+CQ$3*100*$A74</f>
        <v>84.1875</v>
      </c>
      <c r="CR74" s="19" t="n">
        <f aca="false">$B74+CR$3*100*$A74</f>
        <v>85.075</v>
      </c>
      <c r="CS74" s="19" t="n">
        <f aca="false">$B74+CS$3*100*$A74</f>
        <v>85.9625</v>
      </c>
      <c r="CT74" s="19" t="n">
        <f aca="false">$B74+CT$3*100*$A74</f>
        <v>86.85</v>
      </c>
      <c r="CU74" s="19" t="n">
        <f aca="false">$B74+CU$3*100*$A74</f>
        <v>87.7375</v>
      </c>
      <c r="CV74" s="19" t="n">
        <f aca="false">$B74+CV$3*100*$A74</f>
        <v>88.625</v>
      </c>
      <c r="CW74" s="19" t="n">
        <f aca="false">$B74+CW$3*100*$A74</f>
        <v>89.5125</v>
      </c>
      <c r="CX74" s="19" t="n">
        <f aca="false">$B74+CX$3*100*$A74</f>
        <v>90.4</v>
      </c>
      <c r="CY74" s="19" t="n">
        <f aca="false">$B74+CY$3*100*$A74</f>
        <v>91.2875</v>
      </c>
      <c r="CZ74" s="19" t="n">
        <f aca="false">$B74+CZ$3*100*$A74</f>
        <v>92.175</v>
      </c>
      <c r="DA74" s="19" t="n">
        <f aca="false">$B74+DA$3*100*$A74</f>
        <v>93.0625</v>
      </c>
      <c r="DB74" s="19" t="n">
        <f aca="false">$B74+DB$3*100*$A74</f>
        <v>93.95</v>
      </c>
      <c r="DC74" s="19" t="n">
        <f aca="false">$B74+DC$3*100*$A74</f>
        <v>94.8375</v>
      </c>
      <c r="DD74" s="19" t="n">
        <f aca="false">$B74+DD$3*100*$A74</f>
        <v>95.725</v>
      </c>
      <c r="DE74" s="19" t="n">
        <f aca="false">$B74+DE$3*100*$A74</f>
        <v>96.6125</v>
      </c>
      <c r="DF74" s="19" t="n">
        <f aca="false">$B74+DF$3*100*$A74</f>
        <v>97.5</v>
      </c>
      <c r="DG74" s="19" t="n">
        <f aca="false">$B74+DG$3*100*$A74</f>
        <v>98.3875</v>
      </c>
      <c r="DH74" s="19" t="n">
        <f aca="false">$B74+DH$3*100*$A74</f>
        <v>99.275</v>
      </c>
      <c r="DI74" s="19" t="n">
        <f aca="false">$B74+DI$3*100*$A74</f>
        <v>100.1625</v>
      </c>
      <c r="DJ74" s="19" t="n">
        <f aca="false">$B74+DJ$3*100*$A74</f>
        <v>101.05</v>
      </c>
      <c r="DK74" s="19" t="n">
        <f aca="false">$B74+DK$3*100*$A74</f>
        <v>101.9375</v>
      </c>
      <c r="DL74" s="19" t="n">
        <f aca="false">$B74+DL$3*100*$A74</f>
        <v>102.825</v>
      </c>
      <c r="DM74" s="19" t="n">
        <f aca="false">$B74+DM$3*100*$A74</f>
        <v>103.7125</v>
      </c>
      <c r="DN74" s="19" t="n">
        <f aca="false">$B74+DN$3*100*$A74</f>
        <v>104.6</v>
      </c>
      <c r="DO74" s="19" t="n">
        <f aca="false">$B74+DO$3*100*$A74</f>
        <v>105.4875</v>
      </c>
      <c r="DP74" s="19" t="n">
        <f aca="false">$B74+DP$3*100*$A74</f>
        <v>106.375</v>
      </c>
      <c r="DQ74" s="19" t="n">
        <f aca="false">$B74+DQ$3*100*$A74</f>
        <v>107.2625</v>
      </c>
      <c r="DR74" s="19" t="n">
        <f aca="false">$B74+DR$3*100*$A74</f>
        <v>108.15</v>
      </c>
      <c r="DS74" s="19" t="n">
        <f aca="false">$B74+DS$3*100*$A74</f>
        <v>109.0375</v>
      </c>
      <c r="DT74" s="19" t="n">
        <f aca="false">$B74+DT$3*100*$A74</f>
        <v>109.925</v>
      </c>
      <c r="DU74" s="19" t="n">
        <f aca="false">$B74+DU$3*100*$A74</f>
        <v>110.8125</v>
      </c>
      <c r="DV74" s="19" t="n">
        <f aca="false">$B74+DV$3*100*$A74</f>
        <v>111.7</v>
      </c>
      <c r="DW74" s="19" t="n">
        <f aca="false">$B74+DW$3*100*$A74</f>
        <v>112.5875</v>
      </c>
      <c r="DX74" s="19" t="n">
        <f aca="false">$B74+DX$3*100*$A74</f>
        <v>113.475</v>
      </c>
      <c r="DY74" s="19" t="n">
        <f aca="false">$B74+DY$3*100*$A74</f>
        <v>114.3625</v>
      </c>
      <c r="DZ74" s="19" t="n">
        <f aca="false">$B74+DZ$3*100*$A74</f>
        <v>115.25</v>
      </c>
      <c r="EA74" s="19" t="n">
        <f aca="false">$B74+EA$3*100*$A74</f>
        <v>116.1375</v>
      </c>
      <c r="EB74" s="19" t="n">
        <f aca="false">$B74+EB$3*100*$A74</f>
        <v>117.025</v>
      </c>
      <c r="EC74" s="19" t="n">
        <f aca="false">$B74+EC$3*100*$A74</f>
        <v>117.9125</v>
      </c>
      <c r="ED74" s="19" t="n">
        <f aca="false">$B74+ED$3*100*$A74</f>
        <v>118.8</v>
      </c>
      <c r="EE74" s="19" t="n">
        <f aca="false">$B74+EE$3*100*$A74</f>
        <v>119.6875</v>
      </c>
      <c r="EF74" s="19" t="n">
        <f aca="false">$B74+EF$3*100*$A74</f>
        <v>120.575</v>
      </c>
      <c r="EG74" s="19" t="n">
        <f aca="false">$B74+EG$3*100*$A74</f>
        <v>121.4625</v>
      </c>
      <c r="EH74" s="19" t="n">
        <f aca="false">$B74+EH$3*100*$A74</f>
        <v>122.35</v>
      </c>
      <c r="EI74" s="19" t="n">
        <f aca="false">$B74+EI$3*100*$A74</f>
        <v>123.2375</v>
      </c>
      <c r="EJ74" s="19" t="n">
        <f aca="false">$B74+EJ$3*100*$A74</f>
        <v>124.125</v>
      </c>
      <c r="EK74" s="19" t="n">
        <f aca="false">$B74+EK$3*100*$A74</f>
        <v>125.0125</v>
      </c>
      <c r="EL74" s="19" t="n">
        <f aca="false">$B74+EL$3*100*$A74</f>
        <v>125.9</v>
      </c>
      <c r="EM74" s="19" t="n">
        <f aca="false">$B74+EM$3*100*$A74</f>
        <v>126.7875</v>
      </c>
      <c r="EN74" s="19" t="n">
        <f aca="false">$B74+EN$3*100*$A74</f>
        <v>127.675</v>
      </c>
      <c r="EO74" s="19" t="n">
        <f aca="false">$B74+EO$3*100*$A74</f>
        <v>128.5625</v>
      </c>
      <c r="EP74" s="19" t="n">
        <f aca="false">$B74+EP$3*100*$A74</f>
        <v>129.45</v>
      </c>
      <c r="EQ74" s="19" t="n">
        <f aca="false">$B74+EQ$3*100*$A74</f>
        <v>130.3375</v>
      </c>
      <c r="ER74" s="19" t="n">
        <f aca="false">$B74+ER$3*100*$A74</f>
        <v>131.225</v>
      </c>
      <c r="ES74" s="19" t="n">
        <f aca="false">$B74+ES$3*100*$A74</f>
        <v>132.1125</v>
      </c>
      <c r="ET74" s="19" t="n">
        <f aca="false">$B74+ET$3*100*$A74</f>
        <v>133</v>
      </c>
      <c r="EU74" s="19" t="n">
        <f aca="false">$B74+EU$3*100*$A74</f>
        <v>133.8875</v>
      </c>
      <c r="EV74" s="19" t="n">
        <f aca="false">$B74+EV$3*100*$A74</f>
        <v>134.775</v>
      </c>
      <c r="EW74" s="19" t="n">
        <f aca="false">$B74+EW$3*100*$A74</f>
        <v>135.6625</v>
      </c>
      <c r="EX74" s="19" t="n">
        <f aca="false">$B74+EX$3*100*$A74</f>
        <v>136.55</v>
      </c>
      <c r="EY74" s="19" t="n">
        <f aca="false">$B74+EY$3*100*$A74</f>
        <v>137.4375</v>
      </c>
      <c r="EZ74" s="19" t="n">
        <f aca="false">$B74+EZ$3*100*$A74</f>
        <v>138.325</v>
      </c>
      <c r="FA74" s="19" t="n">
        <f aca="false">$B74+FA$3*100*$A74</f>
        <v>139.2125</v>
      </c>
      <c r="FB74" s="19" t="n">
        <f aca="false">$B74+FB$3*100*$A74</f>
        <v>140.1</v>
      </c>
      <c r="FC74" s="19" t="n">
        <f aca="false">$B74+FC$3*100*$A74</f>
        <v>140.9875</v>
      </c>
      <c r="FD74" s="19" t="n">
        <f aca="false">$B74+FD$3*100*$A74</f>
        <v>141.875</v>
      </c>
      <c r="FE74" s="19" t="n">
        <f aca="false">$B74+FE$3*100*$A74</f>
        <v>142.7625</v>
      </c>
      <c r="FF74" s="19" t="n">
        <f aca="false">$B74+FF$3*100*$A74</f>
        <v>143.65</v>
      </c>
      <c r="FG74" s="19" t="n">
        <f aca="false">$B74+FG$3*100*$A74</f>
        <v>144.5375</v>
      </c>
      <c r="FH74" s="19" t="n">
        <f aca="false">$B74+FH$3*100*$A74</f>
        <v>145.425</v>
      </c>
      <c r="FI74" s="19" t="n">
        <f aca="false">$B74+FI$3*100*$A74</f>
        <v>146.3125</v>
      </c>
      <c r="FJ74" s="19" t="n">
        <f aca="false">$B74+FJ$3*100*$A74</f>
        <v>147.2</v>
      </c>
      <c r="FK74" s="19" t="n">
        <f aca="false">$B74+FK$3*100*$A74</f>
        <v>148.0875</v>
      </c>
      <c r="FL74" s="19" t="n">
        <f aca="false">$B74+FL$3*100*$A74</f>
        <v>148.975</v>
      </c>
      <c r="FM74" s="19" t="n">
        <f aca="false">$B74+FM$3*100*$A74</f>
        <v>149.8625</v>
      </c>
      <c r="FN74" s="19" t="n">
        <f aca="false">$B74+FN$3*100*$A74</f>
        <v>150.75</v>
      </c>
      <c r="FO74" s="19" t="n">
        <f aca="false">$B74+FO$3*100*$A74</f>
        <v>151.6375</v>
      </c>
      <c r="FP74" s="19" t="n">
        <f aca="false">$B74+FP$3*100*$A74</f>
        <v>152.525</v>
      </c>
      <c r="FQ74" s="19" t="n">
        <f aca="false">$B74+FQ$3*100*$A74</f>
        <v>153.4125</v>
      </c>
      <c r="FR74" s="19" t="n">
        <f aca="false">$B74+FR$3*100*$A74</f>
        <v>154.3</v>
      </c>
      <c r="FS74" s="19" t="n">
        <f aca="false">$B74+FS$3*100*$A74</f>
        <v>155.1875</v>
      </c>
      <c r="FT74" s="19" t="n">
        <f aca="false">$B74+FT$3*100*$A74</f>
        <v>156.075</v>
      </c>
      <c r="FU74" s="19" t="n">
        <f aca="false">$B74+FU$3*100*$A74</f>
        <v>156.9625</v>
      </c>
      <c r="FV74" s="19" t="n">
        <f aca="false">$B74+FV$3*100*$A74</f>
        <v>157.85</v>
      </c>
      <c r="FW74" s="19" t="n">
        <f aca="false">$B74+FW$3*100*$A74</f>
        <v>158.7375</v>
      </c>
      <c r="FX74" s="19" t="n">
        <f aca="false">$B74+FX$3*100*$A74</f>
        <v>159.625</v>
      </c>
      <c r="FY74" s="19" t="n">
        <f aca="false">$B74+FY$3*100*$A74</f>
        <v>160.5125</v>
      </c>
      <c r="FZ74" s="19" t="n">
        <f aca="false">$B74+FZ$3*100*$A74</f>
        <v>161.4</v>
      </c>
      <c r="GA74" s="19" t="n">
        <f aca="false">$B74+GA$3*100*$A74</f>
        <v>162.2875</v>
      </c>
      <c r="GB74" s="19" t="n">
        <f aca="false">$B74+GB$3*100*$A74</f>
        <v>163.175</v>
      </c>
      <c r="GC74" s="19" t="n">
        <f aca="false">$B74+GC$3*100*$A74</f>
        <v>164.0625</v>
      </c>
      <c r="GD74" s="19" t="n">
        <f aca="false">$B74+GD$3*100*$A74</f>
        <v>164.95</v>
      </c>
      <c r="GE74" s="19" t="n">
        <f aca="false">$B74+GE$3*100*$A74</f>
        <v>165.8375</v>
      </c>
      <c r="GF74" s="19" t="n">
        <f aca="false">$B74+GF$3*100*$A74</f>
        <v>166.725</v>
      </c>
      <c r="GG74" s="19" t="n">
        <f aca="false">$B74+GG$3*100*$A74</f>
        <v>167.6125</v>
      </c>
      <c r="GH74" s="19" t="n">
        <f aca="false">$B74+GH$3*100*$A74</f>
        <v>168.5</v>
      </c>
      <c r="GI74" s="19" t="n">
        <f aca="false">$B74+GI$3*100*$A74</f>
        <v>169.3875</v>
      </c>
      <c r="GJ74" s="19" t="n">
        <f aca="false">$B74+GJ$3*100*$A74</f>
        <v>170.275</v>
      </c>
      <c r="GK74" s="19" t="n">
        <f aca="false">$B74+GK$3*100*$A74</f>
        <v>171.1625</v>
      </c>
      <c r="GL74" s="19" t="n">
        <f aca="false">$B74+GL$3*100*$A74</f>
        <v>172.05</v>
      </c>
      <c r="GM74" s="19" t="n">
        <f aca="false">$B74+GM$3*100*$A74</f>
        <v>172.9375</v>
      </c>
      <c r="GN74" s="19" t="n">
        <f aca="false">$B74+GN$3*100*$A74</f>
        <v>173.825</v>
      </c>
      <c r="GO74" s="19" t="n">
        <f aca="false">$B74+GO$3*100*$A74</f>
        <v>174.7125</v>
      </c>
      <c r="GP74" s="19" t="n">
        <f aca="false">$B74+GP$3*100*$A74</f>
        <v>175.6</v>
      </c>
      <c r="GQ74" s="19" t="n">
        <f aca="false">$B74+GQ$3*100*$A74</f>
        <v>176.4875</v>
      </c>
      <c r="GR74" s="19" t="n">
        <f aca="false">$B74+GR$3*100*$A74</f>
        <v>177.375</v>
      </c>
      <c r="GS74" s="19" t="n">
        <f aca="false">$B74+GS$3*100*$A74</f>
        <v>178.2625</v>
      </c>
      <c r="GT74" s="19" t="n">
        <f aca="false">$B74+GT$3*100*$A74</f>
        <v>179.15</v>
      </c>
    </row>
    <row r="75" customFormat="false" ht="15" hidden="false" customHeight="false" outlineLevel="0" collapsed="false">
      <c r="A75" s="26" t="n">
        <f aca="false">Frontier!A73</f>
        <v>0.18</v>
      </c>
      <c r="B75" s="34" t="n">
        <f aca="false">Frontier!B73</f>
        <v>1.56678146580612</v>
      </c>
      <c r="C75" s="19" t="n">
        <f aca="false">$B75+C$3*100*$A75</f>
        <v>2.46678146580612</v>
      </c>
      <c r="D75" s="19" t="n">
        <f aca="false">$B75+D$3*100*$A75</f>
        <v>3.36678146580612</v>
      </c>
      <c r="E75" s="19" t="n">
        <f aca="false">$B75+E$3*100*$A75</f>
        <v>4.26678146580612</v>
      </c>
      <c r="F75" s="19" t="n">
        <f aca="false">$B75+F$3*100*$A75</f>
        <v>5.16678146580612</v>
      </c>
      <c r="G75" s="19" t="n">
        <f aca="false">$B75+G$3*100*$A75</f>
        <v>6.06678146580612</v>
      </c>
      <c r="H75" s="19" t="n">
        <f aca="false">$B75+H$3*100*$A75</f>
        <v>6.96678146580612</v>
      </c>
      <c r="I75" s="19" t="n">
        <f aca="false">$B75+I$3*100*$A75</f>
        <v>7.86678146580612</v>
      </c>
      <c r="J75" s="19" t="n">
        <f aca="false">$B75+J$3*100*$A75</f>
        <v>8.76678146580612</v>
      </c>
      <c r="K75" s="19" t="n">
        <f aca="false">$B75+K$3*100*$A75</f>
        <v>9.66678146580612</v>
      </c>
      <c r="L75" s="19" t="n">
        <f aca="false">$B75+L$3*100*$A75</f>
        <v>10.5667814658061</v>
      </c>
      <c r="M75" s="19" t="n">
        <f aca="false">$B75+M$3*100*$A75</f>
        <v>11.4667814658061</v>
      </c>
      <c r="N75" s="19" t="n">
        <f aca="false">$B75+N$3*100*$A75</f>
        <v>12.3667814658061</v>
      </c>
      <c r="O75" s="19" t="n">
        <f aca="false">$B75+O$3*100*$A75</f>
        <v>13.2667814658061</v>
      </c>
      <c r="P75" s="19" t="n">
        <f aca="false">$B75+P$3*100*$A75</f>
        <v>14.1667814658061</v>
      </c>
      <c r="Q75" s="19" t="n">
        <f aca="false">$B75+Q$3*100*$A75</f>
        <v>15.0667814658061</v>
      </c>
      <c r="R75" s="19" t="n">
        <f aca="false">$B75+R$3*100*$A75</f>
        <v>15.9667814658061</v>
      </c>
      <c r="S75" s="19" t="n">
        <f aca="false">$B75+S$3*100*$A75</f>
        <v>16.8667814658061</v>
      </c>
      <c r="T75" s="19" t="n">
        <f aca="false">$B75+T$3*100*$A75</f>
        <v>17.7667814658061</v>
      </c>
      <c r="U75" s="19" t="n">
        <f aca="false">$B75+U$3*100*$A75</f>
        <v>18.6667814658061</v>
      </c>
      <c r="V75" s="19" t="n">
        <f aca="false">$B75+V$3*100*$A75</f>
        <v>19.5667814658061</v>
      </c>
      <c r="W75" s="19" t="n">
        <f aca="false">$B75+W$3*100*$A75</f>
        <v>20.4667814658061</v>
      </c>
      <c r="X75" s="19" t="n">
        <f aca="false">$B75+X$3*100*$A75</f>
        <v>21.3667814658061</v>
      </c>
      <c r="Y75" s="19" t="n">
        <f aca="false">$B75+Y$3*100*$A75</f>
        <v>22.2667814658061</v>
      </c>
      <c r="Z75" s="19" t="n">
        <f aca="false">$B75+Z$3*100*$A75</f>
        <v>23.1667814658061</v>
      </c>
      <c r="AA75" s="19" t="n">
        <f aca="false">$B75+AA$3*100*$A75</f>
        <v>24.0667814658061</v>
      </c>
      <c r="AB75" s="19" t="n">
        <f aca="false">$B75+AB$3*100*$A75</f>
        <v>24.9667814658061</v>
      </c>
      <c r="AC75" s="19" t="n">
        <f aca="false">$B75+AC$3*100*$A75</f>
        <v>25.8667814658061</v>
      </c>
      <c r="AD75" s="19" t="n">
        <f aca="false">$B75+AD$3*100*$A75</f>
        <v>26.7667814658061</v>
      </c>
      <c r="AE75" s="19" t="n">
        <f aca="false">$B75+AE$3*100*$A75</f>
        <v>27.6667814658061</v>
      </c>
      <c r="AF75" s="19" t="n">
        <f aca="false">$B75+AF$3*100*$A75</f>
        <v>28.5667814658061</v>
      </c>
      <c r="AG75" s="19" t="n">
        <f aca="false">$B75+AG$3*100*$A75</f>
        <v>29.4667814658061</v>
      </c>
      <c r="AH75" s="19" t="n">
        <f aca="false">$B75+AH$3*100*$A75</f>
        <v>30.3667814658061</v>
      </c>
      <c r="AI75" s="19" t="n">
        <f aca="false">$B75+AI$3*100*$A75</f>
        <v>31.2667814658061</v>
      </c>
      <c r="AJ75" s="19" t="n">
        <f aca="false">$B75+AJ$3*100*$A75</f>
        <v>32.1667814658061</v>
      </c>
      <c r="AK75" s="19" t="n">
        <f aca="false">$B75+AK$3*100*$A75</f>
        <v>33.0667814658061</v>
      </c>
      <c r="AL75" s="19" t="n">
        <f aca="false">$B75+AL$3*100*$A75</f>
        <v>33.9667814658061</v>
      </c>
      <c r="AM75" s="19" t="n">
        <f aca="false">$B75+AM$3*100*$A75</f>
        <v>34.8667814658061</v>
      </c>
      <c r="AN75" s="19" t="n">
        <f aca="false">$B75+AN$3*100*$A75</f>
        <v>35.7667814658061</v>
      </c>
      <c r="AO75" s="19" t="n">
        <f aca="false">$B75+AO$3*100*$A75</f>
        <v>36.6667814658061</v>
      </c>
      <c r="AP75" s="19" t="n">
        <f aca="false">$B75+AP$3*100*$A75</f>
        <v>37.5667814658061</v>
      </c>
      <c r="AQ75" s="19" t="n">
        <f aca="false">$B75+AQ$3*100*$A75</f>
        <v>38.4667814658061</v>
      </c>
      <c r="AR75" s="19" t="n">
        <f aca="false">$B75+AR$3*100*$A75</f>
        <v>39.3667814658061</v>
      </c>
      <c r="AS75" s="19" t="n">
        <f aca="false">$B75+AS$3*100*$A75</f>
        <v>40.2667814658061</v>
      </c>
      <c r="AT75" s="19" t="n">
        <f aca="false">$B75+AT$3*100*$A75</f>
        <v>41.1667814658061</v>
      </c>
      <c r="AU75" s="19" t="n">
        <f aca="false">$B75+AU$3*100*$A75</f>
        <v>42.0667814658061</v>
      </c>
      <c r="AV75" s="19" t="n">
        <f aca="false">$B75+AV$3*100*$A75</f>
        <v>42.9667814658061</v>
      </c>
      <c r="AW75" s="19" t="n">
        <f aca="false">$B75+AW$3*100*$A75</f>
        <v>43.8667814658061</v>
      </c>
      <c r="AX75" s="19" t="n">
        <f aca="false">$B75+AX$3*100*$A75</f>
        <v>44.7667814658061</v>
      </c>
      <c r="AY75" s="19" t="n">
        <f aca="false">$B75+AY$3*100*$A75</f>
        <v>45.6667814658061</v>
      </c>
      <c r="AZ75" s="19" t="n">
        <f aca="false">$B75+AZ$3*100*$A75</f>
        <v>46.5667814658061</v>
      </c>
      <c r="BA75" s="19" t="n">
        <f aca="false">$B75+BA$3*100*$A75</f>
        <v>47.4667814658061</v>
      </c>
      <c r="BB75" s="19" t="n">
        <f aca="false">$B75+BB$3*100*$A75</f>
        <v>48.3667814658061</v>
      </c>
      <c r="BC75" s="19" t="n">
        <f aca="false">$B75+BC$3*100*$A75</f>
        <v>49.2667814658061</v>
      </c>
      <c r="BD75" s="19" t="n">
        <f aca="false">$B75+BD$3*100*$A75</f>
        <v>50.1667814658061</v>
      </c>
      <c r="BE75" s="19" t="n">
        <f aca="false">$B75+BE$3*100*$A75</f>
        <v>51.0667814658061</v>
      </c>
      <c r="BF75" s="19" t="n">
        <f aca="false">$B75+BF$3*100*$A75</f>
        <v>51.9667814658061</v>
      </c>
      <c r="BG75" s="19" t="n">
        <f aca="false">$B75+BG$3*100*$A75</f>
        <v>52.8667814658061</v>
      </c>
      <c r="BH75" s="19" t="n">
        <f aca="false">$B75+BH$3*100*$A75</f>
        <v>53.7667814658061</v>
      </c>
      <c r="BI75" s="19" t="n">
        <f aca="false">$B75+BI$3*100*$A75</f>
        <v>54.6667814658061</v>
      </c>
      <c r="BJ75" s="19" t="n">
        <f aca="false">$B75+BJ$3*100*$A75</f>
        <v>55.5667814658061</v>
      </c>
      <c r="BK75" s="19" t="n">
        <f aca="false">$B75+BK$3*100*$A75</f>
        <v>56.4667814658061</v>
      </c>
      <c r="BL75" s="19" t="n">
        <f aca="false">$B75+BL$3*100*$A75</f>
        <v>57.3667814658061</v>
      </c>
      <c r="BM75" s="19" t="n">
        <f aca="false">$B75+BM$3*100*$A75</f>
        <v>58.2667814658061</v>
      </c>
      <c r="BN75" s="19" t="n">
        <f aca="false">$B75+BN$3*100*$A75</f>
        <v>59.1667814658061</v>
      </c>
      <c r="BO75" s="19" t="n">
        <f aca="false">$B75+BO$3*100*$A75</f>
        <v>60.0667814658061</v>
      </c>
      <c r="BP75" s="19" t="n">
        <f aca="false">$B75+BP$3*100*$A75</f>
        <v>60.9667814658061</v>
      </c>
      <c r="BQ75" s="19" t="n">
        <f aca="false">$B75+BQ$3*100*$A75</f>
        <v>61.8667814658061</v>
      </c>
      <c r="BR75" s="19" t="n">
        <f aca="false">$B75+BR$3*100*$A75</f>
        <v>62.7667814658061</v>
      </c>
      <c r="BS75" s="19" t="n">
        <f aca="false">$B75+BS$3*100*$A75</f>
        <v>63.6667814658061</v>
      </c>
      <c r="BT75" s="19" t="n">
        <f aca="false">$B75+BT$3*100*$A75</f>
        <v>64.5667814658061</v>
      </c>
      <c r="BU75" s="19" t="n">
        <f aca="false">$B75+BU$3*100*$A75</f>
        <v>65.4667814658061</v>
      </c>
      <c r="BV75" s="19" t="n">
        <f aca="false">$B75+BV$3*100*$A75</f>
        <v>66.3667814658061</v>
      </c>
      <c r="BW75" s="19" t="n">
        <f aca="false">$B75+BW$3*100*$A75</f>
        <v>67.2667814658061</v>
      </c>
      <c r="BX75" s="19" t="n">
        <f aca="false">$B75+BX$3*100*$A75</f>
        <v>68.1667814658061</v>
      </c>
      <c r="BY75" s="19" t="n">
        <f aca="false">$B75+BY$3*100*$A75</f>
        <v>69.0667814658061</v>
      </c>
      <c r="BZ75" s="19" t="n">
        <f aca="false">$B75+BZ$3*100*$A75</f>
        <v>69.9667814658061</v>
      </c>
      <c r="CA75" s="19" t="n">
        <f aca="false">$B75+CA$3*100*$A75</f>
        <v>70.8667814658061</v>
      </c>
      <c r="CB75" s="19" t="n">
        <f aca="false">$B75+CB$3*100*$A75</f>
        <v>71.7667814658061</v>
      </c>
      <c r="CC75" s="19" t="n">
        <f aca="false">$B75+CC$3*100*$A75</f>
        <v>72.6667814658061</v>
      </c>
      <c r="CD75" s="19" t="n">
        <f aca="false">$B75+CD$3*100*$A75</f>
        <v>73.5667814658061</v>
      </c>
      <c r="CE75" s="19" t="n">
        <f aca="false">$B75+CE$3*100*$A75</f>
        <v>74.4667814658061</v>
      </c>
      <c r="CF75" s="19" t="n">
        <f aca="false">$B75+CF$3*100*$A75</f>
        <v>75.3667814658061</v>
      </c>
      <c r="CG75" s="19" t="n">
        <f aca="false">$B75+CG$3*100*$A75</f>
        <v>76.2667814658061</v>
      </c>
      <c r="CH75" s="19" t="n">
        <f aca="false">$B75+CH$3*100*$A75</f>
        <v>77.1667814658061</v>
      </c>
      <c r="CI75" s="19" t="n">
        <f aca="false">$B75+CI$3*100*$A75</f>
        <v>78.0667814658061</v>
      </c>
      <c r="CJ75" s="19" t="n">
        <f aca="false">$B75+CJ$3*100*$A75</f>
        <v>78.9667814658061</v>
      </c>
      <c r="CK75" s="19" t="n">
        <f aca="false">$B75+CK$3*100*$A75</f>
        <v>79.8667814658061</v>
      </c>
      <c r="CL75" s="19" t="n">
        <f aca="false">$B75+CL$3*100*$A75</f>
        <v>80.7667814658061</v>
      </c>
      <c r="CM75" s="19" t="n">
        <f aca="false">$B75+CM$3*100*$A75</f>
        <v>81.6667814658061</v>
      </c>
      <c r="CN75" s="19" t="n">
        <f aca="false">$B75+CN$3*100*$A75</f>
        <v>82.5667814658061</v>
      </c>
      <c r="CO75" s="19" t="n">
        <f aca="false">$B75+CO$3*100*$A75</f>
        <v>83.4667814658061</v>
      </c>
      <c r="CP75" s="19" t="n">
        <f aca="false">$B75+CP$3*100*$A75</f>
        <v>84.3667814658061</v>
      </c>
      <c r="CQ75" s="19" t="n">
        <f aca="false">$B75+CQ$3*100*$A75</f>
        <v>85.2667814658061</v>
      </c>
      <c r="CR75" s="19" t="n">
        <f aca="false">$B75+CR$3*100*$A75</f>
        <v>86.1667814658061</v>
      </c>
      <c r="CS75" s="19" t="n">
        <f aca="false">$B75+CS$3*100*$A75</f>
        <v>87.0667814658061</v>
      </c>
      <c r="CT75" s="19" t="n">
        <f aca="false">$B75+CT$3*100*$A75</f>
        <v>87.9667814658061</v>
      </c>
      <c r="CU75" s="19" t="n">
        <f aca="false">$B75+CU$3*100*$A75</f>
        <v>88.8667814658061</v>
      </c>
      <c r="CV75" s="19" t="n">
        <f aca="false">$B75+CV$3*100*$A75</f>
        <v>89.7667814658061</v>
      </c>
      <c r="CW75" s="19" t="n">
        <f aca="false">$B75+CW$3*100*$A75</f>
        <v>90.6667814658061</v>
      </c>
      <c r="CX75" s="19" t="n">
        <f aca="false">$B75+CX$3*100*$A75</f>
        <v>91.5667814658061</v>
      </c>
      <c r="CY75" s="19" t="n">
        <f aca="false">$B75+CY$3*100*$A75</f>
        <v>92.4667814658061</v>
      </c>
      <c r="CZ75" s="19" t="n">
        <f aca="false">$B75+CZ$3*100*$A75</f>
        <v>93.3667814658061</v>
      </c>
      <c r="DA75" s="19" t="n">
        <f aca="false">$B75+DA$3*100*$A75</f>
        <v>94.2667814658061</v>
      </c>
      <c r="DB75" s="19" t="n">
        <f aca="false">$B75+DB$3*100*$A75</f>
        <v>95.1667814658061</v>
      </c>
      <c r="DC75" s="19" t="n">
        <f aca="false">$B75+DC$3*100*$A75</f>
        <v>96.0667814658061</v>
      </c>
      <c r="DD75" s="19" t="n">
        <f aca="false">$B75+DD$3*100*$A75</f>
        <v>96.9667814658061</v>
      </c>
      <c r="DE75" s="19" t="n">
        <f aca="false">$B75+DE$3*100*$A75</f>
        <v>97.8667814658061</v>
      </c>
      <c r="DF75" s="19" t="n">
        <f aca="false">$B75+DF$3*100*$A75</f>
        <v>98.7667814658061</v>
      </c>
      <c r="DG75" s="19" t="n">
        <f aca="false">$B75+DG$3*100*$A75</f>
        <v>99.6667814658061</v>
      </c>
      <c r="DH75" s="19" t="n">
        <f aca="false">$B75+DH$3*100*$A75</f>
        <v>100.566781465806</v>
      </c>
      <c r="DI75" s="19" t="n">
        <f aca="false">$B75+DI$3*100*$A75</f>
        <v>101.466781465806</v>
      </c>
      <c r="DJ75" s="19" t="n">
        <f aca="false">$B75+DJ$3*100*$A75</f>
        <v>102.366781465806</v>
      </c>
      <c r="DK75" s="19" t="n">
        <f aca="false">$B75+DK$3*100*$A75</f>
        <v>103.266781465806</v>
      </c>
      <c r="DL75" s="19" t="n">
        <f aca="false">$B75+DL$3*100*$A75</f>
        <v>104.166781465806</v>
      </c>
      <c r="DM75" s="19" t="n">
        <f aca="false">$B75+DM$3*100*$A75</f>
        <v>105.066781465806</v>
      </c>
      <c r="DN75" s="19" t="n">
        <f aca="false">$B75+DN$3*100*$A75</f>
        <v>105.966781465806</v>
      </c>
      <c r="DO75" s="19" t="n">
        <f aca="false">$B75+DO$3*100*$A75</f>
        <v>106.866781465806</v>
      </c>
      <c r="DP75" s="19" t="n">
        <f aca="false">$B75+DP$3*100*$A75</f>
        <v>107.766781465806</v>
      </c>
      <c r="DQ75" s="19" t="n">
        <f aca="false">$B75+DQ$3*100*$A75</f>
        <v>108.666781465806</v>
      </c>
      <c r="DR75" s="19" t="n">
        <f aca="false">$B75+DR$3*100*$A75</f>
        <v>109.566781465806</v>
      </c>
      <c r="DS75" s="19" t="n">
        <f aca="false">$B75+DS$3*100*$A75</f>
        <v>110.466781465806</v>
      </c>
      <c r="DT75" s="19" t="n">
        <f aca="false">$B75+DT$3*100*$A75</f>
        <v>111.366781465806</v>
      </c>
      <c r="DU75" s="19" t="n">
        <f aca="false">$B75+DU$3*100*$A75</f>
        <v>112.266781465806</v>
      </c>
      <c r="DV75" s="19" t="n">
        <f aca="false">$B75+DV$3*100*$A75</f>
        <v>113.166781465806</v>
      </c>
      <c r="DW75" s="19" t="n">
        <f aca="false">$B75+DW$3*100*$A75</f>
        <v>114.066781465806</v>
      </c>
      <c r="DX75" s="19" t="n">
        <f aca="false">$B75+DX$3*100*$A75</f>
        <v>114.966781465806</v>
      </c>
      <c r="DY75" s="19" t="n">
        <f aca="false">$B75+DY$3*100*$A75</f>
        <v>115.866781465806</v>
      </c>
      <c r="DZ75" s="19" t="n">
        <f aca="false">$B75+DZ$3*100*$A75</f>
        <v>116.766781465806</v>
      </c>
      <c r="EA75" s="19" t="n">
        <f aca="false">$B75+EA$3*100*$A75</f>
        <v>117.666781465806</v>
      </c>
      <c r="EB75" s="19" t="n">
        <f aca="false">$B75+EB$3*100*$A75</f>
        <v>118.566781465806</v>
      </c>
      <c r="EC75" s="19" t="n">
        <f aca="false">$B75+EC$3*100*$A75</f>
        <v>119.466781465806</v>
      </c>
      <c r="ED75" s="19" t="n">
        <f aca="false">$B75+ED$3*100*$A75</f>
        <v>120.366781465806</v>
      </c>
      <c r="EE75" s="19" t="n">
        <f aca="false">$B75+EE$3*100*$A75</f>
        <v>121.266781465806</v>
      </c>
      <c r="EF75" s="19" t="n">
        <f aca="false">$B75+EF$3*100*$A75</f>
        <v>122.166781465806</v>
      </c>
      <c r="EG75" s="19" t="n">
        <f aca="false">$B75+EG$3*100*$A75</f>
        <v>123.066781465806</v>
      </c>
      <c r="EH75" s="19" t="n">
        <f aca="false">$B75+EH$3*100*$A75</f>
        <v>123.966781465806</v>
      </c>
      <c r="EI75" s="19" t="n">
        <f aca="false">$B75+EI$3*100*$A75</f>
        <v>124.866781465806</v>
      </c>
      <c r="EJ75" s="19" t="n">
        <f aca="false">$B75+EJ$3*100*$A75</f>
        <v>125.766781465806</v>
      </c>
      <c r="EK75" s="19" t="n">
        <f aca="false">$B75+EK$3*100*$A75</f>
        <v>126.666781465806</v>
      </c>
      <c r="EL75" s="19" t="n">
        <f aca="false">$B75+EL$3*100*$A75</f>
        <v>127.566781465806</v>
      </c>
      <c r="EM75" s="19" t="n">
        <f aca="false">$B75+EM$3*100*$A75</f>
        <v>128.466781465806</v>
      </c>
      <c r="EN75" s="19" t="n">
        <f aca="false">$B75+EN$3*100*$A75</f>
        <v>129.366781465806</v>
      </c>
      <c r="EO75" s="19" t="n">
        <f aca="false">$B75+EO$3*100*$A75</f>
        <v>130.266781465806</v>
      </c>
      <c r="EP75" s="19" t="n">
        <f aca="false">$B75+EP$3*100*$A75</f>
        <v>131.166781465806</v>
      </c>
      <c r="EQ75" s="19" t="n">
        <f aca="false">$B75+EQ$3*100*$A75</f>
        <v>132.066781465806</v>
      </c>
      <c r="ER75" s="19" t="n">
        <f aca="false">$B75+ER$3*100*$A75</f>
        <v>132.966781465806</v>
      </c>
      <c r="ES75" s="19" t="n">
        <f aca="false">$B75+ES$3*100*$A75</f>
        <v>133.866781465806</v>
      </c>
      <c r="ET75" s="19" t="n">
        <f aca="false">$B75+ET$3*100*$A75</f>
        <v>134.766781465806</v>
      </c>
      <c r="EU75" s="19" t="n">
        <f aca="false">$B75+EU$3*100*$A75</f>
        <v>135.666781465806</v>
      </c>
      <c r="EV75" s="19" t="n">
        <f aca="false">$B75+EV$3*100*$A75</f>
        <v>136.566781465806</v>
      </c>
      <c r="EW75" s="19" t="n">
        <f aca="false">$B75+EW$3*100*$A75</f>
        <v>137.466781465806</v>
      </c>
      <c r="EX75" s="19" t="n">
        <f aca="false">$B75+EX$3*100*$A75</f>
        <v>138.366781465806</v>
      </c>
      <c r="EY75" s="19" t="n">
        <f aca="false">$B75+EY$3*100*$A75</f>
        <v>139.266781465806</v>
      </c>
      <c r="EZ75" s="19" t="n">
        <f aca="false">$B75+EZ$3*100*$A75</f>
        <v>140.166781465806</v>
      </c>
      <c r="FA75" s="19" t="n">
        <f aca="false">$B75+FA$3*100*$A75</f>
        <v>141.066781465806</v>
      </c>
      <c r="FB75" s="19" t="n">
        <f aca="false">$B75+FB$3*100*$A75</f>
        <v>141.966781465806</v>
      </c>
      <c r="FC75" s="19" t="n">
        <f aca="false">$B75+FC$3*100*$A75</f>
        <v>142.866781465806</v>
      </c>
      <c r="FD75" s="19" t="n">
        <f aca="false">$B75+FD$3*100*$A75</f>
        <v>143.766781465806</v>
      </c>
      <c r="FE75" s="19" t="n">
        <f aca="false">$B75+FE$3*100*$A75</f>
        <v>144.666781465806</v>
      </c>
      <c r="FF75" s="19" t="n">
        <f aca="false">$B75+FF$3*100*$A75</f>
        <v>145.566781465806</v>
      </c>
      <c r="FG75" s="19" t="n">
        <f aca="false">$B75+FG$3*100*$A75</f>
        <v>146.466781465806</v>
      </c>
      <c r="FH75" s="19" t="n">
        <f aca="false">$B75+FH$3*100*$A75</f>
        <v>147.366781465806</v>
      </c>
      <c r="FI75" s="19" t="n">
        <f aca="false">$B75+FI$3*100*$A75</f>
        <v>148.266781465806</v>
      </c>
      <c r="FJ75" s="19" t="n">
        <f aca="false">$B75+FJ$3*100*$A75</f>
        <v>149.166781465806</v>
      </c>
      <c r="FK75" s="19" t="n">
        <f aca="false">$B75+FK$3*100*$A75</f>
        <v>150.066781465806</v>
      </c>
      <c r="FL75" s="19" t="n">
        <f aca="false">$B75+FL$3*100*$A75</f>
        <v>150.966781465806</v>
      </c>
      <c r="FM75" s="19" t="n">
        <f aca="false">$B75+FM$3*100*$A75</f>
        <v>151.866781465806</v>
      </c>
      <c r="FN75" s="19" t="n">
        <f aca="false">$B75+FN$3*100*$A75</f>
        <v>152.766781465806</v>
      </c>
      <c r="FO75" s="19" t="n">
        <f aca="false">$B75+FO$3*100*$A75</f>
        <v>153.666781465806</v>
      </c>
      <c r="FP75" s="19" t="n">
        <f aca="false">$B75+FP$3*100*$A75</f>
        <v>154.566781465806</v>
      </c>
      <c r="FQ75" s="19" t="n">
        <f aca="false">$B75+FQ$3*100*$A75</f>
        <v>155.466781465806</v>
      </c>
      <c r="FR75" s="19" t="n">
        <f aca="false">$B75+FR$3*100*$A75</f>
        <v>156.366781465806</v>
      </c>
      <c r="FS75" s="19" t="n">
        <f aca="false">$B75+FS$3*100*$A75</f>
        <v>157.266781465806</v>
      </c>
      <c r="FT75" s="19" t="n">
        <f aca="false">$B75+FT$3*100*$A75</f>
        <v>158.166781465806</v>
      </c>
      <c r="FU75" s="19" t="n">
        <f aca="false">$B75+FU$3*100*$A75</f>
        <v>159.066781465806</v>
      </c>
      <c r="FV75" s="19" t="n">
        <f aca="false">$B75+FV$3*100*$A75</f>
        <v>159.966781465806</v>
      </c>
      <c r="FW75" s="19" t="n">
        <f aca="false">$B75+FW$3*100*$A75</f>
        <v>160.866781465806</v>
      </c>
      <c r="FX75" s="19" t="n">
        <f aca="false">$B75+FX$3*100*$A75</f>
        <v>161.766781465806</v>
      </c>
      <c r="FY75" s="19" t="n">
        <f aca="false">$B75+FY$3*100*$A75</f>
        <v>162.666781465806</v>
      </c>
      <c r="FZ75" s="19" t="n">
        <f aca="false">$B75+FZ$3*100*$A75</f>
        <v>163.566781465806</v>
      </c>
      <c r="GA75" s="19" t="n">
        <f aca="false">$B75+GA$3*100*$A75</f>
        <v>164.466781465806</v>
      </c>
      <c r="GB75" s="19" t="n">
        <f aca="false">$B75+GB$3*100*$A75</f>
        <v>165.366781465806</v>
      </c>
      <c r="GC75" s="19" t="n">
        <f aca="false">$B75+GC$3*100*$A75</f>
        <v>166.266781465806</v>
      </c>
      <c r="GD75" s="19" t="n">
        <f aca="false">$B75+GD$3*100*$A75</f>
        <v>167.166781465806</v>
      </c>
      <c r="GE75" s="19" t="n">
        <f aca="false">$B75+GE$3*100*$A75</f>
        <v>168.066781465806</v>
      </c>
      <c r="GF75" s="19" t="n">
        <f aca="false">$B75+GF$3*100*$A75</f>
        <v>168.966781465806</v>
      </c>
      <c r="GG75" s="19" t="n">
        <f aca="false">$B75+GG$3*100*$A75</f>
        <v>169.866781465806</v>
      </c>
      <c r="GH75" s="19" t="n">
        <f aca="false">$B75+GH$3*100*$A75</f>
        <v>170.766781465806</v>
      </c>
      <c r="GI75" s="19" t="n">
        <f aca="false">$B75+GI$3*100*$A75</f>
        <v>171.666781465806</v>
      </c>
      <c r="GJ75" s="19" t="n">
        <f aca="false">$B75+GJ$3*100*$A75</f>
        <v>172.566781465806</v>
      </c>
      <c r="GK75" s="19" t="n">
        <f aca="false">$B75+GK$3*100*$A75</f>
        <v>173.466781465806</v>
      </c>
      <c r="GL75" s="19" t="n">
        <f aca="false">$B75+GL$3*100*$A75</f>
        <v>174.366781465806</v>
      </c>
      <c r="GM75" s="19" t="n">
        <f aca="false">$B75+GM$3*100*$A75</f>
        <v>175.266781465806</v>
      </c>
      <c r="GN75" s="19" t="n">
        <f aca="false">$B75+GN$3*100*$A75</f>
        <v>176.166781465806</v>
      </c>
      <c r="GO75" s="19" t="n">
        <f aca="false">$B75+GO$3*100*$A75</f>
        <v>177.066781465806</v>
      </c>
      <c r="GP75" s="19" t="n">
        <f aca="false">$B75+GP$3*100*$A75</f>
        <v>177.966781465806</v>
      </c>
      <c r="GQ75" s="19" t="n">
        <f aca="false">$B75+GQ$3*100*$A75</f>
        <v>178.866781465806</v>
      </c>
      <c r="GR75" s="19" t="n">
        <f aca="false">$B75+GR$3*100*$A75</f>
        <v>179.766781465806</v>
      </c>
      <c r="GS75" s="19" t="n">
        <f aca="false">$B75+GS$3*100*$A75</f>
        <v>180.666781465806</v>
      </c>
      <c r="GT75" s="19" t="n">
        <f aca="false">$B75+GT$3*100*$A75</f>
        <v>181.566781465806</v>
      </c>
    </row>
    <row r="76" customFormat="false" ht="15" hidden="false" customHeight="false" outlineLevel="0" collapsed="false">
      <c r="A76" s="26" t="n">
        <f aca="false">Frontier!A74</f>
        <v>0.1825</v>
      </c>
      <c r="B76" s="34" t="n">
        <f aca="false">Frontier!B74</f>
        <v>1.5</v>
      </c>
      <c r="C76" s="19" t="n">
        <f aca="false">$B76+C$3*100*$A76</f>
        <v>2.4125</v>
      </c>
      <c r="D76" s="19" t="n">
        <f aca="false">$B76+D$3*100*$A76</f>
        <v>3.325</v>
      </c>
      <c r="E76" s="19" t="n">
        <f aca="false">$B76+E$3*100*$A76</f>
        <v>4.2375</v>
      </c>
      <c r="F76" s="19" t="n">
        <f aca="false">$B76+F$3*100*$A76</f>
        <v>5.15</v>
      </c>
      <c r="G76" s="19" t="n">
        <f aca="false">$B76+G$3*100*$A76</f>
        <v>6.0625</v>
      </c>
      <c r="H76" s="19" t="n">
        <f aca="false">$B76+H$3*100*$A76</f>
        <v>6.975</v>
      </c>
      <c r="I76" s="19" t="n">
        <f aca="false">$B76+I$3*100*$A76</f>
        <v>7.8875</v>
      </c>
      <c r="J76" s="19" t="n">
        <f aca="false">$B76+J$3*100*$A76</f>
        <v>8.8</v>
      </c>
      <c r="K76" s="19" t="n">
        <f aca="false">$B76+K$3*100*$A76</f>
        <v>9.7125</v>
      </c>
      <c r="L76" s="19" t="n">
        <f aca="false">$B76+L$3*100*$A76</f>
        <v>10.625</v>
      </c>
      <c r="M76" s="19" t="n">
        <f aca="false">$B76+M$3*100*$A76</f>
        <v>11.5375</v>
      </c>
      <c r="N76" s="19" t="n">
        <f aca="false">$B76+N$3*100*$A76</f>
        <v>12.45</v>
      </c>
      <c r="O76" s="19" t="n">
        <f aca="false">$B76+O$3*100*$A76</f>
        <v>13.3625</v>
      </c>
      <c r="P76" s="19" t="n">
        <f aca="false">$B76+P$3*100*$A76</f>
        <v>14.275</v>
      </c>
      <c r="Q76" s="19" t="n">
        <f aca="false">$B76+Q$3*100*$A76</f>
        <v>15.1875</v>
      </c>
      <c r="R76" s="19" t="n">
        <f aca="false">$B76+R$3*100*$A76</f>
        <v>16.1</v>
      </c>
      <c r="S76" s="19" t="n">
        <f aca="false">$B76+S$3*100*$A76</f>
        <v>17.0125</v>
      </c>
      <c r="T76" s="19" t="n">
        <f aca="false">$B76+T$3*100*$A76</f>
        <v>17.925</v>
      </c>
      <c r="U76" s="19" t="n">
        <f aca="false">$B76+U$3*100*$A76</f>
        <v>18.8375</v>
      </c>
      <c r="V76" s="19" t="n">
        <f aca="false">$B76+V$3*100*$A76</f>
        <v>19.75</v>
      </c>
      <c r="W76" s="19" t="n">
        <f aca="false">$B76+W$3*100*$A76</f>
        <v>20.6625</v>
      </c>
      <c r="X76" s="19" t="n">
        <f aca="false">$B76+X$3*100*$A76</f>
        <v>21.575</v>
      </c>
      <c r="Y76" s="19" t="n">
        <f aca="false">$B76+Y$3*100*$A76</f>
        <v>22.4875</v>
      </c>
      <c r="Z76" s="19" t="n">
        <f aca="false">$B76+Z$3*100*$A76</f>
        <v>23.4</v>
      </c>
      <c r="AA76" s="19" t="n">
        <f aca="false">$B76+AA$3*100*$A76</f>
        <v>24.3125</v>
      </c>
      <c r="AB76" s="19" t="n">
        <f aca="false">$B76+AB$3*100*$A76</f>
        <v>25.225</v>
      </c>
      <c r="AC76" s="19" t="n">
        <f aca="false">$B76+AC$3*100*$A76</f>
        <v>26.1375</v>
      </c>
      <c r="AD76" s="19" t="n">
        <f aca="false">$B76+AD$3*100*$A76</f>
        <v>27.05</v>
      </c>
      <c r="AE76" s="19" t="n">
        <f aca="false">$B76+AE$3*100*$A76</f>
        <v>27.9625</v>
      </c>
      <c r="AF76" s="19" t="n">
        <f aca="false">$B76+AF$3*100*$A76</f>
        <v>28.875</v>
      </c>
      <c r="AG76" s="19" t="n">
        <f aca="false">$B76+AG$3*100*$A76</f>
        <v>29.7875</v>
      </c>
      <c r="AH76" s="19" t="n">
        <f aca="false">$B76+AH$3*100*$A76</f>
        <v>30.7</v>
      </c>
      <c r="AI76" s="19" t="n">
        <f aca="false">$B76+AI$3*100*$A76</f>
        <v>31.6125</v>
      </c>
      <c r="AJ76" s="19" t="n">
        <f aca="false">$B76+AJ$3*100*$A76</f>
        <v>32.525</v>
      </c>
      <c r="AK76" s="19" t="n">
        <f aca="false">$B76+AK$3*100*$A76</f>
        <v>33.4375</v>
      </c>
      <c r="AL76" s="19" t="n">
        <f aca="false">$B76+AL$3*100*$A76</f>
        <v>34.35</v>
      </c>
      <c r="AM76" s="19" t="n">
        <f aca="false">$B76+AM$3*100*$A76</f>
        <v>35.2625</v>
      </c>
      <c r="AN76" s="19" t="n">
        <f aca="false">$B76+AN$3*100*$A76</f>
        <v>36.175</v>
      </c>
      <c r="AO76" s="19" t="n">
        <f aca="false">$B76+AO$3*100*$A76</f>
        <v>37.0875</v>
      </c>
      <c r="AP76" s="19" t="n">
        <f aca="false">$B76+AP$3*100*$A76</f>
        <v>38</v>
      </c>
      <c r="AQ76" s="19" t="n">
        <f aca="false">$B76+AQ$3*100*$A76</f>
        <v>38.9125</v>
      </c>
      <c r="AR76" s="19" t="n">
        <f aca="false">$B76+AR$3*100*$A76</f>
        <v>39.825</v>
      </c>
      <c r="AS76" s="19" t="n">
        <f aca="false">$B76+AS$3*100*$A76</f>
        <v>40.7375</v>
      </c>
      <c r="AT76" s="19" t="n">
        <f aca="false">$B76+AT$3*100*$A76</f>
        <v>41.65</v>
      </c>
      <c r="AU76" s="19" t="n">
        <f aca="false">$B76+AU$3*100*$A76</f>
        <v>42.5625</v>
      </c>
      <c r="AV76" s="19" t="n">
        <f aca="false">$B76+AV$3*100*$A76</f>
        <v>43.475</v>
      </c>
      <c r="AW76" s="19" t="n">
        <f aca="false">$B76+AW$3*100*$A76</f>
        <v>44.3875</v>
      </c>
      <c r="AX76" s="19" t="n">
        <f aca="false">$B76+AX$3*100*$A76</f>
        <v>45.3</v>
      </c>
      <c r="AY76" s="19" t="n">
        <f aca="false">$B76+AY$3*100*$A76</f>
        <v>46.2125</v>
      </c>
      <c r="AZ76" s="19" t="n">
        <f aca="false">$B76+AZ$3*100*$A76</f>
        <v>47.125</v>
      </c>
      <c r="BA76" s="19" t="n">
        <f aca="false">$B76+BA$3*100*$A76</f>
        <v>48.0375</v>
      </c>
      <c r="BB76" s="19" t="n">
        <f aca="false">$B76+BB$3*100*$A76</f>
        <v>48.95</v>
      </c>
      <c r="BC76" s="19" t="n">
        <f aca="false">$B76+BC$3*100*$A76</f>
        <v>49.8625</v>
      </c>
      <c r="BD76" s="19" t="n">
        <f aca="false">$B76+BD$3*100*$A76</f>
        <v>50.775</v>
      </c>
      <c r="BE76" s="19" t="n">
        <f aca="false">$B76+BE$3*100*$A76</f>
        <v>51.6875</v>
      </c>
      <c r="BF76" s="19" t="n">
        <f aca="false">$B76+BF$3*100*$A76</f>
        <v>52.6</v>
      </c>
      <c r="BG76" s="19" t="n">
        <f aca="false">$B76+BG$3*100*$A76</f>
        <v>53.5125</v>
      </c>
      <c r="BH76" s="19" t="n">
        <f aca="false">$B76+BH$3*100*$A76</f>
        <v>54.425</v>
      </c>
      <c r="BI76" s="19" t="n">
        <f aca="false">$B76+BI$3*100*$A76</f>
        <v>55.3375</v>
      </c>
      <c r="BJ76" s="19" t="n">
        <f aca="false">$B76+BJ$3*100*$A76</f>
        <v>56.25</v>
      </c>
      <c r="BK76" s="19" t="n">
        <f aca="false">$B76+BK$3*100*$A76</f>
        <v>57.1625</v>
      </c>
      <c r="BL76" s="19" t="n">
        <f aca="false">$B76+BL$3*100*$A76</f>
        <v>58.075</v>
      </c>
      <c r="BM76" s="19" t="n">
        <f aca="false">$B76+BM$3*100*$A76</f>
        <v>58.9875</v>
      </c>
      <c r="BN76" s="19" t="n">
        <f aca="false">$B76+BN$3*100*$A76</f>
        <v>59.9</v>
      </c>
      <c r="BO76" s="19" t="n">
        <f aca="false">$B76+BO$3*100*$A76</f>
        <v>60.8125</v>
      </c>
      <c r="BP76" s="19" t="n">
        <f aca="false">$B76+BP$3*100*$A76</f>
        <v>61.725</v>
      </c>
      <c r="BQ76" s="19" t="n">
        <f aca="false">$B76+BQ$3*100*$A76</f>
        <v>62.6375</v>
      </c>
      <c r="BR76" s="19" t="n">
        <f aca="false">$B76+BR$3*100*$A76</f>
        <v>63.55</v>
      </c>
      <c r="BS76" s="19" t="n">
        <f aca="false">$B76+BS$3*100*$A76</f>
        <v>64.4625</v>
      </c>
      <c r="BT76" s="19" t="n">
        <f aca="false">$B76+BT$3*100*$A76</f>
        <v>65.375</v>
      </c>
      <c r="BU76" s="19" t="n">
        <f aca="false">$B76+BU$3*100*$A76</f>
        <v>66.2875</v>
      </c>
      <c r="BV76" s="19" t="n">
        <f aca="false">$B76+BV$3*100*$A76</f>
        <v>67.2</v>
      </c>
      <c r="BW76" s="19" t="n">
        <f aca="false">$B76+BW$3*100*$A76</f>
        <v>68.1125</v>
      </c>
      <c r="BX76" s="19" t="n">
        <f aca="false">$B76+BX$3*100*$A76</f>
        <v>69.025</v>
      </c>
      <c r="BY76" s="19" t="n">
        <f aca="false">$B76+BY$3*100*$A76</f>
        <v>69.9375</v>
      </c>
      <c r="BZ76" s="19" t="n">
        <f aca="false">$B76+BZ$3*100*$A76</f>
        <v>70.85</v>
      </c>
      <c r="CA76" s="19" t="n">
        <f aca="false">$B76+CA$3*100*$A76</f>
        <v>71.7625</v>
      </c>
      <c r="CB76" s="19" t="n">
        <f aca="false">$B76+CB$3*100*$A76</f>
        <v>72.675</v>
      </c>
      <c r="CC76" s="19" t="n">
        <f aca="false">$B76+CC$3*100*$A76</f>
        <v>73.5875</v>
      </c>
      <c r="CD76" s="19" t="n">
        <f aca="false">$B76+CD$3*100*$A76</f>
        <v>74.5</v>
      </c>
      <c r="CE76" s="19" t="n">
        <f aca="false">$B76+CE$3*100*$A76</f>
        <v>75.4125</v>
      </c>
      <c r="CF76" s="19" t="n">
        <f aca="false">$B76+CF$3*100*$A76</f>
        <v>76.325</v>
      </c>
      <c r="CG76" s="19" t="n">
        <f aca="false">$B76+CG$3*100*$A76</f>
        <v>77.2375</v>
      </c>
      <c r="CH76" s="19" t="n">
        <f aca="false">$B76+CH$3*100*$A76</f>
        <v>78.15</v>
      </c>
      <c r="CI76" s="19" t="n">
        <f aca="false">$B76+CI$3*100*$A76</f>
        <v>79.0625</v>
      </c>
      <c r="CJ76" s="19" t="n">
        <f aca="false">$B76+CJ$3*100*$A76</f>
        <v>79.975</v>
      </c>
      <c r="CK76" s="19" t="n">
        <f aca="false">$B76+CK$3*100*$A76</f>
        <v>80.8875</v>
      </c>
      <c r="CL76" s="19" t="n">
        <f aca="false">$B76+CL$3*100*$A76</f>
        <v>81.8</v>
      </c>
      <c r="CM76" s="19" t="n">
        <f aca="false">$B76+CM$3*100*$A76</f>
        <v>82.7125</v>
      </c>
      <c r="CN76" s="19" t="n">
        <f aca="false">$B76+CN$3*100*$A76</f>
        <v>83.625</v>
      </c>
      <c r="CO76" s="19" t="n">
        <f aca="false">$B76+CO$3*100*$A76</f>
        <v>84.5375</v>
      </c>
      <c r="CP76" s="19" t="n">
        <f aca="false">$B76+CP$3*100*$A76</f>
        <v>85.45</v>
      </c>
      <c r="CQ76" s="19" t="n">
        <f aca="false">$B76+CQ$3*100*$A76</f>
        <v>86.3625</v>
      </c>
      <c r="CR76" s="19" t="n">
        <f aca="false">$B76+CR$3*100*$A76</f>
        <v>87.275</v>
      </c>
      <c r="CS76" s="19" t="n">
        <f aca="false">$B76+CS$3*100*$A76</f>
        <v>88.1875</v>
      </c>
      <c r="CT76" s="19" t="n">
        <f aca="false">$B76+CT$3*100*$A76</f>
        <v>89.1</v>
      </c>
      <c r="CU76" s="19" t="n">
        <f aca="false">$B76+CU$3*100*$A76</f>
        <v>90.0125</v>
      </c>
      <c r="CV76" s="19" t="n">
        <f aca="false">$B76+CV$3*100*$A76</f>
        <v>90.925</v>
      </c>
      <c r="CW76" s="19" t="n">
        <f aca="false">$B76+CW$3*100*$A76</f>
        <v>91.8375</v>
      </c>
      <c r="CX76" s="19" t="n">
        <f aca="false">$B76+CX$3*100*$A76</f>
        <v>92.75</v>
      </c>
      <c r="CY76" s="19" t="n">
        <f aca="false">$B76+CY$3*100*$A76</f>
        <v>93.6625</v>
      </c>
      <c r="CZ76" s="19" t="n">
        <f aca="false">$B76+CZ$3*100*$A76</f>
        <v>94.575</v>
      </c>
      <c r="DA76" s="19" t="n">
        <f aca="false">$B76+DA$3*100*$A76</f>
        <v>95.4875</v>
      </c>
      <c r="DB76" s="19" t="n">
        <f aca="false">$B76+DB$3*100*$A76</f>
        <v>96.4</v>
      </c>
      <c r="DC76" s="19" t="n">
        <f aca="false">$B76+DC$3*100*$A76</f>
        <v>97.3125</v>
      </c>
      <c r="DD76" s="19" t="n">
        <f aca="false">$B76+DD$3*100*$A76</f>
        <v>98.225</v>
      </c>
      <c r="DE76" s="19" t="n">
        <f aca="false">$B76+DE$3*100*$A76</f>
        <v>99.1375</v>
      </c>
      <c r="DF76" s="19" t="n">
        <f aca="false">$B76+DF$3*100*$A76</f>
        <v>100.05</v>
      </c>
      <c r="DG76" s="19" t="n">
        <f aca="false">$B76+DG$3*100*$A76</f>
        <v>100.9625</v>
      </c>
      <c r="DH76" s="19" t="n">
        <f aca="false">$B76+DH$3*100*$A76</f>
        <v>101.875</v>
      </c>
      <c r="DI76" s="19" t="n">
        <f aca="false">$B76+DI$3*100*$A76</f>
        <v>102.7875</v>
      </c>
      <c r="DJ76" s="19" t="n">
        <f aca="false">$B76+DJ$3*100*$A76</f>
        <v>103.7</v>
      </c>
      <c r="DK76" s="19" t="n">
        <f aca="false">$B76+DK$3*100*$A76</f>
        <v>104.6125</v>
      </c>
      <c r="DL76" s="19" t="n">
        <f aca="false">$B76+DL$3*100*$A76</f>
        <v>105.525</v>
      </c>
      <c r="DM76" s="19" t="n">
        <f aca="false">$B76+DM$3*100*$A76</f>
        <v>106.4375</v>
      </c>
      <c r="DN76" s="19" t="n">
        <f aca="false">$B76+DN$3*100*$A76</f>
        <v>107.35</v>
      </c>
      <c r="DO76" s="19" t="n">
        <f aca="false">$B76+DO$3*100*$A76</f>
        <v>108.2625</v>
      </c>
      <c r="DP76" s="19" t="n">
        <f aca="false">$B76+DP$3*100*$A76</f>
        <v>109.175</v>
      </c>
      <c r="DQ76" s="19" t="n">
        <f aca="false">$B76+DQ$3*100*$A76</f>
        <v>110.0875</v>
      </c>
      <c r="DR76" s="19" t="n">
        <f aca="false">$B76+DR$3*100*$A76</f>
        <v>111</v>
      </c>
      <c r="DS76" s="19" t="n">
        <f aca="false">$B76+DS$3*100*$A76</f>
        <v>111.9125</v>
      </c>
      <c r="DT76" s="19" t="n">
        <f aca="false">$B76+DT$3*100*$A76</f>
        <v>112.825</v>
      </c>
      <c r="DU76" s="19" t="n">
        <f aca="false">$B76+DU$3*100*$A76</f>
        <v>113.7375</v>
      </c>
      <c r="DV76" s="19" t="n">
        <f aca="false">$B76+DV$3*100*$A76</f>
        <v>114.65</v>
      </c>
      <c r="DW76" s="19" t="n">
        <f aca="false">$B76+DW$3*100*$A76</f>
        <v>115.5625</v>
      </c>
      <c r="DX76" s="19" t="n">
        <f aca="false">$B76+DX$3*100*$A76</f>
        <v>116.475</v>
      </c>
      <c r="DY76" s="19" t="n">
        <f aca="false">$B76+DY$3*100*$A76</f>
        <v>117.3875</v>
      </c>
      <c r="DZ76" s="19" t="n">
        <f aca="false">$B76+DZ$3*100*$A76</f>
        <v>118.3</v>
      </c>
      <c r="EA76" s="19" t="n">
        <f aca="false">$B76+EA$3*100*$A76</f>
        <v>119.2125</v>
      </c>
      <c r="EB76" s="19" t="n">
        <f aca="false">$B76+EB$3*100*$A76</f>
        <v>120.125</v>
      </c>
      <c r="EC76" s="19" t="n">
        <f aca="false">$B76+EC$3*100*$A76</f>
        <v>121.0375</v>
      </c>
      <c r="ED76" s="19" t="n">
        <f aca="false">$B76+ED$3*100*$A76</f>
        <v>121.95</v>
      </c>
      <c r="EE76" s="19" t="n">
        <f aca="false">$B76+EE$3*100*$A76</f>
        <v>122.8625</v>
      </c>
      <c r="EF76" s="19" t="n">
        <f aca="false">$B76+EF$3*100*$A76</f>
        <v>123.775</v>
      </c>
      <c r="EG76" s="19" t="n">
        <f aca="false">$B76+EG$3*100*$A76</f>
        <v>124.6875</v>
      </c>
      <c r="EH76" s="19" t="n">
        <f aca="false">$B76+EH$3*100*$A76</f>
        <v>125.6</v>
      </c>
      <c r="EI76" s="19" t="n">
        <f aca="false">$B76+EI$3*100*$A76</f>
        <v>126.5125</v>
      </c>
      <c r="EJ76" s="19" t="n">
        <f aca="false">$B76+EJ$3*100*$A76</f>
        <v>127.425</v>
      </c>
      <c r="EK76" s="19" t="n">
        <f aca="false">$B76+EK$3*100*$A76</f>
        <v>128.3375</v>
      </c>
      <c r="EL76" s="19" t="n">
        <f aca="false">$B76+EL$3*100*$A76</f>
        <v>129.25</v>
      </c>
      <c r="EM76" s="19" t="n">
        <f aca="false">$B76+EM$3*100*$A76</f>
        <v>130.1625</v>
      </c>
      <c r="EN76" s="19" t="n">
        <f aca="false">$B76+EN$3*100*$A76</f>
        <v>131.075</v>
      </c>
      <c r="EO76" s="19" t="n">
        <f aca="false">$B76+EO$3*100*$A76</f>
        <v>131.9875</v>
      </c>
      <c r="EP76" s="19" t="n">
        <f aca="false">$B76+EP$3*100*$A76</f>
        <v>132.9</v>
      </c>
      <c r="EQ76" s="19" t="n">
        <f aca="false">$B76+EQ$3*100*$A76</f>
        <v>133.8125</v>
      </c>
      <c r="ER76" s="19" t="n">
        <f aca="false">$B76+ER$3*100*$A76</f>
        <v>134.725</v>
      </c>
      <c r="ES76" s="19" t="n">
        <f aca="false">$B76+ES$3*100*$A76</f>
        <v>135.6375</v>
      </c>
      <c r="ET76" s="19" t="n">
        <f aca="false">$B76+ET$3*100*$A76</f>
        <v>136.55</v>
      </c>
      <c r="EU76" s="19" t="n">
        <f aca="false">$B76+EU$3*100*$A76</f>
        <v>137.4625</v>
      </c>
      <c r="EV76" s="19" t="n">
        <f aca="false">$B76+EV$3*100*$A76</f>
        <v>138.375</v>
      </c>
      <c r="EW76" s="19" t="n">
        <f aca="false">$B76+EW$3*100*$A76</f>
        <v>139.2875</v>
      </c>
      <c r="EX76" s="19" t="n">
        <f aca="false">$B76+EX$3*100*$A76</f>
        <v>140.2</v>
      </c>
      <c r="EY76" s="19" t="n">
        <f aca="false">$B76+EY$3*100*$A76</f>
        <v>141.1125</v>
      </c>
      <c r="EZ76" s="19" t="n">
        <f aca="false">$B76+EZ$3*100*$A76</f>
        <v>142.025</v>
      </c>
      <c r="FA76" s="19" t="n">
        <f aca="false">$B76+FA$3*100*$A76</f>
        <v>142.9375</v>
      </c>
      <c r="FB76" s="19" t="n">
        <f aca="false">$B76+FB$3*100*$A76</f>
        <v>143.85</v>
      </c>
      <c r="FC76" s="19" t="n">
        <f aca="false">$B76+FC$3*100*$A76</f>
        <v>144.7625</v>
      </c>
      <c r="FD76" s="19" t="n">
        <f aca="false">$B76+FD$3*100*$A76</f>
        <v>145.675</v>
      </c>
      <c r="FE76" s="19" t="n">
        <f aca="false">$B76+FE$3*100*$A76</f>
        <v>146.5875</v>
      </c>
      <c r="FF76" s="19" t="n">
        <f aca="false">$B76+FF$3*100*$A76</f>
        <v>147.5</v>
      </c>
      <c r="FG76" s="19" t="n">
        <f aca="false">$B76+FG$3*100*$A76</f>
        <v>148.4125</v>
      </c>
      <c r="FH76" s="19" t="n">
        <f aca="false">$B76+FH$3*100*$A76</f>
        <v>149.325</v>
      </c>
      <c r="FI76" s="19" t="n">
        <f aca="false">$B76+FI$3*100*$A76</f>
        <v>150.2375</v>
      </c>
      <c r="FJ76" s="19" t="n">
        <f aca="false">$B76+FJ$3*100*$A76</f>
        <v>151.15</v>
      </c>
      <c r="FK76" s="19" t="n">
        <f aca="false">$B76+FK$3*100*$A76</f>
        <v>152.0625</v>
      </c>
      <c r="FL76" s="19" t="n">
        <f aca="false">$B76+FL$3*100*$A76</f>
        <v>152.975</v>
      </c>
      <c r="FM76" s="19" t="n">
        <f aca="false">$B76+FM$3*100*$A76</f>
        <v>153.8875</v>
      </c>
      <c r="FN76" s="19" t="n">
        <f aca="false">$B76+FN$3*100*$A76</f>
        <v>154.8</v>
      </c>
      <c r="FO76" s="19" t="n">
        <f aca="false">$B76+FO$3*100*$A76</f>
        <v>155.7125</v>
      </c>
      <c r="FP76" s="19" t="n">
        <f aca="false">$B76+FP$3*100*$A76</f>
        <v>156.625</v>
      </c>
      <c r="FQ76" s="19" t="n">
        <f aca="false">$B76+FQ$3*100*$A76</f>
        <v>157.5375</v>
      </c>
      <c r="FR76" s="19" t="n">
        <f aca="false">$B76+FR$3*100*$A76</f>
        <v>158.45</v>
      </c>
      <c r="FS76" s="19" t="n">
        <f aca="false">$B76+FS$3*100*$A76</f>
        <v>159.3625</v>
      </c>
      <c r="FT76" s="19" t="n">
        <f aca="false">$B76+FT$3*100*$A76</f>
        <v>160.275</v>
      </c>
      <c r="FU76" s="19" t="n">
        <f aca="false">$B76+FU$3*100*$A76</f>
        <v>161.1875</v>
      </c>
      <c r="FV76" s="19" t="n">
        <f aca="false">$B76+FV$3*100*$A76</f>
        <v>162.1</v>
      </c>
      <c r="FW76" s="19" t="n">
        <f aca="false">$B76+FW$3*100*$A76</f>
        <v>163.0125</v>
      </c>
      <c r="FX76" s="19" t="n">
        <f aca="false">$B76+FX$3*100*$A76</f>
        <v>163.925</v>
      </c>
      <c r="FY76" s="19" t="n">
        <f aca="false">$B76+FY$3*100*$A76</f>
        <v>164.8375</v>
      </c>
      <c r="FZ76" s="19" t="n">
        <f aca="false">$B76+FZ$3*100*$A76</f>
        <v>165.75</v>
      </c>
      <c r="GA76" s="19" t="n">
        <f aca="false">$B76+GA$3*100*$A76</f>
        <v>166.6625</v>
      </c>
      <c r="GB76" s="19" t="n">
        <f aca="false">$B76+GB$3*100*$A76</f>
        <v>167.575</v>
      </c>
      <c r="GC76" s="19" t="n">
        <f aca="false">$B76+GC$3*100*$A76</f>
        <v>168.4875</v>
      </c>
      <c r="GD76" s="19" t="n">
        <f aca="false">$B76+GD$3*100*$A76</f>
        <v>169.4</v>
      </c>
      <c r="GE76" s="19" t="n">
        <f aca="false">$B76+GE$3*100*$A76</f>
        <v>170.3125</v>
      </c>
      <c r="GF76" s="19" t="n">
        <f aca="false">$B76+GF$3*100*$A76</f>
        <v>171.225</v>
      </c>
      <c r="GG76" s="19" t="n">
        <f aca="false">$B76+GG$3*100*$A76</f>
        <v>172.1375</v>
      </c>
      <c r="GH76" s="19" t="n">
        <f aca="false">$B76+GH$3*100*$A76</f>
        <v>173.05</v>
      </c>
      <c r="GI76" s="19" t="n">
        <f aca="false">$B76+GI$3*100*$A76</f>
        <v>173.9625</v>
      </c>
      <c r="GJ76" s="19" t="n">
        <f aca="false">$B76+GJ$3*100*$A76</f>
        <v>174.875</v>
      </c>
      <c r="GK76" s="19" t="n">
        <f aca="false">$B76+GK$3*100*$A76</f>
        <v>175.7875</v>
      </c>
      <c r="GL76" s="19" t="n">
        <f aca="false">$B76+GL$3*100*$A76</f>
        <v>176.7</v>
      </c>
      <c r="GM76" s="19" t="n">
        <f aca="false">$B76+GM$3*100*$A76</f>
        <v>177.6125</v>
      </c>
      <c r="GN76" s="19" t="n">
        <f aca="false">$B76+GN$3*100*$A76</f>
        <v>178.525</v>
      </c>
      <c r="GO76" s="19" t="n">
        <f aca="false">$B76+GO$3*100*$A76</f>
        <v>179.4375</v>
      </c>
      <c r="GP76" s="19" t="n">
        <f aca="false">$B76+GP$3*100*$A76</f>
        <v>180.35</v>
      </c>
      <c r="GQ76" s="19" t="n">
        <f aca="false">$B76+GQ$3*100*$A76</f>
        <v>181.2625</v>
      </c>
      <c r="GR76" s="19" t="n">
        <f aca="false">$B76+GR$3*100*$A76</f>
        <v>182.175</v>
      </c>
      <c r="GS76" s="19" t="n">
        <f aca="false">$B76+GS$3*100*$A76</f>
        <v>183.0875</v>
      </c>
      <c r="GT76" s="19" t="n">
        <f aca="false">$B76+GT$3*100*$A76</f>
        <v>184</v>
      </c>
    </row>
    <row r="77" customFormat="false" ht="15" hidden="false" customHeight="false" outlineLevel="0" collapsed="false">
      <c r="A77" s="26" t="n">
        <f aca="false">Frontier!A75</f>
        <v>0.185</v>
      </c>
      <c r="B77" s="34" t="n">
        <f aca="false">Frontier!B75</f>
        <v>1.5</v>
      </c>
      <c r="C77" s="19" t="n">
        <f aca="false">$B77+C$3*100*$A77</f>
        <v>2.425</v>
      </c>
      <c r="D77" s="19" t="n">
        <f aca="false">$B77+D$3*100*$A77</f>
        <v>3.35</v>
      </c>
      <c r="E77" s="19" t="n">
        <f aca="false">$B77+E$3*100*$A77</f>
        <v>4.275</v>
      </c>
      <c r="F77" s="19" t="n">
        <f aca="false">$B77+F$3*100*$A77</f>
        <v>5.2</v>
      </c>
      <c r="G77" s="19" t="n">
        <f aca="false">$B77+G$3*100*$A77</f>
        <v>6.125</v>
      </c>
      <c r="H77" s="19" t="n">
        <f aca="false">$B77+H$3*100*$A77</f>
        <v>7.05</v>
      </c>
      <c r="I77" s="19" t="n">
        <f aca="false">$B77+I$3*100*$A77</f>
        <v>7.975</v>
      </c>
      <c r="J77" s="19" t="n">
        <f aca="false">$B77+J$3*100*$A77</f>
        <v>8.9</v>
      </c>
      <c r="K77" s="19" t="n">
        <f aca="false">$B77+K$3*100*$A77</f>
        <v>9.825</v>
      </c>
      <c r="L77" s="19" t="n">
        <f aca="false">$B77+L$3*100*$A77</f>
        <v>10.75</v>
      </c>
      <c r="M77" s="19" t="n">
        <f aca="false">$B77+M$3*100*$A77</f>
        <v>11.675</v>
      </c>
      <c r="N77" s="19" t="n">
        <f aca="false">$B77+N$3*100*$A77</f>
        <v>12.6</v>
      </c>
      <c r="O77" s="19" t="n">
        <f aca="false">$B77+O$3*100*$A77</f>
        <v>13.525</v>
      </c>
      <c r="P77" s="19" t="n">
        <f aca="false">$B77+P$3*100*$A77</f>
        <v>14.45</v>
      </c>
      <c r="Q77" s="19" t="n">
        <f aca="false">$B77+Q$3*100*$A77</f>
        <v>15.375</v>
      </c>
      <c r="R77" s="19" t="n">
        <f aca="false">$B77+R$3*100*$A77</f>
        <v>16.3</v>
      </c>
      <c r="S77" s="19" t="n">
        <f aca="false">$B77+S$3*100*$A77</f>
        <v>17.225</v>
      </c>
      <c r="T77" s="19" t="n">
        <f aca="false">$B77+T$3*100*$A77</f>
        <v>18.15</v>
      </c>
      <c r="U77" s="19" t="n">
        <f aca="false">$B77+U$3*100*$A77</f>
        <v>19.075</v>
      </c>
      <c r="V77" s="19" t="n">
        <f aca="false">$B77+V$3*100*$A77</f>
        <v>20</v>
      </c>
      <c r="W77" s="19" t="n">
        <f aca="false">$B77+W$3*100*$A77</f>
        <v>20.925</v>
      </c>
      <c r="X77" s="19" t="n">
        <f aca="false">$B77+X$3*100*$A77</f>
        <v>21.85</v>
      </c>
      <c r="Y77" s="19" t="n">
        <f aca="false">$B77+Y$3*100*$A77</f>
        <v>22.775</v>
      </c>
      <c r="Z77" s="19" t="n">
        <f aca="false">$B77+Z$3*100*$A77</f>
        <v>23.7</v>
      </c>
      <c r="AA77" s="19" t="n">
        <f aca="false">$B77+AA$3*100*$A77</f>
        <v>24.625</v>
      </c>
      <c r="AB77" s="19" t="n">
        <f aca="false">$B77+AB$3*100*$A77</f>
        <v>25.55</v>
      </c>
      <c r="AC77" s="19" t="n">
        <f aca="false">$B77+AC$3*100*$A77</f>
        <v>26.475</v>
      </c>
      <c r="AD77" s="19" t="n">
        <f aca="false">$B77+AD$3*100*$A77</f>
        <v>27.4</v>
      </c>
      <c r="AE77" s="19" t="n">
        <f aca="false">$B77+AE$3*100*$A77</f>
        <v>28.325</v>
      </c>
      <c r="AF77" s="19" t="n">
        <f aca="false">$B77+AF$3*100*$A77</f>
        <v>29.25</v>
      </c>
      <c r="AG77" s="19" t="n">
        <f aca="false">$B77+AG$3*100*$A77</f>
        <v>30.175</v>
      </c>
      <c r="AH77" s="19" t="n">
        <f aca="false">$B77+AH$3*100*$A77</f>
        <v>31.1</v>
      </c>
      <c r="AI77" s="19" t="n">
        <f aca="false">$B77+AI$3*100*$A77</f>
        <v>32.025</v>
      </c>
      <c r="AJ77" s="19" t="n">
        <f aca="false">$B77+AJ$3*100*$A77</f>
        <v>32.95</v>
      </c>
      <c r="AK77" s="19" t="n">
        <f aca="false">$B77+AK$3*100*$A77</f>
        <v>33.875</v>
      </c>
      <c r="AL77" s="19" t="n">
        <f aca="false">$B77+AL$3*100*$A77</f>
        <v>34.8</v>
      </c>
      <c r="AM77" s="19" t="n">
        <f aca="false">$B77+AM$3*100*$A77</f>
        <v>35.725</v>
      </c>
      <c r="AN77" s="19" t="n">
        <f aca="false">$B77+AN$3*100*$A77</f>
        <v>36.65</v>
      </c>
      <c r="AO77" s="19" t="n">
        <f aca="false">$B77+AO$3*100*$A77</f>
        <v>37.575</v>
      </c>
      <c r="AP77" s="19" t="n">
        <f aca="false">$B77+AP$3*100*$A77</f>
        <v>38.5</v>
      </c>
      <c r="AQ77" s="19" t="n">
        <f aca="false">$B77+AQ$3*100*$A77</f>
        <v>39.425</v>
      </c>
      <c r="AR77" s="19" t="n">
        <f aca="false">$B77+AR$3*100*$A77</f>
        <v>40.35</v>
      </c>
      <c r="AS77" s="19" t="n">
        <f aca="false">$B77+AS$3*100*$A77</f>
        <v>41.275</v>
      </c>
      <c r="AT77" s="19" t="n">
        <f aca="false">$B77+AT$3*100*$A77</f>
        <v>42.2</v>
      </c>
      <c r="AU77" s="19" t="n">
        <f aca="false">$B77+AU$3*100*$A77</f>
        <v>43.125</v>
      </c>
      <c r="AV77" s="19" t="n">
        <f aca="false">$B77+AV$3*100*$A77</f>
        <v>44.05</v>
      </c>
      <c r="AW77" s="19" t="n">
        <f aca="false">$B77+AW$3*100*$A77</f>
        <v>44.975</v>
      </c>
      <c r="AX77" s="19" t="n">
        <f aca="false">$B77+AX$3*100*$A77</f>
        <v>45.9</v>
      </c>
      <c r="AY77" s="19" t="n">
        <f aca="false">$B77+AY$3*100*$A77</f>
        <v>46.825</v>
      </c>
      <c r="AZ77" s="19" t="n">
        <f aca="false">$B77+AZ$3*100*$A77</f>
        <v>47.75</v>
      </c>
      <c r="BA77" s="19" t="n">
        <f aca="false">$B77+BA$3*100*$A77</f>
        <v>48.675</v>
      </c>
      <c r="BB77" s="19" t="n">
        <f aca="false">$B77+BB$3*100*$A77</f>
        <v>49.6</v>
      </c>
      <c r="BC77" s="19" t="n">
        <f aca="false">$B77+BC$3*100*$A77</f>
        <v>50.525</v>
      </c>
      <c r="BD77" s="19" t="n">
        <f aca="false">$B77+BD$3*100*$A77</f>
        <v>51.45</v>
      </c>
      <c r="BE77" s="19" t="n">
        <f aca="false">$B77+BE$3*100*$A77</f>
        <v>52.375</v>
      </c>
      <c r="BF77" s="19" t="n">
        <f aca="false">$B77+BF$3*100*$A77</f>
        <v>53.3</v>
      </c>
      <c r="BG77" s="19" t="n">
        <f aca="false">$B77+BG$3*100*$A77</f>
        <v>54.225</v>
      </c>
      <c r="BH77" s="19" t="n">
        <f aca="false">$B77+BH$3*100*$A77</f>
        <v>55.15</v>
      </c>
      <c r="BI77" s="19" t="n">
        <f aca="false">$B77+BI$3*100*$A77</f>
        <v>56.075</v>
      </c>
      <c r="BJ77" s="19" t="n">
        <f aca="false">$B77+BJ$3*100*$A77</f>
        <v>57</v>
      </c>
      <c r="BK77" s="19" t="n">
        <f aca="false">$B77+BK$3*100*$A77</f>
        <v>57.925</v>
      </c>
      <c r="BL77" s="19" t="n">
        <f aca="false">$B77+BL$3*100*$A77</f>
        <v>58.85</v>
      </c>
      <c r="BM77" s="19" t="n">
        <f aca="false">$B77+BM$3*100*$A77</f>
        <v>59.775</v>
      </c>
      <c r="BN77" s="19" t="n">
        <f aca="false">$B77+BN$3*100*$A77</f>
        <v>60.7</v>
      </c>
      <c r="BO77" s="19" t="n">
        <f aca="false">$B77+BO$3*100*$A77</f>
        <v>61.625</v>
      </c>
      <c r="BP77" s="19" t="n">
        <f aca="false">$B77+BP$3*100*$A77</f>
        <v>62.55</v>
      </c>
      <c r="BQ77" s="19" t="n">
        <f aca="false">$B77+BQ$3*100*$A77</f>
        <v>63.475</v>
      </c>
      <c r="BR77" s="19" t="n">
        <f aca="false">$B77+BR$3*100*$A77</f>
        <v>64.4</v>
      </c>
      <c r="BS77" s="19" t="n">
        <f aca="false">$B77+BS$3*100*$A77</f>
        <v>65.325</v>
      </c>
      <c r="BT77" s="19" t="n">
        <f aca="false">$B77+BT$3*100*$A77</f>
        <v>66.25</v>
      </c>
      <c r="BU77" s="19" t="n">
        <f aca="false">$B77+BU$3*100*$A77</f>
        <v>67.175</v>
      </c>
      <c r="BV77" s="19" t="n">
        <f aca="false">$B77+BV$3*100*$A77</f>
        <v>68.1</v>
      </c>
      <c r="BW77" s="19" t="n">
        <f aca="false">$B77+BW$3*100*$A77</f>
        <v>69.025</v>
      </c>
      <c r="BX77" s="19" t="n">
        <f aca="false">$B77+BX$3*100*$A77</f>
        <v>69.95</v>
      </c>
      <c r="BY77" s="19" t="n">
        <f aca="false">$B77+BY$3*100*$A77</f>
        <v>70.875</v>
      </c>
      <c r="BZ77" s="19" t="n">
        <f aca="false">$B77+BZ$3*100*$A77</f>
        <v>71.8</v>
      </c>
      <c r="CA77" s="19" t="n">
        <f aca="false">$B77+CA$3*100*$A77</f>
        <v>72.725</v>
      </c>
      <c r="CB77" s="19" t="n">
        <f aca="false">$B77+CB$3*100*$A77</f>
        <v>73.65</v>
      </c>
      <c r="CC77" s="19" t="n">
        <f aca="false">$B77+CC$3*100*$A77</f>
        <v>74.575</v>
      </c>
      <c r="CD77" s="19" t="n">
        <f aca="false">$B77+CD$3*100*$A77</f>
        <v>75.5</v>
      </c>
      <c r="CE77" s="19" t="n">
        <f aca="false">$B77+CE$3*100*$A77</f>
        <v>76.425</v>
      </c>
      <c r="CF77" s="19" t="n">
        <f aca="false">$B77+CF$3*100*$A77</f>
        <v>77.35</v>
      </c>
      <c r="CG77" s="19" t="n">
        <f aca="false">$B77+CG$3*100*$A77</f>
        <v>78.275</v>
      </c>
      <c r="CH77" s="19" t="n">
        <f aca="false">$B77+CH$3*100*$A77</f>
        <v>79.2</v>
      </c>
      <c r="CI77" s="19" t="n">
        <f aca="false">$B77+CI$3*100*$A77</f>
        <v>80.125</v>
      </c>
      <c r="CJ77" s="19" t="n">
        <f aca="false">$B77+CJ$3*100*$A77</f>
        <v>81.05</v>
      </c>
      <c r="CK77" s="19" t="n">
        <f aca="false">$B77+CK$3*100*$A77</f>
        <v>81.975</v>
      </c>
      <c r="CL77" s="19" t="n">
        <f aca="false">$B77+CL$3*100*$A77</f>
        <v>82.9</v>
      </c>
      <c r="CM77" s="19" t="n">
        <f aca="false">$B77+CM$3*100*$A77</f>
        <v>83.825</v>
      </c>
      <c r="CN77" s="19" t="n">
        <f aca="false">$B77+CN$3*100*$A77</f>
        <v>84.75</v>
      </c>
      <c r="CO77" s="19" t="n">
        <f aca="false">$B77+CO$3*100*$A77</f>
        <v>85.675</v>
      </c>
      <c r="CP77" s="19" t="n">
        <f aca="false">$B77+CP$3*100*$A77</f>
        <v>86.6</v>
      </c>
      <c r="CQ77" s="19" t="n">
        <f aca="false">$B77+CQ$3*100*$A77</f>
        <v>87.525</v>
      </c>
      <c r="CR77" s="19" t="n">
        <f aca="false">$B77+CR$3*100*$A77</f>
        <v>88.45</v>
      </c>
      <c r="CS77" s="19" t="n">
        <f aca="false">$B77+CS$3*100*$A77</f>
        <v>89.375</v>
      </c>
      <c r="CT77" s="19" t="n">
        <f aca="false">$B77+CT$3*100*$A77</f>
        <v>90.3</v>
      </c>
      <c r="CU77" s="19" t="n">
        <f aca="false">$B77+CU$3*100*$A77</f>
        <v>91.225</v>
      </c>
      <c r="CV77" s="19" t="n">
        <f aca="false">$B77+CV$3*100*$A77</f>
        <v>92.15</v>
      </c>
      <c r="CW77" s="19" t="n">
        <f aca="false">$B77+CW$3*100*$A77</f>
        <v>93.075</v>
      </c>
      <c r="CX77" s="19" t="n">
        <f aca="false">$B77+CX$3*100*$A77</f>
        <v>94</v>
      </c>
      <c r="CY77" s="19" t="n">
        <f aca="false">$B77+CY$3*100*$A77</f>
        <v>94.925</v>
      </c>
      <c r="CZ77" s="19" t="n">
        <f aca="false">$B77+CZ$3*100*$A77</f>
        <v>95.85</v>
      </c>
      <c r="DA77" s="19" t="n">
        <f aca="false">$B77+DA$3*100*$A77</f>
        <v>96.775</v>
      </c>
      <c r="DB77" s="19" t="n">
        <f aca="false">$B77+DB$3*100*$A77</f>
        <v>97.7</v>
      </c>
      <c r="DC77" s="19" t="n">
        <f aca="false">$B77+DC$3*100*$A77</f>
        <v>98.625</v>
      </c>
      <c r="DD77" s="19" t="n">
        <f aca="false">$B77+DD$3*100*$A77</f>
        <v>99.55</v>
      </c>
      <c r="DE77" s="19" t="n">
        <f aca="false">$B77+DE$3*100*$A77</f>
        <v>100.475</v>
      </c>
      <c r="DF77" s="19" t="n">
        <f aca="false">$B77+DF$3*100*$A77</f>
        <v>101.4</v>
      </c>
      <c r="DG77" s="19" t="n">
        <f aca="false">$B77+DG$3*100*$A77</f>
        <v>102.325</v>
      </c>
      <c r="DH77" s="19" t="n">
        <f aca="false">$B77+DH$3*100*$A77</f>
        <v>103.25</v>
      </c>
      <c r="DI77" s="19" t="n">
        <f aca="false">$B77+DI$3*100*$A77</f>
        <v>104.175</v>
      </c>
      <c r="DJ77" s="19" t="n">
        <f aca="false">$B77+DJ$3*100*$A77</f>
        <v>105.1</v>
      </c>
      <c r="DK77" s="19" t="n">
        <f aca="false">$B77+DK$3*100*$A77</f>
        <v>106.025</v>
      </c>
      <c r="DL77" s="19" t="n">
        <f aca="false">$B77+DL$3*100*$A77</f>
        <v>106.95</v>
      </c>
      <c r="DM77" s="19" t="n">
        <f aca="false">$B77+DM$3*100*$A77</f>
        <v>107.875</v>
      </c>
      <c r="DN77" s="19" t="n">
        <f aca="false">$B77+DN$3*100*$A77</f>
        <v>108.8</v>
      </c>
      <c r="DO77" s="19" t="n">
        <f aca="false">$B77+DO$3*100*$A77</f>
        <v>109.725</v>
      </c>
      <c r="DP77" s="19" t="n">
        <f aca="false">$B77+DP$3*100*$A77</f>
        <v>110.65</v>
      </c>
      <c r="DQ77" s="19" t="n">
        <f aca="false">$B77+DQ$3*100*$A77</f>
        <v>111.575</v>
      </c>
      <c r="DR77" s="19" t="n">
        <f aca="false">$B77+DR$3*100*$A77</f>
        <v>112.5</v>
      </c>
      <c r="DS77" s="19" t="n">
        <f aca="false">$B77+DS$3*100*$A77</f>
        <v>113.425</v>
      </c>
      <c r="DT77" s="19" t="n">
        <f aca="false">$B77+DT$3*100*$A77</f>
        <v>114.35</v>
      </c>
      <c r="DU77" s="19" t="n">
        <f aca="false">$B77+DU$3*100*$A77</f>
        <v>115.275</v>
      </c>
      <c r="DV77" s="19" t="n">
        <f aca="false">$B77+DV$3*100*$A77</f>
        <v>116.2</v>
      </c>
      <c r="DW77" s="19" t="n">
        <f aca="false">$B77+DW$3*100*$A77</f>
        <v>117.125</v>
      </c>
      <c r="DX77" s="19" t="n">
        <f aca="false">$B77+DX$3*100*$A77</f>
        <v>118.05</v>
      </c>
      <c r="DY77" s="19" t="n">
        <f aca="false">$B77+DY$3*100*$A77</f>
        <v>118.975</v>
      </c>
      <c r="DZ77" s="19" t="n">
        <f aca="false">$B77+DZ$3*100*$A77</f>
        <v>119.9</v>
      </c>
      <c r="EA77" s="19" t="n">
        <f aca="false">$B77+EA$3*100*$A77</f>
        <v>120.825</v>
      </c>
      <c r="EB77" s="19" t="n">
        <f aca="false">$B77+EB$3*100*$A77</f>
        <v>121.75</v>
      </c>
      <c r="EC77" s="19" t="n">
        <f aca="false">$B77+EC$3*100*$A77</f>
        <v>122.675</v>
      </c>
      <c r="ED77" s="19" t="n">
        <f aca="false">$B77+ED$3*100*$A77</f>
        <v>123.6</v>
      </c>
      <c r="EE77" s="19" t="n">
        <f aca="false">$B77+EE$3*100*$A77</f>
        <v>124.525</v>
      </c>
      <c r="EF77" s="19" t="n">
        <f aca="false">$B77+EF$3*100*$A77</f>
        <v>125.45</v>
      </c>
      <c r="EG77" s="19" t="n">
        <f aca="false">$B77+EG$3*100*$A77</f>
        <v>126.375</v>
      </c>
      <c r="EH77" s="19" t="n">
        <f aca="false">$B77+EH$3*100*$A77</f>
        <v>127.3</v>
      </c>
      <c r="EI77" s="19" t="n">
        <f aca="false">$B77+EI$3*100*$A77</f>
        <v>128.225</v>
      </c>
      <c r="EJ77" s="19" t="n">
        <f aca="false">$B77+EJ$3*100*$A77</f>
        <v>129.15</v>
      </c>
      <c r="EK77" s="19" t="n">
        <f aca="false">$B77+EK$3*100*$A77</f>
        <v>130.075</v>
      </c>
      <c r="EL77" s="19" t="n">
        <f aca="false">$B77+EL$3*100*$A77</f>
        <v>131</v>
      </c>
      <c r="EM77" s="19" t="n">
        <f aca="false">$B77+EM$3*100*$A77</f>
        <v>131.925</v>
      </c>
      <c r="EN77" s="19" t="n">
        <f aca="false">$B77+EN$3*100*$A77</f>
        <v>132.85</v>
      </c>
      <c r="EO77" s="19" t="n">
        <f aca="false">$B77+EO$3*100*$A77</f>
        <v>133.775</v>
      </c>
      <c r="EP77" s="19" t="n">
        <f aca="false">$B77+EP$3*100*$A77</f>
        <v>134.7</v>
      </c>
      <c r="EQ77" s="19" t="n">
        <f aca="false">$B77+EQ$3*100*$A77</f>
        <v>135.625</v>
      </c>
      <c r="ER77" s="19" t="n">
        <f aca="false">$B77+ER$3*100*$A77</f>
        <v>136.55</v>
      </c>
      <c r="ES77" s="19" t="n">
        <f aca="false">$B77+ES$3*100*$A77</f>
        <v>137.475</v>
      </c>
      <c r="ET77" s="19" t="n">
        <f aca="false">$B77+ET$3*100*$A77</f>
        <v>138.4</v>
      </c>
      <c r="EU77" s="19" t="n">
        <f aca="false">$B77+EU$3*100*$A77</f>
        <v>139.325</v>
      </c>
      <c r="EV77" s="19" t="n">
        <f aca="false">$B77+EV$3*100*$A77</f>
        <v>140.25</v>
      </c>
      <c r="EW77" s="19" t="n">
        <f aca="false">$B77+EW$3*100*$A77</f>
        <v>141.175</v>
      </c>
      <c r="EX77" s="19" t="n">
        <f aca="false">$B77+EX$3*100*$A77</f>
        <v>142.1</v>
      </c>
      <c r="EY77" s="19" t="n">
        <f aca="false">$B77+EY$3*100*$A77</f>
        <v>143.025</v>
      </c>
      <c r="EZ77" s="19" t="n">
        <f aca="false">$B77+EZ$3*100*$A77</f>
        <v>143.95</v>
      </c>
      <c r="FA77" s="19" t="n">
        <f aca="false">$B77+FA$3*100*$A77</f>
        <v>144.875</v>
      </c>
      <c r="FB77" s="19" t="n">
        <f aca="false">$B77+FB$3*100*$A77</f>
        <v>145.8</v>
      </c>
      <c r="FC77" s="19" t="n">
        <f aca="false">$B77+FC$3*100*$A77</f>
        <v>146.725</v>
      </c>
      <c r="FD77" s="19" t="n">
        <f aca="false">$B77+FD$3*100*$A77</f>
        <v>147.65</v>
      </c>
      <c r="FE77" s="19" t="n">
        <f aca="false">$B77+FE$3*100*$A77</f>
        <v>148.575</v>
      </c>
      <c r="FF77" s="19" t="n">
        <f aca="false">$B77+FF$3*100*$A77</f>
        <v>149.5</v>
      </c>
      <c r="FG77" s="19" t="n">
        <f aca="false">$B77+FG$3*100*$A77</f>
        <v>150.425</v>
      </c>
      <c r="FH77" s="19" t="n">
        <f aca="false">$B77+FH$3*100*$A77</f>
        <v>151.35</v>
      </c>
      <c r="FI77" s="19" t="n">
        <f aca="false">$B77+FI$3*100*$A77</f>
        <v>152.275</v>
      </c>
      <c r="FJ77" s="19" t="n">
        <f aca="false">$B77+FJ$3*100*$A77</f>
        <v>153.2</v>
      </c>
      <c r="FK77" s="19" t="n">
        <f aca="false">$B77+FK$3*100*$A77</f>
        <v>154.125</v>
      </c>
      <c r="FL77" s="19" t="n">
        <f aca="false">$B77+FL$3*100*$A77</f>
        <v>155.05</v>
      </c>
      <c r="FM77" s="19" t="n">
        <f aca="false">$B77+FM$3*100*$A77</f>
        <v>155.975</v>
      </c>
      <c r="FN77" s="19" t="n">
        <f aca="false">$B77+FN$3*100*$A77</f>
        <v>156.9</v>
      </c>
      <c r="FO77" s="19" t="n">
        <f aca="false">$B77+FO$3*100*$A77</f>
        <v>157.825</v>
      </c>
      <c r="FP77" s="19" t="n">
        <f aca="false">$B77+FP$3*100*$A77</f>
        <v>158.75</v>
      </c>
      <c r="FQ77" s="19" t="n">
        <f aca="false">$B77+FQ$3*100*$A77</f>
        <v>159.675</v>
      </c>
      <c r="FR77" s="19" t="n">
        <f aca="false">$B77+FR$3*100*$A77</f>
        <v>160.6</v>
      </c>
      <c r="FS77" s="19" t="n">
        <f aca="false">$B77+FS$3*100*$A77</f>
        <v>161.525</v>
      </c>
      <c r="FT77" s="19" t="n">
        <f aca="false">$B77+FT$3*100*$A77</f>
        <v>162.45</v>
      </c>
      <c r="FU77" s="19" t="n">
        <f aca="false">$B77+FU$3*100*$A77</f>
        <v>163.375</v>
      </c>
      <c r="FV77" s="19" t="n">
        <f aca="false">$B77+FV$3*100*$A77</f>
        <v>164.3</v>
      </c>
      <c r="FW77" s="19" t="n">
        <f aca="false">$B77+FW$3*100*$A77</f>
        <v>165.225</v>
      </c>
      <c r="FX77" s="19" t="n">
        <f aca="false">$B77+FX$3*100*$A77</f>
        <v>166.15</v>
      </c>
      <c r="FY77" s="19" t="n">
        <f aca="false">$B77+FY$3*100*$A77</f>
        <v>167.075</v>
      </c>
      <c r="FZ77" s="19" t="n">
        <f aca="false">$B77+FZ$3*100*$A77</f>
        <v>168</v>
      </c>
      <c r="GA77" s="19" t="n">
        <f aca="false">$B77+GA$3*100*$A77</f>
        <v>168.925</v>
      </c>
      <c r="GB77" s="19" t="n">
        <f aca="false">$B77+GB$3*100*$A77</f>
        <v>169.85</v>
      </c>
      <c r="GC77" s="19" t="n">
        <f aca="false">$B77+GC$3*100*$A77</f>
        <v>170.775</v>
      </c>
      <c r="GD77" s="19" t="n">
        <f aca="false">$B77+GD$3*100*$A77</f>
        <v>171.7</v>
      </c>
      <c r="GE77" s="19" t="n">
        <f aca="false">$B77+GE$3*100*$A77</f>
        <v>172.625</v>
      </c>
      <c r="GF77" s="19" t="n">
        <f aca="false">$B77+GF$3*100*$A77</f>
        <v>173.55</v>
      </c>
      <c r="GG77" s="19" t="n">
        <f aca="false">$B77+GG$3*100*$A77</f>
        <v>174.475</v>
      </c>
      <c r="GH77" s="19" t="n">
        <f aca="false">$B77+GH$3*100*$A77</f>
        <v>175.4</v>
      </c>
      <c r="GI77" s="19" t="n">
        <f aca="false">$B77+GI$3*100*$A77</f>
        <v>176.325</v>
      </c>
      <c r="GJ77" s="19" t="n">
        <f aca="false">$B77+GJ$3*100*$A77</f>
        <v>177.25</v>
      </c>
      <c r="GK77" s="19" t="n">
        <f aca="false">$B77+GK$3*100*$A77</f>
        <v>178.175</v>
      </c>
      <c r="GL77" s="19" t="n">
        <f aca="false">$B77+GL$3*100*$A77</f>
        <v>179.1</v>
      </c>
      <c r="GM77" s="19" t="n">
        <f aca="false">$B77+GM$3*100*$A77</f>
        <v>180.025</v>
      </c>
      <c r="GN77" s="19" t="n">
        <f aca="false">$B77+GN$3*100*$A77</f>
        <v>180.95</v>
      </c>
      <c r="GO77" s="19" t="n">
        <f aca="false">$B77+GO$3*100*$A77</f>
        <v>181.875</v>
      </c>
      <c r="GP77" s="19" t="n">
        <f aca="false">$B77+GP$3*100*$A77</f>
        <v>182.8</v>
      </c>
      <c r="GQ77" s="19" t="n">
        <f aca="false">$B77+GQ$3*100*$A77</f>
        <v>183.725</v>
      </c>
      <c r="GR77" s="19" t="n">
        <f aca="false">$B77+GR$3*100*$A77</f>
        <v>184.65</v>
      </c>
      <c r="GS77" s="19" t="n">
        <f aca="false">$B77+GS$3*100*$A77</f>
        <v>185.575</v>
      </c>
      <c r="GT77" s="19" t="n">
        <f aca="false">$B77+GT$3*100*$A77</f>
        <v>186.5</v>
      </c>
    </row>
    <row r="78" customFormat="false" ht="15" hidden="false" customHeight="false" outlineLevel="0" collapsed="false">
      <c r="A78" s="26" t="n">
        <f aca="false">Frontier!A76</f>
        <v>0.1875</v>
      </c>
      <c r="B78" s="34" t="n">
        <f aca="false">Frontier!B76</f>
        <v>1.37046367316718</v>
      </c>
      <c r="C78" s="19" t="n">
        <f aca="false">$B78+C$3*100*$A78</f>
        <v>2.30796367316718</v>
      </c>
      <c r="D78" s="19" t="n">
        <f aca="false">$B78+D$3*100*$A78</f>
        <v>3.24546367316718</v>
      </c>
      <c r="E78" s="19" t="n">
        <f aca="false">$B78+E$3*100*$A78</f>
        <v>4.18296367316718</v>
      </c>
      <c r="F78" s="19" t="n">
        <f aca="false">$B78+F$3*100*$A78</f>
        <v>5.12046367316718</v>
      </c>
      <c r="G78" s="19" t="n">
        <f aca="false">$B78+G$3*100*$A78</f>
        <v>6.05796367316718</v>
      </c>
      <c r="H78" s="19" t="n">
        <f aca="false">$B78+H$3*100*$A78</f>
        <v>6.99546367316718</v>
      </c>
      <c r="I78" s="19" t="n">
        <f aca="false">$B78+I$3*100*$A78</f>
        <v>7.93296367316718</v>
      </c>
      <c r="J78" s="19" t="n">
        <f aca="false">$B78+J$3*100*$A78</f>
        <v>8.87046367316718</v>
      </c>
      <c r="K78" s="19" t="n">
        <f aca="false">$B78+K$3*100*$A78</f>
        <v>9.80796367316718</v>
      </c>
      <c r="L78" s="19" t="n">
        <f aca="false">$B78+L$3*100*$A78</f>
        <v>10.7454636731672</v>
      </c>
      <c r="M78" s="19" t="n">
        <f aca="false">$B78+M$3*100*$A78</f>
        <v>11.6829636731672</v>
      </c>
      <c r="N78" s="19" t="n">
        <f aca="false">$B78+N$3*100*$A78</f>
        <v>12.6204636731672</v>
      </c>
      <c r="O78" s="19" t="n">
        <f aca="false">$B78+O$3*100*$A78</f>
        <v>13.5579636731672</v>
      </c>
      <c r="P78" s="19" t="n">
        <f aca="false">$B78+P$3*100*$A78</f>
        <v>14.4954636731672</v>
      </c>
      <c r="Q78" s="19" t="n">
        <f aca="false">$B78+Q$3*100*$A78</f>
        <v>15.4329636731672</v>
      </c>
      <c r="R78" s="19" t="n">
        <f aca="false">$B78+R$3*100*$A78</f>
        <v>16.3704636731672</v>
      </c>
      <c r="S78" s="19" t="n">
        <f aca="false">$B78+S$3*100*$A78</f>
        <v>17.3079636731672</v>
      </c>
      <c r="T78" s="19" t="n">
        <f aca="false">$B78+T$3*100*$A78</f>
        <v>18.2454636731672</v>
      </c>
      <c r="U78" s="19" t="n">
        <f aca="false">$B78+U$3*100*$A78</f>
        <v>19.1829636731672</v>
      </c>
      <c r="V78" s="19" t="n">
        <f aca="false">$B78+V$3*100*$A78</f>
        <v>20.1204636731672</v>
      </c>
      <c r="W78" s="19" t="n">
        <f aca="false">$B78+W$3*100*$A78</f>
        <v>21.0579636731672</v>
      </c>
      <c r="X78" s="19" t="n">
        <f aca="false">$B78+X$3*100*$A78</f>
        <v>21.9954636731672</v>
      </c>
      <c r="Y78" s="19" t="n">
        <f aca="false">$B78+Y$3*100*$A78</f>
        <v>22.9329636731672</v>
      </c>
      <c r="Z78" s="19" t="n">
        <f aca="false">$B78+Z$3*100*$A78</f>
        <v>23.8704636731672</v>
      </c>
      <c r="AA78" s="19" t="n">
        <f aca="false">$B78+AA$3*100*$A78</f>
        <v>24.8079636731672</v>
      </c>
      <c r="AB78" s="19" t="n">
        <f aca="false">$B78+AB$3*100*$A78</f>
        <v>25.7454636731672</v>
      </c>
      <c r="AC78" s="19" t="n">
        <f aca="false">$B78+AC$3*100*$A78</f>
        <v>26.6829636731672</v>
      </c>
      <c r="AD78" s="19" t="n">
        <f aca="false">$B78+AD$3*100*$A78</f>
        <v>27.6204636731672</v>
      </c>
      <c r="AE78" s="19" t="n">
        <f aca="false">$B78+AE$3*100*$A78</f>
        <v>28.5579636731672</v>
      </c>
      <c r="AF78" s="19" t="n">
        <f aca="false">$B78+AF$3*100*$A78</f>
        <v>29.4954636731672</v>
      </c>
      <c r="AG78" s="19" t="n">
        <f aca="false">$B78+AG$3*100*$A78</f>
        <v>30.4329636731672</v>
      </c>
      <c r="AH78" s="19" t="n">
        <f aca="false">$B78+AH$3*100*$A78</f>
        <v>31.3704636731672</v>
      </c>
      <c r="AI78" s="19" t="n">
        <f aca="false">$B78+AI$3*100*$A78</f>
        <v>32.3079636731672</v>
      </c>
      <c r="AJ78" s="19" t="n">
        <f aca="false">$B78+AJ$3*100*$A78</f>
        <v>33.2454636731672</v>
      </c>
      <c r="AK78" s="19" t="n">
        <f aca="false">$B78+AK$3*100*$A78</f>
        <v>34.1829636731672</v>
      </c>
      <c r="AL78" s="19" t="n">
        <f aca="false">$B78+AL$3*100*$A78</f>
        <v>35.1204636731672</v>
      </c>
      <c r="AM78" s="19" t="n">
        <f aca="false">$B78+AM$3*100*$A78</f>
        <v>36.0579636731672</v>
      </c>
      <c r="AN78" s="19" t="n">
        <f aca="false">$B78+AN$3*100*$A78</f>
        <v>36.9954636731672</v>
      </c>
      <c r="AO78" s="19" t="n">
        <f aca="false">$B78+AO$3*100*$A78</f>
        <v>37.9329636731672</v>
      </c>
      <c r="AP78" s="19" t="n">
        <f aca="false">$B78+AP$3*100*$A78</f>
        <v>38.8704636731672</v>
      </c>
      <c r="AQ78" s="19" t="n">
        <f aca="false">$B78+AQ$3*100*$A78</f>
        <v>39.8079636731672</v>
      </c>
      <c r="AR78" s="19" t="n">
        <f aca="false">$B78+AR$3*100*$A78</f>
        <v>40.7454636731672</v>
      </c>
      <c r="AS78" s="19" t="n">
        <f aca="false">$B78+AS$3*100*$A78</f>
        <v>41.6829636731672</v>
      </c>
      <c r="AT78" s="19" t="n">
        <f aca="false">$B78+AT$3*100*$A78</f>
        <v>42.6204636731672</v>
      </c>
      <c r="AU78" s="19" t="n">
        <f aca="false">$B78+AU$3*100*$A78</f>
        <v>43.5579636731672</v>
      </c>
      <c r="AV78" s="19" t="n">
        <f aca="false">$B78+AV$3*100*$A78</f>
        <v>44.4954636731672</v>
      </c>
      <c r="AW78" s="19" t="n">
        <f aca="false">$B78+AW$3*100*$A78</f>
        <v>45.4329636731672</v>
      </c>
      <c r="AX78" s="19" t="n">
        <f aca="false">$B78+AX$3*100*$A78</f>
        <v>46.3704636731672</v>
      </c>
      <c r="AY78" s="19" t="n">
        <f aca="false">$B78+AY$3*100*$A78</f>
        <v>47.3079636731672</v>
      </c>
      <c r="AZ78" s="19" t="n">
        <f aca="false">$B78+AZ$3*100*$A78</f>
        <v>48.2454636731672</v>
      </c>
      <c r="BA78" s="19" t="n">
        <f aca="false">$B78+BA$3*100*$A78</f>
        <v>49.1829636731672</v>
      </c>
      <c r="BB78" s="19" t="n">
        <f aca="false">$B78+BB$3*100*$A78</f>
        <v>50.1204636731672</v>
      </c>
      <c r="BC78" s="19" t="n">
        <f aca="false">$B78+BC$3*100*$A78</f>
        <v>51.0579636731672</v>
      </c>
      <c r="BD78" s="19" t="n">
        <f aca="false">$B78+BD$3*100*$A78</f>
        <v>51.9954636731672</v>
      </c>
      <c r="BE78" s="19" t="n">
        <f aca="false">$B78+BE$3*100*$A78</f>
        <v>52.9329636731672</v>
      </c>
      <c r="BF78" s="19" t="n">
        <f aca="false">$B78+BF$3*100*$A78</f>
        <v>53.8704636731672</v>
      </c>
      <c r="BG78" s="19" t="n">
        <f aca="false">$B78+BG$3*100*$A78</f>
        <v>54.8079636731672</v>
      </c>
      <c r="BH78" s="19" t="n">
        <f aca="false">$B78+BH$3*100*$A78</f>
        <v>55.7454636731672</v>
      </c>
      <c r="BI78" s="19" t="n">
        <f aca="false">$B78+BI$3*100*$A78</f>
        <v>56.6829636731672</v>
      </c>
      <c r="BJ78" s="19" t="n">
        <f aca="false">$B78+BJ$3*100*$A78</f>
        <v>57.6204636731672</v>
      </c>
      <c r="BK78" s="19" t="n">
        <f aca="false">$B78+BK$3*100*$A78</f>
        <v>58.5579636731672</v>
      </c>
      <c r="BL78" s="19" t="n">
        <f aca="false">$B78+BL$3*100*$A78</f>
        <v>59.4954636731672</v>
      </c>
      <c r="BM78" s="19" t="n">
        <f aca="false">$B78+BM$3*100*$A78</f>
        <v>60.4329636731672</v>
      </c>
      <c r="BN78" s="19" t="n">
        <f aca="false">$B78+BN$3*100*$A78</f>
        <v>61.3704636731672</v>
      </c>
      <c r="BO78" s="19" t="n">
        <f aca="false">$B78+BO$3*100*$A78</f>
        <v>62.3079636731672</v>
      </c>
      <c r="BP78" s="19" t="n">
        <f aca="false">$B78+BP$3*100*$A78</f>
        <v>63.2454636731672</v>
      </c>
      <c r="BQ78" s="19" t="n">
        <f aca="false">$B78+BQ$3*100*$A78</f>
        <v>64.1829636731672</v>
      </c>
      <c r="BR78" s="19" t="n">
        <f aca="false">$B78+BR$3*100*$A78</f>
        <v>65.1204636731672</v>
      </c>
      <c r="BS78" s="19" t="n">
        <f aca="false">$B78+BS$3*100*$A78</f>
        <v>66.0579636731672</v>
      </c>
      <c r="BT78" s="19" t="n">
        <f aca="false">$B78+BT$3*100*$A78</f>
        <v>66.9954636731672</v>
      </c>
      <c r="BU78" s="19" t="n">
        <f aca="false">$B78+BU$3*100*$A78</f>
        <v>67.9329636731672</v>
      </c>
      <c r="BV78" s="19" t="n">
        <f aca="false">$B78+BV$3*100*$A78</f>
        <v>68.8704636731672</v>
      </c>
      <c r="BW78" s="19" t="n">
        <f aca="false">$B78+BW$3*100*$A78</f>
        <v>69.8079636731672</v>
      </c>
      <c r="BX78" s="19" t="n">
        <f aca="false">$B78+BX$3*100*$A78</f>
        <v>70.7454636731672</v>
      </c>
      <c r="BY78" s="19" t="n">
        <f aca="false">$B78+BY$3*100*$A78</f>
        <v>71.6829636731672</v>
      </c>
      <c r="BZ78" s="19" t="n">
        <f aca="false">$B78+BZ$3*100*$A78</f>
        <v>72.6204636731672</v>
      </c>
      <c r="CA78" s="19" t="n">
        <f aca="false">$B78+CA$3*100*$A78</f>
        <v>73.5579636731672</v>
      </c>
      <c r="CB78" s="19" t="n">
        <f aca="false">$B78+CB$3*100*$A78</f>
        <v>74.4954636731672</v>
      </c>
      <c r="CC78" s="19" t="n">
        <f aca="false">$B78+CC$3*100*$A78</f>
        <v>75.4329636731672</v>
      </c>
      <c r="CD78" s="19" t="n">
        <f aca="false">$B78+CD$3*100*$A78</f>
        <v>76.3704636731672</v>
      </c>
      <c r="CE78" s="19" t="n">
        <f aca="false">$B78+CE$3*100*$A78</f>
        <v>77.3079636731672</v>
      </c>
      <c r="CF78" s="19" t="n">
        <f aca="false">$B78+CF$3*100*$A78</f>
        <v>78.2454636731672</v>
      </c>
      <c r="CG78" s="19" t="n">
        <f aca="false">$B78+CG$3*100*$A78</f>
        <v>79.1829636731672</v>
      </c>
      <c r="CH78" s="19" t="n">
        <f aca="false">$B78+CH$3*100*$A78</f>
        <v>80.1204636731672</v>
      </c>
      <c r="CI78" s="19" t="n">
        <f aca="false">$B78+CI$3*100*$A78</f>
        <v>81.0579636731672</v>
      </c>
      <c r="CJ78" s="19" t="n">
        <f aca="false">$B78+CJ$3*100*$A78</f>
        <v>81.9954636731672</v>
      </c>
      <c r="CK78" s="19" t="n">
        <f aca="false">$B78+CK$3*100*$A78</f>
        <v>82.9329636731672</v>
      </c>
      <c r="CL78" s="19" t="n">
        <f aca="false">$B78+CL$3*100*$A78</f>
        <v>83.8704636731672</v>
      </c>
      <c r="CM78" s="19" t="n">
        <f aca="false">$B78+CM$3*100*$A78</f>
        <v>84.8079636731672</v>
      </c>
      <c r="CN78" s="19" t="n">
        <f aca="false">$B78+CN$3*100*$A78</f>
        <v>85.7454636731672</v>
      </c>
      <c r="CO78" s="19" t="n">
        <f aca="false">$B78+CO$3*100*$A78</f>
        <v>86.6829636731672</v>
      </c>
      <c r="CP78" s="19" t="n">
        <f aca="false">$B78+CP$3*100*$A78</f>
        <v>87.6204636731672</v>
      </c>
      <c r="CQ78" s="19" t="n">
        <f aca="false">$B78+CQ$3*100*$A78</f>
        <v>88.5579636731672</v>
      </c>
      <c r="CR78" s="19" t="n">
        <f aca="false">$B78+CR$3*100*$A78</f>
        <v>89.4954636731672</v>
      </c>
      <c r="CS78" s="19" t="n">
        <f aca="false">$B78+CS$3*100*$A78</f>
        <v>90.4329636731672</v>
      </c>
      <c r="CT78" s="19" t="n">
        <f aca="false">$B78+CT$3*100*$A78</f>
        <v>91.3704636731672</v>
      </c>
      <c r="CU78" s="19" t="n">
        <f aca="false">$B78+CU$3*100*$A78</f>
        <v>92.3079636731672</v>
      </c>
      <c r="CV78" s="19" t="n">
        <f aca="false">$B78+CV$3*100*$A78</f>
        <v>93.2454636731672</v>
      </c>
      <c r="CW78" s="19" t="n">
        <f aca="false">$B78+CW$3*100*$A78</f>
        <v>94.1829636731672</v>
      </c>
      <c r="CX78" s="19" t="n">
        <f aca="false">$B78+CX$3*100*$A78</f>
        <v>95.1204636731672</v>
      </c>
      <c r="CY78" s="19" t="n">
        <f aca="false">$B78+CY$3*100*$A78</f>
        <v>96.0579636731672</v>
      </c>
      <c r="CZ78" s="19" t="n">
        <f aca="false">$B78+CZ$3*100*$A78</f>
        <v>96.9954636731672</v>
      </c>
      <c r="DA78" s="19" t="n">
        <f aca="false">$B78+DA$3*100*$A78</f>
        <v>97.9329636731672</v>
      </c>
      <c r="DB78" s="19" t="n">
        <f aca="false">$B78+DB$3*100*$A78</f>
        <v>98.8704636731672</v>
      </c>
      <c r="DC78" s="19" t="n">
        <f aca="false">$B78+DC$3*100*$A78</f>
        <v>99.8079636731672</v>
      </c>
      <c r="DD78" s="19" t="n">
        <f aca="false">$B78+DD$3*100*$A78</f>
        <v>100.745463673167</v>
      </c>
      <c r="DE78" s="19" t="n">
        <f aca="false">$B78+DE$3*100*$A78</f>
        <v>101.682963673167</v>
      </c>
      <c r="DF78" s="19" t="n">
        <f aca="false">$B78+DF$3*100*$A78</f>
        <v>102.620463673167</v>
      </c>
      <c r="DG78" s="19" t="n">
        <f aca="false">$B78+DG$3*100*$A78</f>
        <v>103.557963673167</v>
      </c>
      <c r="DH78" s="19" t="n">
        <f aca="false">$B78+DH$3*100*$A78</f>
        <v>104.495463673167</v>
      </c>
      <c r="DI78" s="19" t="n">
        <f aca="false">$B78+DI$3*100*$A78</f>
        <v>105.432963673167</v>
      </c>
      <c r="DJ78" s="19" t="n">
        <f aca="false">$B78+DJ$3*100*$A78</f>
        <v>106.370463673167</v>
      </c>
      <c r="DK78" s="19" t="n">
        <f aca="false">$B78+DK$3*100*$A78</f>
        <v>107.307963673167</v>
      </c>
      <c r="DL78" s="19" t="n">
        <f aca="false">$B78+DL$3*100*$A78</f>
        <v>108.245463673167</v>
      </c>
      <c r="DM78" s="19" t="n">
        <f aca="false">$B78+DM$3*100*$A78</f>
        <v>109.182963673167</v>
      </c>
      <c r="DN78" s="19" t="n">
        <f aca="false">$B78+DN$3*100*$A78</f>
        <v>110.120463673167</v>
      </c>
      <c r="DO78" s="19" t="n">
        <f aca="false">$B78+DO$3*100*$A78</f>
        <v>111.057963673167</v>
      </c>
      <c r="DP78" s="19" t="n">
        <f aca="false">$B78+DP$3*100*$A78</f>
        <v>111.995463673167</v>
      </c>
      <c r="DQ78" s="19" t="n">
        <f aca="false">$B78+DQ$3*100*$A78</f>
        <v>112.932963673167</v>
      </c>
      <c r="DR78" s="19" t="n">
        <f aca="false">$B78+DR$3*100*$A78</f>
        <v>113.870463673167</v>
      </c>
      <c r="DS78" s="19" t="n">
        <f aca="false">$B78+DS$3*100*$A78</f>
        <v>114.807963673167</v>
      </c>
      <c r="DT78" s="19" t="n">
        <f aca="false">$B78+DT$3*100*$A78</f>
        <v>115.745463673167</v>
      </c>
      <c r="DU78" s="19" t="n">
        <f aca="false">$B78+DU$3*100*$A78</f>
        <v>116.682963673167</v>
      </c>
      <c r="DV78" s="19" t="n">
        <f aca="false">$B78+DV$3*100*$A78</f>
        <v>117.620463673167</v>
      </c>
      <c r="DW78" s="19" t="n">
        <f aca="false">$B78+DW$3*100*$A78</f>
        <v>118.557963673167</v>
      </c>
      <c r="DX78" s="19" t="n">
        <f aca="false">$B78+DX$3*100*$A78</f>
        <v>119.495463673167</v>
      </c>
      <c r="DY78" s="19" t="n">
        <f aca="false">$B78+DY$3*100*$A78</f>
        <v>120.432963673167</v>
      </c>
      <c r="DZ78" s="19" t="n">
        <f aca="false">$B78+DZ$3*100*$A78</f>
        <v>121.370463673167</v>
      </c>
      <c r="EA78" s="19" t="n">
        <f aca="false">$B78+EA$3*100*$A78</f>
        <v>122.307963673167</v>
      </c>
      <c r="EB78" s="19" t="n">
        <f aca="false">$B78+EB$3*100*$A78</f>
        <v>123.245463673167</v>
      </c>
      <c r="EC78" s="19" t="n">
        <f aca="false">$B78+EC$3*100*$A78</f>
        <v>124.182963673167</v>
      </c>
      <c r="ED78" s="19" t="n">
        <f aca="false">$B78+ED$3*100*$A78</f>
        <v>125.120463673167</v>
      </c>
      <c r="EE78" s="19" t="n">
        <f aca="false">$B78+EE$3*100*$A78</f>
        <v>126.057963673167</v>
      </c>
      <c r="EF78" s="19" t="n">
        <f aca="false">$B78+EF$3*100*$A78</f>
        <v>126.995463673167</v>
      </c>
      <c r="EG78" s="19" t="n">
        <f aca="false">$B78+EG$3*100*$A78</f>
        <v>127.932963673167</v>
      </c>
      <c r="EH78" s="19" t="n">
        <f aca="false">$B78+EH$3*100*$A78</f>
        <v>128.870463673167</v>
      </c>
      <c r="EI78" s="19" t="n">
        <f aca="false">$B78+EI$3*100*$A78</f>
        <v>129.807963673167</v>
      </c>
      <c r="EJ78" s="19" t="n">
        <f aca="false">$B78+EJ$3*100*$A78</f>
        <v>130.745463673167</v>
      </c>
      <c r="EK78" s="19" t="n">
        <f aca="false">$B78+EK$3*100*$A78</f>
        <v>131.682963673167</v>
      </c>
      <c r="EL78" s="19" t="n">
        <f aca="false">$B78+EL$3*100*$A78</f>
        <v>132.620463673167</v>
      </c>
      <c r="EM78" s="19" t="n">
        <f aca="false">$B78+EM$3*100*$A78</f>
        <v>133.557963673167</v>
      </c>
      <c r="EN78" s="19" t="n">
        <f aca="false">$B78+EN$3*100*$A78</f>
        <v>134.495463673167</v>
      </c>
      <c r="EO78" s="19" t="n">
        <f aca="false">$B78+EO$3*100*$A78</f>
        <v>135.432963673167</v>
      </c>
      <c r="EP78" s="19" t="n">
        <f aca="false">$B78+EP$3*100*$A78</f>
        <v>136.370463673167</v>
      </c>
      <c r="EQ78" s="19" t="n">
        <f aca="false">$B78+EQ$3*100*$A78</f>
        <v>137.307963673167</v>
      </c>
      <c r="ER78" s="19" t="n">
        <f aca="false">$B78+ER$3*100*$A78</f>
        <v>138.245463673167</v>
      </c>
      <c r="ES78" s="19" t="n">
        <f aca="false">$B78+ES$3*100*$A78</f>
        <v>139.182963673167</v>
      </c>
      <c r="ET78" s="19" t="n">
        <f aca="false">$B78+ET$3*100*$A78</f>
        <v>140.120463673167</v>
      </c>
      <c r="EU78" s="19" t="n">
        <f aca="false">$B78+EU$3*100*$A78</f>
        <v>141.057963673167</v>
      </c>
      <c r="EV78" s="19" t="n">
        <f aca="false">$B78+EV$3*100*$A78</f>
        <v>141.995463673167</v>
      </c>
      <c r="EW78" s="19" t="n">
        <f aca="false">$B78+EW$3*100*$A78</f>
        <v>142.932963673167</v>
      </c>
      <c r="EX78" s="19" t="n">
        <f aca="false">$B78+EX$3*100*$A78</f>
        <v>143.870463673167</v>
      </c>
      <c r="EY78" s="19" t="n">
        <f aca="false">$B78+EY$3*100*$A78</f>
        <v>144.807963673167</v>
      </c>
      <c r="EZ78" s="19" t="n">
        <f aca="false">$B78+EZ$3*100*$A78</f>
        <v>145.745463673167</v>
      </c>
      <c r="FA78" s="19" t="n">
        <f aca="false">$B78+FA$3*100*$A78</f>
        <v>146.682963673167</v>
      </c>
      <c r="FB78" s="19" t="n">
        <f aca="false">$B78+FB$3*100*$A78</f>
        <v>147.620463673167</v>
      </c>
      <c r="FC78" s="19" t="n">
        <f aca="false">$B78+FC$3*100*$A78</f>
        <v>148.557963673167</v>
      </c>
      <c r="FD78" s="19" t="n">
        <f aca="false">$B78+FD$3*100*$A78</f>
        <v>149.495463673167</v>
      </c>
      <c r="FE78" s="19" t="n">
        <f aca="false">$B78+FE$3*100*$A78</f>
        <v>150.432963673167</v>
      </c>
      <c r="FF78" s="19" t="n">
        <f aca="false">$B78+FF$3*100*$A78</f>
        <v>151.370463673167</v>
      </c>
      <c r="FG78" s="19" t="n">
        <f aca="false">$B78+FG$3*100*$A78</f>
        <v>152.307963673167</v>
      </c>
      <c r="FH78" s="19" t="n">
        <f aca="false">$B78+FH$3*100*$A78</f>
        <v>153.245463673167</v>
      </c>
      <c r="FI78" s="19" t="n">
        <f aca="false">$B78+FI$3*100*$A78</f>
        <v>154.182963673167</v>
      </c>
      <c r="FJ78" s="19" t="n">
        <f aca="false">$B78+FJ$3*100*$A78</f>
        <v>155.120463673167</v>
      </c>
      <c r="FK78" s="19" t="n">
        <f aca="false">$B78+FK$3*100*$A78</f>
        <v>156.057963673167</v>
      </c>
      <c r="FL78" s="19" t="n">
        <f aca="false">$B78+FL$3*100*$A78</f>
        <v>156.995463673167</v>
      </c>
      <c r="FM78" s="19" t="n">
        <f aca="false">$B78+FM$3*100*$A78</f>
        <v>157.932963673167</v>
      </c>
      <c r="FN78" s="19" t="n">
        <f aca="false">$B78+FN$3*100*$A78</f>
        <v>158.870463673167</v>
      </c>
      <c r="FO78" s="19" t="n">
        <f aca="false">$B78+FO$3*100*$A78</f>
        <v>159.807963673167</v>
      </c>
      <c r="FP78" s="19" t="n">
        <f aca="false">$B78+FP$3*100*$A78</f>
        <v>160.745463673167</v>
      </c>
      <c r="FQ78" s="19" t="n">
        <f aca="false">$B78+FQ$3*100*$A78</f>
        <v>161.682963673167</v>
      </c>
      <c r="FR78" s="19" t="n">
        <f aca="false">$B78+FR$3*100*$A78</f>
        <v>162.620463673167</v>
      </c>
      <c r="FS78" s="19" t="n">
        <f aca="false">$B78+FS$3*100*$A78</f>
        <v>163.557963673167</v>
      </c>
      <c r="FT78" s="19" t="n">
        <f aca="false">$B78+FT$3*100*$A78</f>
        <v>164.495463673167</v>
      </c>
      <c r="FU78" s="19" t="n">
        <f aca="false">$B78+FU$3*100*$A78</f>
        <v>165.432963673167</v>
      </c>
      <c r="FV78" s="19" t="n">
        <f aca="false">$B78+FV$3*100*$A78</f>
        <v>166.370463673167</v>
      </c>
      <c r="FW78" s="19" t="n">
        <f aca="false">$B78+FW$3*100*$A78</f>
        <v>167.307963673167</v>
      </c>
      <c r="FX78" s="19" t="n">
        <f aca="false">$B78+FX$3*100*$A78</f>
        <v>168.245463673167</v>
      </c>
      <c r="FY78" s="19" t="n">
        <f aca="false">$B78+FY$3*100*$A78</f>
        <v>169.182963673167</v>
      </c>
      <c r="FZ78" s="19" t="n">
        <f aca="false">$B78+FZ$3*100*$A78</f>
        <v>170.120463673167</v>
      </c>
      <c r="GA78" s="19" t="n">
        <f aca="false">$B78+GA$3*100*$A78</f>
        <v>171.057963673167</v>
      </c>
      <c r="GB78" s="19" t="n">
        <f aca="false">$B78+GB$3*100*$A78</f>
        <v>171.995463673167</v>
      </c>
      <c r="GC78" s="19" t="n">
        <f aca="false">$B78+GC$3*100*$A78</f>
        <v>172.932963673167</v>
      </c>
      <c r="GD78" s="19" t="n">
        <f aca="false">$B78+GD$3*100*$A78</f>
        <v>173.870463673167</v>
      </c>
      <c r="GE78" s="19" t="n">
        <f aca="false">$B78+GE$3*100*$A78</f>
        <v>174.807963673167</v>
      </c>
      <c r="GF78" s="19" t="n">
        <f aca="false">$B78+GF$3*100*$A78</f>
        <v>175.745463673167</v>
      </c>
      <c r="GG78" s="19" t="n">
        <f aca="false">$B78+GG$3*100*$A78</f>
        <v>176.682963673167</v>
      </c>
      <c r="GH78" s="19" t="n">
        <f aca="false">$B78+GH$3*100*$A78</f>
        <v>177.620463673167</v>
      </c>
      <c r="GI78" s="19" t="n">
        <f aca="false">$B78+GI$3*100*$A78</f>
        <v>178.557963673167</v>
      </c>
      <c r="GJ78" s="19" t="n">
        <f aca="false">$B78+GJ$3*100*$A78</f>
        <v>179.495463673167</v>
      </c>
      <c r="GK78" s="19" t="n">
        <f aca="false">$B78+GK$3*100*$A78</f>
        <v>180.432963673167</v>
      </c>
      <c r="GL78" s="19" t="n">
        <f aca="false">$B78+GL$3*100*$A78</f>
        <v>181.370463673167</v>
      </c>
      <c r="GM78" s="19" t="n">
        <f aca="false">$B78+GM$3*100*$A78</f>
        <v>182.307963673167</v>
      </c>
      <c r="GN78" s="19" t="n">
        <f aca="false">$B78+GN$3*100*$A78</f>
        <v>183.245463673167</v>
      </c>
      <c r="GO78" s="19" t="n">
        <f aca="false">$B78+GO$3*100*$A78</f>
        <v>184.182963673167</v>
      </c>
      <c r="GP78" s="19" t="n">
        <f aca="false">$B78+GP$3*100*$A78</f>
        <v>185.120463673167</v>
      </c>
      <c r="GQ78" s="19" t="n">
        <f aca="false">$B78+GQ$3*100*$A78</f>
        <v>186.057963673167</v>
      </c>
      <c r="GR78" s="19" t="n">
        <f aca="false">$B78+GR$3*100*$A78</f>
        <v>186.995463673167</v>
      </c>
      <c r="GS78" s="19" t="n">
        <f aca="false">$B78+GS$3*100*$A78</f>
        <v>187.932963673167</v>
      </c>
      <c r="GT78" s="19" t="n">
        <f aca="false">$B78+GT$3*100*$A78</f>
        <v>188.870463673167</v>
      </c>
    </row>
    <row r="79" customFormat="false" ht="15" hidden="false" customHeight="false" outlineLevel="0" collapsed="false">
      <c r="A79" s="26" t="n">
        <f aca="false">Frontier!A77</f>
        <v>0.19</v>
      </c>
      <c r="B79" s="34" t="n">
        <f aca="false">Frontier!B77</f>
        <v>1.35</v>
      </c>
      <c r="C79" s="19" t="n">
        <f aca="false">$B79+C$3*100*$A79</f>
        <v>2.3</v>
      </c>
      <c r="D79" s="19" t="n">
        <f aca="false">$B79+D$3*100*$A79</f>
        <v>3.25</v>
      </c>
      <c r="E79" s="19" t="n">
        <f aca="false">$B79+E$3*100*$A79</f>
        <v>4.2</v>
      </c>
      <c r="F79" s="19" t="n">
        <f aca="false">$B79+F$3*100*$A79</f>
        <v>5.15</v>
      </c>
      <c r="G79" s="19" t="n">
        <f aca="false">$B79+G$3*100*$A79</f>
        <v>6.1</v>
      </c>
      <c r="H79" s="19" t="n">
        <f aca="false">$B79+H$3*100*$A79</f>
        <v>7.05</v>
      </c>
      <c r="I79" s="19" t="n">
        <f aca="false">$B79+I$3*100*$A79</f>
        <v>8</v>
      </c>
      <c r="J79" s="19" t="n">
        <f aca="false">$B79+J$3*100*$A79</f>
        <v>8.95</v>
      </c>
      <c r="K79" s="19" t="n">
        <f aca="false">$B79+K$3*100*$A79</f>
        <v>9.9</v>
      </c>
      <c r="L79" s="19" t="n">
        <f aca="false">$B79+L$3*100*$A79</f>
        <v>10.85</v>
      </c>
      <c r="M79" s="19" t="n">
        <f aca="false">$B79+M$3*100*$A79</f>
        <v>11.8</v>
      </c>
      <c r="N79" s="19" t="n">
        <f aca="false">$B79+N$3*100*$A79</f>
        <v>12.75</v>
      </c>
      <c r="O79" s="19" t="n">
        <f aca="false">$B79+O$3*100*$A79</f>
        <v>13.7</v>
      </c>
      <c r="P79" s="19" t="n">
        <f aca="false">$B79+P$3*100*$A79</f>
        <v>14.65</v>
      </c>
      <c r="Q79" s="19" t="n">
        <f aca="false">$B79+Q$3*100*$A79</f>
        <v>15.6</v>
      </c>
      <c r="R79" s="19" t="n">
        <f aca="false">$B79+R$3*100*$A79</f>
        <v>16.55</v>
      </c>
      <c r="S79" s="19" t="n">
        <f aca="false">$B79+S$3*100*$A79</f>
        <v>17.5</v>
      </c>
      <c r="T79" s="19" t="n">
        <f aca="false">$B79+T$3*100*$A79</f>
        <v>18.45</v>
      </c>
      <c r="U79" s="19" t="n">
        <f aca="false">$B79+U$3*100*$A79</f>
        <v>19.4</v>
      </c>
      <c r="V79" s="19" t="n">
        <f aca="false">$B79+V$3*100*$A79</f>
        <v>20.35</v>
      </c>
      <c r="W79" s="19" t="n">
        <f aca="false">$B79+W$3*100*$A79</f>
        <v>21.3</v>
      </c>
      <c r="X79" s="19" t="n">
        <f aca="false">$B79+X$3*100*$A79</f>
        <v>22.25</v>
      </c>
      <c r="Y79" s="19" t="n">
        <f aca="false">$B79+Y$3*100*$A79</f>
        <v>23.2</v>
      </c>
      <c r="Z79" s="19" t="n">
        <f aca="false">$B79+Z$3*100*$A79</f>
        <v>24.15</v>
      </c>
      <c r="AA79" s="19" t="n">
        <f aca="false">$B79+AA$3*100*$A79</f>
        <v>25.1</v>
      </c>
      <c r="AB79" s="19" t="n">
        <f aca="false">$B79+AB$3*100*$A79</f>
        <v>26.05</v>
      </c>
      <c r="AC79" s="19" t="n">
        <f aca="false">$B79+AC$3*100*$A79</f>
        <v>27</v>
      </c>
      <c r="AD79" s="19" t="n">
        <f aca="false">$B79+AD$3*100*$A79</f>
        <v>27.95</v>
      </c>
      <c r="AE79" s="19" t="n">
        <f aca="false">$B79+AE$3*100*$A79</f>
        <v>28.9</v>
      </c>
      <c r="AF79" s="19" t="n">
        <f aca="false">$B79+AF$3*100*$A79</f>
        <v>29.85</v>
      </c>
      <c r="AG79" s="19" t="n">
        <f aca="false">$B79+AG$3*100*$A79</f>
        <v>30.8</v>
      </c>
      <c r="AH79" s="19" t="n">
        <f aca="false">$B79+AH$3*100*$A79</f>
        <v>31.75</v>
      </c>
      <c r="AI79" s="19" t="n">
        <f aca="false">$B79+AI$3*100*$A79</f>
        <v>32.7</v>
      </c>
      <c r="AJ79" s="19" t="n">
        <f aca="false">$B79+AJ$3*100*$A79</f>
        <v>33.65</v>
      </c>
      <c r="AK79" s="19" t="n">
        <f aca="false">$B79+AK$3*100*$A79</f>
        <v>34.6</v>
      </c>
      <c r="AL79" s="19" t="n">
        <f aca="false">$B79+AL$3*100*$A79</f>
        <v>35.55</v>
      </c>
      <c r="AM79" s="19" t="n">
        <f aca="false">$B79+AM$3*100*$A79</f>
        <v>36.5</v>
      </c>
      <c r="AN79" s="19" t="n">
        <f aca="false">$B79+AN$3*100*$A79</f>
        <v>37.45</v>
      </c>
      <c r="AO79" s="19" t="n">
        <f aca="false">$B79+AO$3*100*$A79</f>
        <v>38.4</v>
      </c>
      <c r="AP79" s="19" t="n">
        <f aca="false">$B79+AP$3*100*$A79</f>
        <v>39.35</v>
      </c>
      <c r="AQ79" s="19" t="n">
        <f aca="false">$B79+AQ$3*100*$A79</f>
        <v>40.3</v>
      </c>
      <c r="AR79" s="19" t="n">
        <f aca="false">$B79+AR$3*100*$A79</f>
        <v>41.25</v>
      </c>
      <c r="AS79" s="19" t="n">
        <f aca="false">$B79+AS$3*100*$A79</f>
        <v>42.2</v>
      </c>
      <c r="AT79" s="19" t="n">
        <f aca="false">$B79+AT$3*100*$A79</f>
        <v>43.15</v>
      </c>
      <c r="AU79" s="19" t="n">
        <f aca="false">$B79+AU$3*100*$A79</f>
        <v>44.1</v>
      </c>
      <c r="AV79" s="19" t="n">
        <f aca="false">$B79+AV$3*100*$A79</f>
        <v>45.05</v>
      </c>
      <c r="AW79" s="19" t="n">
        <f aca="false">$B79+AW$3*100*$A79</f>
        <v>46</v>
      </c>
      <c r="AX79" s="19" t="n">
        <f aca="false">$B79+AX$3*100*$A79</f>
        <v>46.95</v>
      </c>
      <c r="AY79" s="19" t="n">
        <f aca="false">$B79+AY$3*100*$A79</f>
        <v>47.9</v>
      </c>
      <c r="AZ79" s="19" t="n">
        <f aca="false">$B79+AZ$3*100*$A79</f>
        <v>48.85</v>
      </c>
      <c r="BA79" s="19" t="n">
        <f aca="false">$B79+BA$3*100*$A79</f>
        <v>49.8</v>
      </c>
      <c r="BB79" s="19" t="n">
        <f aca="false">$B79+BB$3*100*$A79</f>
        <v>50.75</v>
      </c>
      <c r="BC79" s="19" t="n">
        <f aca="false">$B79+BC$3*100*$A79</f>
        <v>51.7</v>
      </c>
      <c r="BD79" s="19" t="n">
        <f aca="false">$B79+BD$3*100*$A79</f>
        <v>52.65</v>
      </c>
      <c r="BE79" s="19" t="n">
        <f aca="false">$B79+BE$3*100*$A79</f>
        <v>53.6</v>
      </c>
      <c r="BF79" s="19" t="n">
        <f aca="false">$B79+BF$3*100*$A79</f>
        <v>54.55</v>
      </c>
      <c r="BG79" s="19" t="n">
        <f aca="false">$B79+BG$3*100*$A79</f>
        <v>55.5</v>
      </c>
      <c r="BH79" s="19" t="n">
        <f aca="false">$B79+BH$3*100*$A79</f>
        <v>56.45</v>
      </c>
      <c r="BI79" s="19" t="n">
        <f aca="false">$B79+BI$3*100*$A79</f>
        <v>57.4</v>
      </c>
      <c r="BJ79" s="19" t="n">
        <f aca="false">$B79+BJ$3*100*$A79</f>
        <v>58.35</v>
      </c>
      <c r="BK79" s="19" t="n">
        <f aca="false">$B79+BK$3*100*$A79</f>
        <v>59.3</v>
      </c>
      <c r="BL79" s="19" t="n">
        <f aca="false">$B79+BL$3*100*$A79</f>
        <v>60.25</v>
      </c>
      <c r="BM79" s="19" t="n">
        <f aca="false">$B79+BM$3*100*$A79</f>
        <v>61.2</v>
      </c>
      <c r="BN79" s="19" t="n">
        <f aca="false">$B79+BN$3*100*$A79</f>
        <v>62.15</v>
      </c>
      <c r="BO79" s="19" t="n">
        <f aca="false">$B79+BO$3*100*$A79</f>
        <v>63.1</v>
      </c>
      <c r="BP79" s="19" t="n">
        <f aca="false">$B79+BP$3*100*$A79</f>
        <v>64.05</v>
      </c>
      <c r="BQ79" s="19" t="n">
        <f aca="false">$B79+BQ$3*100*$A79</f>
        <v>65</v>
      </c>
      <c r="BR79" s="19" t="n">
        <f aca="false">$B79+BR$3*100*$A79</f>
        <v>65.95</v>
      </c>
      <c r="BS79" s="19" t="n">
        <f aca="false">$B79+BS$3*100*$A79</f>
        <v>66.9</v>
      </c>
      <c r="BT79" s="19" t="n">
        <f aca="false">$B79+BT$3*100*$A79</f>
        <v>67.85</v>
      </c>
      <c r="BU79" s="19" t="n">
        <f aca="false">$B79+BU$3*100*$A79</f>
        <v>68.8</v>
      </c>
      <c r="BV79" s="19" t="n">
        <f aca="false">$B79+BV$3*100*$A79</f>
        <v>69.75</v>
      </c>
      <c r="BW79" s="19" t="n">
        <f aca="false">$B79+BW$3*100*$A79</f>
        <v>70.7</v>
      </c>
      <c r="BX79" s="19" t="n">
        <f aca="false">$B79+BX$3*100*$A79</f>
        <v>71.65</v>
      </c>
      <c r="BY79" s="19" t="n">
        <f aca="false">$B79+BY$3*100*$A79</f>
        <v>72.6</v>
      </c>
      <c r="BZ79" s="19" t="n">
        <f aca="false">$B79+BZ$3*100*$A79</f>
        <v>73.55</v>
      </c>
      <c r="CA79" s="19" t="n">
        <f aca="false">$B79+CA$3*100*$A79</f>
        <v>74.5</v>
      </c>
      <c r="CB79" s="19" t="n">
        <f aca="false">$B79+CB$3*100*$A79</f>
        <v>75.45</v>
      </c>
      <c r="CC79" s="19" t="n">
        <f aca="false">$B79+CC$3*100*$A79</f>
        <v>76.4</v>
      </c>
      <c r="CD79" s="19" t="n">
        <f aca="false">$B79+CD$3*100*$A79</f>
        <v>77.35</v>
      </c>
      <c r="CE79" s="19" t="n">
        <f aca="false">$B79+CE$3*100*$A79</f>
        <v>78.3</v>
      </c>
      <c r="CF79" s="19" t="n">
        <f aca="false">$B79+CF$3*100*$A79</f>
        <v>79.25</v>
      </c>
      <c r="CG79" s="19" t="n">
        <f aca="false">$B79+CG$3*100*$A79</f>
        <v>80.2</v>
      </c>
      <c r="CH79" s="19" t="n">
        <f aca="false">$B79+CH$3*100*$A79</f>
        <v>81.15</v>
      </c>
      <c r="CI79" s="19" t="n">
        <f aca="false">$B79+CI$3*100*$A79</f>
        <v>82.1</v>
      </c>
      <c r="CJ79" s="19" t="n">
        <f aca="false">$B79+CJ$3*100*$A79</f>
        <v>83.05</v>
      </c>
      <c r="CK79" s="19" t="n">
        <f aca="false">$B79+CK$3*100*$A79</f>
        <v>84</v>
      </c>
      <c r="CL79" s="19" t="n">
        <f aca="false">$B79+CL$3*100*$A79</f>
        <v>84.95</v>
      </c>
      <c r="CM79" s="19" t="n">
        <f aca="false">$B79+CM$3*100*$A79</f>
        <v>85.9</v>
      </c>
      <c r="CN79" s="19" t="n">
        <f aca="false">$B79+CN$3*100*$A79</f>
        <v>86.85</v>
      </c>
      <c r="CO79" s="19" t="n">
        <f aca="false">$B79+CO$3*100*$A79</f>
        <v>87.8</v>
      </c>
      <c r="CP79" s="19" t="n">
        <f aca="false">$B79+CP$3*100*$A79</f>
        <v>88.75</v>
      </c>
      <c r="CQ79" s="19" t="n">
        <f aca="false">$B79+CQ$3*100*$A79</f>
        <v>89.7</v>
      </c>
      <c r="CR79" s="19" t="n">
        <f aca="false">$B79+CR$3*100*$A79</f>
        <v>90.65</v>
      </c>
      <c r="CS79" s="19" t="n">
        <f aca="false">$B79+CS$3*100*$A79</f>
        <v>91.6</v>
      </c>
      <c r="CT79" s="19" t="n">
        <f aca="false">$B79+CT$3*100*$A79</f>
        <v>92.55</v>
      </c>
      <c r="CU79" s="19" t="n">
        <f aca="false">$B79+CU$3*100*$A79</f>
        <v>93.5</v>
      </c>
      <c r="CV79" s="19" t="n">
        <f aca="false">$B79+CV$3*100*$A79</f>
        <v>94.45</v>
      </c>
      <c r="CW79" s="19" t="n">
        <f aca="false">$B79+CW$3*100*$A79</f>
        <v>95.4</v>
      </c>
      <c r="CX79" s="19" t="n">
        <f aca="false">$B79+CX$3*100*$A79</f>
        <v>96.35</v>
      </c>
      <c r="CY79" s="19" t="n">
        <f aca="false">$B79+CY$3*100*$A79</f>
        <v>97.3</v>
      </c>
      <c r="CZ79" s="19" t="n">
        <f aca="false">$B79+CZ$3*100*$A79</f>
        <v>98.25</v>
      </c>
      <c r="DA79" s="19" t="n">
        <f aca="false">$B79+DA$3*100*$A79</f>
        <v>99.2</v>
      </c>
      <c r="DB79" s="19" t="n">
        <f aca="false">$B79+DB$3*100*$A79</f>
        <v>100.15</v>
      </c>
      <c r="DC79" s="19" t="n">
        <f aca="false">$B79+DC$3*100*$A79</f>
        <v>101.1</v>
      </c>
      <c r="DD79" s="19" t="n">
        <f aca="false">$B79+DD$3*100*$A79</f>
        <v>102.05</v>
      </c>
      <c r="DE79" s="19" t="n">
        <f aca="false">$B79+DE$3*100*$A79</f>
        <v>103</v>
      </c>
      <c r="DF79" s="19" t="n">
        <f aca="false">$B79+DF$3*100*$A79</f>
        <v>103.95</v>
      </c>
      <c r="DG79" s="19" t="n">
        <f aca="false">$B79+DG$3*100*$A79</f>
        <v>104.9</v>
      </c>
      <c r="DH79" s="19" t="n">
        <f aca="false">$B79+DH$3*100*$A79</f>
        <v>105.85</v>
      </c>
      <c r="DI79" s="19" t="n">
        <f aca="false">$B79+DI$3*100*$A79</f>
        <v>106.8</v>
      </c>
      <c r="DJ79" s="19" t="n">
        <f aca="false">$B79+DJ$3*100*$A79</f>
        <v>107.75</v>
      </c>
      <c r="DK79" s="19" t="n">
        <f aca="false">$B79+DK$3*100*$A79</f>
        <v>108.7</v>
      </c>
      <c r="DL79" s="19" t="n">
        <f aca="false">$B79+DL$3*100*$A79</f>
        <v>109.65</v>
      </c>
      <c r="DM79" s="19" t="n">
        <f aca="false">$B79+DM$3*100*$A79</f>
        <v>110.6</v>
      </c>
      <c r="DN79" s="19" t="n">
        <f aca="false">$B79+DN$3*100*$A79</f>
        <v>111.55</v>
      </c>
      <c r="DO79" s="19" t="n">
        <f aca="false">$B79+DO$3*100*$A79</f>
        <v>112.5</v>
      </c>
      <c r="DP79" s="19" t="n">
        <f aca="false">$B79+DP$3*100*$A79</f>
        <v>113.45</v>
      </c>
      <c r="DQ79" s="19" t="n">
        <f aca="false">$B79+DQ$3*100*$A79</f>
        <v>114.4</v>
      </c>
      <c r="DR79" s="19" t="n">
        <f aca="false">$B79+DR$3*100*$A79</f>
        <v>115.35</v>
      </c>
      <c r="DS79" s="19" t="n">
        <f aca="false">$B79+DS$3*100*$A79</f>
        <v>116.3</v>
      </c>
      <c r="DT79" s="19" t="n">
        <f aca="false">$B79+DT$3*100*$A79</f>
        <v>117.25</v>
      </c>
      <c r="DU79" s="19" t="n">
        <f aca="false">$B79+DU$3*100*$A79</f>
        <v>118.2</v>
      </c>
      <c r="DV79" s="19" t="n">
        <f aca="false">$B79+DV$3*100*$A79</f>
        <v>119.15</v>
      </c>
      <c r="DW79" s="19" t="n">
        <f aca="false">$B79+DW$3*100*$A79</f>
        <v>120.1</v>
      </c>
      <c r="DX79" s="19" t="n">
        <f aca="false">$B79+DX$3*100*$A79</f>
        <v>121.05</v>
      </c>
      <c r="DY79" s="19" t="n">
        <f aca="false">$B79+DY$3*100*$A79</f>
        <v>122</v>
      </c>
      <c r="DZ79" s="19" t="n">
        <f aca="false">$B79+DZ$3*100*$A79</f>
        <v>122.95</v>
      </c>
      <c r="EA79" s="19" t="n">
        <f aca="false">$B79+EA$3*100*$A79</f>
        <v>123.9</v>
      </c>
      <c r="EB79" s="19" t="n">
        <f aca="false">$B79+EB$3*100*$A79</f>
        <v>124.85</v>
      </c>
      <c r="EC79" s="19" t="n">
        <f aca="false">$B79+EC$3*100*$A79</f>
        <v>125.8</v>
      </c>
      <c r="ED79" s="19" t="n">
        <f aca="false">$B79+ED$3*100*$A79</f>
        <v>126.75</v>
      </c>
      <c r="EE79" s="19" t="n">
        <f aca="false">$B79+EE$3*100*$A79</f>
        <v>127.7</v>
      </c>
      <c r="EF79" s="19" t="n">
        <f aca="false">$B79+EF$3*100*$A79</f>
        <v>128.65</v>
      </c>
      <c r="EG79" s="19" t="n">
        <f aca="false">$B79+EG$3*100*$A79</f>
        <v>129.6</v>
      </c>
      <c r="EH79" s="19" t="n">
        <f aca="false">$B79+EH$3*100*$A79</f>
        <v>130.55</v>
      </c>
      <c r="EI79" s="19" t="n">
        <f aca="false">$B79+EI$3*100*$A79</f>
        <v>131.5</v>
      </c>
      <c r="EJ79" s="19" t="n">
        <f aca="false">$B79+EJ$3*100*$A79</f>
        <v>132.45</v>
      </c>
      <c r="EK79" s="19" t="n">
        <f aca="false">$B79+EK$3*100*$A79</f>
        <v>133.4</v>
      </c>
      <c r="EL79" s="19" t="n">
        <f aca="false">$B79+EL$3*100*$A79</f>
        <v>134.35</v>
      </c>
      <c r="EM79" s="19" t="n">
        <f aca="false">$B79+EM$3*100*$A79</f>
        <v>135.3</v>
      </c>
      <c r="EN79" s="19" t="n">
        <f aca="false">$B79+EN$3*100*$A79</f>
        <v>136.25</v>
      </c>
      <c r="EO79" s="19" t="n">
        <f aca="false">$B79+EO$3*100*$A79</f>
        <v>137.2</v>
      </c>
      <c r="EP79" s="19" t="n">
        <f aca="false">$B79+EP$3*100*$A79</f>
        <v>138.15</v>
      </c>
      <c r="EQ79" s="19" t="n">
        <f aca="false">$B79+EQ$3*100*$A79</f>
        <v>139.1</v>
      </c>
      <c r="ER79" s="19" t="n">
        <f aca="false">$B79+ER$3*100*$A79</f>
        <v>140.05</v>
      </c>
      <c r="ES79" s="19" t="n">
        <f aca="false">$B79+ES$3*100*$A79</f>
        <v>141</v>
      </c>
      <c r="ET79" s="19" t="n">
        <f aca="false">$B79+ET$3*100*$A79</f>
        <v>141.95</v>
      </c>
      <c r="EU79" s="19" t="n">
        <f aca="false">$B79+EU$3*100*$A79</f>
        <v>142.9</v>
      </c>
      <c r="EV79" s="19" t="n">
        <f aca="false">$B79+EV$3*100*$A79</f>
        <v>143.85</v>
      </c>
      <c r="EW79" s="19" t="n">
        <f aca="false">$B79+EW$3*100*$A79</f>
        <v>144.8</v>
      </c>
      <c r="EX79" s="19" t="n">
        <f aca="false">$B79+EX$3*100*$A79</f>
        <v>145.75</v>
      </c>
      <c r="EY79" s="19" t="n">
        <f aca="false">$B79+EY$3*100*$A79</f>
        <v>146.7</v>
      </c>
      <c r="EZ79" s="19" t="n">
        <f aca="false">$B79+EZ$3*100*$A79</f>
        <v>147.65</v>
      </c>
      <c r="FA79" s="19" t="n">
        <f aca="false">$B79+FA$3*100*$A79</f>
        <v>148.6</v>
      </c>
      <c r="FB79" s="19" t="n">
        <f aca="false">$B79+FB$3*100*$A79</f>
        <v>149.55</v>
      </c>
      <c r="FC79" s="19" t="n">
        <f aca="false">$B79+FC$3*100*$A79</f>
        <v>150.5</v>
      </c>
      <c r="FD79" s="19" t="n">
        <f aca="false">$B79+FD$3*100*$A79</f>
        <v>151.45</v>
      </c>
      <c r="FE79" s="19" t="n">
        <f aca="false">$B79+FE$3*100*$A79</f>
        <v>152.4</v>
      </c>
      <c r="FF79" s="19" t="n">
        <f aca="false">$B79+FF$3*100*$A79</f>
        <v>153.35</v>
      </c>
      <c r="FG79" s="19" t="n">
        <f aca="false">$B79+FG$3*100*$A79</f>
        <v>154.3</v>
      </c>
      <c r="FH79" s="19" t="n">
        <f aca="false">$B79+FH$3*100*$A79</f>
        <v>155.25</v>
      </c>
      <c r="FI79" s="19" t="n">
        <f aca="false">$B79+FI$3*100*$A79</f>
        <v>156.2</v>
      </c>
      <c r="FJ79" s="19" t="n">
        <f aca="false">$B79+FJ$3*100*$A79</f>
        <v>157.15</v>
      </c>
      <c r="FK79" s="19" t="n">
        <f aca="false">$B79+FK$3*100*$A79</f>
        <v>158.1</v>
      </c>
      <c r="FL79" s="19" t="n">
        <f aca="false">$B79+FL$3*100*$A79</f>
        <v>159.05</v>
      </c>
      <c r="FM79" s="19" t="n">
        <f aca="false">$B79+FM$3*100*$A79</f>
        <v>160</v>
      </c>
      <c r="FN79" s="19" t="n">
        <f aca="false">$B79+FN$3*100*$A79</f>
        <v>160.95</v>
      </c>
      <c r="FO79" s="19" t="n">
        <f aca="false">$B79+FO$3*100*$A79</f>
        <v>161.9</v>
      </c>
      <c r="FP79" s="19" t="n">
        <f aca="false">$B79+FP$3*100*$A79</f>
        <v>162.85</v>
      </c>
      <c r="FQ79" s="19" t="n">
        <f aca="false">$B79+FQ$3*100*$A79</f>
        <v>163.8</v>
      </c>
      <c r="FR79" s="19" t="n">
        <f aca="false">$B79+FR$3*100*$A79</f>
        <v>164.75</v>
      </c>
      <c r="FS79" s="19" t="n">
        <f aca="false">$B79+FS$3*100*$A79</f>
        <v>165.7</v>
      </c>
      <c r="FT79" s="19" t="n">
        <f aca="false">$B79+FT$3*100*$A79</f>
        <v>166.65</v>
      </c>
      <c r="FU79" s="19" t="n">
        <f aca="false">$B79+FU$3*100*$A79</f>
        <v>167.6</v>
      </c>
      <c r="FV79" s="19" t="n">
        <f aca="false">$B79+FV$3*100*$A79</f>
        <v>168.55</v>
      </c>
      <c r="FW79" s="19" t="n">
        <f aca="false">$B79+FW$3*100*$A79</f>
        <v>169.5</v>
      </c>
      <c r="FX79" s="19" t="n">
        <f aca="false">$B79+FX$3*100*$A79</f>
        <v>170.45</v>
      </c>
      <c r="FY79" s="19" t="n">
        <f aca="false">$B79+FY$3*100*$A79</f>
        <v>171.4</v>
      </c>
      <c r="FZ79" s="19" t="n">
        <f aca="false">$B79+FZ$3*100*$A79</f>
        <v>172.35</v>
      </c>
      <c r="GA79" s="19" t="n">
        <f aca="false">$B79+GA$3*100*$A79</f>
        <v>173.3</v>
      </c>
      <c r="GB79" s="19" t="n">
        <f aca="false">$B79+GB$3*100*$A79</f>
        <v>174.25</v>
      </c>
      <c r="GC79" s="19" t="n">
        <f aca="false">$B79+GC$3*100*$A79</f>
        <v>175.2</v>
      </c>
      <c r="GD79" s="19" t="n">
        <f aca="false">$B79+GD$3*100*$A79</f>
        <v>176.15</v>
      </c>
      <c r="GE79" s="19" t="n">
        <f aca="false">$B79+GE$3*100*$A79</f>
        <v>177.1</v>
      </c>
      <c r="GF79" s="19" t="n">
        <f aca="false">$B79+GF$3*100*$A79</f>
        <v>178.05</v>
      </c>
      <c r="GG79" s="19" t="n">
        <f aca="false">$B79+GG$3*100*$A79</f>
        <v>179</v>
      </c>
      <c r="GH79" s="19" t="n">
        <f aca="false">$B79+GH$3*100*$A79</f>
        <v>179.95</v>
      </c>
      <c r="GI79" s="19" t="n">
        <f aca="false">$B79+GI$3*100*$A79</f>
        <v>180.9</v>
      </c>
      <c r="GJ79" s="19" t="n">
        <f aca="false">$B79+GJ$3*100*$A79</f>
        <v>181.85</v>
      </c>
      <c r="GK79" s="19" t="n">
        <f aca="false">$B79+GK$3*100*$A79</f>
        <v>182.8</v>
      </c>
      <c r="GL79" s="19" t="n">
        <f aca="false">$B79+GL$3*100*$A79</f>
        <v>183.75</v>
      </c>
      <c r="GM79" s="19" t="n">
        <f aca="false">$B79+GM$3*100*$A79</f>
        <v>184.7</v>
      </c>
      <c r="GN79" s="19" t="n">
        <f aca="false">$B79+GN$3*100*$A79</f>
        <v>185.65</v>
      </c>
      <c r="GO79" s="19" t="n">
        <f aca="false">$B79+GO$3*100*$A79</f>
        <v>186.6</v>
      </c>
      <c r="GP79" s="19" t="n">
        <f aca="false">$B79+GP$3*100*$A79</f>
        <v>187.55</v>
      </c>
      <c r="GQ79" s="19" t="n">
        <f aca="false">$B79+GQ$3*100*$A79</f>
        <v>188.5</v>
      </c>
      <c r="GR79" s="19" t="n">
        <f aca="false">$B79+GR$3*100*$A79</f>
        <v>189.45</v>
      </c>
      <c r="GS79" s="19" t="n">
        <f aca="false">$B79+GS$3*100*$A79</f>
        <v>190.4</v>
      </c>
      <c r="GT79" s="19" t="n">
        <f aca="false">$B79+GT$3*100*$A79</f>
        <v>191.35</v>
      </c>
    </row>
    <row r="80" customFormat="false" ht="15" hidden="false" customHeight="false" outlineLevel="0" collapsed="false">
      <c r="A80" s="26" t="n">
        <f aca="false">Frontier!A78</f>
        <v>0.1925</v>
      </c>
      <c r="B80" s="34" t="n">
        <f aca="false">Frontier!B78</f>
        <v>1.35</v>
      </c>
      <c r="C80" s="19" t="n">
        <f aca="false">$B80+C$3*100*$A80</f>
        <v>2.3125</v>
      </c>
      <c r="D80" s="19" t="n">
        <f aca="false">$B80+D$3*100*$A80</f>
        <v>3.275</v>
      </c>
      <c r="E80" s="19" t="n">
        <f aca="false">$B80+E$3*100*$A80</f>
        <v>4.2375</v>
      </c>
      <c r="F80" s="19" t="n">
        <f aca="false">$B80+F$3*100*$A80</f>
        <v>5.2</v>
      </c>
      <c r="G80" s="19" t="n">
        <f aca="false">$B80+G$3*100*$A80</f>
        <v>6.1625</v>
      </c>
      <c r="H80" s="19" t="n">
        <f aca="false">$B80+H$3*100*$A80</f>
        <v>7.125</v>
      </c>
      <c r="I80" s="19" t="n">
        <f aca="false">$B80+I$3*100*$A80</f>
        <v>8.0875</v>
      </c>
      <c r="J80" s="19" t="n">
        <f aca="false">$B80+J$3*100*$A80</f>
        <v>9.05</v>
      </c>
      <c r="K80" s="19" t="n">
        <f aca="false">$B80+K$3*100*$A80</f>
        <v>10.0125</v>
      </c>
      <c r="L80" s="19" t="n">
        <f aca="false">$B80+L$3*100*$A80</f>
        <v>10.975</v>
      </c>
      <c r="M80" s="19" t="n">
        <f aca="false">$B80+M$3*100*$A80</f>
        <v>11.9375</v>
      </c>
      <c r="N80" s="19" t="n">
        <f aca="false">$B80+N$3*100*$A80</f>
        <v>12.9</v>
      </c>
      <c r="O80" s="19" t="n">
        <f aca="false">$B80+O$3*100*$A80</f>
        <v>13.8625</v>
      </c>
      <c r="P80" s="19" t="n">
        <f aca="false">$B80+P$3*100*$A80</f>
        <v>14.825</v>
      </c>
      <c r="Q80" s="19" t="n">
        <f aca="false">$B80+Q$3*100*$A80</f>
        <v>15.7875</v>
      </c>
      <c r="R80" s="19" t="n">
        <f aca="false">$B80+R$3*100*$A80</f>
        <v>16.75</v>
      </c>
      <c r="S80" s="19" t="n">
        <f aca="false">$B80+S$3*100*$A80</f>
        <v>17.7125</v>
      </c>
      <c r="T80" s="19" t="n">
        <f aca="false">$B80+T$3*100*$A80</f>
        <v>18.675</v>
      </c>
      <c r="U80" s="19" t="n">
        <f aca="false">$B80+U$3*100*$A80</f>
        <v>19.6375</v>
      </c>
      <c r="V80" s="19" t="n">
        <f aca="false">$B80+V$3*100*$A80</f>
        <v>20.6</v>
      </c>
      <c r="W80" s="19" t="n">
        <f aca="false">$B80+W$3*100*$A80</f>
        <v>21.5625</v>
      </c>
      <c r="X80" s="19" t="n">
        <f aca="false">$B80+X$3*100*$A80</f>
        <v>22.525</v>
      </c>
      <c r="Y80" s="19" t="n">
        <f aca="false">$B80+Y$3*100*$A80</f>
        <v>23.4875</v>
      </c>
      <c r="Z80" s="19" t="n">
        <f aca="false">$B80+Z$3*100*$A80</f>
        <v>24.45</v>
      </c>
      <c r="AA80" s="19" t="n">
        <f aca="false">$B80+AA$3*100*$A80</f>
        <v>25.4125</v>
      </c>
      <c r="AB80" s="19" t="n">
        <f aca="false">$B80+AB$3*100*$A80</f>
        <v>26.375</v>
      </c>
      <c r="AC80" s="19" t="n">
        <f aca="false">$B80+AC$3*100*$A80</f>
        <v>27.3375</v>
      </c>
      <c r="AD80" s="19" t="n">
        <f aca="false">$B80+AD$3*100*$A80</f>
        <v>28.3</v>
      </c>
      <c r="AE80" s="19" t="n">
        <f aca="false">$B80+AE$3*100*$A80</f>
        <v>29.2625</v>
      </c>
      <c r="AF80" s="19" t="n">
        <f aca="false">$B80+AF$3*100*$A80</f>
        <v>30.225</v>
      </c>
      <c r="AG80" s="19" t="n">
        <f aca="false">$B80+AG$3*100*$A80</f>
        <v>31.1875</v>
      </c>
      <c r="AH80" s="19" t="n">
        <f aca="false">$B80+AH$3*100*$A80</f>
        <v>32.15</v>
      </c>
      <c r="AI80" s="19" t="n">
        <f aca="false">$B80+AI$3*100*$A80</f>
        <v>33.1125</v>
      </c>
      <c r="AJ80" s="19" t="n">
        <f aca="false">$B80+AJ$3*100*$A80</f>
        <v>34.075</v>
      </c>
      <c r="AK80" s="19" t="n">
        <f aca="false">$B80+AK$3*100*$A80</f>
        <v>35.0375</v>
      </c>
      <c r="AL80" s="19" t="n">
        <f aca="false">$B80+AL$3*100*$A80</f>
        <v>36</v>
      </c>
      <c r="AM80" s="19" t="n">
        <f aca="false">$B80+AM$3*100*$A80</f>
        <v>36.9625</v>
      </c>
      <c r="AN80" s="19" t="n">
        <f aca="false">$B80+AN$3*100*$A80</f>
        <v>37.925</v>
      </c>
      <c r="AO80" s="19" t="n">
        <f aca="false">$B80+AO$3*100*$A80</f>
        <v>38.8875</v>
      </c>
      <c r="AP80" s="19" t="n">
        <f aca="false">$B80+AP$3*100*$A80</f>
        <v>39.85</v>
      </c>
      <c r="AQ80" s="19" t="n">
        <f aca="false">$B80+AQ$3*100*$A80</f>
        <v>40.8125</v>
      </c>
      <c r="AR80" s="19" t="n">
        <f aca="false">$B80+AR$3*100*$A80</f>
        <v>41.775</v>
      </c>
      <c r="AS80" s="19" t="n">
        <f aca="false">$B80+AS$3*100*$A80</f>
        <v>42.7375</v>
      </c>
      <c r="AT80" s="19" t="n">
        <f aca="false">$B80+AT$3*100*$A80</f>
        <v>43.7</v>
      </c>
      <c r="AU80" s="19" t="n">
        <f aca="false">$B80+AU$3*100*$A80</f>
        <v>44.6625</v>
      </c>
      <c r="AV80" s="19" t="n">
        <f aca="false">$B80+AV$3*100*$A80</f>
        <v>45.625</v>
      </c>
      <c r="AW80" s="19" t="n">
        <f aca="false">$B80+AW$3*100*$A80</f>
        <v>46.5875</v>
      </c>
      <c r="AX80" s="19" t="n">
        <f aca="false">$B80+AX$3*100*$A80</f>
        <v>47.55</v>
      </c>
      <c r="AY80" s="19" t="n">
        <f aca="false">$B80+AY$3*100*$A80</f>
        <v>48.5125</v>
      </c>
      <c r="AZ80" s="19" t="n">
        <f aca="false">$B80+AZ$3*100*$A80</f>
        <v>49.475</v>
      </c>
      <c r="BA80" s="19" t="n">
        <f aca="false">$B80+BA$3*100*$A80</f>
        <v>50.4375</v>
      </c>
      <c r="BB80" s="19" t="n">
        <f aca="false">$B80+BB$3*100*$A80</f>
        <v>51.4</v>
      </c>
      <c r="BC80" s="19" t="n">
        <f aca="false">$B80+BC$3*100*$A80</f>
        <v>52.3625</v>
      </c>
      <c r="BD80" s="19" t="n">
        <f aca="false">$B80+BD$3*100*$A80</f>
        <v>53.325</v>
      </c>
      <c r="BE80" s="19" t="n">
        <f aca="false">$B80+BE$3*100*$A80</f>
        <v>54.2875</v>
      </c>
      <c r="BF80" s="19" t="n">
        <f aca="false">$B80+BF$3*100*$A80</f>
        <v>55.25</v>
      </c>
      <c r="BG80" s="19" t="n">
        <f aca="false">$B80+BG$3*100*$A80</f>
        <v>56.2125</v>
      </c>
      <c r="BH80" s="19" t="n">
        <f aca="false">$B80+BH$3*100*$A80</f>
        <v>57.175</v>
      </c>
      <c r="BI80" s="19" t="n">
        <f aca="false">$B80+BI$3*100*$A80</f>
        <v>58.1375</v>
      </c>
      <c r="BJ80" s="19" t="n">
        <f aca="false">$B80+BJ$3*100*$A80</f>
        <v>59.1</v>
      </c>
      <c r="BK80" s="19" t="n">
        <f aca="false">$B80+BK$3*100*$A80</f>
        <v>60.0625</v>
      </c>
      <c r="BL80" s="19" t="n">
        <f aca="false">$B80+BL$3*100*$A80</f>
        <v>61.025</v>
      </c>
      <c r="BM80" s="19" t="n">
        <f aca="false">$B80+BM$3*100*$A80</f>
        <v>61.9875</v>
      </c>
      <c r="BN80" s="19" t="n">
        <f aca="false">$B80+BN$3*100*$A80</f>
        <v>62.95</v>
      </c>
      <c r="BO80" s="19" t="n">
        <f aca="false">$B80+BO$3*100*$A80</f>
        <v>63.9125</v>
      </c>
      <c r="BP80" s="19" t="n">
        <f aca="false">$B80+BP$3*100*$A80</f>
        <v>64.875</v>
      </c>
      <c r="BQ80" s="19" t="n">
        <f aca="false">$B80+BQ$3*100*$A80</f>
        <v>65.8375</v>
      </c>
      <c r="BR80" s="19" t="n">
        <f aca="false">$B80+BR$3*100*$A80</f>
        <v>66.8</v>
      </c>
      <c r="BS80" s="19" t="n">
        <f aca="false">$B80+BS$3*100*$A80</f>
        <v>67.7625</v>
      </c>
      <c r="BT80" s="19" t="n">
        <f aca="false">$B80+BT$3*100*$A80</f>
        <v>68.725</v>
      </c>
      <c r="BU80" s="19" t="n">
        <f aca="false">$B80+BU$3*100*$A80</f>
        <v>69.6875</v>
      </c>
      <c r="BV80" s="19" t="n">
        <f aca="false">$B80+BV$3*100*$A80</f>
        <v>70.65</v>
      </c>
      <c r="BW80" s="19" t="n">
        <f aca="false">$B80+BW$3*100*$A80</f>
        <v>71.6125</v>
      </c>
      <c r="BX80" s="19" t="n">
        <f aca="false">$B80+BX$3*100*$A80</f>
        <v>72.575</v>
      </c>
      <c r="BY80" s="19" t="n">
        <f aca="false">$B80+BY$3*100*$A80</f>
        <v>73.5375</v>
      </c>
      <c r="BZ80" s="19" t="n">
        <f aca="false">$B80+BZ$3*100*$A80</f>
        <v>74.5</v>
      </c>
      <c r="CA80" s="19" t="n">
        <f aca="false">$B80+CA$3*100*$A80</f>
        <v>75.4625</v>
      </c>
      <c r="CB80" s="19" t="n">
        <f aca="false">$B80+CB$3*100*$A80</f>
        <v>76.425</v>
      </c>
      <c r="CC80" s="19" t="n">
        <f aca="false">$B80+CC$3*100*$A80</f>
        <v>77.3875</v>
      </c>
      <c r="CD80" s="19" t="n">
        <f aca="false">$B80+CD$3*100*$A80</f>
        <v>78.35</v>
      </c>
      <c r="CE80" s="19" t="n">
        <f aca="false">$B80+CE$3*100*$A80</f>
        <v>79.3125</v>
      </c>
      <c r="CF80" s="19" t="n">
        <f aca="false">$B80+CF$3*100*$A80</f>
        <v>80.275</v>
      </c>
      <c r="CG80" s="19" t="n">
        <f aca="false">$B80+CG$3*100*$A80</f>
        <v>81.2375</v>
      </c>
      <c r="CH80" s="19" t="n">
        <f aca="false">$B80+CH$3*100*$A80</f>
        <v>82.2</v>
      </c>
      <c r="CI80" s="19" t="n">
        <f aca="false">$B80+CI$3*100*$A80</f>
        <v>83.1625</v>
      </c>
      <c r="CJ80" s="19" t="n">
        <f aca="false">$B80+CJ$3*100*$A80</f>
        <v>84.125</v>
      </c>
      <c r="CK80" s="19" t="n">
        <f aca="false">$B80+CK$3*100*$A80</f>
        <v>85.0875</v>
      </c>
      <c r="CL80" s="19" t="n">
        <f aca="false">$B80+CL$3*100*$A80</f>
        <v>86.05</v>
      </c>
      <c r="CM80" s="19" t="n">
        <f aca="false">$B80+CM$3*100*$A80</f>
        <v>87.0125</v>
      </c>
      <c r="CN80" s="19" t="n">
        <f aca="false">$B80+CN$3*100*$A80</f>
        <v>87.975</v>
      </c>
      <c r="CO80" s="19" t="n">
        <f aca="false">$B80+CO$3*100*$A80</f>
        <v>88.9375</v>
      </c>
      <c r="CP80" s="19" t="n">
        <f aca="false">$B80+CP$3*100*$A80</f>
        <v>89.9</v>
      </c>
      <c r="CQ80" s="19" t="n">
        <f aca="false">$B80+CQ$3*100*$A80</f>
        <v>90.8625</v>
      </c>
      <c r="CR80" s="19" t="n">
        <f aca="false">$B80+CR$3*100*$A80</f>
        <v>91.825</v>
      </c>
      <c r="CS80" s="19" t="n">
        <f aca="false">$B80+CS$3*100*$A80</f>
        <v>92.7875</v>
      </c>
      <c r="CT80" s="19" t="n">
        <f aca="false">$B80+CT$3*100*$A80</f>
        <v>93.75</v>
      </c>
      <c r="CU80" s="19" t="n">
        <f aca="false">$B80+CU$3*100*$A80</f>
        <v>94.7125</v>
      </c>
      <c r="CV80" s="19" t="n">
        <f aca="false">$B80+CV$3*100*$A80</f>
        <v>95.675</v>
      </c>
      <c r="CW80" s="19" t="n">
        <f aca="false">$B80+CW$3*100*$A80</f>
        <v>96.6375</v>
      </c>
      <c r="CX80" s="19" t="n">
        <f aca="false">$B80+CX$3*100*$A80</f>
        <v>97.6</v>
      </c>
      <c r="CY80" s="19" t="n">
        <f aca="false">$B80+CY$3*100*$A80</f>
        <v>98.5625</v>
      </c>
      <c r="CZ80" s="19" t="n">
        <f aca="false">$B80+CZ$3*100*$A80</f>
        <v>99.525</v>
      </c>
      <c r="DA80" s="19" t="n">
        <f aca="false">$B80+DA$3*100*$A80</f>
        <v>100.4875</v>
      </c>
      <c r="DB80" s="19" t="n">
        <f aca="false">$B80+DB$3*100*$A80</f>
        <v>101.45</v>
      </c>
      <c r="DC80" s="19" t="n">
        <f aca="false">$B80+DC$3*100*$A80</f>
        <v>102.4125</v>
      </c>
      <c r="DD80" s="19" t="n">
        <f aca="false">$B80+DD$3*100*$A80</f>
        <v>103.375</v>
      </c>
      <c r="DE80" s="19" t="n">
        <f aca="false">$B80+DE$3*100*$A80</f>
        <v>104.3375</v>
      </c>
      <c r="DF80" s="19" t="n">
        <f aca="false">$B80+DF$3*100*$A80</f>
        <v>105.3</v>
      </c>
      <c r="DG80" s="19" t="n">
        <f aca="false">$B80+DG$3*100*$A80</f>
        <v>106.2625</v>
      </c>
      <c r="DH80" s="19" t="n">
        <f aca="false">$B80+DH$3*100*$A80</f>
        <v>107.225</v>
      </c>
      <c r="DI80" s="19" t="n">
        <f aca="false">$B80+DI$3*100*$A80</f>
        <v>108.1875</v>
      </c>
      <c r="DJ80" s="19" t="n">
        <f aca="false">$B80+DJ$3*100*$A80</f>
        <v>109.15</v>
      </c>
      <c r="DK80" s="19" t="n">
        <f aca="false">$B80+DK$3*100*$A80</f>
        <v>110.1125</v>
      </c>
      <c r="DL80" s="19" t="n">
        <f aca="false">$B80+DL$3*100*$A80</f>
        <v>111.075</v>
      </c>
      <c r="DM80" s="19" t="n">
        <f aca="false">$B80+DM$3*100*$A80</f>
        <v>112.0375</v>
      </c>
      <c r="DN80" s="19" t="n">
        <f aca="false">$B80+DN$3*100*$A80</f>
        <v>113</v>
      </c>
      <c r="DO80" s="19" t="n">
        <f aca="false">$B80+DO$3*100*$A80</f>
        <v>113.9625</v>
      </c>
      <c r="DP80" s="19" t="n">
        <f aca="false">$B80+DP$3*100*$A80</f>
        <v>114.925</v>
      </c>
      <c r="DQ80" s="19" t="n">
        <f aca="false">$B80+DQ$3*100*$A80</f>
        <v>115.8875</v>
      </c>
      <c r="DR80" s="19" t="n">
        <f aca="false">$B80+DR$3*100*$A80</f>
        <v>116.85</v>
      </c>
      <c r="DS80" s="19" t="n">
        <f aca="false">$B80+DS$3*100*$A80</f>
        <v>117.8125</v>
      </c>
      <c r="DT80" s="19" t="n">
        <f aca="false">$B80+DT$3*100*$A80</f>
        <v>118.775</v>
      </c>
      <c r="DU80" s="19" t="n">
        <f aca="false">$B80+DU$3*100*$A80</f>
        <v>119.7375</v>
      </c>
      <c r="DV80" s="19" t="n">
        <f aca="false">$B80+DV$3*100*$A80</f>
        <v>120.7</v>
      </c>
      <c r="DW80" s="19" t="n">
        <f aca="false">$B80+DW$3*100*$A80</f>
        <v>121.6625</v>
      </c>
      <c r="DX80" s="19" t="n">
        <f aca="false">$B80+DX$3*100*$A80</f>
        <v>122.625</v>
      </c>
      <c r="DY80" s="19" t="n">
        <f aca="false">$B80+DY$3*100*$A80</f>
        <v>123.5875</v>
      </c>
      <c r="DZ80" s="19" t="n">
        <f aca="false">$B80+DZ$3*100*$A80</f>
        <v>124.55</v>
      </c>
      <c r="EA80" s="19" t="n">
        <f aca="false">$B80+EA$3*100*$A80</f>
        <v>125.5125</v>
      </c>
      <c r="EB80" s="19" t="n">
        <f aca="false">$B80+EB$3*100*$A80</f>
        <v>126.475</v>
      </c>
      <c r="EC80" s="19" t="n">
        <f aca="false">$B80+EC$3*100*$A80</f>
        <v>127.4375</v>
      </c>
      <c r="ED80" s="19" t="n">
        <f aca="false">$B80+ED$3*100*$A80</f>
        <v>128.4</v>
      </c>
      <c r="EE80" s="19" t="n">
        <f aca="false">$B80+EE$3*100*$A80</f>
        <v>129.3625</v>
      </c>
      <c r="EF80" s="19" t="n">
        <f aca="false">$B80+EF$3*100*$A80</f>
        <v>130.325</v>
      </c>
      <c r="EG80" s="19" t="n">
        <f aca="false">$B80+EG$3*100*$A80</f>
        <v>131.2875</v>
      </c>
      <c r="EH80" s="19" t="n">
        <f aca="false">$B80+EH$3*100*$A80</f>
        <v>132.25</v>
      </c>
      <c r="EI80" s="19" t="n">
        <f aca="false">$B80+EI$3*100*$A80</f>
        <v>133.2125</v>
      </c>
      <c r="EJ80" s="19" t="n">
        <f aca="false">$B80+EJ$3*100*$A80</f>
        <v>134.175</v>
      </c>
      <c r="EK80" s="19" t="n">
        <f aca="false">$B80+EK$3*100*$A80</f>
        <v>135.1375</v>
      </c>
      <c r="EL80" s="19" t="n">
        <f aca="false">$B80+EL$3*100*$A80</f>
        <v>136.1</v>
      </c>
      <c r="EM80" s="19" t="n">
        <f aca="false">$B80+EM$3*100*$A80</f>
        <v>137.0625</v>
      </c>
      <c r="EN80" s="19" t="n">
        <f aca="false">$B80+EN$3*100*$A80</f>
        <v>138.025</v>
      </c>
      <c r="EO80" s="19" t="n">
        <f aca="false">$B80+EO$3*100*$A80</f>
        <v>138.9875</v>
      </c>
      <c r="EP80" s="19" t="n">
        <f aca="false">$B80+EP$3*100*$A80</f>
        <v>139.95</v>
      </c>
      <c r="EQ80" s="19" t="n">
        <f aca="false">$B80+EQ$3*100*$A80</f>
        <v>140.9125</v>
      </c>
      <c r="ER80" s="19" t="n">
        <f aca="false">$B80+ER$3*100*$A80</f>
        <v>141.875</v>
      </c>
      <c r="ES80" s="19" t="n">
        <f aca="false">$B80+ES$3*100*$A80</f>
        <v>142.8375</v>
      </c>
      <c r="ET80" s="19" t="n">
        <f aca="false">$B80+ET$3*100*$A80</f>
        <v>143.8</v>
      </c>
      <c r="EU80" s="19" t="n">
        <f aca="false">$B80+EU$3*100*$A80</f>
        <v>144.7625</v>
      </c>
      <c r="EV80" s="19" t="n">
        <f aca="false">$B80+EV$3*100*$A80</f>
        <v>145.725</v>
      </c>
      <c r="EW80" s="19" t="n">
        <f aca="false">$B80+EW$3*100*$A80</f>
        <v>146.6875</v>
      </c>
      <c r="EX80" s="19" t="n">
        <f aca="false">$B80+EX$3*100*$A80</f>
        <v>147.65</v>
      </c>
      <c r="EY80" s="19" t="n">
        <f aca="false">$B80+EY$3*100*$A80</f>
        <v>148.6125</v>
      </c>
      <c r="EZ80" s="19" t="n">
        <f aca="false">$B80+EZ$3*100*$A80</f>
        <v>149.575</v>
      </c>
      <c r="FA80" s="19" t="n">
        <f aca="false">$B80+FA$3*100*$A80</f>
        <v>150.5375</v>
      </c>
      <c r="FB80" s="19" t="n">
        <f aca="false">$B80+FB$3*100*$A80</f>
        <v>151.5</v>
      </c>
      <c r="FC80" s="19" t="n">
        <f aca="false">$B80+FC$3*100*$A80</f>
        <v>152.4625</v>
      </c>
      <c r="FD80" s="19" t="n">
        <f aca="false">$B80+FD$3*100*$A80</f>
        <v>153.425</v>
      </c>
      <c r="FE80" s="19" t="n">
        <f aca="false">$B80+FE$3*100*$A80</f>
        <v>154.3875</v>
      </c>
      <c r="FF80" s="19" t="n">
        <f aca="false">$B80+FF$3*100*$A80</f>
        <v>155.35</v>
      </c>
      <c r="FG80" s="19" t="n">
        <f aca="false">$B80+FG$3*100*$A80</f>
        <v>156.3125</v>
      </c>
      <c r="FH80" s="19" t="n">
        <f aca="false">$B80+FH$3*100*$A80</f>
        <v>157.275</v>
      </c>
      <c r="FI80" s="19" t="n">
        <f aca="false">$B80+FI$3*100*$A80</f>
        <v>158.2375</v>
      </c>
      <c r="FJ80" s="19" t="n">
        <f aca="false">$B80+FJ$3*100*$A80</f>
        <v>159.2</v>
      </c>
      <c r="FK80" s="19" t="n">
        <f aca="false">$B80+FK$3*100*$A80</f>
        <v>160.1625</v>
      </c>
      <c r="FL80" s="19" t="n">
        <f aca="false">$B80+FL$3*100*$A80</f>
        <v>161.125</v>
      </c>
      <c r="FM80" s="19" t="n">
        <f aca="false">$B80+FM$3*100*$A80</f>
        <v>162.0875</v>
      </c>
      <c r="FN80" s="19" t="n">
        <f aca="false">$B80+FN$3*100*$A80</f>
        <v>163.05</v>
      </c>
      <c r="FO80" s="19" t="n">
        <f aca="false">$B80+FO$3*100*$A80</f>
        <v>164.0125</v>
      </c>
      <c r="FP80" s="19" t="n">
        <f aca="false">$B80+FP$3*100*$A80</f>
        <v>164.975</v>
      </c>
      <c r="FQ80" s="19" t="n">
        <f aca="false">$B80+FQ$3*100*$A80</f>
        <v>165.9375</v>
      </c>
      <c r="FR80" s="19" t="n">
        <f aca="false">$B80+FR$3*100*$A80</f>
        <v>166.9</v>
      </c>
      <c r="FS80" s="19" t="n">
        <f aca="false">$B80+FS$3*100*$A80</f>
        <v>167.8625</v>
      </c>
      <c r="FT80" s="19" t="n">
        <f aca="false">$B80+FT$3*100*$A80</f>
        <v>168.825</v>
      </c>
      <c r="FU80" s="19" t="n">
        <f aca="false">$B80+FU$3*100*$A80</f>
        <v>169.7875</v>
      </c>
      <c r="FV80" s="19" t="n">
        <f aca="false">$B80+FV$3*100*$A80</f>
        <v>170.75</v>
      </c>
      <c r="FW80" s="19" t="n">
        <f aca="false">$B80+FW$3*100*$A80</f>
        <v>171.7125</v>
      </c>
      <c r="FX80" s="19" t="n">
        <f aca="false">$B80+FX$3*100*$A80</f>
        <v>172.675</v>
      </c>
      <c r="FY80" s="19" t="n">
        <f aca="false">$B80+FY$3*100*$A80</f>
        <v>173.6375</v>
      </c>
      <c r="FZ80" s="19" t="n">
        <f aca="false">$B80+FZ$3*100*$A80</f>
        <v>174.6</v>
      </c>
      <c r="GA80" s="19" t="n">
        <f aca="false">$B80+GA$3*100*$A80</f>
        <v>175.5625</v>
      </c>
      <c r="GB80" s="19" t="n">
        <f aca="false">$B80+GB$3*100*$A80</f>
        <v>176.525</v>
      </c>
      <c r="GC80" s="19" t="n">
        <f aca="false">$B80+GC$3*100*$A80</f>
        <v>177.4875</v>
      </c>
      <c r="GD80" s="19" t="n">
        <f aca="false">$B80+GD$3*100*$A80</f>
        <v>178.45</v>
      </c>
      <c r="GE80" s="19" t="n">
        <f aca="false">$B80+GE$3*100*$A80</f>
        <v>179.4125</v>
      </c>
      <c r="GF80" s="19" t="n">
        <f aca="false">$B80+GF$3*100*$A80</f>
        <v>180.375</v>
      </c>
      <c r="GG80" s="19" t="n">
        <f aca="false">$B80+GG$3*100*$A80</f>
        <v>181.3375</v>
      </c>
      <c r="GH80" s="19" t="n">
        <f aca="false">$B80+GH$3*100*$A80</f>
        <v>182.3</v>
      </c>
      <c r="GI80" s="19" t="n">
        <f aca="false">$B80+GI$3*100*$A80</f>
        <v>183.2625</v>
      </c>
      <c r="GJ80" s="19" t="n">
        <f aca="false">$B80+GJ$3*100*$A80</f>
        <v>184.225</v>
      </c>
      <c r="GK80" s="19" t="n">
        <f aca="false">$B80+GK$3*100*$A80</f>
        <v>185.1875</v>
      </c>
      <c r="GL80" s="19" t="n">
        <f aca="false">$B80+GL$3*100*$A80</f>
        <v>186.15</v>
      </c>
      <c r="GM80" s="19" t="n">
        <f aca="false">$B80+GM$3*100*$A80</f>
        <v>187.1125</v>
      </c>
      <c r="GN80" s="19" t="n">
        <f aca="false">$B80+GN$3*100*$A80</f>
        <v>188.075</v>
      </c>
      <c r="GO80" s="19" t="n">
        <f aca="false">$B80+GO$3*100*$A80</f>
        <v>189.0375</v>
      </c>
      <c r="GP80" s="19" t="n">
        <f aca="false">$B80+GP$3*100*$A80</f>
        <v>190</v>
      </c>
      <c r="GQ80" s="19" t="n">
        <f aca="false">$B80+GQ$3*100*$A80</f>
        <v>190.9625</v>
      </c>
      <c r="GR80" s="19" t="n">
        <f aca="false">$B80+GR$3*100*$A80</f>
        <v>191.925</v>
      </c>
      <c r="GS80" s="19" t="n">
        <f aca="false">$B80+GS$3*100*$A80</f>
        <v>192.8875</v>
      </c>
      <c r="GT80" s="19" t="n">
        <f aca="false">$B80+GT$3*100*$A80</f>
        <v>193.85</v>
      </c>
    </row>
    <row r="81" customFormat="false" ht="15" hidden="false" customHeight="false" outlineLevel="0" collapsed="false">
      <c r="A81" s="26" t="n">
        <f aca="false">Frontier!A79</f>
        <v>0.195</v>
      </c>
      <c r="B81" s="34" t="n">
        <f aca="false">Frontier!B79</f>
        <v>1.2</v>
      </c>
      <c r="C81" s="19" t="n">
        <f aca="false">$B81+C$3*100*$A81</f>
        <v>2.175</v>
      </c>
      <c r="D81" s="19" t="n">
        <f aca="false">$B81+D$3*100*$A81</f>
        <v>3.15</v>
      </c>
      <c r="E81" s="19" t="n">
        <f aca="false">$B81+E$3*100*$A81</f>
        <v>4.125</v>
      </c>
      <c r="F81" s="19" t="n">
        <f aca="false">$B81+F$3*100*$A81</f>
        <v>5.1</v>
      </c>
      <c r="G81" s="19" t="n">
        <f aca="false">$B81+G$3*100*$A81</f>
        <v>6.075</v>
      </c>
      <c r="H81" s="19" t="n">
        <f aca="false">$B81+H$3*100*$A81</f>
        <v>7.05</v>
      </c>
      <c r="I81" s="19" t="n">
        <f aca="false">$B81+I$3*100*$A81</f>
        <v>8.025</v>
      </c>
      <c r="J81" s="19" t="n">
        <f aca="false">$B81+J$3*100*$A81</f>
        <v>9</v>
      </c>
      <c r="K81" s="19" t="n">
        <f aca="false">$B81+K$3*100*$A81</f>
        <v>9.975</v>
      </c>
      <c r="L81" s="19" t="n">
        <f aca="false">$B81+L$3*100*$A81</f>
        <v>10.95</v>
      </c>
      <c r="M81" s="19" t="n">
        <f aca="false">$B81+M$3*100*$A81</f>
        <v>11.925</v>
      </c>
      <c r="N81" s="19" t="n">
        <f aca="false">$B81+N$3*100*$A81</f>
        <v>12.9</v>
      </c>
      <c r="O81" s="19" t="n">
        <f aca="false">$B81+O$3*100*$A81</f>
        <v>13.875</v>
      </c>
      <c r="P81" s="19" t="n">
        <f aca="false">$B81+P$3*100*$A81</f>
        <v>14.85</v>
      </c>
      <c r="Q81" s="19" t="n">
        <f aca="false">$B81+Q$3*100*$A81</f>
        <v>15.825</v>
      </c>
      <c r="R81" s="19" t="n">
        <f aca="false">$B81+R$3*100*$A81</f>
        <v>16.8</v>
      </c>
      <c r="S81" s="19" t="n">
        <f aca="false">$B81+S$3*100*$A81</f>
        <v>17.775</v>
      </c>
      <c r="T81" s="19" t="n">
        <f aca="false">$B81+T$3*100*$A81</f>
        <v>18.75</v>
      </c>
      <c r="U81" s="19" t="n">
        <f aca="false">$B81+U$3*100*$A81</f>
        <v>19.725</v>
      </c>
      <c r="V81" s="19" t="n">
        <f aca="false">$B81+V$3*100*$A81</f>
        <v>20.7</v>
      </c>
      <c r="W81" s="19" t="n">
        <f aca="false">$B81+W$3*100*$A81</f>
        <v>21.675</v>
      </c>
      <c r="X81" s="19" t="n">
        <f aca="false">$B81+X$3*100*$A81</f>
        <v>22.65</v>
      </c>
      <c r="Y81" s="19" t="n">
        <f aca="false">$B81+Y$3*100*$A81</f>
        <v>23.625</v>
      </c>
      <c r="Z81" s="19" t="n">
        <f aca="false">$B81+Z$3*100*$A81</f>
        <v>24.6</v>
      </c>
      <c r="AA81" s="19" t="n">
        <f aca="false">$B81+AA$3*100*$A81</f>
        <v>25.575</v>
      </c>
      <c r="AB81" s="19" t="n">
        <f aca="false">$B81+AB$3*100*$A81</f>
        <v>26.55</v>
      </c>
      <c r="AC81" s="19" t="n">
        <f aca="false">$B81+AC$3*100*$A81</f>
        <v>27.525</v>
      </c>
      <c r="AD81" s="19" t="n">
        <f aca="false">$B81+AD$3*100*$A81</f>
        <v>28.5</v>
      </c>
      <c r="AE81" s="19" t="n">
        <f aca="false">$B81+AE$3*100*$A81</f>
        <v>29.475</v>
      </c>
      <c r="AF81" s="19" t="n">
        <f aca="false">$B81+AF$3*100*$A81</f>
        <v>30.45</v>
      </c>
      <c r="AG81" s="19" t="n">
        <f aca="false">$B81+AG$3*100*$A81</f>
        <v>31.425</v>
      </c>
      <c r="AH81" s="19" t="n">
        <f aca="false">$B81+AH$3*100*$A81</f>
        <v>32.4</v>
      </c>
      <c r="AI81" s="19" t="n">
        <f aca="false">$B81+AI$3*100*$A81</f>
        <v>33.375</v>
      </c>
      <c r="AJ81" s="19" t="n">
        <f aca="false">$B81+AJ$3*100*$A81</f>
        <v>34.35</v>
      </c>
      <c r="AK81" s="19" t="n">
        <f aca="false">$B81+AK$3*100*$A81</f>
        <v>35.325</v>
      </c>
      <c r="AL81" s="19" t="n">
        <f aca="false">$B81+AL$3*100*$A81</f>
        <v>36.3</v>
      </c>
      <c r="AM81" s="19" t="n">
        <f aca="false">$B81+AM$3*100*$A81</f>
        <v>37.275</v>
      </c>
      <c r="AN81" s="19" t="n">
        <f aca="false">$B81+AN$3*100*$A81</f>
        <v>38.25</v>
      </c>
      <c r="AO81" s="19" t="n">
        <f aca="false">$B81+AO$3*100*$A81</f>
        <v>39.225</v>
      </c>
      <c r="AP81" s="19" t="n">
        <f aca="false">$B81+AP$3*100*$A81</f>
        <v>40.2</v>
      </c>
      <c r="AQ81" s="19" t="n">
        <f aca="false">$B81+AQ$3*100*$A81</f>
        <v>41.175</v>
      </c>
      <c r="AR81" s="19" t="n">
        <f aca="false">$B81+AR$3*100*$A81</f>
        <v>42.15</v>
      </c>
      <c r="AS81" s="19" t="n">
        <f aca="false">$B81+AS$3*100*$A81</f>
        <v>43.125</v>
      </c>
      <c r="AT81" s="19" t="n">
        <f aca="false">$B81+AT$3*100*$A81</f>
        <v>44.1</v>
      </c>
      <c r="AU81" s="19" t="n">
        <f aca="false">$B81+AU$3*100*$A81</f>
        <v>45.075</v>
      </c>
      <c r="AV81" s="19" t="n">
        <f aca="false">$B81+AV$3*100*$A81</f>
        <v>46.05</v>
      </c>
      <c r="AW81" s="19" t="n">
        <f aca="false">$B81+AW$3*100*$A81</f>
        <v>47.025</v>
      </c>
      <c r="AX81" s="19" t="n">
        <f aca="false">$B81+AX$3*100*$A81</f>
        <v>48</v>
      </c>
      <c r="AY81" s="19" t="n">
        <f aca="false">$B81+AY$3*100*$A81</f>
        <v>48.975</v>
      </c>
      <c r="AZ81" s="19" t="n">
        <f aca="false">$B81+AZ$3*100*$A81</f>
        <v>49.95</v>
      </c>
      <c r="BA81" s="19" t="n">
        <f aca="false">$B81+BA$3*100*$A81</f>
        <v>50.925</v>
      </c>
      <c r="BB81" s="19" t="n">
        <f aca="false">$B81+BB$3*100*$A81</f>
        <v>51.9</v>
      </c>
      <c r="BC81" s="19" t="n">
        <f aca="false">$B81+BC$3*100*$A81</f>
        <v>52.875</v>
      </c>
      <c r="BD81" s="19" t="n">
        <f aca="false">$B81+BD$3*100*$A81</f>
        <v>53.85</v>
      </c>
      <c r="BE81" s="19" t="n">
        <f aca="false">$B81+BE$3*100*$A81</f>
        <v>54.825</v>
      </c>
      <c r="BF81" s="19" t="n">
        <f aca="false">$B81+BF$3*100*$A81</f>
        <v>55.8</v>
      </c>
      <c r="BG81" s="19" t="n">
        <f aca="false">$B81+BG$3*100*$A81</f>
        <v>56.775</v>
      </c>
      <c r="BH81" s="19" t="n">
        <f aca="false">$B81+BH$3*100*$A81</f>
        <v>57.75</v>
      </c>
      <c r="BI81" s="19" t="n">
        <f aca="false">$B81+BI$3*100*$A81</f>
        <v>58.725</v>
      </c>
      <c r="BJ81" s="19" t="n">
        <f aca="false">$B81+BJ$3*100*$A81</f>
        <v>59.7</v>
      </c>
      <c r="BK81" s="19" t="n">
        <f aca="false">$B81+BK$3*100*$A81</f>
        <v>60.675</v>
      </c>
      <c r="BL81" s="19" t="n">
        <f aca="false">$B81+BL$3*100*$A81</f>
        <v>61.65</v>
      </c>
      <c r="BM81" s="19" t="n">
        <f aca="false">$B81+BM$3*100*$A81</f>
        <v>62.625</v>
      </c>
      <c r="BN81" s="19" t="n">
        <f aca="false">$B81+BN$3*100*$A81</f>
        <v>63.6</v>
      </c>
      <c r="BO81" s="19" t="n">
        <f aca="false">$B81+BO$3*100*$A81</f>
        <v>64.575</v>
      </c>
      <c r="BP81" s="19" t="n">
        <f aca="false">$B81+BP$3*100*$A81</f>
        <v>65.55</v>
      </c>
      <c r="BQ81" s="19" t="n">
        <f aca="false">$B81+BQ$3*100*$A81</f>
        <v>66.525</v>
      </c>
      <c r="BR81" s="19" t="n">
        <f aca="false">$B81+BR$3*100*$A81</f>
        <v>67.5</v>
      </c>
      <c r="BS81" s="19" t="n">
        <f aca="false">$B81+BS$3*100*$A81</f>
        <v>68.475</v>
      </c>
      <c r="BT81" s="19" t="n">
        <f aca="false">$B81+BT$3*100*$A81</f>
        <v>69.45</v>
      </c>
      <c r="BU81" s="19" t="n">
        <f aca="false">$B81+BU$3*100*$A81</f>
        <v>70.425</v>
      </c>
      <c r="BV81" s="19" t="n">
        <f aca="false">$B81+BV$3*100*$A81</f>
        <v>71.4</v>
      </c>
      <c r="BW81" s="19" t="n">
        <f aca="false">$B81+BW$3*100*$A81</f>
        <v>72.375</v>
      </c>
      <c r="BX81" s="19" t="n">
        <f aca="false">$B81+BX$3*100*$A81</f>
        <v>73.35</v>
      </c>
      <c r="BY81" s="19" t="n">
        <f aca="false">$B81+BY$3*100*$A81</f>
        <v>74.325</v>
      </c>
      <c r="BZ81" s="19" t="n">
        <f aca="false">$B81+BZ$3*100*$A81</f>
        <v>75.3</v>
      </c>
      <c r="CA81" s="19" t="n">
        <f aca="false">$B81+CA$3*100*$A81</f>
        <v>76.275</v>
      </c>
      <c r="CB81" s="19" t="n">
        <f aca="false">$B81+CB$3*100*$A81</f>
        <v>77.25</v>
      </c>
      <c r="CC81" s="19" t="n">
        <f aca="false">$B81+CC$3*100*$A81</f>
        <v>78.225</v>
      </c>
      <c r="CD81" s="19" t="n">
        <f aca="false">$B81+CD$3*100*$A81</f>
        <v>79.2</v>
      </c>
      <c r="CE81" s="19" t="n">
        <f aca="false">$B81+CE$3*100*$A81</f>
        <v>80.175</v>
      </c>
      <c r="CF81" s="19" t="n">
        <f aca="false">$B81+CF$3*100*$A81</f>
        <v>81.15</v>
      </c>
      <c r="CG81" s="19" t="n">
        <f aca="false">$B81+CG$3*100*$A81</f>
        <v>82.125</v>
      </c>
      <c r="CH81" s="19" t="n">
        <f aca="false">$B81+CH$3*100*$A81</f>
        <v>83.1</v>
      </c>
      <c r="CI81" s="19" t="n">
        <f aca="false">$B81+CI$3*100*$A81</f>
        <v>84.075</v>
      </c>
      <c r="CJ81" s="19" t="n">
        <f aca="false">$B81+CJ$3*100*$A81</f>
        <v>85.05</v>
      </c>
      <c r="CK81" s="19" t="n">
        <f aca="false">$B81+CK$3*100*$A81</f>
        <v>86.025</v>
      </c>
      <c r="CL81" s="19" t="n">
        <f aca="false">$B81+CL$3*100*$A81</f>
        <v>87</v>
      </c>
      <c r="CM81" s="19" t="n">
        <f aca="false">$B81+CM$3*100*$A81</f>
        <v>87.975</v>
      </c>
      <c r="CN81" s="19" t="n">
        <f aca="false">$B81+CN$3*100*$A81</f>
        <v>88.95</v>
      </c>
      <c r="CO81" s="19" t="n">
        <f aca="false">$B81+CO$3*100*$A81</f>
        <v>89.925</v>
      </c>
      <c r="CP81" s="19" t="n">
        <f aca="false">$B81+CP$3*100*$A81</f>
        <v>90.9</v>
      </c>
      <c r="CQ81" s="19" t="n">
        <f aca="false">$B81+CQ$3*100*$A81</f>
        <v>91.875</v>
      </c>
      <c r="CR81" s="19" t="n">
        <f aca="false">$B81+CR$3*100*$A81</f>
        <v>92.85</v>
      </c>
      <c r="CS81" s="19" t="n">
        <f aca="false">$B81+CS$3*100*$A81</f>
        <v>93.825</v>
      </c>
      <c r="CT81" s="19" t="n">
        <f aca="false">$B81+CT$3*100*$A81</f>
        <v>94.8</v>
      </c>
      <c r="CU81" s="19" t="n">
        <f aca="false">$B81+CU$3*100*$A81</f>
        <v>95.775</v>
      </c>
      <c r="CV81" s="19" t="n">
        <f aca="false">$B81+CV$3*100*$A81</f>
        <v>96.75</v>
      </c>
      <c r="CW81" s="19" t="n">
        <f aca="false">$B81+CW$3*100*$A81</f>
        <v>97.725</v>
      </c>
      <c r="CX81" s="19" t="n">
        <f aca="false">$B81+CX$3*100*$A81</f>
        <v>98.7</v>
      </c>
      <c r="CY81" s="19" t="n">
        <f aca="false">$B81+CY$3*100*$A81</f>
        <v>99.675</v>
      </c>
      <c r="CZ81" s="19" t="n">
        <f aca="false">$B81+CZ$3*100*$A81</f>
        <v>100.65</v>
      </c>
      <c r="DA81" s="19" t="n">
        <f aca="false">$B81+DA$3*100*$A81</f>
        <v>101.625</v>
      </c>
      <c r="DB81" s="19" t="n">
        <f aca="false">$B81+DB$3*100*$A81</f>
        <v>102.6</v>
      </c>
      <c r="DC81" s="19" t="n">
        <f aca="false">$B81+DC$3*100*$A81</f>
        <v>103.575</v>
      </c>
      <c r="DD81" s="19" t="n">
        <f aca="false">$B81+DD$3*100*$A81</f>
        <v>104.55</v>
      </c>
      <c r="DE81" s="19" t="n">
        <f aca="false">$B81+DE$3*100*$A81</f>
        <v>105.525</v>
      </c>
      <c r="DF81" s="19" t="n">
        <f aca="false">$B81+DF$3*100*$A81</f>
        <v>106.5</v>
      </c>
      <c r="DG81" s="19" t="n">
        <f aca="false">$B81+DG$3*100*$A81</f>
        <v>107.475</v>
      </c>
      <c r="DH81" s="19" t="n">
        <f aca="false">$B81+DH$3*100*$A81</f>
        <v>108.45</v>
      </c>
      <c r="DI81" s="19" t="n">
        <f aca="false">$B81+DI$3*100*$A81</f>
        <v>109.425</v>
      </c>
      <c r="DJ81" s="19" t="n">
        <f aca="false">$B81+DJ$3*100*$A81</f>
        <v>110.4</v>
      </c>
      <c r="DK81" s="19" t="n">
        <f aca="false">$B81+DK$3*100*$A81</f>
        <v>111.375</v>
      </c>
      <c r="DL81" s="19" t="n">
        <f aca="false">$B81+DL$3*100*$A81</f>
        <v>112.35</v>
      </c>
      <c r="DM81" s="19" t="n">
        <f aca="false">$B81+DM$3*100*$A81</f>
        <v>113.325</v>
      </c>
      <c r="DN81" s="19" t="n">
        <f aca="false">$B81+DN$3*100*$A81</f>
        <v>114.3</v>
      </c>
      <c r="DO81" s="19" t="n">
        <f aca="false">$B81+DO$3*100*$A81</f>
        <v>115.275</v>
      </c>
      <c r="DP81" s="19" t="n">
        <f aca="false">$B81+DP$3*100*$A81</f>
        <v>116.25</v>
      </c>
      <c r="DQ81" s="19" t="n">
        <f aca="false">$B81+DQ$3*100*$A81</f>
        <v>117.225</v>
      </c>
      <c r="DR81" s="19" t="n">
        <f aca="false">$B81+DR$3*100*$A81</f>
        <v>118.2</v>
      </c>
      <c r="DS81" s="19" t="n">
        <f aca="false">$B81+DS$3*100*$A81</f>
        <v>119.175</v>
      </c>
      <c r="DT81" s="19" t="n">
        <f aca="false">$B81+DT$3*100*$A81</f>
        <v>120.15</v>
      </c>
      <c r="DU81" s="19" t="n">
        <f aca="false">$B81+DU$3*100*$A81</f>
        <v>121.125</v>
      </c>
      <c r="DV81" s="19" t="n">
        <f aca="false">$B81+DV$3*100*$A81</f>
        <v>122.1</v>
      </c>
      <c r="DW81" s="19" t="n">
        <f aca="false">$B81+DW$3*100*$A81</f>
        <v>123.075</v>
      </c>
      <c r="DX81" s="19" t="n">
        <f aca="false">$B81+DX$3*100*$A81</f>
        <v>124.05</v>
      </c>
      <c r="DY81" s="19" t="n">
        <f aca="false">$B81+DY$3*100*$A81</f>
        <v>125.025</v>
      </c>
      <c r="DZ81" s="19" t="n">
        <f aca="false">$B81+DZ$3*100*$A81</f>
        <v>126</v>
      </c>
      <c r="EA81" s="19" t="n">
        <f aca="false">$B81+EA$3*100*$A81</f>
        <v>126.975</v>
      </c>
      <c r="EB81" s="19" t="n">
        <f aca="false">$B81+EB$3*100*$A81</f>
        <v>127.95</v>
      </c>
      <c r="EC81" s="19" t="n">
        <f aca="false">$B81+EC$3*100*$A81</f>
        <v>128.925</v>
      </c>
      <c r="ED81" s="19" t="n">
        <f aca="false">$B81+ED$3*100*$A81</f>
        <v>129.9</v>
      </c>
      <c r="EE81" s="19" t="n">
        <f aca="false">$B81+EE$3*100*$A81</f>
        <v>130.875</v>
      </c>
      <c r="EF81" s="19" t="n">
        <f aca="false">$B81+EF$3*100*$A81</f>
        <v>131.85</v>
      </c>
      <c r="EG81" s="19" t="n">
        <f aca="false">$B81+EG$3*100*$A81</f>
        <v>132.825</v>
      </c>
      <c r="EH81" s="19" t="n">
        <f aca="false">$B81+EH$3*100*$A81</f>
        <v>133.8</v>
      </c>
      <c r="EI81" s="19" t="n">
        <f aca="false">$B81+EI$3*100*$A81</f>
        <v>134.775</v>
      </c>
      <c r="EJ81" s="19" t="n">
        <f aca="false">$B81+EJ$3*100*$A81</f>
        <v>135.75</v>
      </c>
      <c r="EK81" s="19" t="n">
        <f aca="false">$B81+EK$3*100*$A81</f>
        <v>136.725</v>
      </c>
      <c r="EL81" s="19" t="n">
        <f aca="false">$B81+EL$3*100*$A81</f>
        <v>137.7</v>
      </c>
      <c r="EM81" s="19" t="n">
        <f aca="false">$B81+EM$3*100*$A81</f>
        <v>138.675</v>
      </c>
      <c r="EN81" s="19" t="n">
        <f aca="false">$B81+EN$3*100*$A81</f>
        <v>139.65</v>
      </c>
      <c r="EO81" s="19" t="n">
        <f aca="false">$B81+EO$3*100*$A81</f>
        <v>140.625</v>
      </c>
      <c r="EP81" s="19" t="n">
        <f aca="false">$B81+EP$3*100*$A81</f>
        <v>141.6</v>
      </c>
      <c r="EQ81" s="19" t="n">
        <f aca="false">$B81+EQ$3*100*$A81</f>
        <v>142.575</v>
      </c>
      <c r="ER81" s="19" t="n">
        <f aca="false">$B81+ER$3*100*$A81</f>
        <v>143.55</v>
      </c>
      <c r="ES81" s="19" t="n">
        <f aca="false">$B81+ES$3*100*$A81</f>
        <v>144.525</v>
      </c>
      <c r="ET81" s="19" t="n">
        <f aca="false">$B81+ET$3*100*$A81</f>
        <v>145.5</v>
      </c>
      <c r="EU81" s="19" t="n">
        <f aca="false">$B81+EU$3*100*$A81</f>
        <v>146.475</v>
      </c>
      <c r="EV81" s="19" t="n">
        <f aca="false">$B81+EV$3*100*$A81</f>
        <v>147.45</v>
      </c>
      <c r="EW81" s="19" t="n">
        <f aca="false">$B81+EW$3*100*$A81</f>
        <v>148.425</v>
      </c>
      <c r="EX81" s="19" t="n">
        <f aca="false">$B81+EX$3*100*$A81</f>
        <v>149.4</v>
      </c>
      <c r="EY81" s="19" t="n">
        <f aca="false">$B81+EY$3*100*$A81</f>
        <v>150.375</v>
      </c>
      <c r="EZ81" s="19" t="n">
        <f aca="false">$B81+EZ$3*100*$A81</f>
        <v>151.35</v>
      </c>
      <c r="FA81" s="19" t="n">
        <f aca="false">$B81+FA$3*100*$A81</f>
        <v>152.325</v>
      </c>
      <c r="FB81" s="19" t="n">
        <f aca="false">$B81+FB$3*100*$A81</f>
        <v>153.3</v>
      </c>
      <c r="FC81" s="19" t="n">
        <f aca="false">$B81+FC$3*100*$A81</f>
        <v>154.275</v>
      </c>
      <c r="FD81" s="19" t="n">
        <f aca="false">$B81+FD$3*100*$A81</f>
        <v>155.25</v>
      </c>
      <c r="FE81" s="19" t="n">
        <f aca="false">$B81+FE$3*100*$A81</f>
        <v>156.225</v>
      </c>
      <c r="FF81" s="19" t="n">
        <f aca="false">$B81+FF$3*100*$A81</f>
        <v>157.2</v>
      </c>
      <c r="FG81" s="19" t="n">
        <f aca="false">$B81+FG$3*100*$A81</f>
        <v>158.175</v>
      </c>
      <c r="FH81" s="19" t="n">
        <f aca="false">$B81+FH$3*100*$A81</f>
        <v>159.15</v>
      </c>
      <c r="FI81" s="19" t="n">
        <f aca="false">$B81+FI$3*100*$A81</f>
        <v>160.125</v>
      </c>
      <c r="FJ81" s="19" t="n">
        <f aca="false">$B81+FJ$3*100*$A81</f>
        <v>161.1</v>
      </c>
      <c r="FK81" s="19" t="n">
        <f aca="false">$B81+FK$3*100*$A81</f>
        <v>162.075</v>
      </c>
      <c r="FL81" s="19" t="n">
        <f aca="false">$B81+FL$3*100*$A81</f>
        <v>163.05</v>
      </c>
      <c r="FM81" s="19" t="n">
        <f aca="false">$B81+FM$3*100*$A81</f>
        <v>164.025</v>
      </c>
      <c r="FN81" s="19" t="n">
        <f aca="false">$B81+FN$3*100*$A81</f>
        <v>165</v>
      </c>
      <c r="FO81" s="19" t="n">
        <f aca="false">$B81+FO$3*100*$A81</f>
        <v>165.975</v>
      </c>
      <c r="FP81" s="19" t="n">
        <f aca="false">$B81+FP$3*100*$A81</f>
        <v>166.95</v>
      </c>
      <c r="FQ81" s="19" t="n">
        <f aca="false">$B81+FQ$3*100*$A81</f>
        <v>167.925</v>
      </c>
      <c r="FR81" s="19" t="n">
        <f aca="false">$B81+FR$3*100*$A81</f>
        <v>168.9</v>
      </c>
      <c r="FS81" s="19" t="n">
        <f aca="false">$B81+FS$3*100*$A81</f>
        <v>169.875</v>
      </c>
      <c r="FT81" s="19" t="n">
        <f aca="false">$B81+FT$3*100*$A81</f>
        <v>170.85</v>
      </c>
      <c r="FU81" s="19" t="n">
        <f aca="false">$B81+FU$3*100*$A81</f>
        <v>171.825</v>
      </c>
      <c r="FV81" s="19" t="n">
        <f aca="false">$B81+FV$3*100*$A81</f>
        <v>172.8</v>
      </c>
      <c r="FW81" s="19" t="n">
        <f aca="false">$B81+FW$3*100*$A81</f>
        <v>173.775</v>
      </c>
      <c r="FX81" s="19" t="n">
        <f aca="false">$B81+FX$3*100*$A81</f>
        <v>174.75</v>
      </c>
      <c r="FY81" s="19" t="n">
        <f aca="false">$B81+FY$3*100*$A81</f>
        <v>175.725</v>
      </c>
      <c r="FZ81" s="19" t="n">
        <f aca="false">$B81+FZ$3*100*$A81</f>
        <v>176.7</v>
      </c>
      <c r="GA81" s="19" t="n">
        <f aca="false">$B81+GA$3*100*$A81</f>
        <v>177.675</v>
      </c>
      <c r="GB81" s="19" t="n">
        <f aca="false">$B81+GB$3*100*$A81</f>
        <v>178.65</v>
      </c>
      <c r="GC81" s="19" t="n">
        <f aca="false">$B81+GC$3*100*$A81</f>
        <v>179.625</v>
      </c>
      <c r="GD81" s="19" t="n">
        <f aca="false">$B81+GD$3*100*$A81</f>
        <v>180.6</v>
      </c>
      <c r="GE81" s="19" t="n">
        <f aca="false">$B81+GE$3*100*$A81</f>
        <v>181.575</v>
      </c>
      <c r="GF81" s="19" t="n">
        <f aca="false">$B81+GF$3*100*$A81</f>
        <v>182.55</v>
      </c>
      <c r="GG81" s="19" t="n">
        <f aca="false">$B81+GG$3*100*$A81</f>
        <v>183.525</v>
      </c>
      <c r="GH81" s="19" t="n">
        <f aca="false">$B81+GH$3*100*$A81</f>
        <v>184.5</v>
      </c>
      <c r="GI81" s="19" t="n">
        <f aca="false">$B81+GI$3*100*$A81</f>
        <v>185.475</v>
      </c>
      <c r="GJ81" s="19" t="n">
        <f aca="false">$B81+GJ$3*100*$A81</f>
        <v>186.45</v>
      </c>
      <c r="GK81" s="19" t="n">
        <f aca="false">$B81+GK$3*100*$A81</f>
        <v>187.425</v>
      </c>
      <c r="GL81" s="19" t="n">
        <f aca="false">$B81+GL$3*100*$A81</f>
        <v>188.4</v>
      </c>
      <c r="GM81" s="19" t="n">
        <f aca="false">$B81+GM$3*100*$A81</f>
        <v>189.375</v>
      </c>
      <c r="GN81" s="19" t="n">
        <f aca="false">$B81+GN$3*100*$A81</f>
        <v>190.35</v>
      </c>
      <c r="GO81" s="19" t="n">
        <f aca="false">$B81+GO$3*100*$A81</f>
        <v>191.325</v>
      </c>
      <c r="GP81" s="19" t="n">
        <f aca="false">$B81+GP$3*100*$A81</f>
        <v>192.3</v>
      </c>
      <c r="GQ81" s="19" t="n">
        <f aca="false">$B81+GQ$3*100*$A81</f>
        <v>193.275</v>
      </c>
      <c r="GR81" s="19" t="n">
        <f aca="false">$B81+GR$3*100*$A81</f>
        <v>194.25</v>
      </c>
      <c r="GS81" s="19" t="n">
        <f aca="false">$B81+GS$3*100*$A81</f>
        <v>195.225</v>
      </c>
      <c r="GT81" s="19" t="n">
        <f aca="false">$B81+GT$3*100*$A81</f>
        <v>196.2</v>
      </c>
    </row>
    <row r="82" customFormat="false" ht="15" hidden="false" customHeight="false" outlineLevel="0" collapsed="false">
      <c r="A82" s="26" t="n">
        <f aca="false">Frontier!A80</f>
        <v>0.1975</v>
      </c>
      <c r="B82" s="34" t="n">
        <f aca="false">Frontier!B80</f>
        <v>1.2</v>
      </c>
      <c r="C82" s="19" t="n">
        <f aca="false">$B82+C$3*100*$A82</f>
        <v>2.1875</v>
      </c>
      <c r="D82" s="19" t="n">
        <f aca="false">$B82+D$3*100*$A82</f>
        <v>3.175</v>
      </c>
      <c r="E82" s="19" t="n">
        <f aca="false">$B82+E$3*100*$A82</f>
        <v>4.1625</v>
      </c>
      <c r="F82" s="19" t="n">
        <f aca="false">$B82+F$3*100*$A82</f>
        <v>5.15</v>
      </c>
      <c r="G82" s="19" t="n">
        <f aca="false">$B82+G$3*100*$A82</f>
        <v>6.1375</v>
      </c>
      <c r="H82" s="19" t="n">
        <f aca="false">$B82+H$3*100*$A82</f>
        <v>7.125</v>
      </c>
      <c r="I82" s="19" t="n">
        <f aca="false">$B82+I$3*100*$A82</f>
        <v>8.1125</v>
      </c>
      <c r="J82" s="19" t="n">
        <f aca="false">$B82+J$3*100*$A82</f>
        <v>9.1</v>
      </c>
      <c r="K82" s="19" t="n">
        <f aca="false">$B82+K$3*100*$A82</f>
        <v>10.0875</v>
      </c>
      <c r="L82" s="19" t="n">
        <f aca="false">$B82+L$3*100*$A82</f>
        <v>11.075</v>
      </c>
      <c r="M82" s="19" t="n">
        <f aca="false">$B82+M$3*100*$A82</f>
        <v>12.0625</v>
      </c>
      <c r="N82" s="19" t="n">
        <f aca="false">$B82+N$3*100*$A82</f>
        <v>13.05</v>
      </c>
      <c r="O82" s="19" t="n">
        <f aca="false">$B82+O$3*100*$A82</f>
        <v>14.0375</v>
      </c>
      <c r="P82" s="19" t="n">
        <f aca="false">$B82+P$3*100*$A82</f>
        <v>15.025</v>
      </c>
      <c r="Q82" s="19" t="n">
        <f aca="false">$B82+Q$3*100*$A82</f>
        <v>16.0125</v>
      </c>
      <c r="R82" s="19" t="n">
        <f aca="false">$B82+R$3*100*$A82</f>
        <v>17</v>
      </c>
      <c r="S82" s="19" t="n">
        <f aca="false">$B82+S$3*100*$A82</f>
        <v>17.9875</v>
      </c>
      <c r="T82" s="19" t="n">
        <f aca="false">$B82+T$3*100*$A82</f>
        <v>18.975</v>
      </c>
      <c r="U82" s="19" t="n">
        <f aca="false">$B82+U$3*100*$A82</f>
        <v>19.9625</v>
      </c>
      <c r="V82" s="19" t="n">
        <f aca="false">$B82+V$3*100*$A82</f>
        <v>20.95</v>
      </c>
      <c r="W82" s="19" t="n">
        <f aca="false">$B82+W$3*100*$A82</f>
        <v>21.9375</v>
      </c>
      <c r="X82" s="19" t="n">
        <f aca="false">$B82+X$3*100*$A82</f>
        <v>22.925</v>
      </c>
      <c r="Y82" s="19" t="n">
        <f aca="false">$B82+Y$3*100*$A82</f>
        <v>23.9125</v>
      </c>
      <c r="Z82" s="19" t="n">
        <f aca="false">$B82+Z$3*100*$A82</f>
        <v>24.9</v>
      </c>
      <c r="AA82" s="19" t="n">
        <f aca="false">$B82+AA$3*100*$A82</f>
        <v>25.8875</v>
      </c>
      <c r="AB82" s="19" t="n">
        <f aca="false">$B82+AB$3*100*$A82</f>
        <v>26.875</v>
      </c>
      <c r="AC82" s="19" t="n">
        <f aca="false">$B82+AC$3*100*$A82</f>
        <v>27.8625</v>
      </c>
      <c r="AD82" s="19" t="n">
        <f aca="false">$B82+AD$3*100*$A82</f>
        <v>28.85</v>
      </c>
      <c r="AE82" s="19" t="n">
        <f aca="false">$B82+AE$3*100*$A82</f>
        <v>29.8375</v>
      </c>
      <c r="AF82" s="19" t="n">
        <f aca="false">$B82+AF$3*100*$A82</f>
        <v>30.825</v>
      </c>
      <c r="AG82" s="19" t="n">
        <f aca="false">$B82+AG$3*100*$A82</f>
        <v>31.8125</v>
      </c>
      <c r="AH82" s="19" t="n">
        <f aca="false">$B82+AH$3*100*$A82</f>
        <v>32.8</v>
      </c>
      <c r="AI82" s="19" t="n">
        <f aca="false">$B82+AI$3*100*$A82</f>
        <v>33.7875</v>
      </c>
      <c r="AJ82" s="19" t="n">
        <f aca="false">$B82+AJ$3*100*$A82</f>
        <v>34.775</v>
      </c>
      <c r="AK82" s="19" t="n">
        <f aca="false">$B82+AK$3*100*$A82</f>
        <v>35.7625</v>
      </c>
      <c r="AL82" s="19" t="n">
        <f aca="false">$B82+AL$3*100*$A82</f>
        <v>36.75</v>
      </c>
      <c r="AM82" s="19" t="n">
        <f aca="false">$B82+AM$3*100*$A82</f>
        <v>37.7375</v>
      </c>
      <c r="AN82" s="19" t="n">
        <f aca="false">$B82+AN$3*100*$A82</f>
        <v>38.725</v>
      </c>
      <c r="AO82" s="19" t="n">
        <f aca="false">$B82+AO$3*100*$A82</f>
        <v>39.7125</v>
      </c>
      <c r="AP82" s="19" t="n">
        <f aca="false">$B82+AP$3*100*$A82</f>
        <v>40.7</v>
      </c>
      <c r="AQ82" s="19" t="n">
        <f aca="false">$B82+AQ$3*100*$A82</f>
        <v>41.6875</v>
      </c>
      <c r="AR82" s="19" t="n">
        <f aca="false">$B82+AR$3*100*$A82</f>
        <v>42.675</v>
      </c>
      <c r="AS82" s="19" t="n">
        <f aca="false">$B82+AS$3*100*$A82</f>
        <v>43.6625</v>
      </c>
      <c r="AT82" s="19" t="n">
        <f aca="false">$B82+AT$3*100*$A82</f>
        <v>44.65</v>
      </c>
      <c r="AU82" s="19" t="n">
        <f aca="false">$B82+AU$3*100*$A82</f>
        <v>45.6375</v>
      </c>
      <c r="AV82" s="19" t="n">
        <f aca="false">$B82+AV$3*100*$A82</f>
        <v>46.625</v>
      </c>
      <c r="AW82" s="19" t="n">
        <f aca="false">$B82+AW$3*100*$A82</f>
        <v>47.6125</v>
      </c>
      <c r="AX82" s="19" t="n">
        <f aca="false">$B82+AX$3*100*$A82</f>
        <v>48.6</v>
      </c>
      <c r="AY82" s="19" t="n">
        <f aca="false">$B82+AY$3*100*$A82</f>
        <v>49.5875</v>
      </c>
      <c r="AZ82" s="19" t="n">
        <f aca="false">$B82+AZ$3*100*$A82</f>
        <v>50.575</v>
      </c>
      <c r="BA82" s="19" t="n">
        <f aca="false">$B82+BA$3*100*$A82</f>
        <v>51.5625</v>
      </c>
      <c r="BB82" s="19" t="n">
        <f aca="false">$B82+BB$3*100*$A82</f>
        <v>52.55</v>
      </c>
      <c r="BC82" s="19" t="n">
        <f aca="false">$B82+BC$3*100*$A82</f>
        <v>53.5375</v>
      </c>
      <c r="BD82" s="19" t="n">
        <f aca="false">$B82+BD$3*100*$A82</f>
        <v>54.525</v>
      </c>
      <c r="BE82" s="19" t="n">
        <f aca="false">$B82+BE$3*100*$A82</f>
        <v>55.5125</v>
      </c>
      <c r="BF82" s="19" t="n">
        <f aca="false">$B82+BF$3*100*$A82</f>
        <v>56.5</v>
      </c>
      <c r="BG82" s="19" t="n">
        <f aca="false">$B82+BG$3*100*$A82</f>
        <v>57.4875</v>
      </c>
      <c r="BH82" s="19" t="n">
        <f aca="false">$B82+BH$3*100*$A82</f>
        <v>58.475</v>
      </c>
      <c r="BI82" s="19" t="n">
        <f aca="false">$B82+BI$3*100*$A82</f>
        <v>59.4625</v>
      </c>
      <c r="BJ82" s="19" t="n">
        <f aca="false">$B82+BJ$3*100*$A82</f>
        <v>60.45</v>
      </c>
      <c r="BK82" s="19" t="n">
        <f aca="false">$B82+BK$3*100*$A82</f>
        <v>61.4375</v>
      </c>
      <c r="BL82" s="19" t="n">
        <f aca="false">$B82+BL$3*100*$A82</f>
        <v>62.425</v>
      </c>
      <c r="BM82" s="19" t="n">
        <f aca="false">$B82+BM$3*100*$A82</f>
        <v>63.4125</v>
      </c>
      <c r="BN82" s="19" t="n">
        <f aca="false">$B82+BN$3*100*$A82</f>
        <v>64.4</v>
      </c>
      <c r="BO82" s="19" t="n">
        <f aca="false">$B82+BO$3*100*$A82</f>
        <v>65.3875</v>
      </c>
      <c r="BP82" s="19" t="n">
        <f aca="false">$B82+BP$3*100*$A82</f>
        <v>66.375</v>
      </c>
      <c r="BQ82" s="19" t="n">
        <f aca="false">$B82+BQ$3*100*$A82</f>
        <v>67.3625</v>
      </c>
      <c r="BR82" s="19" t="n">
        <f aca="false">$B82+BR$3*100*$A82</f>
        <v>68.35</v>
      </c>
      <c r="BS82" s="19" t="n">
        <f aca="false">$B82+BS$3*100*$A82</f>
        <v>69.3375</v>
      </c>
      <c r="BT82" s="19" t="n">
        <f aca="false">$B82+BT$3*100*$A82</f>
        <v>70.325</v>
      </c>
      <c r="BU82" s="19" t="n">
        <f aca="false">$B82+BU$3*100*$A82</f>
        <v>71.3125</v>
      </c>
      <c r="BV82" s="19" t="n">
        <f aca="false">$B82+BV$3*100*$A82</f>
        <v>72.3</v>
      </c>
      <c r="BW82" s="19" t="n">
        <f aca="false">$B82+BW$3*100*$A82</f>
        <v>73.2875</v>
      </c>
      <c r="BX82" s="19" t="n">
        <f aca="false">$B82+BX$3*100*$A82</f>
        <v>74.275</v>
      </c>
      <c r="BY82" s="19" t="n">
        <f aca="false">$B82+BY$3*100*$A82</f>
        <v>75.2625</v>
      </c>
      <c r="BZ82" s="19" t="n">
        <f aca="false">$B82+BZ$3*100*$A82</f>
        <v>76.25</v>
      </c>
      <c r="CA82" s="19" t="n">
        <f aca="false">$B82+CA$3*100*$A82</f>
        <v>77.2375</v>
      </c>
      <c r="CB82" s="19" t="n">
        <f aca="false">$B82+CB$3*100*$A82</f>
        <v>78.225</v>
      </c>
      <c r="CC82" s="19" t="n">
        <f aca="false">$B82+CC$3*100*$A82</f>
        <v>79.2125</v>
      </c>
      <c r="CD82" s="19" t="n">
        <f aca="false">$B82+CD$3*100*$A82</f>
        <v>80.2</v>
      </c>
      <c r="CE82" s="19" t="n">
        <f aca="false">$B82+CE$3*100*$A82</f>
        <v>81.1875</v>
      </c>
      <c r="CF82" s="19" t="n">
        <f aca="false">$B82+CF$3*100*$A82</f>
        <v>82.175</v>
      </c>
      <c r="CG82" s="19" t="n">
        <f aca="false">$B82+CG$3*100*$A82</f>
        <v>83.1625</v>
      </c>
      <c r="CH82" s="19" t="n">
        <f aca="false">$B82+CH$3*100*$A82</f>
        <v>84.15</v>
      </c>
      <c r="CI82" s="19" t="n">
        <f aca="false">$B82+CI$3*100*$A82</f>
        <v>85.1375</v>
      </c>
      <c r="CJ82" s="19" t="n">
        <f aca="false">$B82+CJ$3*100*$A82</f>
        <v>86.125</v>
      </c>
      <c r="CK82" s="19" t="n">
        <f aca="false">$B82+CK$3*100*$A82</f>
        <v>87.1125</v>
      </c>
      <c r="CL82" s="19" t="n">
        <f aca="false">$B82+CL$3*100*$A82</f>
        <v>88.1</v>
      </c>
      <c r="CM82" s="19" t="n">
        <f aca="false">$B82+CM$3*100*$A82</f>
        <v>89.0875</v>
      </c>
      <c r="CN82" s="19" t="n">
        <f aca="false">$B82+CN$3*100*$A82</f>
        <v>90.075</v>
      </c>
      <c r="CO82" s="19" t="n">
        <f aca="false">$B82+CO$3*100*$A82</f>
        <v>91.0625</v>
      </c>
      <c r="CP82" s="19" t="n">
        <f aca="false">$B82+CP$3*100*$A82</f>
        <v>92.05</v>
      </c>
      <c r="CQ82" s="19" t="n">
        <f aca="false">$B82+CQ$3*100*$A82</f>
        <v>93.0375</v>
      </c>
      <c r="CR82" s="19" t="n">
        <f aca="false">$B82+CR$3*100*$A82</f>
        <v>94.025</v>
      </c>
      <c r="CS82" s="19" t="n">
        <f aca="false">$B82+CS$3*100*$A82</f>
        <v>95.0125</v>
      </c>
      <c r="CT82" s="19" t="n">
        <f aca="false">$B82+CT$3*100*$A82</f>
        <v>96</v>
      </c>
      <c r="CU82" s="19" t="n">
        <f aca="false">$B82+CU$3*100*$A82</f>
        <v>96.9875</v>
      </c>
      <c r="CV82" s="19" t="n">
        <f aca="false">$B82+CV$3*100*$A82</f>
        <v>97.975</v>
      </c>
      <c r="CW82" s="19" t="n">
        <f aca="false">$B82+CW$3*100*$A82</f>
        <v>98.9625</v>
      </c>
      <c r="CX82" s="19" t="n">
        <f aca="false">$B82+CX$3*100*$A82</f>
        <v>99.95</v>
      </c>
      <c r="CY82" s="19" t="n">
        <f aca="false">$B82+CY$3*100*$A82</f>
        <v>100.9375</v>
      </c>
      <c r="CZ82" s="19" t="n">
        <f aca="false">$B82+CZ$3*100*$A82</f>
        <v>101.925</v>
      </c>
      <c r="DA82" s="19" t="n">
        <f aca="false">$B82+DA$3*100*$A82</f>
        <v>102.9125</v>
      </c>
      <c r="DB82" s="19" t="n">
        <f aca="false">$B82+DB$3*100*$A82</f>
        <v>103.9</v>
      </c>
      <c r="DC82" s="19" t="n">
        <f aca="false">$B82+DC$3*100*$A82</f>
        <v>104.8875</v>
      </c>
      <c r="DD82" s="19" t="n">
        <f aca="false">$B82+DD$3*100*$A82</f>
        <v>105.875</v>
      </c>
      <c r="DE82" s="19" t="n">
        <f aca="false">$B82+DE$3*100*$A82</f>
        <v>106.8625</v>
      </c>
      <c r="DF82" s="19" t="n">
        <f aca="false">$B82+DF$3*100*$A82</f>
        <v>107.85</v>
      </c>
      <c r="DG82" s="19" t="n">
        <f aca="false">$B82+DG$3*100*$A82</f>
        <v>108.8375</v>
      </c>
      <c r="DH82" s="19" t="n">
        <f aca="false">$B82+DH$3*100*$A82</f>
        <v>109.825</v>
      </c>
      <c r="DI82" s="19" t="n">
        <f aca="false">$B82+DI$3*100*$A82</f>
        <v>110.8125</v>
      </c>
      <c r="DJ82" s="19" t="n">
        <f aca="false">$B82+DJ$3*100*$A82</f>
        <v>111.8</v>
      </c>
      <c r="DK82" s="19" t="n">
        <f aca="false">$B82+DK$3*100*$A82</f>
        <v>112.7875</v>
      </c>
      <c r="DL82" s="19" t="n">
        <f aca="false">$B82+DL$3*100*$A82</f>
        <v>113.775</v>
      </c>
      <c r="DM82" s="19" t="n">
        <f aca="false">$B82+DM$3*100*$A82</f>
        <v>114.7625</v>
      </c>
      <c r="DN82" s="19" t="n">
        <f aca="false">$B82+DN$3*100*$A82</f>
        <v>115.75</v>
      </c>
      <c r="DO82" s="19" t="n">
        <f aca="false">$B82+DO$3*100*$A82</f>
        <v>116.7375</v>
      </c>
      <c r="DP82" s="19" t="n">
        <f aca="false">$B82+DP$3*100*$A82</f>
        <v>117.725</v>
      </c>
      <c r="DQ82" s="19" t="n">
        <f aca="false">$B82+DQ$3*100*$A82</f>
        <v>118.7125</v>
      </c>
      <c r="DR82" s="19" t="n">
        <f aca="false">$B82+DR$3*100*$A82</f>
        <v>119.7</v>
      </c>
      <c r="DS82" s="19" t="n">
        <f aca="false">$B82+DS$3*100*$A82</f>
        <v>120.6875</v>
      </c>
      <c r="DT82" s="19" t="n">
        <f aca="false">$B82+DT$3*100*$A82</f>
        <v>121.675</v>
      </c>
      <c r="DU82" s="19" t="n">
        <f aca="false">$B82+DU$3*100*$A82</f>
        <v>122.6625</v>
      </c>
      <c r="DV82" s="19" t="n">
        <f aca="false">$B82+DV$3*100*$A82</f>
        <v>123.65</v>
      </c>
      <c r="DW82" s="19" t="n">
        <f aca="false">$B82+DW$3*100*$A82</f>
        <v>124.6375</v>
      </c>
      <c r="DX82" s="19" t="n">
        <f aca="false">$B82+DX$3*100*$A82</f>
        <v>125.625</v>
      </c>
      <c r="DY82" s="19" t="n">
        <f aca="false">$B82+DY$3*100*$A82</f>
        <v>126.6125</v>
      </c>
      <c r="DZ82" s="19" t="n">
        <f aca="false">$B82+DZ$3*100*$A82</f>
        <v>127.6</v>
      </c>
      <c r="EA82" s="19" t="n">
        <f aca="false">$B82+EA$3*100*$A82</f>
        <v>128.5875</v>
      </c>
      <c r="EB82" s="19" t="n">
        <f aca="false">$B82+EB$3*100*$A82</f>
        <v>129.575</v>
      </c>
      <c r="EC82" s="19" t="n">
        <f aca="false">$B82+EC$3*100*$A82</f>
        <v>130.5625</v>
      </c>
      <c r="ED82" s="19" t="n">
        <f aca="false">$B82+ED$3*100*$A82</f>
        <v>131.55</v>
      </c>
      <c r="EE82" s="19" t="n">
        <f aca="false">$B82+EE$3*100*$A82</f>
        <v>132.5375</v>
      </c>
      <c r="EF82" s="19" t="n">
        <f aca="false">$B82+EF$3*100*$A82</f>
        <v>133.525</v>
      </c>
      <c r="EG82" s="19" t="n">
        <f aca="false">$B82+EG$3*100*$A82</f>
        <v>134.5125</v>
      </c>
      <c r="EH82" s="19" t="n">
        <f aca="false">$B82+EH$3*100*$A82</f>
        <v>135.5</v>
      </c>
      <c r="EI82" s="19" t="n">
        <f aca="false">$B82+EI$3*100*$A82</f>
        <v>136.4875</v>
      </c>
      <c r="EJ82" s="19" t="n">
        <f aca="false">$B82+EJ$3*100*$A82</f>
        <v>137.475</v>
      </c>
      <c r="EK82" s="19" t="n">
        <f aca="false">$B82+EK$3*100*$A82</f>
        <v>138.4625</v>
      </c>
      <c r="EL82" s="19" t="n">
        <f aca="false">$B82+EL$3*100*$A82</f>
        <v>139.45</v>
      </c>
      <c r="EM82" s="19" t="n">
        <f aca="false">$B82+EM$3*100*$A82</f>
        <v>140.4375</v>
      </c>
      <c r="EN82" s="19" t="n">
        <f aca="false">$B82+EN$3*100*$A82</f>
        <v>141.425</v>
      </c>
      <c r="EO82" s="19" t="n">
        <f aca="false">$B82+EO$3*100*$A82</f>
        <v>142.4125</v>
      </c>
      <c r="EP82" s="19" t="n">
        <f aca="false">$B82+EP$3*100*$A82</f>
        <v>143.4</v>
      </c>
      <c r="EQ82" s="19" t="n">
        <f aca="false">$B82+EQ$3*100*$A82</f>
        <v>144.3875</v>
      </c>
      <c r="ER82" s="19" t="n">
        <f aca="false">$B82+ER$3*100*$A82</f>
        <v>145.375</v>
      </c>
      <c r="ES82" s="19" t="n">
        <f aca="false">$B82+ES$3*100*$A82</f>
        <v>146.3625</v>
      </c>
      <c r="ET82" s="19" t="n">
        <f aca="false">$B82+ET$3*100*$A82</f>
        <v>147.35</v>
      </c>
      <c r="EU82" s="19" t="n">
        <f aca="false">$B82+EU$3*100*$A82</f>
        <v>148.3375</v>
      </c>
      <c r="EV82" s="19" t="n">
        <f aca="false">$B82+EV$3*100*$A82</f>
        <v>149.325</v>
      </c>
      <c r="EW82" s="19" t="n">
        <f aca="false">$B82+EW$3*100*$A82</f>
        <v>150.3125</v>
      </c>
      <c r="EX82" s="19" t="n">
        <f aca="false">$B82+EX$3*100*$A82</f>
        <v>151.3</v>
      </c>
      <c r="EY82" s="19" t="n">
        <f aca="false">$B82+EY$3*100*$A82</f>
        <v>152.2875</v>
      </c>
      <c r="EZ82" s="19" t="n">
        <f aca="false">$B82+EZ$3*100*$A82</f>
        <v>153.275</v>
      </c>
      <c r="FA82" s="19" t="n">
        <f aca="false">$B82+FA$3*100*$A82</f>
        <v>154.2625</v>
      </c>
      <c r="FB82" s="19" t="n">
        <f aca="false">$B82+FB$3*100*$A82</f>
        <v>155.25</v>
      </c>
      <c r="FC82" s="19" t="n">
        <f aca="false">$B82+FC$3*100*$A82</f>
        <v>156.2375</v>
      </c>
      <c r="FD82" s="19" t="n">
        <f aca="false">$B82+FD$3*100*$A82</f>
        <v>157.225</v>
      </c>
      <c r="FE82" s="19" t="n">
        <f aca="false">$B82+FE$3*100*$A82</f>
        <v>158.2125</v>
      </c>
      <c r="FF82" s="19" t="n">
        <f aca="false">$B82+FF$3*100*$A82</f>
        <v>159.2</v>
      </c>
      <c r="FG82" s="19" t="n">
        <f aca="false">$B82+FG$3*100*$A82</f>
        <v>160.1875</v>
      </c>
      <c r="FH82" s="19" t="n">
        <f aca="false">$B82+FH$3*100*$A82</f>
        <v>161.175</v>
      </c>
      <c r="FI82" s="19" t="n">
        <f aca="false">$B82+FI$3*100*$A82</f>
        <v>162.1625</v>
      </c>
      <c r="FJ82" s="19" t="n">
        <f aca="false">$B82+FJ$3*100*$A82</f>
        <v>163.15</v>
      </c>
      <c r="FK82" s="19" t="n">
        <f aca="false">$B82+FK$3*100*$A82</f>
        <v>164.1375</v>
      </c>
      <c r="FL82" s="19" t="n">
        <f aca="false">$B82+FL$3*100*$A82</f>
        <v>165.125</v>
      </c>
      <c r="FM82" s="19" t="n">
        <f aca="false">$B82+FM$3*100*$A82</f>
        <v>166.1125</v>
      </c>
      <c r="FN82" s="19" t="n">
        <f aca="false">$B82+FN$3*100*$A82</f>
        <v>167.1</v>
      </c>
      <c r="FO82" s="19" t="n">
        <f aca="false">$B82+FO$3*100*$A82</f>
        <v>168.0875</v>
      </c>
      <c r="FP82" s="19" t="n">
        <f aca="false">$B82+FP$3*100*$A82</f>
        <v>169.075</v>
      </c>
      <c r="FQ82" s="19" t="n">
        <f aca="false">$B82+FQ$3*100*$A82</f>
        <v>170.0625</v>
      </c>
      <c r="FR82" s="19" t="n">
        <f aca="false">$B82+FR$3*100*$A82</f>
        <v>171.05</v>
      </c>
      <c r="FS82" s="19" t="n">
        <f aca="false">$B82+FS$3*100*$A82</f>
        <v>172.0375</v>
      </c>
      <c r="FT82" s="19" t="n">
        <f aca="false">$B82+FT$3*100*$A82</f>
        <v>173.025</v>
      </c>
      <c r="FU82" s="19" t="n">
        <f aca="false">$B82+FU$3*100*$A82</f>
        <v>174.0125</v>
      </c>
      <c r="FV82" s="19" t="n">
        <f aca="false">$B82+FV$3*100*$A82</f>
        <v>175</v>
      </c>
      <c r="FW82" s="19" t="n">
        <f aca="false">$B82+FW$3*100*$A82</f>
        <v>175.9875</v>
      </c>
      <c r="FX82" s="19" t="n">
        <f aca="false">$B82+FX$3*100*$A82</f>
        <v>176.975</v>
      </c>
      <c r="FY82" s="19" t="n">
        <f aca="false">$B82+FY$3*100*$A82</f>
        <v>177.9625</v>
      </c>
      <c r="FZ82" s="19" t="n">
        <f aca="false">$B82+FZ$3*100*$A82</f>
        <v>178.95</v>
      </c>
      <c r="GA82" s="19" t="n">
        <f aca="false">$B82+GA$3*100*$A82</f>
        <v>179.9375</v>
      </c>
      <c r="GB82" s="19" t="n">
        <f aca="false">$B82+GB$3*100*$A82</f>
        <v>180.925</v>
      </c>
      <c r="GC82" s="19" t="n">
        <f aca="false">$B82+GC$3*100*$A82</f>
        <v>181.9125</v>
      </c>
      <c r="GD82" s="19" t="n">
        <f aca="false">$B82+GD$3*100*$A82</f>
        <v>182.9</v>
      </c>
      <c r="GE82" s="19" t="n">
        <f aca="false">$B82+GE$3*100*$A82</f>
        <v>183.8875</v>
      </c>
      <c r="GF82" s="19" t="n">
        <f aca="false">$B82+GF$3*100*$A82</f>
        <v>184.875</v>
      </c>
      <c r="GG82" s="19" t="n">
        <f aca="false">$B82+GG$3*100*$A82</f>
        <v>185.8625</v>
      </c>
      <c r="GH82" s="19" t="n">
        <f aca="false">$B82+GH$3*100*$A82</f>
        <v>186.85</v>
      </c>
      <c r="GI82" s="19" t="n">
        <f aca="false">$B82+GI$3*100*$A82</f>
        <v>187.8375</v>
      </c>
      <c r="GJ82" s="19" t="n">
        <f aca="false">$B82+GJ$3*100*$A82</f>
        <v>188.825</v>
      </c>
      <c r="GK82" s="19" t="n">
        <f aca="false">$B82+GK$3*100*$A82</f>
        <v>189.8125</v>
      </c>
      <c r="GL82" s="19" t="n">
        <f aca="false">$B82+GL$3*100*$A82</f>
        <v>190.8</v>
      </c>
      <c r="GM82" s="19" t="n">
        <f aca="false">$B82+GM$3*100*$A82</f>
        <v>191.7875</v>
      </c>
      <c r="GN82" s="19" t="n">
        <f aca="false">$B82+GN$3*100*$A82</f>
        <v>192.775</v>
      </c>
      <c r="GO82" s="19" t="n">
        <f aca="false">$B82+GO$3*100*$A82</f>
        <v>193.7625</v>
      </c>
      <c r="GP82" s="19" t="n">
        <f aca="false">$B82+GP$3*100*$A82</f>
        <v>194.75</v>
      </c>
      <c r="GQ82" s="19" t="n">
        <f aca="false">$B82+GQ$3*100*$A82</f>
        <v>195.7375</v>
      </c>
      <c r="GR82" s="19" t="n">
        <f aca="false">$B82+GR$3*100*$A82</f>
        <v>196.725</v>
      </c>
      <c r="GS82" s="19" t="n">
        <f aca="false">$B82+GS$3*100*$A82</f>
        <v>197.7125</v>
      </c>
      <c r="GT82" s="19" t="n">
        <f aca="false">$B82+GT$3*100*$A82</f>
        <v>198.7</v>
      </c>
    </row>
    <row r="83" customFormat="false" ht="15" hidden="false" customHeight="false" outlineLevel="0" collapsed="false">
      <c r="A83" s="26" t="n">
        <f aca="false">Frontier!A81</f>
        <v>0.2</v>
      </c>
      <c r="B83" s="34" t="n">
        <f aca="false">Frontier!B81</f>
        <v>1.18594115144816</v>
      </c>
      <c r="C83" s="19" t="n">
        <f aca="false">$B83+C$3*100*$A83</f>
        <v>2.18594115144816</v>
      </c>
      <c r="D83" s="19" t="n">
        <f aca="false">$B83+D$3*100*$A83</f>
        <v>3.18594115144816</v>
      </c>
      <c r="E83" s="19" t="n">
        <f aca="false">$B83+E$3*100*$A83</f>
        <v>4.18594115144816</v>
      </c>
      <c r="F83" s="19" t="n">
        <f aca="false">$B83+F$3*100*$A83</f>
        <v>5.18594115144816</v>
      </c>
      <c r="G83" s="19" t="n">
        <f aca="false">$B83+G$3*100*$A83</f>
        <v>6.18594115144816</v>
      </c>
      <c r="H83" s="19" t="n">
        <f aca="false">$B83+H$3*100*$A83</f>
        <v>7.18594115144816</v>
      </c>
      <c r="I83" s="19" t="n">
        <f aca="false">$B83+I$3*100*$A83</f>
        <v>8.18594115144816</v>
      </c>
      <c r="J83" s="19" t="n">
        <f aca="false">$B83+J$3*100*$A83</f>
        <v>9.18594115144816</v>
      </c>
      <c r="K83" s="19" t="n">
        <f aca="false">$B83+K$3*100*$A83</f>
        <v>10.1859411514482</v>
      </c>
      <c r="L83" s="19" t="n">
        <f aca="false">$B83+L$3*100*$A83</f>
        <v>11.1859411514482</v>
      </c>
      <c r="M83" s="19" t="n">
        <f aca="false">$B83+M$3*100*$A83</f>
        <v>12.1859411514482</v>
      </c>
      <c r="N83" s="19" t="n">
        <f aca="false">$B83+N$3*100*$A83</f>
        <v>13.1859411514482</v>
      </c>
      <c r="O83" s="19" t="n">
        <f aca="false">$B83+O$3*100*$A83</f>
        <v>14.1859411514482</v>
      </c>
      <c r="P83" s="19" t="n">
        <f aca="false">$B83+P$3*100*$A83</f>
        <v>15.1859411514482</v>
      </c>
      <c r="Q83" s="19" t="n">
        <f aca="false">$B83+Q$3*100*$A83</f>
        <v>16.1859411514482</v>
      </c>
      <c r="R83" s="19" t="n">
        <f aca="false">$B83+R$3*100*$A83</f>
        <v>17.1859411514482</v>
      </c>
      <c r="S83" s="19" t="n">
        <f aca="false">$B83+S$3*100*$A83</f>
        <v>18.1859411514482</v>
      </c>
      <c r="T83" s="19" t="n">
        <f aca="false">$B83+T$3*100*$A83</f>
        <v>19.1859411514482</v>
      </c>
      <c r="U83" s="19" t="n">
        <f aca="false">$B83+U$3*100*$A83</f>
        <v>20.1859411514482</v>
      </c>
      <c r="V83" s="19" t="n">
        <f aca="false">$B83+V$3*100*$A83</f>
        <v>21.1859411514482</v>
      </c>
      <c r="W83" s="19" t="n">
        <f aca="false">$B83+W$3*100*$A83</f>
        <v>22.1859411514482</v>
      </c>
      <c r="X83" s="19" t="n">
        <f aca="false">$B83+X$3*100*$A83</f>
        <v>23.1859411514482</v>
      </c>
      <c r="Y83" s="19" t="n">
        <f aca="false">$B83+Y$3*100*$A83</f>
        <v>24.1859411514482</v>
      </c>
      <c r="Z83" s="19" t="n">
        <f aca="false">$B83+Z$3*100*$A83</f>
        <v>25.1859411514482</v>
      </c>
      <c r="AA83" s="19" t="n">
        <f aca="false">$B83+AA$3*100*$A83</f>
        <v>26.1859411514482</v>
      </c>
      <c r="AB83" s="19" t="n">
        <f aca="false">$B83+AB$3*100*$A83</f>
        <v>27.1859411514482</v>
      </c>
      <c r="AC83" s="19" t="n">
        <f aca="false">$B83+AC$3*100*$A83</f>
        <v>28.1859411514482</v>
      </c>
      <c r="AD83" s="19" t="n">
        <f aca="false">$B83+AD$3*100*$A83</f>
        <v>29.1859411514482</v>
      </c>
      <c r="AE83" s="19" t="n">
        <f aca="false">$B83+AE$3*100*$A83</f>
        <v>30.1859411514482</v>
      </c>
      <c r="AF83" s="19" t="n">
        <f aca="false">$B83+AF$3*100*$A83</f>
        <v>31.1859411514482</v>
      </c>
      <c r="AG83" s="19" t="n">
        <f aca="false">$B83+AG$3*100*$A83</f>
        <v>32.1859411514482</v>
      </c>
      <c r="AH83" s="19" t="n">
        <f aca="false">$B83+AH$3*100*$A83</f>
        <v>33.1859411514482</v>
      </c>
      <c r="AI83" s="19" t="n">
        <f aca="false">$B83+AI$3*100*$A83</f>
        <v>34.1859411514482</v>
      </c>
      <c r="AJ83" s="19" t="n">
        <f aca="false">$B83+AJ$3*100*$A83</f>
        <v>35.1859411514482</v>
      </c>
      <c r="AK83" s="19" t="n">
        <f aca="false">$B83+AK$3*100*$A83</f>
        <v>36.1859411514482</v>
      </c>
      <c r="AL83" s="19" t="n">
        <f aca="false">$B83+AL$3*100*$A83</f>
        <v>37.1859411514482</v>
      </c>
      <c r="AM83" s="19" t="n">
        <f aca="false">$B83+AM$3*100*$A83</f>
        <v>38.1859411514482</v>
      </c>
      <c r="AN83" s="19" t="n">
        <f aca="false">$B83+AN$3*100*$A83</f>
        <v>39.1859411514482</v>
      </c>
      <c r="AO83" s="19" t="n">
        <f aca="false">$B83+AO$3*100*$A83</f>
        <v>40.1859411514482</v>
      </c>
      <c r="AP83" s="19" t="n">
        <f aca="false">$B83+AP$3*100*$A83</f>
        <v>41.1859411514482</v>
      </c>
      <c r="AQ83" s="19" t="n">
        <f aca="false">$B83+AQ$3*100*$A83</f>
        <v>42.1859411514482</v>
      </c>
      <c r="AR83" s="19" t="n">
        <f aca="false">$B83+AR$3*100*$A83</f>
        <v>43.1859411514482</v>
      </c>
      <c r="AS83" s="19" t="n">
        <f aca="false">$B83+AS$3*100*$A83</f>
        <v>44.1859411514482</v>
      </c>
      <c r="AT83" s="19" t="n">
        <f aca="false">$B83+AT$3*100*$A83</f>
        <v>45.1859411514482</v>
      </c>
      <c r="AU83" s="19" t="n">
        <f aca="false">$B83+AU$3*100*$A83</f>
        <v>46.1859411514482</v>
      </c>
      <c r="AV83" s="19" t="n">
        <f aca="false">$B83+AV$3*100*$A83</f>
        <v>47.1859411514482</v>
      </c>
      <c r="AW83" s="19" t="n">
        <f aca="false">$B83+AW$3*100*$A83</f>
        <v>48.1859411514482</v>
      </c>
      <c r="AX83" s="19" t="n">
        <f aca="false">$B83+AX$3*100*$A83</f>
        <v>49.1859411514482</v>
      </c>
      <c r="AY83" s="19" t="n">
        <f aca="false">$B83+AY$3*100*$A83</f>
        <v>50.1859411514482</v>
      </c>
      <c r="AZ83" s="19" t="n">
        <f aca="false">$B83+AZ$3*100*$A83</f>
        <v>51.1859411514482</v>
      </c>
      <c r="BA83" s="19" t="n">
        <f aca="false">$B83+BA$3*100*$A83</f>
        <v>52.1859411514482</v>
      </c>
      <c r="BB83" s="19" t="n">
        <f aca="false">$B83+BB$3*100*$A83</f>
        <v>53.1859411514482</v>
      </c>
      <c r="BC83" s="19" t="n">
        <f aca="false">$B83+BC$3*100*$A83</f>
        <v>54.1859411514482</v>
      </c>
      <c r="BD83" s="19" t="n">
        <f aca="false">$B83+BD$3*100*$A83</f>
        <v>55.1859411514482</v>
      </c>
      <c r="BE83" s="19" t="n">
        <f aca="false">$B83+BE$3*100*$A83</f>
        <v>56.1859411514482</v>
      </c>
      <c r="BF83" s="19" t="n">
        <f aca="false">$B83+BF$3*100*$A83</f>
        <v>57.1859411514482</v>
      </c>
      <c r="BG83" s="19" t="n">
        <f aca="false">$B83+BG$3*100*$A83</f>
        <v>58.1859411514482</v>
      </c>
      <c r="BH83" s="19" t="n">
        <f aca="false">$B83+BH$3*100*$A83</f>
        <v>59.1859411514482</v>
      </c>
      <c r="BI83" s="19" t="n">
        <f aca="false">$B83+BI$3*100*$A83</f>
        <v>60.1859411514482</v>
      </c>
      <c r="BJ83" s="19" t="n">
        <f aca="false">$B83+BJ$3*100*$A83</f>
        <v>61.1859411514482</v>
      </c>
      <c r="BK83" s="19" t="n">
        <f aca="false">$B83+BK$3*100*$A83</f>
        <v>62.1859411514482</v>
      </c>
      <c r="BL83" s="19" t="n">
        <f aca="false">$B83+BL$3*100*$A83</f>
        <v>63.1859411514482</v>
      </c>
      <c r="BM83" s="19" t="n">
        <f aca="false">$B83+BM$3*100*$A83</f>
        <v>64.1859411514482</v>
      </c>
      <c r="BN83" s="19" t="n">
        <f aca="false">$B83+BN$3*100*$A83</f>
        <v>65.1859411514482</v>
      </c>
      <c r="BO83" s="19" t="n">
        <f aca="false">$B83+BO$3*100*$A83</f>
        <v>66.1859411514482</v>
      </c>
      <c r="BP83" s="19" t="n">
        <f aca="false">$B83+BP$3*100*$A83</f>
        <v>67.1859411514482</v>
      </c>
      <c r="BQ83" s="19" t="n">
        <f aca="false">$B83+BQ$3*100*$A83</f>
        <v>68.1859411514482</v>
      </c>
      <c r="BR83" s="19" t="n">
        <f aca="false">$B83+BR$3*100*$A83</f>
        <v>69.1859411514482</v>
      </c>
      <c r="BS83" s="19" t="n">
        <f aca="false">$B83+BS$3*100*$A83</f>
        <v>70.1859411514482</v>
      </c>
      <c r="BT83" s="19" t="n">
        <f aca="false">$B83+BT$3*100*$A83</f>
        <v>71.1859411514482</v>
      </c>
      <c r="BU83" s="19" t="n">
        <f aca="false">$B83+BU$3*100*$A83</f>
        <v>72.1859411514482</v>
      </c>
      <c r="BV83" s="19" t="n">
        <f aca="false">$B83+BV$3*100*$A83</f>
        <v>73.1859411514482</v>
      </c>
      <c r="BW83" s="19" t="n">
        <f aca="false">$B83+BW$3*100*$A83</f>
        <v>74.1859411514482</v>
      </c>
      <c r="BX83" s="19" t="n">
        <f aca="false">$B83+BX$3*100*$A83</f>
        <v>75.1859411514482</v>
      </c>
      <c r="BY83" s="19" t="n">
        <f aca="false">$B83+BY$3*100*$A83</f>
        <v>76.1859411514482</v>
      </c>
      <c r="BZ83" s="19" t="n">
        <f aca="false">$B83+BZ$3*100*$A83</f>
        <v>77.1859411514482</v>
      </c>
      <c r="CA83" s="19" t="n">
        <f aca="false">$B83+CA$3*100*$A83</f>
        <v>78.1859411514482</v>
      </c>
      <c r="CB83" s="19" t="n">
        <f aca="false">$B83+CB$3*100*$A83</f>
        <v>79.1859411514482</v>
      </c>
      <c r="CC83" s="19" t="n">
        <f aca="false">$B83+CC$3*100*$A83</f>
        <v>80.1859411514482</v>
      </c>
      <c r="CD83" s="19" t="n">
        <f aca="false">$B83+CD$3*100*$A83</f>
        <v>81.1859411514482</v>
      </c>
      <c r="CE83" s="19" t="n">
        <f aca="false">$B83+CE$3*100*$A83</f>
        <v>82.1859411514482</v>
      </c>
      <c r="CF83" s="19" t="n">
        <f aca="false">$B83+CF$3*100*$A83</f>
        <v>83.1859411514482</v>
      </c>
      <c r="CG83" s="19" t="n">
        <f aca="false">$B83+CG$3*100*$A83</f>
        <v>84.1859411514482</v>
      </c>
      <c r="CH83" s="19" t="n">
        <f aca="false">$B83+CH$3*100*$A83</f>
        <v>85.1859411514482</v>
      </c>
      <c r="CI83" s="19" t="n">
        <f aca="false">$B83+CI$3*100*$A83</f>
        <v>86.1859411514482</v>
      </c>
      <c r="CJ83" s="19" t="n">
        <f aca="false">$B83+CJ$3*100*$A83</f>
        <v>87.1859411514482</v>
      </c>
      <c r="CK83" s="19" t="n">
        <f aca="false">$B83+CK$3*100*$A83</f>
        <v>88.1859411514482</v>
      </c>
      <c r="CL83" s="19" t="n">
        <f aca="false">$B83+CL$3*100*$A83</f>
        <v>89.1859411514482</v>
      </c>
      <c r="CM83" s="19" t="n">
        <f aca="false">$B83+CM$3*100*$A83</f>
        <v>90.1859411514482</v>
      </c>
      <c r="CN83" s="19" t="n">
        <f aca="false">$B83+CN$3*100*$A83</f>
        <v>91.1859411514482</v>
      </c>
      <c r="CO83" s="19" t="n">
        <f aca="false">$B83+CO$3*100*$A83</f>
        <v>92.1859411514482</v>
      </c>
      <c r="CP83" s="19" t="n">
        <f aca="false">$B83+CP$3*100*$A83</f>
        <v>93.1859411514482</v>
      </c>
      <c r="CQ83" s="19" t="n">
        <f aca="false">$B83+CQ$3*100*$A83</f>
        <v>94.1859411514482</v>
      </c>
      <c r="CR83" s="19" t="n">
        <f aca="false">$B83+CR$3*100*$A83</f>
        <v>95.1859411514482</v>
      </c>
      <c r="CS83" s="19" t="n">
        <f aca="false">$B83+CS$3*100*$A83</f>
        <v>96.1859411514482</v>
      </c>
      <c r="CT83" s="19" t="n">
        <f aca="false">$B83+CT$3*100*$A83</f>
        <v>97.1859411514482</v>
      </c>
      <c r="CU83" s="19" t="n">
        <f aca="false">$B83+CU$3*100*$A83</f>
        <v>98.1859411514482</v>
      </c>
      <c r="CV83" s="19" t="n">
        <f aca="false">$B83+CV$3*100*$A83</f>
        <v>99.1859411514482</v>
      </c>
      <c r="CW83" s="19" t="n">
        <f aca="false">$B83+CW$3*100*$A83</f>
        <v>100.185941151448</v>
      </c>
      <c r="CX83" s="19" t="n">
        <f aca="false">$B83+CX$3*100*$A83</f>
        <v>101.185941151448</v>
      </c>
      <c r="CY83" s="19" t="n">
        <f aca="false">$B83+CY$3*100*$A83</f>
        <v>102.185941151448</v>
      </c>
      <c r="CZ83" s="19" t="n">
        <f aca="false">$B83+CZ$3*100*$A83</f>
        <v>103.185941151448</v>
      </c>
      <c r="DA83" s="19" t="n">
        <f aca="false">$B83+DA$3*100*$A83</f>
        <v>104.185941151448</v>
      </c>
      <c r="DB83" s="19" t="n">
        <f aca="false">$B83+DB$3*100*$A83</f>
        <v>105.185941151448</v>
      </c>
      <c r="DC83" s="19" t="n">
        <f aca="false">$B83+DC$3*100*$A83</f>
        <v>106.185941151448</v>
      </c>
      <c r="DD83" s="19" t="n">
        <f aca="false">$B83+DD$3*100*$A83</f>
        <v>107.185941151448</v>
      </c>
      <c r="DE83" s="19" t="n">
        <f aca="false">$B83+DE$3*100*$A83</f>
        <v>108.185941151448</v>
      </c>
      <c r="DF83" s="19" t="n">
        <f aca="false">$B83+DF$3*100*$A83</f>
        <v>109.185941151448</v>
      </c>
      <c r="DG83" s="19" t="n">
        <f aca="false">$B83+DG$3*100*$A83</f>
        <v>110.185941151448</v>
      </c>
      <c r="DH83" s="19" t="n">
        <f aca="false">$B83+DH$3*100*$A83</f>
        <v>111.185941151448</v>
      </c>
      <c r="DI83" s="19" t="n">
        <f aca="false">$B83+DI$3*100*$A83</f>
        <v>112.185941151448</v>
      </c>
      <c r="DJ83" s="19" t="n">
        <f aca="false">$B83+DJ$3*100*$A83</f>
        <v>113.185941151448</v>
      </c>
      <c r="DK83" s="19" t="n">
        <f aca="false">$B83+DK$3*100*$A83</f>
        <v>114.185941151448</v>
      </c>
      <c r="DL83" s="19" t="n">
        <f aca="false">$B83+DL$3*100*$A83</f>
        <v>115.185941151448</v>
      </c>
      <c r="DM83" s="19" t="n">
        <f aca="false">$B83+DM$3*100*$A83</f>
        <v>116.185941151448</v>
      </c>
      <c r="DN83" s="19" t="n">
        <f aca="false">$B83+DN$3*100*$A83</f>
        <v>117.185941151448</v>
      </c>
      <c r="DO83" s="19" t="n">
        <f aca="false">$B83+DO$3*100*$A83</f>
        <v>118.185941151448</v>
      </c>
      <c r="DP83" s="19" t="n">
        <f aca="false">$B83+DP$3*100*$A83</f>
        <v>119.185941151448</v>
      </c>
      <c r="DQ83" s="19" t="n">
        <f aca="false">$B83+DQ$3*100*$A83</f>
        <v>120.185941151448</v>
      </c>
      <c r="DR83" s="19" t="n">
        <f aca="false">$B83+DR$3*100*$A83</f>
        <v>121.185941151448</v>
      </c>
      <c r="DS83" s="19" t="n">
        <f aca="false">$B83+DS$3*100*$A83</f>
        <v>122.185941151448</v>
      </c>
      <c r="DT83" s="19" t="n">
        <f aca="false">$B83+DT$3*100*$A83</f>
        <v>123.185941151448</v>
      </c>
      <c r="DU83" s="19" t="n">
        <f aca="false">$B83+DU$3*100*$A83</f>
        <v>124.185941151448</v>
      </c>
      <c r="DV83" s="19" t="n">
        <f aca="false">$B83+DV$3*100*$A83</f>
        <v>125.185941151448</v>
      </c>
      <c r="DW83" s="19" t="n">
        <f aca="false">$B83+DW$3*100*$A83</f>
        <v>126.185941151448</v>
      </c>
      <c r="DX83" s="19" t="n">
        <f aca="false">$B83+DX$3*100*$A83</f>
        <v>127.185941151448</v>
      </c>
      <c r="DY83" s="19" t="n">
        <f aca="false">$B83+DY$3*100*$A83</f>
        <v>128.185941151448</v>
      </c>
      <c r="DZ83" s="19" t="n">
        <f aca="false">$B83+DZ$3*100*$A83</f>
        <v>129.185941151448</v>
      </c>
      <c r="EA83" s="19" t="n">
        <f aca="false">$B83+EA$3*100*$A83</f>
        <v>130.185941151448</v>
      </c>
      <c r="EB83" s="19" t="n">
        <f aca="false">$B83+EB$3*100*$A83</f>
        <v>131.185941151448</v>
      </c>
      <c r="EC83" s="19" t="n">
        <f aca="false">$B83+EC$3*100*$A83</f>
        <v>132.185941151448</v>
      </c>
      <c r="ED83" s="19" t="n">
        <f aca="false">$B83+ED$3*100*$A83</f>
        <v>133.185941151448</v>
      </c>
      <c r="EE83" s="19" t="n">
        <f aca="false">$B83+EE$3*100*$A83</f>
        <v>134.185941151448</v>
      </c>
      <c r="EF83" s="19" t="n">
        <f aca="false">$B83+EF$3*100*$A83</f>
        <v>135.185941151448</v>
      </c>
      <c r="EG83" s="19" t="n">
        <f aca="false">$B83+EG$3*100*$A83</f>
        <v>136.185941151448</v>
      </c>
      <c r="EH83" s="19" t="n">
        <f aca="false">$B83+EH$3*100*$A83</f>
        <v>137.185941151448</v>
      </c>
      <c r="EI83" s="19" t="n">
        <f aca="false">$B83+EI$3*100*$A83</f>
        <v>138.185941151448</v>
      </c>
      <c r="EJ83" s="19" t="n">
        <f aca="false">$B83+EJ$3*100*$A83</f>
        <v>139.185941151448</v>
      </c>
      <c r="EK83" s="19" t="n">
        <f aca="false">$B83+EK$3*100*$A83</f>
        <v>140.185941151448</v>
      </c>
      <c r="EL83" s="19" t="n">
        <f aca="false">$B83+EL$3*100*$A83</f>
        <v>141.185941151448</v>
      </c>
      <c r="EM83" s="19" t="n">
        <f aca="false">$B83+EM$3*100*$A83</f>
        <v>142.185941151448</v>
      </c>
      <c r="EN83" s="19" t="n">
        <f aca="false">$B83+EN$3*100*$A83</f>
        <v>143.185941151448</v>
      </c>
      <c r="EO83" s="19" t="n">
        <f aca="false">$B83+EO$3*100*$A83</f>
        <v>144.185941151448</v>
      </c>
      <c r="EP83" s="19" t="n">
        <f aca="false">$B83+EP$3*100*$A83</f>
        <v>145.185941151448</v>
      </c>
      <c r="EQ83" s="19" t="n">
        <f aca="false">$B83+EQ$3*100*$A83</f>
        <v>146.185941151448</v>
      </c>
      <c r="ER83" s="19" t="n">
        <f aca="false">$B83+ER$3*100*$A83</f>
        <v>147.185941151448</v>
      </c>
      <c r="ES83" s="19" t="n">
        <f aca="false">$B83+ES$3*100*$A83</f>
        <v>148.185941151448</v>
      </c>
      <c r="ET83" s="19" t="n">
        <f aca="false">$B83+ET$3*100*$A83</f>
        <v>149.185941151448</v>
      </c>
      <c r="EU83" s="19" t="n">
        <f aca="false">$B83+EU$3*100*$A83</f>
        <v>150.185941151448</v>
      </c>
      <c r="EV83" s="19" t="n">
        <f aca="false">$B83+EV$3*100*$A83</f>
        <v>151.185941151448</v>
      </c>
      <c r="EW83" s="19" t="n">
        <f aca="false">$B83+EW$3*100*$A83</f>
        <v>152.185941151448</v>
      </c>
      <c r="EX83" s="19" t="n">
        <f aca="false">$B83+EX$3*100*$A83</f>
        <v>153.185941151448</v>
      </c>
      <c r="EY83" s="19" t="n">
        <f aca="false">$B83+EY$3*100*$A83</f>
        <v>154.185941151448</v>
      </c>
      <c r="EZ83" s="19" t="n">
        <f aca="false">$B83+EZ$3*100*$A83</f>
        <v>155.185941151448</v>
      </c>
      <c r="FA83" s="19" t="n">
        <f aca="false">$B83+FA$3*100*$A83</f>
        <v>156.185941151448</v>
      </c>
      <c r="FB83" s="19" t="n">
        <f aca="false">$B83+FB$3*100*$A83</f>
        <v>157.185941151448</v>
      </c>
      <c r="FC83" s="19" t="n">
        <f aca="false">$B83+FC$3*100*$A83</f>
        <v>158.185941151448</v>
      </c>
      <c r="FD83" s="19" t="n">
        <f aca="false">$B83+FD$3*100*$A83</f>
        <v>159.185941151448</v>
      </c>
      <c r="FE83" s="19" t="n">
        <f aca="false">$B83+FE$3*100*$A83</f>
        <v>160.185941151448</v>
      </c>
      <c r="FF83" s="19" t="n">
        <f aca="false">$B83+FF$3*100*$A83</f>
        <v>161.185941151448</v>
      </c>
      <c r="FG83" s="19" t="n">
        <f aca="false">$B83+FG$3*100*$A83</f>
        <v>162.185941151448</v>
      </c>
      <c r="FH83" s="19" t="n">
        <f aca="false">$B83+FH$3*100*$A83</f>
        <v>163.185941151448</v>
      </c>
      <c r="FI83" s="19" t="n">
        <f aca="false">$B83+FI$3*100*$A83</f>
        <v>164.185941151448</v>
      </c>
      <c r="FJ83" s="19" t="n">
        <f aca="false">$B83+FJ$3*100*$A83</f>
        <v>165.185941151448</v>
      </c>
      <c r="FK83" s="19" t="n">
        <f aca="false">$B83+FK$3*100*$A83</f>
        <v>166.185941151448</v>
      </c>
      <c r="FL83" s="19" t="n">
        <f aca="false">$B83+FL$3*100*$A83</f>
        <v>167.185941151448</v>
      </c>
      <c r="FM83" s="19" t="n">
        <f aca="false">$B83+FM$3*100*$A83</f>
        <v>168.185941151448</v>
      </c>
      <c r="FN83" s="19" t="n">
        <f aca="false">$B83+FN$3*100*$A83</f>
        <v>169.185941151448</v>
      </c>
      <c r="FO83" s="19" t="n">
        <f aca="false">$B83+FO$3*100*$A83</f>
        <v>170.185941151448</v>
      </c>
      <c r="FP83" s="19" t="n">
        <f aca="false">$B83+FP$3*100*$A83</f>
        <v>171.185941151448</v>
      </c>
      <c r="FQ83" s="19" t="n">
        <f aca="false">$B83+FQ$3*100*$A83</f>
        <v>172.185941151448</v>
      </c>
      <c r="FR83" s="19" t="n">
        <f aca="false">$B83+FR$3*100*$A83</f>
        <v>173.185941151448</v>
      </c>
      <c r="FS83" s="19" t="n">
        <f aca="false">$B83+FS$3*100*$A83</f>
        <v>174.185941151448</v>
      </c>
      <c r="FT83" s="19" t="n">
        <f aca="false">$B83+FT$3*100*$A83</f>
        <v>175.185941151448</v>
      </c>
      <c r="FU83" s="19" t="n">
        <f aca="false">$B83+FU$3*100*$A83</f>
        <v>176.185941151448</v>
      </c>
      <c r="FV83" s="19" t="n">
        <f aca="false">$B83+FV$3*100*$A83</f>
        <v>177.185941151448</v>
      </c>
      <c r="FW83" s="19" t="n">
        <f aca="false">$B83+FW$3*100*$A83</f>
        <v>178.185941151448</v>
      </c>
      <c r="FX83" s="19" t="n">
        <f aca="false">$B83+FX$3*100*$A83</f>
        <v>179.185941151448</v>
      </c>
      <c r="FY83" s="19" t="n">
        <f aca="false">$B83+FY$3*100*$A83</f>
        <v>180.185941151448</v>
      </c>
      <c r="FZ83" s="19" t="n">
        <f aca="false">$B83+FZ$3*100*$A83</f>
        <v>181.185941151448</v>
      </c>
      <c r="GA83" s="19" t="n">
        <f aca="false">$B83+GA$3*100*$A83</f>
        <v>182.185941151448</v>
      </c>
      <c r="GB83" s="19" t="n">
        <f aca="false">$B83+GB$3*100*$A83</f>
        <v>183.185941151448</v>
      </c>
      <c r="GC83" s="19" t="n">
        <f aca="false">$B83+GC$3*100*$A83</f>
        <v>184.185941151448</v>
      </c>
      <c r="GD83" s="19" t="n">
        <f aca="false">$B83+GD$3*100*$A83</f>
        <v>185.185941151448</v>
      </c>
      <c r="GE83" s="19" t="n">
        <f aca="false">$B83+GE$3*100*$A83</f>
        <v>186.185941151448</v>
      </c>
      <c r="GF83" s="19" t="n">
        <f aca="false">$B83+GF$3*100*$A83</f>
        <v>187.185941151448</v>
      </c>
      <c r="GG83" s="19" t="n">
        <f aca="false">$B83+GG$3*100*$A83</f>
        <v>188.185941151448</v>
      </c>
      <c r="GH83" s="19" t="n">
        <f aca="false">$B83+GH$3*100*$A83</f>
        <v>189.185941151448</v>
      </c>
      <c r="GI83" s="19" t="n">
        <f aca="false">$B83+GI$3*100*$A83</f>
        <v>190.185941151448</v>
      </c>
      <c r="GJ83" s="19" t="n">
        <f aca="false">$B83+GJ$3*100*$A83</f>
        <v>191.185941151448</v>
      </c>
      <c r="GK83" s="19" t="n">
        <f aca="false">$B83+GK$3*100*$A83</f>
        <v>192.185941151448</v>
      </c>
      <c r="GL83" s="19" t="n">
        <f aca="false">$B83+GL$3*100*$A83</f>
        <v>193.185941151448</v>
      </c>
      <c r="GM83" s="19" t="n">
        <f aca="false">$B83+GM$3*100*$A83</f>
        <v>194.185941151448</v>
      </c>
      <c r="GN83" s="19" t="n">
        <f aca="false">$B83+GN$3*100*$A83</f>
        <v>195.185941151448</v>
      </c>
      <c r="GO83" s="19" t="n">
        <f aca="false">$B83+GO$3*100*$A83</f>
        <v>196.185941151448</v>
      </c>
      <c r="GP83" s="19" t="n">
        <f aca="false">$B83+GP$3*100*$A83</f>
        <v>197.185941151448</v>
      </c>
      <c r="GQ83" s="19" t="n">
        <f aca="false">$B83+GQ$3*100*$A83</f>
        <v>198.185941151448</v>
      </c>
      <c r="GR83" s="19" t="n">
        <f aca="false">$B83+GR$3*100*$A83</f>
        <v>199.185941151448</v>
      </c>
      <c r="GS83" s="19" t="n">
        <f aca="false">$B83+GS$3*100*$A83</f>
        <v>200.185941151448</v>
      </c>
      <c r="GT83" s="19" t="n">
        <f aca="false">$B83+GT$3*100*$A83</f>
        <v>201.185941151448</v>
      </c>
    </row>
    <row r="84" customFormat="false" ht="15" hidden="false" customHeight="false" outlineLevel="0" collapsed="false">
      <c r="A84" s="26" t="n">
        <f aca="false">Frontier!A82</f>
        <v>0.2025</v>
      </c>
      <c r="B84" s="34" t="n">
        <f aca="false">Frontier!B82</f>
        <v>1.05</v>
      </c>
      <c r="C84" s="19" t="n">
        <f aca="false">$B84+C$3*100*$A84</f>
        <v>2.0625</v>
      </c>
      <c r="D84" s="19" t="n">
        <f aca="false">$B84+D$3*100*$A84</f>
        <v>3.075</v>
      </c>
      <c r="E84" s="19" t="n">
        <f aca="false">$B84+E$3*100*$A84</f>
        <v>4.0875</v>
      </c>
      <c r="F84" s="19" t="n">
        <f aca="false">$B84+F$3*100*$A84</f>
        <v>5.1</v>
      </c>
      <c r="G84" s="19" t="n">
        <f aca="false">$B84+G$3*100*$A84</f>
        <v>6.1125</v>
      </c>
      <c r="H84" s="19" t="n">
        <f aca="false">$B84+H$3*100*$A84</f>
        <v>7.125</v>
      </c>
      <c r="I84" s="19" t="n">
        <f aca="false">$B84+I$3*100*$A84</f>
        <v>8.1375</v>
      </c>
      <c r="J84" s="19" t="n">
        <f aca="false">$B84+J$3*100*$A84</f>
        <v>9.15</v>
      </c>
      <c r="K84" s="19" t="n">
        <f aca="false">$B84+K$3*100*$A84</f>
        <v>10.1625</v>
      </c>
      <c r="L84" s="19" t="n">
        <f aca="false">$B84+L$3*100*$A84</f>
        <v>11.175</v>
      </c>
      <c r="M84" s="19" t="n">
        <f aca="false">$B84+M$3*100*$A84</f>
        <v>12.1875</v>
      </c>
      <c r="N84" s="19" t="n">
        <f aca="false">$B84+N$3*100*$A84</f>
        <v>13.2</v>
      </c>
      <c r="O84" s="19" t="n">
        <f aca="false">$B84+O$3*100*$A84</f>
        <v>14.2125</v>
      </c>
      <c r="P84" s="19" t="n">
        <f aca="false">$B84+P$3*100*$A84</f>
        <v>15.225</v>
      </c>
      <c r="Q84" s="19" t="n">
        <f aca="false">$B84+Q$3*100*$A84</f>
        <v>16.2375</v>
      </c>
      <c r="R84" s="19" t="n">
        <f aca="false">$B84+R$3*100*$A84</f>
        <v>17.25</v>
      </c>
      <c r="S84" s="19" t="n">
        <f aca="false">$B84+S$3*100*$A84</f>
        <v>18.2625</v>
      </c>
      <c r="T84" s="19" t="n">
        <f aca="false">$B84+T$3*100*$A84</f>
        <v>19.275</v>
      </c>
      <c r="U84" s="19" t="n">
        <f aca="false">$B84+U$3*100*$A84</f>
        <v>20.2875</v>
      </c>
      <c r="V84" s="19" t="n">
        <f aca="false">$B84+V$3*100*$A84</f>
        <v>21.3</v>
      </c>
      <c r="W84" s="19" t="n">
        <f aca="false">$B84+W$3*100*$A84</f>
        <v>22.3125</v>
      </c>
      <c r="X84" s="19" t="n">
        <f aca="false">$B84+X$3*100*$A84</f>
        <v>23.325</v>
      </c>
      <c r="Y84" s="19" t="n">
        <f aca="false">$B84+Y$3*100*$A84</f>
        <v>24.3375</v>
      </c>
      <c r="Z84" s="19" t="n">
        <f aca="false">$B84+Z$3*100*$A84</f>
        <v>25.35</v>
      </c>
      <c r="AA84" s="19" t="n">
        <f aca="false">$B84+AA$3*100*$A84</f>
        <v>26.3625</v>
      </c>
      <c r="AB84" s="19" t="n">
        <f aca="false">$B84+AB$3*100*$A84</f>
        <v>27.375</v>
      </c>
      <c r="AC84" s="19" t="n">
        <f aca="false">$B84+AC$3*100*$A84</f>
        <v>28.3875</v>
      </c>
      <c r="AD84" s="19" t="n">
        <f aca="false">$B84+AD$3*100*$A84</f>
        <v>29.4</v>
      </c>
      <c r="AE84" s="19" t="n">
        <f aca="false">$B84+AE$3*100*$A84</f>
        <v>30.4125</v>
      </c>
      <c r="AF84" s="19" t="n">
        <f aca="false">$B84+AF$3*100*$A84</f>
        <v>31.425</v>
      </c>
      <c r="AG84" s="19" t="n">
        <f aca="false">$B84+AG$3*100*$A84</f>
        <v>32.4375</v>
      </c>
      <c r="AH84" s="19" t="n">
        <f aca="false">$B84+AH$3*100*$A84</f>
        <v>33.45</v>
      </c>
      <c r="AI84" s="19" t="n">
        <f aca="false">$B84+AI$3*100*$A84</f>
        <v>34.4625</v>
      </c>
      <c r="AJ84" s="19" t="n">
        <f aca="false">$B84+AJ$3*100*$A84</f>
        <v>35.475</v>
      </c>
      <c r="AK84" s="19" t="n">
        <f aca="false">$B84+AK$3*100*$A84</f>
        <v>36.4875</v>
      </c>
      <c r="AL84" s="19" t="n">
        <f aca="false">$B84+AL$3*100*$A84</f>
        <v>37.5</v>
      </c>
      <c r="AM84" s="19" t="n">
        <f aca="false">$B84+AM$3*100*$A84</f>
        <v>38.5125</v>
      </c>
      <c r="AN84" s="19" t="n">
        <f aca="false">$B84+AN$3*100*$A84</f>
        <v>39.525</v>
      </c>
      <c r="AO84" s="19" t="n">
        <f aca="false">$B84+AO$3*100*$A84</f>
        <v>40.5375</v>
      </c>
      <c r="AP84" s="19" t="n">
        <f aca="false">$B84+AP$3*100*$A84</f>
        <v>41.55</v>
      </c>
      <c r="AQ84" s="19" t="n">
        <f aca="false">$B84+AQ$3*100*$A84</f>
        <v>42.5625</v>
      </c>
      <c r="AR84" s="19" t="n">
        <f aca="false">$B84+AR$3*100*$A84</f>
        <v>43.575</v>
      </c>
      <c r="AS84" s="19" t="n">
        <f aca="false">$B84+AS$3*100*$A84</f>
        <v>44.5875</v>
      </c>
      <c r="AT84" s="19" t="n">
        <f aca="false">$B84+AT$3*100*$A84</f>
        <v>45.6</v>
      </c>
      <c r="AU84" s="19" t="n">
        <f aca="false">$B84+AU$3*100*$A84</f>
        <v>46.6125</v>
      </c>
      <c r="AV84" s="19" t="n">
        <f aca="false">$B84+AV$3*100*$A84</f>
        <v>47.625</v>
      </c>
      <c r="AW84" s="19" t="n">
        <f aca="false">$B84+AW$3*100*$A84</f>
        <v>48.6375</v>
      </c>
      <c r="AX84" s="19" t="n">
        <f aca="false">$B84+AX$3*100*$A84</f>
        <v>49.65</v>
      </c>
      <c r="AY84" s="19" t="n">
        <f aca="false">$B84+AY$3*100*$A84</f>
        <v>50.6625</v>
      </c>
      <c r="AZ84" s="19" t="n">
        <f aca="false">$B84+AZ$3*100*$A84</f>
        <v>51.675</v>
      </c>
      <c r="BA84" s="19" t="n">
        <f aca="false">$B84+BA$3*100*$A84</f>
        <v>52.6875</v>
      </c>
      <c r="BB84" s="19" t="n">
        <f aca="false">$B84+BB$3*100*$A84</f>
        <v>53.7</v>
      </c>
      <c r="BC84" s="19" t="n">
        <f aca="false">$B84+BC$3*100*$A84</f>
        <v>54.7125</v>
      </c>
      <c r="BD84" s="19" t="n">
        <f aca="false">$B84+BD$3*100*$A84</f>
        <v>55.725</v>
      </c>
      <c r="BE84" s="19" t="n">
        <f aca="false">$B84+BE$3*100*$A84</f>
        <v>56.7375</v>
      </c>
      <c r="BF84" s="19" t="n">
        <f aca="false">$B84+BF$3*100*$A84</f>
        <v>57.75</v>
      </c>
      <c r="BG84" s="19" t="n">
        <f aca="false">$B84+BG$3*100*$A84</f>
        <v>58.7625</v>
      </c>
      <c r="BH84" s="19" t="n">
        <f aca="false">$B84+BH$3*100*$A84</f>
        <v>59.775</v>
      </c>
      <c r="BI84" s="19" t="n">
        <f aca="false">$B84+BI$3*100*$A84</f>
        <v>60.7875</v>
      </c>
      <c r="BJ84" s="19" t="n">
        <f aca="false">$B84+BJ$3*100*$A84</f>
        <v>61.8</v>
      </c>
      <c r="BK84" s="19" t="n">
        <f aca="false">$B84+BK$3*100*$A84</f>
        <v>62.8125</v>
      </c>
      <c r="BL84" s="19" t="n">
        <f aca="false">$B84+BL$3*100*$A84</f>
        <v>63.825</v>
      </c>
      <c r="BM84" s="19" t="n">
        <f aca="false">$B84+BM$3*100*$A84</f>
        <v>64.8375</v>
      </c>
      <c r="BN84" s="19" t="n">
        <f aca="false">$B84+BN$3*100*$A84</f>
        <v>65.85</v>
      </c>
      <c r="BO84" s="19" t="n">
        <f aca="false">$B84+BO$3*100*$A84</f>
        <v>66.8625</v>
      </c>
      <c r="BP84" s="19" t="n">
        <f aca="false">$B84+BP$3*100*$A84</f>
        <v>67.875</v>
      </c>
      <c r="BQ84" s="19" t="n">
        <f aca="false">$B84+BQ$3*100*$A84</f>
        <v>68.8875</v>
      </c>
      <c r="BR84" s="19" t="n">
        <f aca="false">$B84+BR$3*100*$A84</f>
        <v>69.9</v>
      </c>
      <c r="BS84" s="19" t="n">
        <f aca="false">$B84+BS$3*100*$A84</f>
        <v>70.9125</v>
      </c>
      <c r="BT84" s="19" t="n">
        <f aca="false">$B84+BT$3*100*$A84</f>
        <v>71.925</v>
      </c>
      <c r="BU84" s="19" t="n">
        <f aca="false">$B84+BU$3*100*$A84</f>
        <v>72.9375</v>
      </c>
      <c r="BV84" s="19" t="n">
        <f aca="false">$B84+BV$3*100*$A84</f>
        <v>73.95</v>
      </c>
      <c r="BW84" s="19" t="n">
        <f aca="false">$B84+BW$3*100*$A84</f>
        <v>74.9625</v>
      </c>
      <c r="BX84" s="19" t="n">
        <f aca="false">$B84+BX$3*100*$A84</f>
        <v>75.975</v>
      </c>
      <c r="BY84" s="19" t="n">
        <f aca="false">$B84+BY$3*100*$A84</f>
        <v>76.9875</v>
      </c>
      <c r="BZ84" s="19" t="n">
        <f aca="false">$B84+BZ$3*100*$A84</f>
        <v>78</v>
      </c>
      <c r="CA84" s="19" t="n">
        <f aca="false">$B84+CA$3*100*$A84</f>
        <v>79.0125</v>
      </c>
      <c r="CB84" s="19" t="n">
        <f aca="false">$B84+CB$3*100*$A84</f>
        <v>80.025</v>
      </c>
      <c r="CC84" s="19" t="n">
        <f aca="false">$B84+CC$3*100*$A84</f>
        <v>81.0375</v>
      </c>
      <c r="CD84" s="19" t="n">
        <f aca="false">$B84+CD$3*100*$A84</f>
        <v>82.05</v>
      </c>
      <c r="CE84" s="19" t="n">
        <f aca="false">$B84+CE$3*100*$A84</f>
        <v>83.0625</v>
      </c>
      <c r="CF84" s="19" t="n">
        <f aca="false">$B84+CF$3*100*$A84</f>
        <v>84.075</v>
      </c>
      <c r="CG84" s="19" t="n">
        <f aca="false">$B84+CG$3*100*$A84</f>
        <v>85.0875</v>
      </c>
      <c r="CH84" s="19" t="n">
        <f aca="false">$B84+CH$3*100*$A84</f>
        <v>86.1</v>
      </c>
      <c r="CI84" s="19" t="n">
        <f aca="false">$B84+CI$3*100*$A84</f>
        <v>87.1125</v>
      </c>
      <c r="CJ84" s="19" t="n">
        <f aca="false">$B84+CJ$3*100*$A84</f>
        <v>88.125</v>
      </c>
      <c r="CK84" s="19" t="n">
        <f aca="false">$B84+CK$3*100*$A84</f>
        <v>89.1375</v>
      </c>
      <c r="CL84" s="19" t="n">
        <f aca="false">$B84+CL$3*100*$A84</f>
        <v>90.15</v>
      </c>
      <c r="CM84" s="19" t="n">
        <f aca="false">$B84+CM$3*100*$A84</f>
        <v>91.1625</v>
      </c>
      <c r="CN84" s="19" t="n">
        <f aca="false">$B84+CN$3*100*$A84</f>
        <v>92.175</v>
      </c>
      <c r="CO84" s="19" t="n">
        <f aca="false">$B84+CO$3*100*$A84</f>
        <v>93.1875</v>
      </c>
      <c r="CP84" s="19" t="n">
        <f aca="false">$B84+CP$3*100*$A84</f>
        <v>94.2</v>
      </c>
      <c r="CQ84" s="19" t="n">
        <f aca="false">$B84+CQ$3*100*$A84</f>
        <v>95.2125</v>
      </c>
      <c r="CR84" s="19" t="n">
        <f aca="false">$B84+CR$3*100*$A84</f>
        <v>96.225</v>
      </c>
      <c r="CS84" s="19" t="n">
        <f aca="false">$B84+CS$3*100*$A84</f>
        <v>97.2375</v>
      </c>
      <c r="CT84" s="19" t="n">
        <f aca="false">$B84+CT$3*100*$A84</f>
        <v>98.25</v>
      </c>
      <c r="CU84" s="19" t="n">
        <f aca="false">$B84+CU$3*100*$A84</f>
        <v>99.2625</v>
      </c>
      <c r="CV84" s="19" t="n">
        <f aca="false">$B84+CV$3*100*$A84</f>
        <v>100.275</v>
      </c>
      <c r="CW84" s="19" t="n">
        <f aca="false">$B84+CW$3*100*$A84</f>
        <v>101.2875</v>
      </c>
      <c r="CX84" s="19" t="n">
        <f aca="false">$B84+CX$3*100*$A84</f>
        <v>102.3</v>
      </c>
      <c r="CY84" s="19" t="n">
        <f aca="false">$B84+CY$3*100*$A84</f>
        <v>103.3125</v>
      </c>
      <c r="CZ84" s="19" t="n">
        <f aca="false">$B84+CZ$3*100*$A84</f>
        <v>104.325</v>
      </c>
      <c r="DA84" s="19" t="n">
        <f aca="false">$B84+DA$3*100*$A84</f>
        <v>105.3375</v>
      </c>
      <c r="DB84" s="19" t="n">
        <f aca="false">$B84+DB$3*100*$A84</f>
        <v>106.35</v>
      </c>
      <c r="DC84" s="19" t="n">
        <f aca="false">$B84+DC$3*100*$A84</f>
        <v>107.3625</v>
      </c>
      <c r="DD84" s="19" t="n">
        <f aca="false">$B84+DD$3*100*$A84</f>
        <v>108.375</v>
      </c>
      <c r="DE84" s="19" t="n">
        <f aca="false">$B84+DE$3*100*$A84</f>
        <v>109.3875</v>
      </c>
      <c r="DF84" s="19" t="n">
        <f aca="false">$B84+DF$3*100*$A84</f>
        <v>110.4</v>
      </c>
      <c r="DG84" s="19" t="n">
        <f aca="false">$B84+DG$3*100*$A84</f>
        <v>111.4125</v>
      </c>
      <c r="DH84" s="19" t="n">
        <f aca="false">$B84+DH$3*100*$A84</f>
        <v>112.425</v>
      </c>
      <c r="DI84" s="19" t="n">
        <f aca="false">$B84+DI$3*100*$A84</f>
        <v>113.4375</v>
      </c>
      <c r="DJ84" s="19" t="n">
        <f aca="false">$B84+DJ$3*100*$A84</f>
        <v>114.45</v>
      </c>
      <c r="DK84" s="19" t="n">
        <f aca="false">$B84+DK$3*100*$A84</f>
        <v>115.4625</v>
      </c>
      <c r="DL84" s="19" t="n">
        <f aca="false">$B84+DL$3*100*$A84</f>
        <v>116.475</v>
      </c>
      <c r="DM84" s="19" t="n">
        <f aca="false">$B84+DM$3*100*$A84</f>
        <v>117.4875</v>
      </c>
      <c r="DN84" s="19" t="n">
        <f aca="false">$B84+DN$3*100*$A84</f>
        <v>118.5</v>
      </c>
      <c r="DO84" s="19" t="n">
        <f aca="false">$B84+DO$3*100*$A84</f>
        <v>119.5125</v>
      </c>
      <c r="DP84" s="19" t="n">
        <f aca="false">$B84+DP$3*100*$A84</f>
        <v>120.525</v>
      </c>
      <c r="DQ84" s="19" t="n">
        <f aca="false">$B84+DQ$3*100*$A84</f>
        <v>121.5375</v>
      </c>
      <c r="DR84" s="19" t="n">
        <f aca="false">$B84+DR$3*100*$A84</f>
        <v>122.55</v>
      </c>
      <c r="DS84" s="19" t="n">
        <f aca="false">$B84+DS$3*100*$A84</f>
        <v>123.5625</v>
      </c>
      <c r="DT84" s="19" t="n">
        <f aca="false">$B84+DT$3*100*$A84</f>
        <v>124.575</v>
      </c>
      <c r="DU84" s="19" t="n">
        <f aca="false">$B84+DU$3*100*$A84</f>
        <v>125.5875</v>
      </c>
      <c r="DV84" s="19" t="n">
        <f aca="false">$B84+DV$3*100*$A84</f>
        <v>126.6</v>
      </c>
      <c r="DW84" s="19" t="n">
        <f aca="false">$B84+DW$3*100*$A84</f>
        <v>127.6125</v>
      </c>
      <c r="DX84" s="19" t="n">
        <f aca="false">$B84+DX$3*100*$A84</f>
        <v>128.625</v>
      </c>
      <c r="DY84" s="19" t="n">
        <f aca="false">$B84+DY$3*100*$A84</f>
        <v>129.6375</v>
      </c>
      <c r="DZ84" s="19" t="n">
        <f aca="false">$B84+DZ$3*100*$A84</f>
        <v>130.65</v>
      </c>
      <c r="EA84" s="19" t="n">
        <f aca="false">$B84+EA$3*100*$A84</f>
        <v>131.6625</v>
      </c>
      <c r="EB84" s="19" t="n">
        <f aca="false">$B84+EB$3*100*$A84</f>
        <v>132.675</v>
      </c>
      <c r="EC84" s="19" t="n">
        <f aca="false">$B84+EC$3*100*$A84</f>
        <v>133.6875</v>
      </c>
      <c r="ED84" s="19" t="n">
        <f aca="false">$B84+ED$3*100*$A84</f>
        <v>134.7</v>
      </c>
      <c r="EE84" s="19" t="n">
        <f aca="false">$B84+EE$3*100*$A84</f>
        <v>135.7125</v>
      </c>
      <c r="EF84" s="19" t="n">
        <f aca="false">$B84+EF$3*100*$A84</f>
        <v>136.725</v>
      </c>
      <c r="EG84" s="19" t="n">
        <f aca="false">$B84+EG$3*100*$A84</f>
        <v>137.7375</v>
      </c>
      <c r="EH84" s="19" t="n">
        <f aca="false">$B84+EH$3*100*$A84</f>
        <v>138.75</v>
      </c>
      <c r="EI84" s="19" t="n">
        <f aca="false">$B84+EI$3*100*$A84</f>
        <v>139.7625</v>
      </c>
      <c r="EJ84" s="19" t="n">
        <f aca="false">$B84+EJ$3*100*$A84</f>
        <v>140.775</v>
      </c>
      <c r="EK84" s="19" t="n">
        <f aca="false">$B84+EK$3*100*$A84</f>
        <v>141.7875</v>
      </c>
      <c r="EL84" s="19" t="n">
        <f aca="false">$B84+EL$3*100*$A84</f>
        <v>142.8</v>
      </c>
      <c r="EM84" s="19" t="n">
        <f aca="false">$B84+EM$3*100*$A84</f>
        <v>143.8125</v>
      </c>
      <c r="EN84" s="19" t="n">
        <f aca="false">$B84+EN$3*100*$A84</f>
        <v>144.825</v>
      </c>
      <c r="EO84" s="19" t="n">
        <f aca="false">$B84+EO$3*100*$A84</f>
        <v>145.8375</v>
      </c>
      <c r="EP84" s="19" t="n">
        <f aca="false">$B84+EP$3*100*$A84</f>
        <v>146.85</v>
      </c>
      <c r="EQ84" s="19" t="n">
        <f aca="false">$B84+EQ$3*100*$A84</f>
        <v>147.8625</v>
      </c>
      <c r="ER84" s="19" t="n">
        <f aca="false">$B84+ER$3*100*$A84</f>
        <v>148.875</v>
      </c>
      <c r="ES84" s="19" t="n">
        <f aca="false">$B84+ES$3*100*$A84</f>
        <v>149.8875</v>
      </c>
      <c r="ET84" s="19" t="n">
        <f aca="false">$B84+ET$3*100*$A84</f>
        <v>150.9</v>
      </c>
      <c r="EU84" s="19" t="n">
        <f aca="false">$B84+EU$3*100*$A84</f>
        <v>151.9125</v>
      </c>
      <c r="EV84" s="19" t="n">
        <f aca="false">$B84+EV$3*100*$A84</f>
        <v>152.925</v>
      </c>
      <c r="EW84" s="19" t="n">
        <f aca="false">$B84+EW$3*100*$A84</f>
        <v>153.9375</v>
      </c>
      <c r="EX84" s="19" t="n">
        <f aca="false">$B84+EX$3*100*$A84</f>
        <v>154.95</v>
      </c>
      <c r="EY84" s="19" t="n">
        <f aca="false">$B84+EY$3*100*$A84</f>
        <v>155.9625</v>
      </c>
      <c r="EZ84" s="19" t="n">
        <f aca="false">$B84+EZ$3*100*$A84</f>
        <v>156.975</v>
      </c>
      <c r="FA84" s="19" t="n">
        <f aca="false">$B84+FA$3*100*$A84</f>
        <v>157.9875</v>
      </c>
      <c r="FB84" s="19" t="n">
        <f aca="false">$B84+FB$3*100*$A84</f>
        <v>159</v>
      </c>
      <c r="FC84" s="19" t="n">
        <f aca="false">$B84+FC$3*100*$A84</f>
        <v>160.0125</v>
      </c>
      <c r="FD84" s="19" t="n">
        <f aca="false">$B84+FD$3*100*$A84</f>
        <v>161.025</v>
      </c>
      <c r="FE84" s="19" t="n">
        <f aca="false">$B84+FE$3*100*$A84</f>
        <v>162.0375</v>
      </c>
      <c r="FF84" s="19" t="n">
        <f aca="false">$B84+FF$3*100*$A84</f>
        <v>163.05</v>
      </c>
      <c r="FG84" s="19" t="n">
        <f aca="false">$B84+FG$3*100*$A84</f>
        <v>164.0625</v>
      </c>
      <c r="FH84" s="19" t="n">
        <f aca="false">$B84+FH$3*100*$A84</f>
        <v>165.075</v>
      </c>
      <c r="FI84" s="19" t="n">
        <f aca="false">$B84+FI$3*100*$A84</f>
        <v>166.0875</v>
      </c>
      <c r="FJ84" s="19" t="n">
        <f aca="false">$B84+FJ$3*100*$A84</f>
        <v>167.1</v>
      </c>
      <c r="FK84" s="19" t="n">
        <f aca="false">$B84+FK$3*100*$A84</f>
        <v>168.1125</v>
      </c>
      <c r="FL84" s="19" t="n">
        <f aca="false">$B84+FL$3*100*$A84</f>
        <v>169.125</v>
      </c>
      <c r="FM84" s="19" t="n">
        <f aca="false">$B84+FM$3*100*$A84</f>
        <v>170.1375</v>
      </c>
      <c r="FN84" s="19" t="n">
        <f aca="false">$B84+FN$3*100*$A84</f>
        <v>171.15</v>
      </c>
      <c r="FO84" s="19" t="n">
        <f aca="false">$B84+FO$3*100*$A84</f>
        <v>172.1625</v>
      </c>
      <c r="FP84" s="19" t="n">
        <f aca="false">$B84+FP$3*100*$A84</f>
        <v>173.175</v>
      </c>
      <c r="FQ84" s="19" t="n">
        <f aca="false">$B84+FQ$3*100*$A84</f>
        <v>174.1875</v>
      </c>
      <c r="FR84" s="19" t="n">
        <f aca="false">$B84+FR$3*100*$A84</f>
        <v>175.2</v>
      </c>
      <c r="FS84" s="19" t="n">
        <f aca="false">$B84+FS$3*100*$A84</f>
        <v>176.2125</v>
      </c>
      <c r="FT84" s="19" t="n">
        <f aca="false">$B84+FT$3*100*$A84</f>
        <v>177.225</v>
      </c>
      <c r="FU84" s="19" t="n">
        <f aca="false">$B84+FU$3*100*$A84</f>
        <v>178.2375</v>
      </c>
      <c r="FV84" s="19" t="n">
        <f aca="false">$B84+FV$3*100*$A84</f>
        <v>179.25</v>
      </c>
      <c r="FW84" s="19" t="n">
        <f aca="false">$B84+FW$3*100*$A84</f>
        <v>180.2625</v>
      </c>
      <c r="FX84" s="19" t="n">
        <f aca="false">$B84+FX$3*100*$A84</f>
        <v>181.275</v>
      </c>
      <c r="FY84" s="19" t="n">
        <f aca="false">$B84+FY$3*100*$A84</f>
        <v>182.2875</v>
      </c>
      <c r="FZ84" s="19" t="n">
        <f aca="false">$B84+FZ$3*100*$A84</f>
        <v>183.3</v>
      </c>
      <c r="GA84" s="19" t="n">
        <f aca="false">$B84+GA$3*100*$A84</f>
        <v>184.3125</v>
      </c>
      <c r="GB84" s="19" t="n">
        <f aca="false">$B84+GB$3*100*$A84</f>
        <v>185.325</v>
      </c>
      <c r="GC84" s="19" t="n">
        <f aca="false">$B84+GC$3*100*$A84</f>
        <v>186.3375</v>
      </c>
      <c r="GD84" s="19" t="n">
        <f aca="false">$B84+GD$3*100*$A84</f>
        <v>187.35</v>
      </c>
      <c r="GE84" s="19" t="n">
        <f aca="false">$B84+GE$3*100*$A84</f>
        <v>188.3625</v>
      </c>
      <c r="GF84" s="19" t="n">
        <f aca="false">$B84+GF$3*100*$A84</f>
        <v>189.375</v>
      </c>
      <c r="GG84" s="19" t="n">
        <f aca="false">$B84+GG$3*100*$A84</f>
        <v>190.3875</v>
      </c>
      <c r="GH84" s="19" t="n">
        <f aca="false">$B84+GH$3*100*$A84</f>
        <v>191.4</v>
      </c>
      <c r="GI84" s="19" t="n">
        <f aca="false">$B84+GI$3*100*$A84</f>
        <v>192.4125</v>
      </c>
      <c r="GJ84" s="19" t="n">
        <f aca="false">$B84+GJ$3*100*$A84</f>
        <v>193.425</v>
      </c>
      <c r="GK84" s="19" t="n">
        <f aca="false">$B84+GK$3*100*$A84</f>
        <v>194.4375</v>
      </c>
      <c r="GL84" s="19" t="n">
        <f aca="false">$B84+GL$3*100*$A84</f>
        <v>195.45</v>
      </c>
      <c r="GM84" s="19" t="n">
        <f aca="false">$B84+GM$3*100*$A84</f>
        <v>196.4625</v>
      </c>
      <c r="GN84" s="19" t="n">
        <f aca="false">$B84+GN$3*100*$A84</f>
        <v>197.475</v>
      </c>
      <c r="GO84" s="19" t="n">
        <f aca="false">$B84+GO$3*100*$A84</f>
        <v>198.4875</v>
      </c>
      <c r="GP84" s="19" t="n">
        <f aca="false">$B84+GP$3*100*$A84</f>
        <v>199.5</v>
      </c>
      <c r="GQ84" s="19" t="n">
        <f aca="false">$B84+GQ$3*100*$A84</f>
        <v>200.5125</v>
      </c>
      <c r="GR84" s="19" t="n">
        <f aca="false">$B84+GR$3*100*$A84</f>
        <v>201.525</v>
      </c>
      <c r="GS84" s="19" t="n">
        <f aca="false">$B84+GS$3*100*$A84</f>
        <v>202.5375</v>
      </c>
      <c r="GT84" s="19" t="n">
        <f aca="false">$B84+GT$3*100*$A84</f>
        <v>203.55</v>
      </c>
    </row>
    <row r="85" customFormat="false" ht="15" hidden="false" customHeight="false" outlineLevel="0" collapsed="false">
      <c r="A85" s="26" t="n">
        <f aca="false">Frontier!A83</f>
        <v>0.205</v>
      </c>
      <c r="B85" s="34" t="n">
        <f aca="false">Frontier!B83</f>
        <v>1.05</v>
      </c>
      <c r="C85" s="19" t="n">
        <f aca="false">$B85+C$3*100*$A85</f>
        <v>2.075</v>
      </c>
      <c r="D85" s="19" t="n">
        <f aca="false">$B85+D$3*100*$A85</f>
        <v>3.1</v>
      </c>
      <c r="E85" s="19" t="n">
        <f aca="false">$B85+E$3*100*$A85</f>
        <v>4.125</v>
      </c>
      <c r="F85" s="19" t="n">
        <f aca="false">$B85+F$3*100*$A85</f>
        <v>5.15</v>
      </c>
      <c r="G85" s="19" t="n">
        <f aca="false">$B85+G$3*100*$A85</f>
        <v>6.175</v>
      </c>
      <c r="H85" s="19" t="n">
        <f aca="false">$B85+H$3*100*$A85</f>
        <v>7.2</v>
      </c>
      <c r="I85" s="19" t="n">
        <f aca="false">$B85+I$3*100*$A85</f>
        <v>8.225</v>
      </c>
      <c r="J85" s="19" t="n">
        <f aca="false">$B85+J$3*100*$A85</f>
        <v>9.25</v>
      </c>
      <c r="K85" s="19" t="n">
        <f aca="false">$B85+K$3*100*$A85</f>
        <v>10.275</v>
      </c>
      <c r="L85" s="19" t="n">
        <f aca="false">$B85+L$3*100*$A85</f>
        <v>11.3</v>
      </c>
      <c r="M85" s="19" t="n">
        <f aca="false">$B85+M$3*100*$A85</f>
        <v>12.325</v>
      </c>
      <c r="N85" s="19" t="n">
        <f aca="false">$B85+N$3*100*$A85</f>
        <v>13.35</v>
      </c>
      <c r="O85" s="19" t="n">
        <f aca="false">$B85+O$3*100*$A85</f>
        <v>14.375</v>
      </c>
      <c r="P85" s="19" t="n">
        <f aca="false">$B85+P$3*100*$A85</f>
        <v>15.4</v>
      </c>
      <c r="Q85" s="19" t="n">
        <f aca="false">$B85+Q$3*100*$A85</f>
        <v>16.425</v>
      </c>
      <c r="R85" s="19" t="n">
        <f aca="false">$B85+R$3*100*$A85</f>
        <v>17.45</v>
      </c>
      <c r="S85" s="19" t="n">
        <f aca="false">$B85+S$3*100*$A85</f>
        <v>18.475</v>
      </c>
      <c r="T85" s="19" t="n">
        <f aca="false">$B85+T$3*100*$A85</f>
        <v>19.5</v>
      </c>
      <c r="U85" s="19" t="n">
        <f aca="false">$B85+U$3*100*$A85</f>
        <v>20.525</v>
      </c>
      <c r="V85" s="19" t="n">
        <f aca="false">$B85+V$3*100*$A85</f>
        <v>21.55</v>
      </c>
      <c r="W85" s="19" t="n">
        <f aca="false">$B85+W$3*100*$A85</f>
        <v>22.575</v>
      </c>
      <c r="X85" s="19" t="n">
        <f aca="false">$B85+X$3*100*$A85</f>
        <v>23.6</v>
      </c>
      <c r="Y85" s="19" t="n">
        <f aca="false">$B85+Y$3*100*$A85</f>
        <v>24.625</v>
      </c>
      <c r="Z85" s="19" t="n">
        <f aca="false">$B85+Z$3*100*$A85</f>
        <v>25.65</v>
      </c>
      <c r="AA85" s="19" t="n">
        <f aca="false">$B85+AA$3*100*$A85</f>
        <v>26.675</v>
      </c>
      <c r="AB85" s="19" t="n">
        <f aca="false">$B85+AB$3*100*$A85</f>
        <v>27.7</v>
      </c>
      <c r="AC85" s="19" t="n">
        <f aca="false">$B85+AC$3*100*$A85</f>
        <v>28.725</v>
      </c>
      <c r="AD85" s="19" t="n">
        <f aca="false">$B85+AD$3*100*$A85</f>
        <v>29.75</v>
      </c>
      <c r="AE85" s="19" t="n">
        <f aca="false">$B85+AE$3*100*$A85</f>
        <v>30.775</v>
      </c>
      <c r="AF85" s="19" t="n">
        <f aca="false">$B85+AF$3*100*$A85</f>
        <v>31.8</v>
      </c>
      <c r="AG85" s="19" t="n">
        <f aca="false">$B85+AG$3*100*$A85</f>
        <v>32.825</v>
      </c>
      <c r="AH85" s="19" t="n">
        <f aca="false">$B85+AH$3*100*$A85</f>
        <v>33.85</v>
      </c>
      <c r="AI85" s="19" t="n">
        <f aca="false">$B85+AI$3*100*$A85</f>
        <v>34.875</v>
      </c>
      <c r="AJ85" s="19" t="n">
        <f aca="false">$B85+AJ$3*100*$A85</f>
        <v>35.9</v>
      </c>
      <c r="AK85" s="19" t="n">
        <f aca="false">$B85+AK$3*100*$A85</f>
        <v>36.925</v>
      </c>
      <c r="AL85" s="19" t="n">
        <f aca="false">$B85+AL$3*100*$A85</f>
        <v>37.95</v>
      </c>
      <c r="AM85" s="19" t="n">
        <f aca="false">$B85+AM$3*100*$A85</f>
        <v>38.975</v>
      </c>
      <c r="AN85" s="19" t="n">
        <f aca="false">$B85+AN$3*100*$A85</f>
        <v>40</v>
      </c>
      <c r="AO85" s="19" t="n">
        <f aca="false">$B85+AO$3*100*$A85</f>
        <v>41.025</v>
      </c>
      <c r="AP85" s="19" t="n">
        <f aca="false">$B85+AP$3*100*$A85</f>
        <v>42.05</v>
      </c>
      <c r="AQ85" s="19" t="n">
        <f aca="false">$B85+AQ$3*100*$A85</f>
        <v>43.075</v>
      </c>
      <c r="AR85" s="19" t="n">
        <f aca="false">$B85+AR$3*100*$A85</f>
        <v>44.1</v>
      </c>
      <c r="AS85" s="19" t="n">
        <f aca="false">$B85+AS$3*100*$A85</f>
        <v>45.125</v>
      </c>
      <c r="AT85" s="19" t="n">
        <f aca="false">$B85+AT$3*100*$A85</f>
        <v>46.15</v>
      </c>
      <c r="AU85" s="19" t="n">
        <f aca="false">$B85+AU$3*100*$A85</f>
        <v>47.175</v>
      </c>
      <c r="AV85" s="19" t="n">
        <f aca="false">$B85+AV$3*100*$A85</f>
        <v>48.2</v>
      </c>
      <c r="AW85" s="19" t="n">
        <f aca="false">$B85+AW$3*100*$A85</f>
        <v>49.225</v>
      </c>
      <c r="AX85" s="19" t="n">
        <f aca="false">$B85+AX$3*100*$A85</f>
        <v>50.25</v>
      </c>
      <c r="AY85" s="19" t="n">
        <f aca="false">$B85+AY$3*100*$A85</f>
        <v>51.275</v>
      </c>
      <c r="AZ85" s="19" t="n">
        <f aca="false">$B85+AZ$3*100*$A85</f>
        <v>52.3</v>
      </c>
      <c r="BA85" s="19" t="n">
        <f aca="false">$B85+BA$3*100*$A85</f>
        <v>53.325</v>
      </c>
      <c r="BB85" s="19" t="n">
        <f aca="false">$B85+BB$3*100*$A85</f>
        <v>54.35</v>
      </c>
      <c r="BC85" s="19" t="n">
        <f aca="false">$B85+BC$3*100*$A85</f>
        <v>55.375</v>
      </c>
      <c r="BD85" s="19" t="n">
        <f aca="false">$B85+BD$3*100*$A85</f>
        <v>56.4</v>
      </c>
      <c r="BE85" s="19" t="n">
        <f aca="false">$B85+BE$3*100*$A85</f>
        <v>57.425</v>
      </c>
      <c r="BF85" s="19" t="n">
        <f aca="false">$B85+BF$3*100*$A85</f>
        <v>58.45</v>
      </c>
      <c r="BG85" s="19" t="n">
        <f aca="false">$B85+BG$3*100*$A85</f>
        <v>59.475</v>
      </c>
      <c r="BH85" s="19" t="n">
        <f aca="false">$B85+BH$3*100*$A85</f>
        <v>60.5</v>
      </c>
      <c r="BI85" s="19" t="n">
        <f aca="false">$B85+BI$3*100*$A85</f>
        <v>61.525</v>
      </c>
      <c r="BJ85" s="19" t="n">
        <f aca="false">$B85+BJ$3*100*$A85</f>
        <v>62.55</v>
      </c>
      <c r="BK85" s="19" t="n">
        <f aca="false">$B85+BK$3*100*$A85</f>
        <v>63.575</v>
      </c>
      <c r="BL85" s="19" t="n">
        <f aca="false">$B85+BL$3*100*$A85</f>
        <v>64.6</v>
      </c>
      <c r="BM85" s="19" t="n">
        <f aca="false">$B85+BM$3*100*$A85</f>
        <v>65.625</v>
      </c>
      <c r="BN85" s="19" t="n">
        <f aca="false">$B85+BN$3*100*$A85</f>
        <v>66.65</v>
      </c>
      <c r="BO85" s="19" t="n">
        <f aca="false">$B85+BO$3*100*$A85</f>
        <v>67.675</v>
      </c>
      <c r="BP85" s="19" t="n">
        <f aca="false">$B85+BP$3*100*$A85</f>
        <v>68.7</v>
      </c>
      <c r="BQ85" s="19" t="n">
        <f aca="false">$B85+BQ$3*100*$A85</f>
        <v>69.725</v>
      </c>
      <c r="BR85" s="19" t="n">
        <f aca="false">$B85+BR$3*100*$A85</f>
        <v>70.75</v>
      </c>
      <c r="BS85" s="19" t="n">
        <f aca="false">$B85+BS$3*100*$A85</f>
        <v>71.775</v>
      </c>
      <c r="BT85" s="19" t="n">
        <f aca="false">$B85+BT$3*100*$A85</f>
        <v>72.8</v>
      </c>
      <c r="BU85" s="19" t="n">
        <f aca="false">$B85+BU$3*100*$A85</f>
        <v>73.825</v>
      </c>
      <c r="BV85" s="19" t="n">
        <f aca="false">$B85+BV$3*100*$A85</f>
        <v>74.85</v>
      </c>
      <c r="BW85" s="19" t="n">
        <f aca="false">$B85+BW$3*100*$A85</f>
        <v>75.875</v>
      </c>
      <c r="BX85" s="19" t="n">
        <f aca="false">$B85+BX$3*100*$A85</f>
        <v>76.9</v>
      </c>
      <c r="BY85" s="19" t="n">
        <f aca="false">$B85+BY$3*100*$A85</f>
        <v>77.925</v>
      </c>
      <c r="BZ85" s="19" t="n">
        <f aca="false">$B85+BZ$3*100*$A85</f>
        <v>78.95</v>
      </c>
      <c r="CA85" s="19" t="n">
        <f aca="false">$B85+CA$3*100*$A85</f>
        <v>79.975</v>
      </c>
      <c r="CB85" s="19" t="n">
        <f aca="false">$B85+CB$3*100*$A85</f>
        <v>81</v>
      </c>
      <c r="CC85" s="19" t="n">
        <f aca="false">$B85+CC$3*100*$A85</f>
        <v>82.025</v>
      </c>
      <c r="CD85" s="19" t="n">
        <f aca="false">$B85+CD$3*100*$A85</f>
        <v>83.05</v>
      </c>
      <c r="CE85" s="19" t="n">
        <f aca="false">$B85+CE$3*100*$A85</f>
        <v>84.075</v>
      </c>
      <c r="CF85" s="19" t="n">
        <f aca="false">$B85+CF$3*100*$A85</f>
        <v>85.1</v>
      </c>
      <c r="CG85" s="19" t="n">
        <f aca="false">$B85+CG$3*100*$A85</f>
        <v>86.125</v>
      </c>
      <c r="CH85" s="19" t="n">
        <f aca="false">$B85+CH$3*100*$A85</f>
        <v>87.15</v>
      </c>
      <c r="CI85" s="19" t="n">
        <f aca="false">$B85+CI$3*100*$A85</f>
        <v>88.175</v>
      </c>
      <c r="CJ85" s="19" t="n">
        <f aca="false">$B85+CJ$3*100*$A85</f>
        <v>89.2</v>
      </c>
      <c r="CK85" s="19" t="n">
        <f aca="false">$B85+CK$3*100*$A85</f>
        <v>90.225</v>
      </c>
      <c r="CL85" s="19" t="n">
        <f aca="false">$B85+CL$3*100*$A85</f>
        <v>91.25</v>
      </c>
      <c r="CM85" s="19" t="n">
        <f aca="false">$B85+CM$3*100*$A85</f>
        <v>92.275</v>
      </c>
      <c r="CN85" s="19" t="n">
        <f aca="false">$B85+CN$3*100*$A85</f>
        <v>93.3</v>
      </c>
      <c r="CO85" s="19" t="n">
        <f aca="false">$B85+CO$3*100*$A85</f>
        <v>94.325</v>
      </c>
      <c r="CP85" s="19" t="n">
        <f aca="false">$B85+CP$3*100*$A85</f>
        <v>95.35</v>
      </c>
      <c r="CQ85" s="19" t="n">
        <f aca="false">$B85+CQ$3*100*$A85</f>
        <v>96.375</v>
      </c>
      <c r="CR85" s="19" t="n">
        <f aca="false">$B85+CR$3*100*$A85</f>
        <v>97.4</v>
      </c>
      <c r="CS85" s="19" t="n">
        <f aca="false">$B85+CS$3*100*$A85</f>
        <v>98.425</v>
      </c>
      <c r="CT85" s="19" t="n">
        <f aca="false">$B85+CT$3*100*$A85</f>
        <v>99.45</v>
      </c>
      <c r="CU85" s="19" t="n">
        <f aca="false">$B85+CU$3*100*$A85</f>
        <v>100.475</v>
      </c>
      <c r="CV85" s="19" t="n">
        <f aca="false">$B85+CV$3*100*$A85</f>
        <v>101.5</v>
      </c>
      <c r="CW85" s="19" t="n">
        <f aca="false">$B85+CW$3*100*$A85</f>
        <v>102.525</v>
      </c>
      <c r="CX85" s="19" t="n">
        <f aca="false">$B85+CX$3*100*$A85</f>
        <v>103.55</v>
      </c>
      <c r="CY85" s="19" t="n">
        <f aca="false">$B85+CY$3*100*$A85</f>
        <v>104.575</v>
      </c>
      <c r="CZ85" s="19" t="n">
        <f aca="false">$B85+CZ$3*100*$A85</f>
        <v>105.6</v>
      </c>
      <c r="DA85" s="19" t="n">
        <f aca="false">$B85+DA$3*100*$A85</f>
        <v>106.625</v>
      </c>
      <c r="DB85" s="19" t="n">
        <f aca="false">$B85+DB$3*100*$A85</f>
        <v>107.65</v>
      </c>
      <c r="DC85" s="19" t="n">
        <f aca="false">$B85+DC$3*100*$A85</f>
        <v>108.675</v>
      </c>
      <c r="DD85" s="19" t="n">
        <f aca="false">$B85+DD$3*100*$A85</f>
        <v>109.7</v>
      </c>
      <c r="DE85" s="19" t="n">
        <f aca="false">$B85+DE$3*100*$A85</f>
        <v>110.725</v>
      </c>
      <c r="DF85" s="19" t="n">
        <f aca="false">$B85+DF$3*100*$A85</f>
        <v>111.75</v>
      </c>
      <c r="DG85" s="19" t="n">
        <f aca="false">$B85+DG$3*100*$A85</f>
        <v>112.775</v>
      </c>
      <c r="DH85" s="19" t="n">
        <f aca="false">$B85+DH$3*100*$A85</f>
        <v>113.8</v>
      </c>
      <c r="DI85" s="19" t="n">
        <f aca="false">$B85+DI$3*100*$A85</f>
        <v>114.825</v>
      </c>
      <c r="DJ85" s="19" t="n">
        <f aca="false">$B85+DJ$3*100*$A85</f>
        <v>115.85</v>
      </c>
      <c r="DK85" s="19" t="n">
        <f aca="false">$B85+DK$3*100*$A85</f>
        <v>116.875</v>
      </c>
      <c r="DL85" s="19" t="n">
        <f aca="false">$B85+DL$3*100*$A85</f>
        <v>117.9</v>
      </c>
      <c r="DM85" s="19" t="n">
        <f aca="false">$B85+DM$3*100*$A85</f>
        <v>118.925</v>
      </c>
      <c r="DN85" s="19" t="n">
        <f aca="false">$B85+DN$3*100*$A85</f>
        <v>119.95</v>
      </c>
      <c r="DO85" s="19" t="n">
        <f aca="false">$B85+DO$3*100*$A85</f>
        <v>120.975</v>
      </c>
      <c r="DP85" s="19" t="n">
        <f aca="false">$B85+DP$3*100*$A85</f>
        <v>122</v>
      </c>
      <c r="DQ85" s="19" t="n">
        <f aca="false">$B85+DQ$3*100*$A85</f>
        <v>123.025</v>
      </c>
      <c r="DR85" s="19" t="n">
        <f aca="false">$B85+DR$3*100*$A85</f>
        <v>124.05</v>
      </c>
      <c r="DS85" s="19" t="n">
        <f aca="false">$B85+DS$3*100*$A85</f>
        <v>125.075</v>
      </c>
      <c r="DT85" s="19" t="n">
        <f aca="false">$B85+DT$3*100*$A85</f>
        <v>126.1</v>
      </c>
      <c r="DU85" s="19" t="n">
        <f aca="false">$B85+DU$3*100*$A85</f>
        <v>127.125</v>
      </c>
      <c r="DV85" s="19" t="n">
        <f aca="false">$B85+DV$3*100*$A85</f>
        <v>128.15</v>
      </c>
      <c r="DW85" s="19" t="n">
        <f aca="false">$B85+DW$3*100*$A85</f>
        <v>129.175</v>
      </c>
      <c r="DX85" s="19" t="n">
        <f aca="false">$B85+DX$3*100*$A85</f>
        <v>130.2</v>
      </c>
      <c r="DY85" s="19" t="n">
        <f aca="false">$B85+DY$3*100*$A85</f>
        <v>131.225</v>
      </c>
      <c r="DZ85" s="19" t="n">
        <f aca="false">$B85+DZ$3*100*$A85</f>
        <v>132.25</v>
      </c>
      <c r="EA85" s="19" t="n">
        <f aca="false">$B85+EA$3*100*$A85</f>
        <v>133.275</v>
      </c>
      <c r="EB85" s="19" t="n">
        <f aca="false">$B85+EB$3*100*$A85</f>
        <v>134.3</v>
      </c>
      <c r="EC85" s="19" t="n">
        <f aca="false">$B85+EC$3*100*$A85</f>
        <v>135.325</v>
      </c>
      <c r="ED85" s="19" t="n">
        <f aca="false">$B85+ED$3*100*$A85</f>
        <v>136.35</v>
      </c>
      <c r="EE85" s="19" t="n">
        <f aca="false">$B85+EE$3*100*$A85</f>
        <v>137.375</v>
      </c>
      <c r="EF85" s="19" t="n">
        <f aca="false">$B85+EF$3*100*$A85</f>
        <v>138.4</v>
      </c>
      <c r="EG85" s="19" t="n">
        <f aca="false">$B85+EG$3*100*$A85</f>
        <v>139.425</v>
      </c>
      <c r="EH85" s="19" t="n">
        <f aca="false">$B85+EH$3*100*$A85</f>
        <v>140.45</v>
      </c>
      <c r="EI85" s="19" t="n">
        <f aca="false">$B85+EI$3*100*$A85</f>
        <v>141.475</v>
      </c>
      <c r="EJ85" s="19" t="n">
        <f aca="false">$B85+EJ$3*100*$A85</f>
        <v>142.5</v>
      </c>
      <c r="EK85" s="19" t="n">
        <f aca="false">$B85+EK$3*100*$A85</f>
        <v>143.525</v>
      </c>
      <c r="EL85" s="19" t="n">
        <f aca="false">$B85+EL$3*100*$A85</f>
        <v>144.55</v>
      </c>
      <c r="EM85" s="19" t="n">
        <f aca="false">$B85+EM$3*100*$A85</f>
        <v>145.575</v>
      </c>
      <c r="EN85" s="19" t="n">
        <f aca="false">$B85+EN$3*100*$A85</f>
        <v>146.6</v>
      </c>
      <c r="EO85" s="19" t="n">
        <f aca="false">$B85+EO$3*100*$A85</f>
        <v>147.625</v>
      </c>
      <c r="EP85" s="19" t="n">
        <f aca="false">$B85+EP$3*100*$A85</f>
        <v>148.65</v>
      </c>
      <c r="EQ85" s="19" t="n">
        <f aca="false">$B85+EQ$3*100*$A85</f>
        <v>149.675</v>
      </c>
      <c r="ER85" s="19" t="n">
        <f aca="false">$B85+ER$3*100*$A85</f>
        <v>150.7</v>
      </c>
      <c r="ES85" s="19" t="n">
        <f aca="false">$B85+ES$3*100*$A85</f>
        <v>151.725</v>
      </c>
      <c r="ET85" s="19" t="n">
        <f aca="false">$B85+ET$3*100*$A85</f>
        <v>152.75</v>
      </c>
      <c r="EU85" s="19" t="n">
        <f aca="false">$B85+EU$3*100*$A85</f>
        <v>153.775</v>
      </c>
      <c r="EV85" s="19" t="n">
        <f aca="false">$B85+EV$3*100*$A85</f>
        <v>154.8</v>
      </c>
      <c r="EW85" s="19" t="n">
        <f aca="false">$B85+EW$3*100*$A85</f>
        <v>155.825</v>
      </c>
      <c r="EX85" s="19" t="n">
        <f aca="false">$B85+EX$3*100*$A85</f>
        <v>156.85</v>
      </c>
      <c r="EY85" s="19" t="n">
        <f aca="false">$B85+EY$3*100*$A85</f>
        <v>157.875</v>
      </c>
      <c r="EZ85" s="19" t="n">
        <f aca="false">$B85+EZ$3*100*$A85</f>
        <v>158.9</v>
      </c>
      <c r="FA85" s="19" t="n">
        <f aca="false">$B85+FA$3*100*$A85</f>
        <v>159.925</v>
      </c>
      <c r="FB85" s="19" t="n">
        <f aca="false">$B85+FB$3*100*$A85</f>
        <v>160.95</v>
      </c>
      <c r="FC85" s="19" t="n">
        <f aca="false">$B85+FC$3*100*$A85</f>
        <v>161.975</v>
      </c>
      <c r="FD85" s="19" t="n">
        <f aca="false">$B85+FD$3*100*$A85</f>
        <v>163</v>
      </c>
      <c r="FE85" s="19" t="n">
        <f aca="false">$B85+FE$3*100*$A85</f>
        <v>164.025</v>
      </c>
      <c r="FF85" s="19" t="n">
        <f aca="false">$B85+FF$3*100*$A85</f>
        <v>165.05</v>
      </c>
      <c r="FG85" s="19" t="n">
        <f aca="false">$B85+FG$3*100*$A85</f>
        <v>166.075</v>
      </c>
      <c r="FH85" s="19" t="n">
        <f aca="false">$B85+FH$3*100*$A85</f>
        <v>167.1</v>
      </c>
      <c r="FI85" s="19" t="n">
        <f aca="false">$B85+FI$3*100*$A85</f>
        <v>168.125</v>
      </c>
      <c r="FJ85" s="19" t="n">
        <f aca="false">$B85+FJ$3*100*$A85</f>
        <v>169.15</v>
      </c>
      <c r="FK85" s="19" t="n">
        <f aca="false">$B85+FK$3*100*$A85</f>
        <v>170.175</v>
      </c>
      <c r="FL85" s="19" t="n">
        <f aca="false">$B85+FL$3*100*$A85</f>
        <v>171.2</v>
      </c>
      <c r="FM85" s="19" t="n">
        <f aca="false">$B85+FM$3*100*$A85</f>
        <v>172.225</v>
      </c>
      <c r="FN85" s="19" t="n">
        <f aca="false">$B85+FN$3*100*$A85</f>
        <v>173.25</v>
      </c>
      <c r="FO85" s="19" t="n">
        <f aca="false">$B85+FO$3*100*$A85</f>
        <v>174.275</v>
      </c>
      <c r="FP85" s="19" t="n">
        <f aca="false">$B85+FP$3*100*$A85</f>
        <v>175.3</v>
      </c>
      <c r="FQ85" s="19" t="n">
        <f aca="false">$B85+FQ$3*100*$A85</f>
        <v>176.325</v>
      </c>
      <c r="FR85" s="19" t="n">
        <f aca="false">$B85+FR$3*100*$A85</f>
        <v>177.35</v>
      </c>
      <c r="FS85" s="19" t="n">
        <f aca="false">$B85+FS$3*100*$A85</f>
        <v>178.375</v>
      </c>
      <c r="FT85" s="19" t="n">
        <f aca="false">$B85+FT$3*100*$A85</f>
        <v>179.4</v>
      </c>
      <c r="FU85" s="19" t="n">
        <f aca="false">$B85+FU$3*100*$A85</f>
        <v>180.425</v>
      </c>
      <c r="FV85" s="19" t="n">
        <f aca="false">$B85+FV$3*100*$A85</f>
        <v>181.45</v>
      </c>
      <c r="FW85" s="19" t="n">
        <f aca="false">$B85+FW$3*100*$A85</f>
        <v>182.475</v>
      </c>
      <c r="FX85" s="19" t="n">
        <f aca="false">$B85+FX$3*100*$A85</f>
        <v>183.5</v>
      </c>
      <c r="FY85" s="19" t="n">
        <f aca="false">$B85+FY$3*100*$A85</f>
        <v>184.525</v>
      </c>
      <c r="FZ85" s="19" t="n">
        <f aca="false">$B85+FZ$3*100*$A85</f>
        <v>185.55</v>
      </c>
      <c r="GA85" s="19" t="n">
        <f aca="false">$B85+GA$3*100*$A85</f>
        <v>186.575</v>
      </c>
      <c r="GB85" s="19" t="n">
        <f aca="false">$B85+GB$3*100*$A85</f>
        <v>187.6</v>
      </c>
      <c r="GC85" s="19" t="n">
        <f aca="false">$B85+GC$3*100*$A85</f>
        <v>188.625</v>
      </c>
      <c r="GD85" s="19" t="n">
        <f aca="false">$B85+GD$3*100*$A85</f>
        <v>189.65</v>
      </c>
      <c r="GE85" s="19" t="n">
        <f aca="false">$B85+GE$3*100*$A85</f>
        <v>190.675</v>
      </c>
      <c r="GF85" s="19" t="n">
        <f aca="false">$B85+GF$3*100*$A85</f>
        <v>191.7</v>
      </c>
      <c r="GG85" s="19" t="n">
        <f aca="false">$B85+GG$3*100*$A85</f>
        <v>192.725</v>
      </c>
      <c r="GH85" s="19" t="n">
        <f aca="false">$B85+GH$3*100*$A85</f>
        <v>193.75</v>
      </c>
      <c r="GI85" s="19" t="n">
        <f aca="false">$B85+GI$3*100*$A85</f>
        <v>194.775</v>
      </c>
      <c r="GJ85" s="19" t="n">
        <f aca="false">$B85+GJ$3*100*$A85</f>
        <v>195.8</v>
      </c>
      <c r="GK85" s="19" t="n">
        <f aca="false">$B85+GK$3*100*$A85</f>
        <v>196.825</v>
      </c>
      <c r="GL85" s="19" t="n">
        <f aca="false">$B85+GL$3*100*$A85</f>
        <v>197.85</v>
      </c>
      <c r="GM85" s="19" t="n">
        <f aca="false">$B85+GM$3*100*$A85</f>
        <v>198.875</v>
      </c>
      <c r="GN85" s="19" t="n">
        <f aca="false">$B85+GN$3*100*$A85</f>
        <v>199.9</v>
      </c>
      <c r="GO85" s="19" t="n">
        <f aca="false">$B85+GO$3*100*$A85</f>
        <v>200.925</v>
      </c>
      <c r="GP85" s="19" t="n">
        <f aca="false">$B85+GP$3*100*$A85</f>
        <v>201.95</v>
      </c>
      <c r="GQ85" s="19" t="n">
        <f aca="false">$B85+GQ$3*100*$A85</f>
        <v>202.975</v>
      </c>
      <c r="GR85" s="19" t="n">
        <f aca="false">$B85+GR$3*100*$A85</f>
        <v>204</v>
      </c>
      <c r="GS85" s="19" t="n">
        <f aca="false">$B85+GS$3*100*$A85</f>
        <v>205.025</v>
      </c>
      <c r="GT85" s="19" t="n">
        <f aca="false">$B85+GT$3*100*$A85</f>
        <v>206.05</v>
      </c>
    </row>
    <row r="86" customFormat="false" ht="15" hidden="false" customHeight="false" outlineLevel="0" collapsed="false">
      <c r="A86" s="26" t="n">
        <f aca="false">Frontier!A84</f>
        <v>0.2075</v>
      </c>
      <c r="B86" s="34" t="n">
        <f aca="false">Frontier!B84</f>
        <v>0.990075048867682</v>
      </c>
      <c r="C86" s="19" t="n">
        <f aca="false">$B86+C$3*100*$A86</f>
        <v>2.02757504886768</v>
      </c>
      <c r="D86" s="19" t="n">
        <f aca="false">$B86+D$3*100*$A86</f>
        <v>3.06507504886768</v>
      </c>
      <c r="E86" s="19" t="n">
        <f aca="false">$B86+E$3*100*$A86</f>
        <v>4.10257504886768</v>
      </c>
      <c r="F86" s="19" t="n">
        <f aca="false">$B86+F$3*100*$A86</f>
        <v>5.14007504886768</v>
      </c>
      <c r="G86" s="19" t="n">
        <f aca="false">$B86+G$3*100*$A86</f>
        <v>6.17757504886768</v>
      </c>
      <c r="H86" s="19" t="n">
        <f aca="false">$B86+H$3*100*$A86</f>
        <v>7.21507504886768</v>
      </c>
      <c r="I86" s="19" t="n">
        <f aca="false">$B86+I$3*100*$A86</f>
        <v>8.25257504886768</v>
      </c>
      <c r="J86" s="19" t="n">
        <f aca="false">$B86+J$3*100*$A86</f>
        <v>9.29007504886768</v>
      </c>
      <c r="K86" s="19" t="n">
        <f aca="false">$B86+K$3*100*$A86</f>
        <v>10.3275750488677</v>
      </c>
      <c r="L86" s="19" t="n">
        <f aca="false">$B86+L$3*100*$A86</f>
        <v>11.3650750488677</v>
      </c>
      <c r="M86" s="19" t="n">
        <f aca="false">$B86+M$3*100*$A86</f>
        <v>12.4025750488677</v>
      </c>
      <c r="N86" s="19" t="n">
        <f aca="false">$B86+N$3*100*$A86</f>
        <v>13.4400750488677</v>
      </c>
      <c r="O86" s="19" t="n">
        <f aca="false">$B86+O$3*100*$A86</f>
        <v>14.4775750488677</v>
      </c>
      <c r="P86" s="19" t="n">
        <f aca="false">$B86+P$3*100*$A86</f>
        <v>15.5150750488677</v>
      </c>
      <c r="Q86" s="19" t="n">
        <f aca="false">$B86+Q$3*100*$A86</f>
        <v>16.5525750488677</v>
      </c>
      <c r="R86" s="19" t="n">
        <f aca="false">$B86+R$3*100*$A86</f>
        <v>17.5900750488677</v>
      </c>
      <c r="S86" s="19" t="n">
        <f aca="false">$B86+S$3*100*$A86</f>
        <v>18.6275750488677</v>
      </c>
      <c r="T86" s="19" t="n">
        <f aca="false">$B86+T$3*100*$A86</f>
        <v>19.6650750488677</v>
      </c>
      <c r="U86" s="19" t="n">
        <f aca="false">$B86+U$3*100*$A86</f>
        <v>20.7025750488677</v>
      </c>
      <c r="V86" s="19" t="n">
        <f aca="false">$B86+V$3*100*$A86</f>
        <v>21.7400750488677</v>
      </c>
      <c r="W86" s="19" t="n">
        <f aca="false">$B86+W$3*100*$A86</f>
        <v>22.7775750488677</v>
      </c>
      <c r="X86" s="19" t="n">
        <f aca="false">$B86+X$3*100*$A86</f>
        <v>23.8150750488677</v>
      </c>
      <c r="Y86" s="19" t="n">
        <f aca="false">$B86+Y$3*100*$A86</f>
        <v>24.8525750488677</v>
      </c>
      <c r="Z86" s="19" t="n">
        <f aca="false">$B86+Z$3*100*$A86</f>
        <v>25.8900750488677</v>
      </c>
      <c r="AA86" s="19" t="n">
        <f aca="false">$B86+AA$3*100*$A86</f>
        <v>26.9275750488677</v>
      </c>
      <c r="AB86" s="19" t="n">
        <f aca="false">$B86+AB$3*100*$A86</f>
        <v>27.9650750488677</v>
      </c>
      <c r="AC86" s="19" t="n">
        <f aca="false">$B86+AC$3*100*$A86</f>
        <v>29.0025750488677</v>
      </c>
      <c r="AD86" s="19" t="n">
        <f aca="false">$B86+AD$3*100*$A86</f>
        <v>30.0400750488677</v>
      </c>
      <c r="AE86" s="19" t="n">
        <f aca="false">$B86+AE$3*100*$A86</f>
        <v>31.0775750488677</v>
      </c>
      <c r="AF86" s="19" t="n">
        <f aca="false">$B86+AF$3*100*$A86</f>
        <v>32.1150750488677</v>
      </c>
      <c r="AG86" s="19" t="n">
        <f aca="false">$B86+AG$3*100*$A86</f>
        <v>33.1525750488677</v>
      </c>
      <c r="AH86" s="19" t="n">
        <f aca="false">$B86+AH$3*100*$A86</f>
        <v>34.1900750488677</v>
      </c>
      <c r="AI86" s="19" t="n">
        <f aca="false">$B86+AI$3*100*$A86</f>
        <v>35.2275750488677</v>
      </c>
      <c r="AJ86" s="19" t="n">
        <f aca="false">$B86+AJ$3*100*$A86</f>
        <v>36.2650750488677</v>
      </c>
      <c r="AK86" s="19" t="n">
        <f aca="false">$B86+AK$3*100*$A86</f>
        <v>37.3025750488677</v>
      </c>
      <c r="AL86" s="19" t="n">
        <f aca="false">$B86+AL$3*100*$A86</f>
        <v>38.3400750488677</v>
      </c>
      <c r="AM86" s="19" t="n">
        <f aca="false">$B86+AM$3*100*$A86</f>
        <v>39.3775750488677</v>
      </c>
      <c r="AN86" s="19" t="n">
        <f aca="false">$B86+AN$3*100*$A86</f>
        <v>40.4150750488677</v>
      </c>
      <c r="AO86" s="19" t="n">
        <f aca="false">$B86+AO$3*100*$A86</f>
        <v>41.4525750488677</v>
      </c>
      <c r="AP86" s="19" t="n">
        <f aca="false">$B86+AP$3*100*$A86</f>
        <v>42.4900750488677</v>
      </c>
      <c r="AQ86" s="19" t="n">
        <f aca="false">$B86+AQ$3*100*$A86</f>
        <v>43.5275750488677</v>
      </c>
      <c r="AR86" s="19" t="n">
        <f aca="false">$B86+AR$3*100*$A86</f>
        <v>44.5650750488677</v>
      </c>
      <c r="AS86" s="19" t="n">
        <f aca="false">$B86+AS$3*100*$A86</f>
        <v>45.6025750488677</v>
      </c>
      <c r="AT86" s="19" t="n">
        <f aca="false">$B86+AT$3*100*$A86</f>
        <v>46.6400750488677</v>
      </c>
      <c r="AU86" s="19" t="n">
        <f aca="false">$B86+AU$3*100*$A86</f>
        <v>47.6775750488677</v>
      </c>
      <c r="AV86" s="19" t="n">
        <f aca="false">$B86+AV$3*100*$A86</f>
        <v>48.7150750488677</v>
      </c>
      <c r="AW86" s="19" t="n">
        <f aca="false">$B86+AW$3*100*$A86</f>
        <v>49.7525750488677</v>
      </c>
      <c r="AX86" s="19" t="n">
        <f aca="false">$B86+AX$3*100*$A86</f>
        <v>50.7900750488677</v>
      </c>
      <c r="AY86" s="19" t="n">
        <f aca="false">$B86+AY$3*100*$A86</f>
        <v>51.8275750488677</v>
      </c>
      <c r="AZ86" s="19" t="n">
        <f aca="false">$B86+AZ$3*100*$A86</f>
        <v>52.8650750488677</v>
      </c>
      <c r="BA86" s="19" t="n">
        <f aca="false">$B86+BA$3*100*$A86</f>
        <v>53.9025750488677</v>
      </c>
      <c r="BB86" s="19" t="n">
        <f aca="false">$B86+BB$3*100*$A86</f>
        <v>54.9400750488677</v>
      </c>
      <c r="BC86" s="19" t="n">
        <f aca="false">$B86+BC$3*100*$A86</f>
        <v>55.9775750488677</v>
      </c>
      <c r="BD86" s="19" t="n">
        <f aca="false">$B86+BD$3*100*$A86</f>
        <v>57.0150750488677</v>
      </c>
      <c r="BE86" s="19" t="n">
        <f aca="false">$B86+BE$3*100*$A86</f>
        <v>58.0525750488677</v>
      </c>
      <c r="BF86" s="19" t="n">
        <f aca="false">$B86+BF$3*100*$A86</f>
        <v>59.0900750488677</v>
      </c>
      <c r="BG86" s="19" t="n">
        <f aca="false">$B86+BG$3*100*$A86</f>
        <v>60.1275750488677</v>
      </c>
      <c r="BH86" s="19" t="n">
        <f aca="false">$B86+BH$3*100*$A86</f>
        <v>61.1650750488677</v>
      </c>
      <c r="BI86" s="19" t="n">
        <f aca="false">$B86+BI$3*100*$A86</f>
        <v>62.2025750488677</v>
      </c>
      <c r="BJ86" s="19" t="n">
        <f aca="false">$B86+BJ$3*100*$A86</f>
        <v>63.2400750488677</v>
      </c>
      <c r="BK86" s="19" t="n">
        <f aca="false">$B86+BK$3*100*$A86</f>
        <v>64.2775750488677</v>
      </c>
      <c r="BL86" s="19" t="n">
        <f aca="false">$B86+BL$3*100*$A86</f>
        <v>65.3150750488677</v>
      </c>
      <c r="BM86" s="19" t="n">
        <f aca="false">$B86+BM$3*100*$A86</f>
        <v>66.3525750488677</v>
      </c>
      <c r="BN86" s="19" t="n">
        <f aca="false">$B86+BN$3*100*$A86</f>
        <v>67.3900750488677</v>
      </c>
      <c r="BO86" s="19" t="n">
        <f aca="false">$B86+BO$3*100*$A86</f>
        <v>68.4275750488677</v>
      </c>
      <c r="BP86" s="19" t="n">
        <f aca="false">$B86+BP$3*100*$A86</f>
        <v>69.4650750488677</v>
      </c>
      <c r="BQ86" s="19" t="n">
        <f aca="false">$B86+BQ$3*100*$A86</f>
        <v>70.5025750488677</v>
      </c>
      <c r="BR86" s="19" t="n">
        <f aca="false">$B86+BR$3*100*$A86</f>
        <v>71.5400750488677</v>
      </c>
      <c r="BS86" s="19" t="n">
        <f aca="false">$B86+BS$3*100*$A86</f>
        <v>72.5775750488677</v>
      </c>
      <c r="BT86" s="19" t="n">
        <f aca="false">$B86+BT$3*100*$A86</f>
        <v>73.6150750488677</v>
      </c>
      <c r="BU86" s="19" t="n">
        <f aca="false">$B86+BU$3*100*$A86</f>
        <v>74.6525750488677</v>
      </c>
      <c r="BV86" s="19" t="n">
        <f aca="false">$B86+BV$3*100*$A86</f>
        <v>75.6900750488677</v>
      </c>
      <c r="BW86" s="19" t="n">
        <f aca="false">$B86+BW$3*100*$A86</f>
        <v>76.7275750488677</v>
      </c>
      <c r="BX86" s="19" t="n">
        <f aca="false">$B86+BX$3*100*$A86</f>
        <v>77.7650750488677</v>
      </c>
      <c r="BY86" s="19" t="n">
        <f aca="false">$B86+BY$3*100*$A86</f>
        <v>78.8025750488677</v>
      </c>
      <c r="BZ86" s="19" t="n">
        <f aca="false">$B86+BZ$3*100*$A86</f>
        <v>79.8400750488677</v>
      </c>
      <c r="CA86" s="19" t="n">
        <f aca="false">$B86+CA$3*100*$A86</f>
        <v>80.8775750488677</v>
      </c>
      <c r="CB86" s="19" t="n">
        <f aca="false">$B86+CB$3*100*$A86</f>
        <v>81.9150750488677</v>
      </c>
      <c r="CC86" s="19" t="n">
        <f aca="false">$B86+CC$3*100*$A86</f>
        <v>82.9525750488677</v>
      </c>
      <c r="CD86" s="19" t="n">
        <f aca="false">$B86+CD$3*100*$A86</f>
        <v>83.9900750488677</v>
      </c>
      <c r="CE86" s="19" t="n">
        <f aca="false">$B86+CE$3*100*$A86</f>
        <v>85.0275750488677</v>
      </c>
      <c r="CF86" s="19" t="n">
        <f aca="false">$B86+CF$3*100*$A86</f>
        <v>86.0650750488677</v>
      </c>
      <c r="CG86" s="19" t="n">
        <f aca="false">$B86+CG$3*100*$A86</f>
        <v>87.1025750488677</v>
      </c>
      <c r="CH86" s="19" t="n">
        <f aca="false">$B86+CH$3*100*$A86</f>
        <v>88.1400750488677</v>
      </c>
      <c r="CI86" s="19" t="n">
        <f aca="false">$B86+CI$3*100*$A86</f>
        <v>89.1775750488677</v>
      </c>
      <c r="CJ86" s="19" t="n">
        <f aca="false">$B86+CJ$3*100*$A86</f>
        <v>90.2150750488677</v>
      </c>
      <c r="CK86" s="19" t="n">
        <f aca="false">$B86+CK$3*100*$A86</f>
        <v>91.2525750488677</v>
      </c>
      <c r="CL86" s="19" t="n">
        <f aca="false">$B86+CL$3*100*$A86</f>
        <v>92.2900750488677</v>
      </c>
      <c r="CM86" s="19" t="n">
        <f aca="false">$B86+CM$3*100*$A86</f>
        <v>93.3275750488677</v>
      </c>
      <c r="CN86" s="19" t="n">
        <f aca="false">$B86+CN$3*100*$A86</f>
        <v>94.3650750488677</v>
      </c>
      <c r="CO86" s="19" t="n">
        <f aca="false">$B86+CO$3*100*$A86</f>
        <v>95.4025750488677</v>
      </c>
      <c r="CP86" s="19" t="n">
        <f aca="false">$B86+CP$3*100*$A86</f>
        <v>96.4400750488677</v>
      </c>
      <c r="CQ86" s="19" t="n">
        <f aca="false">$B86+CQ$3*100*$A86</f>
        <v>97.4775750488677</v>
      </c>
      <c r="CR86" s="19" t="n">
        <f aca="false">$B86+CR$3*100*$A86</f>
        <v>98.5150750488677</v>
      </c>
      <c r="CS86" s="19" t="n">
        <f aca="false">$B86+CS$3*100*$A86</f>
        <v>99.5525750488677</v>
      </c>
      <c r="CT86" s="19" t="n">
        <f aca="false">$B86+CT$3*100*$A86</f>
        <v>100.590075048868</v>
      </c>
      <c r="CU86" s="19" t="n">
        <f aca="false">$B86+CU$3*100*$A86</f>
        <v>101.627575048868</v>
      </c>
      <c r="CV86" s="19" t="n">
        <f aca="false">$B86+CV$3*100*$A86</f>
        <v>102.665075048868</v>
      </c>
      <c r="CW86" s="19" t="n">
        <f aca="false">$B86+CW$3*100*$A86</f>
        <v>103.702575048868</v>
      </c>
      <c r="CX86" s="19" t="n">
        <f aca="false">$B86+CX$3*100*$A86</f>
        <v>104.740075048868</v>
      </c>
      <c r="CY86" s="19" t="n">
        <f aca="false">$B86+CY$3*100*$A86</f>
        <v>105.777575048868</v>
      </c>
      <c r="CZ86" s="19" t="n">
        <f aca="false">$B86+CZ$3*100*$A86</f>
        <v>106.815075048868</v>
      </c>
      <c r="DA86" s="19" t="n">
        <f aca="false">$B86+DA$3*100*$A86</f>
        <v>107.852575048868</v>
      </c>
      <c r="DB86" s="19" t="n">
        <f aca="false">$B86+DB$3*100*$A86</f>
        <v>108.890075048868</v>
      </c>
      <c r="DC86" s="19" t="n">
        <f aca="false">$B86+DC$3*100*$A86</f>
        <v>109.927575048868</v>
      </c>
      <c r="DD86" s="19" t="n">
        <f aca="false">$B86+DD$3*100*$A86</f>
        <v>110.965075048868</v>
      </c>
      <c r="DE86" s="19" t="n">
        <f aca="false">$B86+DE$3*100*$A86</f>
        <v>112.002575048868</v>
      </c>
      <c r="DF86" s="19" t="n">
        <f aca="false">$B86+DF$3*100*$A86</f>
        <v>113.040075048868</v>
      </c>
      <c r="DG86" s="19" t="n">
        <f aca="false">$B86+DG$3*100*$A86</f>
        <v>114.077575048868</v>
      </c>
      <c r="DH86" s="19" t="n">
        <f aca="false">$B86+DH$3*100*$A86</f>
        <v>115.115075048868</v>
      </c>
      <c r="DI86" s="19" t="n">
        <f aca="false">$B86+DI$3*100*$A86</f>
        <v>116.152575048868</v>
      </c>
      <c r="DJ86" s="19" t="n">
        <f aca="false">$B86+DJ$3*100*$A86</f>
        <v>117.190075048868</v>
      </c>
      <c r="DK86" s="19" t="n">
        <f aca="false">$B86+DK$3*100*$A86</f>
        <v>118.227575048868</v>
      </c>
      <c r="DL86" s="19" t="n">
        <f aca="false">$B86+DL$3*100*$A86</f>
        <v>119.265075048868</v>
      </c>
      <c r="DM86" s="19" t="n">
        <f aca="false">$B86+DM$3*100*$A86</f>
        <v>120.302575048868</v>
      </c>
      <c r="DN86" s="19" t="n">
        <f aca="false">$B86+DN$3*100*$A86</f>
        <v>121.340075048868</v>
      </c>
      <c r="DO86" s="19" t="n">
        <f aca="false">$B86+DO$3*100*$A86</f>
        <v>122.377575048868</v>
      </c>
      <c r="DP86" s="19" t="n">
        <f aca="false">$B86+DP$3*100*$A86</f>
        <v>123.415075048868</v>
      </c>
      <c r="DQ86" s="19" t="n">
        <f aca="false">$B86+DQ$3*100*$A86</f>
        <v>124.452575048868</v>
      </c>
      <c r="DR86" s="19" t="n">
        <f aca="false">$B86+DR$3*100*$A86</f>
        <v>125.490075048868</v>
      </c>
      <c r="DS86" s="19" t="n">
        <f aca="false">$B86+DS$3*100*$A86</f>
        <v>126.527575048868</v>
      </c>
      <c r="DT86" s="19" t="n">
        <f aca="false">$B86+DT$3*100*$A86</f>
        <v>127.565075048868</v>
      </c>
      <c r="DU86" s="19" t="n">
        <f aca="false">$B86+DU$3*100*$A86</f>
        <v>128.602575048868</v>
      </c>
      <c r="DV86" s="19" t="n">
        <f aca="false">$B86+DV$3*100*$A86</f>
        <v>129.640075048868</v>
      </c>
      <c r="DW86" s="19" t="n">
        <f aca="false">$B86+DW$3*100*$A86</f>
        <v>130.677575048868</v>
      </c>
      <c r="DX86" s="19" t="n">
        <f aca="false">$B86+DX$3*100*$A86</f>
        <v>131.715075048868</v>
      </c>
      <c r="DY86" s="19" t="n">
        <f aca="false">$B86+DY$3*100*$A86</f>
        <v>132.752575048868</v>
      </c>
      <c r="DZ86" s="19" t="n">
        <f aca="false">$B86+DZ$3*100*$A86</f>
        <v>133.790075048868</v>
      </c>
      <c r="EA86" s="19" t="n">
        <f aca="false">$B86+EA$3*100*$A86</f>
        <v>134.827575048868</v>
      </c>
      <c r="EB86" s="19" t="n">
        <f aca="false">$B86+EB$3*100*$A86</f>
        <v>135.865075048868</v>
      </c>
      <c r="EC86" s="19" t="n">
        <f aca="false">$B86+EC$3*100*$A86</f>
        <v>136.902575048868</v>
      </c>
      <c r="ED86" s="19" t="n">
        <f aca="false">$B86+ED$3*100*$A86</f>
        <v>137.940075048868</v>
      </c>
      <c r="EE86" s="19" t="n">
        <f aca="false">$B86+EE$3*100*$A86</f>
        <v>138.977575048868</v>
      </c>
      <c r="EF86" s="19" t="n">
        <f aca="false">$B86+EF$3*100*$A86</f>
        <v>140.015075048868</v>
      </c>
      <c r="EG86" s="19" t="n">
        <f aca="false">$B86+EG$3*100*$A86</f>
        <v>141.052575048868</v>
      </c>
      <c r="EH86" s="19" t="n">
        <f aca="false">$B86+EH$3*100*$A86</f>
        <v>142.090075048868</v>
      </c>
      <c r="EI86" s="19" t="n">
        <f aca="false">$B86+EI$3*100*$A86</f>
        <v>143.127575048868</v>
      </c>
      <c r="EJ86" s="19" t="n">
        <f aca="false">$B86+EJ$3*100*$A86</f>
        <v>144.165075048868</v>
      </c>
      <c r="EK86" s="19" t="n">
        <f aca="false">$B86+EK$3*100*$A86</f>
        <v>145.202575048868</v>
      </c>
      <c r="EL86" s="19" t="n">
        <f aca="false">$B86+EL$3*100*$A86</f>
        <v>146.240075048868</v>
      </c>
      <c r="EM86" s="19" t="n">
        <f aca="false">$B86+EM$3*100*$A86</f>
        <v>147.277575048868</v>
      </c>
      <c r="EN86" s="19" t="n">
        <f aca="false">$B86+EN$3*100*$A86</f>
        <v>148.315075048868</v>
      </c>
      <c r="EO86" s="19" t="n">
        <f aca="false">$B86+EO$3*100*$A86</f>
        <v>149.352575048868</v>
      </c>
      <c r="EP86" s="19" t="n">
        <f aca="false">$B86+EP$3*100*$A86</f>
        <v>150.390075048868</v>
      </c>
      <c r="EQ86" s="19" t="n">
        <f aca="false">$B86+EQ$3*100*$A86</f>
        <v>151.427575048868</v>
      </c>
      <c r="ER86" s="19" t="n">
        <f aca="false">$B86+ER$3*100*$A86</f>
        <v>152.465075048868</v>
      </c>
      <c r="ES86" s="19" t="n">
        <f aca="false">$B86+ES$3*100*$A86</f>
        <v>153.502575048868</v>
      </c>
      <c r="ET86" s="19" t="n">
        <f aca="false">$B86+ET$3*100*$A86</f>
        <v>154.540075048868</v>
      </c>
      <c r="EU86" s="19" t="n">
        <f aca="false">$B86+EU$3*100*$A86</f>
        <v>155.577575048868</v>
      </c>
      <c r="EV86" s="19" t="n">
        <f aca="false">$B86+EV$3*100*$A86</f>
        <v>156.615075048868</v>
      </c>
      <c r="EW86" s="19" t="n">
        <f aca="false">$B86+EW$3*100*$A86</f>
        <v>157.652575048868</v>
      </c>
      <c r="EX86" s="19" t="n">
        <f aca="false">$B86+EX$3*100*$A86</f>
        <v>158.690075048868</v>
      </c>
      <c r="EY86" s="19" t="n">
        <f aca="false">$B86+EY$3*100*$A86</f>
        <v>159.727575048868</v>
      </c>
      <c r="EZ86" s="19" t="n">
        <f aca="false">$B86+EZ$3*100*$A86</f>
        <v>160.765075048868</v>
      </c>
      <c r="FA86" s="19" t="n">
        <f aca="false">$B86+FA$3*100*$A86</f>
        <v>161.802575048868</v>
      </c>
      <c r="FB86" s="19" t="n">
        <f aca="false">$B86+FB$3*100*$A86</f>
        <v>162.840075048868</v>
      </c>
      <c r="FC86" s="19" t="n">
        <f aca="false">$B86+FC$3*100*$A86</f>
        <v>163.877575048868</v>
      </c>
      <c r="FD86" s="19" t="n">
        <f aca="false">$B86+FD$3*100*$A86</f>
        <v>164.915075048868</v>
      </c>
      <c r="FE86" s="19" t="n">
        <f aca="false">$B86+FE$3*100*$A86</f>
        <v>165.952575048868</v>
      </c>
      <c r="FF86" s="19" t="n">
        <f aca="false">$B86+FF$3*100*$A86</f>
        <v>166.990075048868</v>
      </c>
      <c r="FG86" s="19" t="n">
        <f aca="false">$B86+FG$3*100*$A86</f>
        <v>168.027575048868</v>
      </c>
      <c r="FH86" s="19" t="n">
        <f aca="false">$B86+FH$3*100*$A86</f>
        <v>169.065075048868</v>
      </c>
      <c r="FI86" s="19" t="n">
        <f aca="false">$B86+FI$3*100*$A86</f>
        <v>170.102575048868</v>
      </c>
      <c r="FJ86" s="19" t="n">
        <f aca="false">$B86+FJ$3*100*$A86</f>
        <v>171.140075048868</v>
      </c>
      <c r="FK86" s="19" t="n">
        <f aca="false">$B86+FK$3*100*$A86</f>
        <v>172.177575048868</v>
      </c>
      <c r="FL86" s="19" t="n">
        <f aca="false">$B86+FL$3*100*$A86</f>
        <v>173.215075048868</v>
      </c>
      <c r="FM86" s="19" t="n">
        <f aca="false">$B86+FM$3*100*$A86</f>
        <v>174.252575048868</v>
      </c>
      <c r="FN86" s="19" t="n">
        <f aca="false">$B86+FN$3*100*$A86</f>
        <v>175.290075048868</v>
      </c>
      <c r="FO86" s="19" t="n">
        <f aca="false">$B86+FO$3*100*$A86</f>
        <v>176.327575048868</v>
      </c>
      <c r="FP86" s="19" t="n">
        <f aca="false">$B86+FP$3*100*$A86</f>
        <v>177.365075048868</v>
      </c>
      <c r="FQ86" s="19" t="n">
        <f aca="false">$B86+FQ$3*100*$A86</f>
        <v>178.402575048868</v>
      </c>
      <c r="FR86" s="19" t="n">
        <f aca="false">$B86+FR$3*100*$A86</f>
        <v>179.440075048868</v>
      </c>
      <c r="FS86" s="19" t="n">
        <f aca="false">$B86+FS$3*100*$A86</f>
        <v>180.477575048868</v>
      </c>
      <c r="FT86" s="19" t="n">
        <f aca="false">$B86+FT$3*100*$A86</f>
        <v>181.515075048868</v>
      </c>
      <c r="FU86" s="19" t="n">
        <f aca="false">$B86+FU$3*100*$A86</f>
        <v>182.552575048868</v>
      </c>
      <c r="FV86" s="19" t="n">
        <f aca="false">$B86+FV$3*100*$A86</f>
        <v>183.590075048868</v>
      </c>
      <c r="FW86" s="19" t="n">
        <f aca="false">$B86+FW$3*100*$A86</f>
        <v>184.627575048868</v>
      </c>
      <c r="FX86" s="19" t="n">
        <f aca="false">$B86+FX$3*100*$A86</f>
        <v>185.665075048868</v>
      </c>
      <c r="FY86" s="19" t="n">
        <f aca="false">$B86+FY$3*100*$A86</f>
        <v>186.702575048868</v>
      </c>
      <c r="FZ86" s="19" t="n">
        <f aca="false">$B86+FZ$3*100*$A86</f>
        <v>187.740075048868</v>
      </c>
      <c r="GA86" s="19" t="n">
        <f aca="false">$B86+GA$3*100*$A86</f>
        <v>188.777575048868</v>
      </c>
      <c r="GB86" s="19" t="n">
        <f aca="false">$B86+GB$3*100*$A86</f>
        <v>189.815075048868</v>
      </c>
      <c r="GC86" s="19" t="n">
        <f aca="false">$B86+GC$3*100*$A86</f>
        <v>190.852575048868</v>
      </c>
      <c r="GD86" s="19" t="n">
        <f aca="false">$B86+GD$3*100*$A86</f>
        <v>191.890075048868</v>
      </c>
      <c r="GE86" s="19" t="n">
        <f aca="false">$B86+GE$3*100*$A86</f>
        <v>192.927575048868</v>
      </c>
      <c r="GF86" s="19" t="n">
        <f aca="false">$B86+GF$3*100*$A86</f>
        <v>193.965075048868</v>
      </c>
      <c r="GG86" s="19" t="n">
        <f aca="false">$B86+GG$3*100*$A86</f>
        <v>195.002575048868</v>
      </c>
      <c r="GH86" s="19" t="n">
        <f aca="false">$B86+GH$3*100*$A86</f>
        <v>196.040075048868</v>
      </c>
      <c r="GI86" s="19" t="n">
        <f aca="false">$B86+GI$3*100*$A86</f>
        <v>197.077575048868</v>
      </c>
      <c r="GJ86" s="19" t="n">
        <f aca="false">$B86+GJ$3*100*$A86</f>
        <v>198.115075048868</v>
      </c>
      <c r="GK86" s="19" t="n">
        <f aca="false">$B86+GK$3*100*$A86</f>
        <v>199.152575048868</v>
      </c>
      <c r="GL86" s="19" t="n">
        <f aca="false">$B86+GL$3*100*$A86</f>
        <v>200.190075048868</v>
      </c>
      <c r="GM86" s="19" t="n">
        <f aca="false">$B86+GM$3*100*$A86</f>
        <v>201.227575048868</v>
      </c>
      <c r="GN86" s="19" t="n">
        <f aca="false">$B86+GN$3*100*$A86</f>
        <v>202.265075048868</v>
      </c>
      <c r="GO86" s="19" t="n">
        <f aca="false">$B86+GO$3*100*$A86</f>
        <v>203.302575048868</v>
      </c>
      <c r="GP86" s="19" t="n">
        <f aca="false">$B86+GP$3*100*$A86</f>
        <v>204.340075048868</v>
      </c>
      <c r="GQ86" s="19" t="n">
        <f aca="false">$B86+GQ$3*100*$A86</f>
        <v>205.377575048868</v>
      </c>
      <c r="GR86" s="19" t="n">
        <f aca="false">$B86+GR$3*100*$A86</f>
        <v>206.415075048868</v>
      </c>
      <c r="GS86" s="19" t="n">
        <f aca="false">$B86+GS$3*100*$A86</f>
        <v>207.452575048868</v>
      </c>
      <c r="GT86" s="19" t="n">
        <f aca="false">$B86+GT$3*100*$A86</f>
        <v>208.490075048868</v>
      </c>
    </row>
    <row r="87" customFormat="false" ht="15" hidden="false" customHeight="false" outlineLevel="0" collapsed="false">
      <c r="A87" s="26" t="n">
        <f aca="false">Frontier!A85</f>
        <v>0.21</v>
      </c>
      <c r="B87" s="34" t="n">
        <f aca="false">Frontier!B85</f>
        <v>0.9</v>
      </c>
      <c r="C87" s="19" t="n">
        <f aca="false">$B87+C$3*100*$A87</f>
        <v>1.95</v>
      </c>
      <c r="D87" s="19" t="n">
        <f aca="false">$B87+D$3*100*$A87</f>
        <v>3</v>
      </c>
      <c r="E87" s="19" t="n">
        <f aca="false">$B87+E$3*100*$A87</f>
        <v>4.05</v>
      </c>
      <c r="F87" s="19" t="n">
        <f aca="false">$B87+F$3*100*$A87</f>
        <v>5.1</v>
      </c>
      <c r="G87" s="19" t="n">
        <f aca="false">$B87+G$3*100*$A87</f>
        <v>6.15</v>
      </c>
      <c r="H87" s="19" t="n">
        <f aca="false">$B87+H$3*100*$A87</f>
        <v>7.2</v>
      </c>
      <c r="I87" s="19" t="n">
        <f aca="false">$B87+I$3*100*$A87</f>
        <v>8.25</v>
      </c>
      <c r="J87" s="19" t="n">
        <f aca="false">$B87+J$3*100*$A87</f>
        <v>9.3</v>
      </c>
      <c r="K87" s="19" t="n">
        <f aca="false">$B87+K$3*100*$A87</f>
        <v>10.35</v>
      </c>
      <c r="L87" s="19" t="n">
        <f aca="false">$B87+L$3*100*$A87</f>
        <v>11.4</v>
      </c>
      <c r="M87" s="19" t="n">
        <f aca="false">$B87+M$3*100*$A87</f>
        <v>12.45</v>
      </c>
      <c r="N87" s="19" t="n">
        <f aca="false">$B87+N$3*100*$A87</f>
        <v>13.5</v>
      </c>
      <c r="O87" s="19" t="n">
        <f aca="false">$B87+O$3*100*$A87</f>
        <v>14.55</v>
      </c>
      <c r="P87" s="19" t="n">
        <f aca="false">$B87+P$3*100*$A87</f>
        <v>15.6</v>
      </c>
      <c r="Q87" s="19" t="n">
        <f aca="false">$B87+Q$3*100*$A87</f>
        <v>16.65</v>
      </c>
      <c r="R87" s="19" t="n">
        <f aca="false">$B87+R$3*100*$A87</f>
        <v>17.7</v>
      </c>
      <c r="S87" s="19" t="n">
        <f aca="false">$B87+S$3*100*$A87</f>
        <v>18.75</v>
      </c>
      <c r="T87" s="19" t="n">
        <f aca="false">$B87+T$3*100*$A87</f>
        <v>19.8</v>
      </c>
      <c r="U87" s="19" t="n">
        <f aca="false">$B87+U$3*100*$A87</f>
        <v>20.85</v>
      </c>
      <c r="V87" s="19" t="n">
        <f aca="false">$B87+V$3*100*$A87</f>
        <v>21.9</v>
      </c>
      <c r="W87" s="19" t="n">
        <f aca="false">$B87+W$3*100*$A87</f>
        <v>22.95</v>
      </c>
      <c r="X87" s="19" t="n">
        <f aca="false">$B87+X$3*100*$A87</f>
        <v>24</v>
      </c>
      <c r="Y87" s="19" t="n">
        <f aca="false">$B87+Y$3*100*$A87</f>
        <v>25.05</v>
      </c>
      <c r="Z87" s="19" t="n">
        <f aca="false">$B87+Z$3*100*$A87</f>
        <v>26.1</v>
      </c>
      <c r="AA87" s="19" t="n">
        <f aca="false">$B87+AA$3*100*$A87</f>
        <v>27.15</v>
      </c>
      <c r="AB87" s="19" t="n">
        <f aca="false">$B87+AB$3*100*$A87</f>
        <v>28.2</v>
      </c>
      <c r="AC87" s="19" t="n">
        <f aca="false">$B87+AC$3*100*$A87</f>
        <v>29.25</v>
      </c>
      <c r="AD87" s="19" t="n">
        <f aca="false">$B87+AD$3*100*$A87</f>
        <v>30.3</v>
      </c>
      <c r="AE87" s="19" t="n">
        <f aca="false">$B87+AE$3*100*$A87</f>
        <v>31.35</v>
      </c>
      <c r="AF87" s="19" t="n">
        <f aca="false">$B87+AF$3*100*$A87</f>
        <v>32.4</v>
      </c>
      <c r="AG87" s="19" t="n">
        <f aca="false">$B87+AG$3*100*$A87</f>
        <v>33.45</v>
      </c>
      <c r="AH87" s="19" t="n">
        <f aca="false">$B87+AH$3*100*$A87</f>
        <v>34.5</v>
      </c>
      <c r="AI87" s="19" t="n">
        <f aca="false">$B87+AI$3*100*$A87</f>
        <v>35.55</v>
      </c>
      <c r="AJ87" s="19" t="n">
        <f aca="false">$B87+AJ$3*100*$A87</f>
        <v>36.6</v>
      </c>
      <c r="AK87" s="19" t="n">
        <f aca="false">$B87+AK$3*100*$A87</f>
        <v>37.65</v>
      </c>
      <c r="AL87" s="19" t="n">
        <f aca="false">$B87+AL$3*100*$A87</f>
        <v>38.7</v>
      </c>
      <c r="AM87" s="19" t="n">
        <f aca="false">$B87+AM$3*100*$A87</f>
        <v>39.75</v>
      </c>
      <c r="AN87" s="19" t="n">
        <f aca="false">$B87+AN$3*100*$A87</f>
        <v>40.8</v>
      </c>
      <c r="AO87" s="19" t="n">
        <f aca="false">$B87+AO$3*100*$A87</f>
        <v>41.85</v>
      </c>
      <c r="AP87" s="19" t="n">
        <f aca="false">$B87+AP$3*100*$A87</f>
        <v>42.9</v>
      </c>
      <c r="AQ87" s="19" t="n">
        <f aca="false">$B87+AQ$3*100*$A87</f>
        <v>43.95</v>
      </c>
      <c r="AR87" s="19" t="n">
        <f aca="false">$B87+AR$3*100*$A87</f>
        <v>45</v>
      </c>
      <c r="AS87" s="19" t="n">
        <f aca="false">$B87+AS$3*100*$A87</f>
        <v>46.05</v>
      </c>
      <c r="AT87" s="19" t="n">
        <f aca="false">$B87+AT$3*100*$A87</f>
        <v>47.1</v>
      </c>
      <c r="AU87" s="19" t="n">
        <f aca="false">$B87+AU$3*100*$A87</f>
        <v>48.15</v>
      </c>
      <c r="AV87" s="19" t="n">
        <f aca="false">$B87+AV$3*100*$A87</f>
        <v>49.2</v>
      </c>
      <c r="AW87" s="19" t="n">
        <f aca="false">$B87+AW$3*100*$A87</f>
        <v>50.25</v>
      </c>
      <c r="AX87" s="19" t="n">
        <f aca="false">$B87+AX$3*100*$A87</f>
        <v>51.3</v>
      </c>
      <c r="AY87" s="19" t="n">
        <f aca="false">$B87+AY$3*100*$A87</f>
        <v>52.35</v>
      </c>
      <c r="AZ87" s="19" t="n">
        <f aca="false">$B87+AZ$3*100*$A87</f>
        <v>53.4</v>
      </c>
      <c r="BA87" s="19" t="n">
        <f aca="false">$B87+BA$3*100*$A87</f>
        <v>54.45</v>
      </c>
      <c r="BB87" s="19" t="n">
        <f aca="false">$B87+BB$3*100*$A87</f>
        <v>55.5</v>
      </c>
      <c r="BC87" s="19" t="n">
        <f aca="false">$B87+BC$3*100*$A87</f>
        <v>56.55</v>
      </c>
      <c r="BD87" s="19" t="n">
        <f aca="false">$B87+BD$3*100*$A87</f>
        <v>57.6</v>
      </c>
      <c r="BE87" s="19" t="n">
        <f aca="false">$B87+BE$3*100*$A87</f>
        <v>58.65</v>
      </c>
      <c r="BF87" s="19" t="n">
        <f aca="false">$B87+BF$3*100*$A87</f>
        <v>59.7</v>
      </c>
      <c r="BG87" s="19" t="n">
        <f aca="false">$B87+BG$3*100*$A87</f>
        <v>60.75</v>
      </c>
      <c r="BH87" s="19" t="n">
        <f aca="false">$B87+BH$3*100*$A87</f>
        <v>61.8</v>
      </c>
      <c r="BI87" s="19" t="n">
        <f aca="false">$B87+BI$3*100*$A87</f>
        <v>62.85</v>
      </c>
      <c r="BJ87" s="19" t="n">
        <f aca="false">$B87+BJ$3*100*$A87</f>
        <v>63.9</v>
      </c>
      <c r="BK87" s="19" t="n">
        <f aca="false">$B87+BK$3*100*$A87</f>
        <v>64.95</v>
      </c>
      <c r="BL87" s="19" t="n">
        <f aca="false">$B87+BL$3*100*$A87</f>
        <v>66</v>
      </c>
      <c r="BM87" s="19" t="n">
        <f aca="false">$B87+BM$3*100*$A87</f>
        <v>67.05</v>
      </c>
      <c r="BN87" s="19" t="n">
        <f aca="false">$B87+BN$3*100*$A87</f>
        <v>68.1</v>
      </c>
      <c r="BO87" s="19" t="n">
        <f aca="false">$B87+BO$3*100*$A87</f>
        <v>69.15</v>
      </c>
      <c r="BP87" s="19" t="n">
        <f aca="false">$B87+BP$3*100*$A87</f>
        <v>70.2</v>
      </c>
      <c r="BQ87" s="19" t="n">
        <f aca="false">$B87+BQ$3*100*$A87</f>
        <v>71.25</v>
      </c>
      <c r="BR87" s="19" t="n">
        <f aca="false">$B87+BR$3*100*$A87</f>
        <v>72.3</v>
      </c>
      <c r="BS87" s="19" t="n">
        <f aca="false">$B87+BS$3*100*$A87</f>
        <v>73.35</v>
      </c>
      <c r="BT87" s="19" t="n">
        <f aca="false">$B87+BT$3*100*$A87</f>
        <v>74.4</v>
      </c>
      <c r="BU87" s="19" t="n">
        <f aca="false">$B87+BU$3*100*$A87</f>
        <v>75.45</v>
      </c>
      <c r="BV87" s="19" t="n">
        <f aca="false">$B87+BV$3*100*$A87</f>
        <v>76.5</v>
      </c>
      <c r="BW87" s="19" t="n">
        <f aca="false">$B87+BW$3*100*$A87</f>
        <v>77.55</v>
      </c>
      <c r="BX87" s="19" t="n">
        <f aca="false">$B87+BX$3*100*$A87</f>
        <v>78.6</v>
      </c>
      <c r="BY87" s="19" t="n">
        <f aca="false">$B87+BY$3*100*$A87</f>
        <v>79.65</v>
      </c>
      <c r="BZ87" s="19" t="n">
        <f aca="false">$B87+BZ$3*100*$A87</f>
        <v>80.7</v>
      </c>
      <c r="CA87" s="19" t="n">
        <f aca="false">$B87+CA$3*100*$A87</f>
        <v>81.75</v>
      </c>
      <c r="CB87" s="19" t="n">
        <f aca="false">$B87+CB$3*100*$A87</f>
        <v>82.8</v>
      </c>
      <c r="CC87" s="19" t="n">
        <f aca="false">$B87+CC$3*100*$A87</f>
        <v>83.85</v>
      </c>
      <c r="CD87" s="19" t="n">
        <f aca="false">$B87+CD$3*100*$A87</f>
        <v>84.9</v>
      </c>
      <c r="CE87" s="19" t="n">
        <f aca="false">$B87+CE$3*100*$A87</f>
        <v>85.95</v>
      </c>
      <c r="CF87" s="19" t="n">
        <f aca="false">$B87+CF$3*100*$A87</f>
        <v>87</v>
      </c>
      <c r="CG87" s="19" t="n">
        <f aca="false">$B87+CG$3*100*$A87</f>
        <v>88.05</v>
      </c>
      <c r="CH87" s="19" t="n">
        <f aca="false">$B87+CH$3*100*$A87</f>
        <v>89.1</v>
      </c>
      <c r="CI87" s="19" t="n">
        <f aca="false">$B87+CI$3*100*$A87</f>
        <v>90.15</v>
      </c>
      <c r="CJ87" s="19" t="n">
        <f aca="false">$B87+CJ$3*100*$A87</f>
        <v>91.2</v>
      </c>
      <c r="CK87" s="19" t="n">
        <f aca="false">$B87+CK$3*100*$A87</f>
        <v>92.25</v>
      </c>
      <c r="CL87" s="19" t="n">
        <f aca="false">$B87+CL$3*100*$A87</f>
        <v>93.3</v>
      </c>
      <c r="CM87" s="19" t="n">
        <f aca="false">$B87+CM$3*100*$A87</f>
        <v>94.35</v>
      </c>
      <c r="CN87" s="19" t="n">
        <f aca="false">$B87+CN$3*100*$A87</f>
        <v>95.4</v>
      </c>
      <c r="CO87" s="19" t="n">
        <f aca="false">$B87+CO$3*100*$A87</f>
        <v>96.45</v>
      </c>
      <c r="CP87" s="19" t="n">
        <f aca="false">$B87+CP$3*100*$A87</f>
        <v>97.5</v>
      </c>
      <c r="CQ87" s="19" t="n">
        <f aca="false">$B87+CQ$3*100*$A87</f>
        <v>98.55</v>
      </c>
      <c r="CR87" s="19" t="n">
        <f aca="false">$B87+CR$3*100*$A87</f>
        <v>99.6</v>
      </c>
      <c r="CS87" s="19" t="n">
        <f aca="false">$B87+CS$3*100*$A87</f>
        <v>100.65</v>
      </c>
      <c r="CT87" s="19" t="n">
        <f aca="false">$B87+CT$3*100*$A87</f>
        <v>101.7</v>
      </c>
      <c r="CU87" s="19" t="n">
        <f aca="false">$B87+CU$3*100*$A87</f>
        <v>102.75</v>
      </c>
      <c r="CV87" s="19" t="n">
        <f aca="false">$B87+CV$3*100*$A87</f>
        <v>103.8</v>
      </c>
      <c r="CW87" s="19" t="n">
        <f aca="false">$B87+CW$3*100*$A87</f>
        <v>104.85</v>
      </c>
      <c r="CX87" s="19" t="n">
        <f aca="false">$B87+CX$3*100*$A87</f>
        <v>105.9</v>
      </c>
      <c r="CY87" s="19" t="n">
        <f aca="false">$B87+CY$3*100*$A87</f>
        <v>106.95</v>
      </c>
      <c r="CZ87" s="19" t="n">
        <f aca="false">$B87+CZ$3*100*$A87</f>
        <v>108</v>
      </c>
      <c r="DA87" s="19" t="n">
        <f aca="false">$B87+DA$3*100*$A87</f>
        <v>109.05</v>
      </c>
      <c r="DB87" s="19" t="n">
        <f aca="false">$B87+DB$3*100*$A87</f>
        <v>110.1</v>
      </c>
      <c r="DC87" s="19" t="n">
        <f aca="false">$B87+DC$3*100*$A87</f>
        <v>111.15</v>
      </c>
      <c r="DD87" s="19" t="n">
        <f aca="false">$B87+DD$3*100*$A87</f>
        <v>112.2</v>
      </c>
      <c r="DE87" s="19" t="n">
        <f aca="false">$B87+DE$3*100*$A87</f>
        <v>113.25</v>
      </c>
      <c r="DF87" s="19" t="n">
        <f aca="false">$B87+DF$3*100*$A87</f>
        <v>114.3</v>
      </c>
      <c r="DG87" s="19" t="n">
        <f aca="false">$B87+DG$3*100*$A87</f>
        <v>115.35</v>
      </c>
      <c r="DH87" s="19" t="n">
        <f aca="false">$B87+DH$3*100*$A87</f>
        <v>116.4</v>
      </c>
      <c r="DI87" s="19" t="n">
        <f aca="false">$B87+DI$3*100*$A87</f>
        <v>117.45</v>
      </c>
      <c r="DJ87" s="19" t="n">
        <f aca="false">$B87+DJ$3*100*$A87</f>
        <v>118.5</v>
      </c>
      <c r="DK87" s="19" t="n">
        <f aca="false">$B87+DK$3*100*$A87</f>
        <v>119.55</v>
      </c>
      <c r="DL87" s="19" t="n">
        <f aca="false">$B87+DL$3*100*$A87</f>
        <v>120.6</v>
      </c>
      <c r="DM87" s="19" t="n">
        <f aca="false">$B87+DM$3*100*$A87</f>
        <v>121.65</v>
      </c>
      <c r="DN87" s="19" t="n">
        <f aca="false">$B87+DN$3*100*$A87</f>
        <v>122.7</v>
      </c>
      <c r="DO87" s="19" t="n">
        <f aca="false">$B87+DO$3*100*$A87</f>
        <v>123.75</v>
      </c>
      <c r="DP87" s="19" t="n">
        <f aca="false">$B87+DP$3*100*$A87</f>
        <v>124.8</v>
      </c>
      <c r="DQ87" s="19" t="n">
        <f aca="false">$B87+DQ$3*100*$A87</f>
        <v>125.85</v>
      </c>
      <c r="DR87" s="19" t="n">
        <f aca="false">$B87+DR$3*100*$A87</f>
        <v>126.9</v>
      </c>
      <c r="DS87" s="19" t="n">
        <f aca="false">$B87+DS$3*100*$A87</f>
        <v>127.95</v>
      </c>
      <c r="DT87" s="19" t="n">
        <f aca="false">$B87+DT$3*100*$A87</f>
        <v>129</v>
      </c>
      <c r="DU87" s="19" t="n">
        <f aca="false">$B87+DU$3*100*$A87</f>
        <v>130.05</v>
      </c>
      <c r="DV87" s="19" t="n">
        <f aca="false">$B87+DV$3*100*$A87</f>
        <v>131.1</v>
      </c>
      <c r="DW87" s="19" t="n">
        <f aca="false">$B87+DW$3*100*$A87</f>
        <v>132.15</v>
      </c>
      <c r="DX87" s="19" t="n">
        <f aca="false">$B87+DX$3*100*$A87</f>
        <v>133.2</v>
      </c>
      <c r="DY87" s="19" t="n">
        <f aca="false">$B87+DY$3*100*$A87</f>
        <v>134.25</v>
      </c>
      <c r="DZ87" s="19" t="n">
        <f aca="false">$B87+DZ$3*100*$A87</f>
        <v>135.3</v>
      </c>
      <c r="EA87" s="19" t="n">
        <f aca="false">$B87+EA$3*100*$A87</f>
        <v>136.35</v>
      </c>
      <c r="EB87" s="19" t="n">
        <f aca="false">$B87+EB$3*100*$A87</f>
        <v>137.4</v>
      </c>
      <c r="EC87" s="19" t="n">
        <f aca="false">$B87+EC$3*100*$A87</f>
        <v>138.45</v>
      </c>
      <c r="ED87" s="19" t="n">
        <f aca="false">$B87+ED$3*100*$A87</f>
        <v>139.5</v>
      </c>
      <c r="EE87" s="19" t="n">
        <f aca="false">$B87+EE$3*100*$A87</f>
        <v>140.55</v>
      </c>
      <c r="EF87" s="19" t="n">
        <f aca="false">$B87+EF$3*100*$A87</f>
        <v>141.6</v>
      </c>
      <c r="EG87" s="19" t="n">
        <f aca="false">$B87+EG$3*100*$A87</f>
        <v>142.65</v>
      </c>
      <c r="EH87" s="19" t="n">
        <f aca="false">$B87+EH$3*100*$A87</f>
        <v>143.7</v>
      </c>
      <c r="EI87" s="19" t="n">
        <f aca="false">$B87+EI$3*100*$A87</f>
        <v>144.75</v>
      </c>
      <c r="EJ87" s="19" t="n">
        <f aca="false">$B87+EJ$3*100*$A87</f>
        <v>145.8</v>
      </c>
      <c r="EK87" s="19" t="n">
        <f aca="false">$B87+EK$3*100*$A87</f>
        <v>146.85</v>
      </c>
      <c r="EL87" s="19" t="n">
        <f aca="false">$B87+EL$3*100*$A87</f>
        <v>147.9</v>
      </c>
      <c r="EM87" s="19" t="n">
        <f aca="false">$B87+EM$3*100*$A87</f>
        <v>148.95</v>
      </c>
      <c r="EN87" s="19" t="n">
        <f aca="false">$B87+EN$3*100*$A87</f>
        <v>150</v>
      </c>
      <c r="EO87" s="19" t="n">
        <f aca="false">$B87+EO$3*100*$A87</f>
        <v>151.05</v>
      </c>
      <c r="EP87" s="19" t="n">
        <f aca="false">$B87+EP$3*100*$A87</f>
        <v>152.1</v>
      </c>
      <c r="EQ87" s="19" t="n">
        <f aca="false">$B87+EQ$3*100*$A87</f>
        <v>153.15</v>
      </c>
      <c r="ER87" s="19" t="n">
        <f aca="false">$B87+ER$3*100*$A87</f>
        <v>154.2</v>
      </c>
      <c r="ES87" s="19" t="n">
        <f aca="false">$B87+ES$3*100*$A87</f>
        <v>155.25</v>
      </c>
      <c r="ET87" s="19" t="n">
        <f aca="false">$B87+ET$3*100*$A87</f>
        <v>156.3</v>
      </c>
      <c r="EU87" s="19" t="n">
        <f aca="false">$B87+EU$3*100*$A87</f>
        <v>157.35</v>
      </c>
      <c r="EV87" s="19" t="n">
        <f aca="false">$B87+EV$3*100*$A87</f>
        <v>158.4</v>
      </c>
      <c r="EW87" s="19" t="n">
        <f aca="false">$B87+EW$3*100*$A87</f>
        <v>159.45</v>
      </c>
      <c r="EX87" s="19" t="n">
        <f aca="false">$B87+EX$3*100*$A87</f>
        <v>160.5</v>
      </c>
      <c r="EY87" s="19" t="n">
        <f aca="false">$B87+EY$3*100*$A87</f>
        <v>161.55</v>
      </c>
      <c r="EZ87" s="19" t="n">
        <f aca="false">$B87+EZ$3*100*$A87</f>
        <v>162.6</v>
      </c>
      <c r="FA87" s="19" t="n">
        <f aca="false">$B87+FA$3*100*$A87</f>
        <v>163.65</v>
      </c>
      <c r="FB87" s="19" t="n">
        <f aca="false">$B87+FB$3*100*$A87</f>
        <v>164.7</v>
      </c>
      <c r="FC87" s="19" t="n">
        <f aca="false">$B87+FC$3*100*$A87</f>
        <v>165.75</v>
      </c>
      <c r="FD87" s="19" t="n">
        <f aca="false">$B87+FD$3*100*$A87</f>
        <v>166.8</v>
      </c>
      <c r="FE87" s="19" t="n">
        <f aca="false">$B87+FE$3*100*$A87</f>
        <v>167.85</v>
      </c>
      <c r="FF87" s="19" t="n">
        <f aca="false">$B87+FF$3*100*$A87</f>
        <v>168.9</v>
      </c>
      <c r="FG87" s="19" t="n">
        <f aca="false">$B87+FG$3*100*$A87</f>
        <v>169.95</v>
      </c>
      <c r="FH87" s="19" t="n">
        <f aca="false">$B87+FH$3*100*$A87</f>
        <v>171</v>
      </c>
      <c r="FI87" s="19" t="n">
        <f aca="false">$B87+FI$3*100*$A87</f>
        <v>172.05</v>
      </c>
      <c r="FJ87" s="19" t="n">
        <f aca="false">$B87+FJ$3*100*$A87</f>
        <v>173.1</v>
      </c>
      <c r="FK87" s="19" t="n">
        <f aca="false">$B87+FK$3*100*$A87</f>
        <v>174.15</v>
      </c>
      <c r="FL87" s="19" t="n">
        <f aca="false">$B87+FL$3*100*$A87</f>
        <v>175.2</v>
      </c>
      <c r="FM87" s="19" t="n">
        <f aca="false">$B87+FM$3*100*$A87</f>
        <v>176.25</v>
      </c>
      <c r="FN87" s="19" t="n">
        <f aca="false">$B87+FN$3*100*$A87</f>
        <v>177.3</v>
      </c>
      <c r="FO87" s="19" t="n">
        <f aca="false">$B87+FO$3*100*$A87</f>
        <v>178.35</v>
      </c>
      <c r="FP87" s="19" t="n">
        <f aca="false">$B87+FP$3*100*$A87</f>
        <v>179.4</v>
      </c>
      <c r="FQ87" s="19" t="n">
        <f aca="false">$B87+FQ$3*100*$A87</f>
        <v>180.45</v>
      </c>
      <c r="FR87" s="19" t="n">
        <f aca="false">$B87+FR$3*100*$A87</f>
        <v>181.5</v>
      </c>
      <c r="FS87" s="19" t="n">
        <f aca="false">$B87+FS$3*100*$A87</f>
        <v>182.55</v>
      </c>
      <c r="FT87" s="19" t="n">
        <f aca="false">$B87+FT$3*100*$A87</f>
        <v>183.6</v>
      </c>
      <c r="FU87" s="19" t="n">
        <f aca="false">$B87+FU$3*100*$A87</f>
        <v>184.65</v>
      </c>
      <c r="FV87" s="19" t="n">
        <f aca="false">$B87+FV$3*100*$A87</f>
        <v>185.7</v>
      </c>
      <c r="FW87" s="19" t="n">
        <f aca="false">$B87+FW$3*100*$A87</f>
        <v>186.75</v>
      </c>
      <c r="FX87" s="19" t="n">
        <f aca="false">$B87+FX$3*100*$A87</f>
        <v>187.8</v>
      </c>
      <c r="FY87" s="19" t="n">
        <f aca="false">$B87+FY$3*100*$A87</f>
        <v>188.85</v>
      </c>
      <c r="FZ87" s="19" t="n">
        <f aca="false">$B87+FZ$3*100*$A87</f>
        <v>189.9</v>
      </c>
      <c r="GA87" s="19" t="n">
        <f aca="false">$B87+GA$3*100*$A87</f>
        <v>190.95</v>
      </c>
      <c r="GB87" s="19" t="n">
        <f aca="false">$B87+GB$3*100*$A87</f>
        <v>192</v>
      </c>
      <c r="GC87" s="19" t="n">
        <f aca="false">$B87+GC$3*100*$A87</f>
        <v>193.05</v>
      </c>
      <c r="GD87" s="19" t="n">
        <f aca="false">$B87+GD$3*100*$A87</f>
        <v>194.1</v>
      </c>
      <c r="GE87" s="19" t="n">
        <f aca="false">$B87+GE$3*100*$A87</f>
        <v>195.15</v>
      </c>
      <c r="GF87" s="19" t="n">
        <f aca="false">$B87+GF$3*100*$A87</f>
        <v>196.2</v>
      </c>
      <c r="GG87" s="19" t="n">
        <f aca="false">$B87+GG$3*100*$A87</f>
        <v>197.25</v>
      </c>
      <c r="GH87" s="19" t="n">
        <f aca="false">$B87+GH$3*100*$A87</f>
        <v>198.3</v>
      </c>
      <c r="GI87" s="19" t="n">
        <f aca="false">$B87+GI$3*100*$A87</f>
        <v>199.35</v>
      </c>
      <c r="GJ87" s="19" t="n">
        <f aca="false">$B87+GJ$3*100*$A87</f>
        <v>200.4</v>
      </c>
      <c r="GK87" s="19" t="n">
        <f aca="false">$B87+GK$3*100*$A87</f>
        <v>201.45</v>
      </c>
      <c r="GL87" s="19" t="n">
        <f aca="false">$B87+GL$3*100*$A87</f>
        <v>202.5</v>
      </c>
      <c r="GM87" s="19" t="n">
        <f aca="false">$B87+GM$3*100*$A87</f>
        <v>203.55</v>
      </c>
      <c r="GN87" s="19" t="n">
        <f aca="false">$B87+GN$3*100*$A87</f>
        <v>204.6</v>
      </c>
      <c r="GO87" s="19" t="n">
        <f aca="false">$B87+GO$3*100*$A87</f>
        <v>205.65</v>
      </c>
      <c r="GP87" s="19" t="n">
        <f aca="false">$B87+GP$3*100*$A87</f>
        <v>206.7</v>
      </c>
      <c r="GQ87" s="19" t="n">
        <f aca="false">$B87+GQ$3*100*$A87</f>
        <v>207.75</v>
      </c>
      <c r="GR87" s="19" t="n">
        <f aca="false">$B87+GR$3*100*$A87</f>
        <v>208.8</v>
      </c>
      <c r="GS87" s="19" t="n">
        <f aca="false">$B87+GS$3*100*$A87</f>
        <v>209.85</v>
      </c>
      <c r="GT87" s="19" t="n">
        <f aca="false">$B87+GT$3*100*$A87</f>
        <v>210.9</v>
      </c>
    </row>
    <row r="88" customFormat="false" ht="15" hidden="false" customHeight="false" outlineLevel="0" collapsed="false">
      <c r="A88" s="26" t="n">
        <f aca="false">Frontier!A86</f>
        <v>0.2125</v>
      </c>
      <c r="B88" s="34" t="n">
        <f aca="false">Frontier!B86</f>
        <v>0.9</v>
      </c>
      <c r="C88" s="19" t="n">
        <f aca="false">$B88+C$3*100*$A88</f>
        <v>1.9625</v>
      </c>
      <c r="D88" s="19" t="n">
        <f aca="false">$B88+D$3*100*$A88</f>
        <v>3.025</v>
      </c>
      <c r="E88" s="19" t="n">
        <f aca="false">$B88+E$3*100*$A88</f>
        <v>4.0875</v>
      </c>
      <c r="F88" s="19" t="n">
        <f aca="false">$B88+F$3*100*$A88</f>
        <v>5.15</v>
      </c>
      <c r="G88" s="19" t="n">
        <f aca="false">$B88+G$3*100*$A88</f>
        <v>6.2125</v>
      </c>
      <c r="H88" s="19" t="n">
        <f aca="false">$B88+H$3*100*$A88</f>
        <v>7.275</v>
      </c>
      <c r="I88" s="19" t="n">
        <f aca="false">$B88+I$3*100*$A88</f>
        <v>8.3375</v>
      </c>
      <c r="J88" s="19" t="n">
        <f aca="false">$B88+J$3*100*$A88</f>
        <v>9.4</v>
      </c>
      <c r="K88" s="19" t="n">
        <f aca="false">$B88+K$3*100*$A88</f>
        <v>10.4625</v>
      </c>
      <c r="L88" s="19" t="n">
        <f aca="false">$B88+L$3*100*$A88</f>
        <v>11.525</v>
      </c>
      <c r="M88" s="19" t="n">
        <f aca="false">$B88+M$3*100*$A88</f>
        <v>12.5875</v>
      </c>
      <c r="N88" s="19" t="n">
        <f aca="false">$B88+N$3*100*$A88</f>
        <v>13.65</v>
      </c>
      <c r="O88" s="19" t="n">
        <f aca="false">$B88+O$3*100*$A88</f>
        <v>14.7125</v>
      </c>
      <c r="P88" s="19" t="n">
        <f aca="false">$B88+P$3*100*$A88</f>
        <v>15.775</v>
      </c>
      <c r="Q88" s="19" t="n">
        <f aca="false">$B88+Q$3*100*$A88</f>
        <v>16.8375</v>
      </c>
      <c r="R88" s="19" t="n">
        <f aca="false">$B88+R$3*100*$A88</f>
        <v>17.9</v>
      </c>
      <c r="S88" s="19" t="n">
        <f aca="false">$B88+S$3*100*$A88</f>
        <v>18.9625</v>
      </c>
      <c r="T88" s="19" t="n">
        <f aca="false">$B88+T$3*100*$A88</f>
        <v>20.025</v>
      </c>
      <c r="U88" s="19" t="n">
        <f aca="false">$B88+U$3*100*$A88</f>
        <v>21.0875</v>
      </c>
      <c r="V88" s="19" t="n">
        <f aca="false">$B88+V$3*100*$A88</f>
        <v>22.15</v>
      </c>
      <c r="W88" s="19" t="n">
        <f aca="false">$B88+W$3*100*$A88</f>
        <v>23.2125</v>
      </c>
      <c r="X88" s="19" t="n">
        <f aca="false">$B88+X$3*100*$A88</f>
        <v>24.275</v>
      </c>
      <c r="Y88" s="19" t="n">
        <f aca="false">$B88+Y$3*100*$A88</f>
        <v>25.3375</v>
      </c>
      <c r="Z88" s="19" t="n">
        <f aca="false">$B88+Z$3*100*$A88</f>
        <v>26.4</v>
      </c>
      <c r="AA88" s="19" t="n">
        <f aca="false">$B88+AA$3*100*$A88</f>
        <v>27.4625</v>
      </c>
      <c r="AB88" s="19" t="n">
        <f aca="false">$B88+AB$3*100*$A88</f>
        <v>28.525</v>
      </c>
      <c r="AC88" s="19" t="n">
        <f aca="false">$B88+AC$3*100*$A88</f>
        <v>29.5875</v>
      </c>
      <c r="AD88" s="19" t="n">
        <f aca="false">$B88+AD$3*100*$A88</f>
        <v>30.65</v>
      </c>
      <c r="AE88" s="19" t="n">
        <f aca="false">$B88+AE$3*100*$A88</f>
        <v>31.7125</v>
      </c>
      <c r="AF88" s="19" t="n">
        <f aca="false">$B88+AF$3*100*$A88</f>
        <v>32.775</v>
      </c>
      <c r="AG88" s="19" t="n">
        <f aca="false">$B88+AG$3*100*$A88</f>
        <v>33.8375</v>
      </c>
      <c r="AH88" s="19" t="n">
        <f aca="false">$B88+AH$3*100*$A88</f>
        <v>34.9</v>
      </c>
      <c r="AI88" s="19" t="n">
        <f aca="false">$B88+AI$3*100*$A88</f>
        <v>35.9625</v>
      </c>
      <c r="AJ88" s="19" t="n">
        <f aca="false">$B88+AJ$3*100*$A88</f>
        <v>37.025</v>
      </c>
      <c r="AK88" s="19" t="n">
        <f aca="false">$B88+AK$3*100*$A88</f>
        <v>38.0875</v>
      </c>
      <c r="AL88" s="19" t="n">
        <f aca="false">$B88+AL$3*100*$A88</f>
        <v>39.15</v>
      </c>
      <c r="AM88" s="19" t="n">
        <f aca="false">$B88+AM$3*100*$A88</f>
        <v>40.2125</v>
      </c>
      <c r="AN88" s="19" t="n">
        <f aca="false">$B88+AN$3*100*$A88</f>
        <v>41.275</v>
      </c>
      <c r="AO88" s="19" t="n">
        <f aca="false">$B88+AO$3*100*$A88</f>
        <v>42.3375</v>
      </c>
      <c r="AP88" s="19" t="n">
        <f aca="false">$B88+AP$3*100*$A88</f>
        <v>43.4</v>
      </c>
      <c r="AQ88" s="19" t="n">
        <f aca="false">$B88+AQ$3*100*$A88</f>
        <v>44.4625</v>
      </c>
      <c r="AR88" s="19" t="n">
        <f aca="false">$B88+AR$3*100*$A88</f>
        <v>45.525</v>
      </c>
      <c r="AS88" s="19" t="n">
        <f aca="false">$B88+AS$3*100*$A88</f>
        <v>46.5875</v>
      </c>
      <c r="AT88" s="19" t="n">
        <f aca="false">$B88+AT$3*100*$A88</f>
        <v>47.65</v>
      </c>
      <c r="AU88" s="19" t="n">
        <f aca="false">$B88+AU$3*100*$A88</f>
        <v>48.7125</v>
      </c>
      <c r="AV88" s="19" t="n">
        <f aca="false">$B88+AV$3*100*$A88</f>
        <v>49.775</v>
      </c>
      <c r="AW88" s="19" t="n">
        <f aca="false">$B88+AW$3*100*$A88</f>
        <v>50.8375</v>
      </c>
      <c r="AX88" s="19" t="n">
        <f aca="false">$B88+AX$3*100*$A88</f>
        <v>51.9</v>
      </c>
      <c r="AY88" s="19" t="n">
        <f aca="false">$B88+AY$3*100*$A88</f>
        <v>52.9625</v>
      </c>
      <c r="AZ88" s="19" t="n">
        <f aca="false">$B88+AZ$3*100*$A88</f>
        <v>54.025</v>
      </c>
      <c r="BA88" s="19" t="n">
        <f aca="false">$B88+BA$3*100*$A88</f>
        <v>55.0875</v>
      </c>
      <c r="BB88" s="19" t="n">
        <f aca="false">$B88+BB$3*100*$A88</f>
        <v>56.15</v>
      </c>
      <c r="BC88" s="19" t="n">
        <f aca="false">$B88+BC$3*100*$A88</f>
        <v>57.2125</v>
      </c>
      <c r="BD88" s="19" t="n">
        <f aca="false">$B88+BD$3*100*$A88</f>
        <v>58.275</v>
      </c>
      <c r="BE88" s="19" t="n">
        <f aca="false">$B88+BE$3*100*$A88</f>
        <v>59.3375</v>
      </c>
      <c r="BF88" s="19" t="n">
        <f aca="false">$B88+BF$3*100*$A88</f>
        <v>60.4</v>
      </c>
      <c r="BG88" s="19" t="n">
        <f aca="false">$B88+BG$3*100*$A88</f>
        <v>61.4625</v>
      </c>
      <c r="BH88" s="19" t="n">
        <f aca="false">$B88+BH$3*100*$A88</f>
        <v>62.525</v>
      </c>
      <c r="BI88" s="19" t="n">
        <f aca="false">$B88+BI$3*100*$A88</f>
        <v>63.5875</v>
      </c>
      <c r="BJ88" s="19" t="n">
        <f aca="false">$B88+BJ$3*100*$A88</f>
        <v>64.65</v>
      </c>
      <c r="BK88" s="19" t="n">
        <f aca="false">$B88+BK$3*100*$A88</f>
        <v>65.7125</v>
      </c>
      <c r="BL88" s="19" t="n">
        <f aca="false">$B88+BL$3*100*$A88</f>
        <v>66.775</v>
      </c>
      <c r="BM88" s="19" t="n">
        <f aca="false">$B88+BM$3*100*$A88</f>
        <v>67.8375</v>
      </c>
      <c r="BN88" s="19" t="n">
        <f aca="false">$B88+BN$3*100*$A88</f>
        <v>68.9</v>
      </c>
      <c r="BO88" s="19" t="n">
        <f aca="false">$B88+BO$3*100*$A88</f>
        <v>69.9625</v>
      </c>
      <c r="BP88" s="19" t="n">
        <f aca="false">$B88+BP$3*100*$A88</f>
        <v>71.025</v>
      </c>
      <c r="BQ88" s="19" t="n">
        <f aca="false">$B88+BQ$3*100*$A88</f>
        <v>72.0875</v>
      </c>
      <c r="BR88" s="19" t="n">
        <f aca="false">$B88+BR$3*100*$A88</f>
        <v>73.15</v>
      </c>
      <c r="BS88" s="19" t="n">
        <f aca="false">$B88+BS$3*100*$A88</f>
        <v>74.2125</v>
      </c>
      <c r="BT88" s="19" t="n">
        <f aca="false">$B88+BT$3*100*$A88</f>
        <v>75.275</v>
      </c>
      <c r="BU88" s="19" t="n">
        <f aca="false">$B88+BU$3*100*$A88</f>
        <v>76.3375</v>
      </c>
      <c r="BV88" s="19" t="n">
        <f aca="false">$B88+BV$3*100*$A88</f>
        <v>77.4</v>
      </c>
      <c r="BW88" s="19" t="n">
        <f aca="false">$B88+BW$3*100*$A88</f>
        <v>78.4625</v>
      </c>
      <c r="BX88" s="19" t="n">
        <f aca="false">$B88+BX$3*100*$A88</f>
        <v>79.525</v>
      </c>
      <c r="BY88" s="19" t="n">
        <f aca="false">$B88+BY$3*100*$A88</f>
        <v>80.5875</v>
      </c>
      <c r="BZ88" s="19" t="n">
        <f aca="false">$B88+BZ$3*100*$A88</f>
        <v>81.65</v>
      </c>
      <c r="CA88" s="19" t="n">
        <f aca="false">$B88+CA$3*100*$A88</f>
        <v>82.7125</v>
      </c>
      <c r="CB88" s="19" t="n">
        <f aca="false">$B88+CB$3*100*$A88</f>
        <v>83.775</v>
      </c>
      <c r="CC88" s="19" t="n">
        <f aca="false">$B88+CC$3*100*$A88</f>
        <v>84.8375</v>
      </c>
      <c r="CD88" s="19" t="n">
        <f aca="false">$B88+CD$3*100*$A88</f>
        <v>85.9</v>
      </c>
      <c r="CE88" s="19" t="n">
        <f aca="false">$B88+CE$3*100*$A88</f>
        <v>86.9625</v>
      </c>
      <c r="CF88" s="19" t="n">
        <f aca="false">$B88+CF$3*100*$A88</f>
        <v>88.025</v>
      </c>
      <c r="CG88" s="19" t="n">
        <f aca="false">$B88+CG$3*100*$A88</f>
        <v>89.0875</v>
      </c>
      <c r="CH88" s="19" t="n">
        <f aca="false">$B88+CH$3*100*$A88</f>
        <v>90.15</v>
      </c>
      <c r="CI88" s="19" t="n">
        <f aca="false">$B88+CI$3*100*$A88</f>
        <v>91.2125</v>
      </c>
      <c r="CJ88" s="19" t="n">
        <f aca="false">$B88+CJ$3*100*$A88</f>
        <v>92.275</v>
      </c>
      <c r="CK88" s="19" t="n">
        <f aca="false">$B88+CK$3*100*$A88</f>
        <v>93.3375</v>
      </c>
      <c r="CL88" s="19" t="n">
        <f aca="false">$B88+CL$3*100*$A88</f>
        <v>94.4</v>
      </c>
      <c r="CM88" s="19" t="n">
        <f aca="false">$B88+CM$3*100*$A88</f>
        <v>95.4625</v>
      </c>
      <c r="CN88" s="19" t="n">
        <f aca="false">$B88+CN$3*100*$A88</f>
        <v>96.525</v>
      </c>
      <c r="CO88" s="19" t="n">
        <f aca="false">$B88+CO$3*100*$A88</f>
        <v>97.5875</v>
      </c>
      <c r="CP88" s="19" t="n">
        <f aca="false">$B88+CP$3*100*$A88</f>
        <v>98.65</v>
      </c>
      <c r="CQ88" s="19" t="n">
        <f aca="false">$B88+CQ$3*100*$A88</f>
        <v>99.7125</v>
      </c>
      <c r="CR88" s="19" t="n">
        <f aca="false">$B88+CR$3*100*$A88</f>
        <v>100.775</v>
      </c>
      <c r="CS88" s="19" t="n">
        <f aca="false">$B88+CS$3*100*$A88</f>
        <v>101.8375</v>
      </c>
      <c r="CT88" s="19" t="n">
        <f aca="false">$B88+CT$3*100*$A88</f>
        <v>102.9</v>
      </c>
      <c r="CU88" s="19" t="n">
        <f aca="false">$B88+CU$3*100*$A88</f>
        <v>103.9625</v>
      </c>
      <c r="CV88" s="19" t="n">
        <f aca="false">$B88+CV$3*100*$A88</f>
        <v>105.025</v>
      </c>
      <c r="CW88" s="19" t="n">
        <f aca="false">$B88+CW$3*100*$A88</f>
        <v>106.0875</v>
      </c>
      <c r="CX88" s="19" t="n">
        <f aca="false">$B88+CX$3*100*$A88</f>
        <v>107.15</v>
      </c>
      <c r="CY88" s="19" t="n">
        <f aca="false">$B88+CY$3*100*$A88</f>
        <v>108.2125</v>
      </c>
      <c r="CZ88" s="19" t="n">
        <f aca="false">$B88+CZ$3*100*$A88</f>
        <v>109.275</v>
      </c>
      <c r="DA88" s="19" t="n">
        <f aca="false">$B88+DA$3*100*$A88</f>
        <v>110.3375</v>
      </c>
      <c r="DB88" s="19" t="n">
        <f aca="false">$B88+DB$3*100*$A88</f>
        <v>111.4</v>
      </c>
      <c r="DC88" s="19" t="n">
        <f aca="false">$B88+DC$3*100*$A88</f>
        <v>112.4625</v>
      </c>
      <c r="DD88" s="19" t="n">
        <f aca="false">$B88+DD$3*100*$A88</f>
        <v>113.525</v>
      </c>
      <c r="DE88" s="19" t="n">
        <f aca="false">$B88+DE$3*100*$A88</f>
        <v>114.5875</v>
      </c>
      <c r="DF88" s="19" t="n">
        <f aca="false">$B88+DF$3*100*$A88</f>
        <v>115.65</v>
      </c>
      <c r="DG88" s="19" t="n">
        <f aca="false">$B88+DG$3*100*$A88</f>
        <v>116.7125</v>
      </c>
      <c r="DH88" s="19" t="n">
        <f aca="false">$B88+DH$3*100*$A88</f>
        <v>117.775</v>
      </c>
      <c r="DI88" s="19" t="n">
        <f aca="false">$B88+DI$3*100*$A88</f>
        <v>118.8375</v>
      </c>
      <c r="DJ88" s="19" t="n">
        <f aca="false">$B88+DJ$3*100*$A88</f>
        <v>119.9</v>
      </c>
      <c r="DK88" s="19" t="n">
        <f aca="false">$B88+DK$3*100*$A88</f>
        <v>120.9625</v>
      </c>
      <c r="DL88" s="19" t="n">
        <f aca="false">$B88+DL$3*100*$A88</f>
        <v>122.025</v>
      </c>
      <c r="DM88" s="19" t="n">
        <f aca="false">$B88+DM$3*100*$A88</f>
        <v>123.0875</v>
      </c>
      <c r="DN88" s="19" t="n">
        <f aca="false">$B88+DN$3*100*$A88</f>
        <v>124.15</v>
      </c>
      <c r="DO88" s="19" t="n">
        <f aca="false">$B88+DO$3*100*$A88</f>
        <v>125.2125</v>
      </c>
      <c r="DP88" s="19" t="n">
        <f aca="false">$B88+DP$3*100*$A88</f>
        <v>126.275</v>
      </c>
      <c r="DQ88" s="19" t="n">
        <f aca="false">$B88+DQ$3*100*$A88</f>
        <v>127.3375</v>
      </c>
      <c r="DR88" s="19" t="n">
        <f aca="false">$B88+DR$3*100*$A88</f>
        <v>128.4</v>
      </c>
      <c r="DS88" s="19" t="n">
        <f aca="false">$B88+DS$3*100*$A88</f>
        <v>129.4625</v>
      </c>
      <c r="DT88" s="19" t="n">
        <f aca="false">$B88+DT$3*100*$A88</f>
        <v>130.525</v>
      </c>
      <c r="DU88" s="19" t="n">
        <f aca="false">$B88+DU$3*100*$A88</f>
        <v>131.5875</v>
      </c>
      <c r="DV88" s="19" t="n">
        <f aca="false">$B88+DV$3*100*$A88</f>
        <v>132.65</v>
      </c>
      <c r="DW88" s="19" t="n">
        <f aca="false">$B88+DW$3*100*$A88</f>
        <v>133.7125</v>
      </c>
      <c r="DX88" s="19" t="n">
        <f aca="false">$B88+DX$3*100*$A88</f>
        <v>134.775</v>
      </c>
      <c r="DY88" s="19" t="n">
        <f aca="false">$B88+DY$3*100*$A88</f>
        <v>135.8375</v>
      </c>
      <c r="DZ88" s="19" t="n">
        <f aca="false">$B88+DZ$3*100*$A88</f>
        <v>136.9</v>
      </c>
      <c r="EA88" s="19" t="n">
        <f aca="false">$B88+EA$3*100*$A88</f>
        <v>137.9625</v>
      </c>
      <c r="EB88" s="19" t="n">
        <f aca="false">$B88+EB$3*100*$A88</f>
        <v>139.025</v>
      </c>
      <c r="EC88" s="19" t="n">
        <f aca="false">$B88+EC$3*100*$A88</f>
        <v>140.0875</v>
      </c>
      <c r="ED88" s="19" t="n">
        <f aca="false">$B88+ED$3*100*$A88</f>
        <v>141.15</v>
      </c>
      <c r="EE88" s="19" t="n">
        <f aca="false">$B88+EE$3*100*$A88</f>
        <v>142.2125</v>
      </c>
      <c r="EF88" s="19" t="n">
        <f aca="false">$B88+EF$3*100*$A88</f>
        <v>143.275</v>
      </c>
      <c r="EG88" s="19" t="n">
        <f aca="false">$B88+EG$3*100*$A88</f>
        <v>144.3375</v>
      </c>
      <c r="EH88" s="19" t="n">
        <f aca="false">$B88+EH$3*100*$A88</f>
        <v>145.4</v>
      </c>
      <c r="EI88" s="19" t="n">
        <f aca="false">$B88+EI$3*100*$A88</f>
        <v>146.4625</v>
      </c>
      <c r="EJ88" s="19" t="n">
        <f aca="false">$B88+EJ$3*100*$A88</f>
        <v>147.525</v>
      </c>
      <c r="EK88" s="19" t="n">
        <f aca="false">$B88+EK$3*100*$A88</f>
        <v>148.5875</v>
      </c>
      <c r="EL88" s="19" t="n">
        <f aca="false">$B88+EL$3*100*$A88</f>
        <v>149.65</v>
      </c>
      <c r="EM88" s="19" t="n">
        <f aca="false">$B88+EM$3*100*$A88</f>
        <v>150.7125</v>
      </c>
      <c r="EN88" s="19" t="n">
        <f aca="false">$B88+EN$3*100*$A88</f>
        <v>151.775</v>
      </c>
      <c r="EO88" s="19" t="n">
        <f aca="false">$B88+EO$3*100*$A88</f>
        <v>152.8375</v>
      </c>
      <c r="EP88" s="19" t="n">
        <f aca="false">$B88+EP$3*100*$A88</f>
        <v>153.9</v>
      </c>
      <c r="EQ88" s="19" t="n">
        <f aca="false">$B88+EQ$3*100*$A88</f>
        <v>154.9625</v>
      </c>
      <c r="ER88" s="19" t="n">
        <f aca="false">$B88+ER$3*100*$A88</f>
        <v>156.025</v>
      </c>
      <c r="ES88" s="19" t="n">
        <f aca="false">$B88+ES$3*100*$A88</f>
        <v>157.0875</v>
      </c>
      <c r="ET88" s="19" t="n">
        <f aca="false">$B88+ET$3*100*$A88</f>
        <v>158.15</v>
      </c>
      <c r="EU88" s="19" t="n">
        <f aca="false">$B88+EU$3*100*$A88</f>
        <v>159.2125</v>
      </c>
      <c r="EV88" s="19" t="n">
        <f aca="false">$B88+EV$3*100*$A88</f>
        <v>160.275</v>
      </c>
      <c r="EW88" s="19" t="n">
        <f aca="false">$B88+EW$3*100*$A88</f>
        <v>161.3375</v>
      </c>
      <c r="EX88" s="19" t="n">
        <f aca="false">$B88+EX$3*100*$A88</f>
        <v>162.4</v>
      </c>
      <c r="EY88" s="19" t="n">
        <f aca="false">$B88+EY$3*100*$A88</f>
        <v>163.4625</v>
      </c>
      <c r="EZ88" s="19" t="n">
        <f aca="false">$B88+EZ$3*100*$A88</f>
        <v>164.525</v>
      </c>
      <c r="FA88" s="19" t="n">
        <f aca="false">$B88+FA$3*100*$A88</f>
        <v>165.5875</v>
      </c>
      <c r="FB88" s="19" t="n">
        <f aca="false">$B88+FB$3*100*$A88</f>
        <v>166.65</v>
      </c>
      <c r="FC88" s="19" t="n">
        <f aca="false">$B88+FC$3*100*$A88</f>
        <v>167.7125</v>
      </c>
      <c r="FD88" s="19" t="n">
        <f aca="false">$B88+FD$3*100*$A88</f>
        <v>168.775</v>
      </c>
      <c r="FE88" s="19" t="n">
        <f aca="false">$B88+FE$3*100*$A88</f>
        <v>169.8375</v>
      </c>
      <c r="FF88" s="19" t="n">
        <f aca="false">$B88+FF$3*100*$A88</f>
        <v>170.9</v>
      </c>
      <c r="FG88" s="19" t="n">
        <f aca="false">$B88+FG$3*100*$A88</f>
        <v>171.9625</v>
      </c>
      <c r="FH88" s="19" t="n">
        <f aca="false">$B88+FH$3*100*$A88</f>
        <v>173.025</v>
      </c>
      <c r="FI88" s="19" t="n">
        <f aca="false">$B88+FI$3*100*$A88</f>
        <v>174.0875</v>
      </c>
      <c r="FJ88" s="19" t="n">
        <f aca="false">$B88+FJ$3*100*$A88</f>
        <v>175.15</v>
      </c>
      <c r="FK88" s="19" t="n">
        <f aca="false">$B88+FK$3*100*$A88</f>
        <v>176.2125</v>
      </c>
      <c r="FL88" s="19" t="n">
        <f aca="false">$B88+FL$3*100*$A88</f>
        <v>177.275</v>
      </c>
      <c r="FM88" s="19" t="n">
        <f aca="false">$B88+FM$3*100*$A88</f>
        <v>178.3375</v>
      </c>
      <c r="FN88" s="19" t="n">
        <f aca="false">$B88+FN$3*100*$A88</f>
        <v>179.4</v>
      </c>
      <c r="FO88" s="19" t="n">
        <f aca="false">$B88+FO$3*100*$A88</f>
        <v>180.4625</v>
      </c>
      <c r="FP88" s="19" t="n">
        <f aca="false">$B88+FP$3*100*$A88</f>
        <v>181.525</v>
      </c>
      <c r="FQ88" s="19" t="n">
        <f aca="false">$B88+FQ$3*100*$A88</f>
        <v>182.5875</v>
      </c>
      <c r="FR88" s="19" t="n">
        <f aca="false">$B88+FR$3*100*$A88</f>
        <v>183.65</v>
      </c>
      <c r="FS88" s="19" t="n">
        <f aca="false">$B88+FS$3*100*$A88</f>
        <v>184.7125</v>
      </c>
      <c r="FT88" s="19" t="n">
        <f aca="false">$B88+FT$3*100*$A88</f>
        <v>185.775</v>
      </c>
      <c r="FU88" s="19" t="n">
        <f aca="false">$B88+FU$3*100*$A88</f>
        <v>186.8375</v>
      </c>
      <c r="FV88" s="19" t="n">
        <f aca="false">$B88+FV$3*100*$A88</f>
        <v>187.9</v>
      </c>
      <c r="FW88" s="19" t="n">
        <f aca="false">$B88+FW$3*100*$A88</f>
        <v>188.9625</v>
      </c>
      <c r="FX88" s="19" t="n">
        <f aca="false">$B88+FX$3*100*$A88</f>
        <v>190.025</v>
      </c>
      <c r="FY88" s="19" t="n">
        <f aca="false">$B88+FY$3*100*$A88</f>
        <v>191.0875</v>
      </c>
      <c r="FZ88" s="19" t="n">
        <f aca="false">$B88+FZ$3*100*$A88</f>
        <v>192.15</v>
      </c>
      <c r="GA88" s="19" t="n">
        <f aca="false">$B88+GA$3*100*$A88</f>
        <v>193.2125</v>
      </c>
      <c r="GB88" s="19" t="n">
        <f aca="false">$B88+GB$3*100*$A88</f>
        <v>194.275</v>
      </c>
      <c r="GC88" s="19" t="n">
        <f aca="false">$B88+GC$3*100*$A88</f>
        <v>195.3375</v>
      </c>
      <c r="GD88" s="19" t="n">
        <f aca="false">$B88+GD$3*100*$A88</f>
        <v>196.4</v>
      </c>
      <c r="GE88" s="19" t="n">
        <f aca="false">$B88+GE$3*100*$A88</f>
        <v>197.4625</v>
      </c>
      <c r="GF88" s="19" t="n">
        <f aca="false">$B88+GF$3*100*$A88</f>
        <v>198.525</v>
      </c>
      <c r="GG88" s="19" t="n">
        <f aca="false">$B88+GG$3*100*$A88</f>
        <v>199.5875</v>
      </c>
      <c r="GH88" s="19" t="n">
        <f aca="false">$B88+GH$3*100*$A88</f>
        <v>200.65</v>
      </c>
      <c r="GI88" s="19" t="n">
        <f aca="false">$B88+GI$3*100*$A88</f>
        <v>201.7125</v>
      </c>
      <c r="GJ88" s="19" t="n">
        <f aca="false">$B88+GJ$3*100*$A88</f>
        <v>202.775</v>
      </c>
      <c r="GK88" s="19" t="n">
        <f aca="false">$B88+GK$3*100*$A88</f>
        <v>203.8375</v>
      </c>
      <c r="GL88" s="19" t="n">
        <f aca="false">$B88+GL$3*100*$A88</f>
        <v>204.9</v>
      </c>
      <c r="GM88" s="19" t="n">
        <f aca="false">$B88+GM$3*100*$A88</f>
        <v>205.9625</v>
      </c>
      <c r="GN88" s="19" t="n">
        <f aca="false">$B88+GN$3*100*$A88</f>
        <v>207.025</v>
      </c>
      <c r="GO88" s="19" t="n">
        <f aca="false">$B88+GO$3*100*$A88</f>
        <v>208.0875</v>
      </c>
      <c r="GP88" s="19" t="n">
        <f aca="false">$B88+GP$3*100*$A88</f>
        <v>209.15</v>
      </c>
      <c r="GQ88" s="19" t="n">
        <f aca="false">$B88+GQ$3*100*$A88</f>
        <v>210.2125</v>
      </c>
      <c r="GR88" s="19" t="n">
        <f aca="false">$B88+GR$3*100*$A88</f>
        <v>211.275</v>
      </c>
      <c r="GS88" s="19" t="n">
        <f aca="false">$B88+GS$3*100*$A88</f>
        <v>212.3375</v>
      </c>
      <c r="GT88" s="19" t="n">
        <f aca="false">$B88+GT$3*100*$A88</f>
        <v>213.4</v>
      </c>
    </row>
    <row r="89" customFormat="false" ht="15" hidden="false" customHeight="false" outlineLevel="0" collapsed="false">
      <c r="A89" s="26" t="n">
        <f aca="false">Frontier!A87</f>
        <v>0.215</v>
      </c>
      <c r="B89" s="34" t="n">
        <f aca="false">Frontier!B87</f>
        <v>0.75</v>
      </c>
      <c r="C89" s="19" t="n">
        <f aca="false">$B89+C$3*100*$A89</f>
        <v>1.825</v>
      </c>
      <c r="D89" s="19" t="n">
        <f aca="false">$B89+D$3*100*$A89</f>
        <v>2.9</v>
      </c>
      <c r="E89" s="19" t="n">
        <f aca="false">$B89+E$3*100*$A89</f>
        <v>3.975</v>
      </c>
      <c r="F89" s="19" t="n">
        <f aca="false">$B89+F$3*100*$A89</f>
        <v>5.05</v>
      </c>
      <c r="G89" s="19" t="n">
        <f aca="false">$B89+G$3*100*$A89</f>
        <v>6.125</v>
      </c>
      <c r="H89" s="19" t="n">
        <f aca="false">$B89+H$3*100*$A89</f>
        <v>7.2</v>
      </c>
      <c r="I89" s="19" t="n">
        <f aca="false">$B89+I$3*100*$A89</f>
        <v>8.275</v>
      </c>
      <c r="J89" s="19" t="n">
        <f aca="false">$B89+J$3*100*$A89</f>
        <v>9.35</v>
      </c>
      <c r="K89" s="19" t="n">
        <f aca="false">$B89+K$3*100*$A89</f>
        <v>10.425</v>
      </c>
      <c r="L89" s="19" t="n">
        <f aca="false">$B89+L$3*100*$A89</f>
        <v>11.5</v>
      </c>
      <c r="M89" s="19" t="n">
        <f aca="false">$B89+M$3*100*$A89</f>
        <v>12.575</v>
      </c>
      <c r="N89" s="19" t="n">
        <f aca="false">$B89+N$3*100*$A89</f>
        <v>13.65</v>
      </c>
      <c r="O89" s="19" t="n">
        <f aca="false">$B89+O$3*100*$A89</f>
        <v>14.725</v>
      </c>
      <c r="P89" s="19" t="n">
        <f aca="false">$B89+P$3*100*$A89</f>
        <v>15.8</v>
      </c>
      <c r="Q89" s="19" t="n">
        <f aca="false">$B89+Q$3*100*$A89</f>
        <v>16.875</v>
      </c>
      <c r="R89" s="19" t="n">
        <f aca="false">$B89+R$3*100*$A89</f>
        <v>17.95</v>
      </c>
      <c r="S89" s="19" t="n">
        <f aca="false">$B89+S$3*100*$A89</f>
        <v>19.025</v>
      </c>
      <c r="T89" s="19" t="n">
        <f aca="false">$B89+T$3*100*$A89</f>
        <v>20.1</v>
      </c>
      <c r="U89" s="19" t="n">
        <f aca="false">$B89+U$3*100*$A89</f>
        <v>21.175</v>
      </c>
      <c r="V89" s="19" t="n">
        <f aca="false">$B89+V$3*100*$A89</f>
        <v>22.25</v>
      </c>
      <c r="W89" s="19" t="n">
        <f aca="false">$B89+W$3*100*$A89</f>
        <v>23.325</v>
      </c>
      <c r="X89" s="19" t="n">
        <f aca="false">$B89+X$3*100*$A89</f>
        <v>24.4</v>
      </c>
      <c r="Y89" s="19" t="n">
        <f aca="false">$B89+Y$3*100*$A89</f>
        <v>25.475</v>
      </c>
      <c r="Z89" s="19" t="n">
        <f aca="false">$B89+Z$3*100*$A89</f>
        <v>26.55</v>
      </c>
      <c r="AA89" s="19" t="n">
        <f aca="false">$B89+AA$3*100*$A89</f>
        <v>27.625</v>
      </c>
      <c r="AB89" s="19" t="n">
        <f aca="false">$B89+AB$3*100*$A89</f>
        <v>28.7</v>
      </c>
      <c r="AC89" s="19" t="n">
        <f aca="false">$B89+AC$3*100*$A89</f>
        <v>29.775</v>
      </c>
      <c r="AD89" s="19" t="n">
        <f aca="false">$B89+AD$3*100*$A89</f>
        <v>30.85</v>
      </c>
      <c r="AE89" s="19" t="n">
        <f aca="false">$B89+AE$3*100*$A89</f>
        <v>31.925</v>
      </c>
      <c r="AF89" s="19" t="n">
        <f aca="false">$B89+AF$3*100*$A89</f>
        <v>33</v>
      </c>
      <c r="AG89" s="19" t="n">
        <f aca="false">$B89+AG$3*100*$A89</f>
        <v>34.075</v>
      </c>
      <c r="AH89" s="19" t="n">
        <f aca="false">$B89+AH$3*100*$A89</f>
        <v>35.15</v>
      </c>
      <c r="AI89" s="19" t="n">
        <f aca="false">$B89+AI$3*100*$A89</f>
        <v>36.225</v>
      </c>
      <c r="AJ89" s="19" t="n">
        <f aca="false">$B89+AJ$3*100*$A89</f>
        <v>37.3</v>
      </c>
      <c r="AK89" s="19" t="n">
        <f aca="false">$B89+AK$3*100*$A89</f>
        <v>38.375</v>
      </c>
      <c r="AL89" s="19" t="n">
        <f aca="false">$B89+AL$3*100*$A89</f>
        <v>39.45</v>
      </c>
      <c r="AM89" s="19" t="n">
        <f aca="false">$B89+AM$3*100*$A89</f>
        <v>40.525</v>
      </c>
      <c r="AN89" s="19" t="n">
        <f aca="false">$B89+AN$3*100*$A89</f>
        <v>41.6</v>
      </c>
      <c r="AO89" s="19" t="n">
        <f aca="false">$B89+AO$3*100*$A89</f>
        <v>42.675</v>
      </c>
      <c r="AP89" s="19" t="n">
        <f aca="false">$B89+AP$3*100*$A89</f>
        <v>43.75</v>
      </c>
      <c r="AQ89" s="19" t="n">
        <f aca="false">$B89+AQ$3*100*$A89</f>
        <v>44.825</v>
      </c>
      <c r="AR89" s="19" t="n">
        <f aca="false">$B89+AR$3*100*$A89</f>
        <v>45.9</v>
      </c>
      <c r="AS89" s="19" t="n">
        <f aca="false">$B89+AS$3*100*$A89</f>
        <v>46.975</v>
      </c>
      <c r="AT89" s="19" t="n">
        <f aca="false">$B89+AT$3*100*$A89</f>
        <v>48.05</v>
      </c>
      <c r="AU89" s="19" t="n">
        <f aca="false">$B89+AU$3*100*$A89</f>
        <v>49.125</v>
      </c>
      <c r="AV89" s="19" t="n">
        <f aca="false">$B89+AV$3*100*$A89</f>
        <v>50.2</v>
      </c>
      <c r="AW89" s="19" t="n">
        <f aca="false">$B89+AW$3*100*$A89</f>
        <v>51.275</v>
      </c>
      <c r="AX89" s="19" t="n">
        <f aca="false">$B89+AX$3*100*$A89</f>
        <v>52.35</v>
      </c>
      <c r="AY89" s="19" t="n">
        <f aca="false">$B89+AY$3*100*$A89</f>
        <v>53.425</v>
      </c>
      <c r="AZ89" s="19" t="n">
        <f aca="false">$B89+AZ$3*100*$A89</f>
        <v>54.5</v>
      </c>
      <c r="BA89" s="19" t="n">
        <f aca="false">$B89+BA$3*100*$A89</f>
        <v>55.575</v>
      </c>
      <c r="BB89" s="19" t="n">
        <f aca="false">$B89+BB$3*100*$A89</f>
        <v>56.65</v>
      </c>
      <c r="BC89" s="19" t="n">
        <f aca="false">$B89+BC$3*100*$A89</f>
        <v>57.725</v>
      </c>
      <c r="BD89" s="19" t="n">
        <f aca="false">$B89+BD$3*100*$A89</f>
        <v>58.8</v>
      </c>
      <c r="BE89" s="19" t="n">
        <f aca="false">$B89+BE$3*100*$A89</f>
        <v>59.875</v>
      </c>
      <c r="BF89" s="19" t="n">
        <f aca="false">$B89+BF$3*100*$A89</f>
        <v>60.95</v>
      </c>
      <c r="BG89" s="19" t="n">
        <f aca="false">$B89+BG$3*100*$A89</f>
        <v>62.025</v>
      </c>
      <c r="BH89" s="19" t="n">
        <f aca="false">$B89+BH$3*100*$A89</f>
        <v>63.1</v>
      </c>
      <c r="BI89" s="19" t="n">
        <f aca="false">$B89+BI$3*100*$A89</f>
        <v>64.175</v>
      </c>
      <c r="BJ89" s="19" t="n">
        <f aca="false">$B89+BJ$3*100*$A89</f>
        <v>65.25</v>
      </c>
      <c r="BK89" s="19" t="n">
        <f aca="false">$B89+BK$3*100*$A89</f>
        <v>66.325</v>
      </c>
      <c r="BL89" s="19" t="n">
        <f aca="false">$B89+BL$3*100*$A89</f>
        <v>67.4</v>
      </c>
      <c r="BM89" s="19" t="n">
        <f aca="false">$B89+BM$3*100*$A89</f>
        <v>68.475</v>
      </c>
      <c r="BN89" s="19" t="n">
        <f aca="false">$B89+BN$3*100*$A89</f>
        <v>69.55</v>
      </c>
      <c r="BO89" s="19" t="n">
        <f aca="false">$B89+BO$3*100*$A89</f>
        <v>70.625</v>
      </c>
      <c r="BP89" s="19" t="n">
        <f aca="false">$B89+BP$3*100*$A89</f>
        <v>71.7</v>
      </c>
      <c r="BQ89" s="19" t="n">
        <f aca="false">$B89+BQ$3*100*$A89</f>
        <v>72.775</v>
      </c>
      <c r="BR89" s="19" t="n">
        <f aca="false">$B89+BR$3*100*$A89</f>
        <v>73.85</v>
      </c>
      <c r="BS89" s="19" t="n">
        <f aca="false">$B89+BS$3*100*$A89</f>
        <v>74.925</v>
      </c>
      <c r="BT89" s="19" t="n">
        <f aca="false">$B89+BT$3*100*$A89</f>
        <v>76</v>
      </c>
      <c r="BU89" s="19" t="n">
        <f aca="false">$B89+BU$3*100*$A89</f>
        <v>77.075</v>
      </c>
      <c r="BV89" s="19" t="n">
        <f aca="false">$B89+BV$3*100*$A89</f>
        <v>78.15</v>
      </c>
      <c r="BW89" s="19" t="n">
        <f aca="false">$B89+BW$3*100*$A89</f>
        <v>79.225</v>
      </c>
      <c r="BX89" s="19" t="n">
        <f aca="false">$B89+BX$3*100*$A89</f>
        <v>80.3</v>
      </c>
      <c r="BY89" s="19" t="n">
        <f aca="false">$B89+BY$3*100*$A89</f>
        <v>81.375</v>
      </c>
      <c r="BZ89" s="19" t="n">
        <f aca="false">$B89+BZ$3*100*$A89</f>
        <v>82.45</v>
      </c>
      <c r="CA89" s="19" t="n">
        <f aca="false">$B89+CA$3*100*$A89</f>
        <v>83.525</v>
      </c>
      <c r="CB89" s="19" t="n">
        <f aca="false">$B89+CB$3*100*$A89</f>
        <v>84.6</v>
      </c>
      <c r="CC89" s="19" t="n">
        <f aca="false">$B89+CC$3*100*$A89</f>
        <v>85.675</v>
      </c>
      <c r="CD89" s="19" t="n">
        <f aca="false">$B89+CD$3*100*$A89</f>
        <v>86.75</v>
      </c>
      <c r="CE89" s="19" t="n">
        <f aca="false">$B89+CE$3*100*$A89</f>
        <v>87.825</v>
      </c>
      <c r="CF89" s="19" t="n">
        <f aca="false">$B89+CF$3*100*$A89</f>
        <v>88.9</v>
      </c>
      <c r="CG89" s="19" t="n">
        <f aca="false">$B89+CG$3*100*$A89</f>
        <v>89.975</v>
      </c>
      <c r="CH89" s="19" t="n">
        <f aca="false">$B89+CH$3*100*$A89</f>
        <v>91.05</v>
      </c>
      <c r="CI89" s="19" t="n">
        <f aca="false">$B89+CI$3*100*$A89</f>
        <v>92.125</v>
      </c>
      <c r="CJ89" s="19" t="n">
        <f aca="false">$B89+CJ$3*100*$A89</f>
        <v>93.2</v>
      </c>
      <c r="CK89" s="19" t="n">
        <f aca="false">$B89+CK$3*100*$A89</f>
        <v>94.275</v>
      </c>
      <c r="CL89" s="19" t="n">
        <f aca="false">$B89+CL$3*100*$A89</f>
        <v>95.35</v>
      </c>
      <c r="CM89" s="19" t="n">
        <f aca="false">$B89+CM$3*100*$A89</f>
        <v>96.425</v>
      </c>
      <c r="CN89" s="19" t="n">
        <f aca="false">$B89+CN$3*100*$A89</f>
        <v>97.5</v>
      </c>
      <c r="CO89" s="19" t="n">
        <f aca="false">$B89+CO$3*100*$A89</f>
        <v>98.575</v>
      </c>
      <c r="CP89" s="19" t="n">
        <f aca="false">$B89+CP$3*100*$A89</f>
        <v>99.65</v>
      </c>
      <c r="CQ89" s="19" t="n">
        <f aca="false">$B89+CQ$3*100*$A89</f>
        <v>100.725</v>
      </c>
      <c r="CR89" s="19" t="n">
        <f aca="false">$B89+CR$3*100*$A89</f>
        <v>101.8</v>
      </c>
      <c r="CS89" s="19" t="n">
        <f aca="false">$B89+CS$3*100*$A89</f>
        <v>102.875</v>
      </c>
      <c r="CT89" s="19" t="n">
        <f aca="false">$B89+CT$3*100*$A89</f>
        <v>103.95</v>
      </c>
      <c r="CU89" s="19" t="n">
        <f aca="false">$B89+CU$3*100*$A89</f>
        <v>105.025</v>
      </c>
      <c r="CV89" s="19" t="n">
        <f aca="false">$B89+CV$3*100*$A89</f>
        <v>106.1</v>
      </c>
      <c r="CW89" s="19" t="n">
        <f aca="false">$B89+CW$3*100*$A89</f>
        <v>107.175</v>
      </c>
      <c r="CX89" s="19" t="n">
        <f aca="false">$B89+CX$3*100*$A89</f>
        <v>108.25</v>
      </c>
      <c r="CY89" s="19" t="n">
        <f aca="false">$B89+CY$3*100*$A89</f>
        <v>109.325</v>
      </c>
      <c r="CZ89" s="19" t="n">
        <f aca="false">$B89+CZ$3*100*$A89</f>
        <v>110.4</v>
      </c>
      <c r="DA89" s="19" t="n">
        <f aca="false">$B89+DA$3*100*$A89</f>
        <v>111.475</v>
      </c>
      <c r="DB89" s="19" t="n">
        <f aca="false">$B89+DB$3*100*$A89</f>
        <v>112.55</v>
      </c>
      <c r="DC89" s="19" t="n">
        <f aca="false">$B89+DC$3*100*$A89</f>
        <v>113.625</v>
      </c>
      <c r="DD89" s="19" t="n">
        <f aca="false">$B89+DD$3*100*$A89</f>
        <v>114.7</v>
      </c>
      <c r="DE89" s="19" t="n">
        <f aca="false">$B89+DE$3*100*$A89</f>
        <v>115.775</v>
      </c>
      <c r="DF89" s="19" t="n">
        <f aca="false">$B89+DF$3*100*$A89</f>
        <v>116.85</v>
      </c>
      <c r="DG89" s="19" t="n">
        <f aca="false">$B89+DG$3*100*$A89</f>
        <v>117.925</v>
      </c>
      <c r="DH89" s="19" t="n">
        <f aca="false">$B89+DH$3*100*$A89</f>
        <v>119</v>
      </c>
      <c r="DI89" s="19" t="n">
        <f aca="false">$B89+DI$3*100*$A89</f>
        <v>120.075</v>
      </c>
      <c r="DJ89" s="19" t="n">
        <f aca="false">$B89+DJ$3*100*$A89</f>
        <v>121.15</v>
      </c>
      <c r="DK89" s="19" t="n">
        <f aca="false">$B89+DK$3*100*$A89</f>
        <v>122.225</v>
      </c>
      <c r="DL89" s="19" t="n">
        <f aca="false">$B89+DL$3*100*$A89</f>
        <v>123.3</v>
      </c>
      <c r="DM89" s="19" t="n">
        <f aca="false">$B89+DM$3*100*$A89</f>
        <v>124.375</v>
      </c>
      <c r="DN89" s="19" t="n">
        <f aca="false">$B89+DN$3*100*$A89</f>
        <v>125.45</v>
      </c>
      <c r="DO89" s="19" t="n">
        <f aca="false">$B89+DO$3*100*$A89</f>
        <v>126.525</v>
      </c>
      <c r="DP89" s="19" t="n">
        <f aca="false">$B89+DP$3*100*$A89</f>
        <v>127.6</v>
      </c>
      <c r="DQ89" s="19" t="n">
        <f aca="false">$B89+DQ$3*100*$A89</f>
        <v>128.675</v>
      </c>
      <c r="DR89" s="19" t="n">
        <f aca="false">$B89+DR$3*100*$A89</f>
        <v>129.75</v>
      </c>
      <c r="DS89" s="19" t="n">
        <f aca="false">$B89+DS$3*100*$A89</f>
        <v>130.825</v>
      </c>
      <c r="DT89" s="19" t="n">
        <f aca="false">$B89+DT$3*100*$A89</f>
        <v>131.9</v>
      </c>
      <c r="DU89" s="19" t="n">
        <f aca="false">$B89+DU$3*100*$A89</f>
        <v>132.975</v>
      </c>
      <c r="DV89" s="19" t="n">
        <f aca="false">$B89+DV$3*100*$A89</f>
        <v>134.05</v>
      </c>
      <c r="DW89" s="19" t="n">
        <f aca="false">$B89+DW$3*100*$A89</f>
        <v>135.125</v>
      </c>
      <c r="DX89" s="19" t="n">
        <f aca="false">$B89+DX$3*100*$A89</f>
        <v>136.2</v>
      </c>
      <c r="DY89" s="19" t="n">
        <f aca="false">$B89+DY$3*100*$A89</f>
        <v>137.275</v>
      </c>
      <c r="DZ89" s="19" t="n">
        <f aca="false">$B89+DZ$3*100*$A89</f>
        <v>138.35</v>
      </c>
      <c r="EA89" s="19" t="n">
        <f aca="false">$B89+EA$3*100*$A89</f>
        <v>139.425</v>
      </c>
      <c r="EB89" s="19" t="n">
        <f aca="false">$B89+EB$3*100*$A89</f>
        <v>140.5</v>
      </c>
      <c r="EC89" s="19" t="n">
        <f aca="false">$B89+EC$3*100*$A89</f>
        <v>141.575</v>
      </c>
      <c r="ED89" s="19" t="n">
        <f aca="false">$B89+ED$3*100*$A89</f>
        <v>142.65</v>
      </c>
      <c r="EE89" s="19" t="n">
        <f aca="false">$B89+EE$3*100*$A89</f>
        <v>143.725</v>
      </c>
      <c r="EF89" s="19" t="n">
        <f aca="false">$B89+EF$3*100*$A89</f>
        <v>144.8</v>
      </c>
      <c r="EG89" s="19" t="n">
        <f aca="false">$B89+EG$3*100*$A89</f>
        <v>145.875</v>
      </c>
      <c r="EH89" s="19" t="n">
        <f aca="false">$B89+EH$3*100*$A89</f>
        <v>146.95</v>
      </c>
      <c r="EI89" s="19" t="n">
        <f aca="false">$B89+EI$3*100*$A89</f>
        <v>148.025</v>
      </c>
      <c r="EJ89" s="19" t="n">
        <f aca="false">$B89+EJ$3*100*$A89</f>
        <v>149.1</v>
      </c>
      <c r="EK89" s="19" t="n">
        <f aca="false">$B89+EK$3*100*$A89</f>
        <v>150.175</v>
      </c>
      <c r="EL89" s="19" t="n">
        <f aca="false">$B89+EL$3*100*$A89</f>
        <v>151.25</v>
      </c>
      <c r="EM89" s="19" t="n">
        <f aca="false">$B89+EM$3*100*$A89</f>
        <v>152.325</v>
      </c>
      <c r="EN89" s="19" t="n">
        <f aca="false">$B89+EN$3*100*$A89</f>
        <v>153.4</v>
      </c>
      <c r="EO89" s="19" t="n">
        <f aca="false">$B89+EO$3*100*$A89</f>
        <v>154.475</v>
      </c>
      <c r="EP89" s="19" t="n">
        <f aca="false">$B89+EP$3*100*$A89</f>
        <v>155.55</v>
      </c>
      <c r="EQ89" s="19" t="n">
        <f aca="false">$B89+EQ$3*100*$A89</f>
        <v>156.625</v>
      </c>
      <c r="ER89" s="19" t="n">
        <f aca="false">$B89+ER$3*100*$A89</f>
        <v>157.7</v>
      </c>
      <c r="ES89" s="19" t="n">
        <f aca="false">$B89+ES$3*100*$A89</f>
        <v>158.775</v>
      </c>
      <c r="ET89" s="19" t="n">
        <f aca="false">$B89+ET$3*100*$A89</f>
        <v>159.85</v>
      </c>
      <c r="EU89" s="19" t="n">
        <f aca="false">$B89+EU$3*100*$A89</f>
        <v>160.925</v>
      </c>
      <c r="EV89" s="19" t="n">
        <f aca="false">$B89+EV$3*100*$A89</f>
        <v>162</v>
      </c>
      <c r="EW89" s="19" t="n">
        <f aca="false">$B89+EW$3*100*$A89</f>
        <v>163.075</v>
      </c>
      <c r="EX89" s="19" t="n">
        <f aca="false">$B89+EX$3*100*$A89</f>
        <v>164.15</v>
      </c>
      <c r="EY89" s="19" t="n">
        <f aca="false">$B89+EY$3*100*$A89</f>
        <v>165.225</v>
      </c>
      <c r="EZ89" s="19" t="n">
        <f aca="false">$B89+EZ$3*100*$A89</f>
        <v>166.3</v>
      </c>
      <c r="FA89" s="19" t="n">
        <f aca="false">$B89+FA$3*100*$A89</f>
        <v>167.375</v>
      </c>
      <c r="FB89" s="19" t="n">
        <f aca="false">$B89+FB$3*100*$A89</f>
        <v>168.45</v>
      </c>
      <c r="FC89" s="19" t="n">
        <f aca="false">$B89+FC$3*100*$A89</f>
        <v>169.525</v>
      </c>
      <c r="FD89" s="19" t="n">
        <f aca="false">$B89+FD$3*100*$A89</f>
        <v>170.6</v>
      </c>
      <c r="FE89" s="19" t="n">
        <f aca="false">$B89+FE$3*100*$A89</f>
        <v>171.675</v>
      </c>
      <c r="FF89" s="19" t="n">
        <f aca="false">$B89+FF$3*100*$A89</f>
        <v>172.75</v>
      </c>
      <c r="FG89" s="19" t="n">
        <f aca="false">$B89+FG$3*100*$A89</f>
        <v>173.825</v>
      </c>
      <c r="FH89" s="19" t="n">
        <f aca="false">$B89+FH$3*100*$A89</f>
        <v>174.9</v>
      </c>
      <c r="FI89" s="19" t="n">
        <f aca="false">$B89+FI$3*100*$A89</f>
        <v>175.975</v>
      </c>
      <c r="FJ89" s="19" t="n">
        <f aca="false">$B89+FJ$3*100*$A89</f>
        <v>177.05</v>
      </c>
      <c r="FK89" s="19" t="n">
        <f aca="false">$B89+FK$3*100*$A89</f>
        <v>178.125</v>
      </c>
      <c r="FL89" s="19" t="n">
        <f aca="false">$B89+FL$3*100*$A89</f>
        <v>179.2</v>
      </c>
      <c r="FM89" s="19" t="n">
        <f aca="false">$B89+FM$3*100*$A89</f>
        <v>180.275</v>
      </c>
      <c r="FN89" s="19" t="n">
        <f aca="false">$B89+FN$3*100*$A89</f>
        <v>181.35</v>
      </c>
      <c r="FO89" s="19" t="n">
        <f aca="false">$B89+FO$3*100*$A89</f>
        <v>182.425</v>
      </c>
      <c r="FP89" s="19" t="n">
        <f aca="false">$B89+FP$3*100*$A89</f>
        <v>183.5</v>
      </c>
      <c r="FQ89" s="19" t="n">
        <f aca="false">$B89+FQ$3*100*$A89</f>
        <v>184.575</v>
      </c>
      <c r="FR89" s="19" t="n">
        <f aca="false">$B89+FR$3*100*$A89</f>
        <v>185.65</v>
      </c>
      <c r="FS89" s="19" t="n">
        <f aca="false">$B89+FS$3*100*$A89</f>
        <v>186.725</v>
      </c>
      <c r="FT89" s="19" t="n">
        <f aca="false">$B89+FT$3*100*$A89</f>
        <v>187.8</v>
      </c>
      <c r="FU89" s="19" t="n">
        <f aca="false">$B89+FU$3*100*$A89</f>
        <v>188.875</v>
      </c>
      <c r="FV89" s="19" t="n">
        <f aca="false">$B89+FV$3*100*$A89</f>
        <v>189.95</v>
      </c>
      <c r="FW89" s="19" t="n">
        <f aca="false">$B89+FW$3*100*$A89</f>
        <v>191.025</v>
      </c>
      <c r="FX89" s="19" t="n">
        <f aca="false">$B89+FX$3*100*$A89</f>
        <v>192.1</v>
      </c>
      <c r="FY89" s="19" t="n">
        <f aca="false">$B89+FY$3*100*$A89</f>
        <v>193.175</v>
      </c>
      <c r="FZ89" s="19" t="n">
        <f aca="false">$B89+FZ$3*100*$A89</f>
        <v>194.25</v>
      </c>
      <c r="GA89" s="19" t="n">
        <f aca="false">$B89+GA$3*100*$A89</f>
        <v>195.325</v>
      </c>
      <c r="GB89" s="19" t="n">
        <f aca="false">$B89+GB$3*100*$A89</f>
        <v>196.4</v>
      </c>
      <c r="GC89" s="19" t="n">
        <f aca="false">$B89+GC$3*100*$A89</f>
        <v>197.475</v>
      </c>
      <c r="GD89" s="19" t="n">
        <f aca="false">$B89+GD$3*100*$A89</f>
        <v>198.55</v>
      </c>
      <c r="GE89" s="19" t="n">
        <f aca="false">$B89+GE$3*100*$A89</f>
        <v>199.625</v>
      </c>
      <c r="GF89" s="19" t="n">
        <f aca="false">$B89+GF$3*100*$A89</f>
        <v>200.7</v>
      </c>
      <c r="GG89" s="19" t="n">
        <f aca="false">$B89+GG$3*100*$A89</f>
        <v>201.775</v>
      </c>
      <c r="GH89" s="19" t="n">
        <f aca="false">$B89+GH$3*100*$A89</f>
        <v>202.85</v>
      </c>
      <c r="GI89" s="19" t="n">
        <f aca="false">$B89+GI$3*100*$A89</f>
        <v>203.925</v>
      </c>
      <c r="GJ89" s="19" t="n">
        <f aca="false">$B89+GJ$3*100*$A89</f>
        <v>205</v>
      </c>
      <c r="GK89" s="19" t="n">
        <f aca="false">$B89+GK$3*100*$A89</f>
        <v>206.075</v>
      </c>
      <c r="GL89" s="19" t="n">
        <f aca="false">$B89+GL$3*100*$A89</f>
        <v>207.15</v>
      </c>
      <c r="GM89" s="19" t="n">
        <f aca="false">$B89+GM$3*100*$A89</f>
        <v>208.225</v>
      </c>
      <c r="GN89" s="19" t="n">
        <f aca="false">$B89+GN$3*100*$A89</f>
        <v>209.3</v>
      </c>
      <c r="GO89" s="19" t="n">
        <f aca="false">$B89+GO$3*100*$A89</f>
        <v>210.375</v>
      </c>
      <c r="GP89" s="19" t="n">
        <f aca="false">$B89+GP$3*100*$A89</f>
        <v>211.45</v>
      </c>
      <c r="GQ89" s="19" t="n">
        <f aca="false">$B89+GQ$3*100*$A89</f>
        <v>212.525</v>
      </c>
      <c r="GR89" s="19" t="n">
        <f aca="false">$B89+GR$3*100*$A89</f>
        <v>213.6</v>
      </c>
      <c r="GS89" s="19" t="n">
        <f aca="false">$B89+GS$3*100*$A89</f>
        <v>214.675</v>
      </c>
      <c r="GT89" s="19" t="n">
        <f aca="false">$B89+GT$3*100*$A89</f>
        <v>215.75</v>
      </c>
    </row>
    <row r="90" customFormat="false" ht="15" hidden="false" customHeight="false" outlineLevel="0" collapsed="false">
      <c r="A90" s="26" t="n">
        <f aca="false">Frontier!A88</f>
        <v>0.2175</v>
      </c>
      <c r="B90" s="34" t="n">
        <f aca="false">Frontier!B88</f>
        <v>0.75</v>
      </c>
      <c r="C90" s="19" t="n">
        <f aca="false">$B90+C$3*100*$A90</f>
        <v>1.8375</v>
      </c>
      <c r="D90" s="19" t="n">
        <f aca="false">$B90+D$3*100*$A90</f>
        <v>2.925</v>
      </c>
      <c r="E90" s="19" t="n">
        <f aca="false">$B90+E$3*100*$A90</f>
        <v>4.0125</v>
      </c>
      <c r="F90" s="19" t="n">
        <f aca="false">$B90+F$3*100*$A90</f>
        <v>5.1</v>
      </c>
      <c r="G90" s="19" t="n">
        <f aca="false">$B90+G$3*100*$A90</f>
        <v>6.1875</v>
      </c>
      <c r="H90" s="19" t="n">
        <f aca="false">$B90+H$3*100*$A90</f>
        <v>7.275</v>
      </c>
      <c r="I90" s="19" t="n">
        <f aca="false">$B90+I$3*100*$A90</f>
        <v>8.3625</v>
      </c>
      <c r="J90" s="19" t="n">
        <f aca="false">$B90+J$3*100*$A90</f>
        <v>9.45</v>
      </c>
      <c r="K90" s="19" t="n">
        <f aca="false">$B90+K$3*100*$A90</f>
        <v>10.5375</v>
      </c>
      <c r="L90" s="19" t="n">
        <f aca="false">$B90+L$3*100*$A90</f>
        <v>11.625</v>
      </c>
      <c r="M90" s="19" t="n">
        <f aca="false">$B90+M$3*100*$A90</f>
        <v>12.7125</v>
      </c>
      <c r="N90" s="19" t="n">
        <f aca="false">$B90+N$3*100*$A90</f>
        <v>13.8</v>
      </c>
      <c r="O90" s="19" t="n">
        <f aca="false">$B90+O$3*100*$A90</f>
        <v>14.8875</v>
      </c>
      <c r="P90" s="19" t="n">
        <f aca="false">$B90+P$3*100*$A90</f>
        <v>15.975</v>
      </c>
      <c r="Q90" s="19" t="n">
        <f aca="false">$B90+Q$3*100*$A90</f>
        <v>17.0625</v>
      </c>
      <c r="R90" s="19" t="n">
        <f aca="false">$B90+R$3*100*$A90</f>
        <v>18.15</v>
      </c>
      <c r="S90" s="19" t="n">
        <f aca="false">$B90+S$3*100*$A90</f>
        <v>19.2375</v>
      </c>
      <c r="T90" s="19" t="n">
        <f aca="false">$B90+T$3*100*$A90</f>
        <v>20.325</v>
      </c>
      <c r="U90" s="19" t="n">
        <f aca="false">$B90+U$3*100*$A90</f>
        <v>21.4125</v>
      </c>
      <c r="V90" s="19" t="n">
        <f aca="false">$B90+V$3*100*$A90</f>
        <v>22.5</v>
      </c>
      <c r="W90" s="19" t="n">
        <f aca="false">$B90+W$3*100*$A90</f>
        <v>23.5875</v>
      </c>
      <c r="X90" s="19" t="n">
        <f aca="false">$B90+X$3*100*$A90</f>
        <v>24.675</v>
      </c>
      <c r="Y90" s="19" t="n">
        <f aca="false">$B90+Y$3*100*$A90</f>
        <v>25.7625</v>
      </c>
      <c r="Z90" s="19" t="n">
        <f aca="false">$B90+Z$3*100*$A90</f>
        <v>26.85</v>
      </c>
      <c r="AA90" s="19" t="n">
        <f aca="false">$B90+AA$3*100*$A90</f>
        <v>27.9375</v>
      </c>
      <c r="AB90" s="19" t="n">
        <f aca="false">$B90+AB$3*100*$A90</f>
        <v>29.025</v>
      </c>
      <c r="AC90" s="19" t="n">
        <f aca="false">$B90+AC$3*100*$A90</f>
        <v>30.1125</v>
      </c>
      <c r="AD90" s="19" t="n">
        <f aca="false">$B90+AD$3*100*$A90</f>
        <v>31.2</v>
      </c>
      <c r="AE90" s="19" t="n">
        <f aca="false">$B90+AE$3*100*$A90</f>
        <v>32.2875</v>
      </c>
      <c r="AF90" s="19" t="n">
        <f aca="false">$B90+AF$3*100*$A90</f>
        <v>33.375</v>
      </c>
      <c r="AG90" s="19" t="n">
        <f aca="false">$B90+AG$3*100*$A90</f>
        <v>34.4625</v>
      </c>
      <c r="AH90" s="19" t="n">
        <f aca="false">$B90+AH$3*100*$A90</f>
        <v>35.55</v>
      </c>
      <c r="AI90" s="19" t="n">
        <f aca="false">$B90+AI$3*100*$A90</f>
        <v>36.6375</v>
      </c>
      <c r="AJ90" s="19" t="n">
        <f aca="false">$B90+AJ$3*100*$A90</f>
        <v>37.725</v>
      </c>
      <c r="AK90" s="19" t="n">
        <f aca="false">$B90+AK$3*100*$A90</f>
        <v>38.8125</v>
      </c>
      <c r="AL90" s="19" t="n">
        <f aca="false">$B90+AL$3*100*$A90</f>
        <v>39.9</v>
      </c>
      <c r="AM90" s="19" t="n">
        <f aca="false">$B90+AM$3*100*$A90</f>
        <v>40.9875</v>
      </c>
      <c r="AN90" s="19" t="n">
        <f aca="false">$B90+AN$3*100*$A90</f>
        <v>42.075</v>
      </c>
      <c r="AO90" s="19" t="n">
        <f aca="false">$B90+AO$3*100*$A90</f>
        <v>43.1625</v>
      </c>
      <c r="AP90" s="19" t="n">
        <f aca="false">$B90+AP$3*100*$A90</f>
        <v>44.25</v>
      </c>
      <c r="AQ90" s="19" t="n">
        <f aca="false">$B90+AQ$3*100*$A90</f>
        <v>45.3375</v>
      </c>
      <c r="AR90" s="19" t="n">
        <f aca="false">$B90+AR$3*100*$A90</f>
        <v>46.425</v>
      </c>
      <c r="AS90" s="19" t="n">
        <f aca="false">$B90+AS$3*100*$A90</f>
        <v>47.5125</v>
      </c>
      <c r="AT90" s="19" t="n">
        <f aca="false">$B90+AT$3*100*$A90</f>
        <v>48.6</v>
      </c>
      <c r="AU90" s="19" t="n">
        <f aca="false">$B90+AU$3*100*$A90</f>
        <v>49.6875</v>
      </c>
      <c r="AV90" s="19" t="n">
        <f aca="false">$B90+AV$3*100*$A90</f>
        <v>50.775</v>
      </c>
      <c r="AW90" s="19" t="n">
        <f aca="false">$B90+AW$3*100*$A90</f>
        <v>51.8625</v>
      </c>
      <c r="AX90" s="19" t="n">
        <f aca="false">$B90+AX$3*100*$A90</f>
        <v>52.95</v>
      </c>
      <c r="AY90" s="19" t="n">
        <f aca="false">$B90+AY$3*100*$A90</f>
        <v>54.0375</v>
      </c>
      <c r="AZ90" s="19" t="n">
        <f aca="false">$B90+AZ$3*100*$A90</f>
        <v>55.125</v>
      </c>
      <c r="BA90" s="19" t="n">
        <f aca="false">$B90+BA$3*100*$A90</f>
        <v>56.2125</v>
      </c>
      <c r="BB90" s="19" t="n">
        <f aca="false">$B90+BB$3*100*$A90</f>
        <v>57.3</v>
      </c>
      <c r="BC90" s="19" t="n">
        <f aca="false">$B90+BC$3*100*$A90</f>
        <v>58.3875</v>
      </c>
      <c r="BD90" s="19" t="n">
        <f aca="false">$B90+BD$3*100*$A90</f>
        <v>59.475</v>
      </c>
      <c r="BE90" s="19" t="n">
        <f aca="false">$B90+BE$3*100*$A90</f>
        <v>60.5625</v>
      </c>
      <c r="BF90" s="19" t="n">
        <f aca="false">$B90+BF$3*100*$A90</f>
        <v>61.65</v>
      </c>
      <c r="BG90" s="19" t="n">
        <f aca="false">$B90+BG$3*100*$A90</f>
        <v>62.7375</v>
      </c>
      <c r="BH90" s="19" t="n">
        <f aca="false">$B90+BH$3*100*$A90</f>
        <v>63.825</v>
      </c>
      <c r="BI90" s="19" t="n">
        <f aca="false">$B90+BI$3*100*$A90</f>
        <v>64.9125</v>
      </c>
      <c r="BJ90" s="19" t="n">
        <f aca="false">$B90+BJ$3*100*$A90</f>
        <v>66</v>
      </c>
      <c r="BK90" s="19" t="n">
        <f aca="false">$B90+BK$3*100*$A90</f>
        <v>67.0875</v>
      </c>
      <c r="BL90" s="19" t="n">
        <f aca="false">$B90+BL$3*100*$A90</f>
        <v>68.175</v>
      </c>
      <c r="BM90" s="19" t="n">
        <f aca="false">$B90+BM$3*100*$A90</f>
        <v>69.2625</v>
      </c>
      <c r="BN90" s="19" t="n">
        <f aca="false">$B90+BN$3*100*$A90</f>
        <v>70.35</v>
      </c>
      <c r="BO90" s="19" t="n">
        <f aca="false">$B90+BO$3*100*$A90</f>
        <v>71.4375</v>
      </c>
      <c r="BP90" s="19" t="n">
        <f aca="false">$B90+BP$3*100*$A90</f>
        <v>72.525</v>
      </c>
      <c r="BQ90" s="19" t="n">
        <f aca="false">$B90+BQ$3*100*$A90</f>
        <v>73.6125</v>
      </c>
      <c r="BR90" s="19" t="n">
        <f aca="false">$B90+BR$3*100*$A90</f>
        <v>74.7</v>
      </c>
      <c r="BS90" s="19" t="n">
        <f aca="false">$B90+BS$3*100*$A90</f>
        <v>75.7875</v>
      </c>
      <c r="BT90" s="19" t="n">
        <f aca="false">$B90+BT$3*100*$A90</f>
        <v>76.875</v>
      </c>
      <c r="BU90" s="19" t="n">
        <f aca="false">$B90+BU$3*100*$A90</f>
        <v>77.9625</v>
      </c>
      <c r="BV90" s="19" t="n">
        <f aca="false">$B90+BV$3*100*$A90</f>
        <v>79.05</v>
      </c>
      <c r="BW90" s="19" t="n">
        <f aca="false">$B90+BW$3*100*$A90</f>
        <v>80.1375</v>
      </c>
      <c r="BX90" s="19" t="n">
        <f aca="false">$B90+BX$3*100*$A90</f>
        <v>81.225</v>
      </c>
      <c r="BY90" s="19" t="n">
        <f aca="false">$B90+BY$3*100*$A90</f>
        <v>82.3125</v>
      </c>
      <c r="BZ90" s="19" t="n">
        <f aca="false">$B90+BZ$3*100*$A90</f>
        <v>83.4</v>
      </c>
      <c r="CA90" s="19" t="n">
        <f aca="false">$B90+CA$3*100*$A90</f>
        <v>84.4875</v>
      </c>
      <c r="CB90" s="19" t="n">
        <f aca="false">$B90+CB$3*100*$A90</f>
        <v>85.575</v>
      </c>
      <c r="CC90" s="19" t="n">
        <f aca="false">$B90+CC$3*100*$A90</f>
        <v>86.6625</v>
      </c>
      <c r="CD90" s="19" t="n">
        <f aca="false">$B90+CD$3*100*$A90</f>
        <v>87.75</v>
      </c>
      <c r="CE90" s="19" t="n">
        <f aca="false">$B90+CE$3*100*$A90</f>
        <v>88.8375</v>
      </c>
      <c r="CF90" s="19" t="n">
        <f aca="false">$B90+CF$3*100*$A90</f>
        <v>89.925</v>
      </c>
      <c r="CG90" s="19" t="n">
        <f aca="false">$B90+CG$3*100*$A90</f>
        <v>91.0125</v>
      </c>
      <c r="CH90" s="19" t="n">
        <f aca="false">$B90+CH$3*100*$A90</f>
        <v>92.1</v>
      </c>
      <c r="CI90" s="19" t="n">
        <f aca="false">$B90+CI$3*100*$A90</f>
        <v>93.1875</v>
      </c>
      <c r="CJ90" s="19" t="n">
        <f aca="false">$B90+CJ$3*100*$A90</f>
        <v>94.275</v>
      </c>
      <c r="CK90" s="19" t="n">
        <f aca="false">$B90+CK$3*100*$A90</f>
        <v>95.3625</v>
      </c>
      <c r="CL90" s="19" t="n">
        <f aca="false">$B90+CL$3*100*$A90</f>
        <v>96.45</v>
      </c>
      <c r="CM90" s="19" t="n">
        <f aca="false">$B90+CM$3*100*$A90</f>
        <v>97.5375</v>
      </c>
      <c r="CN90" s="19" t="n">
        <f aca="false">$B90+CN$3*100*$A90</f>
        <v>98.625</v>
      </c>
      <c r="CO90" s="19" t="n">
        <f aca="false">$B90+CO$3*100*$A90</f>
        <v>99.7125</v>
      </c>
      <c r="CP90" s="19" t="n">
        <f aca="false">$B90+CP$3*100*$A90</f>
        <v>100.8</v>
      </c>
      <c r="CQ90" s="19" t="n">
        <f aca="false">$B90+CQ$3*100*$A90</f>
        <v>101.8875</v>
      </c>
      <c r="CR90" s="19" t="n">
        <f aca="false">$B90+CR$3*100*$A90</f>
        <v>102.975</v>
      </c>
      <c r="CS90" s="19" t="n">
        <f aca="false">$B90+CS$3*100*$A90</f>
        <v>104.0625</v>
      </c>
      <c r="CT90" s="19" t="n">
        <f aca="false">$B90+CT$3*100*$A90</f>
        <v>105.15</v>
      </c>
      <c r="CU90" s="19" t="n">
        <f aca="false">$B90+CU$3*100*$A90</f>
        <v>106.2375</v>
      </c>
      <c r="CV90" s="19" t="n">
        <f aca="false">$B90+CV$3*100*$A90</f>
        <v>107.325</v>
      </c>
      <c r="CW90" s="19" t="n">
        <f aca="false">$B90+CW$3*100*$A90</f>
        <v>108.4125</v>
      </c>
      <c r="CX90" s="19" t="n">
        <f aca="false">$B90+CX$3*100*$A90</f>
        <v>109.5</v>
      </c>
      <c r="CY90" s="19" t="n">
        <f aca="false">$B90+CY$3*100*$A90</f>
        <v>110.5875</v>
      </c>
      <c r="CZ90" s="19" t="n">
        <f aca="false">$B90+CZ$3*100*$A90</f>
        <v>111.675</v>
      </c>
      <c r="DA90" s="19" t="n">
        <f aca="false">$B90+DA$3*100*$A90</f>
        <v>112.7625</v>
      </c>
      <c r="DB90" s="19" t="n">
        <f aca="false">$B90+DB$3*100*$A90</f>
        <v>113.85</v>
      </c>
      <c r="DC90" s="19" t="n">
        <f aca="false">$B90+DC$3*100*$A90</f>
        <v>114.9375</v>
      </c>
      <c r="DD90" s="19" t="n">
        <f aca="false">$B90+DD$3*100*$A90</f>
        <v>116.025</v>
      </c>
      <c r="DE90" s="19" t="n">
        <f aca="false">$B90+DE$3*100*$A90</f>
        <v>117.1125</v>
      </c>
      <c r="DF90" s="19" t="n">
        <f aca="false">$B90+DF$3*100*$A90</f>
        <v>118.2</v>
      </c>
      <c r="DG90" s="19" t="n">
        <f aca="false">$B90+DG$3*100*$A90</f>
        <v>119.2875</v>
      </c>
      <c r="DH90" s="19" t="n">
        <f aca="false">$B90+DH$3*100*$A90</f>
        <v>120.375</v>
      </c>
      <c r="DI90" s="19" t="n">
        <f aca="false">$B90+DI$3*100*$A90</f>
        <v>121.4625</v>
      </c>
      <c r="DJ90" s="19" t="n">
        <f aca="false">$B90+DJ$3*100*$A90</f>
        <v>122.55</v>
      </c>
      <c r="DK90" s="19" t="n">
        <f aca="false">$B90+DK$3*100*$A90</f>
        <v>123.6375</v>
      </c>
      <c r="DL90" s="19" t="n">
        <f aca="false">$B90+DL$3*100*$A90</f>
        <v>124.725</v>
      </c>
      <c r="DM90" s="19" t="n">
        <f aca="false">$B90+DM$3*100*$A90</f>
        <v>125.8125</v>
      </c>
      <c r="DN90" s="19" t="n">
        <f aca="false">$B90+DN$3*100*$A90</f>
        <v>126.9</v>
      </c>
      <c r="DO90" s="19" t="n">
        <f aca="false">$B90+DO$3*100*$A90</f>
        <v>127.9875</v>
      </c>
      <c r="DP90" s="19" t="n">
        <f aca="false">$B90+DP$3*100*$A90</f>
        <v>129.075</v>
      </c>
      <c r="DQ90" s="19" t="n">
        <f aca="false">$B90+DQ$3*100*$A90</f>
        <v>130.1625</v>
      </c>
      <c r="DR90" s="19" t="n">
        <f aca="false">$B90+DR$3*100*$A90</f>
        <v>131.25</v>
      </c>
      <c r="DS90" s="19" t="n">
        <f aca="false">$B90+DS$3*100*$A90</f>
        <v>132.3375</v>
      </c>
      <c r="DT90" s="19" t="n">
        <f aca="false">$B90+DT$3*100*$A90</f>
        <v>133.425</v>
      </c>
      <c r="DU90" s="19" t="n">
        <f aca="false">$B90+DU$3*100*$A90</f>
        <v>134.5125</v>
      </c>
      <c r="DV90" s="19" t="n">
        <f aca="false">$B90+DV$3*100*$A90</f>
        <v>135.6</v>
      </c>
      <c r="DW90" s="19" t="n">
        <f aca="false">$B90+DW$3*100*$A90</f>
        <v>136.6875</v>
      </c>
      <c r="DX90" s="19" t="n">
        <f aca="false">$B90+DX$3*100*$A90</f>
        <v>137.775</v>
      </c>
      <c r="DY90" s="19" t="n">
        <f aca="false">$B90+DY$3*100*$A90</f>
        <v>138.8625</v>
      </c>
      <c r="DZ90" s="19" t="n">
        <f aca="false">$B90+DZ$3*100*$A90</f>
        <v>139.95</v>
      </c>
      <c r="EA90" s="19" t="n">
        <f aca="false">$B90+EA$3*100*$A90</f>
        <v>141.0375</v>
      </c>
      <c r="EB90" s="19" t="n">
        <f aca="false">$B90+EB$3*100*$A90</f>
        <v>142.125</v>
      </c>
      <c r="EC90" s="19" t="n">
        <f aca="false">$B90+EC$3*100*$A90</f>
        <v>143.2125</v>
      </c>
      <c r="ED90" s="19" t="n">
        <f aca="false">$B90+ED$3*100*$A90</f>
        <v>144.3</v>
      </c>
      <c r="EE90" s="19" t="n">
        <f aca="false">$B90+EE$3*100*$A90</f>
        <v>145.3875</v>
      </c>
      <c r="EF90" s="19" t="n">
        <f aca="false">$B90+EF$3*100*$A90</f>
        <v>146.475</v>
      </c>
      <c r="EG90" s="19" t="n">
        <f aca="false">$B90+EG$3*100*$A90</f>
        <v>147.5625</v>
      </c>
      <c r="EH90" s="19" t="n">
        <f aca="false">$B90+EH$3*100*$A90</f>
        <v>148.65</v>
      </c>
      <c r="EI90" s="19" t="n">
        <f aca="false">$B90+EI$3*100*$A90</f>
        <v>149.7375</v>
      </c>
      <c r="EJ90" s="19" t="n">
        <f aca="false">$B90+EJ$3*100*$A90</f>
        <v>150.825</v>
      </c>
      <c r="EK90" s="19" t="n">
        <f aca="false">$B90+EK$3*100*$A90</f>
        <v>151.9125</v>
      </c>
      <c r="EL90" s="19" t="n">
        <f aca="false">$B90+EL$3*100*$A90</f>
        <v>153</v>
      </c>
      <c r="EM90" s="19" t="n">
        <f aca="false">$B90+EM$3*100*$A90</f>
        <v>154.0875</v>
      </c>
      <c r="EN90" s="19" t="n">
        <f aca="false">$B90+EN$3*100*$A90</f>
        <v>155.175</v>
      </c>
      <c r="EO90" s="19" t="n">
        <f aca="false">$B90+EO$3*100*$A90</f>
        <v>156.2625</v>
      </c>
      <c r="EP90" s="19" t="n">
        <f aca="false">$B90+EP$3*100*$A90</f>
        <v>157.35</v>
      </c>
      <c r="EQ90" s="19" t="n">
        <f aca="false">$B90+EQ$3*100*$A90</f>
        <v>158.4375</v>
      </c>
      <c r="ER90" s="19" t="n">
        <f aca="false">$B90+ER$3*100*$A90</f>
        <v>159.525</v>
      </c>
      <c r="ES90" s="19" t="n">
        <f aca="false">$B90+ES$3*100*$A90</f>
        <v>160.6125</v>
      </c>
      <c r="ET90" s="19" t="n">
        <f aca="false">$B90+ET$3*100*$A90</f>
        <v>161.7</v>
      </c>
      <c r="EU90" s="19" t="n">
        <f aca="false">$B90+EU$3*100*$A90</f>
        <v>162.7875</v>
      </c>
      <c r="EV90" s="19" t="n">
        <f aca="false">$B90+EV$3*100*$A90</f>
        <v>163.875</v>
      </c>
      <c r="EW90" s="19" t="n">
        <f aca="false">$B90+EW$3*100*$A90</f>
        <v>164.9625</v>
      </c>
      <c r="EX90" s="19" t="n">
        <f aca="false">$B90+EX$3*100*$A90</f>
        <v>166.05</v>
      </c>
      <c r="EY90" s="19" t="n">
        <f aca="false">$B90+EY$3*100*$A90</f>
        <v>167.1375</v>
      </c>
      <c r="EZ90" s="19" t="n">
        <f aca="false">$B90+EZ$3*100*$A90</f>
        <v>168.225</v>
      </c>
      <c r="FA90" s="19" t="n">
        <f aca="false">$B90+FA$3*100*$A90</f>
        <v>169.3125</v>
      </c>
      <c r="FB90" s="19" t="n">
        <f aca="false">$B90+FB$3*100*$A90</f>
        <v>170.4</v>
      </c>
      <c r="FC90" s="19" t="n">
        <f aca="false">$B90+FC$3*100*$A90</f>
        <v>171.4875</v>
      </c>
      <c r="FD90" s="19" t="n">
        <f aca="false">$B90+FD$3*100*$A90</f>
        <v>172.575</v>
      </c>
      <c r="FE90" s="19" t="n">
        <f aca="false">$B90+FE$3*100*$A90</f>
        <v>173.6625</v>
      </c>
      <c r="FF90" s="19" t="n">
        <f aca="false">$B90+FF$3*100*$A90</f>
        <v>174.75</v>
      </c>
      <c r="FG90" s="19" t="n">
        <f aca="false">$B90+FG$3*100*$A90</f>
        <v>175.8375</v>
      </c>
      <c r="FH90" s="19" t="n">
        <f aca="false">$B90+FH$3*100*$A90</f>
        <v>176.925</v>
      </c>
      <c r="FI90" s="19" t="n">
        <f aca="false">$B90+FI$3*100*$A90</f>
        <v>178.0125</v>
      </c>
      <c r="FJ90" s="19" t="n">
        <f aca="false">$B90+FJ$3*100*$A90</f>
        <v>179.1</v>
      </c>
      <c r="FK90" s="19" t="n">
        <f aca="false">$B90+FK$3*100*$A90</f>
        <v>180.1875</v>
      </c>
      <c r="FL90" s="19" t="n">
        <f aca="false">$B90+FL$3*100*$A90</f>
        <v>181.275</v>
      </c>
      <c r="FM90" s="19" t="n">
        <f aca="false">$B90+FM$3*100*$A90</f>
        <v>182.3625</v>
      </c>
      <c r="FN90" s="19" t="n">
        <f aca="false">$B90+FN$3*100*$A90</f>
        <v>183.45</v>
      </c>
      <c r="FO90" s="19" t="n">
        <f aca="false">$B90+FO$3*100*$A90</f>
        <v>184.5375</v>
      </c>
      <c r="FP90" s="19" t="n">
        <f aca="false">$B90+FP$3*100*$A90</f>
        <v>185.625</v>
      </c>
      <c r="FQ90" s="19" t="n">
        <f aca="false">$B90+FQ$3*100*$A90</f>
        <v>186.7125</v>
      </c>
      <c r="FR90" s="19" t="n">
        <f aca="false">$B90+FR$3*100*$A90</f>
        <v>187.8</v>
      </c>
      <c r="FS90" s="19" t="n">
        <f aca="false">$B90+FS$3*100*$A90</f>
        <v>188.8875</v>
      </c>
      <c r="FT90" s="19" t="n">
        <f aca="false">$B90+FT$3*100*$A90</f>
        <v>189.975</v>
      </c>
      <c r="FU90" s="19" t="n">
        <f aca="false">$B90+FU$3*100*$A90</f>
        <v>191.0625</v>
      </c>
      <c r="FV90" s="19" t="n">
        <f aca="false">$B90+FV$3*100*$A90</f>
        <v>192.15</v>
      </c>
      <c r="FW90" s="19" t="n">
        <f aca="false">$B90+FW$3*100*$A90</f>
        <v>193.2375</v>
      </c>
      <c r="FX90" s="19" t="n">
        <f aca="false">$B90+FX$3*100*$A90</f>
        <v>194.325</v>
      </c>
      <c r="FY90" s="19" t="n">
        <f aca="false">$B90+FY$3*100*$A90</f>
        <v>195.4125</v>
      </c>
      <c r="FZ90" s="19" t="n">
        <f aca="false">$B90+FZ$3*100*$A90</f>
        <v>196.5</v>
      </c>
      <c r="GA90" s="19" t="n">
        <f aca="false">$B90+GA$3*100*$A90</f>
        <v>197.5875</v>
      </c>
      <c r="GB90" s="19" t="n">
        <f aca="false">$B90+GB$3*100*$A90</f>
        <v>198.675</v>
      </c>
      <c r="GC90" s="19" t="n">
        <f aca="false">$B90+GC$3*100*$A90</f>
        <v>199.7625</v>
      </c>
      <c r="GD90" s="19" t="n">
        <f aca="false">$B90+GD$3*100*$A90</f>
        <v>200.85</v>
      </c>
      <c r="GE90" s="19" t="n">
        <f aca="false">$B90+GE$3*100*$A90</f>
        <v>201.9375</v>
      </c>
      <c r="GF90" s="19" t="n">
        <f aca="false">$B90+GF$3*100*$A90</f>
        <v>203.025</v>
      </c>
      <c r="GG90" s="19" t="n">
        <f aca="false">$B90+GG$3*100*$A90</f>
        <v>204.1125</v>
      </c>
      <c r="GH90" s="19" t="n">
        <f aca="false">$B90+GH$3*100*$A90</f>
        <v>205.2</v>
      </c>
      <c r="GI90" s="19" t="n">
        <f aca="false">$B90+GI$3*100*$A90</f>
        <v>206.2875</v>
      </c>
      <c r="GJ90" s="19" t="n">
        <f aca="false">$B90+GJ$3*100*$A90</f>
        <v>207.375</v>
      </c>
      <c r="GK90" s="19" t="n">
        <f aca="false">$B90+GK$3*100*$A90</f>
        <v>208.4625</v>
      </c>
      <c r="GL90" s="19" t="n">
        <f aca="false">$B90+GL$3*100*$A90</f>
        <v>209.55</v>
      </c>
      <c r="GM90" s="19" t="n">
        <f aca="false">$B90+GM$3*100*$A90</f>
        <v>210.6375</v>
      </c>
      <c r="GN90" s="19" t="n">
        <f aca="false">$B90+GN$3*100*$A90</f>
        <v>211.725</v>
      </c>
      <c r="GO90" s="19" t="n">
        <f aca="false">$B90+GO$3*100*$A90</f>
        <v>212.8125</v>
      </c>
      <c r="GP90" s="19" t="n">
        <f aca="false">$B90+GP$3*100*$A90</f>
        <v>213.9</v>
      </c>
      <c r="GQ90" s="19" t="n">
        <f aca="false">$B90+GQ$3*100*$A90</f>
        <v>214.9875</v>
      </c>
      <c r="GR90" s="19" t="n">
        <f aca="false">$B90+GR$3*100*$A90</f>
        <v>216.075</v>
      </c>
      <c r="GS90" s="19" t="n">
        <f aca="false">$B90+GS$3*100*$A90</f>
        <v>217.1625</v>
      </c>
      <c r="GT90" s="19" t="n">
        <f aca="false">$B90+GT$3*100*$A90</f>
        <v>218.25</v>
      </c>
    </row>
    <row r="91" customFormat="false" ht="15" hidden="false" customHeight="false" outlineLevel="0" collapsed="false">
      <c r="A91" s="26" t="n">
        <f aca="false">Frontier!A89</f>
        <v>0.22</v>
      </c>
      <c r="B91" s="34" t="n">
        <f aca="false">Frontier!B89</f>
        <v>0.715543496701619</v>
      </c>
      <c r="C91" s="19" t="n">
        <f aca="false">$B91+C$3*100*$A91</f>
        <v>1.81554349670162</v>
      </c>
      <c r="D91" s="19" t="n">
        <f aca="false">$B91+D$3*100*$A91</f>
        <v>2.91554349670162</v>
      </c>
      <c r="E91" s="19" t="n">
        <f aca="false">$B91+E$3*100*$A91</f>
        <v>4.01554349670162</v>
      </c>
      <c r="F91" s="19" t="n">
        <f aca="false">$B91+F$3*100*$A91</f>
        <v>5.11554349670162</v>
      </c>
      <c r="G91" s="19" t="n">
        <f aca="false">$B91+G$3*100*$A91</f>
        <v>6.21554349670162</v>
      </c>
      <c r="H91" s="19" t="n">
        <f aca="false">$B91+H$3*100*$A91</f>
        <v>7.31554349670162</v>
      </c>
      <c r="I91" s="19" t="n">
        <f aca="false">$B91+I$3*100*$A91</f>
        <v>8.41554349670162</v>
      </c>
      <c r="J91" s="19" t="n">
        <f aca="false">$B91+J$3*100*$A91</f>
        <v>9.51554349670162</v>
      </c>
      <c r="K91" s="19" t="n">
        <f aca="false">$B91+K$3*100*$A91</f>
        <v>10.6155434967016</v>
      </c>
      <c r="L91" s="19" t="n">
        <f aca="false">$B91+L$3*100*$A91</f>
        <v>11.7155434967016</v>
      </c>
      <c r="M91" s="19" t="n">
        <f aca="false">$B91+M$3*100*$A91</f>
        <v>12.8155434967016</v>
      </c>
      <c r="N91" s="19" t="n">
        <f aca="false">$B91+N$3*100*$A91</f>
        <v>13.9155434967016</v>
      </c>
      <c r="O91" s="19" t="n">
        <f aca="false">$B91+O$3*100*$A91</f>
        <v>15.0155434967016</v>
      </c>
      <c r="P91" s="19" t="n">
        <f aca="false">$B91+P$3*100*$A91</f>
        <v>16.1155434967016</v>
      </c>
      <c r="Q91" s="19" t="n">
        <f aca="false">$B91+Q$3*100*$A91</f>
        <v>17.2155434967016</v>
      </c>
      <c r="R91" s="19" t="n">
        <f aca="false">$B91+R$3*100*$A91</f>
        <v>18.3155434967016</v>
      </c>
      <c r="S91" s="19" t="n">
        <f aca="false">$B91+S$3*100*$A91</f>
        <v>19.4155434967016</v>
      </c>
      <c r="T91" s="19" t="n">
        <f aca="false">$B91+T$3*100*$A91</f>
        <v>20.5155434967016</v>
      </c>
      <c r="U91" s="19" t="n">
        <f aca="false">$B91+U$3*100*$A91</f>
        <v>21.6155434967016</v>
      </c>
      <c r="V91" s="19" t="n">
        <f aca="false">$B91+V$3*100*$A91</f>
        <v>22.7155434967016</v>
      </c>
      <c r="W91" s="19" t="n">
        <f aca="false">$B91+W$3*100*$A91</f>
        <v>23.8155434967016</v>
      </c>
      <c r="X91" s="19" t="n">
        <f aca="false">$B91+X$3*100*$A91</f>
        <v>24.9155434967016</v>
      </c>
      <c r="Y91" s="19" t="n">
        <f aca="false">$B91+Y$3*100*$A91</f>
        <v>26.0155434967016</v>
      </c>
      <c r="Z91" s="19" t="n">
        <f aca="false">$B91+Z$3*100*$A91</f>
        <v>27.1155434967016</v>
      </c>
      <c r="AA91" s="19" t="n">
        <f aca="false">$B91+AA$3*100*$A91</f>
        <v>28.2155434967016</v>
      </c>
      <c r="AB91" s="19" t="n">
        <f aca="false">$B91+AB$3*100*$A91</f>
        <v>29.3155434967016</v>
      </c>
      <c r="AC91" s="19" t="n">
        <f aca="false">$B91+AC$3*100*$A91</f>
        <v>30.4155434967016</v>
      </c>
      <c r="AD91" s="19" t="n">
        <f aca="false">$B91+AD$3*100*$A91</f>
        <v>31.5155434967016</v>
      </c>
      <c r="AE91" s="19" t="n">
        <f aca="false">$B91+AE$3*100*$A91</f>
        <v>32.6155434967016</v>
      </c>
      <c r="AF91" s="19" t="n">
        <f aca="false">$B91+AF$3*100*$A91</f>
        <v>33.7155434967016</v>
      </c>
      <c r="AG91" s="19" t="n">
        <f aca="false">$B91+AG$3*100*$A91</f>
        <v>34.8155434967016</v>
      </c>
      <c r="AH91" s="19" t="n">
        <f aca="false">$B91+AH$3*100*$A91</f>
        <v>35.9155434967016</v>
      </c>
      <c r="AI91" s="19" t="n">
        <f aca="false">$B91+AI$3*100*$A91</f>
        <v>37.0155434967016</v>
      </c>
      <c r="AJ91" s="19" t="n">
        <f aca="false">$B91+AJ$3*100*$A91</f>
        <v>38.1155434967016</v>
      </c>
      <c r="AK91" s="19" t="n">
        <f aca="false">$B91+AK$3*100*$A91</f>
        <v>39.2155434967016</v>
      </c>
      <c r="AL91" s="19" t="n">
        <f aca="false">$B91+AL$3*100*$A91</f>
        <v>40.3155434967016</v>
      </c>
      <c r="AM91" s="19" t="n">
        <f aca="false">$B91+AM$3*100*$A91</f>
        <v>41.4155434967016</v>
      </c>
      <c r="AN91" s="19" t="n">
        <f aca="false">$B91+AN$3*100*$A91</f>
        <v>42.5155434967016</v>
      </c>
      <c r="AO91" s="19" t="n">
        <f aca="false">$B91+AO$3*100*$A91</f>
        <v>43.6155434967016</v>
      </c>
      <c r="AP91" s="19" t="n">
        <f aca="false">$B91+AP$3*100*$A91</f>
        <v>44.7155434967016</v>
      </c>
      <c r="AQ91" s="19" t="n">
        <f aca="false">$B91+AQ$3*100*$A91</f>
        <v>45.8155434967016</v>
      </c>
      <c r="AR91" s="19" t="n">
        <f aca="false">$B91+AR$3*100*$A91</f>
        <v>46.9155434967016</v>
      </c>
      <c r="AS91" s="19" t="n">
        <f aca="false">$B91+AS$3*100*$A91</f>
        <v>48.0155434967016</v>
      </c>
      <c r="AT91" s="19" t="n">
        <f aca="false">$B91+AT$3*100*$A91</f>
        <v>49.1155434967016</v>
      </c>
      <c r="AU91" s="19" t="n">
        <f aca="false">$B91+AU$3*100*$A91</f>
        <v>50.2155434967016</v>
      </c>
      <c r="AV91" s="19" t="n">
        <f aca="false">$B91+AV$3*100*$A91</f>
        <v>51.3155434967016</v>
      </c>
      <c r="AW91" s="19" t="n">
        <f aca="false">$B91+AW$3*100*$A91</f>
        <v>52.4155434967016</v>
      </c>
      <c r="AX91" s="19" t="n">
        <f aca="false">$B91+AX$3*100*$A91</f>
        <v>53.5155434967016</v>
      </c>
      <c r="AY91" s="19" t="n">
        <f aca="false">$B91+AY$3*100*$A91</f>
        <v>54.6155434967016</v>
      </c>
      <c r="AZ91" s="19" t="n">
        <f aca="false">$B91+AZ$3*100*$A91</f>
        <v>55.7155434967016</v>
      </c>
      <c r="BA91" s="19" t="n">
        <f aca="false">$B91+BA$3*100*$A91</f>
        <v>56.8155434967016</v>
      </c>
      <c r="BB91" s="19" t="n">
        <f aca="false">$B91+BB$3*100*$A91</f>
        <v>57.9155434967016</v>
      </c>
      <c r="BC91" s="19" t="n">
        <f aca="false">$B91+BC$3*100*$A91</f>
        <v>59.0155434967016</v>
      </c>
      <c r="BD91" s="19" t="n">
        <f aca="false">$B91+BD$3*100*$A91</f>
        <v>60.1155434967016</v>
      </c>
      <c r="BE91" s="19" t="n">
        <f aca="false">$B91+BE$3*100*$A91</f>
        <v>61.2155434967016</v>
      </c>
      <c r="BF91" s="19" t="n">
        <f aca="false">$B91+BF$3*100*$A91</f>
        <v>62.3155434967016</v>
      </c>
      <c r="BG91" s="19" t="n">
        <f aca="false">$B91+BG$3*100*$A91</f>
        <v>63.4155434967016</v>
      </c>
      <c r="BH91" s="19" t="n">
        <f aca="false">$B91+BH$3*100*$A91</f>
        <v>64.5155434967016</v>
      </c>
      <c r="BI91" s="19" t="n">
        <f aca="false">$B91+BI$3*100*$A91</f>
        <v>65.6155434967016</v>
      </c>
      <c r="BJ91" s="19" t="n">
        <f aca="false">$B91+BJ$3*100*$A91</f>
        <v>66.7155434967016</v>
      </c>
      <c r="BK91" s="19" t="n">
        <f aca="false">$B91+BK$3*100*$A91</f>
        <v>67.8155434967016</v>
      </c>
      <c r="BL91" s="19" t="n">
        <f aca="false">$B91+BL$3*100*$A91</f>
        <v>68.9155434967016</v>
      </c>
      <c r="BM91" s="19" t="n">
        <f aca="false">$B91+BM$3*100*$A91</f>
        <v>70.0155434967016</v>
      </c>
      <c r="BN91" s="19" t="n">
        <f aca="false">$B91+BN$3*100*$A91</f>
        <v>71.1155434967016</v>
      </c>
      <c r="BO91" s="19" t="n">
        <f aca="false">$B91+BO$3*100*$A91</f>
        <v>72.2155434967016</v>
      </c>
      <c r="BP91" s="19" t="n">
        <f aca="false">$B91+BP$3*100*$A91</f>
        <v>73.3155434967016</v>
      </c>
      <c r="BQ91" s="19" t="n">
        <f aca="false">$B91+BQ$3*100*$A91</f>
        <v>74.4155434967016</v>
      </c>
      <c r="BR91" s="19" t="n">
        <f aca="false">$B91+BR$3*100*$A91</f>
        <v>75.5155434967016</v>
      </c>
      <c r="BS91" s="19" t="n">
        <f aca="false">$B91+BS$3*100*$A91</f>
        <v>76.6155434967016</v>
      </c>
      <c r="BT91" s="19" t="n">
        <f aca="false">$B91+BT$3*100*$A91</f>
        <v>77.7155434967016</v>
      </c>
      <c r="BU91" s="19" t="n">
        <f aca="false">$B91+BU$3*100*$A91</f>
        <v>78.8155434967016</v>
      </c>
      <c r="BV91" s="19" t="n">
        <f aca="false">$B91+BV$3*100*$A91</f>
        <v>79.9155434967016</v>
      </c>
      <c r="BW91" s="19" t="n">
        <f aca="false">$B91+BW$3*100*$A91</f>
        <v>81.0155434967016</v>
      </c>
      <c r="BX91" s="19" t="n">
        <f aca="false">$B91+BX$3*100*$A91</f>
        <v>82.1155434967016</v>
      </c>
      <c r="BY91" s="19" t="n">
        <f aca="false">$B91+BY$3*100*$A91</f>
        <v>83.2155434967016</v>
      </c>
      <c r="BZ91" s="19" t="n">
        <f aca="false">$B91+BZ$3*100*$A91</f>
        <v>84.3155434967016</v>
      </c>
      <c r="CA91" s="19" t="n">
        <f aca="false">$B91+CA$3*100*$A91</f>
        <v>85.4155434967016</v>
      </c>
      <c r="CB91" s="19" t="n">
        <f aca="false">$B91+CB$3*100*$A91</f>
        <v>86.5155434967016</v>
      </c>
      <c r="CC91" s="19" t="n">
        <f aca="false">$B91+CC$3*100*$A91</f>
        <v>87.6155434967016</v>
      </c>
      <c r="CD91" s="19" t="n">
        <f aca="false">$B91+CD$3*100*$A91</f>
        <v>88.7155434967016</v>
      </c>
      <c r="CE91" s="19" t="n">
        <f aca="false">$B91+CE$3*100*$A91</f>
        <v>89.8155434967016</v>
      </c>
      <c r="CF91" s="19" t="n">
        <f aca="false">$B91+CF$3*100*$A91</f>
        <v>90.9155434967016</v>
      </c>
      <c r="CG91" s="19" t="n">
        <f aca="false">$B91+CG$3*100*$A91</f>
        <v>92.0155434967016</v>
      </c>
      <c r="CH91" s="19" t="n">
        <f aca="false">$B91+CH$3*100*$A91</f>
        <v>93.1155434967016</v>
      </c>
      <c r="CI91" s="19" t="n">
        <f aca="false">$B91+CI$3*100*$A91</f>
        <v>94.2155434967016</v>
      </c>
      <c r="CJ91" s="19" t="n">
        <f aca="false">$B91+CJ$3*100*$A91</f>
        <v>95.3155434967016</v>
      </c>
      <c r="CK91" s="19" t="n">
        <f aca="false">$B91+CK$3*100*$A91</f>
        <v>96.4155434967016</v>
      </c>
      <c r="CL91" s="19" t="n">
        <f aca="false">$B91+CL$3*100*$A91</f>
        <v>97.5155434967016</v>
      </c>
      <c r="CM91" s="19" t="n">
        <f aca="false">$B91+CM$3*100*$A91</f>
        <v>98.6155434967016</v>
      </c>
      <c r="CN91" s="19" t="n">
        <f aca="false">$B91+CN$3*100*$A91</f>
        <v>99.7155434967016</v>
      </c>
      <c r="CO91" s="19" t="n">
        <f aca="false">$B91+CO$3*100*$A91</f>
        <v>100.815543496702</v>
      </c>
      <c r="CP91" s="19" t="n">
        <f aca="false">$B91+CP$3*100*$A91</f>
        <v>101.915543496702</v>
      </c>
      <c r="CQ91" s="19" t="n">
        <f aca="false">$B91+CQ$3*100*$A91</f>
        <v>103.015543496702</v>
      </c>
      <c r="CR91" s="19" t="n">
        <f aca="false">$B91+CR$3*100*$A91</f>
        <v>104.115543496702</v>
      </c>
      <c r="CS91" s="19" t="n">
        <f aca="false">$B91+CS$3*100*$A91</f>
        <v>105.215543496702</v>
      </c>
      <c r="CT91" s="19" t="n">
        <f aca="false">$B91+CT$3*100*$A91</f>
        <v>106.315543496702</v>
      </c>
      <c r="CU91" s="19" t="n">
        <f aca="false">$B91+CU$3*100*$A91</f>
        <v>107.415543496702</v>
      </c>
      <c r="CV91" s="19" t="n">
        <f aca="false">$B91+CV$3*100*$A91</f>
        <v>108.515543496702</v>
      </c>
      <c r="CW91" s="19" t="n">
        <f aca="false">$B91+CW$3*100*$A91</f>
        <v>109.615543496702</v>
      </c>
      <c r="CX91" s="19" t="n">
        <f aca="false">$B91+CX$3*100*$A91</f>
        <v>110.715543496702</v>
      </c>
      <c r="CY91" s="19" t="n">
        <f aca="false">$B91+CY$3*100*$A91</f>
        <v>111.815543496702</v>
      </c>
      <c r="CZ91" s="19" t="n">
        <f aca="false">$B91+CZ$3*100*$A91</f>
        <v>112.915543496702</v>
      </c>
      <c r="DA91" s="19" t="n">
        <f aca="false">$B91+DA$3*100*$A91</f>
        <v>114.015543496702</v>
      </c>
      <c r="DB91" s="19" t="n">
        <f aca="false">$B91+DB$3*100*$A91</f>
        <v>115.115543496702</v>
      </c>
      <c r="DC91" s="19" t="n">
        <f aca="false">$B91+DC$3*100*$A91</f>
        <v>116.215543496702</v>
      </c>
      <c r="DD91" s="19" t="n">
        <f aca="false">$B91+DD$3*100*$A91</f>
        <v>117.315543496702</v>
      </c>
      <c r="DE91" s="19" t="n">
        <f aca="false">$B91+DE$3*100*$A91</f>
        <v>118.415543496702</v>
      </c>
      <c r="DF91" s="19" t="n">
        <f aca="false">$B91+DF$3*100*$A91</f>
        <v>119.515543496702</v>
      </c>
      <c r="DG91" s="19" t="n">
        <f aca="false">$B91+DG$3*100*$A91</f>
        <v>120.615543496702</v>
      </c>
      <c r="DH91" s="19" t="n">
        <f aca="false">$B91+DH$3*100*$A91</f>
        <v>121.715543496702</v>
      </c>
      <c r="DI91" s="19" t="n">
        <f aca="false">$B91+DI$3*100*$A91</f>
        <v>122.815543496702</v>
      </c>
      <c r="DJ91" s="19" t="n">
        <f aca="false">$B91+DJ$3*100*$A91</f>
        <v>123.915543496702</v>
      </c>
      <c r="DK91" s="19" t="n">
        <f aca="false">$B91+DK$3*100*$A91</f>
        <v>125.015543496702</v>
      </c>
      <c r="DL91" s="19" t="n">
        <f aca="false">$B91+DL$3*100*$A91</f>
        <v>126.115543496702</v>
      </c>
      <c r="DM91" s="19" t="n">
        <f aca="false">$B91+DM$3*100*$A91</f>
        <v>127.215543496702</v>
      </c>
      <c r="DN91" s="19" t="n">
        <f aca="false">$B91+DN$3*100*$A91</f>
        <v>128.315543496702</v>
      </c>
      <c r="DO91" s="19" t="n">
        <f aca="false">$B91+DO$3*100*$A91</f>
        <v>129.415543496702</v>
      </c>
      <c r="DP91" s="19" t="n">
        <f aca="false">$B91+DP$3*100*$A91</f>
        <v>130.515543496702</v>
      </c>
      <c r="DQ91" s="19" t="n">
        <f aca="false">$B91+DQ$3*100*$A91</f>
        <v>131.615543496702</v>
      </c>
      <c r="DR91" s="19" t="n">
        <f aca="false">$B91+DR$3*100*$A91</f>
        <v>132.715543496702</v>
      </c>
      <c r="DS91" s="19" t="n">
        <f aca="false">$B91+DS$3*100*$A91</f>
        <v>133.815543496702</v>
      </c>
      <c r="DT91" s="19" t="n">
        <f aca="false">$B91+DT$3*100*$A91</f>
        <v>134.915543496702</v>
      </c>
      <c r="DU91" s="19" t="n">
        <f aca="false">$B91+DU$3*100*$A91</f>
        <v>136.015543496702</v>
      </c>
      <c r="DV91" s="19" t="n">
        <f aca="false">$B91+DV$3*100*$A91</f>
        <v>137.115543496702</v>
      </c>
      <c r="DW91" s="19" t="n">
        <f aca="false">$B91+DW$3*100*$A91</f>
        <v>138.215543496702</v>
      </c>
      <c r="DX91" s="19" t="n">
        <f aca="false">$B91+DX$3*100*$A91</f>
        <v>139.315543496702</v>
      </c>
      <c r="DY91" s="19" t="n">
        <f aca="false">$B91+DY$3*100*$A91</f>
        <v>140.415543496702</v>
      </c>
      <c r="DZ91" s="19" t="n">
        <f aca="false">$B91+DZ$3*100*$A91</f>
        <v>141.515543496702</v>
      </c>
      <c r="EA91" s="19" t="n">
        <f aca="false">$B91+EA$3*100*$A91</f>
        <v>142.615543496702</v>
      </c>
      <c r="EB91" s="19" t="n">
        <f aca="false">$B91+EB$3*100*$A91</f>
        <v>143.715543496702</v>
      </c>
      <c r="EC91" s="19" t="n">
        <f aca="false">$B91+EC$3*100*$A91</f>
        <v>144.815543496702</v>
      </c>
      <c r="ED91" s="19" t="n">
        <f aca="false">$B91+ED$3*100*$A91</f>
        <v>145.915543496702</v>
      </c>
      <c r="EE91" s="19" t="n">
        <f aca="false">$B91+EE$3*100*$A91</f>
        <v>147.015543496702</v>
      </c>
      <c r="EF91" s="19" t="n">
        <f aca="false">$B91+EF$3*100*$A91</f>
        <v>148.115543496702</v>
      </c>
      <c r="EG91" s="19" t="n">
        <f aca="false">$B91+EG$3*100*$A91</f>
        <v>149.215543496702</v>
      </c>
      <c r="EH91" s="19" t="n">
        <f aca="false">$B91+EH$3*100*$A91</f>
        <v>150.315543496702</v>
      </c>
      <c r="EI91" s="19" t="n">
        <f aca="false">$B91+EI$3*100*$A91</f>
        <v>151.415543496702</v>
      </c>
      <c r="EJ91" s="19" t="n">
        <f aca="false">$B91+EJ$3*100*$A91</f>
        <v>152.515543496702</v>
      </c>
      <c r="EK91" s="19" t="n">
        <f aca="false">$B91+EK$3*100*$A91</f>
        <v>153.615543496702</v>
      </c>
      <c r="EL91" s="19" t="n">
        <f aca="false">$B91+EL$3*100*$A91</f>
        <v>154.715543496702</v>
      </c>
      <c r="EM91" s="19" t="n">
        <f aca="false">$B91+EM$3*100*$A91</f>
        <v>155.815543496702</v>
      </c>
      <c r="EN91" s="19" t="n">
        <f aca="false">$B91+EN$3*100*$A91</f>
        <v>156.915543496702</v>
      </c>
      <c r="EO91" s="19" t="n">
        <f aca="false">$B91+EO$3*100*$A91</f>
        <v>158.015543496702</v>
      </c>
      <c r="EP91" s="19" t="n">
        <f aca="false">$B91+EP$3*100*$A91</f>
        <v>159.115543496702</v>
      </c>
      <c r="EQ91" s="19" t="n">
        <f aca="false">$B91+EQ$3*100*$A91</f>
        <v>160.215543496702</v>
      </c>
      <c r="ER91" s="19" t="n">
        <f aca="false">$B91+ER$3*100*$A91</f>
        <v>161.315543496702</v>
      </c>
      <c r="ES91" s="19" t="n">
        <f aca="false">$B91+ES$3*100*$A91</f>
        <v>162.415543496702</v>
      </c>
      <c r="ET91" s="19" t="n">
        <f aca="false">$B91+ET$3*100*$A91</f>
        <v>163.515543496702</v>
      </c>
      <c r="EU91" s="19" t="n">
        <f aca="false">$B91+EU$3*100*$A91</f>
        <v>164.615543496702</v>
      </c>
      <c r="EV91" s="19" t="n">
        <f aca="false">$B91+EV$3*100*$A91</f>
        <v>165.715543496702</v>
      </c>
      <c r="EW91" s="19" t="n">
        <f aca="false">$B91+EW$3*100*$A91</f>
        <v>166.815543496702</v>
      </c>
      <c r="EX91" s="19" t="n">
        <f aca="false">$B91+EX$3*100*$A91</f>
        <v>167.915543496702</v>
      </c>
      <c r="EY91" s="19" t="n">
        <f aca="false">$B91+EY$3*100*$A91</f>
        <v>169.015543496702</v>
      </c>
      <c r="EZ91" s="19" t="n">
        <f aca="false">$B91+EZ$3*100*$A91</f>
        <v>170.115543496702</v>
      </c>
      <c r="FA91" s="19" t="n">
        <f aca="false">$B91+FA$3*100*$A91</f>
        <v>171.215543496702</v>
      </c>
      <c r="FB91" s="19" t="n">
        <f aca="false">$B91+FB$3*100*$A91</f>
        <v>172.315543496702</v>
      </c>
      <c r="FC91" s="19" t="n">
        <f aca="false">$B91+FC$3*100*$A91</f>
        <v>173.415543496702</v>
      </c>
      <c r="FD91" s="19" t="n">
        <f aca="false">$B91+FD$3*100*$A91</f>
        <v>174.515543496702</v>
      </c>
      <c r="FE91" s="19" t="n">
        <f aca="false">$B91+FE$3*100*$A91</f>
        <v>175.615543496702</v>
      </c>
      <c r="FF91" s="19" t="n">
        <f aca="false">$B91+FF$3*100*$A91</f>
        <v>176.715543496702</v>
      </c>
      <c r="FG91" s="19" t="n">
        <f aca="false">$B91+FG$3*100*$A91</f>
        <v>177.815543496702</v>
      </c>
      <c r="FH91" s="19" t="n">
        <f aca="false">$B91+FH$3*100*$A91</f>
        <v>178.915543496702</v>
      </c>
      <c r="FI91" s="19" t="n">
        <f aca="false">$B91+FI$3*100*$A91</f>
        <v>180.015543496702</v>
      </c>
      <c r="FJ91" s="19" t="n">
        <f aca="false">$B91+FJ$3*100*$A91</f>
        <v>181.115543496702</v>
      </c>
      <c r="FK91" s="19" t="n">
        <f aca="false">$B91+FK$3*100*$A91</f>
        <v>182.215543496702</v>
      </c>
      <c r="FL91" s="19" t="n">
        <f aca="false">$B91+FL$3*100*$A91</f>
        <v>183.315543496702</v>
      </c>
      <c r="FM91" s="19" t="n">
        <f aca="false">$B91+FM$3*100*$A91</f>
        <v>184.415543496702</v>
      </c>
      <c r="FN91" s="19" t="n">
        <f aca="false">$B91+FN$3*100*$A91</f>
        <v>185.515543496702</v>
      </c>
      <c r="FO91" s="19" t="n">
        <f aca="false">$B91+FO$3*100*$A91</f>
        <v>186.615543496702</v>
      </c>
      <c r="FP91" s="19" t="n">
        <f aca="false">$B91+FP$3*100*$A91</f>
        <v>187.715543496702</v>
      </c>
      <c r="FQ91" s="19" t="n">
        <f aca="false">$B91+FQ$3*100*$A91</f>
        <v>188.815543496702</v>
      </c>
      <c r="FR91" s="19" t="n">
        <f aca="false">$B91+FR$3*100*$A91</f>
        <v>189.915543496702</v>
      </c>
      <c r="FS91" s="19" t="n">
        <f aca="false">$B91+FS$3*100*$A91</f>
        <v>191.015543496702</v>
      </c>
      <c r="FT91" s="19" t="n">
        <f aca="false">$B91+FT$3*100*$A91</f>
        <v>192.115543496702</v>
      </c>
      <c r="FU91" s="19" t="n">
        <f aca="false">$B91+FU$3*100*$A91</f>
        <v>193.215543496702</v>
      </c>
      <c r="FV91" s="19" t="n">
        <f aca="false">$B91+FV$3*100*$A91</f>
        <v>194.315543496702</v>
      </c>
      <c r="FW91" s="19" t="n">
        <f aca="false">$B91+FW$3*100*$A91</f>
        <v>195.415543496702</v>
      </c>
      <c r="FX91" s="19" t="n">
        <f aca="false">$B91+FX$3*100*$A91</f>
        <v>196.515543496702</v>
      </c>
      <c r="FY91" s="19" t="n">
        <f aca="false">$B91+FY$3*100*$A91</f>
        <v>197.615543496702</v>
      </c>
      <c r="FZ91" s="19" t="n">
        <f aca="false">$B91+FZ$3*100*$A91</f>
        <v>198.715543496702</v>
      </c>
      <c r="GA91" s="19" t="n">
        <f aca="false">$B91+GA$3*100*$A91</f>
        <v>199.815543496702</v>
      </c>
      <c r="GB91" s="19" t="n">
        <f aca="false">$B91+GB$3*100*$A91</f>
        <v>200.915543496702</v>
      </c>
      <c r="GC91" s="19" t="n">
        <f aca="false">$B91+GC$3*100*$A91</f>
        <v>202.015543496702</v>
      </c>
      <c r="GD91" s="19" t="n">
        <f aca="false">$B91+GD$3*100*$A91</f>
        <v>203.115543496702</v>
      </c>
      <c r="GE91" s="19" t="n">
        <f aca="false">$B91+GE$3*100*$A91</f>
        <v>204.215543496702</v>
      </c>
      <c r="GF91" s="19" t="n">
        <f aca="false">$B91+GF$3*100*$A91</f>
        <v>205.315543496702</v>
      </c>
      <c r="GG91" s="19" t="n">
        <f aca="false">$B91+GG$3*100*$A91</f>
        <v>206.415543496702</v>
      </c>
      <c r="GH91" s="19" t="n">
        <f aca="false">$B91+GH$3*100*$A91</f>
        <v>207.515543496702</v>
      </c>
      <c r="GI91" s="19" t="n">
        <f aca="false">$B91+GI$3*100*$A91</f>
        <v>208.615543496702</v>
      </c>
      <c r="GJ91" s="19" t="n">
        <f aca="false">$B91+GJ$3*100*$A91</f>
        <v>209.715543496702</v>
      </c>
      <c r="GK91" s="19" t="n">
        <f aca="false">$B91+GK$3*100*$A91</f>
        <v>210.815543496702</v>
      </c>
      <c r="GL91" s="19" t="n">
        <f aca="false">$B91+GL$3*100*$A91</f>
        <v>211.915543496702</v>
      </c>
      <c r="GM91" s="19" t="n">
        <f aca="false">$B91+GM$3*100*$A91</f>
        <v>213.015543496702</v>
      </c>
      <c r="GN91" s="19" t="n">
        <f aca="false">$B91+GN$3*100*$A91</f>
        <v>214.115543496702</v>
      </c>
      <c r="GO91" s="19" t="n">
        <f aca="false">$B91+GO$3*100*$A91</f>
        <v>215.215543496702</v>
      </c>
      <c r="GP91" s="19" t="n">
        <f aca="false">$B91+GP$3*100*$A91</f>
        <v>216.315543496702</v>
      </c>
      <c r="GQ91" s="19" t="n">
        <f aca="false">$B91+GQ$3*100*$A91</f>
        <v>217.415543496702</v>
      </c>
      <c r="GR91" s="19" t="n">
        <f aca="false">$B91+GR$3*100*$A91</f>
        <v>218.515543496702</v>
      </c>
      <c r="GS91" s="19" t="n">
        <f aca="false">$B91+GS$3*100*$A91</f>
        <v>219.615543496702</v>
      </c>
      <c r="GT91" s="19" t="n">
        <f aca="false">$B91+GT$3*100*$A91</f>
        <v>220.715543496702</v>
      </c>
    </row>
    <row r="92" customFormat="false" ht="15" hidden="false" customHeight="false" outlineLevel="0" collapsed="false">
      <c r="A92" s="26" t="n">
        <f aca="false">Frontier!A90</f>
        <v>0.2225</v>
      </c>
      <c r="B92" s="34" t="n">
        <f aca="false">Frontier!B90</f>
        <v>0.6</v>
      </c>
      <c r="C92" s="19" t="n">
        <f aca="false">$B92+C$3*100*$A92</f>
        <v>1.7125</v>
      </c>
      <c r="D92" s="19" t="n">
        <f aca="false">$B92+D$3*100*$A92</f>
        <v>2.825</v>
      </c>
      <c r="E92" s="19" t="n">
        <f aca="false">$B92+E$3*100*$A92</f>
        <v>3.9375</v>
      </c>
      <c r="F92" s="19" t="n">
        <f aca="false">$B92+F$3*100*$A92</f>
        <v>5.05</v>
      </c>
      <c r="G92" s="19" t="n">
        <f aca="false">$B92+G$3*100*$A92</f>
        <v>6.1625</v>
      </c>
      <c r="H92" s="19" t="n">
        <f aca="false">$B92+H$3*100*$A92</f>
        <v>7.275</v>
      </c>
      <c r="I92" s="19" t="n">
        <f aca="false">$B92+I$3*100*$A92</f>
        <v>8.3875</v>
      </c>
      <c r="J92" s="19" t="n">
        <f aca="false">$B92+J$3*100*$A92</f>
        <v>9.5</v>
      </c>
      <c r="K92" s="19" t="n">
        <f aca="false">$B92+K$3*100*$A92</f>
        <v>10.6125</v>
      </c>
      <c r="L92" s="19" t="n">
        <f aca="false">$B92+L$3*100*$A92</f>
        <v>11.725</v>
      </c>
      <c r="M92" s="19" t="n">
        <f aca="false">$B92+M$3*100*$A92</f>
        <v>12.8375</v>
      </c>
      <c r="N92" s="19" t="n">
        <f aca="false">$B92+N$3*100*$A92</f>
        <v>13.95</v>
      </c>
      <c r="O92" s="19" t="n">
        <f aca="false">$B92+O$3*100*$A92</f>
        <v>15.0625</v>
      </c>
      <c r="P92" s="19" t="n">
        <f aca="false">$B92+P$3*100*$A92</f>
        <v>16.175</v>
      </c>
      <c r="Q92" s="19" t="n">
        <f aca="false">$B92+Q$3*100*$A92</f>
        <v>17.2875</v>
      </c>
      <c r="R92" s="19" t="n">
        <f aca="false">$B92+R$3*100*$A92</f>
        <v>18.4</v>
      </c>
      <c r="S92" s="19" t="n">
        <f aca="false">$B92+S$3*100*$A92</f>
        <v>19.5125</v>
      </c>
      <c r="T92" s="19" t="n">
        <f aca="false">$B92+T$3*100*$A92</f>
        <v>20.625</v>
      </c>
      <c r="U92" s="19" t="n">
        <f aca="false">$B92+U$3*100*$A92</f>
        <v>21.7375</v>
      </c>
      <c r="V92" s="19" t="n">
        <f aca="false">$B92+V$3*100*$A92</f>
        <v>22.85</v>
      </c>
      <c r="W92" s="19" t="n">
        <f aca="false">$B92+W$3*100*$A92</f>
        <v>23.9625</v>
      </c>
      <c r="X92" s="19" t="n">
        <f aca="false">$B92+X$3*100*$A92</f>
        <v>25.075</v>
      </c>
      <c r="Y92" s="19" t="n">
        <f aca="false">$B92+Y$3*100*$A92</f>
        <v>26.1875</v>
      </c>
      <c r="Z92" s="19" t="n">
        <f aca="false">$B92+Z$3*100*$A92</f>
        <v>27.3</v>
      </c>
      <c r="AA92" s="19" t="n">
        <f aca="false">$B92+AA$3*100*$A92</f>
        <v>28.4125</v>
      </c>
      <c r="AB92" s="19" t="n">
        <f aca="false">$B92+AB$3*100*$A92</f>
        <v>29.525</v>
      </c>
      <c r="AC92" s="19" t="n">
        <f aca="false">$B92+AC$3*100*$A92</f>
        <v>30.6375</v>
      </c>
      <c r="AD92" s="19" t="n">
        <f aca="false">$B92+AD$3*100*$A92</f>
        <v>31.75</v>
      </c>
      <c r="AE92" s="19" t="n">
        <f aca="false">$B92+AE$3*100*$A92</f>
        <v>32.8625</v>
      </c>
      <c r="AF92" s="19" t="n">
        <f aca="false">$B92+AF$3*100*$A92</f>
        <v>33.975</v>
      </c>
      <c r="AG92" s="19" t="n">
        <f aca="false">$B92+AG$3*100*$A92</f>
        <v>35.0875</v>
      </c>
      <c r="AH92" s="19" t="n">
        <f aca="false">$B92+AH$3*100*$A92</f>
        <v>36.2</v>
      </c>
      <c r="AI92" s="19" t="n">
        <f aca="false">$B92+AI$3*100*$A92</f>
        <v>37.3125</v>
      </c>
      <c r="AJ92" s="19" t="n">
        <f aca="false">$B92+AJ$3*100*$A92</f>
        <v>38.425</v>
      </c>
      <c r="AK92" s="19" t="n">
        <f aca="false">$B92+AK$3*100*$A92</f>
        <v>39.5375</v>
      </c>
      <c r="AL92" s="19" t="n">
        <f aca="false">$B92+AL$3*100*$A92</f>
        <v>40.65</v>
      </c>
      <c r="AM92" s="19" t="n">
        <f aca="false">$B92+AM$3*100*$A92</f>
        <v>41.7625</v>
      </c>
      <c r="AN92" s="19" t="n">
        <f aca="false">$B92+AN$3*100*$A92</f>
        <v>42.875</v>
      </c>
      <c r="AO92" s="19" t="n">
        <f aca="false">$B92+AO$3*100*$A92</f>
        <v>43.9875</v>
      </c>
      <c r="AP92" s="19" t="n">
        <f aca="false">$B92+AP$3*100*$A92</f>
        <v>45.1</v>
      </c>
      <c r="AQ92" s="19" t="n">
        <f aca="false">$B92+AQ$3*100*$A92</f>
        <v>46.2125</v>
      </c>
      <c r="AR92" s="19" t="n">
        <f aca="false">$B92+AR$3*100*$A92</f>
        <v>47.325</v>
      </c>
      <c r="AS92" s="19" t="n">
        <f aca="false">$B92+AS$3*100*$A92</f>
        <v>48.4375</v>
      </c>
      <c r="AT92" s="19" t="n">
        <f aca="false">$B92+AT$3*100*$A92</f>
        <v>49.55</v>
      </c>
      <c r="AU92" s="19" t="n">
        <f aca="false">$B92+AU$3*100*$A92</f>
        <v>50.6625</v>
      </c>
      <c r="AV92" s="19" t="n">
        <f aca="false">$B92+AV$3*100*$A92</f>
        <v>51.775</v>
      </c>
      <c r="AW92" s="19" t="n">
        <f aca="false">$B92+AW$3*100*$A92</f>
        <v>52.8875</v>
      </c>
      <c r="AX92" s="19" t="n">
        <f aca="false">$B92+AX$3*100*$A92</f>
        <v>54</v>
      </c>
      <c r="AY92" s="19" t="n">
        <f aca="false">$B92+AY$3*100*$A92</f>
        <v>55.1125</v>
      </c>
      <c r="AZ92" s="19" t="n">
        <f aca="false">$B92+AZ$3*100*$A92</f>
        <v>56.225</v>
      </c>
      <c r="BA92" s="19" t="n">
        <f aca="false">$B92+BA$3*100*$A92</f>
        <v>57.3375</v>
      </c>
      <c r="BB92" s="19" t="n">
        <f aca="false">$B92+BB$3*100*$A92</f>
        <v>58.45</v>
      </c>
      <c r="BC92" s="19" t="n">
        <f aca="false">$B92+BC$3*100*$A92</f>
        <v>59.5625</v>
      </c>
      <c r="BD92" s="19" t="n">
        <f aca="false">$B92+BD$3*100*$A92</f>
        <v>60.675</v>
      </c>
      <c r="BE92" s="19" t="n">
        <f aca="false">$B92+BE$3*100*$A92</f>
        <v>61.7875</v>
      </c>
      <c r="BF92" s="19" t="n">
        <f aca="false">$B92+BF$3*100*$A92</f>
        <v>62.9</v>
      </c>
      <c r="BG92" s="19" t="n">
        <f aca="false">$B92+BG$3*100*$A92</f>
        <v>64.0125</v>
      </c>
      <c r="BH92" s="19" t="n">
        <f aca="false">$B92+BH$3*100*$A92</f>
        <v>65.125</v>
      </c>
      <c r="BI92" s="19" t="n">
        <f aca="false">$B92+BI$3*100*$A92</f>
        <v>66.2375</v>
      </c>
      <c r="BJ92" s="19" t="n">
        <f aca="false">$B92+BJ$3*100*$A92</f>
        <v>67.35</v>
      </c>
      <c r="BK92" s="19" t="n">
        <f aca="false">$B92+BK$3*100*$A92</f>
        <v>68.4625</v>
      </c>
      <c r="BL92" s="19" t="n">
        <f aca="false">$B92+BL$3*100*$A92</f>
        <v>69.575</v>
      </c>
      <c r="BM92" s="19" t="n">
        <f aca="false">$B92+BM$3*100*$A92</f>
        <v>70.6875</v>
      </c>
      <c r="BN92" s="19" t="n">
        <f aca="false">$B92+BN$3*100*$A92</f>
        <v>71.8</v>
      </c>
      <c r="BO92" s="19" t="n">
        <f aca="false">$B92+BO$3*100*$A92</f>
        <v>72.9125</v>
      </c>
      <c r="BP92" s="19" t="n">
        <f aca="false">$B92+BP$3*100*$A92</f>
        <v>74.025</v>
      </c>
      <c r="BQ92" s="19" t="n">
        <f aca="false">$B92+BQ$3*100*$A92</f>
        <v>75.1375</v>
      </c>
      <c r="BR92" s="19" t="n">
        <f aca="false">$B92+BR$3*100*$A92</f>
        <v>76.25</v>
      </c>
      <c r="BS92" s="19" t="n">
        <f aca="false">$B92+BS$3*100*$A92</f>
        <v>77.3625</v>
      </c>
      <c r="BT92" s="19" t="n">
        <f aca="false">$B92+BT$3*100*$A92</f>
        <v>78.475</v>
      </c>
      <c r="BU92" s="19" t="n">
        <f aca="false">$B92+BU$3*100*$A92</f>
        <v>79.5875</v>
      </c>
      <c r="BV92" s="19" t="n">
        <f aca="false">$B92+BV$3*100*$A92</f>
        <v>80.7</v>
      </c>
      <c r="BW92" s="19" t="n">
        <f aca="false">$B92+BW$3*100*$A92</f>
        <v>81.8125</v>
      </c>
      <c r="BX92" s="19" t="n">
        <f aca="false">$B92+BX$3*100*$A92</f>
        <v>82.925</v>
      </c>
      <c r="BY92" s="19" t="n">
        <f aca="false">$B92+BY$3*100*$A92</f>
        <v>84.0375</v>
      </c>
      <c r="BZ92" s="19" t="n">
        <f aca="false">$B92+BZ$3*100*$A92</f>
        <v>85.15</v>
      </c>
      <c r="CA92" s="19" t="n">
        <f aca="false">$B92+CA$3*100*$A92</f>
        <v>86.2625</v>
      </c>
      <c r="CB92" s="19" t="n">
        <f aca="false">$B92+CB$3*100*$A92</f>
        <v>87.375</v>
      </c>
      <c r="CC92" s="19" t="n">
        <f aca="false">$B92+CC$3*100*$A92</f>
        <v>88.4875</v>
      </c>
      <c r="CD92" s="19" t="n">
        <f aca="false">$B92+CD$3*100*$A92</f>
        <v>89.6</v>
      </c>
      <c r="CE92" s="19" t="n">
        <f aca="false">$B92+CE$3*100*$A92</f>
        <v>90.7125</v>
      </c>
      <c r="CF92" s="19" t="n">
        <f aca="false">$B92+CF$3*100*$A92</f>
        <v>91.825</v>
      </c>
      <c r="CG92" s="19" t="n">
        <f aca="false">$B92+CG$3*100*$A92</f>
        <v>92.9375</v>
      </c>
      <c r="CH92" s="19" t="n">
        <f aca="false">$B92+CH$3*100*$A92</f>
        <v>94.05</v>
      </c>
      <c r="CI92" s="19" t="n">
        <f aca="false">$B92+CI$3*100*$A92</f>
        <v>95.1625</v>
      </c>
      <c r="CJ92" s="19" t="n">
        <f aca="false">$B92+CJ$3*100*$A92</f>
        <v>96.275</v>
      </c>
      <c r="CK92" s="19" t="n">
        <f aca="false">$B92+CK$3*100*$A92</f>
        <v>97.3875</v>
      </c>
      <c r="CL92" s="19" t="n">
        <f aca="false">$B92+CL$3*100*$A92</f>
        <v>98.5</v>
      </c>
      <c r="CM92" s="19" t="n">
        <f aca="false">$B92+CM$3*100*$A92</f>
        <v>99.6125</v>
      </c>
      <c r="CN92" s="19" t="n">
        <f aca="false">$B92+CN$3*100*$A92</f>
        <v>100.725</v>
      </c>
      <c r="CO92" s="19" t="n">
        <f aca="false">$B92+CO$3*100*$A92</f>
        <v>101.8375</v>
      </c>
      <c r="CP92" s="19" t="n">
        <f aca="false">$B92+CP$3*100*$A92</f>
        <v>102.95</v>
      </c>
      <c r="CQ92" s="19" t="n">
        <f aca="false">$B92+CQ$3*100*$A92</f>
        <v>104.0625</v>
      </c>
      <c r="CR92" s="19" t="n">
        <f aca="false">$B92+CR$3*100*$A92</f>
        <v>105.175</v>
      </c>
      <c r="CS92" s="19" t="n">
        <f aca="false">$B92+CS$3*100*$A92</f>
        <v>106.2875</v>
      </c>
      <c r="CT92" s="19" t="n">
        <f aca="false">$B92+CT$3*100*$A92</f>
        <v>107.4</v>
      </c>
      <c r="CU92" s="19" t="n">
        <f aca="false">$B92+CU$3*100*$A92</f>
        <v>108.5125</v>
      </c>
      <c r="CV92" s="19" t="n">
        <f aca="false">$B92+CV$3*100*$A92</f>
        <v>109.625</v>
      </c>
      <c r="CW92" s="19" t="n">
        <f aca="false">$B92+CW$3*100*$A92</f>
        <v>110.7375</v>
      </c>
      <c r="CX92" s="19" t="n">
        <f aca="false">$B92+CX$3*100*$A92</f>
        <v>111.85</v>
      </c>
      <c r="CY92" s="19" t="n">
        <f aca="false">$B92+CY$3*100*$A92</f>
        <v>112.9625</v>
      </c>
      <c r="CZ92" s="19" t="n">
        <f aca="false">$B92+CZ$3*100*$A92</f>
        <v>114.075</v>
      </c>
      <c r="DA92" s="19" t="n">
        <f aca="false">$B92+DA$3*100*$A92</f>
        <v>115.1875</v>
      </c>
      <c r="DB92" s="19" t="n">
        <f aca="false">$B92+DB$3*100*$A92</f>
        <v>116.3</v>
      </c>
      <c r="DC92" s="19" t="n">
        <f aca="false">$B92+DC$3*100*$A92</f>
        <v>117.4125</v>
      </c>
      <c r="DD92" s="19" t="n">
        <f aca="false">$B92+DD$3*100*$A92</f>
        <v>118.525</v>
      </c>
      <c r="DE92" s="19" t="n">
        <f aca="false">$B92+DE$3*100*$A92</f>
        <v>119.6375</v>
      </c>
      <c r="DF92" s="19" t="n">
        <f aca="false">$B92+DF$3*100*$A92</f>
        <v>120.75</v>
      </c>
      <c r="DG92" s="19" t="n">
        <f aca="false">$B92+DG$3*100*$A92</f>
        <v>121.8625</v>
      </c>
      <c r="DH92" s="19" t="n">
        <f aca="false">$B92+DH$3*100*$A92</f>
        <v>122.975</v>
      </c>
      <c r="DI92" s="19" t="n">
        <f aca="false">$B92+DI$3*100*$A92</f>
        <v>124.0875</v>
      </c>
      <c r="DJ92" s="19" t="n">
        <f aca="false">$B92+DJ$3*100*$A92</f>
        <v>125.2</v>
      </c>
      <c r="DK92" s="19" t="n">
        <f aca="false">$B92+DK$3*100*$A92</f>
        <v>126.3125</v>
      </c>
      <c r="DL92" s="19" t="n">
        <f aca="false">$B92+DL$3*100*$A92</f>
        <v>127.425</v>
      </c>
      <c r="DM92" s="19" t="n">
        <f aca="false">$B92+DM$3*100*$A92</f>
        <v>128.5375</v>
      </c>
      <c r="DN92" s="19" t="n">
        <f aca="false">$B92+DN$3*100*$A92</f>
        <v>129.65</v>
      </c>
      <c r="DO92" s="19" t="n">
        <f aca="false">$B92+DO$3*100*$A92</f>
        <v>130.7625</v>
      </c>
      <c r="DP92" s="19" t="n">
        <f aca="false">$B92+DP$3*100*$A92</f>
        <v>131.875</v>
      </c>
      <c r="DQ92" s="19" t="n">
        <f aca="false">$B92+DQ$3*100*$A92</f>
        <v>132.9875</v>
      </c>
      <c r="DR92" s="19" t="n">
        <f aca="false">$B92+DR$3*100*$A92</f>
        <v>134.1</v>
      </c>
      <c r="DS92" s="19" t="n">
        <f aca="false">$B92+DS$3*100*$A92</f>
        <v>135.2125</v>
      </c>
      <c r="DT92" s="19" t="n">
        <f aca="false">$B92+DT$3*100*$A92</f>
        <v>136.325</v>
      </c>
      <c r="DU92" s="19" t="n">
        <f aca="false">$B92+DU$3*100*$A92</f>
        <v>137.4375</v>
      </c>
      <c r="DV92" s="19" t="n">
        <f aca="false">$B92+DV$3*100*$A92</f>
        <v>138.55</v>
      </c>
      <c r="DW92" s="19" t="n">
        <f aca="false">$B92+DW$3*100*$A92</f>
        <v>139.6625</v>
      </c>
      <c r="DX92" s="19" t="n">
        <f aca="false">$B92+DX$3*100*$A92</f>
        <v>140.775</v>
      </c>
      <c r="DY92" s="19" t="n">
        <f aca="false">$B92+DY$3*100*$A92</f>
        <v>141.8875</v>
      </c>
      <c r="DZ92" s="19" t="n">
        <f aca="false">$B92+DZ$3*100*$A92</f>
        <v>143</v>
      </c>
      <c r="EA92" s="19" t="n">
        <f aca="false">$B92+EA$3*100*$A92</f>
        <v>144.1125</v>
      </c>
      <c r="EB92" s="19" t="n">
        <f aca="false">$B92+EB$3*100*$A92</f>
        <v>145.225</v>
      </c>
      <c r="EC92" s="19" t="n">
        <f aca="false">$B92+EC$3*100*$A92</f>
        <v>146.3375</v>
      </c>
      <c r="ED92" s="19" t="n">
        <f aca="false">$B92+ED$3*100*$A92</f>
        <v>147.45</v>
      </c>
      <c r="EE92" s="19" t="n">
        <f aca="false">$B92+EE$3*100*$A92</f>
        <v>148.5625</v>
      </c>
      <c r="EF92" s="19" t="n">
        <f aca="false">$B92+EF$3*100*$A92</f>
        <v>149.675</v>
      </c>
      <c r="EG92" s="19" t="n">
        <f aca="false">$B92+EG$3*100*$A92</f>
        <v>150.7875</v>
      </c>
      <c r="EH92" s="19" t="n">
        <f aca="false">$B92+EH$3*100*$A92</f>
        <v>151.9</v>
      </c>
      <c r="EI92" s="19" t="n">
        <f aca="false">$B92+EI$3*100*$A92</f>
        <v>153.0125</v>
      </c>
      <c r="EJ92" s="19" t="n">
        <f aca="false">$B92+EJ$3*100*$A92</f>
        <v>154.125</v>
      </c>
      <c r="EK92" s="19" t="n">
        <f aca="false">$B92+EK$3*100*$A92</f>
        <v>155.2375</v>
      </c>
      <c r="EL92" s="19" t="n">
        <f aca="false">$B92+EL$3*100*$A92</f>
        <v>156.35</v>
      </c>
      <c r="EM92" s="19" t="n">
        <f aca="false">$B92+EM$3*100*$A92</f>
        <v>157.4625</v>
      </c>
      <c r="EN92" s="19" t="n">
        <f aca="false">$B92+EN$3*100*$A92</f>
        <v>158.575</v>
      </c>
      <c r="EO92" s="19" t="n">
        <f aca="false">$B92+EO$3*100*$A92</f>
        <v>159.6875</v>
      </c>
      <c r="EP92" s="19" t="n">
        <f aca="false">$B92+EP$3*100*$A92</f>
        <v>160.8</v>
      </c>
      <c r="EQ92" s="19" t="n">
        <f aca="false">$B92+EQ$3*100*$A92</f>
        <v>161.9125</v>
      </c>
      <c r="ER92" s="19" t="n">
        <f aca="false">$B92+ER$3*100*$A92</f>
        <v>163.025</v>
      </c>
      <c r="ES92" s="19" t="n">
        <f aca="false">$B92+ES$3*100*$A92</f>
        <v>164.1375</v>
      </c>
      <c r="ET92" s="19" t="n">
        <f aca="false">$B92+ET$3*100*$A92</f>
        <v>165.25</v>
      </c>
      <c r="EU92" s="19" t="n">
        <f aca="false">$B92+EU$3*100*$A92</f>
        <v>166.3625</v>
      </c>
      <c r="EV92" s="19" t="n">
        <f aca="false">$B92+EV$3*100*$A92</f>
        <v>167.475</v>
      </c>
      <c r="EW92" s="19" t="n">
        <f aca="false">$B92+EW$3*100*$A92</f>
        <v>168.5875</v>
      </c>
      <c r="EX92" s="19" t="n">
        <f aca="false">$B92+EX$3*100*$A92</f>
        <v>169.7</v>
      </c>
      <c r="EY92" s="19" t="n">
        <f aca="false">$B92+EY$3*100*$A92</f>
        <v>170.8125</v>
      </c>
      <c r="EZ92" s="19" t="n">
        <f aca="false">$B92+EZ$3*100*$A92</f>
        <v>171.925</v>
      </c>
      <c r="FA92" s="19" t="n">
        <f aca="false">$B92+FA$3*100*$A92</f>
        <v>173.0375</v>
      </c>
      <c r="FB92" s="19" t="n">
        <f aca="false">$B92+FB$3*100*$A92</f>
        <v>174.15</v>
      </c>
      <c r="FC92" s="19" t="n">
        <f aca="false">$B92+FC$3*100*$A92</f>
        <v>175.2625</v>
      </c>
      <c r="FD92" s="19" t="n">
        <f aca="false">$B92+FD$3*100*$A92</f>
        <v>176.375</v>
      </c>
      <c r="FE92" s="19" t="n">
        <f aca="false">$B92+FE$3*100*$A92</f>
        <v>177.4875</v>
      </c>
      <c r="FF92" s="19" t="n">
        <f aca="false">$B92+FF$3*100*$A92</f>
        <v>178.6</v>
      </c>
      <c r="FG92" s="19" t="n">
        <f aca="false">$B92+FG$3*100*$A92</f>
        <v>179.7125</v>
      </c>
      <c r="FH92" s="19" t="n">
        <f aca="false">$B92+FH$3*100*$A92</f>
        <v>180.825</v>
      </c>
      <c r="FI92" s="19" t="n">
        <f aca="false">$B92+FI$3*100*$A92</f>
        <v>181.9375</v>
      </c>
      <c r="FJ92" s="19" t="n">
        <f aca="false">$B92+FJ$3*100*$A92</f>
        <v>183.05</v>
      </c>
      <c r="FK92" s="19" t="n">
        <f aca="false">$B92+FK$3*100*$A92</f>
        <v>184.1625</v>
      </c>
      <c r="FL92" s="19" t="n">
        <f aca="false">$B92+FL$3*100*$A92</f>
        <v>185.275</v>
      </c>
      <c r="FM92" s="19" t="n">
        <f aca="false">$B92+FM$3*100*$A92</f>
        <v>186.3875</v>
      </c>
      <c r="FN92" s="19" t="n">
        <f aca="false">$B92+FN$3*100*$A92</f>
        <v>187.5</v>
      </c>
      <c r="FO92" s="19" t="n">
        <f aca="false">$B92+FO$3*100*$A92</f>
        <v>188.6125</v>
      </c>
      <c r="FP92" s="19" t="n">
        <f aca="false">$B92+FP$3*100*$A92</f>
        <v>189.725</v>
      </c>
      <c r="FQ92" s="19" t="n">
        <f aca="false">$B92+FQ$3*100*$A92</f>
        <v>190.8375</v>
      </c>
      <c r="FR92" s="19" t="n">
        <f aca="false">$B92+FR$3*100*$A92</f>
        <v>191.95</v>
      </c>
      <c r="FS92" s="19" t="n">
        <f aca="false">$B92+FS$3*100*$A92</f>
        <v>193.0625</v>
      </c>
      <c r="FT92" s="19" t="n">
        <f aca="false">$B92+FT$3*100*$A92</f>
        <v>194.175</v>
      </c>
      <c r="FU92" s="19" t="n">
        <f aca="false">$B92+FU$3*100*$A92</f>
        <v>195.2875</v>
      </c>
      <c r="FV92" s="19" t="n">
        <f aca="false">$B92+FV$3*100*$A92</f>
        <v>196.4</v>
      </c>
      <c r="FW92" s="19" t="n">
        <f aca="false">$B92+FW$3*100*$A92</f>
        <v>197.5125</v>
      </c>
      <c r="FX92" s="19" t="n">
        <f aca="false">$B92+FX$3*100*$A92</f>
        <v>198.625</v>
      </c>
      <c r="FY92" s="19" t="n">
        <f aca="false">$B92+FY$3*100*$A92</f>
        <v>199.7375</v>
      </c>
      <c r="FZ92" s="19" t="n">
        <f aca="false">$B92+FZ$3*100*$A92</f>
        <v>200.85</v>
      </c>
      <c r="GA92" s="19" t="n">
        <f aca="false">$B92+GA$3*100*$A92</f>
        <v>201.9625</v>
      </c>
      <c r="GB92" s="19" t="n">
        <f aca="false">$B92+GB$3*100*$A92</f>
        <v>203.075</v>
      </c>
      <c r="GC92" s="19" t="n">
        <f aca="false">$B92+GC$3*100*$A92</f>
        <v>204.1875</v>
      </c>
      <c r="GD92" s="19" t="n">
        <f aca="false">$B92+GD$3*100*$A92</f>
        <v>205.3</v>
      </c>
      <c r="GE92" s="19" t="n">
        <f aca="false">$B92+GE$3*100*$A92</f>
        <v>206.4125</v>
      </c>
      <c r="GF92" s="19" t="n">
        <f aca="false">$B92+GF$3*100*$A92</f>
        <v>207.525</v>
      </c>
      <c r="GG92" s="19" t="n">
        <f aca="false">$B92+GG$3*100*$A92</f>
        <v>208.6375</v>
      </c>
      <c r="GH92" s="19" t="n">
        <f aca="false">$B92+GH$3*100*$A92</f>
        <v>209.75</v>
      </c>
      <c r="GI92" s="19" t="n">
        <f aca="false">$B92+GI$3*100*$A92</f>
        <v>210.8625</v>
      </c>
      <c r="GJ92" s="19" t="n">
        <f aca="false">$B92+GJ$3*100*$A92</f>
        <v>211.975</v>
      </c>
      <c r="GK92" s="19" t="n">
        <f aca="false">$B92+GK$3*100*$A92</f>
        <v>213.0875</v>
      </c>
      <c r="GL92" s="19" t="n">
        <f aca="false">$B92+GL$3*100*$A92</f>
        <v>214.2</v>
      </c>
      <c r="GM92" s="19" t="n">
        <f aca="false">$B92+GM$3*100*$A92</f>
        <v>215.3125</v>
      </c>
      <c r="GN92" s="19" t="n">
        <f aca="false">$B92+GN$3*100*$A92</f>
        <v>216.425</v>
      </c>
      <c r="GO92" s="19" t="n">
        <f aca="false">$B92+GO$3*100*$A92</f>
        <v>217.5375</v>
      </c>
      <c r="GP92" s="19" t="n">
        <f aca="false">$B92+GP$3*100*$A92</f>
        <v>218.65</v>
      </c>
      <c r="GQ92" s="19" t="n">
        <f aca="false">$B92+GQ$3*100*$A92</f>
        <v>219.7625</v>
      </c>
      <c r="GR92" s="19" t="n">
        <f aca="false">$B92+GR$3*100*$A92</f>
        <v>220.875</v>
      </c>
      <c r="GS92" s="19" t="n">
        <f aca="false">$B92+GS$3*100*$A92</f>
        <v>221.9875</v>
      </c>
      <c r="GT92" s="19" t="n">
        <f aca="false">$B92+GT$3*100*$A92</f>
        <v>223.1</v>
      </c>
    </row>
    <row r="93" customFormat="false" ht="15" hidden="false" customHeight="false" outlineLevel="0" collapsed="false">
      <c r="A93" s="26" t="n">
        <f aca="false">Frontier!A91</f>
        <v>0.225</v>
      </c>
      <c r="B93" s="34" t="n">
        <f aca="false">Frontier!B91</f>
        <v>0.6</v>
      </c>
      <c r="C93" s="19" t="n">
        <f aca="false">$B93+C$3*100*$A93</f>
        <v>1.725</v>
      </c>
      <c r="D93" s="19" t="n">
        <f aca="false">$B93+D$3*100*$A93</f>
        <v>2.85</v>
      </c>
      <c r="E93" s="19" t="n">
        <f aca="false">$B93+E$3*100*$A93</f>
        <v>3.975</v>
      </c>
      <c r="F93" s="19" t="n">
        <f aca="false">$B93+F$3*100*$A93</f>
        <v>5.1</v>
      </c>
      <c r="G93" s="19" t="n">
        <f aca="false">$B93+G$3*100*$A93</f>
        <v>6.225</v>
      </c>
      <c r="H93" s="19" t="n">
        <f aca="false">$B93+H$3*100*$A93</f>
        <v>7.35</v>
      </c>
      <c r="I93" s="19" t="n">
        <f aca="false">$B93+I$3*100*$A93</f>
        <v>8.475</v>
      </c>
      <c r="J93" s="19" t="n">
        <f aca="false">$B93+J$3*100*$A93</f>
        <v>9.6</v>
      </c>
      <c r="K93" s="19" t="n">
        <f aca="false">$B93+K$3*100*$A93</f>
        <v>10.725</v>
      </c>
      <c r="L93" s="19" t="n">
        <f aca="false">$B93+L$3*100*$A93</f>
        <v>11.85</v>
      </c>
      <c r="M93" s="19" t="n">
        <f aca="false">$B93+M$3*100*$A93</f>
        <v>12.975</v>
      </c>
      <c r="N93" s="19" t="n">
        <f aca="false">$B93+N$3*100*$A93</f>
        <v>14.1</v>
      </c>
      <c r="O93" s="19" t="n">
        <f aca="false">$B93+O$3*100*$A93</f>
        <v>15.225</v>
      </c>
      <c r="P93" s="19" t="n">
        <f aca="false">$B93+P$3*100*$A93</f>
        <v>16.35</v>
      </c>
      <c r="Q93" s="19" t="n">
        <f aca="false">$B93+Q$3*100*$A93</f>
        <v>17.475</v>
      </c>
      <c r="R93" s="19" t="n">
        <f aca="false">$B93+R$3*100*$A93</f>
        <v>18.6</v>
      </c>
      <c r="S93" s="19" t="n">
        <f aca="false">$B93+S$3*100*$A93</f>
        <v>19.725</v>
      </c>
      <c r="T93" s="19" t="n">
        <f aca="false">$B93+T$3*100*$A93</f>
        <v>20.85</v>
      </c>
      <c r="U93" s="19" t="n">
        <f aca="false">$B93+U$3*100*$A93</f>
        <v>21.975</v>
      </c>
      <c r="V93" s="19" t="n">
        <f aca="false">$B93+V$3*100*$A93</f>
        <v>23.1</v>
      </c>
      <c r="W93" s="19" t="n">
        <f aca="false">$B93+W$3*100*$A93</f>
        <v>24.225</v>
      </c>
      <c r="X93" s="19" t="n">
        <f aca="false">$B93+X$3*100*$A93</f>
        <v>25.35</v>
      </c>
      <c r="Y93" s="19" t="n">
        <f aca="false">$B93+Y$3*100*$A93</f>
        <v>26.475</v>
      </c>
      <c r="Z93" s="19" t="n">
        <f aca="false">$B93+Z$3*100*$A93</f>
        <v>27.6</v>
      </c>
      <c r="AA93" s="19" t="n">
        <f aca="false">$B93+AA$3*100*$A93</f>
        <v>28.725</v>
      </c>
      <c r="AB93" s="19" t="n">
        <f aca="false">$B93+AB$3*100*$A93</f>
        <v>29.85</v>
      </c>
      <c r="AC93" s="19" t="n">
        <f aca="false">$B93+AC$3*100*$A93</f>
        <v>30.975</v>
      </c>
      <c r="AD93" s="19" t="n">
        <f aca="false">$B93+AD$3*100*$A93</f>
        <v>32.1</v>
      </c>
      <c r="AE93" s="19" t="n">
        <f aca="false">$B93+AE$3*100*$A93</f>
        <v>33.225</v>
      </c>
      <c r="AF93" s="19" t="n">
        <f aca="false">$B93+AF$3*100*$A93</f>
        <v>34.35</v>
      </c>
      <c r="AG93" s="19" t="n">
        <f aca="false">$B93+AG$3*100*$A93</f>
        <v>35.475</v>
      </c>
      <c r="AH93" s="19" t="n">
        <f aca="false">$B93+AH$3*100*$A93</f>
        <v>36.6</v>
      </c>
      <c r="AI93" s="19" t="n">
        <f aca="false">$B93+AI$3*100*$A93</f>
        <v>37.725</v>
      </c>
      <c r="AJ93" s="19" t="n">
        <f aca="false">$B93+AJ$3*100*$A93</f>
        <v>38.85</v>
      </c>
      <c r="AK93" s="19" t="n">
        <f aca="false">$B93+AK$3*100*$A93</f>
        <v>39.975</v>
      </c>
      <c r="AL93" s="19" t="n">
        <f aca="false">$B93+AL$3*100*$A93</f>
        <v>41.1</v>
      </c>
      <c r="AM93" s="19" t="n">
        <f aca="false">$B93+AM$3*100*$A93</f>
        <v>42.225</v>
      </c>
      <c r="AN93" s="19" t="n">
        <f aca="false">$B93+AN$3*100*$A93</f>
        <v>43.35</v>
      </c>
      <c r="AO93" s="19" t="n">
        <f aca="false">$B93+AO$3*100*$A93</f>
        <v>44.475</v>
      </c>
      <c r="AP93" s="19" t="n">
        <f aca="false">$B93+AP$3*100*$A93</f>
        <v>45.6</v>
      </c>
      <c r="AQ93" s="19" t="n">
        <f aca="false">$B93+AQ$3*100*$A93</f>
        <v>46.725</v>
      </c>
      <c r="AR93" s="19" t="n">
        <f aca="false">$B93+AR$3*100*$A93</f>
        <v>47.85</v>
      </c>
      <c r="AS93" s="19" t="n">
        <f aca="false">$B93+AS$3*100*$A93</f>
        <v>48.975</v>
      </c>
      <c r="AT93" s="19" t="n">
        <f aca="false">$B93+AT$3*100*$A93</f>
        <v>50.1</v>
      </c>
      <c r="AU93" s="19" t="n">
        <f aca="false">$B93+AU$3*100*$A93</f>
        <v>51.225</v>
      </c>
      <c r="AV93" s="19" t="n">
        <f aca="false">$B93+AV$3*100*$A93</f>
        <v>52.35</v>
      </c>
      <c r="AW93" s="19" t="n">
        <f aca="false">$B93+AW$3*100*$A93</f>
        <v>53.475</v>
      </c>
      <c r="AX93" s="19" t="n">
        <f aca="false">$B93+AX$3*100*$A93</f>
        <v>54.6</v>
      </c>
      <c r="AY93" s="19" t="n">
        <f aca="false">$B93+AY$3*100*$A93</f>
        <v>55.725</v>
      </c>
      <c r="AZ93" s="19" t="n">
        <f aca="false">$B93+AZ$3*100*$A93</f>
        <v>56.85</v>
      </c>
      <c r="BA93" s="19" t="n">
        <f aca="false">$B93+BA$3*100*$A93</f>
        <v>57.975</v>
      </c>
      <c r="BB93" s="19" t="n">
        <f aca="false">$B93+BB$3*100*$A93</f>
        <v>59.1</v>
      </c>
      <c r="BC93" s="19" t="n">
        <f aca="false">$B93+BC$3*100*$A93</f>
        <v>60.225</v>
      </c>
      <c r="BD93" s="19" t="n">
        <f aca="false">$B93+BD$3*100*$A93</f>
        <v>61.35</v>
      </c>
      <c r="BE93" s="19" t="n">
        <f aca="false">$B93+BE$3*100*$A93</f>
        <v>62.475</v>
      </c>
      <c r="BF93" s="19" t="n">
        <f aca="false">$B93+BF$3*100*$A93</f>
        <v>63.6</v>
      </c>
      <c r="BG93" s="19" t="n">
        <f aca="false">$B93+BG$3*100*$A93</f>
        <v>64.725</v>
      </c>
      <c r="BH93" s="19" t="n">
        <f aca="false">$B93+BH$3*100*$A93</f>
        <v>65.85</v>
      </c>
      <c r="BI93" s="19" t="n">
        <f aca="false">$B93+BI$3*100*$A93</f>
        <v>66.975</v>
      </c>
      <c r="BJ93" s="19" t="n">
        <f aca="false">$B93+BJ$3*100*$A93</f>
        <v>68.1</v>
      </c>
      <c r="BK93" s="19" t="n">
        <f aca="false">$B93+BK$3*100*$A93</f>
        <v>69.225</v>
      </c>
      <c r="BL93" s="19" t="n">
        <f aca="false">$B93+BL$3*100*$A93</f>
        <v>70.35</v>
      </c>
      <c r="BM93" s="19" t="n">
        <f aca="false">$B93+BM$3*100*$A93</f>
        <v>71.475</v>
      </c>
      <c r="BN93" s="19" t="n">
        <f aca="false">$B93+BN$3*100*$A93</f>
        <v>72.6</v>
      </c>
      <c r="BO93" s="19" t="n">
        <f aca="false">$B93+BO$3*100*$A93</f>
        <v>73.725</v>
      </c>
      <c r="BP93" s="19" t="n">
        <f aca="false">$B93+BP$3*100*$A93</f>
        <v>74.85</v>
      </c>
      <c r="BQ93" s="19" t="n">
        <f aca="false">$B93+BQ$3*100*$A93</f>
        <v>75.975</v>
      </c>
      <c r="BR93" s="19" t="n">
        <f aca="false">$B93+BR$3*100*$A93</f>
        <v>77.1</v>
      </c>
      <c r="BS93" s="19" t="n">
        <f aca="false">$B93+BS$3*100*$A93</f>
        <v>78.225</v>
      </c>
      <c r="BT93" s="19" t="n">
        <f aca="false">$B93+BT$3*100*$A93</f>
        <v>79.35</v>
      </c>
      <c r="BU93" s="19" t="n">
        <f aca="false">$B93+BU$3*100*$A93</f>
        <v>80.475</v>
      </c>
      <c r="BV93" s="19" t="n">
        <f aca="false">$B93+BV$3*100*$A93</f>
        <v>81.6</v>
      </c>
      <c r="BW93" s="19" t="n">
        <f aca="false">$B93+BW$3*100*$A93</f>
        <v>82.725</v>
      </c>
      <c r="BX93" s="19" t="n">
        <f aca="false">$B93+BX$3*100*$A93</f>
        <v>83.85</v>
      </c>
      <c r="BY93" s="19" t="n">
        <f aca="false">$B93+BY$3*100*$A93</f>
        <v>84.975</v>
      </c>
      <c r="BZ93" s="19" t="n">
        <f aca="false">$B93+BZ$3*100*$A93</f>
        <v>86.1</v>
      </c>
      <c r="CA93" s="19" t="n">
        <f aca="false">$B93+CA$3*100*$A93</f>
        <v>87.225</v>
      </c>
      <c r="CB93" s="19" t="n">
        <f aca="false">$B93+CB$3*100*$A93</f>
        <v>88.35</v>
      </c>
      <c r="CC93" s="19" t="n">
        <f aca="false">$B93+CC$3*100*$A93</f>
        <v>89.475</v>
      </c>
      <c r="CD93" s="19" t="n">
        <f aca="false">$B93+CD$3*100*$A93</f>
        <v>90.6</v>
      </c>
      <c r="CE93" s="19" t="n">
        <f aca="false">$B93+CE$3*100*$A93</f>
        <v>91.725</v>
      </c>
      <c r="CF93" s="19" t="n">
        <f aca="false">$B93+CF$3*100*$A93</f>
        <v>92.85</v>
      </c>
      <c r="CG93" s="19" t="n">
        <f aca="false">$B93+CG$3*100*$A93</f>
        <v>93.975</v>
      </c>
      <c r="CH93" s="19" t="n">
        <f aca="false">$B93+CH$3*100*$A93</f>
        <v>95.1</v>
      </c>
      <c r="CI93" s="19" t="n">
        <f aca="false">$B93+CI$3*100*$A93</f>
        <v>96.225</v>
      </c>
      <c r="CJ93" s="19" t="n">
        <f aca="false">$B93+CJ$3*100*$A93</f>
        <v>97.35</v>
      </c>
      <c r="CK93" s="19" t="n">
        <f aca="false">$B93+CK$3*100*$A93</f>
        <v>98.475</v>
      </c>
      <c r="CL93" s="19" t="n">
        <f aca="false">$B93+CL$3*100*$A93</f>
        <v>99.6</v>
      </c>
      <c r="CM93" s="19" t="n">
        <f aca="false">$B93+CM$3*100*$A93</f>
        <v>100.725</v>
      </c>
      <c r="CN93" s="19" t="n">
        <f aca="false">$B93+CN$3*100*$A93</f>
        <v>101.85</v>
      </c>
      <c r="CO93" s="19" t="n">
        <f aca="false">$B93+CO$3*100*$A93</f>
        <v>102.975</v>
      </c>
      <c r="CP93" s="19" t="n">
        <f aca="false">$B93+CP$3*100*$A93</f>
        <v>104.1</v>
      </c>
      <c r="CQ93" s="19" t="n">
        <f aca="false">$B93+CQ$3*100*$A93</f>
        <v>105.225</v>
      </c>
      <c r="CR93" s="19" t="n">
        <f aca="false">$B93+CR$3*100*$A93</f>
        <v>106.35</v>
      </c>
      <c r="CS93" s="19" t="n">
        <f aca="false">$B93+CS$3*100*$A93</f>
        <v>107.475</v>
      </c>
      <c r="CT93" s="19" t="n">
        <f aca="false">$B93+CT$3*100*$A93</f>
        <v>108.6</v>
      </c>
      <c r="CU93" s="19" t="n">
        <f aca="false">$B93+CU$3*100*$A93</f>
        <v>109.725</v>
      </c>
      <c r="CV93" s="19" t="n">
        <f aca="false">$B93+CV$3*100*$A93</f>
        <v>110.85</v>
      </c>
      <c r="CW93" s="19" t="n">
        <f aca="false">$B93+CW$3*100*$A93</f>
        <v>111.975</v>
      </c>
      <c r="CX93" s="19" t="n">
        <f aca="false">$B93+CX$3*100*$A93</f>
        <v>113.1</v>
      </c>
      <c r="CY93" s="19" t="n">
        <f aca="false">$B93+CY$3*100*$A93</f>
        <v>114.225</v>
      </c>
      <c r="CZ93" s="19" t="n">
        <f aca="false">$B93+CZ$3*100*$A93</f>
        <v>115.35</v>
      </c>
      <c r="DA93" s="19" t="n">
        <f aca="false">$B93+DA$3*100*$A93</f>
        <v>116.475</v>
      </c>
      <c r="DB93" s="19" t="n">
        <f aca="false">$B93+DB$3*100*$A93</f>
        <v>117.6</v>
      </c>
      <c r="DC93" s="19" t="n">
        <f aca="false">$B93+DC$3*100*$A93</f>
        <v>118.725</v>
      </c>
      <c r="DD93" s="19" t="n">
        <f aca="false">$B93+DD$3*100*$A93</f>
        <v>119.85</v>
      </c>
      <c r="DE93" s="19" t="n">
        <f aca="false">$B93+DE$3*100*$A93</f>
        <v>120.975</v>
      </c>
      <c r="DF93" s="19" t="n">
        <f aca="false">$B93+DF$3*100*$A93</f>
        <v>122.1</v>
      </c>
      <c r="DG93" s="19" t="n">
        <f aca="false">$B93+DG$3*100*$A93</f>
        <v>123.225</v>
      </c>
      <c r="DH93" s="19" t="n">
        <f aca="false">$B93+DH$3*100*$A93</f>
        <v>124.35</v>
      </c>
      <c r="DI93" s="19" t="n">
        <f aca="false">$B93+DI$3*100*$A93</f>
        <v>125.475</v>
      </c>
      <c r="DJ93" s="19" t="n">
        <f aca="false">$B93+DJ$3*100*$A93</f>
        <v>126.6</v>
      </c>
      <c r="DK93" s="19" t="n">
        <f aca="false">$B93+DK$3*100*$A93</f>
        <v>127.725</v>
      </c>
      <c r="DL93" s="19" t="n">
        <f aca="false">$B93+DL$3*100*$A93</f>
        <v>128.85</v>
      </c>
      <c r="DM93" s="19" t="n">
        <f aca="false">$B93+DM$3*100*$A93</f>
        <v>129.975</v>
      </c>
      <c r="DN93" s="19" t="n">
        <f aca="false">$B93+DN$3*100*$A93</f>
        <v>131.1</v>
      </c>
      <c r="DO93" s="19" t="n">
        <f aca="false">$B93+DO$3*100*$A93</f>
        <v>132.225</v>
      </c>
      <c r="DP93" s="19" t="n">
        <f aca="false">$B93+DP$3*100*$A93</f>
        <v>133.35</v>
      </c>
      <c r="DQ93" s="19" t="n">
        <f aca="false">$B93+DQ$3*100*$A93</f>
        <v>134.475</v>
      </c>
      <c r="DR93" s="19" t="n">
        <f aca="false">$B93+DR$3*100*$A93</f>
        <v>135.6</v>
      </c>
      <c r="DS93" s="19" t="n">
        <f aca="false">$B93+DS$3*100*$A93</f>
        <v>136.725</v>
      </c>
      <c r="DT93" s="19" t="n">
        <f aca="false">$B93+DT$3*100*$A93</f>
        <v>137.85</v>
      </c>
      <c r="DU93" s="19" t="n">
        <f aca="false">$B93+DU$3*100*$A93</f>
        <v>138.975</v>
      </c>
      <c r="DV93" s="19" t="n">
        <f aca="false">$B93+DV$3*100*$A93</f>
        <v>140.1</v>
      </c>
      <c r="DW93" s="19" t="n">
        <f aca="false">$B93+DW$3*100*$A93</f>
        <v>141.225</v>
      </c>
      <c r="DX93" s="19" t="n">
        <f aca="false">$B93+DX$3*100*$A93</f>
        <v>142.35</v>
      </c>
      <c r="DY93" s="19" t="n">
        <f aca="false">$B93+DY$3*100*$A93</f>
        <v>143.475</v>
      </c>
      <c r="DZ93" s="19" t="n">
        <f aca="false">$B93+DZ$3*100*$A93</f>
        <v>144.6</v>
      </c>
      <c r="EA93" s="19" t="n">
        <f aca="false">$B93+EA$3*100*$A93</f>
        <v>145.725</v>
      </c>
      <c r="EB93" s="19" t="n">
        <f aca="false">$B93+EB$3*100*$A93</f>
        <v>146.85</v>
      </c>
      <c r="EC93" s="19" t="n">
        <f aca="false">$B93+EC$3*100*$A93</f>
        <v>147.975</v>
      </c>
      <c r="ED93" s="19" t="n">
        <f aca="false">$B93+ED$3*100*$A93</f>
        <v>149.1</v>
      </c>
      <c r="EE93" s="19" t="n">
        <f aca="false">$B93+EE$3*100*$A93</f>
        <v>150.225</v>
      </c>
      <c r="EF93" s="19" t="n">
        <f aca="false">$B93+EF$3*100*$A93</f>
        <v>151.35</v>
      </c>
      <c r="EG93" s="19" t="n">
        <f aca="false">$B93+EG$3*100*$A93</f>
        <v>152.475</v>
      </c>
      <c r="EH93" s="19" t="n">
        <f aca="false">$B93+EH$3*100*$A93</f>
        <v>153.6</v>
      </c>
      <c r="EI93" s="19" t="n">
        <f aca="false">$B93+EI$3*100*$A93</f>
        <v>154.725</v>
      </c>
      <c r="EJ93" s="19" t="n">
        <f aca="false">$B93+EJ$3*100*$A93</f>
        <v>155.85</v>
      </c>
      <c r="EK93" s="19" t="n">
        <f aca="false">$B93+EK$3*100*$A93</f>
        <v>156.975</v>
      </c>
      <c r="EL93" s="19" t="n">
        <f aca="false">$B93+EL$3*100*$A93</f>
        <v>158.1</v>
      </c>
      <c r="EM93" s="19" t="n">
        <f aca="false">$B93+EM$3*100*$A93</f>
        <v>159.225</v>
      </c>
      <c r="EN93" s="19" t="n">
        <f aca="false">$B93+EN$3*100*$A93</f>
        <v>160.35</v>
      </c>
      <c r="EO93" s="19" t="n">
        <f aca="false">$B93+EO$3*100*$A93</f>
        <v>161.475</v>
      </c>
      <c r="EP93" s="19" t="n">
        <f aca="false">$B93+EP$3*100*$A93</f>
        <v>162.6</v>
      </c>
      <c r="EQ93" s="19" t="n">
        <f aca="false">$B93+EQ$3*100*$A93</f>
        <v>163.725</v>
      </c>
      <c r="ER93" s="19" t="n">
        <f aca="false">$B93+ER$3*100*$A93</f>
        <v>164.85</v>
      </c>
      <c r="ES93" s="19" t="n">
        <f aca="false">$B93+ES$3*100*$A93</f>
        <v>165.975</v>
      </c>
      <c r="ET93" s="19" t="n">
        <f aca="false">$B93+ET$3*100*$A93</f>
        <v>167.1</v>
      </c>
      <c r="EU93" s="19" t="n">
        <f aca="false">$B93+EU$3*100*$A93</f>
        <v>168.225</v>
      </c>
      <c r="EV93" s="19" t="n">
        <f aca="false">$B93+EV$3*100*$A93</f>
        <v>169.35</v>
      </c>
      <c r="EW93" s="19" t="n">
        <f aca="false">$B93+EW$3*100*$A93</f>
        <v>170.475</v>
      </c>
      <c r="EX93" s="19" t="n">
        <f aca="false">$B93+EX$3*100*$A93</f>
        <v>171.6</v>
      </c>
      <c r="EY93" s="19" t="n">
        <f aca="false">$B93+EY$3*100*$A93</f>
        <v>172.725</v>
      </c>
      <c r="EZ93" s="19" t="n">
        <f aca="false">$B93+EZ$3*100*$A93</f>
        <v>173.85</v>
      </c>
      <c r="FA93" s="19" t="n">
        <f aca="false">$B93+FA$3*100*$A93</f>
        <v>174.975</v>
      </c>
      <c r="FB93" s="19" t="n">
        <f aca="false">$B93+FB$3*100*$A93</f>
        <v>176.1</v>
      </c>
      <c r="FC93" s="19" t="n">
        <f aca="false">$B93+FC$3*100*$A93</f>
        <v>177.225</v>
      </c>
      <c r="FD93" s="19" t="n">
        <f aca="false">$B93+FD$3*100*$A93</f>
        <v>178.35</v>
      </c>
      <c r="FE93" s="19" t="n">
        <f aca="false">$B93+FE$3*100*$A93</f>
        <v>179.475</v>
      </c>
      <c r="FF93" s="19" t="n">
        <f aca="false">$B93+FF$3*100*$A93</f>
        <v>180.6</v>
      </c>
      <c r="FG93" s="19" t="n">
        <f aca="false">$B93+FG$3*100*$A93</f>
        <v>181.725</v>
      </c>
      <c r="FH93" s="19" t="n">
        <f aca="false">$B93+FH$3*100*$A93</f>
        <v>182.85</v>
      </c>
      <c r="FI93" s="19" t="n">
        <f aca="false">$B93+FI$3*100*$A93</f>
        <v>183.975</v>
      </c>
      <c r="FJ93" s="19" t="n">
        <f aca="false">$B93+FJ$3*100*$A93</f>
        <v>185.1</v>
      </c>
      <c r="FK93" s="19" t="n">
        <f aca="false">$B93+FK$3*100*$A93</f>
        <v>186.225</v>
      </c>
      <c r="FL93" s="19" t="n">
        <f aca="false">$B93+FL$3*100*$A93</f>
        <v>187.35</v>
      </c>
      <c r="FM93" s="19" t="n">
        <f aca="false">$B93+FM$3*100*$A93</f>
        <v>188.475</v>
      </c>
      <c r="FN93" s="19" t="n">
        <f aca="false">$B93+FN$3*100*$A93</f>
        <v>189.6</v>
      </c>
      <c r="FO93" s="19" t="n">
        <f aca="false">$B93+FO$3*100*$A93</f>
        <v>190.725</v>
      </c>
      <c r="FP93" s="19" t="n">
        <f aca="false">$B93+FP$3*100*$A93</f>
        <v>191.85</v>
      </c>
      <c r="FQ93" s="19" t="n">
        <f aca="false">$B93+FQ$3*100*$A93</f>
        <v>192.975</v>
      </c>
      <c r="FR93" s="19" t="n">
        <f aca="false">$B93+FR$3*100*$A93</f>
        <v>194.1</v>
      </c>
      <c r="FS93" s="19" t="n">
        <f aca="false">$B93+FS$3*100*$A93</f>
        <v>195.225</v>
      </c>
      <c r="FT93" s="19" t="n">
        <f aca="false">$B93+FT$3*100*$A93</f>
        <v>196.35</v>
      </c>
      <c r="FU93" s="19" t="n">
        <f aca="false">$B93+FU$3*100*$A93</f>
        <v>197.475</v>
      </c>
      <c r="FV93" s="19" t="n">
        <f aca="false">$B93+FV$3*100*$A93</f>
        <v>198.6</v>
      </c>
      <c r="FW93" s="19" t="n">
        <f aca="false">$B93+FW$3*100*$A93</f>
        <v>199.725</v>
      </c>
      <c r="FX93" s="19" t="n">
        <f aca="false">$B93+FX$3*100*$A93</f>
        <v>200.85</v>
      </c>
      <c r="FY93" s="19" t="n">
        <f aca="false">$B93+FY$3*100*$A93</f>
        <v>201.975</v>
      </c>
      <c r="FZ93" s="19" t="n">
        <f aca="false">$B93+FZ$3*100*$A93</f>
        <v>203.1</v>
      </c>
      <c r="GA93" s="19" t="n">
        <f aca="false">$B93+GA$3*100*$A93</f>
        <v>204.225</v>
      </c>
      <c r="GB93" s="19" t="n">
        <f aca="false">$B93+GB$3*100*$A93</f>
        <v>205.35</v>
      </c>
      <c r="GC93" s="19" t="n">
        <f aca="false">$B93+GC$3*100*$A93</f>
        <v>206.475</v>
      </c>
      <c r="GD93" s="19" t="n">
        <f aca="false">$B93+GD$3*100*$A93</f>
        <v>207.6</v>
      </c>
      <c r="GE93" s="19" t="n">
        <f aca="false">$B93+GE$3*100*$A93</f>
        <v>208.725</v>
      </c>
      <c r="GF93" s="19" t="n">
        <f aca="false">$B93+GF$3*100*$A93</f>
        <v>209.85</v>
      </c>
      <c r="GG93" s="19" t="n">
        <f aca="false">$B93+GG$3*100*$A93</f>
        <v>210.975</v>
      </c>
      <c r="GH93" s="19" t="n">
        <f aca="false">$B93+GH$3*100*$A93</f>
        <v>212.1</v>
      </c>
      <c r="GI93" s="19" t="n">
        <f aca="false">$B93+GI$3*100*$A93</f>
        <v>213.225</v>
      </c>
      <c r="GJ93" s="19" t="n">
        <f aca="false">$B93+GJ$3*100*$A93</f>
        <v>214.35</v>
      </c>
      <c r="GK93" s="19" t="n">
        <f aca="false">$B93+GK$3*100*$A93</f>
        <v>215.475</v>
      </c>
      <c r="GL93" s="19" t="n">
        <f aca="false">$B93+GL$3*100*$A93</f>
        <v>216.6</v>
      </c>
      <c r="GM93" s="19" t="n">
        <f aca="false">$B93+GM$3*100*$A93</f>
        <v>217.725</v>
      </c>
      <c r="GN93" s="19" t="n">
        <f aca="false">$B93+GN$3*100*$A93</f>
        <v>218.85</v>
      </c>
      <c r="GO93" s="19" t="n">
        <f aca="false">$B93+GO$3*100*$A93</f>
        <v>219.975</v>
      </c>
      <c r="GP93" s="19" t="n">
        <f aca="false">$B93+GP$3*100*$A93</f>
        <v>221.1</v>
      </c>
      <c r="GQ93" s="19" t="n">
        <f aca="false">$B93+GQ$3*100*$A93</f>
        <v>222.225</v>
      </c>
      <c r="GR93" s="19" t="n">
        <f aca="false">$B93+GR$3*100*$A93</f>
        <v>223.35</v>
      </c>
      <c r="GS93" s="19" t="n">
        <f aca="false">$B93+GS$3*100*$A93</f>
        <v>224.475</v>
      </c>
      <c r="GT93" s="19" t="n">
        <f aca="false">$B93+GT$3*100*$A93</f>
        <v>225.6</v>
      </c>
    </row>
    <row r="94" customFormat="false" ht="15" hidden="false" customHeight="false" outlineLevel="0" collapsed="false">
      <c r="A94" s="26" t="n">
        <f aca="false">Frontier!A92</f>
        <v>0.2275</v>
      </c>
      <c r="B94" s="34" t="n">
        <f aca="false">Frontier!B92</f>
        <v>0.470459956950383</v>
      </c>
      <c r="C94" s="19" t="n">
        <f aca="false">$B94+C$3*100*$A94</f>
        <v>1.60795995695038</v>
      </c>
      <c r="D94" s="19" t="n">
        <f aca="false">$B94+D$3*100*$A94</f>
        <v>2.74545995695038</v>
      </c>
      <c r="E94" s="19" t="n">
        <f aca="false">$B94+E$3*100*$A94</f>
        <v>3.88295995695038</v>
      </c>
      <c r="F94" s="19" t="n">
        <f aca="false">$B94+F$3*100*$A94</f>
        <v>5.02045995695038</v>
      </c>
      <c r="G94" s="19" t="n">
        <f aca="false">$B94+G$3*100*$A94</f>
        <v>6.15795995695038</v>
      </c>
      <c r="H94" s="19" t="n">
        <f aca="false">$B94+H$3*100*$A94</f>
        <v>7.29545995695038</v>
      </c>
      <c r="I94" s="19" t="n">
        <f aca="false">$B94+I$3*100*$A94</f>
        <v>8.43295995695038</v>
      </c>
      <c r="J94" s="19" t="n">
        <f aca="false">$B94+J$3*100*$A94</f>
        <v>9.57045995695038</v>
      </c>
      <c r="K94" s="19" t="n">
        <f aca="false">$B94+K$3*100*$A94</f>
        <v>10.7079599569504</v>
      </c>
      <c r="L94" s="19" t="n">
        <f aca="false">$B94+L$3*100*$A94</f>
        <v>11.8454599569504</v>
      </c>
      <c r="M94" s="19" t="n">
        <f aca="false">$B94+M$3*100*$A94</f>
        <v>12.9829599569504</v>
      </c>
      <c r="N94" s="19" t="n">
        <f aca="false">$B94+N$3*100*$A94</f>
        <v>14.1204599569504</v>
      </c>
      <c r="O94" s="19" t="n">
        <f aca="false">$B94+O$3*100*$A94</f>
        <v>15.2579599569504</v>
      </c>
      <c r="P94" s="19" t="n">
        <f aca="false">$B94+P$3*100*$A94</f>
        <v>16.3954599569504</v>
      </c>
      <c r="Q94" s="19" t="n">
        <f aca="false">$B94+Q$3*100*$A94</f>
        <v>17.5329599569504</v>
      </c>
      <c r="R94" s="19" t="n">
        <f aca="false">$B94+R$3*100*$A94</f>
        <v>18.6704599569504</v>
      </c>
      <c r="S94" s="19" t="n">
        <f aca="false">$B94+S$3*100*$A94</f>
        <v>19.8079599569504</v>
      </c>
      <c r="T94" s="19" t="n">
        <f aca="false">$B94+T$3*100*$A94</f>
        <v>20.9454599569504</v>
      </c>
      <c r="U94" s="19" t="n">
        <f aca="false">$B94+U$3*100*$A94</f>
        <v>22.0829599569504</v>
      </c>
      <c r="V94" s="19" t="n">
        <f aca="false">$B94+V$3*100*$A94</f>
        <v>23.2204599569504</v>
      </c>
      <c r="W94" s="19" t="n">
        <f aca="false">$B94+W$3*100*$A94</f>
        <v>24.3579599569504</v>
      </c>
      <c r="X94" s="19" t="n">
        <f aca="false">$B94+X$3*100*$A94</f>
        <v>25.4954599569504</v>
      </c>
      <c r="Y94" s="19" t="n">
        <f aca="false">$B94+Y$3*100*$A94</f>
        <v>26.6329599569504</v>
      </c>
      <c r="Z94" s="19" t="n">
        <f aca="false">$B94+Z$3*100*$A94</f>
        <v>27.7704599569504</v>
      </c>
      <c r="AA94" s="19" t="n">
        <f aca="false">$B94+AA$3*100*$A94</f>
        <v>28.9079599569504</v>
      </c>
      <c r="AB94" s="19" t="n">
        <f aca="false">$B94+AB$3*100*$A94</f>
        <v>30.0454599569504</v>
      </c>
      <c r="AC94" s="19" t="n">
        <f aca="false">$B94+AC$3*100*$A94</f>
        <v>31.1829599569504</v>
      </c>
      <c r="AD94" s="19" t="n">
        <f aca="false">$B94+AD$3*100*$A94</f>
        <v>32.3204599569504</v>
      </c>
      <c r="AE94" s="19" t="n">
        <f aca="false">$B94+AE$3*100*$A94</f>
        <v>33.4579599569504</v>
      </c>
      <c r="AF94" s="19" t="n">
        <f aca="false">$B94+AF$3*100*$A94</f>
        <v>34.5954599569504</v>
      </c>
      <c r="AG94" s="19" t="n">
        <f aca="false">$B94+AG$3*100*$A94</f>
        <v>35.7329599569504</v>
      </c>
      <c r="AH94" s="19" t="n">
        <f aca="false">$B94+AH$3*100*$A94</f>
        <v>36.8704599569504</v>
      </c>
      <c r="AI94" s="19" t="n">
        <f aca="false">$B94+AI$3*100*$A94</f>
        <v>38.0079599569504</v>
      </c>
      <c r="AJ94" s="19" t="n">
        <f aca="false">$B94+AJ$3*100*$A94</f>
        <v>39.1454599569504</v>
      </c>
      <c r="AK94" s="19" t="n">
        <f aca="false">$B94+AK$3*100*$A94</f>
        <v>40.2829599569504</v>
      </c>
      <c r="AL94" s="19" t="n">
        <f aca="false">$B94+AL$3*100*$A94</f>
        <v>41.4204599569504</v>
      </c>
      <c r="AM94" s="19" t="n">
        <f aca="false">$B94+AM$3*100*$A94</f>
        <v>42.5579599569504</v>
      </c>
      <c r="AN94" s="19" t="n">
        <f aca="false">$B94+AN$3*100*$A94</f>
        <v>43.6954599569504</v>
      </c>
      <c r="AO94" s="19" t="n">
        <f aca="false">$B94+AO$3*100*$A94</f>
        <v>44.8329599569504</v>
      </c>
      <c r="AP94" s="19" t="n">
        <f aca="false">$B94+AP$3*100*$A94</f>
        <v>45.9704599569504</v>
      </c>
      <c r="AQ94" s="19" t="n">
        <f aca="false">$B94+AQ$3*100*$A94</f>
        <v>47.1079599569504</v>
      </c>
      <c r="AR94" s="19" t="n">
        <f aca="false">$B94+AR$3*100*$A94</f>
        <v>48.2454599569504</v>
      </c>
      <c r="AS94" s="19" t="n">
        <f aca="false">$B94+AS$3*100*$A94</f>
        <v>49.3829599569504</v>
      </c>
      <c r="AT94" s="19" t="n">
        <f aca="false">$B94+AT$3*100*$A94</f>
        <v>50.5204599569504</v>
      </c>
      <c r="AU94" s="19" t="n">
        <f aca="false">$B94+AU$3*100*$A94</f>
        <v>51.6579599569504</v>
      </c>
      <c r="AV94" s="19" t="n">
        <f aca="false">$B94+AV$3*100*$A94</f>
        <v>52.7954599569504</v>
      </c>
      <c r="AW94" s="19" t="n">
        <f aca="false">$B94+AW$3*100*$A94</f>
        <v>53.9329599569504</v>
      </c>
      <c r="AX94" s="19" t="n">
        <f aca="false">$B94+AX$3*100*$A94</f>
        <v>55.0704599569504</v>
      </c>
      <c r="AY94" s="19" t="n">
        <f aca="false">$B94+AY$3*100*$A94</f>
        <v>56.2079599569504</v>
      </c>
      <c r="AZ94" s="19" t="n">
        <f aca="false">$B94+AZ$3*100*$A94</f>
        <v>57.3454599569504</v>
      </c>
      <c r="BA94" s="19" t="n">
        <f aca="false">$B94+BA$3*100*$A94</f>
        <v>58.4829599569504</v>
      </c>
      <c r="BB94" s="19" t="n">
        <f aca="false">$B94+BB$3*100*$A94</f>
        <v>59.6204599569504</v>
      </c>
      <c r="BC94" s="19" t="n">
        <f aca="false">$B94+BC$3*100*$A94</f>
        <v>60.7579599569504</v>
      </c>
      <c r="BD94" s="19" t="n">
        <f aca="false">$B94+BD$3*100*$A94</f>
        <v>61.8954599569504</v>
      </c>
      <c r="BE94" s="19" t="n">
        <f aca="false">$B94+BE$3*100*$A94</f>
        <v>63.0329599569504</v>
      </c>
      <c r="BF94" s="19" t="n">
        <f aca="false">$B94+BF$3*100*$A94</f>
        <v>64.1704599569504</v>
      </c>
      <c r="BG94" s="19" t="n">
        <f aca="false">$B94+BG$3*100*$A94</f>
        <v>65.3079599569504</v>
      </c>
      <c r="BH94" s="19" t="n">
        <f aca="false">$B94+BH$3*100*$A94</f>
        <v>66.4454599569504</v>
      </c>
      <c r="BI94" s="19" t="n">
        <f aca="false">$B94+BI$3*100*$A94</f>
        <v>67.5829599569504</v>
      </c>
      <c r="BJ94" s="19" t="n">
        <f aca="false">$B94+BJ$3*100*$A94</f>
        <v>68.7204599569504</v>
      </c>
      <c r="BK94" s="19" t="n">
        <f aca="false">$B94+BK$3*100*$A94</f>
        <v>69.8579599569504</v>
      </c>
      <c r="BL94" s="19" t="n">
        <f aca="false">$B94+BL$3*100*$A94</f>
        <v>70.9954599569504</v>
      </c>
      <c r="BM94" s="19" t="n">
        <f aca="false">$B94+BM$3*100*$A94</f>
        <v>72.1329599569504</v>
      </c>
      <c r="BN94" s="19" t="n">
        <f aca="false">$B94+BN$3*100*$A94</f>
        <v>73.2704599569504</v>
      </c>
      <c r="BO94" s="19" t="n">
        <f aca="false">$B94+BO$3*100*$A94</f>
        <v>74.4079599569504</v>
      </c>
      <c r="BP94" s="19" t="n">
        <f aca="false">$B94+BP$3*100*$A94</f>
        <v>75.5454599569504</v>
      </c>
      <c r="BQ94" s="19" t="n">
        <f aca="false">$B94+BQ$3*100*$A94</f>
        <v>76.6829599569504</v>
      </c>
      <c r="BR94" s="19" t="n">
        <f aca="false">$B94+BR$3*100*$A94</f>
        <v>77.8204599569504</v>
      </c>
      <c r="BS94" s="19" t="n">
        <f aca="false">$B94+BS$3*100*$A94</f>
        <v>78.9579599569504</v>
      </c>
      <c r="BT94" s="19" t="n">
        <f aca="false">$B94+BT$3*100*$A94</f>
        <v>80.0954599569504</v>
      </c>
      <c r="BU94" s="19" t="n">
        <f aca="false">$B94+BU$3*100*$A94</f>
        <v>81.2329599569504</v>
      </c>
      <c r="BV94" s="19" t="n">
        <f aca="false">$B94+BV$3*100*$A94</f>
        <v>82.3704599569504</v>
      </c>
      <c r="BW94" s="19" t="n">
        <f aca="false">$B94+BW$3*100*$A94</f>
        <v>83.5079599569504</v>
      </c>
      <c r="BX94" s="19" t="n">
        <f aca="false">$B94+BX$3*100*$A94</f>
        <v>84.6454599569504</v>
      </c>
      <c r="BY94" s="19" t="n">
        <f aca="false">$B94+BY$3*100*$A94</f>
        <v>85.7829599569504</v>
      </c>
      <c r="BZ94" s="19" t="n">
        <f aca="false">$B94+BZ$3*100*$A94</f>
        <v>86.9204599569504</v>
      </c>
      <c r="CA94" s="19" t="n">
        <f aca="false">$B94+CA$3*100*$A94</f>
        <v>88.0579599569504</v>
      </c>
      <c r="CB94" s="19" t="n">
        <f aca="false">$B94+CB$3*100*$A94</f>
        <v>89.1954599569504</v>
      </c>
      <c r="CC94" s="19" t="n">
        <f aca="false">$B94+CC$3*100*$A94</f>
        <v>90.3329599569504</v>
      </c>
      <c r="CD94" s="19" t="n">
        <f aca="false">$B94+CD$3*100*$A94</f>
        <v>91.4704599569504</v>
      </c>
      <c r="CE94" s="19" t="n">
        <f aca="false">$B94+CE$3*100*$A94</f>
        <v>92.6079599569504</v>
      </c>
      <c r="CF94" s="19" t="n">
        <f aca="false">$B94+CF$3*100*$A94</f>
        <v>93.7454599569504</v>
      </c>
      <c r="CG94" s="19" t="n">
        <f aca="false">$B94+CG$3*100*$A94</f>
        <v>94.8829599569504</v>
      </c>
      <c r="CH94" s="19" t="n">
        <f aca="false">$B94+CH$3*100*$A94</f>
        <v>96.0204599569504</v>
      </c>
      <c r="CI94" s="19" t="n">
        <f aca="false">$B94+CI$3*100*$A94</f>
        <v>97.1579599569504</v>
      </c>
      <c r="CJ94" s="19" t="n">
        <f aca="false">$B94+CJ$3*100*$A94</f>
        <v>98.2954599569504</v>
      </c>
      <c r="CK94" s="19" t="n">
        <f aca="false">$B94+CK$3*100*$A94</f>
        <v>99.4329599569504</v>
      </c>
      <c r="CL94" s="19" t="n">
        <f aca="false">$B94+CL$3*100*$A94</f>
        <v>100.57045995695</v>
      </c>
      <c r="CM94" s="19" t="n">
        <f aca="false">$B94+CM$3*100*$A94</f>
        <v>101.70795995695</v>
      </c>
      <c r="CN94" s="19" t="n">
        <f aca="false">$B94+CN$3*100*$A94</f>
        <v>102.84545995695</v>
      </c>
      <c r="CO94" s="19" t="n">
        <f aca="false">$B94+CO$3*100*$A94</f>
        <v>103.98295995695</v>
      </c>
      <c r="CP94" s="19" t="n">
        <f aca="false">$B94+CP$3*100*$A94</f>
        <v>105.12045995695</v>
      </c>
      <c r="CQ94" s="19" t="n">
        <f aca="false">$B94+CQ$3*100*$A94</f>
        <v>106.25795995695</v>
      </c>
      <c r="CR94" s="19" t="n">
        <f aca="false">$B94+CR$3*100*$A94</f>
        <v>107.39545995695</v>
      </c>
      <c r="CS94" s="19" t="n">
        <f aca="false">$B94+CS$3*100*$A94</f>
        <v>108.53295995695</v>
      </c>
      <c r="CT94" s="19" t="n">
        <f aca="false">$B94+CT$3*100*$A94</f>
        <v>109.67045995695</v>
      </c>
      <c r="CU94" s="19" t="n">
        <f aca="false">$B94+CU$3*100*$A94</f>
        <v>110.80795995695</v>
      </c>
      <c r="CV94" s="19" t="n">
        <f aca="false">$B94+CV$3*100*$A94</f>
        <v>111.94545995695</v>
      </c>
      <c r="CW94" s="19" t="n">
        <f aca="false">$B94+CW$3*100*$A94</f>
        <v>113.08295995695</v>
      </c>
      <c r="CX94" s="19" t="n">
        <f aca="false">$B94+CX$3*100*$A94</f>
        <v>114.22045995695</v>
      </c>
      <c r="CY94" s="19" t="n">
        <f aca="false">$B94+CY$3*100*$A94</f>
        <v>115.35795995695</v>
      </c>
      <c r="CZ94" s="19" t="n">
        <f aca="false">$B94+CZ$3*100*$A94</f>
        <v>116.49545995695</v>
      </c>
      <c r="DA94" s="19" t="n">
        <f aca="false">$B94+DA$3*100*$A94</f>
        <v>117.63295995695</v>
      </c>
      <c r="DB94" s="19" t="n">
        <f aca="false">$B94+DB$3*100*$A94</f>
        <v>118.77045995695</v>
      </c>
      <c r="DC94" s="19" t="n">
        <f aca="false">$B94+DC$3*100*$A94</f>
        <v>119.90795995695</v>
      </c>
      <c r="DD94" s="19" t="n">
        <f aca="false">$B94+DD$3*100*$A94</f>
        <v>121.04545995695</v>
      </c>
      <c r="DE94" s="19" t="n">
        <f aca="false">$B94+DE$3*100*$A94</f>
        <v>122.18295995695</v>
      </c>
      <c r="DF94" s="19" t="n">
        <f aca="false">$B94+DF$3*100*$A94</f>
        <v>123.32045995695</v>
      </c>
      <c r="DG94" s="19" t="n">
        <f aca="false">$B94+DG$3*100*$A94</f>
        <v>124.45795995695</v>
      </c>
      <c r="DH94" s="19" t="n">
        <f aca="false">$B94+DH$3*100*$A94</f>
        <v>125.59545995695</v>
      </c>
      <c r="DI94" s="19" t="n">
        <f aca="false">$B94+DI$3*100*$A94</f>
        <v>126.73295995695</v>
      </c>
      <c r="DJ94" s="19" t="n">
        <f aca="false">$B94+DJ$3*100*$A94</f>
        <v>127.87045995695</v>
      </c>
      <c r="DK94" s="19" t="n">
        <f aca="false">$B94+DK$3*100*$A94</f>
        <v>129.00795995695</v>
      </c>
      <c r="DL94" s="19" t="n">
        <f aca="false">$B94+DL$3*100*$A94</f>
        <v>130.14545995695</v>
      </c>
      <c r="DM94" s="19" t="n">
        <f aca="false">$B94+DM$3*100*$A94</f>
        <v>131.28295995695</v>
      </c>
      <c r="DN94" s="19" t="n">
        <f aca="false">$B94+DN$3*100*$A94</f>
        <v>132.42045995695</v>
      </c>
      <c r="DO94" s="19" t="n">
        <f aca="false">$B94+DO$3*100*$A94</f>
        <v>133.55795995695</v>
      </c>
      <c r="DP94" s="19" t="n">
        <f aca="false">$B94+DP$3*100*$A94</f>
        <v>134.69545995695</v>
      </c>
      <c r="DQ94" s="19" t="n">
        <f aca="false">$B94+DQ$3*100*$A94</f>
        <v>135.83295995695</v>
      </c>
      <c r="DR94" s="19" t="n">
        <f aca="false">$B94+DR$3*100*$A94</f>
        <v>136.97045995695</v>
      </c>
      <c r="DS94" s="19" t="n">
        <f aca="false">$B94+DS$3*100*$A94</f>
        <v>138.10795995695</v>
      </c>
      <c r="DT94" s="19" t="n">
        <f aca="false">$B94+DT$3*100*$A94</f>
        <v>139.24545995695</v>
      </c>
      <c r="DU94" s="19" t="n">
        <f aca="false">$B94+DU$3*100*$A94</f>
        <v>140.38295995695</v>
      </c>
      <c r="DV94" s="19" t="n">
        <f aca="false">$B94+DV$3*100*$A94</f>
        <v>141.52045995695</v>
      </c>
      <c r="DW94" s="19" t="n">
        <f aca="false">$B94+DW$3*100*$A94</f>
        <v>142.65795995695</v>
      </c>
      <c r="DX94" s="19" t="n">
        <f aca="false">$B94+DX$3*100*$A94</f>
        <v>143.79545995695</v>
      </c>
      <c r="DY94" s="19" t="n">
        <f aca="false">$B94+DY$3*100*$A94</f>
        <v>144.93295995695</v>
      </c>
      <c r="DZ94" s="19" t="n">
        <f aca="false">$B94+DZ$3*100*$A94</f>
        <v>146.07045995695</v>
      </c>
      <c r="EA94" s="19" t="n">
        <f aca="false">$B94+EA$3*100*$A94</f>
        <v>147.20795995695</v>
      </c>
      <c r="EB94" s="19" t="n">
        <f aca="false">$B94+EB$3*100*$A94</f>
        <v>148.34545995695</v>
      </c>
      <c r="EC94" s="19" t="n">
        <f aca="false">$B94+EC$3*100*$A94</f>
        <v>149.48295995695</v>
      </c>
      <c r="ED94" s="19" t="n">
        <f aca="false">$B94+ED$3*100*$A94</f>
        <v>150.62045995695</v>
      </c>
      <c r="EE94" s="19" t="n">
        <f aca="false">$B94+EE$3*100*$A94</f>
        <v>151.75795995695</v>
      </c>
      <c r="EF94" s="19" t="n">
        <f aca="false">$B94+EF$3*100*$A94</f>
        <v>152.89545995695</v>
      </c>
      <c r="EG94" s="19" t="n">
        <f aca="false">$B94+EG$3*100*$A94</f>
        <v>154.03295995695</v>
      </c>
      <c r="EH94" s="19" t="n">
        <f aca="false">$B94+EH$3*100*$A94</f>
        <v>155.17045995695</v>
      </c>
      <c r="EI94" s="19" t="n">
        <f aca="false">$B94+EI$3*100*$A94</f>
        <v>156.30795995695</v>
      </c>
      <c r="EJ94" s="19" t="n">
        <f aca="false">$B94+EJ$3*100*$A94</f>
        <v>157.44545995695</v>
      </c>
      <c r="EK94" s="19" t="n">
        <f aca="false">$B94+EK$3*100*$A94</f>
        <v>158.58295995695</v>
      </c>
      <c r="EL94" s="19" t="n">
        <f aca="false">$B94+EL$3*100*$A94</f>
        <v>159.72045995695</v>
      </c>
      <c r="EM94" s="19" t="n">
        <f aca="false">$B94+EM$3*100*$A94</f>
        <v>160.85795995695</v>
      </c>
      <c r="EN94" s="19" t="n">
        <f aca="false">$B94+EN$3*100*$A94</f>
        <v>161.99545995695</v>
      </c>
      <c r="EO94" s="19" t="n">
        <f aca="false">$B94+EO$3*100*$A94</f>
        <v>163.13295995695</v>
      </c>
      <c r="EP94" s="19" t="n">
        <f aca="false">$B94+EP$3*100*$A94</f>
        <v>164.27045995695</v>
      </c>
      <c r="EQ94" s="19" t="n">
        <f aca="false">$B94+EQ$3*100*$A94</f>
        <v>165.40795995695</v>
      </c>
      <c r="ER94" s="19" t="n">
        <f aca="false">$B94+ER$3*100*$A94</f>
        <v>166.54545995695</v>
      </c>
      <c r="ES94" s="19" t="n">
        <f aca="false">$B94+ES$3*100*$A94</f>
        <v>167.68295995695</v>
      </c>
      <c r="ET94" s="19" t="n">
        <f aca="false">$B94+ET$3*100*$A94</f>
        <v>168.82045995695</v>
      </c>
      <c r="EU94" s="19" t="n">
        <f aca="false">$B94+EU$3*100*$A94</f>
        <v>169.95795995695</v>
      </c>
      <c r="EV94" s="19" t="n">
        <f aca="false">$B94+EV$3*100*$A94</f>
        <v>171.09545995695</v>
      </c>
      <c r="EW94" s="19" t="n">
        <f aca="false">$B94+EW$3*100*$A94</f>
        <v>172.23295995695</v>
      </c>
      <c r="EX94" s="19" t="n">
        <f aca="false">$B94+EX$3*100*$A94</f>
        <v>173.37045995695</v>
      </c>
      <c r="EY94" s="19" t="n">
        <f aca="false">$B94+EY$3*100*$A94</f>
        <v>174.50795995695</v>
      </c>
      <c r="EZ94" s="19" t="n">
        <f aca="false">$B94+EZ$3*100*$A94</f>
        <v>175.64545995695</v>
      </c>
      <c r="FA94" s="19" t="n">
        <f aca="false">$B94+FA$3*100*$A94</f>
        <v>176.78295995695</v>
      </c>
      <c r="FB94" s="19" t="n">
        <f aca="false">$B94+FB$3*100*$A94</f>
        <v>177.92045995695</v>
      </c>
      <c r="FC94" s="19" t="n">
        <f aca="false">$B94+FC$3*100*$A94</f>
        <v>179.05795995695</v>
      </c>
      <c r="FD94" s="19" t="n">
        <f aca="false">$B94+FD$3*100*$A94</f>
        <v>180.19545995695</v>
      </c>
      <c r="FE94" s="19" t="n">
        <f aca="false">$B94+FE$3*100*$A94</f>
        <v>181.33295995695</v>
      </c>
      <c r="FF94" s="19" t="n">
        <f aca="false">$B94+FF$3*100*$A94</f>
        <v>182.47045995695</v>
      </c>
      <c r="FG94" s="19" t="n">
        <f aca="false">$B94+FG$3*100*$A94</f>
        <v>183.60795995695</v>
      </c>
      <c r="FH94" s="19" t="n">
        <f aca="false">$B94+FH$3*100*$A94</f>
        <v>184.74545995695</v>
      </c>
      <c r="FI94" s="19" t="n">
        <f aca="false">$B94+FI$3*100*$A94</f>
        <v>185.88295995695</v>
      </c>
      <c r="FJ94" s="19" t="n">
        <f aca="false">$B94+FJ$3*100*$A94</f>
        <v>187.02045995695</v>
      </c>
      <c r="FK94" s="19" t="n">
        <f aca="false">$B94+FK$3*100*$A94</f>
        <v>188.15795995695</v>
      </c>
      <c r="FL94" s="19" t="n">
        <f aca="false">$B94+FL$3*100*$A94</f>
        <v>189.29545995695</v>
      </c>
      <c r="FM94" s="19" t="n">
        <f aca="false">$B94+FM$3*100*$A94</f>
        <v>190.43295995695</v>
      </c>
      <c r="FN94" s="19" t="n">
        <f aca="false">$B94+FN$3*100*$A94</f>
        <v>191.57045995695</v>
      </c>
      <c r="FO94" s="19" t="n">
        <f aca="false">$B94+FO$3*100*$A94</f>
        <v>192.70795995695</v>
      </c>
      <c r="FP94" s="19" t="n">
        <f aca="false">$B94+FP$3*100*$A94</f>
        <v>193.84545995695</v>
      </c>
      <c r="FQ94" s="19" t="n">
        <f aca="false">$B94+FQ$3*100*$A94</f>
        <v>194.98295995695</v>
      </c>
      <c r="FR94" s="19" t="n">
        <f aca="false">$B94+FR$3*100*$A94</f>
        <v>196.12045995695</v>
      </c>
      <c r="FS94" s="19" t="n">
        <f aca="false">$B94+FS$3*100*$A94</f>
        <v>197.25795995695</v>
      </c>
      <c r="FT94" s="19" t="n">
        <f aca="false">$B94+FT$3*100*$A94</f>
        <v>198.39545995695</v>
      </c>
      <c r="FU94" s="19" t="n">
        <f aca="false">$B94+FU$3*100*$A94</f>
        <v>199.53295995695</v>
      </c>
      <c r="FV94" s="19" t="n">
        <f aca="false">$B94+FV$3*100*$A94</f>
        <v>200.67045995695</v>
      </c>
      <c r="FW94" s="19" t="n">
        <f aca="false">$B94+FW$3*100*$A94</f>
        <v>201.80795995695</v>
      </c>
      <c r="FX94" s="19" t="n">
        <f aca="false">$B94+FX$3*100*$A94</f>
        <v>202.94545995695</v>
      </c>
      <c r="FY94" s="19" t="n">
        <f aca="false">$B94+FY$3*100*$A94</f>
        <v>204.08295995695</v>
      </c>
      <c r="FZ94" s="19" t="n">
        <f aca="false">$B94+FZ$3*100*$A94</f>
        <v>205.22045995695</v>
      </c>
      <c r="GA94" s="19" t="n">
        <f aca="false">$B94+GA$3*100*$A94</f>
        <v>206.35795995695</v>
      </c>
      <c r="GB94" s="19" t="n">
        <f aca="false">$B94+GB$3*100*$A94</f>
        <v>207.49545995695</v>
      </c>
      <c r="GC94" s="19" t="n">
        <f aca="false">$B94+GC$3*100*$A94</f>
        <v>208.63295995695</v>
      </c>
      <c r="GD94" s="19" t="n">
        <f aca="false">$B94+GD$3*100*$A94</f>
        <v>209.77045995695</v>
      </c>
      <c r="GE94" s="19" t="n">
        <f aca="false">$B94+GE$3*100*$A94</f>
        <v>210.90795995695</v>
      </c>
      <c r="GF94" s="19" t="n">
        <f aca="false">$B94+GF$3*100*$A94</f>
        <v>212.04545995695</v>
      </c>
      <c r="GG94" s="19" t="n">
        <f aca="false">$B94+GG$3*100*$A94</f>
        <v>213.18295995695</v>
      </c>
      <c r="GH94" s="19" t="n">
        <f aca="false">$B94+GH$3*100*$A94</f>
        <v>214.32045995695</v>
      </c>
      <c r="GI94" s="19" t="n">
        <f aca="false">$B94+GI$3*100*$A94</f>
        <v>215.45795995695</v>
      </c>
      <c r="GJ94" s="19" t="n">
        <f aca="false">$B94+GJ$3*100*$A94</f>
        <v>216.59545995695</v>
      </c>
      <c r="GK94" s="19" t="n">
        <f aca="false">$B94+GK$3*100*$A94</f>
        <v>217.73295995695</v>
      </c>
      <c r="GL94" s="19" t="n">
        <f aca="false">$B94+GL$3*100*$A94</f>
        <v>218.87045995695</v>
      </c>
      <c r="GM94" s="19" t="n">
        <f aca="false">$B94+GM$3*100*$A94</f>
        <v>220.00795995695</v>
      </c>
      <c r="GN94" s="19" t="n">
        <f aca="false">$B94+GN$3*100*$A94</f>
        <v>221.14545995695</v>
      </c>
      <c r="GO94" s="19" t="n">
        <f aca="false">$B94+GO$3*100*$A94</f>
        <v>222.28295995695</v>
      </c>
      <c r="GP94" s="19" t="n">
        <f aca="false">$B94+GP$3*100*$A94</f>
        <v>223.42045995695</v>
      </c>
      <c r="GQ94" s="19" t="n">
        <f aca="false">$B94+GQ$3*100*$A94</f>
        <v>224.55795995695</v>
      </c>
      <c r="GR94" s="19" t="n">
        <f aca="false">$B94+GR$3*100*$A94</f>
        <v>225.69545995695</v>
      </c>
      <c r="GS94" s="19" t="n">
        <f aca="false">$B94+GS$3*100*$A94</f>
        <v>226.83295995695</v>
      </c>
      <c r="GT94" s="19" t="n">
        <f aca="false">$B94+GT$3*100*$A94</f>
        <v>227.97045995695</v>
      </c>
    </row>
    <row r="95" customFormat="false" ht="15" hidden="false" customHeight="false" outlineLevel="0" collapsed="false">
      <c r="A95" s="26" t="n">
        <f aca="false">Frontier!A93</f>
        <v>0.23</v>
      </c>
      <c r="B95" s="34" t="n">
        <f aca="false">Frontier!B93</f>
        <v>0.45</v>
      </c>
      <c r="C95" s="19" t="n">
        <f aca="false">$B95+C$3*100*$A95</f>
        <v>1.6</v>
      </c>
      <c r="D95" s="19" t="n">
        <f aca="false">$B95+D$3*100*$A95</f>
        <v>2.75</v>
      </c>
      <c r="E95" s="19" t="n">
        <f aca="false">$B95+E$3*100*$A95</f>
        <v>3.9</v>
      </c>
      <c r="F95" s="19" t="n">
        <f aca="false">$B95+F$3*100*$A95</f>
        <v>5.05</v>
      </c>
      <c r="G95" s="19" t="n">
        <f aca="false">$B95+G$3*100*$A95</f>
        <v>6.2</v>
      </c>
      <c r="H95" s="19" t="n">
        <f aca="false">$B95+H$3*100*$A95</f>
        <v>7.35</v>
      </c>
      <c r="I95" s="19" t="n">
        <f aca="false">$B95+I$3*100*$A95</f>
        <v>8.5</v>
      </c>
      <c r="J95" s="19" t="n">
        <f aca="false">$B95+J$3*100*$A95</f>
        <v>9.65</v>
      </c>
      <c r="K95" s="19" t="n">
        <f aca="false">$B95+K$3*100*$A95</f>
        <v>10.8</v>
      </c>
      <c r="L95" s="19" t="n">
        <f aca="false">$B95+L$3*100*$A95</f>
        <v>11.95</v>
      </c>
      <c r="M95" s="19" t="n">
        <f aca="false">$B95+M$3*100*$A95</f>
        <v>13.1</v>
      </c>
      <c r="N95" s="19" t="n">
        <f aca="false">$B95+N$3*100*$A95</f>
        <v>14.25</v>
      </c>
      <c r="O95" s="19" t="n">
        <f aca="false">$B95+O$3*100*$A95</f>
        <v>15.4</v>
      </c>
      <c r="P95" s="19" t="n">
        <f aca="false">$B95+P$3*100*$A95</f>
        <v>16.55</v>
      </c>
      <c r="Q95" s="19" t="n">
        <f aca="false">$B95+Q$3*100*$A95</f>
        <v>17.7</v>
      </c>
      <c r="R95" s="19" t="n">
        <f aca="false">$B95+R$3*100*$A95</f>
        <v>18.85</v>
      </c>
      <c r="S95" s="19" t="n">
        <f aca="false">$B95+S$3*100*$A95</f>
        <v>20</v>
      </c>
      <c r="T95" s="19" t="n">
        <f aca="false">$B95+T$3*100*$A95</f>
        <v>21.15</v>
      </c>
      <c r="U95" s="19" t="n">
        <f aca="false">$B95+U$3*100*$A95</f>
        <v>22.3</v>
      </c>
      <c r="V95" s="19" t="n">
        <f aca="false">$B95+V$3*100*$A95</f>
        <v>23.45</v>
      </c>
      <c r="W95" s="19" t="n">
        <f aca="false">$B95+W$3*100*$A95</f>
        <v>24.6</v>
      </c>
      <c r="X95" s="19" t="n">
        <f aca="false">$B95+X$3*100*$A95</f>
        <v>25.75</v>
      </c>
      <c r="Y95" s="19" t="n">
        <f aca="false">$B95+Y$3*100*$A95</f>
        <v>26.9</v>
      </c>
      <c r="Z95" s="19" t="n">
        <f aca="false">$B95+Z$3*100*$A95</f>
        <v>28.05</v>
      </c>
      <c r="AA95" s="19" t="n">
        <f aca="false">$B95+AA$3*100*$A95</f>
        <v>29.2</v>
      </c>
      <c r="AB95" s="19" t="n">
        <f aca="false">$B95+AB$3*100*$A95</f>
        <v>30.35</v>
      </c>
      <c r="AC95" s="19" t="n">
        <f aca="false">$B95+AC$3*100*$A95</f>
        <v>31.5</v>
      </c>
      <c r="AD95" s="19" t="n">
        <f aca="false">$B95+AD$3*100*$A95</f>
        <v>32.65</v>
      </c>
      <c r="AE95" s="19" t="n">
        <f aca="false">$B95+AE$3*100*$A95</f>
        <v>33.8</v>
      </c>
      <c r="AF95" s="19" t="n">
        <f aca="false">$B95+AF$3*100*$A95</f>
        <v>34.95</v>
      </c>
      <c r="AG95" s="19" t="n">
        <f aca="false">$B95+AG$3*100*$A95</f>
        <v>36.1</v>
      </c>
      <c r="AH95" s="19" t="n">
        <f aca="false">$B95+AH$3*100*$A95</f>
        <v>37.25</v>
      </c>
      <c r="AI95" s="19" t="n">
        <f aca="false">$B95+AI$3*100*$A95</f>
        <v>38.4</v>
      </c>
      <c r="AJ95" s="19" t="n">
        <f aca="false">$B95+AJ$3*100*$A95</f>
        <v>39.55</v>
      </c>
      <c r="AK95" s="19" t="n">
        <f aca="false">$B95+AK$3*100*$A95</f>
        <v>40.7</v>
      </c>
      <c r="AL95" s="19" t="n">
        <f aca="false">$B95+AL$3*100*$A95</f>
        <v>41.85</v>
      </c>
      <c r="AM95" s="19" t="n">
        <f aca="false">$B95+AM$3*100*$A95</f>
        <v>43</v>
      </c>
      <c r="AN95" s="19" t="n">
        <f aca="false">$B95+AN$3*100*$A95</f>
        <v>44.15</v>
      </c>
      <c r="AO95" s="19" t="n">
        <f aca="false">$B95+AO$3*100*$A95</f>
        <v>45.3</v>
      </c>
      <c r="AP95" s="19" t="n">
        <f aca="false">$B95+AP$3*100*$A95</f>
        <v>46.45</v>
      </c>
      <c r="AQ95" s="19" t="n">
        <f aca="false">$B95+AQ$3*100*$A95</f>
        <v>47.6</v>
      </c>
      <c r="AR95" s="19" t="n">
        <f aca="false">$B95+AR$3*100*$A95</f>
        <v>48.75</v>
      </c>
      <c r="AS95" s="19" t="n">
        <f aca="false">$B95+AS$3*100*$A95</f>
        <v>49.9</v>
      </c>
      <c r="AT95" s="19" t="n">
        <f aca="false">$B95+AT$3*100*$A95</f>
        <v>51.05</v>
      </c>
      <c r="AU95" s="19" t="n">
        <f aca="false">$B95+AU$3*100*$A95</f>
        <v>52.2</v>
      </c>
      <c r="AV95" s="19" t="n">
        <f aca="false">$B95+AV$3*100*$A95</f>
        <v>53.35</v>
      </c>
      <c r="AW95" s="19" t="n">
        <f aca="false">$B95+AW$3*100*$A95</f>
        <v>54.5</v>
      </c>
      <c r="AX95" s="19" t="n">
        <f aca="false">$B95+AX$3*100*$A95</f>
        <v>55.65</v>
      </c>
      <c r="AY95" s="19" t="n">
        <f aca="false">$B95+AY$3*100*$A95</f>
        <v>56.8</v>
      </c>
      <c r="AZ95" s="19" t="n">
        <f aca="false">$B95+AZ$3*100*$A95</f>
        <v>57.95</v>
      </c>
      <c r="BA95" s="19" t="n">
        <f aca="false">$B95+BA$3*100*$A95</f>
        <v>59.1</v>
      </c>
      <c r="BB95" s="19" t="n">
        <f aca="false">$B95+BB$3*100*$A95</f>
        <v>60.25</v>
      </c>
      <c r="BC95" s="19" t="n">
        <f aca="false">$B95+BC$3*100*$A95</f>
        <v>61.4</v>
      </c>
      <c r="BD95" s="19" t="n">
        <f aca="false">$B95+BD$3*100*$A95</f>
        <v>62.55</v>
      </c>
      <c r="BE95" s="19" t="n">
        <f aca="false">$B95+BE$3*100*$A95</f>
        <v>63.7</v>
      </c>
      <c r="BF95" s="19" t="n">
        <f aca="false">$B95+BF$3*100*$A95</f>
        <v>64.85</v>
      </c>
      <c r="BG95" s="19" t="n">
        <f aca="false">$B95+BG$3*100*$A95</f>
        <v>66</v>
      </c>
      <c r="BH95" s="19" t="n">
        <f aca="false">$B95+BH$3*100*$A95</f>
        <v>67.15</v>
      </c>
      <c r="BI95" s="19" t="n">
        <f aca="false">$B95+BI$3*100*$A95</f>
        <v>68.3</v>
      </c>
      <c r="BJ95" s="19" t="n">
        <f aca="false">$B95+BJ$3*100*$A95</f>
        <v>69.45</v>
      </c>
      <c r="BK95" s="19" t="n">
        <f aca="false">$B95+BK$3*100*$A95</f>
        <v>70.6</v>
      </c>
      <c r="BL95" s="19" t="n">
        <f aca="false">$B95+BL$3*100*$A95</f>
        <v>71.75</v>
      </c>
      <c r="BM95" s="19" t="n">
        <f aca="false">$B95+BM$3*100*$A95</f>
        <v>72.9</v>
      </c>
      <c r="BN95" s="19" t="n">
        <f aca="false">$B95+BN$3*100*$A95</f>
        <v>74.05</v>
      </c>
      <c r="BO95" s="19" t="n">
        <f aca="false">$B95+BO$3*100*$A95</f>
        <v>75.2</v>
      </c>
      <c r="BP95" s="19" t="n">
        <f aca="false">$B95+BP$3*100*$A95</f>
        <v>76.35</v>
      </c>
      <c r="BQ95" s="19" t="n">
        <f aca="false">$B95+BQ$3*100*$A95</f>
        <v>77.5</v>
      </c>
      <c r="BR95" s="19" t="n">
        <f aca="false">$B95+BR$3*100*$A95</f>
        <v>78.65</v>
      </c>
      <c r="BS95" s="19" t="n">
        <f aca="false">$B95+BS$3*100*$A95</f>
        <v>79.8</v>
      </c>
      <c r="BT95" s="19" t="n">
        <f aca="false">$B95+BT$3*100*$A95</f>
        <v>80.95</v>
      </c>
      <c r="BU95" s="19" t="n">
        <f aca="false">$B95+BU$3*100*$A95</f>
        <v>82.1</v>
      </c>
      <c r="BV95" s="19" t="n">
        <f aca="false">$B95+BV$3*100*$A95</f>
        <v>83.25</v>
      </c>
      <c r="BW95" s="19" t="n">
        <f aca="false">$B95+BW$3*100*$A95</f>
        <v>84.4</v>
      </c>
      <c r="BX95" s="19" t="n">
        <f aca="false">$B95+BX$3*100*$A95</f>
        <v>85.55</v>
      </c>
      <c r="BY95" s="19" t="n">
        <f aca="false">$B95+BY$3*100*$A95</f>
        <v>86.7</v>
      </c>
      <c r="BZ95" s="19" t="n">
        <f aca="false">$B95+BZ$3*100*$A95</f>
        <v>87.85</v>
      </c>
      <c r="CA95" s="19" t="n">
        <f aca="false">$B95+CA$3*100*$A95</f>
        <v>89</v>
      </c>
      <c r="CB95" s="19" t="n">
        <f aca="false">$B95+CB$3*100*$A95</f>
        <v>90.15</v>
      </c>
      <c r="CC95" s="19" t="n">
        <f aca="false">$B95+CC$3*100*$A95</f>
        <v>91.3</v>
      </c>
      <c r="CD95" s="19" t="n">
        <f aca="false">$B95+CD$3*100*$A95</f>
        <v>92.45</v>
      </c>
      <c r="CE95" s="19" t="n">
        <f aca="false">$B95+CE$3*100*$A95</f>
        <v>93.6</v>
      </c>
      <c r="CF95" s="19" t="n">
        <f aca="false">$B95+CF$3*100*$A95</f>
        <v>94.75</v>
      </c>
      <c r="CG95" s="19" t="n">
        <f aca="false">$B95+CG$3*100*$A95</f>
        <v>95.9</v>
      </c>
      <c r="CH95" s="19" t="n">
        <f aca="false">$B95+CH$3*100*$A95</f>
        <v>97.05</v>
      </c>
      <c r="CI95" s="19" t="n">
        <f aca="false">$B95+CI$3*100*$A95</f>
        <v>98.2</v>
      </c>
      <c r="CJ95" s="19" t="n">
        <f aca="false">$B95+CJ$3*100*$A95</f>
        <v>99.35</v>
      </c>
      <c r="CK95" s="19" t="n">
        <f aca="false">$B95+CK$3*100*$A95</f>
        <v>100.5</v>
      </c>
      <c r="CL95" s="19" t="n">
        <f aca="false">$B95+CL$3*100*$A95</f>
        <v>101.65</v>
      </c>
      <c r="CM95" s="19" t="n">
        <f aca="false">$B95+CM$3*100*$A95</f>
        <v>102.8</v>
      </c>
      <c r="CN95" s="19" t="n">
        <f aca="false">$B95+CN$3*100*$A95</f>
        <v>103.95</v>
      </c>
      <c r="CO95" s="19" t="n">
        <f aca="false">$B95+CO$3*100*$A95</f>
        <v>105.1</v>
      </c>
      <c r="CP95" s="19" t="n">
        <f aca="false">$B95+CP$3*100*$A95</f>
        <v>106.25</v>
      </c>
      <c r="CQ95" s="19" t="n">
        <f aca="false">$B95+CQ$3*100*$A95</f>
        <v>107.4</v>
      </c>
      <c r="CR95" s="19" t="n">
        <f aca="false">$B95+CR$3*100*$A95</f>
        <v>108.55</v>
      </c>
      <c r="CS95" s="19" t="n">
        <f aca="false">$B95+CS$3*100*$A95</f>
        <v>109.7</v>
      </c>
      <c r="CT95" s="19" t="n">
        <f aca="false">$B95+CT$3*100*$A95</f>
        <v>110.85</v>
      </c>
      <c r="CU95" s="19" t="n">
        <f aca="false">$B95+CU$3*100*$A95</f>
        <v>112</v>
      </c>
      <c r="CV95" s="19" t="n">
        <f aca="false">$B95+CV$3*100*$A95</f>
        <v>113.15</v>
      </c>
      <c r="CW95" s="19" t="n">
        <f aca="false">$B95+CW$3*100*$A95</f>
        <v>114.3</v>
      </c>
      <c r="CX95" s="19" t="n">
        <f aca="false">$B95+CX$3*100*$A95</f>
        <v>115.45</v>
      </c>
      <c r="CY95" s="19" t="n">
        <f aca="false">$B95+CY$3*100*$A95</f>
        <v>116.6</v>
      </c>
      <c r="CZ95" s="19" t="n">
        <f aca="false">$B95+CZ$3*100*$A95</f>
        <v>117.75</v>
      </c>
      <c r="DA95" s="19" t="n">
        <f aca="false">$B95+DA$3*100*$A95</f>
        <v>118.9</v>
      </c>
      <c r="DB95" s="19" t="n">
        <f aca="false">$B95+DB$3*100*$A95</f>
        <v>120.05</v>
      </c>
      <c r="DC95" s="19" t="n">
        <f aca="false">$B95+DC$3*100*$A95</f>
        <v>121.2</v>
      </c>
      <c r="DD95" s="19" t="n">
        <f aca="false">$B95+DD$3*100*$A95</f>
        <v>122.35</v>
      </c>
      <c r="DE95" s="19" t="n">
        <f aca="false">$B95+DE$3*100*$A95</f>
        <v>123.5</v>
      </c>
      <c r="DF95" s="19" t="n">
        <f aca="false">$B95+DF$3*100*$A95</f>
        <v>124.65</v>
      </c>
      <c r="DG95" s="19" t="n">
        <f aca="false">$B95+DG$3*100*$A95</f>
        <v>125.8</v>
      </c>
      <c r="DH95" s="19" t="n">
        <f aca="false">$B95+DH$3*100*$A95</f>
        <v>126.95</v>
      </c>
      <c r="DI95" s="19" t="n">
        <f aca="false">$B95+DI$3*100*$A95</f>
        <v>128.1</v>
      </c>
      <c r="DJ95" s="19" t="n">
        <f aca="false">$B95+DJ$3*100*$A95</f>
        <v>129.25</v>
      </c>
      <c r="DK95" s="19" t="n">
        <f aca="false">$B95+DK$3*100*$A95</f>
        <v>130.4</v>
      </c>
      <c r="DL95" s="19" t="n">
        <f aca="false">$B95+DL$3*100*$A95</f>
        <v>131.55</v>
      </c>
      <c r="DM95" s="19" t="n">
        <f aca="false">$B95+DM$3*100*$A95</f>
        <v>132.7</v>
      </c>
      <c r="DN95" s="19" t="n">
        <f aca="false">$B95+DN$3*100*$A95</f>
        <v>133.85</v>
      </c>
      <c r="DO95" s="19" t="n">
        <f aca="false">$B95+DO$3*100*$A95</f>
        <v>135</v>
      </c>
      <c r="DP95" s="19" t="n">
        <f aca="false">$B95+DP$3*100*$A95</f>
        <v>136.15</v>
      </c>
      <c r="DQ95" s="19" t="n">
        <f aca="false">$B95+DQ$3*100*$A95</f>
        <v>137.3</v>
      </c>
      <c r="DR95" s="19" t="n">
        <f aca="false">$B95+DR$3*100*$A95</f>
        <v>138.45</v>
      </c>
      <c r="DS95" s="19" t="n">
        <f aca="false">$B95+DS$3*100*$A95</f>
        <v>139.6</v>
      </c>
      <c r="DT95" s="19" t="n">
        <f aca="false">$B95+DT$3*100*$A95</f>
        <v>140.75</v>
      </c>
      <c r="DU95" s="19" t="n">
        <f aca="false">$B95+DU$3*100*$A95</f>
        <v>141.9</v>
      </c>
      <c r="DV95" s="19" t="n">
        <f aca="false">$B95+DV$3*100*$A95</f>
        <v>143.05</v>
      </c>
      <c r="DW95" s="19" t="n">
        <f aca="false">$B95+DW$3*100*$A95</f>
        <v>144.2</v>
      </c>
      <c r="DX95" s="19" t="n">
        <f aca="false">$B95+DX$3*100*$A95</f>
        <v>145.35</v>
      </c>
      <c r="DY95" s="19" t="n">
        <f aca="false">$B95+DY$3*100*$A95</f>
        <v>146.5</v>
      </c>
      <c r="DZ95" s="19" t="n">
        <f aca="false">$B95+DZ$3*100*$A95</f>
        <v>147.65</v>
      </c>
      <c r="EA95" s="19" t="n">
        <f aca="false">$B95+EA$3*100*$A95</f>
        <v>148.8</v>
      </c>
      <c r="EB95" s="19" t="n">
        <f aca="false">$B95+EB$3*100*$A95</f>
        <v>149.95</v>
      </c>
      <c r="EC95" s="19" t="n">
        <f aca="false">$B95+EC$3*100*$A95</f>
        <v>151.1</v>
      </c>
      <c r="ED95" s="19" t="n">
        <f aca="false">$B95+ED$3*100*$A95</f>
        <v>152.25</v>
      </c>
      <c r="EE95" s="19" t="n">
        <f aca="false">$B95+EE$3*100*$A95</f>
        <v>153.4</v>
      </c>
      <c r="EF95" s="19" t="n">
        <f aca="false">$B95+EF$3*100*$A95</f>
        <v>154.55</v>
      </c>
      <c r="EG95" s="19" t="n">
        <f aca="false">$B95+EG$3*100*$A95</f>
        <v>155.7</v>
      </c>
      <c r="EH95" s="19" t="n">
        <f aca="false">$B95+EH$3*100*$A95</f>
        <v>156.85</v>
      </c>
      <c r="EI95" s="19" t="n">
        <f aca="false">$B95+EI$3*100*$A95</f>
        <v>158</v>
      </c>
      <c r="EJ95" s="19" t="n">
        <f aca="false">$B95+EJ$3*100*$A95</f>
        <v>159.15</v>
      </c>
      <c r="EK95" s="19" t="n">
        <f aca="false">$B95+EK$3*100*$A95</f>
        <v>160.3</v>
      </c>
      <c r="EL95" s="19" t="n">
        <f aca="false">$B95+EL$3*100*$A95</f>
        <v>161.45</v>
      </c>
      <c r="EM95" s="19" t="n">
        <f aca="false">$B95+EM$3*100*$A95</f>
        <v>162.6</v>
      </c>
      <c r="EN95" s="19" t="n">
        <f aca="false">$B95+EN$3*100*$A95</f>
        <v>163.75</v>
      </c>
      <c r="EO95" s="19" t="n">
        <f aca="false">$B95+EO$3*100*$A95</f>
        <v>164.9</v>
      </c>
      <c r="EP95" s="19" t="n">
        <f aca="false">$B95+EP$3*100*$A95</f>
        <v>166.05</v>
      </c>
      <c r="EQ95" s="19" t="n">
        <f aca="false">$B95+EQ$3*100*$A95</f>
        <v>167.2</v>
      </c>
      <c r="ER95" s="19" t="n">
        <f aca="false">$B95+ER$3*100*$A95</f>
        <v>168.35</v>
      </c>
      <c r="ES95" s="19" t="n">
        <f aca="false">$B95+ES$3*100*$A95</f>
        <v>169.5</v>
      </c>
      <c r="ET95" s="19" t="n">
        <f aca="false">$B95+ET$3*100*$A95</f>
        <v>170.65</v>
      </c>
      <c r="EU95" s="19" t="n">
        <f aca="false">$B95+EU$3*100*$A95</f>
        <v>171.8</v>
      </c>
      <c r="EV95" s="19" t="n">
        <f aca="false">$B95+EV$3*100*$A95</f>
        <v>172.95</v>
      </c>
      <c r="EW95" s="19" t="n">
        <f aca="false">$B95+EW$3*100*$A95</f>
        <v>174.1</v>
      </c>
      <c r="EX95" s="19" t="n">
        <f aca="false">$B95+EX$3*100*$A95</f>
        <v>175.25</v>
      </c>
      <c r="EY95" s="19" t="n">
        <f aca="false">$B95+EY$3*100*$A95</f>
        <v>176.4</v>
      </c>
      <c r="EZ95" s="19" t="n">
        <f aca="false">$B95+EZ$3*100*$A95</f>
        <v>177.55</v>
      </c>
      <c r="FA95" s="19" t="n">
        <f aca="false">$B95+FA$3*100*$A95</f>
        <v>178.7</v>
      </c>
      <c r="FB95" s="19" t="n">
        <f aca="false">$B95+FB$3*100*$A95</f>
        <v>179.85</v>
      </c>
      <c r="FC95" s="19" t="n">
        <f aca="false">$B95+FC$3*100*$A95</f>
        <v>181</v>
      </c>
      <c r="FD95" s="19" t="n">
        <f aca="false">$B95+FD$3*100*$A95</f>
        <v>182.15</v>
      </c>
      <c r="FE95" s="19" t="n">
        <f aca="false">$B95+FE$3*100*$A95</f>
        <v>183.3</v>
      </c>
      <c r="FF95" s="19" t="n">
        <f aca="false">$B95+FF$3*100*$A95</f>
        <v>184.45</v>
      </c>
      <c r="FG95" s="19" t="n">
        <f aca="false">$B95+FG$3*100*$A95</f>
        <v>185.6</v>
      </c>
      <c r="FH95" s="19" t="n">
        <f aca="false">$B95+FH$3*100*$A95</f>
        <v>186.75</v>
      </c>
      <c r="FI95" s="19" t="n">
        <f aca="false">$B95+FI$3*100*$A95</f>
        <v>187.9</v>
      </c>
      <c r="FJ95" s="19" t="n">
        <f aca="false">$B95+FJ$3*100*$A95</f>
        <v>189.05</v>
      </c>
      <c r="FK95" s="19" t="n">
        <f aca="false">$B95+FK$3*100*$A95</f>
        <v>190.2</v>
      </c>
      <c r="FL95" s="19" t="n">
        <f aca="false">$B95+FL$3*100*$A95</f>
        <v>191.35</v>
      </c>
      <c r="FM95" s="19" t="n">
        <f aca="false">$B95+FM$3*100*$A95</f>
        <v>192.5</v>
      </c>
      <c r="FN95" s="19" t="n">
        <f aca="false">$B95+FN$3*100*$A95</f>
        <v>193.65</v>
      </c>
      <c r="FO95" s="19" t="n">
        <f aca="false">$B95+FO$3*100*$A95</f>
        <v>194.8</v>
      </c>
      <c r="FP95" s="19" t="n">
        <f aca="false">$B95+FP$3*100*$A95</f>
        <v>195.95</v>
      </c>
      <c r="FQ95" s="19" t="n">
        <f aca="false">$B95+FQ$3*100*$A95</f>
        <v>197.1</v>
      </c>
      <c r="FR95" s="19" t="n">
        <f aca="false">$B95+FR$3*100*$A95</f>
        <v>198.25</v>
      </c>
      <c r="FS95" s="19" t="n">
        <f aca="false">$B95+FS$3*100*$A95</f>
        <v>199.4</v>
      </c>
      <c r="FT95" s="19" t="n">
        <f aca="false">$B95+FT$3*100*$A95</f>
        <v>200.55</v>
      </c>
      <c r="FU95" s="19" t="n">
        <f aca="false">$B95+FU$3*100*$A95</f>
        <v>201.7</v>
      </c>
      <c r="FV95" s="19" t="n">
        <f aca="false">$B95+FV$3*100*$A95</f>
        <v>202.85</v>
      </c>
      <c r="FW95" s="19" t="n">
        <f aca="false">$B95+FW$3*100*$A95</f>
        <v>204</v>
      </c>
      <c r="FX95" s="19" t="n">
        <f aca="false">$B95+FX$3*100*$A95</f>
        <v>205.15</v>
      </c>
      <c r="FY95" s="19" t="n">
        <f aca="false">$B95+FY$3*100*$A95</f>
        <v>206.3</v>
      </c>
      <c r="FZ95" s="19" t="n">
        <f aca="false">$B95+FZ$3*100*$A95</f>
        <v>207.45</v>
      </c>
      <c r="GA95" s="19" t="n">
        <f aca="false">$B95+GA$3*100*$A95</f>
        <v>208.6</v>
      </c>
      <c r="GB95" s="19" t="n">
        <f aca="false">$B95+GB$3*100*$A95</f>
        <v>209.75</v>
      </c>
      <c r="GC95" s="19" t="n">
        <f aca="false">$B95+GC$3*100*$A95</f>
        <v>210.9</v>
      </c>
      <c r="GD95" s="19" t="n">
        <f aca="false">$B95+GD$3*100*$A95</f>
        <v>212.05</v>
      </c>
      <c r="GE95" s="19" t="n">
        <f aca="false">$B95+GE$3*100*$A95</f>
        <v>213.2</v>
      </c>
      <c r="GF95" s="19" t="n">
        <f aca="false">$B95+GF$3*100*$A95</f>
        <v>214.35</v>
      </c>
      <c r="GG95" s="19" t="n">
        <f aca="false">$B95+GG$3*100*$A95</f>
        <v>215.5</v>
      </c>
      <c r="GH95" s="19" t="n">
        <f aca="false">$B95+GH$3*100*$A95</f>
        <v>216.65</v>
      </c>
      <c r="GI95" s="19" t="n">
        <f aca="false">$B95+GI$3*100*$A95</f>
        <v>217.8</v>
      </c>
      <c r="GJ95" s="19" t="n">
        <f aca="false">$B95+GJ$3*100*$A95</f>
        <v>218.95</v>
      </c>
      <c r="GK95" s="19" t="n">
        <f aca="false">$B95+GK$3*100*$A95</f>
        <v>220.1</v>
      </c>
      <c r="GL95" s="19" t="n">
        <f aca="false">$B95+GL$3*100*$A95</f>
        <v>221.25</v>
      </c>
      <c r="GM95" s="19" t="n">
        <f aca="false">$B95+GM$3*100*$A95</f>
        <v>222.4</v>
      </c>
      <c r="GN95" s="19" t="n">
        <f aca="false">$B95+GN$3*100*$A95</f>
        <v>223.55</v>
      </c>
      <c r="GO95" s="19" t="n">
        <f aca="false">$B95+GO$3*100*$A95</f>
        <v>224.7</v>
      </c>
      <c r="GP95" s="19" t="n">
        <f aca="false">$B95+GP$3*100*$A95</f>
        <v>225.85</v>
      </c>
      <c r="GQ95" s="19" t="n">
        <f aca="false">$B95+GQ$3*100*$A95</f>
        <v>227</v>
      </c>
      <c r="GR95" s="19" t="n">
        <f aca="false">$B95+GR$3*100*$A95</f>
        <v>228.15</v>
      </c>
      <c r="GS95" s="19" t="n">
        <f aca="false">$B95+GS$3*100*$A95</f>
        <v>229.3</v>
      </c>
      <c r="GT95" s="19" t="n">
        <f aca="false">$B95+GT$3*100*$A95</f>
        <v>230.45</v>
      </c>
    </row>
    <row r="96" customFormat="false" ht="15" hidden="false" customHeight="false" outlineLevel="0" collapsed="false">
      <c r="A96" s="26" t="n">
        <f aca="false">Frontier!A94</f>
        <v>0.2325</v>
      </c>
      <c r="B96" s="34" t="n">
        <f aca="false">Frontier!B94</f>
        <v>0.427513085487898</v>
      </c>
      <c r="C96" s="19" t="n">
        <f aca="false">$B96+C$3*100*$A96</f>
        <v>1.5900130854879</v>
      </c>
      <c r="D96" s="19" t="n">
        <f aca="false">$B96+D$3*100*$A96</f>
        <v>2.7525130854879</v>
      </c>
      <c r="E96" s="19" t="n">
        <f aca="false">$B96+E$3*100*$A96</f>
        <v>3.9150130854879</v>
      </c>
      <c r="F96" s="19" t="n">
        <f aca="false">$B96+F$3*100*$A96</f>
        <v>5.0775130854879</v>
      </c>
      <c r="G96" s="19" t="n">
        <f aca="false">$B96+G$3*100*$A96</f>
        <v>6.2400130854879</v>
      </c>
      <c r="H96" s="19" t="n">
        <f aca="false">$B96+H$3*100*$A96</f>
        <v>7.4025130854879</v>
      </c>
      <c r="I96" s="19" t="n">
        <f aca="false">$B96+I$3*100*$A96</f>
        <v>8.5650130854879</v>
      </c>
      <c r="J96" s="19" t="n">
        <f aca="false">$B96+J$3*100*$A96</f>
        <v>9.7275130854879</v>
      </c>
      <c r="K96" s="19" t="n">
        <f aca="false">$B96+K$3*100*$A96</f>
        <v>10.8900130854879</v>
      </c>
      <c r="L96" s="19" t="n">
        <f aca="false">$B96+L$3*100*$A96</f>
        <v>12.0525130854879</v>
      </c>
      <c r="M96" s="19" t="n">
        <f aca="false">$B96+M$3*100*$A96</f>
        <v>13.2150130854879</v>
      </c>
      <c r="N96" s="19" t="n">
        <f aca="false">$B96+N$3*100*$A96</f>
        <v>14.3775130854879</v>
      </c>
      <c r="O96" s="19" t="n">
        <f aca="false">$B96+O$3*100*$A96</f>
        <v>15.5400130854879</v>
      </c>
      <c r="P96" s="19" t="n">
        <f aca="false">$B96+P$3*100*$A96</f>
        <v>16.7025130854879</v>
      </c>
      <c r="Q96" s="19" t="n">
        <f aca="false">$B96+Q$3*100*$A96</f>
        <v>17.8650130854879</v>
      </c>
      <c r="R96" s="19" t="n">
        <f aca="false">$B96+R$3*100*$A96</f>
        <v>19.0275130854879</v>
      </c>
      <c r="S96" s="19" t="n">
        <f aca="false">$B96+S$3*100*$A96</f>
        <v>20.1900130854879</v>
      </c>
      <c r="T96" s="19" t="n">
        <f aca="false">$B96+T$3*100*$A96</f>
        <v>21.3525130854879</v>
      </c>
      <c r="U96" s="19" t="n">
        <f aca="false">$B96+U$3*100*$A96</f>
        <v>22.5150130854879</v>
      </c>
      <c r="V96" s="19" t="n">
        <f aca="false">$B96+V$3*100*$A96</f>
        <v>23.6775130854879</v>
      </c>
      <c r="W96" s="19" t="n">
        <f aca="false">$B96+W$3*100*$A96</f>
        <v>24.8400130854879</v>
      </c>
      <c r="X96" s="19" t="n">
        <f aca="false">$B96+X$3*100*$A96</f>
        <v>26.0025130854879</v>
      </c>
      <c r="Y96" s="19" t="n">
        <f aca="false">$B96+Y$3*100*$A96</f>
        <v>27.1650130854879</v>
      </c>
      <c r="Z96" s="19" t="n">
        <f aca="false">$B96+Z$3*100*$A96</f>
        <v>28.3275130854879</v>
      </c>
      <c r="AA96" s="19" t="n">
        <f aca="false">$B96+AA$3*100*$A96</f>
        <v>29.4900130854879</v>
      </c>
      <c r="AB96" s="19" t="n">
        <f aca="false">$B96+AB$3*100*$A96</f>
        <v>30.6525130854879</v>
      </c>
      <c r="AC96" s="19" t="n">
        <f aca="false">$B96+AC$3*100*$A96</f>
        <v>31.8150130854879</v>
      </c>
      <c r="AD96" s="19" t="n">
        <f aca="false">$B96+AD$3*100*$A96</f>
        <v>32.9775130854879</v>
      </c>
      <c r="AE96" s="19" t="n">
        <f aca="false">$B96+AE$3*100*$A96</f>
        <v>34.1400130854879</v>
      </c>
      <c r="AF96" s="19" t="n">
        <f aca="false">$B96+AF$3*100*$A96</f>
        <v>35.3025130854879</v>
      </c>
      <c r="AG96" s="19" t="n">
        <f aca="false">$B96+AG$3*100*$A96</f>
        <v>36.4650130854879</v>
      </c>
      <c r="AH96" s="19" t="n">
        <f aca="false">$B96+AH$3*100*$A96</f>
        <v>37.6275130854879</v>
      </c>
      <c r="AI96" s="19" t="n">
        <f aca="false">$B96+AI$3*100*$A96</f>
        <v>38.7900130854879</v>
      </c>
      <c r="AJ96" s="19" t="n">
        <f aca="false">$B96+AJ$3*100*$A96</f>
        <v>39.9525130854879</v>
      </c>
      <c r="AK96" s="19" t="n">
        <f aca="false">$B96+AK$3*100*$A96</f>
        <v>41.1150130854879</v>
      </c>
      <c r="AL96" s="19" t="n">
        <f aca="false">$B96+AL$3*100*$A96</f>
        <v>42.2775130854879</v>
      </c>
      <c r="AM96" s="19" t="n">
        <f aca="false">$B96+AM$3*100*$A96</f>
        <v>43.4400130854879</v>
      </c>
      <c r="AN96" s="19" t="n">
        <f aca="false">$B96+AN$3*100*$A96</f>
        <v>44.6025130854879</v>
      </c>
      <c r="AO96" s="19" t="n">
        <f aca="false">$B96+AO$3*100*$A96</f>
        <v>45.7650130854879</v>
      </c>
      <c r="AP96" s="19" t="n">
        <f aca="false">$B96+AP$3*100*$A96</f>
        <v>46.9275130854879</v>
      </c>
      <c r="AQ96" s="19" t="n">
        <f aca="false">$B96+AQ$3*100*$A96</f>
        <v>48.0900130854879</v>
      </c>
      <c r="AR96" s="19" t="n">
        <f aca="false">$B96+AR$3*100*$A96</f>
        <v>49.2525130854879</v>
      </c>
      <c r="AS96" s="19" t="n">
        <f aca="false">$B96+AS$3*100*$A96</f>
        <v>50.4150130854879</v>
      </c>
      <c r="AT96" s="19" t="n">
        <f aca="false">$B96+AT$3*100*$A96</f>
        <v>51.5775130854879</v>
      </c>
      <c r="AU96" s="19" t="n">
        <f aca="false">$B96+AU$3*100*$A96</f>
        <v>52.7400130854879</v>
      </c>
      <c r="AV96" s="19" t="n">
        <f aca="false">$B96+AV$3*100*$A96</f>
        <v>53.9025130854879</v>
      </c>
      <c r="AW96" s="19" t="n">
        <f aca="false">$B96+AW$3*100*$A96</f>
        <v>55.0650130854879</v>
      </c>
      <c r="AX96" s="19" t="n">
        <f aca="false">$B96+AX$3*100*$A96</f>
        <v>56.2275130854879</v>
      </c>
      <c r="AY96" s="19" t="n">
        <f aca="false">$B96+AY$3*100*$A96</f>
        <v>57.3900130854879</v>
      </c>
      <c r="AZ96" s="19" t="n">
        <f aca="false">$B96+AZ$3*100*$A96</f>
        <v>58.5525130854879</v>
      </c>
      <c r="BA96" s="19" t="n">
        <f aca="false">$B96+BA$3*100*$A96</f>
        <v>59.7150130854879</v>
      </c>
      <c r="BB96" s="19" t="n">
        <f aca="false">$B96+BB$3*100*$A96</f>
        <v>60.8775130854879</v>
      </c>
      <c r="BC96" s="19" t="n">
        <f aca="false">$B96+BC$3*100*$A96</f>
        <v>62.0400130854879</v>
      </c>
      <c r="BD96" s="19" t="n">
        <f aca="false">$B96+BD$3*100*$A96</f>
        <v>63.2025130854879</v>
      </c>
      <c r="BE96" s="19" t="n">
        <f aca="false">$B96+BE$3*100*$A96</f>
        <v>64.3650130854879</v>
      </c>
      <c r="BF96" s="19" t="n">
        <f aca="false">$B96+BF$3*100*$A96</f>
        <v>65.5275130854879</v>
      </c>
      <c r="BG96" s="19" t="n">
        <f aca="false">$B96+BG$3*100*$A96</f>
        <v>66.6900130854879</v>
      </c>
      <c r="BH96" s="19" t="n">
        <f aca="false">$B96+BH$3*100*$A96</f>
        <v>67.8525130854879</v>
      </c>
      <c r="BI96" s="19" t="n">
        <f aca="false">$B96+BI$3*100*$A96</f>
        <v>69.0150130854879</v>
      </c>
      <c r="BJ96" s="19" t="n">
        <f aca="false">$B96+BJ$3*100*$A96</f>
        <v>70.1775130854879</v>
      </c>
      <c r="BK96" s="19" t="n">
        <f aca="false">$B96+BK$3*100*$A96</f>
        <v>71.3400130854879</v>
      </c>
      <c r="BL96" s="19" t="n">
        <f aca="false">$B96+BL$3*100*$A96</f>
        <v>72.5025130854879</v>
      </c>
      <c r="BM96" s="19" t="n">
        <f aca="false">$B96+BM$3*100*$A96</f>
        <v>73.6650130854879</v>
      </c>
      <c r="BN96" s="19" t="n">
        <f aca="false">$B96+BN$3*100*$A96</f>
        <v>74.8275130854879</v>
      </c>
      <c r="BO96" s="19" t="n">
        <f aca="false">$B96+BO$3*100*$A96</f>
        <v>75.9900130854879</v>
      </c>
      <c r="BP96" s="19" t="n">
        <f aca="false">$B96+BP$3*100*$A96</f>
        <v>77.1525130854879</v>
      </c>
      <c r="BQ96" s="19" t="n">
        <f aca="false">$B96+BQ$3*100*$A96</f>
        <v>78.3150130854879</v>
      </c>
      <c r="BR96" s="19" t="n">
        <f aca="false">$B96+BR$3*100*$A96</f>
        <v>79.4775130854879</v>
      </c>
      <c r="BS96" s="19" t="n">
        <f aca="false">$B96+BS$3*100*$A96</f>
        <v>80.6400130854879</v>
      </c>
      <c r="BT96" s="19" t="n">
        <f aca="false">$B96+BT$3*100*$A96</f>
        <v>81.8025130854879</v>
      </c>
      <c r="BU96" s="19" t="n">
        <f aca="false">$B96+BU$3*100*$A96</f>
        <v>82.9650130854879</v>
      </c>
      <c r="BV96" s="19" t="n">
        <f aca="false">$B96+BV$3*100*$A96</f>
        <v>84.1275130854879</v>
      </c>
      <c r="BW96" s="19" t="n">
        <f aca="false">$B96+BW$3*100*$A96</f>
        <v>85.2900130854879</v>
      </c>
      <c r="BX96" s="19" t="n">
        <f aca="false">$B96+BX$3*100*$A96</f>
        <v>86.4525130854879</v>
      </c>
      <c r="BY96" s="19" t="n">
        <f aca="false">$B96+BY$3*100*$A96</f>
        <v>87.6150130854879</v>
      </c>
      <c r="BZ96" s="19" t="n">
        <f aca="false">$B96+BZ$3*100*$A96</f>
        <v>88.7775130854879</v>
      </c>
      <c r="CA96" s="19" t="n">
        <f aca="false">$B96+CA$3*100*$A96</f>
        <v>89.9400130854879</v>
      </c>
      <c r="CB96" s="19" t="n">
        <f aca="false">$B96+CB$3*100*$A96</f>
        <v>91.1025130854879</v>
      </c>
      <c r="CC96" s="19" t="n">
        <f aca="false">$B96+CC$3*100*$A96</f>
        <v>92.2650130854879</v>
      </c>
      <c r="CD96" s="19" t="n">
        <f aca="false">$B96+CD$3*100*$A96</f>
        <v>93.4275130854879</v>
      </c>
      <c r="CE96" s="19" t="n">
        <f aca="false">$B96+CE$3*100*$A96</f>
        <v>94.5900130854879</v>
      </c>
      <c r="CF96" s="19" t="n">
        <f aca="false">$B96+CF$3*100*$A96</f>
        <v>95.7525130854879</v>
      </c>
      <c r="CG96" s="19" t="n">
        <f aca="false">$B96+CG$3*100*$A96</f>
        <v>96.9150130854879</v>
      </c>
      <c r="CH96" s="19" t="n">
        <f aca="false">$B96+CH$3*100*$A96</f>
        <v>98.0775130854879</v>
      </c>
      <c r="CI96" s="19" t="n">
        <f aca="false">$B96+CI$3*100*$A96</f>
        <v>99.2400130854879</v>
      </c>
      <c r="CJ96" s="19" t="n">
        <f aca="false">$B96+CJ$3*100*$A96</f>
        <v>100.402513085488</v>
      </c>
      <c r="CK96" s="19" t="n">
        <f aca="false">$B96+CK$3*100*$A96</f>
        <v>101.565013085488</v>
      </c>
      <c r="CL96" s="19" t="n">
        <f aca="false">$B96+CL$3*100*$A96</f>
        <v>102.727513085488</v>
      </c>
      <c r="CM96" s="19" t="n">
        <f aca="false">$B96+CM$3*100*$A96</f>
        <v>103.890013085488</v>
      </c>
      <c r="CN96" s="19" t="n">
        <f aca="false">$B96+CN$3*100*$A96</f>
        <v>105.052513085488</v>
      </c>
      <c r="CO96" s="19" t="n">
        <f aca="false">$B96+CO$3*100*$A96</f>
        <v>106.215013085488</v>
      </c>
      <c r="CP96" s="19" t="n">
        <f aca="false">$B96+CP$3*100*$A96</f>
        <v>107.377513085488</v>
      </c>
      <c r="CQ96" s="19" t="n">
        <f aca="false">$B96+CQ$3*100*$A96</f>
        <v>108.540013085488</v>
      </c>
      <c r="CR96" s="19" t="n">
        <f aca="false">$B96+CR$3*100*$A96</f>
        <v>109.702513085488</v>
      </c>
      <c r="CS96" s="19" t="n">
        <f aca="false">$B96+CS$3*100*$A96</f>
        <v>110.865013085488</v>
      </c>
      <c r="CT96" s="19" t="n">
        <f aca="false">$B96+CT$3*100*$A96</f>
        <v>112.027513085488</v>
      </c>
      <c r="CU96" s="19" t="n">
        <f aca="false">$B96+CU$3*100*$A96</f>
        <v>113.190013085488</v>
      </c>
      <c r="CV96" s="19" t="n">
        <f aca="false">$B96+CV$3*100*$A96</f>
        <v>114.352513085488</v>
      </c>
      <c r="CW96" s="19" t="n">
        <f aca="false">$B96+CW$3*100*$A96</f>
        <v>115.515013085488</v>
      </c>
      <c r="CX96" s="19" t="n">
        <f aca="false">$B96+CX$3*100*$A96</f>
        <v>116.677513085488</v>
      </c>
      <c r="CY96" s="19" t="n">
        <f aca="false">$B96+CY$3*100*$A96</f>
        <v>117.840013085488</v>
      </c>
      <c r="CZ96" s="19" t="n">
        <f aca="false">$B96+CZ$3*100*$A96</f>
        <v>119.002513085488</v>
      </c>
      <c r="DA96" s="19" t="n">
        <f aca="false">$B96+DA$3*100*$A96</f>
        <v>120.165013085488</v>
      </c>
      <c r="DB96" s="19" t="n">
        <f aca="false">$B96+DB$3*100*$A96</f>
        <v>121.327513085488</v>
      </c>
      <c r="DC96" s="19" t="n">
        <f aca="false">$B96+DC$3*100*$A96</f>
        <v>122.490013085488</v>
      </c>
      <c r="DD96" s="19" t="n">
        <f aca="false">$B96+DD$3*100*$A96</f>
        <v>123.652513085488</v>
      </c>
      <c r="DE96" s="19" t="n">
        <f aca="false">$B96+DE$3*100*$A96</f>
        <v>124.815013085488</v>
      </c>
      <c r="DF96" s="19" t="n">
        <f aca="false">$B96+DF$3*100*$A96</f>
        <v>125.977513085488</v>
      </c>
      <c r="DG96" s="19" t="n">
        <f aca="false">$B96+DG$3*100*$A96</f>
        <v>127.140013085488</v>
      </c>
      <c r="DH96" s="19" t="n">
        <f aca="false">$B96+DH$3*100*$A96</f>
        <v>128.302513085488</v>
      </c>
      <c r="DI96" s="19" t="n">
        <f aca="false">$B96+DI$3*100*$A96</f>
        <v>129.465013085488</v>
      </c>
      <c r="DJ96" s="19" t="n">
        <f aca="false">$B96+DJ$3*100*$A96</f>
        <v>130.627513085488</v>
      </c>
      <c r="DK96" s="19" t="n">
        <f aca="false">$B96+DK$3*100*$A96</f>
        <v>131.790013085488</v>
      </c>
      <c r="DL96" s="19" t="n">
        <f aca="false">$B96+DL$3*100*$A96</f>
        <v>132.952513085488</v>
      </c>
      <c r="DM96" s="19" t="n">
        <f aca="false">$B96+DM$3*100*$A96</f>
        <v>134.115013085488</v>
      </c>
      <c r="DN96" s="19" t="n">
        <f aca="false">$B96+DN$3*100*$A96</f>
        <v>135.277513085488</v>
      </c>
      <c r="DO96" s="19" t="n">
        <f aca="false">$B96+DO$3*100*$A96</f>
        <v>136.440013085488</v>
      </c>
      <c r="DP96" s="19" t="n">
        <f aca="false">$B96+DP$3*100*$A96</f>
        <v>137.602513085488</v>
      </c>
      <c r="DQ96" s="19" t="n">
        <f aca="false">$B96+DQ$3*100*$A96</f>
        <v>138.765013085488</v>
      </c>
      <c r="DR96" s="19" t="n">
        <f aca="false">$B96+DR$3*100*$A96</f>
        <v>139.927513085488</v>
      </c>
      <c r="DS96" s="19" t="n">
        <f aca="false">$B96+DS$3*100*$A96</f>
        <v>141.090013085488</v>
      </c>
      <c r="DT96" s="19" t="n">
        <f aca="false">$B96+DT$3*100*$A96</f>
        <v>142.252513085488</v>
      </c>
      <c r="DU96" s="19" t="n">
        <f aca="false">$B96+DU$3*100*$A96</f>
        <v>143.415013085488</v>
      </c>
      <c r="DV96" s="19" t="n">
        <f aca="false">$B96+DV$3*100*$A96</f>
        <v>144.577513085488</v>
      </c>
      <c r="DW96" s="19" t="n">
        <f aca="false">$B96+DW$3*100*$A96</f>
        <v>145.740013085488</v>
      </c>
      <c r="DX96" s="19" t="n">
        <f aca="false">$B96+DX$3*100*$A96</f>
        <v>146.902513085488</v>
      </c>
      <c r="DY96" s="19" t="n">
        <f aca="false">$B96+DY$3*100*$A96</f>
        <v>148.065013085488</v>
      </c>
      <c r="DZ96" s="19" t="n">
        <f aca="false">$B96+DZ$3*100*$A96</f>
        <v>149.227513085488</v>
      </c>
      <c r="EA96" s="19" t="n">
        <f aca="false">$B96+EA$3*100*$A96</f>
        <v>150.390013085488</v>
      </c>
      <c r="EB96" s="19" t="n">
        <f aca="false">$B96+EB$3*100*$A96</f>
        <v>151.552513085488</v>
      </c>
      <c r="EC96" s="19" t="n">
        <f aca="false">$B96+EC$3*100*$A96</f>
        <v>152.715013085488</v>
      </c>
      <c r="ED96" s="19" t="n">
        <f aca="false">$B96+ED$3*100*$A96</f>
        <v>153.877513085488</v>
      </c>
      <c r="EE96" s="19" t="n">
        <f aca="false">$B96+EE$3*100*$A96</f>
        <v>155.040013085488</v>
      </c>
      <c r="EF96" s="19" t="n">
        <f aca="false">$B96+EF$3*100*$A96</f>
        <v>156.202513085488</v>
      </c>
      <c r="EG96" s="19" t="n">
        <f aca="false">$B96+EG$3*100*$A96</f>
        <v>157.365013085488</v>
      </c>
      <c r="EH96" s="19" t="n">
        <f aca="false">$B96+EH$3*100*$A96</f>
        <v>158.527513085488</v>
      </c>
      <c r="EI96" s="19" t="n">
        <f aca="false">$B96+EI$3*100*$A96</f>
        <v>159.690013085488</v>
      </c>
      <c r="EJ96" s="19" t="n">
        <f aca="false">$B96+EJ$3*100*$A96</f>
        <v>160.852513085488</v>
      </c>
      <c r="EK96" s="19" t="n">
        <f aca="false">$B96+EK$3*100*$A96</f>
        <v>162.015013085488</v>
      </c>
      <c r="EL96" s="19" t="n">
        <f aca="false">$B96+EL$3*100*$A96</f>
        <v>163.177513085488</v>
      </c>
      <c r="EM96" s="19" t="n">
        <f aca="false">$B96+EM$3*100*$A96</f>
        <v>164.340013085488</v>
      </c>
      <c r="EN96" s="19" t="n">
        <f aca="false">$B96+EN$3*100*$A96</f>
        <v>165.502513085488</v>
      </c>
      <c r="EO96" s="19" t="n">
        <f aca="false">$B96+EO$3*100*$A96</f>
        <v>166.665013085488</v>
      </c>
      <c r="EP96" s="19" t="n">
        <f aca="false">$B96+EP$3*100*$A96</f>
        <v>167.827513085488</v>
      </c>
      <c r="EQ96" s="19" t="n">
        <f aca="false">$B96+EQ$3*100*$A96</f>
        <v>168.990013085488</v>
      </c>
      <c r="ER96" s="19" t="n">
        <f aca="false">$B96+ER$3*100*$A96</f>
        <v>170.152513085488</v>
      </c>
      <c r="ES96" s="19" t="n">
        <f aca="false">$B96+ES$3*100*$A96</f>
        <v>171.315013085488</v>
      </c>
      <c r="ET96" s="19" t="n">
        <f aca="false">$B96+ET$3*100*$A96</f>
        <v>172.477513085488</v>
      </c>
      <c r="EU96" s="19" t="n">
        <f aca="false">$B96+EU$3*100*$A96</f>
        <v>173.640013085488</v>
      </c>
      <c r="EV96" s="19" t="n">
        <f aca="false">$B96+EV$3*100*$A96</f>
        <v>174.802513085488</v>
      </c>
      <c r="EW96" s="19" t="n">
        <f aca="false">$B96+EW$3*100*$A96</f>
        <v>175.965013085488</v>
      </c>
      <c r="EX96" s="19" t="n">
        <f aca="false">$B96+EX$3*100*$A96</f>
        <v>177.127513085488</v>
      </c>
      <c r="EY96" s="19" t="n">
        <f aca="false">$B96+EY$3*100*$A96</f>
        <v>178.290013085488</v>
      </c>
      <c r="EZ96" s="19" t="n">
        <f aca="false">$B96+EZ$3*100*$A96</f>
        <v>179.452513085488</v>
      </c>
      <c r="FA96" s="19" t="n">
        <f aca="false">$B96+FA$3*100*$A96</f>
        <v>180.615013085488</v>
      </c>
      <c r="FB96" s="19" t="n">
        <f aca="false">$B96+FB$3*100*$A96</f>
        <v>181.777513085488</v>
      </c>
      <c r="FC96" s="19" t="n">
        <f aca="false">$B96+FC$3*100*$A96</f>
        <v>182.940013085488</v>
      </c>
      <c r="FD96" s="19" t="n">
        <f aca="false">$B96+FD$3*100*$A96</f>
        <v>184.102513085488</v>
      </c>
      <c r="FE96" s="19" t="n">
        <f aca="false">$B96+FE$3*100*$A96</f>
        <v>185.265013085488</v>
      </c>
      <c r="FF96" s="19" t="n">
        <f aca="false">$B96+FF$3*100*$A96</f>
        <v>186.427513085488</v>
      </c>
      <c r="FG96" s="19" t="n">
        <f aca="false">$B96+FG$3*100*$A96</f>
        <v>187.590013085488</v>
      </c>
      <c r="FH96" s="19" t="n">
        <f aca="false">$B96+FH$3*100*$A96</f>
        <v>188.752513085488</v>
      </c>
      <c r="FI96" s="19" t="n">
        <f aca="false">$B96+FI$3*100*$A96</f>
        <v>189.915013085488</v>
      </c>
      <c r="FJ96" s="19" t="n">
        <f aca="false">$B96+FJ$3*100*$A96</f>
        <v>191.077513085488</v>
      </c>
      <c r="FK96" s="19" t="n">
        <f aca="false">$B96+FK$3*100*$A96</f>
        <v>192.240013085488</v>
      </c>
      <c r="FL96" s="19" t="n">
        <f aca="false">$B96+FL$3*100*$A96</f>
        <v>193.402513085488</v>
      </c>
      <c r="FM96" s="19" t="n">
        <f aca="false">$B96+FM$3*100*$A96</f>
        <v>194.565013085488</v>
      </c>
      <c r="FN96" s="19" t="n">
        <f aca="false">$B96+FN$3*100*$A96</f>
        <v>195.727513085488</v>
      </c>
      <c r="FO96" s="19" t="n">
        <f aca="false">$B96+FO$3*100*$A96</f>
        <v>196.890013085488</v>
      </c>
      <c r="FP96" s="19" t="n">
        <f aca="false">$B96+FP$3*100*$A96</f>
        <v>198.052513085488</v>
      </c>
      <c r="FQ96" s="19" t="n">
        <f aca="false">$B96+FQ$3*100*$A96</f>
        <v>199.215013085488</v>
      </c>
      <c r="FR96" s="19" t="n">
        <f aca="false">$B96+FR$3*100*$A96</f>
        <v>200.377513085488</v>
      </c>
      <c r="FS96" s="19" t="n">
        <f aca="false">$B96+FS$3*100*$A96</f>
        <v>201.540013085488</v>
      </c>
      <c r="FT96" s="19" t="n">
        <f aca="false">$B96+FT$3*100*$A96</f>
        <v>202.702513085488</v>
      </c>
      <c r="FU96" s="19" t="n">
        <f aca="false">$B96+FU$3*100*$A96</f>
        <v>203.865013085488</v>
      </c>
      <c r="FV96" s="19" t="n">
        <f aca="false">$B96+FV$3*100*$A96</f>
        <v>205.027513085488</v>
      </c>
      <c r="FW96" s="19" t="n">
        <f aca="false">$B96+FW$3*100*$A96</f>
        <v>206.190013085488</v>
      </c>
      <c r="FX96" s="19" t="n">
        <f aca="false">$B96+FX$3*100*$A96</f>
        <v>207.352513085488</v>
      </c>
      <c r="FY96" s="19" t="n">
        <f aca="false">$B96+FY$3*100*$A96</f>
        <v>208.515013085488</v>
      </c>
      <c r="FZ96" s="19" t="n">
        <f aca="false">$B96+FZ$3*100*$A96</f>
        <v>209.677513085488</v>
      </c>
      <c r="GA96" s="19" t="n">
        <f aca="false">$B96+GA$3*100*$A96</f>
        <v>210.840013085488</v>
      </c>
      <c r="GB96" s="19" t="n">
        <f aca="false">$B96+GB$3*100*$A96</f>
        <v>212.002513085488</v>
      </c>
      <c r="GC96" s="19" t="n">
        <f aca="false">$B96+GC$3*100*$A96</f>
        <v>213.165013085488</v>
      </c>
      <c r="GD96" s="19" t="n">
        <f aca="false">$B96+GD$3*100*$A96</f>
        <v>214.327513085488</v>
      </c>
      <c r="GE96" s="19" t="n">
        <f aca="false">$B96+GE$3*100*$A96</f>
        <v>215.490013085488</v>
      </c>
      <c r="GF96" s="19" t="n">
        <f aca="false">$B96+GF$3*100*$A96</f>
        <v>216.652513085488</v>
      </c>
      <c r="GG96" s="19" t="n">
        <f aca="false">$B96+GG$3*100*$A96</f>
        <v>217.815013085488</v>
      </c>
      <c r="GH96" s="19" t="n">
        <f aca="false">$B96+GH$3*100*$A96</f>
        <v>218.977513085488</v>
      </c>
      <c r="GI96" s="19" t="n">
        <f aca="false">$B96+GI$3*100*$A96</f>
        <v>220.140013085488</v>
      </c>
      <c r="GJ96" s="19" t="n">
        <f aca="false">$B96+GJ$3*100*$A96</f>
        <v>221.302513085488</v>
      </c>
      <c r="GK96" s="19" t="n">
        <f aca="false">$B96+GK$3*100*$A96</f>
        <v>222.465013085488</v>
      </c>
      <c r="GL96" s="19" t="n">
        <f aca="false">$B96+GL$3*100*$A96</f>
        <v>223.627513085488</v>
      </c>
      <c r="GM96" s="19" t="n">
        <f aca="false">$B96+GM$3*100*$A96</f>
        <v>224.790013085488</v>
      </c>
      <c r="GN96" s="19" t="n">
        <f aca="false">$B96+GN$3*100*$A96</f>
        <v>225.952513085488</v>
      </c>
      <c r="GO96" s="19" t="n">
        <f aca="false">$B96+GO$3*100*$A96</f>
        <v>227.115013085488</v>
      </c>
      <c r="GP96" s="19" t="n">
        <f aca="false">$B96+GP$3*100*$A96</f>
        <v>228.277513085488</v>
      </c>
      <c r="GQ96" s="19" t="n">
        <f aca="false">$B96+GQ$3*100*$A96</f>
        <v>229.440013085488</v>
      </c>
      <c r="GR96" s="19" t="n">
        <f aca="false">$B96+GR$3*100*$A96</f>
        <v>230.602513085488</v>
      </c>
      <c r="GS96" s="19" t="n">
        <f aca="false">$B96+GS$3*100*$A96</f>
        <v>231.765013085488</v>
      </c>
      <c r="GT96" s="19" t="n">
        <f aca="false">$B96+GT$3*100*$A96</f>
        <v>232.927513085488</v>
      </c>
    </row>
    <row r="97" customFormat="false" ht="15" hidden="false" customHeight="false" outlineLevel="0" collapsed="false">
      <c r="A97" s="26" t="n">
        <f aca="false">Frontier!A95</f>
        <v>0.235</v>
      </c>
      <c r="B97" s="34" t="n">
        <f aca="false">Frontier!B95</f>
        <v>0.3</v>
      </c>
      <c r="C97" s="19" t="n">
        <f aca="false">$B97+C$3*100*$A97</f>
        <v>1.475</v>
      </c>
      <c r="D97" s="19" t="n">
        <f aca="false">$B97+D$3*100*$A97</f>
        <v>2.65</v>
      </c>
      <c r="E97" s="19" t="n">
        <f aca="false">$B97+E$3*100*$A97</f>
        <v>3.825</v>
      </c>
      <c r="F97" s="19" t="n">
        <f aca="false">$B97+F$3*100*$A97</f>
        <v>5</v>
      </c>
      <c r="G97" s="19" t="n">
        <f aca="false">$B97+G$3*100*$A97</f>
        <v>6.175</v>
      </c>
      <c r="H97" s="19" t="n">
        <f aca="false">$B97+H$3*100*$A97</f>
        <v>7.35</v>
      </c>
      <c r="I97" s="19" t="n">
        <f aca="false">$B97+I$3*100*$A97</f>
        <v>8.525</v>
      </c>
      <c r="J97" s="19" t="n">
        <f aca="false">$B97+J$3*100*$A97</f>
        <v>9.7</v>
      </c>
      <c r="K97" s="19" t="n">
        <f aca="false">$B97+K$3*100*$A97</f>
        <v>10.875</v>
      </c>
      <c r="L97" s="19" t="n">
        <f aca="false">$B97+L$3*100*$A97</f>
        <v>12.05</v>
      </c>
      <c r="M97" s="19" t="n">
        <f aca="false">$B97+M$3*100*$A97</f>
        <v>13.225</v>
      </c>
      <c r="N97" s="19" t="n">
        <f aca="false">$B97+N$3*100*$A97</f>
        <v>14.4</v>
      </c>
      <c r="O97" s="19" t="n">
        <f aca="false">$B97+O$3*100*$A97</f>
        <v>15.575</v>
      </c>
      <c r="P97" s="19" t="n">
        <f aca="false">$B97+P$3*100*$A97</f>
        <v>16.75</v>
      </c>
      <c r="Q97" s="19" t="n">
        <f aca="false">$B97+Q$3*100*$A97</f>
        <v>17.925</v>
      </c>
      <c r="R97" s="19" t="n">
        <f aca="false">$B97+R$3*100*$A97</f>
        <v>19.1</v>
      </c>
      <c r="S97" s="19" t="n">
        <f aca="false">$B97+S$3*100*$A97</f>
        <v>20.275</v>
      </c>
      <c r="T97" s="19" t="n">
        <f aca="false">$B97+T$3*100*$A97</f>
        <v>21.45</v>
      </c>
      <c r="U97" s="19" t="n">
        <f aca="false">$B97+U$3*100*$A97</f>
        <v>22.625</v>
      </c>
      <c r="V97" s="19" t="n">
        <f aca="false">$B97+V$3*100*$A97</f>
        <v>23.8</v>
      </c>
      <c r="W97" s="19" t="n">
        <f aca="false">$B97+W$3*100*$A97</f>
        <v>24.975</v>
      </c>
      <c r="X97" s="19" t="n">
        <f aca="false">$B97+X$3*100*$A97</f>
        <v>26.15</v>
      </c>
      <c r="Y97" s="19" t="n">
        <f aca="false">$B97+Y$3*100*$A97</f>
        <v>27.325</v>
      </c>
      <c r="Z97" s="19" t="n">
        <f aca="false">$B97+Z$3*100*$A97</f>
        <v>28.5</v>
      </c>
      <c r="AA97" s="19" t="n">
        <f aca="false">$B97+AA$3*100*$A97</f>
        <v>29.675</v>
      </c>
      <c r="AB97" s="19" t="n">
        <f aca="false">$B97+AB$3*100*$A97</f>
        <v>30.85</v>
      </c>
      <c r="AC97" s="19" t="n">
        <f aca="false">$B97+AC$3*100*$A97</f>
        <v>32.025</v>
      </c>
      <c r="AD97" s="19" t="n">
        <f aca="false">$B97+AD$3*100*$A97</f>
        <v>33.2</v>
      </c>
      <c r="AE97" s="19" t="n">
        <f aca="false">$B97+AE$3*100*$A97</f>
        <v>34.375</v>
      </c>
      <c r="AF97" s="19" t="n">
        <f aca="false">$B97+AF$3*100*$A97</f>
        <v>35.55</v>
      </c>
      <c r="AG97" s="19" t="n">
        <f aca="false">$B97+AG$3*100*$A97</f>
        <v>36.725</v>
      </c>
      <c r="AH97" s="19" t="n">
        <f aca="false">$B97+AH$3*100*$A97</f>
        <v>37.9</v>
      </c>
      <c r="AI97" s="19" t="n">
        <f aca="false">$B97+AI$3*100*$A97</f>
        <v>39.075</v>
      </c>
      <c r="AJ97" s="19" t="n">
        <f aca="false">$B97+AJ$3*100*$A97</f>
        <v>40.25</v>
      </c>
      <c r="AK97" s="19" t="n">
        <f aca="false">$B97+AK$3*100*$A97</f>
        <v>41.425</v>
      </c>
      <c r="AL97" s="19" t="n">
        <f aca="false">$B97+AL$3*100*$A97</f>
        <v>42.6</v>
      </c>
      <c r="AM97" s="19" t="n">
        <f aca="false">$B97+AM$3*100*$A97</f>
        <v>43.775</v>
      </c>
      <c r="AN97" s="19" t="n">
        <f aca="false">$B97+AN$3*100*$A97</f>
        <v>44.95</v>
      </c>
      <c r="AO97" s="19" t="n">
        <f aca="false">$B97+AO$3*100*$A97</f>
        <v>46.125</v>
      </c>
      <c r="AP97" s="19" t="n">
        <f aca="false">$B97+AP$3*100*$A97</f>
        <v>47.3</v>
      </c>
      <c r="AQ97" s="19" t="n">
        <f aca="false">$B97+AQ$3*100*$A97</f>
        <v>48.475</v>
      </c>
      <c r="AR97" s="19" t="n">
        <f aca="false">$B97+AR$3*100*$A97</f>
        <v>49.65</v>
      </c>
      <c r="AS97" s="19" t="n">
        <f aca="false">$B97+AS$3*100*$A97</f>
        <v>50.825</v>
      </c>
      <c r="AT97" s="19" t="n">
        <f aca="false">$B97+AT$3*100*$A97</f>
        <v>52</v>
      </c>
      <c r="AU97" s="19" t="n">
        <f aca="false">$B97+AU$3*100*$A97</f>
        <v>53.175</v>
      </c>
      <c r="AV97" s="19" t="n">
        <f aca="false">$B97+AV$3*100*$A97</f>
        <v>54.35</v>
      </c>
      <c r="AW97" s="19" t="n">
        <f aca="false">$B97+AW$3*100*$A97</f>
        <v>55.525</v>
      </c>
      <c r="AX97" s="19" t="n">
        <f aca="false">$B97+AX$3*100*$A97</f>
        <v>56.7</v>
      </c>
      <c r="AY97" s="19" t="n">
        <f aca="false">$B97+AY$3*100*$A97</f>
        <v>57.875</v>
      </c>
      <c r="AZ97" s="19" t="n">
        <f aca="false">$B97+AZ$3*100*$A97</f>
        <v>59.05</v>
      </c>
      <c r="BA97" s="19" t="n">
        <f aca="false">$B97+BA$3*100*$A97</f>
        <v>60.225</v>
      </c>
      <c r="BB97" s="19" t="n">
        <f aca="false">$B97+BB$3*100*$A97</f>
        <v>61.4</v>
      </c>
      <c r="BC97" s="19" t="n">
        <f aca="false">$B97+BC$3*100*$A97</f>
        <v>62.575</v>
      </c>
      <c r="BD97" s="19" t="n">
        <f aca="false">$B97+BD$3*100*$A97</f>
        <v>63.75</v>
      </c>
      <c r="BE97" s="19" t="n">
        <f aca="false">$B97+BE$3*100*$A97</f>
        <v>64.925</v>
      </c>
      <c r="BF97" s="19" t="n">
        <f aca="false">$B97+BF$3*100*$A97</f>
        <v>66.1</v>
      </c>
      <c r="BG97" s="19" t="n">
        <f aca="false">$B97+BG$3*100*$A97</f>
        <v>67.275</v>
      </c>
      <c r="BH97" s="19" t="n">
        <f aca="false">$B97+BH$3*100*$A97</f>
        <v>68.45</v>
      </c>
      <c r="BI97" s="19" t="n">
        <f aca="false">$B97+BI$3*100*$A97</f>
        <v>69.625</v>
      </c>
      <c r="BJ97" s="19" t="n">
        <f aca="false">$B97+BJ$3*100*$A97</f>
        <v>70.8</v>
      </c>
      <c r="BK97" s="19" t="n">
        <f aca="false">$B97+BK$3*100*$A97</f>
        <v>71.975</v>
      </c>
      <c r="BL97" s="19" t="n">
        <f aca="false">$B97+BL$3*100*$A97</f>
        <v>73.15</v>
      </c>
      <c r="BM97" s="19" t="n">
        <f aca="false">$B97+BM$3*100*$A97</f>
        <v>74.325</v>
      </c>
      <c r="BN97" s="19" t="n">
        <f aca="false">$B97+BN$3*100*$A97</f>
        <v>75.5</v>
      </c>
      <c r="BO97" s="19" t="n">
        <f aca="false">$B97+BO$3*100*$A97</f>
        <v>76.675</v>
      </c>
      <c r="BP97" s="19" t="n">
        <f aca="false">$B97+BP$3*100*$A97</f>
        <v>77.85</v>
      </c>
      <c r="BQ97" s="19" t="n">
        <f aca="false">$B97+BQ$3*100*$A97</f>
        <v>79.025</v>
      </c>
      <c r="BR97" s="19" t="n">
        <f aca="false">$B97+BR$3*100*$A97</f>
        <v>80.2</v>
      </c>
      <c r="BS97" s="19" t="n">
        <f aca="false">$B97+BS$3*100*$A97</f>
        <v>81.375</v>
      </c>
      <c r="BT97" s="19" t="n">
        <f aca="false">$B97+BT$3*100*$A97</f>
        <v>82.55</v>
      </c>
      <c r="BU97" s="19" t="n">
        <f aca="false">$B97+BU$3*100*$A97</f>
        <v>83.725</v>
      </c>
      <c r="BV97" s="19" t="n">
        <f aca="false">$B97+BV$3*100*$A97</f>
        <v>84.9</v>
      </c>
      <c r="BW97" s="19" t="n">
        <f aca="false">$B97+BW$3*100*$A97</f>
        <v>86.075</v>
      </c>
      <c r="BX97" s="19" t="n">
        <f aca="false">$B97+BX$3*100*$A97</f>
        <v>87.25</v>
      </c>
      <c r="BY97" s="19" t="n">
        <f aca="false">$B97+BY$3*100*$A97</f>
        <v>88.425</v>
      </c>
      <c r="BZ97" s="19" t="n">
        <f aca="false">$B97+BZ$3*100*$A97</f>
        <v>89.6</v>
      </c>
      <c r="CA97" s="19" t="n">
        <f aca="false">$B97+CA$3*100*$A97</f>
        <v>90.775</v>
      </c>
      <c r="CB97" s="19" t="n">
        <f aca="false">$B97+CB$3*100*$A97</f>
        <v>91.95</v>
      </c>
      <c r="CC97" s="19" t="n">
        <f aca="false">$B97+CC$3*100*$A97</f>
        <v>93.125</v>
      </c>
      <c r="CD97" s="19" t="n">
        <f aca="false">$B97+CD$3*100*$A97</f>
        <v>94.3</v>
      </c>
      <c r="CE97" s="19" t="n">
        <f aca="false">$B97+CE$3*100*$A97</f>
        <v>95.475</v>
      </c>
      <c r="CF97" s="19" t="n">
        <f aca="false">$B97+CF$3*100*$A97</f>
        <v>96.65</v>
      </c>
      <c r="CG97" s="19" t="n">
        <f aca="false">$B97+CG$3*100*$A97</f>
        <v>97.825</v>
      </c>
      <c r="CH97" s="19" t="n">
        <f aca="false">$B97+CH$3*100*$A97</f>
        <v>99</v>
      </c>
      <c r="CI97" s="19" t="n">
        <f aca="false">$B97+CI$3*100*$A97</f>
        <v>100.175</v>
      </c>
      <c r="CJ97" s="19" t="n">
        <f aca="false">$B97+CJ$3*100*$A97</f>
        <v>101.35</v>
      </c>
      <c r="CK97" s="19" t="n">
        <f aca="false">$B97+CK$3*100*$A97</f>
        <v>102.525</v>
      </c>
      <c r="CL97" s="19" t="n">
        <f aca="false">$B97+CL$3*100*$A97</f>
        <v>103.7</v>
      </c>
      <c r="CM97" s="19" t="n">
        <f aca="false">$B97+CM$3*100*$A97</f>
        <v>104.875</v>
      </c>
      <c r="CN97" s="19" t="n">
        <f aca="false">$B97+CN$3*100*$A97</f>
        <v>106.05</v>
      </c>
      <c r="CO97" s="19" t="n">
        <f aca="false">$B97+CO$3*100*$A97</f>
        <v>107.225</v>
      </c>
      <c r="CP97" s="19" t="n">
        <f aca="false">$B97+CP$3*100*$A97</f>
        <v>108.4</v>
      </c>
      <c r="CQ97" s="19" t="n">
        <f aca="false">$B97+CQ$3*100*$A97</f>
        <v>109.575</v>
      </c>
      <c r="CR97" s="19" t="n">
        <f aca="false">$B97+CR$3*100*$A97</f>
        <v>110.75</v>
      </c>
      <c r="CS97" s="19" t="n">
        <f aca="false">$B97+CS$3*100*$A97</f>
        <v>111.925</v>
      </c>
      <c r="CT97" s="19" t="n">
        <f aca="false">$B97+CT$3*100*$A97</f>
        <v>113.1</v>
      </c>
      <c r="CU97" s="19" t="n">
        <f aca="false">$B97+CU$3*100*$A97</f>
        <v>114.275</v>
      </c>
      <c r="CV97" s="19" t="n">
        <f aca="false">$B97+CV$3*100*$A97</f>
        <v>115.45</v>
      </c>
      <c r="CW97" s="19" t="n">
        <f aca="false">$B97+CW$3*100*$A97</f>
        <v>116.625</v>
      </c>
      <c r="CX97" s="19" t="n">
        <f aca="false">$B97+CX$3*100*$A97</f>
        <v>117.8</v>
      </c>
      <c r="CY97" s="19" t="n">
        <f aca="false">$B97+CY$3*100*$A97</f>
        <v>118.975</v>
      </c>
      <c r="CZ97" s="19" t="n">
        <f aca="false">$B97+CZ$3*100*$A97</f>
        <v>120.15</v>
      </c>
      <c r="DA97" s="19" t="n">
        <f aca="false">$B97+DA$3*100*$A97</f>
        <v>121.325</v>
      </c>
      <c r="DB97" s="19" t="n">
        <f aca="false">$B97+DB$3*100*$A97</f>
        <v>122.5</v>
      </c>
      <c r="DC97" s="19" t="n">
        <f aca="false">$B97+DC$3*100*$A97</f>
        <v>123.675</v>
      </c>
      <c r="DD97" s="19" t="n">
        <f aca="false">$B97+DD$3*100*$A97</f>
        <v>124.85</v>
      </c>
      <c r="DE97" s="19" t="n">
        <f aca="false">$B97+DE$3*100*$A97</f>
        <v>126.025</v>
      </c>
      <c r="DF97" s="19" t="n">
        <f aca="false">$B97+DF$3*100*$A97</f>
        <v>127.2</v>
      </c>
      <c r="DG97" s="19" t="n">
        <f aca="false">$B97+DG$3*100*$A97</f>
        <v>128.375</v>
      </c>
      <c r="DH97" s="19" t="n">
        <f aca="false">$B97+DH$3*100*$A97</f>
        <v>129.55</v>
      </c>
      <c r="DI97" s="19" t="n">
        <f aca="false">$B97+DI$3*100*$A97</f>
        <v>130.725</v>
      </c>
      <c r="DJ97" s="19" t="n">
        <f aca="false">$B97+DJ$3*100*$A97</f>
        <v>131.9</v>
      </c>
      <c r="DK97" s="19" t="n">
        <f aca="false">$B97+DK$3*100*$A97</f>
        <v>133.075</v>
      </c>
      <c r="DL97" s="19" t="n">
        <f aca="false">$B97+DL$3*100*$A97</f>
        <v>134.25</v>
      </c>
      <c r="DM97" s="19" t="n">
        <f aca="false">$B97+DM$3*100*$A97</f>
        <v>135.425</v>
      </c>
      <c r="DN97" s="19" t="n">
        <f aca="false">$B97+DN$3*100*$A97</f>
        <v>136.6</v>
      </c>
      <c r="DO97" s="19" t="n">
        <f aca="false">$B97+DO$3*100*$A97</f>
        <v>137.775</v>
      </c>
      <c r="DP97" s="19" t="n">
        <f aca="false">$B97+DP$3*100*$A97</f>
        <v>138.95</v>
      </c>
      <c r="DQ97" s="19" t="n">
        <f aca="false">$B97+DQ$3*100*$A97</f>
        <v>140.125</v>
      </c>
      <c r="DR97" s="19" t="n">
        <f aca="false">$B97+DR$3*100*$A97</f>
        <v>141.3</v>
      </c>
      <c r="DS97" s="19" t="n">
        <f aca="false">$B97+DS$3*100*$A97</f>
        <v>142.475</v>
      </c>
      <c r="DT97" s="19" t="n">
        <f aca="false">$B97+DT$3*100*$A97</f>
        <v>143.65</v>
      </c>
      <c r="DU97" s="19" t="n">
        <f aca="false">$B97+DU$3*100*$A97</f>
        <v>144.825</v>
      </c>
      <c r="DV97" s="19" t="n">
        <f aca="false">$B97+DV$3*100*$A97</f>
        <v>146</v>
      </c>
      <c r="DW97" s="19" t="n">
        <f aca="false">$B97+DW$3*100*$A97</f>
        <v>147.175</v>
      </c>
      <c r="DX97" s="19" t="n">
        <f aca="false">$B97+DX$3*100*$A97</f>
        <v>148.35</v>
      </c>
      <c r="DY97" s="19" t="n">
        <f aca="false">$B97+DY$3*100*$A97</f>
        <v>149.525</v>
      </c>
      <c r="DZ97" s="19" t="n">
        <f aca="false">$B97+DZ$3*100*$A97</f>
        <v>150.7</v>
      </c>
      <c r="EA97" s="19" t="n">
        <f aca="false">$B97+EA$3*100*$A97</f>
        <v>151.875</v>
      </c>
      <c r="EB97" s="19" t="n">
        <f aca="false">$B97+EB$3*100*$A97</f>
        <v>153.05</v>
      </c>
      <c r="EC97" s="19" t="n">
        <f aca="false">$B97+EC$3*100*$A97</f>
        <v>154.225</v>
      </c>
      <c r="ED97" s="19" t="n">
        <f aca="false">$B97+ED$3*100*$A97</f>
        <v>155.4</v>
      </c>
      <c r="EE97" s="19" t="n">
        <f aca="false">$B97+EE$3*100*$A97</f>
        <v>156.575</v>
      </c>
      <c r="EF97" s="19" t="n">
        <f aca="false">$B97+EF$3*100*$A97</f>
        <v>157.75</v>
      </c>
      <c r="EG97" s="19" t="n">
        <f aca="false">$B97+EG$3*100*$A97</f>
        <v>158.925</v>
      </c>
      <c r="EH97" s="19" t="n">
        <f aca="false">$B97+EH$3*100*$A97</f>
        <v>160.1</v>
      </c>
      <c r="EI97" s="19" t="n">
        <f aca="false">$B97+EI$3*100*$A97</f>
        <v>161.275</v>
      </c>
      <c r="EJ97" s="19" t="n">
        <f aca="false">$B97+EJ$3*100*$A97</f>
        <v>162.45</v>
      </c>
      <c r="EK97" s="19" t="n">
        <f aca="false">$B97+EK$3*100*$A97</f>
        <v>163.625</v>
      </c>
      <c r="EL97" s="19" t="n">
        <f aca="false">$B97+EL$3*100*$A97</f>
        <v>164.8</v>
      </c>
      <c r="EM97" s="19" t="n">
        <f aca="false">$B97+EM$3*100*$A97</f>
        <v>165.975</v>
      </c>
      <c r="EN97" s="19" t="n">
        <f aca="false">$B97+EN$3*100*$A97</f>
        <v>167.15</v>
      </c>
      <c r="EO97" s="19" t="n">
        <f aca="false">$B97+EO$3*100*$A97</f>
        <v>168.325</v>
      </c>
      <c r="EP97" s="19" t="n">
        <f aca="false">$B97+EP$3*100*$A97</f>
        <v>169.5</v>
      </c>
      <c r="EQ97" s="19" t="n">
        <f aca="false">$B97+EQ$3*100*$A97</f>
        <v>170.675</v>
      </c>
      <c r="ER97" s="19" t="n">
        <f aca="false">$B97+ER$3*100*$A97</f>
        <v>171.85</v>
      </c>
      <c r="ES97" s="19" t="n">
        <f aca="false">$B97+ES$3*100*$A97</f>
        <v>173.025</v>
      </c>
      <c r="ET97" s="19" t="n">
        <f aca="false">$B97+ET$3*100*$A97</f>
        <v>174.2</v>
      </c>
      <c r="EU97" s="19" t="n">
        <f aca="false">$B97+EU$3*100*$A97</f>
        <v>175.375</v>
      </c>
      <c r="EV97" s="19" t="n">
        <f aca="false">$B97+EV$3*100*$A97</f>
        <v>176.55</v>
      </c>
      <c r="EW97" s="19" t="n">
        <f aca="false">$B97+EW$3*100*$A97</f>
        <v>177.725</v>
      </c>
      <c r="EX97" s="19" t="n">
        <f aca="false">$B97+EX$3*100*$A97</f>
        <v>178.9</v>
      </c>
      <c r="EY97" s="19" t="n">
        <f aca="false">$B97+EY$3*100*$A97</f>
        <v>180.075</v>
      </c>
      <c r="EZ97" s="19" t="n">
        <f aca="false">$B97+EZ$3*100*$A97</f>
        <v>181.25</v>
      </c>
      <c r="FA97" s="19" t="n">
        <f aca="false">$B97+FA$3*100*$A97</f>
        <v>182.425</v>
      </c>
      <c r="FB97" s="19" t="n">
        <f aca="false">$B97+FB$3*100*$A97</f>
        <v>183.6</v>
      </c>
      <c r="FC97" s="19" t="n">
        <f aca="false">$B97+FC$3*100*$A97</f>
        <v>184.775</v>
      </c>
      <c r="FD97" s="19" t="n">
        <f aca="false">$B97+FD$3*100*$A97</f>
        <v>185.95</v>
      </c>
      <c r="FE97" s="19" t="n">
        <f aca="false">$B97+FE$3*100*$A97</f>
        <v>187.125</v>
      </c>
      <c r="FF97" s="19" t="n">
        <f aca="false">$B97+FF$3*100*$A97</f>
        <v>188.3</v>
      </c>
      <c r="FG97" s="19" t="n">
        <f aca="false">$B97+FG$3*100*$A97</f>
        <v>189.475</v>
      </c>
      <c r="FH97" s="19" t="n">
        <f aca="false">$B97+FH$3*100*$A97</f>
        <v>190.65</v>
      </c>
      <c r="FI97" s="19" t="n">
        <f aca="false">$B97+FI$3*100*$A97</f>
        <v>191.825</v>
      </c>
      <c r="FJ97" s="19" t="n">
        <f aca="false">$B97+FJ$3*100*$A97</f>
        <v>193</v>
      </c>
      <c r="FK97" s="19" t="n">
        <f aca="false">$B97+FK$3*100*$A97</f>
        <v>194.175</v>
      </c>
      <c r="FL97" s="19" t="n">
        <f aca="false">$B97+FL$3*100*$A97</f>
        <v>195.35</v>
      </c>
      <c r="FM97" s="19" t="n">
        <f aca="false">$B97+FM$3*100*$A97</f>
        <v>196.525</v>
      </c>
      <c r="FN97" s="19" t="n">
        <f aca="false">$B97+FN$3*100*$A97</f>
        <v>197.7</v>
      </c>
      <c r="FO97" s="19" t="n">
        <f aca="false">$B97+FO$3*100*$A97</f>
        <v>198.875</v>
      </c>
      <c r="FP97" s="19" t="n">
        <f aca="false">$B97+FP$3*100*$A97</f>
        <v>200.05</v>
      </c>
      <c r="FQ97" s="19" t="n">
        <f aca="false">$B97+FQ$3*100*$A97</f>
        <v>201.225</v>
      </c>
      <c r="FR97" s="19" t="n">
        <f aca="false">$B97+FR$3*100*$A97</f>
        <v>202.4</v>
      </c>
      <c r="FS97" s="19" t="n">
        <f aca="false">$B97+FS$3*100*$A97</f>
        <v>203.575</v>
      </c>
      <c r="FT97" s="19" t="n">
        <f aca="false">$B97+FT$3*100*$A97</f>
        <v>204.75</v>
      </c>
      <c r="FU97" s="19" t="n">
        <f aca="false">$B97+FU$3*100*$A97</f>
        <v>205.925</v>
      </c>
      <c r="FV97" s="19" t="n">
        <f aca="false">$B97+FV$3*100*$A97</f>
        <v>207.1</v>
      </c>
      <c r="FW97" s="19" t="n">
        <f aca="false">$B97+FW$3*100*$A97</f>
        <v>208.275</v>
      </c>
      <c r="FX97" s="19" t="n">
        <f aca="false">$B97+FX$3*100*$A97</f>
        <v>209.45</v>
      </c>
      <c r="FY97" s="19" t="n">
        <f aca="false">$B97+FY$3*100*$A97</f>
        <v>210.625</v>
      </c>
      <c r="FZ97" s="19" t="n">
        <f aca="false">$B97+FZ$3*100*$A97</f>
        <v>211.8</v>
      </c>
      <c r="GA97" s="19" t="n">
        <f aca="false">$B97+GA$3*100*$A97</f>
        <v>212.975</v>
      </c>
      <c r="GB97" s="19" t="n">
        <f aca="false">$B97+GB$3*100*$A97</f>
        <v>214.15</v>
      </c>
      <c r="GC97" s="19" t="n">
        <f aca="false">$B97+GC$3*100*$A97</f>
        <v>215.325</v>
      </c>
      <c r="GD97" s="19" t="n">
        <f aca="false">$B97+GD$3*100*$A97</f>
        <v>216.5</v>
      </c>
      <c r="GE97" s="19" t="n">
        <f aca="false">$B97+GE$3*100*$A97</f>
        <v>217.675</v>
      </c>
      <c r="GF97" s="19" t="n">
        <f aca="false">$B97+GF$3*100*$A97</f>
        <v>218.85</v>
      </c>
      <c r="GG97" s="19" t="n">
        <f aca="false">$B97+GG$3*100*$A97</f>
        <v>220.025</v>
      </c>
      <c r="GH97" s="19" t="n">
        <f aca="false">$B97+GH$3*100*$A97</f>
        <v>221.2</v>
      </c>
      <c r="GI97" s="19" t="n">
        <f aca="false">$B97+GI$3*100*$A97</f>
        <v>222.375</v>
      </c>
      <c r="GJ97" s="19" t="n">
        <f aca="false">$B97+GJ$3*100*$A97</f>
        <v>223.55</v>
      </c>
      <c r="GK97" s="19" t="n">
        <f aca="false">$B97+GK$3*100*$A97</f>
        <v>224.725</v>
      </c>
      <c r="GL97" s="19" t="n">
        <f aca="false">$B97+GL$3*100*$A97</f>
        <v>225.9</v>
      </c>
      <c r="GM97" s="19" t="n">
        <f aca="false">$B97+GM$3*100*$A97</f>
        <v>227.075</v>
      </c>
      <c r="GN97" s="19" t="n">
        <f aca="false">$B97+GN$3*100*$A97</f>
        <v>228.25</v>
      </c>
      <c r="GO97" s="19" t="n">
        <f aca="false">$B97+GO$3*100*$A97</f>
        <v>229.425</v>
      </c>
      <c r="GP97" s="19" t="n">
        <f aca="false">$B97+GP$3*100*$A97</f>
        <v>230.6</v>
      </c>
      <c r="GQ97" s="19" t="n">
        <f aca="false">$B97+GQ$3*100*$A97</f>
        <v>231.775</v>
      </c>
      <c r="GR97" s="19" t="n">
        <f aca="false">$B97+GR$3*100*$A97</f>
        <v>232.95</v>
      </c>
      <c r="GS97" s="19" t="n">
        <f aca="false">$B97+GS$3*100*$A97</f>
        <v>234.125</v>
      </c>
      <c r="GT97" s="19" t="n">
        <f aca="false">$B97+GT$3*100*$A97</f>
        <v>235.3</v>
      </c>
    </row>
    <row r="98" customFormat="false" ht="15" hidden="false" customHeight="false" outlineLevel="0" collapsed="false">
      <c r="A98" s="26" t="n">
        <f aca="false">Frontier!A96</f>
        <v>0.2375</v>
      </c>
      <c r="B98" s="34" t="n">
        <f aca="false">Frontier!B96</f>
        <v>0.3</v>
      </c>
      <c r="C98" s="19" t="n">
        <f aca="false">$B98+C$3*100*$A98</f>
        <v>1.4875</v>
      </c>
      <c r="D98" s="19" t="n">
        <f aca="false">$B98+D$3*100*$A98</f>
        <v>2.675</v>
      </c>
      <c r="E98" s="19" t="n">
        <f aca="false">$B98+E$3*100*$A98</f>
        <v>3.8625</v>
      </c>
      <c r="F98" s="19" t="n">
        <f aca="false">$B98+F$3*100*$A98</f>
        <v>5.05</v>
      </c>
      <c r="G98" s="19" t="n">
        <f aca="false">$B98+G$3*100*$A98</f>
        <v>6.2375</v>
      </c>
      <c r="H98" s="19" t="n">
        <f aca="false">$B98+H$3*100*$A98</f>
        <v>7.425</v>
      </c>
      <c r="I98" s="19" t="n">
        <f aca="false">$B98+I$3*100*$A98</f>
        <v>8.6125</v>
      </c>
      <c r="J98" s="19" t="n">
        <f aca="false">$B98+J$3*100*$A98</f>
        <v>9.8</v>
      </c>
      <c r="K98" s="19" t="n">
        <f aca="false">$B98+K$3*100*$A98</f>
        <v>10.9875</v>
      </c>
      <c r="L98" s="19" t="n">
        <f aca="false">$B98+L$3*100*$A98</f>
        <v>12.175</v>
      </c>
      <c r="M98" s="19" t="n">
        <f aca="false">$B98+M$3*100*$A98</f>
        <v>13.3625</v>
      </c>
      <c r="N98" s="19" t="n">
        <f aca="false">$B98+N$3*100*$A98</f>
        <v>14.55</v>
      </c>
      <c r="O98" s="19" t="n">
        <f aca="false">$B98+O$3*100*$A98</f>
        <v>15.7375</v>
      </c>
      <c r="P98" s="19" t="n">
        <f aca="false">$B98+P$3*100*$A98</f>
        <v>16.925</v>
      </c>
      <c r="Q98" s="19" t="n">
        <f aca="false">$B98+Q$3*100*$A98</f>
        <v>18.1125</v>
      </c>
      <c r="R98" s="19" t="n">
        <f aca="false">$B98+R$3*100*$A98</f>
        <v>19.3</v>
      </c>
      <c r="S98" s="19" t="n">
        <f aca="false">$B98+S$3*100*$A98</f>
        <v>20.4875</v>
      </c>
      <c r="T98" s="19" t="n">
        <f aca="false">$B98+T$3*100*$A98</f>
        <v>21.675</v>
      </c>
      <c r="U98" s="19" t="n">
        <f aca="false">$B98+U$3*100*$A98</f>
        <v>22.8625</v>
      </c>
      <c r="V98" s="19" t="n">
        <f aca="false">$B98+V$3*100*$A98</f>
        <v>24.05</v>
      </c>
      <c r="W98" s="19" t="n">
        <f aca="false">$B98+W$3*100*$A98</f>
        <v>25.2375</v>
      </c>
      <c r="X98" s="19" t="n">
        <f aca="false">$B98+X$3*100*$A98</f>
        <v>26.425</v>
      </c>
      <c r="Y98" s="19" t="n">
        <f aca="false">$B98+Y$3*100*$A98</f>
        <v>27.6125</v>
      </c>
      <c r="Z98" s="19" t="n">
        <f aca="false">$B98+Z$3*100*$A98</f>
        <v>28.8</v>
      </c>
      <c r="AA98" s="19" t="n">
        <f aca="false">$B98+AA$3*100*$A98</f>
        <v>29.9875</v>
      </c>
      <c r="AB98" s="19" t="n">
        <f aca="false">$B98+AB$3*100*$A98</f>
        <v>31.175</v>
      </c>
      <c r="AC98" s="19" t="n">
        <f aca="false">$B98+AC$3*100*$A98</f>
        <v>32.3625</v>
      </c>
      <c r="AD98" s="19" t="n">
        <f aca="false">$B98+AD$3*100*$A98</f>
        <v>33.55</v>
      </c>
      <c r="AE98" s="19" t="n">
        <f aca="false">$B98+AE$3*100*$A98</f>
        <v>34.7375</v>
      </c>
      <c r="AF98" s="19" t="n">
        <f aca="false">$B98+AF$3*100*$A98</f>
        <v>35.925</v>
      </c>
      <c r="AG98" s="19" t="n">
        <f aca="false">$B98+AG$3*100*$A98</f>
        <v>37.1125</v>
      </c>
      <c r="AH98" s="19" t="n">
        <f aca="false">$B98+AH$3*100*$A98</f>
        <v>38.3</v>
      </c>
      <c r="AI98" s="19" t="n">
        <f aca="false">$B98+AI$3*100*$A98</f>
        <v>39.4875</v>
      </c>
      <c r="AJ98" s="19" t="n">
        <f aca="false">$B98+AJ$3*100*$A98</f>
        <v>40.675</v>
      </c>
      <c r="AK98" s="19" t="n">
        <f aca="false">$B98+AK$3*100*$A98</f>
        <v>41.8625</v>
      </c>
      <c r="AL98" s="19" t="n">
        <f aca="false">$B98+AL$3*100*$A98</f>
        <v>43.05</v>
      </c>
      <c r="AM98" s="19" t="n">
        <f aca="false">$B98+AM$3*100*$A98</f>
        <v>44.2375</v>
      </c>
      <c r="AN98" s="19" t="n">
        <f aca="false">$B98+AN$3*100*$A98</f>
        <v>45.425</v>
      </c>
      <c r="AO98" s="19" t="n">
        <f aca="false">$B98+AO$3*100*$A98</f>
        <v>46.6125</v>
      </c>
      <c r="AP98" s="19" t="n">
        <f aca="false">$B98+AP$3*100*$A98</f>
        <v>47.8</v>
      </c>
      <c r="AQ98" s="19" t="n">
        <f aca="false">$B98+AQ$3*100*$A98</f>
        <v>48.9875</v>
      </c>
      <c r="AR98" s="19" t="n">
        <f aca="false">$B98+AR$3*100*$A98</f>
        <v>50.175</v>
      </c>
      <c r="AS98" s="19" t="n">
        <f aca="false">$B98+AS$3*100*$A98</f>
        <v>51.3625</v>
      </c>
      <c r="AT98" s="19" t="n">
        <f aca="false">$B98+AT$3*100*$A98</f>
        <v>52.55</v>
      </c>
      <c r="AU98" s="19" t="n">
        <f aca="false">$B98+AU$3*100*$A98</f>
        <v>53.7375</v>
      </c>
      <c r="AV98" s="19" t="n">
        <f aca="false">$B98+AV$3*100*$A98</f>
        <v>54.925</v>
      </c>
      <c r="AW98" s="19" t="n">
        <f aca="false">$B98+AW$3*100*$A98</f>
        <v>56.1125</v>
      </c>
      <c r="AX98" s="19" t="n">
        <f aca="false">$B98+AX$3*100*$A98</f>
        <v>57.3</v>
      </c>
      <c r="AY98" s="19" t="n">
        <f aca="false">$B98+AY$3*100*$A98</f>
        <v>58.4875</v>
      </c>
      <c r="AZ98" s="19" t="n">
        <f aca="false">$B98+AZ$3*100*$A98</f>
        <v>59.675</v>
      </c>
      <c r="BA98" s="19" t="n">
        <f aca="false">$B98+BA$3*100*$A98</f>
        <v>60.8625</v>
      </c>
      <c r="BB98" s="19" t="n">
        <f aca="false">$B98+BB$3*100*$A98</f>
        <v>62.05</v>
      </c>
      <c r="BC98" s="19" t="n">
        <f aca="false">$B98+BC$3*100*$A98</f>
        <v>63.2375</v>
      </c>
      <c r="BD98" s="19" t="n">
        <f aca="false">$B98+BD$3*100*$A98</f>
        <v>64.425</v>
      </c>
      <c r="BE98" s="19" t="n">
        <f aca="false">$B98+BE$3*100*$A98</f>
        <v>65.6125</v>
      </c>
      <c r="BF98" s="19" t="n">
        <f aca="false">$B98+BF$3*100*$A98</f>
        <v>66.8</v>
      </c>
      <c r="BG98" s="19" t="n">
        <f aca="false">$B98+BG$3*100*$A98</f>
        <v>67.9875</v>
      </c>
      <c r="BH98" s="19" t="n">
        <f aca="false">$B98+BH$3*100*$A98</f>
        <v>69.175</v>
      </c>
      <c r="BI98" s="19" t="n">
        <f aca="false">$B98+BI$3*100*$A98</f>
        <v>70.3625</v>
      </c>
      <c r="BJ98" s="19" t="n">
        <f aca="false">$B98+BJ$3*100*$A98</f>
        <v>71.55</v>
      </c>
      <c r="BK98" s="19" t="n">
        <f aca="false">$B98+BK$3*100*$A98</f>
        <v>72.7375</v>
      </c>
      <c r="BL98" s="19" t="n">
        <f aca="false">$B98+BL$3*100*$A98</f>
        <v>73.925</v>
      </c>
      <c r="BM98" s="19" t="n">
        <f aca="false">$B98+BM$3*100*$A98</f>
        <v>75.1125</v>
      </c>
      <c r="BN98" s="19" t="n">
        <f aca="false">$B98+BN$3*100*$A98</f>
        <v>76.3</v>
      </c>
      <c r="BO98" s="19" t="n">
        <f aca="false">$B98+BO$3*100*$A98</f>
        <v>77.4875</v>
      </c>
      <c r="BP98" s="19" t="n">
        <f aca="false">$B98+BP$3*100*$A98</f>
        <v>78.675</v>
      </c>
      <c r="BQ98" s="19" t="n">
        <f aca="false">$B98+BQ$3*100*$A98</f>
        <v>79.8625</v>
      </c>
      <c r="BR98" s="19" t="n">
        <f aca="false">$B98+BR$3*100*$A98</f>
        <v>81.05</v>
      </c>
      <c r="BS98" s="19" t="n">
        <f aca="false">$B98+BS$3*100*$A98</f>
        <v>82.2375</v>
      </c>
      <c r="BT98" s="19" t="n">
        <f aca="false">$B98+BT$3*100*$A98</f>
        <v>83.425</v>
      </c>
      <c r="BU98" s="19" t="n">
        <f aca="false">$B98+BU$3*100*$A98</f>
        <v>84.6125</v>
      </c>
      <c r="BV98" s="19" t="n">
        <f aca="false">$B98+BV$3*100*$A98</f>
        <v>85.8</v>
      </c>
      <c r="BW98" s="19" t="n">
        <f aca="false">$B98+BW$3*100*$A98</f>
        <v>86.9875</v>
      </c>
      <c r="BX98" s="19" t="n">
        <f aca="false">$B98+BX$3*100*$A98</f>
        <v>88.175</v>
      </c>
      <c r="BY98" s="19" t="n">
        <f aca="false">$B98+BY$3*100*$A98</f>
        <v>89.3625</v>
      </c>
      <c r="BZ98" s="19" t="n">
        <f aca="false">$B98+BZ$3*100*$A98</f>
        <v>90.55</v>
      </c>
      <c r="CA98" s="19" t="n">
        <f aca="false">$B98+CA$3*100*$A98</f>
        <v>91.7375</v>
      </c>
      <c r="CB98" s="19" t="n">
        <f aca="false">$B98+CB$3*100*$A98</f>
        <v>92.925</v>
      </c>
      <c r="CC98" s="19" t="n">
        <f aca="false">$B98+CC$3*100*$A98</f>
        <v>94.1125</v>
      </c>
      <c r="CD98" s="19" t="n">
        <f aca="false">$B98+CD$3*100*$A98</f>
        <v>95.3</v>
      </c>
      <c r="CE98" s="19" t="n">
        <f aca="false">$B98+CE$3*100*$A98</f>
        <v>96.4875</v>
      </c>
      <c r="CF98" s="19" t="n">
        <f aca="false">$B98+CF$3*100*$A98</f>
        <v>97.675</v>
      </c>
      <c r="CG98" s="19" t="n">
        <f aca="false">$B98+CG$3*100*$A98</f>
        <v>98.8625</v>
      </c>
      <c r="CH98" s="19" t="n">
        <f aca="false">$B98+CH$3*100*$A98</f>
        <v>100.05</v>
      </c>
      <c r="CI98" s="19" t="n">
        <f aca="false">$B98+CI$3*100*$A98</f>
        <v>101.2375</v>
      </c>
      <c r="CJ98" s="19" t="n">
        <f aca="false">$B98+CJ$3*100*$A98</f>
        <v>102.425</v>
      </c>
      <c r="CK98" s="19" t="n">
        <f aca="false">$B98+CK$3*100*$A98</f>
        <v>103.6125</v>
      </c>
      <c r="CL98" s="19" t="n">
        <f aca="false">$B98+CL$3*100*$A98</f>
        <v>104.8</v>
      </c>
      <c r="CM98" s="19" t="n">
        <f aca="false">$B98+CM$3*100*$A98</f>
        <v>105.9875</v>
      </c>
      <c r="CN98" s="19" t="n">
        <f aca="false">$B98+CN$3*100*$A98</f>
        <v>107.175</v>
      </c>
      <c r="CO98" s="19" t="n">
        <f aca="false">$B98+CO$3*100*$A98</f>
        <v>108.3625</v>
      </c>
      <c r="CP98" s="19" t="n">
        <f aca="false">$B98+CP$3*100*$A98</f>
        <v>109.55</v>
      </c>
      <c r="CQ98" s="19" t="n">
        <f aca="false">$B98+CQ$3*100*$A98</f>
        <v>110.7375</v>
      </c>
      <c r="CR98" s="19" t="n">
        <f aca="false">$B98+CR$3*100*$A98</f>
        <v>111.925</v>
      </c>
      <c r="CS98" s="19" t="n">
        <f aca="false">$B98+CS$3*100*$A98</f>
        <v>113.1125</v>
      </c>
      <c r="CT98" s="19" t="n">
        <f aca="false">$B98+CT$3*100*$A98</f>
        <v>114.3</v>
      </c>
      <c r="CU98" s="19" t="n">
        <f aca="false">$B98+CU$3*100*$A98</f>
        <v>115.4875</v>
      </c>
      <c r="CV98" s="19" t="n">
        <f aca="false">$B98+CV$3*100*$A98</f>
        <v>116.675</v>
      </c>
      <c r="CW98" s="19" t="n">
        <f aca="false">$B98+CW$3*100*$A98</f>
        <v>117.8625</v>
      </c>
      <c r="CX98" s="19" t="n">
        <f aca="false">$B98+CX$3*100*$A98</f>
        <v>119.05</v>
      </c>
      <c r="CY98" s="19" t="n">
        <f aca="false">$B98+CY$3*100*$A98</f>
        <v>120.2375</v>
      </c>
      <c r="CZ98" s="19" t="n">
        <f aca="false">$B98+CZ$3*100*$A98</f>
        <v>121.425</v>
      </c>
      <c r="DA98" s="19" t="n">
        <f aca="false">$B98+DA$3*100*$A98</f>
        <v>122.6125</v>
      </c>
      <c r="DB98" s="19" t="n">
        <f aca="false">$B98+DB$3*100*$A98</f>
        <v>123.8</v>
      </c>
      <c r="DC98" s="19" t="n">
        <f aca="false">$B98+DC$3*100*$A98</f>
        <v>124.9875</v>
      </c>
      <c r="DD98" s="19" t="n">
        <f aca="false">$B98+DD$3*100*$A98</f>
        <v>126.175</v>
      </c>
      <c r="DE98" s="19" t="n">
        <f aca="false">$B98+DE$3*100*$A98</f>
        <v>127.3625</v>
      </c>
      <c r="DF98" s="19" t="n">
        <f aca="false">$B98+DF$3*100*$A98</f>
        <v>128.55</v>
      </c>
      <c r="DG98" s="19" t="n">
        <f aca="false">$B98+DG$3*100*$A98</f>
        <v>129.7375</v>
      </c>
      <c r="DH98" s="19" t="n">
        <f aca="false">$B98+DH$3*100*$A98</f>
        <v>130.925</v>
      </c>
      <c r="DI98" s="19" t="n">
        <f aca="false">$B98+DI$3*100*$A98</f>
        <v>132.1125</v>
      </c>
      <c r="DJ98" s="19" t="n">
        <f aca="false">$B98+DJ$3*100*$A98</f>
        <v>133.3</v>
      </c>
      <c r="DK98" s="19" t="n">
        <f aca="false">$B98+DK$3*100*$A98</f>
        <v>134.4875</v>
      </c>
      <c r="DL98" s="19" t="n">
        <f aca="false">$B98+DL$3*100*$A98</f>
        <v>135.675</v>
      </c>
      <c r="DM98" s="19" t="n">
        <f aca="false">$B98+DM$3*100*$A98</f>
        <v>136.8625</v>
      </c>
      <c r="DN98" s="19" t="n">
        <f aca="false">$B98+DN$3*100*$A98</f>
        <v>138.05</v>
      </c>
      <c r="DO98" s="19" t="n">
        <f aca="false">$B98+DO$3*100*$A98</f>
        <v>139.2375</v>
      </c>
      <c r="DP98" s="19" t="n">
        <f aca="false">$B98+DP$3*100*$A98</f>
        <v>140.425</v>
      </c>
      <c r="DQ98" s="19" t="n">
        <f aca="false">$B98+DQ$3*100*$A98</f>
        <v>141.6125</v>
      </c>
      <c r="DR98" s="19" t="n">
        <f aca="false">$B98+DR$3*100*$A98</f>
        <v>142.8</v>
      </c>
      <c r="DS98" s="19" t="n">
        <f aca="false">$B98+DS$3*100*$A98</f>
        <v>143.9875</v>
      </c>
      <c r="DT98" s="19" t="n">
        <f aca="false">$B98+DT$3*100*$A98</f>
        <v>145.175</v>
      </c>
      <c r="DU98" s="19" t="n">
        <f aca="false">$B98+DU$3*100*$A98</f>
        <v>146.3625</v>
      </c>
      <c r="DV98" s="19" t="n">
        <f aca="false">$B98+DV$3*100*$A98</f>
        <v>147.55</v>
      </c>
      <c r="DW98" s="19" t="n">
        <f aca="false">$B98+DW$3*100*$A98</f>
        <v>148.7375</v>
      </c>
      <c r="DX98" s="19" t="n">
        <f aca="false">$B98+DX$3*100*$A98</f>
        <v>149.925</v>
      </c>
      <c r="DY98" s="19" t="n">
        <f aca="false">$B98+DY$3*100*$A98</f>
        <v>151.1125</v>
      </c>
      <c r="DZ98" s="19" t="n">
        <f aca="false">$B98+DZ$3*100*$A98</f>
        <v>152.3</v>
      </c>
      <c r="EA98" s="19" t="n">
        <f aca="false">$B98+EA$3*100*$A98</f>
        <v>153.4875</v>
      </c>
      <c r="EB98" s="19" t="n">
        <f aca="false">$B98+EB$3*100*$A98</f>
        <v>154.675</v>
      </c>
      <c r="EC98" s="19" t="n">
        <f aca="false">$B98+EC$3*100*$A98</f>
        <v>155.8625</v>
      </c>
      <c r="ED98" s="19" t="n">
        <f aca="false">$B98+ED$3*100*$A98</f>
        <v>157.05</v>
      </c>
      <c r="EE98" s="19" t="n">
        <f aca="false">$B98+EE$3*100*$A98</f>
        <v>158.2375</v>
      </c>
      <c r="EF98" s="19" t="n">
        <f aca="false">$B98+EF$3*100*$A98</f>
        <v>159.425</v>
      </c>
      <c r="EG98" s="19" t="n">
        <f aca="false">$B98+EG$3*100*$A98</f>
        <v>160.6125</v>
      </c>
      <c r="EH98" s="19" t="n">
        <f aca="false">$B98+EH$3*100*$A98</f>
        <v>161.8</v>
      </c>
      <c r="EI98" s="19" t="n">
        <f aca="false">$B98+EI$3*100*$A98</f>
        <v>162.9875</v>
      </c>
      <c r="EJ98" s="19" t="n">
        <f aca="false">$B98+EJ$3*100*$A98</f>
        <v>164.175</v>
      </c>
      <c r="EK98" s="19" t="n">
        <f aca="false">$B98+EK$3*100*$A98</f>
        <v>165.3625</v>
      </c>
      <c r="EL98" s="19" t="n">
        <f aca="false">$B98+EL$3*100*$A98</f>
        <v>166.55</v>
      </c>
      <c r="EM98" s="19" t="n">
        <f aca="false">$B98+EM$3*100*$A98</f>
        <v>167.7375</v>
      </c>
      <c r="EN98" s="19" t="n">
        <f aca="false">$B98+EN$3*100*$A98</f>
        <v>168.925</v>
      </c>
      <c r="EO98" s="19" t="n">
        <f aca="false">$B98+EO$3*100*$A98</f>
        <v>170.1125</v>
      </c>
      <c r="EP98" s="19" t="n">
        <f aca="false">$B98+EP$3*100*$A98</f>
        <v>171.3</v>
      </c>
      <c r="EQ98" s="19" t="n">
        <f aca="false">$B98+EQ$3*100*$A98</f>
        <v>172.4875</v>
      </c>
      <c r="ER98" s="19" t="n">
        <f aca="false">$B98+ER$3*100*$A98</f>
        <v>173.675</v>
      </c>
      <c r="ES98" s="19" t="n">
        <f aca="false">$B98+ES$3*100*$A98</f>
        <v>174.8625</v>
      </c>
      <c r="ET98" s="19" t="n">
        <f aca="false">$B98+ET$3*100*$A98</f>
        <v>176.05</v>
      </c>
      <c r="EU98" s="19" t="n">
        <f aca="false">$B98+EU$3*100*$A98</f>
        <v>177.2375</v>
      </c>
      <c r="EV98" s="19" t="n">
        <f aca="false">$B98+EV$3*100*$A98</f>
        <v>178.425</v>
      </c>
      <c r="EW98" s="19" t="n">
        <f aca="false">$B98+EW$3*100*$A98</f>
        <v>179.6125</v>
      </c>
      <c r="EX98" s="19" t="n">
        <f aca="false">$B98+EX$3*100*$A98</f>
        <v>180.8</v>
      </c>
      <c r="EY98" s="19" t="n">
        <f aca="false">$B98+EY$3*100*$A98</f>
        <v>181.9875</v>
      </c>
      <c r="EZ98" s="19" t="n">
        <f aca="false">$B98+EZ$3*100*$A98</f>
        <v>183.175</v>
      </c>
      <c r="FA98" s="19" t="n">
        <f aca="false">$B98+FA$3*100*$A98</f>
        <v>184.3625</v>
      </c>
      <c r="FB98" s="19" t="n">
        <f aca="false">$B98+FB$3*100*$A98</f>
        <v>185.55</v>
      </c>
      <c r="FC98" s="19" t="n">
        <f aca="false">$B98+FC$3*100*$A98</f>
        <v>186.7375</v>
      </c>
      <c r="FD98" s="19" t="n">
        <f aca="false">$B98+FD$3*100*$A98</f>
        <v>187.925</v>
      </c>
      <c r="FE98" s="19" t="n">
        <f aca="false">$B98+FE$3*100*$A98</f>
        <v>189.1125</v>
      </c>
      <c r="FF98" s="19" t="n">
        <f aca="false">$B98+FF$3*100*$A98</f>
        <v>190.3</v>
      </c>
      <c r="FG98" s="19" t="n">
        <f aca="false">$B98+FG$3*100*$A98</f>
        <v>191.4875</v>
      </c>
      <c r="FH98" s="19" t="n">
        <f aca="false">$B98+FH$3*100*$A98</f>
        <v>192.675</v>
      </c>
      <c r="FI98" s="19" t="n">
        <f aca="false">$B98+FI$3*100*$A98</f>
        <v>193.8625</v>
      </c>
      <c r="FJ98" s="19" t="n">
        <f aca="false">$B98+FJ$3*100*$A98</f>
        <v>195.05</v>
      </c>
      <c r="FK98" s="19" t="n">
        <f aca="false">$B98+FK$3*100*$A98</f>
        <v>196.2375</v>
      </c>
      <c r="FL98" s="19" t="n">
        <f aca="false">$B98+FL$3*100*$A98</f>
        <v>197.425</v>
      </c>
      <c r="FM98" s="19" t="n">
        <f aca="false">$B98+FM$3*100*$A98</f>
        <v>198.6125</v>
      </c>
      <c r="FN98" s="19" t="n">
        <f aca="false">$B98+FN$3*100*$A98</f>
        <v>199.8</v>
      </c>
      <c r="FO98" s="19" t="n">
        <f aca="false">$B98+FO$3*100*$A98</f>
        <v>200.9875</v>
      </c>
      <c r="FP98" s="19" t="n">
        <f aca="false">$B98+FP$3*100*$A98</f>
        <v>202.175</v>
      </c>
      <c r="FQ98" s="19" t="n">
        <f aca="false">$B98+FQ$3*100*$A98</f>
        <v>203.3625</v>
      </c>
      <c r="FR98" s="19" t="n">
        <f aca="false">$B98+FR$3*100*$A98</f>
        <v>204.55</v>
      </c>
      <c r="FS98" s="19" t="n">
        <f aca="false">$B98+FS$3*100*$A98</f>
        <v>205.7375</v>
      </c>
      <c r="FT98" s="19" t="n">
        <f aca="false">$B98+FT$3*100*$A98</f>
        <v>206.925</v>
      </c>
      <c r="FU98" s="19" t="n">
        <f aca="false">$B98+FU$3*100*$A98</f>
        <v>208.1125</v>
      </c>
      <c r="FV98" s="19" t="n">
        <f aca="false">$B98+FV$3*100*$A98</f>
        <v>209.3</v>
      </c>
      <c r="FW98" s="19" t="n">
        <f aca="false">$B98+FW$3*100*$A98</f>
        <v>210.4875</v>
      </c>
      <c r="FX98" s="19" t="n">
        <f aca="false">$B98+FX$3*100*$A98</f>
        <v>211.675</v>
      </c>
      <c r="FY98" s="19" t="n">
        <f aca="false">$B98+FY$3*100*$A98</f>
        <v>212.8625</v>
      </c>
      <c r="FZ98" s="19" t="n">
        <f aca="false">$B98+FZ$3*100*$A98</f>
        <v>214.05</v>
      </c>
      <c r="GA98" s="19" t="n">
        <f aca="false">$B98+GA$3*100*$A98</f>
        <v>215.2375</v>
      </c>
      <c r="GB98" s="19" t="n">
        <f aca="false">$B98+GB$3*100*$A98</f>
        <v>216.425</v>
      </c>
      <c r="GC98" s="19" t="n">
        <f aca="false">$B98+GC$3*100*$A98</f>
        <v>217.6125</v>
      </c>
      <c r="GD98" s="19" t="n">
        <f aca="false">$B98+GD$3*100*$A98</f>
        <v>218.8</v>
      </c>
      <c r="GE98" s="19" t="n">
        <f aca="false">$B98+GE$3*100*$A98</f>
        <v>219.9875</v>
      </c>
      <c r="GF98" s="19" t="n">
        <f aca="false">$B98+GF$3*100*$A98</f>
        <v>221.175</v>
      </c>
      <c r="GG98" s="19" t="n">
        <f aca="false">$B98+GG$3*100*$A98</f>
        <v>222.3625</v>
      </c>
      <c r="GH98" s="19" t="n">
        <f aca="false">$B98+GH$3*100*$A98</f>
        <v>223.55</v>
      </c>
      <c r="GI98" s="19" t="n">
        <f aca="false">$B98+GI$3*100*$A98</f>
        <v>224.7375</v>
      </c>
      <c r="GJ98" s="19" t="n">
        <f aca="false">$B98+GJ$3*100*$A98</f>
        <v>225.925</v>
      </c>
      <c r="GK98" s="19" t="n">
        <f aca="false">$B98+GK$3*100*$A98</f>
        <v>227.1125</v>
      </c>
      <c r="GL98" s="19" t="n">
        <f aca="false">$B98+GL$3*100*$A98</f>
        <v>228.3</v>
      </c>
      <c r="GM98" s="19" t="n">
        <f aca="false">$B98+GM$3*100*$A98</f>
        <v>229.4875</v>
      </c>
      <c r="GN98" s="19" t="n">
        <f aca="false">$B98+GN$3*100*$A98</f>
        <v>230.675</v>
      </c>
      <c r="GO98" s="19" t="n">
        <f aca="false">$B98+GO$3*100*$A98</f>
        <v>231.8625</v>
      </c>
      <c r="GP98" s="19" t="n">
        <f aca="false">$B98+GP$3*100*$A98</f>
        <v>233.05</v>
      </c>
      <c r="GQ98" s="19" t="n">
        <f aca="false">$B98+GQ$3*100*$A98</f>
        <v>234.2375</v>
      </c>
      <c r="GR98" s="19" t="n">
        <f aca="false">$B98+GR$3*100*$A98</f>
        <v>235.425</v>
      </c>
      <c r="GS98" s="19" t="n">
        <f aca="false">$B98+GS$3*100*$A98</f>
        <v>236.6125</v>
      </c>
      <c r="GT98" s="19" t="n">
        <f aca="false">$B98+GT$3*100*$A98</f>
        <v>237.8</v>
      </c>
    </row>
    <row r="99" customFormat="false" ht="15" hidden="false" customHeight="false" outlineLevel="0" collapsed="false">
      <c r="A99" s="26" t="n">
        <f aca="false">Frontier!A97</f>
        <v>0.24</v>
      </c>
      <c r="B99" s="34" t="n">
        <f aca="false">Frontier!B97</f>
        <v>0.171692228216722</v>
      </c>
      <c r="C99" s="19" t="n">
        <f aca="false">$B99+C$3*100*$A99</f>
        <v>1.37169222821672</v>
      </c>
      <c r="D99" s="19" t="n">
        <f aca="false">$B99+D$3*100*$A99</f>
        <v>2.57169222821672</v>
      </c>
      <c r="E99" s="19" t="n">
        <f aca="false">$B99+E$3*100*$A99</f>
        <v>3.77169222821672</v>
      </c>
      <c r="F99" s="19" t="n">
        <f aca="false">$B99+F$3*100*$A99</f>
        <v>4.97169222821672</v>
      </c>
      <c r="G99" s="19" t="n">
        <f aca="false">$B99+G$3*100*$A99</f>
        <v>6.17169222821672</v>
      </c>
      <c r="H99" s="19" t="n">
        <f aca="false">$B99+H$3*100*$A99</f>
        <v>7.37169222821672</v>
      </c>
      <c r="I99" s="19" t="n">
        <f aca="false">$B99+I$3*100*$A99</f>
        <v>8.57169222821672</v>
      </c>
      <c r="J99" s="19" t="n">
        <f aca="false">$B99+J$3*100*$A99</f>
        <v>9.77169222821672</v>
      </c>
      <c r="K99" s="19" t="n">
        <f aca="false">$B99+K$3*100*$A99</f>
        <v>10.9716922282167</v>
      </c>
      <c r="L99" s="19" t="n">
        <f aca="false">$B99+L$3*100*$A99</f>
        <v>12.1716922282167</v>
      </c>
      <c r="M99" s="19" t="n">
        <f aca="false">$B99+M$3*100*$A99</f>
        <v>13.3716922282167</v>
      </c>
      <c r="N99" s="19" t="n">
        <f aca="false">$B99+N$3*100*$A99</f>
        <v>14.5716922282167</v>
      </c>
      <c r="O99" s="19" t="n">
        <f aca="false">$B99+O$3*100*$A99</f>
        <v>15.7716922282167</v>
      </c>
      <c r="P99" s="19" t="n">
        <f aca="false">$B99+P$3*100*$A99</f>
        <v>16.9716922282167</v>
      </c>
      <c r="Q99" s="19" t="n">
        <f aca="false">$B99+Q$3*100*$A99</f>
        <v>18.1716922282167</v>
      </c>
      <c r="R99" s="19" t="n">
        <f aca="false">$B99+R$3*100*$A99</f>
        <v>19.3716922282167</v>
      </c>
      <c r="S99" s="19" t="n">
        <f aca="false">$B99+S$3*100*$A99</f>
        <v>20.5716922282167</v>
      </c>
      <c r="T99" s="19" t="n">
        <f aca="false">$B99+T$3*100*$A99</f>
        <v>21.7716922282167</v>
      </c>
      <c r="U99" s="19" t="n">
        <f aca="false">$B99+U$3*100*$A99</f>
        <v>22.9716922282167</v>
      </c>
      <c r="V99" s="19" t="n">
        <f aca="false">$B99+V$3*100*$A99</f>
        <v>24.1716922282167</v>
      </c>
      <c r="W99" s="19" t="n">
        <f aca="false">$B99+W$3*100*$A99</f>
        <v>25.3716922282167</v>
      </c>
      <c r="X99" s="19" t="n">
        <f aca="false">$B99+X$3*100*$A99</f>
        <v>26.5716922282167</v>
      </c>
      <c r="Y99" s="19" t="n">
        <f aca="false">$B99+Y$3*100*$A99</f>
        <v>27.7716922282167</v>
      </c>
      <c r="Z99" s="19" t="n">
        <f aca="false">$B99+Z$3*100*$A99</f>
        <v>28.9716922282167</v>
      </c>
      <c r="AA99" s="19" t="n">
        <f aca="false">$B99+AA$3*100*$A99</f>
        <v>30.1716922282167</v>
      </c>
      <c r="AB99" s="19" t="n">
        <f aca="false">$B99+AB$3*100*$A99</f>
        <v>31.3716922282167</v>
      </c>
      <c r="AC99" s="19" t="n">
        <f aca="false">$B99+AC$3*100*$A99</f>
        <v>32.5716922282167</v>
      </c>
      <c r="AD99" s="19" t="n">
        <f aca="false">$B99+AD$3*100*$A99</f>
        <v>33.7716922282167</v>
      </c>
      <c r="AE99" s="19" t="n">
        <f aca="false">$B99+AE$3*100*$A99</f>
        <v>34.9716922282167</v>
      </c>
      <c r="AF99" s="19" t="n">
        <f aca="false">$B99+AF$3*100*$A99</f>
        <v>36.1716922282167</v>
      </c>
      <c r="AG99" s="19" t="n">
        <f aca="false">$B99+AG$3*100*$A99</f>
        <v>37.3716922282167</v>
      </c>
      <c r="AH99" s="19" t="n">
        <f aca="false">$B99+AH$3*100*$A99</f>
        <v>38.5716922282167</v>
      </c>
      <c r="AI99" s="19" t="n">
        <f aca="false">$B99+AI$3*100*$A99</f>
        <v>39.7716922282167</v>
      </c>
      <c r="AJ99" s="19" t="n">
        <f aca="false">$B99+AJ$3*100*$A99</f>
        <v>40.9716922282167</v>
      </c>
      <c r="AK99" s="19" t="n">
        <f aca="false">$B99+AK$3*100*$A99</f>
        <v>42.1716922282167</v>
      </c>
      <c r="AL99" s="19" t="n">
        <f aca="false">$B99+AL$3*100*$A99</f>
        <v>43.3716922282167</v>
      </c>
      <c r="AM99" s="19" t="n">
        <f aca="false">$B99+AM$3*100*$A99</f>
        <v>44.5716922282167</v>
      </c>
      <c r="AN99" s="19" t="n">
        <f aca="false">$B99+AN$3*100*$A99</f>
        <v>45.7716922282167</v>
      </c>
      <c r="AO99" s="19" t="n">
        <f aca="false">$B99+AO$3*100*$A99</f>
        <v>46.9716922282167</v>
      </c>
      <c r="AP99" s="19" t="n">
        <f aca="false">$B99+AP$3*100*$A99</f>
        <v>48.1716922282167</v>
      </c>
      <c r="AQ99" s="19" t="n">
        <f aca="false">$B99+AQ$3*100*$A99</f>
        <v>49.3716922282167</v>
      </c>
      <c r="AR99" s="19" t="n">
        <f aca="false">$B99+AR$3*100*$A99</f>
        <v>50.5716922282167</v>
      </c>
      <c r="AS99" s="19" t="n">
        <f aca="false">$B99+AS$3*100*$A99</f>
        <v>51.7716922282167</v>
      </c>
      <c r="AT99" s="19" t="n">
        <f aca="false">$B99+AT$3*100*$A99</f>
        <v>52.9716922282167</v>
      </c>
      <c r="AU99" s="19" t="n">
        <f aca="false">$B99+AU$3*100*$A99</f>
        <v>54.1716922282167</v>
      </c>
      <c r="AV99" s="19" t="n">
        <f aca="false">$B99+AV$3*100*$A99</f>
        <v>55.3716922282167</v>
      </c>
      <c r="AW99" s="19" t="n">
        <f aca="false">$B99+AW$3*100*$A99</f>
        <v>56.5716922282167</v>
      </c>
      <c r="AX99" s="19" t="n">
        <f aca="false">$B99+AX$3*100*$A99</f>
        <v>57.7716922282167</v>
      </c>
      <c r="AY99" s="19" t="n">
        <f aca="false">$B99+AY$3*100*$A99</f>
        <v>58.9716922282167</v>
      </c>
      <c r="AZ99" s="19" t="n">
        <f aca="false">$B99+AZ$3*100*$A99</f>
        <v>60.1716922282167</v>
      </c>
      <c r="BA99" s="19" t="n">
        <f aca="false">$B99+BA$3*100*$A99</f>
        <v>61.3716922282167</v>
      </c>
      <c r="BB99" s="19" t="n">
        <f aca="false">$B99+BB$3*100*$A99</f>
        <v>62.5716922282167</v>
      </c>
      <c r="BC99" s="19" t="n">
        <f aca="false">$B99+BC$3*100*$A99</f>
        <v>63.7716922282167</v>
      </c>
      <c r="BD99" s="19" t="n">
        <f aca="false">$B99+BD$3*100*$A99</f>
        <v>64.9716922282167</v>
      </c>
      <c r="BE99" s="19" t="n">
        <f aca="false">$B99+BE$3*100*$A99</f>
        <v>66.1716922282167</v>
      </c>
      <c r="BF99" s="19" t="n">
        <f aca="false">$B99+BF$3*100*$A99</f>
        <v>67.3716922282167</v>
      </c>
      <c r="BG99" s="19" t="n">
        <f aca="false">$B99+BG$3*100*$A99</f>
        <v>68.5716922282167</v>
      </c>
      <c r="BH99" s="19" t="n">
        <f aca="false">$B99+BH$3*100*$A99</f>
        <v>69.7716922282167</v>
      </c>
      <c r="BI99" s="19" t="n">
        <f aca="false">$B99+BI$3*100*$A99</f>
        <v>70.9716922282167</v>
      </c>
      <c r="BJ99" s="19" t="n">
        <f aca="false">$B99+BJ$3*100*$A99</f>
        <v>72.1716922282167</v>
      </c>
      <c r="BK99" s="19" t="n">
        <f aca="false">$B99+BK$3*100*$A99</f>
        <v>73.3716922282167</v>
      </c>
      <c r="BL99" s="19" t="n">
        <f aca="false">$B99+BL$3*100*$A99</f>
        <v>74.5716922282167</v>
      </c>
      <c r="BM99" s="19" t="n">
        <f aca="false">$B99+BM$3*100*$A99</f>
        <v>75.7716922282167</v>
      </c>
      <c r="BN99" s="19" t="n">
        <f aca="false">$B99+BN$3*100*$A99</f>
        <v>76.9716922282167</v>
      </c>
      <c r="BO99" s="19" t="n">
        <f aca="false">$B99+BO$3*100*$A99</f>
        <v>78.1716922282167</v>
      </c>
      <c r="BP99" s="19" t="n">
        <f aca="false">$B99+BP$3*100*$A99</f>
        <v>79.3716922282167</v>
      </c>
      <c r="BQ99" s="19" t="n">
        <f aca="false">$B99+BQ$3*100*$A99</f>
        <v>80.5716922282167</v>
      </c>
      <c r="BR99" s="19" t="n">
        <f aca="false">$B99+BR$3*100*$A99</f>
        <v>81.7716922282167</v>
      </c>
      <c r="BS99" s="19" t="n">
        <f aca="false">$B99+BS$3*100*$A99</f>
        <v>82.9716922282167</v>
      </c>
      <c r="BT99" s="19" t="n">
        <f aca="false">$B99+BT$3*100*$A99</f>
        <v>84.1716922282167</v>
      </c>
      <c r="BU99" s="19" t="n">
        <f aca="false">$B99+BU$3*100*$A99</f>
        <v>85.3716922282167</v>
      </c>
      <c r="BV99" s="19" t="n">
        <f aca="false">$B99+BV$3*100*$A99</f>
        <v>86.5716922282167</v>
      </c>
      <c r="BW99" s="19" t="n">
        <f aca="false">$B99+BW$3*100*$A99</f>
        <v>87.7716922282167</v>
      </c>
      <c r="BX99" s="19" t="n">
        <f aca="false">$B99+BX$3*100*$A99</f>
        <v>88.9716922282167</v>
      </c>
      <c r="BY99" s="19" t="n">
        <f aca="false">$B99+BY$3*100*$A99</f>
        <v>90.1716922282167</v>
      </c>
      <c r="BZ99" s="19" t="n">
        <f aca="false">$B99+BZ$3*100*$A99</f>
        <v>91.3716922282167</v>
      </c>
      <c r="CA99" s="19" t="n">
        <f aca="false">$B99+CA$3*100*$A99</f>
        <v>92.5716922282167</v>
      </c>
      <c r="CB99" s="19" t="n">
        <f aca="false">$B99+CB$3*100*$A99</f>
        <v>93.7716922282167</v>
      </c>
      <c r="CC99" s="19" t="n">
        <f aca="false">$B99+CC$3*100*$A99</f>
        <v>94.9716922282167</v>
      </c>
      <c r="CD99" s="19" t="n">
        <f aca="false">$B99+CD$3*100*$A99</f>
        <v>96.1716922282167</v>
      </c>
      <c r="CE99" s="19" t="n">
        <f aca="false">$B99+CE$3*100*$A99</f>
        <v>97.3716922282167</v>
      </c>
      <c r="CF99" s="19" t="n">
        <f aca="false">$B99+CF$3*100*$A99</f>
        <v>98.5716922282167</v>
      </c>
      <c r="CG99" s="19" t="n">
        <f aca="false">$B99+CG$3*100*$A99</f>
        <v>99.7716922282167</v>
      </c>
      <c r="CH99" s="19" t="n">
        <f aca="false">$B99+CH$3*100*$A99</f>
        <v>100.971692228217</v>
      </c>
      <c r="CI99" s="19" t="n">
        <f aca="false">$B99+CI$3*100*$A99</f>
        <v>102.171692228217</v>
      </c>
      <c r="CJ99" s="19" t="n">
        <f aca="false">$B99+CJ$3*100*$A99</f>
        <v>103.371692228217</v>
      </c>
      <c r="CK99" s="19" t="n">
        <f aca="false">$B99+CK$3*100*$A99</f>
        <v>104.571692228217</v>
      </c>
      <c r="CL99" s="19" t="n">
        <f aca="false">$B99+CL$3*100*$A99</f>
        <v>105.771692228217</v>
      </c>
      <c r="CM99" s="19" t="n">
        <f aca="false">$B99+CM$3*100*$A99</f>
        <v>106.971692228217</v>
      </c>
      <c r="CN99" s="19" t="n">
        <f aca="false">$B99+CN$3*100*$A99</f>
        <v>108.171692228217</v>
      </c>
      <c r="CO99" s="19" t="n">
        <f aca="false">$B99+CO$3*100*$A99</f>
        <v>109.371692228217</v>
      </c>
      <c r="CP99" s="19" t="n">
        <f aca="false">$B99+CP$3*100*$A99</f>
        <v>110.571692228217</v>
      </c>
      <c r="CQ99" s="19" t="n">
        <f aca="false">$B99+CQ$3*100*$A99</f>
        <v>111.771692228217</v>
      </c>
      <c r="CR99" s="19" t="n">
        <f aca="false">$B99+CR$3*100*$A99</f>
        <v>112.971692228217</v>
      </c>
      <c r="CS99" s="19" t="n">
        <f aca="false">$B99+CS$3*100*$A99</f>
        <v>114.171692228217</v>
      </c>
      <c r="CT99" s="19" t="n">
        <f aca="false">$B99+CT$3*100*$A99</f>
        <v>115.371692228217</v>
      </c>
      <c r="CU99" s="19" t="n">
        <f aca="false">$B99+CU$3*100*$A99</f>
        <v>116.571692228217</v>
      </c>
      <c r="CV99" s="19" t="n">
        <f aca="false">$B99+CV$3*100*$A99</f>
        <v>117.771692228217</v>
      </c>
      <c r="CW99" s="19" t="n">
        <f aca="false">$B99+CW$3*100*$A99</f>
        <v>118.971692228217</v>
      </c>
      <c r="CX99" s="19" t="n">
        <f aca="false">$B99+CX$3*100*$A99</f>
        <v>120.171692228217</v>
      </c>
      <c r="CY99" s="19" t="n">
        <f aca="false">$B99+CY$3*100*$A99</f>
        <v>121.371692228217</v>
      </c>
      <c r="CZ99" s="19" t="n">
        <f aca="false">$B99+CZ$3*100*$A99</f>
        <v>122.571692228217</v>
      </c>
      <c r="DA99" s="19" t="n">
        <f aca="false">$B99+DA$3*100*$A99</f>
        <v>123.771692228217</v>
      </c>
      <c r="DB99" s="19" t="n">
        <f aca="false">$B99+DB$3*100*$A99</f>
        <v>124.971692228217</v>
      </c>
      <c r="DC99" s="19" t="n">
        <f aca="false">$B99+DC$3*100*$A99</f>
        <v>126.171692228217</v>
      </c>
      <c r="DD99" s="19" t="n">
        <f aca="false">$B99+DD$3*100*$A99</f>
        <v>127.371692228217</v>
      </c>
      <c r="DE99" s="19" t="n">
        <f aca="false">$B99+DE$3*100*$A99</f>
        <v>128.571692228217</v>
      </c>
      <c r="DF99" s="19" t="n">
        <f aca="false">$B99+DF$3*100*$A99</f>
        <v>129.771692228217</v>
      </c>
      <c r="DG99" s="19" t="n">
        <f aca="false">$B99+DG$3*100*$A99</f>
        <v>130.971692228217</v>
      </c>
      <c r="DH99" s="19" t="n">
        <f aca="false">$B99+DH$3*100*$A99</f>
        <v>132.171692228217</v>
      </c>
      <c r="DI99" s="19" t="n">
        <f aca="false">$B99+DI$3*100*$A99</f>
        <v>133.371692228217</v>
      </c>
      <c r="DJ99" s="19" t="n">
        <f aca="false">$B99+DJ$3*100*$A99</f>
        <v>134.571692228217</v>
      </c>
      <c r="DK99" s="19" t="n">
        <f aca="false">$B99+DK$3*100*$A99</f>
        <v>135.771692228217</v>
      </c>
      <c r="DL99" s="19" t="n">
        <f aca="false">$B99+DL$3*100*$A99</f>
        <v>136.971692228217</v>
      </c>
      <c r="DM99" s="19" t="n">
        <f aca="false">$B99+DM$3*100*$A99</f>
        <v>138.171692228217</v>
      </c>
      <c r="DN99" s="19" t="n">
        <f aca="false">$B99+DN$3*100*$A99</f>
        <v>139.371692228217</v>
      </c>
      <c r="DO99" s="19" t="n">
        <f aca="false">$B99+DO$3*100*$A99</f>
        <v>140.571692228217</v>
      </c>
      <c r="DP99" s="19" t="n">
        <f aca="false">$B99+DP$3*100*$A99</f>
        <v>141.771692228217</v>
      </c>
      <c r="DQ99" s="19" t="n">
        <f aca="false">$B99+DQ$3*100*$A99</f>
        <v>142.971692228217</v>
      </c>
      <c r="DR99" s="19" t="n">
        <f aca="false">$B99+DR$3*100*$A99</f>
        <v>144.171692228217</v>
      </c>
      <c r="DS99" s="19" t="n">
        <f aca="false">$B99+DS$3*100*$A99</f>
        <v>145.371692228217</v>
      </c>
      <c r="DT99" s="19" t="n">
        <f aca="false">$B99+DT$3*100*$A99</f>
        <v>146.571692228217</v>
      </c>
      <c r="DU99" s="19" t="n">
        <f aca="false">$B99+DU$3*100*$A99</f>
        <v>147.771692228217</v>
      </c>
      <c r="DV99" s="19" t="n">
        <f aca="false">$B99+DV$3*100*$A99</f>
        <v>148.971692228217</v>
      </c>
      <c r="DW99" s="19" t="n">
        <f aca="false">$B99+DW$3*100*$A99</f>
        <v>150.171692228217</v>
      </c>
      <c r="DX99" s="19" t="n">
        <f aca="false">$B99+DX$3*100*$A99</f>
        <v>151.371692228217</v>
      </c>
      <c r="DY99" s="19" t="n">
        <f aca="false">$B99+DY$3*100*$A99</f>
        <v>152.571692228217</v>
      </c>
      <c r="DZ99" s="19" t="n">
        <f aca="false">$B99+DZ$3*100*$A99</f>
        <v>153.771692228217</v>
      </c>
      <c r="EA99" s="19" t="n">
        <f aca="false">$B99+EA$3*100*$A99</f>
        <v>154.971692228217</v>
      </c>
      <c r="EB99" s="19" t="n">
        <f aca="false">$B99+EB$3*100*$A99</f>
        <v>156.171692228217</v>
      </c>
      <c r="EC99" s="19" t="n">
        <f aca="false">$B99+EC$3*100*$A99</f>
        <v>157.371692228217</v>
      </c>
      <c r="ED99" s="19" t="n">
        <f aca="false">$B99+ED$3*100*$A99</f>
        <v>158.571692228217</v>
      </c>
      <c r="EE99" s="19" t="n">
        <f aca="false">$B99+EE$3*100*$A99</f>
        <v>159.771692228217</v>
      </c>
      <c r="EF99" s="19" t="n">
        <f aca="false">$B99+EF$3*100*$A99</f>
        <v>160.971692228217</v>
      </c>
      <c r="EG99" s="19" t="n">
        <f aca="false">$B99+EG$3*100*$A99</f>
        <v>162.171692228217</v>
      </c>
      <c r="EH99" s="19" t="n">
        <f aca="false">$B99+EH$3*100*$A99</f>
        <v>163.371692228217</v>
      </c>
      <c r="EI99" s="19" t="n">
        <f aca="false">$B99+EI$3*100*$A99</f>
        <v>164.571692228217</v>
      </c>
      <c r="EJ99" s="19" t="n">
        <f aca="false">$B99+EJ$3*100*$A99</f>
        <v>165.771692228217</v>
      </c>
      <c r="EK99" s="19" t="n">
        <f aca="false">$B99+EK$3*100*$A99</f>
        <v>166.971692228217</v>
      </c>
      <c r="EL99" s="19" t="n">
        <f aca="false">$B99+EL$3*100*$A99</f>
        <v>168.171692228217</v>
      </c>
      <c r="EM99" s="19" t="n">
        <f aca="false">$B99+EM$3*100*$A99</f>
        <v>169.371692228217</v>
      </c>
      <c r="EN99" s="19" t="n">
        <f aca="false">$B99+EN$3*100*$A99</f>
        <v>170.571692228217</v>
      </c>
      <c r="EO99" s="19" t="n">
        <f aca="false">$B99+EO$3*100*$A99</f>
        <v>171.771692228217</v>
      </c>
      <c r="EP99" s="19" t="n">
        <f aca="false">$B99+EP$3*100*$A99</f>
        <v>172.971692228217</v>
      </c>
      <c r="EQ99" s="19" t="n">
        <f aca="false">$B99+EQ$3*100*$A99</f>
        <v>174.171692228217</v>
      </c>
      <c r="ER99" s="19" t="n">
        <f aca="false">$B99+ER$3*100*$A99</f>
        <v>175.371692228217</v>
      </c>
      <c r="ES99" s="19" t="n">
        <f aca="false">$B99+ES$3*100*$A99</f>
        <v>176.571692228217</v>
      </c>
      <c r="ET99" s="19" t="n">
        <f aca="false">$B99+ET$3*100*$A99</f>
        <v>177.771692228217</v>
      </c>
      <c r="EU99" s="19" t="n">
        <f aca="false">$B99+EU$3*100*$A99</f>
        <v>178.971692228217</v>
      </c>
      <c r="EV99" s="19" t="n">
        <f aca="false">$B99+EV$3*100*$A99</f>
        <v>180.171692228217</v>
      </c>
      <c r="EW99" s="19" t="n">
        <f aca="false">$B99+EW$3*100*$A99</f>
        <v>181.371692228217</v>
      </c>
      <c r="EX99" s="19" t="n">
        <f aca="false">$B99+EX$3*100*$A99</f>
        <v>182.571692228217</v>
      </c>
      <c r="EY99" s="19" t="n">
        <f aca="false">$B99+EY$3*100*$A99</f>
        <v>183.771692228217</v>
      </c>
      <c r="EZ99" s="19" t="n">
        <f aca="false">$B99+EZ$3*100*$A99</f>
        <v>184.971692228217</v>
      </c>
      <c r="FA99" s="19" t="n">
        <f aca="false">$B99+FA$3*100*$A99</f>
        <v>186.171692228217</v>
      </c>
      <c r="FB99" s="19" t="n">
        <f aca="false">$B99+FB$3*100*$A99</f>
        <v>187.371692228217</v>
      </c>
      <c r="FC99" s="19" t="n">
        <f aca="false">$B99+FC$3*100*$A99</f>
        <v>188.571692228217</v>
      </c>
      <c r="FD99" s="19" t="n">
        <f aca="false">$B99+FD$3*100*$A99</f>
        <v>189.771692228217</v>
      </c>
      <c r="FE99" s="19" t="n">
        <f aca="false">$B99+FE$3*100*$A99</f>
        <v>190.971692228217</v>
      </c>
      <c r="FF99" s="19" t="n">
        <f aca="false">$B99+FF$3*100*$A99</f>
        <v>192.171692228217</v>
      </c>
      <c r="FG99" s="19" t="n">
        <f aca="false">$B99+FG$3*100*$A99</f>
        <v>193.371692228217</v>
      </c>
      <c r="FH99" s="19" t="n">
        <f aca="false">$B99+FH$3*100*$A99</f>
        <v>194.571692228217</v>
      </c>
      <c r="FI99" s="19" t="n">
        <f aca="false">$B99+FI$3*100*$A99</f>
        <v>195.771692228217</v>
      </c>
      <c r="FJ99" s="19" t="n">
        <f aca="false">$B99+FJ$3*100*$A99</f>
        <v>196.971692228217</v>
      </c>
      <c r="FK99" s="19" t="n">
        <f aca="false">$B99+FK$3*100*$A99</f>
        <v>198.171692228217</v>
      </c>
      <c r="FL99" s="19" t="n">
        <f aca="false">$B99+FL$3*100*$A99</f>
        <v>199.371692228217</v>
      </c>
      <c r="FM99" s="19" t="n">
        <f aca="false">$B99+FM$3*100*$A99</f>
        <v>200.571692228217</v>
      </c>
      <c r="FN99" s="19" t="n">
        <f aca="false">$B99+FN$3*100*$A99</f>
        <v>201.771692228217</v>
      </c>
      <c r="FO99" s="19" t="n">
        <f aca="false">$B99+FO$3*100*$A99</f>
        <v>202.971692228217</v>
      </c>
      <c r="FP99" s="19" t="n">
        <f aca="false">$B99+FP$3*100*$A99</f>
        <v>204.171692228217</v>
      </c>
      <c r="FQ99" s="19" t="n">
        <f aca="false">$B99+FQ$3*100*$A99</f>
        <v>205.371692228217</v>
      </c>
      <c r="FR99" s="19" t="n">
        <f aca="false">$B99+FR$3*100*$A99</f>
        <v>206.571692228217</v>
      </c>
      <c r="FS99" s="19" t="n">
        <f aca="false">$B99+FS$3*100*$A99</f>
        <v>207.771692228217</v>
      </c>
      <c r="FT99" s="19" t="n">
        <f aca="false">$B99+FT$3*100*$A99</f>
        <v>208.971692228217</v>
      </c>
      <c r="FU99" s="19" t="n">
        <f aca="false">$B99+FU$3*100*$A99</f>
        <v>210.171692228217</v>
      </c>
      <c r="FV99" s="19" t="n">
        <f aca="false">$B99+FV$3*100*$A99</f>
        <v>211.371692228217</v>
      </c>
      <c r="FW99" s="19" t="n">
        <f aca="false">$B99+FW$3*100*$A99</f>
        <v>212.571692228217</v>
      </c>
      <c r="FX99" s="19" t="n">
        <f aca="false">$B99+FX$3*100*$A99</f>
        <v>213.771692228217</v>
      </c>
      <c r="FY99" s="19" t="n">
        <f aca="false">$B99+FY$3*100*$A99</f>
        <v>214.971692228217</v>
      </c>
      <c r="FZ99" s="19" t="n">
        <f aca="false">$B99+FZ$3*100*$A99</f>
        <v>216.171692228217</v>
      </c>
      <c r="GA99" s="19" t="n">
        <f aca="false">$B99+GA$3*100*$A99</f>
        <v>217.371692228217</v>
      </c>
      <c r="GB99" s="19" t="n">
        <f aca="false">$B99+GB$3*100*$A99</f>
        <v>218.571692228217</v>
      </c>
      <c r="GC99" s="19" t="n">
        <f aca="false">$B99+GC$3*100*$A99</f>
        <v>219.771692228217</v>
      </c>
      <c r="GD99" s="19" t="n">
        <f aca="false">$B99+GD$3*100*$A99</f>
        <v>220.971692228217</v>
      </c>
      <c r="GE99" s="19" t="n">
        <f aca="false">$B99+GE$3*100*$A99</f>
        <v>222.171692228217</v>
      </c>
      <c r="GF99" s="19" t="n">
        <f aca="false">$B99+GF$3*100*$A99</f>
        <v>223.371692228217</v>
      </c>
      <c r="GG99" s="19" t="n">
        <f aca="false">$B99+GG$3*100*$A99</f>
        <v>224.571692228217</v>
      </c>
      <c r="GH99" s="19" t="n">
        <f aca="false">$B99+GH$3*100*$A99</f>
        <v>225.771692228217</v>
      </c>
      <c r="GI99" s="19" t="n">
        <f aca="false">$B99+GI$3*100*$A99</f>
        <v>226.971692228217</v>
      </c>
      <c r="GJ99" s="19" t="n">
        <f aca="false">$B99+GJ$3*100*$A99</f>
        <v>228.171692228217</v>
      </c>
      <c r="GK99" s="19" t="n">
        <f aca="false">$B99+GK$3*100*$A99</f>
        <v>229.371692228217</v>
      </c>
      <c r="GL99" s="19" t="n">
        <f aca="false">$B99+GL$3*100*$A99</f>
        <v>230.571692228217</v>
      </c>
      <c r="GM99" s="19" t="n">
        <f aca="false">$B99+GM$3*100*$A99</f>
        <v>231.771692228217</v>
      </c>
      <c r="GN99" s="19" t="n">
        <f aca="false">$B99+GN$3*100*$A99</f>
        <v>232.971692228217</v>
      </c>
      <c r="GO99" s="19" t="n">
        <f aca="false">$B99+GO$3*100*$A99</f>
        <v>234.171692228217</v>
      </c>
      <c r="GP99" s="19" t="n">
        <f aca="false">$B99+GP$3*100*$A99</f>
        <v>235.371692228217</v>
      </c>
      <c r="GQ99" s="19" t="n">
        <f aca="false">$B99+GQ$3*100*$A99</f>
        <v>236.571692228217</v>
      </c>
      <c r="GR99" s="19" t="n">
        <f aca="false">$B99+GR$3*100*$A99</f>
        <v>237.771692228217</v>
      </c>
      <c r="GS99" s="19" t="n">
        <f aca="false">$B99+GS$3*100*$A99</f>
        <v>238.971692228217</v>
      </c>
      <c r="GT99" s="19" t="n">
        <f aca="false">$B99+GT$3*100*$A99</f>
        <v>240.171692228217</v>
      </c>
    </row>
    <row r="100" customFormat="false" ht="15" hidden="false" customHeight="false" outlineLevel="0" collapsed="false">
      <c r="A100" s="26" t="n">
        <f aca="false">Frontier!A98</f>
        <v>0.2425</v>
      </c>
      <c r="B100" s="34" t="n">
        <f aca="false">Frontier!B98</f>
        <v>0.15</v>
      </c>
      <c r="C100" s="19" t="n">
        <f aca="false">$B100+C$3*100*$A100</f>
        <v>1.3625</v>
      </c>
      <c r="D100" s="19" t="n">
        <f aca="false">$B100+D$3*100*$A100</f>
        <v>2.575</v>
      </c>
      <c r="E100" s="19" t="n">
        <f aca="false">$B100+E$3*100*$A100</f>
        <v>3.7875</v>
      </c>
      <c r="F100" s="19" t="n">
        <f aca="false">$B100+F$3*100*$A100</f>
        <v>5</v>
      </c>
      <c r="G100" s="19" t="n">
        <f aca="false">$B100+G$3*100*$A100</f>
        <v>6.2125</v>
      </c>
      <c r="H100" s="19" t="n">
        <f aca="false">$B100+H$3*100*$A100</f>
        <v>7.425</v>
      </c>
      <c r="I100" s="19" t="n">
        <f aca="false">$B100+I$3*100*$A100</f>
        <v>8.6375</v>
      </c>
      <c r="J100" s="19" t="n">
        <f aca="false">$B100+J$3*100*$A100</f>
        <v>9.85</v>
      </c>
      <c r="K100" s="19" t="n">
        <f aca="false">$B100+K$3*100*$A100</f>
        <v>11.0625</v>
      </c>
      <c r="L100" s="19" t="n">
        <f aca="false">$B100+L$3*100*$A100</f>
        <v>12.275</v>
      </c>
      <c r="M100" s="19" t="n">
        <f aca="false">$B100+M$3*100*$A100</f>
        <v>13.4875</v>
      </c>
      <c r="N100" s="19" t="n">
        <f aca="false">$B100+N$3*100*$A100</f>
        <v>14.7</v>
      </c>
      <c r="O100" s="19" t="n">
        <f aca="false">$B100+O$3*100*$A100</f>
        <v>15.9125</v>
      </c>
      <c r="P100" s="19" t="n">
        <f aca="false">$B100+P$3*100*$A100</f>
        <v>17.125</v>
      </c>
      <c r="Q100" s="19" t="n">
        <f aca="false">$B100+Q$3*100*$A100</f>
        <v>18.3375</v>
      </c>
      <c r="R100" s="19" t="n">
        <f aca="false">$B100+R$3*100*$A100</f>
        <v>19.55</v>
      </c>
      <c r="S100" s="19" t="n">
        <f aca="false">$B100+S$3*100*$A100</f>
        <v>20.7625</v>
      </c>
      <c r="T100" s="19" t="n">
        <f aca="false">$B100+T$3*100*$A100</f>
        <v>21.975</v>
      </c>
      <c r="U100" s="19" t="n">
        <f aca="false">$B100+U$3*100*$A100</f>
        <v>23.1875</v>
      </c>
      <c r="V100" s="19" t="n">
        <f aca="false">$B100+V$3*100*$A100</f>
        <v>24.4</v>
      </c>
      <c r="W100" s="19" t="n">
        <f aca="false">$B100+W$3*100*$A100</f>
        <v>25.6125</v>
      </c>
      <c r="X100" s="19" t="n">
        <f aca="false">$B100+X$3*100*$A100</f>
        <v>26.825</v>
      </c>
      <c r="Y100" s="19" t="n">
        <f aca="false">$B100+Y$3*100*$A100</f>
        <v>28.0375</v>
      </c>
      <c r="Z100" s="19" t="n">
        <f aca="false">$B100+Z$3*100*$A100</f>
        <v>29.25</v>
      </c>
      <c r="AA100" s="19" t="n">
        <f aca="false">$B100+AA$3*100*$A100</f>
        <v>30.4625</v>
      </c>
      <c r="AB100" s="19" t="n">
        <f aca="false">$B100+AB$3*100*$A100</f>
        <v>31.675</v>
      </c>
      <c r="AC100" s="19" t="n">
        <f aca="false">$B100+AC$3*100*$A100</f>
        <v>32.8875</v>
      </c>
      <c r="AD100" s="19" t="n">
        <f aca="false">$B100+AD$3*100*$A100</f>
        <v>34.1</v>
      </c>
      <c r="AE100" s="19" t="n">
        <f aca="false">$B100+AE$3*100*$A100</f>
        <v>35.3125</v>
      </c>
      <c r="AF100" s="19" t="n">
        <f aca="false">$B100+AF$3*100*$A100</f>
        <v>36.525</v>
      </c>
      <c r="AG100" s="19" t="n">
        <f aca="false">$B100+AG$3*100*$A100</f>
        <v>37.7375</v>
      </c>
      <c r="AH100" s="19" t="n">
        <f aca="false">$B100+AH$3*100*$A100</f>
        <v>38.95</v>
      </c>
      <c r="AI100" s="19" t="n">
        <f aca="false">$B100+AI$3*100*$A100</f>
        <v>40.1625</v>
      </c>
      <c r="AJ100" s="19" t="n">
        <f aca="false">$B100+AJ$3*100*$A100</f>
        <v>41.375</v>
      </c>
      <c r="AK100" s="19" t="n">
        <f aca="false">$B100+AK$3*100*$A100</f>
        <v>42.5875</v>
      </c>
      <c r="AL100" s="19" t="n">
        <f aca="false">$B100+AL$3*100*$A100</f>
        <v>43.8</v>
      </c>
      <c r="AM100" s="19" t="n">
        <f aca="false">$B100+AM$3*100*$A100</f>
        <v>45.0125</v>
      </c>
      <c r="AN100" s="19" t="n">
        <f aca="false">$B100+AN$3*100*$A100</f>
        <v>46.225</v>
      </c>
      <c r="AO100" s="19" t="n">
        <f aca="false">$B100+AO$3*100*$A100</f>
        <v>47.4375</v>
      </c>
      <c r="AP100" s="19" t="n">
        <f aca="false">$B100+AP$3*100*$A100</f>
        <v>48.65</v>
      </c>
      <c r="AQ100" s="19" t="n">
        <f aca="false">$B100+AQ$3*100*$A100</f>
        <v>49.8625</v>
      </c>
      <c r="AR100" s="19" t="n">
        <f aca="false">$B100+AR$3*100*$A100</f>
        <v>51.075</v>
      </c>
      <c r="AS100" s="19" t="n">
        <f aca="false">$B100+AS$3*100*$A100</f>
        <v>52.2875</v>
      </c>
      <c r="AT100" s="19" t="n">
        <f aca="false">$B100+AT$3*100*$A100</f>
        <v>53.5</v>
      </c>
      <c r="AU100" s="19" t="n">
        <f aca="false">$B100+AU$3*100*$A100</f>
        <v>54.7125</v>
      </c>
      <c r="AV100" s="19" t="n">
        <f aca="false">$B100+AV$3*100*$A100</f>
        <v>55.925</v>
      </c>
      <c r="AW100" s="19" t="n">
        <f aca="false">$B100+AW$3*100*$A100</f>
        <v>57.1375</v>
      </c>
      <c r="AX100" s="19" t="n">
        <f aca="false">$B100+AX$3*100*$A100</f>
        <v>58.35</v>
      </c>
      <c r="AY100" s="19" t="n">
        <f aca="false">$B100+AY$3*100*$A100</f>
        <v>59.5625</v>
      </c>
      <c r="AZ100" s="19" t="n">
        <f aca="false">$B100+AZ$3*100*$A100</f>
        <v>60.775</v>
      </c>
      <c r="BA100" s="19" t="n">
        <f aca="false">$B100+BA$3*100*$A100</f>
        <v>61.9875</v>
      </c>
      <c r="BB100" s="19" t="n">
        <f aca="false">$B100+BB$3*100*$A100</f>
        <v>63.2</v>
      </c>
      <c r="BC100" s="19" t="n">
        <f aca="false">$B100+BC$3*100*$A100</f>
        <v>64.4125</v>
      </c>
      <c r="BD100" s="19" t="n">
        <f aca="false">$B100+BD$3*100*$A100</f>
        <v>65.625</v>
      </c>
      <c r="BE100" s="19" t="n">
        <f aca="false">$B100+BE$3*100*$A100</f>
        <v>66.8375</v>
      </c>
      <c r="BF100" s="19" t="n">
        <f aca="false">$B100+BF$3*100*$A100</f>
        <v>68.05</v>
      </c>
      <c r="BG100" s="19" t="n">
        <f aca="false">$B100+BG$3*100*$A100</f>
        <v>69.2625</v>
      </c>
      <c r="BH100" s="19" t="n">
        <f aca="false">$B100+BH$3*100*$A100</f>
        <v>70.475</v>
      </c>
      <c r="BI100" s="19" t="n">
        <f aca="false">$B100+BI$3*100*$A100</f>
        <v>71.6875</v>
      </c>
      <c r="BJ100" s="19" t="n">
        <f aca="false">$B100+BJ$3*100*$A100</f>
        <v>72.9</v>
      </c>
      <c r="BK100" s="19" t="n">
        <f aca="false">$B100+BK$3*100*$A100</f>
        <v>74.1125</v>
      </c>
      <c r="BL100" s="19" t="n">
        <f aca="false">$B100+BL$3*100*$A100</f>
        <v>75.325</v>
      </c>
      <c r="BM100" s="19" t="n">
        <f aca="false">$B100+BM$3*100*$A100</f>
        <v>76.5375</v>
      </c>
      <c r="BN100" s="19" t="n">
        <f aca="false">$B100+BN$3*100*$A100</f>
        <v>77.75</v>
      </c>
      <c r="BO100" s="19" t="n">
        <f aca="false">$B100+BO$3*100*$A100</f>
        <v>78.9625</v>
      </c>
      <c r="BP100" s="19" t="n">
        <f aca="false">$B100+BP$3*100*$A100</f>
        <v>80.175</v>
      </c>
      <c r="BQ100" s="19" t="n">
        <f aca="false">$B100+BQ$3*100*$A100</f>
        <v>81.3875</v>
      </c>
      <c r="BR100" s="19" t="n">
        <f aca="false">$B100+BR$3*100*$A100</f>
        <v>82.6</v>
      </c>
      <c r="BS100" s="19" t="n">
        <f aca="false">$B100+BS$3*100*$A100</f>
        <v>83.8125</v>
      </c>
      <c r="BT100" s="19" t="n">
        <f aca="false">$B100+BT$3*100*$A100</f>
        <v>85.025</v>
      </c>
      <c r="BU100" s="19" t="n">
        <f aca="false">$B100+BU$3*100*$A100</f>
        <v>86.2375</v>
      </c>
      <c r="BV100" s="19" t="n">
        <f aca="false">$B100+BV$3*100*$A100</f>
        <v>87.45</v>
      </c>
      <c r="BW100" s="19" t="n">
        <f aca="false">$B100+BW$3*100*$A100</f>
        <v>88.6625</v>
      </c>
      <c r="BX100" s="19" t="n">
        <f aca="false">$B100+BX$3*100*$A100</f>
        <v>89.875</v>
      </c>
      <c r="BY100" s="19" t="n">
        <f aca="false">$B100+BY$3*100*$A100</f>
        <v>91.0875</v>
      </c>
      <c r="BZ100" s="19" t="n">
        <f aca="false">$B100+BZ$3*100*$A100</f>
        <v>92.3</v>
      </c>
      <c r="CA100" s="19" t="n">
        <f aca="false">$B100+CA$3*100*$A100</f>
        <v>93.5125</v>
      </c>
      <c r="CB100" s="19" t="n">
        <f aca="false">$B100+CB$3*100*$A100</f>
        <v>94.725</v>
      </c>
      <c r="CC100" s="19" t="n">
        <f aca="false">$B100+CC$3*100*$A100</f>
        <v>95.9375</v>
      </c>
      <c r="CD100" s="19" t="n">
        <f aca="false">$B100+CD$3*100*$A100</f>
        <v>97.15</v>
      </c>
      <c r="CE100" s="19" t="n">
        <f aca="false">$B100+CE$3*100*$A100</f>
        <v>98.3625</v>
      </c>
      <c r="CF100" s="19" t="n">
        <f aca="false">$B100+CF$3*100*$A100</f>
        <v>99.575</v>
      </c>
      <c r="CG100" s="19" t="n">
        <f aca="false">$B100+CG$3*100*$A100</f>
        <v>100.7875</v>
      </c>
      <c r="CH100" s="19" t="n">
        <f aca="false">$B100+CH$3*100*$A100</f>
        <v>102</v>
      </c>
      <c r="CI100" s="19" t="n">
        <f aca="false">$B100+CI$3*100*$A100</f>
        <v>103.2125</v>
      </c>
      <c r="CJ100" s="19" t="n">
        <f aca="false">$B100+CJ$3*100*$A100</f>
        <v>104.425</v>
      </c>
      <c r="CK100" s="19" t="n">
        <f aca="false">$B100+CK$3*100*$A100</f>
        <v>105.6375</v>
      </c>
      <c r="CL100" s="19" t="n">
        <f aca="false">$B100+CL$3*100*$A100</f>
        <v>106.85</v>
      </c>
      <c r="CM100" s="19" t="n">
        <f aca="false">$B100+CM$3*100*$A100</f>
        <v>108.0625</v>
      </c>
      <c r="CN100" s="19" t="n">
        <f aca="false">$B100+CN$3*100*$A100</f>
        <v>109.275</v>
      </c>
      <c r="CO100" s="19" t="n">
        <f aca="false">$B100+CO$3*100*$A100</f>
        <v>110.4875</v>
      </c>
      <c r="CP100" s="19" t="n">
        <f aca="false">$B100+CP$3*100*$A100</f>
        <v>111.7</v>
      </c>
      <c r="CQ100" s="19" t="n">
        <f aca="false">$B100+CQ$3*100*$A100</f>
        <v>112.9125</v>
      </c>
      <c r="CR100" s="19" t="n">
        <f aca="false">$B100+CR$3*100*$A100</f>
        <v>114.125</v>
      </c>
      <c r="CS100" s="19" t="n">
        <f aca="false">$B100+CS$3*100*$A100</f>
        <v>115.3375</v>
      </c>
      <c r="CT100" s="19" t="n">
        <f aca="false">$B100+CT$3*100*$A100</f>
        <v>116.55</v>
      </c>
      <c r="CU100" s="19" t="n">
        <f aca="false">$B100+CU$3*100*$A100</f>
        <v>117.7625</v>
      </c>
      <c r="CV100" s="19" t="n">
        <f aca="false">$B100+CV$3*100*$A100</f>
        <v>118.975</v>
      </c>
      <c r="CW100" s="19" t="n">
        <f aca="false">$B100+CW$3*100*$A100</f>
        <v>120.1875</v>
      </c>
      <c r="CX100" s="19" t="n">
        <f aca="false">$B100+CX$3*100*$A100</f>
        <v>121.4</v>
      </c>
      <c r="CY100" s="19" t="n">
        <f aca="false">$B100+CY$3*100*$A100</f>
        <v>122.6125</v>
      </c>
      <c r="CZ100" s="19" t="n">
        <f aca="false">$B100+CZ$3*100*$A100</f>
        <v>123.825</v>
      </c>
      <c r="DA100" s="19" t="n">
        <f aca="false">$B100+DA$3*100*$A100</f>
        <v>125.0375</v>
      </c>
      <c r="DB100" s="19" t="n">
        <f aca="false">$B100+DB$3*100*$A100</f>
        <v>126.25</v>
      </c>
      <c r="DC100" s="19" t="n">
        <f aca="false">$B100+DC$3*100*$A100</f>
        <v>127.4625</v>
      </c>
      <c r="DD100" s="19" t="n">
        <f aca="false">$B100+DD$3*100*$A100</f>
        <v>128.675</v>
      </c>
      <c r="DE100" s="19" t="n">
        <f aca="false">$B100+DE$3*100*$A100</f>
        <v>129.8875</v>
      </c>
      <c r="DF100" s="19" t="n">
        <f aca="false">$B100+DF$3*100*$A100</f>
        <v>131.1</v>
      </c>
      <c r="DG100" s="19" t="n">
        <f aca="false">$B100+DG$3*100*$A100</f>
        <v>132.3125</v>
      </c>
      <c r="DH100" s="19" t="n">
        <f aca="false">$B100+DH$3*100*$A100</f>
        <v>133.525</v>
      </c>
      <c r="DI100" s="19" t="n">
        <f aca="false">$B100+DI$3*100*$A100</f>
        <v>134.7375</v>
      </c>
      <c r="DJ100" s="19" t="n">
        <f aca="false">$B100+DJ$3*100*$A100</f>
        <v>135.95</v>
      </c>
      <c r="DK100" s="19" t="n">
        <f aca="false">$B100+DK$3*100*$A100</f>
        <v>137.1625</v>
      </c>
      <c r="DL100" s="19" t="n">
        <f aca="false">$B100+DL$3*100*$A100</f>
        <v>138.375</v>
      </c>
      <c r="DM100" s="19" t="n">
        <f aca="false">$B100+DM$3*100*$A100</f>
        <v>139.5875</v>
      </c>
      <c r="DN100" s="19" t="n">
        <f aca="false">$B100+DN$3*100*$A100</f>
        <v>140.8</v>
      </c>
      <c r="DO100" s="19" t="n">
        <f aca="false">$B100+DO$3*100*$A100</f>
        <v>142.0125</v>
      </c>
      <c r="DP100" s="19" t="n">
        <f aca="false">$B100+DP$3*100*$A100</f>
        <v>143.225</v>
      </c>
      <c r="DQ100" s="19" t="n">
        <f aca="false">$B100+DQ$3*100*$A100</f>
        <v>144.4375</v>
      </c>
      <c r="DR100" s="19" t="n">
        <f aca="false">$B100+DR$3*100*$A100</f>
        <v>145.65</v>
      </c>
      <c r="DS100" s="19" t="n">
        <f aca="false">$B100+DS$3*100*$A100</f>
        <v>146.8625</v>
      </c>
      <c r="DT100" s="19" t="n">
        <f aca="false">$B100+DT$3*100*$A100</f>
        <v>148.075</v>
      </c>
      <c r="DU100" s="19" t="n">
        <f aca="false">$B100+DU$3*100*$A100</f>
        <v>149.2875</v>
      </c>
      <c r="DV100" s="19" t="n">
        <f aca="false">$B100+DV$3*100*$A100</f>
        <v>150.5</v>
      </c>
      <c r="DW100" s="19" t="n">
        <f aca="false">$B100+DW$3*100*$A100</f>
        <v>151.7125</v>
      </c>
      <c r="DX100" s="19" t="n">
        <f aca="false">$B100+DX$3*100*$A100</f>
        <v>152.925</v>
      </c>
      <c r="DY100" s="19" t="n">
        <f aca="false">$B100+DY$3*100*$A100</f>
        <v>154.1375</v>
      </c>
      <c r="DZ100" s="19" t="n">
        <f aca="false">$B100+DZ$3*100*$A100</f>
        <v>155.35</v>
      </c>
      <c r="EA100" s="19" t="n">
        <f aca="false">$B100+EA$3*100*$A100</f>
        <v>156.5625</v>
      </c>
      <c r="EB100" s="19" t="n">
        <f aca="false">$B100+EB$3*100*$A100</f>
        <v>157.775</v>
      </c>
      <c r="EC100" s="19" t="n">
        <f aca="false">$B100+EC$3*100*$A100</f>
        <v>158.9875</v>
      </c>
      <c r="ED100" s="19" t="n">
        <f aca="false">$B100+ED$3*100*$A100</f>
        <v>160.2</v>
      </c>
      <c r="EE100" s="19" t="n">
        <f aca="false">$B100+EE$3*100*$A100</f>
        <v>161.4125</v>
      </c>
      <c r="EF100" s="19" t="n">
        <f aca="false">$B100+EF$3*100*$A100</f>
        <v>162.625</v>
      </c>
      <c r="EG100" s="19" t="n">
        <f aca="false">$B100+EG$3*100*$A100</f>
        <v>163.8375</v>
      </c>
      <c r="EH100" s="19" t="n">
        <f aca="false">$B100+EH$3*100*$A100</f>
        <v>165.05</v>
      </c>
      <c r="EI100" s="19" t="n">
        <f aca="false">$B100+EI$3*100*$A100</f>
        <v>166.2625</v>
      </c>
      <c r="EJ100" s="19" t="n">
        <f aca="false">$B100+EJ$3*100*$A100</f>
        <v>167.475</v>
      </c>
      <c r="EK100" s="19" t="n">
        <f aca="false">$B100+EK$3*100*$A100</f>
        <v>168.6875</v>
      </c>
      <c r="EL100" s="19" t="n">
        <f aca="false">$B100+EL$3*100*$A100</f>
        <v>169.9</v>
      </c>
      <c r="EM100" s="19" t="n">
        <f aca="false">$B100+EM$3*100*$A100</f>
        <v>171.1125</v>
      </c>
      <c r="EN100" s="19" t="n">
        <f aca="false">$B100+EN$3*100*$A100</f>
        <v>172.325</v>
      </c>
      <c r="EO100" s="19" t="n">
        <f aca="false">$B100+EO$3*100*$A100</f>
        <v>173.5375</v>
      </c>
      <c r="EP100" s="19" t="n">
        <f aca="false">$B100+EP$3*100*$A100</f>
        <v>174.75</v>
      </c>
      <c r="EQ100" s="19" t="n">
        <f aca="false">$B100+EQ$3*100*$A100</f>
        <v>175.9625</v>
      </c>
      <c r="ER100" s="19" t="n">
        <f aca="false">$B100+ER$3*100*$A100</f>
        <v>177.175</v>
      </c>
      <c r="ES100" s="19" t="n">
        <f aca="false">$B100+ES$3*100*$A100</f>
        <v>178.3875</v>
      </c>
      <c r="ET100" s="19" t="n">
        <f aca="false">$B100+ET$3*100*$A100</f>
        <v>179.6</v>
      </c>
      <c r="EU100" s="19" t="n">
        <f aca="false">$B100+EU$3*100*$A100</f>
        <v>180.8125</v>
      </c>
      <c r="EV100" s="19" t="n">
        <f aca="false">$B100+EV$3*100*$A100</f>
        <v>182.025</v>
      </c>
      <c r="EW100" s="19" t="n">
        <f aca="false">$B100+EW$3*100*$A100</f>
        <v>183.2375</v>
      </c>
      <c r="EX100" s="19" t="n">
        <f aca="false">$B100+EX$3*100*$A100</f>
        <v>184.45</v>
      </c>
      <c r="EY100" s="19" t="n">
        <f aca="false">$B100+EY$3*100*$A100</f>
        <v>185.6625</v>
      </c>
      <c r="EZ100" s="19" t="n">
        <f aca="false">$B100+EZ$3*100*$A100</f>
        <v>186.875</v>
      </c>
      <c r="FA100" s="19" t="n">
        <f aca="false">$B100+FA$3*100*$A100</f>
        <v>188.0875</v>
      </c>
      <c r="FB100" s="19" t="n">
        <f aca="false">$B100+FB$3*100*$A100</f>
        <v>189.3</v>
      </c>
      <c r="FC100" s="19" t="n">
        <f aca="false">$B100+FC$3*100*$A100</f>
        <v>190.5125</v>
      </c>
      <c r="FD100" s="19" t="n">
        <f aca="false">$B100+FD$3*100*$A100</f>
        <v>191.725</v>
      </c>
      <c r="FE100" s="19" t="n">
        <f aca="false">$B100+FE$3*100*$A100</f>
        <v>192.9375</v>
      </c>
      <c r="FF100" s="19" t="n">
        <f aca="false">$B100+FF$3*100*$A100</f>
        <v>194.15</v>
      </c>
      <c r="FG100" s="19" t="n">
        <f aca="false">$B100+FG$3*100*$A100</f>
        <v>195.3625</v>
      </c>
      <c r="FH100" s="19" t="n">
        <f aca="false">$B100+FH$3*100*$A100</f>
        <v>196.575</v>
      </c>
      <c r="FI100" s="19" t="n">
        <f aca="false">$B100+FI$3*100*$A100</f>
        <v>197.7875</v>
      </c>
      <c r="FJ100" s="19" t="n">
        <f aca="false">$B100+FJ$3*100*$A100</f>
        <v>199</v>
      </c>
      <c r="FK100" s="19" t="n">
        <f aca="false">$B100+FK$3*100*$A100</f>
        <v>200.2125</v>
      </c>
      <c r="FL100" s="19" t="n">
        <f aca="false">$B100+FL$3*100*$A100</f>
        <v>201.425</v>
      </c>
      <c r="FM100" s="19" t="n">
        <f aca="false">$B100+FM$3*100*$A100</f>
        <v>202.6375</v>
      </c>
      <c r="FN100" s="19" t="n">
        <f aca="false">$B100+FN$3*100*$A100</f>
        <v>203.85</v>
      </c>
      <c r="FO100" s="19" t="n">
        <f aca="false">$B100+FO$3*100*$A100</f>
        <v>205.0625</v>
      </c>
      <c r="FP100" s="19" t="n">
        <f aca="false">$B100+FP$3*100*$A100</f>
        <v>206.275</v>
      </c>
      <c r="FQ100" s="19" t="n">
        <f aca="false">$B100+FQ$3*100*$A100</f>
        <v>207.4875</v>
      </c>
      <c r="FR100" s="19" t="n">
        <f aca="false">$B100+FR$3*100*$A100</f>
        <v>208.7</v>
      </c>
      <c r="FS100" s="19" t="n">
        <f aca="false">$B100+FS$3*100*$A100</f>
        <v>209.9125</v>
      </c>
      <c r="FT100" s="19" t="n">
        <f aca="false">$B100+FT$3*100*$A100</f>
        <v>211.125</v>
      </c>
      <c r="FU100" s="19" t="n">
        <f aca="false">$B100+FU$3*100*$A100</f>
        <v>212.3375</v>
      </c>
      <c r="FV100" s="19" t="n">
        <f aca="false">$B100+FV$3*100*$A100</f>
        <v>213.55</v>
      </c>
      <c r="FW100" s="19" t="n">
        <f aca="false">$B100+FW$3*100*$A100</f>
        <v>214.7625</v>
      </c>
      <c r="FX100" s="19" t="n">
        <f aca="false">$B100+FX$3*100*$A100</f>
        <v>215.975</v>
      </c>
      <c r="FY100" s="19" t="n">
        <f aca="false">$B100+FY$3*100*$A100</f>
        <v>217.1875</v>
      </c>
      <c r="FZ100" s="19" t="n">
        <f aca="false">$B100+FZ$3*100*$A100</f>
        <v>218.4</v>
      </c>
      <c r="GA100" s="19" t="n">
        <f aca="false">$B100+GA$3*100*$A100</f>
        <v>219.6125</v>
      </c>
      <c r="GB100" s="19" t="n">
        <f aca="false">$B100+GB$3*100*$A100</f>
        <v>220.825</v>
      </c>
      <c r="GC100" s="19" t="n">
        <f aca="false">$B100+GC$3*100*$A100</f>
        <v>222.0375</v>
      </c>
      <c r="GD100" s="19" t="n">
        <f aca="false">$B100+GD$3*100*$A100</f>
        <v>223.25</v>
      </c>
      <c r="GE100" s="19" t="n">
        <f aca="false">$B100+GE$3*100*$A100</f>
        <v>224.4625</v>
      </c>
      <c r="GF100" s="19" t="n">
        <f aca="false">$B100+GF$3*100*$A100</f>
        <v>225.675</v>
      </c>
      <c r="GG100" s="19" t="n">
        <f aca="false">$B100+GG$3*100*$A100</f>
        <v>226.8875</v>
      </c>
      <c r="GH100" s="19" t="n">
        <f aca="false">$B100+GH$3*100*$A100</f>
        <v>228.1</v>
      </c>
      <c r="GI100" s="19" t="n">
        <f aca="false">$B100+GI$3*100*$A100</f>
        <v>229.3125</v>
      </c>
      <c r="GJ100" s="19" t="n">
        <f aca="false">$B100+GJ$3*100*$A100</f>
        <v>230.525</v>
      </c>
      <c r="GK100" s="19" t="n">
        <f aca="false">$B100+GK$3*100*$A100</f>
        <v>231.7375</v>
      </c>
      <c r="GL100" s="19" t="n">
        <f aca="false">$B100+GL$3*100*$A100</f>
        <v>232.95</v>
      </c>
      <c r="GM100" s="19" t="n">
        <f aca="false">$B100+GM$3*100*$A100</f>
        <v>234.1625</v>
      </c>
      <c r="GN100" s="19" t="n">
        <f aca="false">$B100+GN$3*100*$A100</f>
        <v>235.375</v>
      </c>
      <c r="GO100" s="19" t="n">
        <f aca="false">$B100+GO$3*100*$A100</f>
        <v>236.5875</v>
      </c>
      <c r="GP100" s="19" t="n">
        <f aca="false">$B100+GP$3*100*$A100</f>
        <v>237.8</v>
      </c>
      <c r="GQ100" s="19" t="n">
        <f aca="false">$B100+GQ$3*100*$A100</f>
        <v>239.0125</v>
      </c>
      <c r="GR100" s="19" t="n">
        <f aca="false">$B100+GR$3*100*$A100</f>
        <v>240.225</v>
      </c>
      <c r="GS100" s="19" t="n">
        <f aca="false">$B100+GS$3*100*$A100</f>
        <v>241.4375</v>
      </c>
      <c r="GT100" s="19" t="n">
        <f aca="false">$B100+GT$3*100*$A100</f>
        <v>242.65</v>
      </c>
    </row>
    <row r="101" customFormat="false" ht="15" hidden="false" customHeight="false" outlineLevel="0" collapsed="false">
      <c r="A101" s="26" t="n">
        <f aca="false">Frontier!A99</f>
        <v>0.245</v>
      </c>
      <c r="B101" s="34" t="n">
        <f aca="false">Frontier!B99</f>
        <v>0.115642356559817</v>
      </c>
      <c r="C101" s="19" t="n">
        <f aca="false">$B101+C$3*100*$A101</f>
        <v>1.34064235655982</v>
      </c>
      <c r="D101" s="19" t="n">
        <f aca="false">$B101+D$3*100*$A101</f>
        <v>2.56564235655982</v>
      </c>
      <c r="E101" s="19" t="n">
        <f aca="false">$B101+E$3*100*$A101</f>
        <v>3.79064235655982</v>
      </c>
      <c r="F101" s="19" t="n">
        <f aca="false">$B101+F$3*100*$A101</f>
        <v>5.01564235655982</v>
      </c>
      <c r="G101" s="19" t="n">
        <f aca="false">$B101+G$3*100*$A101</f>
        <v>6.24064235655982</v>
      </c>
      <c r="H101" s="19" t="n">
        <f aca="false">$B101+H$3*100*$A101</f>
        <v>7.46564235655982</v>
      </c>
      <c r="I101" s="19" t="n">
        <f aca="false">$B101+I$3*100*$A101</f>
        <v>8.69064235655982</v>
      </c>
      <c r="J101" s="19" t="n">
        <f aca="false">$B101+J$3*100*$A101</f>
        <v>9.91564235655982</v>
      </c>
      <c r="K101" s="19" t="n">
        <f aca="false">$B101+K$3*100*$A101</f>
        <v>11.1406423565598</v>
      </c>
      <c r="L101" s="19" t="n">
        <f aca="false">$B101+L$3*100*$A101</f>
        <v>12.3656423565598</v>
      </c>
      <c r="M101" s="19" t="n">
        <f aca="false">$B101+M$3*100*$A101</f>
        <v>13.5906423565598</v>
      </c>
      <c r="N101" s="19" t="n">
        <f aca="false">$B101+N$3*100*$A101</f>
        <v>14.8156423565598</v>
      </c>
      <c r="O101" s="19" t="n">
        <f aca="false">$B101+O$3*100*$A101</f>
        <v>16.0406423565598</v>
      </c>
      <c r="P101" s="19" t="n">
        <f aca="false">$B101+P$3*100*$A101</f>
        <v>17.2656423565598</v>
      </c>
      <c r="Q101" s="19" t="n">
        <f aca="false">$B101+Q$3*100*$A101</f>
        <v>18.4906423565598</v>
      </c>
      <c r="R101" s="19" t="n">
        <f aca="false">$B101+R$3*100*$A101</f>
        <v>19.7156423565598</v>
      </c>
      <c r="S101" s="19" t="n">
        <f aca="false">$B101+S$3*100*$A101</f>
        <v>20.9406423565598</v>
      </c>
      <c r="T101" s="19" t="n">
        <f aca="false">$B101+T$3*100*$A101</f>
        <v>22.1656423565598</v>
      </c>
      <c r="U101" s="19" t="n">
        <f aca="false">$B101+U$3*100*$A101</f>
        <v>23.3906423565598</v>
      </c>
      <c r="V101" s="19" t="n">
        <f aca="false">$B101+V$3*100*$A101</f>
        <v>24.6156423565598</v>
      </c>
      <c r="W101" s="19" t="n">
        <f aca="false">$B101+W$3*100*$A101</f>
        <v>25.8406423565598</v>
      </c>
      <c r="X101" s="19" t="n">
        <f aca="false">$B101+X$3*100*$A101</f>
        <v>27.0656423565598</v>
      </c>
      <c r="Y101" s="19" t="n">
        <f aca="false">$B101+Y$3*100*$A101</f>
        <v>28.2906423565598</v>
      </c>
      <c r="Z101" s="19" t="n">
        <f aca="false">$B101+Z$3*100*$A101</f>
        <v>29.5156423565598</v>
      </c>
      <c r="AA101" s="19" t="n">
        <f aca="false">$B101+AA$3*100*$A101</f>
        <v>30.7406423565598</v>
      </c>
      <c r="AB101" s="19" t="n">
        <f aca="false">$B101+AB$3*100*$A101</f>
        <v>31.9656423565598</v>
      </c>
      <c r="AC101" s="19" t="n">
        <f aca="false">$B101+AC$3*100*$A101</f>
        <v>33.1906423565598</v>
      </c>
      <c r="AD101" s="19" t="n">
        <f aca="false">$B101+AD$3*100*$A101</f>
        <v>34.4156423565598</v>
      </c>
      <c r="AE101" s="19" t="n">
        <f aca="false">$B101+AE$3*100*$A101</f>
        <v>35.6406423565598</v>
      </c>
      <c r="AF101" s="19" t="n">
        <f aca="false">$B101+AF$3*100*$A101</f>
        <v>36.8656423565598</v>
      </c>
      <c r="AG101" s="19" t="n">
        <f aca="false">$B101+AG$3*100*$A101</f>
        <v>38.0906423565598</v>
      </c>
      <c r="AH101" s="19" t="n">
        <f aca="false">$B101+AH$3*100*$A101</f>
        <v>39.3156423565598</v>
      </c>
      <c r="AI101" s="19" t="n">
        <f aca="false">$B101+AI$3*100*$A101</f>
        <v>40.5406423565598</v>
      </c>
      <c r="AJ101" s="19" t="n">
        <f aca="false">$B101+AJ$3*100*$A101</f>
        <v>41.7656423565598</v>
      </c>
      <c r="AK101" s="19" t="n">
        <f aca="false">$B101+AK$3*100*$A101</f>
        <v>42.9906423565598</v>
      </c>
      <c r="AL101" s="19" t="n">
        <f aca="false">$B101+AL$3*100*$A101</f>
        <v>44.2156423565598</v>
      </c>
      <c r="AM101" s="19" t="n">
        <f aca="false">$B101+AM$3*100*$A101</f>
        <v>45.4406423565598</v>
      </c>
      <c r="AN101" s="19" t="n">
        <f aca="false">$B101+AN$3*100*$A101</f>
        <v>46.6656423565598</v>
      </c>
      <c r="AO101" s="19" t="n">
        <f aca="false">$B101+AO$3*100*$A101</f>
        <v>47.8906423565598</v>
      </c>
      <c r="AP101" s="19" t="n">
        <f aca="false">$B101+AP$3*100*$A101</f>
        <v>49.1156423565598</v>
      </c>
      <c r="AQ101" s="19" t="n">
        <f aca="false">$B101+AQ$3*100*$A101</f>
        <v>50.3406423565598</v>
      </c>
      <c r="AR101" s="19" t="n">
        <f aca="false">$B101+AR$3*100*$A101</f>
        <v>51.5656423565598</v>
      </c>
      <c r="AS101" s="19" t="n">
        <f aca="false">$B101+AS$3*100*$A101</f>
        <v>52.7906423565598</v>
      </c>
      <c r="AT101" s="19" t="n">
        <f aca="false">$B101+AT$3*100*$A101</f>
        <v>54.0156423565598</v>
      </c>
      <c r="AU101" s="19" t="n">
        <f aca="false">$B101+AU$3*100*$A101</f>
        <v>55.2406423565598</v>
      </c>
      <c r="AV101" s="19" t="n">
        <f aca="false">$B101+AV$3*100*$A101</f>
        <v>56.4656423565598</v>
      </c>
      <c r="AW101" s="19" t="n">
        <f aca="false">$B101+AW$3*100*$A101</f>
        <v>57.6906423565598</v>
      </c>
      <c r="AX101" s="19" t="n">
        <f aca="false">$B101+AX$3*100*$A101</f>
        <v>58.9156423565598</v>
      </c>
      <c r="AY101" s="19" t="n">
        <f aca="false">$B101+AY$3*100*$A101</f>
        <v>60.1406423565598</v>
      </c>
      <c r="AZ101" s="19" t="n">
        <f aca="false">$B101+AZ$3*100*$A101</f>
        <v>61.3656423565598</v>
      </c>
      <c r="BA101" s="19" t="n">
        <f aca="false">$B101+BA$3*100*$A101</f>
        <v>62.5906423565598</v>
      </c>
      <c r="BB101" s="19" t="n">
        <f aca="false">$B101+BB$3*100*$A101</f>
        <v>63.8156423565598</v>
      </c>
      <c r="BC101" s="19" t="n">
        <f aca="false">$B101+BC$3*100*$A101</f>
        <v>65.0406423565598</v>
      </c>
      <c r="BD101" s="19" t="n">
        <f aca="false">$B101+BD$3*100*$A101</f>
        <v>66.2656423565598</v>
      </c>
      <c r="BE101" s="19" t="n">
        <f aca="false">$B101+BE$3*100*$A101</f>
        <v>67.4906423565598</v>
      </c>
      <c r="BF101" s="19" t="n">
        <f aca="false">$B101+BF$3*100*$A101</f>
        <v>68.7156423565598</v>
      </c>
      <c r="BG101" s="19" t="n">
        <f aca="false">$B101+BG$3*100*$A101</f>
        <v>69.9406423565598</v>
      </c>
      <c r="BH101" s="19" t="n">
        <f aca="false">$B101+BH$3*100*$A101</f>
        <v>71.1656423565598</v>
      </c>
      <c r="BI101" s="19" t="n">
        <f aca="false">$B101+BI$3*100*$A101</f>
        <v>72.3906423565598</v>
      </c>
      <c r="BJ101" s="19" t="n">
        <f aca="false">$B101+BJ$3*100*$A101</f>
        <v>73.6156423565598</v>
      </c>
      <c r="BK101" s="19" t="n">
        <f aca="false">$B101+BK$3*100*$A101</f>
        <v>74.8406423565598</v>
      </c>
      <c r="BL101" s="19" t="n">
        <f aca="false">$B101+BL$3*100*$A101</f>
        <v>76.0656423565598</v>
      </c>
      <c r="BM101" s="19" t="n">
        <f aca="false">$B101+BM$3*100*$A101</f>
        <v>77.2906423565598</v>
      </c>
      <c r="BN101" s="19" t="n">
        <f aca="false">$B101+BN$3*100*$A101</f>
        <v>78.5156423565598</v>
      </c>
      <c r="BO101" s="19" t="n">
        <f aca="false">$B101+BO$3*100*$A101</f>
        <v>79.7406423565598</v>
      </c>
      <c r="BP101" s="19" t="n">
        <f aca="false">$B101+BP$3*100*$A101</f>
        <v>80.9656423565598</v>
      </c>
      <c r="BQ101" s="19" t="n">
        <f aca="false">$B101+BQ$3*100*$A101</f>
        <v>82.1906423565598</v>
      </c>
      <c r="BR101" s="19" t="n">
        <f aca="false">$B101+BR$3*100*$A101</f>
        <v>83.4156423565598</v>
      </c>
      <c r="BS101" s="19" t="n">
        <f aca="false">$B101+BS$3*100*$A101</f>
        <v>84.6406423565598</v>
      </c>
      <c r="BT101" s="19" t="n">
        <f aca="false">$B101+BT$3*100*$A101</f>
        <v>85.8656423565598</v>
      </c>
      <c r="BU101" s="19" t="n">
        <f aca="false">$B101+BU$3*100*$A101</f>
        <v>87.0906423565598</v>
      </c>
      <c r="BV101" s="19" t="n">
        <f aca="false">$B101+BV$3*100*$A101</f>
        <v>88.3156423565598</v>
      </c>
      <c r="BW101" s="19" t="n">
        <f aca="false">$B101+BW$3*100*$A101</f>
        <v>89.5406423565598</v>
      </c>
      <c r="BX101" s="19" t="n">
        <f aca="false">$B101+BX$3*100*$A101</f>
        <v>90.7656423565598</v>
      </c>
      <c r="BY101" s="19" t="n">
        <f aca="false">$B101+BY$3*100*$A101</f>
        <v>91.9906423565598</v>
      </c>
      <c r="BZ101" s="19" t="n">
        <f aca="false">$B101+BZ$3*100*$A101</f>
        <v>93.2156423565598</v>
      </c>
      <c r="CA101" s="19" t="n">
        <f aca="false">$B101+CA$3*100*$A101</f>
        <v>94.4406423565598</v>
      </c>
      <c r="CB101" s="19" t="n">
        <f aca="false">$B101+CB$3*100*$A101</f>
        <v>95.6656423565598</v>
      </c>
      <c r="CC101" s="19" t="n">
        <f aca="false">$B101+CC$3*100*$A101</f>
        <v>96.8906423565598</v>
      </c>
      <c r="CD101" s="19" t="n">
        <f aca="false">$B101+CD$3*100*$A101</f>
        <v>98.1156423565598</v>
      </c>
      <c r="CE101" s="19" t="n">
        <f aca="false">$B101+CE$3*100*$A101</f>
        <v>99.3406423565598</v>
      </c>
      <c r="CF101" s="19" t="n">
        <f aca="false">$B101+CF$3*100*$A101</f>
        <v>100.56564235656</v>
      </c>
      <c r="CG101" s="19" t="n">
        <f aca="false">$B101+CG$3*100*$A101</f>
        <v>101.79064235656</v>
      </c>
      <c r="CH101" s="19" t="n">
        <f aca="false">$B101+CH$3*100*$A101</f>
        <v>103.01564235656</v>
      </c>
      <c r="CI101" s="19" t="n">
        <f aca="false">$B101+CI$3*100*$A101</f>
        <v>104.24064235656</v>
      </c>
      <c r="CJ101" s="19" t="n">
        <f aca="false">$B101+CJ$3*100*$A101</f>
        <v>105.46564235656</v>
      </c>
      <c r="CK101" s="19" t="n">
        <f aca="false">$B101+CK$3*100*$A101</f>
        <v>106.69064235656</v>
      </c>
      <c r="CL101" s="19" t="n">
        <f aca="false">$B101+CL$3*100*$A101</f>
        <v>107.91564235656</v>
      </c>
      <c r="CM101" s="19" t="n">
        <f aca="false">$B101+CM$3*100*$A101</f>
        <v>109.14064235656</v>
      </c>
      <c r="CN101" s="19" t="n">
        <f aca="false">$B101+CN$3*100*$A101</f>
        <v>110.36564235656</v>
      </c>
      <c r="CO101" s="19" t="n">
        <f aca="false">$B101+CO$3*100*$A101</f>
        <v>111.59064235656</v>
      </c>
      <c r="CP101" s="19" t="n">
        <f aca="false">$B101+CP$3*100*$A101</f>
        <v>112.81564235656</v>
      </c>
      <c r="CQ101" s="19" t="n">
        <f aca="false">$B101+CQ$3*100*$A101</f>
        <v>114.04064235656</v>
      </c>
      <c r="CR101" s="19" t="n">
        <f aca="false">$B101+CR$3*100*$A101</f>
        <v>115.26564235656</v>
      </c>
      <c r="CS101" s="19" t="n">
        <f aca="false">$B101+CS$3*100*$A101</f>
        <v>116.49064235656</v>
      </c>
      <c r="CT101" s="19" t="n">
        <f aca="false">$B101+CT$3*100*$A101</f>
        <v>117.71564235656</v>
      </c>
      <c r="CU101" s="19" t="n">
        <f aca="false">$B101+CU$3*100*$A101</f>
        <v>118.94064235656</v>
      </c>
      <c r="CV101" s="19" t="n">
        <f aca="false">$B101+CV$3*100*$A101</f>
        <v>120.16564235656</v>
      </c>
      <c r="CW101" s="19" t="n">
        <f aca="false">$B101+CW$3*100*$A101</f>
        <v>121.39064235656</v>
      </c>
      <c r="CX101" s="19" t="n">
        <f aca="false">$B101+CX$3*100*$A101</f>
        <v>122.61564235656</v>
      </c>
      <c r="CY101" s="19" t="n">
        <f aca="false">$B101+CY$3*100*$A101</f>
        <v>123.84064235656</v>
      </c>
      <c r="CZ101" s="19" t="n">
        <f aca="false">$B101+CZ$3*100*$A101</f>
        <v>125.06564235656</v>
      </c>
      <c r="DA101" s="19" t="n">
        <f aca="false">$B101+DA$3*100*$A101</f>
        <v>126.29064235656</v>
      </c>
      <c r="DB101" s="19" t="n">
        <f aca="false">$B101+DB$3*100*$A101</f>
        <v>127.51564235656</v>
      </c>
      <c r="DC101" s="19" t="n">
        <f aca="false">$B101+DC$3*100*$A101</f>
        <v>128.74064235656</v>
      </c>
      <c r="DD101" s="19" t="n">
        <f aca="false">$B101+DD$3*100*$A101</f>
        <v>129.96564235656</v>
      </c>
      <c r="DE101" s="19" t="n">
        <f aca="false">$B101+DE$3*100*$A101</f>
        <v>131.19064235656</v>
      </c>
      <c r="DF101" s="19" t="n">
        <f aca="false">$B101+DF$3*100*$A101</f>
        <v>132.41564235656</v>
      </c>
      <c r="DG101" s="19" t="n">
        <f aca="false">$B101+DG$3*100*$A101</f>
        <v>133.64064235656</v>
      </c>
      <c r="DH101" s="19" t="n">
        <f aca="false">$B101+DH$3*100*$A101</f>
        <v>134.86564235656</v>
      </c>
      <c r="DI101" s="19" t="n">
        <f aca="false">$B101+DI$3*100*$A101</f>
        <v>136.09064235656</v>
      </c>
      <c r="DJ101" s="19" t="n">
        <f aca="false">$B101+DJ$3*100*$A101</f>
        <v>137.31564235656</v>
      </c>
      <c r="DK101" s="19" t="n">
        <f aca="false">$B101+DK$3*100*$A101</f>
        <v>138.54064235656</v>
      </c>
      <c r="DL101" s="19" t="n">
        <f aca="false">$B101+DL$3*100*$A101</f>
        <v>139.76564235656</v>
      </c>
      <c r="DM101" s="19" t="n">
        <f aca="false">$B101+DM$3*100*$A101</f>
        <v>140.99064235656</v>
      </c>
      <c r="DN101" s="19" t="n">
        <f aca="false">$B101+DN$3*100*$A101</f>
        <v>142.21564235656</v>
      </c>
      <c r="DO101" s="19" t="n">
        <f aca="false">$B101+DO$3*100*$A101</f>
        <v>143.44064235656</v>
      </c>
      <c r="DP101" s="19" t="n">
        <f aca="false">$B101+DP$3*100*$A101</f>
        <v>144.66564235656</v>
      </c>
      <c r="DQ101" s="19" t="n">
        <f aca="false">$B101+DQ$3*100*$A101</f>
        <v>145.89064235656</v>
      </c>
      <c r="DR101" s="19" t="n">
        <f aca="false">$B101+DR$3*100*$A101</f>
        <v>147.11564235656</v>
      </c>
      <c r="DS101" s="19" t="n">
        <f aca="false">$B101+DS$3*100*$A101</f>
        <v>148.34064235656</v>
      </c>
      <c r="DT101" s="19" t="n">
        <f aca="false">$B101+DT$3*100*$A101</f>
        <v>149.56564235656</v>
      </c>
      <c r="DU101" s="19" t="n">
        <f aca="false">$B101+DU$3*100*$A101</f>
        <v>150.79064235656</v>
      </c>
      <c r="DV101" s="19" t="n">
        <f aca="false">$B101+DV$3*100*$A101</f>
        <v>152.01564235656</v>
      </c>
      <c r="DW101" s="19" t="n">
        <f aca="false">$B101+DW$3*100*$A101</f>
        <v>153.24064235656</v>
      </c>
      <c r="DX101" s="19" t="n">
        <f aca="false">$B101+DX$3*100*$A101</f>
        <v>154.46564235656</v>
      </c>
      <c r="DY101" s="19" t="n">
        <f aca="false">$B101+DY$3*100*$A101</f>
        <v>155.69064235656</v>
      </c>
      <c r="DZ101" s="19" t="n">
        <f aca="false">$B101+DZ$3*100*$A101</f>
        <v>156.91564235656</v>
      </c>
      <c r="EA101" s="19" t="n">
        <f aca="false">$B101+EA$3*100*$A101</f>
        <v>158.14064235656</v>
      </c>
      <c r="EB101" s="19" t="n">
        <f aca="false">$B101+EB$3*100*$A101</f>
        <v>159.36564235656</v>
      </c>
      <c r="EC101" s="19" t="n">
        <f aca="false">$B101+EC$3*100*$A101</f>
        <v>160.59064235656</v>
      </c>
      <c r="ED101" s="19" t="n">
        <f aca="false">$B101+ED$3*100*$A101</f>
        <v>161.81564235656</v>
      </c>
      <c r="EE101" s="19" t="n">
        <f aca="false">$B101+EE$3*100*$A101</f>
        <v>163.04064235656</v>
      </c>
      <c r="EF101" s="19" t="n">
        <f aca="false">$B101+EF$3*100*$A101</f>
        <v>164.26564235656</v>
      </c>
      <c r="EG101" s="19" t="n">
        <f aca="false">$B101+EG$3*100*$A101</f>
        <v>165.49064235656</v>
      </c>
      <c r="EH101" s="19" t="n">
        <f aca="false">$B101+EH$3*100*$A101</f>
        <v>166.71564235656</v>
      </c>
      <c r="EI101" s="19" t="n">
        <f aca="false">$B101+EI$3*100*$A101</f>
        <v>167.94064235656</v>
      </c>
      <c r="EJ101" s="19" t="n">
        <f aca="false">$B101+EJ$3*100*$A101</f>
        <v>169.16564235656</v>
      </c>
      <c r="EK101" s="19" t="n">
        <f aca="false">$B101+EK$3*100*$A101</f>
        <v>170.39064235656</v>
      </c>
      <c r="EL101" s="19" t="n">
        <f aca="false">$B101+EL$3*100*$A101</f>
        <v>171.61564235656</v>
      </c>
      <c r="EM101" s="19" t="n">
        <f aca="false">$B101+EM$3*100*$A101</f>
        <v>172.84064235656</v>
      </c>
      <c r="EN101" s="19" t="n">
        <f aca="false">$B101+EN$3*100*$A101</f>
        <v>174.06564235656</v>
      </c>
      <c r="EO101" s="19" t="n">
        <f aca="false">$B101+EO$3*100*$A101</f>
        <v>175.29064235656</v>
      </c>
      <c r="EP101" s="19" t="n">
        <f aca="false">$B101+EP$3*100*$A101</f>
        <v>176.51564235656</v>
      </c>
      <c r="EQ101" s="19" t="n">
        <f aca="false">$B101+EQ$3*100*$A101</f>
        <v>177.74064235656</v>
      </c>
      <c r="ER101" s="19" t="n">
        <f aca="false">$B101+ER$3*100*$A101</f>
        <v>178.96564235656</v>
      </c>
      <c r="ES101" s="19" t="n">
        <f aca="false">$B101+ES$3*100*$A101</f>
        <v>180.19064235656</v>
      </c>
      <c r="ET101" s="19" t="n">
        <f aca="false">$B101+ET$3*100*$A101</f>
        <v>181.41564235656</v>
      </c>
      <c r="EU101" s="19" t="n">
        <f aca="false">$B101+EU$3*100*$A101</f>
        <v>182.64064235656</v>
      </c>
      <c r="EV101" s="19" t="n">
        <f aca="false">$B101+EV$3*100*$A101</f>
        <v>183.86564235656</v>
      </c>
      <c r="EW101" s="19" t="n">
        <f aca="false">$B101+EW$3*100*$A101</f>
        <v>185.09064235656</v>
      </c>
      <c r="EX101" s="19" t="n">
        <f aca="false">$B101+EX$3*100*$A101</f>
        <v>186.31564235656</v>
      </c>
      <c r="EY101" s="19" t="n">
        <f aca="false">$B101+EY$3*100*$A101</f>
        <v>187.54064235656</v>
      </c>
      <c r="EZ101" s="19" t="n">
        <f aca="false">$B101+EZ$3*100*$A101</f>
        <v>188.76564235656</v>
      </c>
      <c r="FA101" s="19" t="n">
        <f aca="false">$B101+FA$3*100*$A101</f>
        <v>189.99064235656</v>
      </c>
      <c r="FB101" s="19" t="n">
        <f aca="false">$B101+FB$3*100*$A101</f>
        <v>191.21564235656</v>
      </c>
      <c r="FC101" s="19" t="n">
        <f aca="false">$B101+FC$3*100*$A101</f>
        <v>192.44064235656</v>
      </c>
      <c r="FD101" s="19" t="n">
        <f aca="false">$B101+FD$3*100*$A101</f>
        <v>193.66564235656</v>
      </c>
      <c r="FE101" s="19" t="n">
        <f aca="false">$B101+FE$3*100*$A101</f>
        <v>194.89064235656</v>
      </c>
      <c r="FF101" s="19" t="n">
        <f aca="false">$B101+FF$3*100*$A101</f>
        <v>196.11564235656</v>
      </c>
      <c r="FG101" s="19" t="n">
        <f aca="false">$B101+FG$3*100*$A101</f>
        <v>197.34064235656</v>
      </c>
      <c r="FH101" s="19" t="n">
        <f aca="false">$B101+FH$3*100*$A101</f>
        <v>198.56564235656</v>
      </c>
      <c r="FI101" s="19" t="n">
        <f aca="false">$B101+FI$3*100*$A101</f>
        <v>199.79064235656</v>
      </c>
      <c r="FJ101" s="19" t="n">
        <f aca="false">$B101+FJ$3*100*$A101</f>
        <v>201.01564235656</v>
      </c>
      <c r="FK101" s="19" t="n">
        <f aca="false">$B101+FK$3*100*$A101</f>
        <v>202.24064235656</v>
      </c>
      <c r="FL101" s="19" t="n">
        <f aca="false">$B101+FL$3*100*$A101</f>
        <v>203.46564235656</v>
      </c>
      <c r="FM101" s="19" t="n">
        <f aca="false">$B101+FM$3*100*$A101</f>
        <v>204.69064235656</v>
      </c>
      <c r="FN101" s="19" t="n">
        <f aca="false">$B101+FN$3*100*$A101</f>
        <v>205.91564235656</v>
      </c>
      <c r="FO101" s="19" t="n">
        <f aca="false">$B101+FO$3*100*$A101</f>
        <v>207.14064235656</v>
      </c>
      <c r="FP101" s="19" t="n">
        <f aca="false">$B101+FP$3*100*$A101</f>
        <v>208.36564235656</v>
      </c>
      <c r="FQ101" s="19" t="n">
        <f aca="false">$B101+FQ$3*100*$A101</f>
        <v>209.59064235656</v>
      </c>
      <c r="FR101" s="19" t="n">
        <f aca="false">$B101+FR$3*100*$A101</f>
        <v>210.81564235656</v>
      </c>
      <c r="FS101" s="19" t="n">
        <f aca="false">$B101+FS$3*100*$A101</f>
        <v>212.04064235656</v>
      </c>
      <c r="FT101" s="19" t="n">
        <f aca="false">$B101+FT$3*100*$A101</f>
        <v>213.26564235656</v>
      </c>
      <c r="FU101" s="19" t="n">
        <f aca="false">$B101+FU$3*100*$A101</f>
        <v>214.49064235656</v>
      </c>
      <c r="FV101" s="19" t="n">
        <f aca="false">$B101+FV$3*100*$A101</f>
        <v>215.71564235656</v>
      </c>
      <c r="FW101" s="19" t="n">
        <f aca="false">$B101+FW$3*100*$A101</f>
        <v>216.94064235656</v>
      </c>
      <c r="FX101" s="19" t="n">
        <f aca="false">$B101+FX$3*100*$A101</f>
        <v>218.16564235656</v>
      </c>
      <c r="FY101" s="19" t="n">
        <f aca="false">$B101+FY$3*100*$A101</f>
        <v>219.39064235656</v>
      </c>
      <c r="FZ101" s="19" t="n">
        <f aca="false">$B101+FZ$3*100*$A101</f>
        <v>220.61564235656</v>
      </c>
      <c r="GA101" s="19" t="n">
        <f aca="false">$B101+GA$3*100*$A101</f>
        <v>221.84064235656</v>
      </c>
      <c r="GB101" s="19" t="n">
        <f aca="false">$B101+GB$3*100*$A101</f>
        <v>223.06564235656</v>
      </c>
      <c r="GC101" s="19" t="n">
        <f aca="false">$B101+GC$3*100*$A101</f>
        <v>224.29064235656</v>
      </c>
      <c r="GD101" s="19" t="n">
        <f aca="false">$B101+GD$3*100*$A101</f>
        <v>225.51564235656</v>
      </c>
      <c r="GE101" s="19" t="n">
        <f aca="false">$B101+GE$3*100*$A101</f>
        <v>226.74064235656</v>
      </c>
      <c r="GF101" s="19" t="n">
        <f aca="false">$B101+GF$3*100*$A101</f>
        <v>227.96564235656</v>
      </c>
      <c r="GG101" s="19" t="n">
        <f aca="false">$B101+GG$3*100*$A101</f>
        <v>229.19064235656</v>
      </c>
      <c r="GH101" s="19" t="n">
        <f aca="false">$B101+GH$3*100*$A101</f>
        <v>230.41564235656</v>
      </c>
      <c r="GI101" s="19" t="n">
        <f aca="false">$B101+GI$3*100*$A101</f>
        <v>231.64064235656</v>
      </c>
      <c r="GJ101" s="19" t="n">
        <f aca="false">$B101+GJ$3*100*$A101</f>
        <v>232.86564235656</v>
      </c>
      <c r="GK101" s="19" t="n">
        <f aca="false">$B101+GK$3*100*$A101</f>
        <v>234.09064235656</v>
      </c>
      <c r="GL101" s="19" t="n">
        <f aca="false">$B101+GL$3*100*$A101</f>
        <v>235.31564235656</v>
      </c>
      <c r="GM101" s="19" t="n">
        <f aca="false">$B101+GM$3*100*$A101</f>
        <v>236.54064235656</v>
      </c>
      <c r="GN101" s="19" t="n">
        <f aca="false">$B101+GN$3*100*$A101</f>
        <v>237.76564235656</v>
      </c>
      <c r="GO101" s="19" t="n">
        <f aca="false">$B101+GO$3*100*$A101</f>
        <v>238.99064235656</v>
      </c>
      <c r="GP101" s="19" t="n">
        <f aca="false">$B101+GP$3*100*$A101</f>
        <v>240.21564235656</v>
      </c>
      <c r="GQ101" s="19" t="n">
        <f aca="false">$B101+GQ$3*100*$A101</f>
        <v>241.44064235656</v>
      </c>
      <c r="GR101" s="19" t="n">
        <f aca="false">$B101+GR$3*100*$A101</f>
        <v>242.66564235656</v>
      </c>
      <c r="GS101" s="19" t="n">
        <f aca="false">$B101+GS$3*100*$A101</f>
        <v>243.89064235656</v>
      </c>
      <c r="GT101" s="19" t="n">
        <f aca="false">$B101+GT$3*100*$A101</f>
        <v>245.11564235656</v>
      </c>
    </row>
    <row r="104" customFormat="false" ht="15" hidden="false" customHeight="false" outlineLevel="0" collapsed="false">
      <c r="A104" s="8" t="s">
        <v>490</v>
      </c>
      <c r="B104" s="8" t="s">
        <v>19</v>
      </c>
      <c r="C104" s="8" t="s">
        <v>156</v>
      </c>
    </row>
    <row r="105" customFormat="false" ht="15" hidden="false" customHeight="false" outlineLevel="0" collapsed="false">
      <c r="A105" s="2" t="s">
        <v>491</v>
      </c>
      <c r="B105" s="11" t="n">
        <f aca="false">COUNT(B7:B101)</f>
        <v>95</v>
      </c>
      <c r="C105" s="10" t="s">
        <v>492</v>
      </c>
    </row>
    <row r="106" customFormat="false" ht="15" hidden="false" customHeight="false" outlineLevel="0" collapsed="false">
      <c r="A106" s="2" t="s">
        <v>493</v>
      </c>
      <c r="B106" s="11" t="n">
        <f aca="false">SUMPRODUCT(1/COUNTIF($C$5:$GT$5,$C$5:$GT$5))</f>
        <v>30</v>
      </c>
      <c r="C106" s="10" t="s">
        <v>494</v>
      </c>
    </row>
    <row r="107" customFormat="false" ht="15" hidden="false" customHeight="false" outlineLevel="0" collapsed="false">
      <c r="A107" s="2" t="s">
        <v>495</v>
      </c>
      <c r="B107" s="19" t="n">
        <f aca="false">_xlfn.MINIFS($C$3:$GT$3,$C$5:$GT$5,0.0475)</f>
        <v>1.75</v>
      </c>
      <c r="C107" s="10"/>
    </row>
    <row r="108" customFormat="false" ht="15" hidden="false" customHeight="false" outlineLevel="0" collapsed="false">
      <c r="A108" s="2" t="s">
        <v>496</v>
      </c>
      <c r="B108" s="19" t="n">
        <f aca="false">_xlfn.MAXIFS($C$3:$GT$3,$C$5:$GT$5,0.0475)</f>
        <v>1.95</v>
      </c>
      <c r="C108" s="10"/>
    </row>
    <row r="109" customFormat="false" ht="15" hidden="false" customHeight="false" outlineLevel="0" collapsed="false">
      <c r="A109" s="2" t="s">
        <v>497</v>
      </c>
      <c r="B109" s="19" t="n">
        <f aca="false">_xlfn.MAXIFS($C$3:$GT$3,$C$5:$GT$5,0.0525)</f>
        <v>1.7</v>
      </c>
      <c r="C109" s="10"/>
    </row>
    <row r="110" customFormat="false" ht="15" hidden="false" customHeight="false" outlineLevel="0" collapsed="false">
      <c r="A110" s="2" t="s">
        <v>498</v>
      </c>
      <c r="B110" s="11" t="n">
        <f aca="false">COUNTIF($C$5:$GT$5,0.05)</f>
        <v>0</v>
      </c>
      <c r="C110" s="10" t="s">
        <v>499</v>
      </c>
    </row>
    <row r="111" customFormat="false" ht="15" hidden="false" customHeight="false" outlineLevel="0" collapsed="false">
      <c r="A111" s="2" t="s">
        <v>500</v>
      </c>
      <c r="B111" s="21" t="n">
        <f aca="false">B23-(B22+B24)/2</f>
        <v>0.001944157016462</v>
      </c>
      <c r="C111" s="10"/>
    </row>
    <row r="112" customFormat="false" ht="15" hidden="false" customHeight="false" outlineLevel="0" collapsed="false">
      <c r="A112" s="2" t="s">
        <v>501</v>
      </c>
      <c r="B112" s="20" t="n">
        <f aca="false">(B22-B24)/0.5</f>
        <v>1.74976730088343</v>
      </c>
      <c r="C112" s="10" t="s">
        <v>502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5" min="4" style="0" width="10"/>
  </cols>
  <sheetData>
    <row r="1" customFormat="false" ht="15" hidden="false" customHeight="false" outlineLevel="0" collapsed="false">
      <c r="A1" s="1" t="s">
        <v>503</v>
      </c>
    </row>
    <row r="3" customFormat="false" ht="15" hidden="false" customHeight="false" outlineLevel="0" collapsed="false">
      <c r="A3" s="8" t="s">
        <v>504</v>
      </c>
      <c r="B3" s="8" t="s">
        <v>505</v>
      </c>
      <c r="C3" s="8" t="s">
        <v>506</v>
      </c>
      <c r="D3" s="8" t="s">
        <v>507</v>
      </c>
      <c r="E3" s="8" t="s">
        <v>508</v>
      </c>
    </row>
    <row r="4" customFormat="false" ht="15" hidden="false" customHeight="false" outlineLevel="0" collapsed="false">
      <c r="A4" s="2" t="s">
        <v>509</v>
      </c>
      <c r="B4" s="17" t="n">
        <f aca="false">Plan!B21</f>
        <v>138.049617642214</v>
      </c>
      <c r="C4" s="17" t="n">
        <f aca="false">Plan!B30</f>
        <v>186.866976370664</v>
      </c>
      <c r="D4" s="17" t="n">
        <f aca="false">B4+C4</f>
        <v>324.916594012879</v>
      </c>
      <c r="E4" s="2" t="str">
        <f aca="false">IF(D4&lt;=Pool,"passes","fails")</f>
        <v>fails</v>
      </c>
    </row>
    <row r="5" customFormat="false" ht="15" hidden="false" customHeight="false" outlineLevel="0" collapsed="false">
      <c r="A5" s="2" t="s">
        <v>510</v>
      </c>
      <c r="B5" s="17" t="n">
        <f aca="false">Plan!B22</f>
        <v>89.0260828608509</v>
      </c>
      <c r="C5" s="17" t="n">
        <f aca="false">MAX(Plan!B30-100,0)</f>
        <v>86.8669763706644</v>
      </c>
      <c r="D5" s="17" t="n">
        <f aca="false">B5+C5</f>
        <v>175.893059231515</v>
      </c>
      <c r="E5" s="2" t="str">
        <f aca="false">IF(D5&lt;=Pool,"passes","fails")</f>
        <v>passes</v>
      </c>
    </row>
    <row r="6" customFormat="false" ht="15" hidden="false" customHeight="false" outlineLevel="0" collapsed="false">
      <c r="A6" s="2" t="s">
        <v>511</v>
      </c>
      <c r="B6" s="17" t="n">
        <f aca="false">Plan!B24</f>
        <v>121.63436791099</v>
      </c>
      <c r="C6" s="17" t="n">
        <f aca="false">MAX(Plan!B30-Solve!B5,0)</f>
        <v>16.8669763706644</v>
      </c>
      <c r="D6" s="17" t="n">
        <f aca="false">B6+C6</f>
        <v>138.501344281655</v>
      </c>
      <c r="E6" s="2" t="str">
        <f aca="false">IF(D6&lt;=Pool,"passes","fails")</f>
        <v>passes</v>
      </c>
    </row>
    <row r="8" customFormat="false" ht="15" hidden="false" customHeight="false" outlineLevel="0" collapsed="false">
      <c r="A8" s="8" t="s">
        <v>512</v>
      </c>
      <c r="B8" s="8" t="s">
        <v>513</v>
      </c>
      <c r="C8" s="8" t="s">
        <v>514</v>
      </c>
    </row>
    <row r="9" customFormat="false" ht="15" hidden="false" customHeight="false" outlineLevel="0" collapsed="false">
      <c r="A9" s="2" t="s">
        <v>509</v>
      </c>
      <c r="B9" s="27" t="n">
        <v>0.10332</v>
      </c>
      <c r="C9" s="27" t="n">
        <v>0.24622</v>
      </c>
    </row>
    <row r="10" customFormat="false" ht="15" hidden="false" customHeight="false" outlineLevel="0" collapsed="false">
      <c r="A10" s="2" t="s">
        <v>515</v>
      </c>
      <c r="B10" s="27" t="n">
        <v>0.00971</v>
      </c>
      <c r="C10" s="27" t="n">
        <v>0.05</v>
      </c>
    </row>
    <row r="11" customFormat="false" ht="15" hidden="false" customHeight="false" outlineLevel="0" collapsed="false">
      <c r="A11" s="10" t="s">
        <v>516</v>
      </c>
    </row>
    <row r="13" customFormat="false" ht="15" hidden="false" customHeight="false" outlineLevel="0" collapsed="false">
      <c r="A13" s="8" t="s">
        <v>517</v>
      </c>
      <c r="B13" s="8" t="s">
        <v>19</v>
      </c>
      <c r="C13" s="8" t="s">
        <v>156</v>
      </c>
    </row>
    <row r="14" customFormat="false" ht="15" hidden="false" customHeight="false" outlineLevel="0" collapsed="false">
      <c r="A14" s="2" t="s">
        <v>518</v>
      </c>
      <c r="B14" s="9" t="n">
        <v>100</v>
      </c>
      <c r="C14" s="10" t="s">
        <v>519</v>
      </c>
    </row>
    <row r="15" customFormat="false" ht="15" hidden="false" customHeight="false" outlineLevel="0" collapsed="false">
      <c r="A15" s="2" t="s">
        <v>520</v>
      </c>
      <c r="B15" s="12" t="n">
        <v>2</v>
      </c>
      <c r="C15" s="10" t="s">
        <v>521</v>
      </c>
    </row>
    <row r="16" customFormat="false" ht="15" hidden="false" customHeight="false" outlineLevel="0" collapsed="false">
      <c r="A16" s="2" t="s">
        <v>522</v>
      </c>
      <c r="B16" s="28" t="n">
        <v>0.03003</v>
      </c>
      <c r="C16" s="10" t="s">
        <v>523</v>
      </c>
    </row>
    <row r="17" customFormat="false" ht="15" hidden="false" customHeight="false" outlineLevel="0" collapsed="false">
      <c r="A17" s="2" t="s">
        <v>524</v>
      </c>
      <c r="B17" s="14" t="n">
        <v>0.02</v>
      </c>
      <c r="C17" s="10" t="s">
        <v>525</v>
      </c>
    </row>
    <row r="18" customFormat="false" ht="15" hidden="false" customHeight="false" outlineLevel="0" collapsed="false">
      <c r="A18" s="2" t="s">
        <v>526</v>
      </c>
      <c r="B18" s="20" t="n">
        <f aca="false">INDEX(Delay!$F$5:$F$85,MATCH(B14,Cost!$A$5:$A$85,0))</f>
        <v>2.60598659897682</v>
      </c>
      <c r="C18" s="10"/>
    </row>
    <row r="19" customFormat="false" ht="15" hidden="false" customHeight="false" outlineLevel="0" collapsed="false">
      <c r="A19" s="2" t="s">
        <v>527</v>
      </c>
      <c r="B19" s="2" t="str">
        <f aca="false">IF(AND(B16&lt;=B17,B18&lt;=B15),"yes","no: infeasible")</f>
        <v>no: infeasible</v>
      </c>
      <c r="C19" s="10"/>
    </row>
    <row r="21" customFormat="false" ht="15" hidden="false" customHeight="false" outlineLevel="0" collapsed="false">
      <c r="A21" s="2" t="s">
        <v>528</v>
      </c>
      <c r="B21" s="19" t="n">
        <f aca="false">_xlfn.MINIFS(Cost!$F$5:$F$85,Delay!$F$5:$F$85,"&lt;="&amp;B15)</f>
        <v>17.8608514478064</v>
      </c>
      <c r="C21" s="10"/>
    </row>
    <row r="22" customFormat="false" ht="15" hidden="false" customHeight="false" outlineLevel="0" collapsed="false">
      <c r="A22" s="2" t="s">
        <v>529</v>
      </c>
      <c r="B22" s="11" t="n">
        <f aca="false">INDEX(Cost!$A$5:$A$85,MATCH(B21,Cost!$F$5:$F$85,0))</f>
        <v>170</v>
      </c>
      <c r="C22" s="10"/>
    </row>
    <row r="23" customFormat="false" ht="15" hidden="false" customHeight="false" outlineLevel="0" collapsed="false">
      <c r="A23" s="2" t="s">
        <v>530</v>
      </c>
      <c r="B23" s="19" t="n">
        <f aca="false">_xlfn.MINIFS(Cost!$F$5:$F$85,Cost!$A$5:$A$85,"&lt;="&amp;B14)</f>
        <v>23.8478927918146</v>
      </c>
      <c r="C23" s="10"/>
    </row>
    <row r="24" customFormat="false" ht="15" hidden="false" customHeight="false" outlineLevel="0" collapsed="false">
      <c r="A24" s="2" t="s">
        <v>531</v>
      </c>
      <c r="B24" s="20" t="n">
        <f aca="false">INDEX(Delay!$F$5:$F$85,MATCH(B23,Cost!$F$5:$F$85,0))</f>
        <v>2.60598659897682</v>
      </c>
      <c r="C24" s="10"/>
    </row>
    <row r="25" customFormat="false" ht="15" hidden="false" customHeight="false" outlineLevel="0" collapsed="false">
      <c r="A25" s="2" t="s">
        <v>532</v>
      </c>
      <c r="B25" s="19" t="n">
        <f aca="false">Fee*B14+Vq*B15</f>
        <v>19</v>
      </c>
      <c r="C25" s="10" t="s">
        <v>533</v>
      </c>
    </row>
    <row r="26" customFormat="false" ht="15" hidden="false" customHeight="false" outlineLevel="0" collapsed="false">
      <c r="A26" s="2" t="s">
        <v>534</v>
      </c>
      <c r="B26" s="2" t="s">
        <v>535</v>
      </c>
      <c r="C26" s="10" t="s">
        <v>536</v>
      </c>
    </row>
    <row r="28" customFormat="false" ht="35.05" hidden="false" customHeight="false" outlineLevel="0" collapsed="false">
      <c r="A28" s="8" t="s">
        <v>537</v>
      </c>
      <c r="B28" s="8" t="s">
        <v>538</v>
      </c>
      <c r="C28" s="8" t="s">
        <v>539</v>
      </c>
    </row>
    <row r="29" customFormat="false" ht="15" hidden="false" customHeight="false" outlineLevel="0" collapsed="false">
      <c r="A29" s="11" t="n">
        <v>1</v>
      </c>
      <c r="B29" s="28" t="n">
        <v>0.0001</v>
      </c>
      <c r="C29" s="2" t="str">
        <f aca="false">IF(B29&lt;=$B$17,"yes","no")</f>
        <v>yes</v>
      </c>
    </row>
    <row r="30" customFormat="false" ht="15" hidden="false" customHeight="false" outlineLevel="0" collapsed="false">
      <c r="A30" s="11" t="n">
        <v>2</v>
      </c>
      <c r="B30" s="28" t="n">
        <v>0.00056</v>
      </c>
      <c r="C30" s="2" t="str">
        <f aca="false">IF(B30&lt;=$B$17,"yes","no")</f>
        <v>yes</v>
      </c>
    </row>
    <row r="31" customFormat="false" ht="15" hidden="false" customHeight="false" outlineLevel="0" collapsed="false">
      <c r="A31" s="11" t="n">
        <v>3</v>
      </c>
      <c r="B31" s="28" t="n">
        <v>0.00199</v>
      </c>
      <c r="C31" s="2" t="str">
        <f aca="false">IF(B31&lt;=$B$17,"yes","no")</f>
        <v>yes</v>
      </c>
    </row>
    <row r="32" customFormat="false" ht="15" hidden="false" customHeight="false" outlineLevel="0" collapsed="false">
      <c r="A32" s="11" t="n">
        <v>4</v>
      </c>
      <c r="B32" s="28" t="n">
        <v>0.00456</v>
      </c>
      <c r="C32" s="2" t="str">
        <f aca="false">IF(B32&lt;=$B$17,"yes","no")</f>
        <v>yes</v>
      </c>
    </row>
    <row r="33" customFormat="false" ht="15" hidden="false" customHeight="false" outlineLevel="0" collapsed="false">
      <c r="A33" s="11" t="n">
        <v>5</v>
      </c>
      <c r="B33" s="28" t="n">
        <v>0.00798</v>
      </c>
      <c r="C33" s="2" t="str">
        <f aca="false">IF(B33&lt;=$B$17,"yes","no")</f>
        <v>yes</v>
      </c>
    </row>
    <row r="34" customFormat="false" ht="15" hidden="false" customHeight="false" outlineLevel="0" collapsed="false">
      <c r="A34" s="11" t="n">
        <v>6</v>
      </c>
      <c r="B34" s="28" t="n">
        <v>0.01121</v>
      </c>
      <c r="C34" s="2" t="str">
        <f aca="false">IF(B34&lt;=$B$17,"yes","no")</f>
        <v>yes</v>
      </c>
    </row>
    <row r="35" customFormat="false" ht="15" hidden="false" customHeight="false" outlineLevel="0" collapsed="false">
      <c r="A35" s="11" t="n">
        <v>7</v>
      </c>
      <c r="B35" s="28" t="n">
        <v>0.01503</v>
      </c>
      <c r="C35" s="2" t="str">
        <f aca="false">IF(B35&lt;=$B$17,"yes","no")</f>
        <v>yes</v>
      </c>
    </row>
    <row r="36" customFormat="false" ht="15" hidden="false" customHeight="false" outlineLevel="0" collapsed="false">
      <c r="A36" s="11" t="n">
        <v>8</v>
      </c>
      <c r="B36" s="28" t="n">
        <v>0.01853</v>
      </c>
      <c r="C36" s="2" t="str">
        <f aca="false">IF(B36&lt;=$B$17,"yes","no")</f>
        <v>yes</v>
      </c>
    </row>
    <row r="37" customFormat="false" ht="15" hidden="false" customHeight="false" outlineLevel="0" collapsed="false">
      <c r="A37" s="11" t="n">
        <v>9</v>
      </c>
      <c r="B37" s="28" t="n">
        <v>0.02201</v>
      </c>
      <c r="C37" s="2" t="str">
        <f aca="false">IF(B37&lt;=$B$17,"yes","no")</f>
        <v>no</v>
      </c>
    </row>
    <row r="38" customFormat="false" ht="15" hidden="false" customHeight="false" outlineLevel="0" collapsed="false">
      <c r="A38" s="11" t="n">
        <v>10</v>
      </c>
      <c r="B38" s="28" t="n">
        <v>0.02499</v>
      </c>
      <c r="C38" s="2" t="str">
        <f aca="false">IF(B38&lt;=$B$17,"yes","no")</f>
        <v>no</v>
      </c>
    </row>
    <row r="39" customFormat="false" ht="15" hidden="false" customHeight="false" outlineLevel="0" collapsed="false">
      <c r="A39" s="11" t="n">
        <v>11</v>
      </c>
      <c r="B39" s="28" t="n">
        <v>0.02774</v>
      </c>
      <c r="C39" s="2" t="str">
        <f aca="false">IF(B39&lt;=$B$17,"yes","no")</f>
        <v>no</v>
      </c>
    </row>
    <row r="40" customFormat="false" ht="15" hidden="false" customHeight="false" outlineLevel="0" collapsed="false">
      <c r="A40" s="11" t="n">
        <v>12</v>
      </c>
      <c r="B40" s="28" t="n">
        <v>0.03003</v>
      </c>
      <c r="C40" s="2" t="str">
        <f aca="false">IF(B40&lt;=$B$17,"yes","no")</f>
        <v>no</v>
      </c>
    </row>
    <row r="42" customFormat="false" ht="15" hidden="false" customHeight="false" outlineLevel="0" collapsed="false">
      <c r="A42" s="4" t="s">
        <v>540</v>
      </c>
      <c r="B42" s="11" t="n">
        <f aca="false">COUNTIF(B29:B40,"&lt;="&amp;B17)</f>
        <v>8</v>
      </c>
      <c r="C42" s="10" t="s">
        <v>541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4"/>
    <col collapsed="false" customWidth="true" hidden="false" outlineLevel="0" max="4" min="2" style="0" width="14"/>
  </cols>
  <sheetData>
    <row r="1" customFormat="false" ht="15" hidden="false" customHeight="false" outlineLevel="0" collapsed="false">
      <c r="A1" s="1" t="s">
        <v>542</v>
      </c>
    </row>
    <row r="2" customFormat="false" ht="15" hidden="false" customHeight="false" outlineLevel="0" collapsed="false">
      <c r="A2" s="10" t="s">
        <v>543</v>
      </c>
    </row>
    <row r="4" customFormat="false" ht="15" hidden="false" customHeight="false" outlineLevel="0" collapsed="false">
      <c r="A4" s="8" t="s">
        <v>18</v>
      </c>
      <c r="B4" s="8" t="s">
        <v>544</v>
      </c>
      <c r="C4" s="8" t="s">
        <v>545</v>
      </c>
      <c r="D4" s="8" t="s">
        <v>546</v>
      </c>
    </row>
    <row r="5" customFormat="false" ht="15" hidden="false" customHeight="false" outlineLevel="0" collapsed="false">
      <c r="A5" s="2" t="s">
        <v>547</v>
      </c>
      <c r="B5" s="13" t="n">
        <v>40</v>
      </c>
      <c r="C5" s="13" t="n">
        <v>30</v>
      </c>
      <c r="D5" s="13" t="n">
        <v>20</v>
      </c>
    </row>
    <row r="6" customFormat="false" ht="15" hidden="false" customHeight="false" outlineLevel="0" collapsed="false">
      <c r="A6" s="2" t="s">
        <v>548</v>
      </c>
      <c r="B6" s="13" t="n">
        <v>0.98</v>
      </c>
      <c r="C6" s="13" t="n">
        <v>0.94</v>
      </c>
      <c r="D6" s="13" t="n">
        <v>0.9</v>
      </c>
    </row>
    <row r="7" customFormat="false" ht="15" hidden="false" customHeight="false" outlineLevel="0" collapsed="false">
      <c r="A7" s="2" t="s">
        <v>549</v>
      </c>
      <c r="B7" s="13" t="n">
        <v>0.3</v>
      </c>
      <c r="C7" s="13" t="n">
        <v>0.4</v>
      </c>
      <c r="D7" s="13" t="n">
        <v>0.3</v>
      </c>
    </row>
    <row r="8" customFormat="false" ht="15" hidden="false" customHeight="false" outlineLevel="0" collapsed="false">
      <c r="A8" s="2" t="s">
        <v>550</v>
      </c>
      <c r="B8" s="19" t="n">
        <f aca="false">B5*B6</f>
        <v>39.2</v>
      </c>
      <c r="C8" s="19" t="n">
        <f aca="false">C5*C6</f>
        <v>28.2</v>
      </c>
      <c r="D8" s="19" t="n">
        <f aca="false">D5*D6</f>
        <v>18</v>
      </c>
    </row>
    <row r="9" customFormat="false" ht="15" hidden="false" customHeight="false" outlineLevel="0" collapsed="false">
      <c r="A9" s="2" t="s">
        <v>551</v>
      </c>
      <c r="B9" s="12" t="n">
        <v>10</v>
      </c>
      <c r="C9" s="12" t="n">
        <v>6</v>
      </c>
    </row>
    <row r="11" customFormat="false" ht="15" hidden="false" customHeight="false" outlineLevel="0" collapsed="false">
      <c r="A11" s="2" t="s">
        <v>552</v>
      </c>
      <c r="B11" s="19" t="n">
        <f aca="false">B7*(SUM($B$8:$D$8)+$C$9)-B8</f>
        <v>-11.78</v>
      </c>
      <c r="C11" s="19" t="n">
        <f aca="false">C7*(SUM($B$8:$D$8)+$C$9)-C8</f>
        <v>8.36</v>
      </c>
      <c r="D11" s="19" t="n">
        <f aca="false">D7*(SUM($B$8:$D$8)+$C$9)-D8</f>
        <v>9.42</v>
      </c>
    </row>
    <row r="12" customFormat="false" ht="15" hidden="false" customHeight="false" outlineLevel="0" collapsed="false">
      <c r="A12" s="2" t="s">
        <v>553</v>
      </c>
      <c r="B12" s="13" t="n">
        <v>0</v>
      </c>
      <c r="C12" s="21" t="n">
        <f aca="false">C7/($C$7+$D$7)*($C$8+$D$8+$C$9-$B$12)-C8</f>
        <v>1.62857142857143</v>
      </c>
      <c r="D12" s="21" t="n">
        <f aca="false">D7/($C$7+$D$7)*($C$8+$D$8+$C$9-$B$12)-D8</f>
        <v>4.37142857142857</v>
      </c>
    </row>
    <row r="13" customFormat="false" ht="15" hidden="false" customHeight="false" outlineLevel="0" collapsed="false">
      <c r="A13" s="2" t="s">
        <v>554</v>
      </c>
      <c r="B13" s="21" t="n">
        <f aca="false">B8+B12</f>
        <v>39.2</v>
      </c>
      <c r="C13" s="21" t="n">
        <f aca="false">C8+C12</f>
        <v>29.8285714285714</v>
      </c>
      <c r="D13" s="21" t="n">
        <f aca="false">D8+D12</f>
        <v>22.3714285714286</v>
      </c>
    </row>
    <row r="14" customFormat="false" ht="15" hidden="false" customHeight="false" outlineLevel="0" collapsed="false">
      <c r="A14" s="4" t="s">
        <v>555</v>
      </c>
      <c r="B14" s="21" t="n">
        <f aca="false">$B$9*B13^B7*C13^C7*D13^D7</f>
        <v>296.993481326039</v>
      </c>
    </row>
    <row r="15" customFormat="false" ht="15" hidden="false" customHeight="false" outlineLevel="0" collapsed="false">
      <c r="A15" s="2" t="s">
        <v>556</v>
      </c>
      <c r="B15" s="21" t="n">
        <f aca="false">$B$9*(B8+2)^B7*(C8+2)^C7*(D8+2)^D7</f>
        <v>292.941526757182</v>
      </c>
    </row>
    <row r="16" customFormat="false" ht="15" hidden="false" customHeight="false" outlineLevel="0" collapsed="false">
      <c r="A16" s="2" t="s">
        <v>557</v>
      </c>
      <c r="B16" s="21" t="n">
        <f aca="false">B7*$B$14/B13</f>
        <v>2.27290929586255</v>
      </c>
      <c r="C16" s="21" t="n">
        <f aca="false">C7*$B$14/C13</f>
        <v>3.9826712055216</v>
      </c>
      <c r="D16" s="21" t="n">
        <f aca="false">D7*$B$14/D13</f>
        <v>3.9826712055216</v>
      </c>
    </row>
    <row r="17" customFormat="false" ht="15" hidden="false" customHeight="false" outlineLevel="0" collapsed="false">
      <c r="A17" s="2" t="s">
        <v>558</v>
      </c>
      <c r="B17" s="21" t="n">
        <f aca="false">C16</f>
        <v>3.9826712055216</v>
      </c>
    </row>
    <row r="18" customFormat="false" ht="15" hidden="false" customHeight="false" outlineLevel="0" collapsed="false">
      <c r="A18" s="2" t="s">
        <v>559</v>
      </c>
      <c r="B18" s="21" t="n">
        <f aca="false">B17-B16</f>
        <v>1.70976190965905</v>
      </c>
    </row>
    <row r="19" customFormat="false" ht="15" hidden="false" customHeight="false" outlineLevel="0" collapsed="false">
      <c r="A19" s="2" t="s">
        <v>560</v>
      </c>
      <c r="B19" s="2" t="str">
        <f aca="false">IF(ABS(C16-D16)&lt;0.000000001,"yes","no")</f>
        <v>yes</v>
      </c>
    </row>
    <row r="21" customFormat="false" ht="15" hidden="false" customHeight="false" outlineLevel="0" collapsed="false">
      <c r="A21" s="4" t="s">
        <v>561</v>
      </c>
    </row>
    <row r="22" customFormat="false" ht="15" hidden="false" customHeight="false" outlineLevel="0" collapsed="false">
      <c r="A22" s="2" t="s">
        <v>562</v>
      </c>
      <c r="B22" s="21" t="n">
        <f aca="false">B8</f>
        <v>39.2</v>
      </c>
      <c r="C22" s="21" t="n">
        <f aca="false">C7/($C$7+$D$7)*($C$8+$D$8+$C$9+1)</f>
        <v>30.4</v>
      </c>
      <c r="D22" s="21" t="n">
        <f aca="false">D7/($C$7+$D$7)*($C$8+$D$8+$C$9+1)</f>
        <v>22.8</v>
      </c>
    </row>
    <row r="23" customFormat="false" ht="15" hidden="false" customHeight="false" outlineLevel="0" collapsed="false">
      <c r="A23" s="2" t="s">
        <v>563</v>
      </c>
      <c r="B23" s="21" t="n">
        <f aca="false">$B$9*B22^B7*C22^C7*D22^D7-B14</f>
        <v>3.97132071965029</v>
      </c>
    </row>
    <row r="24" customFormat="false" ht="15" hidden="false" customHeight="false" outlineLevel="0" collapsed="false">
      <c r="A24" s="2" t="s">
        <v>564</v>
      </c>
      <c r="B24" s="21" t="n">
        <f aca="false">B8+1</f>
        <v>40.2</v>
      </c>
      <c r="C24" s="21" t="n">
        <f aca="false">C7/($C$7+$D$7)*($C$8+$D$8+$C$9-1)</f>
        <v>29.2571428571429</v>
      </c>
      <c r="D24" s="21" t="n">
        <f aca="false">D7/($C$7+$D$7)*($C$8+$D$8+$C$9-1)</f>
        <v>21.9428571428571</v>
      </c>
    </row>
    <row r="25" customFormat="false" ht="15" hidden="false" customHeight="false" outlineLevel="0" collapsed="false">
      <c r="A25" s="2" t="s">
        <v>565</v>
      </c>
      <c r="B25" s="21" t="n">
        <f aca="false">B14-$B$9*B24^B7*C24^C7*D24^D7</f>
        <v>1.77160675746717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10" min="10" style="0" width="14"/>
    <col collapsed="false" customWidth="true" hidden="false" outlineLevel="0" max="11" min="11" style="0" width="16"/>
  </cols>
  <sheetData>
    <row r="1" customFormat="false" ht="15" hidden="false" customHeight="false" outlineLevel="0" collapsed="false">
      <c r="A1" s="1" t="s">
        <v>566</v>
      </c>
    </row>
    <row r="2" customFormat="false" ht="15" hidden="false" customHeight="false" outlineLevel="0" collapsed="false">
      <c r="A2" s="10" t="s">
        <v>567</v>
      </c>
    </row>
    <row r="4" customFormat="false" ht="15" hidden="false" customHeight="false" outlineLevel="0" collapsed="false">
      <c r="A4" s="2" t="s">
        <v>568</v>
      </c>
      <c r="B4" s="9" t="n">
        <v>150</v>
      </c>
    </row>
    <row r="5" customFormat="false" ht="15" hidden="false" customHeight="false" outlineLevel="0" collapsed="false">
      <c r="A5" s="2" t="s">
        <v>569</v>
      </c>
      <c r="B5" s="9" t="n">
        <v>50</v>
      </c>
    </row>
    <row r="6" customFormat="false" ht="15" hidden="false" customHeight="false" outlineLevel="0" collapsed="false">
      <c r="A6" s="2" t="s">
        <v>570</v>
      </c>
      <c r="B6" s="9" t="n">
        <v>10</v>
      </c>
    </row>
    <row r="7" customFormat="false" ht="15" hidden="false" customHeight="false" outlineLevel="0" collapsed="false">
      <c r="A7" s="2" t="s">
        <v>571</v>
      </c>
      <c r="B7" s="11" t="n">
        <f aca="false">SUMPRODUCT((B5-B6*{0,1,2,3,4,5,6})*((B5-B6*{0,1,2,3,4,5,6})&gt;0))</f>
        <v>150</v>
      </c>
    </row>
    <row r="8" customFormat="false" ht="15" hidden="false" customHeight="false" outlineLevel="0" collapsed="false">
      <c r="A8" s="2" t="s">
        <v>572</v>
      </c>
      <c r="B8" s="2" t="str">
        <f aca="false">IF(B4&gt;=B7,"yes, on its edge","no")</f>
        <v>yes, on its edge</v>
      </c>
    </row>
    <row r="10" customFormat="false" ht="23.85" hidden="false" customHeight="false" outlineLevel="0" collapsed="false">
      <c r="A10" s="8" t="s">
        <v>108</v>
      </c>
      <c r="B10" s="8" t="s">
        <v>573</v>
      </c>
      <c r="C10" s="8" t="s">
        <v>574</v>
      </c>
      <c r="D10" s="8" t="s">
        <v>575</v>
      </c>
      <c r="E10" s="8" t="s">
        <v>574</v>
      </c>
    </row>
    <row r="11" customFormat="false" ht="15" hidden="false" customHeight="false" outlineLevel="0" collapsed="false">
      <c r="A11" s="11" t="n">
        <v>0</v>
      </c>
      <c r="B11" s="11" t="n">
        <f aca="false">B4</f>
        <v>150</v>
      </c>
      <c r="C11" s="11" t="n">
        <f aca="false">B5</f>
        <v>50</v>
      </c>
      <c r="D11" s="11" t="n">
        <f aca="false">B4</f>
        <v>150</v>
      </c>
      <c r="E11" s="11" t="n">
        <f aca="false">B5</f>
        <v>50</v>
      </c>
      <c r="J11" s="8" t="s">
        <v>576</v>
      </c>
      <c r="K11" s="8" t="s">
        <v>577</v>
      </c>
    </row>
    <row r="12" customFormat="false" ht="15" hidden="false" customHeight="false" outlineLevel="0" collapsed="false">
      <c r="A12" s="11" t="n">
        <v>1</v>
      </c>
      <c r="B12" s="11" t="n">
        <f aca="false">IF(B11="","",IF(B11&lt;0,"",B11-C11))</f>
        <v>100</v>
      </c>
      <c r="C12" s="11" t="n">
        <f aca="false">IF(B12="","",C11)</f>
        <v>50</v>
      </c>
      <c r="D12" s="11" t="n">
        <f aca="false">D11-E11</f>
        <v>100</v>
      </c>
      <c r="E12" s="11" t="n">
        <f aca="false">_xlfn.MAXIFS($J$12:$J$112,$J$12:$J$112,"&gt;="&amp;MAX(E11-$B$6,0),$J$12:$J$112,"&lt;="&amp;E11,$K$12:$K$112,"&lt;="&amp;D12)</f>
        <v>40</v>
      </c>
      <c r="J12" s="17" t="n">
        <v>0</v>
      </c>
      <c r="K12" s="17" t="n">
        <f aca="false">SUMPRODUCT((J12-$B$6*{0,1,2,3,4,5,6})*((J12-$B$6*{0,1,2,3,4,5,6})&gt;0))</f>
        <v>0</v>
      </c>
    </row>
    <row r="13" customFormat="false" ht="15" hidden="false" customHeight="false" outlineLevel="0" collapsed="false">
      <c r="A13" s="11" t="n">
        <v>2</v>
      </c>
      <c r="B13" s="11" t="n">
        <f aca="false">IF(B12="","",IF(B12&lt;0,"",B12-C12))</f>
        <v>50</v>
      </c>
      <c r="C13" s="11" t="n">
        <f aca="false">IF(B13="","",C12)</f>
        <v>50</v>
      </c>
      <c r="D13" s="11" t="n">
        <f aca="false">D12-E12</f>
        <v>60</v>
      </c>
      <c r="E13" s="11" t="n">
        <f aca="false">_xlfn.MAXIFS($J$12:$J$112,$J$12:$J$112,"&gt;="&amp;MAX(E12-$B$6,0),$J$12:$J$112,"&lt;="&amp;E12,$K$12:$K$112,"&lt;="&amp;D13)</f>
        <v>30</v>
      </c>
      <c r="J13" s="17" t="n">
        <v>0.5</v>
      </c>
      <c r="K13" s="17" t="n">
        <f aca="false">SUMPRODUCT((J13-$B$6*{0,1,2,3,4,5,6})*((J13-$B$6*{0,1,2,3,4,5,6})&gt;0))</f>
        <v>0.5</v>
      </c>
    </row>
    <row r="14" customFormat="false" ht="15" hidden="false" customHeight="false" outlineLevel="0" collapsed="false">
      <c r="A14" s="11" t="n">
        <v>3</v>
      </c>
      <c r="B14" s="11" t="n">
        <f aca="false">IF(B13="","",IF(B13&lt;0,"",B13-C13))</f>
        <v>0</v>
      </c>
      <c r="C14" s="11" t="n">
        <f aca="false">IF(B14="","",C13)</f>
        <v>50</v>
      </c>
      <c r="D14" s="11" t="n">
        <f aca="false">D13-E13</f>
        <v>30</v>
      </c>
      <c r="E14" s="11" t="n">
        <f aca="false">_xlfn.MAXIFS($J$12:$J$112,$J$12:$J$112,"&gt;="&amp;MAX(E13-$B$6,0),$J$12:$J$112,"&lt;="&amp;E13,$K$12:$K$112,"&lt;="&amp;D14)</f>
        <v>20</v>
      </c>
      <c r="J14" s="17" t="n">
        <v>1</v>
      </c>
      <c r="K14" s="17" t="n">
        <f aca="false">SUMPRODUCT((J14-$B$6*{0,1,2,3,4,5,6})*((J14-$B$6*{0,1,2,3,4,5,6})&gt;0))</f>
        <v>1</v>
      </c>
    </row>
    <row r="15" customFormat="false" ht="15" hidden="false" customHeight="false" outlineLevel="0" collapsed="false">
      <c r="A15" s="11" t="n">
        <v>4</v>
      </c>
      <c r="B15" s="11" t="n">
        <f aca="false">IF(B14="","",IF(B14&lt;0,"",B14-C14))</f>
        <v>-50</v>
      </c>
      <c r="C15" s="11" t="n">
        <f aca="false">IF(B15="","",C14)</f>
        <v>50</v>
      </c>
      <c r="D15" s="11" t="n">
        <f aca="false">D14-E14</f>
        <v>10</v>
      </c>
      <c r="E15" s="11" t="n">
        <f aca="false">_xlfn.MAXIFS($J$12:$J$112,$J$12:$J$112,"&gt;="&amp;MAX(E14-$B$6,0),$J$12:$J$112,"&lt;="&amp;E14,$K$12:$K$112,"&lt;="&amp;D15)</f>
        <v>10</v>
      </c>
      <c r="J15" s="17" t="n">
        <v>1.5</v>
      </c>
      <c r="K15" s="17" t="n">
        <f aca="false">SUMPRODUCT((J15-$B$6*{0,1,2,3,4,5,6})*((J15-$B$6*{0,1,2,3,4,5,6})&gt;0))</f>
        <v>1.5</v>
      </c>
    </row>
    <row r="16" customFormat="false" ht="15" hidden="false" customHeight="false" outlineLevel="0" collapsed="false">
      <c r="A16" s="11" t="n">
        <v>5</v>
      </c>
      <c r="B16" s="11" t="str">
        <f aca="false">IF(B15="","",IF(B15&lt;0,"",B15-C15))</f>
        <v/>
      </c>
      <c r="C16" s="11" t="str">
        <f aca="false">IF(B16="","",C15)</f>
        <v/>
      </c>
      <c r="D16" s="11" t="n">
        <f aca="false">D15-E15</f>
        <v>0</v>
      </c>
      <c r="E16" s="11" t="n">
        <f aca="false">_xlfn.MAXIFS($J$12:$J$112,$J$12:$J$112,"&gt;="&amp;MAX(E15-$B$6,0),$J$12:$J$112,"&lt;="&amp;E15,$K$12:$K$112,"&lt;="&amp;D16)</f>
        <v>0</v>
      </c>
      <c r="J16" s="17" t="n">
        <v>2</v>
      </c>
      <c r="K16" s="17" t="n">
        <f aca="false">SUMPRODUCT((J16-$B$6*{0,1,2,3,4,5,6})*((J16-$B$6*{0,1,2,3,4,5,6})&gt;0))</f>
        <v>2</v>
      </c>
    </row>
    <row r="17" customFormat="false" ht="15" hidden="false" customHeight="false" outlineLevel="0" collapsed="false">
      <c r="A17" s="11" t="n">
        <v>6</v>
      </c>
      <c r="B17" s="11" t="str">
        <f aca="false">IF(B16="","",IF(B16&lt;0,"",B16-C16))</f>
        <v/>
      </c>
      <c r="C17" s="11" t="str">
        <f aca="false">IF(B17="","",C16)</f>
        <v/>
      </c>
      <c r="D17" s="11" t="n">
        <f aca="false">D16-E16</f>
        <v>0</v>
      </c>
      <c r="E17" s="11" t="n">
        <f aca="false">_xlfn.MAXIFS($J$12:$J$112,$J$12:$J$112,"&gt;="&amp;MAX(E16-$B$6,0),$J$12:$J$112,"&lt;="&amp;E16,$K$12:$K$112,"&lt;="&amp;D17)</f>
        <v>0</v>
      </c>
      <c r="J17" s="17" t="n">
        <v>2.5</v>
      </c>
      <c r="K17" s="17" t="n">
        <f aca="false">SUMPRODUCT((J17-$B$6*{0,1,2,3,4,5,6})*((J17-$B$6*{0,1,2,3,4,5,6})&gt;0))</f>
        <v>2.5</v>
      </c>
    </row>
    <row r="18" customFormat="false" ht="15" hidden="false" customHeight="false" outlineLevel="0" collapsed="false">
      <c r="J18" s="17" t="n">
        <v>3</v>
      </c>
      <c r="K18" s="17" t="n">
        <f aca="false">SUMPRODUCT((J18-$B$6*{0,1,2,3,4,5,6})*((J18-$B$6*{0,1,2,3,4,5,6})&gt;0))</f>
        <v>3</v>
      </c>
    </row>
    <row r="19" customFormat="false" ht="15" hidden="false" customHeight="false" outlineLevel="0" collapsed="false">
      <c r="A19" s="2" t="s">
        <v>578</v>
      </c>
      <c r="B19" s="11" t="n">
        <f aca="false">COUNTIF(B11:B17,"&gt;=0")</f>
        <v>4</v>
      </c>
      <c r="C19" s="10" t="s">
        <v>579</v>
      </c>
      <c r="J19" s="17" t="n">
        <v>3.5</v>
      </c>
      <c r="K19" s="17" t="n">
        <f aca="false">SUMPRODUCT((J19-$B$6*{0,1,2,3,4,5,6})*((J19-$B$6*{0,1,2,3,4,5,6})&gt;0))</f>
        <v>3.5</v>
      </c>
    </row>
    <row r="20" customFormat="false" ht="15" hidden="false" customHeight="false" outlineLevel="0" collapsed="false">
      <c r="A20" s="2" t="s">
        <v>580</v>
      </c>
      <c r="B20" s="11" t="n">
        <f aca="false">MATCH(0,E11:E17,0)-1</f>
        <v>5</v>
      </c>
      <c r="C20" s="10" t="s">
        <v>581</v>
      </c>
      <c r="J20" s="17" t="n">
        <v>4</v>
      </c>
      <c r="K20" s="17" t="n">
        <f aca="false">SUMPRODUCT((J20-$B$6*{0,1,2,3,4,5,6})*((J20-$B$6*{0,1,2,3,4,5,6})&gt;0))</f>
        <v>4</v>
      </c>
    </row>
    <row r="21" customFormat="false" ht="15" hidden="false" customHeight="false" outlineLevel="0" collapsed="false">
      <c r="J21" s="17" t="n">
        <v>4.5</v>
      </c>
      <c r="K21" s="17" t="n">
        <f aca="false">SUMPRODUCT((J21-$B$6*{0,1,2,3,4,5,6})*((J21-$B$6*{0,1,2,3,4,5,6})&gt;0))</f>
        <v>4.5</v>
      </c>
    </row>
    <row r="22" customFormat="false" ht="15" hidden="false" customHeight="false" outlineLevel="0" collapsed="false">
      <c r="A22" s="2" t="s">
        <v>582</v>
      </c>
      <c r="B22" s="2" t="str">
        <f aca="false">IF(120&gt;=B7,"yes","no: no window with the end condition is feasible")</f>
        <v>no: no window with the end condition is feasible</v>
      </c>
      <c r="C22" s="10" t="s">
        <v>583</v>
      </c>
      <c r="J22" s="17" t="n">
        <v>5</v>
      </c>
      <c r="K22" s="17" t="n">
        <f aca="false">SUMPRODUCT((J22-$B$6*{0,1,2,3,4,5,6})*((J22-$B$6*{0,1,2,3,4,5,6})&gt;0))</f>
        <v>5</v>
      </c>
    </row>
    <row r="23" customFormat="false" ht="15" hidden="false" customHeight="false" outlineLevel="0" collapsed="false">
      <c r="J23" s="17" t="n">
        <v>5.5</v>
      </c>
      <c r="K23" s="17" t="n">
        <f aca="false">SUMPRODUCT((J23-$B$6*{0,1,2,3,4,5,6})*((J23-$B$6*{0,1,2,3,4,5,6})&gt;0))</f>
        <v>5.5</v>
      </c>
    </row>
    <row r="24" customFormat="false" ht="15" hidden="false" customHeight="false" outlineLevel="0" collapsed="false">
      <c r="J24" s="17" t="n">
        <v>6</v>
      </c>
      <c r="K24" s="17" t="n">
        <f aca="false">SUMPRODUCT((J24-$B$6*{0,1,2,3,4,5,6})*((J24-$B$6*{0,1,2,3,4,5,6})&gt;0))</f>
        <v>6</v>
      </c>
    </row>
    <row r="25" customFormat="false" ht="15" hidden="false" customHeight="false" outlineLevel="0" collapsed="false">
      <c r="J25" s="17" t="n">
        <v>6.5</v>
      </c>
      <c r="K25" s="17" t="n">
        <f aca="false">SUMPRODUCT((J25-$B$6*{0,1,2,3,4,5,6})*((J25-$B$6*{0,1,2,3,4,5,6})&gt;0))</f>
        <v>6.5</v>
      </c>
    </row>
    <row r="26" customFormat="false" ht="15" hidden="false" customHeight="false" outlineLevel="0" collapsed="false">
      <c r="J26" s="17" t="n">
        <v>7</v>
      </c>
      <c r="K26" s="17" t="n">
        <f aca="false">SUMPRODUCT((J26-$B$6*{0,1,2,3,4,5,6})*((J26-$B$6*{0,1,2,3,4,5,6})&gt;0))</f>
        <v>7</v>
      </c>
    </row>
    <row r="27" customFormat="false" ht="15" hidden="false" customHeight="false" outlineLevel="0" collapsed="false">
      <c r="J27" s="17" t="n">
        <v>7.5</v>
      </c>
      <c r="K27" s="17" t="n">
        <f aca="false">SUMPRODUCT((J27-$B$6*{0,1,2,3,4,5,6})*((J27-$B$6*{0,1,2,3,4,5,6})&gt;0))</f>
        <v>7.5</v>
      </c>
    </row>
    <row r="28" customFormat="false" ht="15" hidden="false" customHeight="false" outlineLevel="0" collapsed="false">
      <c r="J28" s="17" t="n">
        <v>8</v>
      </c>
      <c r="K28" s="17" t="n">
        <f aca="false">SUMPRODUCT((J28-$B$6*{0,1,2,3,4,5,6})*((J28-$B$6*{0,1,2,3,4,5,6})&gt;0))</f>
        <v>8</v>
      </c>
    </row>
    <row r="29" customFormat="false" ht="15" hidden="false" customHeight="false" outlineLevel="0" collapsed="false">
      <c r="J29" s="17" t="n">
        <v>8.5</v>
      </c>
      <c r="K29" s="17" t="n">
        <f aca="false">SUMPRODUCT((J29-$B$6*{0,1,2,3,4,5,6})*((J29-$B$6*{0,1,2,3,4,5,6})&gt;0))</f>
        <v>8.5</v>
      </c>
    </row>
    <row r="30" customFormat="false" ht="15" hidden="false" customHeight="false" outlineLevel="0" collapsed="false">
      <c r="J30" s="17" t="n">
        <v>9</v>
      </c>
      <c r="K30" s="17" t="n">
        <f aca="false">SUMPRODUCT((J30-$B$6*{0,1,2,3,4,5,6})*((J30-$B$6*{0,1,2,3,4,5,6})&gt;0))</f>
        <v>9</v>
      </c>
    </row>
    <row r="31" customFormat="false" ht="15" hidden="false" customHeight="false" outlineLevel="0" collapsed="false">
      <c r="J31" s="17" t="n">
        <v>9.5</v>
      </c>
      <c r="K31" s="17" t="n">
        <f aca="false">SUMPRODUCT((J31-$B$6*{0,1,2,3,4,5,6})*((J31-$B$6*{0,1,2,3,4,5,6})&gt;0))</f>
        <v>9.5</v>
      </c>
    </row>
    <row r="32" customFormat="false" ht="15" hidden="false" customHeight="false" outlineLevel="0" collapsed="false">
      <c r="J32" s="17" t="n">
        <v>10</v>
      </c>
      <c r="K32" s="17" t="n">
        <f aca="false">SUMPRODUCT((J32-$B$6*{0,1,2,3,4,5,6})*((J32-$B$6*{0,1,2,3,4,5,6})&gt;0))</f>
        <v>10</v>
      </c>
    </row>
    <row r="33" customFormat="false" ht="15" hidden="false" customHeight="false" outlineLevel="0" collapsed="false">
      <c r="J33" s="17" t="n">
        <v>10.5</v>
      </c>
      <c r="K33" s="17" t="n">
        <f aca="false">SUMPRODUCT((J33-$B$6*{0,1,2,3,4,5,6})*((J33-$B$6*{0,1,2,3,4,5,6})&gt;0))</f>
        <v>11</v>
      </c>
    </row>
    <row r="34" customFormat="false" ht="15" hidden="false" customHeight="false" outlineLevel="0" collapsed="false">
      <c r="J34" s="17" t="n">
        <v>11</v>
      </c>
      <c r="K34" s="17" t="n">
        <f aca="false">SUMPRODUCT((J34-$B$6*{0,1,2,3,4,5,6})*((J34-$B$6*{0,1,2,3,4,5,6})&gt;0))</f>
        <v>12</v>
      </c>
    </row>
    <row r="35" customFormat="false" ht="15" hidden="false" customHeight="false" outlineLevel="0" collapsed="false">
      <c r="J35" s="17" t="n">
        <v>11.5</v>
      </c>
      <c r="K35" s="17" t="n">
        <f aca="false">SUMPRODUCT((J35-$B$6*{0,1,2,3,4,5,6})*((J35-$B$6*{0,1,2,3,4,5,6})&gt;0))</f>
        <v>13</v>
      </c>
    </row>
    <row r="36" customFormat="false" ht="15" hidden="false" customHeight="false" outlineLevel="0" collapsed="false">
      <c r="J36" s="17" t="n">
        <v>12</v>
      </c>
      <c r="K36" s="17" t="n">
        <f aca="false">SUMPRODUCT((J36-$B$6*{0,1,2,3,4,5,6})*((J36-$B$6*{0,1,2,3,4,5,6})&gt;0))</f>
        <v>14</v>
      </c>
    </row>
    <row r="37" customFormat="false" ht="15" hidden="false" customHeight="false" outlineLevel="0" collapsed="false">
      <c r="J37" s="17" t="n">
        <v>12.5</v>
      </c>
      <c r="K37" s="17" t="n">
        <f aca="false">SUMPRODUCT((J37-$B$6*{0,1,2,3,4,5,6})*((J37-$B$6*{0,1,2,3,4,5,6})&gt;0))</f>
        <v>15</v>
      </c>
    </row>
    <row r="38" customFormat="false" ht="15" hidden="false" customHeight="false" outlineLevel="0" collapsed="false">
      <c r="J38" s="17" t="n">
        <v>13</v>
      </c>
      <c r="K38" s="17" t="n">
        <f aca="false">SUMPRODUCT((J38-$B$6*{0,1,2,3,4,5,6})*((J38-$B$6*{0,1,2,3,4,5,6})&gt;0))</f>
        <v>16</v>
      </c>
    </row>
    <row r="39" customFormat="false" ht="15" hidden="false" customHeight="false" outlineLevel="0" collapsed="false">
      <c r="J39" s="17" t="n">
        <v>13.5</v>
      </c>
      <c r="K39" s="17" t="n">
        <f aca="false">SUMPRODUCT((J39-$B$6*{0,1,2,3,4,5,6})*((J39-$B$6*{0,1,2,3,4,5,6})&gt;0))</f>
        <v>17</v>
      </c>
    </row>
    <row r="40" customFormat="false" ht="15" hidden="false" customHeight="false" outlineLevel="0" collapsed="false">
      <c r="J40" s="17" t="n">
        <v>14</v>
      </c>
      <c r="K40" s="17" t="n">
        <f aca="false">SUMPRODUCT((J40-$B$6*{0,1,2,3,4,5,6})*((J40-$B$6*{0,1,2,3,4,5,6})&gt;0))</f>
        <v>18</v>
      </c>
    </row>
    <row r="41" customFormat="false" ht="15" hidden="false" customHeight="false" outlineLevel="0" collapsed="false">
      <c r="J41" s="17" t="n">
        <v>14.5</v>
      </c>
      <c r="K41" s="17" t="n">
        <f aca="false">SUMPRODUCT((J41-$B$6*{0,1,2,3,4,5,6})*((J41-$B$6*{0,1,2,3,4,5,6})&gt;0))</f>
        <v>19</v>
      </c>
    </row>
    <row r="42" customFormat="false" ht="15" hidden="false" customHeight="false" outlineLevel="0" collapsed="false">
      <c r="J42" s="17" t="n">
        <v>15</v>
      </c>
      <c r="K42" s="17" t="n">
        <f aca="false">SUMPRODUCT((J42-$B$6*{0,1,2,3,4,5,6})*((J42-$B$6*{0,1,2,3,4,5,6})&gt;0))</f>
        <v>20</v>
      </c>
    </row>
    <row r="43" customFormat="false" ht="15" hidden="false" customHeight="false" outlineLevel="0" collapsed="false">
      <c r="J43" s="17" t="n">
        <v>15.5</v>
      </c>
      <c r="K43" s="17" t="n">
        <f aca="false">SUMPRODUCT((J43-$B$6*{0,1,2,3,4,5,6})*((J43-$B$6*{0,1,2,3,4,5,6})&gt;0))</f>
        <v>21</v>
      </c>
    </row>
    <row r="44" customFormat="false" ht="15" hidden="false" customHeight="false" outlineLevel="0" collapsed="false">
      <c r="J44" s="17" t="n">
        <v>16</v>
      </c>
      <c r="K44" s="17" t="n">
        <f aca="false">SUMPRODUCT((J44-$B$6*{0,1,2,3,4,5,6})*((J44-$B$6*{0,1,2,3,4,5,6})&gt;0))</f>
        <v>22</v>
      </c>
    </row>
    <row r="45" customFormat="false" ht="15" hidden="false" customHeight="false" outlineLevel="0" collapsed="false">
      <c r="J45" s="17" t="n">
        <v>16.5</v>
      </c>
      <c r="K45" s="17" t="n">
        <f aca="false">SUMPRODUCT((J45-$B$6*{0,1,2,3,4,5,6})*((J45-$B$6*{0,1,2,3,4,5,6})&gt;0))</f>
        <v>23</v>
      </c>
    </row>
    <row r="46" customFormat="false" ht="15" hidden="false" customHeight="false" outlineLevel="0" collapsed="false">
      <c r="J46" s="17" t="n">
        <v>17</v>
      </c>
      <c r="K46" s="17" t="n">
        <f aca="false">SUMPRODUCT((J46-$B$6*{0,1,2,3,4,5,6})*((J46-$B$6*{0,1,2,3,4,5,6})&gt;0))</f>
        <v>24</v>
      </c>
    </row>
    <row r="47" customFormat="false" ht="15" hidden="false" customHeight="false" outlineLevel="0" collapsed="false">
      <c r="J47" s="17" t="n">
        <v>17.5</v>
      </c>
      <c r="K47" s="17" t="n">
        <f aca="false">SUMPRODUCT((J47-$B$6*{0,1,2,3,4,5,6})*((J47-$B$6*{0,1,2,3,4,5,6})&gt;0))</f>
        <v>25</v>
      </c>
    </row>
    <row r="48" customFormat="false" ht="15" hidden="false" customHeight="false" outlineLevel="0" collapsed="false">
      <c r="J48" s="17" t="n">
        <v>18</v>
      </c>
      <c r="K48" s="17" t="n">
        <f aca="false">SUMPRODUCT((J48-$B$6*{0,1,2,3,4,5,6})*((J48-$B$6*{0,1,2,3,4,5,6})&gt;0))</f>
        <v>26</v>
      </c>
    </row>
    <row r="49" customFormat="false" ht="15" hidden="false" customHeight="false" outlineLevel="0" collapsed="false">
      <c r="J49" s="17" t="n">
        <v>18.5</v>
      </c>
      <c r="K49" s="17" t="n">
        <f aca="false">SUMPRODUCT((J49-$B$6*{0,1,2,3,4,5,6})*((J49-$B$6*{0,1,2,3,4,5,6})&gt;0))</f>
        <v>27</v>
      </c>
    </row>
    <row r="50" customFormat="false" ht="15" hidden="false" customHeight="false" outlineLevel="0" collapsed="false">
      <c r="J50" s="17" t="n">
        <v>19</v>
      </c>
      <c r="K50" s="17" t="n">
        <f aca="false">SUMPRODUCT((J50-$B$6*{0,1,2,3,4,5,6})*((J50-$B$6*{0,1,2,3,4,5,6})&gt;0))</f>
        <v>28</v>
      </c>
    </row>
    <row r="51" customFormat="false" ht="15" hidden="false" customHeight="false" outlineLevel="0" collapsed="false">
      <c r="J51" s="17" t="n">
        <v>19.5</v>
      </c>
      <c r="K51" s="17" t="n">
        <f aca="false">SUMPRODUCT((J51-$B$6*{0,1,2,3,4,5,6})*((J51-$B$6*{0,1,2,3,4,5,6})&gt;0))</f>
        <v>29</v>
      </c>
    </row>
    <row r="52" customFormat="false" ht="15" hidden="false" customHeight="false" outlineLevel="0" collapsed="false">
      <c r="J52" s="17" t="n">
        <v>20</v>
      </c>
      <c r="K52" s="17" t="n">
        <f aca="false">SUMPRODUCT((J52-$B$6*{0,1,2,3,4,5,6})*((J52-$B$6*{0,1,2,3,4,5,6})&gt;0))</f>
        <v>30</v>
      </c>
    </row>
    <row r="53" customFormat="false" ht="15" hidden="false" customHeight="false" outlineLevel="0" collapsed="false">
      <c r="J53" s="17" t="n">
        <v>20.5</v>
      </c>
      <c r="K53" s="17" t="n">
        <f aca="false">SUMPRODUCT((J53-$B$6*{0,1,2,3,4,5,6})*((J53-$B$6*{0,1,2,3,4,5,6})&gt;0))</f>
        <v>31.5</v>
      </c>
    </row>
    <row r="54" customFormat="false" ht="15" hidden="false" customHeight="false" outlineLevel="0" collapsed="false">
      <c r="J54" s="17" t="n">
        <v>21</v>
      </c>
      <c r="K54" s="17" t="n">
        <f aca="false">SUMPRODUCT((J54-$B$6*{0,1,2,3,4,5,6})*((J54-$B$6*{0,1,2,3,4,5,6})&gt;0))</f>
        <v>33</v>
      </c>
    </row>
    <row r="55" customFormat="false" ht="15" hidden="false" customHeight="false" outlineLevel="0" collapsed="false">
      <c r="J55" s="17" t="n">
        <v>21.5</v>
      </c>
      <c r="K55" s="17" t="n">
        <f aca="false">SUMPRODUCT((J55-$B$6*{0,1,2,3,4,5,6})*((J55-$B$6*{0,1,2,3,4,5,6})&gt;0))</f>
        <v>34.5</v>
      </c>
    </row>
    <row r="56" customFormat="false" ht="15" hidden="false" customHeight="false" outlineLevel="0" collapsed="false">
      <c r="J56" s="17" t="n">
        <v>22</v>
      </c>
      <c r="K56" s="17" t="n">
        <f aca="false">SUMPRODUCT((J56-$B$6*{0,1,2,3,4,5,6})*((J56-$B$6*{0,1,2,3,4,5,6})&gt;0))</f>
        <v>36</v>
      </c>
    </row>
    <row r="57" customFormat="false" ht="15" hidden="false" customHeight="false" outlineLevel="0" collapsed="false">
      <c r="J57" s="17" t="n">
        <v>22.5</v>
      </c>
      <c r="K57" s="17" t="n">
        <f aca="false">SUMPRODUCT((J57-$B$6*{0,1,2,3,4,5,6})*((J57-$B$6*{0,1,2,3,4,5,6})&gt;0))</f>
        <v>37.5</v>
      </c>
    </row>
    <row r="58" customFormat="false" ht="15" hidden="false" customHeight="false" outlineLevel="0" collapsed="false">
      <c r="J58" s="17" t="n">
        <v>23</v>
      </c>
      <c r="K58" s="17" t="n">
        <f aca="false">SUMPRODUCT((J58-$B$6*{0,1,2,3,4,5,6})*((J58-$B$6*{0,1,2,3,4,5,6})&gt;0))</f>
        <v>39</v>
      </c>
    </row>
    <row r="59" customFormat="false" ht="15" hidden="false" customHeight="false" outlineLevel="0" collapsed="false">
      <c r="J59" s="17" t="n">
        <v>23.5</v>
      </c>
      <c r="K59" s="17" t="n">
        <f aca="false">SUMPRODUCT((J59-$B$6*{0,1,2,3,4,5,6})*((J59-$B$6*{0,1,2,3,4,5,6})&gt;0))</f>
        <v>40.5</v>
      </c>
    </row>
    <row r="60" customFormat="false" ht="15" hidden="false" customHeight="false" outlineLevel="0" collapsed="false">
      <c r="J60" s="17" t="n">
        <v>24</v>
      </c>
      <c r="K60" s="17" t="n">
        <f aca="false">SUMPRODUCT((J60-$B$6*{0,1,2,3,4,5,6})*((J60-$B$6*{0,1,2,3,4,5,6})&gt;0))</f>
        <v>42</v>
      </c>
    </row>
    <row r="61" customFormat="false" ht="15" hidden="false" customHeight="false" outlineLevel="0" collapsed="false">
      <c r="J61" s="17" t="n">
        <v>24.5</v>
      </c>
      <c r="K61" s="17" t="n">
        <f aca="false">SUMPRODUCT((J61-$B$6*{0,1,2,3,4,5,6})*((J61-$B$6*{0,1,2,3,4,5,6})&gt;0))</f>
        <v>43.5</v>
      </c>
    </row>
    <row r="62" customFormat="false" ht="15" hidden="false" customHeight="false" outlineLevel="0" collapsed="false">
      <c r="J62" s="17" t="n">
        <v>25</v>
      </c>
      <c r="K62" s="17" t="n">
        <f aca="false">SUMPRODUCT((J62-$B$6*{0,1,2,3,4,5,6})*((J62-$B$6*{0,1,2,3,4,5,6})&gt;0))</f>
        <v>45</v>
      </c>
    </row>
    <row r="63" customFormat="false" ht="15" hidden="false" customHeight="false" outlineLevel="0" collapsed="false">
      <c r="J63" s="17" t="n">
        <v>25.5</v>
      </c>
      <c r="K63" s="17" t="n">
        <f aca="false">SUMPRODUCT((J63-$B$6*{0,1,2,3,4,5,6})*((J63-$B$6*{0,1,2,3,4,5,6})&gt;0))</f>
        <v>46.5</v>
      </c>
    </row>
    <row r="64" customFormat="false" ht="15" hidden="false" customHeight="false" outlineLevel="0" collapsed="false">
      <c r="J64" s="17" t="n">
        <v>26</v>
      </c>
      <c r="K64" s="17" t="n">
        <f aca="false">SUMPRODUCT((J64-$B$6*{0,1,2,3,4,5,6})*((J64-$B$6*{0,1,2,3,4,5,6})&gt;0))</f>
        <v>48</v>
      </c>
    </row>
    <row r="65" customFormat="false" ht="15" hidden="false" customHeight="false" outlineLevel="0" collapsed="false">
      <c r="J65" s="17" t="n">
        <v>26.5</v>
      </c>
      <c r="K65" s="17" t="n">
        <f aca="false">SUMPRODUCT((J65-$B$6*{0,1,2,3,4,5,6})*((J65-$B$6*{0,1,2,3,4,5,6})&gt;0))</f>
        <v>49.5</v>
      </c>
    </row>
    <row r="66" customFormat="false" ht="15" hidden="false" customHeight="false" outlineLevel="0" collapsed="false">
      <c r="J66" s="17" t="n">
        <v>27</v>
      </c>
      <c r="K66" s="17" t="n">
        <f aca="false">SUMPRODUCT((J66-$B$6*{0,1,2,3,4,5,6})*((J66-$B$6*{0,1,2,3,4,5,6})&gt;0))</f>
        <v>51</v>
      </c>
    </row>
    <row r="67" customFormat="false" ht="15" hidden="false" customHeight="false" outlineLevel="0" collapsed="false">
      <c r="J67" s="17" t="n">
        <v>27.5</v>
      </c>
      <c r="K67" s="17" t="n">
        <f aca="false">SUMPRODUCT((J67-$B$6*{0,1,2,3,4,5,6})*((J67-$B$6*{0,1,2,3,4,5,6})&gt;0))</f>
        <v>52.5</v>
      </c>
    </row>
    <row r="68" customFormat="false" ht="15" hidden="false" customHeight="false" outlineLevel="0" collapsed="false">
      <c r="J68" s="17" t="n">
        <v>28</v>
      </c>
      <c r="K68" s="17" t="n">
        <f aca="false">SUMPRODUCT((J68-$B$6*{0,1,2,3,4,5,6})*((J68-$B$6*{0,1,2,3,4,5,6})&gt;0))</f>
        <v>54</v>
      </c>
    </row>
    <row r="69" customFormat="false" ht="15" hidden="false" customHeight="false" outlineLevel="0" collapsed="false">
      <c r="J69" s="17" t="n">
        <v>28.5</v>
      </c>
      <c r="K69" s="17" t="n">
        <f aca="false">SUMPRODUCT((J69-$B$6*{0,1,2,3,4,5,6})*((J69-$B$6*{0,1,2,3,4,5,6})&gt;0))</f>
        <v>55.5</v>
      </c>
    </row>
    <row r="70" customFormat="false" ht="15" hidden="false" customHeight="false" outlineLevel="0" collapsed="false">
      <c r="J70" s="17" t="n">
        <v>29</v>
      </c>
      <c r="K70" s="17" t="n">
        <f aca="false">SUMPRODUCT((J70-$B$6*{0,1,2,3,4,5,6})*((J70-$B$6*{0,1,2,3,4,5,6})&gt;0))</f>
        <v>57</v>
      </c>
    </row>
    <row r="71" customFormat="false" ht="15" hidden="false" customHeight="false" outlineLevel="0" collapsed="false">
      <c r="J71" s="17" t="n">
        <v>29.5</v>
      </c>
      <c r="K71" s="17" t="n">
        <f aca="false">SUMPRODUCT((J71-$B$6*{0,1,2,3,4,5,6})*((J71-$B$6*{0,1,2,3,4,5,6})&gt;0))</f>
        <v>58.5</v>
      </c>
    </row>
    <row r="72" customFormat="false" ht="15" hidden="false" customHeight="false" outlineLevel="0" collapsed="false">
      <c r="J72" s="17" t="n">
        <v>30</v>
      </c>
      <c r="K72" s="17" t="n">
        <f aca="false">SUMPRODUCT((J72-$B$6*{0,1,2,3,4,5,6})*((J72-$B$6*{0,1,2,3,4,5,6})&gt;0))</f>
        <v>60</v>
      </c>
    </row>
    <row r="73" customFormat="false" ht="15" hidden="false" customHeight="false" outlineLevel="0" collapsed="false">
      <c r="J73" s="17" t="n">
        <v>30.5</v>
      </c>
      <c r="K73" s="17" t="n">
        <f aca="false">SUMPRODUCT((J73-$B$6*{0,1,2,3,4,5,6})*((J73-$B$6*{0,1,2,3,4,5,6})&gt;0))</f>
        <v>62</v>
      </c>
    </row>
    <row r="74" customFormat="false" ht="15" hidden="false" customHeight="false" outlineLevel="0" collapsed="false">
      <c r="J74" s="17" t="n">
        <v>31</v>
      </c>
      <c r="K74" s="17" t="n">
        <f aca="false">SUMPRODUCT((J74-$B$6*{0,1,2,3,4,5,6})*((J74-$B$6*{0,1,2,3,4,5,6})&gt;0))</f>
        <v>64</v>
      </c>
    </row>
    <row r="75" customFormat="false" ht="15" hidden="false" customHeight="false" outlineLevel="0" collapsed="false">
      <c r="J75" s="17" t="n">
        <v>31.5</v>
      </c>
      <c r="K75" s="17" t="n">
        <f aca="false">SUMPRODUCT((J75-$B$6*{0,1,2,3,4,5,6})*((J75-$B$6*{0,1,2,3,4,5,6})&gt;0))</f>
        <v>66</v>
      </c>
    </row>
    <row r="76" customFormat="false" ht="15" hidden="false" customHeight="false" outlineLevel="0" collapsed="false">
      <c r="J76" s="17" t="n">
        <v>32</v>
      </c>
      <c r="K76" s="17" t="n">
        <f aca="false">SUMPRODUCT((J76-$B$6*{0,1,2,3,4,5,6})*((J76-$B$6*{0,1,2,3,4,5,6})&gt;0))</f>
        <v>68</v>
      </c>
    </row>
    <row r="77" customFormat="false" ht="15" hidden="false" customHeight="false" outlineLevel="0" collapsed="false">
      <c r="J77" s="17" t="n">
        <v>32.5</v>
      </c>
      <c r="K77" s="17" t="n">
        <f aca="false">SUMPRODUCT((J77-$B$6*{0,1,2,3,4,5,6})*((J77-$B$6*{0,1,2,3,4,5,6})&gt;0))</f>
        <v>70</v>
      </c>
    </row>
    <row r="78" customFormat="false" ht="15" hidden="false" customHeight="false" outlineLevel="0" collapsed="false">
      <c r="J78" s="17" t="n">
        <v>33</v>
      </c>
      <c r="K78" s="17" t="n">
        <f aca="false">SUMPRODUCT((J78-$B$6*{0,1,2,3,4,5,6})*((J78-$B$6*{0,1,2,3,4,5,6})&gt;0))</f>
        <v>72</v>
      </c>
    </row>
    <row r="79" customFormat="false" ht="15" hidden="false" customHeight="false" outlineLevel="0" collapsed="false">
      <c r="J79" s="17" t="n">
        <v>33.5</v>
      </c>
      <c r="K79" s="17" t="n">
        <f aca="false">SUMPRODUCT((J79-$B$6*{0,1,2,3,4,5,6})*((J79-$B$6*{0,1,2,3,4,5,6})&gt;0))</f>
        <v>74</v>
      </c>
    </row>
    <row r="80" customFormat="false" ht="15" hidden="false" customHeight="false" outlineLevel="0" collapsed="false">
      <c r="J80" s="17" t="n">
        <v>34</v>
      </c>
      <c r="K80" s="17" t="n">
        <f aca="false">SUMPRODUCT((J80-$B$6*{0,1,2,3,4,5,6})*((J80-$B$6*{0,1,2,3,4,5,6})&gt;0))</f>
        <v>76</v>
      </c>
    </row>
    <row r="81" customFormat="false" ht="15" hidden="false" customHeight="false" outlineLevel="0" collapsed="false">
      <c r="J81" s="17" t="n">
        <v>34.5</v>
      </c>
      <c r="K81" s="17" t="n">
        <f aca="false">SUMPRODUCT((J81-$B$6*{0,1,2,3,4,5,6})*((J81-$B$6*{0,1,2,3,4,5,6})&gt;0))</f>
        <v>78</v>
      </c>
    </row>
    <row r="82" customFormat="false" ht="15" hidden="false" customHeight="false" outlineLevel="0" collapsed="false">
      <c r="J82" s="17" t="n">
        <v>35</v>
      </c>
      <c r="K82" s="17" t="n">
        <f aca="false">SUMPRODUCT((J82-$B$6*{0,1,2,3,4,5,6})*((J82-$B$6*{0,1,2,3,4,5,6})&gt;0))</f>
        <v>80</v>
      </c>
    </row>
    <row r="83" customFormat="false" ht="15" hidden="false" customHeight="false" outlineLevel="0" collapsed="false">
      <c r="J83" s="17" t="n">
        <v>35.5</v>
      </c>
      <c r="K83" s="17" t="n">
        <f aca="false">SUMPRODUCT((J83-$B$6*{0,1,2,3,4,5,6})*((J83-$B$6*{0,1,2,3,4,5,6})&gt;0))</f>
        <v>82</v>
      </c>
    </row>
    <row r="84" customFormat="false" ht="15" hidden="false" customHeight="false" outlineLevel="0" collapsed="false">
      <c r="J84" s="17" t="n">
        <v>36</v>
      </c>
      <c r="K84" s="17" t="n">
        <f aca="false">SUMPRODUCT((J84-$B$6*{0,1,2,3,4,5,6})*((J84-$B$6*{0,1,2,3,4,5,6})&gt;0))</f>
        <v>84</v>
      </c>
    </row>
    <row r="85" customFormat="false" ht="15" hidden="false" customHeight="false" outlineLevel="0" collapsed="false">
      <c r="J85" s="17" t="n">
        <v>36.5</v>
      </c>
      <c r="K85" s="17" t="n">
        <f aca="false">SUMPRODUCT((J85-$B$6*{0,1,2,3,4,5,6})*((J85-$B$6*{0,1,2,3,4,5,6})&gt;0))</f>
        <v>86</v>
      </c>
    </row>
    <row r="86" customFormat="false" ht="15" hidden="false" customHeight="false" outlineLevel="0" collapsed="false">
      <c r="J86" s="17" t="n">
        <v>37</v>
      </c>
      <c r="K86" s="17" t="n">
        <f aca="false">SUMPRODUCT((J86-$B$6*{0,1,2,3,4,5,6})*((J86-$B$6*{0,1,2,3,4,5,6})&gt;0))</f>
        <v>88</v>
      </c>
    </row>
    <row r="87" customFormat="false" ht="15" hidden="false" customHeight="false" outlineLevel="0" collapsed="false">
      <c r="J87" s="17" t="n">
        <v>37.5</v>
      </c>
      <c r="K87" s="17" t="n">
        <f aca="false">SUMPRODUCT((J87-$B$6*{0,1,2,3,4,5,6})*((J87-$B$6*{0,1,2,3,4,5,6})&gt;0))</f>
        <v>90</v>
      </c>
    </row>
    <row r="88" customFormat="false" ht="15" hidden="false" customHeight="false" outlineLevel="0" collapsed="false">
      <c r="J88" s="17" t="n">
        <v>38</v>
      </c>
      <c r="K88" s="17" t="n">
        <f aca="false">SUMPRODUCT((J88-$B$6*{0,1,2,3,4,5,6})*((J88-$B$6*{0,1,2,3,4,5,6})&gt;0))</f>
        <v>92</v>
      </c>
    </row>
    <row r="89" customFormat="false" ht="15" hidden="false" customHeight="false" outlineLevel="0" collapsed="false">
      <c r="J89" s="17" t="n">
        <v>38.5</v>
      </c>
      <c r="K89" s="17" t="n">
        <f aca="false">SUMPRODUCT((J89-$B$6*{0,1,2,3,4,5,6})*((J89-$B$6*{0,1,2,3,4,5,6})&gt;0))</f>
        <v>94</v>
      </c>
    </row>
    <row r="90" customFormat="false" ht="15" hidden="false" customHeight="false" outlineLevel="0" collapsed="false">
      <c r="J90" s="17" t="n">
        <v>39</v>
      </c>
      <c r="K90" s="17" t="n">
        <f aca="false">SUMPRODUCT((J90-$B$6*{0,1,2,3,4,5,6})*((J90-$B$6*{0,1,2,3,4,5,6})&gt;0))</f>
        <v>96</v>
      </c>
    </row>
    <row r="91" customFormat="false" ht="15" hidden="false" customHeight="false" outlineLevel="0" collapsed="false">
      <c r="J91" s="17" t="n">
        <v>39.5</v>
      </c>
      <c r="K91" s="17" t="n">
        <f aca="false">SUMPRODUCT((J91-$B$6*{0,1,2,3,4,5,6})*((J91-$B$6*{0,1,2,3,4,5,6})&gt;0))</f>
        <v>98</v>
      </c>
    </row>
    <row r="92" customFormat="false" ht="15" hidden="false" customHeight="false" outlineLevel="0" collapsed="false">
      <c r="J92" s="17" t="n">
        <v>40</v>
      </c>
      <c r="K92" s="17" t="n">
        <f aca="false">SUMPRODUCT((J92-$B$6*{0,1,2,3,4,5,6})*((J92-$B$6*{0,1,2,3,4,5,6})&gt;0))</f>
        <v>100</v>
      </c>
    </row>
    <row r="93" customFormat="false" ht="15" hidden="false" customHeight="false" outlineLevel="0" collapsed="false">
      <c r="J93" s="17" t="n">
        <v>40.5</v>
      </c>
      <c r="K93" s="17" t="n">
        <f aca="false">SUMPRODUCT((J93-$B$6*{0,1,2,3,4,5,6})*((J93-$B$6*{0,1,2,3,4,5,6})&gt;0))</f>
        <v>102.5</v>
      </c>
    </row>
    <row r="94" customFormat="false" ht="15" hidden="false" customHeight="false" outlineLevel="0" collapsed="false">
      <c r="J94" s="17" t="n">
        <v>41</v>
      </c>
      <c r="K94" s="17" t="n">
        <f aca="false">SUMPRODUCT((J94-$B$6*{0,1,2,3,4,5,6})*((J94-$B$6*{0,1,2,3,4,5,6})&gt;0))</f>
        <v>105</v>
      </c>
    </row>
    <row r="95" customFormat="false" ht="15" hidden="false" customHeight="false" outlineLevel="0" collapsed="false">
      <c r="J95" s="17" t="n">
        <v>41.5</v>
      </c>
      <c r="K95" s="17" t="n">
        <f aca="false">SUMPRODUCT((J95-$B$6*{0,1,2,3,4,5,6})*((J95-$B$6*{0,1,2,3,4,5,6})&gt;0))</f>
        <v>107.5</v>
      </c>
    </row>
    <row r="96" customFormat="false" ht="15" hidden="false" customHeight="false" outlineLevel="0" collapsed="false">
      <c r="J96" s="17" t="n">
        <v>42</v>
      </c>
      <c r="K96" s="17" t="n">
        <f aca="false">SUMPRODUCT((J96-$B$6*{0,1,2,3,4,5,6})*((J96-$B$6*{0,1,2,3,4,5,6})&gt;0))</f>
        <v>110</v>
      </c>
    </row>
    <row r="97" customFormat="false" ht="15" hidden="false" customHeight="false" outlineLevel="0" collapsed="false">
      <c r="J97" s="17" t="n">
        <v>42.5</v>
      </c>
      <c r="K97" s="17" t="n">
        <f aca="false">SUMPRODUCT((J97-$B$6*{0,1,2,3,4,5,6})*((J97-$B$6*{0,1,2,3,4,5,6})&gt;0))</f>
        <v>112.5</v>
      </c>
    </row>
    <row r="98" customFormat="false" ht="15" hidden="false" customHeight="false" outlineLevel="0" collapsed="false">
      <c r="J98" s="17" t="n">
        <v>43</v>
      </c>
      <c r="K98" s="17" t="n">
        <f aca="false">SUMPRODUCT((J98-$B$6*{0,1,2,3,4,5,6})*((J98-$B$6*{0,1,2,3,4,5,6})&gt;0))</f>
        <v>115</v>
      </c>
    </row>
    <row r="99" customFormat="false" ht="15" hidden="false" customHeight="false" outlineLevel="0" collapsed="false">
      <c r="J99" s="17" t="n">
        <v>43.5</v>
      </c>
      <c r="K99" s="17" t="n">
        <f aca="false">SUMPRODUCT((J99-$B$6*{0,1,2,3,4,5,6})*((J99-$B$6*{0,1,2,3,4,5,6})&gt;0))</f>
        <v>117.5</v>
      </c>
    </row>
    <row r="100" customFormat="false" ht="15" hidden="false" customHeight="false" outlineLevel="0" collapsed="false">
      <c r="J100" s="17" t="n">
        <v>44</v>
      </c>
      <c r="K100" s="17" t="n">
        <f aca="false">SUMPRODUCT((J100-$B$6*{0,1,2,3,4,5,6})*((J100-$B$6*{0,1,2,3,4,5,6})&gt;0))</f>
        <v>120</v>
      </c>
    </row>
    <row r="101" customFormat="false" ht="15" hidden="false" customHeight="false" outlineLevel="0" collapsed="false">
      <c r="J101" s="17" t="n">
        <v>44.5</v>
      </c>
      <c r="K101" s="17" t="n">
        <f aca="false">SUMPRODUCT((J101-$B$6*{0,1,2,3,4,5,6})*((J101-$B$6*{0,1,2,3,4,5,6})&gt;0))</f>
        <v>122.5</v>
      </c>
    </row>
    <row r="102" customFormat="false" ht="15" hidden="false" customHeight="false" outlineLevel="0" collapsed="false">
      <c r="J102" s="17" t="n">
        <v>45</v>
      </c>
      <c r="K102" s="17" t="n">
        <f aca="false">SUMPRODUCT((J102-$B$6*{0,1,2,3,4,5,6})*((J102-$B$6*{0,1,2,3,4,5,6})&gt;0))</f>
        <v>125</v>
      </c>
    </row>
    <row r="103" customFormat="false" ht="15" hidden="false" customHeight="false" outlineLevel="0" collapsed="false">
      <c r="J103" s="17" t="n">
        <v>45.5</v>
      </c>
      <c r="K103" s="17" t="n">
        <f aca="false">SUMPRODUCT((J103-$B$6*{0,1,2,3,4,5,6})*((J103-$B$6*{0,1,2,3,4,5,6})&gt;0))</f>
        <v>127.5</v>
      </c>
    </row>
    <row r="104" customFormat="false" ht="15" hidden="false" customHeight="false" outlineLevel="0" collapsed="false">
      <c r="J104" s="17" t="n">
        <v>46</v>
      </c>
      <c r="K104" s="17" t="n">
        <f aca="false">SUMPRODUCT((J104-$B$6*{0,1,2,3,4,5,6})*((J104-$B$6*{0,1,2,3,4,5,6})&gt;0))</f>
        <v>130</v>
      </c>
    </row>
    <row r="105" customFormat="false" ht="15" hidden="false" customHeight="false" outlineLevel="0" collapsed="false">
      <c r="J105" s="17" t="n">
        <v>46.5</v>
      </c>
      <c r="K105" s="17" t="n">
        <f aca="false">SUMPRODUCT((J105-$B$6*{0,1,2,3,4,5,6})*((J105-$B$6*{0,1,2,3,4,5,6})&gt;0))</f>
        <v>132.5</v>
      </c>
    </row>
    <row r="106" customFormat="false" ht="15" hidden="false" customHeight="false" outlineLevel="0" collapsed="false">
      <c r="J106" s="17" t="n">
        <v>47</v>
      </c>
      <c r="K106" s="17" t="n">
        <f aca="false">SUMPRODUCT((J106-$B$6*{0,1,2,3,4,5,6})*((J106-$B$6*{0,1,2,3,4,5,6})&gt;0))</f>
        <v>135</v>
      </c>
    </row>
    <row r="107" customFormat="false" ht="15" hidden="false" customHeight="false" outlineLevel="0" collapsed="false">
      <c r="J107" s="17" t="n">
        <v>47.5</v>
      </c>
      <c r="K107" s="17" t="n">
        <f aca="false">SUMPRODUCT((J107-$B$6*{0,1,2,3,4,5,6})*((J107-$B$6*{0,1,2,3,4,5,6})&gt;0))</f>
        <v>137.5</v>
      </c>
    </row>
    <row r="108" customFormat="false" ht="15" hidden="false" customHeight="false" outlineLevel="0" collapsed="false">
      <c r="J108" s="17" t="n">
        <v>48</v>
      </c>
      <c r="K108" s="17" t="n">
        <f aca="false">SUMPRODUCT((J108-$B$6*{0,1,2,3,4,5,6})*((J108-$B$6*{0,1,2,3,4,5,6})&gt;0))</f>
        <v>140</v>
      </c>
    </row>
    <row r="109" customFormat="false" ht="15" hidden="false" customHeight="false" outlineLevel="0" collapsed="false">
      <c r="J109" s="17" t="n">
        <v>48.5</v>
      </c>
      <c r="K109" s="17" t="n">
        <f aca="false">SUMPRODUCT((J109-$B$6*{0,1,2,3,4,5,6})*((J109-$B$6*{0,1,2,3,4,5,6})&gt;0))</f>
        <v>142.5</v>
      </c>
    </row>
    <row r="110" customFormat="false" ht="15" hidden="false" customHeight="false" outlineLevel="0" collapsed="false">
      <c r="J110" s="17" t="n">
        <v>49</v>
      </c>
      <c r="K110" s="17" t="n">
        <f aca="false">SUMPRODUCT((J110-$B$6*{0,1,2,3,4,5,6})*((J110-$B$6*{0,1,2,3,4,5,6})&gt;0))</f>
        <v>145</v>
      </c>
    </row>
    <row r="111" customFormat="false" ht="15" hidden="false" customHeight="false" outlineLevel="0" collapsed="false">
      <c r="J111" s="17" t="n">
        <v>49.5</v>
      </c>
      <c r="K111" s="17" t="n">
        <f aca="false">SUMPRODUCT((J111-$B$6*{0,1,2,3,4,5,6})*((J111-$B$6*{0,1,2,3,4,5,6})&gt;0))</f>
        <v>147.5</v>
      </c>
    </row>
    <row r="112" customFormat="false" ht="15" hidden="false" customHeight="false" outlineLevel="0" collapsed="false">
      <c r="J112" s="17" t="n">
        <v>50</v>
      </c>
      <c r="K112" s="17" t="n">
        <f aca="false">SUMPRODUCT((J112-$B$6*{0,1,2,3,4,5,6})*((J112-$B$6*{0,1,2,3,4,5,6})&gt;0))</f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2"/>
    <col collapsed="false" customWidth="true" hidden="false" outlineLevel="0" max="4" min="3" style="0" width="18"/>
    <col collapsed="false" customWidth="true" hidden="false" outlineLevel="0" max="5" min="5" style="0" width="20"/>
  </cols>
  <sheetData>
    <row r="1" customFormat="false" ht="15" hidden="false" customHeight="false" outlineLevel="0" collapsed="false">
      <c r="A1" s="1" t="s">
        <v>584</v>
      </c>
    </row>
    <row r="2" customFormat="false" ht="15" hidden="false" customHeight="false" outlineLevel="0" collapsed="false">
      <c r="A2" s="10" t="s">
        <v>585</v>
      </c>
    </row>
    <row r="4" customFormat="false" ht="15" hidden="false" customHeight="false" outlineLevel="0" collapsed="false">
      <c r="A4" s="2" t="s">
        <v>586</v>
      </c>
      <c r="B4" s="21" t="n">
        <f aca="false">2^(-1/4)</f>
        <v>0.840896415253715</v>
      </c>
    </row>
    <row r="5" customFormat="false" ht="15" hidden="false" customHeight="false" outlineLevel="0" collapsed="false">
      <c r="A5" s="2" t="s">
        <v>587</v>
      </c>
      <c r="B5" s="13" t="n">
        <v>0.4</v>
      </c>
    </row>
    <row r="6" customFormat="false" ht="15" hidden="false" customHeight="false" outlineLevel="0" collapsed="false">
      <c r="A6" s="2" t="s">
        <v>588</v>
      </c>
      <c r="B6" s="13" t="n">
        <v>0.4</v>
      </c>
    </row>
    <row r="7" customFormat="false" ht="15" hidden="false" customHeight="false" outlineLevel="0" collapsed="false">
      <c r="A7" s="2" t="s">
        <v>589</v>
      </c>
      <c r="B7" s="21" t="n">
        <f aca="false">(B4^2-2*(B5^2+B6^2))/B4</f>
        <v>0.0798038616519728</v>
      </c>
    </row>
    <row r="8" customFormat="false" ht="15" hidden="false" customHeight="false" outlineLevel="0" collapsed="false">
      <c r="A8" s="2" t="s">
        <v>590</v>
      </c>
      <c r="B8" s="20" t="n">
        <f aca="false">-4*B5/B4</f>
        <v>-1.90273138400435</v>
      </c>
    </row>
    <row r="9" customFormat="false" ht="15" hidden="false" customHeight="false" outlineLevel="0" collapsed="false">
      <c r="A9" s="2" t="s">
        <v>591</v>
      </c>
      <c r="B9" s="20" t="n">
        <f aca="false">-0.01*B8</f>
        <v>0.0190273138400435</v>
      </c>
    </row>
    <row r="11" customFormat="false" ht="15" hidden="false" customHeight="false" outlineLevel="0" collapsed="false">
      <c r="A11" s="2" t="s">
        <v>592</v>
      </c>
      <c r="B11" s="21" t="n">
        <f aca="false">SQRT((B4^2-0.4*B4)/4)</f>
        <v>0.304445485713396</v>
      </c>
    </row>
    <row r="12" customFormat="false" ht="15" hidden="false" customHeight="false" outlineLevel="0" collapsed="false">
      <c r="A12" s="2" t="s">
        <v>593</v>
      </c>
      <c r="B12" s="20" t="n">
        <f aca="false">4*B11/B4</f>
        <v>1.44819495096332</v>
      </c>
    </row>
    <row r="13" customFormat="false" ht="15" hidden="false" customHeight="false" outlineLevel="0" collapsed="false">
      <c r="A13" s="2" t="s">
        <v>594</v>
      </c>
      <c r="B13" s="20" t="n">
        <f aca="false">1/B4</f>
        <v>1.18920711500272</v>
      </c>
    </row>
    <row r="14" customFormat="false" ht="15" hidden="false" customHeight="false" outlineLevel="0" collapsed="false">
      <c r="A14" s="2" t="s">
        <v>595</v>
      </c>
      <c r="B14" s="21" t="n">
        <f aca="false">B12/(4*B13)</f>
        <v>0.304445485713396</v>
      </c>
    </row>
    <row r="15" customFormat="false" ht="15" hidden="false" customHeight="false" outlineLevel="0" collapsed="false">
      <c r="A15" s="2" t="s">
        <v>596</v>
      </c>
      <c r="B15" s="21" t="n">
        <f aca="false">(B4^2-4*B14^2)/B4</f>
        <v>0.4</v>
      </c>
    </row>
    <row r="17" customFormat="false" ht="23.85" hidden="false" customHeight="false" outlineLevel="0" collapsed="false">
      <c r="A17" s="8" t="s">
        <v>597</v>
      </c>
      <c r="B17" s="8" t="s">
        <v>598</v>
      </c>
      <c r="C17" s="8" t="s">
        <v>599</v>
      </c>
      <c r="D17" s="8" t="s">
        <v>600</v>
      </c>
      <c r="E17" s="8" t="s">
        <v>601</v>
      </c>
    </row>
    <row r="18" customFormat="false" ht="15" hidden="false" customHeight="false" outlineLevel="0" collapsed="false">
      <c r="A18" s="2" t="s">
        <v>602</v>
      </c>
      <c r="B18" s="13" t="n">
        <v>0.5</v>
      </c>
      <c r="C18" s="17" t="n">
        <f aca="false">1/(1-B18)</f>
        <v>2</v>
      </c>
      <c r="D18" s="17" t="n">
        <f aca="false">B18/(1-B18)</f>
        <v>1</v>
      </c>
      <c r="E18" s="15" t="n">
        <f aca="false">(1-B18)/(1-1.01*B18)-1</f>
        <v>0.0101010101010102</v>
      </c>
    </row>
    <row r="19" customFormat="false" ht="15" hidden="false" customHeight="false" outlineLevel="0" collapsed="false">
      <c r="A19" s="2" t="s">
        <v>602</v>
      </c>
      <c r="B19" s="13" t="n">
        <v>0.8</v>
      </c>
      <c r="C19" s="17" t="n">
        <f aca="false">1/(1-B19)</f>
        <v>5</v>
      </c>
      <c r="D19" s="17" t="n">
        <f aca="false">B19/(1-B19)</f>
        <v>4</v>
      </c>
      <c r="E19" s="15" t="n">
        <f aca="false">(1-B19)/(1-1.01*B19)-1</f>
        <v>0.0416666666666667</v>
      </c>
    </row>
    <row r="20" customFormat="false" ht="15" hidden="false" customHeight="false" outlineLevel="0" collapsed="false">
      <c r="A20" s="2" t="s">
        <v>602</v>
      </c>
      <c r="B20" s="13" t="n">
        <v>0.95</v>
      </c>
      <c r="C20" s="17" t="n">
        <f aca="false">1/(1-B20)</f>
        <v>20</v>
      </c>
      <c r="D20" s="17" t="n">
        <f aca="false">B20/(1-B20)</f>
        <v>19</v>
      </c>
      <c r="E20" s="15" t="n">
        <f aca="false">(1-B20)/(1-1.01*B20)-1</f>
        <v>0.234567901234566</v>
      </c>
    </row>
    <row r="22" customFormat="false" ht="15" hidden="false" customHeight="false" outlineLevel="0" collapsed="false">
      <c r="A22" s="10" t="s">
        <v>603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90"/>
  </cols>
  <sheetData>
    <row r="1" customFormat="false" ht="15" hidden="false" customHeight="false" outlineLevel="0" collapsed="false">
      <c r="A1" s="8" t="s">
        <v>604</v>
      </c>
      <c r="B1" s="8" t="s">
        <v>605</v>
      </c>
      <c r="C1" s="8" t="s">
        <v>606</v>
      </c>
    </row>
    <row r="2" customFormat="false" ht="15" hidden="false" customHeight="false" outlineLevel="0" collapsed="false">
      <c r="A2" s="2" t="s">
        <v>117</v>
      </c>
      <c r="B2" s="35" t="n">
        <v>138.049617642214</v>
      </c>
      <c r="C2" s="2" t="s">
        <v>607</v>
      </c>
    </row>
    <row r="3" customFormat="false" ht="15" hidden="false" customHeight="false" outlineLevel="0" collapsed="false">
      <c r="A3" s="2" t="s">
        <v>608</v>
      </c>
      <c r="B3" s="35" t="n">
        <v>89.0260828608509</v>
      </c>
      <c r="C3" s="2" t="s">
        <v>120</v>
      </c>
    </row>
    <row r="4" customFormat="false" ht="15" hidden="false" customHeight="false" outlineLevel="0" collapsed="false">
      <c r="A4" s="2" t="s">
        <v>127</v>
      </c>
      <c r="B4" s="35" t="n">
        <v>459.854053397919</v>
      </c>
      <c r="C4" s="2" t="s">
        <v>609</v>
      </c>
    </row>
    <row r="5" customFormat="false" ht="15" hidden="false" customHeight="false" outlineLevel="0" collapsed="false">
      <c r="A5" s="2" t="s">
        <v>610</v>
      </c>
      <c r="B5" s="35" t="n">
        <v>186.866976370664</v>
      </c>
      <c r="C5" s="2" t="s">
        <v>131</v>
      </c>
    </row>
    <row r="6" customFormat="false" ht="15" hidden="false" customHeight="false" outlineLevel="0" collapsed="false">
      <c r="A6" s="2" t="s">
        <v>611</v>
      </c>
      <c r="B6" s="35" t="n">
        <v>54.9165940128787</v>
      </c>
      <c r="C6" s="2" t="s">
        <v>612</v>
      </c>
    </row>
    <row r="7" customFormat="false" ht="15" hidden="false" customHeight="false" outlineLevel="0" collapsed="false">
      <c r="A7" s="2" t="s">
        <v>134</v>
      </c>
      <c r="B7" s="35" t="n">
        <v>1.64749782038636</v>
      </c>
      <c r="C7" s="2" t="s">
        <v>613</v>
      </c>
    </row>
    <row r="8" customFormat="false" ht="15" hidden="false" customHeight="false" outlineLevel="0" collapsed="false">
      <c r="A8" s="2" t="s">
        <v>614</v>
      </c>
      <c r="B8" s="35" t="n">
        <v>170</v>
      </c>
      <c r="C8" s="2" t="s">
        <v>615</v>
      </c>
    </row>
    <row r="9" customFormat="false" ht="15" hidden="false" customHeight="false" outlineLevel="0" collapsed="false">
      <c r="A9" s="2" t="s">
        <v>616</v>
      </c>
      <c r="B9" s="35" t="n">
        <v>0.667576361426626</v>
      </c>
      <c r="C9" s="2" t="s">
        <v>617</v>
      </c>
    </row>
    <row r="10" customFormat="false" ht="15" hidden="false" customHeight="false" outlineLevel="0" collapsed="false">
      <c r="A10" s="2" t="s">
        <v>618</v>
      </c>
      <c r="B10" s="35" t="n">
        <v>25.3296945542935</v>
      </c>
      <c r="C10" s="2" t="s">
        <v>213</v>
      </c>
    </row>
    <row r="11" customFormat="false" ht="15" hidden="false" customHeight="false" outlineLevel="0" collapsed="false">
      <c r="A11" s="2" t="s">
        <v>619</v>
      </c>
      <c r="B11" s="35" t="n">
        <v>121.63436791099</v>
      </c>
      <c r="C11" s="2" t="s">
        <v>215</v>
      </c>
    </row>
    <row r="12" customFormat="false" ht="15" hidden="false" customHeight="false" outlineLevel="0" collapsed="false">
      <c r="A12" s="2" t="s">
        <v>620</v>
      </c>
      <c r="B12" s="35" t="n">
        <v>16.415249731224</v>
      </c>
      <c r="C12" s="2" t="s">
        <v>126</v>
      </c>
    </row>
    <row r="13" customFormat="false" ht="15" hidden="false" customHeight="false" outlineLevel="0" collapsed="false">
      <c r="A13" s="2" t="s">
        <v>621</v>
      </c>
      <c r="B13" s="35" t="n">
        <v>10.440610891413</v>
      </c>
      <c r="C13" s="2" t="s">
        <v>622</v>
      </c>
    </row>
    <row r="14" customFormat="false" ht="15" hidden="false" customHeight="false" outlineLevel="0" collapsed="false">
      <c r="A14" s="2" t="s">
        <v>623</v>
      </c>
      <c r="B14" s="35" t="n">
        <v>5.1</v>
      </c>
      <c r="C14" s="2" t="s">
        <v>624</v>
      </c>
    </row>
    <row r="15" customFormat="false" ht="15" hidden="false" customHeight="false" outlineLevel="0" collapsed="false">
      <c r="A15" s="2" t="s">
        <v>625</v>
      </c>
      <c r="B15" s="35" t="n">
        <v>5.34061089141301</v>
      </c>
      <c r="C15" s="2" t="s">
        <v>626</v>
      </c>
    </row>
    <row r="16" customFormat="false" ht="15" hidden="false" customHeight="false" outlineLevel="0" collapsed="false">
      <c r="A16" s="2" t="s">
        <v>627</v>
      </c>
      <c r="B16" s="35" t="n">
        <v>140</v>
      </c>
      <c r="C16" s="2" t="s">
        <v>628</v>
      </c>
    </row>
    <row r="17" customFormat="false" ht="15" hidden="false" customHeight="false" outlineLevel="0" collapsed="false">
      <c r="A17" s="2" t="s">
        <v>629</v>
      </c>
      <c r="B17" s="35" t="n">
        <v>205</v>
      </c>
      <c r="C17" s="2" t="s">
        <v>630</v>
      </c>
    </row>
    <row r="18" customFormat="false" ht="15" hidden="false" customHeight="false" outlineLevel="0" collapsed="false">
      <c r="A18" s="2" t="s">
        <v>631</v>
      </c>
      <c r="B18" s="35" t="n">
        <v>3.74301856335755</v>
      </c>
      <c r="C18" s="2" t="s">
        <v>632</v>
      </c>
    </row>
    <row r="19" customFormat="false" ht="15" hidden="false" customHeight="false" outlineLevel="0" collapsed="false">
      <c r="A19" s="2" t="s">
        <v>633</v>
      </c>
      <c r="B19" s="35" t="n">
        <v>0.016625</v>
      </c>
      <c r="C19" s="2" t="s">
        <v>634</v>
      </c>
    </row>
    <row r="20" customFormat="false" ht="15" hidden="false" customHeight="false" outlineLevel="0" collapsed="false">
      <c r="A20" s="2" t="s">
        <v>635</v>
      </c>
      <c r="B20" s="35" t="n">
        <v>4.516</v>
      </c>
      <c r="C20" s="2" t="s">
        <v>241</v>
      </c>
    </row>
    <row r="21" customFormat="false" ht="15" hidden="false" customHeight="false" outlineLevel="0" collapsed="false">
      <c r="A21" s="2" t="s">
        <v>636</v>
      </c>
      <c r="B21" s="35" t="n">
        <v>1.80451127819549</v>
      </c>
      <c r="C21" s="2" t="s">
        <v>243</v>
      </c>
    </row>
    <row r="22" customFormat="false" ht="15" hidden="false" customHeight="false" outlineLevel="0" collapsed="false">
      <c r="A22" s="2" t="s">
        <v>637</v>
      </c>
      <c r="B22" s="35" t="n">
        <v>1.77147918511958</v>
      </c>
      <c r="C22" s="2" t="s">
        <v>245</v>
      </c>
    </row>
    <row r="23" customFormat="false" ht="15" hidden="false" customHeight="false" outlineLevel="0" collapsed="false">
      <c r="A23" s="2" t="s">
        <v>250</v>
      </c>
      <c r="B23" s="35" t="n">
        <v>12.3504575918471</v>
      </c>
      <c r="C23" s="2" t="s">
        <v>638</v>
      </c>
    </row>
    <row r="24" customFormat="false" ht="15" hidden="false" customHeight="false" outlineLevel="0" collapsed="false">
      <c r="A24" s="2" t="s">
        <v>252</v>
      </c>
      <c r="B24" s="35" t="n">
        <v>11.3885043322234</v>
      </c>
      <c r="C24" s="2" t="s">
        <v>639</v>
      </c>
    </row>
    <row r="25" customFormat="false" ht="15" hidden="false" customHeight="false" outlineLevel="0" collapsed="false">
      <c r="A25" s="2" t="s">
        <v>254</v>
      </c>
      <c r="B25" s="35" t="n">
        <v>9.58148954755859</v>
      </c>
      <c r="C25" s="2" t="s">
        <v>640</v>
      </c>
    </row>
    <row r="26" customFormat="false" ht="15" hidden="false" customHeight="false" outlineLevel="0" collapsed="false">
      <c r="A26" s="2" t="s">
        <v>255</v>
      </c>
      <c r="B26" s="35" t="n">
        <v>8.81941165496047</v>
      </c>
      <c r="C26" s="2" t="s">
        <v>641</v>
      </c>
    </row>
    <row r="27" customFormat="false" ht="15" hidden="false" customHeight="false" outlineLevel="0" collapsed="false">
      <c r="A27" s="2" t="s">
        <v>642</v>
      </c>
      <c r="B27" s="35" t="n">
        <v>1.80701478466484</v>
      </c>
      <c r="C27" s="2" t="s">
        <v>643</v>
      </c>
    </row>
    <row r="28" customFormat="false" ht="15" hidden="false" customHeight="false" outlineLevel="0" collapsed="false">
      <c r="A28" s="2" t="s">
        <v>644</v>
      </c>
      <c r="B28" s="35" t="n">
        <v>1.76552296844331</v>
      </c>
      <c r="C28" s="2" t="s">
        <v>645</v>
      </c>
    </row>
    <row r="29" customFormat="false" ht="15" hidden="false" customHeight="false" outlineLevel="0" collapsed="false">
      <c r="A29" s="2" t="s">
        <v>646</v>
      </c>
      <c r="B29" s="35" t="n">
        <v>180.701478466484</v>
      </c>
      <c r="C29" s="2" t="s">
        <v>647</v>
      </c>
    </row>
    <row r="30" customFormat="false" ht="15" hidden="false" customHeight="false" outlineLevel="0" collapsed="false">
      <c r="A30" s="2" t="s">
        <v>648</v>
      </c>
      <c r="B30" s="35" t="n">
        <v>140</v>
      </c>
      <c r="C30" s="2" t="s">
        <v>649</v>
      </c>
    </row>
    <row r="31" customFormat="false" ht="15" hidden="false" customHeight="false" outlineLevel="0" collapsed="false">
      <c r="A31" s="2" t="s">
        <v>650</v>
      </c>
      <c r="B31" s="35" t="n">
        <v>7.52462480002316</v>
      </c>
      <c r="C31" s="2" t="s">
        <v>651</v>
      </c>
    </row>
    <row r="32" customFormat="false" ht="15" hidden="false" customHeight="false" outlineLevel="0" collapsed="false">
      <c r="A32" s="2" t="s">
        <v>652</v>
      </c>
      <c r="B32" s="35" t="n">
        <v>0.906288796958737</v>
      </c>
      <c r="C32" s="2" t="s">
        <v>653</v>
      </c>
    </row>
    <row r="33" customFormat="false" ht="15" hidden="false" customHeight="false" outlineLevel="0" collapsed="false">
      <c r="A33" s="2" t="s">
        <v>654</v>
      </c>
      <c r="B33" s="35" t="n">
        <v>195</v>
      </c>
      <c r="C33" s="2" t="s">
        <v>655</v>
      </c>
    </row>
    <row r="34" customFormat="false" ht="15" hidden="false" customHeight="false" outlineLevel="0" collapsed="false">
      <c r="A34" s="2" t="s">
        <v>656</v>
      </c>
      <c r="B34" s="35" t="n">
        <v>15.5128749346568</v>
      </c>
      <c r="C34" s="2" t="s">
        <v>657</v>
      </c>
    </row>
    <row r="35" customFormat="false" ht="15" hidden="false" customHeight="false" outlineLevel="0" collapsed="false">
      <c r="A35" s="2" t="s">
        <v>658</v>
      </c>
      <c r="B35" s="35" t="n">
        <v>3.42197783958993</v>
      </c>
      <c r="C35" s="2" t="s">
        <v>659</v>
      </c>
    </row>
    <row r="36" customFormat="false" ht="15" hidden="false" customHeight="false" outlineLevel="0" collapsed="false">
      <c r="A36" s="2" t="s">
        <v>660</v>
      </c>
      <c r="B36" s="35" t="n">
        <v>23.0893316858253</v>
      </c>
      <c r="C36" s="2" t="s">
        <v>661</v>
      </c>
    </row>
    <row r="37" customFormat="false" ht="15" hidden="false" customHeight="false" outlineLevel="0" collapsed="false">
      <c r="A37" s="2" t="s">
        <v>662</v>
      </c>
      <c r="B37" s="35" t="n">
        <v>17.8608514478064</v>
      </c>
      <c r="C37" s="2" t="s">
        <v>663</v>
      </c>
    </row>
    <row r="38" customFormat="false" ht="15" hidden="false" customHeight="false" outlineLevel="0" collapsed="false">
      <c r="A38" s="2" t="s">
        <v>664</v>
      </c>
      <c r="B38" s="35" t="n">
        <v>6.25363772267895</v>
      </c>
      <c r="C38" s="2" t="s">
        <v>665</v>
      </c>
    </row>
    <row r="39" customFormat="false" ht="15" hidden="false" customHeight="false" outlineLevel="0" collapsed="false">
      <c r="A39" s="2" t="s">
        <v>666</v>
      </c>
      <c r="B39" s="35" t="n">
        <v>4.17137293000762</v>
      </c>
      <c r="C39" s="2" t="s">
        <v>667</v>
      </c>
    </row>
    <row r="40" customFormat="false" ht="15" hidden="false" customHeight="false" outlineLevel="0" collapsed="false">
      <c r="A40" s="2" t="s">
        <v>668</v>
      </c>
      <c r="B40" s="35" t="n">
        <v>3.15</v>
      </c>
      <c r="C40" s="2" t="s">
        <v>669</v>
      </c>
    </row>
    <row r="41" customFormat="false" ht="15" hidden="false" customHeight="false" outlineLevel="0" collapsed="false">
      <c r="A41" s="2" t="s">
        <v>670</v>
      </c>
      <c r="B41" s="35" t="n">
        <v>2.25</v>
      </c>
      <c r="C41" s="2" t="s">
        <v>671</v>
      </c>
    </row>
    <row r="42" customFormat="false" ht="15" hidden="false" customHeight="false" outlineLevel="0" collapsed="false">
      <c r="A42" s="2" t="s">
        <v>672</v>
      </c>
      <c r="B42" s="35" t="n">
        <v>1.18594115144817</v>
      </c>
      <c r="C42" s="2" t="s">
        <v>673</v>
      </c>
    </row>
    <row r="43" customFormat="false" ht="15" hidden="false" customHeight="false" outlineLevel="0" collapsed="false">
      <c r="A43" s="2" t="s">
        <v>674</v>
      </c>
      <c r="B43" s="35" t="n">
        <v>0.0198817269929066</v>
      </c>
      <c r="C43" s="2" t="s">
        <v>675</v>
      </c>
    </row>
    <row r="44" customFormat="false" ht="15" hidden="false" customHeight="false" outlineLevel="0" collapsed="false">
      <c r="A44" s="2" t="s">
        <v>676</v>
      </c>
      <c r="B44" s="35" t="n">
        <v>160</v>
      </c>
      <c r="C44" s="2" t="s">
        <v>677</v>
      </c>
    </row>
    <row r="45" customFormat="false" ht="15" hidden="false" customHeight="false" outlineLevel="0" collapsed="false">
      <c r="A45" s="2" t="s">
        <v>678</v>
      </c>
      <c r="B45" s="35" t="n">
        <v>0.502426456870059</v>
      </c>
      <c r="C45" s="2" t="s">
        <v>679</v>
      </c>
    </row>
    <row r="46" customFormat="false" ht="15" hidden="false" customHeight="false" outlineLevel="0" collapsed="false">
      <c r="A46" s="2" t="s">
        <v>680</v>
      </c>
      <c r="B46" s="35" t="n">
        <v>165</v>
      </c>
      <c r="C46" s="2" t="s">
        <v>681</v>
      </c>
    </row>
    <row r="47" customFormat="false" ht="15" hidden="false" customHeight="false" outlineLevel="0" collapsed="false">
      <c r="A47" s="2" t="s">
        <v>682</v>
      </c>
      <c r="B47" s="35" t="n">
        <v>0.925057198980888</v>
      </c>
      <c r="C47" s="2" t="s">
        <v>683</v>
      </c>
    </row>
    <row r="48" customFormat="false" ht="15" hidden="false" customHeight="false" outlineLevel="0" collapsed="false">
      <c r="A48" s="2" t="s">
        <v>684</v>
      </c>
      <c r="B48" s="35" t="n">
        <v>180</v>
      </c>
      <c r="C48" s="2" t="s">
        <v>178</v>
      </c>
    </row>
    <row r="49" customFormat="false" ht="15" hidden="false" customHeight="false" outlineLevel="0" collapsed="false">
      <c r="A49" s="2" t="s">
        <v>685</v>
      </c>
      <c r="B49" s="35" t="n">
        <v>1.16051551052027</v>
      </c>
      <c r="C49" s="2" t="s">
        <v>179</v>
      </c>
    </row>
    <row r="50" customFormat="false" ht="15" hidden="false" customHeight="false" outlineLevel="0" collapsed="false">
      <c r="A50" s="2" t="s">
        <v>686</v>
      </c>
      <c r="B50" s="35" t="n">
        <v>14.6841240841621</v>
      </c>
      <c r="C50" s="2" t="s">
        <v>687</v>
      </c>
    </row>
    <row r="51" customFormat="false" ht="15" hidden="false" customHeight="false" outlineLevel="0" collapsed="false">
      <c r="A51" s="2" t="s">
        <v>153</v>
      </c>
      <c r="B51" s="35" t="n">
        <v>5.09467317243577</v>
      </c>
      <c r="C51" s="2" t="s">
        <v>688</v>
      </c>
    </row>
    <row r="52" customFormat="false" ht="15" hidden="false" customHeight="false" outlineLevel="0" collapsed="false">
      <c r="A52" s="2" t="s">
        <v>689</v>
      </c>
      <c r="B52" s="35" t="n">
        <v>7.62130731025693</v>
      </c>
      <c r="C52" s="2" t="s">
        <v>690</v>
      </c>
    </row>
    <row r="53" customFormat="false" ht="15" hidden="false" customHeight="false" outlineLevel="0" collapsed="false">
      <c r="A53" s="2" t="s">
        <v>154</v>
      </c>
      <c r="B53" s="35" t="n">
        <v>40.7573853794861</v>
      </c>
      <c r="C53" s="2" t="s">
        <v>691</v>
      </c>
    </row>
    <row r="54" customFormat="false" ht="15" hidden="false" customHeight="false" outlineLevel="0" collapsed="false">
      <c r="A54" s="2" t="s">
        <v>692</v>
      </c>
      <c r="B54" s="35" t="n">
        <v>30.3167744880731</v>
      </c>
      <c r="C54" s="2" t="s">
        <v>693</v>
      </c>
    </row>
    <row r="55" customFormat="false" ht="15" hidden="false" customHeight="false" outlineLevel="0" collapsed="false">
      <c r="A55" s="2" t="s">
        <v>694</v>
      </c>
      <c r="B55" s="35" t="n">
        <v>19</v>
      </c>
      <c r="C55" s="2" t="s">
        <v>695</v>
      </c>
    </row>
    <row r="56" customFormat="false" ht="15" hidden="false" customHeight="false" outlineLevel="0" collapsed="false">
      <c r="A56" s="2" t="s">
        <v>696</v>
      </c>
      <c r="B56" s="35" t="n">
        <v>14.668098117088</v>
      </c>
      <c r="C56" s="2" t="s">
        <v>697</v>
      </c>
    </row>
    <row r="57" customFormat="false" ht="15" hidden="false" customHeight="false" outlineLevel="0" collapsed="false">
      <c r="A57" s="2" t="s">
        <v>698</v>
      </c>
      <c r="B57" s="35" t="n">
        <v>18.880367582944</v>
      </c>
      <c r="C57" s="2" t="s">
        <v>699</v>
      </c>
    </row>
    <row r="58" customFormat="false" ht="15" hidden="false" customHeight="false" outlineLevel="0" collapsed="false">
      <c r="A58" s="2" t="s">
        <v>700</v>
      </c>
      <c r="B58" s="35" t="n">
        <v>13.2968910603644</v>
      </c>
      <c r="C58" s="2" t="s">
        <v>701</v>
      </c>
    </row>
    <row r="59" customFormat="false" ht="15" hidden="false" customHeight="false" outlineLevel="0" collapsed="false">
      <c r="A59" s="2" t="s">
        <v>702</v>
      </c>
      <c r="B59" s="35" t="n">
        <v>1.28711138254555</v>
      </c>
      <c r="C59" s="2" t="s">
        <v>188</v>
      </c>
    </row>
    <row r="60" customFormat="false" ht="15" hidden="false" customHeight="false" outlineLevel="0" collapsed="false">
      <c r="A60" s="2" t="s">
        <v>703</v>
      </c>
      <c r="B60" s="35" t="n">
        <v>2.85628016895142</v>
      </c>
      <c r="C60" s="2" t="s">
        <v>704</v>
      </c>
    </row>
    <row r="61" customFormat="false" ht="15" hidden="false" customHeight="false" outlineLevel="0" collapsed="false">
      <c r="A61" s="2" t="s">
        <v>705</v>
      </c>
      <c r="B61" s="35" t="n">
        <v>3.81698994797524</v>
      </c>
      <c r="C61" s="2" t="s">
        <v>706</v>
      </c>
    </row>
    <row r="62" customFormat="false" ht="15" hidden="false" customHeight="false" outlineLevel="0" collapsed="false">
      <c r="A62" s="2" t="s">
        <v>707</v>
      </c>
      <c r="B62" s="35" t="n">
        <v>1.28711138254555</v>
      </c>
      <c r="C62" s="2" t="s">
        <v>188</v>
      </c>
    </row>
    <row r="63" customFormat="false" ht="15" hidden="false" customHeight="false" outlineLevel="0" collapsed="false">
      <c r="A63" s="2" t="s">
        <v>708</v>
      </c>
      <c r="B63" s="35" t="n">
        <v>0.566758590696725</v>
      </c>
      <c r="C63" s="2" t="s">
        <v>709</v>
      </c>
    </row>
    <row r="64" customFormat="false" ht="15" hidden="false" customHeight="false" outlineLevel="0" collapsed="false">
      <c r="A64" s="2" t="s">
        <v>710</v>
      </c>
      <c r="B64" s="35" t="n">
        <v>30</v>
      </c>
      <c r="C64" s="2" t="s">
        <v>711</v>
      </c>
    </row>
    <row r="65" customFormat="false" ht="15" hidden="false" customHeight="false" outlineLevel="0" collapsed="false">
      <c r="A65" s="2" t="s">
        <v>712</v>
      </c>
      <c r="B65" s="35" t="n">
        <v>1.75</v>
      </c>
      <c r="C65" s="2"/>
    </row>
    <row r="66" customFormat="false" ht="15" hidden="false" customHeight="false" outlineLevel="0" collapsed="false">
      <c r="A66" s="2" t="s">
        <v>713</v>
      </c>
      <c r="B66" s="35" t="n">
        <v>1.95</v>
      </c>
      <c r="C66" s="2"/>
    </row>
    <row r="67" customFormat="false" ht="15" hidden="false" customHeight="false" outlineLevel="0" collapsed="false">
      <c r="A67" s="2" t="s">
        <v>714</v>
      </c>
      <c r="B67" s="35" t="n">
        <v>1.7</v>
      </c>
      <c r="C67" s="2"/>
    </row>
    <row r="68" customFormat="false" ht="15" hidden="false" customHeight="false" outlineLevel="0" collapsed="false">
      <c r="A68" s="2" t="s">
        <v>715</v>
      </c>
      <c r="B68" s="35" t="n">
        <v>0.001944157016462</v>
      </c>
      <c r="C68" s="2"/>
    </row>
    <row r="69" customFormat="false" ht="15" hidden="false" customHeight="false" outlineLevel="0" collapsed="false">
      <c r="A69" s="2" t="s">
        <v>716</v>
      </c>
      <c r="B69" s="35" t="n">
        <v>2.60598659897682</v>
      </c>
      <c r="C69" s="2" t="s">
        <v>717</v>
      </c>
    </row>
    <row r="70" customFormat="false" ht="15" hidden="false" customHeight="false" outlineLevel="0" collapsed="false">
      <c r="A70" s="2" t="s">
        <v>718</v>
      </c>
      <c r="B70" s="35" t="n">
        <v>17.8608514478064</v>
      </c>
      <c r="C70" s="2"/>
    </row>
    <row r="71" customFormat="false" ht="15" hidden="false" customHeight="false" outlineLevel="0" collapsed="false">
      <c r="A71" s="2" t="s">
        <v>719</v>
      </c>
      <c r="B71" s="35" t="n">
        <v>23.8478927918146</v>
      </c>
      <c r="C71" s="2"/>
    </row>
    <row r="72" customFormat="false" ht="15" hidden="false" customHeight="false" outlineLevel="0" collapsed="false">
      <c r="A72" s="2" t="s">
        <v>720</v>
      </c>
      <c r="B72" s="35" t="n">
        <v>8</v>
      </c>
      <c r="C72" s="2"/>
    </row>
    <row r="73" customFormat="false" ht="15" hidden="false" customHeight="false" outlineLevel="0" collapsed="false">
      <c r="A73" s="2" t="s">
        <v>721</v>
      </c>
      <c r="B73" s="35" t="n">
        <v>-11.78</v>
      </c>
      <c r="C73" s="2" t="s">
        <v>722</v>
      </c>
    </row>
    <row r="74" customFormat="false" ht="15" hidden="false" customHeight="false" outlineLevel="0" collapsed="false">
      <c r="A74" s="2" t="s">
        <v>723</v>
      </c>
      <c r="B74" s="35" t="n">
        <v>1.62857142857143</v>
      </c>
      <c r="C74" s="2"/>
    </row>
    <row r="75" customFormat="false" ht="15" hidden="false" customHeight="false" outlineLevel="0" collapsed="false">
      <c r="A75" s="2" t="s">
        <v>724</v>
      </c>
      <c r="B75" s="35" t="n">
        <v>4.37142857142857</v>
      </c>
      <c r="C75" s="2"/>
    </row>
    <row r="76" customFormat="false" ht="15" hidden="false" customHeight="false" outlineLevel="0" collapsed="false">
      <c r="A76" s="2" t="s">
        <v>725</v>
      </c>
      <c r="B76" s="35" t="n">
        <v>296.993481326039</v>
      </c>
      <c r="C76" s="2"/>
    </row>
    <row r="77" customFormat="false" ht="15" hidden="false" customHeight="false" outlineLevel="0" collapsed="false">
      <c r="A77" s="2" t="s">
        <v>726</v>
      </c>
      <c r="B77" s="35" t="n">
        <v>3.9826712055216</v>
      </c>
      <c r="C77" s="2"/>
    </row>
    <row r="78" customFormat="false" ht="15" hidden="false" customHeight="false" outlineLevel="0" collapsed="false">
      <c r="A78" s="2" t="s">
        <v>727</v>
      </c>
      <c r="B78" s="35" t="n">
        <v>1.70976190965905</v>
      </c>
      <c r="C78" s="2" t="s">
        <v>728</v>
      </c>
    </row>
    <row r="79" customFormat="false" ht="15" hidden="false" customHeight="false" outlineLevel="0" collapsed="false">
      <c r="A79" s="2" t="s">
        <v>729</v>
      </c>
      <c r="B79" s="35" t="n">
        <v>3.97132071965035</v>
      </c>
      <c r="C79" s="2" t="s">
        <v>730</v>
      </c>
    </row>
    <row r="80" customFormat="false" ht="15" hidden="false" customHeight="false" outlineLevel="0" collapsed="false">
      <c r="A80" s="2" t="s">
        <v>731</v>
      </c>
      <c r="B80" s="35" t="n">
        <v>150</v>
      </c>
      <c r="C80" s="2" t="s">
        <v>732</v>
      </c>
    </row>
    <row r="81" customFormat="false" ht="15" hidden="false" customHeight="false" outlineLevel="0" collapsed="false">
      <c r="A81" s="2" t="s">
        <v>733</v>
      </c>
      <c r="B81" s="35" t="n">
        <v>4</v>
      </c>
      <c r="C81" s="2" t="s">
        <v>734</v>
      </c>
    </row>
    <row r="82" customFormat="false" ht="15" hidden="false" customHeight="false" outlineLevel="0" collapsed="false">
      <c r="A82" s="2" t="s">
        <v>735</v>
      </c>
      <c r="B82" s="35" t="n">
        <v>40</v>
      </c>
      <c r="C82" s="2" t="s">
        <v>736</v>
      </c>
    </row>
    <row r="83" customFormat="false" ht="15" hidden="false" customHeight="false" outlineLevel="0" collapsed="false">
      <c r="A83" s="2" t="s">
        <v>737</v>
      </c>
      <c r="B83" s="35" t="n">
        <v>60</v>
      </c>
      <c r="C83" s="2" t="s">
        <v>738</v>
      </c>
    </row>
    <row r="84" customFormat="false" ht="15" hidden="false" customHeight="false" outlineLevel="0" collapsed="false">
      <c r="A84" s="2" t="s">
        <v>739</v>
      </c>
      <c r="B84" s="35" t="n">
        <v>5</v>
      </c>
      <c r="C84" s="2" t="s">
        <v>581</v>
      </c>
    </row>
    <row r="85" customFormat="false" ht="15" hidden="false" customHeight="false" outlineLevel="0" collapsed="false">
      <c r="A85" s="2" t="s">
        <v>740</v>
      </c>
      <c r="B85" s="35" t="n">
        <v>0.0798038616519728</v>
      </c>
      <c r="C85" s="2" t="s">
        <v>741</v>
      </c>
    </row>
    <row r="86" customFormat="false" ht="15" hidden="false" customHeight="false" outlineLevel="0" collapsed="false">
      <c r="A86" s="2" t="s">
        <v>742</v>
      </c>
      <c r="B86" s="35" t="n">
        <v>-1.90273138400435</v>
      </c>
      <c r="C86" s="2" t="s">
        <v>743</v>
      </c>
    </row>
    <row r="87" customFormat="false" ht="15" hidden="false" customHeight="false" outlineLevel="0" collapsed="false">
      <c r="A87" s="2" t="s">
        <v>744</v>
      </c>
      <c r="B87" s="35" t="n">
        <v>0.0190273138400435</v>
      </c>
      <c r="C87" s="2" t="s">
        <v>745</v>
      </c>
    </row>
    <row r="88" customFormat="false" ht="15" hidden="false" customHeight="false" outlineLevel="0" collapsed="false">
      <c r="A88" s="2" t="s">
        <v>746</v>
      </c>
      <c r="B88" s="35" t="n">
        <v>2</v>
      </c>
      <c r="C88" s="2" t="s">
        <v>747</v>
      </c>
    </row>
    <row r="89" customFormat="false" ht="15" hidden="false" customHeight="false" outlineLevel="0" collapsed="false">
      <c r="A89" s="2" t="s">
        <v>748</v>
      </c>
      <c r="B89" s="35" t="n">
        <v>5</v>
      </c>
      <c r="C89" s="2" t="s">
        <v>749</v>
      </c>
    </row>
    <row r="90" customFormat="false" ht="15" hidden="false" customHeight="false" outlineLevel="0" collapsed="false">
      <c r="A90" s="2" t="s">
        <v>750</v>
      </c>
      <c r="B90" s="35" t="n">
        <v>20</v>
      </c>
      <c r="C90" s="2" t="s">
        <v>751</v>
      </c>
    </row>
    <row r="91" customFormat="false" ht="15" hidden="false" customHeight="false" outlineLevel="0" collapsed="false">
      <c r="A91" s="2" t="s">
        <v>752</v>
      </c>
      <c r="B91" s="35" t="n">
        <v>1</v>
      </c>
      <c r="C91" s="2" t="s">
        <v>753</v>
      </c>
    </row>
    <row r="92" customFormat="false" ht="15" hidden="false" customHeight="false" outlineLevel="0" collapsed="false">
      <c r="A92" s="2" t="s">
        <v>754</v>
      </c>
      <c r="B92" s="35" t="n">
        <v>4</v>
      </c>
      <c r="C92" s="2" t="s">
        <v>755</v>
      </c>
    </row>
    <row r="93" customFormat="false" ht="15" hidden="false" customHeight="false" outlineLevel="0" collapsed="false">
      <c r="A93" s="2" t="s">
        <v>756</v>
      </c>
      <c r="B93" s="35" t="n">
        <v>19</v>
      </c>
      <c r="C93" s="2" t="s">
        <v>757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5" min="4" style="0" width="11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8" t="s">
        <v>604</v>
      </c>
      <c r="B1" s="8" t="s">
        <v>758</v>
      </c>
      <c r="C1" s="8" t="s">
        <v>605</v>
      </c>
      <c r="D1" s="8" t="s">
        <v>759</v>
      </c>
      <c r="E1" s="8" t="s">
        <v>760</v>
      </c>
      <c r="F1" s="8" t="s">
        <v>761</v>
      </c>
    </row>
    <row r="2" customFormat="false" ht="15" hidden="false" customHeight="false" outlineLevel="0" collapsed="false">
      <c r="A2" s="2" t="s">
        <v>117</v>
      </c>
      <c r="B2" s="36" t="n">
        <f aca="false">Plan!B21</f>
        <v>138.049617642214</v>
      </c>
      <c r="C2" s="37" t="n">
        <f aca="false">Reference_Values!B2</f>
        <v>138.049617642214</v>
      </c>
      <c r="D2" s="38" t="n">
        <f aca="false">ABS(B2-C2)</f>
        <v>0</v>
      </c>
      <c r="E2" s="39" t="n">
        <v>1E-009</v>
      </c>
      <c r="F2" s="4" t="str">
        <f aca="false">IF(D2&lt;=E2,"PASS","FAIL")</f>
        <v>PASS</v>
      </c>
    </row>
    <row r="3" customFormat="false" ht="15" hidden="false" customHeight="false" outlineLevel="0" collapsed="false">
      <c r="A3" s="2" t="s">
        <v>608</v>
      </c>
      <c r="B3" s="36" t="n">
        <f aca="false">Plan!B22</f>
        <v>89.0260828608509</v>
      </c>
      <c r="C3" s="37" t="n">
        <f aca="false">Reference_Values!B3</f>
        <v>89.0260828608509</v>
      </c>
      <c r="D3" s="38" t="n">
        <f aca="false">ABS(B3-C3)</f>
        <v>0</v>
      </c>
      <c r="E3" s="39" t="n">
        <v>1E-009</v>
      </c>
      <c r="F3" s="4" t="str">
        <f aca="false">IF(D3&lt;=E3,"PASS","FAIL")</f>
        <v>PASS</v>
      </c>
    </row>
    <row r="4" customFormat="false" ht="15" hidden="false" customHeight="false" outlineLevel="0" collapsed="false">
      <c r="A4" s="2" t="s">
        <v>127</v>
      </c>
      <c r="B4" s="36" t="n">
        <f aca="false">Plan!B27</f>
        <v>459.854053397919</v>
      </c>
      <c r="C4" s="37" t="n">
        <f aca="false">Reference_Values!B4</f>
        <v>459.854053397919</v>
      </c>
      <c r="D4" s="38" t="n">
        <f aca="false">ABS(B4-C4)</f>
        <v>0</v>
      </c>
      <c r="E4" s="39" t="n">
        <v>1E-009</v>
      </c>
      <c r="F4" s="4" t="str">
        <f aca="false">IF(D4&lt;=E4,"PASS","FAIL")</f>
        <v>PASS</v>
      </c>
    </row>
    <row r="5" customFormat="false" ht="15" hidden="false" customHeight="false" outlineLevel="0" collapsed="false">
      <c r="A5" s="2" t="s">
        <v>610</v>
      </c>
      <c r="B5" s="36" t="n">
        <f aca="false">Plan!B30</f>
        <v>186.866976370664</v>
      </c>
      <c r="C5" s="37" t="n">
        <f aca="false">Reference_Values!B5</f>
        <v>186.866976370664</v>
      </c>
      <c r="D5" s="38" t="n">
        <f aca="false">ABS(B5-C5)</f>
        <v>0</v>
      </c>
      <c r="E5" s="39" t="n">
        <v>1E-006</v>
      </c>
      <c r="F5" s="4" t="str">
        <f aca="false">IF(D5&lt;=E5,"PASS","FAIL")</f>
        <v>PASS</v>
      </c>
    </row>
    <row r="6" customFormat="false" ht="15" hidden="false" customHeight="false" outlineLevel="0" collapsed="false">
      <c r="A6" s="2" t="s">
        <v>611</v>
      </c>
      <c r="B6" s="36" t="n">
        <f aca="false">Plan!B31</f>
        <v>54.9165940128788</v>
      </c>
      <c r="C6" s="37" t="n">
        <f aca="false">Reference_Values!B6</f>
        <v>54.9165940128787</v>
      </c>
      <c r="D6" s="38" t="n">
        <f aca="false">ABS(B6-C6)</f>
        <v>0</v>
      </c>
      <c r="E6" s="39" t="n">
        <v>1E-006</v>
      </c>
      <c r="F6" s="4" t="str">
        <f aca="false">IF(D6&lt;=E6,"PASS","FAIL")</f>
        <v>PASS</v>
      </c>
    </row>
    <row r="7" customFormat="false" ht="15" hidden="false" customHeight="false" outlineLevel="0" collapsed="false">
      <c r="A7" s="2" t="s">
        <v>134</v>
      </c>
      <c r="B7" s="36" t="n">
        <f aca="false">Plan!B32</f>
        <v>1.64749782038636</v>
      </c>
      <c r="C7" s="37" t="n">
        <f aca="false">Reference_Values!B7</f>
        <v>1.64749782038636</v>
      </c>
      <c r="D7" s="38" t="n">
        <f aca="false">ABS(B7-C7)</f>
        <v>0</v>
      </c>
      <c r="E7" s="39" t="n">
        <v>1E-006</v>
      </c>
      <c r="F7" s="4" t="str">
        <f aca="false">IF(D7&lt;=E7,"PASS","FAIL")</f>
        <v>PASS</v>
      </c>
    </row>
    <row r="8" customFormat="false" ht="15" hidden="false" customHeight="false" outlineLevel="0" collapsed="false">
      <c r="A8" s="2" t="s">
        <v>614</v>
      </c>
      <c r="B8" s="36" t="n">
        <f aca="false">Solve!B5</f>
        <v>170</v>
      </c>
      <c r="C8" s="37" t="n">
        <f aca="false">Reference_Values!B8</f>
        <v>170</v>
      </c>
      <c r="D8" s="38" t="n">
        <f aca="false">ABS(B8-C8)</f>
        <v>0</v>
      </c>
      <c r="E8" s="39" t="n">
        <v>0</v>
      </c>
      <c r="F8" s="4" t="str">
        <f aca="false">IF(D8&lt;=E8,"PASS","FAIL")</f>
        <v>PASS</v>
      </c>
    </row>
    <row r="9" customFormat="false" ht="15" hidden="false" customHeight="false" outlineLevel="0" collapsed="false">
      <c r="A9" s="2" t="s">
        <v>616</v>
      </c>
      <c r="B9" s="36" t="n">
        <f aca="false">Solve!B6</f>
        <v>0.667576361426625</v>
      </c>
      <c r="C9" s="37" t="n">
        <f aca="false">Reference_Values!B9</f>
        <v>0.667576361426626</v>
      </c>
      <c r="D9" s="38" t="n">
        <f aca="false">ABS(B9-C9)</f>
        <v>0</v>
      </c>
      <c r="E9" s="39" t="n">
        <v>1E-009</v>
      </c>
      <c r="F9" s="4" t="str">
        <f aca="false">IF(D9&lt;=E9,"PASS","FAIL")</f>
        <v>PASS</v>
      </c>
    </row>
    <row r="10" customFormat="false" ht="15" hidden="false" customHeight="false" outlineLevel="0" collapsed="false">
      <c r="A10" s="2" t="s">
        <v>618</v>
      </c>
      <c r="B10" s="36" t="n">
        <f aca="false">Solve!B8</f>
        <v>25.3296945542935</v>
      </c>
      <c r="C10" s="37" t="n">
        <f aca="false">Reference_Values!B10</f>
        <v>25.3296945542935</v>
      </c>
      <c r="D10" s="38" t="n">
        <f aca="false">ABS(B10-C10)</f>
        <v>0</v>
      </c>
      <c r="E10" s="39" t="n">
        <v>1E-009</v>
      </c>
      <c r="F10" s="4" t="str">
        <f aca="false">IF(D10&lt;=E10,"PASS","FAIL")</f>
        <v>PASS</v>
      </c>
    </row>
    <row r="11" customFormat="false" ht="15" hidden="false" customHeight="false" outlineLevel="0" collapsed="false">
      <c r="A11" s="2" t="s">
        <v>619</v>
      </c>
      <c r="B11" s="36" t="n">
        <f aca="false">Solve!B9</f>
        <v>121.63436791099</v>
      </c>
      <c r="C11" s="37" t="n">
        <f aca="false">Reference_Values!B11</f>
        <v>121.63436791099</v>
      </c>
      <c r="D11" s="38" t="n">
        <f aca="false">ABS(B11-C11)</f>
        <v>0</v>
      </c>
      <c r="E11" s="39" t="n">
        <v>1E-009</v>
      </c>
      <c r="F11" s="4" t="str">
        <f aca="false">IF(D11&lt;=E11,"PASS","FAIL")</f>
        <v>PASS</v>
      </c>
    </row>
    <row r="12" customFormat="false" ht="15" hidden="false" customHeight="false" outlineLevel="0" collapsed="false">
      <c r="A12" s="2" t="s">
        <v>620</v>
      </c>
      <c r="B12" s="36" t="n">
        <f aca="false">Solve!B10</f>
        <v>16.415249731224</v>
      </c>
      <c r="C12" s="37" t="n">
        <f aca="false">Reference_Values!B12</f>
        <v>16.415249731224</v>
      </c>
      <c r="D12" s="38" t="n">
        <f aca="false">ABS(B12-C12)</f>
        <v>0</v>
      </c>
      <c r="E12" s="39" t="n">
        <v>1E-009</v>
      </c>
      <c r="F12" s="4" t="str">
        <f aca="false">IF(D12&lt;=E12,"PASS","FAIL")</f>
        <v>PASS</v>
      </c>
    </row>
    <row r="13" customFormat="false" ht="15" hidden="false" customHeight="false" outlineLevel="0" collapsed="false">
      <c r="A13" s="2" t="s">
        <v>621</v>
      </c>
      <c r="B13" s="36" t="n">
        <f aca="false">Solve!B4</f>
        <v>10.440610891413</v>
      </c>
      <c r="C13" s="37" t="n">
        <f aca="false">Reference_Values!B13</f>
        <v>10.440610891413</v>
      </c>
      <c r="D13" s="38" t="n">
        <f aca="false">ABS(B13-C13)</f>
        <v>0</v>
      </c>
      <c r="E13" s="39" t="n">
        <v>1E-009</v>
      </c>
      <c r="F13" s="4" t="str">
        <f aca="false">IF(D13&lt;=E13,"PASS","FAIL")</f>
        <v>PASS</v>
      </c>
    </row>
    <row r="14" customFormat="false" ht="15" hidden="false" customHeight="false" outlineLevel="0" collapsed="false">
      <c r="A14" s="2" t="s">
        <v>623</v>
      </c>
      <c r="B14" s="36" t="n">
        <f aca="false">Solve!B11</f>
        <v>5.1</v>
      </c>
      <c r="C14" s="37" t="n">
        <f aca="false">Reference_Values!B14</f>
        <v>5.1</v>
      </c>
      <c r="D14" s="38" t="n">
        <f aca="false">ABS(B14-C14)</f>
        <v>0</v>
      </c>
      <c r="E14" s="39" t="n">
        <v>1E-009</v>
      </c>
      <c r="F14" s="4" t="str">
        <f aca="false">IF(D14&lt;=E14,"PASS","FAIL")</f>
        <v>PASS</v>
      </c>
    </row>
    <row r="15" customFormat="false" ht="15" hidden="false" customHeight="false" outlineLevel="0" collapsed="false">
      <c r="A15" s="2" t="s">
        <v>625</v>
      </c>
      <c r="B15" s="36" t="n">
        <f aca="false">Solve!B12</f>
        <v>5.340610891413</v>
      </c>
      <c r="C15" s="37" t="n">
        <f aca="false">Reference_Values!B15</f>
        <v>5.34061089141301</v>
      </c>
      <c r="D15" s="38" t="n">
        <f aca="false">ABS(B15-C15)</f>
        <v>0</v>
      </c>
      <c r="E15" s="39" t="n">
        <v>1E-009</v>
      </c>
      <c r="F15" s="4" t="str">
        <f aca="false">IF(D15&lt;=E15,"PASS","FAIL")</f>
        <v>PASS</v>
      </c>
    </row>
    <row r="16" customFormat="false" ht="15" hidden="false" customHeight="false" outlineLevel="0" collapsed="false">
      <c r="A16" s="2" t="s">
        <v>627</v>
      </c>
      <c r="B16" s="36" t="n">
        <f aca="false">Solve!B13</f>
        <v>140</v>
      </c>
      <c r="C16" s="37" t="n">
        <f aca="false">Reference_Values!B16</f>
        <v>140</v>
      </c>
      <c r="D16" s="38" t="n">
        <f aca="false">ABS(B16-C16)</f>
        <v>0</v>
      </c>
      <c r="E16" s="39" t="n">
        <v>0</v>
      </c>
      <c r="F16" s="4" t="str">
        <f aca="false">IF(D16&lt;=E16,"PASS","FAIL")</f>
        <v>PASS</v>
      </c>
    </row>
    <row r="17" customFormat="false" ht="15" hidden="false" customHeight="false" outlineLevel="0" collapsed="false">
      <c r="A17" s="2" t="s">
        <v>629</v>
      </c>
      <c r="B17" s="36" t="n">
        <f aca="false">Solve!B14</f>
        <v>205</v>
      </c>
      <c r="C17" s="37" t="n">
        <f aca="false">Reference_Values!B17</f>
        <v>205</v>
      </c>
      <c r="D17" s="38" t="n">
        <f aca="false">ABS(B17-C17)</f>
        <v>0</v>
      </c>
      <c r="E17" s="39" t="n">
        <v>0</v>
      </c>
      <c r="F17" s="4" t="str">
        <f aca="false">IF(D17&lt;=E17,"PASS","FAIL")</f>
        <v>PASS</v>
      </c>
    </row>
    <row r="18" customFormat="false" ht="15" hidden="false" customHeight="false" outlineLevel="0" collapsed="false">
      <c r="A18" s="2" t="s">
        <v>631</v>
      </c>
      <c r="B18" s="36" t="n">
        <f aca="false">Solve!B16</f>
        <v>3.74301856335755</v>
      </c>
      <c r="C18" s="37" t="n">
        <f aca="false">Reference_Values!B18</f>
        <v>3.74301856335755</v>
      </c>
      <c r="D18" s="38" t="n">
        <f aca="false">ABS(B18-C18)</f>
        <v>0</v>
      </c>
      <c r="E18" s="39" t="n">
        <v>1E-009</v>
      </c>
      <c r="F18" s="4" t="str">
        <f aca="false">IF(D18&lt;=E18,"PASS","FAIL")</f>
        <v>PASS</v>
      </c>
    </row>
    <row r="19" customFormat="false" ht="15" hidden="false" customHeight="false" outlineLevel="0" collapsed="false">
      <c r="A19" s="2" t="s">
        <v>633</v>
      </c>
      <c r="B19" s="36" t="n">
        <f aca="false">Solve!B24</f>
        <v>0.016625</v>
      </c>
      <c r="C19" s="37" t="n">
        <f aca="false">Reference_Values!B19</f>
        <v>0.016625</v>
      </c>
      <c r="D19" s="38" t="n">
        <f aca="false">ABS(B19-C19)</f>
        <v>0</v>
      </c>
      <c r="E19" s="39" t="n">
        <v>1E-009</v>
      </c>
      <c r="F19" s="4" t="str">
        <f aca="false">IF(D19&lt;=E19,"PASS","FAIL")</f>
        <v>PASS</v>
      </c>
    </row>
    <row r="20" customFormat="false" ht="15" hidden="false" customHeight="false" outlineLevel="0" collapsed="false">
      <c r="A20" s="2" t="s">
        <v>635</v>
      </c>
      <c r="B20" s="36" t="n">
        <f aca="false">Solve!B28</f>
        <v>4.516</v>
      </c>
      <c r="C20" s="37" t="n">
        <f aca="false">Reference_Values!B20</f>
        <v>4.516</v>
      </c>
      <c r="D20" s="38" t="n">
        <f aca="false">ABS(B20-C20)</f>
        <v>0</v>
      </c>
      <c r="E20" s="39" t="n">
        <v>1E-009</v>
      </c>
      <c r="F20" s="4" t="str">
        <f aca="false">IF(D20&lt;=E20,"PASS","FAIL")</f>
        <v>PASS</v>
      </c>
    </row>
    <row r="21" customFormat="false" ht="15" hidden="false" customHeight="false" outlineLevel="0" collapsed="false">
      <c r="A21" s="2" t="s">
        <v>636</v>
      </c>
      <c r="B21" s="36" t="n">
        <f aca="false">Solve!B29</f>
        <v>1.80451127819549</v>
      </c>
      <c r="C21" s="37" t="n">
        <f aca="false">Reference_Values!B21</f>
        <v>1.80451127819549</v>
      </c>
      <c r="D21" s="38" t="n">
        <f aca="false">ABS(B21-C21)</f>
        <v>0</v>
      </c>
      <c r="E21" s="39" t="n">
        <v>1E-009</v>
      </c>
      <c r="F21" s="4" t="str">
        <f aca="false">IF(D21&lt;=E21,"PASS","FAIL")</f>
        <v>PASS</v>
      </c>
    </row>
    <row r="22" customFormat="false" ht="15" hidden="false" customHeight="false" outlineLevel="0" collapsed="false">
      <c r="A22" s="2" t="s">
        <v>637</v>
      </c>
      <c r="B22" s="36" t="n">
        <f aca="false">Solve!B30</f>
        <v>1.77147918511957</v>
      </c>
      <c r="C22" s="37" t="n">
        <f aca="false">Reference_Values!B22</f>
        <v>1.77147918511958</v>
      </c>
      <c r="D22" s="38" t="n">
        <f aca="false">ABS(B22-C22)</f>
        <v>0</v>
      </c>
      <c r="E22" s="39" t="n">
        <v>1E-009</v>
      </c>
      <c r="F22" s="4" t="str">
        <f aca="false">IF(D22&lt;=E22,"PASS","FAIL")</f>
        <v>PASS</v>
      </c>
    </row>
    <row r="23" customFormat="false" ht="15" hidden="false" customHeight="false" outlineLevel="0" collapsed="false">
      <c r="A23" s="2" t="s">
        <v>250</v>
      </c>
      <c r="B23" s="36" t="n">
        <f aca="false">Solve!B35</f>
        <v>12.3504575918471</v>
      </c>
      <c r="C23" s="37" t="n">
        <f aca="false">Reference_Values!B23</f>
        <v>12.3504575918471</v>
      </c>
      <c r="D23" s="38" t="n">
        <f aca="false">ABS(B23-C23)</f>
        <v>0</v>
      </c>
      <c r="E23" s="39" t="n">
        <v>1E-009</v>
      </c>
      <c r="F23" s="4" t="str">
        <f aca="false">IF(D23&lt;=E23,"PASS","FAIL")</f>
        <v>PASS</v>
      </c>
    </row>
    <row r="24" customFormat="false" ht="15" hidden="false" customHeight="false" outlineLevel="0" collapsed="false">
      <c r="A24" s="2" t="s">
        <v>252</v>
      </c>
      <c r="B24" s="36" t="n">
        <f aca="false">Solve!B36</f>
        <v>11.3885043322234</v>
      </c>
      <c r="C24" s="37" t="n">
        <f aca="false">Reference_Values!B24</f>
        <v>11.3885043322234</v>
      </c>
      <c r="D24" s="38" t="n">
        <f aca="false">ABS(B24-C24)</f>
        <v>0</v>
      </c>
      <c r="E24" s="39" t="n">
        <v>1E-009</v>
      </c>
      <c r="F24" s="4" t="str">
        <f aca="false">IF(D24&lt;=E24,"PASS","FAIL")</f>
        <v>PASS</v>
      </c>
    </row>
    <row r="25" customFormat="false" ht="15" hidden="false" customHeight="false" outlineLevel="0" collapsed="false">
      <c r="A25" s="2" t="s">
        <v>254</v>
      </c>
      <c r="B25" s="36" t="n">
        <f aca="false">Solve!B38</f>
        <v>9.5814895475586</v>
      </c>
      <c r="C25" s="37" t="n">
        <f aca="false">Reference_Values!B25</f>
        <v>9.58148954755859</v>
      </c>
      <c r="D25" s="38" t="n">
        <f aca="false">ABS(B25-C25)</f>
        <v>0</v>
      </c>
      <c r="E25" s="39" t="n">
        <v>1E-009</v>
      </c>
      <c r="F25" s="4" t="str">
        <f aca="false">IF(D25&lt;=E25,"PASS","FAIL")</f>
        <v>PASS</v>
      </c>
    </row>
    <row r="26" customFormat="false" ht="15" hidden="false" customHeight="false" outlineLevel="0" collapsed="false">
      <c r="A26" s="2" t="s">
        <v>255</v>
      </c>
      <c r="B26" s="36" t="n">
        <f aca="false">Solve!B39</f>
        <v>8.81941165496048</v>
      </c>
      <c r="C26" s="37" t="n">
        <f aca="false">Reference_Values!B26</f>
        <v>8.81941165496047</v>
      </c>
      <c r="D26" s="38" t="n">
        <f aca="false">ABS(B26-C26)</f>
        <v>0</v>
      </c>
      <c r="E26" s="39" t="n">
        <v>1E-009</v>
      </c>
      <c r="F26" s="4" t="str">
        <f aca="false">IF(D26&lt;=E26,"PASS","FAIL")</f>
        <v>PASS</v>
      </c>
    </row>
    <row r="27" customFormat="false" ht="15" hidden="false" customHeight="false" outlineLevel="0" collapsed="false">
      <c r="A27" s="2" t="s">
        <v>642</v>
      </c>
      <c r="B27" s="36" t="n">
        <f aca="false">Solve!B40</f>
        <v>1.80701478466484</v>
      </c>
      <c r="C27" s="37" t="n">
        <f aca="false">Reference_Values!B27</f>
        <v>1.80701478466484</v>
      </c>
      <c r="D27" s="38" t="n">
        <f aca="false">ABS(B27-C27)</f>
        <v>7.32747196252603E-015</v>
      </c>
      <c r="E27" s="39" t="n">
        <v>1E-009</v>
      </c>
      <c r="F27" s="4" t="str">
        <f aca="false">IF(D27&lt;=E27,"PASS","FAIL")</f>
        <v>PASS</v>
      </c>
    </row>
    <row r="28" customFormat="false" ht="15" hidden="false" customHeight="false" outlineLevel="0" collapsed="false">
      <c r="A28" s="2" t="s">
        <v>644</v>
      </c>
      <c r="B28" s="36" t="n">
        <f aca="false">Solve!B41</f>
        <v>1.76552296844331</v>
      </c>
      <c r="C28" s="37" t="n">
        <f aca="false">Reference_Values!B28</f>
        <v>1.76552296844331</v>
      </c>
      <c r="D28" s="38" t="n">
        <f aca="false">ABS(B28-C28)</f>
        <v>0</v>
      </c>
      <c r="E28" s="39" t="n">
        <v>1E-009</v>
      </c>
      <c r="F28" s="4" t="str">
        <f aca="false">IF(D28&lt;=E28,"PASS","FAIL")</f>
        <v>PASS</v>
      </c>
    </row>
    <row r="29" customFormat="false" ht="15" hidden="false" customHeight="false" outlineLevel="0" collapsed="false">
      <c r="A29" s="2" t="s">
        <v>646</v>
      </c>
      <c r="B29" s="36" t="n">
        <f aca="false">Solve!B42</f>
        <v>180.701478466484</v>
      </c>
      <c r="C29" s="37" t="n">
        <f aca="false">Reference_Values!B29</f>
        <v>180.701478466484</v>
      </c>
      <c r="D29" s="38" t="n">
        <f aca="false">ABS(B29-C29)</f>
        <v>7.105427357601E-013</v>
      </c>
      <c r="E29" s="39" t="n">
        <v>1E-006</v>
      </c>
      <c r="F29" s="4" t="str">
        <f aca="false">IF(D29&lt;=E29,"PASS","FAIL")</f>
        <v>PASS</v>
      </c>
    </row>
    <row r="30" customFormat="false" ht="15" hidden="false" customHeight="false" outlineLevel="0" collapsed="false">
      <c r="A30" s="2" t="s">
        <v>648</v>
      </c>
      <c r="B30" s="36" t="n">
        <f aca="false">Sensitivity!C90</f>
        <v>140</v>
      </c>
      <c r="C30" s="37" t="n">
        <f aca="false">Reference_Values!B30</f>
        <v>140</v>
      </c>
      <c r="D30" s="38" t="n">
        <f aca="false">ABS(B30-C30)</f>
        <v>0</v>
      </c>
      <c r="E30" s="39" t="n">
        <v>0</v>
      </c>
      <c r="F30" s="4" t="str">
        <f aca="false">IF(D30&lt;=E30,"PASS","FAIL")</f>
        <v>PASS</v>
      </c>
    </row>
    <row r="31" customFormat="false" ht="15" hidden="false" customHeight="false" outlineLevel="0" collapsed="false">
      <c r="A31" s="2" t="s">
        <v>650</v>
      </c>
      <c r="B31" s="36" t="n">
        <f aca="false">Sensitivity!B90</f>
        <v>7.52462480002316</v>
      </c>
      <c r="C31" s="37" t="n">
        <f aca="false">Reference_Values!B31</f>
        <v>7.52462480002316</v>
      </c>
      <c r="D31" s="38" t="n">
        <f aca="false">ABS(B31-C31)</f>
        <v>0</v>
      </c>
      <c r="E31" s="39" t="n">
        <v>1E-009</v>
      </c>
      <c r="F31" s="4" t="str">
        <f aca="false">IF(D31&lt;=E31,"PASS","FAIL")</f>
        <v>PASS</v>
      </c>
    </row>
    <row r="32" customFormat="false" ht="15" hidden="false" customHeight="false" outlineLevel="0" collapsed="false">
      <c r="A32" s="2" t="s">
        <v>652</v>
      </c>
      <c r="B32" s="36" t="n">
        <f aca="false">Sensitivity!D90</f>
        <v>0.90628879695873</v>
      </c>
      <c r="C32" s="37" t="n">
        <f aca="false">Reference_Values!B32</f>
        <v>0.906288796958737</v>
      </c>
      <c r="D32" s="38" t="n">
        <f aca="false">ABS(B32-C32)</f>
        <v>7.105427357601E-015</v>
      </c>
      <c r="E32" s="39" t="n">
        <v>1E-009</v>
      </c>
      <c r="F32" s="4" t="str">
        <f aca="false">IF(D32&lt;=E32,"PASS","FAIL")</f>
        <v>PASS</v>
      </c>
    </row>
    <row r="33" customFormat="false" ht="15" hidden="false" customHeight="false" outlineLevel="0" collapsed="false">
      <c r="A33" s="2" t="s">
        <v>654</v>
      </c>
      <c r="B33" s="36" t="n">
        <f aca="false">Sensitivity!C93</f>
        <v>195</v>
      </c>
      <c r="C33" s="37" t="n">
        <f aca="false">Reference_Values!B33</f>
        <v>195</v>
      </c>
      <c r="D33" s="38" t="n">
        <f aca="false">ABS(B33-C33)</f>
        <v>0</v>
      </c>
      <c r="E33" s="39" t="n">
        <v>0</v>
      </c>
      <c r="F33" s="4" t="str">
        <f aca="false">IF(D33&lt;=E33,"PASS","FAIL")</f>
        <v>PASS</v>
      </c>
    </row>
    <row r="34" customFormat="false" ht="15" hidden="false" customHeight="false" outlineLevel="0" collapsed="false">
      <c r="A34" s="2" t="s">
        <v>656</v>
      </c>
      <c r="B34" s="36" t="n">
        <f aca="false">Sensitivity!B93</f>
        <v>15.5128749346568</v>
      </c>
      <c r="C34" s="37" t="n">
        <f aca="false">Reference_Values!B34</f>
        <v>15.5128749346568</v>
      </c>
      <c r="D34" s="38" t="n">
        <f aca="false">ABS(B34-C34)</f>
        <v>0</v>
      </c>
      <c r="E34" s="39" t="n">
        <v>1E-009</v>
      </c>
      <c r="F34" s="4" t="str">
        <f aca="false">IF(D34&lt;=E34,"PASS","FAIL")</f>
        <v>PASS</v>
      </c>
    </row>
    <row r="35" customFormat="false" ht="15" hidden="false" customHeight="false" outlineLevel="0" collapsed="false">
      <c r="A35" s="2" t="s">
        <v>658</v>
      </c>
      <c r="B35" s="36" t="n">
        <f aca="false">Sensitivity!D93</f>
        <v>3.42197783958993</v>
      </c>
      <c r="C35" s="37" t="n">
        <f aca="false">Reference_Values!B35</f>
        <v>3.42197783958993</v>
      </c>
      <c r="D35" s="38" t="n">
        <f aca="false">ABS(B35-C35)</f>
        <v>0</v>
      </c>
      <c r="E35" s="39" t="n">
        <v>1E-009</v>
      </c>
      <c r="F35" s="4" t="str">
        <f aca="false">IF(D35&lt;=E35,"PASS","FAIL")</f>
        <v>PASS</v>
      </c>
    </row>
    <row r="36" customFormat="false" ht="15" hidden="false" customHeight="false" outlineLevel="0" collapsed="false">
      <c r="A36" s="2" t="s">
        <v>660</v>
      </c>
      <c r="B36" s="36" t="n">
        <f aca="false">Frontier!B5</f>
        <v>23.0893316858253</v>
      </c>
      <c r="C36" s="37" t="n">
        <f aca="false">Reference_Values!B36</f>
        <v>23.0893316858253</v>
      </c>
      <c r="D36" s="38" t="n">
        <f aca="false">ABS(B36-C36)</f>
        <v>0</v>
      </c>
      <c r="E36" s="39" t="n">
        <v>1E-009</v>
      </c>
      <c r="F36" s="4" t="str">
        <f aca="false">IF(D36&lt;=E36,"PASS","FAIL")</f>
        <v>PASS</v>
      </c>
    </row>
    <row r="37" customFormat="false" ht="15" hidden="false" customHeight="false" outlineLevel="0" collapsed="false">
      <c r="A37" s="2" t="s">
        <v>662</v>
      </c>
      <c r="B37" s="36" t="n">
        <f aca="false">Frontier!B9</f>
        <v>17.8608514478064</v>
      </c>
      <c r="C37" s="37" t="n">
        <f aca="false">Reference_Values!B37</f>
        <v>17.8608514478064</v>
      </c>
      <c r="D37" s="38" t="n">
        <f aca="false">ABS(B37-C37)</f>
        <v>0</v>
      </c>
      <c r="E37" s="39" t="n">
        <v>1E-009</v>
      </c>
      <c r="F37" s="4" t="str">
        <f aca="false">IF(D37&lt;=E37,"PASS","FAIL")</f>
        <v>PASS</v>
      </c>
    </row>
    <row r="38" customFormat="false" ht="15" hidden="false" customHeight="false" outlineLevel="0" collapsed="false">
      <c r="A38" s="2" t="s">
        <v>664</v>
      </c>
      <c r="B38" s="36" t="n">
        <f aca="false">Frontier!B33</f>
        <v>6.25363772267894</v>
      </c>
      <c r="C38" s="37" t="n">
        <f aca="false">Reference_Values!B38</f>
        <v>6.25363772267895</v>
      </c>
      <c r="D38" s="38" t="n">
        <f aca="false">ABS(B38-C38)</f>
        <v>0</v>
      </c>
      <c r="E38" s="39" t="n">
        <v>1E-009</v>
      </c>
      <c r="F38" s="4" t="str">
        <f aca="false">IF(D38&lt;=E38,"PASS","FAIL")</f>
        <v>PASS</v>
      </c>
    </row>
    <row r="39" customFormat="false" ht="15" hidden="false" customHeight="false" outlineLevel="0" collapsed="false">
      <c r="A39" s="2" t="s">
        <v>666</v>
      </c>
      <c r="B39" s="36" t="n">
        <f aca="false">Frontier!B41</f>
        <v>4.17137293000762</v>
      </c>
      <c r="C39" s="37" t="n">
        <f aca="false">Reference_Values!B39</f>
        <v>4.17137293000762</v>
      </c>
      <c r="D39" s="38" t="n">
        <f aca="false">ABS(B39-C39)</f>
        <v>0</v>
      </c>
      <c r="E39" s="39" t="n">
        <v>1E-009</v>
      </c>
      <c r="F39" s="4" t="str">
        <f aca="false">IF(D39&lt;=E39,"PASS","FAIL")</f>
        <v>PASS</v>
      </c>
    </row>
    <row r="40" customFormat="false" ht="15" hidden="false" customHeight="false" outlineLevel="0" collapsed="false">
      <c r="A40" s="2" t="s">
        <v>668</v>
      </c>
      <c r="B40" s="36" t="n">
        <f aca="false">Frontier!B49</f>
        <v>3.15</v>
      </c>
      <c r="C40" s="37" t="n">
        <f aca="false">Reference_Values!B40</f>
        <v>3.15</v>
      </c>
      <c r="D40" s="38" t="n">
        <f aca="false">ABS(B40-C40)</f>
        <v>0</v>
      </c>
      <c r="E40" s="39" t="n">
        <v>1E-009</v>
      </c>
      <c r="F40" s="4" t="str">
        <f aca="false">IF(D40&lt;=E40,"PASS","FAIL")</f>
        <v>PASS</v>
      </c>
    </row>
    <row r="41" customFormat="false" ht="15" hidden="false" customHeight="false" outlineLevel="0" collapsed="false">
      <c r="A41" s="2" t="s">
        <v>670</v>
      </c>
      <c r="B41" s="36" t="n">
        <f aca="false">Frontier!B61</f>
        <v>2.25</v>
      </c>
      <c r="C41" s="37" t="n">
        <f aca="false">Reference_Values!B41</f>
        <v>2.25</v>
      </c>
      <c r="D41" s="38" t="n">
        <f aca="false">ABS(B41-C41)</f>
        <v>0</v>
      </c>
      <c r="E41" s="39" t="n">
        <v>1E-009</v>
      </c>
      <c r="F41" s="4" t="str">
        <f aca="false">IF(D41&lt;=E41,"PASS","FAIL")</f>
        <v>PASS</v>
      </c>
    </row>
    <row r="42" customFormat="false" ht="15" hidden="false" customHeight="false" outlineLevel="0" collapsed="false">
      <c r="A42" s="2" t="s">
        <v>672</v>
      </c>
      <c r="B42" s="36" t="n">
        <f aca="false">Frontier!B81</f>
        <v>1.18594115144816</v>
      </c>
      <c r="C42" s="37" t="n">
        <f aca="false">Reference_Values!B42</f>
        <v>1.18594115144817</v>
      </c>
      <c r="D42" s="38" t="n">
        <f aca="false">ABS(B42-C42)</f>
        <v>7.105427357601E-015</v>
      </c>
      <c r="E42" s="39" t="n">
        <v>1E-009</v>
      </c>
      <c r="F42" s="4" t="str">
        <f aca="false">IF(D42&lt;=E42,"PASS","FAIL")</f>
        <v>PASS</v>
      </c>
    </row>
    <row r="43" customFormat="false" ht="15" hidden="false" customHeight="false" outlineLevel="0" collapsed="false">
      <c r="A43" s="2" t="s">
        <v>674</v>
      </c>
      <c r="B43" s="36" t="n">
        <f aca="false">Frontier!B100</f>
        <v>0.0198817269928995</v>
      </c>
      <c r="C43" s="37" t="n">
        <f aca="false">Reference_Values!B43</f>
        <v>0.0198817269929066</v>
      </c>
      <c r="D43" s="38" t="n">
        <f aca="false">ABS(B43-C43)</f>
        <v>7.105427357601E-015</v>
      </c>
      <c r="E43" s="39" t="n">
        <v>1E-009</v>
      </c>
      <c r="F43" s="4" t="str">
        <f aca="false">IF(D43&lt;=E43,"PASS","FAIL")</f>
        <v>PASS</v>
      </c>
    </row>
    <row r="44" customFormat="false" ht="15" hidden="false" customHeight="false" outlineLevel="0" collapsed="false">
      <c r="A44" s="2" t="s">
        <v>676</v>
      </c>
      <c r="B44" s="36" t="n">
        <f aca="false">Frontier!C25</f>
        <v>160</v>
      </c>
      <c r="C44" s="37" t="n">
        <f aca="false">Reference_Values!B44</f>
        <v>160</v>
      </c>
      <c r="D44" s="38" t="n">
        <f aca="false">ABS(B44-C44)</f>
        <v>0</v>
      </c>
      <c r="E44" s="39" t="n">
        <v>0</v>
      </c>
      <c r="F44" s="4" t="str">
        <f aca="false">IF(D44&lt;=E44,"PASS","FAIL")</f>
        <v>PASS</v>
      </c>
    </row>
    <row r="45" customFormat="false" ht="15" hidden="false" customHeight="false" outlineLevel="0" collapsed="false">
      <c r="A45" s="2" t="s">
        <v>678</v>
      </c>
      <c r="B45" s="36" t="n">
        <f aca="false">Frontier!D25</f>
        <v>0.50242645687006</v>
      </c>
      <c r="C45" s="37" t="n">
        <f aca="false">Reference_Values!B45</f>
        <v>0.502426456870059</v>
      </c>
      <c r="D45" s="38" t="n">
        <f aca="false">ABS(B45-C45)</f>
        <v>0</v>
      </c>
      <c r="E45" s="39" t="n">
        <v>1E-009</v>
      </c>
      <c r="F45" s="4" t="str">
        <f aca="false">IF(D45&lt;=E45,"PASS","FAIL")</f>
        <v>PASS</v>
      </c>
    </row>
    <row r="46" customFormat="false" ht="15" hidden="false" customHeight="false" outlineLevel="0" collapsed="false">
      <c r="A46" s="2" t="s">
        <v>680</v>
      </c>
      <c r="B46" s="36" t="n">
        <f aca="false">Frontier!C17</f>
        <v>165</v>
      </c>
      <c r="C46" s="37" t="n">
        <f aca="false">Reference_Values!B46</f>
        <v>165</v>
      </c>
      <c r="D46" s="38" t="n">
        <f aca="false">ABS(B46-C46)</f>
        <v>0</v>
      </c>
      <c r="E46" s="39" t="n">
        <v>0</v>
      </c>
      <c r="F46" s="4" t="str">
        <f aca="false">IF(D46&lt;=E46,"PASS","FAIL")</f>
        <v>PASS</v>
      </c>
    </row>
    <row r="47" customFormat="false" ht="15" hidden="false" customHeight="false" outlineLevel="0" collapsed="false">
      <c r="A47" s="2" t="s">
        <v>682</v>
      </c>
      <c r="B47" s="36" t="n">
        <f aca="false">Frontier!D17</f>
        <v>0.925057198980888</v>
      </c>
      <c r="C47" s="37" t="n">
        <f aca="false">Reference_Values!B47</f>
        <v>0.925057198980888</v>
      </c>
      <c r="D47" s="38" t="n">
        <f aca="false">ABS(B47-C47)</f>
        <v>0</v>
      </c>
      <c r="E47" s="39" t="n">
        <v>1E-009</v>
      </c>
      <c r="F47" s="4" t="str">
        <f aca="false">IF(D47&lt;=E47,"PASS","FAIL")</f>
        <v>PASS</v>
      </c>
    </row>
    <row r="48" customFormat="false" ht="15" hidden="false" customHeight="false" outlineLevel="0" collapsed="false">
      <c r="A48" s="2" t="s">
        <v>684</v>
      </c>
      <c r="B48" s="36" t="n">
        <f aca="false">Frontier!C13</f>
        <v>180</v>
      </c>
      <c r="C48" s="37" t="n">
        <f aca="false">Reference_Values!B48</f>
        <v>180</v>
      </c>
      <c r="D48" s="38" t="n">
        <f aca="false">ABS(B48-C48)</f>
        <v>0</v>
      </c>
      <c r="E48" s="39" t="n">
        <v>0</v>
      </c>
      <c r="F48" s="4" t="str">
        <f aca="false">IF(D48&lt;=E48,"PASS","FAIL")</f>
        <v>PASS</v>
      </c>
    </row>
    <row r="49" customFormat="false" ht="15" hidden="false" customHeight="false" outlineLevel="0" collapsed="false">
      <c r="A49" s="2" t="s">
        <v>685</v>
      </c>
      <c r="B49" s="36" t="n">
        <f aca="false">Frontier!D13</f>
        <v>1.16051551052027</v>
      </c>
      <c r="C49" s="37" t="n">
        <f aca="false">Reference_Values!B49</f>
        <v>1.16051551052027</v>
      </c>
      <c r="D49" s="38" t="n">
        <f aca="false">ABS(B49-C49)</f>
        <v>0</v>
      </c>
      <c r="E49" s="39" t="n">
        <v>1E-009</v>
      </c>
      <c r="F49" s="4" t="str">
        <f aca="false">IF(D49&lt;=E49,"PASS","FAIL")</f>
        <v>PASS</v>
      </c>
    </row>
    <row r="50" customFormat="false" ht="15" hidden="false" customHeight="false" outlineLevel="0" collapsed="false">
      <c r="A50" s="2" t="s">
        <v>686</v>
      </c>
      <c r="B50" s="36" t="n">
        <f aca="false">Frontier!B13</f>
        <v>14.6841240841621</v>
      </c>
      <c r="C50" s="37" t="n">
        <f aca="false">Reference_Values!B50</f>
        <v>14.6841240841621</v>
      </c>
      <c r="D50" s="38" t="n">
        <f aca="false">ABS(B50-C50)</f>
        <v>0</v>
      </c>
      <c r="E50" s="39" t="n">
        <v>1E-009</v>
      </c>
      <c r="F50" s="4" t="str">
        <f aca="false">IF(D50&lt;=E50,"PASS","FAIL")</f>
        <v>PASS</v>
      </c>
    </row>
    <row r="51" customFormat="false" ht="15" hidden="false" customHeight="false" outlineLevel="0" collapsed="false">
      <c r="A51" s="2" t="s">
        <v>153</v>
      </c>
      <c r="B51" s="36" t="n">
        <f aca="false">Frontier!I6</f>
        <v>5.09467317243577</v>
      </c>
      <c r="C51" s="37" t="n">
        <f aca="false">Reference_Values!B51</f>
        <v>5.09467317243577</v>
      </c>
      <c r="D51" s="38" t="n">
        <f aca="false">ABS(B51-C51)</f>
        <v>0</v>
      </c>
      <c r="E51" s="39" t="n">
        <v>1E-009</v>
      </c>
      <c r="F51" s="4" t="str">
        <f aca="false">IF(D51&lt;=E51,"PASS","FAIL")</f>
        <v>PASS</v>
      </c>
    </row>
    <row r="52" customFormat="false" ht="15" hidden="false" customHeight="false" outlineLevel="0" collapsed="false">
      <c r="A52" s="2" t="s">
        <v>689</v>
      </c>
      <c r="B52" s="36" t="n">
        <f aca="false">Frontier!I7</f>
        <v>7.62130731025693</v>
      </c>
      <c r="C52" s="37" t="n">
        <f aca="false">Reference_Values!B52</f>
        <v>7.62130731025693</v>
      </c>
      <c r="D52" s="38" t="n">
        <f aca="false">ABS(B52-C52)</f>
        <v>0</v>
      </c>
      <c r="E52" s="39" t="n">
        <v>1E-009</v>
      </c>
      <c r="F52" s="4" t="str">
        <f aca="false">IF(D52&lt;=E52,"PASS","FAIL")</f>
        <v>PASS</v>
      </c>
    </row>
    <row r="53" customFormat="false" ht="15" hidden="false" customHeight="false" outlineLevel="0" collapsed="false">
      <c r="A53" s="2" t="s">
        <v>154</v>
      </c>
      <c r="B53" s="36" t="n">
        <f aca="false">Frontier!I8</f>
        <v>40.7573853794861</v>
      </c>
      <c r="C53" s="37" t="n">
        <f aca="false">Reference_Values!B53</f>
        <v>40.7573853794861</v>
      </c>
      <c r="D53" s="38" t="n">
        <f aca="false">ABS(B53-C53)</f>
        <v>0</v>
      </c>
      <c r="E53" s="39" t="n">
        <v>1E-009</v>
      </c>
      <c r="F53" s="4" t="str">
        <f aca="false">IF(D53&lt;=E53,"PASS","FAIL")</f>
        <v>PASS</v>
      </c>
    </row>
    <row r="54" customFormat="false" ht="15" hidden="false" customHeight="false" outlineLevel="0" collapsed="false">
      <c r="A54" s="2" t="s">
        <v>692</v>
      </c>
      <c r="B54" s="36" t="n">
        <f aca="false">Frontier!I10</f>
        <v>30.3167744880731</v>
      </c>
      <c r="C54" s="37" t="n">
        <f aca="false">Reference_Values!B54</f>
        <v>30.3167744880731</v>
      </c>
      <c r="D54" s="38" t="n">
        <f aca="false">ABS(B54-C54)</f>
        <v>0</v>
      </c>
      <c r="E54" s="39" t="n">
        <v>1E-009</v>
      </c>
      <c r="F54" s="4" t="str">
        <f aca="false">IF(D54&lt;=E54,"PASS","FAIL")</f>
        <v>PASS</v>
      </c>
    </row>
    <row r="55" customFormat="false" ht="15" hidden="false" customHeight="false" outlineLevel="0" collapsed="false">
      <c r="A55" s="2" t="s">
        <v>694</v>
      </c>
      <c r="B55" s="36" t="n">
        <f aca="false">Frontier!I14</f>
        <v>19</v>
      </c>
      <c r="C55" s="37" t="n">
        <f aca="false">Reference_Values!B55</f>
        <v>19</v>
      </c>
      <c r="D55" s="38" t="n">
        <f aca="false">ABS(B55-C55)</f>
        <v>0</v>
      </c>
      <c r="E55" s="39" t="n">
        <v>1E-009</v>
      </c>
      <c r="F55" s="4" t="str">
        <f aca="false">IF(D55&lt;=E55,"PASS","FAIL")</f>
        <v>PASS</v>
      </c>
    </row>
    <row r="56" customFormat="false" ht="15" hidden="false" customHeight="false" outlineLevel="0" collapsed="false">
      <c r="A56" s="2" t="s">
        <v>696</v>
      </c>
      <c r="B56" s="36" t="n">
        <f aca="false">Frontier!I16</f>
        <v>14.668098117088</v>
      </c>
      <c r="C56" s="37" t="n">
        <f aca="false">Reference_Values!B56</f>
        <v>14.668098117088</v>
      </c>
      <c r="D56" s="38" t="n">
        <f aca="false">ABS(B56-C56)</f>
        <v>0</v>
      </c>
      <c r="E56" s="39" t="n">
        <v>1E-009</v>
      </c>
      <c r="F56" s="4" t="str">
        <f aca="false">IF(D56&lt;=E56,"PASS","FAIL")</f>
        <v>PASS</v>
      </c>
    </row>
    <row r="57" customFormat="false" ht="15" hidden="false" customHeight="false" outlineLevel="0" collapsed="false">
      <c r="A57" s="2" t="s">
        <v>698</v>
      </c>
      <c r="B57" s="36" t="n">
        <f aca="false">Frontier!I20</f>
        <v>18.8803675829439</v>
      </c>
      <c r="C57" s="37" t="n">
        <f aca="false">Reference_Values!B57</f>
        <v>18.880367582944</v>
      </c>
      <c r="D57" s="38" t="n">
        <f aca="false">ABS(B57-C57)</f>
        <v>0</v>
      </c>
      <c r="E57" s="39" t="n">
        <v>1E-009</v>
      </c>
      <c r="F57" s="4" t="str">
        <f aca="false">IF(D57&lt;=E57,"PASS","FAIL")</f>
        <v>PASS</v>
      </c>
    </row>
    <row r="58" customFormat="false" ht="15" hidden="false" customHeight="false" outlineLevel="0" collapsed="false">
      <c r="A58" s="2" t="s">
        <v>700</v>
      </c>
      <c r="B58" s="36" t="n">
        <f aca="false">Frontier!I23</f>
        <v>13.2968910603644</v>
      </c>
      <c r="C58" s="37" t="n">
        <f aca="false">Reference_Values!B58</f>
        <v>13.2968910603644</v>
      </c>
      <c r="D58" s="38" t="n">
        <f aca="false">ABS(B58-C58)</f>
        <v>0</v>
      </c>
      <c r="E58" s="39" t="n">
        <v>1E-009</v>
      </c>
      <c r="F58" s="4" t="str">
        <f aca="false">IF(D58&lt;=E58,"PASS","FAIL")</f>
        <v>PASS</v>
      </c>
    </row>
    <row r="59" customFormat="false" ht="15" hidden="false" customHeight="false" outlineLevel="0" collapsed="false">
      <c r="A59" s="2" t="s">
        <v>702</v>
      </c>
      <c r="B59" s="36" t="n">
        <f aca="false">Frontier!I24</f>
        <v>1.28711138254555</v>
      </c>
      <c r="C59" s="37" t="n">
        <f aca="false">Reference_Values!B59</f>
        <v>1.28711138254555</v>
      </c>
      <c r="D59" s="38" t="n">
        <f aca="false">ABS(B59-C59)</f>
        <v>0</v>
      </c>
      <c r="E59" s="39" t="n">
        <v>1E-009</v>
      </c>
      <c r="F59" s="4" t="str">
        <f aca="false">IF(D59&lt;=E59,"PASS","FAIL")</f>
        <v>PASS</v>
      </c>
    </row>
    <row r="60" customFormat="false" ht="15" hidden="false" customHeight="false" outlineLevel="0" collapsed="false">
      <c r="A60" s="2" t="s">
        <v>703</v>
      </c>
      <c r="B60" s="36" t="n">
        <f aca="false">Frontier!I25</f>
        <v>2.85628016895142</v>
      </c>
      <c r="C60" s="37" t="n">
        <f aca="false">Reference_Values!B60</f>
        <v>2.85628016895142</v>
      </c>
      <c r="D60" s="38" t="n">
        <f aca="false">ABS(B60-C60)</f>
        <v>0</v>
      </c>
      <c r="E60" s="39" t="n">
        <v>1E-009</v>
      </c>
      <c r="F60" s="4" t="str">
        <f aca="false">IF(D60&lt;=E60,"PASS","FAIL")</f>
        <v>PASS</v>
      </c>
    </row>
    <row r="61" customFormat="false" ht="15" hidden="false" customHeight="false" outlineLevel="0" collapsed="false">
      <c r="A61" s="2" t="s">
        <v>705</v>
      </c>
      <c r="B61" s="36" t="n">
        <f aca="false">Delay!R10</f>
        <v>3.81698994797524</v>
      </c>
      <c r="C61" s="37" t="n">
        <f aca="false">Reference_Values!B61</f>
        <v>3.81698994797524</v>
      </c>
      <c r="D61" s="38" t="n">
        <f aca="false">ABS(B61-C61)</f>
        <v>0</v>
      </c>
      <c r="E61" s="39" t="n">
        <v>1E-009</v>
      </c>
      <c r="F61" s="4" t="str">
        <f aca="false">IF(D61&lt;=E61,"PASS","FAIL")</f>
        <v>PASS</v>
      </c>
    </row>
    <row r="62" customFormat="false" ht="15" hidden="false" customHeight="false" outlineLevel="0" collapsed="false">
      <c r="A62" s="2" t="s">
        <v>707</v>
      </c>
      <c r="B62" s="36" t="n">
        <f aca="false">Delay!R25</f>
        <v>1.28711138254555</v>
      </c>
      <c r="C62" s="37" t="n">
        <f aca="false">Reference_Values!B62</f>
        <v>1.28711138254555</v>
      </c>
      <c r="D62" s="38" t="n">
        <f aca="false">ABS(B62-C62)</f>
        <v>0</v>
      </c>
      <c r="E62" s="39" t="n">
        <v>1E-009</v>
      </c>
      <c r="F62" s="4" t="str">
        <f aca="false">IF(D62&lt;=E62,"PASS","FAIL")</f>
        <v>PASS</v>
      </c>
    </row>
    <row r="63" customFormat="false" ht="15" hidden="false" customHeight="false" outlineLevel="0" collapsed="false">
      <c r="A63" s="2" t="s">
        <v>708</v>
      </c>
      <c r="B63" s="36" t="n">
        <f aca="false">Delay!R55</f>
        <v>0.566758590696725</v>
      </c>
      <c r="C63" s="37" t="n">
        <f aca="false">Reference_Values!B63</f>
        <v>0.566758590696725</v>
      </c>
      <c r="D63" s="38" t="n">
        <f aca="false">ABS(B63-C63)</f>
        <v>0</v>
      </c>
      <c r="E63" s="39" t="n">
        <v>1E-009</v>
      </c>
      <c r="F63" s="4" t="str">
        <f aca="false">IF(D63&lt;=E63,"PASS","FAIL")</f>
        <v>PASS</v>
      </c>
    </row>
    <row r="64" customFormat="false" ht="15" hidden="false" customHeight="false" outlineLevel="0" collapsed="false">
      <c r="A64" s="2" t="s">
        <v>710</v>
      </c>
      <c r="B64" s="36" t="n">
        <f aca="false">WeightSweep!B106</f>
        <v>30</v>
      </c>
      <c r="C64" s="37" t="n">
        <f aca="false">Reference_Values!B64</f>
        <v>30</v>
      </c>
      <c r="D64" s="38" t="n">
        <f aca="false">ABS(B64-C64)</f>
        <v>0</v>
      </c>
      <c r="E64" s="39" t="n">
        <v>1E-006</v>
      </c>
      <c r="F64" s="4" t="str">
        <f aca="false">IF(D64&lt;=E64,"PASS","FAIL")</f>
        <v>PASS</v>
      </c>
    </row>
    <row r="65" customFormat="false" ht="15" hidden="false" customHeight="false" outlineLevel="0" collapsed="false">
      <c r="A65" s="2" t="s">
        <v>712</v>
      </c>
      <c r="B65" s="36" t="n">
        <f aca="false">WeightSweep!B107</f>
        <v>1.75</v>
      </c>
      <c r="C65" s="37" t="n">
        <f aca="false">Reference_Values!B65</f>
        <v>1.75</v>
      </c>
      <c r="D65" s="38" t="n">
        <f aca="false">ABS(B65-C65)</f>
        <v>0</v>
      </c>
      <c r="E65" s="39" t="n">
        <v>1E-009</v>
      </c>
      <c r="F65" s="4" t="str">
        <f aca="false">IF(D65&lt;=E65,"PASS","FAIL")</f>
        <v>PASS</v>
      </c>
    </row>
    <row r="66" customFormat="false" ht="15" hidden="false" customHeight="false" outlineLevel="0" collapsed="false">
      <c r="A66" s="2" t="s">
        <v>713</v>
      </c>
      <c r="B66" s="36" t="n">
        <f aca="false">WeightSweep!B108</f>
        <v>1.95</v>
      </c>
      <c r="C66" s="37" t="n">
        <f aca="false">Reference_Values!B66</f>
        <v>1.95</v>
      </c>
      <c r="D66" s="38" t="n">
        <f aca="false">ABS(B66-C66)</f>
        <v>0</v>
      </c>
      <c r="E66" s="39" t="n">
        <v>1E-009</v>
      </c>
      <c r="F66" s="4" t="str">
        <f aca="false">IF(D66&lt;=E66,"PASS","FAIL")</f>
        <v>PASS</v>
      </c>
    </row>
    <row r="67" customFormat="false" ht="15" hidden="false" customHeight="false" outlineLevel="0" collapsed="false">
      <c r="A67" s="2" t="s">
        <v>714</v>
      </c>
      <c r="B67" s="36" t="n">
        <f aca="false">WeightSweep!B109</f>
        <v>1.7</v>
      </c>
      <c r="C67" s="37" t="n">
        <f aca="false">Reference_Values!B67</f>
        <v>1.7</v>
      </c>
      <c r="D67" s="38" t="n">
        <f aca="false">ABS(B67-C67)</f>
        <v>0</v>
      </c>
      <c r="E67" s="39" t="n">
        <v>1E-009</v>
      </c>
      <c r="F67" s="4" t="str">
        <f aca="false">IF(D67&lt;=E67,"PASS","FAIL")</f>
        <v>PASS</v>
      </c>
    </row>
    <row r="68" customFormat="false" ht="15" hidden="false" customHeight="false" outlineLevel="0" collapsed="false">
      <c r="A68" s="2" t="s">
        <v>715</v>
      </c>
      <c r="B68" s="36" t="n">
        <f aca="false">WeightSweep!B111</f>
        <v>0.001944157016462</v>
      </c>
      <c r="C68" s="37" t="n">
        <f aca="false">Reference_Values!B68</f>
        <v>0.001944157016462</v>
      </c>
      <c r="D68" s="38" t="n">
        <f aca="false">ABS(B68-C68)</f>
        <v>0</v>
      </c>
      <c r="E68" s="39" t="n">
        <v>1E-009</v>
      </c>
      <c r="F68" s="4" t="str">
        <f aca="false">IF(D68&lt;=E68,"PASS","FAIL")</f>
        <v>PASS</v>
      </c>
    </row>
    <row r="69" customFormat="false" ht="15" hidden="false" customHeight="false" outlineLevel="0" collapsed="false">
      <c r="A69" s="2" t="s">
        <v>716</v>
      </c>
      <c r="B69" s="36" t="n">
        <f aca="false">Audit!B18</f>
        <v>2.60598659897682</v>
      </c>
      <c r="C69" s="37" t="n">
        <f aca="false">Reference_Values!B69</f>
        <v>2.60598659897682</v>
      </c>
      <c r="D69" s="38" t="n">
        <f aca="false">ABS(B69-C69)</f>
        <v>0</v>
      </c>
      <c r="E69" s="39" t="n">
        <v>1E-009</v>
      </c>
      <c r="F69" s="4" t="str">
        <f aca="false">IF(D69&lt;=E69,"PASS","FAIL")</f>
        <v>PASS</v>
      </c>
    </row>
    <row r="70" customFormat="false" ht="15" hidden="false" customHeight="false" outlineLevel="0" collapsed="false">
      <c r="A70" s="2" t="s">
        <v>718</v>
      </c>
      <c r="B70" s="36" t="n">
        <f aca="false">Audit!B21</f>
        <v>17.8608514478064</v>
      </c>
      <c r="C70" s="37" t="n">
        <f aca="false">Reference_Values!B70</f>
        <v>17.8608514478064</v>
      </c>
      <c r="D70" s="38" t="n">
        <f aca="false">ABS(B70-C70)</f>
        <v>0</v>
      </c>
      <c r="E70" s="39" t="n">
        <v>1E-009</v>
      </c>
      <c r="F70" s="4" t="str">
        <f aca="false">IF(D70&lt;=E70,"PASS","FAIL")</f>
        <v>PASS</v>
      </c>
    </row>
    <row r="71" customFormat="false" ht="15" hidden="false" customHeight="false" outlineLevel="0" collapsed="false">
      <c r="A71" s="2" t="s">
        <v>719</v>
      </c>
      <c r="B71" s="36" t="n">
        <f aca="false">Audit!B23</f>
        <v>23.8478927918146</v>
      </c>
      <c r="C71" s="37" t="n">
        <f aca="false">Reference_Values!B71</f>
        <v>23.8478927918146</v>
      </c>
      <c r="D71" s="38" t="n">
        <f aca="false">ABS(B71-C71)</f>
        <v>0</v>
      </c>
      <c r="E71" s="39" t="n">
        <v>1E-009</v>
      </c>
      <c r="F71" s="4" t="str">
        <f aca="false">IF(D71&lt;=E71,"PASS","FAIL")</f>
        <v>PASS</v>
      </c>
    </row>
    <row r="72" customFormat="false" ht="15" hidden="false" customHeight="false" outlineLevel="0" collapsed="false">
      <c r="A72" s="2" t="s">
        <v>720</v>
      </c>
      <c r="B72" s="36" t="n">
        <f aca="false">Audit!B42</f>
        <v>8</v>
      </c>
      <c r="C72" s="37" t="n">
        <f aca="false">Reference_Values!B72</f>
        <v>8</v>
      </c>
      <c r="D72" s="38" t="n">
        <f aca="false">ABS(B72-C72)</f>
        <v>0</v>
      </c>
      <c r="E72" s="39" t="n">
        <v>0</v>
      </c>
      <c r="F72" s="4" t="str">
        <f aca="false">IF(D72&lt;=E72,"PASS","FAIL")</f>
        <v>PASS</v>
      </c>
    </row>
    <row r="73" customFormat="false" ht="15" hidden="false" customHeight="false" outlineLevel="0" collapsed="false">
      <c r="A73" s="2" t="s">
        <v>721</v>
      </c>
      <c r="B73" s="36" t="n">
        <f aca="false">Allocation!B11</f>
        <v>-11.78</v>
      </c>
      <c r="C73" s="37" t="n">
        <f aca="false">Reference_Values!B73</f>
        <v>-11.78</v>
      </c>
      <c r="D73" s="38" t="n">
        <f aca="false">ABS(B73-C73)</f>
        <v>0</v>
      </c>
      <c r="E73" s="39" t="n">
        <v>1E-009</v>
      </c>
      <c r="F73" s="4" t="str">
        <f aca="false">IF(D73&lt;=E73,"PASS","FAIL")</f>
        <v>PASS</v>
      </c>
    </row>
    <row r="74" customFormat="false" ht="15" hidden="false" customHeight="false" outlineLevel="0" collapsed="false">
      <c r="A74" s="2" t="s">
        <v>723</v>
      </c>
      <c r="B74" s="36" t="n">
        <f aca="false">Allocation!C12</f>
        <v>1.62857142857143</v>
      </c>
      <c r="C74" s="37" t="n">
        <f aca="false">Reference_Values!B74</f>
        <v>1.62857142857143</v>
      </c>
      <c r="D74" s="38" t="n">
        <f aca="false">ABS(B74-C74)</f>
        <v>0</v>
      </c>
      <c r="E74" s="39" t="n">
        <v>1E-009</v>
      </c>
      <c r="F74" s="4" t="str">
        <f aca="false">IF(D74&lt;=E74,"PASS","FAIL")</f>
        <v>PASS</v>
      </c>
    </row>
    <row r="75" customFormat="false" ht="15" hidden="false" customHeight="false" outlineLevel="0" collapsed="false">
      <c r="A75" s="2" t="s">
        <v>724</v>
      </c>
      <c r="B75" s="36" t="n">
        <f aca="false">Allocation!D12</f>
        <v>4.37142857142857</v>
      </c>
      <c r="C75" s="37" t="n">
        <f aca="false">Reference_Values!B75</f>
        <v>4.37142857142857</v>
      </c>
      <c r="D75" s="38" t="n">
        <f aca="false">ABS(B75-C75)</f>
        <v>0</v>
      </c>
      <c r="E75" s="39" t="n">
        <v>1E-009</v>
      </c>
      <c r="F75" s="4" t="str">
        <f aca="false">IF(D75&lt;=E75,"PASS","FAIL")</f>
        <v>PASS</v>
      </c>
    </row>
    <row r="76" customFormat="false" ht="15" hidden="false" customHeight="false" outlineLevel="0" collapsed="false">
      <c r="A76" s="2" t="s">
        <v>725</v>
      </c>
      <c r="B76" s="36" t="n">
        <f aca="false">Allocation!B14</f>
        <v>296.993481326039</v>
      </c>
      <c r="C76" s="37" t="n">
        <f aca="false">Reference_Values!B76</f>
        <v>296.993481326039</v>
      </c>
      <c r="D76" s="38" t="n">
        <f aca="false">ABS(B76-C76)</f>
        <v>0</v>
      </c>
      <c r="E76" s="39" t="n">
        <v>1E-009</v>
      </c>
      <c r="F76" s="4" t="str">
        <f aca="false">IF(D76&lt;=E76,"PASS","FAIL")</f>
        <v>PASS</v>
      </c>
    </row>
    <row r="77" customFormat="false" ht="15" hidden="false" customHeight="false" outlineLevel="0" collapsed="false">
      <c r="A77" s="2" t="s">
        <v>726</v>
      </c>
      <c r="B77" s="36" t="n">
        <f aca="false">Allocation!B17</f>
        <v>3.9826712055216</v>
      </c>
      <c r="C77" s="37" t="n">
        <f aca="false">Reference_Values!B77</f>
        <v>3.9826712055216</v>
      </c>
      <c r="D77" s="38" t="n">
        <f aca="false">ABS(B77-C77)</f>
        <v>0</v>
      </c>
      <c r="E77" s="39" t="n">
        <v>1E-009</v>
      </c>
      <c r="F77" s="4" t="str">
        <f aca="false">IF(D77&lt;=E77,"PASS","FAIL")</f>
        <v>PASS</v>
      </c>
    </row>
    <row r="78" customFormat="false" ht="15" hidden="false" customHeight="false" outlineLevel="0" collapsed="false">
      <c r="A78" s="2" t="s">
        <v>727</v>
      </c>
      <c r="B78" s="36" t="n">
        <f aca="false">Allocation!B18</f>
        <v>1.70976190965905</v>
      </c>
      <c r="C78" s="37" t="n">
        <f aca="false">Reference_Values!B78</f>
        <v>1.70976190965905</v>
      </c>
      <c r="D78" s="38" t="n">
        <f aca="false">ABS(B78-C78)</f>
        <v>0</v>
      </c>
      <c r="E78" s="39" t="n">
        <v>1E-009</v>
      </c>
      <c r="F78" s="4" t="str">
        <f aca="false">IF(D78&lt;=E78,"PASS","FAIL")</f>
        <v>PASS</v>
      </c>
    </row>
    <row r="79" customFormat="false" ht="15" hidden="false" customHeight="false" outlineLevel="0" collapsed="false">
      <c r="A79" s="2" t="s">
        <v>729</v>
      </c>
      <c r="B79" s="36" t="n">
        <f aca="false">Allocation!B23</f>
        <v>3.97132071965029</v>
      </c>
      <c r="C79" s="37" t="n">
        <f aca="false">Reference_Values!B79</f>
        <v>3.97132071965035</v>
      </c>
      <c r="D79" s="38" t="n">
        <f aca="false">ABS(B79-C79)</f>
        <v>5.6399329650958E-014</v>
      </c>
      <c r="E79" s="39" t="n">
        <v>1E-009</v>
      </c>
      <c r="F79" s="4" t="str">
        <f aca="false">IF(D79&lt;=E79,"PASS","FAIL")</f>
        <v>PASS</v>
      </c>
    </row>
    <row r="80" customFormat="false" ht="15" hidden="false" customHeight="false" outlineLevel="0" collapsed="false">
      <c r="A80" s="2" t="s">
        <v>731</v>
      </c>
      <c r="B80" s="36" t="n">
        <f aca="false">RollingPlans!B7</f>
        <v>150</v>
      </c>
      <c r="C80" s="37" t="n">
        <f aca="false">Reference_Values!B80</f>
        <v>150</v>
      </c>
      <c r="D80" s="38" t="n">
        <f aca="false">ABS(B80-C80)</f>
        <v>0</v>
      </c>
      <c r="E80" s="39" t="n">
        <v>1E-009</v>
      </c>
      <c r="F80" s="4" t="str">
        <f aca="false">IF(D80&lt;=E80,"PASS","FAIL")</f>
        <v>PASS</v>
      </c>
    </row>
    <row r="81" customFormat="false" ht="15" hidden="false" customHeight="false" outlineLevel="0" collapsed="false">
      <c r="A81" s="2" t="s">
        <v>733</v>
      </c>
      <c r="B81" s="36" t="n">
        <f aca="false">RollingPlans!B19</f>
        <v>4</v>
      </c>
      <c r="C81" s="37" t="n">
        <f aca="false">Reference_Values!B81</f>
        <v>4</v>
      </c>
      <c r="D81" s="38" t="n">
        <f aca="false">ABS(B81-C81)</f>
        <v>0</v>
      </c>
      <c r="E81" s="39" t="n">
        <v>0</v>
      </c>
      <c r="F81" s="4" t="str">
        <f aca="false">IF(D81&lt;=E81,"PASS","FAIL")</f>
        <v>PASS</v>
      </c>
    </row>
    <row r="82" customFormat="false" ht="15" hidden="false" customHeight="false" outlineLevel="0" collapsed="false">
      <c r="A82" s="2" t="s">
        <v>735</v>
      </c>
      <c r="B82" s="36" t="n">
        <f aca="false">RollingPlans!E12</f>
        <v>40</v>
      </c>
      <c r="C82" s="37" t="n">
        <f aca="false">Reference_Values!B82</f>
        <v>40</v>
      </c>
      <c r="D82" s="38" t="n">
        <f aca="false">ABS(B82-C82)</f>
        <v>0</v>
      </c>
      <c r="E82" s="39" t="n">
        <v>1E-006</v>
      </c>
      <c r="F82" s="4" t="str">
        <f aca="false">IF(D82&lt;=E82,"PASS","FAIL")</f>
        <v>PASS</v>
      </c>
    </row>
    <row r="83" customFormat="false" ht="15" hidden="false" customHeight="false" outlineLevel="0" collapsed="false">
      <c r="A83" s="2" t="s">
        <v>737</v>
      </c>
      <c r="B83" s="36" t="n">
        <f aca="false">RollingPlans!D13</f>
        <v>60</v>
      </c>
      <c r="C83" s="37" t="n">
        <f aca="false">Reference_Values!B83</f>
        <v>60</v>
      </c>
      <c r="D83" s="38" t="n">
        <f aca="false">ABS(B83-C83)</f>
        <v>0</v>
      </c>
      <c r="E83" s="39" t="n">
        <v>1E-006</v>
      </c>
      <c r="F83" s="4" t="str">
        <f aca="false">IF(D83&lt;=E83,"PASS","FAIL")</f>
        <v>PASS</v>
      </c>
    </row>
    <row r="84" customFormat="false" ht="15" hidden="false" customHeight="false" outlineLevel="0" collapsed="false">
      <c r="A84" s="2" t="s">
        <v>739</v>
      </c>
      <c r="B84" s="36" t="n">
        <f aca="false">RollingPlans!B20</f>
        <v>5</v>
      </c>
      <c r="C84" s="37" t="n">
        <f aca="false">Reference_Values!B84</f>
        <v>5</v>
      </c>
      <c r="D84" s="38" t="n">
        <f aca="false">ABS(B84-C84)</f>
        <v>0</v>
      </c>
      <c r="E84" s="39" t="n">
        <v>0</v>
      </c>
      <c r="F84" s="4" t="str">
        <f aca="false">IF(D84&lt;=E84,"PASS","FAIL")</f>
        <v>PASS</v>
      </c>
    </row>
    <row r="85" customFormat="false" ht="15" hidden="false" customHeight="false" outlineLevel="0" collapsed="false">
      <c r="A85" s="2" t="s">
        <v>740</v>
      </c>
      <c r="B85" s="36" t="n">
        <f aca="false">Architecture!B7</f>
        <v>0.0798038616519728</v>
      </c>
      <c r="C85" s="37" t="n">
        <f aca="false">Reference_Values!B85</f>
        <v>0.0798038616519728</v>
      </c>
      <c r="D85" s="38" t="n">
        <f aca="false">ABS(B85-C85)</f>
        <v>0</v>
      </c>
      <c r="E85" s="39" t="n">
        <v>1E-009</v>
      </c>
      <c r="F85" s="4" t="str">
        <f aca="false">IF(D85&lt;=E85,"PASS","FAIL")</f>
        <v>PASS</v>
      </c>
    </row>
    <row r="86" customFormat="false" ht="15" hidden="false" customHeight="false" outlineLevel="0" collapsed="false">
      <c r="A86" s="2" t="s">
        <v>742</v>
      </c>
      <c r="B86" s="36" t="n">
        <f aca="false">Architecture!B8</f>
        <v>-1.90273138400435</v>
      </c>
      <c r="C86" s="37" t="n">
        <f aca="false">Reference_Values!B86</f>
        <v>-1.90273138400435</v>
      </c>
      <c r="D86" s="38" t="n">
        <f aca="false">ABS(B86-C86)</f>
        <v>0</v>
      </c>
      <c r="E86" s="39" t="n">
        <v>1E-009</v>
      </c>
      <c r="F86" s="4" t="str">
        <f aca="false">IF(D86&lt;=E86,"PASS","FAIL")</f>
        <v>PASS</v>
      </c>
    </row>
    <row r="87" customFormat="false" ht="15" hidden="false" customHeight="false" outlineLevel="0" collapsed="false">
      <c r="A87" s="2" t="s">
        <v>744</v>
      </c>
      <c r="B87" s="36" t="n">
        <f aca="false">Architecture!B9</f>
        <v>0.0190273138400435</v>
      </c>
      <c r="C87" s="37" t="n">
        <f aca="false">Reference_Values!B87</f>
        <v>0.0190273138400435</v>
      </c>
      <c r="D87" s="38" t="n">
        <f aca="false">ABS(B87-C87)</f>
        <v>0</v>
      </c>
      <c r="E87" s="39" t="n">
        <v>1E-009</v>
      </c>
      <c r="F87" s="4" t="str">
        <f aca="false">IF(D87&lt;=E87,"PASS","FAIL")</f>
        <v>PASS</v>
      </c>
    </row>
    <row r="88" customFormat="false" ht="15" hidden="false" customHeight="false" outlineLevel="0" collapsed="false">
      <c r="A88" s="2" t="s">
        <v>746</v>
      </c>
      <c r="B88" s="36" t="n">
        <f aca="false">Architecture!C18</f>
        <v>2</v>
      </c>
      <c r="C88" s="37" t="n">
        <f aca="false">Reference_Values!B88</f>
        <v>2</v>
      </c>
      <c r="D88" s="38" t="n">
        <f aca="false">ABS(B88-C88)</f>
        <v>0</v>
      </c>
      <c r="E88" s="39" t="n">
        <v>1E-009</v>
      </c>
      <c r="F88" s="4" t="str">
        <f aca="false">IF(D88&lt;=E88,"PASS","FAIL")</f>
        <v>PASS</v>
      </c>
    </row>
    <row r="89" customFormat="false" ht="15" hidden="false" customHeight="false" outlineLevel="0" collapsed="false">
      <c r="A89" s="2" t="s">
        <v>748</v>
      </c>
      <c r="B89" s="36" t="n">
        <f aca="false">Architecture!C19</f>
        <v>5</v>
      </c>
      <c r="C89" s="37" t="n">
        <f aca="false">Reference_Values!B89</f>
        <v>5</v>
      </c>
      <c r="D89" s="38" t="n">
        <f aca="false">ABS(B89-C89)</f>
        <v>0</v>
      </c>
      <c r="E89" s="39" t="n">
        <v>1E-009</v>
      </c>
      <c r="F89" s="4" t="str">
        <f aca="false">IF(D89&lt;=E89,"PASS","FAIL")</f>
        <v>PASS</v>
      </c>
    </row>
    <row r="90" customFormat="false" ht="15" hidden="false" customHeight="false" outlineLevel="0" collapsed="false">
      <c r="A90" s="2" t="s">
        <v>750</v>
      </c>
      <c r="B90" s="36" t="n">
        <f aca="false">Architecture!C20</f>
        <v>20</v>
      </c>
      <c r="C90" s="37" t="n">
        <f aca="false">Reference_Values!B90</f>
        <v>20</v>
      </c>
      <c r="D90" s="38" t="n">
        <f aca="false">ABS(B90-C90)</f>
        <v>0</v>
      </c>
      <c r="E90" s="39" t="n">
        <v>1E-009</v>
      </c>
      <c r="F90" s="4" t="str">
        <f aca="false">IF(D90&lt;=E90,"PASS","FAIL")</f>
        <v>PASS</v>
      </c>
    </row>
    <row r="91" customFormat="false" ht="15" hidden="false" customHeight="false" outlineLevel="0" collapsed="false">
      <c r="A91" s="2" t="s">
        <v>752</v>
      </c>
      <c r="B91" s="36" t="n">
        <f aca="false">Architecture!D18</f>
        <v>1</v>
      </c>
      <c r="C91" s="37" t="n">
        <f aca="false">Reference_Values!B91</f>
        <v>1</v>
      </c>
      <c r="D91" s="38" t="n">
        <f aca="false">ABS(B91-C91)</f>
        <v>0</v>
      </c>
      <c r="E91" s="39" t="n">
        <v>1E-009</v>
      </c>
      <c r="F91" s="4" t="str">
        <f aca="false">IF(D91&lt;=E91,"PASS","FAIL")</f>
        <v>PASS</v>
      </c>
    </row>
    <row r="92" customFormat="false" ht="15" hidden="false" customHeight="false" outlineLevel="0" collapsed="false">
      <c r="A92" s="2" t="s">
        <v>754</v>
      </c>
      <c r="B92" s="36" t="n">
        <f aca="false">Architecture!D19</f>
        <v>4</v>
      </c>
      <c r="C92" s="37" t="n">
        <f aca="false">Reference_Values!B92</f>
        <v>4</v>
      </c>
      <c r="D92" s="38" t="n">
        <f aca="false">ABS(B92-C92)</f>
        <v>0</v>
      </c>
      <c r="E92" s="39" t="n">
        <v>1E-009</v>
      </c>
      <c r="F92" s="4" t="str">
        <f aca="false">IF(D92&lt;=E92,"PASS","FAIL")</f>
        <v>PASS</v>
      </c>
    </row>
    <row r="93" customFormat="false" ht="15" hidden="false" customHeight="false" outlineLevel="0" collapsed="false">
      <c r="A93" s="2" t="s">
        <v>756</v>
      </c>
      <c r="B93" s="36" t="n">
        <f aca="false">Architecture!D20</f>
        <v>19</v>
      </c>
      <c r="C93" s="37" t="n">
        <f aca="false">Reference_Values!B93</f>
        <v>19</v>
      </c>
      <c r="D93" s="38" t="n">
        <f aca="false">ABS(B93-C93)</f>
        <v>0</v>
      </c>
      <c r="E93" s="39" t="n">
        <v>1E-009</v>
      </c>
      <c r="F93" s="4" t="str">
        <f aca="false">IF(D93&lt;=E93,"PASS","FAIL")</f>
        <v>PASS</v>
      </c>
    </row>
    <row r="95" customFormat="false" ht="15" hidden="false" customHeight="false" outlineLevel="0" collapsed="false">
      <c r="A95" s="4" t="s">
        <v>762</v>
      </c>
      <c r="F95" s="4" t="str">
        <f aca="false">IF(COUNTIF(F2:F93,"PASS")=92,"ALL PASS","CHECK")</f>
        <v>ALL 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2026-10-05T08:39:10Z</dcterms:created>
  <dc:creator>openpyxl</dc:creator>
  <dc:description/>
  <dc:language>en-US</dc:language>
  <cp:lastModifiedBy/>
  <dcterms:modified xsi:type="dcterms:W3CDTF">2026-10-05T08:39:11Z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