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eclarations" sheetId="2" state="visible" r:id="rId4"/>
    <sheet name="Framework" sheetId="3" state="visible" r:id="rId5"/>
    <sheet name="Scorecard" sheetId="4" state="visible" r:id="rId6"/>
    <sheet name="R1_Inventory" sheetId="5" state="visible" r:id="rId7"/>
    <sheet name="Quantiles" sheetId="6" state="visible" r:id="rId8"/>
    <sheet name="R2_Consistency" sheetId="7" state="visible" r:id="rId9"/>
    <sheet name="R3_Panel" sheetId="8" state="visible" r:id="rId10"/>
    <sheet name="DigitalTwin" sheetId="9" state="visible" r:id="rId11"/>
    <sheet name="R4_Horizon" sheetId="10" state="visible" r:id="rId12"/>
    <sheet name="Certificate" sheetId="11" state="visible" r:id="rId13"/>
    <sheet name="Dependencies" sheetId="12" state="visible" r:id="rId14"/>
    <sheet name="Citations" sheetId="13" state="visible" r:id="rId15"/>
    <sheet name="Export" sheetId="14" state="visible" r:id="rId16"/>
    <sheet name="Reference_Values" sheetId="15" state="visible" r:id="rId17"/>
    <sheet name="Checks" sheetId="16" state="visible" r:id="rId18"/>
  </sheets>
  <definedNames>
    <definedName function="false" hidden="false" name="Appetite" vbProcedure="false">Declarations!$B$17</definedName>
    <definedName function="false" hidden="false" name="A_e" vbProcedure="false">Declarations!$B$30</definedName>
    <definedName function="false" hidden="false" name="Band_cap" vbProcedure="false">Declarations!$B$28</definedName>
    <definedName function="false" hidden="false" name="Band_lev" vbProcedure="false">Declarations!$B$27</definedName>
    <definedName function="false" hidden="false" name="Band_risk" vbProcedure="false">Declarations!$B$29</definedName>
    <definedName function="false" hidden="false" name="Book_seed" vbProcedure="false">Declarations!$B$38</definedName>
    <definedName function="false" hidden="false" name="Capability" vbProcedure="false">Declarations!$B$24</definedName>
    <definedName function="false" hidden="false" name="Cap_floor" vbProcedure="false">Declarations!$B$25</definedName>
    <definedName function="false" hidden="false" name="Ceil_gain" vbProcedure="false">Declarations!$B$41</definedName>
    <definedName function="false" hidden="false" name="Covenant" vbProcedure="false">Declarations!$B$23</definedName>
    <definedName function="false" hidden="false" name="Delay8" vbProcedure="false">Declarations!$B$40</definedName>
    <definedName function="false" hidden="false" name="Depth0" vbProcedure="false">Declarations!$B$10</definedName>
    <definedName function="false" hidden="false" name="Depth_per_q" vbProcedure="false">Declarations!$B$12</definedName>
    <definedName function="false" hidden="false" name="Ebitda" vbProcedure="false">Declarations!$B$20</definedName>
    <definedName function="false" hidden="false" name="Fee" vbProcedure="false">Declarations!$B$15</definedName>
    <definedName function="false" hidden="false" name="Fee_year" vbProcedure="false">Declarations!$B$13</definedName>
    <definedName function="false" hidden="false" name="Floor_m" vbProcedure="false">Declarations!$B$5</definedName>
    <definedName function="false" hidden="false" name="G_scale" vbProcedure="false">Declarations!$B$36</definedName>
    <definedName function="false" hidden="false" name="G_shape" vbProcedure="false">Declarations!$B$35</definedName>
    <definedName function="false" hidden="false" name="J_mean" vbProcedure="false">Declarations!$B$33</definedName>
    <definedName function="false" hidden="false" name="J_sd" vbProcedure="false">Declarations!$B$34</definedName>
    <definedName function="false" hidden="false" name="Lam" vbProcedure="false">Declarations!$B$32</definedName>
    <definedName function="false" hidden="false" name="Lev0" vbProcedure="false">Declarations!$B$21</definedName>
    <definedName function="false" hidden="false" name="Line8" vbProcedure="false">Declarations!$B$39</definedName>
    <definedName function="false" hidden="false" name="Liq0" vbProcedure="false">Declarations!$B$4</definedName>
    <definedName function="false" hidden="false" name="Liq_target" vbProcedure="false">Declarations!$B$8</definedName>
    <definedName function="false" hidden="false" name="Margin" vbProcedure="false">Declarations!$B$19</definedName>
    <definedName function="false" hidden="false" name="Net_debt" vbProcedure="false">Declarations!$B$22</definedName>
    <definedName function="false" hidden="false" name="N_paths" vbProcedure="false">Declarations!$B$37</definedName>
    <definedName function="false" hidden="false" name="Pool" vbProcedure="false">Declarations!$B$6</definedName>
    <definedName function="false" hidden="false" name="Quarters" vbProcedure="false">Declarations!$B$43</definedName>
    <definedName function="false" hidden="false" name="Relax" vbProcedure="false">Declarations!$B$9</definedName>
    <definedName function="false" hidden="false" name="Revenue" vbProcedure="false">Declarations!$B$18</definedName>
    <definedName function="false" hidden="false" name="Risk0" vbProcedure="false">Scorecard!$C$8</definedName>
    <definedName function="false" hidden="false" name="Risk_ceil" vbProcedure="false">Declarations!$B$26</definedName>
    <definedName function="false" hidden="false" name="Risk_hump" vbProcedure="false">Scorecard!$F$8</definedName>
    <definedName function="false" hidden="false" name="Risk_peak_t" vbProcedure="false">Scorecard!$G$8</definedName>
    <definedName function="false" hidden="false" name="Risk_rate" vbProcedure="false">Scorecard!$E$8</definedName>
    <definedName function="false" hidden="false" name="Risk_target" vbProcedure="false">Scorecard!$D$8</definedName>
    <definedName function="false" hidden="false" name="Rule_rho" vbProcedure="false">Declarations!$B$42</definedName>
    <definedName function="false" hidden="false" name="Sd_w" vbProcedure="false">Declarations!$B$31</definedName>
    <definedName function="false" hidden="false" name="Tau" vbProcedure="false">Declarations!$B$11</definedName>
    <definedName function="false" hidden="false" name="Usd_pt" vbProcedure="false">Declarations!$B$7</definedName>
    <definedName function="false" hidden="false" name="Vq" vbProcedure="false">Declarations!$B$16</definedName>
    <definedName function="false" hidden="false" name="Years" vbProcedure="false">Declarations!$B$14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<sst xmlns="http://schemas.openxmlformats.org/spreadsheetml/2006/main" count="2318" uniqueCount="1216">
  <si>
    <t xml:space="preserve">DCT Laboratory — Vol I, Ch 16: Synthesis, Future Directions, and Transition to Volume II</t>
  </si>
  <si>
    <t xml:space="preserve">Seed 26116 · Companion to DCT_V1_Ch16_Lab.ipynb and AXIOM Lab 1.16 (module AXIOM-16). Money in $ million.</t>
  </si>
  <si>
    <t xml:space="preserve">Worked Example 16.1, Is Meridian Ready to Optimize?, with the book's declarations, and the five steps of AXIOM Lab 1.16, Certifying Meridian for Volume II.</t>
  </si>
  <si>
    <t xml:space="preserve">Declarations: the digital program, its uncertainty, the levers' prices, the commitments, the readings' errors and the register.</t>
  </si>
  <si>
    <t xml:space="preserve">Framework: Table 16.1's evidence for the five limitations, and Theorem 16.2's instance (lab step 1).</t>
  </si>
  <si>
    <t xml:space="preserve">Scorecard: Chapter 1's model at year 5 and the CFO's scorecard on two scales, the gap (R1) leaves to the board.</t>
  </si>
  <si>
    <t xml:space="preserve">Quantiles: the one simulation output, from the book's 100,000 paths (seed 8): each line's critical depth at four appetites; the least delay and cost of every package, the 5 percent package and its price.</t>
  </si>
  <si>
    <t xml:space="preserve">R1_Inventory, R2_Consistency, R3_Panel, R4_Horizon: the four gates (Steps 1-4; lab step 2).</t>
  </si>
  <si>
    <t xml:space="preserve">DigitalTwin: the gain audit flags a drift (the scenario is this workbook's declaration, seed 26116) and Online Appendix 16.B.2's models within the ceilings (lab step 3).</t>
  </si>
  <si>
    <t xml:space="preserve">Certificate: Table 16.4, the grades, the work orders, and Appendix 16.A's runway (Step 5).</t>
  </si>
  <si>
    <t xml:space="preserve">Dependencies and Citations: Volume I's citation graph, Figure 16.2, the longest chains and what Theorem 16.4 rests on (lab step 4). Export: the certified instance in Volume II's canonical form (lab step 5).</t>
  </si>
  <si>
    <t xml:space="preserve">Reference_Values and Checks: the notebook engine's numbers and a PASS/FAIL comparison with this workbook's formulas.</t>
  </si>
  <si>
    <t xml:space="preserve">LEGEND</t>
  </si>
  <si>
    <t xml:space="preserve">Input: blue on pale gold. A declaration from the book; change it to explore.</t>
  </si>
  <si>
    <t xml:space="preserve">Formula: black. Recalculates from the inputs.</t>
  </si>
  <si>
    <t xml:space="preserve">Engine value: green on pale green. Computed by the notebook's engine (the book's numbers); the Checks sheet compares the workbook's formulas with them.</t>
  </si>
  <si>
    <t xml:space="preserve">Cross-sheet link: green.</t>
  </si>
  <si>
    <t xml:space="preserve">Declarations (Worked Example 16.1; Worked Examples 8.1 and 15.1; Tables 5.2, 5.4 and 15.2). Money in $ million.</t>
  </si>
  <si>
    <t xml:space="preserve">Quantity</t>
  </si>
  <si>
    <t xml:space="preserve">Value</t>
  </si>
  <si>
    <t xml:space="preserve">Source</t>
  </si>
  <si>
    <t xml:space="preserve">Name</t>
  </si>
  <si>
    <t xml:space="preserve">Liquidity today</t>
  </si>
  <si>
    <t xml:space="preserve">Table 5.4; Worked Example 8.1</t>
  </si>
  <si>
    <t xml:space="preserve">Liq0</t>
  </si>
  <si>
    <t xml:space="preserve">The board's liquidity floor</t>
  </si>
  <si>
    <t xml:space="preserve">Table 5.4</t>
  </si>
  <si>
    <t xml:space="preserve">Floor_m</t>
  </si>
  <si>
    <t xml:space="preserve">Cash above the floor</t>
  </si>
  <si>
    <t xml:space="preserve">Chapter 13's joint check: 270</t>
  </si>
  <si>
    <t xml:space="preserve">Pool</t>
  </si>
  <si>
    <t xml:space="preserve">Liquidity per index point</t>
  </si>
  <si>
    <t xml:space="preserve">Chapter 1: index 100 = $620 million</t>
  </si>
  <si>
    <t xml:space="preserve">Usd_pt</t>
  </si>
  <si>
    <t xml:space="preserve">Chapter 1's liquidity target (index)</t>
  </si>
  <si>
    <t xml:space="preserve">Online Appendix 1.B.4</t>
  </si>
  <si>
    <t xml:space="preserve">Liq_target</t>
  </si>
  <si>
    <t xml:space="preserve">Relaxation toward the target, a year</t>
  </si>
  <si>
    <t xml:space="preserve">Relax</t>
  </si>
  <si>
    <t xml:space="preserve">Depth of the program's draw, as planned (index points)</t>
  </si>
  <si>
    <t xml:space="preserve">Chapter 1's digital program</t>
  </si>
  <si>
    <t xml:space="preserve">Depth0</t>
  </si>
  <si>
    <t xml:space="preserve">Years to the deepest draw</t>
  </si>
  <si>
    <t xml:space="preserve">Tau</t>
  </si>
  <si>
    <t xml:space="preserve">Depth cut by a quarter of delay (index points)</t>
  </si>
  <si>
    <t xml:space="preserve">Chapter 8's phased build: depth 20 for two quarters of delay</t>
  </si>
  <si>
    <t xml:space="preserve">Depth_per_q</t>
  </si>
  <si>
    <t xml:space="preserve">Standby-line fees a year (share of the line)</t>
  </si>
  <si>
    <t xml:space="preserve">Worked Example 15.1</t>
  </si>
  <si>
    <t xml:space="preserve">Fee_year</t>
  </si>
  <si>
    <t xml:space="preserve">Program length (years)</t>
  </si>
  <si>
    <t xml:space="preserve">Twelve quarters</t>
  </si>
  <si>
    <t xml:space="preserve">Years</t>
  </si>
  <si>
    <t xml:space="preserve">Fees over the program (share of the line)</t>
  </si>
  <si>
    <t xml:space="preserve">$3 million per $100 million</t>
  </si>
  <si>
    <t xml:space="preserve">Fee</t>
  </si>
  <si>
    <t xml:space="preserve">Value of a quarter of delay</t>
  </si>
  <si>
    <t xml:space="preserve">The transformation office</t>
  </si>
  <si>
    <t xml:space="preserve">Vq</t>
  </si>
  <si>
    <t xml:space="preserve">The board's appetite: chance of a breach in some quarter</t>
  </si>
  <si>
    <t xml:space="preserve">Chapter 8</t>
  </si>
  <si>
    <t xml:space="preserve">Appetite</t>
  </si>
  <si>
    <t xml:space="preserve">Revenue</t>
  </si>
  <si>
    <t xml:space="preserve">Chapter 1</t>
  </si>
  <si>
    <t xml:space="preserve">EBITDA margin</t>
  </si>
  <si>
    <t xml:space="preserve">Margin</t>
  </si>
  <si>
    <t xml:space="preserve">EBITDA</t>
  </si>
  <si>
    <t xml:space="preserve">$495.6 million</t>
  </si>
  <si>
    <t xml:space="preserve">Ebitda</t>
  </si>
  <si>
    <t xml:space="preserve">Net leverage today (net debt / EBITDA)</t>
  </si>
  <si>
    <t xml:space="preserve">Lev0</t>
  </si>
  <si>
    <t xml:space="preserve">Net debt</t>
  </si>
  <si>
    <t xml:space="preserve">$1,685 million</t>
  </si>
  <si>
    <t xml:space="preserve">Net_debt</t>
  </si>
  <si>
    <t xml:space="preserve">Covenant: net leverage at most</t>
  </si>
  <si>
    <t xml:space="preserve">Table 5.4; the CFO</t>
  </si>
  <si>
    <t xml:space="preserve">Covenant</t>
  </si>
  <si>
    <t xml:space="preserve">Workforce capability today</t>
  </si>
  <si>
    <t xml:space="preserve">Table 5.2</t>
  </si>
  <si>
    <t xml:space="preserve">Capability</t>
  </si>
  <si>
    <t xml:space="preserve">Capability floor for the digital build</t>
  </si>
  <si>
    <t xml:space="preserve">HR and the CTO (Table 15.2)</t>
  </si>
  <si>
    <t xml:space="preserve">Cap_floor</t>
  </si>
  <si>
    <t xml:space="preserve">Strategic-risk ceiling</t>
  </si>
  <si>
    <t xml:space="preserve">Table 5.4; the CRO and the board</t>
  </si>
  <si>
    <t xml:space="preserve">Risk_ceil</t>
  </si>
  <si>
    <t xml:space="preserve">Error of the leverage reading (share of the reading)</t>
  </si>
  <si>
    <t xml:space="preserve">Table 5.2: audited accounts</t>
  </si>
  <si>
    <t xml:space="preserve">Band_lev</t>
  </si>
  <si>
    <t xml:space="preserve">Error of the capability reading (points)</t>
  </si>
  <si>
    <t xml:space="preserve">Table 5.2: skills survey</t>
  </si>
  <si>
    <t xml:space="preserve">Band_cap</t>
  </si>
  <si>
    <t xml:space="preserve">Error of the strategic-risk reading (points)</t>
  </si>
  <si>
    <t xml:space="preserve">Table 5.2: risk committee</t>
  </si>
  <si>
    <t xml:space="preserve">Band_risk</t>
  </si>
  <si>
    <t xml:space="preserve">Persistence of the execution and market deviation</t>
  </si>
  <si>
    <t xml:space="preserve">Worked Example 8.1</t>
  </si>
  <si>
    <t xml:space="preserve">A_e</t>
  </si>
  <si>
    <t xml:space="preserve">Surprise a quarter: standard deviation</t>
  </si>
  <si>
    <t xml:space="preserve">Sd_w</t>
  </si>
  <si>
    <t xml:space="preserve">Funding-window closures a year</t>
  </si>
  <si>
    <t xml:space="preserve">Lam</t>
  </si>
  <si>
    <t xml:space="preserve">Closure size: mean</t>
  </si>
  <si>
    <t xml:space="preserve">J_mean</t>
  </si>
  <si>
    <t xml:space="preserve">Closure size: standard deviation</t>
  </si>
  <si>
    <t xml:space="preserve">J_sd</t>
  </si>
  <si>
    <t xml:space="preserve">Gamma shape of a closure</t>
  </si>
  <si>
    <t xml:space="preserve">5.76</t>
  </si>
  <si>
    <t xml:space="preserve">G_shape</t>
  </si>
  <si>
    <t xml:space="preserve">Gamma scale of a closure</t>
  </si>
  <si>
    <t xml:space="preserve">20.83</t>
  </si>
  <si>
    <t xml:space="preserve">G_scale</t>
  </si>
  <si>
    <t xml:space="preserve">Paths</t>
  </si>
  <si>
    <t xml:space="preserve">N_paths</t>
  </si>
  <si>
    <t xml:space="preserve">Random seed of the book's paths</t>
  </si>
  <si>
    <t xml:space="preserve">Volume II, Online Appendix 1.B.4</t>
  </si>
  <si>
    <t xml:space="preserve">Book_seed</t>
  </si>
  <si>
    <t xml:space="preserve">Chapter 8's package: line</t>
  </si>
  <si>
    <t xml:space="preserve">Line8</t>
  </si>
  <si>
    <t xml:space="preserve">Chapter 8's package: delay (quarters)</t>
  </si>
  <si>
    <t xml:space="preserve">the phased build</t>
  </si>
  <si>
    <t xml:space="preserve">Delay8</t>
  </si>
  <si>
    <t xml:space="preserve">Coupling register: ceiling of each core link</t>
  </si>
  <si>
    <t xml:space="preserve">Chapter 14; the risk office</t>
  </si>
  <si>
    <t xml:space="preserve">Ceil_gain</t>
  </si>
  <si>
    <t xml:space="preserve">The board's rule: spectral radius at most 2^(-1/4)</t>
  </si>
  <si>
    <t xml:space="preserve">any deviation halves within a year</t>
  </si>
  <si>
    <t xml:space="preserve">Rule_rho</t>
  </si>
  <si>
    <t xml:space="preserve">Quarters in the program</t>
  </si>
  <si>
    <t xml:space="preserve">the horizon</t>
  </si>
  <si>
    <t xml:space="preserve">Quarters</t>
  </si>
  <si>
    <t xml:space="preserve">Decisions: the standby line (the CFO's) and the delay in quarters (the transformation office's). Objective: minimize Fee x line + Vq x delay. Commitments: the appetite (board), the covenant (CFO), the capability floor (HR, CTO), the strategic-risk ceiling (CRO, board), the register (risk office).</t>
  </si>
  <si>
    <t xml:space="preserve">Walk the framework: Table 16.1's evidence, and Theorem 16.2's instance (AXIOM Lab 1.16, step 1; Sections 16.1-16.2)</t>
  </si>
  <si>
    <t xml:space="preserve">Limitation removed (Table 16.1)</t>
  </si>
  <si>
    <t xml:space="preserve">Meridian's evidence</t>
  </si>
  <si>
    <t xml:space="preserve">Reading</t>
  </si>
  <si>
    <t xml:space="preserve">L1 Fragmentation: the program's deepest draw</t>
  </si>
  <si>
    <t xml:space="preserve">$138 million</t>
  </si>
  <si>
    <t xml:space="preserve">L1 Fragmentation: the treasury's buffer</t>
  </si>
  <si>
    <t xml:space="preserve">$187 million, both on the $270 million</t>
  </si>
  <si>
    <t xml:space="preserve">L2 Snapshots: the average path's lowest point</t>
  </si>
  <si>
    <t xml:space="preserve">never breaches the floor</t>
  </si>
  <si>
    <t xml:space="preserve">L2 Snapshots: paths that breach the floor (engine, seed 8)</t>
  </si>
  <si>
    <t xml:space="preserve">24.6 percent</t>
  </si>
  <si>
    <t xml:space="preserve">L3 One-number summaries: weight points that tie the leaders</t>
  </si>
  <si>
    <t xml:space="preserve">1.6 weight points; the scale flips the ranking</t>
  </si>
  <si>
    <t xml:space="preserve">L4 No state: a shock in the core halves in (quarters)</t>
  </si>
  <si>
    <t xml:space="preserve">3.1 quarters</t>
  </si>
  <si>
    <t xml:space="preserve">L4 No state: one more link, spectral radius</t>
  </si>
  <si>
    <t xml:space="preserve">above 1: a shock would grow</t>
  </si>
  <si>
    <t xml:space="preserve">L5 No well-posed problem: the 5% appetite met for</t>
  </si>
  <si>
    <t xml:space="preserve">$10.4 million</t>
  </si>
  <si>
    <t xml:space="preserve">L5 No well-posed problem: a breach priced at</t>
  </si>
  <si>
    <t xml:space="preserve">about $180 million</t>
  </si>
  <si>
    <t xml:space="preserve">Theorem 16.2's instance (Worked Example 4.1)</t>
  </si>
  <si>
    <t xml:space="preserve">Legacy</t>
  </si>
  <si>
    <t xml:space="preserve">Software</t>
  </si>
  <si>
    <t xml:space="preserve">Total</t>
  </si>
  <si>
    <t xml:space="preserve">A year: legacy keeps 0.92 (5% leave, 3% retrain); software keeps 0.96 and gains 0.03 of legacy.</t>
  </si>
  <si>
    <t xml:space="preserve">Legacy kept a year</t>
  </si>
  <si>
    <t xml:space="preserve">Retrained into software a year</t>
  </si>
  <si>
    <t xml:space="preserve">Software kept a year</t>
  </si>
  <si>
    <t xml:space="preserve">Year</t>
  </si>
  <si>
    <t xml:space="preserve">Unit A legacy</t>
  </si>
  <si>
    <t xml:space="preserve">Unit A software</t>
  </si>
  <si>
    <t xml:space="preserve">Unit A total</t>
  </si>
  <si>
    <t xml:space="preserve">Unit B legacy</t>
  </si>
  <si>
    <t xml:space="preserve">Unit B software</t>
  </si>
  <si>
    <t xml:space="preserve">Unit B total</t>
  </si>
  <si>
    <t xml:space="preserve">Totals model</t>
  </si>
  <si>
    <t xml:space="preserve">Unit A in year 5</t>
  </si>
  <si>
    <t xml:space="preserve">392</t>
  </si>
  <si>
    <t xml:space="preserve">Unit B in year 5</t>
  </si>
  <si>
    <t xml:space="preserve">404</t>
  </si>
  <si>
    <t xml:space="preserve">Engineers apart</t>
  </si>
  <si>
    <t xml:space="preserve">Section 16.2: 12</t>
  </si>
  <si>
    <t xml:space="preserve">The totals model (calibrated on unit A's first year), both units</t>
  </si>
  <si>
    <t xml:space="preserve">391</t>
  </si>
  <si>
    <t xml:space="preserve">Any answer from the declared total errs for one unit by at least</t>
  </si>
  <si>
    <t xml:space="preserve">Theorem 16.2(ii)</t>
  </si>
  <si>
    <t xml:space="preserve">The CFO's scorecard on two scales: the gap (R1) left for the board (Worked Example 16.1, Step 1; Chapter 11; Table 16.1, L3)</t>
  </si>
  <si>
    <t xml:space="preserve">Chapter 1's model (Online Appendix 1.B.4): value(t) = target + (today - target) e^(-rate t) + hump (t/peak) e^(1 - t/peak) + the jump at the sale (year 1). Readings: liquidity index L, technology T, efficiency E, strategic risk R (lower is better).</t>
  </si>
  <si>
    <t xml:space="preserve">Option</t>
  </si>
  <si>
    <t xml:space="preserve">Today</t>
  </si>
  <si>
    <t xml:space="preserve">Target</t>
  </si>
  <si>
    <t xml:space="preserve">Rate a year</t>
  </si>
  <si>
    <t xml:space="preserve">Hump (signed)</t>
  </si>
  <si>
    <t xml:space="preserve">Hump peak (years)</t>
  </si>
  <si>
    <t xml:space="preserve">Jump at year 1</t>
  </si>
  <si>
    <t xml:space="preserve">Value at the year</t>
  </si>
  <si>
    <t xml:space="preserve">Reading year</t>
  </si>
  <si>
    <t xml:space="preserve">Digital</t>
  </si>
  <si>
    <t xml:space="preserve">L</t>
  </si>
  <si>
    <t xml:space="preserve">T</t>
  </si>
  <si>
    <t xml:space="preserve">E</t>
  </si>
  <si>
    <t xml:space="preserve">R</t>
  </si>
  <si>
    <t xml:space="preserve">Restructuring</t>
  </si>
  <si>
    <t xml:space="preserve">Turnaround</t>
  </si>
  <si>
    <t xml:space="preserve">Year-5 readings</t>
  </si>
  <si>
    <t xml:space="preserve">CFO score (L + T + E - R)/4</t>
  </si>
  <si>
    <t xml:space="preserve">Sign (risk: lower is better)</t>
  </si>
  <si>
    <t xml:space="preserve">Best-to-worst scale (best 100, worst 0)</t>
  </si>
  <si>
    <t xml:space="preserve">Equal weights</t>
  </si>
  <si>
    <t xml:space="preserve">Rank</t>
  </si>
  <si>
    <t xml:space="preserve">Percentage improvement on today</t>
  </si>
  <si>
    <t xml:space="preserve">First on the best-to-worst scale</t>
  </si>
  <si>
    <t xml:space="preserve">restructuring leads digital 52.3 to 41.4</t>
  </si>
  <si>
    <t xml:space="preserve">First on percentage improvement</t>
  </si>
  <si>
    <t xml:space="preserve">digital leads 24.0 to 10.6: the scale decides the ranking</t>
  </si>
  <si>
    <t xml:space="preserve">Digital less restructuring, signed: L</t>
  </si>
  <si>
    <t xml:space="preserve">Digital less restructuring, signed: T</t>
  </si>
  <si>
    <t xml:space="preserve">Digital less restructuring, signed: E</t>
  </si>
  <si>
    <t xml:space="preserve">Digital less restructuring, signed: R</t>
  </si>
  <si>
    <t xml:space="preserve">Weight points moved from technology to liquidity that tie the two leaders</t>
  </si>
  <si>
    <t xml:space="preserve">Table 16.1, L3: 1.6 weight points</t>
  </si>
  <si>
    <t xml:space="preserve">Declaration completeness, gate (R1): the inventory and its two gaps (Worked Example 16.1, Step 1; AXIOM Lab 1.16, steps 1-2)</t>
  </si>
  <si>
    <t xml:space="preserve">Reading (Table 5.2)</t>
  </si>
  <si>
    <t xml:space="preserve">Measured by</t>
  </si>
  <si>
    <t xml:space="preserve">Error</t>
  </si>
  <si>
    <t xml:space="preserve">liquidity</t>
  </si>
  <si>
    <t xml:space="preserve">treasury systems</t>
  </si>
  <si>
    <t xml:space="preserve">+/-1%</t>
  </si>
  <si>
    <t xml:space="preserve">net leverage</t>
  </si>
  <si>
    <t xml:space="preserve">audited accounts</t>
  </si>
  <si>
    <t xml:space="preserve">+/-2%</t>
  </si>
  <si>
    <t xml:space="preserve">workforce capability</t>
  </si>
  <si>
    <t xml:space="preserve">skills survey</t>
  </si>
  <si>
    <t xml:space="preserve">+/-5 points</t>
  </si>
  <si>
    <t xml:space="preserve">technology platform</t>
  </si>
  <si>
    <t xml:space="preserve">architecture audit</t>
  </si>
  <si>
    <t xml:space="preserve">+/-4 points</t>
  </si>
  <si>
    <t xml:space="preserve">operational efficiency</t>
  </si>
  <si>
    <t xml:space="preserve">cost benchmarking</t>
  </si>
  <si>
    <t xml:space="preserve">+/-3 points</t>
  </si>
  <si>
    <t xml:space="preserve">ROIC</t>
  </si>
  <si>
    <t xml:space="preserve">+/-0.4 pp</t>
  </si>
  <si>
    <t xml:space="preserve">strategic risk</t>
  </si>
  <si>
    <t xml:space="preserve">risk committee</t>
  </si>
  <si>
    <t xml:space="preserve">+/-6 points</t>
  </si>
  <si>
    <t xml:space="preserve">market share</t>
  </si>
  <si>
    <t xml:space="preserve">industry data</t>
  </si>
  <si>
    <t xml:space="preserve">+/-0.8 pp</t>
  </si>
  <si>
    <t xml:space="preserve">Arrow from (Chapter 9)</t>
  </si>
  <si>
    <t xml:space="preserve">To</t>
  </si>
  <si>
    <t xml:space="preserve">Type</t>
  </si>
  <si>
    <t xml:space="preserve">Two-way?</t>
  </si>
  <si>
    <t xml:space="preserve">MKT</t>
  </si>
  <si>
    <t xml:space="preserve">IND</t>
  </si>
  <si>
    <t xml:space="preserve">demand</t>
  </si>
  <si>
    <t xml:space="preserve">DIG</t>
  </si>
  <si>
    <t xml:space="preserve">MAT</t>
  </si>
  <si>
    <t xml:space="preserve">TRS</t>
  </si>
  <si>
    <t xml:space="preserve">cash</t>
  </si>
  <si>
    <t xml:space="preserve">funding</t>
  </si>
  <si>
    <t xml:space="preserve">ENG</t>
  </si>
  <si>
    <t xml:space="preserve">capability</t>
  </si>
  <si>
    <t xml:space="preserve">GOV</t>
  </si>
  <si>
    <t xml:space="preserve">policy</t>
  </si>
  <si>
    <t xml:space="preserve">Standing commitment (Tables 5.4 and 15.2)</t>
  </si>
  <si>
    <t xml:space="preserve">Owner</t>
  </si>
  <si>
    <t xml:space="preserve">covenant: net leverage at most 4.5x</t>
  </si>
  <si>
    <t xml:space="preserve">CFO</t>
  </si>
  <si>
    <t xml:space="preserve">liquidity floor: $350 million</t>
  </si>
  <si>
    <t xml:space="preserve">board</t>
  </si>
  <si>
    <t xml:space="preserve">strategic-risk ceiling: 75</t>
  </si>
  <si>
    <t xml:space="preserve">CRO, board</t>
  </si>
  <si>
    <t xml:space="preserve">plant capacity in Industrial Systems</t>
  </si>
  <si>
    <t xml:space="preserve">COO</t>
  </si>
  <si>
    <t xml:space="preserve">capability at least 55 for the digital build</t>
  </si>
  <si>
    <t xml:space="preserve">HR, CTO</t>
  </si>
  <si>
    <t xml:space="preserve">Element of the GEOP (Worked Example 15.1)</t>
  </si>
  <si>
    <t xml:space="preserve">Declared as</t>
  </si>
  <si>
    <t xml:space="preserve">horizon</t>
  </si>
  <si>
    <t xml:space="preserve">the program's 12 quarters</t>
  </si>
  <si>
    <t xml:space="preserve">decisions</t>
  </si>
  <si>
    <t xml:space="preserve">the standby line (CFO); the delay in quarters (transformation office)</t>
  </si>
  <si>
    <t xml:space="preserve">policy class</t>
  </si>
  <si>
    <t xml:space="preserve">a package committed today (open loop)</t>
  </si>
  <si>
    <t xml:space="preserve">environment</t>
  </si>
  <si>
    <t xml:space="preserve">Chapter 8's laws: 100,000 paths, seed 8</t>
  </si>
  <si>
    <t xml:space="preserve">objective</t>
  </si>
  <si>
    <t xml:space="preserve">the levers' cost: fees priced by the CFO, delay by the transformation office</t>
  </si>
  <si>
    <t xml:space="preserve">commitments</t>
  </si>
  <si>
    <t xml:space="preserve">the appetite (board); the covenant (CFO); the capability floor (HR, CTO)</t>
  </si>
  <si>
    <t xml:space="preserve">State readings declared, each with its office and error</t>
  </si>
  <si>
    <t xml:space="preserve">eight</t>
  </si>
  <si>
    <t xml:space="preserve">Components</t>
  </si>
  <si>
    <t xml:space="preserve">seven</t>
  </si>
  <si>
    <t xml:space="preserve">Typed arrows</t>
  </si>
  <si>
    <t xml:space="preserve">fourteen</t>
  </si>
  <si>
    <t xml:space="preserve">Two-way links (the feedback core's)</t>
  </si>
  <si>
    <t xml:space="preserve">four, at a ceiling of 0.40</t>
  </si>
  <si>
    <t xml:space="preserve">Standing commitments</t>
  </si>
  <si>
    <t xml:space="preserve">five</t>
  </si>
  <si>
    <t xml:space="preserve">Elements of the GEOP, each declared</t>
  </si>
  <si>
    <t xml:space="preserve">six</t>
  </si>
  <si>
    <t xml:space="preserve">Gap 1, the levers' prices: Chapter 8's package at the declared prices</t>
  </si>
  <si>
    <t xml:space="preserve">$19.0 million</t>
  </si>
  <si>
    <t xml:space="preserve">  its odds on the book's paths (engine)</t>
  </si>
  <si>
    <t xml:space="preserve">3.0 percent</t>
  </si>
  <si>
    <t xml:space="preserve">  the cheapest package at those odds</t>
  </si>
  <si>
    <t xml:space="preserve">$14.7 million</t>
  </si>
  <si>
    <t xml:space="preserve">  choosing on safety alone cost</t>
  </si>
  <si>
    <t xml:space="preserve">$4.33 million</t>
  </si>
  <si>
    <t xml:space="preserve">Gap 2, the scorecard's scale: first on the best-to-worst scale</t>
  </si>
  <si>
    <t xml:space="preserve">restructuring 52.3, digital 41.4</t>
  </si>
  <si>
    <t xml:space="preserve">  first on percentage improvement</t>
  </si>
  <si>
    <t xml:space="preserve">digital 24.0, restructuring 10.6</t>
  </si>
  <si>
    <t xml:space="preserve">  the scale decides the ranking?</t>
  </si>
  <si>
    <t xml:space="preserve">Proposition 16.1(i)</t>
  </si>
  <si>
    <t xml:space="preserve">(R1) after Chapter 8</t>
  </si>
  <si>
    <t xml:space="preserve">fails: lever prices and the scorecard's scale undeclared</t>
  </si>
  <si>
    <t xml:space="preserve">(R1) now: the levers' prices declared?</t>
  </si>
  <si>
    <t xml:space="preserve">the scale is the board's to declare before any optimizer ranks the options</t>
  </si>
  <si>
    <t xml:space="preserve">The decision table from the book's 100,000 paths (seed 8): the least delay and cost of every package (Worked Example 15.1; Worked Example 16.1, Steps 1, 2 and 4)</t>
  </si>
  <si>
    <t xml:space="preserve">Engine values (green): for a line l, a path stays above the floor exactly when the draw's depth is at most its critical depth; sorted over the paths, the value at the appetite's quantile is the deepest draw that meets it. Delay = (28 - that depth)/4, cost = Fee x line + Vq x delay: formulas. Blank: no delay can meet it.</t>
  </si>
  <si>
    <t xml:space="preserve">Quantile index (paths allowed to breach)</t>
  </si>
  <si>
    <t xml:space="preserve">The first appetite is the odds of Chapter 8's package on the book's paths (engine).</t>
  </si>
  <si>
    <t xml:space="preserve">Line ($ million)</t>
  </si>
  <si>
    <t xml:space="preserve">Critical depth</t>
  </si>
  <si>
    <t xml:space="preserve">Delay</t>
  </si>
  <si>
    <t xml:space="preserve">Cost</t>
  </si>
  <si>
    <t xml:space="preserve">Least cost at each appetite</t>
  </si>
  <si>
    <t xml:space="preserve">Least cost</t>
  </si>
  <si>
    <t xml:space="preserve">Its line</t>
  </si>
  <si>
    <t xml:space="preserve">Its delay (quarters)</t>
  </si>
  <si>
    <t xml:space="preserve">The 5% package: line</t>
  </si>
  <si>
    <t xml:space="preserve">Worked Example 15.1: about $170 million</t>
  </si>
  <si>
    <t xml:space="preserve">The 5% package: delay (quarters)</t>
  </si>
  <si>
    <t xml:space="preserve">0.668: two months</t>
  </si>
  <si>
    <t xml:space="preserve">The 5% package: least cost</t>
  </si>
  <si>
    <t xml:space="preserve">Table 16.1, L5: $10.4 million</t>
  </si>
  <si>
    <t xml:space="preserve">Chapter 8's package at the declared prices</t>
  </si>
  <si>
    <t xml:space="preserve">Step 1: $19.0 million</t>
  </si>
  <si>
    <t xml:space="preserve">The cheapest package at the same odds</t>
  </si>
  <si>
    <t xml:space="preserve">Step 1: $14.7 million (Online Appendix 16.B.3: 14.67)</t>
  </si>
  <si>
    <t xml:space="preserve">Choosing on safety alone cost</t>
  </si>
  <si>
    <t xml:space="preserve">Online Appendix 16.B.3: 4.33</t>
  </si>
  <si>
    <t xml:space="preserve">Least cost at 4.5%</t>
  </si>
  <si>
    <t xml:space="preserve">Least cost at 5.5%</t>
  </si>
  <si>
    <t xml:space="preserve">The appetite's multiplier ($ million a point)</t>
  </si>
  <si>
    <t xml:space="preserve">Table 16.4: $1.8 million a point</t>
  </si>
  <si>
    <t xml:space="preserve">Implied cost of a breach, 100 x the multiplier</t>
  </si>
  <si>
    <t xml:space="preserve">Table 16.1, L5: about $180 million</t>
  </si>
  <si>
    <t xml:space="preserve">Unified consistency, gate (R2): the joint check, its minimal set and the repair (Worked Example 16.1, Step 2; Table 16.1, L1 and L2)</t>
  </si>
  <si>
    <t xml:space="preserve">Liquidity = $6.2 million x (Chapter 1's index less the draw D x s(t)), s(t) = (t/2) e^(1 - t/2). The average path is the plan less the closures' expected drain.</t>
  </si>
  <si>
    <t xml:space="preserve">Quarter</t>
  </si>
  <si>
    <t xml:space="preserve">Years t</t>
  </si>
  <si>
    <t xml:space="preserve">Index without the draw</t>
  </si>
  <si>
    <t xml:space="preserve">Draw shape s(t)</t>
  </si>
  <si>
    <t xml:space="preserve">Plan as drawn (D = 28)</t>
  </si>
  <si>
    <t xml:space="preserve">With the package's delay</t>
  </si>
  <si>
    <t xml:space="preserve">Expected closures so far</t>
  </si>
  <si>
    <t xml:space="preserve">The average path</t>
  </si>
  <si>
    <t xml:space="preserve">The program's deepest draw (transformation office)</t>
  </si>
  <si>
    <t xml:space="preserve">Table 16.1, L1: $138 million</t>
  </si>
  <si>
    <t xml:space="preserve">Buffer for a 90th-percentile closure (treasury)</t>
  </si>
  <si>
    <t xml:space="preserve">Table 16.1, L1: $187 million</t>
  </si>
  <si>
    <t xml:space="preserve">Each alone fits in the cash above the floor?</t>
  </si>
  <si>
    <t xml:space="preserve">the bilateral checks</t>
  </si>
  <si>
    <t xml:space="preserve">Together: draw + buffer</t>
  </si>
  <si>
    <t xml:space="preserve">Step 2: $325 million on $270 million</t>
  </si>
  <si>
    <t xml:space="preserve">Short by</t>
  </si>
  <si>
    <t xml:space="preserve">Online Appendix 16.B.3: 54.9</t>
  </si>
  <si>
    <t xml:space="preserve">The average path's lowest point</t>
  </si>
  <si>
    <t xml:space="preserve">Table 16.1, L2: $460 million, above the floor</t>
  </si>
  <si>
    <t xml:space="preserve">Without the draw: liquidity left after the buffer, against the floor</t>
  </si>
  <si>
    <t xml:space="preserve">Without the buffer: liquidity left after the draw, against the floor</t>
  </si>
  <si>
    <t xml:space="preserve">Without the floor: liquidity left after both claims, against zero</t>
  </si>
  <si>
    <t xml:space="preserve">The minimal set {draw, buffer, floor}: every pair holds, all three fail?</t>
  </si>
  <si>
    <t xml:space="preserve">owners: transformation office, treasury, board</t>
  </si>
  <si>
    <t xml:space="preserve">Depth with the package's delay, 28 - 4 x delay</t>
  </si>
  <si>
    <t xml:space="preserve">25.33</t>
  </si>
  <si>
    <t xml:space="preserve">Deepest draw with the delay</t>
  </si>
  <si>
    <t xml:space="preserve">Step 2: $122 million</t>
  </si>
  <si>
    <t xml:space="preserve">Buffer the line leaves</t>
  </si>
  <si>
    <t xml:space="preserve">Step 2: all but $17 million</t>
  </si>
  <si>
    <t xml:space="preserve">Draw + buffer now</t>
  </si>
  <si>
    <t xml:space="preserve">Step 2: $139 million</t>
  </si>
  <si>
    <t xml:space="preserve">Unclaimed</t>
  </si>
  <si>
    <t xml:space="preserve">Step 2: $131 million</t>
  </si>
  <si>
    <t xml:space="preserve">The consistency certificate issues?</t>
  </si>
  <si>
    <t xml:space="preserve">(R2) passes</t>
  </si>
  <si>
    <t xml:space="preserve">The analytical panel, gate (R3): the register, its certificate, the phase-two link and its repairs (Worked Example 16.1, Step 3; Theorem 16.5(ii); Section 16.5)</t>
  </si>
  <si>
    <t xml:space="preserve">Symmetric core: engineering links e, treasury links t, the phase-two Digital-Industrial Systems link h; every link two-way. Spectral radius (h + sqrt(h^2 + 8(e^2 + t^2)))/2 (Chapter 14).</t>
  </si>
  <si>
    <t xml:space="preserve">Engineering links e</t>
  </si>
  <si>
    <t xml:space="preserve">0.40</t>
  </si>
  <si>
    <t xml:space="preserve">Treasury links t</t>
  </si>
  <si>
    <t xml:space="preserve">Phase-two link h (not in the register)</t>
  </si>
  <si>
    <t xml:space="preserve">its ceiling is zero</t>
  </si>
  <si>
    <t xml:space="preserve">Spectral radius of the register</t>
  </si>
  <si>
    <t xml:space="preserve">Step 3: 0.80</t>
  </si>
  <si>
    <t xml:space="preserve">The board's rule</t>
  </si>
  <si>
    <t xml:space="preserve">0.841</t>
  </si>
  <si>
    <t xml:space="preserve">Half-life (quarters)</t>
  </si>
  <si>
    <t xml:space="preserve">3.1 quarters, inside the four-quarter rule</t>
  </si>
  <si>
    <t xml:space="preserve">Multiplier 1/(1 - spectral radius)</t>
  </si>
  <si>
    <t xml:space="preserve">5</t>
  </si>
  <si>
    <t xml:space="preserve">The register passes the board's rule?</t>
  </si>
  <si>
    <t xml:space="preserve">(R3) passes</t>
  </si>
  <si>
    <t xml:space="preserve">Passes on (column) to (row)</t>
  </si>
  <si>
    <t xml:space="preserve">Total echo</t>
  </si>
  <si>
    <t xml:space="preserve">Echo of a $10 million shock at Digital: next quarter</t>
  </si>
  <si>
    <t xml:space="preserve">$8 million</t>
  </si>
  <si>
    <t xml:space="preserve">The quarter after</t>
  </si>
  <si>
    <t xml:space="preserve">$6.4 million</t>
  </si>
  <si>
    <t xml:space="preserve">The quarter after that</t>
  </si>
  <si>
    <t xml:space="preserve">Online Appendix 16.B.2: 5.12</t>
  </si>
  <si>
    <t xml:space="preserve">In all, shock included (81 quarters)</t>
  </si>
  <si>
    <t xml:space="preserve">$50 million</t>
  </si>
  <si>
    <t xml:space="preserve">Phase two: the new link declared at the ceiling</t>
  </si>
  <si>
    <t xml:space="preserve">Spectral radius with the new link</t>
  </si>
  <si>
    <t xml:space="preserve">Step 3: 1.02 (Online Appendix 16.B.3: 1.025)</t>
  </si>
  <si>
    <t xml:space="preserve">Fails the board's rule and stability?</t>
  </si>
  <si>
    <t xml:space="preserve">Repair: the new link at most</t>
  </si>
  <si>
    <t xml:space="preserve">Step 3: 0.08</t>
  </si>
  <si>
    <t xml:space="preserve">  its spectral radius</t>
  </si>
  <si>
    <t xml:space="preserve">equals the board's rule</t>
  </si>
  <si>
    <t xml:space="preserve">Repair: ring-fence the treasury links at</t>
  </si>
  <si>
    <t xml:space="preserve">Step 3: 0.16</t>
  </si>
  <si>
    <t xml:space="preserve">Repair: trim all four existing links to</t>
  </si>
  <si>
    <t xml:space="preserve">Step 3: 0.30</t>
  </si>
  <si>
    <t xml:space="preserve">Phase two at the ceiling: the register</t>
  </si>
  <si>
    <t xml:space="preserve">The digital twin: the gain audit flags a drift; the register's certificates are void until re-certified (AXIOM Lab 1.16, step 3; Theorem 16.5(ii); Online Appendix 16.B.2)</t>
  </si>
  <si>
    <t xml:space="preserve">The book prints no numbers for the drift: the scenario is this workbook's declaration, not the book's. Readings are the notebook's draws (seed 26116, engine values): the true gain plus an error of +/-0.02 (two standard deviations). Thin pass: within the error of the ceiling; flag: above it by more than the error.</t>
  </si>
  <si>
    <t xml:space="preserve">Ceiling of each core link</t>
  </si>
  <si>
    <t xml:space="preserve">the register</t>
  </si>
  <si>
    <t xml:space="preserve">Error of a gain reading (two standard deviations)</t>
  </si>
  <si>
    <t xml:space="preserve">this workbook's declaration</t>
  </si>
  <si>
    <t xml:space="preserve">True gains at the start</t>
  </si>
  <si>
    <t xml:space="preserve">The Digital-engineering link drifts up, a quarter</t>
  </si>
  <si>
    <t xml:space="preserve">from quarter 4</t>
  </si>
  <si>
    <t xml:space="preserve">IND-ENG</t>
  </si>
  <si>
    <t xml:space="preserve">DIG-ENG</t>
  </si>
  <si>
    <t xml:space="preserve">IND-TRS</t>
  </si>
  <si>
    <t xml:space="preserve">DIG-TRS</t>
  </si>
  <si>
    <t xml:space="preserve">True DIG-ENG</t>
  </si>
  <si>
    <t xml:space="preserve">Reading IND-ENG</t>
  </si>
  <si>
    <t xml:space="preserve">Reading DIG-ENG</t>
  </si>
  <si>
    <t xml:space="preserve">Reading IND-TRS</t>
  </si>
  <si>
    <t xml:space="preserve">Reading DIG-TRS</t>
  </si>
  <si>
    <t xml:space="preserve">Verdict IND-ENG</t>
  </si>
  <si>
    <t xml:space="preserve">Verdict DIG-ENG</t>
  </si>
  <si>
    <t xml:space="preserve">Verdict IND-TRS</t>
  </si>
  <si>
    <t xml:space="preserve">Verdict DIG-TRS</t>
  </si>
  <si>
    <t xml:space="preserve">Any thin pass</t>
  </si>
  <si>
    <t xml:space="preserve">Any flag</t>
  </si>
  <si>
    <t xml:space="preserve">First quarter with a thin pass</t>
  </si>
  <si>
    <t xml:space="preserve">First quarter with a flag</t>
  </si>
  <si>
    <t xml:space="preserve">the gain audit fires</t>
  </si>
  <si>
    <t xml:space="preserve">The flagged link</t>
  </si>
  <si>
    <t xml:space="preserve">attribution: Digital Solutions and shared engineering</t>
  </si>
  <si>
    <t xml:space="preserve">Its reading</t>
  </si>
  <si>
    <t xml:space="preserve">Re-certified register: e = t = the ceiling, DIG-ENG = the reading. B B^T: (1,1)</t>
  </si>
  <si>
    <t xml:space="preserve">the core is bipartite: the spectral radius is B's largest singular value</t>
  </si>
  <si>
    <t xml:space="preserve">  (1,2)</t>
  </si>
  <si>
    <t xml:space="preserve">  (2,2)</t>
  </si>
  <si>
    <t xml:space="preserve">Spectral radius</t>
  </si>
  <si>
    <t xml:space="preserve">Multiplier</t>
  </si>
  <si>
    <t xml:space="preserve">Within the board's rule?</t>
  </si>
  <si>
    <t xml:space="preserve">Largest DIG-ENG gain the rule tolerates, others at the ceiling: a = t^2 - r*^2</t>
  </si>
  <si>
    <t xml:space="preserve">(t^2 - L) g^2 - 2 e t^2 g + (e^2 + t^2 - L)(t^2 - L) - t^4 = 0, L = r*^2</t>
  </si>
  <si>
    <t xml:space="preserve">  b = -2 e t^2</t>
  </si>
  <si>
    <t xml:space="preserve">  c</t>
  </si>
  <si>
    <t xml:space="preserve">  the gain</t>
  </si>
  <si>
    <t xml:space="preserve">Quarter the true drift passes it</t>
  </si>
  <si>
    <t xml:space="preserve">re-declaring is no longer enough: buy the link down</t>
  </si>
  <si>
    <t xml:space="preserve">Certificates the flag voids, all of which Theorem 16.5(ii) grants only within the ceilings: the spectral radius at most 0.80; the half-life at most 3.1 quarters; the multiplier at most 5; the echo of a $10 million shock at most $8m, $6.4m, ..., $50m; the sensitivity certificates of Chapter 14; gate (R3).</t>
  </si>
  <si>
    <t xml:space="preserve">Online Appendix 16.B.2: 10,000 models with |A| &lt;= M</t>
  </si>
  <si>
    <t xml:space="preserve">Largest spectral radius</t>
  </si>
  <si>
    <t xml:space="preserve">Models above the register's radius</t>
  </si>
  <si>
    <t xml:space="preserve">Echoes above its bound</t>
  </si>
  <si>
    <t xml:space="preserve">seed 16, as in the book's engine</t>
  </si>
  <si>
    <t xml:space="preserve">seed 26116, fresh draws</t>
  </si>
  <si>
    <t xml:space="preserve">The register's bound 10 x 0.8^k, quarters 0 to 8</t>
  </si>
  <si>
    <t xml:space="preserve">Feasibility with horizon honesty, gate (R4): each margin against the error of its reading (Worked Example 16.1, Step 4; Table 16.4)</t>
  </si>
  <si>
    <t xml:space="preserve">As first declared: no levers among the decisions</t>
  </si>
  <si>
    <t xml:space="preserve">Breach odds, no levers (engine, seed 8)</t>
  </si>
  <si>
    <t xml:space="preserve">Within the appetite?</t>
  </si>
  <si>
    <t xml:space="preserve">Quarter K</t>
  </si>
  <si>
    <t xml:space="preserve">Odds of a breach by quarter K (engine)</t>
  </si>
  <si>
    <t xml:space="preserve">The artifact: quarters for which the declaration honors the appetite</t>
  </si>
  <si>
    <t xml:space="preserve">With the package</t>
  </si>
  <si>
    <t xml:space="preserve">Breach odds with the package (engine, seed 8)</t>
  </si>
  <si>
    <t xml:space="preserve">5.0 percent: binds</t>
  </si>
  <si>
    <t xml:space="preserve">Simulation error, points</t>
  </si>
  <si>
    <t xml:space="preserve">0.07 points</t>
  </si>
  <si>
    <t xml:space="preserve">Price of the appetite ($ million a point)</t>
  </si>
  <si>
    <t xml:space="preserve">$1.8 million a point</t>
  </si>
  <si>
    <t xml:space="preserve">Net leverage with the line fully drawn</t>
  </si>
  <si>
    <t xml:space="preserve">3.74x</t>
  </si>
  <si>
    <t xml:space="preserve">Covenant margin</t>
  </si>
  <si>
    <t xml:space="preserve">0.76 below the limit</t>
  </si>
  <si>
    <t xml:space="preserve">Error of the leverage reading</t>
  </si>
  <si>
    <t xml:space="preserve">Online Appendix 16.B.3: 0.075</t>
  </si>
  <si>
    <t xml:space="preserve">Margin in errors of the reading</t>
  </si>
  <si>
    <t xml:space="preserve">ten times its band</t>
  </si>
  <si>
    <t xml:space="preserve">Capability margin</t>
  </si>
  <si>
    <t xml:space="preserve">3 points against +/-5</t>
  </si>
  <si>
    <t xml:space="preserve">Strategic risk: peak on the plan</t>
  </si>
  <si>
    <t xml:space="preserve">73.6</t>
  </si>
  <si>
    <t xml:space="preserve">  month of the peak</t>
  </si>
  <si>
    <t xml:space="preserve">month 11</t>
  </si>
  <si>
    <t xml:space="preserve">  margin under the ceiling</t>
  </si>
  <si>
    <t xml:space="preserve">1.4 points against +/-6</t>
  </si>
  <si>
    <t xml:space="preserve">Fresh paths (certificate seed 26209): the same package's odds (engine)</t>
  </si>
  <si>
    <t xml:space="preserve">fitted to the book's paths, its odds move by about a standard error on new ones</t>
  </si>
  <si>
    <t xml:space="preserve">Fresh paths: the cheapest package's cost (engine)</t>
  </si>
  <si>
    <t xml:space="preserve">a statistical certificate carries its paths, its seed and its error</t>
  </si>
  <si>
    <t xml:space="preserve">Table 16.4, bottom: commitment</t>
  </si>
  <si>
    <t xml:space="preserve">Error of the reading</t>
  </si>
  <si>
    <t xml:space="preserve">Grade</t>
  </si>
  <si>
    <t xml:space="preserve">leverage &lt;= 4.5x</t>
  </si>
  <si>
    <t xml:space="preserve">breach odds &lt;= 5%</t>
  </si>
  <si>
    <t xml:space="preserve">capability &gt;= 55</t>
  </si>
  <si>
    <t xml:space="preserve">strategic risk &lt;= 75</t>
  </si>
  <si>
    <t xml:space="preserve">Years t (a tenth of a month)</t>
  </si>
  <si>
    <t xml:space="preserve">Strategic risk on the digital plan</t>
  </si>
  <si>
    <t xml:space="preserve">Issue the certificate: Table 16.4, the grades and the work orders; no gate implies the next (Worked Example 16.1, Step 5; Theorem 16.4; Appendix 16.A)</t>
  </si>
  <si>
    <t xml:space="preserve">Gate</t>
  </si>
  <si>
    <t xml:space="preserve">After Chapter 8</t>
  </si>
  <si>
    <t xml:space="preserve">Now</t>
  </si>
  <si>
    <t xml:space="preserve">Verdict now</t>
  </si>
  <si>
    <t xml:space="preserve">Owners</t>
  </si>
  <si>
    <t xml:space="preserve">(R1) declaration</t>
  </si>
  <si>
    <t xml:space="preserve">lever prices and the scorecard's scale undeclared</t>
  </si>
  <si>
    <t xml:space="preserve">prices declared; the scale is the board's to declare</t>
  </si>
  <si>
    <t xml:space="preserve">CFO, transformation office, board</t>
  </si>
  <si>
    <t xml:space="preserve">(R2) consistency</t>
  </si>
  <si>
    <t xml:space="preserve">draw 138 + buffer 187 = 325 on 270 of cash</t>
  </si>
  <si>
    <t xml:space="preserve">122 + 17 = 139; 131 unclaimed</t>
  </si>
  <si>
    <t xml:space="preserve">transformation office, treasury, board</t>
  </si>
  <si>
    <t xml:space="preserve">(R3) panel</t>
  </si>
  <si>
    <t xml:space="preserve">core certified: spectral radius 0.80</t>
  </si>
  <si>
    <t xml:space="preserve">passes; a phase-two link at 0.40 would fail (1.02)</t>
  </si>
  <si>
    <t xml:space="preserve">risk office, Digital, Industrial Systems</t>
  </si>
  <si>
    <t xml:space="preserve">(R4) horizon</t>
  </si>
  <si>
    <t xml:space="preserve">breach odds 24.6% against 5%</t>
  </si>
  <si>
    <t xml:space="preserve">5.0% with the $10.4 million package</t>
  </si>
  <si>
    <t xml:space="preserve">board, CFO, transformation office</t>
  </si>
  <si>
    <t xml:space="preserve">Gates passing now</t>
  </si>
  <si>
    <t xml:space="preserve">(R1)-(R4) pass</t>
  </si>
  <si>
    <t xml:space="preserve">GEOP-ready for the program as approved?</t>
  </si>
  <si>
    <t xml:space="preserve">the four artifacts on file</t>
  </si>
  <si>
    <t xml:space="preserve">Passes thinner than their readings</t>
  </si>
  <si>
    <t xml:space="preserve">capability and strategic risk</t>
  </si>
  <si>
    <t xml:space="preserve">(R1), (R2) and (R4) failed; by Theorem 16.4(iii) a failure at (R2) is one at (R3)</t>
  </si>
  <si>
    <t xml:space="preserve">Work order</t>
  </si>
  <si>
    <t xml:space="preserve">tighten the capability survey, or protect five points of margin</t>
  </si>
  <si>
    <t xml:space="preserve">human-resources and engineering offices</t>
  </si>
  <si>
    <t xml:space="preserve">narrow the band of the risk reading, or buy margin at the month-11 peak</t>
  </si>
  <si>
    <t xml:space="preserve">risk office; the plan</t>
  </si>
  <si>
    <t xml:space="preserve">declare the phase-two link and return to (R3) before it is optimized</t>
  </si>
  <si>
    <t xml:space="preserve">Appendix 16.A: no gate implies the next, none can be dropped</t>
  </si>
  <si>
    <t xml:space="preserve">(R2): the board's floor on cash</t>
  </si>
  <si>
    <t xml:space="preserve">x &gt;= 350</t>
  </si>
  <si>
    <t xml:space="preserve">(R2): the payout policy's cap on cash</t>
  </si>
  <si>
    <t xml:space="preserve">x &lt;= 300</t>
  </si>
  <si>
    <t xml:space="preserve">(R2): some cash level keeps both?</t>
  </si>
  <si>
    <t xml:space="preserve">(R4): Chapter 14's runway, cash above the floor</t>
  </si>
  <si>
    <t xml:space="preserve">(R4): burn a quarter</t>
  </si>
  <si>
    <t xml:space="preserve">(R4): largest cut a quarter</t>
  </si>
  <si>
    <t xml:space="preserve">Burn, cut as fast as allowed</t>
  </si>
  <si>
    <t xml:space="preserve">Cash in quarter 4, at most</t>
  </si>
  <si>
    <t xml:space="preserve">120 - (50 + 40 + 30 + 20) = -20</t>
  </si>
  <si>
    <t xml:space="preserve">The artifact: quarters the commitments can be kept</t>
  </si>
  <si>
    <t xml:space="preserve">The dependency navigator: the longest chain below each result, and what Theorem 16.4 rests on (AXIOM Lab 1.16, step 4; Theorem 16.5(i); Online Appendix 16.B.1)</t>
  </si>
  <si>
    <t xml:space="preserve">Volume I's numbered results in an order where every cited result comes before the results citing it (column A); the matrix to the right has a 1 where the column's result cites the row's (engine data, read from the book's source by its citation script). Longest chain: 1 + the longest among the results cited.</t>
  </si>
  <si>
    <t xml:space="preserve">rests-on, by column:</t>
  </si>
  <si>
    <t xml:space="preserve">Result</t>
  </si>
  <si>
    <t xml:space="preserve">Chapter</t>
  </si>
  <si>
    <t xml:space="preserve">Cites</t>
  </si>
  <si>
    <t xml:space="preserve">Cited by</t>
  </si>
  <si>
    <t xml:space="preserve">Longest chain below</t>
  </si>
  <si>
    <t xml:space="preserve">Chains that long</t>
  </si>
  <si>
    <t xml:space="preserve">Theorem 16.4 rests on it</t>
  </si>
  <si>
    <t xml:space="preserve">P1.1</t>
  </si>
  <si>
    <t xml:space="preserve">P1.2</t>
  </si>
  <si>
    <t xml:space="preserve">S1.B.1</t>
  </si>
  <si>
    <t xml:space="preserve">S1.B.2</t>
  </si>
  <si>
    <t xml:space="preserve">P2.1</t>
  </si>
  <si>
    <t xml:space="preserve">T2.1</t>
  </si>
  <si>
    <t xml:space="preserve">P2.2</t>
  </si>
  <si>
    <t xml:space="preserve">T2.2</t>
  </si>
  <si>
    <t xml:space="preserve">P2.3</t>
  </si>
  <si>
    <t xml:space="preserve">R2.B.1</t>
  </si>
  <si>
    <t xml:space="preserve">C2.B.2</t>
  </si>
  <si>
    <t xml:space="preserve">P3.1</t>
  </si>
  <si>
    <t xml:space="preserve">T3.1</t>
  </si>
  <si>
    <t xml:space="preserve">P3.2</t>
  </si>
  <si>
    <t xml:space="preserve">T3.2</t>
  </si>
  <si>
    <t xml:space="preserve">P3.3</t>
  </si>
  <si>
    <t xml:space="preserve">T3.3</t>
  </si>
  <si>
    <t xml:space="preserve">R3.B.1</t>
  </si>
  <si>
    <t xml:space="preserve">T4.1</t>
  </si>
  <si>
    <t xml:space="preserve">P4.1</t>
  </si>
  <si>
    <t xml:space="preserve">P4.2</t>
  </si>
  <si>
    <t xml:space="preserve">T4.2</t>
  </si>
  <si>
    <t xml:space="preserve">P4.3</t>
  </si>
  <si>
    <t xml:space="preserve">T4.3</t>
  </si>
  <si>
    <t xml:space="preserve">P4.B.1</t>
  </si>
  <si>
    <t xml:space="preserve">P5.1</t>
  </si>
  <si>
    <t xml:space="preserve">T5.1</t>
  </si>
  <si>
    <t xml:space="preserve">P5.2</t>
  </si>
  <si>
    <t xml:space="preserve">T5.2</t>
  </si>
  <si>
    <t xml:space="preserve">P5.3</t>
  </si>
  <si>
    <t xml:space="preserve">T5.4</t>
  </si>
  <si>
    <t xml:space="preserve">T5.3</t>
  </si>
  <si>
    <t xml:space="preserve">P5.4</t>
  </si>
  <si>
    <t xml:space="preserve">P5.5</t>
  </si>
  <si>
    <t xml:space="preserve">T5.5</t>
  </si>
  <si>
    <t xml:space="preserve">E5.B.1</t>
  </si>
  <si>
    <t xml:space="preserve">E5.B.2</t>
  </si>
  <si>
    <t xml:space="preserve">R5.B.3</t>
  </si>
  <si>
    <t xml:space="preserve">E5.B.4</t>
  </si>
  <si>
    <t xml:space="preserve">R5.B.5</t>
  </si>
  <si>
    <t xml:space="preserve">E5.B.6</t>
  </si>
  <si>
    <t xml:space="preserve">E5.B.7</t>
  </si>
  <si>
    <t xml:space="preserve">P6.1</t>
  </si>
  <si>
    <t xml:space="preserve">T6.1</t>
  </si>
  <si>
    <t xml:space="preserve">P6.2</t>
  </si>
  <si>
    <t xml:space="preserve">P6.3</t>
  </si>
  <si>
    <t xml:space="preserve">T6.3</t>
  </si>
  <si>
    <t xml:space="preserve">P6.4</t>
  </si>
  <si>
    <t xml:space="preserve">T6.2</t>
  </si>
  <si>
    <t xml:space="preserve">T6.4</t>
  </si>
  <si>
    <t xml:space="preserve">P6.5</t>
  </si>
  <si>
    <t xml:space="preserve">T6.5</t>
  </si>
  <si>
    <t xml:space="preserve">E6.B.1</t>
  </si>
  <si>
    <t xml:space="preserve">R6.B.2</t>
  </si>
  <si>
    <t xml:space="preserve">R6.B.3</t>
  </si>
  <si>
    <t xml:space="preserve">T7.1</t>
  </si>
  <si>
    <t xml:space="preserve">P7.1</t>
  </si>
  <si>
    <t xml:space="preserve">T7.2</t>
  </si>
  <si>
    <t xml:space="preserve">P7.2</t>
  </si>
  <si>
    <t xml:space="preserve">P7.3</t>
  </si>
  <si>
    <t xml:space="preserve">P7.4</t>
  </si>
  <si>
    <t xml:space="preserve">T7.3</t>
  </si>
  <si>
    <t xml:space="preserve">T7.4</t>
  </si>
  <si>
    <t xml:space="preserve">P7.5</t>
  </si>
  <si>
    <t xml:space="preserve">T7.5</t>
  </si>
  <si>
    <t xml:space="preserve">E7.B.1</t>
  </si>
  <si>
    <t xml:space="preserve">E7.B.2</t>
  </si>
  <si>
    <t xml:space="preserve">E7.B.3</t>
  </si>
  <si>
    <t xml:space="preserve">E7.B.4</t>
  </si>
  <si>
    <t xml:space="preserve">L7.B.5</t>
  </si>
  <si>
    <t xml:space="preserve">P7.B.6</t>
  </si>
  <si>
    <t xml:space="preserve">E7.B.7</t>
  </si>
  <si>
    <t xml:space="preserve">R7.B.8</t>
  </si>
  <si>
    <t xml:space="preserve">L8.1</t>
  </si>
  <si>
    <t xml:space="preserve">P8.1</t>
  </si>
  <si>
    <t xml:space="preserve">T8.1</t>
  </si>
  <si>
    <t xml:space="preserve">P8.2</t>
  </si>
  <si>
    <t xml:space="preserve">T8.2</t>
  </si>
  <si>
    <t xml:space="preserve">P8.3</t>
  </si>
  <si>
    <t xml:space="preserve">T8.3</t>
  </si>
  <si>
    <t xml:space="preserve">P8.4</t>
  </si>
  <si>
    <t xml:space="preserve">P8.5</t>
  </si>
  <si>
    <t xml:space="preserve">T8.5</t>
  </si>
  <si>
    <t xml:space="preserve">T8.4</t>
  </si>
  <si>
    <t xml:space="preserve">E8.B.1</t>
  </si>
  <si>
    <t xml:space="preserve">E8.B.2</t>
  </si>
  <si>
    <t xml:space="preserve">E8.B.3</t>
  </si>
  <si>
    <t xml:space="preserve">R8.B.4</t>
  </si>
  <si>
    <t xml:space="preserve">E8.B.5</t>
  </si>
  <si>
    <t xml:space="preserve">E8.B.6</t>
  </si>
  <si>
    <t xml:space="preserve">E8.B.7</t>
  </si>
  <si>
    <t xml:space="preserve">T9.1</t>
  </si>
  <si>
    <t xml:space="preserve">P9.1</t>
  </si>
  <si>
    <t xml:space="preserve">P9.2</t>
  </si>
  <si>
    <t xml:space="preserve">T9.2</t>
  </si>
  <si>
    <t xml:space="preserve">P9.3</t>
  </si>
  <si>
    <t xml:space="preserve">T9.3</t>
  </si>
  <si>
    <t xml:space="preserve">P9.4</t>
  </si>
  <si>
    <t xml:space="preserve">T9.4</t>
  </si>
  <si>
    <t xml:space="preserve">P9.5</t>
  </si>
  <si>
    <t xml:space="preserve">T9.5</t>
  </si>
  <si>
    <t xml:space="preserve">P9.6</t>
  </si>
  <si>
    <t xml:space="preserve">E9.B.1</t>
  </si>
  <si>
    <t xml:space="preserve">P9.B.2</t>
  </si>
  <si>
    <t xml:space="preserve">P9.B.3</t>
  </si>
  <si>
    <t xml:space="preserve">P9.B.4</t>
  </si>
  <si>
    <t xml:space="preserve">E9.B.5</t>
  </si>
  <si>
    <t xml:space="preserve">P9.B.6</t>
  </si>
  <si>
    <t xml:space="preserve">E9.B.7</t>
  </si>
  <si>
    <t xml:space="preserve">P10.1</t>
  </si>
  <si>
    <t xml:space="preserve">P10.2</t>
  </si>
  <si>
    <t xml:space="preserve">T10.2</t>
  </si>
  <si>
    <t xml:space="preserve">P10.3</t>
  </si>
  <si>
    <t xml:space="preserve">T10.3</t>
  </si>
  <si>
    <t xml:space="preserve">P10.4</t>
  </si>
  <si>
    <t xml:space="preserve">T10.4</t>
  </si>
  <si>
    <t xml:space="preserve">T10.5</t>
  </si>
  <si>
    <t xml:space="preserve">T10.1</t>
  </si>
  <si>
    <t xml:space="preserve">P10.5</t>
  </si>
  <si>
    <t xml:space="preserve">P10.B.1</t>
  </si>
  <si>
    <t xml:space="preserve">P10.B.2</t>
  </si>
  <si>
    <t xml:space="preserve">E10.B.3</t>
  </si>
  <si>
    <t xml:space="preserve">E10.B.4</t>
  </si>
  <si>
    <t xml:space="preserve">P10.B.5</t>
  </si>
  <si>
    <t xml:space="preserve">E10.B.6</t>
  </si>
  <si>
    <t xml:space="preserve">P11.1</t>
  </si>
  <si>
    <t xml:space="preserve">T11.1</t>
  </si>
  <si>
    <t xml:space="preserve">T11.2</t>
  </si>
  <si>
    <t xml:space="preserve">P11.3</t>
  </si>
  <si>
    <t xml:space="preserve">T11.3</t>
  </si>
  <si>
    <t xml:space="preserve">T11.5</t>
  </si>
  <si>
    <t xml:space="preserve">P11.B.1</t>
  </si>
  <si>
    <t xml:space="preserve">E11.B.2</t>
  </si>
  <si>
    <t xml:space="preserve">E11.B.3</t>
  </si>
  <si>
    <t xml:space="preserve">P11.B.4</t>
  </si>
  <si>
    <t xml:space="preserve">T11.4</t>
  </si>
  <si>
    <t xml:space="preserve">P11.2</t>
  </si>
  <si>
    <t xml:space="preserve">E11.B.5</t>
  </si>
  <si>
    <t xml:space="preserve">E11.B.6</t>
  </si>
  <si>
    <t xml:space="preserve">P12.1</t>
  </si>
  <si>
    <t xml:space="preserve">T12.1</t>
  </si>
  <si>
    <t xml:space="preserve">P12.2</t>
  </si>
  <si>
    <t xml:space="preserve">T12.2</t>
  </si>
  <si>
    <t xml:space="preserve">T12.3</t>
  </si>
  <si>
    <t xml:space="preserve">T12.4</t>
  </si>
  <si>
    <t xml:space="preserve">T12.5</t>
  </si>
  <si>
    <t xml:space="preserve">P12.B.1</t>
  </si>
  <si>
    <t xml:space="preserve">E12.B.2</t>
  </si>
  <si>
    <t xml:space="preserve">P12.B.3</t>
  </si>
  <si>
    <t xml:space="preserve">E12.B.4</t>
  </si>
  <si>
    <t xml:space="preserve">E12.B.5</t>
  </si>
  <si>
    <t xml:space="preserve">E12.B.6</t>
  </si>
  <si>
    <t xml:space="preserve">P13.1</t>
  </si>
  <si>
    <t xml:space="preserve">T13.1</t>
  </si>
  <si>
    <t xml:space="preserve">P13.2</t>
  </si>
  <si>
    <t xml:space="preserve">T13.3</t>
  </si>
  <si>
    <t xml:space="preserve">P13.3</t>
  </si>
  <si>
    <t xml:space="preserve">P13.4</t>
  </si>
  <si>
    <t xml:space="preserve">P13.5</t>
  </si>
  <si>
    <t xml:space="preserve">T13.5</t>
  </si>
  <si>
    <t xml:space="preserve">T13.2</t>
  </si>
  <si>
    <t xml:space="preserve">T13.4</t>
  </si>
  <si>
    <t xml:space="preserve">P13.B.1</t>
  </si>
  <si>
    <t xml:space="preserve">E13.B.2</t>
  </si>
  <si>
    <t xml:space="preserve">E13.B.3</t>
  </si>
  <si>
    <t xml:space="preserve">E13.B.4</t>
  </si>
  <si>
    <t xml:space="preserve">P14.2</t>
  </si>
  <si>
    <t xml:space="preserve">T14.2</t>
  </si>
  <si>
    <t xml:space="preserve">T14.3</t>
  </si>
  <si>
    <t xml:space="preserve">P14.4</t>
  </si>
  <si>
    <t xml:space="preserve">T14.4</t>
  </si>
  <si>
    <t xml:space="preserve">P14.3</t>
  </si>
  <si>
    <t xml:space="preserve">P14.5</t>
  </si>
  <si>
    <t xml:space="preserve">T14.5</t>
  </si>
  <si>
    <t xml:space="preserve">T14.7</t>
  </si>
  <si>
    <t xml:space="preserve">T14.8</t>
  </si>
  <si>
    <t xml:space="preserve">P14.B.1</t>
  </si>
  <si>
    <t xml:space="preserve">E14.B.2</t>
  </si>
  <si>
    <t xml:space="preserve">P14.1</t>
  </si>
  <si>
    <t xml:space="preserve">T14.1</t>
  </si>
  <si>
    <t xml:space="preserve">T14.6</t>
  </si>
  <si>
    <t xml:space="preserve">E14.B.3</t>
  </si>
  <si>
    <t xml:space="preserve">P15.1</t>
  </si>
  <si>
    <t xml:space="preserve">T15.1</t>
  </si>
  <si>
    <t xml:space="preserve">P15.2</t>
  </si>
  <si>
    <t xml:space="preserve">T15.3</t>
  </si>
  <si>
    <t xml:space="preserve">T15.2</t>
  </si>
  <si>
    <t xml:space="preserve">P15.3</t>
  </si>
  <si>
    <t xml:space="preserve">P15.4</t>
  </si>
  <si>
    <t xml:space="preserve">P15.5</t>
  </si>
  <si>
    <t xml:space="preserve">T15.5</t>
  </si>
  <si>
    <t xml:space="preserve">P15.6</t>
  </si>
  <si>
    <t xml:space="preserve">T15.6</t>
  </si>
  <si>
    <t xml:space="preserve">P15.9</t>
  </si>
  <si>
    <t xml:space="preserve">E15.B.1</t>
  </si>
  <si>
    <t xml:space="preserve">E15.B.2</t>
  </si>
  <si>
    <t xml:space="preserve">T15.4</t>
  </si>
  <si>
    <t xml:space="preserve">E15.B.3</t>
  </si>
  <si>
    <t xml:space="preserve">E15.B.4</t>
  </si>
  <si>
    <t xml:space="preserve">P15.7</t>
  </si>
  <si>
    <t xml:space="preserve">T15.7</t>
  </si>
  <si>
    <t xml:space="preserve">P15.8</t>
  </si>
  <si>
    <t xml:space="preserve">P16.1</t>
  </si>
  <si>
    <t xml:space="preserve">T16.2</t>
  </si>
  <si>
    <t xml:space="preserve">T16.3</t>
  </si>
  <si>
    <t xml:space="preserve">T16.4</t>
  </si>
  <si>
    <t xml:space="preserve">E16.B.1</t>
  </si>
  <si>
    <t xml:space="preserve">T16.5</t>
  </si>
  <si>
    <t xml:space="preserve">E16.B.2</t>
  </si>
  <si>
    <t xml:space="preserve">E16.B.3</t>
  </si>
  <si>
    <t xml:space="preserve">T16.1</t>
  </si>
  <si>
    <t xml:space="preserve">Proposition 1.1</t>
  </si>
  <si>
    <t xml:space="preserve">Proposition 1.2</t>
  </si>
  <si>
    <t xml:space="preserve">Result 1.B.1</t>
  </si>
  <si>
    <t xml:space="preserve">Result 1.B.2</t>
  </si>
  <si>
    <t xml:space="preserve">Proposition 2.1</t>
  </si>
  <si>
    <t xml:space="preserve">Theorem 2.1</t>
  </si>
  <si>
    <t xml:space="preserve">Proposition 2.2</t>
  </si>
  <si>
    <t xml:space="preserve">Theorem 2.2</t>
  </si>
  <si>
    <t xml:space="preserve">Proposition 2.3</t>
  </si>
  <si>
    <t xml:space="preserve">Remark 2.B.1</t>
  </si>
  <si>
    <t xml:space="preserve">Corollary 2.B.2</t>
  </si>
  <si>
    <t xml:space="preserve">Proposition 3.1</t>
  </si>
  <si>
    <t xml:space="preserve">Theorem 3.1</t>
  </si>
  <si>
    <t xml:space="preserve">Proposition 3.2</t>
  </si>
  <si>
    <t xml:space="preserve">Theorem 3.2</t>
  </si>
  <si>
    <t xml:space="preserve">Proposition 3.3</t>
  </si>
  <si>
    <t xml:space="preserve">Theorem 3.3</t>
  </si>
  <si>
    <t xml:space="preserve">Remark 3.B.1</t>
  </si>
  <si>
    <t xml:space="preserve">Theorem 4.1</t>
  </si>
  <si>
    <t xml:space="preserve">Proposition 4.1</t>
  </si>
  <si>
    <t xml:space="preserve">Proposition 4.2</t>
  </si>
  <si>
    <t xml:space="preserve">Theorem 4.2</t>
  </si>
  <si>
    <t xml:space="preserve">Proposition 4.3</t>
  </si>
  <si>
    <t xml:space="preserve">Theorem 4.3</t>
  </si>
  <si>
    <t xml:space="preserve">Proposition 4.B.1</t>
  </si>
  <si>
    <t xml:space="preserve">Proposition 5.1</t>
  </si>
  <si>
    <t xml:space="preserve">Theorem 5.1</t>
  </si>
  <si>
    <t xml:space="preserve">Proposition 5.2</t>
  </si>
  <si>
    <t xml:space="preserve">Theorem 5.2</t>
  </si>
  <si>
    <t xml:space="preserve">Proposition 5.3</t>
  </si>
  <si>
    <t xml:space="preserve">Theorem 5.4</t>
  </si>
  <si>
    <t xml:space="preserve">Theorem 5.3</t>
  </si>
  <si>
    <t xml:space="preserve">Proposition 5.4</t>
  </si>
  <si>
    <t xml:space="preserve">Proposition 5.5</t>
  </si>
  <si>
    <t xml:space="preserve">Theorem 5.5</t>
  </si>
  <si>
    <t xml:space="preserve">Example 5.B.1</t>
  </si>
  <si>
    <t xml:space="preserve">Example 5.B.2</t>
  </si>
  <si>
    <t xml:space="preserve">Remark 5.B.3</t>
  </si>
  <si>
    <t xml:space="preserve">Example 5.B.4</t>
  </si>
  <si>
    <t xml:space="preserve">Remark 5.B.5</t>
  </si>
  <si>
    <t xml:space="preserve">Example 5.B.6</t>
  </si>
  <si>
    <t xml:space="preserve">Example 5.B.7</t>
  </si>
  <si>
    <t xml:space="preserve">Proposition 6.1</t>
  </si>
  <si>
    <t xml:space="preserve">Theorem 6.1</t>
  </si>
  <si>
    <t xml:space="preserve">Proposition 6.2</t>
  </si>
  <si>
    <t xml:space="preserve">Proposition 6.3</t>
  </si>
  <si>
    <t xml:space="preserve">Theorem 6.3</t>
  </si>
  <si>
    <t xml:space="preserve">Proposition 6.4</t>
  </si>
  <si>
    <t xml:space="preserve">Theorem 6.2</t>
  </si>
  <si>
    <t xml:space="preserve">Theorem 6.4</t>
  </si>
  <si>
    <t xml:space="preserve">Proposition 6.5</t>
  </si>
  <si>
    <t xml:space="preserve">Theorem 6.5</t>
  </si>
  <si>
    <t xml:space="preserve">Example 6.B.1</t>
  </si>
  <si>
    <t xml:space="preserve">Remark 6.B.2</t>
  </si>
  <si>
    <t xml:space="preserve">Remark 6.B.3</t>
  </si>
  <si>
    <t xml:space="preserve">Theorem 7.1</t>
  </si>
  <si>
    <t xml:space="preserve">Proposition 7.1</t>
  </si>
  <si>
    <t xml:space="preserve">Theorem 7.2</t>
  </si>
  <si>
    <t xml:space="preserve">Proposition 7.2</t>
  </si>
  <si>
    <t xml:space="preserve">Proposition 7.3</t>
  </si>
  <si>
    <t xml:space="preserve">Proposition 7.4</t>
  </si>
  <si>
    <t xml:space="preserve">Theorem 7.3</t>
  </si>
  <si>
    <t xml:space="preserve">Theorem 7.4</t>
  </si>
  <si>
    <t xml:space="preserve">Proposition 7.5</t>
  </si>
  <si>
    <t xml:space="preserve">Theorem 7.5</t>
  </si>
  <si>
    <t xml:space="preserve">Example 7.B.1</t>
  </si>
  <si>
    <t xml:space="preserve">Example 7.B.2</t>
  </si>
  <si>
    <t xml:space="preserve">Example 7.B.3</t>
  </si>
  <si>
    <t xml:space="preserve">Example 7.B.4</t>
  </si>
  <si>
    <t xml:space="preserve">Lemma 7.B.5</t>
  </si>
  <si>
    <t xml:space="preserve">Proposition 7.B.6</t>
  </si>
  <si>
    <t xml:space="preserve">Example 7.B.7</t>
  </si>
  <si>
    <t xml:space="preserve">Remark 7.B.8</t>
  </si>
  <si>
    <t xml:space="preserve">Lemma 8.1</t>
  </si>
  <si>
    <t xml:space="preserve">Proposition 8.1</t>
  </si>
  <si>
    <t xml:space="preserve">Theorem 8.1</t>
  </si>
  <si>
    <t xml:space="preserve">Proposition 8.2</t>
  </si>
  <si>
    <t xml:space="preserve">Theorem 8.2</t>
  </si>
  <si>
    <t xml:space="preserve">Proposition 8.3</t>
  </si>
  <si>
    <t xml:space="preserve">Theorem 8.3</t>
  </si>
  <si>
    <t xml:space="preserve">Proposition 8.4</t>
  </si>
  <si>
    <t xml:space="preserve">Proposition 8.5</t>
  </si>
  <si>
    <t xml:space="preserve">Theorem 8.5</t>
  </si>
  <si>
    <t xml:space="preserve">Theorem 8.4</t>
  </si>
  <si>
    <t xml:space="preserve">Example 8.B.1</t>
  </si>
  <si>
    <t xml:space="preserve">Example 8.B.2</t>
  </si>
  <si>
    <t xml:space="preserve">Example 8.B.3</t>
  </si>
  <si>
    <t xml:space="preserve">Remark 8.B.4</t>
  </si>
  <si>
    <t xml:space="preserve">Example 8.B.5</t>
  </si>
  <si>
    <t xml:space="preserve">Example 8.B.6</t>
  </si>
  <si>
    <t xml:space="preserve">Example 8.B.7</t>
  </si>
  <si>
    <t xml:space="preserve">Theorem 9.1</t>
  </si>
  <si>
    <t xml:space="preserve">Proposition 9.1</t>
  </si>
  <si>
    <t xml:space="preserve">Proposition 9.2</t>
  </si>
  <si>
    <t xml:space="preserve">Theorem 9.2</t>
  </si>
  <si>
    <t xml:space="preserve">Proposition 9.3</t>
  </si>
  <si>
    <t xml:space="preserve">Theorem 9.3</t>
  </si>
  <si>
    <t xml:space="preserve">Proposition 9.4</t>
  </si>
  <si>
    <t xml:space="preserve">Theorem 9.4</t>
  </si>
  <si>
    <t xml:space="preserve">Proposition 9.5</t>
  </si>
  <si>
    <t xml:space="preserve">Theorem 9.5</t>
  </si>
  <si>
    <t xml:space="preserve">Proposition 9.6</t>
  </si>
  <si>
    <t xml:space="preserve">Example 9.B.1</t>
  </si>
  <si>
    <t xml:space="preserve">Proposition 9.B.2</t>
  </si>
  <si>
    <t xml:space="preserve">Proposition 9.B.3</t>
  </si>
  <si>
    <t xml:space="preserve">Proposition 9.B.4</t>
  </si>
  <si>
    <t xml:space="preserve">Example 9.B.5</t>
  </si>
  <si>
    <t xml:space="preserve">Proposition 9.B.6</t>
  </si>
  <si>
    <t xml:space="preserve">Example 9.B.7</t>
  </si>
  <si>
    <t xml:space="preserve">Proposition 10.1</t>
  </si>
  <si>
    <t xml:space="preserve">Proposition 10.2</t>
  </si>
  <si>
    <t xml:space="preserve">Theorem 10.2</t>
  </si>
  <si>
    <t xml:space="preserve">Proposition 10.3</t>
  </si>
  <si>
    <t xml:space="preserve">Theorem 10.3</t>
  </si>
  <si>
    <t xml:space="preserve">Proposition 10.4</t>
  </si>
  <si>
    <t xml:space="preserve">Theorem 10.4</t>
  </si>
  <si>
    <t xml:space="preserve">Theorem 10.5</t>
  </si>
  <si>
    <t xml:space="preserve">Theorem 10.1</t>
  </si>
  <si>
    <t xml:space="preserve">Proposition 10.5</t>
  </si>
  <si>
    <t xml:space="preserve">Proposition 10.B.1</t>
  </si>
  <si>
    <t xml:space="preserve">Proposition 10.B.2</t>
  </si>
  <si>
    <t xml:space="preserve">Example 10.B.3</t>
  </si>
  <si>
    <t xml:space="preserve">Example 10.B.4</t>
  </si>
  <si>
    <t xml:space="preserve">Proposition 10.B.5</t>
  </si>
  <si>
    <t xml:space="preserve">Example 10.B.6</t>
  </si>
  <si>
    <t xml:space="preserve">Proposition 11.1</t>
  </si>
  <si>
    <t xml:space="preserve">Theorem 11.1</t>
  </si>
  <si>
    <t xml:space="preserve">Theorem 11.2</t>
  </si>
  <si>
    <t xml:space="preserve">Proposition 11.3</t>
  </si>
  <si>
    <t xml:space="preserve">Theorem 11.3</t>
  </si>
  <si>
    <t xml:space="preserve">Theorem 11.5</t>
  </si>
  <si>
    <t xml:space="preserve">Proposition 11.B.1</t>
  </si>
  <si>
    <t xml:space="preserve">Example 11.B.2</t>
  </si>
  <si>
    <t xml:space="preserve">Example 11.B.3</t>
  </si>
  <si>
    <t xml:space="preserve">Proposition 11.B.4</t>
  </si>
  <si>
    <t xml:space="preserve">Theorem 11.4</t>
  </si>
  <si>
    <t xml:space="preserve">Proposition 11.2</t>
  </si>
  <si>
    <t xml:space="preserve">Example 11.B.5</t>
  </si>
  <si>
    <t xml:space="preserve">Example 11.B.6</t>
  </si>
  <si>
    <t xml:space="preserve">Proposition 12.1</t>
  </si>
  <si>
    <t xml:space="preserve">Theorem 12.1</t>
  </si>
  <si>
    <t xml:space="preserve">Proposition 12.2</t>
  </si>
  <si>
    <t xml:space="preserve">Theorem 12.2</t>
  </si>
  <si>
    <t xml:space="preserve">Theorem 12.3</t>
  </si>
  <si>
    <t xml:space="preserve">Theorem 12.4</t>
  </si>
  <si>
    <t xml:space="preserve">Theorem 12.5</t>
  </si>
  <si>
    <t xml:space="preserve">Proposition 12.B.1</t>
  </si>
  <si>
    <t xml:space="preserve">Example 12.B.2</t>
  </si>
  <si>
    <t xml:space="preserve">Proposition 12.B.3</t>
  </si>
  <si>
    <t xml:space="preserve">Example 12.B.4</t>
  </si>
  <si>
    <t xml:space="preserve">Example 12.B.5</t>
  </si>
  <si>
    <t xml:space="preserve">Example 12.B.6</t>
  </si>
  <si>
    <t xml:space="preserve">Proposition 13.1</t>
  </si>
  <si>
    <t xml:space="preserve">Theorem 13.1</t>
  </si>
  <si>
    <t xml:space="preserve">Proposition 13.2</t>
  </si>
  <si>
    <t xml:space="preserve">Theorem 13.3</t>
  </si>
  <si>
    <t xml:space="preserve">Proposition 13.3</t>
  </si>
  <si>
    <t xml:space="preserve">Proposition 13.4</t>
  </si>
  <si>
    <t xml:space="preserve">Proposition 13.5</t>
  </si>
  <si>
    <t xml:space="preserve">Theorem 13.5</t>
  </si>
  <si>
    <t xml:space="preserve">Theorem 13.2</t>
  </si>
  <si>
    <t xml:space="preserve">Theorem 13.4</t>
  </si>
  <si>
    <t xml:space="preserve">Proposition 13.B.1</t>
  </si>
  <si>
    <t xml:space="preserve">Example 13.B.2</t>
  </si>
  <si>
    <t xml:space="preserve">Example 13.B.3</t>
  </si>
  <si>
    <t xml:space="preserve">Example 13.B.4</t>
  </si>
  <si>
    <t xml:space="preserve">Proposition 14.2</t>
  </si>
  <si>
    <t xml:space="preserve">Theorem 14.2</t>
  </si>
  <si>
    <t xml:space="preserve">Theorem 14.3</t>
  </si>
  <si>
    <t xml:space="preserve">Proposition 14.4</t>
  </si>
  <si>
    <t xml:space="preserve">Theorem 14.4</t>
  </si>
  <si>
    <t xml:space="preserve">Proposition 14.3</t>
  </si>
  <si>
    <t xml:space="preserve">Proposition 14.5</t>
  </si>
  <si>
    <t xml:space="preserve">Theorem 14.5</t>
  </si>
  <si>
    <t xml:space="preserve">Theorem 14.7</t>
  </si>
  <si>
    <t xml:space="preserve">Theorem 14.8</t>
  </si>
  <si>
    <t xml:space="preserve">Proposition 14.B.1</t>
  </si>
  <si>
    <t xml:space="preserve">Example 14.B.2</t>
  </si>
  <si>
    <t xml:space="preserve">Proposition 14.1</t>
  </si>
  <si>
    <t xml:space="preserve">Theorem 14.1</t>
  </si>
  <si>
    <t xml:space="preserve">Theorem 14.6</t>
  </si>
  <si>
    <t xml:space="preserve">Example 14.B.3</t>
  </si>
  <si>
    <t xml:space="preserve">Proposition 15.1</t>
  </si>
  <si>
    <t xml:space="preserve">Theorem 15.1</t>
  </si>
  <si>
    <t xml:space="preserve">Proposition 15.2</t>
  </si>
  <si>
    <t xml:space="preserve">Theorem 15.3</t>
  </si>
  <si>
    <t xml:space="preserve">Theorem 15.2</t>
  </si>
  <si>
    <t xml:space="preserve">Proposition 15.3</t>
  </si>
  <si>
    <t xml:space="preserve">Proposition 15.4</t>
  </si>
  <si>
    <t xml:space="preserve">Proposition 15.5</t>
  </si>
  <si>
    <t xml:space="preserve">Theorem 15.5</t>
  </si>
  <si>
    <t xml:space="preserve">Proposition 15.6</t>
  </si>
  <si>
    <t xml:space="preserve">Theorem 15.6</t>
  </si>
  <si>
    <t xml:space="preserve">Proposition 15.9</t>
  </si>
  <si>
    <t xml:space="preserve">Example 15.B.1</t>
  </si>
  <si>
    <t xml:space="preserve">Example 15.B.2</t>
  </si>
  <si>
    <t xml:space="preserve">Theorem 15.4</t>
  </si>
  <si>
    <t xml:space="preserve">Example 15.B.3</t>
  </si>
  <si>
    <t xml:space="preserve">Example 15.B.4</t>
  </si>
  <si>
    <t xml:space="preserve">Proposition 15.7</t>
  </si>
  <si>
    <t xml:space="preserve">Theorem 15.7</t>
  </si>
  <si>
    <t xml:space="preserve">Proposition 15.8</t>
  </si>
  <si>
    <t xml:space="preserve">Proposition 16.1</t>
  </si>
  <si>
    <t xml:space="preserve">Theorem 16.2</t>
  </si>
  <si>
    <t xml:space="preserve">Theorem 16.3</t>
  </si>
  <si>
    <t xml:space="preserve">Theorem 16.4</t>
  </si>
  <si>
    <t xml:space="preserve">Example 16.B.1</t>
  </si>
  <si>
    <t xml:space="preserve">Theorem 16.5</t>
  </si>
  <si>
    <t xml:space="preserve">Example 16.B.2</t>
  </si>
  <si>
    <t xml:space="preserve">Example 16.B.3</t>
  </si>
  <si>
    <t xml:space="preserve">Theorem 16.1</t>
  </si>
  <si>
    <t xml:space="preserve">Who cites whom: Figure 16.2 and the checks of Theorem 16.5(i) (Online Appendix 16.B.1)</t>
  </si>
  <si>
    <t xml:space="preserve">Each citation as the book's script reads it (engine data), with the chapters and the positions of the two results in the Dependencies sheet's order. Nine pointers to illustrations are set aside (column K).</t>
  </si>
  <si>
    <t xml:space="preserve">Citing result</t>
  </si>
  <si>
    <t xml:space="preserve">Cited result</t>
  </si>
  <si>
    <t xml:space="preserve">Citing chapter</t>
  </si>
  <si>
    <t xml:space="preserve">Cited chapter</t>
  </si>
  <si>
    <t xml:space="preserve">Position citing</t>
  </si>
  <si>
    <t xml:space="preserve">Position cited</t>
  </si>
  <si>
    <t xml:space="preserve">In the matrix?</t>
  </si>
  <si>
    <t xml:space="preserve">Pointer set aside (citing &gt; cited)</t>
  </si>
  <si>
    <t xml:space="preserve">T5.4&gt;T5.3</t>
  </si>
  <si>
    <t xml:space="preserve">T7.1&gt;P7.1</t>
  </si>
  <si>
    <t xml:space="preserve">T7.1&gt;P7.4</t>
  </si>
  <si>
    <t xml:space="preserve">P7.2&gt;E7.B.4</t>
  </si>
  <si>
    <t xml:space="preserve">T9.2&gt;E9.B.1</t>
  </si>
  <si>
    <t xml:space="preserve">T14.5&gt;E14.B.2</t>
  </si>
  <si>
    <t xml:space="preserve">P15.5&gt;E15.B.1</t>
  </si>
  <si>
    <t xml:space="preserve">P15.9&gt;E15.B.3</t>
  </si>
  <si>
    <t xml:space="preserve">T15.2&gt;E15.B.4</t>
  </si>
  <si>
    <t xml:space="preserve">Figure 16.2: citing chapter (row), cited chapter (column)</t>
  </si>
  <si>
    <t xml:space="preserve">1</t>
  </si>
  <si>
    <t xml:space="preserve">2</t>
  </si>
  <si>
    <t xml:space="preserve">3</t>
  </si>
  <si>
    <t xml:space="preserve">4</t>
  </si>
  <si>
    <t xml:space="preserve">6</t>
  </si>
  <si>
    <t xml:space="preserve">7</t>
  </si>
  <si>
    <t xml:space="preserve">8</t>
  </si>
  <si>
    <t xml:space="preserve">9</t>
  </si>
  <si>
    <t xml:space="preserve">10</t>
  </si>
  <si>
    <t xml:space="preserve">11</t>
  </si>
  <si>
    <t xml:space="preserve">12</t>
  </si>
  <si>
    <t xml:space="preserve">13</t>
  </si>
  <si>
    <t xml:space="preserve">14</t>
  </si>
  <si>
    <t xml:space="preserve">15</t>
  </si>
  <si>
    <t xml:space="preserve">16</t>
  </si>
  <si>
    <t xml:space="preserve">Results</t>
  </si>
  <si>
    <t xml:space="preserve">Numbered results</t>
  </si>
  <si>
    <t xml:space="preserve">211</t>
  </si>
  <si>
    <t xml:space="preserve">Citations</t>
  </si>
  <si>
    <t xml:space="preserve">302</t>
  </si>
  <si>
    <t xml:space="preserve">Pointers set aside</t>
  </si>
  <si>
    <t xml:space="preserve">nine</t>
  </si>
  <si>
    <t xml:space="preserve">Within a chapter (the diagonal)</t>
  </si>
  <si>
    <t xml:space="preserve">138</t>
  </si>
  <si>
    <t xml:space="preserve">To earlier chapters</t>
  </si>
  <si>
    <t xml:space="preserve">164</t>
  </si>
  <si>
    <t xml:space="preserve">To later chapters (above the diagonal)</t>
  </si>
  <si>
    <t xml:space="preserve">none</t>
  </si>
  <si>
    <t xml:space="preserve">Citations against the order (cited after citing)</t>
  </si>
  <si>
    <t xml:space="preserve">none: an order with every cited result first exists, so there is no loop</t>
  </si>
  <si>
    <t xml:space="preserve">Citations found in the matrix</t>
  </si>
  <si>
    <t xml:space="preserve">302: the two copies agree</t>
  </si>
  <si>
    <t xml:space="preserve">Results per chapter, in all</t>
  </si>
  <si>
    <t xml:space="preserve">The dependency navigator</t>
  </si>
  <si>
    <t xml:space="preserve">Results citing no other result</t>
  </si>
  <si>
    <t xml:space="preserve">62</t>
  </si>
  <si>
    <t xml:space="preserve">Longest chain of citations</t>
  </si>
  <si>
    <t xml:space="preserve">Chains of that length</t>
  </si>
  <si>
    <t xml:space="preserve">Results the longest chains start at</t>
  </si>
  <si>
    <t xml:space="preserve">Theorem 16.1 and Example 16.B.2</t>
  </si>
  <si>
    <t xml:space="preserve">Results Theorem 16.4 cites</t>
  </si>
  <si>
    <t xml:space="preserve">four</t>
  </si>
  <si>
    <t xml:space="preserve">Results Theorem 16.4 rests on</t>
  </si>
  <si>
    <t xml:space="preserve">AXIOM Lab 1.16, step 4</t>
  </si>
  <si>
    <t xml:space="preserve">Theorem 16.4's longest chain</t>
  </si>
  <si>
    <t xml:space="preserve">ends at Theorem 3.3</t>
  </si>
  <si>
    <t xml:space="preserve">Export the certified instance in Volume II's canonical form (AXIOM Lab 1.16, step 5; Table 16.3)</t>
  </si>
  <si>
    <t xml:space="preserve">max over u in D of J(x, u) subject to x = f(u), g_i(x, u) &lt;= 0: every entry links to the declaration or to the audit that certified it; the notebook writes the same instance as a JSON document.</t>
  </si>
  <si>
    <t xml:space="preserve">Section</t>
  </si>
  <si>
    <t xml:space="preserve">Entry</t>
  </si>
  <si>
    <t xml:space="preserve">decision</t>
  </si>
  <si>
    <t xml:space="preserve">standby line, $ million, 0 to 400 in $5 million steps</t>
  </si>
  <si>
    <t xml:space="preserve">delay, quarters, 0 to 7</t>
  </si>
  <si>
    <t xml:space="preserve">transformation office</t>
  </si>
  <si>
    <t xml:space="preserve">minimize Fee x line + Vq x delay ($ million)</t>
  </si>
  <si>
    <t xml:space="preserve">CFO; transformation office</t>
  </si>
  <si>
    <t xml:space="preserve">dynamics</t>
  </si>
  <si>
    <t xml:space="preserve">Chapter 1's liquidity path at $6.2 million a point, depth 28 - 4 x delay</t>
  </si>
  <si>
    <t xml:space="preserve">Chapter 8's laws on 100,000 paths, seed 8</t>
  </si>
  <si>
    <t xml:space="preserve">commitment</t>
  </si>
  <si>
    <t xml:space="preserve">P(liquidity &lt; 350 in some quarter) &lt;= 5%</t>
  </si>
  <si>
    <t xml:space="preserve">(net debt + line) / EBITDA &lt;= 4.5</t>
  </si>
  <si>
    <t xml:space="preserve">peak strategic risk &lt;= 75</t>
  </si>
  <si>
    <t xml:space="preserve">every core link at most 0.40 (the register)</t>
  </si>
  <si>
    <t xml:space="preserve">risk office</t>
  </si>
  <si>
    <t xml:space="preserve">certificate</t>
  </si>
  <si>
    <t xml:space="preserve">gates passing</t>
  </si>
  <si>
    <t xml:space="preserve">GEOP-ready for the program as approved</t>
  </si>
  <si>
    <t xml:space="preserve">lapses if</t>
  </si>
  <si>
    <t xml:space="preserve">(R3) the gain audit flags a core link; the phase-two link appears undeclared</t>
  </si>
  <si>
    <t xml:space="preserve">(R4) a reading crosses its commitment</t>
  </si>
  <si>
    <t xml:space="preserve">the commitment's owner</t>
  </si>
  <si>
    <t xml:space="preserve">(R1)-(R2) a declared price, law, owner or commitment changes: re-run the gates in order</t>
  </si>
  <si>
    <t xml:space="preserve">Re-solved from the exported document alone (engine): least cost</t>
  </si>
  <si>
    <t xml:space="preserve">Agrees with the certified package?</t>
  </si>
  <si>
    <t xml:space="preserve">Checkpoint</t>
  </si>
  <si>
    <t xml:space="preserve">Engine value</t>
  </si>
  <si>
    <t xml:space="preserve">Meaning (where in the book)</t>
  </si>
  <si>
    <t xml:space="preserve">Table 16.1, L1: deepest draw</t>
  </si>
  <si>
    <t xml:space="preserve">Table 16.1, L1: buffer for a 90th-percentile closure</t>
  </si>
  <si>
    <t xml:space="preserve">$187 million</t>
  </si>
  <si>
    <t xml:space="preserve">Table 16.1, L2: the average path's trough</t>
  </si>
  <si>
    <t xml:space="preserve">$460 million</t>
  </si>
  <si>
    <t xml:space="preserve">Table 16.1, L3: weight points that tie the leaders</t>
  </si>
  <si>
    <t xml:space="preserve">1.6</t>
  </si>
  <si>
    <t xml:space="preserve">Table 16.1, L4: half-life, quarters</t>
  </si>
  <si>
    <t xml:space="preserve">3.1</t>
  </si>
  <si>
    <t xml:space="preserve">Table 16.1, L5: least cost at 5%</t>
  </si>
  <si>
    <t xml:space="preserve">Table 16.1, L5: implied cost of a breach</t>
  </si>
  <si>
    <t xml:space="preserve">Theorem 16.2: unit A in year 5</t>
  </si>
  <si>
    <t xml:space="preserve">Theorem 16.2: unit B in year 5</t>
  </si>
  <si>
    <t xml:space="preserve">Theorem 16.2: engineers apart</t>
  </si>
  <si>
    <t xml:space="preserve">Theorem 16.2: the totals model for both</t>
  </si>
  <si>
    <t xml:space="preserve">R1: components</t>
  </si>
  <si>
    <t xml:space="preserve">R1: typed arrows</t>
  </si>
  <si>
    <t xml:space="preserve">R1: two-way links in the core</t>
  </si>
  <si>
    <t xml:space="preserve">R1: standing commitments</t>
  </si>
  <si>
    <t xml:space="preserve">R1: elements of the GEOP</t>
  </si>
  <si>
    <t xml:space="preserve">R1: Chapter 8 package, cost</t>
  </si>
  <si>
    <t xml:space="preserve">R1: cheapest at the package's odds</t>
  </si>
  <si>
    <t xml:space="preserve">R1: cost of choosing without prices</t>
  </si>
  <si>
    <t xml:space="preserve">4.33</t>
  </si>
  <si>
    <t xml:space="preserve">R1: best-to-worst, restructuring</t>
  </si>
  <si>
    <t xml:space="preserve">52.3</t>
  </si>
  <si>
    <t xml:space="preserve">R1: best-to-worst, digital</t>
  </si>
  <si>
    <t xml:space="preserve">41.4</t>
  </si>
  <si>
    <t xml:space="preserve">R1: best-to-worst, turnaround</t>
  </si>
  <si>
    <t xml:space="preserve">35.3</t>
  </si>
  <si>
    <t xml:space="preserve">R1: percentage improvement, digital</t>
  </si>
  <si>
    <t xml:space="preserve">24.0</t>
  </si>
  <si>
    <t xml:space="preserve">R1: percentage improvement, restructuring</t>
  </si>
  <si>
    <t xml:space="preserve">10.6</t>
  </si>
  <si>
    <t xml:space="preserve">R1: percentage improvement, turnaround</t>
  </si>
  <si>
    <t xml:space="preserve">0.0</t>
  </si>
  <si>
    <t xml:space="preserve">R2: draw + buffer as declared</t>
  </si>
  <si>
    <t xml:space="preserve">325</t>
  </si>
  <si>
    <t xml:space="preserve">R2: short by</t>
  </si>
  <si>
    <t xml:space="preserve">$55 million</t>
  </si>
  <si>
    <t xml:space="preserve">R2: the package's line</t>
  </si>
  <si>
    <t xml:space="preserve">170</t>
  </si>
  <si>
    <t xml:space="preserve">R2: the package's delay</t>
  </si>
  <si>
    <t xml:space="preserve">0.668</t>
  </si>
  <si>
    <t xml:space="preserve">R2: deepest draw with the delay</t>
  </si>
  <si>
    <t xml:space="preserve">$122 million</t>
  </si>
  <si>
    <t xml:space="preserve">R2: buffer the line leaves</t>
  </si>
  <si>
    <t xml:space="preserve">$17 million</t>
  </si>
  <si>
    <t xml:space="preserve">R2: draw + buffer now</t>
  </si>
  <si>
    <t xml:space="preserve">$139 million</t>
  </si>
  <si>
    <t xml:space="preserve">R2: unclaimed</t>
  </si>
  <si>
    <t xml:space="preserve">$131 million</t>
  </si>
  <si>
    <t xml:space="preserve">R3: spectral radius of the core</t>
  </si>
  <si>
    <t xml:space="preserve">0.80</t>
  </si>
  <si>
    <t xml:space="preserve">R3: the board's rule</t>
  </si>
  <si>
    <t xml:space="preserve">R3: multiplier</t>
  </si>
  <si>
    <t xml:space="preserve">R3: echo of $10m, next quarter</t>
  </si>
  <si>
    <t xml:space="preserve">R3: echo of $10m, the quarter after</t>
  </si>
  <si>
    <t xml:space="preserve">6.4</t>
  </si>
  <si>
    <t xml:space="preserve">R3: echo of $10m, in all</t>
  </si>
  <si>
    <t xml:space="preserve">50</t>
  </si>
  <si>
    <t xml:space="preserve">R3: phase-two link at 0.40</t>
  </si>
  <si>
    <t xml:space="preserve">1.02</t>
  </si>
  <si>
    <t xml:space="preserve">R3: repair, new link at most</t>
  </si>
  <si>
    <t xml:space="preserve">0.08</t>
  </si>
  <si>
    <t xml:space="preserve">R3: repair, treasury links at most</t>
  </si>
  <si>
    <t xml:space="preserve">0.16</t>
  </si>
  <si>
    <t xml:space="preserve">R3: repair, all four links at</t>
  </si>
  <si>
    <t xml:space="preserve">0.30</t>
  </si>
  <si>
    <t xml:space="preserve">16.B.2: the register's echo, quarter 3</t>
  </si>
  <si>
    <t xml:space="preserve">5.12</t>
  </si>
  <si>
    <t xml:space="preserve">Twin: first thin pass, quarter</t>
  </si>
  <si>
    <t xml:space="preserve">Twin: first flag, quarter</t>
  </si>
  <si>
    <t xml:space="preserve">Twin: the flagged reading</t>
  </si>
  <si>
    <t xml:space="preserve">Twin: re-certified spectral radius</t>
  </si>
  <si>
    <t xml:space="preserve">Twin: largest gain the board's rule tolerates</t>
  </si>
  <si>
    <t xml:space="preserve">Twin: quarter the drift passes it</t>
  </si>
  <si>
    <t xml:space="preserve">R4: quarters the first declaration honors the appetite</t>
  </si>
  <si>
    <t xml:space="preserve">Theorem 16.4(vi)'s artifact</t>
  </si>
  <si>
    <t xml:space="preserve">R4: simulation error, points</t>
  </si>
  <si>
    <t xml:space="preserve">0.07</t>
  </si>
  <si>
    <t xml:space="preserve">R4: leverage with the line fully drawn</t>
  </si>
  <si>
    <t xml:space="preserve">R4: covenant margin</t>
  </si>
  <si>
    <t xml:space="preserve">0.76</t>
  </si>
  <si>
    <t xml:space="preserve">R4: covenant band</t>
  </si>
  <si>
    <t xml:space="preserve">0.075</t>
  </si>
  <si>
    <t xml:space="preserve">R4: capability margin</t>
  </si>
  <si>
    <t xml:space="preserve">R4: strategic risk, peak</t>
  </si>
  <si>
    <t xml:space="preserve">R4: strategic risk, month of the peak</t>
  </si>
  <si>
    <t xml:space="preserve">R4: strategic risk, margin</t>
  </si>
  <si>
    <t xml:space="preserve">1.4</t>
  </si>
  <si>
    <t xml:space="preserve">R4: price of the appetite</t>
  </si>
  <si>
    <t xml:space="preserve">Certificate: gates passing now</t>
  </si>
  <si>
    <t xml:space="preserve">Certificate: thin passes</t>
  </si>
  <si>
    <t xml:space="preserve">two</t>
  </si>
  <si>
    <t xml:space="preserve">Appendix 16.A: the runway's cash in quarter 4</t>
  </si>
  <si>
    <t xml:space="preserve">-20</t>
  </si>
  <si>
    <t xml:space="preserve">16.B.1: numbered results</t>
  </si>
  <si>
    <t xml:space="preserve">16.B.1: citations</t>
  </si>
  <si>
    <t xml:space="preserve">16.B.1: citations within a chapter</t>
  </si>
  <si>
    <t xml:space="preserve">16.B.1: citations to earlier chapters</t>
  </si>
  <si>
    <t xml:space="preserve">16.B.1: citations to later chapters</t>
  </si>
  <si>
    <t xml:space="preserve">16.B.1: citations against the order</t>
  </si>
  <si>
    <t xml:space="preserve">no loop</t>
  </si>
  <si>
    <t xml:space="preserve">16.B.1: citations found in the matrix</t>
  </si>
  <si>
    <t xml:space="preserve">16.B.1: results citing none</t>
  </si>
  <si>
    <t xml:space="preserve">16.B.1: longest chain</t>
  </si>
  <si>
    <t xml:space="preserve">16.B.1: chains of that length</t>
  </si>
  <si>
    <t xml:space="preserve">16.B.1: results the longest chains start at</t>
  </si>
  <si>
    <t xml:space="preserve">Theorem 16.1, Example 16.B.2</t>
  </si>
  <si>
    <t xml:space="preserve">Theorem 16.4: results it rests on</t>
  </si>
  <si>
    <t xml:space="preserve">lab step 4</t>
  </si>
  <si>
    <t xml:space="preserve">Theorem 16.4: its longest chain</t>
  </si>
  <si>
    <t xml:space="preserve">Export: re-solved least cost</t>
  </si>
  <si>
    <t xml:space="preserve">the package again</t>
  </si>
  <si>
    <t xml:space="preserve">Workbook formula value</t>
  </si>
  <si>
    <t xml:space="preserve">|diff|</t>
  </si>
  <si>
    <t xml:space="preserve">Tolerance</t>
  </si>
  <si>
    <t xml:space="preserve">Status</t>
  </si>
  <si>
    <t xml:space="preserve">All checkpoints</t>
  </si>
</sst>
</file>

<file path=xl/styles.xml><?xml version="1.0" encoding="utf-8"?>
<styleSheet xmlns="http://schemas.openxmlformats.org/spreadsheetml/2006/main">
  <numFmts count="15">
    <numFmt numFmtId="164" formatCode="General"/>
    <numFmt numFmtId="165" formatCode="0"/>
    <numFmt numFmtId="166" formatCode="0.0"/>
    <numFmt numFmtId="167" formatCode="0.00"/>
    <numFmt numFmtId="168" formatCode="0.0%"/>
    <numFmt numFmtId="169" formatCode="#,##0"/>
    <numFmt numFmtId="170" formatCode="#,##0.0"/>
    <numFmt numFmtId="171" formatCode="0%"/>
    <numFmt numFmtId="172" formatCode="0.0000"/>
    <numFmt numFmtId="173" formatCode="0.00%"/>
    <numFmt numFmtId="174" formatCode="0.000"/>
    <numFmt numFmtId="175" formatCode="0.000%"/>
    <numFmt numFmtId="176" formatCode="0.00000"/>
    <numFmt numFmtId="177" formatCode="0.000000"/>
    <numFmt numFmtId="178" formatCode="0.0E+00"/>
  </numFmts>
  <fonts count="12">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sz val="10"/>
      <color rgb="FF0000FF"/>
      <name val="Arial"/>
      <family val="0"/>
      <charset val="1"/>
    </font>
    <font>
      <b val="true"/>
      <sz val="10"/>
      <color rgb="FF008000"/>
      <name val="Arial"/>
      <family val="0"/>
      <charset val="1"/>
    </font>
    <font>
      <sz val="10"/>
      <color rgb="FF008000"/>
      <name val="Arial"/>
      <family val="0"/>
      <charset val="1"/>
    </font>
    <font>
      <b val="true"/>
      <sz val="10"/>
      <color rgb="FFFFFFFF"/>
      <name val="Arial"/>
      <family val="0"/>
      <charset val="1"/>
    </font>
    <font>
      <i val="true"/>
      <sz val="9"/>
      <color rgb="FF555555"/>
      <name val="Arial"/>
      <family val="0"/>
      <charset val="1"/>
    </font>
  </fonts>
  <fills count="5">
    <fill>
      <patternFill patternType="none"/>
    </fill>
    <fill>
      <patternFill patternType="gray125"/>
    </fill>
    <fill>
      <patternFill patternType="solid">
        <fgColor rgb="FFFFF3D6"/>
        <bgColor rgb="FFE8F0EC"/>
      </patternFill>
    </fill>
    <fill>
      <patternFill patternType="solid">
        <fgColor rgb="FFE8F0EC"/>
        <bgColor rgb="FFFFF3D6"/>
      </patternFill>
    </fill>
    <fill>
      <patternFill patternType="solid">
        <fgColor rgb="FF0B3D2E"/>
        <bgColor rgb="FF003366"/>
      </patternFill>
    </fill>
  </fills>
  <borders count="2">
    <border diagonalUp="false" diagonalDown="false">
      <left/>
      <right/>
      <top/>
      <bottom/>
      <diagonal/>
    </border>
    <border diagonalUp="false" diagonalDown="false">
      <left/>
      <right/>
      <top/>
      <bottom style="thin">
        <color rgb="FFB4BEC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general" vertical="center" textRotation="0" wrapText="true" indent="0" shrinkToFit="false"/>
      <protection locked="true" hidden="false"/>
    </xf>
    <xf numFmtId="165" fontId="7" fillId="2"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7" fillId="2" borderId="0" xfId="0" applyFont="true" applyBorder="false" applyAlignment="false" applyProtection="false">
      <alignment horizontal="general" vertical="bottom" textRotation="0" wrapText="false" indent="0" shrinkToFit="false"/>
      <protection locked="true" hidden="false"/>
    </xf>
    <xf numFmtId="167" fontId="7" fillId="2" borderId="0" xfId="0" applyFont="true" applyBorder="false" applyAlignment="false" applyProtection="false">
      <alignment horizontal="general" vertical="bottom" textRotation="0" wrapText="false" indent="0" shrinkToFit="false"/>
      <protection locked="true" hidden="false"/>
    </xf>
    <xf numFmtId="168" fontId="7" fillId="2"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9" fontId="7" fillId="2"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71" fontId="7" fillId="2"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72" fontId="5" fillId="0" borderId="0" xfId="0" applyFont="true" applyBorder="false" applyAlignment="false" applyProtection="false">
      <alignment horizontal="general" vertical="bottom" textRotation="0" wrapText="false" indent="0" shrinkToFit="false"/>
      <protection locked="true" hidden="false"/>
    </xf>
    <xf numFmtId="173" fontId="8" fillId="3" borderId="0" xfId="0" applyFont="true" applyBorder="false" applyAlignment="false" applyProtection="false">
      <alignment horizontal="general" vertical="bottom" textRotation="0" wrapText="false" indent="0" shrinkToFit="false"/>
      <protection locked="true" hidden="false"/>
    </xf>
    <xf numFmtId="174" fontId="5" fillId="0" borderId="0" xfId="0" applyFont="true" applyBorder="false" applyAlignment="false" applyProtection="false">
      <alignment horizontal="general" vertical="bottom" textRotation="0" wrapText="false" indent="0" shrinkToFit="false"/>
      <protection locked="true" hidden="false"/>
    </xf>
    <xf numFmtId="175" fontId="5" fillId="0" borderId="0" xfId="0" applyFont="true" applyBorder="false" applyAlignment="false" applyProtection="false">
      <alignment horizontal="general" vertical="bottom" textRotation="0" wrapText="fals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65" fontId="11" fillId="3" borderId="0" xfId="0" applyFont="true" applyBorder="false" applyAlignment="false" applyProtection="false">
      <alignment horizontal="general" vertical="bottom" textRotation="0" wrapText="false" indent="0" shrinkToFit="false"/>
      <protection locked="true" hidden="false"/>
    </xf>
    <xf numFmtId="175" fontId="8" fillId="3" borderId="0" xfId="0" applyFont="true" applyBorder="false" applyAlignment="false" applyProtection="false">
      <alignment horizontal="general" vertical="bottom" textRotation="0" wrapText="false" indent="0" shrinkToFit="false"/>
      <protection locked="true" hidden="false"/>
    </xf>
    <xf numFmtId="175" fontId="7" fillId="2" borderId="0" xfId="0" applyFont="true" applyBorder="false" applyAlignment="false" applyProtection="false">
      <alignment horizontal="general" vertical="bottom" textRotation="0" wrapText="false" indent="0" shrinkToFit="false"/>
      <protection locked="true" hidden="false"/>
    </xf>
    <xf numFmtId="174" fontId="8" fillId="3" borderId="0" xfId="0" applyFont="true" applyBorder="false" applyAlignment="false" applyProtection="false">
      <alignment horizontal="general" vertical="bottom" textRotation="0" wrapText="false" indent="0" shrinkToFit="false"/>
      <protection locked="true" hidden="false"/>
    </xf>
    <xf numFmtId="174" fontId="7" fillId="2" borderId="0" xfId="0" applyFont="true" applyBorder="false" applyAlignment="false" applyProtection="false">
      <alignment horizontal="general" vertical="bottom" textRotation="0" wrapText="false" indent="0" shrinkToFit="false"/>
      <protection locked="true" hidden="false"/>
    </xf>
    <xf numFmtId="176" fontId="5" fillId="0" borderId="0" xfId="0" applyFont="true" applyBorder="false" applyAlignment="false" applyProtection="false">
      <alignment horizontal="general" vertical="bottom" textRotation="0" wrapText="false" indent="0" shrinkToFit="false"/>
      <protection locked="true" hidden="false"/>
    </xf>
    <xf numFmtId="172" fontId="8" fillId="3" borderId="0" xfId="0" applyFont="true" applyBorder="false" applyAlignment="false" applyProtection="false">
      <alignment horizontal="general" vertical="bottom" textRotation="0" wrapText="false" indent="0" shrinkToFit="false"/>
      <protection locked="true" hidden="false"/>
    </xf>
    <xf numFmtId="173" fontId="5" fillId="0" borderId="0" xfId="0" applyFont="true" applyBorder="false" applyAlignment="false" applyProtection="false">
      <alignment horizontal="general" vertical="bottom" textRotation="0" wrapText="false" indent="0" shrinkToFit="false"/>
      <protection locked="true" hidden="false"/>
    </xf>
    <xf numFmtId="177" fontId="8" fillId="3" borderId="0" xfId="0" applyFont="true" applyBorder="false" applyAlignment="false" applyProtection="false">
      <alignment horizontal="general" vertical="bottom" textRotation="0" wrapText="false" indent="0" shrinkToFit="false"/>
      <protection locked="true" hidden="false"/>
    </xf>
    <xf numFmtId="177" fontId="5" fillId="0" borderId="0" xfId="0" applyFont="true" applyBorder="false" applyAlignment="false" applyProtection="false">
      <alignment horizontal="general" vertical="bottom" textRotation="0" wrapText="false" indent="0" shrinkToFit="false"/>
      <protection locked="true" hidden="false"/>
    </xf>
    <xf numFmtId="177" fontId="9" fillId="0" borderId="0" xfId="0" applyFont="true" applyBorder="false" applyAlignment="false" applyProtection="false">
      <alignment horizontal="general" vertical="bottom" textRotation="0" wrapText="false" indent="0" shrinkToFit="false"/>
      <protection locked="true" hidden="false"/>
    </xf>
    <xf numFmtId="178" fontId="5" fillId="0" borderId="0" xfId="0" applyFont="true" applyBorder="false" applyAlignment="false" applyProtection="false">
      <alignment horizontal="general" vertical="bottom" textRotation="0" wrapText="false" indent="0" shrinkToFit="false"/>
      <protection locked="true" hidden="false"/>
    </xf>
    <xf numFmtId="178" fontId="7"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BECE"/>
      <rgbColor rgb="FF808080"/>
      <rgbColor rgb="FF9999FF"/>
      <rgbColor rgb="FF993366"/>
      <rgbColor rgb="FFFFF3D6"/>
      <rgbColor rgb="FFE8F0E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B3D2E"/>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0"/>
  </cols>
  <sheetData>
    <row r="1" customFormat="false" ht="15" hidden="false" customHeight="false" outlineLevel="0" collapsed="false">
      <c r="B1" s="1" t="s">
        <v>0</v>
      </c>
    </row>
    <row r="2" customFormat="false" ht="15" hidden="false" customHeight="false" outlineLevel="0" collapsed="false">
      <c r="B2" s="2" t="s">
        <v>1</v>
      </c>
    </row>
    <row r="4" customFormat="false" ht="23.85" hidden="false" customHeight="false" outlineLevel="0" collapsed="false">
      <c r="B4" s="3" t="s">
        <v>2</v>
      </c>
    </row>
    <row r="5" customFormat="false" ht="15" hidden="false" customHeight="false" outlineLevel="0" collapsed="false">
      <c r="B5" s="3" t="s">
        <v>3</v>
      </c>
    </row>
    <row r="6" customFormat="false" ht="15" hidden="false" customHeight="false" outlineLevel="0" collapsed="false">
      <c r="B6" s="3" t="s">
        <v>4</v>
      </c>
    </row>
    <row r="7" customFormat="false" ht="15" hidden="false" customHeight="false" outlineLevel="0" collapsed="false">
      <c r="B7" s="3" t="s">
        <v>5</v>
      </c>
    </row>
    <row r="8" customFormat="false" ht="23.85" hidden="false" customHeight="false" outlineLevel="0" collapsed="false">
      <c r="B8" s="3" t="s">
        <v>6</v>
      </c>
    </row>
    <row r="9" customFormat="false" ht="15" hidden="false" customHeight="false" outlineLevel="0" collapsed="false">
      <c r="B9" s="3" t="s">
        <v>7</v>
      </c>
    </row>
    <row r="10" customFormat="false" ht="23.85" hidden="false" customHeight="false" outlineLevel="0" collapsed="false">
      <c r="B10" s="3" t="s">
        <v>8</v>
      </c>
    </row>
    <row r="11" customFormat="false" ht="15" hidden="false" customHeight="false" outlineLevel="0" collapsed="false">
      <c r="B11" s="3" t="s">
        <v>9</v>
      </c>
    </row>
    <row r="12" customFormat="false" ht="23.85" hidden="false" customHeight="false" outlineLevel="0" collapsed="false">
      <c r="B12" s="3" t="s">
        <v>10</v>
      </c>
    </row>
    <row r="13" customFormat="false" ht="15" hidden="false" customHeight="false" outlineLevel="0" collapsed="false">
      <c r="B13" s="3" t="s">
        <v>11</v>
      </c>
    </row>
    <row r="15" customFormat="false" ht="15" hidden="false" customHeight="false" outlineLevel="0" collapsed="false">
      <c r="B15" s="4" t="s">
        <v>12</v>
      </c>
    </row>
    <row r="16" customFormat="false" ht="15" hidden="false" customHeight="false" outlineLevel="0" collapsed="false">
      <c r="B16" s="5" t="s">
        <v>13</v>
      </c>
    </row>
    <row r="17" customFormat="false" ht="15" hidden="false" customHeight="false" outlineLevel="0" collapsed="false">
      <c r="B17" s="2" t="s">
        <v>14</v>
      </c>
    </row>
    <row r="18" customFormat="false" ht="15" hidden="false" customHeight="false" outlineLevel="0" collapsed="false">
      <c r="B18" s="6" t="s">
        <v>15</v>
      </c>
    </row>
    <row r="19" customFormat="false" ht="15" hidden="false" customHeight="false" outlineLevel="0" collapsed="false">
      <c r="B19" s="7"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2"/>
    <col collapsed="false" customWidth="true" hidden="false" outlineLevel="0" max="3" min="3" style="0" width="52"/>
    <col collapsed="false" customWidth="true" hidden="false" outlineLevel="0" max="4" min="4" style="0" width="14"/>
  </cols>
  <sheetData>
    <row r="1" customFormat="false" ht="15" hidden="false" customHeight="false" outlineLevel="0" collapsed="false">
      <c r="A1" s="1" t="s">
        <v>17</v>
      </c>
    </row>
    <row r="3" customFormat="false" ht="15" hidden="false" customHeight="false" outlineLevel="0" collapsed="false">
      <c r="A3" s="8" t="s">
        <v>18</v>
      </c>
      <c r="B3" s="8" t="s">
        <v>19</v>
      </c>
      <c r="C3" s="8" t="s">
        <v>20</v>
      </c>
      <c r="D3" s="8" t="s">
        <v>21</v>
      </c>
    </row>
    <row r="4" customFormat="false" ht="15" hidden="false" customHeight="false" outlineLevel="0" collapsed="false">
      <c r="A4" s="2" t="s">
        <v>22</v>
      </c>
      <c r="B4" s="9" t="n">
        <v>620</v>
      </c>
      <c r="C4" s="10" t="s">
        <v>23</v>
      </c>
      <c r="D4" s="10" t="s">
        <v>24</v>
      </c>
    </row>
    <row r="5" customFormat="false" ht="15" hidden="false" customHeight="false" outlineLevel="0" collapsed="false">
      <c r="A5" s="2" t="s">
        <v>25</v>
      </c>
      <c r="B5" s="9" t="n">
        <v>350</v>
      </c>
      <c r="C5" s="10" t="s">
        <v>26</v>
      </c>
      <c r="D5" s="10" t="s">
        <v>27</v>
      </c>
    </row>
    <row r="6" customFormat="false" ht="15" hidden="false" customHeight="false" outlineLevel="0" collapsed="false">
      <c r="A6" s="2" t="s">
        <v>28</v>
      </c>
      <c r="B6" s="11" t="n">
        <f aca="false">B4-B5</f>
        <v>270</v>
      </c>
      <c r="C6" s="10" t="s">
        <v>29</v>
      </c>
      <c r="D6" s="10" t="s">
        <v>30</v>
      </c>
    </row>
    <row r="7" customFormat="false" ht="15" hidden="false" customHeight="false" outlineLevel="0" collapsed="false">
      <c r="A7" s="2" t="s">
        <v>31</v>
      </c>
      <c r="B7" s="12" t="n">
        <v>6.2</v>
      </c>
      <c r="C7" s="10" t="s">
        <v>32</v>
      </c>
      <c r="D7" s="10" t="s">
        <v>33</v>
      </c>
    </row>
    <row r="8" customFormat="false" ht="15" hidden="false" customHeight="false" outlineLevel="0" collapsed="false">
      <c r="A8" s="2" t="s">
        <v>34</v>
      </c>
      <c r="B8" s="9" t="n">
        <v>112</v>
      </c>
      <c r="C8" s="10" t="s">
        <v>35</v>
      </c>
      <c r="D8" s="10" t="s">
        <v>36</v>
      </c>
    </row>
    <row r="9" customFormat="false" ht="15" hidden="false" customHeight="false" outlineLevel="0" collapsed="false">
      <c r="A9" s="2" t="s">
        <v>37</v>
      </c>
      <c r="B9" s="13" t="n">
        <v>0.35</v>
      </c>
      <c r="C9" s="10" t="s">
        <v>35</v>
      </c>
      <c r="D9" s="10" t="s">
        <v>38</v>
      </c>
    </row>
    <row r="10" customFormat="false" ht="15" hidden="false" customHeight="false" outlineLevel="0" collapsed="false">
      <c r="A10" s="2" t="s">
        <v>39</v>
      </c>
      <c r="B10" s="12" t="n">
        <v>28</v>
      </c>
      <c r="C10" s="10" t="s">
        <v>40</v>
      </c>
      <c r="D10" s="10" t="s">
        <v>41</v>
      </c>
    </row>
    <row r="11" customFormat="false" ht="15" hidden="false" customHeight="false" outlineLevel="0" collapsed="false">
      <c r="A11" s="2" t="s">
        <v>42</v>
      </c>
      <c r="B11" s="12" t="n">
        <v>2</v>
      </c>
      <c r="C11" s="10" t="s">
        <v>40</v>
      </c>
      <c r="D11" s="10" t="s">
        <v>43</v>
      </c>
    </row>
    <row r="12" customFormat="false" ht="15" hidden="false" customHeight="false" outlineLevel="0" collapsed="false">
      <c r="A12" s="2" t="s">
        <v>44</v>
      </c>
      <c r="B12" s="12" t="n">
        <v>4</v>
      </c>
      <c r="C12" s="10" t="s">
        <v>45</v>
      </c>
      <c r="D12" s="10" t="s">
        <v>46</v>
      </c>
    </row>
    <row r="13" customFormat="false" ht="15" hidden="false" customHeight="false" outlineLevel="0" collapsed="false">
      <c r="A13" s="2" t="s">
        <v>47</v>
      </c>
      <c r="B13" s="14" t="n">
        <v>0.01</v>
      </c>
      <c r="C13" s="10" t="s">
        <v>48</v>
      </c>
      <c r="D13" s="10" t="s">
        <v>49</v>
      </c>
    </row>
    <row r="14" customFormat="false" ht="15" hidden="false" customHeight="false" outlineLevel="0" collapsed="false">
      <c r="A14" s="2" t="s">
        <v>50</v>
      </c>
      <c r="B14" s="9" t="n">
        <v>3</v>
      </c>
      <c r="C14" s="10" t="s">
        <v>51</v>
      </c>
      <c r="D14" s="10" t="s">
        <v>52</v>
      </c>
    </row>
    <row r="15" customFormat="false" ht="15" hidden="false" customHeight="false" outlineLevel="0" collapsed="false">
      <c r="A15" s="2" t="s">
        <v>53</v>
      </c>
      <c r="B15" s="15" t="n">
        <f aca="false">B13*B14</f>
        <v>0.03</v>
      </c>
      <c r="C15" s="10" t="s">
        <v>54</v>
      </c>
      <c r="D15" s="10" t="s">
        <v>55</v>
      </c>
    </row>
    <row r="16" customFormat="false" ht="15" hidden="false" customHeight="false" outlineLevel="0" collapsed="false">
      <c r="A16" s="2" t="s">
        <v>56</v>
      </c>
      <c r="B16" s="12" t="n">
        <v>8</v>
      </c>
      <c r="C16" s="10" t="s">
        <v>57</v>
      </c>
      <c r="D16" s="10" t="s">
        <v>58</v>
      </c>
    </row>
    <row r="17" customFormat="false" ht="15" hidden="false" customHeight="false" outlineLevel="0" collapsed="false">
      <c r="A17" s="2" t="s">
        <v>59</v>
      </c>
      <c r="B17" s="14" t="n">
        <v>0.05</v>
      </c>
      <c r="C17" s="10" t="s">
        <v>60</v>
      </c>
      <c r="D17" s="10" t="s">
        <v>61</v>
      </c>
    </row>
    <row r="18" customFormat="false" ht="15" hidden="false" customHeight="false" outlineLevel="0" collapsed="false">
      <c r="A18" s="2" t="s">
        <v>62</v>
      </c>
      <c r="B18" s="16" t="n">
        <v>4200</v>
      </c>
      <c r="C18" s="10" t="s">
        <v>63</v>
      </c>
      <c r="D18" s="10" t="s">
        <v>62</v>
      </c>
    </row>
    <row r="19" customFormat="false" ht="15" hidden="false" customHeight="false" outlineLevel="0" collapsed="false">
      <c r="A19" s="2" t="s">
        <v>64</v>
      </c>
      <c r="B19" s="14" t="n">
        <v>0.118</v>
      </c>
      <c r="C19" s="10" t="s">
        <v>63</v>
      </c>
      <c r="D19" s="10" t="s">
        <v>65</v>
      </c>
    </row>
    <row r="20" customFormat="false" ht="15" hidden="false" customHeight="false" outlineLevel="0" collapsed="false">
      <c r="A20" s="2" t="s">
        <v>66</v>
      </c>
      <c r="B20" s="17" t="n">
        <f aca="false">B18*B19</f>
        <v>495.6</v>
      </c>
      <c r="C20" s="10" t="s">
        <v>67</v>
      </c>
      <c r="D20" s="10" t="s">
        <v>68</v>
      </c>
    </row>
    <row r="21" customFormat="false" ht="15" hidden="false" customHeight="false" outlineLevel="0" collapsed="false">
      <c r="A21" s="2" t="s">
        <v>69</v>
      </c>
      <c r="B21" s="12" t="n">
        <v>3.4</v>
      </c>
      <c r="C21" s="10" t="s">
        <v>26</v>
      </c>
      <c r="D21" s="10" t="s">
        <v>70</v>
      </c>
    </row>
    <row r="22" customFormat="false" ht="15" hidden="false" customHeight="false" outlineLevel="0" collapsed="false">
      <c r="A22" s="2" t="s">
        <v>71</v>
      </c>
      <c r="B22" s="18" t="n">
        <f aca="false">B21*B20</f>
        <v>1685.04</v>
      </c>
      <c r="C22" s="10" t="s">
        <v>72</v>
      </c>
      <c r="D22" s="10" t="s">
        <v>73</v>
      </c>
    </row>
    <row r="23" customFormat="false" ht="15" hidden="false" customHeight="false" outlineLevel="0" collapsed="false">
      <c r="A23" s="2" t="s">
        <v>74</v>
      </c>
      <c r="B23" s="12" t="n">
        <v>4.5</v>
      </c>
      <c r="C23" s="10" t="s">
        <v>75</v>
      </c>
      <c r="D23" s="10" t="s">
        <v>76</v>
      </c>
    </row>
    <row r="24" customFormat="false" ht="15" hidden="false" customHeight="false" outlineLevel="0" collapsed="false">
      <c r="A24" s="2" t="s">
        <v>77</v>
      </c>
      <c r="B24" s="9" t="n">
        <v>58</v>
      </c>
      <c r="C24" s="10" t="s">
        <v>78</v>
      </c>
      <c r="D24" s="10" t="s">
        <v>79</v>
      </c>
    </row>
    <row r="25" customFormat="false" ht="15" hidden="false" customHeight="false" outlineLevel="0" collapsed="false">
      <c r="A25" s="2" t="s">
        <v>80</v>
      </c>
      <c r="B25" s="9" t="n">
        <v>55</v>
      </c>
      <c r="C25" s="10" t="s">
        <v>81</v>
      </c>
      <c r="D25" s="10" t="s">
        <v>82</v>
      </c>
    </row>
    <row r="26" customFormat="false" ht="15" hidden="false" customHeight="false" outlineLevel="0" collapsed="false">
      <c r="A26" s="2" t="s">
        <v>83</v>
      </c>
      <c r="B26" s="9" t="n">
        <v>75</v>
      </c>
      <c r="C26" s="10" t="s">
        <v>84</v>
      </c>
      <c r="D26" s="10" t="s">
        <v>85</v>
      </c>
    </row>
    <row r="27" customFormat="false" ht="15" hidden="false" customHeight="false" outlineLevel="0" collapsed="false">
      <c r="A27" s="2" t="s">
        <v>86</v>
      </c>
      <c r="B27" s="19" t="n">
        <v>0.02</v>
      </c>
      <c r="C27" s="10" t="s">
        <v>87</v>
      </c>
      <c r="D27" s="10" t="s">
        <v>88</v>
      </c>
    </row>
    <row r="28" customFormat="false" ht="15" hidden="false" customHeight="false" outlineLevel="0" collapsed="false">
      <c r="A28" s="2" t="s">
        <v>89</v>
      </c>
      <c r="B28" s="9" t="n">
        <v>5</v>
      </c>
      <c r="C28" s="10" t="s">
        <v>90</v>
      </c>
      <c r="D28" s="10" t="s">
        <v>91</v>
      </c>
    </row>
    <row r="29" customFormat="false" ht="15" hidden="false" customHeight="false" outlineLevel="0" collapsed="false">
      <c r="A29" s="2" t="s">
        <v>92</v>
      </c>
      <c r="B29" s="9" t="n">
        <v>6</v>
      </c>
      <c r="C29" s="10" t="s">
        <v>93</v>
      </c>
      <c r="D29" s="10" t="s">
        <v>94</v>
      </c>
    </row>
    <row r="30" customFormat="false" ht="15" hidden="false" customHeight="false" outlineLevel="0" collapsed="false">
      <c r="A30" s="2" t="s">
        <v>95</v>
      </c>
      <c r="B30" s="12" t="n">
        <v>0.6</v>
      </c>
      <c r="C30" s="10" t="s">
        <v>96</v>
      </c>
      <c r="D30" s="10" t="s">
        <v>97</v>
      </c>
    </row>
    <row r="31" customFormat="false" ht="15" hidden="false" customHeight="false" outlineLevel="0" collapsed="false">
      <c r="A31" s="2" t="s">
        <v>98</v>
      </c>
      <c r="B31" s="9" t="n">
        <v>50</v>
      </c>
      <c r="C31" s="10" t="s">
        <v>96</v>
      </c>
      <c r="D31" s="10" t="s">
        <v>99</v>
      </c>
    </row>
    <row r="32" customFormat="false" ht="15" hidden="false" customHeight="false" outlineLevel="0" collapsed="false">
      <c r="A32" s="2" t="s">
        <v>100</v>
      </c>
      <c r="B32" s="13" t="n">
        <v>0.1</v>
      </c>
      <c r="C32" s="10" t="s">
        <v>96</v>
      </c>
      <c r="D32" s="10" t="s">
        <v>101</v>
      </c>
    </row>
    <row r="33" customFormat="false" ht="15" hidden="false" customHeight="false" outlineLevel="0" collapsed="false">
      <c r="A33" s="2" t="s">
        <v>102</v>
      </c>
      <c r="B33" s="9" t="n">
        <v>120</v>
      </c>
      <c r="C33" s="10" t="s">
        <v>96</v>
      </c>
      <c r="D33" s="10" t="s">
        <v>103</v>
      </c>
    </row>
    <row r="34" customFormat="false" ht="15" hidden="false" customHeight="false" outlineLevel="0" collapsed="false">
      <c r="A34" s="2" t="s">
        <v>104</v>
      </c>
      <c r="B34" s="9" t="n">
        <v>50</v>
      </c>
      <c r="C34" s="10" t="s">
        <v>96</v>
      </c>
      <c r="D34" s="10" t="s">
        <v>105</v>
      </c>
    </row>
    <row r="35" customFormat="false" ht="15" hidden="false" customHeight="false" outlineLevel="0" collapsed="false">
      <c r="A35" s="2" t="s">
        <v>106</v>
      </c>
      <c r="B35" s="20" t="n">
        <f aca="false">(B33/B34)^2</f>
        <v>5.76</v>
      </c>
      <c r="C35" s="10" t="s">
        <v>107</v>
      </c>
      <c r="D35" s="10" t="s">
        <v>108</v>
      </c>
    </row>
    <row r="36" customFormat="false" ht="15" hidden="false" customHeight="false" outlineLevel="0" collapsed="false">
      <c r="A36" s="2" t="s">
        <v>109</v>
      </c>
      <c r="B36" s="20" t="n">
        <f aca="false">B34^2/B33</f>
        <v>20.8333333333333</v>
      </c>
      <c r="C36" s="10" t="s">
        <v>110</v>
      </c>
      <c r="D36" s="10" t="s">
        <v>111</v>
      </c>
    </row>
    <row r="37" customFormat="false" ht="15" hidden="false" customHeight="false" outlineLevel="0" collapsed="false">
      <c r="A37" s="2" t="s">
        <v>112</v>
      </c>
      <c r="B37" s="16" t="n">
        <v>100000</v>
      </c>
      <c r="C37" s="10" t="s">
        <v>96</v>
      </c>
      <c r="D37" s="10" t="s">
        <v>113</v>
      </c>
    </row>
    <row r="38" customFormat="false" ht="15" hidden="false" customHeight="false" outlineLevel="0" collapsed="false">
      <c r="A38" s="2" t="s">
        <v>114</v>
      </c>
      <c r="B38" s="9" t="n">
        <v>8</v>
      </c>
      <c r="C38" s="10" t="s">
        <v>115</v>
      </c>
      <c r="D38" s="10" t="s">
        <v>116</v>
      </c>
    </row>
    <row r="39" customFormat="false" ht="15" hidden="false" customHeight="false" outlineLevel="0" collapsed="false">
      <c r="A39" s="2" t="s">
        <v>117</v>
      </c>
      <c r="B39" s="9" t="n">
        <v>100</v>
      </c>
      <c r="C39" s="10" t="s">
        <v>96</v>
      </c>
      <c r="D39" s="10" t="s">
        <v>118</v>
      </c>
    </row>
    <row r="40" customFormat="false" ht="15" hidden="false" customHeight="false" outlineLevel="0" collapsed="false">
      <c r="A40" s="2" t="s">
        <v>119</v>
      </c>
      <c r="B40" s="12" t="n">
        <v>2</v>
      </c>
      <c r="C40" s="10" t="s">
        <v>120</v>
      </c>
      <c r="D40" s="10" t="s">
        <v>121</v>
      </c>
    </row>
    <row r="41" customFormat="false" ht="15" hidden="false" customHeight="false" outlineLevel="0" collapsed="false">
      <c r="A41" s="2" t="s">
        <v>122</v>
      </c>
      <c r="B41" s="13" t="n">
        <v>0.4</v>
      </c>
      <c r="C41" s="10" t="s">
        <v>123</v>
      </c>
      <c r="D41" s="10" t="s">
        <v>124</v>
      </c>
    </row>
    <row r="42" customFormat="false" ht="15" hidden="false" customHeight="false" outlineLevel="0" collapsed="false">
      <c r="A42" s="2" t="s">
        <v>125</v>
      </c>
      <c r="B42" s="21" t="n">
        <f aca="false">2^(-1/4)</f>
        <v>0.840896415253715</v>
      </c>
      <c r="C42" s="10" t="s">
        <v>126</v>
      </c>
      <c r="D42" s="10" t="s">
        <v>127</v>
      </c>
    </row>
    <row r="43" customFormat="false" ht="15" hidden="false" customHeight="false" outlineLevel="0" collapsed="false">
      <c r="A43" s="2" t="s">
        <v>128</v>
      </c>
      <c r="B43" s="9" t="n">
        <v>12</v>
      </c>
      <c r="C43" s="10" t="s">
        <v>129</v>
      </c>
      <c r="D43" s="10" t="s">
        <v>130</v>
      </c>
    </row>
    <row r="45" customFormat="false" ht="15" hidden="false" customHeight="false" outlineLevel="0" collapsed="false">
      <c r="A45" s="10" t="s">
        <v>131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4"/>
    <col collapsed="false" customWidth="true" hidden="false" outlineLevel="0" max="2" min="2" style="0" width="14"/>
    <col collapsed="false" customWidth="true" hidden="false" outlineLevel="0" max="3" min="3" style="0" width="34"/>
    <col collapsed="false" customWidth="true" hidden="false" outlineLevel="0" max="5" min="4" style="0" width="14"/>
    <col collapsed="false" customWidth="true" hidden="false" outlineLevel="0" max="6" min="6" style="0" width="16"/>
    <col collapsed="false" customWidth="true" hidden="false" outlineLevel="0" max="8" min="7" style="0" width="14"/>
  </cols>
  <sheetData>
    <row r="1" customFormat="false" ht="15" hidden="false" customHeight="false" outlineLevel="0" collapsed="false">
      <c r="A1" s="1" t="s">
        <v>132</v>
      </c>
    </row>
    <row r="3" customFormat="false" ht="23.85" hidden="false" customHeight="false" outlineLevel="0" collapsed="false">
      <c r="A3" s="8" t="s">
        <v>133</v>
      </c>
      <c r="B3" s="8" t="s">
        <v>134</v>
      </c>
      <c r="C3" s="8" t="s">
        <v>135</v>
      </c>
    </row>
    <row r="4" customFormat="false" ht="15" hidden="false" customHeight="false" outlineLevel="0" collapsed="false">
      <c r="A4" s="2" t="s">
        <v>136</v>
      </c>
      <c r="B4" s="17" t="n">
        <f aca="false">R2_Consistency!B19</f>
        <v>138.049617642214</v>
      </c>
      <c r="C4" s="10" t="s">
        <v>137</v>
      </c>
    </row>
    <row r="5" customFormat="false" ht="15" hidden="false" customHeight="false" outlineLevel="0" collapsed="false">
      <c r="A5" s="2" t="s">
        <v>138</v>
      </c>
      <c r="B5" s="17" t="n">
        <f aca="false">R2_Consistency!B20</f>
        <v>186.866976370664</v>
      </c>
      <c r="C5" s="10" t="s">
        <v>139</v>
      </c>
    </row>
    <row r="6" customFormat="false" ht="15" hidden="false" customHeight="false" outlineLevel="0" collapsed="false">
      <c r="A6" s="2" t="s">
        <v>140</v>
      </c>
      <c r="B6" s="17" t="n">
        <f aca="false">R2_Consistency!B24</f>
        <v>459.854053397919</v>
      </c>
      <c r="C6" s="10" t="s">
        <v>141</v>
      </c>
    </row>
    <row r="7" customFormat="false" ht="15" hidden="false" customHeight="false" outlineLevel="0" collapsed="false">
      <c r="A7" s="2" t="s">
        <v>142</v>
      </c>
      <c r="B7" s="22" t="n">
        <v>0.24622</v>
      </c>
      <c r="C7" s="10" t="s">
        <v>143</v>
      </c>
    </row>
    <row r="8" customFormat="false" ht="15" hidden="false" customHeight="false" outlineLevel="0" collapsed="false">
      <c r="A8" s="2" t="s">
        <v>144</v>
      </c>
      <c r="B8" s="20" t="n">
        <f aca="false">Scorecard!B43</f>
        <v>1.59240309141324</v>
      </c>
      <c r="C8" s="10" t="s">
        <v>145</v>
      </c>
    </row>
    <row r="9" customFormat="false" ht="15" hidden="false" customHeight="false" outlineLevel="0" collapsed="false">
      <c r="A9" s="2" t="s">
        <v>146</v>
      </c>
      <c r="B9" s="20" t="n">
        <f aca="false">R3_Panel!B9</f>
        <v>3.10628371950539</v>
      </c>
      <c r="C9" s="10" t="s">
        <v>147</v>
      </c>
    </row>
    <row r="10" customFormat="false" ht="15" hidden="false" customHeight="false" outlineLevel="0" collapsed="false">
      <c r="A10" s="2" t="s">
        <v>148</v>
      </c>
      <c r="B10" s="23" t="n">
        <f aca="false">R3_Panel!B26</f>
        <v>1.02462112512353</v>
      </c>
      <c r="C10" s="10" t="s">
        <v>149</v>
      </c>
    </row>
    <row r="11" customFormat="false" ht="15" hidden="false" customHeight="false" outlineLevel="0" collapsed="false">
      <c r="A11" s="2" t="s">
        <v>150</v>
      </c>
      <c r="B11" s="20" t="n">
        <f aca="false">Quantiles!B95</f>
        <v>10.440610891413</v>
      </c>
      <c r="C11" s="10" t="s">
        <v>151</v>
      </c>
    </row>
    <row r="12" customFormat="false" ht="15" hidden="false" customHeight="false" outlineLevel="0" collapsed="false">
      <c r="A12" s="2" t="s">
        <v>152</v>
      </c>
      <c r="B12" s="11" t="n">
        <f aca="false">Quantiles!B102</f>
        <v>180.701478466484</v>
      </c>
      <c r="C12" s="10" t="s">
        <v>153</v>
      </c>
    </row>
    <row r="15" customFormat="false" ht="15" hidden="false" customHeight="false" outlineLevel="0" collapsed="false">
      <c r="A15" s="8" t="s">
        <v>154</v>
      </c>
      <c r="B15" s="8" t="s">
        <v>155</v>
      </c>
      <c r="C15" s="8" t="s">
        <v>156</v>
      </c>
      <c r="D15" s="8" t="s">
        <v>157</v>
      </c>
      <c r="E15" s="10" t="s">
        <v>158</v>
      </c>
    </row>
    <row r="16" customFormat="false" ht="15" hidden="false" customHeight="false" outlineLevel="0" collapsed="false">
      <c r="A16" s="2" t="s">
        <v>159</v>
      </c>
      <c r="B16" s="13" t="n">
        <v>0.92</v>
      </c>
    </row>
    <row r="17" customFormat="false" ht="15" hidden="false" customHeight="false" outlineLevel="0" collapsed="false">
      <c r="A17" s="2" t="s">
        <v>160</v>
      </c>
      <c r="B17" s="13" t="n">
        <v>0.03</v>
      </c>
    </row>
    <row r="18" customFormat="false" ht="15" hidden="false" customHeight="false" outlineLevel="0" collapsed="false">
      <c r="A18" s="2" t="s">
        <v>161</v>
      </c>
      <c r="B18" s="13" t="n">
        <v>0.96</v>
      </c>
    </row>
    <row r="20" customFormat="false" ht="15" hidden="false" customHeight="false" outlineLevel="0" collapsed="false">
      <c r="A20" s="8" t="s">
        <v>162</v>
      </c>
      <c r="B20" s="8" t="s">
        <v>163</v>
      </c>
      <c r="C20" s="8" t="s">
        <v>164</v>
      </c>
      <c r="D20" s="8" t="s">
        <v>165</v>
      </c>
      <c r="E20" s="8" t="s">
        <v>166</v>
      </c>
      <c r="F20" s="8" t="s">
        <v>167</v>
      </c>
      <c r="G20" s="8" t="s">
        <v>168</v>
      </c>
      <c r="H20" s="8" t="s">
        <v>169</v>
      </c>
    </row>
    <row r="21" customFormat="false" ht="15" hidden="false" customHeight="false" outlineLevel="0" collapsed="false">
      <c r="A21" s="11" t="n">
        <v>0</v>
      </c>
      <c r="B21" s="12" t="n">
        <v>400</v>
      </c>
      <c r="C21" s="12" t="n">
        <v>100</v>
      </c>
      <c r="D21" s="17" t="n">
        <f aca="false">B21+C21</f>
        <v>500</v>
      </c>
      <c r="E21" s="12" t="n">
        <v>100</v>
      </c>
      <c r="F21" s="12" t="n">
        <v>400</v>
      </c>
      <c r="G21" s="17" t="n">
        <f aca="false">E21+F21</f>
        <v>500</v>
      </c>
      <c r="H21" s="17" t="n">
        <f aca="false">D21</f>
        <v>500</v>
      </c>
    </row>
    <row r="22" customFormat="false" ht="15" hidden="false" customHeight="false" outlineLevel="0" collapsed="false">
      <c r="A22" s="11" t="n">
        <v>1</v>
      </c>
      <c r="B22" s="17" t="n">
        <f aca="false">$B$16*B21</f>
        <v>368</v>
      </c>
      <c r="C22" s="17" t="n">
        <f aca="false">$B$18*C21+$B$17*B21</f>
        <v>108</v>
      </c>
      <c r="D22" s="17" t="n">
        <f aca="false">B22+C22</f>
        <v>476</v>
      </c>
      <c r="E22" s="17" t="n">
        <f aca="false">$B$16*E21</f>
        <v>92</v>
      </c>
      <c r="F22" s="17" t="n">
        <f aca="false">$B$18*F21+$B$17*E21</f>
        <v>387</v>
      </c>
      <c r="G22" s="17" t="n">
        <f aca="false">E22+F22</f>
        <v>479</v>
      </c>
      <c r="H22" s="17" t="n">
        <f aca="false">H21*$D$22/$D$21</f>
        <v>476</v>
      </c>
    </row>
    <row r="23" customFormat="false" ht="15" hidden="false" customHeight="false" outlineLevel="0" collapsed="false">
      <c r="A23" s="11" t="n">
        <v>2</v>
      </c>
      <c r="B23" s="17" t="n">
        <f aca="false">$B$16*B22</f>
        <v>338.56</v>
      </c>
      <c r="C23" s="17" t="n">
        <f aca="false">$B$18*C22+$B$17*B22</f>
        <v>114.72</v>
      </c>
      <c r="D23" s="17" t="n">
        <f aca="false">B23+C23</f>
        <v>453.28</v>
      </c>
      <c r="E23" s="17" t="n">
        <f aca="false">$B$16*E22</f>
        <v>84.64</v>
      </c>
      <c r="F23" s="17" t="n">
        <f aca="false">$B$18*F22+$B$17*E22</f>
        <v>374.28</v>
      </c>
      <c r="G23" s="17" t="n">
        <f aca="false">E23+F23</f>
        <v>458.92</v>
      </c>
      <c r="H23" s="17" t="n">
        <f aca="false">H22*$D$22/$D$21</f>
        <v>453.152</v>
      </c>
    </row>
    <row r="24" customFormat="false" ht="15" hidden="false" customHeight="false" outlineLevel="0" collapsed="false">
      <c r="A24" s="11" t="n">
        <v>3</v>
      </c>
      <c r="B24" s="17" t="n">
        <f aca="false">$B$16*B23</f>
        <v>311.4752</v>
      </c>
      <c r="C24" s="17" t="n">
        <f aca="false">$B$18*C23+$B$17*B23</f>
        <v>120.288</v>
      </c>
      <c r="D24" s="17" t="n">
        <f aca="false">B24+C24</f>
        <v>431.7632</v>
      </c>
      <c r="E24" s="17" t="n">
        <f aca="false">$B$16*E23</f>
        <v>77.8688</v>
      </c>
      <c r="F24" s="17" t="n">
        <f aca="false">$B$18*F23+$B$17*E23</f>
        <v>361.848</v>
      </c>
      <c r="G24" s="17" t="n">
        <f aca="false">E24+F24</f>
        <v>439.7168</v>
      </c>
      <c r="H24" s="17" t="n">
        <f aca="false">H23*$D$22/$D$21</f>
        <v>431.400704</v>
      </c>
    </row>
    <row r="25" customFormat="false" ht="15" hidden="false" customHeight="false" outlineLevel="0" collapsed="false">
      <c r="A25" s="11" t="n">
        <v>4</v>
      </c>
      <c r="B25" s="17" t="n">
        <f aca="false">$B$16*B24</f>
        <v>286.557184</v>
      </c>
      <c r="C25" s="17" t="n">
        <f aca="false">$B$18*C24+$B$17*B24</f>
        <v>124.820736</v>
      </c>
      <c r="D25" s="17" t="n">
        <f aca="false">B25+C25</f>
        <v>411.37792</v>
      </c>
      <c r="E25" s="17" t="n">
        <f aca="false">$B$16*E24</f>
        <v>71.639296</v>
      </c>
      <c r="F25" s="17" t="n">
        <f aca="false">$B$18*F24+$B$17*E24</f>
        <v>349.710144</v>
      </c>
      <c r="G25" s="17" t="n">
        <f aca="false">E25+F25</f>
        <v>421.34944</v>
      </c>
      <c r="H25" s="17" t="n">
        <f aca="false">H24*$D$22/$D$21</f>
        <v>410.693470208</v>
      </c>
    </row>
    <row r="26" customFormat="false" ht="15" hidden="false" customHeight="false" outlineLevel="0" collapsed="false">
      <c r="A26" s="11" t="n">
        <v>5</v>
      </c>
      <c r="B26" s="17" t="n">
        <f aca="false">$B$16*B25</f>
        <v>263.63260928</v>
      </c>
      <c r="C26" s="17" t="n">
        <f aca="false">$B$18*C25+$B$17*B25</f>
        <v>128.42462208</v>
      </c>
      <c r="D26" s="17" t="n">
        <f aca="false">B26+C26</f>
        <v>392.05723136</v>
      </c>
      <c r="E26" s="17" t="n">
        <f aca="false">$B$16*E25</f>
        <v>65.90815232</v>
      </c>
      <c r="F26" s="17" t="n">
        <f aca="false">$B$18*F25+$B$17*E25</f>
        <v>337.87091712</v>
      </c>
      <c r="G26" s="17" t="n">
        <f aca="false">E26+F26</f>
        <v>403.77906944</v>
      </c>
      <c r="H26" s="17" t="n">
        <f aca="false">H25*$D$22/$D$21</f>
        <v>390.980183638016</v>
      </c>
    </row>
    <row r="28" customFormat="false" ht="15" hidden="false" customHeight="false" outlineLevel="0" collapsed="false">
      <c r="A28" s="2" t="s">
        <v>170</v>
      </c>
      <c r="B28" s="17" t="n">
        <f aca="false">D26</f>
        <v>392.05723136</v>
      </c>
      <c r="C28" s="10" t="s">
        <v>171</v>
      </c>
    </row>
    <row r="29" customFormat="false" ht="15" hidden="false" customHeight="false" outlineLevel="0" collapsed="false">
      <c r="A29" s="2" t="s">
        <v>172</v>
      </c>
      <c r="B29" s="17" t="n">
        <f aca="false">G26</f>
        <v>403.77906944</v>
      </c>
      <c r="C29" s="10" t="s">
        <v>173</v>
      </c>
    </row>
    <row r="30" customFormat="false" ht="15" hidden="false" customHeight="false" outlineLevel="0" collapsed="false">
      <c r="A30" s="2" t="s">
        <v>174</v>
      </c>
      <c r="B30" s="17" t="n">
        <f aca="false">B29-B28</f>
        <v>11.7218380799999</v>
      </c>
      <c r="C30" s="10" t="s">
        <v>175</v>
      </c>
    </row>
    <row r="31" customFormat="false" ht="15" hidden="false" customHeight="false" outlineLevel="0" collapsed="false">
      <c r="A31" s="2" t="s">
        <v>176</v>
      </c>
      <c r="B31" s="17" t="n">
        <f aca="false">H26</f>
        <v>390.980183638016</v>
      </c>
      <c r="C31" s="10" t="s">
        <v>177</v>
      </c>
    </row>
    <row r="32" customFormat="false" ht="15" hidden="false" customHeight="false" outlineLevel="0" collapsed="false">
      <c r="A32" s="2" t="s">
        <v>178</v>
      </c>
      <c r="B32" s="20" t="n">
        <f aca="false">B30/2</f>
        <v>5.86091903999994</v>
      </c>
      <c r="C32" s="10" t="s">
        <v>179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4"/>
    <col collapsed="false" customWidth="true" hidden="false" outlineLevel="0" max="5" min="3" style="0" width="11"/>
    <col collapsed="false" customWidth="true" hidden="false" outlineLevel="0" max="6" min="6" style="0" width="22"/>
    <col collapsed="false" customWidth="true" hidden="false" outlineLevel="0" max="7" min="7" style="0" width="15"/>
    <col collapsed="false" customWidth="true" hidden="false" outlineLevel="0" max="8" min="8" style="0" width="13"/>
    <col collapsed="false" customWidth="true" hidden="false" outlineLevel="0" max="9" min="9" style="0" width="15"/>
    <col collapsed="false" customWidth="true" hidden="false" outlineLevel="0" max="11" min="11" style="0" width="13"/>
    <col collapsed="false" customWidth="true" hidden="false" outlineLevel="0" max="12" min="12" style="0" width="8"/>
  </cols>
  <sheetData>
    <row r="1" customFormat="false" ht="15" hidden="false" customHeight="false" outlineLevel="0" collapsed="false">
      <c r="A1" s="1" t="s">
        <v>180</v>
      </c>
    </row>
    <row r="2" customFormat="false" ht="15" hidden="false" customHeight="false" outlineLevel="0" collapsed="false">
      <c r="A2" s="10" t="s">
        <v>181</v>
      </c>
    </row>
    <row r="4" customFormat="false" ht="23.85" hidden="false" customHeight="false" outlineLevel="0" collapsed="false">
      <c r="A4" s="8" t="s">
        <v>182</v>
      </c>
      <c r="B4" s="8" t="s">
        <v>135</v>
      </c>
      <c r="C4" s="8" t="s">
        <v>183</v>
      </c>
      <c r="D4" s="8" t="s">
        <v>184</v>
      </c>
      <c r="E4" s="8" t="s">
        <v>185</v>
      </c>
      <c r="F4" s="8" t="s">
        <v>186</v>
      </c>
      <c r="G4" s="8" t="s">
        <v>187</v>
      </c>
      <c r="H4" s="8" t="s">
        <v>188</v>
      </c>
      <c r="I4" s="8" t="s">
        <v>189</v>
      </c>
      <c r="K4" s="2" t="s">
        <v>190</v>
      </c>
      <c r="L4" s="9" t="n">
        <v>5</v>
      </c>
    </row>
    <row r="5" customFormat="false" ht="15" hidden="false" customHeight="false" outlineLevel="0" collapsed="false">
      <c r="A5" s="2" t="s">
        <v>191</v>
      </c>
      <c r="B5" s="2" t="s">
        <v>192</v>
      </c>
      <c r="C5" s="13" t="n">
        <v>100</v>
      </c>
      <c r="D5" s="13" t="n">
        <v>112</v>
      </c>
      <c r="E5" s="13" t="n">
        <v>0.35</v>
      </c>
      <c r="F5" s="13" t="n">
        <v>-28</v>
      </c>
      <c r="G5" s="13" t="n">
        <v>2</v>
      </c>
      <c r="H5" s="13" t="n">
        <v>0</v>
      </c>
      <c r="I5" s="23" t="n">
        <f aca="false">D5+(C5-D5)*EXP(-E5*$L$4)+IF(G5="",0,F5*($L$4/G5)*EXP(1-$L$4/G5))+H5*($L$4&gt;=1)</f>
        <v>94.2956014682046</v>
      </c>
    </row>
    <row r="6" customFormat="false" ht="15" hidden="false" customHeight="false" outlineLevel="0" collapsed="false">
      <c r="A6" s="2" t="s">
        <v>191</v>
      </c>
      <c r="B6" s="2" t="s">
        <v>193</v>
      </c>
      <c r="C6" s="13" t="n">
        <v>41</v>
      </c>
      <c r="D6" s="13" t="n">
        <v>78</v>
      </c>
      <c r="E6" s="13" t="n">
        <v>0.55</v>
      </c>
      <c r="F6" s="13" t="n">
        <v>0</v>
      </c>
      <c r="H6" s="13" t="n">
        <v>0</v>
      </c>
      <c r="I6" s="23" t="n">
        <f aca="false">D6+(C6-D6)*EXP(-E6*$L$4)+IF(G6="",0,F6*($L$4/G6)*EXP(1-$L$4/G6))+H6*($L$4&gt;=1)</f>
        <v>75.6346691353518</v>
      </c>
    </row>
    <row r="7" customFormat="false" ht="15" hidden="false" customHeight="false" outlineLevel="0" collapsed="false">
      <c r="A7" s="2" t="s">
        <v>191</v>
      </c>
      <c r="B7" s="2" t="s">
        <v>194</v>
      </c>
      <c r="C7" s="13" t="n">
        <v>71</v>
      </c>
      <c r="D7" s="13" t="n">
        <v>77</v>
      </c>
      <c r="E7" s="13" t="n">
        <v>0.5</v>
      </c>
      <c r="F7" s="13" t="n">
        <v>-9</v>
      </c>
      <c r="G7" s="13" t="n">
        <v>1.5</v>
      </c>
      <c r="H7" s="13" t="n">
        <v>0</v>
      </c>
      <c r="I7" s="23" t="n">
        <f aca="false">D7+(C7-D7)*EXP(-E7*$L$4)+IF(G7="",0,F7*($L$4/G7)*EXP(1-$L$4/G7))+H7*($L$4&gt;=1)</f>
        <v>73.5983309723245</v>
      </c>
    </row>
    <row r="8" customFormat="false" ht="15" hidden="false" customHeight="false" outlineLevel="0" collapsed="false">
      <c r="A8" s="2" t="s">
        <v>191</v>
      </c>
      <c r="B8" s="2" t="s">
        <v>195</v>
      </c>
      <c r="C8" s="13" t="n">
        <v>64</v>
      </c>
      <c r="D8" s="13" t="n">
        <v>51</v>
      </c>
      <c r="E8" s="13" t="n">
        <v>0.4</v>
      </c>
      <c r="F8" s="13" t="n">
        <v>14</v>
      </c>
      <c r="G8" s="13" t="n">
        <v>1.2</v>
      </c>
      <c r="H8" s="13" t="n">
        <v>0</v>
      </c>
      <c r="I8" s="23" t="n">
        <f aca="false">D8+(C8-D8)*EXP(-E8*$L$4)+IF(G8="",0,F8*($L$4/G8)*EXP(1-$L$4/G8))+H8*($L$4&gt;=1)</f>
        <v>55.2177495534504</v>
      </c>
    </row>
    <row r="9" customFormat="false" ht="15" hidden="false" customHeight="false" outlineLevel="0" collapsed="false">
      <c r="A9" s="2" t="s">
        <v>196</v>
      </c>
      <c r="B9" s="2" t="s">
        <v>192</v>
      </c>
      <c r="C9" s="13" t="n">
        <v>100</v>
      </c>
      <c r="D9" s="13" t="n">
        <v>104</v>
      </c>
      <c r="E9" s="13" t="n">
        <v>0.3</v>
      </c>
      <c r="F9" s="13" t="n">
        <v>0</v>
      </c>
      <c r="H9" s="13" t="n">
        <v>18</v>
      </c>
      <c r="I9" s="23" t="n">
        <f aca="false">D9+(C9-D9)*EXP(-E9*$L$4)+IF(G9="",0,F9*($L$4/G9)*EXP(1-$L$4/G9))+H9*($L$4&gt;=1)</f>
        <v>121.107479359406</v>
      </c>
    </row>
    <row r="10" customFormat="false" ht="15" hidden="false" customHeight="false" outlineLevel="0" collapsed="false">
      <c r="A10" s="2" t="s">
        <v>196</v>
      </c>
      <c r="B10" s="2" t="s">
        <v>193</v>
      </c>
      <c r="C10" s="13" t="n">
        <v>41</v>
      </c>
      <c r="D10" s="13" t="n">
        <v>38</v>
      </c>
      <c r="E10" s="13" t="n">
        <v>0.25</v>
      </c>
      <c r="F10" s="13" t="n">
        <v>0</v>
      </c>
      <c r="H10" s="13" t="n">
        <v>0</v>
      </c>
      <c r="I10" s="23" t="n">
        <f aca="false">D10+(C10-D10)*EXP(-E10*$L$4)+IF(G10="",0,F10*($L$4/G10)*EXP(1-$L$4/G10))+H10*($L$4&gt;=1)</f>
        <v>38.8595143905806</v>
      </c>
    </row>
    <row r="11" customFormat="false" ht="15" hidden="false" customHeight="false" outlineLevel="0" collapsed="false">
      <c r="A11" s="2" t="s">
        <v>196</v>
      </c>
      <c r="B11" s="2" t="s">
        <v>194</v>
      </c>
      <c r="C11" s="13" t="n">
        <v>71</v>
      </c>
      <c r="D11" s="13" t="n">
        <v>74</v>
      </c>
      <c r="E11" s="13" t="n">
        <v>0.45</v>
      </c>
      <c r="F11" s="13" t="n">
        <v>0</v>
      </c>
      <c r="H11" s="13" t="n">
        <v>0</v>
      </c>
      <c r="I11" s="23" t="n">
        <f aca="false">D11+(C11-D11)*EXP(-E11*$L$4)+IF(G11="",0,F11*($L$4/G11)*EXP(1-$L$4/G11))+H11*($L$4&gt;=1)</f>
        <v>73.6838023263144</v>
      </c>
    </row>
    <row r="12" customFormat="false" ht="15" hidden="false" customHeight="false" outlineLevel="0" collapsed="false">
      <c r="A12" s="2" t="s">
        <v>196</v>
      </c>
      <c r="B12" s="2" t="s">
        <v>195</v>
      </c>
      <c r="C12" s="13" t="n">
        <v>64</v>
      </c>
      <c r="D12" s="13" t="n">
        <v>56</v>
      </c>
      <c r="E12" s="13" t="n">
        <v>0.35</v>
      </c>
      <c r="F12" s="13" t="n">
        <v>0</v>
      </c>
      <c r="H12" s="13" t="n">
        <v>-8</v>
      </c>
      <c r="I12" s="23" t="n">
        <f aca="false">D12+(C12-D12)*EXP(-E12*$L$4)+IF(G12="",0,F12*($L$4/G12)*EXP(1-$L$4/G12))+H12*($L$4&gt;=1)</f>
        <v>49.3901915476036</v>
      </c>
    </row>
    <row r="13" customFormat="false" ht="15" hidden="false" customHeight="false" outlineLevel="0" collapsed="false">
      <c r="A13" s="2" t="s">
        <v>197</v>
      </c>
      <c r="B13" s="2" t="s">
        <v>192</v>
      </c>
      <c r="C13" s="13" t="n">
        <v>100</v>
      </c>
      <c r="D13" s="13" t="n">
        <v>106</v>
      </c>
      <c r="E13" s="13" t="n">
        <v>0.45</v>
      </c>
      <c r="F13" s="13" t="n">
        <v>0</v>
      </c>
      <c r="H13" s="13" t="n">
        <v>0</v>
      </c>
      <c r="I13" s="23" t="n">
        <f aca="false">D13+(C13-D13)*EXP(-E13*$L$4)+IF(G13="",0,F13*($L$4/G13)*EXP(1-$L$4/G13))+H13*($L$4&gt;=1)</f>
        <v>105.367604652629</v>
      </c>
    </row>
    <row r="14" customFormat="false" ht="15" hidden="false" customHeight="false" outlineLevel="0" collapsed="false">
      <c r="A14" s="2" t="s">
        <v>197</v>
      </c>
      <c r="B14" s="2" t="s">
        <v>193</v>
      </c>
      <c r="C14" s="13" t="n">
        <v>41</v>
      </c>
      <c r="D14" s="13" t="n">
        <v>33</v>
      </c>
      <c r="E14" s="13" t="n">
        <v>0.2</v>
      </c>
      <c r="F14" s="13" t="n">
        <v>0</v>
      </c>
      <c r="H14" s="13" t="n">
        <v>0</v>
      </c>
      <c r="I14" s="23" t="n">
        <f aca="false">D14+(C14-D14)*EXP(-E14*$L$4)+IF(G14="",0,F14*($L$4/G14)*EXP(1-$L$4/G14))+H14*($L$4&gt;=1)</f>
        <v>35.9430355293715</v>
      </c>
    </row>
    <row r="15" customFormat="false" ht="15" hidden="false" customHeight="false" outlineLevel="0" collapsed="false">
      <c r="A15" s="2" t="s">
        <v>197</v>
      </c>
      <c r="B15" s="2" t="s">
        <v>194</v>
      </c>
      <c r="C15" s="13" t="n">
        <v>71</v>
      </c>
      <c r="D15" s="13" t="n">
        <v>79</v>
      </c>
      <c r="E15" s="13" t="n">
        <v>0.6</v>
      </c>
      <c r="F15" s="13" t="n">
        <v>0</v>
      </c>
      <c r="H15" s="13" t="n">
        <v>0</v>
      </c>
      <c r="I15" s="23" t="n">
        <f aca="false">D15+(C15-D15)*EXP(-E15*$L$4)+IF(G15="",0,F15*($L$4/G15)*EXP(1-$L$4/G15))+H15*($L$4&gt;=1)</f>
        <v>78.6017034530571</v>
      </c>
    </row>
    <row r="16" customFormat="false" ht="15" hidden="false" customHeight="false" outlineLevel="0" collapsed="false">
      <c r="A16" s="2" t="s">
        <v>197</v>
      </c>
      <c r="B16" s="2" t="s">
        <v>195</v>
      </c>
      <c r="C16" s="13" t="n">
        <v>64</v>
      </c>
      <c r="D16" s="13" t="n">
        <v>67</v>
      </c>
      <c r="E16" s="13" t="n">
        <v>0.3</v>
      </c>
      <c r="F16" s="13" t="n">
        <v>0</v>
      </c>
      <c r="H16" s="13" t="n">
        <v>0</v>
      </c>
      <c r="I16" s="23" t="n">
        <f aca="false">D16+(C16-D16)*EXP(-E16*$L$4)+IF(G16="",0,F16*($L$4/G16)*EXP(1-$L$4/G16))+H16*($L$4&gt;=1)</f>
        <v>66.3306095195547</v>
      </c>
    </row>
    <row r="19" customFormat="false" ht="23.85" hidden="false" customHeight="false" outlineLevel="0" collapsed="false">
      <c r="A19" s="8" t="s">
        <v>198</v>
      </c>
      <c r="B19" s="8" t="s">
        <v>192</v>
      </c>
      <c r="C19" s="8" t="s">
        <v>193</v>
      </c>
      <c r="D19" s="8" t="s">
        <v>194</v>
      </c>
      <c r="E19" s="8" t="s">
        <v>195</v>
      </c>
      <c r="F19" s="8" t="s">
        <v>199</v>
      </c>
    </row>
    <row r="20" customFormat="false" ht="15" hidden="false" customHeight="false" outlineLevel="0" collapsed="false">
      <c r="A20" s="2" t="s">
        <v>200</v>
      </c>
      <c r="B20" s="9" t="n">
        <v>1</v>
      </c>
      <c r="C20" s="9" t="n">
        <v>1</v>
      </c>
      <c r="D20" s="9" t="n">
        <v>1</v>
      </c>
      <c r="E20" s="9" t="n">
        <v>-1</v>
      </c>
    </row>
    <row r="21" customFormat="false" ht="15" hidden="false" customHeight="false" outlineLevel="0" collapsed="false">
      <c r="A21" s="2" t="s">
        <v>183</v>
      </c>
      <c r="B21" s="20" t="n">
        <f aca="false">C5</f>
        <v>100</v>
      </c>
      <c r="C21" s="20" t="n">
        <f aca="false">C6</f>
        <v>41</v>
      </c>
      <c r="D21" s="20" t="n">
        <f aca="false">C7</f>
        <v>71</v>
      </c>
      <c r="E21" s="20" t="n">
        <f aca="false">C8</f>
        <v>64</v>
      </c>
    </row>
    <row r="22" customFormat="false" ht="15" hidden="false" customHeight="false" outlineLevel="0" collapsed="false">
      <c r="A22" s="2" t="s">
        <v>191</v>
      </c>
      <c r="B22" s="20" t="n">
        <f aca="false">I5</f>
        <v>94.2956014682046</v>
      </c>
      <c r="C22" s="20" t="n">
        <f aca="false">I6</f>
        <v>75.6346691353518</v>
      </c>
      <c r="D22" s="20" t="n">
        <f aca="false">I7</f>
        <v>73.5983309723245</v>
      </c>
      <c r="E22" s="20" t="n">
        <f aca="false">I8</f>
        <v>55.2177495534504</v>
      </c>
      <c r="F22" s="20" t="n">
        <f aca="false">SUMPRODUCT(B22:E22,$B$20:$E$20)/4</f>
        <v>47.0777130056076</v>
      </c>
    </row>
    <row r="23" customFormat="false" ht="15" hidden="false" customHeight="false" outlineLevel="0" collapsed="false">
      <c r="A23" s="2" t="s">
        <v>196</v>
      </c>
      <c r="B23" s="20" t="n">
        <f aca="false">I9</f>
        <v>121.107479359406</v>
      </c>
      <c r="C23" s="20" t="n">
        <f aca="false">I10</f>
        <v>38.8595143905806</v>
      </c>
      <c r="D23" s="20" t="n">
        <f aca="false">I11</f>
        <v>73.6838023263144</v>
      </c>
      <c r="E23" s="20" t="n">
        <f aca="false">I12</f>
        <v>49.3901915476036</v>
      </c>
      <c r="F23" s="20" t="n">
        <f aca="false">SUMPRODUCT(B23:E23,$B$20:$E$20)/4</f>
        <v>46.0651511321744</v>
      </c>
    </row>
    <row r="24" customFormat="false" ht="15" hidden="false" customHeight="false" outlineLevel="0" collapsed="false">
      <c r="A24" s="2" t="s">
        <v>197</v>
      </c>
      <c r="B24" s="20" t="n">
        <f aca="false">I13</f>
        <v>105.367604652629</v>
      </c>
      <c r="C24" s="20" t="n">
        <f aca="false">I14</f>
        <v>35.9430355293715</v>
      </c>
      <c r="D24" s="20" t="n">
        <f aca="false">I15</f>
        <v>78.6017034530571</v>
      </c>
      <c r="E24" s="20" t="n">
        <f aca="false">I16</f>
        <v>66.3306095195547</v>
      </c>
      <c r="F24" s="20" t="n">
        <f aca="false">SUMPRODUCT(B24:E24,$B$20:$E$20)/4</f>
        <v>38.3954335288757</v>
      </c>
    </row>
    <row r="26" customFormat="false" ht="15" hidden="false" customHeight="false" outlineLevel="0" collapsed="false">
      <c r="A26" s="8" t="s">
        <v>201</v>
      </c>
      <c r="B26" s="8" t="s">
        <v>192</v>
      </c>
      <c r="C26" s="8" t="s">
        <v>193</v>
      </c>
      <c r="D26" s="8" t="s">
        <v>194</v>
      </c>
      <c r="E26" s="8" t="s">
        <v>195</v>
      </c>
      <c r="F26" s="8" t="s">
        <v>202</v>
      </c>
      <c r="G26" s="8" t="s">
        <v>203</v>
      </c>
    </row>
    <row r="27" customFormat="false" ht="15" hidden="false" customHeight="false" outlineLevel="0" collapsed="false">
      <c r="A27" s="2" t="s">
        <v>191</v>
      </c>
      <c r="B27" s="20" t="n">
        <f aca="false">100*(B22*B$20-MIN(B22*B$20,B23*B$20,B24*B$20))/(MAX(B22*B$20,B23*B$20,B24*B$20)-MIN(B22*B$20,B23*B$20,B24*B$20))</f>
        <v>0</v>
      </c>
      <c r="C27" s="20" t="n">
        <f aca="false">100*(C22*C$20-MIN(C22*C$20,C23*C$20,C24*C$20))/(MAX(C22*C$20,C23*C$20,C24*C$20)-MIN(C22*C$20,C23*C$20,C24*C$20))</f>
        <v>100</v>
      </c>
      <c r="D27" s="20" t="n">
        <f aca="false">100*(D22*D$20-MIN(D22*D$20,D23*D$20,D24*D$20))/(MAX(D22*D$20,D23*D$20,D24*D$20)-MIN(D22*D$20,D23*D$20,D24*D$20))</f>
        <v>0</v>
      </c>
      <c r="E27" s="20" t="n">
        <f aca="false">100*(E22*E$20-MIN(E22*E$20,E23*E$20,E24*E$20))/(MAX(E22*E$20,E23*E$20,E24*E$20)-MIN(E22*E$20,E23*E$20,E24*E$20))</f>
        <v>65.5996799164239</v>
      </c>
      <c r="F27" s="20" t="n">
        <f aca="false">AVERAGE(B27:E27)</f>
        <v>41.399919979106</v>
      </c>
      <c r="G27" s="11" t="n">
        <f aca="false">RANK(F27,$F$27:$F$29)</f>
        <v>2</v>
      </c>
    </row>
    <row r="28" customFormat="false" ht="15" hidden="false" customHeight="false" outlineLevel="0" collapsed="false">
      <c r="A28" s="2" t="s">
        <v>196</v>
      </c>
      <c r="B28" s="20" t="n">
        <f aca="false">100*(B23*B$20-MIN(B22*B$20,B23*B$20,B24*B$20))/(MAX(B22*B$20,B23*B$20,B24*B$20)-MIN(B22*B$20,B23*B$20,B24*B$20))</f>
        <v>100</v>
      </c>
      <c r="C28" s="20" t="n">
        <f aca="false">100*(C23*C$20-MIN(C22*C$20,C23*C$20,C24*C$20))/(MAX(C22*C$20,C23*C$20,C24*C$20)-MIN(C22*C$20,C23*C$20,C24*C$20))</f>
        <v>7.34784284809484</v>
      </c>
      <c r="D28" s="20" t="n">
        <f aca="false">100*(D23*D$20-MIN(D22*D$20,D23*D$20,D24*D$20))/(MAX(D22*D$20,D23*D$20,D24*D$20)-MIN(D22*D$20,D23*D$20,D24*D$20))</f>
        <v>1.708274854992</v>
      </c>
      <c r="E28" s="20" t="n">
        <f aca="false">100*(E23*E$20-MIN(E22*E$20,E23*E$20,E24*E$20))/(MAX(E22*E$20,E23*E$20,E24*E$20)-MIN(E22*E$20,E23*E$20,E24*E$20))</f>
        <v>100</v>
      </c>
      <c r="F28" s="20" t="n">
        <f aca="false">AVERAGE(B28:E28)</f>
        <v>52.2640294257717</v>
      </c>
      <c r="G28" s="11" t="n">
        <f aca="false">RANK(F28,$F$27:$F$29)</f>
        <v>1</v>
      </c>
    </row>
    <row r="29" customFormat="false" ht="15" hidden="false" customHeight="false" outlineLevel="0" collapsed="false">
      <c r="A29" s="2" t="s">
        <v>197</v>
      </c>
      <c r="B29" s="20" t="n">
        <f aca="false">100*(B24*B$20-MIN(B22*B$20,B23*B$20,B24*B$20))/(MAX(B22*B$20,B23*B$20,B24*B$20)-MIN(B22*B$20,B23*B$20,B24*B$20))</f>
        <v>41.2951425086771</v>
      </c>
      <c r="C29" s="20" t="n">
        <f aca="false">100*(C24*C$20-MIN(C22*C$20,C23*C$20,C24*C$20))/(MAX(C22*C$20,C23*C$20,C24*C$20)-MIN(C22*C$20,C23*C$20,C24*C$20))</f>
        <v>0</v>
      </c>
      <c r="D29" s="20" t="n">
        <f aca="false">100*(D24*D$20-MIN(D22*D$20,D23*D$20,D24*D$20))/(MAX(D22*D$20,D23*D$20,D24*D$20)-MIN(D22*D$20,D23*D$20,D24*D$20))</f>
        <v>100</v>
      </c>
      <c r="E29" s="20" t="n">
        <f aca="false">100*(E24*E$20-MIN(E22*E$20,E23*E$20,E24*E$20))/(MAX(E22*E$20,E23*E$20,E24*E$20)-MIN(E22*E$20,E23*E$20,E24*E$20))</f>
        <v>0</v>
      </c>
      <c r="F29" s="20" t="n">
        <f aca="false">AVERAGE(B29:E29)</f>
        <v>35.3237856271693</v>
      </c>
      <c r="G29" s="11" t="n">
        <f aca="false">RANK(F29,$F$27:$F$29)</f>
        <v>3</v>
      </c>
    </row>
    <row r="31" customFormat="false" ht="15" hidden="false" customHeight="false" outlineLevel="0" collapsed="false">
      <c r="A31" s="8" t="s">
        <v>204</v>
      </c>
      <c r="B31" s="8" t="s">
        <v>192</v>
      </c>
      <c r="C31" s="8" t="s">
        <v>193</v>
      </c>
      <c r="D31" s="8" t="s">
        <v>194</v>
      </c>
      <c r="E31" s="8" t="s">
        <v>195</v>
      </c>
      <c r="F31" s="8" t="s">
        <v>202</v>
      </c>
      <c r="G31" s="8" t="s">
        <v>203</v>
      </c>
    </row>
    <row r="32" customFormat="false" ht="15" hidden="false" customHeight="false" outlineLevel="0" collapsed="false">
      <c r="A32" s="2" t="s">
        <v>191</v>
      </c>
      <c r="B32" s="20" t="n">
        <f aca="false">100*(B22-B$21)/B$21*B$20</f>
        <v>-5.70439853179544</v>
      </c>
      <c r="C32" s="20" t="n">
        <f aca="false">100*(C22-C$21)/C$21*C$20</f>
        <v>84.4748027691508</v>
      </c>
      <c r="D32" s="20" t="n">
        <f aca="false">100*(D22-D$21)/D$21*D$20</f>
        <v>3.65962108778093</v>
      </c>
      <c r="E32" s="20" t="n">
        <f aca="false">100*(E22-E$21)/E$21*E$20</f>
        <v>13.7222663227337</v>
      </c>
      <c r="F32" s="20" t="n">
        <f aca="false">AVERAGE(B32:E32)</f>
        <v>24.0380729119675</v>
      </c>
      <c r="G32" s="11" t="n">
        <f aca="false">RANK(F32,$F$32:$F$34)</f>
        <v>1</v>
      </c>
    </row>
    <row r="33" customFormat="false" ht="15" hidden="false" customHeight="false" outlineLevel="0" collapsed="false">
      <c r="A33" s="2" t="s">
        <v>196</v>
      </c>
      <c r="B33" s="20" t="n">
        <f aca="false">100*(B23-B$21)/B$21*B$20</f>
        <v>21.1074793594063</v>
      </c>
      <c r="C33" s="20" t="n">
        <f aca="false">100*(C23-C$21)/C$21*C$20</f>
        <v>-5.22069660834007</v>
      </c>
      <c r="D33" s="20" t="n">
        <f aca="false">100*(D23-D$21)/D$21*D$20</f>
        <v>3.78000327649916</v>
      </c>
      <c r="E33" s="20" t="n">
        <f aca="false">100*(E23-E$21)/E$21*E$20</f>
        <v>22.8278257068694</v>
      </c>
      <c r="F33" s="20" t="n">
        <f aca="false">AVERAGE(B33:E33)</f>
        <v>10.6236529336087</v>
      </c>
      <c r="G33" s="11" t="n">
        <f aca="false">RANK(F33,$F$32:$F$34)</f>
        <v>2</v>
      </c>
    </row>
    <row r="34" customFormat="false" ht="15" hidden="false" customHeight="false" outlineLevel="0" collapsed="false">
      <c r="A34" s="2" t="s">
        <v>197</v>
      </c>
      <c r="B34" s="20" t="n">
        <f aca="false">100*(B24-B$21)/B$21*B$20</f>
        <v>5.36760465262881</v>
      </c>
      <c r="C34" s="20" t="n">
        <f aca="false">100*(C24-C$21)/C$21*C$20</f>
        <v>-12.3340596844597</v>
      </c>
      <c r="D34" s="20" t="n">
        <f aca="false">100*(D24-D$21)/D$21*D$20</f>
        <v>10.7066245817705</v>
      </c>
      <c r="E34" s="20" t="n">
        <f aca="false">100*(E24-E$21)/E$21*E$20</f>
        <v>-3.64157737430424</v>
      </c>
      <c r="F34" s="20" t="n">
        <f aca="false">AVERAGE(B34:E34)</f>
        <v>0.0246480439088654</v>
      </c>
      <c r="G34" s="11" t="n">
        <f aca="false">RANK(F34,$F$32:$F$34)</f>
        <v>3</v>
      </c>
    </row>
    <row r="36" customFormat="false" ht="15" hidden="false" customHeight="false" outlineLevel="0" collapsed="false">
      <c r="A36" s="2" t="s">
        <v>205</v>
      </c>
      <c r="B36" s="2" t="str">
        <f aca="false">INDEX($A$27:$A$29,MATCH(1,$G$27:$G$29,0))</f>
        <v>Restructuring</v>
      </c>
      <c r="C36" s="10" t="s">
        <v>206</v>
      </c>
    </row>
    <row r="37" customFormat="false" ht="15" hidden="false" customHeight="false" outlineLevel="0" collapsed="false">
      <c r="A37" s="2" t="s">
        <v>207</v>
      </c>
      <c r="B37" s="2" t="str">
        <f aca="false">INDEX($A$32:$A$34,MATCH(1,$G$32:$G$34,0))</f>
        <v>Digital</v>
      </c>
      <c r="C37" s="10" t="s">
        <v>208</v>
      </c>
    </row>
    <row r="39" customFormat="false" ht="15" hidden="false" customHeight="false" outlineLevel="0" collapsed="false">
      <c r="A39" s="2" t="s">
        <v>209</v>
      </c>
      <c r="B39" s="23" t="n">
        <f aca="false">(B22-B23)*B20</f>
        <v>-26.8118778912017</v>
      </c>
    </row>
    <row r="40" customFormat="false" ht="15" hidden="false" customHeight="false" outlineLevel="0" collapsed="false">
      <c r="A40" s="2" t="s">
        <v>210</v>
      </c>
      <c r="B40" s="23" t="n">
        <f aca="false">(C22-C23)*C20</f>
        <v>36.7751547447712</v>
      </c>
    </row>
    <row r="41" customFormat="false" ht="15" hidden="false" customHeight="false" outlineLevel="0" collapsed="false">
      <c r="A41" s="2" t="s">
        <v>211</v>
      </c>
      <c r="B41" s="23" t="n">
        <f aca="false">(D22-D23)*D20</f>
        <v>-0.085471353989945</v>
      </c>
    </row>
    <row r="42" customFormat="false" ht="15" hidden="false" customHeight="false" outlineLevel="0" collapsed="false">
      <c r="A42" s="2" t="s">
        <v>212</v>
      </c>
      <c r="B42" s="23" t="n">
        <f aca="false">(E22-E23)*E20</f>
        <v>-5.82755800584685</v>
      </c>
    </row>
    <row r="43" customFormat="false" ht="15" hidden="false" customHeight="false" outlineLevel="0" collapsed="false">
      <c r="A43" s="2" t="s">
        <v>213</v>
      </c>
      <c r="B43" s="20" t="n">
        <f aca="false">100*AVERAGE(B39:B42)/(B40-B39)</f>
        <v>1.59240309141324</v>
      </c>
      <c r="C43" s="10" t="s">
        <v>214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52"/>
    <col collapsed="false" customWidth="true" hidden="false" outlineLevel="0" max="3" min="3" style="0" width="36"/>
    <col collapsed="false" customWidth="true" hidden="false" outlineLevel="0" max="4" min="4" style="0" width="10"/>
  </cols>
  <sheetData>
    <row r="1" customFormat="false" ht="15" hidden="false" customHeight="false" outlineLevel="0" collapsed="false">
      <c r="A1" s="1" t="s">
        <v>215</v>
      </c>
    </row>
    <row r="3" customFormat="false" ht="15" hidden="false" customHeight="false" outlineLevel="0" collapsed="false">
      <c r="A3" s="8" t="s">
        <v>216</v>
      </c>
      <c r="B3" s="8" t="s">
        <v>217</v>
      </c>
      <c r="C3" s="8" t="s">
        <v>218</v>
      </c>
    </row>
    <row r="4" customFormat="false" ht="15" hidden="false" customHeight="false" outlineLevel="0" collapsed="false">
      <c r="A4" s="5" t="s">
        <v>219</v>
      </c>
      <c r="B4" s="5" t="s">
        <v>220</v>
      </c>
      <c r="C4" s="5" t="s">
        <v>221</v>
      </c>
    </row>
    <row r="5" customFormat="false" ht="15" hidden="false" customHeight="false" outlineLevel="0" collapsed="false">
      <c r="A5" s="5" t="s">
        <v>222</v>
      </c>
      <c r="B5" s="5" t="s">
        <v>223</v>
      </c>
      <c r="C5" s="5" t="s">
        <v>224</v>
      </c>
    </row>
    <row r="6" customFormat="false" ht="15" hidden="false" customHeight="false" outlineLevel="0" collapsed="false">
      <c r="A6" s="5" t="s">
        <v>225</v>
      </c>
      <c r="B6" s="5" t="s">
        <v>226</v>
      </c>
      <c r="C6" s="5" t="s">
        <v>227</v>
      </c>
    </row>
    <row r="7" customFormat="false" ht="15" hidden="false" customHeight="false" outlineLevel="0" collapsed="false">
      <c r="A7" s="5" t="s">
        <v>228</v>
      </c>
      <c r="B7" s="5" t="s">
        <v>229</v>
      </c>
      <c r="C7" s="5" t="s">
        <v>230</v>
      </c>
    </row>
    <row r="8" customFormat="false" ht="15" hidden="false" customHeight="false" outlineLevel="0" collapsed="false">
      <c r="A8" s="5" t="s">
        <v>231</v>
      </c>
      <c r="B8" s="5" t="s">
        <v>232</v>
      </c>
      <c r="C8" s="5" t="s">
        <v>233</v>
      </c>
    </row>
    <row r="9" customFormat="false" ht="15" hidden="false" customHeight="false" outlineLevel="0" collapsed="false">
      <c r="A9" s="5" t="s">
        <v>234</v>
      </c>
      <c r="B9" s="5" t="s">
        <v>223</v>
      </c>
      <c r="C9" s="5" t="s">
        <v>235</v>
      </c>
    </row>
    <row r="10" customFormat="false" ht="15" hidden="false" customHeight="false" outlineLevel="0" collapsed="false">
      <c r="A10" s="5" t="s">
        <v>236</v>
      </c>
      <c r="B10" s="5" t="s">
        <v>237</v>
      </c>
      <c r="C10" s="5" t="s">
        <v>238</v>
      </c>
    </row>
    <row r="11" customFormat="false" ht="15" hidden="false" customHeight="false" outlineLevel="0" collapsed="false">
      <c r="A11" s="5" t="s">
        <v>239</v>
      </c>
      <c r="B11" s="5" t="s">
        <v>240</v>
      </c>
      <c r="C11" s="5" t="s">
        <v>241</v>
      </c>
    </row>
    <row r="13" customFormat="false" ht="15" hidden="false" customHeight="false" outlineLevel="0" collapsed="false">
      <c r="A13" s="8" t="s">
        <v>242</v>
      </c>
      <c r="B13" s="8" t="s">
        <v>243</v>
      </c>
      <c r="C13" s="8" t="s">
        <v>244</v>
      </c>
      <c r="D13" s="8" t="s">
        <v>245</v>
      </c>
    </row>
    <row r="14" customFormat="false" ht="15" hidden="false" customHeight="false" outlineLevel="0" collapsed="false">
      <c r="A14" s="5" t="s">
        <v>246</v>
      </c>
      <c r="B14" s="5" t="s">
        <v>247</v>
      </c>
      <c r="C14" s="5" t="s">
        <v>248</v>
      </c>
      <c r="D14" s="11" t="n">
        <f aca="false">IF(COUNTIFS($A$14:$A$27,B14,$B$14:$B$27,A14)&gt;0,1,0)</f>
        <v>0</v>
      </c>
    </row>
    <row r="15" customFormat="false" ht="15" hidden="false" customHeight="false" outlineLevel="0" collapsed="false">
      <c r="A15" s="5" t="s">
        <v>246</v>
      </c>
      <c r="B15" s="5" t="s">
        <v>249</v>
      </c>
      <c r="C15" s="5" t="s">
        <v>248</v>
      </c>
      <c r="D15" s="11" t="n">
        <f aca="false">IF(COUNTIFS($A$14:$A$27,B15,$B$14:$B$27,A15)&gt;0,1,0)</f>
        <v>0</v>
      </c>
    </row>
    <row r="16" customFormat="false" ht="15" hidden="false" customHeight="false" outlineLevel="0" collapsed="false">
      <c r="A16" s="5" t="s">
        <v>246</v>
      </c>
      <c r="B16" s="5" t="s">
        <v>250</v>
      </c>
      <c r="C16" s="5" t="s">
        <v>248</v>
      </c>
      <c r="D16" s="11" t="n">
        <f aca="false">IF(COUNTIFS($A$14:$A$27,B16,$B$14:$B$27,A16)&gt;0,1,0)</f>
        <v>0</v>
      </c>
    </row>
    <row r="17" customFormat="false" ht="15" hidden="false" customHeight="false" outlineLevel="0" collapsed="false">
      <c r="A17" s="5" t="s">
        <v>247</v>
      </c>
      <c r="B17" s="5" t="s">
        <v>251</v>
      </c>
      <c r="C17" s="5" t="s">
        <v>252</v>
      </c>
      <c r="D17" s="11" t="n">
        <f aca="false">IF(COUNTIFS($A$14:$A$27,B17,$B$14:$B$27,A17)&gt;0,1,0)</f>
        <v>1</v>
      </c>
    </row>
    <row r="18" customFormat="false" ht="15" hidden="false" customHeight="false" outlineLevel="0" collapsed="false">
      <c r="A18" s="5" t="s">
        <v>249</v>
      </c>
      <c r="B18" s="5" t="s">
        <v>251</v>
      </c>
      <c r="C18" s="5" t="s">
        <v>252</v>
      </c>
      <c r="D18" s="11" t="n">
        <f aca="false">IF(COUNTIFS($A$14:$A$27,B18,$B$14:$B$27,A18)&gt;0,1,0)</f>
        <v>1</v>
      </c>
    </row>
    <row r="19" customFormat="false" ht="15" hidden="false" customHeight="false" outlineLevel="0" collapsed="false">
      <c r="A19" s="5" t="s">
        <v>250</v>
      </c>
      <c r="B19" s="5" t="s">
        <v>251</v>
      </c>
      <c r="C19" s="5" t="s">
        <v>252</v>
      </c>
      <c r="D19" s="11" t="n">
        <f aca="false">IF(COUNTIFS($A$14:$A$27,B19,$B$14:$B$27,A19)&gt;0,1,0)</f>
        <v>0</v>
      </c>
    </row>
    <row r="20" customFormat="false" ht="15" hidden="false" customHeight="false" outlineLevel="0" collapsed="false">
      <c r="A20" s="5" t="s">
        <v>251</v>
      </c>
      <c r="B20" s="5" t="s">
        <v>247</v>
      </c>
      <c r="C20" s="5" t="s">
        <v>253</v>
      </c>
      <c r="D20" s="11" t="n">
        <f aca="false">IF(COUNTIFS($A$14:$A$27,B20,$B$14:$B$27,A20)&gt;0,1,0)</f>
        <v>1</v>
      </c>
    </row>
    <row r="21" customFormat="false" ht="15" hidden="false" customHeight="false" outlineLevel="0" collapsed="false">
      <c r="A21" s="5" t="s">
        <v>251</v>
      </c>
      <c r="B21" s="5" t="s">
        <v>249</v>
      </c>
      <c r="C21" s="5" t="s">
        <v>253</v>
      </c>
      <c r="D21" s="11" t="n">
        <f aca="false">IF(COUNTIFS($A$14:$A$27,B21,$B$14:$B$27,A21)&gt;0,1,0)</f>
        <v>1</v>
      </c>
    </row>
    <row r="22" customFormat="false" ht="15" hidden="false" customHeight="false" outlineLevel="0" collapsed="false">
      <c r="A22" s="5" t="s">
        <v>254</v>
      </c>
      <c r="B22" s="5" t="s">
        <v>247</v>
      </c>
      <c r="C22" s="5" t="s">
        <v>255</v>
      </c>
      <c r="D22" s="11" t="n">
        <f aca="false">IF(COUNTIFS($A$14:$A$27,B22,$B$14:$B$27,A22)&gt;0,1,0)</f>
        <v>1</v>
      </c>
    </row>
    <row r="23" customFormat="false" ht="15" hidden="false" customHeight="false" outlineLevel="0" collapsed="false">
      <c r="A23" s="5" t="s">
        <v>247</v>
      </c>
      <c r="B23" s="5" t="s">
        <v>254</v>
      </c>
      <c r="C23" s="5" t="s">
        <v>255</v>
      </c>
      <c r="D23" s="11" t="n">
        <f aca="false">IF(COUNTIFS($A$14:$A$27,B23,$B$14:$B$27,A23)&gt;0,1,0)</f>
        <v>1</v>
      </c>
    </row>
    <row r="24" customFormat="false" ht="15" hidden="false" customHeight="false" outlineLevel="0" collapsed="false">
      <c r="A24" s="5" t="s">
        <v>254</v>
      </c>
      <c r="B24" s="5" t="s">
        <v>249</v>
      </c>
      <c r="C24" s="5" t="s">
        <v>255</v>
      </c>
      <c r="D24" s="11" t="n">
        <f aca="false">IF(COUNTIFS($A$14:$A$27,B24,$B$14:$B$27,A24)&gt;0,1,0)</f>
        <v>1</v>
      </c>
    </row>
    <row r="25" customFormat="false" ht="15" hidden="false" customHeight="false" outlineLevel="0" collapsed="false">
      <c r="A25" s="5" t="s">
        <v>249</v>
      </c>
      <c r="B25" s="5" t="s">
        <v>254</v>
      </c>
      <c r="C25" s="5" t="s">
        <v>255</v>
      </c>
      <c r="D25" s="11" t="n">
        <f aca="false">IF(COUNTIFS($A$14:$A$27,B25,$B$14:$B$27,A25)&gt;0,1,0)</f>
        <v>1</v>
      </c>
    </row>
    <row r="26" customFormat="false" ht="15" hidden="false" customHeight="false" outlineLevel="0" collapsed="false">
      <c r="A26" s="5" t="s">
        <v>256</v>
      </c>
      <c r="B26" s="5" t="s">
        <v>251</v>
      </c>
      <c r="C26" s="5" t="s">
        <v>257</v>
      </c>
      <c r="D26" s="11" t="n">
        <f aca="false">IF(COUNTIFS($A$14:$A$27,B26,$B$14:$B$27,A26)&gt;0,1,0)</f>
        <v>0</v>
      </c>
    </row>
    <row r="27" customFormat="false" ht="15" hidden="false" customHeight="false" outlineLevel="0" collapsed="false">
      <c r="A27" s="5" t="s">
        <v>256</v>
      </c>
      <c r="B27" s="5" t="s">
        <v>249</v>
      </c>
      <c r="C27" s="5" t="s">
        <v>257</v>
      </c>
      <c r="D27" s="11" t="n">
        <f aca="false">IF(COUNTIFS($A$14:$A$27,B27,$B$14:$B$27,A27)&gt;0,1,0)</f>
        <v>0</v>
      </c>
    </row>
    <row r="29" customFormat="false" ht="15" hidden="false" customHeight="false" outlineLevel="0" collapsed="false">
      <c r="A29" s="8" t="s">
        <v>258</v>
      </c>
      <c r="B29" s="8" t="s">
        <v>259</v>
      </c>
    </row>
    <row r="30" customFormat="false" ht="15" hidden="false" customHeight="false" outlineLevel="0" collapsed="false">
      <c r="A30" s="5" t="s">
        <v>260</v>
      </c>
      <c r="B30" s="5" t="s">
        <v>261</v>
      </c>
    </row>
    <row r="31" customFormat="false" ht="15" hidden="false" customHeight="false" outlineLevel="0" collapsed="false">
      <c r="A31" s="5" t="s">
        <v>262</v>
      </c>
      <c r="B31" s="5" t="s">
        <v>263</v>
      </c>
    </row>
    <row r="32" customFormat="false" ht="15" hidden="false" customHeight="false" outlineLevel="0" collapsed="false">
      <c r="A32" s="5" t="s">
        <v>264</v>
      </c>
      <c r="B32" s="5" t="s">
        <v>265</v>
      </c>
    </row>
    <row r="33" customFormat="false" ht="15" hidden="false" customHeight="false" outlineLevel="0" collapsed="false">
      <c r="A33" s="5" t="s">
        <v>266</v>
      </c>
      <c r="B33" s="5" t="s">
        <v>267</v>
      </c>
    </row>
    <row r="34" customFormat="false" ht="15" hidden="false" customHeight="false" outlineLevel="0" collapsed="false">
      <c r="A34" s="5" t="s">
        <v>268</v>
      </c>
      <c r="B34" s="5" t="s">
        <v>269</v>
      </c>
    </row>
    <row r="36" customFormat="false" ht="15" hidden="false" customHeight="false" outlineLevel="0" collapsed="false">
      <c r="A36" s="8" t="s">
        <v>270</v>
      </c>
      <c r="B36" s="8" t="s">
        <v>271</v>
      </c>
    </row>
    <row r="37" customFormat="false" ht="15" hidden="false" customHeight="false" outlineLevel="0" collapsed="false">
      <c r="A37" s="5" t="s">
        <v>272</v>
      </c>
      <c r="B37" s="5" t="s">
        <v>273</v>
      </c>
    </row>
    <row r="38" customFormat="false" ht="15" hidden="false" customHeight="false" outlineLevel="0" collapsed="false">
      <c r="A38" s="5" t="s">
        <v>274</v>
      </c>
      <c r="B38" s="5" t="s">
        <v>275</v>
      </c>
    </row>
    <row r="39" customFormat="false" ht="15" hidden="false" customHeight="false" outlineLevel="0" collapsed="false">
      <c r="A39" s="5" t="s">
        <v>276</v>
      </c>
      <c r="B39" s="5" t="s">
        <v>277</v>
      </c>
    </row>
    <row r="40" customFormat="false" ht="15" hidden="false" customHeight="false" outlineLevel="0" collapsed="false">
      <c r="A40" s="5" t="s">
        <v>278</v>
      </c>
      <c r="B40" s="5" t="s">
        <v>279</v>
      </c>
    </row>
    <row r="41" customFormat="false" ht="15" hidden="false" customHeight="false" outlineLevel="0" collapsed="false">
      <c r="A41" s="5" t="s">
        <v>280</v>
      </c>
      <c r="B41" s="5" t="s">
        <v>281</v>
      </c>
    </row>
    <row r="42" customFormat="false" ht="15" hidden="false" customHeight="false" outlineLevel="0" collapsed="false">
      <c r="A42" s="5" t="s">
        <v>282</v>
      </c>
      <c r="B42" s="5" t="s">
        <v>283</v>
      </c>
    </row>
    <row r="45" customFormat="false" ht="15" hidden="false" customHeight="false" outlineLevel="0" collapsed="false">
      <c r="A45" s="2" t="s">
        <v>284</v>
      </c>
      <c r="B45" s="11" t="n">
        <f aca="false">COUNTA(A4:A11)</f>
        <v>8</v>
      </c>
      <c r="C45" s="10" t="s">
        <v>285</v>
      </c>
    </row>
    <row r="46" customFormat="false" ht="15" hidden="false" customHeight="false" outlineLevel="0" collapsed="false">
      <c r="A46" s="2" t="s">
        <v>286</v>
      </c>
      <c r="B46" s="11" t="n">
        <f aca="false">SUMPRODUCT(1/COUNTIF(A14:B27,A14:B27))</f>
        <v>7</v>
      </c>
      <c r="C46" s="10" t="s">
        <v>287</v>
      </c>
    </row>
    <row r="47" customFormat="false" ht="15" hidden="false" customHeight="false" outlineLevel="0" collapsed="false">
      <c r="A47" s="2" t="s">
        <v>288</v>
      </c>
      <c r="B47" s="11" t="n">
        <f aca="false">COUNTA(A14:A27)</f>
        <v>14</v>
      </c>
      <c r="C47" s="10" t="s">
        <v>289</v>
      </c>
    </row>
    <row r="48" customFormat="false" ht="15" hidden="false" customHeight="false" outlineLevel="0" collapsed="false">
      <c r="A48" s="2" t="s">
        <v>290</v>
      </c>
      <c r="B48" s="11" t="n">
        <f aca="false">SUM(D14:D27)/2</f>
        <v>4</v>
      </c>
      <c r="C48" s="10" t="s">
        <v>291</v>
      </c>
    </row>
    <row r="49" customFormat="false" ht="15" hidden="false" customHeight="false" outlineLevel="0" collapsed="false">
      <c r="A49" s="2" t="s">
        <v>292</v>
      </c>
      <c r="B49" s="11" t="n">
        <f aca="false">COUNTA(A30:A34)</f>
        <v>5</v>
      </c>
      <c r="C49" s="10" t="s">
        <v>293</v>
      </c>
    </row>
    <row r="50" customFormat="false" ht="15" hidden="false" customHeight="false" outlineLevel="0" collapsed="false">
      <c r="A50" s="2" t="s">
        <v>294</v>
      </c>
      <c r="B50" s="11" t="n">
        <f aca="false">COUNTA(B37:B42)</f>
        <v>6</v>
      </c>
      <c r="C50" s="10" t="s">
        <v>295</v>
      </c>
    </row>
    <row r="52" customFormat="false" ht="15" hidden="false" customHeight="false" outlineLevel="0" collapsed="false">
      <c r="A52" s="2" t="s">
        <v>296</v>
      </c>
      <c r="B52" s="20" t="n">
        <f aca="false">Quantiles!B96</f>
        <v>19</v>
      </c>
      <c r="C52" s="10" t="s">
        <v>297</v>
      </c>
    </row>
    <row r="53" customFormat="false" ht="15" hidden="false" customHeight="false" outlineLevel="0" collapsed="false">
      <c r="A53" s="2" t="s">
        <v>298</v>
      </c>
      <c r="B53" s="24" t="n">
        <f aca="false">Quantiles!B4</f>
        <v>0.03003</v>
      </c>
      <c r="C53" s="10" t="s">
        <v>299</v>
      </c>
    </row>
    <row r="54" customFormat="false" ht="15" hidden="false" customHeight="false" outlineLevel="0" collapsed="false">
      <c r="A54" s="2" t="s">
        <v>300</v>
      </c>
      <c r="B54" s="20" t="n">
        <f aca="false">Quantiles!B97</f>
        <v>14.668098117088</v>
      </c>
      <c r="C54" s="10" t="s">
        <v>301</v>
      </c>
    </row>
    <row r="55" customFormat="false" ht="15" hidden="false" customHeight="false" outlineLevel="0" collapsed="false">
      <c r="A55" s="2" t="s">
        <v>302</v>
      </c>
      <c r="B55" s="20" t="n">
        <f aca="false">Quantiles!B98</f>
        <v>4.33190188291202</v>
      </c>
      <c r="C55" s="10" t="s">
        <v>303</v>
      </c>
    </row>
    <row r="57" customFormat="false" ht="15" hidden="false" customHeight="false" outlineLevel="0" collapsed="false">
      <c r="A57" s="2" t="s">
        <v>304</v>
      </c>
      <c r="B57" s="2" t="str">
        <f aca="false">Scorecard!B36</f>
        <v>Restructuring</v>
      </c>
      <c r="C57" s="10" t="s">
        <v>305</v>
      </c>
    </row>
    <row r="58" customFormat="false" ht="15" hidden="false" customHeight="false" outlineLevel="0" collapsed="false">
      <c r="A58" s="2" t="s">
        <v>306</v>
      </c>
      <c r="B58" s="2" t="str">
        <f aca="false">Scorecard!B37</f>
        <v>Digital</v>
      </c>
      <c r="C58" s="10" t="s">
        <v>307</v>
      </c>
    </row>
    <row r="59" customFormat="false" ht="15" hidden="false" customHeight="false" outlineLevel="0" collapsed="false">
      <c r="A59" s="2" t="s">
        <v>308</v>
      </c>
      <c r="B59" s="2" t="str">
        <f aca="false">IF(B57&lt;&gt;B58,"yes: the board must declare it","no")</f>
        <v>yes: the board must declare it</v>
      </c>
      <c r="C59" s="10" t="s">
        <v>309</v>
      </c>
    </row>
    <row r="61" customFormat="false" ht="15" hidden="false" customHeight="false" outlineLevel="0" collapsed="false">
      <c r="A61" s="2" t="s">
        <v>310</v>
      </c>
      <c r="B61" s="2" t="s">
        <v>311</v>
      </c>
    </row>
    <row r="62" customFormat="false" ht="15" hidden="false" customHeight="false" outlineLevel="0" collapsed="false">
      <c r="A62" s="2" t="s">
        <v>312</v>
      </c>
      <c r="B62" s="2" t="str">
        <f aca="false">IF(AND(Fee&gt;0,Vq&gt;0),"pass","fail")</f>
        <v>pass</v>
      </c>
      <c r="C62" s="10" t="s">
        <v>313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13" min="2" style="0" width="12"/>
  </cols>
  <sheetData>
    <row r="1" customFormat="false" ht="15" hidden="false" customHeight="false" outlineLevel="0" collapsed="false">
      <c r="A1" s="1" t="s">
        <v>314</v>
      </c>
    </row>
    <row r="2" customFormat="false" ht="15" hidden="false" customHeight="false" outlineLevel="0" collapsed="false">
      <c r="A2" s="10" t="s">
        <v>315</v>
      </c>
    </row>
    <row r="3" customFormat="false" ht="15" hidden="false" customHeight="false" outlineLevel="0" collapsed="false">
      <c r="A3" s="2" t="s">
        <v>316</v>
      </c>
      <c r="B3" s="25" t="n">
        <v>3003</v>
      </c>
      <c r="E3" s="26" t="s">
        <v>317</v>
      </c>
      <c r="H3" s="25" t="n">
        <v>5000</v>
      </c>
      <c r="K3" s="25" t="n">
        <v>5500</v>
      </c>
    </row>
    <row r="4" customFormat="false" ht="15" hidden="false" customHeight="false" outlineLevel="0" collapsed="false">
      <c r="A4" s="2" t="s">
        <v>61</v>
      </c>
      <c r="B4" s="27" t="n">
        <v>0.03003</v>
      </c>
      <c r="E4" s="28" t="n">
        <v>0.045</v>
      </c>
      <c r="H4" s="28" t="n">
        <v>0.05</v>
      </c>
      <c r="K4" s="28" t="n">
        <v>0.055</v>
      </c>
    </row>
    <row r="5" customFormat="false" ht="23.85" hidden="false" customHeight="false" outlineLevel="0" collapsed="false">
      <c r="A5" s="8" t="s">
        <v>318</v>
      </c>
      <c r="B5" s="8" t="s">
        <v>319</v>
      </c>
      <c r="C5" s="8" t="s">
        <v>320</v>
      </c>
      <c r="D5" s="8" t="s">
        <v>321</v>
      </c>
      <c r="E5" s="8" t="s">
        <v>319</v>
      </c>
      <c r="F5" s="8" t="s">
        <v>320</v>
      </c>
      <c r="G5" s="8" t="s">
        <v>321</v>
      </c>
      <c r="H5" s="8" t="s">
        <v>319</v>
      </c>
      <c r="I5" s="8" t="s">
        <v>320</v>
      </c>
      <c r="J5" s="8" t="s">
        <v>321</v>
      </c>
      <c r="K5" s="8" t="s">
        <v>319</v>
      </c>
      <c r="L5" s="8" t="s">
        <v>320</v>
      </c>
      <c r="M5" s="8" t="s">
        <v>321</v>
      </c>
    </row>
    <row r="6" customFormat="false" ht="15" hidden="false" customHeight="false" outlineLevel="0" collapsed="false">
      <c r="A6" s="11" t="n">
        <v>0</v>
      </c>
      <c r="B6" s="29" t="n">
        <v>1.54744259635429</v>
      </c>
      <c r="C6" s="23" t="n">
        <f aca="false">IF(B6&lt;0,"",(Depth0-MIN(Depth0,B6))/Depth_per_q)</f>
        <v>6.61313935091143</v>
      </c>
      <c r="D6" s="23" t="n">
        <f aca="false">IF(C6="","",Fee*$A6+Vq*C6)</f>
        <v>52.9051148072914</v>
      </c>
      <c r="E6" s="29" t="n">
        <v>6.38521142345158</v>
      </c>
      <c r="F6" s="23" t="n">
        <f aca="false">IF(E6&lt;0,"",(Depth0-MIN(Depth0,E6))/Depth_per_q)</f>
        <v>5.40369714413711</v>
      </c>
      <c r="G6" s="23" t="n">
        <f aca="false">IF(F6="","",Fee*$A6+Vq*F6)</f>
        <v>43.2295771530968</v>
      </c>
      <c r="H6" s="29" t="n">
        <v>7.62130731025693</v>
      </c>
      <c r="I6" s="23" t="n">
        <f aca="false">IF(H6&lt;0,"",(Depth0-MIN(Depth0,H6))/Depth_per_q)</f>
        <v>5.09467317243577</v>
      </c>
      <c r="J6" s="23" t="n">
        <f aca="false">IF(I6="","",Fee*$A6+Vq*I6)</f>
        <v>40.7573853794861</v>
      </c>
      <c r="K6" s="29" t="n">
        <v>8.80907942654911</v>
      </c>
      <c r="L6" s="23" t="n">
        <f aca="false">IF(K6&lt;0,"",(Depth0-MIN(Depth0,K6))/Depth_per_q)</f>
        <v>4.79773014336272</v>
      </c>
      <c r="M6" s="23" t="n">
        <f aca="false">IF(L6="","",Fee*$A6+Vq*L6)</f>
        <v>38.3818411469018</v>
      </c>
    </row>
    <row r="7" customFormat="false" ht="15" hidden="false" customHeight="false" outlineLevel="0" collapsed="false">
      <c r="A7" s="11" t="n">
        <v>5</v>
      </c>
      <c r="B7" s="29" t="n">
        <v>2.6936104824294</v>
      </c>
      <c r="C7" s="23" t="n">
        <f aca="false">IF(B7&lt;0,"",(Depth0-MIN(Depth0,B7))/Depth_per_q)</f>
        <v>6.32659737939265</v>
      </c>
      <c r="D7" s="23" t="n">
        <f aca="false">IF(C7="","",Fee*$A7+Vq*C7)</f>
        <v>50.7627790351412</v>
      </c>
      <c r="E7" s="29" t="n">
        <v>7.42692804900246</v>
      </c>
      <c r="F7" s="23" t="n">
        <f aca="false">IF(E7&lt;0,"",(Depth0-MIN(Depth0,E7))/Depth_per_q)</f>
        <v>5.14326798774939</v>
      </c>
      <c r="G7" s="23" t="n">
        <f aca="false">IF(F7="","",Fee*$A7+Vq*F7)</f>
        <v>41.2961439019951</v>
      </c>
      <c r="H7" s="29" t="n">
        <v>8.67732202882469</v>
      </c>
      <c r="I7" s="23" t="n">
        <f aca="false">IF(H7&lt;0,"",(Depth0-MIN(Depth0,H7))/Depth_per_q)</f>
        <v>4.83066949279383</v>
      </c>
      <c r="J7" s="23" t="n">
        <f aca="false">IF(I7="","",Fee*$A7+Vq*I7)</f>
        <v>38.7953559423506</v>
      </c>
      <c r="K7" s="29" t="n">
        <v>9.82332423302168</v>
      </c>
      <c r="L7" s="23" t="n">
        <f aca="false">IF(K7&lt;0,"",(Depth0-MIN(Depth0,K7))/Depth_per_q)</f>
        <v>4.54416894174458</v>
      </c>
      <c r="M7" s="23" t="n">
        <f aca="false">IF(L7="","",Fee*$A7+Vq*L7)</f>
        <v>36.5033515339566</v>
      </c>
    </row>
    <row r="8" customFormat="false" ht="15" hidden="false" customHeight="false" outlineLevel="0" collapsed="false">
      <c r="A8" s="11" t="n">
        <v>10</v>
      </c>
      <c r="B8" s="29" t="n">
        <v>3.82816181967364</v>
      </c>
      <c r="C8" s="23" t="n">
        <f aca="false">IF(B8&lt;0,"",(Depth0-MIN(Depth0,B8))/Depth_per_q)</f>
        <v>6.04295954508159</v>
      </c>
      <c r="D8" s="23" t="n">
        <f aca="false">IF(C8="","",Fee*$A8+Vq*C8)</f>
        <v>48.6436763606527</v>
      </c>
      <c r="E8" s="29" t="n">
        <v>8.49107365311651</v>
      </c>
      <c r="F8" s="23" t="n">
        <f aca="false">IF(E8&lt;0,"",(Depth0-MIN(Depth0,E8))/Depth_per_q)</f>
        <v>4.87723158672087</v>
      </c>
      <c r="G8" s="23" t="n">
        <f aca="false">IF(F8="","",Fee*$A8+Vq*F8)</f>
        <v>39.317852693767</v>
      </c>
      <c r="H8" s="29" t="n">
        <v>9.68076383804923</v>
      </c>
      <c r="I8" s="23" t="n">
        <f aca="false">IF(H8&lt;0,"",(Depth0-MIN(Depth0,H8))/Depth_per_q)</f>
        <v>4.57980904048769</v>
      </c>
      <c r="J8" s="23" t="n">
        <f aca="false">IF(I8="","",Fee*$A8+Vq*I8)</f>
        <v>36.9384723239015</v>
      </c>
      <c r="K8" s="29" t="n">
        <v>10.8130419183763</v>
      </c>
      <c r="L8" s="23" t="n">
        <f aca="false">IF(K8&lt;0,"",(Depth0-MIN(Depth0,K8))/Depth_per_q)</f>
        <v>4.29673952040592</v>
      </c>
      <c r="M8" s="23" t="n">
        <f aca="false">IF(L8="","",Fee*$A8+Vq*L8)</f>
        <v>34.6739161632474</v>
      </c>
    </row>
    <row r="9" customFormat="false" ht="15" hidden="false" customHeight="false" outlineLevel="0" collapsed="false">
      <c r="A9" s="11" t="n">
        <v>15</v>
      </c>
      <c r="B9" s="29" t="n">
        <v>5.00431782837934</v>
      </c>
      <c r="C9" s="23" t="n">
        <f aca="false">IF(B9&lt;0,"",(Depth0-MIN(Depth0,B9))/Depth_per_q)</f>
        <v>5.74892054290517</v>
      </c>
      <c r="D9" s="23" t="n">
        <f aca="false">IF(C9="","",Fee*$A9+Vq*C9)</f>
        <v>46.4413643432413</v>
      </c>
      <c r="E9" s="29" t="n">
        <v>9.508973543436</v>
      </c>
      <c r="F9" s="23" t="n">
        <f aca="false">IF(E9&lt;0,"",(Depth0-MIN(Depth0,E9))/Depth_per_q)</f>
        <v>4.622756614141</v>
      </c>
      <c r="G9" s="23" t="n">
        <f aca="false">IF(F9="","",Fee*$A9+Vq*F9)</f>
        <v>37.432052913128</v>
      </c>
      <c r="H9" s="29" t="n">
        <v>10.6853967080714</v>
      </c>
      <c r="I9" s="23" t="n">
        <f aca="false">IF(H9&lt;0,"",(Depth0-MIN(Depth0,H9))/Depth_per_q)</f>
        <v>4.32865082298215</v>
      </c>
      <c r="J9" s="23" t="n">
        <f aca="false">IF(I9="","",Fee*$A9+Vq*I9)</f>
        <v>35.0792065838572</v>
      </c>
      <c r="K9" s="29" t="n">
        <v>11.7643702237624</v>
      </c>
      <c r="L9" s="23" t="n">
        <f aca="false">IF(K9&lt;0,"",(Depth0-MIN(Depth0,K9))/Depth_per_q)</f>
        <v>4.05890744405939</v>
      </c>
      <c r="M9" s="23" t="n">
        <f aca="false">IF(L9="","",Fee*$A9+Vq*L9)</f>
        <v>32.9212595524751</v>
      </c>
    </row>
    <row r="10" customFormat="false" ht="15" hidden="false" customHeight="false" outlineLevel="0" collapsed="false">
      <c r="A10" s="11" t="n">
        <v>20</v>
      </c>
      <c r="B10" s="29" t="n">
        <v>6.11163619962486</v>
      </c>
      <c r="C10" s="23" t="n">
        <f aca="false">IF(B10&lt;0,"",(Depth0-MIN(Depth0,B10))/Depth_per_q)</f>
        <v>5.47209095009379</v>
      </c>
      <c r="D10" s="23" t="n">
        <f aca="false">IF(C10="","",Fee*$A10+Vq*C10)</f>
        <v>44.3767276007503</v>
      </c>
      <c r="E10" s="29" t="n">
        <v>10.5416983509815</v>
      </c>
      <c r="F10" s="23" t="n">
        <f aca="false">IF(E10&lt;0,"",(Depth0-MIN(Depth0,E10))/Depth_per_q)</f>
        <v>4.36457541225464</v>
      </c>
      <c r="G10" s="23" t="n">
        <f aca="false">IF(F10="","",Fee*$A10+Vq*F10)</f>
        <v>35.5166032980371</v>
      </c>
      <c r="H10" s="29" t="n">
        <v>11.725286468124</v>
      </c>
      <c r="I10" s="23" t="n">
        <f aca="false">IF(H10&lt;0,"",(Depth0-MIN(Depth0,H10))/Depth_per_q)</f>
        <v>4.068678382969</v>
      </c>
      <c r="J10" s="23" t="n">
        <f aca="false">IF(I10="","",Fee*$A10+Vq*I10)</f>
        <v>33.149427063752</v>
      </c>
      <c r="K10" s="29" t="n">
        <v>12.7527335089619</v>
      </c>
      <c r="L10" s="23" t="n">
        <f aca="false">IF(K10&lt;0,"",(Depth0-MIN(Depth0,K10))/Depth_per_q)</f>
        <v>3.81181662275953</v>
      </c>
      <c r="M10" s="23" t="n">
        <f aca="false">IF(L10="","",Fee*$A10+Vq*L10)</f>
        <v>31.0945329820762</v>
      </c>
    </row>
    <row r="11" customFormat="false" ht="15" hidden="false" customHeight="false" outlineLevel="0" collapsed="false">
      <c r="A11" s="11" t="n">
        <v>25</v>
      </c>
      <c r="B11" s="29" t="n">
        <v>7.28067582770618</v>
      </c>
      <c r="C11" s="23" t="n">
        <f aca="false">IF(B11&lt;0,"",(Depth0-MIN(Depth0,B11))/Depth_per_q)</f>
        <v>5.17983104307346</v>
      </c>
      <c r="D11" s="23" t="n">
        <f aca="false">IF(C11="","",Fee*$A11+Vq*C11)</f>
        <v>42.1886483445876</v>
      </c>
      <c r="E11" s="29" t="n">
        <v>11.5460966072102</v>
      </c>
      <c r="F11" s="23" t="n">
        <f aca="false">IF(E11&lt;0,"",(Depth0-MIN(Depth0,E11))/Depth_per_q)</f>
        <v>4.11347584819744</v>
      </c>
      <c r="G11" s="23" t="n">
        <f aca="false">IF(F11="","",Fee*$A11+Vq*F11)</f>
        <v>33.6578067855795</v>
      </c>
      <c r="H11" s="29" t="n">
        <v>12.7320402080991</v>
      </c>
      <c r="I11" s="23" t="n">
        <f aca="false">IF(H11&lt;0,"",(Depth0-MIN(Depth0,H11))/Depth_per_q)</f>
        <v>3.81698994797524</v>
      </c>
      <c r="J11" s="23" t="n">
        <f aca="false">IF(I11="","",Fee*$A11+Vq*I11)</f>
        <v>31.2859195838019</v>
      </c>
      <c r="K11" s="29" t="n">
        <v>13.714836546024</v>
      </c>
      <c r="L11" s="23" t="n">
        <f aca="false">IF(K11&lt;0,"",(Depth0-MIN(Depth0,K11))/Depth_per_q)</f>
        <v>3.57129086349401</v>
      </c>
      <c r="M11" s="23" t="n">
        <f aca="false">IF(L11="","",Fee*$A11+Vq*L11)</f>
        <v>29.3203269079521</v>
      </c>
    </row>
    <row r="12" customFormat="false" ht="15" hidden="false" customHeight="false" outlineLevel="0" collapsed="false">
      <c r="A12" s="11" t="n">
        <v>30</v>
      </c>
      <c r="B12" s="29" t="n">
        <v>8.37687942506711</v>
      </c>
      <c r="C12" s="23" t="n">
        <f aca="false">IF(B12&lt;0,"",(Depth0-MIN(Depth0,B12))/Depth_per_q)</f>
        <v>4.90578014373322</v>
      </c>
      <c r="D12" s="23" t="n">
        <f aca="false">IF(C12="","",Fee*$A12+Vq*C12)</f>
        <v>40.1462411498658</v>
      </c>
      <c r="E12" s="29" t="n">
        <v>12.5384991192995</v>
      </c>
      <c r="F12" s="23" t="n">
        <f aca="false">IF(E12&lt;0,"",(Depth0-MIN(Depth0,E12))/Depth_per_q)</f>
        <v>3.86537522017512</v>
      </c>
      <c r="G12" s="23" t="n">
        <f aca="false">IF(F12="","",Fee*$A12+Vq*F12)</f>
        <v>31.8230017614009</v>
      </c>
      <c r="H12" s="29" t="n">
        <v>13.6849653545175</v>
      </c>
      <c r="I12" s="23" t="n">
        <f aca="false">IF(H12&lt;0,"",(Depth0-MIN(Depth0,H12))/Depth_per_q)</f>
        <v>3.57875866137062</v>
      </c>
      <c r="J12" s="23" t="n">
        <f aca="false">IF(I12="","",Fee*$A12+Vq*I12)</f>
        <v>29.530069290965</v>
      </c>
      <c r="K12" s="29" t="n">
        <v>14.6823505345671</v>
      </c>
      <c r="L12" s="23" t="n">
        <f aca="false">IF(K12&lt;0,"",(Depth0-MIN(Depth0,K12))/Depth_per_q)</f>
        <v>3.32941236635823</v>
      </c>
      <c r="M12" s="23" t="n">
        <f aca="false">IF(L12="","",Fee*$A12+Vq*L12)</f>
        <v>27.5352989308658</v>
      </c>
    </row>
    <row r="13" customFormat="false" ht="15" hidden="false" customHeight="false" outlineLevel="0" collapsed="false">
      <c r="A13" s="11" t="n">
        <v>35</v>
      </c>
      <c r="B13" s="29" t="n">
        <v>9.55428540880002</v>
      </c>
      <c r="C13" s="23" t="n">
        <f aca="false">IF(B13&lt;0,"",(Depth0-MIN(Depth0,B13))/Depth_per_q)</f>
        <v>4.6114286478</v>
      </c>
      <c r="D13" s="23" t="n">
        <f aca="false">IF(C13="","",Fee*$A13+Vq*C13)</f>
        <v>37.9414291824</v>
      </c>
      <c r="E13" s="29" t="n">
        <v>13.5341245656616</v>
      </c>
      <c r="F13" s="23" t="n">
        <f aca="false">IF(E13&lt;0,"",(Depth0-MIN(Depth0,E13))/Depth_per_q)</f>
        <v>3.61646885858459</v>
      </c>
      <c r="G13" s="23" t="n">
        <f aca="false">IF(F13="","",Fee*$A13+Vq*F13)</f>
        <v>29.9817508686767</v>
      </c>
      <c r="H13" s="29" t="n">
        <v>14.6118495256504</v>
      </c>
      <c r="I13" s="23" t="n">
        <f aca="false">IF(H13&lt;0,"",(Depth0-MIN(Depth0,H13))/Depth_per_q)</f>
        <v>3.34703761858741</v>
      </c>
      <c r="J13" s="23" t="n">
        <f aca="false">IF(I13="","",Fee*$A13+Vq*I13)</f>
        <v>27.8263009486993</v>
      </c>
      <c r="K13" s="29" t="n">
        <v>15.5985366039915</v>
      </c>
      <c r="L13" s="23" t="n">
        <f aca="false">IF(K13&lt;0,"",(Depth0-MIN(Depth0,K13))/Depth_per_q)</f>
        <v>3.10036584900212</v>
      </c>
      <c r="M13" s="23" t="n">
        <f aca="false">IF(L13="","",Fee*$A13+Vq*L13)</f>
        <v>25.852926792017</v>
      </c>
    </row>
    <row r="14" customFormat="false" ht="15" hidden="false" customHeight="false" outlineLevel="0" collapsed="false">
      <c r="A14" s="11" t="n">
        <v>40</v>
      </c>
      <c r="B14" s="29" t="n">
        <v>10.6207553104509</v>
      </c>
      <c r="C14" s="23" t="n">
        <f aca="false">IF(B14&lt;0,"",(Depth0-MIN(Depth0,B14))/Depth_per_q)</f>
        <v>4.34481117238727</v>
      </c>
      <c r="D14" s="23" t="n">
        <f aca="false">IF(C14="","",Fee*$A14+Vq*C14)</f>
        <v>35.9584893790982</v>
      </c>
      <c r="E14" s="29" t="n">
        <v>14.459523893759</v>
      </c>
      <c r="F14" s="23" t="n">
        <f aca="false">IF(E14&lt;0,"",(Depth0-MIN(Depth0,E14))/Depth_per_q)</f>
        <v>3.38511902656024</v>
      </c>
      <c r="G14" s="23" t="n">
        <f aca="false">IF(F14="","",Fee*$A14+Vq*F14)</f>
        <v>28.2809522124819</v>
      </c>
      <c r="H14" s="29" t="n">
        <v>15.5735807946985</v>
      </c>
      <c r="I14" s="23" t="n">
        <f aca="false">IF(H14&lt;0,"",(Depth0-MIN(Depth0,H14))/Depth_per_q)</f>
        <v>3.10660480132538</v>
      </c>
      <c r="J14" s="23" t="n">
        <f aca="false">IF(I14="","",Fee*$A14+Vq*I14)</f>
        <v>26.052838410603</v>
      </c>
      <c r="K14" s="29" t="n">
        <v>16.4293564591727</v>
      </c>
      <c r="L14" s="23" t="n">
        <f aca="false">IF(K14&lt;0,"",(Depth0-MIN(Depth0,K14))/Depth_per_q)</f>
        <v>2.89266088520684</v>
      </c>
      <c r="M14" s="23" t="n">
        <f aca="false">IF(L14="","",Fee*$A14+Vq*L14)</f>
        <v>24.3412870816547</v>
      </c>
    </row>
    <row r="15" customFormat="false" ht="15" hidden="false" customHeight="false" outlineLevel="0" collapsed="false">
      <c r="A15" s="11" t="n">
        <v>45</v>
      </c>
      <c r="B15" s="29" t="n">
        <v>11.625358465938</v>
      </c>
      <c r="C15" s="23" t="n">
        <f aca="false">IF(B15&lt;0,"",(Depth0-MIN(Depth0,B15))/Depth_per_q)</f>
        <v>4.0936603835155</v>
      </c>
      <c r="D15" s="23" t="n">
        <f aca="false">IF(C15="","",Fee*$A15+Vq*C15)</f>
        <v>34.099283068124</v>
      </c>
      <c r="E15" s="29" t="n">
        <v>15.3356458907807</v>
      </c>
      <c r="F15" s="23" t="n">
        <f aca="false">IF(E15&lt;0,"",(Depth0-MIN(Depth0,E15))/Depth_per_q)</f>
        <v>3.16608852730483</v>
      </c>
      <c r="G15" s="23" t="n">
        <f aca="false">IF(F15="","",Fee*$A15+Vq*F15)</f>
        <v>26.6787082184386</v>
      </c>
      <c r="H15" s="29" t="n">
        <v>16.389965046503</v>
      </c>
      <c r="I15" s="23" t="n">
        <f aca="false">IF(H15&lt;0,"",(Depth0-MIN(Depth0,H15))/Depth_per_q)</f>
        <v>2.90250873837426</v>
      </c>
      <c r="J15" s="23" t="n">
        <f aca="false">IF(I15="","",Fee*$A15+Vq*I15)</f>
        <v>24.5700699069941</v>
      </c>
      <c r="K15" s="29" t="n">
        <v>17.2533411435754</v>
      </c>
      <c r="L15" s="23" t="n">
        <f aca="false">IF(K15&lt;0,"",(Depth0-MIN(Depth0,K15))/Depth_per_q)</f>
        <v>2.68666471410614</v>
      </c>
      <c r="M15" s="23" t="n">
        <f aca="false">IF(L15="","",Fee*$A15+Vq*L15)</f>
        <v>22.8433177128491</v>
      </c>
    </row>
    <row r="16" customFormat="false" ht="15" hidden="false" customHeight="false" outlineLevel="0" collapsed="false">
      <c r="A16" s="11" t="n">
        <v>50</v>
      </c>
      <c r="B16" s="29" t="n">
        <v>12.6653934930088</v>
      </c>
      <c r="C16" s="23" t="n">
        <f aca="false">IF(B16&lt;0,"",(Depth0-MIN(Depth0,B16))/Depth_per_q)</f>
        <v>3.83365162674781</v>
      </c>
      <c r="D16" s="23" t="n">
        <f aca="false">IF(C16="","",Fee*$A16+Vq*C16)</f>
        <v>32.1692130139824</v>
      </c>
      <c r="E16" s="29" t="n">
        <v>16.2225451245191</v>
      </c>
      <c r="F16" s="23" t="n">
        <f aca="false">IF(E16&lt;0,"",(Depth0-MIN(Depth0,E16))/Depth_per_q)</f>
        <v>2.94436371887023</v>
      </c>
      <c r="G16" s="23" t="n">
        <f aca="false">IF(F16="","",Fee*$A16+Vq*F16)</f>
        <v>25.0549097509619</v>
      </c>
      <c r="H16" s="29" t="n">
        <v>17.1960952685893</v>
      </c>
      <c r="I16" s="23" t="n">
        <f aca="false">IF(H16&lt;0,"",(Depth0-MIN(Depth0,H16))/Depth_per_q)</f>
        <v>2.70097618285268</v>
      </c>
      <c r="J16" s="23" t="n">
        <f aca="false">IF(I16="","",Fee*$A16+Vq*I16)</f>
        <v>23.1078094628214</v>
      </c>
      <c r="K16" s="29" t="n">
        <v>18.0010740446268</v>
      </c>
      <c r="L16" s="23" t="n">
        <f aca="false">IF(K16&lt;0,"",(Depth0-MIN(Depth0,K16))/Depth_per_q)</f>
        <v>2.49973148884331</v>
      </c>
      <c r="M16" s="23" t="n">
        <f aca="false">IF(L16="","",Fee*$A16+Vq*L16)</f>
        <v>21.4978519107465</v>
      </c>
    </row>
    <row r="17" customFormat="false" ht="15" hidden="false" customHeight="false" outlineLevel="0" collapsed="false">
      <c r="A17" s="11" t="n">
        <v>55</v>
      </c>
      <c r="B17" s="29" t="n">
        <v>13.6492989100309</v>
      </c>
      <c r="C17" s="23" t="n">
        <f aca="false">IF(B17&lt;0,"",(Depth0-MIN(Depth0,B17))/Depth_per_q)</f>
        <v>3.58767527249228</v>
      </c>
      <c r="D17" s="23" t="n">
        <f aca="false">IF(C17="","",Fee*$A17+Vq*C17)</f>
        <v>30.3514021799382</v>
      </c>
      <c r="E17" s="29" t="n">
        <v>17.0560243261132</v>
      </c>
      <c r="F17" s="23" t="n">
        <f aca="false">IF(E17&lt;0,"",(Depth0-MIN(Depth0,E17))/Depth_per_q)</f>
        <v>2.73599391847169</v>
      </c>
      <c r="G17" s="23" t="n">
        <f aca="false">IF(F17="","",Fee*$A17+Vq*F17)</f>
        <v>23.5379513477735</v>
      </c>
      <c r="H17" s="29" t="n">
        <v>17.9515150694599</v>
      </c>
      <c r="I17" s="23" t="n">
        <f aca="false">IF(H17&lt;0,"",(Depth0-MIN(Depth0,H17))/Depth_per_q)</f>
        <v>2.51212123263502</v>
      </c>
      <c r="J17" s="23" t="n">
        <f aca="false">IF(I17="","",Fee*$A17+Vq*I17)</f>
        <v>21.7469698610801</v>
      </c>
      <c r="K17" s="29" t="n">
        <v>18.7051281503641</v>
      </c>
      <c r="L17" s="23" t="n">
        <f aca="false">IF(K17&lt;0,"",(Depth0-MIN(Depth0,K17))/Depth_per_q)</f>
        <v>2.32371796240898</v>
      </c>
      <c r="M17" s="23" t="n">
        <f aca="false">IF(L17="","",Fee*$A17+Vq*L17)</f>
        <v>20.2397436992718</v>
      </c>
    </row>
    <row r="18" customFormat="false" ht="15" hidden="false" customHeight="false" outlineLevel="0" collapsed="false">
      <c r="A18" s="11" t="n">
        <v>60</v>
      </c>
      <c r="B18" s="29" t="n">
        <v>14.5919764555931</v>
      </c>
      <c r="C18" s="23" t="n">
        <f aca="false">IF(B18&lt;0,"",(Depth0-MIN(Depth0,B18))/Depth_per_q)</f>
        <v>3.35200588610173</v>
      </c>
      <c r="D18" s="23" t="n">
        <f aca="false">IF(C18="","",Fee*$A18+Vq*C18)</f>
        <v>28.6160470888138</v>
      </c>
      <c r="E18" s="29" t="n">
        <v>17.831176495835</v>
      </c>
      <c r="F18" s="23" t="n">
        <f aca="false">IF(E18&lt;0,"",(Depth0-MIN(Depth0,E18))/Depth_per_q)</f>
        <v>2.54220587604125</v>
      </c>
      <c r="G18" s="23" t="n">
        <f aca="false">IF(F18="","",Fee*$A18+Vq*F18)</f>
        <v>22.13764700833</v>
      </c>
      <c r="H18" s="29" t="n">
        <v>18.6786555283444</v>
      </c>
      <c r="I18" s="23" t="n">
        <f aca="false">IF(H18&lt;0,"",(Depth0-MIN(Depth0,H18))/Depth_per_q)</f>
        <v>2.33033611791391</v>
      </c>
      <c r="J18" s="23" t="n">
        <f aca="false">IF(I18="","",Fee*$A18+Vq*I18)</f>
        <v>20.4426889433113</v>
      </c>
      <c r="K18" s="29" t="n">
        <v>19.444402404174</v>
      </c>
      <c r="L18" s="23" t="n">
        <f aca="false">IF(K18&lt;0,"",(Depth0-MIN(Depth0,K18))/Depth_per_q)</f>
        <v>2.13889939895649</v>
      </c>
      <c r="M18" s="23" t="n">
        <f aca="false">IF(L18="","",Fee*$A18+Vq*L18)</f>
        <v>18.9111951916519</v>
      </c>
    </row>
    <row r="19" customFormat="false" ht="15" hidden="false" customHeight="false" outlineLevel="0" collapsed="false">
      <c r="A19" s="11" t="n">
        <v>65</v>
      </c>
      <c r="B19" s="29" t="n">
        <v>15.4654590132664</v>
      </c>
      <c r="C19" s="23" t="n">
        <f aca="false">IF(B19&lt;0,"",(Depth0-MIN(Depth0,B19))/Depth_per_q)</f>
        <v>3.1336352466834</v>
      </c>
      <c r="D19" s="23" t="n">
        <f aca="false">IF(C19="","",Fee*$A19+Vq*C19)</f>
        <v>27.0190819734672</v>
      </c>
      <c r="E19" s="29" t="n">
        <v>18.5169426465996</v>
      </c>
      <c r="F19" s="23" t="n">
        <f aca="false">IF(E19&lt;0,"",(Depth0-MIN(Depth0,E19))/Depth_per_q)</f>
        <v>2.3707643383501</v>
      </c>
      <c r="G19" s="23" t="n">
        <f aca="false">IF(F19="","",Fee*$A19+Vq*F19)</f>
        <v>20.9161147068008</v>
      </c>
      <c r="H19" s="29" t="n">
        <v>19.3856123459285</v>
      </c>
      <c r="I19" s="23" t="n">
        <f aca="false">IF(H19&lt;0,"",(Depth0-MIN(Depth0,H19))/Depth_per_q)</f>
        <v>2.15359691351788</v>
      </c>
      <c r="J19" s="23" t="n">
        <f aca="false">IF(I19="","",Fee*$A19+Vq*I19)</f>
        <v>19.1787753081431</v>
      </c>
      <c r="K19" s="29" t="n">
        <v>20.1300700322804</v>
      </c>
      <c r="L19" s="23" t="n">
        <f aca="false">IF(K19&lt;0,"",(Depth0-MIN(Depth0,K19))/Depth_per_q)</f>
        <v>1.9674824919299</v>
      </c>
      <c r="M19" s="23" t="n">
        <f aca="false">IF(L19="","",Fee*$A19+Vq*L19)</f>
        <v>17.6898599354392</v>
      </c>
    </row>
    <row r="20" customFormat="false" ht="15" hidden="false" customHeight="false" outlineLevel="0" collapsed="false">
      <c r="A20" s="11" t="n">
        <v>70</v>
      </c>
      <c r="B20" s="29" t="n">
        <v>16.2887681183701</v>
      </c>
      <c r="C20" s="23" t="n">
        <f aca="false">IF(B20&lt;0,"",(Depth0-MIN(Depth0,B20))/Depth_per_q)</f>
        <v>2.92780797040747</v>
      </c>
      <c r="D20" s="23" t="n">
        <f aca="false">IF(C20="","",Fee*$A20+Vq*C20)</f>
        <v>25.5224637632597</v>
      </c>
      <c r="E20" s="29" t="n">
        <v>19.2006408705807</v>
      </c>
      <c r="F20" s="23" t="n">
        <f aca="false">IF(E20&lt;0,"",(Depth0-MIN(Depth0,E20))/Depth_per_q)</f>
        <v>2.19983978235484</v>
      </c>
      <c r="G20" s="23" t="n">
        <f aca="false">IF(F20="","",Fee*$A20+Vq*F20)</f>
        <v>19.6987182588387</v>
      </c>
      <c r="H20" s="29" t="n">
        <v>20.0106960408436</v>
      </c>
      <c r="I20" s="23" t="n">
        <f aca="false">IF(H20&lt;0,"",(Depth0-MIN(Depth0,H20))/Depth_per_q)</f>
        <v>1.99732598978911</v>
      </c>
      <c r="J20" s="23" t="n">
        <f aca="false">IF(I20="","",Fee*$A20+Vq*I20)</f>
        <v>18.0786079183129</v>
      </c>
      <c r="K20" s="29" t="n">
        <v>20.7026949232823</v>
      </c>
      <c r="L20" s="23" t="n">
        <f aca="false">IF(K20&lt;0,"",(Depth0-MIN(Depth0,K20))/Depth_per_q)</f>
        <v>1.82432626917943</v>
      </c>
      <c r="M20" s="23" t="n">
        <f aca="false">IF(L20="","",Fee*$A20+Vq*L20)</f>
        <v>16.6946101534354</v>
      </c>
    </row>
    <row r="21" customFormat="false" ht="15" hidden="false" customHeight="false" outlineLevel="0" collapsed="false">
      <c r="A21" s="11" t="n">
        <v>75</v>
      </c>
      <c r="B21" s="29" t="n">
        <v>17.0341155260475</v>
      </c>
      <c r="C21" s="23" t="n">
        <f aca="false">IF(B21&lt;0,"",(Depth0-MIN(Depth0,B21))/Depth_per_q)</f>
        <v>2.74147111848812</v>
      </c>
      <c r="D21" s="23" t="n">
        <f aca="false">IF(C21="","",Fee*$A21+Vq*C21)</f>
        <v>24.181768947905</v>
      </c>
      <c r="E21" s="29" t="n">
        <v>19.8555087335932</v>
      </c>
      <c r="F21" s="23" t="n">
        <f aca="false">IF(E21&lt;0,"",(Depth0-MIN(Depth0,E21))/Depth_per_q)</f>
        <v>2.0361228166017</v>
      </c>
      <c r="G21" s="23" t="n">
        <f aca="false">IF(F21="","",Fee*$A21+Vq*F21)</f>
        <v>18.5389825328136</v>
      </c>
      <c r="H21" s="29" t="n">
        <v>20.5954969327501</v>
      </c>
      <c r="I21" s="23" t="n">
        <f aca="false">IF(H21&lt;0,"",(Depth0-MIN(Depth0,H21))/Depth_per_q)</f>
        <v>1.85112576681248</v>
      </c>
      <c r="J21" s="23" t="n">
        <f aca="false">IF(I21="","",Fee*$A21+Vq*I21)</f>
        <v>17.0590061344999</v>
      </c>
      <c r="K21" s="29" t="n">
        <v>21.269476422029</v>
      </c>
      <c r="L21" s="23" t="n">
        <f aca="false">IF(K21&lt;0,"",(Depth0-MIN(Depth0,K21))/Depth_per_q)</f>
        <v>1.68263089449274</v>
      </c>
      <c r="M21" s="23" t="n">
        <f aca="false">IF(L21="","",Fee*$A21+Vq*L21)</f>
        <v>15.7110471559419</v>
      </c>
    </row>
    <row r="22" customFormat="false" ht="15" hidden="false" customHeight="false" outlineLevel="0" collapsed="false">
      <c r="A22" s="11" t="n">
        <v>80</v>
      </c>
      <c r="B22" s="29" t="n">
        <v>17.7006672597036</v>
      </c>
      <c r="C22" s="23" t="n">
        <f aca="false">IF(B22&lt;0,"",(Depth0-MIN(Depth0,B22))/Depth_per_q)</f>
        <v>2.5748331850741</v>
      </c>
      <c r="D22" s="23" t="n">
        <f aca="false">IF(C22="","",Fee*$A22+Vq*C22)</f>
        <v>22.9986654805928</v>
      </c>
      <c r="E22" s="29" t="n">
        <v>20.4096591570095</v>
      </c>
      <c r="F22" s="23" t="n">
        <f aca="false">IF(E22&lt;0,"",(Depth0-MIN(Depth0,E22))/Depth_per_q)</f>
        <v>1.89758521074762</v>
      </c>
      <c r="G22" s="23" t="n">
        <f aca="false">IF(F22="","",Fee*$A22+Vq*F22)</f>
        <v>17.580681685981</v>
      </c>
      <c r="H22" s="29" t="n">
        <v>21.1250837776404</v>
      </c>
      <c r="I22" s="23" t="n">
        <f aca="false">IF(H22&lt;0,"",(Depth0-MIN(Depth0,H22))/Depth_per_q)</f>
        <v>1.7187290555899</v>
      </c>
      <c r="J22" s="23" t="n">
        <f aca="false">IF(I22="","",Fee*$A22+Vq*I22)</f>
        <v>16.1498324447192</v>
      </c>
      <c r="K22" s="29" t="n">
        <v>21.7698869012237</v>
      </c>
      <c r="L22" s="23" t="n">
        <f aca="false">IF(K22&lt;0,"",(Depth0-MIN(Depth0,K22))/Depth_per_q)</f>
        <v>1.55752827469407</v>
      </c>
      <c r="M22" s="23" t="n">
        <f aca="false">IF(L22="","",Fee*$A22+Vq*L22)</f>
        <v>14.8602261975525</v>
      </c>
    </row>
    <row r="23" customFormat="false" ht="15" hidden="false" customHeight="false" outlineLevel="0" collapsed="false">
      <c r="A23" s="11" t="n">
        <v>85</v>
      </c>
      <c r="B23" s="29" t="n">
        <v>18.2862741039192</v>
      </c>
      <c r="C23" s="23" t="n">
        <f aca="false">IF(B23&lt;0,"",(Depth0-MIN(Depth0,B23))/Depth_per_q)</f>
        <v>2.4284314740202</v>
      </c>
      <c r="D23" s="23" t="n">
        <f aca="false">IF(C23="","",Fee*$A23+Vq*C23)</f>
        <v>21.9774517921616</v>
      </c>
      <c r="E23" s="29" t="n">
        <v>20.9196063371408</v>
      </c>
      <c r="F23" s="23" t="n">
        <f aca="false">IF(E23&lt;0,"",(Depth0-MIN(Depth0,E23))/Depth_per_q)</f>
        <v>1.77009841571479</v>
      </c>
      <c r="G23" s="23" t="n">
        <f aca="false">IF(F23="","",Fee*$A23+Vq*F23)</f>
        <v>16.7107873257183</v>
      </c>
      <c r="H23" s="29" t="n">
        <v>21.610578243747</v>
      </c>
      <c r="I23" s="23" t="n">
        <f aca="false">IF(H23&lt;0,"",(Depth0-MIN(Depth0,H23))/Depth_per_q)</f>
        <v>1.59735543906326</v>
      </c>
      <c r="J23" s="23" t="n">
        <f aca="false">IF(I23="","",Fee*$A23+Vq*I23)</f>
        <v>15.328843512506</v>
      </c>
      <c r="K23" s="29" t="n">
        <v>22.235084587247</v>
      </c>
      <c r="L23" s="23" t="n">
        <f aca="false">IF(K23&lt;0,"",(Depth0-MIN(Depth0,K23))/Depth_per_q)</f>
        <v>1.44122885318825</v>
      </c>
      <c r="M23" s="23" t="n">
        <f aca="false">IF(L23="","",Fee*$A23+Vq*L23)</f>
        <v>14.079830825506</v>
      </c>
    </row>
    <row r="24" customFormat="false" ht="15" hidden="false" customHeight="false" outlineLevel="0" collapsed="false">
      <c r="A24" s="11" t="n">
        <v>90</v>
      </c>
      <c r="B24" s="29" t="n">
        <v>18.9123123391144</v>
      </c>
      <c r="C24" s="23" t="n">
        <f aca="false">IF(B24&lt;0,"",(Depth0-MIN(Depth0,B24))/Depth_per_q)</f>
        <v>2.2719219152214</v>
      </c>
      <c r="D24" s="23" t="n">
        <f aca="false">IF(C24="","",Fee*$A24+Vq*C24)</f>
        <v>20.8753753217712</v>
      </c>
      <c r="E24" s="29" t="n">
        <v>21.4401386761501</v>
      </c>
      <c r="F24" s="23" t="n">
        <f aca="false">IF(E24&lt;0,"",(Depth0-MIN(Depth0,E24))/Depth_per_q)</f>
        <v>1.63996533096247</v>
      </c>
      <c r="G24" s="23" t="n">
        <f aca="false">IF(F24="","",Fee*$A24+Vq*F24)</f>
        <v>15.8197226476998</v>
      </c>
      <c r="H24" s="29" t="n">
        <v>22.0721067305343</v>
      </c>
      <c r="I24" s="23" t="n">
        <f aca="false">IF(H24&lt;0,"",(Depth0-MIN(Depth0,H24))/Depth_per_q)</f>
        <v>1.48197331736644</v>
      </c>
      <c r="J24" s="23" t="n">
        <f aca="false">IF(I24="","",Fee*$A24+Vq*I24)</f>
        <v>14.5557865389315</v>
      </c>
      <c r="K24" s="29" t="n">
        <v>22.6319473003442</v>
      </c>
      <c r="L24" s="23" t="n">
        <f aca="false">IF(K24&lt;0,"",(Depth0-MIN(Depth0,K24))/Depth_per_q)</f>
        <v>1.34201317491395</v>
      </c>
      <c r="M24" s="23" t="n">
        <f aca="false">IF(L24="","",Fee*$A24+Vq*L24)</f>
        <v>13.4361053993116</v>
      </c>
    </row>
    <row r="25" customFormat="false" ht="15" hidden="false" customHeight="false" outlineLevel="0" collapsed="false">
      <c r="A25" s="11" t="n">
        <v>95</v>
      </c>
      <c r="B25" s="29" t="n">
        <v>19.4633705067248</v>
      </c>
      <c r="C25" s="23" t="n">
        <f aca="false">IF(B25&lt;0,"",(Depth0-MIN(Depth0,B25))/Depth_per_q)</f>
        <v>2.1341573733188</v>
      </c>
      <c r="D25" s="23" t="n">
        <f aca="false">IF(C25="","",Fee*$A25+Vq*C25)</f>
        <v>19.9232589865504</v>
      </c>
      <c r="E25" s="29" t="n">
        <v>21.8762294643084</v>
      </c>
      <c r="F25" s="23" t="n">
        <f aca="false">IF(E25&lt;0,"",(Depth0-MIN(Depth0,E25))/Depth_per_q)</f>
        <v>1.5309426339229</v>
      </c>
      <c r="G25" s="23" t="n">
        <f aca="false">IF(F25="","",Fee*$A25+Vq*F25)</f>
        <v>15.0975410713832</v>
      </c>
      <c r="H25" s="29" t="n">
        <v>22.4885116503665</v>
      </c>
      <c r="I25" s="23" t="n">
        <f aca="false">IF(H25&lt;0,"",(Depth0-MIN(Depth0,H25))/Depth_per_q)</f>
        <v>1.37787208740838</v>
      </c>
      <c r="J25" s="23" t="n">
        <f aca="false">IF(I25="","",Fee*$A25+Vq*I25)</f>
        <v>13.872976699267</v>
      </c>
      <c r="K25" s="29" t="n">
        <v>23.0198601901404</v>
      </c>
      <c r="L25" s="23" t="n">
        <f aca="false">IF(K25&lt;0,"",(Depth0-MIN(Depth0,K25))/Depth_per_q)</f>
        <v>1.2450349524649</v>
      </c>
      <c r="M25" s="23" t="n">
        <f aca="false">IF(L25="","",Fee*$A25+Vq*L25)</f>
        <v>12.8102796197192</v>
      </c>
    </row>
    <row r="26" customFormat="false" ht="15" hidden="false" customHeight="false" outlineLevel="0" collapsed="false">
      <c r="A26" s="11" t="n">
        <v>100</v>
      </c>
      <c r="B26" s="29" t="n">
        <v>20.00031036204</v>
      </c>
      <c r="C26" s="23" t="n">
        <f aca="false">IF(B26&lt;0,"",(Depth0-MIN(Depth0,B26))/Depth_per_q)</f>
        <v>1.99992240949001</v>
      </c>
      <c r="D26" s="23" t="n">
        <f aca="false">IF(C26="","",Fee*$A26+Vq*C26)</f>
        <v>18.9993792759201</v>
      </c>
      <c r="E26" s="29" t="n">
        <v>22.263700646216</v>
      </c>
      <c r="F26" s="23" t="n">
        <f aca="false">IF(E26&lt;0,"",(Depth0-MIN(Depth0,E26))/Depth_per_q)</f>
        <v>1.43407483844599</v>
      </c>
      <c r="G26" s="23" t="n">
        <f aca="false">IF(F26="","",Fee*$A26+Vq*F26)</f>
        <v>14.4725987075679</v>
      </c>
      <c r="H26" s="29" t="n">
        <v>22.8515544698178</v>
      </c>
      <c r="I26" s="23" t="n">
        <f aca="false">IF(H26&lt;0,"",(Depth0-MIN(Depth0,H26))/Depth_per_q)</f>
        <v>1.28711138254555</v>
      </c>
      <c r="J26" s="23" t="n">
        <f aca="false">IF(I26="","",Fee*$A26+Vq*I26)</f>
        <v>13.2968910603644</v>
      </c>
      <c r="K26" s="29" t="n">
        <v>23.3579379579189</v>
      </c>
      <c r="L26" s="23" t="n">
        <f aca="false">IF(K26&lt;0,"",(Depth0-MIN(Depth0,K26))/Depth_per_q)</f>
        <v>1.16051551052027</v>
      </c>
      <c r="M26" s="23" t="n">
        <f aca="false">IF(L26="","",Fee*$A26+Vq*L26)</f>
        <v>12.2841240841621</v>
      </c>
    </row>
    <row r="27" customFormat="false" ht="15" hidden="false" customHeight="false" outlineLevel="0" collapsed="false">
      <c r="A27" s="11" t="n">
        <v>105</v>
      </c>
      <c r="B27" s="29" t="n">
        <v>20.3882444499845</v>
      </c>
      <c r="C27" s="23" t="n">
        <f aca="false">IF(B27&lt;0,"",(Depth0-MIN(Depth0,B27))/Depth_per_q)</f>
        <v>1.90293888750387</v>
      </c>
      <c r="D27" s="23" t="n">
        <f aca="false">IF(C27="","",Fee*$A27+Vq*C27)</f>
        <v>18.373511100031</v>
      </c>
      <c r="E27" s="29" t="n">
        <v>22.635553332254</v>
      </c>
      <c r="F27" s="23" t="n">
        <f aca="false">IF(E27&lt;0,"",(Depth0-MIN(Depth0,E27))/Depth_per_q)</f>
        <v>1.3411116669365</v>
      </c>
      <c r="G27" s="23" t="n">
        <f aca="false">IF(F27="","",Fee*$A27+Vq*F27)</f>
        <v>13.878893335492</v>
      </c>
      <c r="H27" s="29" t="n">
        <v>23.1531625106154</v>
      </c>
      <c r="I27" s="23" t="n">
        <f aca="false">IF(H27&lt;0,"",(Depth0-MIN(Depth0,H27))/Depth_per_q)</f>
        <v>1.21170937234615</v>
      </c>
      <c r="J27" s="23" t="n">
        <f aca="false">IF(I27="","",Fee*$A27+Vq*I27)</f>
        <v>12.8436749787692</v>
      </c>
      <c r="K27" s="29" t="n">
        <v>23.6758545640686</v>
      </c>
      <c r="L27" s="23" t="n">
        <f aca="false">IF(K27&lt;0,"",(Depth0-MIN(Depth0,K27))/Depth_per_q)</f>
        <v>1.08103635898286</v>
      </c>
      <c r="M27" s="23" t="n">
        <f aca="false">IF(L27="","",Fee*$A27+Vq*L27)</f>
        <v>11.7982908718628</v>
      </c>
    </row>
    <row r="28" customFormat="false" ht="15" hidden="false" customHeight="false" outlineLevel="0" collapsed="false">
      <c r="A28" s="11" t="n">
        <v>110</v>
      </c>
      <c r="B28" s="29" t="n">
        <v>20.7319461592815</v>
      </c>
      <c r="C28" s="23" t="n">
        <f aca="false">IF(B28&lt;0,"",(Depth0-MIN(Depth0,B28))/Depth_per_q)</f>
        <v>1.81701346017963</v>
      </c>
      <c r="D28" s="23" t="n">
        <f aca="false">IF(C28="","",Fee*$A28+Vq*C28)</f>
        <v>17.836107681437</v>
      </c>
      <c r="E28" s="29" t="n">
        <v>22.9534060352426</v>
      </c>
      <c r="F28" s="23" t="n">
        <f aca="false">IF(E28&lt;0,"",(Depth0-MIN(Depth0,E28))/Depth_per_q)</f>
        <v>1.26164849118935</v>
      </c>
      <c r="G28" s="23" t="n">
        <f aca="false">IF(F28="","",Fee*$A28+Vq*F28)</f>
        <v>13.3931879295148</v>
      </c>
      <c r="H28" s="29" t="n">
        <v>23.4983312961036</v>
      </c>
      <c r="I28" s="23" t="n">
        <f aca="false">IF(H28&lt;0,"",(Depth0-MIN(Depth0,H28))/Depth_per_q)</f>
        <v>1.12541717597411</v>
      </c>
      <c r="J28" s="23" t="n">
        <f aca="false">IF(I28="","",Fee*$A28+Vq*I28)</f>
        <v>12.3033374077929</v>
      </c>
      <c r="K28" s="29" t="n">
        <v>23.9870532623332</v>
      </c>
      <c r="L28" s="23" t="n">
        <f aca="false">IF(K28&lt;0,"",(Depth0-MIN(Depth0,K28))/Depth_per_q)</f>
        <v>1.00323668441671</v>
      </c>
      <c r="M28" s="23" t="n">
        <f aca="false">IF(L28="","",Fee*$A28+Vq*L28)</f>
        <v>11.3258934753337</v>
      </c>
    </row>
    <row r="29" customFormat="false" ht="15" hidden="false" customHeight="false" outlineLevel="0" collapsed="false">
      <c r="A29" s="11" t="n">
        <v>115</v>
      </c>
      <c r="B29" s="29" t="n">
        <v>21.1141756959934</v>
      </c>
      <c r="C29" s="23" t="n">
        <f aca="false">IF(B29&lt;0,"",(Depth0-MIN(Depth0,B29))/Depth_per_q)</f>
        <v>1.72145607600166</v>
      </c>
      <c r="D29" s="23" t="n">
        <f aca="false">IF(C29="","",Fee*$A29+Vq*C29)</f>
        <v>17.2216486080133</v>
      </c>
      <c r="E29" s="29" t="n">
        <v>23.1802830792982</v>
      </c>
      <c r="F29" s="23" t="n">
        <f aca="false">IF(E29&lt;0,"",(Depth0-MIN(Depth0,E29))/Depth_per_q)</f>
        <v>1.20492923017545</v>
      </c>
      <c r="G29" s="23" t="n">
        <f aca="false">IF(F29="","",Fee*$A29+Vq*F29)</f>
        <v>13.0894338414036</v>
      </c>
      <c r="H29" s="29" t="n">
        <v>23.7423972552609</v>
      </c>
      <c r="I29" s="23" t="n">
        <f aca="false">IF(H29&lt;0,"",(Depth0-MIN(Depth0,H29))/Depth_per_q)</f>
        <v>1.06440068618477</v>
      </c>
      <c r="J29" s="23" t="n">
        <f aca="false">IF(I29="","",Fee*$A29+Vq*I29)</f>
        <v>11.9652054894781</v>
      </c>
      <c r="K29" s="29" t="n">
        <v>24.2616510272422</v>
      </c>
      <c r="L29" s="23" t="n">
        <f aca="false">IF(K29&lt;0,"",(Depth0-MIN(Depth0,K29))/Depth_per_q)</f>
        <v>0.934587243189455</v>
      </c>
      <c r="M29" s="23" t="n">
        <f aca="false">IF(L29="","",Fee*$A29+Vq*L29)</f>
        <v>10.9266979455156</v>
      </c>
    </row>
    <row r="30" customFormat="false" ht="15" hidden="false" customHeight="false" outlineLevel="0" collapsed="false">
      <c r="A30" s="11" t="n">
        <v>120</v>
      </c>
      <c r="B30" s="29" t="n">
        <v>21.4313191988389</v>
      </c>
      <c r="C30" s="23" t="n">
        <f aca="false">IF(B30&lt;0,"",(Depth0-MIN(Depth0,B30))/Depth_per_q)</f>
        <v>1.64217020029028</v>
      </c>
      <c r="D30" s="23" t="n">
        <f aca="false">IF(C30="","",Fee*$A30+Vq*C30)</f>
        <v>16.7373616023222</v>
      </c>
      <c r="E30" s="29" t="n">
        <v>23.4603067896225</v>
      </c>
      <c r="F30" s="23" t="n">
        <f aca="false">IF(E30&lt;0,"",(Depth0-MIN(Depth0,E30))/Depth_per_q)</f>
        <v>1.13492330259438</v>
      </c>
      <c r="G30" s="23" t="n">
        <f aca="false">IF(F30="","",Fee*$A30+Vq*F30)</f>
        <v>12.679386420755</v>
      </c>
      <c r="H30" s="29" t="n">
        <v>23.9849131363193</v>
      </c>
      <c r="I30" s="23" t="n">
        <f aca="false">IF(H30&lt;0,"",(Depth0-MIN(Depth0,H30))/Depth_per_q)</f>
        <v>1.00377171592018</v>
      </c>
      <c r="J30" s="23" t="n">
        <f aca="false">IF(I30="","",Fee*$A30+Vq*I30)</f>
        <v>11.6301737273615</v>
      </c>
      <c r="K30" s="29" t="n">
        <v>24.4488532449248</v>
      </c>
      <c r="L30" s="23" t="n">
        <f aca="false">IF(K30&lt;0,"",(Depth0-MIN(Depth0,K30))/Depth_per_q)</f>
        <v>0.8877866887688</v>
      </c>
      <c r="M30" s="23" t="n">
        <f aca="false">IF(L30="","",Fee*$A30+Vq*L30)</f>
        <v>10.7022935101504</v>
      </c>
    </row>
    <row r="31" customFormat="false" ht="15" hidden="false" customHeight="false" outlineLevel="0" collapsed="false">
      <c r="A31" s="11" t="n">
        <v>125</v>
      </c>
      <c r="B31" s="29" t="n">
        <v>21.7585297569879</v>
      </c>
      <c r="C31" s="23" t="n">
        <f aca="false">IF(B31&lt;0,"",(Depth0-MIN(Depth0,B31))/Depth_per_q)</f>
        <v>1.56036756075302</v>
      </c>
      <c r="D31" s="23" t="n">
        <f aca="false">IF(C31="","",Fee*$A31+Vq*C31)</f>
        <v>16.2329404860242</v>
      </c>
      <c r="E31" s="29" t="n">
        <v>23.6543503729939</v>
      </c>
      <c r="F31" s="23" t="n">
        <f aca="false">IF(E31&lt;0,"",(Depth0-MIN(Depth0,E31))/Depth_per_q)</f>
        <v>1.08641240675152</v>
      </c>
      <c r="G31" s="23" t="n">
        <f aca="false">IF(F31="","",Fee*$A31+Vq*F31)</f>
        <v>12.4412992540121</v>
      </c>
      <c r="H31" s="29" t="n">
        <v>24.1996457970653</v>
      </c>
      <c r="I31" s="23" t="n">
        <f aca="false">IF(H31&lt;0,"",(Depth0-MIN(Depth0,H31))/Depth_per_q)</f>
        <v>0.950088550733665</v>
      </c>
      <c r="J31" s="23" t="n">
        <f aca="false">IF(I31="","",Fee*$A31+Vq*I31)</f>
        <v>11.3507084058693</v>
      </c>
      <c r="K31" s="29" t="n">
        <v>24.6558028455453</v>
      </c>
      <c r="L31" s="23" t="n">
        <f aca="false">IF(K31&lt;0,"",(Depth0-MIN(Depth0,K31))/Depth_per_q)</f>
        <v>0.836049288613685</v>
      </c>
      <c r="M31" s="23" t="n">
        <f aca="false">IF(L31="","",Fee*$A31+Vq*L31)</f>
        <v>10.4383943089095</v>
      </c>
    </row>
    <row r="32" customFormat="false" ht="15" hidden="false" customHeight="false" outlineLevel="0" collapsed="false">
      <c r="A32" s="11" t="n">
        <v>130</v>
      </c>
      <c r="B32" s="29" t="n">
        <v>22.0269544950888</v>
      </c>
      <c r="C32" s="23" t="n">
        <f aca="false">IF(B32&lt;0,"",(Depth0-MIN(Depth0,B32))/Depth_per_q)</f>
        <v>1.49326137622781</v>
      </c>
      <c r="D32" s="23" t="n">
        <f aca="false">IF(C32="","",Fee*$A32+Vq*C32)</f>
        <v>15.8460910098225</v>
      </c>
      <c r="E32" s="29" t="n">
        <v>23.8476604891695</v>
      </c>
      <c r="F32" s="23" t="n">
        <f aca="false">IF(E32&lt;0,"",(Depth0-MIN(Depth0,E32))/Depth_per_q)</f>
        <v>1.03808487770762</v>
      </c>
      <c r="G32" s="23" t="n">
        <f aca="false">IF(F32="","",Fee*$A32+Vq*F32)</f>
        <v>12.2046790216609</v>
      </c>
      <c r="H32" s="29" t="n">
        <v>24.3733788240107</v>
      </c>
      <c r="I32" s="23" t="n">
        <f aca="false">IF(H32&lt;0,"",(Depth0-MIN(Depth0,H32))/Depth_per_q)</f>
        <v>0.90665529399733</v>
      </c>
      <c r="J32" s="23" t="n">
        <f aca="false">IF(I32="","",Fee*$A32+Vq*I32)</f>
        <v>11.1532423519786</v>
      </c>
      <c r="K32" s="29" t="n">
        <v>24.8260676832231</v>
      </c>
      <c r="L32" s="23" t="n">
        <f aca="false">IF(K32&lt;0,"",(Depth0-MIN(Depth0,K32))/Depth_per_q)</f>
        <v>0.793483079194215</v>
      </c>
      <c r="M32" s="23" t="n">
        <f aca="false">IF(L32="","",Fee*$A32+Vq*L32)</f>
        <v>10.2478646335537</v>
      </c>
    </row>
    <row r="33" customFormat="false" ht="15" hidden="false" customHeight="false" outlineLevel="0" collapsed="false">
      <c r="A33" s="11" t="n">
        <v>135</v>
      </c>
      <c r="B33" s="29" t="n">
        <v>22.2451124401586</v>
      </c>
      <c r="C33" s="23" t="n">
        <f aca="false">IF(B33&lt;0,"",(Depth0-MIN(Depth0,B33))/Depth_per_q)</f>
        <v>1.43872188996035</v>
      </c>
      <c r="D33" s="23" t="n">
        <f aca="false">IF(C33="","",Fee*$A33+Vq*C33)</f>
        <v>15.5597751196828</v>
      </c>
      <c r="E33" s="29" t="n">
        <v>24.0408720877943</v>
      </c>
      <c r="F33" s="23" t="n">
        <f aca="false">IF(E33&lt;0,"",(Depth0-MIN(Depth0,E33))/Depth_per_q)</f>
        <v>0.98978197805143</v>
      </c>
      <c r="G33" s="23" t="n">
        <f aca="false">IF(F33="","",Fee*$A33+Vq*F33)</f>
        <v>11.9682558244114</v>
      </c>
      <c r="H33" s="29" t="n">
        <v>24.5142713708479</v>
      </c>
      <c r="I33" s="23" t="n">
        <f aca="false">IF(H33&lt;0,"",(Depth0-MIN(Depth0,H33))/Depth_per_q)</f>
        <v>0.871432157288033</v>
      </c>
      <c r="J33" s="23" t="n">
        <f aca="false">IF(I33="","",Fee*$A33+Vq*I33)</f>
        <v>11.0214572583043</v>
      </c>
      <c r="K33" s="29" t="n">
        <v>24.976386314289</v>
      </c>
      <c r="L33" s="23" t="n">
        <f aca="false">IF(K33&lt;0,"",(Depth0-MIN(Depth0,K33))/Depth_per_q)</f>
        <v>0.755903421427743</v>
      </c>
      <c r="M33" s="23" t="n">
        <f aca="false">IF(L33="","",Fee*$A33+Vq*L33)</f>
        <v>10.0972273714219</v>
      </c>
    </row>
    <row r="34" customFormat="false" ht="15" hidden="false" customHeight="false" outlineLevel="0" collapsed="false">
      <c r="A34" s="11" t="n">
        <v>140</v>
      </c>
      <c r="B34" s="29" t="n">
        <v>22.4588959407726</v>
      </c>
      <c r="C34" s="23" t="n">
        <f aca="false">IF(B34&lt;0,"",(Depth0-MIN(Depth0,B34))/Depth_per_q)</f>
        <v>1.38527601480684</v>
      </c>
      <c r="D34" s="23" t="n">
        <f aca="false">IF(C34="","",Fee*$A34+Vq*C34)</f>
        <v>15.2822081184547</v>
      </c>
      <c r="E34" s="29" t="n">
        <v>24.2269960009454</v>
      </c>
      <c r="F34" s="23" t="n">
        <f aca="false">IF(E34&lt;0,"",(Depth0-MIN(Depth0,E34))/Depth_per_q)</f>
        <v>0.943250999763648</v>
      </c>
      <c r="G34" s="23" t="n">
        <f aca="false">IF(F34="","",Fee*$A34+Vq*F34)</f>
        <v>11.7460079981092</v>
      </c>
      <c r="H34" s="29" t="n">
        <v>24.6753751999768</v>
      </c>
      <c r="I34" s="23" t="n">
        <f aca="false">IF(H34&lt;0,"",(Depth0-MIN(Depth0,H34))/Depth_per_q)</f>
        <v>0.83115620000579</v>
      </c>
      <c r="J34" s="23" t="n">
        <f aca="false">IF(I34="","",Fee*$A34+Vq*I34)</f>
        <v>10.8492496000463</v>
      </c>
      <c r="K34" s="29" t="n">
        <v>25.1332847979041</v>
      </c>
      <c r="L34" s="23" t="n">
        <f aca="false">IF(K34&lt;0,"",(Depth0-MIN(Depth0,K34))/Depth_per_q)</f>
        <v>0.716678800523965</v>
      </c>
      <c r="M34" s="23" t="n">
        <f aca="false">IF(L34="","",Fee*$A34+Vq*L34)</f>
        <v>9.93343040419172</v>
      </c>
    </row>
    <row r="35" customFormat="false" ht="15" hidden="false" customHeight="false" outlineLevel="0" collapsed="false">
      <c r="A35" s="11" t="n">
        <v>145</v>
      </c>
      <c r="B35" s="29" t="n">
        <v>22.6328320455641</v>
      </c>
      <c r="C35" s="23" t="n">
        <f aca="false">IF(B35&lt;0,"",(Depth0-MIN(Depth0,B35))/Depth_per_q)</f>
        <v>1.34179198860897</v>
      </c>
      <c r="D35" s="23" t="n">
        <f aca="false">IF(C35="","",Fee*$A35+Vq*C35)</f>
        <v>15.0843359088717</v>
      </c>
      <c r="E35" s="29" t="n">
        <v>24.3681501590863</v>
      </c>
      <c r="F35" s="23" t="n">
        <f aca="false">IF(E35&lt;0,"",(Depth0-MIN(Depth0,E35))/Depth_per_q)</f>
        <v>0.907962460228435</v>
      </c>
      <c r="G35" s="23" t="n">
        <f aca="false">IF(F35="","",Fee*$A35+Vq*F35)</f>
        <v>11.6136996818275</v>
      </c>
      <c r="H35" s="29" t="n">
        <v>24.824205377443</v>
      </c>
      <c r="I35" s="23" t="n">
        <f aca="false">IF(H35&lt;0,"",(Depth0-MIN(Depth0,H35))/Depth_per_q)</f>
        <v>0.793948655639245</v>
      </c>
      <c r="J35" s="23" t="n">
        <f aca="false">IF(I35="","",Fee*$A35+Vq*I35)</f>
        <v>10.701589245114</v>
      </c>
      <c r="K35" s="29" t="n">
        <v>25.2682793218007</v>
      </c>
      <c r="L35" s="23" t="n">
        <f aca="false">IF(K35&lt;0,"",(Depth0-MIN(Depth0,K35))/Depth_per_q)</f>
        <v>0.68293016954983</v>
      </c>
      <c r="M35" s="23" t="n">
        <f aca="false">IF(L35="","",Fee*$A35+Vq*L35)</f>
        <v>9.81344135639864</v>
      </c>
    </row>
    <row r="36" customFormat="false" ht="15" hidden="false" customHeight="false" outlineLevel="0" collapsed="false">
      <c r="A36" s="11" t="n">
        <v>150</v>
      </c>
      <c r="B36" s="29" t="n">
        <v>22.7750857950692</v>
      </c>
      <c r="C36" s="23" t="n">
        <f aca="false">IF(B36&lt;0,"",(Depth0-MIN(Depth0,B36))/Depth_per_q)</f>
        <v>1.30622855123269</v>
      </c>
      <c r="D36" s="23" t="n">
        <f aca="false">IF(C36="","",Fee*$A36+Vq*C36)</f>
        <v>14.9498284098615</v>
      </c>
      <c r="E36" s="29" t="n">
        <v>24.4758936524353</v>
      </c>
      <c r="F36" s="23" t="n">
        <f aca="false">IF(E36&lt;0,"",(Depth0-MIN(Depth0,E36))/Depth_per_q)</f>
        <v>0.881026586891175</v>
      </c>
      <c r="G36" s="23" t="n">
        <f aca="false">IF(F36="","",Fee*$A36+Vq*F36)</f>
        <v>11.5482126951294</v>
      </c>
      <c r="H36" s="29" t="n">
        <v>24.9615747048594</v>
      </c>
      <c r="I36" s="23" t="n">
        <f aca="false">IF(H36&lt;0,"",(Depth0-MIN(Depth0,H36))/Depth_per_q)</f>
        <v>0.759606323785143</v>
      </c>
      <c r="J36" s="23" t="n">
        <f aca="false">IF(I36="","",Fee*$A36+Vq*I36)</f>
        <v>10.5768505902811</v>
      </c>
      <c r="K36" s="29" t="n">
        <v>25.3928411698238</v>
      </c>
      <c r="L36" s="23" t="n">
        <f aca="false">IF(K36&lt;0,"",(Depth0-MIN(Depth0,K36))/Depth_per_q)</f>
        <v>0.651789707544047</v>
      </c>
      <c r="M36" s="23" t="n">
        <f aca="false">IF(L36="","",Fee*$A36+Vq*L36)</f>
        <v>9.71431766035238</v>
      </c>
    </row>
    <row r="37" customFormat="false" ht="15" hidden="false" customHeight="false" outlineLevel="0" collapsed="false">
      <c r="A37" s="11" t="n">
        <v>155</v>
      </c>
      <c r="B37" s="29" t="n">
        <v>22.9147749704228</v>
      </c>
      <c r="C37" s="23" t="n">
        <f aca="false">IF(B37&lt;0,"",(Depth0-MIN(Depth0,B37))/Depth_per_q)</f>
        <v>1.27130625739431</v>
      </c>
      <c r="D37" s="23" t="n">
        <f aca="false">IF(C37="","",Fee*$A37+Vq*C37)</f>
        <v>14.8204500591545</v>
      </c>
      <c r="E37" s="29" t="n">
        <v>24.6142175714568</v>
      </c>
      <c r="F37" s="23" t="n">
        <f aca="false">IF(E37&lt;0,"",(Depth0-MIN(Depth0,E37))/Depth_per_q)</f>
        <v>0.84644560713579</v>
      </c>
      <c r="G37" s="23" t="n">
        <f aca="false">IF(F37="","",Fee*$A37+Vq*F37)</f>
        <v>11.4215648570863</v>
      </c>
      <c r="H37" s="29" t="n">
        <v>25.0782839613217</v>
      </c>
      <c r="I37" s="23" t="n">
        <f aca="false">IF(H37&lt;0,"",(Depth0-MIN(Depth0,H37))/Depth_per_q)</f>
        <v>0.730429009669588</v>
      </c>
      <c r="J37" s="23" t="n">
        <f aca="false">IF(I37="","",Fee*$A37+Vq*I37)</f>
        <v>10.4934320773567</v>
      </c>
      <c r="K37" s="29" t="n">
        <v>25.5040246534926</v>
      </c>
      <c r="L37" s="23" t="n">
        <f aca="false">IF(K37&lt;0,"",(Depth0-MIN(Depth0,K37))/Depth_per_q)</f>
        <v>0.62399383662685</v>
      </c>
      <c r="M37" s="23" t="n">
        <f aca="false">IF(L37="","",Fee*$A37+Vq*L37)</f>
        <v>9.6419506930148</v>
      </c>
    </row>
    <row r="38" customFormat="false" ht="15" hidden="false" customHeight="false" outlineLevel="0" collapsed="false">
      <c r="A38" s="11" t="n">
        <v>160</v>
      </c>
      <c r="B38" s="29" t="n">
        <v>23.0056174444153</v>
      </c>
      <c r="C38" s="23" t="n">
        <f aca="false">IF(B38&lt;0,"",(Depth0-MIN(Depth0,B38))/Depth_per_q)</f>
        <v>1.24859563889619</v>
      </c>
      <c r="D38" s="23" t="n">
        <f aca="false">IF(C38="","",Fee*$A38+Vq*C38)</f>
        <v>14.7887651111695</v>
      </c>
      <c r="E38" s="29" t="n">
        <v>24.6978319399072</v>
      </c>
      <c r="F38" s="23" t="n">
        <f aca="false">IF(E38&lt;0,"",(Depth0-MIN(Depth0,E38))/Depth_per_q)</f>
        <v>0.82554201502319</v>
      </c>
      <c r="G38" s="23" t="n">
        <f aca="false">IF(F38="","",Fee*$A38+Vq*F38)</f>
        <v>11.4043361201855</v>
      </c>
      <c r="H38" s="29" t="n">
        <v>25.1734458414453</v>
      </c>
      <c r="I38" s="23" t="n">
        <f aca="false">IF(H38&lt;0,"",(Depth0-MIN(Depth0,H38))/Depth_per_q)</f>
        <v>0.70663853963868</v>
      </c>
      <c r="J38" s="23" t="n">
        <f aca="false">IF(I38="","",Fee*$A38+Vq*I38)</f>
        <v>10.4531083171094</v>
      </c>
      <c r="K38" s="29" t="n">
        <v>25.6036791697437</v>
      </c>
      <c r="L38" s="23" t="n">
        <f aca="false">IF(K38&lt;0,"",(Depth0-MIN(Depth0,K38))/Depth_per_q)</f>
        <v>0.599080207564065</v>
      </c>
      <c r="M38" s="23" t="n">
        <f aca="false">IF(L38="","",Fee*$A38+Vq*L38)</f>
        <v>9.59264166051252</v>
      </c>
    </row>
    <row r="39" customFormat="false" ht="15" hidden="false" customHeight="false" outlineLevel="0" collapsed="false">
      <c r="A39" s="11" t="n">
        <v>165</v>
      </c>
      <c r="B39" s="29" t="n">
        <v>23.0961406862629</v>
      </c>
      <c r="C39" s="23" t="n">
        <f aca="false">IF(B39&lt;0,"",(Depth0-MIN(Depth0,B39))/Depth_per_q)</f>
        <v>1.22596482843428</v>
      </c>
      <c r="D39" s="23" t="n">
        <f aca="false">IF(C39="","",Fee*$A39+Vq*C39)</f>
        <v>14.7577186274742</v>
      </c>
      <c r="E39" s="29" t="n">
        <v>24.7807478338883</v>
      </c>
      <c r="F39" s="23" t="n">
        <f aca="false">IF(E39&lt;0,"",(Depth0-MIN(Depth0,E39))/Depth_per_q)</f>
        <v>0.80481304152793</v>
      </c>
      <c r="G39" s="23" t="n">
        <f aca="false">IF(F39="","",Fee*$A39+Vq*F39)</f>
        <v>11.3885043322234</v>
      </c>
      <c r="H39" s="29" t="n">
        <v>25.2529748937406</v>
      </c>
      <c r="I39" s="23" t="n">
        <f aca="false">IF(H39&lt;0,"",(Depth0-MIN(Depth0,H39))/Depth_per_q)</f>
        <v>0.68675627656484</v>
      </c>
      <c r="J39" s="23" t="n">
        <f aca="false">IF(I39="","",Fee*$A39+Vq*I39)</f>
        <v>10.4440502125187</v>
      </c>
      <c r="K39" s="29" t="n">
        <v>25.6842552262207</v>
      </c>
      <c r="L39" s="23" t="n">
        <f aca="false">IF(K39&lt;0,"",(Depth0-MIN(Depth0,K39))/Depth_per_q)</f>
        <v>0.578936193444825</v>
      </c>
      <c r="M39" s="23" t="n">
        <f aca="false">IF(L39="","",Fee*$A39+Vq*L39)</f>
        <v>9.5814895475586</v>
      </c>
    </row>
    <row r="40" customFormat="false" ht="15" hidden="false" customHeight="false" outlineLevel="0" collapsed="false">
      <c r="A40" s="11" t="n">
        <v>170</v>
      </c>
      <c r="B40" s="29" t="n">
        <v>23.1802830792982</v>
      </c>
      <c r="C40" s="23" t="n">
        <f aca="false">IF(B40&lt;0,"",(Depth0-MIN(Depth0,B40))/Depth_per_q)</f>
        <v>1.20492923017545</v>
      </c>
      <c r="D40" s="23" t="n">
        <f aca="false">IF(C40="","",Fee*$A40+Vq*C40)</f>
        <v>14.7394338414036</v>
      </c>
      <c r="E40" s="29" t="n">
        <v>24.8494593565569</v>
      </c>
      <c r="F40" s="23" t="n">
        <f aca="false">IF(E40&lt;0,"",(Depth0-MIN(Depth0,E40))/Depth_per_q)</f>
        <v>0.787635160860765</v>
      </c>
      <c r="G40" s="23" t="n">
        <f aca="false">IF(F40="","",Fee*$A40+Vq*F40)</f>
        <v>11.4010812868861</v>
      </c>
      <c r="H40" s="29" t="n">
        <v>25.3296945542935</v>
      </c>
      <c r="I40" s="23" t="n">
        <f aca="false">IF(H40&lt;0,"",(Depth0-MIN(Depth0,H40))/Depth_per_q)</f>
        <v>0.667576361426625</v>
      </c>
      <c r="J40" s="23" t="n">
        <f aca="false">IF(I40="","",Fee*$A40+Vq*I40)</f>
        <v>10.440610891413</v>
      </c>
      <c r="K40" s="29" t="n">
        <v>25.7380986673949</v>
      </c>
      <c r="L40" s="23" t="n">
        <f aca="false">IF(K40&lt;0,"",(Depth0-MIN(Depth0,K40))/Depth_per_q)</f>
        <v>0.565475333151268</v>
      </c>
      <c r="M40" s="23" t="n">
        <f aca="false">IF(L40="","",Fee*$A40+Vq*L40)</f>
        <v>9.62380266521014</v>
      </c>
    </row>
    <row r="41" customFormat="false" ht="15" hidden="false" customHeight="false" outlineLevel="0" collapsed="false">
      <c r="A41" s="11" t="n">
        <v>175</v>
      </c>
      <c r="B41" s="29" t="n">
        <v>23.2809092033006</v>
      </c>
      <c r="C41" s="23" t="n">
        <f aca="false">IF(B41&lt;0,"",(Depth0-MIN(Depth0,B41))/Depth_per_q)</f>
        <v>1.17977269917485</v>
      </c>
      <c r="D41" s="23" t="n">
        <f aca="false">IF(C41="","",Fee*$A41+Vq*C41)</f>
        <v>14.6881815933988</v>
      </c>
      <c r="E41" s="29" t="n">
        <v>24.9246684120496</v>
      </c>
      <c r="F41" s="23" t="n">
        <f aca="false">IF(E41&lt;0,"",(Depth0-MIN(Depth0,E41))/Depth_per_q)</f>
        <v>0.76883289698759</v>
      </c>
      <c r="G41" s="23" t="n">
        <f aca="false">IF(F41="","",Fee*$A41+Vq*F41)</f>
        <v>11.4006631759007</v>
      </c>
      <c r="H41" s="29" t="n">
        <v>25.3807371945496</v>
      </c>
      <c r="I41" s="23" t="n">
        <f aca="false">IF(H41&lt;0,"",(Depth0-MIN(Depth0,H41))/Depth_per_q)</f>
        <v>0.65481570136261</v>
      </c>
      <c r="J41" s="23" t="n">
        <f aca="false">IF(I41="","",Fee*$A41+Vq*I41)</f>
        <v>10.4885256109009</v>
      </c>
      <c r="K41" s="29" t="n">
        <v>25.7923584751659</v>
      </c>
      <c r="L41" s="23" t="n">
        <f aca="false">IF(K41&lt;0,"",(Depth0-MIN(Depth0,K41))/Depth_per_q)</f>
        <v>0.551910381208527</v>
      </c>
      <c r="M41" s="23" t="n">
        <f aca="false">IF(L41="","",Fee*$A41+Vq*L41)</f>
        <v>9.66528304966822</v>
      </c>
    </row>
    <row r="42" customFormat="false" ht="15" hidden="false" customHeight="false" outlineLevel="0" collapsed="false">
      <c r="A42" s="11" t="n">
        <v>180</v>
      </c>
      <c r="B42" s="29" t="n">
        <v>23.365950941456</v>
      </c>
      <c r="C42" s="23" t="n">
        <f aca="false">IF(B42&lt;0,"",(Depth0-MIN(Depth0,B42))/Depth_per_q)</f>
        <v>1.158512264636</v>
      </c>
      <c r="D42" s="23" t="n">
        <f aca="false">IF(C42="","",Fee*$A42+Vq*C42)</f>
        <v>14.668098117088</v>
      </c>
      <c r="E42" s="29" t="n">
        <v>24.9874671694967</v>
      </c>
      <c r="F42" s="23" t="n">
        <f aca="false">IF(E42&lt;0,"",(Depth0-MIN(Depth0,E42))/Depth_per_q)</f>
        <v>0.75313320762582</v>
      </c>
      <c r="G42" s="23" t="n">
        <f aca="false">IF(F42="","",Fee*$A42+Vq*F42)</f>
        <v>11.4250656610066</v>
      </c>
      <c r="H42" s="29" t="n">
        <v>25.4426475960455</v>
      </c>
      <c r="I42" s="23" t="n">
        <f aca="false">IF(H42&lt;0,"",(Depth0-MIN(Depth0,H42))/Depth_per_q)</f>
        <v>0.639338100988615</v>
      </c>
      <c r="J42" s="23" t="n">
        <f aca="false">IF(I42="","",Fee*$A42+Vq*I42)</f>
        <v>10.5147048079089</v>
      </c>
      <c r="K42" s="29" t="n">
        <v>25.8531794197522</v>
      </c>
      <c r="L42" s="23" t="n">
        <f aca="false">IF(K42&lt;0,"",(Depth0-MIN(Depth0,K42))/Depth_per_q)</f>
        <v>0.536705145061948</v>
      </c>
      <c r="M42" s="23" t="n">
        <f aca="false">IF(L42="","",Fee*$A42+Vq*L42)</f>
        <v>9.69364116049558</v>
      </c>
    </row>
    <row r="43" customFormat="false" ht="15" hidden="false" customHeight="false" outlineLevel="0" collapsed="false">
      <c r="A43" s="11" t="n">
        <v>185</v>
      </c>
      <c r="B43" s="29" t="n">
        <v>23.4058162969456</v>
      </c>
      <c r="C43" s="23" t="n">
        <f aca="false">IF(B43&lt;0,"",(Depth0-MIN(Depth0,B43))/Depth_per_q)</f>
        <v>1.1485459257636</v>
      </c>
      <c r="D43" s="23" t="n">
        <f aca="false">IF(C43="","",Fee*$A43+Vq*C43)</f>
        <v>14.7383674061088</v>
      </c>
      <c r="E43" s="29" t="n">
        <v>25.0425511675918</v>
      </c>
      <c r="F43" s="23" t="n">
        <f aca="false">IF(E43&lt;0,"",(Depth0-MIN(Depth0,E43))/Depth_per_q)</f>
        <v>0.739362208102057</v>
      </c>
      <c r="G43" s="23" t="n">
        <f aca="false">IF(F43="","",Fee*$A43+Vq*F43)</f>
        <v>11.4648976648165</v>
      </c>
      <c r="H43" s="29" t="n">
        <v>25.4929159279641</v>
      </c>
      <c r="I43" s="23" t="n">
        <f aca="false">IF(H43&lt;0,"",(Depth0-MIN(Depth0,H43))/Depth_per_q)</f>
        <v>0.626771018008983</v>
      </c>
      <c r="J43" s="23" t="n">
        <f aca="false">IF(I43="","",Fee*$A43+Vq*I43)</f>
        <v>10.5641681440719</v>
      </c>
      <c r="K43" s="29" t="n">
        <v>25.9041489473375</v>
      </c>
      <c r="L43" s="23" t="n">
        <f aca="false">IF(K43&lt;0,"",(Depth0-MIN(Depth0,K43))/Depth_per_q)</f>
        <v>0.523962763165632</v>
      </c>
      <c r="M43" s="23" t="n">
        <f aca="false">IF(L43="","",Fee*$A43+Vq*L43)</f>
        <v>9.74170210532506</v>
      </c>
    </row>
    <row r="44" customFormat="false" ht="15" hidden="false" customHeight="false" outlineLevel="0" collapsed="false">
      <c r="A44" s="11" t="n">
        <v>190</v>
      </c>
      <c r="B44" s="29" t="n">
        <v>23.4514772348046</v>
      </c>
      <c r="C44" s="23" t="n">
        <f aca="false">IF(B44&lt;0,"",(Depth0-MIN(Depth0,B44))/Depth_per_q)</f>
        <v>1.13713069129886</v>
      </c>
      <c r="D44" s="23" t="n">
        <f aca="false">IF(C44="","",Fee*$A44+Vq*C44)</f>
        <v>14.7970455303909</v>
      </c>
      <c r="E44" s="29" t="n">
        <v>25.0920416197874</v>
      </c>
      <c r="F44" s="23" t="n">
        <f aca="false">IF(E44&lt;0,"",(Depth0-MIN(Depth0,E44))/Depth_per_q)</f>
        <v>0.72698959505315</v>
      </c>
      <c r="G44" s="23" t="n">
        <f aca="false">IF(F44="","",Fee*$A44+Vq*F44)</f>
        <v>11.5159167604252</v>
      </c>
      <c r="H44" s="29" t="n">
        <v>25.5466660152529</v>
      </c>
      <c r="I44" s="23" t="n">
        <f aca="false">IF(H44&lt;0,"",(Depth0-MIN(Depth0,H44))/Depth_per_q)</f>
        <v>0.61333349618677</v>
      </c>
      <c r="J44" s="23" t="n">
        <f aca="false">IF(I44="","",Fee*$A44+Vq*I44)</f>
        <v>10.6066679694942</v>
      </c>
      <c r="K44" s="29" t="n">
        <v>25.9475360796849</v>
      </c>
      <c r="L44" s="23" t="n">
        <f aca="false">IF(K44&lt;0,"",(Depth0-MIN(Depth0,K44))/Depth_per_q)</f>
        <v>0.51311598007878</v>
      </c>
      <c r="M44" s="23" t="n">
        <f aca="false">IF(L44="","",Fee*$A44+Vq*L44)</f>
        <v>9.80492784063024</v>
      </c>
    </row>
    <row r="45" customFormat="false" ht="15" hidden="false" customHeight="false" outlineLevel="0" collapsed="false">
      <c r="A45" s="11" t="n">
        <v>195</v>
      </c>
      <c r="B45" s="29" t="n">
        <v>23.4970785908788</v>
      </c>
      <c r="C45" s="23" t="n">
        <f aca="false">IF(B45&lt;0,"",(Depth0-MIN(Depth0,B45))/Depth_per_q)</f>
        <v>1.12573035228029</v>
      </c>
      <c r="D45" s="23" t="n">
        <f aca="false">IF(C45="","",Fee*$A45+Vq*C45)</f>
        <v>14.8558428182423</v>
      </c>
      <c r="E45" s="29" t="n">
        <v>25.1227394301886</v>
      </c>
      <c r="F45" s="23" t="n">
        <f aca="false">IF(E45&lt;0,"",(Depth0-MIN(Depth0,E45))/Depth_per_q)</f>
        <v>0.71931514245286</v>
      </c>
      <c r="G45" s="23" t="n">
        <f aca="false">IF(F45="","",Fee*$A45+Vq*F45)</f>
        <v>11.6045211396229</v>
      </c>
      <c r="H45" s="29" t="n">
        <v>25.5842812663358</v>
      </c>
      <c r="I45" s="23" t="n">
        <f aca="false">IF(H45&lt;0,"",(Depth0-MIN(Depth0,H45))/Depth_per_q)</f>
        <v>0.603929683416053</v>
      </c>
      <c r="J45" s="23" t="n">
        <f aca="false">IF(I45="","",Fee*$A45+Vq*I45)</f>
        <v>10.6814374673284</v>
      </c>
      <c r="K45" s="29" t="n">
        <v>25.9821112355372</v>
      </c>
      <c r="L45" s="23" t="n">
        <f aca="false">IF(K45&lt;0,"",(Depth0-MIN(Depth0,K45))/Depth_per_q)</f>
        <v>0.504472191115695</v>
      </c>
      <c r="M45" s="23" t="n">
        <f aca="false">IF(L45="","",Fee*$A45+Vq*L45)</f>
        <v>9.88577752892556</v>
      </c>
    </row>
    <row r="46" customFormat="false" ht="15" hidden="false" customHeight="false" outlineLevel="0" collapsed="false">
      <c r="A46" s="11" t="n">
        <v>200</v>
      </c>
      <c r="B46" s="29" t="n">
        <v>23.524109123265</v>
      </c>
      <c r="C46" s="23" t="n">
        <f aca="false">IF(B46&lt;0,"",(Depth0-MIN(Depth0,B46))/Depth_per_q)</f>
        <v>1.11897271918374</v>
      </c>
      <c r="D46" s="23" t="n">
        <f aca="false">IF(C46="","",Fee*$A46+Vq*C46)</f>
        <v>14.9517817534699</v>
      </c>
      <c r="E46" s="29" t="n">
        <v>25.1515348479636</v>
      </c>
      <c r="F46" s="23" t="n">
        <f aca="false">IF(E46&lt;0,"",(Depth0-MIN(Depth0,E46))/Depth_per_q)</f>
        <v>0.712116288009097</v>
      </c>
      <c r="G46" s="23" t="n">
        <f aca="false">IF(F46="","",Fee*$A46+Vq*F46)</f>
        <v>11.6969303040728</v>
      </c>
      <c r="H46" s="29" t="n">
        <v>25.6029755316397</v>
      </c>
      <c r="I46" s="23" t="n">
        <f aca="false">IF(H46&lt;0,"",(Depth0-MIN(Depth0,H46))/Depth_per_q)</f>
        <v>0.599256117090068</v>
      </c>
      <c r="J46" s="23" t="n">
        <f aca="false">IF(I46="","",Fee*$A46+Vq*I46)</f>
        <v>10.7940489367205</v>
      </c>
      <c r="K46" s="29" t="n">
        <v>25.9999991282717</v>
      </c>
      <c r="L46" s="23" t="n">
        <f aca="false">IF(K46&lt;0,"",(Depth0-MIN(Depth0,K46))/Depth_per_q)</f>
        <v>0.50000021793208</v>
      </c>
      <c r="M46" s="23" t="n">
        <f aca="false">IF(L46="","",Fee*$A46+Vq*L46)</f>
        <v>10.0000017434566</v>
      </c>
    </row>
    <row r="47" customFormat="false" ht="15" hidden="false" customHeight="false" outlineLevel="0" collapsed="false">
      <c r="A47" s="11" t="n">
        <v>205</v>
      </c>
      <c r="B47" s="29" t="n">
        <v>23.5561570859656</v>
      </c>
      <c r="C47" s="23" t="n">
        <f aca="false">IF(B47&lt;0,"",(Depth0-MIN(Depth0,B47))/Depth_per_q)</f>
        <v>1.11096072850861</v>
      </c>
      <c r="D47" s="23" t="n">
        <f aca="false">IF(C47="","",Fee*$A47+Vq*C47)</f>
        <v>15.0376858280689</v>
      </c>
      <c r="E47" s="29" t="n">
        <v>25.173682546994</v>
      </c>
      <c r="F47" s="23" t="n">
        <f aca="false">IF(E47&lt;0,"",(Depth0-MIN(Depth0,E47))/Depth_per_q)</f>
        <v>0.706579363251498</v>
      </c>
      <c r="G47" s="23" t="n">
        <f aca="false">IF(F47="","",Fee*$A47+Vq*F47)</f>
        <v>11.802634906012</v>
      </c>
      <c r="H47" s="29" t="n">
        <v>25.6275050625183</v>
      </c>
      <c r="I47" s="23" t="n">
        <f aca="false">IF(H47&lt;0,"",(Depth0-MIN(Depth0,H47))/Depth_per_q)</f>
        <v>0.593123734370423</v>
      </c>
      <c r="J47" s="23" t="n">
        <f aca="false">IF(I47="","",Fee*$A47+Vq*I47)</f>
        <v>10.8949898749634</v>
      </c>
      <c r="K47" s="29" t="n">
        <v>26.0156742669378</v>
      </c>
      <c r="L47" s="23" t="n">
        <f aca="false">IF(K47&lt;0,"",(Depth0-MIN(Depth0,K47))/Depth_per_q)</f>
        <v>0.496081433265553</v>
      </c>
      <c r="M47" s="23" t="n">
        <f aca="false">IF(L47="","",Fee*$A47+Vq*L47)</f>
        <v>10.1186514661244</v>
      </c>
    </row>
    <row r="48" customFormat="false" ht="15" hidden="false" customHeight="false" outlineLevel="0" collapsed="false">
      <c r="A48" s="11" t="n">
        <v>210</v>
      </c>
      <c r="B48" s="29" t="n">
        <v>23.5723518703758</v>
      </c>
      <c r="C48" s="23" t="n">
        <f aca="false">IF(B48&lt;0,"",(Depth0-MIN(Depth0,B48))/Depth_per_q)</f>
        <v>1.10691203240605</v>
      </c>
      <c r="D48" s="23" t="n">
        <f aca="false">IF(C48="","",Fee*$A48+Vq*C48)</f>
        <v>15.1552962592484</v>
      </c>
      <c r="E48" s="29" t="n">
        <v>25.1950668805489</v>
      </c>
      <c r="F48" s="23" t="n">
        <f aca="false">IF(E48&lt;0,"",(Depth0-MIN(Depth0,E48))/Depth_per_q)</f>
        <v>0.701233279862787</v>
      </c>
      <c r="G48" s="23" t="n">
        <f aca="false">IF(F48="","",Fee*$A48+Vq*F48)</f>
        <v>11.9098662389023</v>
      </c>
      <c r="H48" s="29" t="n">
        <v>25.6464270589149</v>
      </c>
      <c r="I48" s="23" t="n">
        <f aca="false">IF(H48&lt;0,"",(Depth0-MIN(Depth0,H48))/Depth_per_q)</f>
        <v>0.588393235271282</v>
      </c>
      <c r="J48" s="23" t="n">
        <f aca="false">IF(I48="","",Fee*$A48+Vq*I48)</f>
        <v>11.0071458821703</v>
      </c>
      <c r="K48" s="29" t="n">
        <v>26.0446145387263</v>
      </c>
      <c r="L48" s="23" t="n">
        <f aca="false">IF(K48&lt;0,"",(Depth0-MIN(Depth0,K48))/Depth_per_q)</f>
        <v>0.488846365318418</v>
      </c>
      <c r="M48" s="23" t="n">
        <f aca="false">IF(L48="","",Fee*$A48+Vq*L48)</f>
        <v>10.2107709225473</v>
      </c>
    </row>
    <row r="49" customFormat="false" ht="15" hidden="false" customHeight="false" outlineLevel="0" collapsed="false">
      <c r="A49" s="11" t="n">
        <v>215</v>
      </c>
      <c r="B49" s="29" t="n">
        <v>23.6017247374337</v>
      </c>
      <c r="C49" s="23" t="n">
        <f aca="false">IF(B49&lt;0,"",(Depth0-MIN(Depth0,B49))/Depth_per_q)</f>
        <v>1.09956881564159</v>
      </c>
      <c r="D49" s="23" t="n">
        <f aca="false">IF(C49="","",Fee*$A49+Vq*C49)</f>
        <v>15.2465505251327</v>
      </c>
      <c r="E49" s="29" t="n">
        <v>25.2246972692093</v>
      </c>
      <c r="F49" s="23" t="n">
        <f aca="false">IF(E49&lt;0,"",(Depth0-MIN(Depth0,E49))/Depth_per_q)</f>
        <v>0.693825682697675</v>
      </c>
      <c r="G49" s="23" t="n">
        <f aca="false">IF(F49="","",Fee*$A49+Vq*F49)</f>
        <v>12.0006054615814</v>
      </c>
      <c r="H49" s="29" t="n">
        <v>25.6726755647455</v>
      </c>
      <c r="I49" s="23" t="n">
        <f aca="false">IF(H49&lt;0,"",(Depth0-MIN(Depth0,H49))/Depth_per_q)</f>
        <v>0.581831108813628</v>
      </c>
      <c r="J49" s="23" t="n">
        <f aca="false">IF(I49="","",Fee*$A49+Vq*I49)</f>
        <v>11.104648870509</v>
      </c>
      <c r="K49" s="29" t="n">
        <v>26.0657675166394</v>
      </c>
      <c r="L49" s="23" t="n">
        <f aca="false">IF(K49&lt;0,"",(Depth0-MIN(Depth0,K49))/Depth_per_q)</f>
        <v>0.483558120840143</v>
      </c>
      <c r="M49" s="23" t="n">
        <f aca="false">IF(L49="","",Fee*$A49+Vq*L49)</f>
        <v>10.3184649667211</v>
      </c>
    </row>
    <row r="50" customFormat="false" ht="15" hidden="false" customHeight="false" outlineLevel="0" collapsed="false">
      <c r="A50" s="11" t="n">
        <v>220</v>
      </c>
      <c r="B50" s="29" t="n">
        <v>23.6195273834986</v>
      </c>
      <c r="C50" s="23" t="n">
        <f aca="false">IF(B50&lt;0,"",(Depth0-MIN(Depth0,B50))/Depth_per_q)</f>
        <v>1.09511815412535</v>
      </c>
      <c r="D50" s="23" t="n">
        <f aca="false">IF(C50="","",Fee*$A50+Vq*C50)</f>
        <v>15.3609452330028</v>
      </c>
      <c r="E50" s="29" t="n">
        <v>25.238887917733</v>
      </c>
      <c r="F50" s="23" t="n">
        <f aca="false">IF(E50&lt;0,"",(Depth0-MIN(Depth0,E50))/Depth_per_q)</f>
        <v>0.690278020566757</v>
      </c>
      <c r="G50" s="23" t="n">
        <f aca="false">IF(F50="","",Fee*$A50+Vq*F50)</f>
        <v>12.1222241645341</v>
      </c>
      <c r="H50" s="29" t="n">
        <v>25.6854411642918</v>
      </c>
      <c r="I50" s="23" t="n">
        <f aca="false">IF(H50&lt;0,"",(Depth0-MIN(Depth0,H50))/Depth_per_q)</f>
        <v>0.57863970892705</v>
      </c>
      <c r="J50" s="23" t="n">
        <f aca="false">IF(I50="","",Fee*$A50+Vq*I50)</f>
        <v>11.2291176714164</v>
      </c>
      <c r="K50" s="29" t="n">
        <v>26.0840932834389</v>
      </c>
      <c r="L50" s="23" t="n">
        <f aca="false">IF(K50&lt;0,"",(Depth0-MIN(Depth0,K50))/Depth_per_q)</f>
        <v>0.478976679140275</v>
      </c>
      <c r="M50" s="23" t="n">
        <f aca="false">IF(L50="","",Fee*$A50+Vq*L50)</f>
        <v>10.4318134331222</v>
      </c>
    </row>
    <row r="51" customFormat="false" ht="15" hidden="false" customHeight="false" outlineLevel="0" collapsed="false">
      <c r="A51" s="11" t="n">
        <v>225</v>
      </c>
      <c r="B51" s="29" t="n">
        <v>23.6307704671781</v>
      </c>
      <c r="C51" s="23" t="n">
        <f aca="false">IF(B51&lt;0,"",(Depth0-MIN(Depth0,B51))/Depth_per_q)</f>
        <v>1.09230738320547</v>
      </c>
      <c r="D51" s="23" t="n">
        <f aca="false">IF(C51="","",Fee*$A51+Vq*C51)</f>
        <v>15.4884590656437</v>
      </c>
      <c r="E51" s="29" t="n">
        <v>25.2548927849521</v>
      </c>
      <c r="F51" s="23" t="n">
        <f aca="false">IF(E51&lt;0,"",(Depth0-MIN(Depth0,E51))/Depth_per_q)</f>
        <v>0.686276803761975</v>
      </c>
      <c r="G51" s="23" t="n">
        <f aca="false">IF(F51="","",Fee*$A51+Vq*F51)</f>
        <v>12.2402144300958</v>
      </c>
      <c r="H51" s="29" t="n">
        <v>25.6949396591106</v>
      </c>
      <c r="I51" s="23" t="n">
        <f aca="false">IF(H51&lt;0,"",(Depth0-MIN(Depth0,H51))/Depth_per_q)</f>
        <v>0.57626508522234</v>
      </c>
      <c r="J51" s="23" t="n">
        <f aca="false">IF(I51="","",Fee*$A51+Vq*I51)</f>
        <v>11.3601206817787</v>
      </c>
      <c r="K51" s="29" t="n">
        <v>26.091918004721</v>
      </c>
      <c r="L51" s="23" t="n">
        <f aca="false">IF(K51&lt;0,"",(Depth0-MIN(Depth0,K51))/Depth_per_q)</f>
        <v>0.477020498819752</v>
      </c>
      <c r="M51" s="23" t="n">
        <f aca="false">IF(L51="","",Fee*$A51+Vq*L51)</f>
        <v>10.566163990558</v>
      </c>
    </row>
    <row r="52" customFormat="false" ht="15" hidden="false" customHeight="false" outlineLevel="0" collapsed="false">
      <c r="A52" s="11" t="n">
        <v>230</v>
      </c>
      <c r="B52" s="29" t="n">
        <v>23.6420209264744</v>
      </c>
      <c r="C52" s="23" t="n">
        <f aca="false">IF(B52&lt;0,"",(Depth0-MIN(Depth0,B52))/Depth_per_q)</f>
        <v>1.0894947683814</v>
      </c>
      <c r="D52" s="23" t="n">
        <f aca="false">IF(C52="","",Fee*$A52+Vq*C52)</f>
        <v>15.6159581470512</v>
      </c>
      <c r="E52" s="29" t="n">
        <v>25.2663161055177</v>
      </c>
      <c r="F52" s="23" t="n">
        <f aca="false">IF(E52&lt;0,"",(Depth0-MIN(Depth0,E52))/Depth_per_q)</f>
        <v>0.683420973620588</v>
      </c>
      <c r="G52" s="23" t="n">
        <f aca="false">IF(F52="","",Fee*$A52+Vq*F52)</f>
        <v>12.3673677889647</v>
      </c>
      <c r="H52" s="29" t="n">
        <v>25.7049402785857</v>
      </c>
      <c r="I52" s="23" t="n">
        <f aca="false">IF(H52&lt;0,"",(Depth0-MIN(Depth0,H52))/Depth_per_q)</f>
        <v>0.573764930353573</v>
      </c>
      <c r="J52" s="23" t="n">
        <f aca="false">IF(I52="","",Fee*$A52+Vq*I52)</f>
        <v>11.4901194428286</v>
      </c>
      <c r="K52" s="29" t="n">
        <v>26.1048844111035</v>
      </c>
      <c r="L52" s="23" t="n">
        <f aca="false">IF(K52&lt;0,"",(Depth0-MIN(Depth0,K52))/Depth_per_q)</f>
        <v>0.47377889722412</v>
      </c>
      <c r="M52" s="23" t="n">
        <f aca="false">IF(L52="","",Fee*$A52+Vq*L52)</f>
        <v>10.690231177793</v>
      </c>
    </row>
    <row r="53" customFormat="false" ht="15" hidden="false" customHeight="false" outlineLevel="0" collapsed="false">
      <c r="A53" s="11" t="n">
        <v>235</v>
      </c>
      <c r="B53" s="29" t="n">
        <v>23.6500647725715</v>
      </c>
      <c r="C53" s="23" t="n">
        <f aca="false">IF(B53&lt;0,"",(Depth0-MIN(Depth0,B53))/Depth_per_q)</f>
        <v>1.08748380685712</v>
      </c>
      <c r="D53" s="23" t="n">
        <f aca="false">IF(C53="","",Fee*$A53+Vq*C53)</f>
        <v>15.749870454857</v>
      </c>
      <c r="E53" s="29" t="n">
        <v>25.2766314014833</v>
      </c>
      <c r="F53" s="23" t="n">
        <f aca="false">IF(E53&lt;0,"",(Depth0-MIN(Depth0,E53))/Depth_per_q)</f>
        <v>0.680842149629178</v>
      </c>
      <c r="G53" s="23" t="n">
        <f aca="false">IF(F53="","",Fee*$A53+Vq*F53)</f>
        <v>12.4967371970334</v>
      </c>
      <c r="H53" s="29" t="n">
        <v>25.7067290745691</v>
      </c>
      <c r="I53" s="23" t="n">
        <f aca="false">IF(H53&lt;0,"",(Depth0-MIN(Depth0,H53))/Depth_per_q)</f>
        <v>0.573317731357722</v>
      </c>
      <c r="J53" s="23" t="n">
        <f aca="false">IF(I53="","",Fee*$A53+Vq*I53)</f>
        <v>11.6365418508618</v>
      </c>
      <c r="K53" s="29" t="n">
        <v>26.1122591871659</v>
      </c>
      <c r="L53" s="23" t="n">
        <f aca="false">IF(K53&lt;0,"",(Depth0-MIN(Depth0,K53))/Depth_per_q)</f>
        <v>0.47193520320852</v>
      </c>
      <c r="M53" s="23" t="n">
        <f aca="false">IF(L53="","",Fee*$A53+Vq*L53)</f>
        <v>10.8254816256682</v>
      </c>
    </row>
    <row r="54" customFormat="false" ht="15" hidden="false" customHeight="false" outlineLevel="0" collapsed="false">
      <c r="A54" s="11" t="n">
        <v>240</v>
      </c>
      <c r="B54" s="29" t="n">
        <v>23.6671614182362</v>
      </c>
      <c r="C54" s="23" t="n">
        <f aca="false">IF(B54&lt;0,"",(Depth0-MIN(Depth0,B54))/Depth_per_q)</f>
        <v>1.08320964544095</v>
      </c>
      <c r="D54" s="23" t="n">
        <f aca="false">IF(C54="","",Fee*$A54+Vq*C54)</f>
        <v>15.8656771635276</v>
      </c>
      <c r="E54" s="29" t="n">
        <v>25.2903970913954</v>
      </c>
      <c r="F54" s="23" t="n">
        <f aca="false">IF(E54&lt;0,"",(Depth0-MIN(Depth0,E54))/Depth_per_q)</f>
        <v>0.677400727151152</v>
      </c>
      <c r="G54" s="23" t="n">
        <f aca="false">IF(F54="","",Fee*$A54+Vq*F54)</f>
        <v>12.6192058172092</v>
      </c>
      <c r="H54" s="29" t="n">
        <v>25.7132920386439</v>
      </c>
      <c r="I54" s="23" t="n">
        <f aca="false">IF(H54&lt;0,"",(Depth0-MIN(Depth0,H54))/Depth_per_q)</f>
        <v>0.571676990339025</v>
      </c>
      <c r="J54" s="23" t="n">
        <f aca="false">IF(I54="","",Fee*$A54+Vq*I54)</f>
        <v>11.7734159227122</v>
      </c>
      <c r="K54" s="29" t="n">
        <v>26.1154078413611</v>
      </c>
      <c r="L54" s="23" t="n">
        <f aca="false">IF(K54&lt;0,"",(Depth0-MIN(Depth0,K54))/Depth_per_q)</f>
        <v>0.471148039659715</v>
      </c>
      <c r="M54" s="23" t="n">
        <f aca="false">IF(L54="","",Fee*$A54+Vq*L54)</f>
        <v>10.9691843172777</v>
      </c>
    </row>
    <row r="55" customFormat="false" ht="15" hidden="false" customHeight="false" outlineLevel="0" collapsed="false">
      <c r="A55" s="11" t="n">
        <v>245</v>
      </c>
      <c r="B55" s="29" t="n">
        <v>23.6828317215227</v>
      </c>
      <c r="C55" s="23" t="n">
        <f aca="false">IF(B55&lt;0,"",(Depth0-MIN(Depth0,B55))/Depth_per_q)</f>
        <v>1.07929206961933</v>
      </c>
      <c r="D55" s="23" t="n">
        <f aca="false">IF(C55="","",Fee*$A55+Vq*C55)</f>
        <v>15.9843365569546</v>
      </c>
      <c r="E55" s="29" t="n">
        <v>25.2961556635104</v>
      </c>
      <c r="F55" s="23" t="n">
        <f aca="false">IF(E55&lt;0,"",(Depth0-MIN(Depth0,E55))/Depth_per_q)</f>
        <v>0.675961084122397</v>
      </c>
      <c r="G55" s="23" t="n">
        <f aca="false">IF(F55="","",Fee*$A55+Vq*F55)</f>
        <v>12.7576886729792</v>
      </c>
      <c r="H55" s="29" t="n">
        <v>25.7273166346147</v>
      </c>
      <c r="I55" s="23" t="n">
        <f aca="false">IF(H55&lt;0,"",(Depth0-MIN(Depth0,H55))/Depth_per_q)</f>
        <v>0.568170841346325</v>
      </c>
      <c r="J55" s="23" t="n">
        <f aca="false">IF(I55="","",Fee*$A55+Vq*I55)</f>
        <v>11.8953667307706</v>
      </c>
      <c r="K55" s="29" t="n">
        <v>26.125993295811</v>
      </c>
      <c r="L55" s="23" t="n">
        <f aca="false">IF(K55&lt;0,"",(Depth0-MIN(Depth0,K55))/Depth_per_q)</f>
        <v>0.46850167604724</v>
      </c>
      <c r="M55" s="23" t="n">
        <f aca="false">IF(L55="","",Fee*$A55+Vq*L55)</f>
        <v>11.0980134083779</v>
      </c>
    </row>
    <row r="56" customFormat="false" ht="15" hidden="false" customHeight="false" outlineLevel="0" collapsed="false">
      <c r="A56" s="11" t="n">
        <v>250</v>
      </c>
      <c r="B56" s="29" t="n">
        <v>23.686867862262</v>
      </c>
      <c r="C56" s="23" t="n">
        <f aca="false">IF(B56&lt;0,"",(Depth0-MIN(Depth0,B56))/Depth_per_q)</f>
        <v>1.07828303443451</v>
      </c>
      <c r="D56" s="23" t="n">
        <f aca="false">IF(C56="","",Fee*$A56+Vq*C56)</f>
        <v>16.1262642754761</v>
      </c>
      <c r="E56" s="29" t="n">
        <v>25.3045954380199</v>
      </c>
      <c r="F56" s="23" t="n">
        <f aca="false">IF(E56&lt;0,"",(Depth0-MIN(Depth0,E56))/Depth_per_q)</f>
        <v>0.673851140495017</v>
      </c>
      <c r="G56" s="23" t="n">
        <f aca="false">IF(F56="","",Fee*$A56+Vq*F56)</f>
        <v>12.8908091239601</v>
      </c>
      <c r="H56" s="29" t="n">
        <v>25.7329656372131</v>
      </c>
      <c r="I56" s="23" t="n">
        <f aca="false">IF(H56&lt;0,"",(Depth0-MIN(Depth0,H56))/Depth_per_q)</f>
        <v>0.566758590696725</v>
      </c>
      <c r="J56" s="23" t="n">
        <f aca="false">IF(I56="","",Fee*$A56+Vq*I56)</f>
        <v>12.0340687255738</v>
      </c>
      <c r="K56" s="29" t="n">
        <v>26.1275254989054</v>
      </c>
      <c r="L56" s="23" t="n">
        <f aca="false">IF(K56&lt;0,"",(Depth0-MIN(Depth0,K56))/Depth_per_q)</f>
        <v>0.46811862527365</v>
      </c>
      <c r="M56" s="23" t="n">
        <f aca="false">IF(L56="","",Fee*$A56+Vq*L56)</f>
        <v>11.2449490021892</v>
      </c>
    </row>
    <row r="57" customFormat="false" ht="15" hidden="false" customHeight="false" outlineLevel="0" collapsed="false">
      <c r="A57" s="11" t="n">
        <v>255</v>
      </c>
      <c r="B57" s="29" t="n">
        <v>23.6940452202396</v>
      </c>
      <c r="C57" s="23" t="n">
        <f aca="false">IF(B57&lt;0,"",(Depth0-MIN(Depth0,B57))/Depth_per_q)</f>
        <v>1.0764886949401</v>
      </c>
      <c r="D57" s="23" t="n">
        <f aca="false">IF(C57="","",Fee*$A57+Vq*C57)</f>
        <v>16.2619095595208</v>
      </c>
      <c r="E57" s="29" t="n">
        <v>25.3204775143013</v>
      </c>
      <c r="F57" s="23" t="n">
        <f aca="false">IF(E57&lt;0,"",(Depth0-MIN(Depth0,E57))/Depth_per_q)</f>
        <v>0.66988062142468</v>
      </c>
      <c r="G57" s="23" t="n">
        <f aca="false">IF(F57="","",Fee*$A57+Vq*F57)</f>
        <v>13.0090449713974</v>
      </c>
      <c r="H57" s="29" t="n">
        <v>25.7406492685867</v>
      </c>
      <c r="I57" s="23" t="n">
        <f aca="false">IF(H57&lt;0,"",(Depth0-MIN(Depth0,H57))/Depth_per_q)</f>
        <v>0.564837682853315</v>
      </c>
      <c r="J57" s="23" t="n">
        <f aca="false">IF(I57="","",Fee*$A57+Vq*I57)</f>
        <v>12.1687014628265</v>
      </c>
      <c r="K57" s="29" t="n">
        <v>26.1351953058541</v>
      </c>
      <c r="L57" s="23" t="n">
        <f aca="false">IF(K57&lt;0,"",(Depth0-MIN(Depth0,K57))/Depth_per_q)</f>
        <v>0.466201173536475</v>
      </c>
      <c r="M57" s="23" t="n">
        <f aca="false">IF(L57="","",Fee*$A57+Vq*L57)</f>
        <v>11.3796093882918</v>
      </c>
    </row>
    <row r="58" customFormat="false" ht="15" hidden="false" customHeight="false" outlineLevel="0" collapsed="false">
      <c r="A58" s="11" t="n">
        <v>260</v>
      </c>
      <c r="B58" s="29" t="n">
        <v>23.7023337415558</v>
      </c>
      <c r="C58" s="23" t="n">
        <f aca="false">IF(B58&lt;0,"",(Depth0-MIN(Depth0,B58))/Depth_per_q)</f>
        <v>1.07441656461105</v>
      </c>
      <c r="D58" s="23" t="n">
        <f aca="false">IF(C58="","",Fee*$A58+Vq*C58)</f>
        <v>16.3953325168884</v>
      </c>
      <c r="E58" s="29" t="n">
        <v>25.3254688945266</v>
      </c>
      <c r="F58" s="23" t="n">
        <f aca="false">IF(E58&lt;0,"",(Depth0-MIN(Depth0,E58))/Depth_per_q)</f>
        <v>0.668632776368352</v>
      </c>
      <c r="G58" s="23" t="n">
        <f aca="false">IF(F58="","",Fee*$A58+Vq*F58)</f>
        <v>13.1490622109468</v>
      </c>
      <c r="H58" s="29" t="n">
        <v>25.7505927275105</v>
      </c>
      <c r="I58" s="23" t="n">
        <f aca="false">IF(H58&lt;0,"",(Depth0-MIN(Depth0,H58))/Depth_per_q)</f>
        <v>0.562351818122383</v>
      </c>
      <c r="J58" s="23" t="n">
        <f aca="false">IF(I58="","",Fee*$A58+Vq*I58)</f>
        <v>12.2988145449791</v>
      </c>
      <c r="K58" s="29" t="n">
        <v>26.143404188098</v>
      </c>
      <c r="L58" s="23" t="n">
        <f aca="false">IF(K58&lt;0,"",(Depth0-MIN(Depth0,K58))/Depth_per_q)</f>
        <v>0.464148952975495</v>
      </c>
      <c r="M58" s="23" t="n">
        <f aca="false">IF(L58="","",Fee*$A58+Vq*L58)</f>
        <v>11.513191623804</v>
      </c>
    </row>
    <row r="59" customFormat="false" ht="15" hidden="false" customHeight="false" outlineLevel="0" collapsed="false">
      <c r="A59" s="11" t="n">
        <v>265</v>
      </c>
      <c r="B59" s="29" t="n">
        <v>23.7093556283937</v>
      </c>
      <c r="C59" s="23" t="n">
        <f aca="false">IF(B59&lt;0,"",(Depth0-MIN(Depth0,B59))/Depth_per_q)</f>
        <v>1.07266109290158</v>
      </c>
      <c r="D59" s="23" t="n">
        <f aca="false">IF(C59="","",Fee*$A59+Vq*C59)</f>
        <v>16.5312887432126</v>
      </c>
      <c r="E59" s="29" t="n">
        <v>25.3296945542935</v>
      </c>
      <c r="F59" s="23" t="n">
        <f aca="false">IF(E59&lt;0,"",(Depth0-MIN(Depth0,E59))/Depth_per_q)</f>
        <v>0.667576361426625</v>
      </c>
      <c r="G59" s="23" t="n">
        <f aca="false">IF(F59="","",Fee*$A59+Vq*F59)</f>
        <v>13.290610891413</v>
      </c>
      <c r="H59" s="29" t="n">
        <v>25.7558005200321</v>
      </c>
      <c r="I59" s="23" t="n">
        <f aca="false">IF(H59&lt;0,"",(Depth0-MIN(Depth0,H59))/Depth_per_q)</f>
        <v>0.561049869991965</v>
      </c>
      <c r="J59" s="23" t="n">
        <f aca="false">IF(I59="","",Fee*$A59+Vq*I59)</f>
        <v>12.4383989599357</v>
      </c>
      <c r="K59" s="29" t="n">
        <v>26.1458053474641</v>
      </c>
      <c r="L59" s="23" t="n">
        <f aca="false">IF(K59&lt;0,"",(Depth0-MIN(Depth0,K59))/Depth_per_q)</f>
        <v>0.46354866313398</v>
      </c>
      <c r="M59" s="23" t="n">
        <f aca="false">IF(L59="","",Fee*$A59+Vq*L59)</f>
        <v>11.6583893050718</v>
      </c>
    </row>
    <row r="60" customFormat="false" ht="15" hidden="false" customHeight="false" outlineLevel="0" collapsed="false">
      <c r="A60" s="11" t="n">
        <v>270</v>
      </c>
      <c r="B60" s="29" t="n">
        <v>23.7106797233106</v>
      </c>
      <c r="C60" s="23" t="n">
        <f aca="false">IF(B60&lt;0,"",(Depth0-MIN(Depth0,B60))/Depth_per_q)</f>
        <v>1.07233006917235</v>
      </c>
      <c r="D60" s="23" t="n">
        <f aca="false">IF(C60="","",Fee*$A60+Vq*C60)</f>
        <v>16.6786405533788</v>
      </c>
      <c r="E60" s="29" t="n">
        <v>25.3320465713354</v>
      </c>
      <c r="F60" s="23" t="n">
        <f aca="false">IF(E60&lt;0,"",(Depth0-MIN(Depth0,E60))/Depth_per_q)</f>
        <v>0.666988357166158</v>
      </c>
      <c r="G60" s="23" t="n">
        <f aca="false">IF(F60="","",Fee*$A60+Vq*F60)</f>
        <v>13.4359068573293</v>
      </c>
      <c r="H60" s="29" t="n">
        <v>25.7575571977766</v>
      </c>
      <c r="I60" s="23" t="n">
        <f aca="false">IF(H60&lt;0,"",(Depth0-MIN(Depth0,H60))/Depth_per_q)</f>
        <v>0.560610700555848</v>
      </c>
      <c r="J60" s="23" t="n">
        <f aca="false">IF(I60="","",Fee*$A60+Vq*I60)</f>
        <v>12.5848856044468</v>
      </c>
      <c r="K60" s="29" t="n">
        <v>26.1490167704782</v>
      </c>
      <c r="L60" s="23" t="n">
        <f aca="false">IF(K60&lt;0,"",(Depth0-MIN(Depth0,K60))/Depth_per_q)</f>
        <v>0.462745807380455</v>
      </c>
      <c r="M60" s="23" t="n">
        <f aca="false">IF(L60="","",Fee*$A60+Vq*L60)</f>
        <v>11.8019664590436</v>
      </c>
    </row>
    <row r="61" customFormat="false" ht="15" hidden="false" customHeight="false" outlineLevel="0" collapsed="false">
      <c r="A61" s="11" t="n">
        <v>275</v>
      </c>
      <c r="B61" s="29" t="n">
        <v>23.7112269310721</v>
      </c>
      <c r="C61" s="23" t="n">
        <f aca="false">IF(B61&lt;0,"",(Depth0-MIN(Depth0,B61))/Depth_per_q)</f>
        <v>1.07219326723199</v>
      </c>
      <c r="D61" s="23" t="n">
        <f aca="false">IF(C61="","",Fee*$A61+Vq*C61)</f>
        <v>16.8275461378559</v>
      </c>
      <c r="E61" s="29" t="n">
        <v>25.3360089653584</v>
      </c>
      <c r="F61" s="23" t="n">
        <f aca="false">IF(E61&lt;0,"",(Depth0-MIN(Depth0,E61))/Depth_per_q)</f>
        <v>0.665997758660413</v>
      </c>
      <c r="G61" s="23" t="n">
        <f aca="false">IF(F61="","",Fee*$A61+Vq*F61)</f>
        <v>13.5779820692833</v>
      </c>
      <c r="H61" s="29" t="n">
        <v>25.7615518758545</v>
      </c>
      <c r="I61" s="23" t="n">
        <f aca="false">IF(H61&lt;0,"",(Depth0-MIN(Depth0,H61))/Depth_per_q)</f>
        <v>0.55961203103637</v>
      </c>
      <c r="J61" s="23" t="n">
        <f aca="false">IF(I61="","",Fee*$A61+Vq*I61)</f>
        <v>12.726896248291</v>
      </c>
      <c r="K61" s="29" t="n">
        <v>26.1509984945699</v>
      </c>
      <c r="L61" s="23" t="n">
        <f aca="false">IF(K61&lt;0,"",(Depth0-MIN(Depth0,K61))/Depth_per_q)</f>
        <v>0.46225037635752</v>
      </c>
      <c r="M61" s="23" t="n">
        <f aca="false">IF(L61="","",Fee*$A61+Vq*L61)</f>
        <v>11.9480030108602</v>
      </c>
    </row>
    <row r="62" customFormat="false" ht="15" hidden="false" customHeight="false" outlineLevel="0" collapsed="false">
      <c r="A62" s="11" t="n">
        <v>280</v>
      </c>
      <c r="B62" s="29" t="n">
        <v>23.7115620051925</v>
      </c>
      <c r="C62" s="23" t="n">
        <f aca="false">IF(B62&lt;0,"",(Depth0-MIN(Depth0,B62))/Depth_per_q)</f>
        <v>1.07210949870189</v>
      </c>
      <c r="D62" s="23" t="n">
        <f aca="false">IF(C62="","",Fee*$A62+Vq*C62)</f>
        <v>16.9768759896151</v>
      </c>
      <c r="E62" s="29" t="n">
        <v>25.3375309656236</v>
      </c>
      <c r="F62" s="23" t="n">
        <f aca="false">IF(E62&lt;0,"",(Depth0-MIN(Depth0,E62))/Depth_per_q)</f>
        <v>0.665617258594113</v>
      </c>
      <c r="G62" s="23" t="n">
        <f aca="false">IF(F62="","",Fee*$A62+Vq*F62)</f>
        <v>13.7249380687529</v>
      </c>
      <c r="H62" s="29" t="n">
        <v>25.7654958086679</v>
      </c>
      <c r="I62" s="23" t="n">
        <f aca="false">IF(H62&lt;0,"",(Depth0-MIN(Depth0,H62))/Depth_per_q)</f>
        <v>0.558626047833028</v>
      </c>
      <c r="J62" s="23" t="n">
        <f aca="false">IF(I62="","",Fee*$A62+Vq*I62)</f>
        <v>12.8690083826642</v>
      </c>
      <c r="K62" s="29" t="n">
        <v>26.1523655842657</v>
      </c>
      <c r="L62" s="23" t="n">
        <f aca="false">IF(K62&lt;0,"",(Depth0-MIN(Depth0,K62))/Depth_per_q)</f>
        <v>0.46190860393358</v>
      </c>
      <c r="M62" s="23" t="n">
        <f aca="false">IF(L62="","",Fee*$A62+Vq*L62)</f>
        <v>12.0952688314686</v>
      </c>
    </row>
    <row r="63" customFormat="false" ht="15" hidden="false" customHeight="false" outlineLevel="0" collapsed="false">
      <c r="A63" s="11" t="n">
        <v>285</v>
      </c>
      <c r="B63" s="29" t="n">
        <v>23.7121228217314</v>
      </c>
      <c r="C63" s="23" t="n">
        <f aca="false">IF(B63&lt;0,"",(Depth0-MIN(Depth0,B63))/Depth_per_q)</f>
        <v>1.07196929456714</v>
      </c>
      <c r="D63" s="23" t="n">
        <f aca="false">IF(C63="","",Fee*$A63+Vq*C63)</f>
        <v>17.1257543565371</v>
      </c>
      <c r="E63" s="29" t="n">
        <v>25.3400469549552</v>
      </c>
      <c r="F63" s="23" t="n">
        <f aca="false">IF(E63&lt;0,"",(Depth0-MIN(Depth0,E63))/Depth_per_q)</f>
        <v>0.664988261261192</v>
      </c>
      <c r="G63" s="23" t="n">
        <f aca="false">IF(F63="","",Fee*$A63+Vq*F63)</f>
        <v>13.8699060900895</v>
      </c>
      <c r="H63" s="29" t="n">
        <v>25.7690210258901</v>
      </c>
      <c r="I63" s="23" t="n">
        <f aca="false">IF(H63&lt;0,"",(Depth0-MIN(Depth0,H63))/Depth_per_q)</f>
        <v>0.557744743527477</v>
      </c>
      <c r="J63" s="23" t="n">
        <f aca="false">IF(I63="","",Fee*$A63+Vq*I63)</f>
        <v>13.0119579482198</v>
      </c>
      <c r="K63" s="29" t="n">
        <v>26.1558022526898</v>
      </c>
      <c r="L63" s="23" t="n">
        <f aca="false">IF(K63&lt;0,"",(Depth0-MIN(Depth0,K63))/Depth_per_q)</f>
        <v>0.46104943682755</v>
      </c>
      <c r="M63" s="23" t="n">
        <f aca="false">IF(L63="","",Fee*$A63+Vq*L63)</f>
        <v>12.2383954946204</v>
      </c>
    </row>
    <row r="64" customFormat="false" ht="15" hidden="false" customHeight="false" outlineLevel="0" collapsed="false">
      <c r="A64" s="11" t="n">
        <v>290</v>
      </c>
      <c r="B64" s="29" t="n">
        <v>23.7125904677563</v>
      </c>
      <c r="C64" s="23" t="n">
        <f aca="false">IF(B64&lt;0,"",(Depth0-MIN(Depth0,B64))/Depth_per_q)</f>
        <v>1.07185238306093</v>
      </c>
      <c r="D64" s="23" t="n">
        <f aca="false">IF(C64="","",Fee*$A64+Vq*C64)</f>
        <v>17.2748190644875</v>
      </c>
      <c r="E64" s="29" t="n">
        <v>25.3400469549552</v>
      </c>
      <c r="F64" s="23" t="n">
        <f aca="false">IF(E64&lt;0,"",(Depth0-MIN(Depth0,E64))/Depth_per_q)</f>
        <v>0.664988261261192</v>
      </c>
      <c r="G64" s="23" t="n">
        <f aca="false">IF(F64="","",Fee*$A64+Vq*F64)</f>
        <v>14.0199060900895</v>
      </c>
      <c r="H64" s="29" t="n">
        <v>25.7713289527543</v>
      </c>
      <c r="I64" s="23" t="n">
        <f aca="false">IF(H64&lt;0,"",(Depth0-MIN(Depth0,H64))/Depth_per_q)</f>
        <v>0.557167761811425</v>
      </c>
      <c r="J64" s="23" t="n">
        <f aca="false">IF(I64="","",Fee*$A64+Vq*I64)</f>
        <v>13.1573420944914</v>
      </c>
      <c r="K64" s="29" t="n">
        <v>26.158713118252</v>
      </c>
      <c r="L64" s="23" t="n">
        <f aca="false">IF(K64&lt;0,"",(Depth0-MIN(Depth0,K64))/Depth_per_q)</f>
        <v>0.460321720437007</v>
      </c>
      <c r="M64" s="23" t="n">
        <f aca="false">IF(L64="","",Fee*$A64+Vq*L64)</f>
        <v>12.3825737634961</v>
      </c>
    </row>
    <row r="65" customFormat="false" ht="15" hidden="false" customHeight="false" outlineLevel="0" collapsed="false">
      <c r="A65" s="11" t="n">
        <v>295</v>
      </c>
      <c r="B65" s="29" t="n">
        <v>23.7183151081841</v>
      </c>
      <c r="C65" s="23" t="n">
        <f aca="false">IF(B65&lt;0,"",(Depth0-MIN(Depth0,B65))/Depth_per_q)</f>
        <v>1.07042122295397</v>
      </c>
      <c r="D65" s="23" t="n">
        <f aca="false">IF(C65="","",Fee*$A65+Vq*C65)</f>
        <v>17.4133697836318</v>
      </c>
      <c r="E65" s="29" t="n">
        <v>25.3400469549552</v>
      </c>
      <c r="F65" s="23" t="n">
        <f aca="false">IF(E65&lt;0,"",(Depth0-MIN(Depth0,E65))/Depth_per_q)</f>
        <v>0.664988261261192</v>
      </c>
      <c r="G65" s="23" t="n">
        <f aca="false">IF(F65="","",Fee*$A65+Vq*F65)</f>
        <v>14.1699060900895</v>
      </c>
      <c r="H65" s="29" t="n">
        <v>25.7713289527543</v>
      </c>
      <c r="I65" s="23" t="n">
        <f aca="false">IF(H65&lt;0,"",(Depth0-MIN(Depth0,H65))/Depth_per_q)</f>
        <v>0.557167761811425</v>
      </c>
      <c r="J65" s="23" t="n">
        <f aca="false">IF(I65="","",Fee*$A65+Vq*I65)</f>
        <v>13.3073420944914</v>
      </c>
      <c r="K65" s="29" t="n">
        <v>26.158713118252</v>
      </c>
      <c r="L65" s="23" t="n">
        <f aca="false">IF(K65&lt;0,"",(Depth0-MIN(Depth0,K65))/Depth_per_q)</f>
        <v>0.460321720437007</v>
      </c>
      <c r="M65" s="23" t="n">
        <f aca="false">IF(L65="","",Fee*$A65+Vq*L65)</f>
        <v>12.5325737634961</v>
      </c>
    </row>
    <row r="66" customFormat="false" ht="15" hidden="false" customHeight="false" outlineLevel="0" collapsed="false">
      <c r="A66" s="11" t="n">
        <v>300</v>
      </c>
      <c r="B66" s="29" t="n">
        <v>23.7244188243801</v>
      </c>
      <c r="C66" s="23" t="n">
        <f aca="false">IF(B66&lt;0,"",(Depth0-MIN(Depth0,B66))/Depth_per_q)</f>
        <v>1.06889529390498</v>
      </c>
      <c r="D66" s="23" t="n">
        <f aca="false">IF(C66="","",Fee*$A66+Vq*C66)</f>
        <v>17.5511623512398</v>
      </c>
      <c r="E66" s="29" t="n">
        <v>25.3402023345288</v>
      </c>
      <c r="F66" s="23" t="n">
        <f aca="false">IF(E66&lt;0,"",(Depth0-MIN(Depth0,E66))/Depth_per_q)</f>
        <v>0.66494941636779</v>
      </c>
      <c r="G66" s="23" t="n">
        <f aca="false">IF(F66="","",Fee*$A66+Vq*F66)</f>
        <v>14.3195953309423</v>
      </c>
      <c r="H66" s="29" t="n">
        <v>25.7729480363854</v>
      </c>
      <c r="I66" s="23" t="n">
        <f aca="false">IF(H66&lt;0,"",(Depth0-MIN(Depth0,H66))/Depth_per_q)</f>
        <v>0.55676299090365</v>
      </c>
      <c r="J66" s="23" t="n">
        <f aca="false">IF(I66="","",Fee*$A66+Vq*I66)</f>
        <v>13.4541039272292</v>
      </c>
      <c r="K66" s="29" t="n">
        <v>26.158713118252</v>
      </c>
      <c r="L66" s="23" t="n">
        <f aca="false">IF(K66&lt;0,"",(Depth0-MIN(Depth0,K66))/Depth_per_q)</f>
        <v>0.460321720437007</v>
      </c>
      <c r="M66" s="23" t="n">
        <f aca="false">IF(L66="","",Fee*$A66+Vq*L66)</f>
        <v>12.6825737634961</v>
      </c>
    </row>
    <row r="67" customFormat="false" ht="15" hidden="false" customHeight="false" outlineLevel="0" collapsed="false">
      <c r="A67" s="11" t="n">
        <v>305</v>
      </c>
      <c r="B67" s="29" t="n">
        <v>23.7244188243801</v>
      </c>
      <c r="C67" s="23" t="n">
        <f aca="false">IF(B67&lt;0,"",(Depth0-MIN(Depth0,B67))/Depth_per_q)</f>
        <v>1.06889529390498</v>
      </c>
      <c r="D67" s="23" t="n">
        <f aca="false">IF(C67="","",Fee*$A67+Vq*C67)</f>
        <v>17.7011623512398</v>
      </c>
      <c r="E67" s="29" t="n">
        <v>25.3425117037632</v>
      </c>
      <c r="F67" s="23" t="n">
        <f aca="false">IF(E67&lt;0,"",(Depth0-MIN(Depth0,E67))/Depth_per_q)</f>
        <v>0.66437207405919</v>
      </c>
      <c r="G67" s="23" t="n">
        <f aca="false">IF(F67="","",Fee*$A67+Vq*F67)</f>
        <v>14.4649765924735</v>
      </c>
      <c r="H67" s="29" t="n">
        <v>25.7729480363854</v>
      </c>
      <c r="I67" s="23" t="n">
        <f aca="false">IF(H67&lt;0,"",(Depth0-MIN(Depth0,H67))/Depth_per_q)</f>
        <v>0.55676299090365</v>
      </c>
      <c r="J67" s="23" t="n">
        <f aca="false">IF(I67="","",Fee*$A67+Vq*I67)</f>
        <v>13.6041039272292</v>
      </c>
      <c r="K67" s="29" t="n">
        <v>26.1590292068983</v>
      </c>
      <c r="L67" s="23" t="n">
        <f aca="false">IF(K67&lt;0,"",(Depth0-MIN(Depth0,K67))/Depth_per_q)</f>
        <v>0.460242698275438</v>
      </c>
      <c r="M67" s="23" t="n">
        <f aca="false">IF(L67="","",Fee*$A67+Vq*L67)</f>
        <v>12.8319415862035</v>
      </c>
    </row>
    <row r="68" customFormat="false" ht="15" hidden="false" customHeight="false" outlineLevel="0" collapsed="false">
      <c r="A68" s="11" t="n">
        <v>310</v>
      </c>
      <c r="B68" s="29" t="n">
        <v>23.7248316477895</v>
      </c>
      <c r="C68" s="23" t="n">
        <f aca="false">IF(B68&lt;0,"",(Depth0-MIN(Depth0,B68))/Depth_per_q)</f>
        <v>1.06879208805264</v>
      </c>
      <c r="D68" s="23" t="n">
        <f aca="false">IF(C68="","",Fee*$A68+Vq*C68)</f>
        <v>17.8503367044211</v>
      </c>
      <c r="E68" s="29" t="n">
        <v>25.345361353132</v>
      </c>
      <c r="F68" s="23" t="n">
        <f aca="false">IF(E68&lt;0,"",(Depth0-MIN(Depth0,E68))/Depth_per_q)</f>
        <v>0.663659661716998</v>
      </c>
      <c r="G68" s="23" t="n">
        <f aca="false">IF(F68="","",Fee*$A68+Vq*F68)</f>
        <v>14.609277293736</v>
      </c>
      <c r="H68" s="29" t="n">
        <v>25.774180135561</v>
      </c>
      <c r="I68" s="23" t="n">
        <f aca="false">IF(H68&lt;0,"",(Depth0-MIN(Depth0,H68))/Depth_per_q)</f>
        <v>0.55645496610976</v>
      </c>
      <c r="J68" s="23" t="n">
        <f aca="false">IF(I68="","",Fee*$A68+Vq*I68)</f>
        <v>13.7516397288781</v>
      </c>
      <c r="K68" s="29" t="n">
        <v>26.1597459312623</v>
      </c>
      <c r="L68" s="23" t="n">
        <f aca="false">IF(K68&lt;0,"",(Depth0-MIN(Depth0,K68))/Depth_per_q)</f>
        <v>0.460063517184425</v>
      </c>
      <c r="M68" s="23" t="n">
        <f aca="false">IF(L68="","",Fee*$A68+Vq*L68)</f>
        <v>12.9805081374754</v>
      </c>
    </row>
    <row r="69" customFormat="false" ht="15" hidden="false" customHeight="false" outlineLevel="0" collapsed="false">
      <c r="A69" s="11" t="n">
        <v>315</v>
      </c>
      <c r="B69" s="29" t="n">
        <v>23.7256760968743</v>
      </c>
      <c r="C69" s="23" t="n">
        <f aca="false">IF(B69&lt;0,"",(Depth0-MIN(Depth0,B69))/Depth_per_q)</f>
        <v>1.06858097578143</v>
      </c>
      <c r="D69" s="23" t="n">
        <f aca="false">IF(C69="","",Fee*$A69+Vq*C69)</f>
        <v>17.9986478062515</v>
      </c>
      <c r="E69" s="29" t="n">
        <v>25.345361353132</v>
      </c>
      <c r="F69" s="23" t="n">
        <f aca="false">IF(E69&lt;0,"",(Depth0-MIN(Depth0,E69))/Depth_per_q)</f>
        <v>0.663659661716998</v>
      </c>
      <c r="G69" s="23" t="n">
        <f aca="false">IF(F69="","",Fee*$A69+Vq*F69)</f>
        <v>14.759277293736</v>
      </c>
      <c r="H69" s="29" t="n">
        <v>25.7777676925534</v>
      </c>
      <c r="I69" s="23" t="n">
        <f aca="false">IF(H69&lt;0,"",(Depth0-MIN(Depth0,H69))/Depth_per_q)</f>
        <v>0.555558076861643</v>
      </c>
      <c r="J69" s="23" t="n">
        <f aca="false">IF(I69="","",Fee*$A69+Vq*I69)</f>
        <v>13.8944646148931</v>
      </c>
      <c r="K69" s="29" t="n">
        <v>26.1620040708157</v>
      </c>
      <c r="L69" s="23" t="n">
        <f aca="false">IF(K69&lt;0,"",(Depth0-MIN(Depth0,K69))/Depth_per_q)</f>
        <v>0.459498982296085</v>
      </c>
      <c r="M69" s="23" t="n">
        <f aca="false">IF(L69="","",Fee*$A69+Vq*L69)</f>
        <v>13.1259918583687</v>
      </c>
    </row>
    <row r="70" customFormat="false" ht="15" hidden="false" customHeight="false" outlineLevel="0" collapsed="false">
      <c r="A70" s="11" t="n">
        <v>320</v>
      </c>
      <c r="B70" s="29" t="n">
        <v>23.7256760968743</v>
      </c>
      <c r="C70" s="23" t="n">
        <f aca="false">IF(B70&lt;0,"",(Depth0-MIN(Depth0,B70))/Depth_per_q)</f>
        <v>1.06858097578143</v>
      </c>
      <c r="D70" s="23" t="n">
        <f aca="false">IF(C70="","",Fee*$A70+Vq*C70)</f>
        <v>18.1486478062515</v>
      </c>
      <c r="E70" s="29" t="n">
        <v>25.3490804753232</v>
      </c>
      <c r="F70" s="23" t="n">
        <f aca="false">IF(E70&lt;0,"",(Depth0-MIN(Depth0,E70))/Depth_per_q)</f>
        <v>0.662729881169202</v>
      </c>
      <c r="G70" s="23" t="n">
        <f aca="false">IF(F70="","",Fee*$A70+Vq*F70)</f>
        <v>14.9018390493536</v>
      </c>
      <c r="H70" s="29" t="n">
        <v>25.7785499132228</v>
      </c>
      <c r="I70" s="23" t="n">
        <f aca="false">IF(H70&lt;0,"",(Depth0-MIN(Depth0,H70))/Depth_per_q)</f>
        <v>0.5553625216943</v>
      </c>
      <c r="J70" s="23" t="n">
        <f aca="false">IF(I70="","",Fee*$A70+Vq*I70)</f>
        <v>14.0429001735544</v>
      </c>
      <c r="K70" s="29" t="n">
        <v>26.1620040708157</v>
      </c>
      <c r="L70" s="23" t="n">
        <f aca="false">IF(K70&lt;0,"",(Depth0-MIN(Depth0,K70))/Depth_per_q)</f>
        <v>0.459498982296085</v>
      </c>
      <c r="M70" s="23" t="n">
        <f aca="false">IF(L70="","",Fee*$A70+Vq*L70)</f>
        <v>13.2759918583687</v>
      </c>
    </row>
    <row r="71" customFormat="false" ht="15" hidden="false" customHeight="false" outlineLevel="0" collapsed="false">
      <c r="A71" s="11" t="n">
        <v>325</v>
      </c>
      <c r="B71" s="29" t="n">
        <v>23.7256760968743</v>
      </c>
      <c r="C71" s="23" t="n">
        <f aca="false">IF(B71&lt;0,"",(Depth0-MIN(Depth0,B71))/Depth_per_q)</f>
        <v>1.06858097578143</v>
      </c>
      <c r="D71" s="23" t="n">
        <f aca="false">IF(C71="","",Fee*$A71+Vq*C71)</f>
        <v>18.2986478062515</v>
      </c>
      <c r="E71" s="29" t="n">
        <v>25.3494357230591</v>
      </c>
      <c r="F71" s="23" t="n">
        <f aca="false">IF(E71&lt;0,"",(Depth0-MIN(Depth0,E71))/Depth_per_q)</f>
        <v>0.662641069235227</v>
      </c>
      <c r="G71" s="23" t="n">
        <f aca="false">IF(F71="","",Fee*$A71+Vq*F71)</f>
        <v>15.0511285538818</v>
      </c>
      <c r="H71" s="29" t="n">
        <v>25.7786880001065</v>
      </c>
      <c r="I71" s="23" t="n">
        <f aca="false">IF(H71&lt;0,"",(Depth0-MIN(Depth0,H71))/Depth_per_q)</f>
        <v>0.555327999973367</v>
      </c>
      <c r="J71" s="23" t="n">
        <f aca="false">IF(I71="","",Fee*$A71+Vq*I71)</f>
        <v>14.1926239997869</v>
      </c>
      <c r="K71" s="29" t="n">
        <v>26.1625647606461</v>
      </c>
      <c r="L71" s="23" t="n">
        <f aca="false">IF(K71&lt;0,"",(Depth0-MIN(Depth0,K71))/Depth_per_q)</f>
        <v>0.459358809838482</v>
      </c>
      <c r="M71" s="23" t="n">
        <f aca="false">IF(L71="","",Fee*$A71+Vq*L71)</f>
        <v>13.4248704787079</v>
      </c>
    </row>
    <row r="72" customFormat="false" ht="15" hidden="false" customHeight="false" outlineLevel="0" collapsed="false">
      <c r="A72" s="11" t="n">
        <v>330</v>
      </c>
      <c r="B72" s="29" t="n">
        <v>23.7256760968743</v>
      </c>
      <c r="C72" s="23" t="n">
        <f aca="false">IF(B72&lt;0,"",(Depth0-MIN(Depth0,B72))/Depth_per_q)</f>
        <v>1.06858097578143</v>
      </c>
      <c r="D72" s="23" t="n">
        <f aca="false">IF(C72="","",Fee*$A72+Vq*C72)</f>
        <v>18.4486478062515</v>
      </c>
      <c r="E72" s="29" t="n">
        <v>25.3494357230591</v>
      </c>
      <c r="F72" s="23" t="n">
        <f aca="false">IF(E72&lt;0,"",(Depth0-MIN(Depth0,E72))/Depth_per_q)</f>
        <v>0.662641069235227</v>
      </c>
      <c r="G72" s="23" t="n">
        <f aca="false">IF(F72="","",Fee*$A72+Vq*F72)</f>
        <v>15.2011285538818</v>
      </c>
      <c r="H72" s="29" t="n">
        <v>25.7786880001065</v>
      </c>
      <c r="I72" s="23" t="n">
        <f aca="false">IF(H72&lt;0,"",(Depth0-MIN(Depth0,H72))/Depth_per_q)</f>
        <v>0.555327999973367</v>
      </c>
      <c r="J72" s="23" t="n">
        <f aca="false">IF(I72="","",Fee*$A72+Vq*I72)</f>
        <v>14.3426239997869</v>
      </c>
      <c r="K72" s="29" t="n">
        <v>26.1630334144017</v>
      </c>
      <c r="L72" s="23" t="n">
        <f aca="false">IF(K72&lt;0,"",(Depth0-MIN(Depth0,K72))/Depth_per_q)</f>
        <v>0.459241646399573</v>
      </c>
      <c r="M72" s="23" t="n">
        <f aca="false">IF(L72="","",Fee*$A72+Vq*L72)</f>
        <v>13.5739331711966</v>
      </c>
    </row>
    <row r="73" customFormat="false" ht="15" hidden="false" customHeight="false" outlineLevel="0" collapsed="false">
      <c r="A73" s="11" t="n">
        <v>335</v>
      </c>
      <c r="B73" s="29" t="n">
        <v>23.7256760968743</v>
      </c>
      <c r="C73" s="23" t="n">
        <f aca="false">IF(B73&lt;0,"",(Depth0-MIN(Depth0,B73))/Depth_per_q)</f>
        <v>1.06858097578143</v>
      </c>
      <c r="D73" s="23" t="n">
        <f aca="false">IF(C73="","",Fee*$A73+Vq*C73)</f>
        <v>18.5986478062515</v>
      </c>
      <c r="E73" s="29" t="n">
        <v>25.3494357230591</v>
      </c>
      <c r="F73" s="23" t="n">
        <f aca="false">IF(E73&lt;0,"",(Depth0-MIN(Depth0,E73))/Depth_per_q)</f>
        <v>0.662641069235227</v>
      </c>
      <c r="G73" s="23" t="n">
        <f aca="false">IF(F73="","",Fee*$A73+Vq*F73)</f>
        <v>15.3511285538818</v>
      </c>
      <c r="H73" s="29" t="n">
        <v>25.7786880001065</v>
      </c>
      <c r="I73" s="23" t="n">
        <f aca="false">IF(H73&lt;0,"",(Depth0-MIN(Depth0,H73))/Depth_per_q)</f>
        <v>0.555327999973367</v>
      </c>
      <c r="J73" s="23" t="n">
        <f aca="false">IF(I73="","",Fee*$A73+Vq*I73)</f>
        <v>14.4926239997869</v>
      </c>
      <c r="K73" s="29" t="n">
        <v>26.1630334144017</v>
      </c>
      <c r="L73" s="23" t="n">
        <f aca="false">IF(K73&lt;0,"",(Depth0-MIN(Depth0,K73))/Depth_per_q)</f>
        <v>0.459241646399573</v>
      </c>
      <c r="M73" s="23" t="n">
        <f aca="false">IF(L73="","",Fee*$A73+Vq*L73)</f>
        <v>13.7239331711966</v>
      </c>
    </row>
    <row r="74" customFormat="false" ht="15" hidden="false" customHeight="false" outlineLevel="0" collapsed="false">
      <c r="A74" s="11" t="n">
        <v>340</v>
      </c>
      <c r="B74" s="29" t="n">
        <v>23.7272592467115</v>
      </c>
      <c r="C74" s="23" t="n">
        <f aca="false">IF(B74&lt;0,"",(Depth0-MIN(Depth0,B74))/Depth_per_q)</f>
        <v>1.06818518832212</v>
      </c>
      <c r="D74" s="23" t="n">
        <f aca="false">IF(C74="","",Fee*$A74+Vq*C74)</f>
        <v>18.7454815065769</v>
      </c>
      <c r="E74" s="29" t="n">
        <v>25.3494357230591</v>
      </c>
      <c r="F74" s="23" t="n">
        <f aca="false">IF(E74&lt;0,"",(Depth0-MIN(Depth0,E74))/Depth_per_q)</f>
        <v>0.662641069235227</v>
      </c>
      <c r="G74" s="23" t="n">
        <f aca="false">IF(F74="","",Fee*$A74+Vq*F74)</f>
        <v>15.5011285538818</v>
      </c>
      <c r="H74" s="29" t="n">
        <v>25.7786880001065</v>
      </c>
      <c r="I74" s="23" t="n">
        <f aca="false">IF(H74&lt;0,"",(Depth0-MIN(Depth0,H74))/Depth_per_q)</f>
        <v>0.555327999973367</v>
      </c>
      <c r="J74" s="23" t="n">
        <f aca="false">IF(I74="","",Fee*$A74+Vq*I74)</f>
        <v>14.6426239997869</v>
      </c>
      <c r="K74" s="29" t="n">
        <v>26.1630334144017</v>
      </c>
      <c r="L74" s="23" t="n">
        <f aca="false">IF(K74&lt;0,"",(Depth0-MIN(Depth0,K74))/Depth_per_q)</f>
        <v>0.459241646399573</v>
      </c>
      <c r="M74" s="23" t="n">
        <f aca="false">IF(L74="","",Fee*$A74+Vq*L74)</f>
        <v>13.8739331711966</v>
      </c>
    </row>
    <row r="75" customFormat="false" ht="15" hidden="false" customHeight="false" outlineLevel="0" collapsed="false">
      <c r="A75" s="11" t="n">
        <v>345</v>
      </c>
      <c r="B75" s="29" t="n">
        <v>23.7272592467115</v>
      </c>
      <c r="C75" s="23" t="n">
        <f aca="false">IF(B75&lt;0,"",(Depth0-MIN(Depth0,B75))/Depth_per_q)</f>
        <v>1.06818518832212</v>
      </c>
      <c r="D75" s="23" t="n">
        <f aca="false">IF(C75="","",Fee*$A75+Vq*C75)</f>
        <v>18.8954815065769</v>
      </c>
      <c r="E75" s="29" t="n">
        <v>25.3494357230591</v>
      </c>
      <c r="F75" s="23" t="n">
        <f aca="false">IF(E75&lt;0,"",(Depth0-MIN(Depth0,E75))/Depth_per_q)</f>
        <v>0.662641069235227</v>
      </c>
      <c r="G75" s="23" t="n">
        <f aca="false">IF(F75="","",Fee*$A75+Vq*F75)</f>
        <v>15.6511285538818</v>
      </c>
      <c r="H75" s="29" t="n">
        <v>25.7786880001065</v>
      </c>
      <c r="I75" s="23" t="n">
        <f aca="false">IF(H75&lt;0,"",(Depth0-MIN(Depth0,H75))/Depth_per_q)</f>
        <v>0.555327999973367</v>
      </c>
      <c r="J75" s="23" t="n">
        <f aca="false">IF(I75="","",Fee*$A75+Vq*I75)</f>
        <v>14.7926239997869</v>
      </c>
      <c r="K75" s="29" t="n">
        <v>26.1630334144017</v>
      </c>
      <c r="L75" s="23" t="n">
        <f aca="false">IF(K75&lt;0,"",(Depth0-MIN(Depth0,K75))/Depth_per_q)</f>
        <v>0.459241646399573</v>
      </c>
      <c r="M75" s="23" t="n">
        <f aca="false">IF(L75="","",Fee*$A75+Vq*L75)</f>
        <v>14.0239331711966</v>
      </c>
    </row>
    <row r="76" customFormat="false" ht="15" hidden="false" customHeight="false" outlineLevel="0" collapsed="false">
      <c r="A76" s="11" t="n">
        <v>350</v>
      </c>
      <c r="B76" s="29" t="n">
        <v>23.7272592467115</v>
      </c>
      <c r="C76" s="23" t="n">
        <f aca="false">IF(B76&lt;0,"",(Depth0-MIN(Depth0,B76))/Depth_per_q)</f>
        <v>1.06818518832212</v>
      </c>
      <c r="D76" s="23" t="n">
        <f aca="false">IF(C76="","",Fee*$A76+Vq*C76)</f>
        <v>19.0454815065769</v>
      </c>
      <c r="E76" s="29" t="n">
        <v>25.350757516771</v>
      </c>
      <c r="F76" s="23" t="n">
        <f aca="false">IF(E76&lt;0,"",(Depth0-MIN(Depth0,E76))/Depth_per_q)</f>
        <v>0.66231062080724</v>
      </c>
      <c r="G76" s="23" t="n">
        <f aca="false">IF(F76="","",Fee*$A76+Vq*F76)</f>
        <v>15.7984849664579</v>
      </c>
      <c r="H76" s="29" t="n">
        <v>25.7786880001065</v>
      </c>
      <c r="I76" s="23" t="n">
        <f aca="false">IF(H76&lt;0,"",(Depth0-MIN(Depth0,H76))/Depth_per_q)</f>
        <v>0.555327999973367</v>
      </c>
      <c r="J76" s="23" t="n">
        <f aca="false">IF(I76="","",Fee*$A76+Vq*I76)</f>
        <v>14.9426239997869</v>
      </c>
      <c r="K76" s="29" t="n">
        <v>26.1630334144017</v>
      </c>
      <c r="L76" s="23" t="n">
        <f aca="false">IF(K76&lt;0,"",(Depth0-MIN(Depth0,K76))/Depth_per_q)</f>
        <v>0.459241646399573</v>
      </c>
      <c r="M76" s="23" t="n">
        <f aca="false">IF(L76="","",Fee*$A76+Vq*L76)</f>
        <v>14.1739331711966</v>
      </c>
    </row>
    <row r="77" customFormat="false" ht="15" hidden="false" customHeight="false" outlineLevel="0" collapsed="false">
      <c r="A77" s="11" t="n">
        <v>355</v>
      </c>
      <c r="B77" s="29" t="n">
        <v>23.7272592467115</v>
      </c>
      <c r="C77" s="23" t="n">
        <f aca="false">IF(B77&lt;0,"",(Depth0-MIN(Depth0,B77))/Depth_per_q)</f>
        <v>1.06818518832212</v>
      </c>
      <c r="D77" s="23" t="n">
        <f aca="false">IF(C77="","",Fee*$A77+Vq*C77)</f>
        <v>19.1954815065769</v>
      </c>
      <c r="E77" s="29" t="n">
        <v>25.350757516771</v>
      </c>
      <c r="F77" s="23" t="n">
        <f aca="false">IF(E77&lt;0,"",(Depth0-MIN(Depth0,E77))/Depth_per_q)</f>
        <v>0.66231062080724</v>
      </c>
      <c r="G77" s="23" t="n">
        <f aca="false">IF(F77="","",Fee*$A77+Vq*F77)</f>
        <v>15.9484849664579</v>
      </c>
      <c r="H77" s="29" t="n">
        <v>25.7815183665581</v>
      </c>
      <c r="I77" s="23" t="n">
        <f aca="false">IF(H77&lt;0,"",(Depth0-MIN(Depth0,H77))/Depth_per_q)</f>
        <v>0.554620408360475</v>
      </c>
      <c r="J77" s="23" t="n">
        <f aca="false">IF(I77="","",Fee*$A77+Vq*I77)</f>
        <v>15.0869632668838</v>
      </c>
      <c r="K77" s="29" t="n">
        <v>26.1639079897429</v>
      </c>
      <c r="L77" s="23" t="n">
        <f aca="false">IF(K77&lt;0,"",(Depth0-MIN(Depth0,K77))/Depth_per_q)</f>
        <v>0.459023002564288</v>
      </c>
      <c r="M77" s="23" t="n">
        <f aca="false">IF(L77="","",Fee*$A77+Vq*L77)</f>
        <v>14.3221840205143</v>
      </c>
    </row>
    <row r="78" customFormat="false" ht="15" hidden="false" customHeight="false" outlineLevel="0" collapsed="false">
      <c r="A78" s="11" t="n">
        <v>360</v>
      </c>
      <c r="B78" s="29" t="n">
        <v>23.7272592467115</v>
      </c>
      <c r="C78" s="23" t="n">
        <f aca="false">IF(B78&lt;0,"",(Depth0-MIN(Depth0,B78))/Depth_per_q)</f>
        <v>1.06818518832212</v>
      </c>
      <c r="D78" s="23" t="n">
        <f aca="false">IF(C78="","",Fee*$A78+Vq*C78)</f>
        <v>19.3454815065769</v>
      </c>
      <c r="E78" s="29" t="n">
        <v>25.350757516771</v>
      </c>
      <c r="F78" s="23" t="n">
        <f aca="false">IF(E78&lt;0,"",(Depth0-MIN(Depth0,E78))/Depth_per_q)</f>
        <v>0.66231062080724</v>
      </c>
      <c r="G78" s="23" t="n">
        <f aca="false">IF(F78="","",Fee*$A78+Vq*F78)</f>
        <v>16.0984849664579</v>
      </c>
      <c r="H78" s="29" t="n">
        <v>25.7815183665581</v>
      </c>
      <c r="I78" s="23" t="n">
        <f aca="false">IF(H78&lt;0,"",(Depth0-MIN(Depth0,H78))/Depth_per_q)</f>
        <v>0.554620408360475</v>
      </c>
      <c r="J78" s="23" t="n">
        <f aca="false">IF(I78="","",Fee*$A78+Vq*I78)</f>
        <v>15.2369632668838</v>
      </c>
      <c r="K78" s="29" t="n">
        <v>26.1639079897429</v>
      </c>
      <c r="L78" s="23" t="n">
        <f aca="false">IF(K78&lt;0,"",(Depth0-MIN(Depth0,K78))/Depth_per_q)</f>
        <v>0.459023002564288</v>
      </c>
      <c r="M78" s="23" t="n">
        <f aca="false">IF(L78="","",Fee*$A78+Vq*L78)</f>
        <v>14.4721840205143</v>
      </c>
    </row>
    <row r="79" customFormat="false" ht="15" hidden="false" customHeight="false" outlineLevel="0" collapsed="false">
      <c r="A79" s="11" t="n">
        <v>365</v>
      </c>
      <c r="B79" s="29" t="n">
        <v>23.7272592467115</v>
      </c>
      <c r="C79" s="23" t="n">
        <f aca="false">IF(B79&lt;0,"",(Depth0-MIN(Depth0,B79))/Depth_per_q)</f>
        <v>1.06818518832212</v>
      </c>
      <c r="D79" s="23" t="n">
        <f aca="false">IF(C79="","",Fee*$A79+Vq*C79)</f>
        <v>19.4954815065769</v>
      </c>
      <c r="E79" s="29" t="n">
        <v>25.350757516771</v>
      </c>
      <c r="F79" s="23" t="n">
        <f aca="false">IF(E79&lt;0,"",(Depth0-MIN(Depth0,E79))/Depth_per_q)</f>
        <v>0.66231062080724</v>
      </c>
      <c r="G79" s="23" t="n">
        <f aca="false">IF(F79="","",Fee*$A79+Vq*F79)</f>
        <v>16.2484849664579</v>
      </c>
      <c r="H79" s="29" t="n">
        <v>25.7815183665581</v>
      </c>
      <c r="I79" s="23" t="n">
        <f aca="false">IF(H79&lt;0,"",(Depth0-MIN(Depth0,H79))/Depth_per_q)</f>
        <v>0.554620408360475</v>
      </c>
      <c r="J79" s="23" t="n">
        <f aca="false">IF(I79="","",Fee*$A79+Vq*I79)</f>
        <v>15.3869632668838</v>
      </c>
      <c r="K79" s="29" t="n">
        <v>26.1639079897429</v>
      </c>
      <c r="L79" s="23" t="n">
        <f aca="false">IF(K79&lt;0,"",(Depth0-MIN(Depth0,K79))/Depth_per_q)</f>
        <v>0.459023002564288</v>
      </c>
      <c r="M79" s="23" t="n">
        <f aca="false">IF(L79="","",Fee*$A79+Vq*L79)</f>
        <v>14.6221840205143</v>
      </c>
    </row>
    <row r="80" customFormat="false" ht="15" hidden="false" customHeight="false" outlineLevel="0" collapsed="false">
      <c r="A80" s="11" t="n">
        <v>370</v>
      </c>
      <c r="B80" s="29" t="n">
        <v>23.7272592467115</v>
      </c>
      <c r="C80" s="23" t="n">
        <f aca="false">IF(B80&lt;0,"",(Depth0-MIN(Depth0,B80))/Depth_per_q)</f>
        <v>1.06818518832212</v>
      </c>
      <c r="D80" s="23" t="n">
        <f aca="false">IF(C80="","",Fee*$A80+Vq*C80)</f>
        <v>19.6454815065769</v>
      </c>
      <c r="E80" s="29" t="n">
        <v>25.350757516771</v>
      </c>
      <c r="F80" s="23" t="n">
        <f aca="false">IF(E80&lt;0,"",(Depth0-MIN(Depth0,E80))/Depth_per_q)</f>
        <v>0.66231062080724</v>
      </c>
      <c r="G80" s="23" t="n">
        <f aca="false">IF(F80="","",Fee*$A80+Vq*F80)</f>
        <v>16.3984849664579</v>
      </c>
      <c r="H80" s="29" t="n">
        <v>25.7815183665581</v>
      </c>
      <c r="I80" s="23" t="n">
        <f aca="false">IF(H80&lt;0,"",(Depth0-MIN(Depth0,H80))/Depth_per_q)</f>
        <v>0.554620408360475</v>
      </c>
      <c r="J80" s="23" t="n">
        <f aca="false">IF(I80="","",Fee*$A80+Vq*I80)</f>
        <v>15.5369632668838</v>
      </c>
      <c r="K80" s="29" t="n">
        <v>26.1639079897429</v>
      </c>
      <c r="L80" s="23" t="n">
        <f aca="false">IF(K80&lt;0,"",(Depth0-MIN(Depth0,K80))/Depth_per_q)</f>
        <v>0.459023002564288</v>
      </c>
      <c r="M80" s="23" t="n">
        <f aca="false">IF(L80="","",Fee*$A80+Vq*L80)</f>
        <v>14.7721840205143</v>
      </c>
    </row>
    <row r="81" customFormat="false" ht="15" hidden="false" customHeight="false" outlineLevel="0" collapsed="false">
      <c r="A81" s="11" t="n">
        <v>375</v>
      </c>
      <c r="B81" s="29" t="n">
        <v>23.7272592467115</v>
      </c>
      <c r="C81" s="23" t="n">
        <f aca="false">IF(B81&lt;0,"",(Depth0-MIN(Depth0,B81))/Depth_per_q)</f>
        <v>1.06818518832212</v>
      </c>
      <c r="D81" s="23" t="n">
        <f aca="false">IF(C81="","",Fee*$A81+Vq*C81)</f>
        <v>19.7954815065769</v>
      </c>
      <c r="E81" s="29" t="n">
        <v>25.350757516771</v>
      </c>
      <c r="F81" s="23" t="n">
        <f aca="false">IF(E81&lt;0,"",(Depth0-MIN(Depth0,E81))/Depth_per_q)</f>
        <v>0.66231062080724</v>
      </c>
      <c r="G81" s="23" t="n">
        <f aca="false">IF(F81="","",Fee*$A81+Vq*F81)</f>
        <v>16.5484849664579</v>
      </c>
      <c r="H81" s="29" t="n">
        <v>25.7815183665581</v>
      </c>
      <c r="I81" s="23" t="n">
        <f aca="false">IF(H81&lt;0,"",(Depth0-MIN(Depth0,H81))/Depth_per_q)</f>
        <v>0.554620408360475</v>
      </c>
      <c r="J81" s="23" t="n">
        <f aca="false">IF(I81="","",Fee*$A81+Vq*I81)</f>
        <v>15.6869632668838</v>
      </c>
      <c r="K81" s="29" t="n">
        <v>26.1639079897429</v>
      </c>
      <c r="L81" s="23" t="n">
        <f aca="false">IF(K81&lt;0,"",(Depth0-MIN(Depth0,K81))/Depth_per_q)</f>
        <v>0.459023002564288</v>
      </c>
      <c r="M81" s="23" t="n">
        <f aca="false">IF(L81="","",Fee*$A81+Vq*L81)</f>
        <v>14.9221840205143</v>
      </c>
    </row>
    <row r="82" customFormat="false" ht="15" hidden="false" customHeight="false" outlineLevel="0" collapsed="false">
      <c r="A82" s="11" t="n">
        <v>380</v>
      </c>
      <c r="B82" s="29" t="n">
        <v>23.7272592467115</v>
      </c>
      <c r="C82" s="23" t="n">
        <f aca="false">IF(B82&lt;0,"",(Depth0-MIN(Depth0,B82))/Depth_per_q)</f>
        <v>1.06818518832212</v>
      </c>
      <c r="D82" s="23" t="n">
        <f aca="false">IF(C82="","",Fee*$A82+Vq*C82)</f>
        <v>19.9454815065769</v>
      </c>
      <c r="E82" s="29" t="n">
        <v>25.350757516771</v>
      </c>
      <c r="F82" s="23" t="n">
        <f aca="false">IF(E82&lt;0,"",(Depth0-MIN(Depth0,E82))/Depth_per_q)</f>
        <v>0.66231062080724</v>
      </c>
      <c r="G82" s="23" t="n">
        <f aca="false">IF(F82="","",Fee*$A82+Vq*F82)</f>
        <v>16.6984849664579</v>
      </c>
      <c r="H82" s="29" t="n">
        <v>25.7815183665581</v>
      </c>
      <c r="I82" s="23" t="n">
        <f aca="false">IF(H82&lt;0,"",(Depth0-MIN(Depth0,H82))/Depth_per_q)</f>
        <v>0.554620408360475</v>
      </c>
      <c r="J82" s="23" t="n">
        <f aca="false">IF(I82="","",Fee*$A82+Vq*I82)</f>
        <v>15.8369632668838</v>
      </c>
      <c r="K82" s="29" t="n">
        <v>26.1639079897429</v>
      </c>
      <c r="L82" s="23" t="n">
        <f aca="false">IF(K82&lt;0,"",(Depth0-MIN(Depth0,K82))/Depth_per_q)</f>
        <v>0.459023002564288</v>
      </c>
      <c r="M82" s="23" t="n">
        <f aca="false">IF(L82="","",Fee*$A82+Vq*L82)</f>
        <v>15.0721840205143</v>
      </c>
    </row>
    <row r="83" customFormat="false" ht="15" hidden="false" customHeight="false" outlineLevel="0" collapsed="false">
      <c r="A83" s="11" t="n">
        <v>385</v>
      </c>
      <c r="B83" s="29" t="n">
        <v>23.7272592467115</v>
      </c>
      <c r="C83" s="23" t="n">
        <f aca="false">IF(B83&lt;0,"",(Depth0-MIN(Depth0,B83))/Depth_per_q)</f>
        <v>1.06818518832212</v>
      </c>
      <c r="D83" s="23" t="n">
        <f aca="false">IF(C83="","",Fee*$A83+Vq*C83)</f>
        <v>20.0954815065769</v>
      </c>
      <c r="E83" s="29" t="n">
        <v>25.350757516771</v>
      </c>
      <c r="F83" s="23" t="n">
        <f aca="false">IF(E83&lt;0,"",(Depth0-MIN(Depth0,E83))/Depth_per_q)</f>
        <v>0.66231062080724</v>
      </c>
      <c r="G83" s="23" t="n">
        <f aca="false">IF(F83="","",Fee*$A83+Vq*F83)</f>
        <v>16.8484849664579</v>
      </c>
      <c r="H83" s="29" t="n">
        <v>25.7815183665581</v>
      </c>
      <c r="I83" s="23" t="n">
        <f aca="false">IF(H83&lt;0,"",(Depth0-MIN(Depth0,H83))/Depth_per_q)</f>
        <v>0.554620408360475</v>
      </c>
      <c r="J83" s="23" t="n">
        <f aca="false">IF(I83="","",Fee*$A83+Vq*I83)</f>
        <v>15.9869632668838</v>
      </c>
      <c r="K83" s="29" t="n">
        <v>26.1639079897429</v>
      </c>
      <c r="L83" s="23" t="n">
        <f aca="false">IF(K83&lt;0,"",(Depth0-MIN(Depth0,K83))/Depth_per_q)</f>
        <v>0.459023002564288</v>
      </c>
      <c r="M83" s="23" t="n">
        <f aca="false">IF(L83="","",Fee*$A83+Vq*L83)</f>
        <v>15.2221840205143</v>
      </c>
    </row>
    <row r="84" customFormat="false" ht="15" hidden="false" customHeight="false" outlineLevel="0" collapsed="false">
      <c r="A84" s="11" t="n">
        <v>390</v>
      </c>
      <c r="B84" s="29" t="n">
        <v>23.7324493205877</v>
      </c>
      <c r="C84" s="23" t="n">
        <f aca="false">IF(B84&lt;0,"",(Depth0-MIN(Depth0,B84))/Depth_per_q)</f>
        <v>1.06688766985307</v>
      </c>
      <c r="D84" s="23" t="n">
        <f aca="false">IF(C84="","",Fee*$A84+Vq*C84)</f>
        <v>20.2351013588245</v>
      </c>
      <c r="E84" s="29" t="n">
        <v>25.350757516771</v>
      </c>
      <c r="F84" s="23" t="n">
        <f aca="false">IF(E84&lt;0,"",(Depth0-MIN(Depth0,E84))/Depth_per_q)</f>
        <v>0.66231062080724</v>
      </c>
      <c r="G84" s="23" t="n">
        <f aca="false">IF(F84="","",Fee*$A84+Vq*F84)</f>
        <v>16.9984849664579</v>
      </c>
      <c r="H84" s="29" t="n">
        <v>25.7815183665581</v>
      </c>
      <c r="I84" s="23" t="n">
        <f aca="false">IF(H84&lt;0,"",(Depth0-MIN(Depth0,H84))/Depth_per_q)</f>
        <v>0.554620408360475</v>
      </c>
      <c r="J84" s="23" t="n">
        <f aca="false">IF(I84="","",Fee*$A84+Vq*I84)</f>
        <v>16.1369632668838</v>
      </c>
      <c r="K84" s="29" t="n">
        <v>26.1639079897429</v>
      </c>
      <c r="L84" s="23" t="n">
        <f aca="false">IF(K84&lt;0,"",(Depth0-MIN(Depth0,K84))/Depth_per_q)</f>
        <v>0.459023002564288</v>
      </c>
      <c r="M84" s="23" t="n">
        <f aca="false">IF(L84="","",Fee*$A84+Vq*L84)</f>
        <v>15.3721840205143</v>
      </c>
    </row>
    <row r="85" customFormat="false" ht="15" hidden="false" customHeight="false" outlineLevel="0" collapsed="false">
      <c r="A85" s="11" t="n">
        <v>395</v>
      </c>
      <c r="B85" s="29" t="n">
        <v>23.7324493205877</v>
      </c>
      <c r="C85" s="23" t="n">
        <f aca="false">IF(B85&lt;0,"",(Depth0-MIN(Depth0,B85))/Depth_per_q)</f>
        <v>1.06688766985307</v>
      </c>
      <c r="D85" s="23" t="n">
        <f aca="false">IF(C85="","",Fee*$A85+Vq*C85)</f>
        <v>20.3851013588245</v>
      </c>
      <c r="E85" s="29" t="n">
        <v>25.350757516771</v>
      </c>
      <c r="F85" s="23" t="n">
        <f aca="false">IF(E85&lt;0,"",(Depth0-MIN(Depth0,E85))/Depth_per_q)</f>
        <v>0.66231062080724</v>
      </c>
      <c r="G85" s="23" t="n">
        <f aca="false">IF(F85="","",Fee*$A85+Vq*F85)</f>
        <v>17.1484849664579</v>
      </c>
      <c r="H85" s="29" t="n">
        <v>25.7815183665581</v>
      </c>
      <c r="I85" s="23" t="n">
        <f aca="false">IF(H85&lt;0,"",(Depth0-MIN(Depth0,H85))/Depth_per_q)</f>
        <v>0.554620408360475</v>
      </c>
      <c r="J85" s="23" t="n">
        <f aca="false">IF(I85="","",Fee*$A85+Vq*I85)</f>
        <v>16.2869632668838</v>
      </c>
      <c r="K85" s="29" t="n">
        <v>26.1639079897429</v>
      </c>
      <c r="L85" s="23" t="n">
        <f aca="false">IF(K85&lt;0,"",(Depth0-MIN(Depth0,K85))/Depth_per_q)</f>
        <v>0.459023002564288</v>
      </c>
      <c r="M85" s="23" t="n">
        <f aca="false">IF(L85="","",Fee*$A85+Vq*L85)</f>
        <v>15.5221840205143</v>
      </c>
    </row>
    <row r="86" customFormat="false" ht="15" hidden="false" customHeight="false" outlineLevel="0" collapsed="false">
      <c r="A86" s="11" t="n">
        <v>400</v>
      </c>
      <c r="B86" s="29" t="n">
        <v>23.7324493205877</v>
      </c>
      <c r="C86" s="23" t="n">
        <f aca="false">IF(B86&lt;0,"",(Depth0-MIN(Depth0,B86))/Depth_per_q)</f>
        <v>1.06688766985307</v>
      </c>
      <c r="D86" s="23" t="n">
        <f aca="false">IF(C86="","",Fee*$A86+Vq*C86)</f>
        <v>20.5351013588245</v>
      </c>
      <c r="E86" s="29" t="n">
        <v>25.3514493839704</v>
      </c>
      <c r="F86" s="23" t="n">
        <f aca="false">IF(E86&lt;0,"",(Depth0-MIN(Depth0,E86))/Depth_per_q)</f>
        <v>0.662137654007397</v>
      </c>
      <c r="G86" s="23" t="n">
        <f aca="false">IF(F86="","",Fee*$A86+Vq*F86)</f>
        <v>17.2971012320592</v>
      </c>
      <c r="H86" s="29" t="n">
        <v>25.7815691566557</v>
      </c>
      <c r="I86" s="23" t="n">
        <f aca="false">IF(H86&lt;0,"",(Depth0-MIN(Depth0,H86))/Depth_per_q)</f>
        <v>0.554607710836082</v>
      </c>
      <c r="J86" s="23" t="n">
        <f aca="false">IF(I86="","",Fee*$A86+Vq*I86)</f>
        <v>16.4368616866887</v>
      </c>
      <c r="K86" s="29" t="n">
        <v>26.1639079897429</v>
      </c>
      <c r="L86" s="23" t="n">
        <f aca="false">IF(K86&lt;0,"",(Depth0-MIN(Depth0,K86))/Depth_per_q)</f>
        <v>0.459023002564288</v>
      </c>
      <c r="M86" s="23" t="n">
        <f aca="false">IF(L86="","",Fee*$A86+Vq*L86)</f>
        <v>15.6721840205143</v>
      </c>
    </row>
    <row r="88" customFormat="false" ht="15" hidden="false" customHeight="false" outlineLevel="0" collapsed="false">
      <c r="A88" s="8" t="s">
        <v>322</v>
      </c>
      <c r="B88" s="8"/>
      <c r="C88" s="8"/>
      <c r="D88" s="8"/>
      <c r="E88" s="8"/>
      <c r="F88" s="8"/>
      <c r="G88" s="8"/>
      <c r="H88" s="8"/>
      <c r="I88" s="8"/>
      <c r="J88" s="8"/>
      <c r="K88" s="8"/>
      <c r="L88" s="8"/>
      <c r="M88" s="8"/>
    </row>
    <row r="89" customFormat="false" ht="15" hidden="false" customHeight="false" outlineLevel="0" collapsed="false">
      <c r="A89" s="2" t="s">
        <v>323</v>
      </c>
      <c r="D89" s="23" t="n">
        <f aca="false">MIN(D6:D86)</f>
        <v>14.668098117088</v>
      </c>
      <c r="G89" s="23" t="n">
        <f aca="false">MIN(G6:G86)</f>
        <v>11.3885043322234</v>
      </c>
      <c r="J89" s="23" t="n">
        <f aca="false">MIN(J6:J86)</f>
        <v>10.440610891413</v>
      </c>
      <c r="M89" s="23" t="n">
        <f aca="false">MIN(M6:M86)</f>
        <v>9.5814895475586</v>
      </c>
    </row>
    <row r="90" customFormat="false" ht="15" hidden="false" customHeight="false" outlineLevel="0" collapsed="false">
      <c r="A90" s="2" t="s">
        <v>324</v>
      </c>
      <c r="D90" s="11" t="n">
        <f aca="false">INDEX($A$6:$A$86,MATCH(D89,D6:D86,0))</f>
        <v>180</v>
      </c>
      <c r="G90" s="11" t="n">
        <f aca="false">INDEX($A$6:$A$86,MATCH(G89,G6:G86,0))</f>
        <v>165</v>
      </c>
      <c r="J90" s="11" t="n">
        <f aca="false">INDEX($A$6:$A$86,MATCH(J89,J6:J86,0))</f>
        <v>170</v>
      </c>
      <c r="M90" s="11" t="n">
        <f aca="false">INDEX($A$6:$A$86,MATCH(M89,M6:M86,0))</f>
        <v>165</v>
      </c>
    </row>
    <row r="91" customFormat="false" ht="15" hidden="false" customHeight="false" outlineLevel="0" collapsed="false">
      <c r="A91" s="2" t="s">
        <v>325</v>
      </c>
      <c r="D91" s="23" t="n">
        <f aca="false">INDEX(C6:C86,MATCH(D89,D6:D86,0))</f>
        <v>1.158512264636</v>
      </c>
      <c r="G91" s="23" t="n">
        <f aca="false">INDEX(F6:F86,MATCH(G89,G6:G86,0))</f>
        <v>0.80481304152793</v>
      </c>
      <c r="J91" s="23" t="n">
        <f aca="false">INDEX(I6:I86,MATCH(J89,J6:J86,0))</f>
        <v>0.667576361426625</v>
      </c>
      <c r="M91" s="23" t="n">
        <f aca="false">INDEX(L6:L86,MATCH(M89,M6:M86,0))</f>
        <v>0.578936193444825</v>
      </c>
    </row>
    <row r="93" customFormat="false" ht="15" hidden="false" customHeight="false" outlineLevel="0" collapsed="false">
      <c r="A93" s="2" t="s">
        <v>326</v>
      </c>
      <c r="B93" s="11" t="n">
        <f aca="false">J90</f>
        <v>170</v>
      </c>
      <c r="C93" s="10" t="s">
        <v>327</v>
      </c>
    </row>
    <row r="94" customFormat="false" ht="15" hidden="false" customHeight="false" outlineLevel="0" collapsed="false">
      <c r="A94" s="2" t="s">
        <v>328</v>
      </c>
      <c r="B94" s="23" t="n">
        <f aca="false">J91</f>
        <v>0.667576361426625</v>
      </c>
      <c r="C94" s="10" t="s">
        <v>329</v>
      </c>
    </row>
    <row r="95" customFormat="false" ht="15" hidden="false" customHeight="false" outlineLevel="0" collapsed="false">
      <c r="A95" s="2" t="s">
        <v>330</v>
      </c>
      <c r="B95" s="23" t="n">
        <f aca="false">J89</f>
        <v>10.440610891413</v>
      </c>
      <c r="C95" s="10" t="s">
        <v>331</v>
      </c>
    </row>
    <row r="96" customFormat="false" ht="15" hidden="false" customHeight="false" outlineLevel="0" collapsed="false">
      <c r="A96" s="2" t="s">
        <v>332</v>
      </c>
      <c r="B96" s="20" t="n">
        <f aca="false">Fee*Line8+Vq*Delay8</f>
        <v>19</v>
      </c>
      <c r="C96" s="10" t="s">
        <v>333</v>
      </c>
    </row>
    <row r="97" customFormat="false" ht="15" hidden="false" customHeight="false" outlineLevel="0" collapsed="false">
      <c r="A97" s="2" t="s">
        <v>334</v>
      </c>
      <c r="B97" s="23" t="n">
        <f aca="false">D89</f>
        <v>14.668098117088</v>
      </c>
      <c r="C97" s="10" t="s">
        <v>335</v>
      </c>
    </row>
    <row r="98" customFormat="false" ht="15" hidden="false" customHeight="false" outlineLevel="0" collapsed="false">
      <c r="A98" s="2" t="s">
        <v>336</v>
      </c>
      <c r="B98" s="23" t="n">
        <f aca="false">B96-B97</f>
        <v>4.33190188291202</v>
      </c>
      <c r="C98" s="10" t="s">
        <v>337</v>
      </c>
    </row>
    <row r="99" customFormat="false" ht="15" hidden="false" customHeight="false" outlineLevel="0" collapsed="false">
      <c r="A99" s="2" t="s">
        <v>338</v>
      </c>
      <c r="B99" s="23" t="n">
        <f aca="false">G89</f>
        <v>11.3885043322234</v>
      </c>
    </row>
    <row r="100" customFormat="false" ht="15" hidden="false" customHeight="false" outlineLevel="0" collapsed="false">
      <c r="A100" s="2" t="s">
        <v>339</v>
      </c>
      <c r="B100" s="23" t="n">
        <f aca="false">M89</f>
        <v>9.5814895475586</v>
      </c>
    </row>
    <row r="101" customFormat="false" ht="15" hidden="false" customHeight="false" outlineLevel="0" collapsed="false">
      <c r="A101" s="2" t="s">
        <v>340</v>
      </c>
      <c r="B101" s="23" t="n">
        <f aca="false">B99-B100</f>
        <v>1.80701478466484</v>
      </c>
      <c r="C101" s="10" t="s">
        <v>341</v>
      </c>
    </row>
    <row r="102" customFormat="false" ht="15" hidden="false" customHeight="false" outlineLevel="0" collapsed="false">
      <c r="A102" s="2" t="s">
        <v>342</v>
      </c>
      <c r="B102" s="17" t="n">
        <f aca="false">100*B101</f>
        <v>180.701478466484</v>
      </c>
      <c r="C102" s="10" t="s">
        <v>343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6"/>
    <col collapsed="false" customWidth="true" hidden="false" outlineLevel="0" max="2" min="2" style="0" width="16"/>
    <col collapsed="false" customWidth="true" hidden="false" outlineLevel="0" max="3" min="3" style="0" width="40"/>
    <col collapsed="false" customWidth="true" hidden="false" outlineLevel="0" max="4" min="4" style="0" width="14"/>
    <col collapsed="false" customWidth="true" hidden="false" outlineLevel="0" max="5" min="5" style="0" width="18"/>
    <col collapsed="false" customWidth="true" hidden="false" outlineLevel="0" max="7" min="6" style="0" width="20"/>
    <col collapsed="false" customWidth="true" hidden="false" outlineLevel="0" max="8" min="8" style="0" width="16"/>
  </cols>
  <sheetData>
    <row r="1" customFormat="false" ht="15" hidden="false" customHeight="false" outlineLevel="0" collapsed="false">
      <c r="A1" s="1" t="s">
        <v>344</v>
      </c>
    </row>
    <row r="2" customFormat="false" ht="15" hidden="false" customHeight="false" outlineLevel="0" collapsed="false">
      <c r="A2" s="10" t="s">
        <v>345</v>
      </c>
    </row>
    <row r="4" customFormat="false" ht="23.85" hidden="false" customHeight="false" outlineLevel="0" collapsed="false">
      <c r="A4" s="8" t="s">
        <v>346</v>
      </c>
      <c r="B4" s="8" t="s">
        <v>347</v>
      </c>
      <c r="C4" s="8" t="s">
        <v>348</v>
      </c>
      <c r="D4" s="8" t="s">
        <v>349</v>
      </c>
      <c r="E4" s="8" t="s">
        <v>350</v>
      </c>
      <c r="F4" s="8" t="s">
        <v>351</v>
      </c>
      <c r="G4" s="8" t="s">
        <v>352</v>
      </c>
      <c r="H4" s="8" t="s">
        <v>353</v>
      </c>
    </row>
    <row r="5" customFormat="false" ht="15" hidden="false" customHeight="false" outlineLevel="0" collapsed="false">
      <c r="A5" s="11" t="n">
        <v>0</v>
      </c>
      <c r="B5" s="20" t="n">
        <f aca="false">A5/4</f>
        <v>0</v>
      </c>
      <c r="C5" s="23" t="n">
        <f aca="false">Liq_target+(100-Liq_target)*EXP(-Relax*B5)</f>
        <v>100</v>
      </c>
      <c r="D5" s="21" t="n">
        <f aca="false">(B5/Tau)*EXP(1-B5/Tau)</f>
        <v>0</v>
      </c>
      <c r="E5" s="17" t="n">
        <f aca="false">Usd_pt*(C5-Depth0*D5)</f>
        <v>620</v>
      </c>
      <c r="F5" s="17" t="n">
        <f aca="false">Usd_pt*(C5-$B$31*D5)</f>
        <v>620</v>
      </c>
      <c r="G5" s="17" t="n">
        <f aca="false">Lam/4*A5*J_mean</f>
        <v>0</v>
      </c>
      <c r="H5" s="17" t="n">
        <f aca="false">E5-G5</f>
        <v>620</v>
      </c>
    </row>
    <row r="6" customFormat="false" ht="15" hidden="false" customHeight="false" outlineLevel="0" collapsed="false">
      <c r="A6" s="11" t="n">
        <v>1</v>
      </c>
      <c r="B6" s="20" t="n">
        <f aca="false">A6/4</f>
        <v>0.25</v>
      </c>
      <c r="C6" s="23" t="n">
        <f aca="false">Liq_target+(100-Liq_target)*EXP(-Relax*B6)</f>
        <v>101.005373540189</v>
      </c>
      <c r="D6" s="21" t="n">
        <f aca="false">(B6/Tau)*EXP(1-B6/Tau)</f>
        <v>0.299859411745887</v>
      </c>
      <c r="E6" s="17" t="n">
        <f aca="false">Usd_pt*(C6-Depth0*D6)</f>
        <v>574.177722070089</v>
      </c>
      <c r="F6" s="17" t="n">
        <f aca="false">Usd_pt*(C6-$B$31*D6)</f>
        <v>579.142162634903</v>
      </c>
      <c r="G6" s="17" t="n">
        <f aca="false">Lam/4*A6*J_mean</f>
        <v>3</v>
      </c>
      <c r="H6" s="17" t="n">
        <f aca="false">E6-G6</f>
        <v>571.177722070089</v>
      </c>
    </row>
    <row r="7" customFormat="false" ht="15" hidden="false" customHeight="false" outlineLevel="0" collapsed="false">
      <c r="A7" s="11" t="n">
        <v>2</v>
      </c>
      <c r="B7" s="20" t="n">
        <f aca="false">A7/4</f>
        <v>0.5</v>
      </c>
      <c r="C7" s="23" t="n">
        <f aca="false">Liq_target+(100-Liq_target)*EXP(-Relax*B7)</f>
        <v>101.92651575077</v>
      </c>
      <c r="D7" s="21" t="n">
        <f aca="false">(B7/Tau)*EXP(1-B7/Tau)</f>
        <v>0.529250004153169</v>
      </c>
      <c r="E7" s="17" t="n">
        <f aca="false">Usd_pt*(C7-Depth0*D7)</f>
        <v>540.066596933781</v>
      </c>
      <c r="F7" s="17" t="n">
        <f aca="false">Usd_pt*(C7-$B$31*D7)</f>
        <v>548.828803776809</v>
      </c>
      <c r="G7" s="17" t="n">
        <f aca="false">Lam/4*A7*J_mean</f>
        <v>6</v>
      </c>
      <c r="H7" s="17" t="n">
        <f aca="false">E7-G7</f>
        <v>534.066596933781</v>
      </c>
    </row>
    <row r="8" customFormat="false" ht="15" hidden="false" customHeight="false" outlineLevel="0" collapsed="false">
      <c r="A8" s="11" t="n">
        <v>3</v>
      </c>
      <c r="B8" s="20" t="n">
        <f aca="false">A8/4</f>
        <v>0.75</v>
      </c>
      <c r="C8" s="23" t="n">
        <f aca="false">Liq_target+(100-Liq_target)*EXP(-Relax*B8)</f>
        <v>102.770483627577</v>
      </c>
      <c r="D8" s="21" t="n">
        <f aca="false">(B8/Tau)*EXP(1-B8/Tau)</f>
        <v>0.700592234037083</v>
      </c>
      <c r="E8" s="17" t="n">
        <f aca="false">Usd_pt*(C8-Depth0*D8)</f>
        <v>515.554186662141</v>
      </c>
      <c r="F8" s="17" t="n">
        <f aca="false">Usd_pt*(C8-$B$31*D8)</f>
        <v>527.153117260308</v>
      </c>
      <c r="G8" s="17" t="n">
        <f aca="false">Lam/4*A8*J_mean</f>
        <v>9</v>
      </c>
      <c r="H8" s="17" t="n">
        <f aca="false">E8-G8</f>
        <v>506.554186662141</v>
      </c>
    </row>
    <row r="9" customFormat="false" ht="15" hidden="false" customHeight="false" outlineLevel="0" collapsed="false">
      <c r="A9" s="11" t="n">
        <v>4</v>
      </c>
      <c r="B9" s="20" t="n">
        <f aca="false">A9/4</f>
        <v>1</v>
      </c>
      <c r="C9" s="23" t="n">
        <f aca="false">Liq_target+(100-Liq_target)*EXP(-Relax*B9)</f>
        <v>103.543742923375</v>
      </c>
      <c r="D9" s="21" t="n">
        <f aca="false">(B9/Tau)*EXP(1-B9/Tau)</f>
        <v>0.824360635350064</v>
      </c>
      <c r="E9" s="17" t="n">
        <f aca="false">Usd_pt*(C9-Depth0*D9)</f>
        <v>498.862199828157</v>
      </c>
      <c r="F9" s="17" t="n">
        <f aca="false">Usd_pt*(C9-$B$31*D9)</f>
        <v>512.510226929725</v>
      </c>
      <c r="G9" s="17" t="n">
        <f aca="false">Lam/4*A9*J_mean</f>
        <v>12</v>
      </c>
      <c r="H9" s="17" t="n">
        <f aca="false">E9-G9</f>
        <v>486.862199828157</v>
      </c>
    </row>
    <row r="10" customFormat="false" ht="15" hidden="false" customHeight="false" outlineLevel="0" collapsed="false">
      <c r="A10" s="11" t="n">
        <v>5</v>
      </c>
      <c r="B10" s="20" t="n">
        <f aca="false">A10/4</f>
        <v>1.25</v>
      </c>
      <c r="C10" s="23" t="n">
        <f aca="false">Liq_target+(100-Liq_target)*EXP(-Relax*B10)</f>
        <v>104.252217682865</v>
      </c>
      <c r="D10" s="21" t="n">
        <f aca="false">(B10/Tau)*EXP(1-B10/Tau)</f>
        <v>0.909369634136376</v>
      </c>
      <c r="E10" s="17" t="n">
        <f aca="false">Usd_pt*(C10-Depth0*D10)</f>
        <v>488.49718114769</v>
      </c>
      <c r="F10" s="17" t="n">
        <f aca="false">Usd_pt*(C10-$B$31*D10)</f>
        <v>503.552608202096</v>
      </c>
      <c r="G10" s="17" t="n">
        <f aca="false">Lam/4*A10*J_mean</f>
        <v>15</v>
      </c>
      <c r="H10" s="17" t="n">
        <f aca="false">E10-G10</f>
        <v>473.49718114769</v>
      </c>
    </row>
    <row r="11" customFormat="false" ht="15" hidden="false" customHeight="false" outlineLevel="0" collapsed="false">
      <c r="A11" s="11" t="n">
        <v>6</v>
      </c>
      <c r="B11" s="20" t="n">
        <f aca="false">A11/4</f>
        <v>1.5</v>
      </c>
      <c r="C11" s="23" t="n">
        <f aca="false">Liq_target+(100-Liq_target)*EXP(-Relax*B11)</f>
        <v>104.901335627598</v>
      </c>
      <c r="D11" s="21" t="n">
        <f aca="false">(B11/Tau)*EXP(1-B11/Tau)</f>
        <v>0.963019062515806</v>
      </c>
      <c r="E11" s="17" t="n">
        <f aca="false">Usd_pt*(C11-Depth0*D11)</f>
        <v>483.208171638365</v>
      </c>
      <c r="F11" s="17" t="n">
        <f aca="false">Usd_pt*(C11-$B$31*D11)</f>
        <v>499.151812929487</v>
      </c>
      <c r="G11" s="17" t="n">
        <f aca="false">Lam/4*A11*J_mean</f>
        <v>18</v>
      </c>
      <c r="H11" s="17" t="n">
        <f aca="false">E11-G11</f>
        <v>465.208171638365</v>
      </c>
    </row>
    <row r="12" customFormat="false" ht="15" hidden="false" customHeight="false" outlineLevel="0" collapsed="false">
      <c r="A12" s="11" t="n">
        <v>7</v>
      </c>
      <c r="B12" s="20" t="n">
        <f aca="false">A12/4</f>
        <v>1.75</v>
      </c>
      <c r="C12" s="23" t="n">
        <f aca="false">Liq_target+(100-Liq_target)*EXP(-Relax*B12)</f>
        <v>105.49606973849</v>
      </c>
      <c r="D12" s="21" t="n">
        <f aca="false">(B12/Tau)*EXP(1-B12/Tau)</f>
        <v>0.991504896433473</v>
      </c>
      <c r="E12" s="17" t="n">
        <f aca="false">Usd_pt*(C12-Depth0*D12)</f>
        <v>481.950382357786</v>
      </c>
      <c r="F12" s="17" t="n">
        <f aca="false">Usd_pt*(C12-$B$31*D12)</f>
        <v>498.36563208901</v>
      </c>
      <c r="G12" s="17" t="n">
        <f aca="false">Lam/4*A12*J_mean</f>
        <v>21</v>
      </c>
      <c r="H12" s="17" t="n">
        <f aca="false">E12-G12</f>
        <v>460.950382357786</v>
      </c>
    </row>
    <row r="13" customFormat="false" ht="15" hidden="false" customHeight="false" outlineLevel="0" collapsed="false">
      <c r="A13" s="11" t="n">
        <v>8</v>
      </c>
      <c r="B13" s="20" t="n">
        <f aca="false">A13/4</f>
        <v>2</v>
      </c>
      <c r="C13" s="23" t="n">
        <f aca="false">Liq_target+(100-Liq_target)*EXP(-Relax*B13)</f>
        <v>106.040976354503</v>
      </c>
      <c r="D13" s="21" t="n">
        <f aca="false">(B13/Tau)*EXP(1-B13/Tau)</f>
        <v>1</v>
      </c>
      <c r="E13" s="17" t="n">
        <f aca="false">Usd_pt*(C13-Depth0*D13)</f>
        <v>483.854053397919</v>
      </c>
      <c r="F13" s="17" t="n">
        <f aca="false">Usd_pt*(C13-$B$31*D13)</f>
        <v>500.4099471613</v>
      </c>
      <c r="G13" s="17" t="n">
        <f aca="false">Lam/4*A13*J_mean</f>
        <v>24</v>
      </c>
      <c r="H13" s="17" t="n">
        <f aca="false">E13-G13</f>
        <v>459.854053397919</v>
      </c>
    </row>
    <row r="14" customFormat="false" ht="15" hidden="false" customHeight="false" outlineLevel="0" collapsed="false">
      <c r="A14" s="11" t="n">
        <v>9</v>
      </c>
      <c r="B14" s="20" t="n">
        <f aca="false">A14/4</f>
        <v>2.25</v>
      </c>
      <c r="C14" s="23" t="n">
        <f aca="false">Liq_target+(100-Liq_target)*EXP(-Relax*B14)</f>
        <v>106.540230079382</v>
      </c>
      <c r="D14" s="21" t="n">
        <f aca="false">(B14/Tau)*EXP(1-B14/Tau)</f>
        <v>0.99280901540767</v>
      </c>
      <c r="E14" s="17" t="n">
        <f aca="false">Usd_pt*(C14-Depth0*D14)</f>
        <v>488.197781417396</v>
      </c>
      <c r="F14" s="17" t="n">
        <f aca="false">Usd_pt*(C14-$B$31*D14)</f>
        <v>504.634622003812</v>
      </c>
      <c r="G14" s="17" t="n">
        <f aca="false">Lam/4*A14*J_mean</f>
        <v>27</v>
      </c>
      <c r="H14" s="17" t="n">
        <f aca="false">E14-G14</f>
        <v>461.197781417396</v>
      </c>
    </row>
    <row r="15" customFormat="false" ht="15" hidden="false" customHeight="false" outlineLevel="0" collapsed="false">
      <c r="A15" s="11" t="n">
        <v>10</v>
      </c>
      <c r="B15" s="20" t="n">
        <f aca="false">A15/4</f>
        <v>2.5</v>
      </c>
      <c r="C15" s="23" t="n">
        <f aca="false">Liq_target+(100-Liq_target)*EXP(-Relax*B15)</f>
        <v>106.997655763858</v>
      </c>
      <c r="D15" s="21" t="n">
        <f aca="false">(B15/Tau)*EXP(1-B15/Tau)</f>
        <v>0.973500978839256</v>
      </c>
      <c r="E15" s="17" t="n">
        <f aca="false">Usd_pt*(C15-Depth0*D15)</f>
        <v>494.385695809424</v>
      </c>
      <c r="F15" s="17" t="n">
        <f aca="false">Usd_pt*(C15-$B$31*D15)</f>
        <v>510.502874593634</v>
      </c>
      <c r="G15" s="17" t="n">
        <f aca="false">Lam/4*A15*J_mean</f>
        <v>30</v>
      </c>
      <c r="H15" s="17" t="n">
        <f aca="false">E15-G15</f>
        <v>464.385695809424</v>
      </c>
    </row>
    <row r="16" customFormat="false" ht="15" hidden="false" customHeight="false" outlineLevel="0" collapsed="false">
      <c r="A16" s="11" t="n">
        <v>11</v>
      </c>
      <c r="B16" s="20" t="n">
        <f aca="false">A16/4</f>
        <v>2.75</v>
      </c>
      <c r="C16" s="23" t="n">
        <f aca="false">Liq_target+(100-Liq_target)*EXP(-Relax*B16)</f>
        <v>107.416757808353</v>
      </c>
      <c r="D16" s="21" t="n">
        <f aca="false">(B16/Tau)*EXP(1-B16/Tau)</f>
        <v>0.945022758337587</v>
      </c>
      <c r="E16" s="17" t="n">
        <f aca="false">Usd_pt*(C16-Depth0*D16)</f>
        <v>501.927947564381</v>
      </c>
      <c r="F16" s="17" t="n">
        <f aca="false">Usd_pt*(C16-$B$31*D16)</f>
        <v>517.573643955395</v>
      </c>
      <c r="G16" s="17" t="n">
        <f aca="false">Lam/4*A16*J_mean</f>
        <v>33</v>
      </c>
      <c r="H16" s="17" t="n">
        <f aca="false">E16-G16</f>
        <v>468.927947564381</v>
      </c>
    </row>
    <row r="17" customFormat="false" ht="15" hidden="false" customHeight="false" outlineLevel="0" collapsed="false">
      <c r="A17" s="11" t="n">
        <v>12</v>
      </c>
      <c r="B17" s="20" t="n">
        <f aca="false">A17/4</f>
        <v>3</v>
      </c>
      <c r="C17" s="23" t="n">
        <f aca="false">Liq_target+(100-Liq_target)*EXP(-Relax*B17)</f>
        <v>107.800747010666</v>
      </c>
      <c r="D17" s="21" t="n">
        <f aca="false">(B17/Tau)*EXP(1-B17/Tau)</f>
        <v>0.90979598956895</v>
      </c>
      <c r="E17" s="17" t="n">
        <f aca="false">Usd_pt*(C17-Depth0*D17)</f>
        <v>510.42404767696</v>
      </c>
      <c r="F17" s="17" t="n">
        <f aca="false">Usd_pt*(C17-$B$31*D17)</f>
        <v>525.486533426613</v>
      </c>
      <c r="G17" s="17" t="n">
        <f aca="false">Lam/4*A17*J_mean</f>
        <v>36</v>
      </c>
      <c r="H17" s="17" t="n">
        <f aca="false">E17-G17</f>
        <v>474.42404767696</v>
      </c>
    </row>
    <row r="19" customFormat="false" ht="15" hidden="false" customHeight="false" outlineLevel="0" collapsed="false">
      <c r="A19" s="2" t="s">
        <v>354</v>
      </c>
      <c r="B19" s="20" t="n">
        <f aca="false">Liq0-MIN(E5:E17)</f>
        <v>138.049617642214</v>
      </c>
      <c r="C19" s="10" t="s">
        <v>355</v>
      </c>
    </row>
    <row r="20" customFormat="false" ht="15" hidden="false" customHeight="false" outlineLevel="0" collapsed="false">
      <c r="A20" s="2" t="s">
        <v>356</v>
      </c>
      <c r="B20" s="20" t="n">
        <f aca="false">GAMMAINV(0.9,G_shape,G_scale)</f>
        <v>186.866976370664</v>
      </c>
      <c r="C20" s="10" t="s">
        <v>357</v>
      </c>
    </row>
    <row r="21" customFormat="false" ht="15" hidden="false" customHeight="false" outlineLevel="0" collapsed="false">
      <c r="A21" s="2" t="s">
        <v>358</v>
      </c>
      <c r="B21" s="2" t="str">
        <f aca="false">IF(AND(B19&lt;=Pool,B20&lt;=Pool),"yes: both sign-offs pass","no")</f>
        <v>yes: both sign-offs pass</v>
      </c>
      <c r="C21" s="10" t="s">
        <v>359</v>
      </c>
    </row>
    <row r="22" customFormat="false" ht="15" hidden="false" customHeight="false" outlineLevel="0" collapsed="false">
      <c r="A22" s="2" t="s">
        <v>360</v>
      </c>
      <c r="B22" s="17" t="n">
        <f aca="false">B19+B20</f>
        <v>324.916594012879</v>
      </c>
      <c r="C22" s="10" t="s">
        <v>361</v>
      </c>
    </row>
    <row r="23" customFormat="false" ht="15" hidden="false" customHeight="false" outlineLevel="0" collapsed="false">
      <c r="A23" s="2" t="s">
        <v>362</v>
      </c>
      <c r="B23" s="17" t="n">
        <f aca="false">B22-Pool</f>
        <v>54.9165940128788</v>
      </c>
      <c r="C23" s="10" t="s">
        <v>363</v>
      </c>
    </row>
    <row r="24" customFormat="false" ht="15" hidden="false" customHeight="false" outlineLevel="0" collapsed="false">
      <c r="A24" s="2" t="s">
        <v>364</v>
      </c>
      <c r="B24" s="17" t="n">
        <f aca="false">MIN(H5:H17)</f>
        <v>459.854053397919</v>
      </c>
      <c r="C24" s="10" t="s">
        <v>365</v>
      </c>
    </row>
    <row r="26" customFormat="false" ht="15" hidden="false" customHeight="false" outlineLevel="0" collapsed="false">
      <c r="A26" s="2" t="s">
        <v>366</v>
      </c>
      <c r="B26" s="17" t="n">
        <f aca="false">Liq0-B20</f>
        <v>433.133023629336</v>
      </c>
    </row>
    <row r="27" customFormat="false" ht="15" hidden="false" customHeight="false" outlineLevel="0" collapsed="false">
      <c r="A27" s="2" t="s">
        <v>367</v>
      </c>
      <c r="B27" s="17" t="n">
        <f aca="false">Liq0-B19</f>
        <v>481.950382357786</v>
      </c>
    </row>
    <row r="28" customFormat="false" ht="15" hidden="false" customHeight="false" outlineLevel="0" collapsed="false">
      <c r="A28" s="2" t="s">
        <v>368</v>
      </c>
      <c r="B28" s="17" t="n">
        <f aca="false">Liq0-B19-B20</f>
        <v>295.083405987121</v>
      </c>
    </row>
    <row r="29" customFormat="false" ht="15" hidden="false" customHeight="false" outlineLevel="0" collapsed="false">
      <c r="A29" s="2" t="s">
        <v>369</v>
      </c>
      <c r="B29" s="2" t="str">
        <f aca="false">IF(AND(B26&gt;=Floor_m,B27&gt;=Floor_m,B28&gt;=0,B28&lt;Floor_m),"yes: a minimal set","no")</f>
        <v>yes: a minimal set</v>
      </c>
      <c r="C29" s="10" t="s">
        <v>370</v>
      </c>
    </row>
    <row r="31" customFormat="false" ht="15" hidden="false" customHeight="false" outlineLevel="0" collapsed="false">
      <c r="A31" s="2" t="s">
        <v>371</v>
      </c>
      <c r="B31" s="20" t="n">
        <f aca="false">Depth0-Depth_per_q*Quantiles!B94</f>
        <v>25.3296945542935</v>
      </c>
      <c r="C31" s="10" t="s">
        <v>372</v>
      </c>
    </row>
    <row r="32" customFormat="false" ht="15" hidden="false" customHeight="false" outlineLevel="0" collapsed="false">
      <c r="A32" s="2" t="s">
        <v>373</v>
      </c>
      <c r="B32" s="20" t="n">
        <f aca="false">Liq0-MIN(F5:F17)</f>
        <v>121.63436791099</v>
      </c>
      <c r="C32" s="10" t="s">
        <v>374</v>
      </c>
    </row>
    <row r="33" customFormat="false" ht="15" hidden="false" customHeight="false" outlineLevel="0" collapsed="false">
      <c r="A33" s="2" t="s">
        <v>375</v>
      </c>
      <c r="B33" s="20" t="n">
        <f aca="false">MAX(B20-Quantiles!B93,0)</f>
        <v>16.8669763706644</v>
      </c>
      <c r="C33" s="10" t="s">
        <v>376</v>
      </c>
    </row>
    <row r="34" customFormat="false" ht="15" hidden="false" customHeight="false" outlineLevel="0" collapsed="false">
      <c r="A34" s="2" t="s">
        <v>377</v>
      </c>
      <c r="B34" s="17" t="n">
        <f aca="false">B32+B33</f>
        <v>138.501344281655</v>
      </c>
      <c r="C34" s="10" t="s">
        <v>378</v>
      </c>
    </row>
    <row r="35" customFormat="false" ht="15" hidden="false" customHeight="false" outlineLevel="0" collapsed="false">
      <c r="A35" s="2" t="s">
        <v>379</v>
      </c>
      <c r="B35" s="17" t="n">
        <f aca="false">Pool-B34</f>
        <v>131.498655718345</v>
      </c>
      <c r="C35" s="10" t="s">
        <v>380</v>
      </c>
    </row>
    <row r="36" customFormat="false" ht="15" hidden="false" customHeight="false" outlineLevel="0" collapsed="false">
      <c r="A36" s="2" t="s">
        <v>381</v>
      </c>
      <c r="B36" s="2" t="str">
        <f aca="false">IF(B34&lt;=Pool,"yes","no")</f>
        <v>yes</v>
      </c>
      <c r="C36" s="10" t="s">
        <v>382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3"/>
    <col collapsed="false" customWidth="true" hidden="false" outlineLevel="0" max="3" min="3" style="0" width="40"/>
    <col collapsed="false" customWidth="true" hidden="false" outlineLevel="0" max="15" min="4" style="0" width="10"/>
  </cols>
  <sheetData>
    <row r="1" customFormat="false" ht="15" hidden="false" customHeight="false" outlineLevel="0" collapsed="false">
      <c r="A1" s="1" t="s">
        <v>383</v>
      </c>
    </row>
    <row r="2" customFormat="false" ht="15" hidden="false" customHeight="false" outlineLevel="0" collapsed="false">
      <c r="A2" s="10" t="s">
        <v>384</v>
      </c>
    </row>
    <row r="4" customFormat="false" ht="15" hidden="false" customHeight="false" outlineLevel="0" collapsed="false">
      <c r="A4" s="2" t="s">
        <v>385</v>
      </c>
      <c r="B4" s="23" t="n">
        <f aca="false">Ceil_gain</f>
        <v>0.4</v>
      </c>
      <c r="C4" s="10" t="s">
        <v>386</v>
      </c>
    </row>
    <row r="5" customFormat="false" ht="15" hidden="false" customHeight="false" outlineLevel="0" collapsed="false">
      <c r="A5" s="2" t="s">
        <v>387</v>
      </c>
      <c r="B5" s="23" t="n">
        <f aca="false">Ceil_gain</f>
        <v>0.4</v>
      </c>
      <c r="C5" s="10" t="s">
        <v>386</v>
      </c>
    </row>
    <row r="6" customFormat="false" ht="15" hidden="false" customHeight="false" outlineLevel="0" collapsed="false">
      <c r="A6" s="2" t="s">
        <v>388</v>
      </c>
      <c r="B6" s="30" t="n">
        <v>0</v>
      </c>
      <c r="C6" s="10" t="s">
        <v>389</v>
      </c>
    </row>
    <row r="7" customFormat="false" ht="15" hidden="false" customHeight="false" outlineLevel="0" collapsed="false">
      <c r="A7" s="2" t="s">
        <v>390</v>
      </c>
      <c r="B7" s="21" t="n">
        <f aca="false">((B6)+SQRT((B6)^2+8*((B4)^2+(B5)^2)))/2</f>
        <v>0.8</v>
      </c>
      <c r="C7" s="10" t="s">
        <v>391</v>
      </c>
    </row>
    <row r="8" customFormat="false" ht="15" hidden="false" customHeight="false" outlineLevel="0" collapsed="false">
      <c r="A8" s="2" t="s">
        <v>392</v>
      </c>
      <c r="B8" s="21" t="n">
        <f aca="false">Rule_rho</f>
        <v>0.840896415253715</v>
      </c>
      <c r="C8" s="10" t="s">
        <v>393</v>
      </c>
    </row>
    <row r="9" customFormat="false" ht="15" hidden="false" customHeight="false" outlineLevel="0" collapsed="false">
      <c r="A9" s="2" t="s">
        <v>394</v>
      </c>
      <c r="B9" s="23" t="n">
        <f aca="false">LN(2)/LN(1/B7)</f>
        <v>3.10628371950539</v>
      </c>
      <c r="C9" s="10" t="s">
        <v>395</v>
      </c>
    </row>
    <row r="10" customFormat="false" ht="15" hidden="false" customHeight="false" outlineLevel="0" collapsed="false">
      <c r="A10" s="2" t="s">
        <v>396</v>
      </c>
      <c r="B10" s="23" t="n">
        <f aca="false">1/(1-B7)</f>
        <v>5</v>
      </c>
      <c r="C10" s="10" t="s">
        <v>397</v>
      </c>
    </row>
    <row r="11" customFormat="false" ht="15" hidden="false" customHeight="false" outlineLevel="0" collapsed="false">
      <c r="A11" s="2" t="s">
        <v>398</v>
      </c>
      <c r="B11" s="2" t="str">
        <f aca="false">IF(B7&lt;=B8,"yes","no")</f>
        <v>yes</v>
      </c>
      <c r="C11" s="10" t="s">
        <v>399</v>
      </c>
    </row>
    <row r="13" customFormat="false" ht="15" hidden="false" customHeight="false" outlineLevel="0" collapsed="false">
      <c r="A13" s="8" t="s">
        <v>400</v>
      </c>
      <c r="B13" s="8" t="s">
        <v>247</v>
      </c>
      <c r="C13" s="8" t="s">
        <v>249</v>
      </c>
      <c r="D13" s="8" t="s">
        <v>254</v>
      </c>
      <c r="E13" s="8" t="s">
        <v>251</v>
      </c>
      <c r="H13" s="8" t="s">
        <v>346</v>
      </c>
      <c r="I13" s="8" t="s">
        <v>247</v>
      </c>
      <c r="J13" s="8" t="s">
        <v>249</v>
      </c>
      <c r="K13" s="8" t="s">
        <v>254</v>
      </c>
      <c r="L13" s="8" t="s">
        <v>251</v>
      </c>
      <c r="M13" s="8" t="s">
        <v>401</v>
      </c>
    </row>
    <row r="14" customFormat="false" ht="15" hidden="false" customHeight="false" outlineLevel="0" collapsed="false">
      <c r="A14" s="2" t="s">
        <v>247</v>
      </c>
      <c r="B14" s="23" t="n">
        <v>0</v>
      </c>
      <c r="C14" s="23" t="n">
        <f aca="false">$B$6</f>
        <v>0</v>
      </c>
      <c r="D14" s="23" t="n">
        <f aca="false">$B$4</f>
        <v>0.4</v>
      </c>
      <c r="E14" s="23" t="n">
        <f aca="false">$B$5</f>
        <v>0.4</v>
      </c>
      <c r="H14" s="11" t="n">
        <v>0</v>
      </c>
      <c r="I14" s="30" t="n">
        <v>0</v>
      </c>
      <c r="J14" s="30" t="n">
        <v>10</v>
      </c>
      <c r="K14" s="30" t="n">
        <v>0</v>
      </c>
      <c r="L14" s="30" t="n">
        <v>0</v>
      </c>
      <c r="M14" s="23" t="n">
        <f aca="false">SUM(I14:L14)</f>
        <v>10</v>
      </c>
    </row>
    <row r="15" customFormat="false" ht="15" hidden="false" customHeight="false" outlineLevel="0" collapsed="false">
      <c r="A15" s="2" t="s">
        <v>249</v>
      </c>
      <c r="B15" s="23" t="n">
        <f aca="false">$B$6</f>
        <v>0</v>
      </c>
      <c r="C15" s="23" t="n">
        <v>0</v>
      </c>
      <c r="D15" s="23" t="n">
        <f aca="false">$B$4</f>
        <v>0.4</v>
      </c>
      <c r="E15" s="23" t="n">
        <f aca="false">$B$5</f>
        <v>0.4</v>
      </c>
      <c r="H15" s="11" t="n">
        <v>1</v>
      </c>
      <c r="I15" s="23" t="n">
        <f aca="false">SUMPRODUCT($B$14:$E$14,I14:L14)</f>
        <v>0</v>
      </c>
      <c r="J15" s="23" t="n">
        <f aca="false">SUMPRODUCT($B$15:$E$15,I14:L14)</f>
        <v>0</v>
      </c>
      <c r="K15" s="23" t="n">
        <f aca="false">SUMPRODUCT($B$16:$E$16,I14:L14)</f>
        <v>4</v>
      </c>
      <c r="L15" s="23" t="n">
        <f aca="false">SUMPRODUCT($B$17:$E$17,I14:L14)</f>
        <v>4</v>
      </c>
      <c r="M15" s="23" t="n">
        <f aca="false">SUM(I15:L15)</f>
        <v>8</v>
      </c>
    </row>
    <row r="16" customFormat="false" ht="15" hidden="false" customHeight="false" outlineLevel="0" collapsed="false">
      <c r="A16" s="2" t="s">
        <v>254</v>
      </c>
      <c r="B16" s="23" t="n">
        <f aca="false">$B$4</f>
        <v>0.4</v>
      </c>
      <c r="C16" s="23" t="n">
        <f aca="false">$B$4</f>
        <v>0.4</v>
      </c>
      <c r="D16" s="23" t="n">
        <v>0</v>
      </c>
      <c r="E16" s="23" t="n">
        <v>0</v>
      </c>
      <c r="H16" s="11" t="n">
        <v>2</v>
      </c>
      <c r="I16" s="23" t="n">
        <f aca="false">SUMPRODUCT($B$14:$E$14,I15:L15)</f>
        <v>3.2</v>
      </c>
      <c r="J16" s="23" t="n">
        <f aca="false">SUMPRODUCT($B$15:$E$15,I15:L15)</f>
        <v>3.2</v>
      </c>
      <c r="K16" s="23" t="n">
        <f aca="false">SUMPRODUCT($B$16:$E$16,I15:L15)</f>
        <v>0</v>
      </c>
      <c r="L16" s="23" t="n">
        <f aca="false">SUMPRODUCT($B$17:$E$17,I15:L15)</f>
        <v>0</v>
      </c>
      <c r="M16" s="23" t="n">
        <f aca="false">SUM(I16:L16)</f>
        <v>6.4</v>
      </c>
    </row>
    <row r="17" customFormat="false" ht="15" hidden="false" customHeight="false" outlineLevel="0" collapsed="false">
      <c r="A17" s="2" t="s">
        <v>251</v>
      </c>
      <c r="B17" s="23" t="n">
        <f aca="false">$B$5</f>
        <v>0.4</v>
      </c>
      <c r="C17" s="23" t="n">
        <f aca="false">$B$5</f>
        <v>0.4</v>
      </c>
      <c r="D17" s="23" t="n">
        <v>0</v>
      </c>
      <c r="E17" s="23" t="n">
        <v>0</v>
      </c>
      <c r="H17" s="11" t="n">
        <v>3</v>
      </c>
      <c r="I17" s="23" t="n">
        <f aca="false">SUMPRODUCT($B$14:$E$14,I16:L16)</f>
        <v>0</v>
      </c>
      <c r="J17" s="23" t="n">
        <f aca="false">SUMPRODUCT($B$15:$E$15,I16:L16)</f>
        <v>0</v>
      </c>
      <c r="K17" s="23" t="n">
        <f aca="false">SUMPRODUCT($B$16:$E$16,I16:L16)</f>
        <v>2.56</v>
      </c>
      <c r="L17" s="23" t="n">
        <f aca="false">SUMPRODUCT($B$17:$E$17,I16:L16)</f>
        <v>2.56</v>
      </c>
      <c r="M17" s="23" t="n">
        <f aca="false">SUM(I17:L17)</f>
        <v>5.12</v>
      </c>
    </row>
    <row r="18" customFormat="false" ht="15" hidden="false" customHeight="false" outlineLevel="0" collapsed="false">
      <c r="H18" s="11" t="n">
        <v>4</v>
      </c>
      <c r="I18" s="23" t="n">
        <f aca="false">SUMPRODUCT($B$14:$E$14,I17:L17)</f>
        <v>2.048</v>
      </c>
      <c r="J18" s="23" t="n">
        <f aca="false">SUMPRODUCT($B$15:$E$15,I17:L17)</f>
        <v>2.048</v>
      </c>
      <c r="K18" s="23" t="n">
        <f aca="false">SUMPRODUCT($B$16:$E$16,I17:L17)</f>
        <v>0</v>
      </c>
      <c r="L18" s="23" t="n">
        <f aca="false">SUMPRODUCT($B$17:$E$17,I17:L17)</f>
        <v>0</v>
      </c>
      <c r="M18" s="23" t="n">
        <f aca="false">SUM(I18:L18)</f>
        <v>4.096</v>
      </c>
    </row>
    <row r="19" customFormat="false" ht="15" hidden="false" customHeight="false" outlineLevel="0" collapsed="false">
      <c r="A19" s="2" t="s">
        <v>402</v>
      </c>
      <c r="B19" s="23" t="n">
        <f aca="false">M15</f>
        <v>8</v>
      </c>
      <c r="C19" s="10" t="s">
        <v>403</v>
      </c>
      <c r="H19" s="11" t="n">
        <v>5</v>
      </c>
      <c r="I19" s="23" t="n">
        <f aca="false">SUMPRODUCT($B$14:$E$14,I18:L18)</f>
        <v>0</v>
      </c>
      <c r="J19" s="23" t="n">
        <f aca="false">SUMPRODUCT($B$15:$E$15,I18:L18)</f>
        <v>0</v>
      </c>
      <c r="K19" s="23" t="n">
        <f aca="false">SUMPRODUCT($B$16:$E$16,I18:L18)</f>
        <v>1.6384</v>
      </c>
      <c r="L19" s="23" t="n">
        <f aca="false">SUMPRODUCT($B$17:$E$17,I18:L18)</f>
        <v>1.6384</v>
      </c>
      <c r="M19" s="23" t="n">
        <f aca="false">SUM(I19:L19)</f>
        <v>3.2768</v>
      </c>
    </row>
    <row r="20" customFormat="false" ht="15" hidden="false" customHeight="false" outlineLevel="0" collapsed="false">
      <c r="A20" s="2" t="s">
        <v>404</v>
      </c>
      <c r="B20" s="23" t="n">
        <f aca="false">M16</f>
        <v>6.4</v>
      </c>
      <c r="C20" s="10" t="s">
        <v>405</v>
      </c>
      <c r="H20" s="11" t="n">
        <v>6</v>
      </c>
      <c r="I20" s="23" t="n">
        <f aca="false">SUMPRODUCT($B$14:$E$14,I19:L19)</f>
        <v>1.31072</v>
      </c>
      <c r="J20" s="23" t="n">
        <f aca="false">SUMPRODUCT($B$15:$E$15,I19:L19)</f>
        <v>1.31072</v>
      </c>
      <c r="K20" s="23" t="n">
        <f aca="false">SUMPRODUCT($B$16:$E$16,I19:L19)</f>
        <v>0</v>
      </c>
      <c r="L20" s="23" t="n">
        <f aca="false">SUMPRODUCT($B$17:$E$17,I19:L19)</f>
        <v>0</v>
      </c>
      <c r="M20" s="23" t="n">
        <f aca="false">SUM(I20:L20)</f>
        <v>2.62144</v>
      </c>
    </row>
    <row r="21" customFormat="false" ht="15" hidden="false" customHeight="false" outlineLevel="0" collapsed="false">
      <c r="A21" s="2" t="s">
        <v>406</v>
      </c>
      <c r="B21" s="23" t="n">
        <f aca="false">M17</f>
        <v>5.12</v>
      </c>
      <c r="C21" s="10" t="s">
        <v>407</v>
      </c>
      <c r="H21" s="11" t="n">
        <v>7</v>
      </c>
      <c r="I21" s="23" t="n">
        <f aca="false">SUMPRODUCT($B$14:$E$14,I20:L20)</f>
        <v>0</v>
      </c>
      <c r="J21" s="23" t="n">
        <f aca="false">SUMPRODUCT($B$15:$E$15,I20:L20)</f>
        <v>0</v>
      </c>
      <c r="K21" s="23" t="n">
        <f aca="false">SUMPRODUCT($B$16:$E$16,I20:L20)</f>
        <v>1.048576</v>
      </c>
      <c r="L21" s="23" t="n">
        <f aca="false">SUMPRODUCT($B$17:$E$17,I20:L20)</f>
        <v>1.048576</v>
      </c>
      <c r="M21" s="23" t="n">
        <f aca="false">SUM(I21:L21)</f>
        <v>2.097152</v>
      </c>
    </row>
    <row r="22" customFormat="false" ht="15" hidden="false" customHeight="false" outlineLevel="0" collapsed="false">
      <c r="A22" s="2" t="s">
        <v>408</v>
      </c>
      <c r="B22" s="23" t="n">
        <f aca="false">SUM(M14:M94)</f>
        <v>49.9999992932612</v>
      </c>
      <c r="C22" s="10" t="s">
        <v>409</v>
      </c>
      <c r="H22" s="11" t="n">
        <v>8</v>
      </c>
      <c r="I22" s="23" t="n">
        <f aca="false">SUMPRODUCT($B$14:$E$14,I21:L21)</f>
        <v>0.8388608</v>
      </c>
      <c r="J22" s="23" t="n">
        <f aca="false">SUMPRODUCT($B$15:$E$15,I21:L21)</f>
        <v>0.8388608</v>
      </c>
      <c r="K22" s="23" t="n">
        <f aca="false">SUMPRODUCT($B$16:$E$16,I21:L21)</f>
        <v>0</v>
      </c>
      <c r="L22" s="23" t="n">
        <f aca="false">SUMPRODUCT($B$17:$E$17,I21:L21)</f>
        <v>0</v>
      </c>
      <c r="M22" s="23" t="n">
        <f aca="false">SUM(I22:L22)</f>
        <v>1.6777216</v>
      </c>
    </row>
    <row r="23" customFormat="false" ht="15" hidden="false" customHeight="false" outlineLevel="0" collapsed="false">
      <c r="H23" s="11" t="n">
        <v>9</v>
      </c>
      <c r="I23" s="23" t="n">
        <f aca="false">SUMPRODUCT($B$14:$E$14,I22:L22)</f>
        <v>0</v>
      </c>
      <c r="J23" s="23" t="n">
        <f aca="false">SUMPRODUCT($B$15:$E$15,I22:L22)</f>
        <v>0</v>
      </c>
      <c r="K23" s="23" t="n">
        <f aca="false">SUMPRODUCT($B$16:$E$16,I22:L22)</f>
        <v>0.67108864</v>
      </c>
      <c r="L23" s="23" t="n">
        <f aca="false">SUMPRODUCT($B$17:$E$17,I22:L22)</f>
        <v>0.67108864</v>
      </c>
      <c r="M23" s="23" t="n">
        <f aca="false">SUM(I23:L23)</f>
        <v>1.34217728</v>
      </c>
    </row>
    <row r="24" customFormat="false" ht="15" hidden="false" customHeight="false" outlineLevel="0" collapsed="false">
      <c r="H24" s="11" t="n">
        <v>10</v>
      </c>
      <c r="I24" s="23" t="n">
        <f aca="false">SUMPRODUCT($B$14:$E$14,I23:L23)</f>
        <v>0.536870912</v>
      </c>
      <c r="J24" s="23" t="n">
        <f aca="false">SUMPRODUCT($B$15:$E$15,I23:L23)</f>
        <v>0.536870912</v>
      </c>
      <c r="K24" s="23" t="n">
        <f aca="false">SUMPRODUCT($B$16:$E$16,I23:L23)</f>
        <v>0</v>
      </c>
      <c r="L24" s="23" t="n">
        <f aca="false">SUMPRODUCT($B$17:$E$17,I23:L23)</f>
        <v>0</v>
      </c>
      <c r="M24" s="23" t="n">
        <f aca="false">SUM(I24:L24)</f>
        <v>1.073741824</v>
      </c>
    </row>
    <row r="25" customFormat="false" ht="15" hidden="false" customHeight="false" outlineLevel="0" collapsed="false">
      <c r="A25" s="2" t="s">
        <v>410</v>
      </c>
      <c r="B25" s="23" t="n">
        <f aca="false">Ceil_gain</f>
        <v>0.4</v>
      </c>
      <c r="H25" s="11" t="n">
        <v>11</v>
      </c>
      <c r="I25" s="23" t="n">
        <f aca="false">SUMPRODUCT($B$14:$E$14,I24:L24)</f>
        <v>0</v>
      </c>
      <c r="J25" s="23" t="n">
        <f aca="false">SUMPRODUCT($B$15:$E$15,I24:L24)</f>
        <v>0</v>
      </c>
      <c r="K25" s="23" t="n">
        <f aca="false">SUMPRODUCT($B$16:$E$16,I24:L24)</f>
        <v>0.4294967296</v>
      </c>
      <c r="L25" s="23" t="n">
        <f aca="false">SUMPRODUCT($B$17:$E$17,I24:L24)</f>
        <v>0.4294967296</v>
      </c>
      <c r="M25" s="23" t="n">
        <f aca="false">SUM(I25:L25)</f>
        <v>0.858993459200001</v>
      </c>
    </row>
    <row r="26" customFormat="false" ht="15" hidden="false" customHeight="false" outlineLevel="0" collapsed="false">
      <c r="A26" s="2" t="s">
        <v>411</v>
      </c>
      <c r="B26" s="21" t="n">
        <f aca="false">((B25)+SQRT((B25)^2+8*((B4)^2+(B5)^2)))/2</f>
        <v>1.02462112512353</v>
      </c>
      <c r="C26" s="10" t="s">
        <v>412</v>
      </c>
      <c r="H26" s="11" t="n">
        <v>12</v>
      </c>
      <c r="I26" s="23" t="n">
        <f aca="false">SUMPRODUCT($B$14:$E$14,I25:L25)</f>
        <v>0.34359738368</v>
      </c>
      <c r="J26" s="23" t="n">
        <f aca="false">SUMPRODUCT($B$15:$E$15,I25:L25)</f>
        <v>0.34359738368</v>
      </c>
      <c r="K26" s="23" t="n">
        <f aca="false">SUMPRODUCT($B$16:$E$16,I25:L25)</f>
        <v>0</v>
      </c>
      <c r="L26" s="23" t="n">
        <f aca="false">SUMPRODUCT($B$17:$E$17,I25:L25)</f>
        <v>0</v>
      </c>
      <c r="M26" s="23" t="n">
        <f aca="false">SUM(I26:L26)</f>
        <v>0.68719476736</v>
      </c>
    </row>
    <row r="27" customFormat="false" ht="15" hidden="false" customHeight="false" outlineLevel="0" collapsed="false">
      <c r="A27" s="2" t="s">
        <v>413</v>
      </c>
      <c r="B27" s="2" t="str">
        <f aca="false">IF(AND(B26&gt;Rule_rho,B26&gt;=1),"yes: no certificate holds","no")</f>
        <v>yes: no certificate holds</v>
      </c>
      <c r="H27" s="11" t="n">
        <v>13</v>
      </c>
      <c r="I27" s="23" t="n">
        <f aca="false">SUMPRODUCT($B$14:$E$14,I26:L26)</f>
        <v>0</v>
      </c>
      <c r="J27" s="23" t="n">
        <f aca="false">SUMPRODUCT($B$15:$E$15,I26:L26)</f>
        <v>0</v>
      </c>
      <c r="K27" s="23" t="n">
        <f aca="false">SUMPRODUCT($B$16:$E$16,I26:L26)</f>
        <v>0.274877906944</v>
      </c>
      <c r="L27" s="23" t="n">
        <f aca="false">SUMPRODUCT($B$17:$E$17,I26:L26)</f>
        <v>0.274877906944</v>
      </c>
      <c r="M27" s="23" t="n">
        <f aca="false">SUM(I27:L27)</f>
        <v>0.549755813888</v>
      </c>
    </row>
    <row r="28" customFormat="false" ht="15" hidden="false" customHeight="false" outlineLevel="0" collapsed="false">
      <c r="H28" s="11" t="n">
        <v>14</v>
      </c>
      <c r="I28" s="23" t="n">
        <f aca="false">SUMPRODUCT($B$14:$E$14,I27:L27)</f>
        <v>0.2199023255552</v>
      </c>
      <c r="J28" s="23" t="n">
        <f aca="false">SUMPRODUCT($B$15:$E$15,I27:L27)</f>
        <v>0.2199023255552</v>
      </c>
      <c r="K28" s="23" t="n">
        <f aca="false">SUMPRODUCT($B$16:$E$16,I27:L27)</f>
        <v>0</v>
      </c>
      <c r="L28" s="23" t="n">
        <f aca="false">SUMPRODUCT($B$17:$E$17,I27:L27)</f>
        <v>0</v>
      </c>
      <c r="M28" s="23" t="n">
        <f aca="false">SUM(I28:L28)</f>
        <v>0.4398046511104</v>
      </c>
    </row>
    <row r="29" customFormat="false" ht="15" hidden="false" customHeight="false" outlineLevel="0" collapsed="false">
      <c r="A29" s="2" t="s">
        <v>414</v>
      </c>
      <c r="B29" s="21" t="n">
        <f aca="false">(Rule_rho^2-2*(B4^2+B5^2))/Rule_rho</f>
        <v>0.0798038616519728</v>
      </c>
      <c r="C29" s="10" t="s">
        <v>415</v>
      </c>
      <c r="H29" s="11" t="n">
        <v>15</v>
      </c>
      <c r="I29" s="23" t="n">
        <f aca="false">SUMPRODUCT($B$14:$E$14,I28:L28)</f>
        <v>0</v>
      </c>
      <c r="J29" s="23" t="n">
        <f aca="false">SUMPRODUCT($B$15:$E$15,I28:L28)</f>
        <v>0</v>
      </c>
      <c r="K29" s="23" t="n">
        <f aca="false">SUMPRODUCT($B$16:$E$16,I28:L28)</f>
        <v>0.17592186044416</v>
      </c>
      <c r="L29" s="23" t="n">
        <f aca="false">SUMPRODUCT($B$17:$E$17,I28:L28)</f>
        <v>0.17592186044416</v>
      </c>
      <c r="M29" s="23" t="n">
        <f aca="false">SUM(I29:L29)</f>
        <v>0.35184372088832</v>
      </c>
    </row>
    <row r="30" customFormat="false" ht="15" hidden="false" customHeight="false" outlineLevel="0" collapsed="false">
      <c r="A30" s="2" t="s">
        <v>416</v>
      </c>
      <c r="B30" s="21" t="n">
        <f aca="false">((B29)+SQRT((B29)^2+8*((B4)^2+(B5)^2)))/2</f>
        <v>0.840896415253715</v>
      </c>
      <c r="C30" s="10" t="s">
        <v>417</v>
      </c>
      <c r="H30" s="11" t="n">
        <v>16</v>
      </c>
      <c r="I30" s="23" t="n">
        <f aca="false">SUMPRODUCT($B$14:$E$14,I29:L29)</f>
        <v>0.140737488355328</v>
      </c>
      <c r="J30" s="23" t="n">
        <f aca="false">SUMPRODUCT($B$15:$E$15,I29:L29)</f>
        <v>0.140737488355328</v>
      </c>
      <c r="K30" s="23" t="n">
        <f aca="false">SUMPRODUCT($B$16:$E$16,I29:L29)</f>
        <v>0</v>
      </c>
      <c r="L30" s="23" t="n">
        <f aca="false">SUMPRODUCT($B$17:$E$17,I29:L29)</f>
        <v>0</v>
      </c>
      <c r="M30" s="23" t="n">
        <f aca="false">SUM(I30:L30)</f>
        <v>0.281474976710656</v>
      </c>
    </row>
    <row r="31" customFormat="false" ht="15" hidden="false" customHeight="false" outlineLevel="0" collapsed="false">
      <c r="A31" s="2" t="s">
        <v>418</v>
      </c>
      <c r="B31" s="21" t="n">
        <f aca="false">SQRT((Rule_rho^2-B25*Rule_rho)/2-B4^2)</f>
        <v>0.159292521929094</v>
      </c>
      <c r="C31" s="10" t="s">
        <v>419</v>
      </c>
      <c r="H31" s="11" t="n">
        <v>17</v>
      </c>
      <c r="I31" s="23" t="n">
        <f aca="false">SUMPRODUCT($B$14:$E$14,I30:L30)</f>
        <v>0</v>
      </c>
      <c r="J31" s="23" t="n">
        <f aca="false">SUMPRODUCT($B$15:$E$15,I30:L30)</f>
        <v>0</v>
      </c>
      <c r="K31" s="23" t="n">
        <f aca="false">SUMPRODUCT($B$16:$E$16,I30:L30)</f>
        <v>0.112589990684263</v>
      </c>
      <c r="L31" s="23" t="n">
        <f aca="false">SUMPRODUCT($B$17:$E$17,I30:L30)</f>
        <v>0.112589990684263</v>
      </c>
      <c r="M31" s="23" t="n">
        <f aca="false">SUM(I31:L31)</f>
        <v>0.225179981368525</v>
      </c>
    </row>
    <row r="32" customFormat="false" ht="15" hidden="false" customHeight="false" outlineLevel="0" collapsed="false">
      <c r="A32" s="2" t="s">
        <v>416</v>
      </c>
      <c r="B32" s="21" t="n">
        <f aca="false">((B25)+SQRT((B25)^2+8*((B4)^2+(B31)^2)))/2</f>
        <v>0.840896415253715</v>
      </c>
      <c r="C32" s="10" t="s">
        <v>417</v>
      </c>
      <c r="H32" s="11" t="n">
        <v>18</v>
      </c>
      <c r="I32" s="23" t="n">
        <f aca="false">SUMPRODUCT($B$14:$E$14,I31:L31)</f>
        <v>0.09007199254741</v>
      </c>
      <c r="J32" s="23" t="n">
        <f aca="false">SUMPRODUCT($B$15:$E$15,I31:L31)</f>
        <v>0.09007199254741</v>
      </c>
      <c r="K32" s="23" t="n">
        <f aca="false">SUMPRODUCT($B$16:$E$16,I31:L31)</f>
        <v>0</v>
      </c>
      <c r="L32" s="23" t="n">
        <f aca="false">SUMPRODUCT($B$17:$E$17,I31:L31)</f>
        <v>0</v>
      </c>
      <c r="M32" s="23" t="n">
        <f aca="false">SUM(I32:L32)</f>
        <v>0.18014398509482</v>
      </c>
    </row>
    <row r="33" customFormat="false" ht="15" hidden="false" customHeight="false" outlineLevel="0" collapsed="false">
      <c r="A33" s="2" t="s">
        <v>420</v>
      </c>
      <c r="B33" s="21" t="n">
        <f aca="false">SQRT((Rule_rho^2-B25*Rule_rho)/4)</f>
        <v>0.304445485713396</v>
      </c>
      <c r="C33" s="10" t="s">
        <v>421</v>
      </c>
      <c r="H33" s="11" t="n">
        <v>19</v>
      </c>
      <c r="I33" s="23" t="n">
        <f aca="false">SUMPRODUCT($B$14:$E$14,I32:L32)</f>
        <v>0</v>
      </c>
      <c r="J33" s="23" t="n">
        <f aca="false">SUMPRODUCT($B$15:$E$15,I32:L32)</f>
        <v>0</v>
      </c>
      <c r="K33" s="23" t="n">
        <f aca="false">SUMPRODUCT($B$16:$E$16,I32:L32)</f>
        <v>0.072057594037928</v>
      </c>
      <c r="L33" s="23" t="n">
        <f aca="false">SUMPRODUCT($B$17:$E$17,I32:L32)</f>
        <v>0.072057594037928</v>
      </c>
      <c r="M33" s="23" t="n">
        <f aca="false">SUM(I33:L33)</f>
        <v>0.144115188075856</v>
      </c>
    </row>
    <row r="34" customFormat="false" ht="15" hidden="false" customHeight="false" outlineLevel="0" collapsed="false">
      <c r="A34" s="2" t="s">
        <v>416</v>
      </c>
      <c r="B34" s="21" t="n">
        <f aca="false">((B25)+SQRT((B25)^2+8*((B33)^2+(B33)^2)))/2</f>
        <v>0.840896415253715</v>
      </c>
      <c r="C34" s="10" t="s">
        <v>417</v>
      </c>
      <c r="H34" s="11" t="n">
        <v>20</v>
      </c>
      <c r="I34" s="23" t="n">
        <f aca="false">SUMPRODUCT($B$14:$E$14,I33:L33)</f>
        <v>0.0576460752303424</v>
      </c>
      <c r="J34" s="23" t="n">
        <f aca="false">SUMPRODUCT($B$15:$E$15,I33:L33)</f>
        <v>0.0576460752303424</v>
      </c>
      <c r="K34" s="23" t="n">
        <f aca="false">SUMPRODUCT($B$16:$E$16,I33:L33)</f>
        <v>0</v>
      </c>
      <c r="L34" s="23" t="n">
        <f aca="false">SUMPRODUCT($B$17:$E$17,I33:L33)</f>
        <v>0</v>
      </c>
      <c r="M34" s="23" t="n">
        <f aca="false">SUM(I34:L34)</f>
        <v>0.115292150460685</v>
      </c>
    </row>
    <row r="35" customFormat="false" ht="15" hidden="false" customHeight="false" outlineLevel="0" collapsed="false">
      <c r="H35" s="11" t="n">
        <v>21</v>
      </c>
      <c r="I35" s="23" t="n">
        <f aca="false">SUMPRODUCT($B$14:$E$14,I34:L34)</f>
        <v>0</v>
      </c>
      <c r="J35" s="23" t="n">
        <f aca="false">SUMPRODUCT($B$15:$E$15,I34:L34)</f>
        <v>0</v>
      </c>
      <c r="K35" s="23" t="n">
        <f aca="false">SUMPRODUCT($B$16:$E$16,I34:L34)</f>
        <v>0.0461168601842739</v>
      </c>
      <c r="L35" s="23" t="n">
        <f aca="false">SUMPRODUCT($B$17:$E$17,I34:L34)</f>
        <v>0.0461168601842739</v>
      </c>
      <c r="M35" s="23" t="n">
        <f aca="false">SUM(I35:L35)</f>
        <v>0.0922337203685479</v>
      </c>
    </row>
    <row r="36" customFormat="false" ht="15" hidden="false" customHeight="false" outlineLevel="0" collapsed="false">
      <c r="A36" s="4" t="s">
        <v>422</v>
      </c>
      <c r="H36" s="11" t="n">
        <v>22</v>
      </c>
      <c r="I36" s="23" t="n">
        <f aca="false">SUMPRODUCT($B$14:$E$14,I35:L35)</f>
        <v>0.0368934881474192</v>
      </c>
      <c r="J36" s="23" t="n">
        <f aca="false">SUMPRODUCT($B$15:$E$15,I35:L35)</f>
        <v>0.0368934881474192</v>
      </c>
      <c r="K36" s="23" t="n">
        <f aca="false">SUMPRODUCT($B$16:$E$16,I35:L35)</f>
        <v>0</v>
      </c>
      <c r="L36" s="23" t="n">
        <f aca="false">SUMPRODUCT($B$17:$E$17,I35:L35)</f>
        <v>0</v>
      </c>
      <c r="M36" s="23" t="n">
        <f aca="false">SUM(I36:L36)</f>
        <v>0.0737869762948383</v>
      </c>
    </row>
    <row r="37" customFormat="false" ht="15" hidden="false" customHeight="false" outlineLevel="0" collapsed="false">
      <c r="A37" s="8" t="s">
        <v>400</v>
      </c>
      <c r="B37" s="8" t="s">
        <v>247</v>
      </c>
      <c r="C37" s="8" t="s">
        <v>249</v>
      </c>
      <c r="D37" s="8" t="s">
        <v>254</v>
      </c>
      <c r="E37" s="8" t="s">
        <v>251</v>
      </c>
      <c r="H37" s="11" t="n">
        <v>23</v>
      </c>
      <c r="I37" s="23" t="n">
        <f aca="false">SUMPRODUCT($B$14:$E$14,I36:L36)</f>
        <v>0</v>
      </c>
      <c r="J37" s="23" t="n">
        <f aca="false">SUMPRODUCT($B$15:$E$15,I36:L36)</f>
        <v>0</v>
      </c>
      <c r="K37" s="23" t="n">
        <f aca="false">SUMPRODUCT($B$16:$E$16,I36:L36)</f>
        <v>0.0295147905179353</v>
      </c>
      <c r="L37" s="23" t="n">
        <f aca="false">SUMPRODUCT($B$17:$E$17,I36:L36)</f>
        <v>0.0295147905179353</v>
      </c>
      <c r="M37" s="23" t="n">
        <f aca="false">SUM(I37:L37)</f>
        <v>0.0590295810358706</v>
      </c>
    </row>
    <row r="38" customFormat="false" ht="15" hidden="false" customHeight="false" outlineLevel="0" collapsed="false">
      <c r="A38" s="2" t="s">
        <v>247</v>
      </c>
      <c r="B38" s="23" t="n">
        <v>0</v>
      </c>
      <c r="C38" s="23" t="n">
        <f aca="false">$B$25</f>
        <v>0.4</v>
      </c>
      <c r="D38" s="23" t="n">
        <f aca="false">$B$4</f>
        <v>0.4</v>
      </c>
      <c r="E38" s="23" t="n">
        <f aca="false">$B$5</f>
        <v>0.4</v>
      </c>
      <c r="H38" s="11" t="n">
        <v>24</v>
      </c>
      <c r="I38" s="23" t="n">
        <f aca="false">SUMPRODUCT($B$14:$E$14,I37:L37)</f>
        <v>0.0236118324143483</v>
      </c>
      <c r="J38" s="23" t="n">
        <f aca="false">SUMPRODUCT($B$15:$E$15,I37:L37)</f>
        <v>0.0236118324143483</v>
      </c>
      <c r="K38" s="23" t="n">
        <f aca="false">SUMPRODUCT($B$16:$E$16,I37:L37)</f>
        <v>0</v>
      </c>
      <c r="L38" s="23" t="n">
        <f aca="false">SUMPRODUCT($B$17:$E$17,I37:L37)</f>
        <v>0</v>
      </c>
      <c r="M38" s="23" t="n">
        <f aca="false">SUM(I38:L38)</f>
        <v>0.0472236648286965</v>
      </c>
    </row>
    <row r="39" customFormat="false" ht="15" hidden="false" customHeight="false" outlineLevel="0" collapsed="false">
      <c r="A39" s="2" t="s">
        <v>249</v>
      </c>
      <c r="B39" s="23" t="n">
        <f aca="false">$B$25</f>
        <v>0.4</v>
      </c>
      <c r="C39" s="23" t="n">
        <v>0</v>
      </c>
      <c r="D39" s="23" t="n">
        <f aca="false">$B$4</f>
        <v>0.4</v>
      </c>
      <c r="E39" s="23" t="n">
        <f aca="false">$B$5</f>
        <v>0.4</v>
      </c>
      <c r="H39" s="11" t="n">
        <v>25</v>
      </c>
      <c r="I39" s="23" t="n">
        <f aca="false">SUMPRODUCT($B$14:$E$14,I38:L38)</f>
        <v>0</v>
      </c>
      <c r="J39" s="23" t="n">
        <f aca="false">SUMPRODUCT($B$15:$E$15,I38:L38)</f>
        <v>0</v>
      </c>
      <c r="K39" s="23" t="n">
        <f aca="false">SUMPRODUCT($B$16:$E$16,I38:L38)</f>
        <v>0.0188894659314786</v>
      </c>
      <c r="L39" s="23" t="n">
        <f aca="false">SUMPRODUCT($B$17:$E$17,I38:L38)</f>
        <v>0.0188894659314786</v>
      </c>
      <c r="M39" s="23" t="n">
        <f aca="false">SUM(I39:L39)</f>
        <v>0.0377789318629572</v>
      </c>
    </row>
    <row r="40" customFormat="false" ht="15" hidden="false" customHeight="false" outlineLevel="0" collapsed="false">
      <c r="A40" s="2" t="s">
        <v>254</v>
      </c>
      <c r="B40" s="23" t="n">
        <f aca="false">$B$4</f>
        <v>0.4</v>
      </c>
      <c r="C40" s="23" t="n">
        <f aca="false">$B$4</f>
        <v>0.4</v>
      </c>
      <c r="D40" s="23" t="n">
        <v>0</v>
      </c>
      <c r="E40" s="23" t="n">
        <v>0</v>
      </c>
      <c r="H40" s="11" t="n">
        <v>26</v>
      </c>
      <c r="I40" s="23" t="n">
        <f aca="false">SUMPRODUCT($B$14:$E$14,I39:L39)</f>
        <v>0.0151115727451829</v>
      </c>
      <c r="J40" s="23" t="n">
        <f aca="false">SUMPRODUCT($B$15:$E$15,I39:L39)</f>
        <v>0.0151115727451829</v>
      </c>
      <c r="K40" s="23" t="n">
        <f aca="false">SUMPRODUCT($B$16:$E$16,I39:L39)</f>
        <v>0</v>
      </c>
      <c r="L40" s="23" t="n">
        <f aca="false">SUMPRODUCT($B$17:$E$17,I39:L39)</f>
        <v>0</v>
      </c>
      <c r="M40" s="23" t="n">
        <f aca="false">SUM(I40:L40)</f>
        <v>0.0302231454903658</v>
      </c>
    </row>
    <row r="41" customFormat="false" ht="15" hidden="false" customHeight="false" outlineLevel="0" collapsed="false">
      <c r="A41" s="2" t="s">
        <v>251</v>
      </c>
      <c r="B41" s="23" t="n">
        <f aca="false">$B$5</f>
        <v>0.4</v>
      </c>
      <c r="C41" s="23" t="n">
        <f aca="false">$B$5</f>
        <v>0.4</v>
      </c>
      <c r="D41" s="23" t="n">
        <v>0</v>
      </c>
      <c r="E41" s="23" t="n">
        <v>0</v>
      </c>
      <c r="H41" s="11" t="n">
        <v>27</v>
      </c>
      <c r="I41" s="23" t="n">
        <f aca="false">SUMPRODUCT($B$14:$E$14,I40:L40)</f>
        <v>0</v>
      </c>
      <c r="J41" s="23" t="n">
        <f aca="false">SUMPRODUCT($B$15:$E$15,I40:L40)</f>
        <v>0</v>
      </c>
      <c r="K41" s="23" t="n">
        <f aca="false">SUMPRODUCT($B$16:$E$16,I40:L40)</f>
        <v>0.0120892581961463</v>
      </c>
      <c r="L41" s="23" t="n">
        <f aca="false">SUMPRODUCT($B$17:$E$17,I40:L40)</f>
        <v>0.0120892581961463</v>
      </c>
      <c r="M41" s="23" t="n">
        <f aca="false">SUM(I41:L41)</f>
        <v>0.0241785163922926</v>
      </c>
    </row>
    <row r="42" customFormat="false" ht="15" hidden="false" customHeight="false" outlineLevel="0" collapsed="false">
      <c r="H42" s="11" t="n">
        <v>28</v>
      </c>
      <c r="I42" s="23" t="n">
        <f aca="false">SUMPRODUCT($B$14:$E$14,I41:L41)</f>
        <v>0.00967140655691705</v>
      </c>
      <c r="J42" s="23" t="n">
        <f aca="false">SUMPRODUCT($B$15:$E$15,I41:L41)</f>
        <v>0.00967140655691705</v>
      </c>
      <c r="K42" s="23" t="n">
        <f aca="false">SUMPRODUCT($B$16:$E$16,I41:L41)</f>
        <v>0</v>
      </c>
      <c r="L42" s="23" t="n">
        <f aca="false">SUMPRODUCT($B$17:$E$17,I41:L41)</f>
        <v>0</v>
      </c>
      <c r="M42" s="23" t="n">
        <f aca="false">SUM(I42:L42)</f>
        <v>0.0193428131138341</v>
      </c>
    </row>
    <row r="43" customFormat="false" ht="15" hidden="false" customHeight="false" outlineLevel="0" collapsed="false">
      <c r="A43" s="8" t="s">
        <v>346</v>
      </c>
      <c r="B43" s="8" t="s">
        <v>247</v>
      </c>
      <c r="C43" s="8" t="s">
        <v>249</v>
      </c>
      <c r="D43" s="8" t="s">
        <v>254</v>
      </c>
      <c r="E43" s="8" t="s">
        <v>251</v>
      </c>
      <c r="F43" s="8" t="s">
        <v>401</v>
      </c>
      <c r="H43" s="11" t="n">
        <v>29</v>
      </c>
      <c r="I43" s="23" t="n">
        <f aca="false">SUMPRODUCT($B$14:$E$14,I42:L42)</f>
        <v>0</v>
      </c>
      <c r="J43" s="23" t="n">
        <f aca="false">SUMPRODUCT($B$15:$E$15,I42:L42)</f>
        <v>0</v>
      </c>
      <c r="K43" s="23" t="n">
        <f aca="false">SUMPRODUCT($B$16:$E$16,I42:L42)</f>
        <v>0.00773712524553364</v>
      </c>
      <c r="L43" s="23" t="n">
        <f aca="false">SUMPRODUCT($B$17:$E$17,I42:L42)</f>
        <v>0.00773712524553364</v>
      </c>
      <c r="M43" s="23" t="n">
        <f aca="false">SUM(I43:L43)</f>
        <v>0.0154742504910673</v>
      </c>
    </row>
    <row r="44" customFormat="false" ht="15" hidden="false" customHeight="false" outlineLevel="0" collapsed="false">
      <c r="A44" s="11" t="n">
        <v>0</v>
      </c>
      <c r="B44" s="30" t="n">
        <v>0</v>
      </c>
      <c r="C44" s="30" t="n">
        <v>10</v>
      </c>
      <c r="D44" s="30" t="n">
        <v>0</v>
      </c>
      <c r="E44" s="30" t="n">
        <v>0</v>
      </c>
      <c r="F44" s="23" t="n">
        <f aca="false">SUM(B44:E44)</f>
        <v>10</v>
      </c>
      <c r="H44" s="11" t="n">
        <v>30</v>
      </c>
      <c r="I44" s="23" t="n">
        <f aca="false">SUMPRODUCT($B$14:$E$14,I43:L43)</f>
        <v>0.00618970019642691</v>
      </c>
      <c r="J44" s="23" t="n">
        <f aca="false">SUMPRODUCT($B$15:$E$15,I43:L43)</f>
        <v>0.00618970019642691</v>
      </c>
      <c r="K44" s="23" t="n">
        <f aca="false">SUMPRODUCT($B$16:$E$16,I43:L43)</f>
        <v>0</v>
      </c>
      <c r="L44" s="23" t="n">
        <f aca="false">SUMPRODUCT($B$17:$E$17,I43:L43)</f>
        <v>0</v>
      </c>
      <c r="M44" s="23" t="n">
        <f aca="false">SUM(I44:L44)</f>
        <v>0.0123794003928538</v>
      </c>
    </row>
    <row r="45" customFormat="false" ht="15" hidden="false" customHeight="false" outlineLevel="0" collapsed="false">
      <c r="A45" s="11" t="n">
        <v>1</v>
      </c>
      <c r="B45" s="23" t="n">
        <f aca="false">SUMPRODUCT($B$38:$E$38,B44:E44)</f>
        <v>4</v>
      </c>
      <c r="C45" s="23" t="n">
        <f aca="false">SUMPRODUCT($B$39:$E$39,B44:E44)</f>
        <v>0</v>
      </c>
      <c r="D45" s="23" t="n">
        <f aca="false">SUMPRODUCT($B$40:$E$40,B44:E44)</f>
        <v>4</v>
      </c>
      <c r="E45" s="23" t="n">
        <f aca="false">SUMPRODUCT($B$41:$E$41,B44:E44)</f>
        <v>4</v>
      </c>
      <c r="F45" s="23" t="n">
        <f aca="false">SUM(B45:E45)</f>
        <v>12</v>
      </c>
      <c r="H45" s="11" t="n">
        <v>31</v>
      </c>
      <c r="I45" s="23" t="n">
        <f aca="false">SUMPRODUCT($B$14:$E$14,I44:L44)</f>
        <v>0</v>
      </c>
      <c r="J45" s="23" t="n">
        <f aca="false">SUMPRODUCT($B$15:$E$15,I44:L44)</f>
        <v>0</v>
      </c>
      <c r="K45" s="23" t="n">
        <f aca="false">SUMPRODUCT($B$16:$E$16,I44:L44)</f>
        <v>0.00495176015714153</v>
      </c>
      <c r="L45" s="23" t="n">
        <f aca="false">SUMPRODUCT($B$17:$E$17,I44:L44)</f>
        <v>0.00495176015714153</v>
      </c>
      <c r="M45" s="23" t="n">
        <f aca="false">SUM(I45:L45)</f>
        <v>0.00990352031428306</v>
      </c>
    </row>
    <row r="46" customFormat="false" ht="15" hidden="false" customHeight="false" outlineLevel="0" collapsed="false">
      <c r="A46" s="11" t="n">
        <v>2</v>
      </c>
      <c r="B46" s="23" t="n">
        <f aca="false">SUMPRODUCT($B$38:$E$38,B45:E45)</f>
        <v>3.2</v>
      </c>
      <c r="C46" s="23" t="n">
        <f aca="false">SUMPRODUCT($B$39:$E$39,B45:E45)</f>
        <v>4.8</v>
      </c>
      <c r="D46" s="23" t="n">
        <f aca="false">SUMPRODUCT($B$40:$E$40,B45:E45)</f>
        <v>1.6</v>
      </c>
      <c r="E46" s="23" t="n">
        <f aca="false">SUMPRODUCT($B$41:$E$41,B45:E45)</f>
        <v>1.6</v>
      </c>
      <c r="F46" s="23" t="n">
        <f aca="false">SUM(B46:E46)</f>
        <v>11.2</v>
      </c>
      <c r="H46" s="11" t="n">
        <v>32</v>
      </c>
      <c r="I46" s="23" t="n">
        <f aca="false">SUMPRODUCT($B$14:$E$14,I45:L45)</f>
        <v>0.00396140812571322</v>
      </c>
      <c r="J46" s="23" t="n">
        <f aca="false">SUMPRODUCT($B$15:$E$15,I45:L45)</f>
        <v>0.00396140812571322</v>
      </c>
      <c r="K46" s="23" t="n">
        <f aca="false">SUMPRODUCT($B$16:$E$16,I45:L45)</f>
        <v>0</v>
      </c>
      <c r="L46" s="23" t="n">
        <f aca="false">SUMPRODUCT($B$17:$E$17,I45:L45)</f>
        <v>0</v>
      </c>
      <c r="M46" s="23" t="n">
        <f aca="false">SUM(I46:L46)</f>
        <v>0.00792281625142645</v>
      </c>
    </row>
    <row r="47" customFormat="false" ht="15" hidden="false" customHeight="false" outlineLevel="0" collapsed="false">
      <c r="A47" s="11" t="n">
        <v>3</v>
      </c>
      <c r="B47" s="23" t="n">
        <f aca="false">SUMPRODUCT($B$38:$E$38,B46:E46)</f>
        <v>3.2</v>
      </c>
      <c r="C47" s="23" t="n">
        <f aca="false">SUMPRODUCT($B$39:$E$39,B46:E46)</f>
        <v>2.56</v>
      </c>
      <c r="D47" s="23" t="n">
        <f aca="false">SUMPRODUCT($B$40:$E$40,B46:E46)</f>
        <v>3.2</v>
      </c>
      <c r="E47" s="23" t="n">
        <f aca="false">SUMPRODUCT($B$41:$E$41,B46:E46)</f>
        <v>3.2</v>
      </c>
      <c r="F47" s="23" t="n">
        <f aca="false">SUM(B47:E47)</f>
        <v>12.16</v>
      </c>
      <c r="H47" s="11" t="n">
        <v>33</v>
      </c>
      <c r="I47" s="23" t="n">
        <f aca="false">SUMPRODUCT($B$14:$E$14,I46:L46)</f>
        <v>0</v>
      </c>
      <c r="J47" s="23" t="n">
        <f aca="false">SUMPRODUCT($B$15:$E$15,I46:L46)</f>
        <v>0</v>
      </c>
      <c r="K47" s="23" t="n">
        <f aca="false">SUMPRODUCT($B$16:$E$16,I46:L46)</f>
        <v>0.00316912650057058</v>
      </c>
      <c r="L47" s="23" t="n">
        <f aca="false">SUMPRODUCT($B$17:$E$17,I46:L46)</f>
        <v>0.00316912650057058</v>
      </c>
      <c r="M47" s="23" t="n">
        <f aca="false">SUM(I47:L47)</f>
        <v>0.00633825300114116</v>
      </c>
    </row>
    <row r="48" customFormat="false" ht="15" hidden="false" customHeight="false" outlineLevel="0" collapsed="false">
      <c r="A48" s="11" t="n">
        <v>4</v>
      </c>
      <c r="B48" s="23" t="n">
        <f aca="false">SUMPRODUCT($B$38:$E$38,B47:E47)</f>
        <v>3.584</v>
      </c>
      <c r="C48" s="23" t="n">
        <f aca="false">SUMPRODUCT($B$39:$E$39,B47:E47)</f>
        <v>3.84</v>
      </c>
      <c r="D48" s="23" t="n">
        <f aca="false">SUMPRODUCT($B$40:$E$40,B47:E47)</f>
        <v>2.304</v>
      </c>
      <c r="E48" s="23" t="n">
        <f aca="false">SUMPRODUCT($B$41:$E$41,B47:E47)</f>
        <v>2.304</v>
      </c>
      <c r="F48" s="23" t="n">
        <f aca="false">SUM(B48:E48)</f>
        <v>12.032</v>
      </c>
      <c r="H48" s="11" t="n">
        <v>34</v>
      </c>
      <c r="I48" s="23" t="n">
        <f aca="false">SUMPRODUCT($B$14:$E$14,I47:L47)</f>
        <v>0.00253530120045646</v>
      </c>
      <c r="J48" s="23" t="n">
        <f aca="false">SUMPRODUCT($B$15:$E$15,I47:L47)</f>
        <v>0.00253530120045646</v>
      </c>
      <c r="K48" s="23" t="n">
        <f aca="false">SUMPRODUCT($B$16:$E$16,I47:L47)</f>
        <v>0</v>
      </c>
      <c r="L48" s="23" t="n">
        <f aca="false">SUMPRODUCT($B$17:$E$17,I47:L47)</f>
        <v>0</v>
      </c>
      <c r="M48" s="23" t="n">
        <f aca="false">SUM(I48:L48)</f>
        <v>0.00507060240091293</v>
      </c>
    </row>
    <row r="49" customFormat="false" ht="15" hidden="false" customHeight="false" outlineLevel="0" collapsed="false">
      <c r="A49" s="11" t="n">
        <v>5</v>
      </c>
      <c r="B49" s="23" t="n">
        <f aca="false">SUMPRODUCT($B$38:$E$38,B48:E48)</f>
        <v>3.3792</v>
      </c>
      <c r="C49" s="23" t="n">
        <f aca="false">SUMPRODUCT($B$39:$E$39,B48:E48)</f>
        <v>3.2768</v>
      </c>
      <c r="D49" s="23" t="n">
        <f aca="false">SUMPRODUCT($B$40:$E$40,B48:E48)</f>
        <v>2.9696</v>
      </c>
      <c r="E49" s="23" t="n">
        <f aca="false">SUMPRODUCT($B$41:$E$41,B48:E48)</f>
        <v>2.9696</v>
      </c>
      <c r="F49" s="23" t="n">
        <f aca="false">SUM(B49:E49)</f>
        <v>12.5952</v>
      </c>
      <c r="H49" s="11" t="n">
        <v>35</v>
      </c>
      <c r="I49" s="23" t="n">
        <f aca="false">SUMPRODUCT($B$14:$E$14,I48:L48)</f>
        <v>0</v>
      </c>
      <c r="J49" s="23" t="n">
        <f aca="false">SUMPRODUCT($B$15:$E$15,I48:L48)</f>
        <v>0</v>
      </c>
      <c r="K49" s="23" t="n">
        <f aca="false">SUMPRODUCT($B$16:$E$16,I48:L48)</f>
        <v>0.00202824096036517</v>
      </c>
      <c r="L49" s="23" t="n">
        <f aca="false">SUMPRODUCT($B$17:$E$17,I48:L48)</f>
        <v>0.00202824096036517</v>
      </c>
      <c r="M49" s="23" t="n">
        <f aca="false">SUM(I49:L49)</f>
        <v>0.00405648192073034</v>
      </c>
    </row>
    <row r="50" customFormat="false" ht="15" hidden="false" customHeight="false" outlineLevel="0" collapsed="false">
      <c r="A50" s="11" t="n">
        <v>6</v>
      </c>
      <c r="B50" s="23" t="n">
        <f aca="false">SUMPRODUCT($B$38:$E$38,B49:E49)</f>
        <v>3.6864</v>
      </c>
      <c r="C50" s="23" t="n">
        <f aca="false">SUMPRODUCT($B$39:$E$39,B49:E49)</f>
        <v>3.72736</v>
      </c>
      <c r="D50" s="23" t="n">
        <f aca="false">SUMPRODUCT($B$40:$E$40,B49:E49)</f>
        <v>2.6624</v>
      </c>
      <c r="E50" s="23" t="n">
        <f aca="false">SUMPRODUCT($B$41:$E$41,B49:E49)</f>
        <v>2.6624</v>
      </c>
      <c r="F50" s="23" t="n">
        <f aca="false">SUM(B50:E50)</f>
        <v>12.73856</v>
      </c>
      <c r="H50" s="11" t="n">
        <v>36</v>
      </c>
      <c r="I50" s="23" t="n">
        <f aca="false">SUMPRODUCT($B$14:$E$14,I49:L49)</f>
        <v>0.00162259276829214</v>
      </c>
      <c r="J50" s="23" t="n">
        <f aca="false">SUMPRODUCT($B$15:$E$15,I49:L49)</f>
        <v>0.00162259276829214</v>
      </c>
      <c r="K50" s="23" t="n">
        <f aca="false">SUMPRODUCT($B$16:$E$16,I49:L49)</f>
        <v>0</v>
      </c>
      <c r="L50" s="23" t="n">
        <f aca="false">SUMPRODUCT($B$17:$E$17,I49:L49)</f>
        <v>0</v>
      </c>
      <c r="M50" s="23" t="n">
        <f aca="false">SUM(I50:L50)</f>
        <v>0.00324518553658427</v>
      </c>
    </row>
    <row r="51" customFormat="false" ht="15" hidden="false" customHeight="false" outlineLevel="0" collapsed="false">
      <c r="A51" s="11" t="n">
        <v>7</v>
      </c>
      <c r="B51" s="23" t="n">
        <f aca="false">SUMPRODUCT($B$38:$E$38,B50:E50)</f>
        <v>3.620864</v>
      </c>
      <c r="C51" s="23" t="n">
        <f aca="false">SUMPRODUCT($B$39:$E$39,B50:E50)</f>
        <v>3.60448</v>
      </c>
      <c r="D51" s="23" t="n">
        <f aca="false">SUMPRODUCT($B$40:$E$40,B50:E50)</f>
        <v>2.965504</v>
      </c>
      <c r="E51" s="23" t="n">
        <f aca="false">SUMPRODUCT($B$41:$E$41,B50:E50)</f>
        <v>2.965504</v>
      </c>
      <c r="F51" s="23" t="n">
        <f aca="false">SUM(B51:E51)</f>
        <v>13.156352</v>
      </c>
      <c r="H51" s="11" t="n">
        <v>37</v>
      </c>
      <c r="I51" s="23" t="n">
        <f aca="false">SUMPRODUCT($B$14:$E$14,I50:L50)</f>
        <v>0</v>
      </c>
      <c r="J51" s="23" t="n">
        <f aca="false">SUMPRODUCT($B$15:$E$15,I50:L50)</f>
        <v>0</v>
      </c>
      <c r="K51" s="23" t="n">
        <f aca="false">SUMPRODUCT($B$16:$E$16,I50:L50)</f>
        <v>0.00129807421463371</v>
      </c>
      <c r="L51" s="23" t="n">
        <f aca="false">SUMPRODUCT($B$17:$E$17,I50:L50)</f>
        <v>0.00129807421463371</v>
      </c>
      <c r="M51" s="23" t="n">
        <f aca="false">SUM(I51:L51)</f>
        <v>0.00259614842926742</v>
      </c>
    </row>
    <row r="52" customFormat="false" ht="15" hidden="false" customHeight="false" outlineLevel="0" collapsed="false">
      <c r="A52" s="11" t="n">
        <v>8</v>
      </c>
      <c r="B52" s="23" t="n">
        <f aca="false">SUMPRODUCT($B$38:$E$38,B51:E51)</f>
        <v>3.8141952</v>
      </c>
      <c r="C52" s="23" t="n">
        <f aca="false">SUMPRODUCT($B$39:$E$39,B51:E51)</f>
        <v>3.8207488</v>
      </c>
      <c r="D52" s="23" t="n">
        <f aca="false">SUMPRODUCT($B$40:$E$40,B51:E51)</f>
        <v>2.8901376</v>
      </c>
      <c r="E52" s="23" t="n">
        <f aca="false">SUMPRODUCT($B$41:$E$41,B51:E51)</f>
        <v>2.8901376</v>
      </c>
      <c r="F52" s="23" t="n">
        <f aca="false">SUM(B52:E52)</f>
        <v>13.4152192</v>
      </c>
      <c r="H52" s="11" t="n">
        <v>38</v>
      </c>
      <c r="I52" s="23" t="n">
        <f aca="false">SUMPRODUCT($B$14:$E$14,I51:L51)</f>
        <v>0.00103845937170697</v>
      </c>
      <c r="J52" s="23" t="n">
        <f aca="false">SUMPRODUCT($B$15:$E$15,I51:L51)</f>
        <v>0.00103845937170697</v>
      </c>
      <c r="K52" s="23" t="n">
        <f aca="false">SUMPRODUCT($B$16:$E$16,I51:L51)</f>
        <v>0</v>
      </c>
      <c r="L52" s="23" t="n">
        <f aca="false">SUMPRODUCT($B$17:$E$17,I51:L51)</f>
        <v>0</v>
      </c>
      <c r="M52" s="23" t="n">
        <f aca="false">SUM(I52:L52)</f>
        <v>0.00207691874341394</v>
      </c>
    </row>
    <row r="53" customFormat="false" ht="15" hidden="false" customHeight="false" outlineLevel="0" collapsed="false">
      <c r="A53" s="11" t="n">
        <v>9</v>
      </c>
      <c r="B53" s="23" t="n">
        <f aca="false">SUMPRODUCT($B$38:$E$38,B52:E52)</f>
        <v>3.8404096</v>
      </c>
      <c r="C53" s="23" t="n">
        <f aca="false">SUMPRODUCT($B$39:$E$39,B52:E52)</f>
        <v>3.83778816</v>
      </c>
      <c r="D53" s="23" t="n">
        <f aca="false">SUMPRODUCT($B$40:$E$40,B52:E52)</f>
        <v>3.0539776</v>
      </c>
      <c r="E53" s="23" t="n">
        <f aca="false">SUMPRODUCT($B$41:$E$41,B52:E52)</f>
        <v>3.0539776</v>
      </c>
      <c r="F53" s="23" t="n">
        <f aca="false">SUM(B53:E53)</f>
        <v>13.78615296</v>
      </c>
      <c r="H53" s="11" t="n">
        <v>39</v>
      </c>
      <c r="I53" s="23" t="n">
        <f aca="false">SUMPRODUCT($B$14:$E$14,I52:L52)</f>
        <v>0</v>
      </c>
      <c r="J53" s="23" t="n">
        <f aca="false">SUMPRODUCT($B$15:$E$15,I52:L52)</f>
        <v>0</v>
      </c>
      <c r="K53" s="23" t="n">
        <f aca="false">SUMPRODUCT($B$16:$E$16,I52:L52)</f>
        <v>0.000830767497365574</v>
      </c>
      <c r="L53" s="23" t="n">
        <f aca="false">SUMPRODUCT($B$17:$E$17,I52:L52)</f>
        <v>0.000830767497365574</v>
      </c>
      <c r="M53" s="23" t="n">
        <f aca="false">SUM(I53:L53)</f>
        <v>0.00166153499473115</v>
      </c>
    </row>
    <row r="54" customFormat="false" ht="15" hidden="false" customHeight="false" outlineLevel="0" collapsed="false">
      <c r="A54" s="11" t="n">
        <v>10</v>
      </c>
      <c r="B54" s="23" t="n">
        <f aca="false">SUMPRODUCT($B$38:$E$38,B53:E53)</f>
        <v>3.978297344</v>
      </c>
      <c r="C54" s="23" t="n">
        <f aca="false">SUMPRODUCT($B$39:$E$39,B53:E53)</f>
        <v>3.97934592</v>
      </c>
      <c r="D54" s="23" t="n">
        <f aca="false">SUMPRODUCT($B$40:$E$40,B53:E53)</f>
        <v>3.071279104</v>
      </c>
      <c r="E54" s="23" t="n">
        <f aca="false">SUMPRODUCT($B$41:$E$41,B53:E53)</f>
        <v>3.071279104</v>
      </c>
      <c r="F54" s="23" t="n">
        <f aca="false">SUM(B54:E54)</f>
        <v>14.100201472</v>
      </c>
      <c r="H54" s="11" t="n">
        <v>40</v>
      </c>
      <c r="I54" s="23" t="n">
        <f aca="false">SUMPRODUCT($B$14:$E$14,I53:L53)</f>
        <v>0.000664613997892459</v>
      </c>
      <c r="J54" s="23" t="n">
        <f aca="false">SUMPRODUCT($B$15:$E$15,I53:L53)</f>
        <v>0.000664613997892459</v>
      </c>
      <c r="K54" s="23" t="n">
        <f aca="false">SUMPRODUCT($B$16:$E$16,I53:L53)</f>
        <v>0</v>
      </c>
      <c r="L54" s="23" t="n">
        <f aca="false">SUMPRODUCT($B$17:$E$17,I53:L53)</f>
        <v>0</v>
      </c>
      <c r="M54" s="23" t="n">
        <f aca="false">SUM(I54:L54)</f>
        <v>0.00132922799578492</v>
      </c>
    </row>
    <row r="55" customFormat="false" ht="15" hidden="false" customHeight="false" outlineLevel="0" collapsed="false">
      <c r="A55" s="11" t="n">
        <v>11</v>
      </c>
      <c r="B55" s="23" t="n">
        <f aca="false">SUMPRODUCT($B$38:$E$38,B54:E54)</f>
        <v>4.0487616512</v>
      </c>
      <c r="C55" s="23" t="n">
        <f aca="false">SUMPRODUCT($B$39:$E$39,B54:E54)</f>
        <v>4.0483422208</v>
      </c>
      <c r="D55" s="23" t="n">
        <f aca="false">SUMPRODUCT($B$40:$E$40,B54:E54)</f>
        <v>3.1830573056</v>
      </c>
      <c r="E55" s="23" t="n">
        <f aca="false">SUMPRODUCT($B$41:$E$41,B54:E54)</f>
        <v>3.1830573056</v>
      </c>
      <c r="F55" s="23" t="n">
        <f aca="false">SUM(B55:E55)</f>
        <v>14.4632184832</v>
      </c>
      <c r="H55" s="11" t="n">
        <v>41</v>
      </c>
      <c r="I55" s="23" t="n">
        <f aca="false">SUMPRODUCT($B$14:$E$14,I54:L54)</f>
        <v>0</v>
      </c>
      <c r="J55" s="23" t="n">
        <f aca="false">SUMPRODUCT($B$15:$E$15,I54:L54)</f>
        <v>0</v>
      </c>
      <c r="K55" s="23" t="n">
        <f aca="false">SUMPRODUCT($B$16:$E$16,I54:L54)</f>
        <v>0.000531691198313968</v>
      </c>
      <c r="L55" s="23" t="n">
        <f aca="false">SUMPRODUCT($B$17:$E$17,I54:L54)</f>
        <v>0.000531691198313968</v>
      </c>
      <c r="M55" s="23" t="n">
        <f aca="false">SUM(I55:L55)</f>
        <v>0.00106338239662794</v>
      </c>
    </row>
    <row r="56" customFormat="false" ht="15" hidden="false" customHeight="false" outlineLevel="0" collapsed="false">
      <c r="A56" s="11" t="n">
        <v>12</v>
      </c>
      <c r="B56" s="23" t="n">
        <f aca="false">SUMPRODUCT($B$38:$E$38,B55:E55)</f>
        <v>4.1657827328</v>
      </c>
      <c r="C56" s="23" t="n">
        <f aca="false">SUMPRODUCT($B$39:$E$39,B55:E55)</f>
        <v>4.16595050496</v>
      </c>
      <c r="D56" s="23" t="n">
        <f aca="false">SUMPRODUCT($B$40:$E$40,B55:E55)</f>
        <v>3.2388415488</v>
      </c>
      <c r="E56" s="23" t="n">
        <f aca="false">SUMPRODUCT($B$41:$E$41,B55:E55)</f>
        <v>3.2388415488</v>
      </c>
      <c r="F56" s="23" t="n">
        <f aca="false">SUM(B56:E56)</f>
        <v>14.80941633536</v>
      </c>
      <c r="H56" s="11" t="n">
        <v>42</v>
      </c>
      <c r="I56" s="23" t="n">
        <f aca="false">SUMPRODUCT($B$14:$E$14,I55:L55)</f>
        <v>0.000425352958651174</v>
      </c>
      <c r="J56" s="23" t="n">
        <f aca="false">SUMPRODUCT($B$15:$E$15,I55:L55)</f>
        <v>0.000425352958651174</v>
      </c>
      <c r="K56" s="23" t="n">
        <f aca="false">SUMPRODUCT($B$16:$E$16,I55:L55)</f>
        <v>0</v>
      </c>
      <c r="L56" s="23" t="n">
        <f aca="false">SUMPRODUCT($B$17:$E$17,I55:L55)</f>
        <v>0</v>
      </c>
      <c r="M56" s="23" t="n">
        <f aca="false">SUM(I56:L56)</f>
        <v>0.000850705917302348</v>
      </c>
    </row>
    <row r="57" customFormat="false" ht="15" hidden="false" customHeight="false" outlineLevel="0" collapsed="false">
      <c r="H57" s="11" t="n">
        <v>43</v>
      </c>
      <c r="I57" s="23" t="n">
        <f aca="false">SUMPRODUCT($B$14:$E$14,I56:L56)</f>
        <v>0</v>
      </c>
      <c r="J57" s="23" t="n">
        <f aca="false">SUMPRODUCT($B$15:$E$15,I56:L56)</f>
        <v>0</v>
      </c>
      <c r="K57" s="23" t="n">
        <f aca="false">SUMPRODUCT($B$16:$E$16,I56:L56)</f>
        <v>0.000340282366920939</v>
      </c>
      <c r="L57" s="23" t="n">
        <f aca="false">SUMPRODUCT($B$17:$E$17,I56:L56)</f>
        <v>0.000340282366920939</v>
      </c>
      <c r="M57" s="23" t="n">
        <f aca="false">SUM(I57:L57)</f>
        <v>0.000680564733841879</v>
      </c>
    </row>
    <row r="58" customFormat="false" ht="15" hidden="false" customHeight="false" outlineLevel="0" collapsed="false">
      <c r="H58" s="11" t="n">
        <v>44</v>
      </c>
      <c r="I58" s="23" t="n">
        <f aca="false">SUMPRODUCT($B$14:$E$14,I57:L57)</f>
        <v>0.000272225893536751</v>
      </c>
      <c r="J58" s="23" t="n">
        <f aca="false">SUMPRODUCT($B$15:$E$15,I57:L57)</f>
        <v>0.000272225893536751</v>
      </c>
      <c r="K58" s="23" t="n">
        <f aca="false">SUMPRODUCT($B$16:$E$16,I57:L57)</f>
        <v>0</v>
      </c>
      <c r="L58" s="23" t="n">
        <f aca="false">SUMPRODUCT($B$17:$E$17,I57:L57)</f>
        <v>0</v>
      </c>
      <c r="M58" s="23" t="n">
        <f aca="false">SUM(I58:L58)</f>
        <v>0.000544451787073503</v>
      </c>
    </row>
    <row r="59" customFormat="false" ht="15" hidden="false" customHeight="false" outlineLevel="0" collapsed="false">
      <c r="H59" s="11" t="n">
        <v>45</v>
      </c>
      <c r="I59" s="23" t="n">
        <f aca="false">SUMPRODUCT($B$14:$E$14,I58:L58)</f>
        <v>0</v>
      </c>
      <c r="J59" s="23" t="n">
        <f aca="false">SUMPRODUCT($B$15:$E$15,I58:L58)</f>
        <v>0</v>
      </c>
      <c r="K59" s="23" t="n">
        <f aca="false">SUMPRODUCT($B$16:$E$16,I58:L58)</f>
        <v>0.000217780714829401</v>
      </c>
      <c r="L59" s="23" t="n">
        <f aca="false">SUMPRODUCT($B$17:$E$17,I58:L58)</f>
        <v>0.000217780714829401</v>
      </c>
      <c r="M59" s="23" t="n">
        <f aca="false">SUM(I59:L59)</f>
        <v>0.000435561429658802</v>
      </c>
    </row>
    <row r="60" customFormat="false" ht="15" hidden="false" customHeight="false" outlineLevel="0" collapsed="false">
      <c r="H60" s="11" t="n">
        <v>46</v>
      </c>
      <c r="I60" s="23" t="n">
        <f aca="false">SUMPRODUCT($B$14:$E$14,I59:L59)</f>
        <v>0.000174224571863521</v>
      </c>
      <c r="J60" s="23" t="n">
        <f aca="false">SUMPRODUCT($B$15:$E$15,I59:L59)</f>
        <v>0.000174224571863521</v>
      </c>
      <c r="K60" s="23" t="n">
        <f aca="false">SUMPRODUCT($B$16:$E$16,I59:L59)</f>
        <v>0</v>
      </c>
      <c r="L60" s="23" t="n">
        <f aca="false">SUMPRODUCT($B$17:$E$17,I59:L59)</f>
        <v>0</v>
      </c>
      <c r="M60" s="23" t="n">
        <f aca="false">SUM(I60:L60)</f>
        <v>0.000348449143727042</v>
      </c>
    </row>
    <row r="61" customFormat="false" ht="15" hidden="false" customHeight="false" outlineLevel="0" collapsed="false">
      <c r="H61" s="11" t="n">
        <v>47</v>
      </c>
      <c r="I61" s="23" t="n">
        <f aca="false">SUMPRODUCT($B$14:$E$14,I60:L60)</f>
        <v>0</v>
      </c>
      <c r="J61" s="23" t="n">
        <f aca="false">SUMPRODUCT($B$15:$E$15,I60:L60)</f>
        <v>0</v>
      </c>
      <c r="K61" s="23" t="n">
        <f aca="false">SUMPRODUCT($B$16:$E$16,I60:L60)</f>
        <v>0.000139379657490817</v>
      </c>
      <c r="L61" s="23" t="n">
        <f aca="false">SUMPRODUCT($B$17:$E$17,I60:L60)</f>
        <v>0.000139379657490817</v>
      </c>
      <c r="M61" s="23" t="n">
        <f aca="false">SUM(I61:L61)</f>
        <v>0.000278759314981633</v>
      </c>
    </row>
    <row r="62" customFormat="false" ht="15" hidden="false" customHeight="false" outlineLevel="0" collapsed="false">
      <c r="H62" s="11" t="n">
        <v>48</v>
      </c>
      <c r="I62" s="23" t="n">
        <f aca="false">SUMPRODUCT($B$14:$E$14,I61:L61)</f>
        <v>0.000111503725992653</v>
      </c>
      <c r="J62" s="23" t="n">
        <f aca="false">SUMPRODUCT($B$15:$E$15,I61:L61)</f>
        <v>0.000111503725992653</v>
      </c>
      <c r="K62" s="23" t="n">
        <f aca="false">SUMPRODUCT($B$16:$E$16,I61:L61)</f>
        <v>0</v>
      </c>
      <c r="L62" s="23" t="n">
        <f aca="false">SUMPRODUCT($B$17:$E$17,I61:L61)</f>
        <v>0</v>
      </c>
      <c r="M62" s="23" t="n">
        <f aca="false">SUM(I62:L62)</f>
        <v>0.000223007451985307</v>
      </c>
    </row>
    <row r="63" customFormat="false" ht="15" hidden="false" customHeight="false" outlineLevel="0" collapsed="false">
      <c r="H63" s="11" t="n">
        <v>49</v>
      </c>
      <c r="I63" s="23" t="n">
        <f aca="false">SUMPRODUCT($B$14:$E$14,I62:L62)</f>
        <v>0</v>
      </c>
      <c r="J63" s="23" t="n">
        <f aca="false">SUMPRODUCT($B$15:$E$15,I62:L62)</f>
        <v>0</v>
      </c>
      <c r="K63" s="23" t="n">
        <f aca="false">SUMPRODUCT($B$16:$E$16,I62:L62)</f>
        <v>8.92029807941227E-005</v>
      </c>
      <c r="L63" s="23" t="n">
        <f aca="false">SUMPRODUCT($B$17:$E$17,I62:L62)</f>
        <v>8.92029807941227E-005</v>
      </c>
      <c r="M63" s="23" t="n">
        <f aca="false">SUM(I63:L63)</f>
        <v>0.000178405961588245</v>
      </c>
    </row>
    <row r="64" customFormat="false" ht="15" hidden="false" customHeight="false" outlineLevel="0" collapsed="false">
      <c r="H64" s="11" t="n">
        <v>50</v>
      </c>
      <c r="I64" s="23" t="n">
        <f aca="false">SUMPRODUCT($B$14:$E$14,I63:L63)</f>
        <v>7.13623846352982E-005</v>
      </c>
      <c r="J64" s="23" t="n">
        <f aca="false">SUMPRODUCT($B$15:$E$15,I63:L63)</f>
        <v>7.13623846352982E-005</v>
      </c>
      <c r="K64" s="23" t="n">
        <f aca="false">SUMPRODUCT($B$16:$E$16,I63:L63)</f>
        <v>0</v>
      </c>
      <c r="L64" s="23" t="n">
        <f aca="false">SUMPRODUCT($B$17:$E$17,I63:L63)</f>
        <v>0</v>
      </c>
      <c r="M64" s="23" t="n">
        <f aca="false">SUM(I64:L64)</f>
        <v>0.000142724769270596</v>
      </c>
    </row>
    <row r="65" customFormat="false" ht="15" hidden="false" customHeight="false" outlineLevel="0" collapsed="false">
      <c r="H65" s="11" t="n">
        <v>51</v>
      </c>
      <c r="I65" s="23" t="n">
        <f aca="false">SUMPRODUCT($B$14:$E$14,I64:L64)</f>
        <v>0</v>
      </c>
      <c r="J65" s="23" t="n">
        <f aca="false">SUMPRODUCT($B$15:$E$15,I64:L64)</f>
        <v>0</v>
      </c>
      <c r="K65" s="23" t="n">
        <f aca="false">SUMPRODUCT($B$16:$E$16,I64:L64)</f>
        <v>5.70899077082385E-005</v>
      </c>
      <c r="L65" s="23" t="n">
        <f aca="false">SUMPRODUCT($B$17:$E$17,I64:L64)</f>
        <v>5.70899077082385E-005</v>
      </c>
      <c r="M65" s="23" t="n">
        <f aca="false">SUM(I65:L65)</f>
        <v>0.000114179815416477</v>
      </c>
    </row>
    <row r="66" customFormat="false" ht="15" hidden="false" customHeight="false" outlineLevel="0" collapsed="false">
      <c r="H66" s="11" t="n">
        <v>52</v>
      </c>
      <c r="I66" s="23" t="n">
        <f aca="false">SUMPRODUCT($B$14:$E$14,I65:L65)</f>
        <v>4.56719261665908E-005</v>
      </c>
      <c r="J66" s="23" t="n">
        <f aca="false">SUMPRODUCT($B$15:$E$15,I65:L65)</f>
        <v>4.56719261665908E-005</v>
      </c>
      <c r="K66" s="23" t="n">
        <f aca="false">SUMPRODUCT($B$16:$E$16,I65:L65)</f>
        <v>0</v>
      </c>
      <c r="L66" s="23" t="n">
        <f aca="false">SUMPRODUCT($B$17:$E$17,I65:L65)</f>
        <v>0</v>
      </c>
      <c r="M66" s="23" t="n">
        <f aca="false">SUM(I66:L66)</f>
        <v>9.13438523331817E-005</v>
      </c>
    </row>
    <row r="67" customFormat="false" ht="15" hidden="false" customHeight="false" outlineLevel="0" collapsed="false">
      <c r="H67" s="11" t="n">
        <v>53</v>
      </c>
      <c r="I67" s="23" t="n">
        <f aca="false">SUMPRODUCT($B$14:$E$14,I66:L66)</f>
        <v>0</v>
      </c>
      <c r="J67" s="23" t="n">
        <f aca="false">SUMPRODUCT($B$15:$E$15,I66:L66)</f>
        <v>0</v>
      </c>
      <c r="K67" s="23" t="n">
        <f aca="false">SUMPRODUCT($B$16:$E$16,I66:L66)</f>
        <v>3.65375409332727E-005</v>
      </c>
      <c r="L67" s="23" t="n">
        <f aca="false">SUMPRODUCT($B$17:$E$17,I66:L66)</f>
        <v>3.65375409332727E-005</v>
      </c>
      <c r="M67" s="23" t="n">
        <f aca="false">SUM(I67:L67)</f>
        <v>7.30750818665453E-005</v>
      </c>
    </row>
    <row r="68" customFormat="false" ht="15" hidden="false" customHeight="false" outlineLevel="0" collapsed="false">
      <c r="H68" s="11" t="n">
        <v>54</v>
      </c>
      <c r="I68" s="23" t="n">
        <f aca="false">SUMPRODUCT($B$14:$E$14,I67:L67)</f>
        <v>2.92300327466181E-005</v>
      </c>
      <c r="J68" s="23" t="n">
        <f aca="false">SUMPRODUCT($B$15:$E$15,I67:L67)</f>
        <v>2.92300327466181E-005</v>
      </c>
      <c r="K68" s="23" t="n">
        <f aca="false">SUMPRODUCT($B$16:$E$16,I67:L67)</f>
        <v>0</v>
      </c>
      <c r="L68" s="23" t="n">
        <f aca="false">SUMPRODUCT($B$17:$E$17,I67:L67)</f>
        <v>0</v>
      </c>
      <c r="M68" s="23" t="n">
        <f aca="false">SUM(I68:L68)</f>
        <v>5.84600654932363E-005</v>
      </c>
    </row>
    <row r="69" customFormat="false" ht="15" hidden="false" customHeight="false" outlineLevel="0" collapsed="false">
      <c r="H69" s="11" t="n">
        <v>55</v>
      </c>
      <c r="I69" s="23" t="n">
        <f aca="false">SUMPRODUCT($B$14:$E$14,I68:L68)</f>
        <v>0</v>
      </c>
      <c r="J69" s="23" t="n">
        <f aca="false">SUMPRODUCT($B$15:$E$15,I68:L68)</f>
        <v>0</v>
      </c>
      <c r="K69" s="23" t="n">
        <f aca="false">SUMPRODUCT($B$16:$E$16,I68:L68)</f>
        <v>2.33840261972945E-005</v>
      </c>
      <c r="L69" s="23" t="n">
        <f aca="false">SUMPRODUCT($B$17:$E$17,I68:L68)</f>
        <v>2.33840261972945E-005</v>
      </c>
      <c r="M69" s="23" t="n">
        <f aca="false">SUM(I69:L69)</f>
        <v>4.6768052394589E-005</v>
      </c>
    </row>
    <row r="70" customFormat="false" ht="15" hidden="false" customHeight="false" outlineLevel="0" collapsed="false">
      <c r="H70" s="11" t="n">
        <v>56</v>
      </c>
      <c r="I70" s="23" t="n">
        <f aca="false">SUMPRODUCT($B$14:$E$14,I69:L69)</f>
        <v>1.87072209578356E-005</v>
      </c>
      <c r="J70" s="23" t="n">
        <f aca="false">SUMPRODUCT($B$15:$E$15,I69:L69)</f>
        <v>1.87072209578356E-005</v>
      </c>
      <c r="K70" s="23" t="n">
        <f aca="false">SUMPRODUCT($B$16:$E$16,I69:L69)</f>
        <v>0</v>
      </c>
      <c r="L70" s="23" t="n">
        <f aca="false">SUMPRODUCT($B$17:$E$17,I69:L69)</f>
        <v>0</v>
      </c>
      <c r="M70" s="23" t="n">
        <f aca="false">SUM(I70:L70)</f>
        <v>3.74144419156712E-005</v>
      </c>
    </row>
    <row r="71" customFormat="false" ht="15" hidden="false" customHeight="false" outlineLevel="0" collapsed="false">
      <c r="H71" s="11" t="n">
        <v>57</v>
      </c>
      <c r="I71" s="23" t="n">
        <f aca="false">SUMPRODUCT($B$14:$E$14,I70:L70)</f>
        <v>0</v>
      </c>
      <c r="J71" s="23" t="n">
        <f aca="false">SUMPRODUCT($B$15:$E$15,I70:L70)</f>
        <v>0</v>
      </c>
      <c r="K71" s="23" t="n">
        <f aca="false">SUMPRODUCT($B$16:$E$16,I70:L70)</f>
        <v>1.49657767662685E-005</v>
      </c>
      <c r="L71" s="23" t="n">
        <f aca="false">SUMPRODUCT($B$17:$E$17,I70:L70)</f>
        <v>1.49657767662685E-005</v>
      </c>
      <c r="M71" s="23" t="n">
        <f aca="false">SUM(I71:L71)</f>
        <v>2.9931553532537E-005</v>
      </c>
    </row>
    <row r="72" customFormat="false" ht="15" hidden="false" customHeight="false" outlineLevel="0" collapsed="false">
      <c r="H72" s="11" t="n">
        <v>58</v>
      </c>
      <c r="I72" s="23" t="n">
        <f aca="false">SUMPRODUCT($B$14:$E$14,I71:L71)</f>
        <v>1.19726214130148E-005</v>
      </c>
      <c r="J72" s="23" t="n">
        <f aca="false">SUMPRODUCT($B$15:$E$15,I71:L71)</f>
        <v>1.19726214130148E-005</v>
      </c>
      <c r="K72" s="23" t="n">
        <f aca="false">SUMPRODUCT($B$16:$E$16,I71:L71)</f>
        <v>0</v>
      </c>
      <c r="L72" s="23" t="n">
        <f aca="false">SUMPRODUCT($B$17:$E$17,I71:L71)</f>
        <v>0</v>
      </c>
      <c r="M72" s="23" t="n">
        <f aca="false">SUM(I72:L72)</f>
        <v>2.39452428260296E-005</v>
      </c>
    </row>
    <row r="73" customFormat="false" ht="15" hidden="false" customHeight="false" outlineLevel="0" collapsed="false">
      <c r="H73" s="11" t="n">
        <v>59</v>
      </c>
      <c r="I73" s="23" t="n">
        <f aca="false">SUMPRODUCT($B$14:$E$14,I72:L72)</f>
        <v>0</v>
      </c>
      <c r="J73" s="23" t="n">
        <f aca="false">SUMPRODUCT($B$15:$E$15,I72:L72)</f>
        <v>0</v>
      </c>
      <c r="K73" s="23" t="n">
        <f aca="false">SUMPRODUCT($B$16:$E$16,I72:L72)</f>
        <v>9.57809713041184E-006</v>
      </c>
      <c r="L73" s="23" t="n">
        <f aca="false">SUMPRODUCT($B$17:$E$17,I72:L72)</f>
        <v>9.57809713041184E-006</v>
      </c>
      <c r="M73" s="23" t="n">
        <f aca="false">SUM(I73:L73)</f>
        <v>1.91561942608237E-005</v>
      </c>
    </row>
    <row r="74" customFormat="false" ht="15" hidden="false" customHeight="false" outlineLevel="0" collapsed="false">
      <c r="H74" s="11" t="n">
        <v>60</v>
      </c>
      <c r="I74" s="23" t="n">
        <f aca="false">SUMPRODUCT($B$14:$E$14,I73:L73)</f>
        <v>7.66247770432947E-006</v>
      </c>
      <c r="J74" s="23" t="n">
        <f aca="false">SUMPRODUCT($B$15:$E$15,I73:L73)</f>
        <v>7.66247770432947E-006</v>
      </c>
      <c r="K74" s="23" t="n">
        <f aca="false">SUMPRODUCT($B$16:$E$16,I73:L73)</f>
        <v>0</v>
      </c>
      <c r="L74" s="23" t="n">
        <f aca="false">SUMPRODUCT($B$17:$E$17,I73:L73)</f>
        <v>0</v>
      </c>
      <c r="M74" s="23" t="n">
        <f aca="false">SUM(I74:L74)</f>
        <v>1.53249554086589E-005</v>
      </c>
    </row>
    <row r="75" customFormat="false" ht="15" hidden="false" customHeight="false" outlineLevel="0" collapsed="false">
      <c r="H75" s="11" t="n">
        <v>61</v>
      </c>
      <c r="I75" s="23" t="n">
        <f aca="false">SUMPRODUCT($B$14:$E$14,I74:L74)</f>
        <v>0</v>
      </c>
      <c r="J75" s="23" t="n">
        <f aca="false">SUMPRODUCT($B$15:$E$15,I74:L74)</f>
        <v>0</v>
      </c>
      <c r="K75" s="23" t="n">
        <f aca="false">SUMPRODUCT($B$16:$E$16,I74:L74)</f>
        <v>6.12998216346358E-006</v>
      </c>
      <c r="L75" s="23" t="n">
        <f aca="false">SUMPRODUCT($B$17:$E$17,I74:L74)</f>
        <v>6.12998216346358E-006</v>
      </c>
      <c r="M75" s="23" t="n">
        <f aca="false">SUM(I75:L75)</f>
        <v>1.22599643269272E-005</v>
      </c>
    </row>
    <row r="76" customFormat="false" ht="15" hidden="false" customHeight="false" outlineLevel="0" collapsed="false">
      <c r="H76" s="11" t="n">
        <v>62</v>
      </c>
      <c r="I76" s="23" t="n">
        <f aca="false">SUMPRODUCT($B$14:$E$14,I75:L75)</f>
        <v>4.90398573077086E-006</v>
      </c>
      <c r="J76" s="23" t="n">
        <f aca="false">SUMPRODUCT($B$15:$E$15,I75:L75)</f>
        <v>4.90398573077086E-006</v>
      </c>
      <c r="K76" s="23" t="n">
        <f aca="false">SUMPRODUCT($B$16:$E$16,I75:L75)</f>
        <v>0</v>
      </c>
      <c r="L76" s="23" t="n">
        <f aca="false">SUMPRODUCT($B$17:$E$17,I75:L75)</f>
        <v>0</v>
      </c>
      <c r="M76" s="23" t="n">
        <f aca="false">SUM(I76:L76)</f>
        <v>9.80797146154172E-006</v>
      </c>
    </row>
    <row r="77" customFormat="false" ht="15" hidden="false" customHeight="false" outlineLevel="0" collapsed="false">
      <c r="H77" s="11" t="n">
        <v>63</v>
      </c>
      <c r="I77" s="23" t="n">
        <f aca="false">SUMPRODUCT($B$14:$E$14,I76:L76)</f>
        <v>0</v>
      </c>
      <c r="J77" s="23" t="n">
        <f aca="false">SUMPRODUCT($B$15:$E$15,I76:L76)</f>
        <v>0</v>
      </c>
      <c r="K77" s="23" t="n">
        <f aca="false">SUMPRODUCT($B$16:$E$16,I76:L76)</f>
        <v>3.92318858461669E-006</v>
      </c>
      <c r="L77" s="23" t="n">
        <f aca="false">SUMPRODUCT($B$17:$E$17,I76:L76)</f>
        <v>3.92318858461669E-006</v>
      </c>
      <c r="M77" s="23" t="n">
        <f aca="false">SUM(I77:L77)</f>
        <v>7.84637716923338E-006</v>
      </c>
    </row>
    <row r="78" customFormat="false" ht="15" hidden="false" customHeight="false" outlineLevel="0" collapsed="false">
      <c r="H78" s="11" t="n">
        <v>64</v>
      </c>
      <c r="I78" s="23" t="n">
        <f aca="false">SUMPRODUCT($B$14:$E$14,I77:L77)</f>
        <v>3.13855086769335E-006</v>
      </c>
      <c r="J78" s="23" t="n">
        <f aca="false">SUMPRODUCT($B$15:$E$15,I77:L77)</f>
        <v>3.13855086769335E-006</v>
      </c>
      <c r="K78" s="23" t="n">
        <f aca="false">SUMPRODUCT($B$16:$E$16,I77:L77)</f>
        <v>0</v>
      </c>
      <c r="L78" s="23" t="n">
        <f aca="false">SUMPRODUCT($B$17:$E$17,I77:L77)</f>
        <v>0</v>
      </c>
      <c r="M78" s="23" t="n">
        <f aca="false">SUM(I78:L78)</f>
        <v>6.2771017353867E-006</v>
      </c>
    </row>
    <row r="79" customFormat="false" ht="15" hidden="false" customHeight="false" outlineLevel="0" collapsed="false">
      <c r="H79" s="11" t="n">
        <v>65</v>
      </c>
      <c r="I79" s="23" t="n">
        <f aca="false">SUMPRODUCT($B$14:$E$14,I78:L78)</f>
        <v>0</v>
      </c>
      <c r="J79" s="23" t="n">
        <f aca="false">SUMPRODUCT($B$15:$E$15,I78:L78)</f>
        <v>0</v>
      </c>
      <c r="K79" s="23" t="n">
        <f aca="false">SUMPRODUCT($B$16:$E$16,I78:L78)</f>
        <v>2.51084069415468E-006</v>
      </c>
      <c r="L79" s="23" t="n">
        <f aca="false">SUMPRODUCT($B$17:$E$17,I78:L78)</f>
        <v>2.51084069415468E-006</v>
      </c>
      <c r="M79" s="23" t="n">
        <f aca="false">SUM(I79:L79)</f>
        <v>5.02168138830936E-006</v>
      </c>
    </row>
    <row r="80" customFormat="false" ht="15" hidden="false" customHeight="false" outlineLevel="0" collapsed="false">
      <c r="H80" s="11" t="n">
        <v>66</v>
      </c>
      <c r="I80" s="23" t="n">
        <f aca="false">SUMPRODUCT($B$14:$E$14,I79:L79)</f>
        <v>2.00867255532375E-006</v>
      </c>
      <c r="J80" s="23" t="n">
        <f aca="false">SUMPRODUCT($B$15:$E$15,I79:L79)</f>
        <v>2.00867255532375E-006</v>
      </c>
      <c r="K80" s="23" t="n">
        <f aca="false">SUMPRODUCT($B$16:$E$16,I79:L79)</f>
        <v>0</v>
      </c>
      <c r="L80" s="23" t="n">
        <f aca="false">SUMPRODUCT($B$17:$E$17,I79:L79)</f>
        <v>0</v>
      </c>
      <c r="M80" s="23" t="n">
        <f aca="false">SUM(I80:L80)</f>
        <v>4.01734511064749E-006</v>
      </c>
    </row>
    <row r="81" customFormat="false" ht="15" hidden="false" customHeight="false" outlineLevel="0" collapsed="false">
      <c r="H81" s="11" t="n">
        <v>67</v>
      </c>
      <c r="I81" s="23" t="n">
        <f aca="false">SUMPRODUCT($B$14:$E$14,I80:L80)</f>
        <v>0</v>
      </c>
      <c r="J81" s="23" t="n">
        <f aca="false">SUMPRODUCT($B$15:$E$15,I80:L80)</f>
        <v>0</v>
      </c>
      <c r="K81" s="23" t="n">
        <f aca="false">SUMPRODUCT($B$16:$E$16,I80:L80)</f>
        <v>1.606938044259E-006</v>
      </c>
      <c r="L81" s="23" t="n">
        <f aca="false">SUMPRODUCT($B$17:$E$17,I80:L80)</f>
        <v>1.606938044259E-006</v>
      </c>
      <c r="M81" s="23" t="n">
        <f aca="false">SUM(I81:L81)</f>
        <v>3.21387608851799E-006</v>
      </c>
    </row>
    <row r="82" customFormat="false" ht="15" hidden="false" customHeight="false" outlineLevel="0" collapsed="false">
      <c r="H82" s="11" t="n">
        <v>68</v>
      </c>
      <c r="I82" s="23" t="n">
        <f aca="false">SUMPRODUCT($B$14:$E$14,I81:L81)</f>
        <v>1.2855504354072E-006</v>
      </c>
      <c r="J82" s="23" t="n">
        <f aca="false">SUMPRODUCT($B$15:$E$15,I81:L81)</f>
        <v>1.2855504354072E-006</v>
      </c>
      <c r="K82" s="23" t="n">
        <f aca="false">SUMPRODUCT($B$16:$E$16,I81:L81)</f>
        <v>0</v>
      </c>
      <c r="L82" s="23" t="n">
        <f aca="false">SUMPRODUCT($B$17:$E$17,I81:L81)</f>
        <v>0</v>
      </c>
      <c r="M82" s="23" t="n">
        <f aca="false">SUM(I82:L82)</f>
        <v>2.57110087081439E-006</v>
      </c>
    </row>
    <row r="83" customFormat="false" ht="15" hidden="false" customHeight="false" outlineLevel="0" collapsed="false">
      <c r="H83" s="11" t="n">
        <v>69</v>
      </c>
      <c r="I83" s="23" t="n">
        <f aca="false">SUMPRODUCT($B$14:$E$14,I82:L82)</f>
        <v>0</v>
      </c>
      <c r="J83" s="23" t="n">
        <f aca="false">SUMPRODUCT($B$15:$E$15,I82:L82)</f>
        <v>0</v>
      </c>
      <c r="K83" s="23" t="n">
        <f aca="false">SUMPRODUCT($B$16:$E$16,I82:L82)</f>
        <v>1.02844034832576E-006</v>
      </c>
      <c r="L83" s="23" t="n">
        <f aca="false">SUMPRODUCT($B$17:$E$17,I82:L82)</f>
        <v>1.02844034832576E-006</v>
      </c>
      <c r="M83" s="23" t="n">
        <f aca="false">SUM(I83:L83)</f>
        <v>2.05688069665152E-006</v>
      </c>
    </row>
    <row r="84" customFormat="false" ht="15" hidden="false" customHeight="false" outlineLevel="0" collapsed="false">
      <c r="H84" s="11" t="n">
        <v>70</v>
      </c>
      <c r="I84" s="23" t="n">
        <f aca="false">SUMPRODUCT($B$14:$E$14,I83:L83)</f>
        <v>8.22752278660606E-007</v>
      </c>
      <c r="J84" s="23" t="n">
        <f aca="false">SUMPRODUCT($B$15:$E$15,I83:L83)</f>
        <v>8.22752278660606E-007</v>
      </c>
      <c r="K84" s="23" t="n">
        <f aca="false">SUMPRODUCT($B$16:$E$16,I83:L83)</f>
        <v>0</v>
      </c>
      <c r="L84" s="23" t="n">
        <f aca="false">SUMPRODUCT($B$17:$E$17,I83:L83)</f>
        <v>0</v>
      </c>
      <c r="M84" s="23" t="n">
        <f aca="false">SUM(I84:L84)</f>
        <v>1.64550455732121E-006</v>
      </c>
    </row>
    <row r="85" customFormat="false" ht="15" hidden="false" customHeight="false" outlineLevel="0" collapsed="false">
      <c r="H85" s="11" t="n">
        <v>71</v>
      </c>
      <c r="I85" s="23" t="n">
        <f aca="false">SUMPRODUCT($B$14:$E$14,I84:L84)</f>
        <v>0</v>
      </c>
      <c r="J85" s="23" t="n">
        <f aca="false">SUMPRODUCT($B$15:$E$15,I84:L84)</f>
        <v>0</v>
      </c>
      <c r="K85" s="23" t="n">
        <f aca="false">SUMPRODUCT($B$16:$E$16,I84:L84)</f>
        <v>6.58201822928485E-007</v>
      </c>
      <c r="L85" s="23" t="n">
        <f aca="false">SUMPRODUCT($B$17:$E$17,I84:L84)</f>
        <v>6.58201822928485E-007</v>
      </c>
      <c r="M85" s="23" t="n">
        <f aca="false">SUM(I85:L85)</f>
        <v>1.31640364585697E-006</v>
      </c>
    </row>
    <row r="86" customFormat="false" ht="15" hidden="false" customHeight="false" outlineLevel="0" collapsed="false">
      <c r="H86" s="11" t="n">
        <v>72</v>
      </c>
      <c r="I86" s="23" t="n">
        <f aca="false">SUMPRODUCT($B$14:$E$14,I85:L85)</f>
        <v>5.26561458342788E-007</v>
      </c>
      <c r="J86" s="23" t="n">
        <f aca="false">SUMPRODUCT($B$15:$E$15,I85:L85)</f>
        <v>5.26561458342788E-007</v>
      </c>
      <c r="K86" s="23" t="n">
        <f aca="false">SUMPRODUCT($B$16:$E$16,I85:L85)</f>
        <v>0</v>
      </c>
      <c r="L86" s="23" t="n">
        <f aca="false">SUMPRODUCT($B$17:$E$17,I85:L85)</f>
        <v>0</v>
      </c>
      <c r="M86" s="23" t="n">
        <f aca="false">SUM(I86:L86)</f>
        <v>1.05312291668558E-006</v>
      </c>
    </row>
    <row r="87" customFormat="false" ht="15" hidden="false" customHeight="false" outlineLevel="0" collapsed="false">
      <c r="H87" s="11" t="n">
        <v>73</v>
      </c>
      <c r="I87" s="23" t="n">
        <f aca="false">SUMPRODUCT($B$14:$E$14,I86:L86)</f>
        <v>0</v>
      </c>
      <c r="J87" s="23" t="n">
        <f aca="false">SUMPRODUCT($B$15:$E$15,I86:L86)</f>
        <v>0</v>
      </c>
      <c r="K87" s="23" t="n">
        <f aca="false">SUMPRODUCT($B$16:$E$16,I86:L86)</f>
        <v>4.21249166674231E-007</v>
      </c>
      <c r="L87" s="23" t="n">
        <f aca="false">SUMPRODUCT($B$17:$E$17,I86:L86)</f>
        <v>4.21249166674231E-007</v>
      </c>
      <c r="M87" s="23" t="n">
        <f aca="false">SUM(I87:L87)</f>
        <v>8.42498333348461E-007</v>
      </c>
    </row>
    <row r="88" customFormat="false" ht="15" hidden="false" customHeight="false" outlineLevel="0" collapsed="false">
      <c r="H88" s="11" t="n">
        <v>74</v>
      </c>
      <c r="I88" s="23" t="n">
        <f aca="false">SUMPRODUCT($B$14:$E$14,I87:L87)</f>
        <v>3.36999333339384E-007</v>
      </c>
      <c r="J88" s="23" t="n">
        <f aca="false">SUMPRODUCT($B$15:$E$15,I87:L87)</f>
        <v>3.36999333339384E-007</v>
      </c>
      <c r="K88" s="23" t="n">
        <f aca="false">SUMPRODUCT($B$16:$E$16,I87:L87)</f>
        <v>0</v>
      </c>
      <c r="L88" s="23" t="n">
        <f aca="false">SUMPRODUCT($B$17:$E$17,I87:L87)</f>
        <v>0</v>
      </c>
      <c r="M88" s="23" t="n">
        <f aca="false">SUM(I88:L88)</f>
        <v>6.73998666678769E-007</v>
      </c>
    </row>
    <row r="89" customFormat="false" ht="15" hidden="false" customHeight="false" outlineLevel="0" collapsed="false">
      <c r="H89" s="11" t="n">
        <v>75</v>
      </c>
      <c r="I89" s="23" t="n">
        <f aca="false">SUMPRODUCT($B$14:$E$14,I88:L88)</f>
        <v>0</v>
      </c>
      <c r="J89" s="23" t="n">
        <f aca="false">SUMPRODUCT($B$15:$E$15,I88:L88)</f>
        <v>0</v>
      </c>
      <c r="K89" s="23" t="n">
        <f aca="false">SUMPRODUCT($B$16:$E$16,I88:L88)</f>
        <v>2.69599466671508E-007</v>
      </c>
      <c r="L89" s="23" t="n">
        <f aca="false">SUMPRODUCT($B$17:$E$17,I88:L88)</f>
        <v>2.69599466671508E-007</v>
      </c>
      <c r="M89" s="23" t="n">
        <f aca="false">SUM(I89:L89)</f>
        <v>5.39198933343015E-007</v>
      </c>
    </row>
    <row r="90" customFormat="false" ht="15" hidden="false" customHeight="false" outlineLevel="0" collapsed="false">
      <c r="H90" s="11" t="n">
        <v>76</v>
      </c>
      <c r="I90" s="23" t="n">
        <f aca="false">SUMPRODUCT($B$14:$E$14,I89:L89)</f>
        <v>2.15679573337206E-007</v>
      </c>
      <c r="J90" s="23" t="n">
        <f aca="false">SUMPRODUCT($B$15:$E$15,I89:L89)</f>
        <v>2.15679573337206E-007</v>
      </c>
      <c r="K90" s="23" t="n">
        <f aca="false">SUMPRODUCT($B$16:$E$16,I89:L89)</f>
        <v>0</v>
      </c>
      <c r="L90" s="23" t="n">
        <f aca="false">SUMPRODUCT($B$17:$E$17,I89:L89)</f>
        <v>0</v>
      </c>
      <c r="M90" s="23" t="n">
        <f aca="false">SUM(I90:L90)</f>
        <v>4.31359146674412E-007</v>
      </c>
    </row>
    <row r="91" customFormat="false" ht="15" hidden="false" customHeight="false" outlineLevel="0" collapsed="false">
      <c r="H91" s="11" t="n">
        <v>77</v>
      </c>
      <c r="I91" s="23" t="n">
        <f aca="false">SUMPRODUCT($B$14:$E$14,I90:L90)</f>
        <v>0</v>
      </c>
      <c r="J91" s="23" t="n">
        <f aca="false">SUMPRODUCT($B$15:$E$15,I90:L90)</f>
        <v>0</v>
      </c>
      <c r="K91" s="23" t="n">
        <f aca="false">SUMPRODUCT($B$16:$E$16,I90:L90)</f>
        <v>1.72543658669765E-007</v>
      </c>
      <c r="L91" s="23" t="n">
        <f aca="false">SUMPRODUCT($B$17:$E$17,I90:L90)</f>
        <v>1.72543658669765E-007</v>
      </c>
      <c r="M91" s="23" t="n">
        <f aca="false">SUM(I91:L91)</f>
        <v>3.4508731733953E-007</v>
      </c>
    </row>
    <row r="92" customFormat="false" ht="15" hidden="false" customHeight="false" outlineLevel="0" collapsed="false">
      <c r="H92" s="11" t="n">
        <v>78</v>
      </c>
      <c r="I92" s="23" t="n">
        <f aca="false">SUMPRODUCT($B$14:$E$14,I91:L91)</f>
        <v>1.38034926935812E-007</v>
      </c>
      <c r="J92" s="23" t="n">
        <f aca="false">SUMPRODUCT($B$15:$E$15,I91:L91)</f>
        <v>1.38034926935812E-007</v>
      </c>
      <c r="K92" s="23" t="n">
        <f aca="false">SUMPRODUCT($B$16:$E$16,I91:L91)</f>
        <v>0</v>
      </c>
      <c r="L92" s="23" t="n">
        <f aca="false">SUMPRODUCT($B$17:$E$17,I91:L91)</f>
        <v>0</v>
      </c>
      <c r="M92" s="23" t="n">
        <f aca="false">SUM(I92:L92)</f>
        <v>2.76069853871624E-007</v>
      </c>
    </row>
    <row r="93" customFormat="false" ht="15" hidden="false" customHeight="false" outlineLevel="0" collapsed="false">
      <c r="H93" s="11" t="n">
        <v>79</v>
      </c>
      <c r="I93" s="23" t="n">
        <f aca="false">SUMPRODUCT($B$14:$E$14,I92:L92)</f>
        <v>0</v>
      </c>
      <c r="J93" s="23" t="n">
        <f aca="false">SUMPRODUCT($B$15:$E$15,I92:L92)</f>
        <v>0</v>
      </c>
      <c r="K93" s="23" t="n">
        <f aca="false">SUMPRODUCT($B$16:$E$16,I92:L92)</f>
        <v>1.1042794154865E-007</v>
      </c>
      <c r="L93" s="23" t="n">
        <f aca="false">SUMPRODUCT($B$17:$E$17,I92:L92)</f>
        <v>1.1042794154865E-007</v>
      </c>
      <c r="M93" s="23" t="n">
        <f aca="false">SUM(I93:L93)</f>
        <v>2.20855883097299E-007</v>
      </c>
    </row>
    <row r="94" customFormat="false" ht="15" hidden="false" customHeight="false" outlineLevel="0" collapsed="false">
      <c r="H94" s="11" t="n">
        <v>80</v>
      </c>
      <c r="I94" s="23" t="n">
        <f aca="false">SUMPRODUCT($B$14:$E$14,I93:L93)</f>
        <v>8.83423532389196E-008</v>
      </c>
      <c r="J94" s="23" t="n">
        <f aca="false">SUMPRODUCT($B$15:$E$15,I93:L93)</f>
        <v>8.83423532389196E-008</v>
      </c>
      <c r="K94" s="23" t="n">
        <f aca="false">SUMPRODUCT($B$16:$E$16,I93:L93)</f>
        <v>0</v>
      </c>
      <c r="L94" s="23" t="n">
        <f aca="false">SUMPRODUCT($B$17:$E$17,I93:L93)</f>
        <v>0</v>
      </c>
      <c r="M94" s="23" t="n">
        <f aca="false">SUM(I94:L94)</f>
        <v>1.76684706477839E-007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2" min="2" style="0" width="14"/>
    <col collapsed="false" customWidth="true" hidden="false" outlineLevel="0" max="12" min="3" style="0" width="13"/>
  </cols>
  <sheetData>
    <row r="1" customFormat="false" ht="15" hidden="false" customHeight="false" outlineLevel="0" collapsed="false">
      <c r="A1" s="1" t="s">
        <v>423</v>
      </c>
    </row>
    <row r="2" customFormat="false" ht="15" hidden="false" customHeight="false" outlineLevel="0" collapsed="false">
      <c r="A2" s="10" t="s">
        <v>424</v>
      </c>
    </row>
    <row r="4" customFormat="false" ht="15" hidden="false" customHeight="false" outlineLevel="0" collapsed="false">
      <c r="A4" s="2" t="s">
        <v>425</v>
      </c>
      <c r="B4" s="20" t="n">
        <f aca="false">Ceil_gain</f>
        <v>0.4</v>
      </c>
      <c r="C4" s="10" t="s">
        <v>426</v>
      </c>
    </row>
    <row r="5" customFormat="false" ht="15" hidden="false" customHeight="false" outlineLevel="0" collapsed="false">
      <c r="A5" s="2" t="s">
        <v>427</v>
      </c>
      <c r="B5" s="13" t="n">
        <v>0.02</v>
      </c>
      <c r="C5" s="10" t="s">
        <v>428</v>
      </c>
    </row>
    <row r="6" customFormat="false" ht="15" hidden="false" customHeight="false" outlineLevel="0" collapsed="false">
      <c r="A6" s="2" t="s">
        <v>429</v>
      </c>
      <c r="B6" s="13" t="n">
        <v>0.36</v>
      </c>
      <c r="C6" s="10" t="s">
        <v>428</v>
      </c>
    </row>
    <row r="7" customFormat="false" ht="15" hidden="false" customHeight="false" outlineLevel="0" collapsed="false">
      <c r="A7" s="2" t="s">
        <v>430</v>
      </c>
      <c r="B7" s="13" t="n">
        <v>0.02</v>
      </c>
      <c r="C7" s="10" t="s">
        <v>431</v>
      </c>
    </row>
    <row r="8" customFormat="false" ht="15" hidden="false" customHeight="false" outlineLevel="0" collapsed="false">
      <c r="C8" s="2" t="s">
        <v>432</v>
      </c>
      <c r="D8" s="2" t="s">
        <v>433</v>
      </c>
      <c r="E8" s="2" t="s">
        <v>434</v>
      </c>
      <c r="F8" s="2" t="s">
        <v>435</v>
      </c>
    </row>
    <row r="9" customFormat="false" ht="23.85" hidden="false" customHeight="false" outlineLevel="0" collapsed="false">
      <c r="A9" s="8" t="s">
        <v>346</v>
      </c>
      <c r="B9" s="8" t="s">
        <v>436</v>
      </c>
      <c r="C9" s="8" t="s">
        <v>437</v>
      </c>
      <c r="D9" s="8" t="s">
        <v>438</v>
      </c>
      <c r="E9" s="8" t="s">
        <v>439</v>
      </c>
      <c r="F9" s="8" t="s">
        <v>440</v>
      </c>
      <c r="G9" s="8" t="s">
        <v>441</v>
      </c>
      <c r="H9" s="8" t="s">
        <v>442</v>
      </c>
      <c r="I9" s="8" t="s">
        <v>443</v>
      </c>
      <c r="J9" s="8" t="s">
        <v>444</v>
      </c>
      <c r="K9" s="8" t="s">
        <v>445</v>
      </c>
      <c r="L9" s="8" t="s">
        <v>446</v>
      </c>
    </row>
    <row r="10" customFormat="false" ht="15" hidden="false" customHeight="false" outlineLevel="0" collapsed="false">
      <c r="A10" s="11" t="n">
        <v>0</v>
      </c>
      <c r="B10" s="23" t="n">
        <f aca="false">$B$6+$B$7*MAX(A10-3,0)</f>
        <v>0.36</v>
      </c>
      <c r="C10" s="29" t="n">
        <v>0.367823466968088</v>
      </c>
      <c r="D10" s="29" t="n">
        <v>0.345849025161988</v>
      </c>
      <c r="E10" s="29" t="n">
        <v>0.374556677189508</v>
      </c>
      <c r="F10" s="29" t="n">
        <v>0.358778222974481</v>
      </c>
      <c r="G10" s="2" t="str">
        <f aca="false">IF(C10&gt;$B$4+$B$5,"flag",IF(C10&gt;$B$4-$B$5,"thin pass","passes"))</f>
        <v>passes</v>
      </c>
      <c r="H10" s="2" t="str">
        <f aca="false">IF(D10&gt;$B$4+$B$5,"flag",IF(D10&gt;$B$4-$B$5,"thin pass","passes"))</f>
        <v>passes</v>
      </c>
      <c r="I10" s="2" t="str">
        <f aca="false">IF(E10&gt;$B$4+$B$5,"flag",IF(E10&gt;$B$4-$B$5,"thin pass","passes"))</f>
        <v>passes</v>
      </c>
      <c r="J10" s="2" t="str">
        <f aca="false">IF(F10&gt;$B$4+$B$5,"flag",IF(F10&gt;$B$4-$B$5,"thin pass","passes"))</f>
        <v>passes</v>
      </c>
      <c r="K10" s="11" t="n">
        <f aca="false">IF(COUNTIF(G10:J10,"thin pass")+COUNTIF(G10:J10,"flag")&gt;0,1,0)</f>
        <v>0</v>
      </c>
      <c r="L10" s="11" t="n">
        <f aca="false">IF(COUNTIF(G10:J10,"flag")&gt;0,1,0)</f>
        <v>0</v>
      </c>
    </row>
    <row r="11" customFormat="false" ht="15" hidden="false" customHeight="false" outlineLevel="0" collapsed="false">
      <c r="A11" s="11" t="n">
        <v>1</v>
      </c>
      <c r="B11" s="23" t="n">
        <f aca="false">$B$6+$B$7*MAX(A11-3,0)</f>
        <v>0.36</v>
      </c>
      <c r="C11" s="29" t="n">
        <v>0.346257351560418</v>
      </c>
      <c r="D11" s="29" t="n">
        <v>0.375104573714433</v>
      </c>
      <c r="E11" s="29" t="n">
        <v>0.367009133707823</v>
      </c>
      <c r="F11" s="29" t="n">
        <v>0.364608433438966</v>
      </c>
      <c r="G11" s="2" t="str">
        <f aca="false">IF(C11&gt;$B$4+$B$5,"flag",IF(C11&gt;$B$4-$B$5,"thin pass","passes"))</f>
        <v>passes</v>
      </c>
      <c r="H11" s="2" t="str">
        <f aca="false">IF(D11&gt;$B$4+$B$5,"flag",IF(D11&gt;$B$4-$B$5,"thin pass","passes"))</f>
        <v>passes</v>
      </c>
      <c r="I11" s="2" t="str">
        <f aca="false">IF(E11&gt;$B$4+$B$5,"flag",IF(E11&gt;$B$4-$B$5,"thin pass","passes"))</f>
        <v>passes</v>
      </c>
      <c r="J11" s="2" t="str">
        <f aca="false">IF(F11&gt;$B$4+$B$5,"flag",IF(F11&gt;$B$4-$B$5,"thin pass","passes"))</f>
        <v>passes</v>
      </c>
      <c r="K11" s="11" t="n">
        <f aca="false">IF(COUNTIF(G11:J11,"thin pass")+COUNTIF(G11:J11,"flag")&gt;0,1,0)</f>
        <v>0</v>
      </c>
      <c r="L11" s="11" t="n">
        <f aca="false">IF(COUNTIF(G11:J11,"flag")&gt;0,1,0)</f>
        <v>0</v>
      </c>
    </row>
    <row r="12" customFormat="false" ht="15" hidden="false" customHeight="false" outlineLevel="0" collapsed="false">
      <c r="A12" s="11" t="n">
        <v>2</v>
      </c>
      <c r="B12" s="23" t="n">
        <f aca="false">$B$6+$B$7*MAX(A12-3,0)</f>
        <v>0.36</v>
      </c>
      <c r="C12" s="29" t="n">
        <v>0.368191591203151</v>
      </c>
      <c r="D12" s="29" t="n">
        <v>0.357792821687503</v>
      </c>
      <c r="E12" s="29" t="n">
        <v>0.353417503239801</v>
      </c>
      <c r="F12" s="29" t="n">
        <v>0.365012889761532</v>
      </c>
      <c r="G12" s="2" t="str">
        <f aca="false">IF(C12&gt;$B$4+$B$5,"flag",IF(C12&gt;$B$4-$B$5,"thin pass","passes"))</f>
        <v>passes</v>
      </c>
      <c r="H12" s="2" t="str">
        <f aca="false">IF(D12&gt;$B$4+$B$5,"flag",IF(D12&gt;$B$4-$B$5,"thin pass","passes"))</f>
        <v>passes</v>
      </c>
      <c r="I12" s="2" t="str">
        <f aca="false">IF(E12&gt;$B$4+$B$5,"flag",IF(E12&gt;$B$4-$B$5,"thin pass","passes"))</f>
        <v>passes</v>
      </c>
      <c r="J12" s="2" t="str">
        <f aca="false">IF(F12&gt;$B$4+$B$5,"flag",IF(F12&gt;$B$4-$B$5,"thin pass","passes"))</f>
        <v>passes</v>
      </c>
      <c r="K12" s="11" t="n">
        <f aca="false">IF(COUNTIF(G12:J12,"thin pass")+COUNTIF(G12:J12,"flag")&gt;0,1,0)</f>
        <v>0</v>
      </c>
      <c r="L12" s="11" t="n">
        <f aca="false">IF(COUNTIF(G12:J12,"flag")&gt;0,1,0)</f>
        <v>0</v>
      </c>
    </row>
    <row r="13" customFormat="false" ht="15" hidden="false" customHeight="false" outlineLevel="0" collapsed="false">
      <c r="A13" s="11" t="n">
        <v>3</v>
      </c>
      <c r="B13" s="23" t="n">
        <f aca="false">$B$6+$B$7*MAX(A13-3,0)</f>
        <v>0.36</v>
      </c>
      <c r="C13" s="29" t="n">
        <v>0.359617903619041</v>
      </c>
      <c r="D13" s="29" t="n">
        <v>0.364960640332845</v>
      </c>
      <c r="E13" s="29" t="n">
        <v>0.349666541519857</v>
      </c>
      <c r="F13" s="29" t="n">
        <v>0.372366845643907</v>
      </c>
      <c r="G13" s="2" t="str">
        <f aca="false">IF(C13&gt;$B$4+$B$5,"flag",IF(C13&gt;$B$4-$B$5,"thin pass","passes"))</f>
        <v>passes</v>
      </c>
      <c r="H13" s="2" t="str">
        <f aca="false">IF(D13&gt;$B$4+$B$5,"flag",IF(D13&gt;$B$4-$B$5,"thin pass","passes"))</f>
        <v>passes</v>
      </c>
      <c r="I13" s="2" t="str">
        <f aca="false">IF(E13&gt;$B$4+$B$5,"flag",IF(E13&gt;$B$4-$B$5,"thin pass","passes"))</f>
        <v>passes</v>
      </c>
      <c r="J13" s="2" t="str">
        <f aca="false">IF(F13&gt;$B$4+$B$5,"flag",IF(F13&gt;$B$4-$B$5,"thin pass","passes"))</f>
        <v>passes</v>
      </c>
      <c r="K13" s="11" t="n">
        <f aca="false">IF(COUNTIF(G13:J13,"thin pass")+COUNTIF(G13:J13,"flag")&gt;0,1,0)</f>
        <v>0</v>
      </c>
      <c r="L13" s="11" t="n">
        <f aca="false">IF(COUNTIF(G13:J13,"flag")&gt;0,1,0)</f>
        <v>0</v>
      </c>
    </row>
    <row r="14" customFormat="false" ht="15" hidden="false" customHeight="false" outlineLevel="0" collapsed="false">
      <c r="A14" s="11" t="n">
        <v>4</v>
      </c>
      <c r="B14" s="23" t="n">
        <f aca="false">$B$6+$B$7*MAX(A14-3,0)</f>
        <v>0.38</v>
      </c>
      <c r="C14" s="29" t="n">
        <v>0.371676970354955</v>
      </c>
      <c r="D14" s="29" t="n">
        <v>0.396715159284094</v>
      </c>
      <c r="E14" s="29" t="n">
        <v>0.359531034859953</v>
      </c>
      <c r="F14" s="29" t="n">
        <v>0.357277804612403</v>
      </c>
      <c r="G14" s="2" t="str">
        <f aca="false">IF(C14&gt;$B$4+$B$5,"flag",IF(C14&gt;$B$4-$B$5,"thin pass","passes"))</f>
        <v>passes</v>
      </c>
      <c r="H14" s="2" t="str">
        <f aca="false">IF(D14&gt;$B$4+$B$5,"flag",IF(D14&gt;$B$4-$B$5,"thin pass","passes"))</f>
        <v>thin pass</v>
      </c>
      <c r="I14" s="2" t="str">
        <f aca="false">IF(E14&gt;$B$4+$B$5,"flag",IF(E14&gt;$B$4-$B$5,"thin pass","passes"))</f>
        <v>passes</v>
      </c>
      <c r="J14" s="2" t="str">
        <f aca="false">IF(F14&gt;$B$4+$B$5,"flag",IF(F14&gt;$B$4-$B$5,"thin pass","passes"))</f>
        <v>passes</v>
      </c>
      <c r="K14" s="11" t="n">
        <f aca="false">IF(COUNTIF(G14:J14,"thin pass")+COUNTIF(G14:J14,"flag")&gt;0,1,0)</f>
        <v>1</v>
      </c>
      <c r="L14" s="11" t="n">
        <f aca="false">IF(COUNTIF(G14:J14,"flag")&gt;0,1,0)</f>
        <v>0</v>
      </c>
    </row>
    <row r="15" customFormat="false" ht="15" hidden="false" customHeight="false" outlineLevel="0" collapsed="false">
      <c r="A15" s="11" t="n">
        <v>5</v>
      </c>
      <c r="B15" s="23" t="n">
        <f aca="false">$B$6+$B$7*MAX(A15-3,0)</f>
        <v>0.4</v>
      </c>
      <c r="C15" s="29" t="n">
        <v>0.342003779956262</v>
      </c>
      <c r="D15" s="29" t="n">
        <v>0.393150644585109</v>
      </c>
      <c r="E15" s="29" t="n">
        <v>0.362278745033564</v>
      </c>
      <c r="F15" s="29" t="n">
        <v>0.347584399597621</v>
      </c>
      <c r="G15" s="2" t="str">
        <f aca="false">IF(C15&gt;$B$4+$B$5,"flag",IF(C15&gt;$B$4-$B$5,"thin pass","passes"))</f>
        <v>passes</v>
      </c>
      <c r="H15" s="2" t="str">
        <f aca="false">IF(D15&gt;$B$4+$B$5,"flag",IF(D15&gt;$B$4-$B$5,"thin pass","passes"))</f>
        <v>thin pass</v>
      </c>
      <c r="I15" s="2" t="str">
        <f aca="false">IF(E15&gt;$B$4+$B$5,"flag",IF(E15&gt;$B$4-$B$5,"thin pass","passes"))</f>
        <v>passes</v>
      </c>
      <c r="J15" s="2" t="str">
        <f aca="false">IF(F15&gt;$B$4+$B$5,"flag",IF(F15&gt;$B$4-$B$5,"thin pass","passes"))</f>
        <v>passes</v>
      </c>
      <c r="K15" s="11" t="n">
        <f aca="false">IF(COUNTIF(G15:J15,"thin pass")+COUNTIF(G15:J15,"flag")&gt;0,1,0)</f>
        <v>1</v>
      </c>
      <c r="L15" s="11" t="n">
        <f aca="false">IF(COUNTIF(G15:J15,"flag")&gt;0,1,0)</f>
        <v>0</v>
      </c>
    </row>
    <row r="16" customFormat="false" ht="15" hidden="false" customHeight="false" outlineLevel="0" collapsed="false">
      <c r="A16" s="11" t="n">
        <v>6</v>
      </c>
      <c r="B16" s="23" t="n">
        <f aca="false">$B$6+$B$7*MAX(A16-3,0)</f>
        <v>0.42</v>
      </c>
      <c r="C16" s="29" t="n">
        <v>0.385297594104946</v>
      </c>
      <c r="D16" s="29" t="n">
        <v>0.426707972550142</v>
      </c>
      <c r="E16" s="29" t="n">
        <v>0.373060615342269</v>
      </c>
      <c r="F16" s="29" t="n">
        <v>0.344012120872721</v>
      </c>
      <c r="G16" s="2" t="str">
        <f aca="false">IF(C16&gt;$B$4+$B$5,"flag",IF(C16&gt;$B$4-$B$5,"thin pass","passes"))</f>
        <v>thin pass</v>
      </c>
      <c r="H16" s="2" t="str">
        <f aca="false">IF(D16&gt;$B$4+$B$5,"flag",IF(D16&gt;$B$4-$B$5,"thin pass","passes"))</f>
        <v>flag</v>
      </c>
      <c r="I16" s="2" t="str">
        <f aca="false">IF(E16&gt;$B$4+$B$5,"flag",IF(E16&gt;$B$4-$B$5,"thin pass","passes"))</f>
        <v>passes</v>
      </c>
      <c r="J16" s="2" t="str">
        <f aca="false">IF(F16&gt;$B$4+$B$5,"flag",IF(F16&gt;$B$4-$B$5,"thin pass","passes"))</f>
        <v>passes</v>
      </c>
      <c r="K16" s="11" t="n">
        <f aca="false">IF(COUNTIF(G16:J16,"thin pass")+COUNTIF(G16:J16,"flag")&gt;0,1,0)</f>
        <v>1</v>
      </c>
      <c r="L16" s="11" t="n">
        <f aca="false">IF(COUNTIF(G16:J16,"flag")&gt;0,1,0)</f>
        <v>1</v>
      </c>
    </row>
    <row r="17" customFormat="false" ht="15" hidden="false" customHeight="false" outlineLevel="0" collapsed="false">
      <c r="A17" s="11" t="n">
        <v>7</v>
      </c>
      <c r="B17" s="23" t="n">
        <f aca="false">$B$6+$B$7*MAX(A17-3,0)</f>
        <v>0.44</v>
      </c>
      <c r="C17" s="29" t="n">
        <v>0.382362540569004</v>
      </c>
      <c r="D17" s="29" t="n">
        <v>0.430652414146549</v>
      </c>
      <c r="E17" s="29" t="n">
        <v>0.382576195798066</v>
      </c>
      <c r="F17" s="29" t="n">
        <v>0.360591855219933</v>
      </c>
      <c r="G17" s="2" t="str">
        <f aca="false">IF(C17&gt;$B$4+$B$5,"flag",IF(C17&gt;$B$4-$B$5,"thin pass","passes"))</f>
        <v>thin pass</v>
      </c>
      <c r="H17" s="2" t="str">
        <f aca="false">IF(D17&gt;$B$4+$B$5,"flag",IF(D17&gt;$B$4-$B$5,"thin pass","passes"))</f>
        <v>flag</v>
      </c>
      <c r="I17" s="2" t="str">
        <f aca="false">IF(E17&gt;$B$4+$B$5,"flag",IF(E17&gt;$B$4-$B$5,"thin pass","passes"))</f>
        <v>thin pass</v>
      </c>
      <c r="J17" s="2" t="str">
        <f aca="false">IF(F17&gt;$B$4+$B$5,"flag",IF(F17&gt;$B$4-$B$5,"thin pass","passes"))</f>
        <v>passes</v>
      </c>
      <c r="K17" s="11" t="n">
        <f aca="false">IF(COUNTIF(G17:J17,"thin pass")+COUNTIF(G17:J17,"flag")&gt;0,1,0)</f>
        <v>1</v>
      </c>
      <c r="L17" s="11" t="n">
        <f aca="false">IF(COUNTIF(G17:J17,"flag")&gt;0,1,0)</f>
        <v>1</v>
      </c>
    </row>
    <row r="18" customFormat="false" ht="15" hidden="false" customHeight="false" outlineLevel="0" collapsed="false">
      <c r="A18" s="11" t="n">
        <v>8</v>
      </c>
      <c r="B18" s="23" t="n">
        <f aca="false">$B$6+$B$7*MAX(A18-3,0)</f>
        <v>0.46</v>
      </c>
      <c r="C18" s="29" t="n">
        <v>0.361954194919481</v>
      </c>
      <c r="D18" s="29" t="n">
        <v>0.481247357142638</v>
      </c>
      <c r="E18" s="29" t="n">
        <v>0.363887784009325</v>
      </c>
      <c r="F18" s="29" t="n">
        <v>0.347798551201619</v>
      </c>
      <c r="G18" s="2" t="str">
        <f aca="false">IF(C18&gt;$B$4+$B$5,"flag",IF(C18&gt;$B$4-$B$5,"thin pass","passes"))</f>
        <v>passes</v>
      </c>
      <c r="H18" s="2" t="str">
        <f aca="false">IF(D18&gt;$B$4+$B$5,"flag",IF(D18&gt;$B$4-$B$5,"thin pass","passes"))</f>
        <v>flag</v>
      </c>
      <c r="I18" s="2" t="str">
        <f aca="false">IF(E18&gt;$B$4+$B$5,"flag",IF(E18&gt;$B$4-$B$5,"thin pass","passes"))</f>
        <v>passes</v>
      </c>
      <c r="J18" s="2" t="str">
        <f aca="false">IF(F18&gt;$B$4+$B$5,"flag",IF(F18&gt;$B$4-$B$5,"thin pass","passes"))</f>
        <v>passes</v>
      </c>
      <c r="K18" s="11" t="n">
        <f aca="false">IF(COUNTIF(G18:J18,"thin pass")+COUNTIF(G18:J18,"flag")&gt;0,1,0)</f>
        <v>1</v>
      </c>
      <c r="L18" s="11" t="n">
        <f aca="false">IF(COUNTIF(G18:J18,"flag")&gt;0,1,0)</f>
        <v>1</v>
      </c>
    </row>
    <row r="19" customFormat="false" ht="15" hidden="false" customHeight="false" outlineLevel="0" collapsed="false">
      <c r="A19" s="11" t="n">
        <v>9</v>
      </c>
      <c r="B19" s="23" t="n">
        <f aca="false">$B$6+$B$7*MAX(A19-3,0)</f>
        <v>0.48</v>
      </c>
      <c r="C19" s="29" t="n">
        <v>0.361029305021879</v>
      </c>
      <c r="D19" s="29" t="n">
        <v>0.490794894804384</v>
      </c>
      <c r="E19" s="29" t="n">
        <v>0.344261583946988</v>
      </c>
      <c r="F19" s="29" t="n">
        <v>0.368401153567835</v>
      </c>
      <c r="G19" s="2" t="str">
        <f aca="false">IF(C19&gt;$B$4+$B$5,"flag",IF(C19&gt;$B$4-$B$5,"thin pass","passes"))</f>
        <v>passes</v>
      </c>
      <c r="H19" s="2" t="str">
        <f aca="false">IF(D19&gt;$B$4+$B$5,"flag",IF(D19&gt;$B$4-$B$5,"thin pass","passes"))</f>
        <v>flag</v>
      </c>
      <c r="I19" s="2" t="str">
        <f aca="false">IF(E19&gt;$B$4+$B$5,"flag",IF(E19&gt;$B$4-$B$5,"thin pass","passes"))</f>
        <v>passes</v>
      </c>
      <c r="J19" s="2" t="str">
        <f aca="false">IF(F19&gt;$B$4+$B$5,"flag",IF(F19&gt;$B$4-$B$5,"thin pass","passes"))</f>
        <v>passes</v>
      </c>
      <c r="K19" s="11" t="n">
        <f aca="false">IF(COUNTIF(G19:J19,"thin pass")+COUNTIF(G19:J19,"flag")&gt;0,1,0)</f>
        <v>1</v>
      </c>
      <c r="L19" s="11" t="n">
        <f aca="false">IF(COUNTIF(G19:J19,"flag")&gt;0,1,0)</f>
        <v>1</v>
      </c>
    </row>
    <row r="20" customFormat="false" ht="15" hidden="false" customHeight="false" outlineLevel="0" collapsed="false">
      <c r="A20" s="11" t="n">
        <v>10</v>
      </c>
      <c r="B20" s="23" t="n">
        <f aca="false">$B$6+$B$7*MAX(A20-3,0)</f>
        <v>0.5</v>
      </c>
      <c r="C20" s="29" t="n">
        <v>0.361494458024882</v>
      </c>
      <c r="D20" s="29" t="n">
        <v>0.484233942023291</v>
      </c>
      <c r="E20" s="29" t="n">
        <v>0.374945881183608</v>
      </c>
      <c r="F20" s="29" t="n">
        <v>0.363059554761895</v>
      </c>
      <c r="G20" s="2" t="str">
        <f aca="false">IF(C20&gt;$B$4+$B$5,"flag",IF(C20&gt;$B$4-$B$5,"thin pass","passes"))</f>
        <v>passes</v>
      </c>
      <c r="H20" s="2" t="str">
        <f aca="false">IF(D20&gt;$B$4+$B$5,"flag",IF(D20&gt;$B$4-$B$5,"thin pass","passes"))</f>
        <v>flag</v>
      </c>
      <c r="I20" s="2" t="str">
        <f aca="false">IF(E20&gt;$B$4+$B$5,"flag",IF(E20&gt;$B$4-$B$5,"thin pass","passes"))</f>
        <v>passes</v>
      </c>
      <c r="J20" s="2" t="str">
        <f aca="false">IF(F20&gt;$B$4+$B$5,"flag",IF(F20&gt;$B$4-$B$5,"thin pass","passes"))</f>
        <v>passes</v>
      </c>
      <c r="K20" s="11" t="n">
        <f aca="false">IF(COUNTIF(G20:J20,"thin pass")+COUNTIF(G20:J20,"flag")&gt;0,1,0)</f>
        <v>1</v>
      </c>
      <c r="L20" s="11" t="n">
        <f aca="false">IF(COUNTIF(G20:J20,"flag")&gt;0,1,0)</f>
        <v>1</v>
      </c>
    </row>
    <row r="21" customFormat="false" ht="15" hidden="false" customHeight="false" outlineLevel="0" collapsed="false">
      <c r="A21" s="11" t="n">
        <v>11</v>
      </c>
      <c r="B21" s="23" t="n">
        <f aca="false">$B$6+$B$7*MAX(A21-3,0)</f>
        <v>0.52</v>
      </c>
      <c r="C21" s="29" t="n">
        <v>0.342853379809085</v>
      </c>
      <c r="D21" s="29" t="n">
        <v>0.512727150424503</v>
      </c>
      <c r="E21" s="29" t="n">
        <v>0.360659082866944</v>
      </c>
      <c r="F21" s="29" t="n">
        <v>0.364637842687116</v>
      </c>
      <c r="G21" s="2" t="str">
        <f aca="false">IF(C21&gt;$B$4+$B$5,"flag",IF(C21&gt;$B$4-$B$5,"thin pass","passes"))</f>
        <v>passes</v>
      </c>
      <c r="H21" s="2" t="str">
        <f aca="false">IF(D21&gt;$B$4+$B$5,"flag",IF(D21&gt;$B$4-$B$5,"thin pass","passes"))</f>
        <v>flag</v>
      </c>
      <c r="I21" s="2" t="str">
        <f aca="false">IF(E21&gt;$B$4+$B$5,"flag",IF(E21&gt;$B$4-$B$5,"thin pass","passes"))</f>
        <v>passes</v>
      </c>
      <c r="J21" s="2" t="str">
        <f aca="false">IF(F21&gt;$B$4+$B$5,"flag",IF(F21&gt;$B$4-$B$5,"thin pass","passes"))</f>
        <v>passes</v>
      </c>
      <c r="K21" s="11" t="n">
        <f aca="false">IF(COUNTIF(G21:J21,"thin pass")+COUNTIF(G21:J21,"flag")&gt;0,1,0)</f>
        <v>1</v>
      </c>
      <c r="L21" s="11" t="n">
        <f aca="false">IF(COUNTIF(G21:J21,"flag")&gt;0,1,0)</f>
        <v>1</v>
      </c>
    </row>
    <row r="22" customFormat="false" ht="15" hidden="false" customHeight="false" outlineLevel="0" collapsed="false">
      <c r="A22" s="11" t="n">
        <v>12</v>
      </c>
      <c r="B22" s="23" t="n">
        <f aca="false">$B$6+$B$7*MAX(A22-3,0)</f>
        <v>0.54</v>
      </c>
      <c r="C22" s="29" t="n">
        <v>0.361659715840388</v>
      </c>
      <c r="D22" s="29" t="n">
        <v>0.535704220757112</v>
      </c>
      <c r="E22" s="29" t="n">
        <v>0.350674360358122</v>
      </c>
      <c r="F22" s="29" t="n">
        <v>0.360263287929073</v>
      </c>
      <c r="G22" s="2" t="str">
        <f aca="false">IF(C22&gt;$B$4+$B$5,"flag",IF(C22&gt;$B$4-$B$5,"thin pass","passes"))</f>
        <v>passes</v>
      </c>
      <c r="H22" s="2" t="str">
        <f aca="false">IF(D22&gt;$B$4+$B$5,"flag",IF(D22&gt;$B$4-$B$5,"thin pass","passes"))</f>
        <v>flag</v>
      </c>
      <c r="I22" s="2" t="str">
        <f aca="false">IF(E22&gt;$B$4+$B$5,"flag",IF(E22&gt;$B$4-$B$5,"thin pass","passes"))</f>
        <v>passes</v>
      </c>
      <c r="J22" s="2" t="str">
        <f aca="false">IF(F22&gt;$B$4+$B$5,"flag",IF(F22&gt;$B$4-$B$5,"thin pass","passes"))</f>
        <v>passes</v>
      </c>
      <c r="K22" s="11" t="n">
        <f aca="false">IF(COUNTIF(G22:J22,"thin pass")+COUNTIF(G22:J22,"flag")&gt;0,1,0)</f>
        <v>1</v>
      </c>
      <c r="L22" s="11" t="n">
        <f aca="false">IF(COUNTIF(G22:J22,"flag")&gt;0,1,0)</f>
        <v>1</v>
      </c>
    </row>
    <row r="25" customFormat="false" ht="15" hidden="false" customHeight="false" outlineLevel="0" collapsed="false">
      <c r="A25" s="2" t="s">
        <v>447</v>
      </c>
      <c r="B25" s="11" t="n">
        <f aca="false">MATCH(1,K10:K22,0)-1</f>
        <v>4</v>
      </c>
    </row>
    <row r="26" customFormat="false" ht="15" hidden="false" customHeight="false" outlineLevel="0" collapsed="false">
      <c r="A26" s="2" t="s">
        <v>448</v>
      </c>
      <c r="B26" s="11" t="n">
        <f aca="false">MATCH(1,L10:L22,0)-1</f>
        <v>6</v>
      </c>
      <c r="C26" s="10" t="s">
        <v>449</v>
      </c>
    </row>
    <row r="27" customFormat="false" ht="15" hidden="false" customHeight="false" outlineLevel="0" collapsed="false">
      <c r="A27" s="2" t="s">
        <v>450</v>
      </c>
      <c r="B27" s="2" t="str">
        <f aca="false">INDEX($C$8:$F$8,MATCH("flag",INDEX($G$10:$J$22,B26+1,0),0))</f>
        <v>DIG-ENG</v>
      </c>
      <c r="C27" s="10" t="s">
        <v>451</v>
      </c>
    </row>
    <row r="28" customFormat="false" ht="15" hidden="false" customHeight="false" outlineLevel="0" collapsed="false">
      <c r="A28" s="2" t="s">
        <v>452</v>
      </c>
      <c r="B28" s="21" t="n">
        <f aca="false">INDEX($C$10:$F$22,B26+1,MATCH(B27,$C$8:$F$8,0))</f>
        <v>0.426707972550142</v>
      </c>
    </row>
    <row r="30" customFormat="false" ht="15" hidden="false" customHeight="false" outlineLevel="0" collapsed="false">
      <c r="A30" s="2" t="s">
        <v>453</v>
      </c>
      <c r="B30" s="21" t="n">
        <f aca="false">$B$4^2+$B$4^2</f>
        <v>0.32</v>
      </c>
      <c r="C30" s="10" t="s">
        <v>454</v>
      </c>
    </row>
    <row r="31" customFormat="false" ht="15" hidden="false" customHeight="false" outlineLevel="0" collapsed="false">
      <c r="A31" s="2" t="s">
        <v>455</v>
      </c>
      <c r="B31" s="21" t="n">
        <f aca="false">$B$4*B28+$B$4^2</f>
        <v>0.330683189020057</v>
      </c>
    </row>
    <row r="32" customFormat="false" ht="15" hidden="false" customHeight="false" outlineLevel="0" collapsed="false">
      <c r="A32" s="2" t="s">
        <v>456</v>
      </c>
      <c r="B32" s="21" t="n">
        <f aca="false">B28^2+$B$4^2</f>
        <v>0.342079693837852</v>
      </c>
    </row>
    <row r="33" customFormat="false" ht="15" hidden="false" customHeight="false" outlineLevel="0" collapsed="false">
      <c r="A33" s="2" t="s">
        <v>457</v>
      </c>
      <c r="B33" s="21" t="n">
        <f aca="false">SQRT((B30+B32+SQRT((B30-B32)^2+4*B31^2))/2)</f>
        <v>0.813576835384707</v>
      </c>
    </row>
    <row r="34" customFormat="false" ht="15" hidden="false" customHeight="false" outlineLevel="0" collapsed="false">
      <c r="A34" s="2" t="s">
        <v>394</v>
      </c>
      <c r="B34" s="23" t="n">
        <f aca="false">LN(2)/LN(1/B33)</f>
        <v>3.35965632656572</v>
      </c>
    </row>
    <row r="35" customFormat="false" ht="15" hidden="false" customHeight="false" outlineLevel="0" collapsed="false">
      <c r="A35" s="2" t="s">
        <v>458</v>
      </c>
      <c r="B35" s="23" t="n">
        <f aca="false">1/(1-B33)</f>
        <v>5.36414024546586</v>
      </c>
    </row>
    <row r="36" customFormat="false" ht="15" hidden="false" customHeight="false" outlineLevel="0" collapsed="false">
      <c r="A36" s="2" t="s">
        <v>459</v>
      </c>
      <c r="B36" s="2" t="str">
        <f aca="false">IF(B33&lt;=Rule_rho,"yes, with the ceiling re-declared","no")</f>
        <v>yes, with the ceiling re-declared</v>
      </c>
    </row>
    <row r="38" customFormat="false" ht="15" hidden="false" customHeight="false" outlineLevel="0" collapsed="false">
      <c r="A38" s="2" t="s">
        <v>460</v>
      </c>
      <c r="B38" s="31" t="n">
        <f aca="false">$B$4^2-Rule_rho^2</f>
        <v>-0.547106781186547</v>
      </c>
      <c r="C38" s="10" t="s">
        <v>461</v>
      </c>
    </row>
    <row r="39" customFormat="false" ht="15" hidden="false" customHeight="false" outlineLevel="0" collapsed="false">
      <c r="A39" s="2" t="s">
        <v>462</v>
      </c>
      <c r="B39" s="31" t="n">
        <f aca="false">-2*$B$4*$B$4^2</f>
        <v>-0.128</v>
      </c>
    </row>
    <row r="40" customFormat="false" ht="15" hidden="false" customHeight="false" outlineLevel="0" collapsed="false">
      <c r="A40" s="2" t="s">
        <v>463</v>
      </c>
      <c r="B40" s="31" t="n">
        <f aca="false">($B$4^2+$B$4^2-Rule_rho^2)*($B$4^2-Rule_rho^2)-$B$4^4</f>
        <v>0.186188745030457</v>
      </c>
    </row>
    <row r="41" customFormat="false" ht="15" hidden="false" customHeight="false" outlineLevel="0" collapsed="false">
      <c r="A41" s="2" t="s">
        <v>464</v>
      </c>
      <c r="B41" s="21" t="n">
        <f aca="false">(-B39-SQRT(B39^2-4*B38*B40))/(2*B38)</f>
        <v>0.477999384421818</v>
      </c>
    </row>
    <row r="42" customFormat="false" ht="15" hidden="false" customHeight="false" outlineLevel="0" collapsed="false">
      <c r="A42" s="2" t="s">
        <v>465</v>
      </c>
      <c r="B42" s="11" t="n">
        <f aca="false">_xlfn.MINIFS($A$10:$A$22,$B$10:$B$22,"&gt;"&amp;B41)</f>
        <v>9</v>
      </c>
      <c r="C42" s="10" t="s">
        <v>466</v>
      </c>
    </row>
    <row r="44" customFormat="false" ht="15" hidden="false" customHeight="false" outlineLevel="0" collapsed="false">
      <c r="A44" s="10" t="s">
        <v>467</v>
      </c>
    </row>
    <row r="46" customFormat="false" ht="35.05" hidden="false" customHeight="false" outlineLevel="0" collapsed="false">
      <c r="A46" s="8" t="s">
        <v>468</v>
      </c>
      <c r="B46" s="8" t="s">
        <v>469</v>
      </c>
      <c r="C46" s="8" t="s">
        <v>470</v>
      </c>
      <c r="D46" s="8" t="s">
        <v>471</v>
      </c>
    </row>
    <row r="47" customFormat="false" ht="15" hidden="false" customHeight="false" outlineLevel="0" collapsed="false">
      <c r="A47" s="2" t="s">
        <v>472</v>
      </c>
      <c r="B47" s="32" t="n">
        <v>0.634810614512058</v>
      </c>
      <c r="C47" s="25" t="n">
        <v>0</v>
      </c>
      <c r="D47" s="25" t="n">
        <v>0</v>
      </c>
    </row>
    <row r="48" customFormat="false" ht="15" hidden="false" customHeight="false" outlineLevel="0" collapsed="false">
      <c r="A48" s="2" t="s">
        <v>473</v>
      </c>
      <c r="B48" s="32" t="n">
        <v>0.649627950874257</v>
      </c>
      <c r="C48" s="25" t="n">
        <v>0</v>
      </c>
      <c r="D48" s="25" t="n">
        <v>0</v>
      </c>
    </row>
    <row r="50" customFormat="false" ht="15" hidden="false" customHeight="false" outlineLevel="0" collapsed="false">
      <c r="A50" s="2" t="s">
        <v>474</v>
      </c>
      <c r="B50" s="20" t="n">
        <f aca="false">10*R3_Panel!$B$7^0</f>
        <v>10</v>
      </c>
      <c r="C50" s="20" t="n">
        <f aca="false">10*R3_Panel!$B$7^1</f>
        <v>8</v>
      </c>
      <c r="D50" s="20" t="n">
        <f aca="false">10*R3_Panel!$B$7^2</f>
        <v>6.4</v>
      </c>
      <c r="E50" s="20" t="n">
        <f aca="false">10*R3_Panel!$B$7^3</f>
        <v>5.12</v>
      </c>
      <c r="F50" s="20" t="n">
        <f aca="false">10*R3_Panel!$B$7^4</f>
        <v>4.096</v>
      </c>
      <c r="G50" s="20" t="n">
        <f aca="false">10*R3_Panel!$B$7^5</f>
        <v>3.2768</v>
      </c>
      <c r="H50" s="20" t="n">
        <f aca="false">10*R3_Panel!$B$7^6</f>
        <v>2.62144</v>
      </c>
      <c r="I50" s="20" t="n">
        <f aca="false">10*R3_Panel!$B$7^7</f>
        <v>2.097152</v>
      </c>
      <c r="J50" s="20" t="n">
        <f aca="false">10*R3_Panel!$B$7^8</f>
        <v>1.6777216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2" min="2" style="0" width="16"/>
    <col collapsed="false" customWidth="true" hidden="false" outlineLevel="0" max="3" min="3" style="0" width="20"/>
    <col collapsed="false" customWidth="true" hidden="false" outlineLevel="0" max="4" min="4" style="0" width="26"/>
  </cols>
  <sheetData>
    <row r="1" customFormat="false" ht="15" hidden="false" customHeight="false" outlineLevel="0" collapsed="false">
      <c r="A1" s="1" t="s">
        <v>475</v>
      </c>
    </row>
    <row r="3" customFormat="false" ht="15" hidden="false" customHeight="false" outlineLevel="0" collapsed="false">
      <c r="A3" s="8" t="s">
        <v>476</v>
      </c>
      <c r="B3" s="8" t="s">
        <v>19</v>
      </c>
      <c r="C3" s="8" t="s">
        <v>135</v>
      </c>
    </row>
    <row r="4" customFormat="false" ht="15" hidden="false" customHeight="false" outlineLevel="0" collapsed="false">
      <c r="A4" s="2" t="s">
        <v>477</v>
      </c>
      <c r="B4" s="27" t="n">
        <v>0.24622</v>
      </c>
      <c r="C4" s="10" t="s">
        <v>143</v>
      </c>
    </row>
    <row r="5" customFormat="false" ht="15" hidden="false" customHeight="false" outlineLevel="0" collapsed="false">
      <c r="A5" s="2" t="s">
        <v>478</v>
      </c>
      <c r="B5" s="2" t="str">
        <f aca="false">IF(B4&lt;=Appetite,"yes","no: (R4) fails")</f>
        <v>no: (R4) fails</v>
      </c>
    </row>
    <row r="7" customFormat="false" ht="35.05" hidden="false" customHeight="false" outlineLevel="0" collapsed="false">
      <c r="A7" s="8" t="s">
        <v>479</v>
      </c>
      <c r="B7" s="8" t="s">
        <v>480</v>
      </c>
      <c r="C7" s="8" t="s">
        <v>478</v>
      </c>
    </row>
    <row r="8" customFormat="false" ht="15" hidden="false" customHeight="false" outlineLevel="0" collapsed="false">
      <c r="A8" s="11" t="n">
        <v>1</v>
      </c>
      <c r="B8" s="22" t="n">
        <v>0.00215</v>
      </c>
      <c r="C8" s="2" t="str">
        <f aca="false">IF(B8&lt;=Appetite,"yes","no")</f>
        <v>yes</v>
      </c>
    </row>
    <row r="9" customFormat="false" ht="15" hidden="false" customHeight="false" outlineLevel="0" collapsed="false">
      <c r="A9" s="11" t="n">
        <v>2</v>
      </c>
      <c r="B9" s="22" t="n">
        <v>0.01028</v>
      </c>
      <c r="C9" s="2" t="str">
        <f aca="false">IF(B9&lt;=Appetite,"yes","no")</f>
        <v>yes</v>
      </c>
    </row>
    <row r="10" customFormat="false" ht="15" hidden="false" customHeight="false" outlineLevel="0" collapsed="false">
      <c r="A10" s="11" t="n">
        <v>3</v>
      </c>
      <c r="B10" s="22" t="n">
        <v>0.02676</v>
      </c>
      <c r="C10" s="2" t="str">
        <f aca="false">IF(B10&lt;=Appetite,"yes","no")</f>
        <v>yes</v>
      </c>
    </row>
    <row r="11" customFormat="false" ht="15" hidden="false" customHeight="false" outlineLevel="0" collapsed="false">
      <c r="A11" s="11" t="n">
        <v>4</v>
      </c>
      <c r="B11" s="22" t="n">
        <v>0.05112</v>
      </c>
      <c r="C11" s="2" t="str">
        <f aca="false">IF(B11&lt;=Appetite,"yes","no")</f>
        <v>no</v>
      </c>
    </row>
    <row r="12" customFormat="false" ht="15" hidden="false" customHeight="false" outlineLevel="0" collapsed="false">
      <c r="A12" s="11" t="n">
        <v>5</v>
      </c>
      <c r="B12" s="22" t="n">
        <v>0.08092</v>
      </c>
      <c r="C12" s="2" t="str">
        <f aca="false">IF(B12&lt;=Appetite,"yes","no")</f>
        <v>no</v>
      </c>
    </row>
    <row r="13" customFormat="false" ht="15" hidden="false" customHeight="false" outlineLevel="0" collapsed="false">
      <c r="A13" s="11" t="n">
        <v>6</v>
      </c>
      <c r="B13" s="22" t="n">
        <v>0.11297</v>
      </c>
      <c r="C13" s="2" t="str">
        <f aca="false">IF(B13&lt;=Appetite,"yes","no")</f>
        <v>no</v>
      </c>
    </row>
    <row r="14" customFormat="false" ht="15" hidden="false" customHeight="false" outlineLevel="0" collapsed="false">
      <c r="A14" s="11" t="n">
        <v>7</v>
      </c>
      <c r="B14" s="22" t="n">
        <v>0.1429</v>
      </c>
      <c r="C14" s="2" t="str">
        <f aca="false">IF(B14&lt;=Appetite,"yes","no")</f>
        <v>no</v>
      </c>
    </row>
    <row r="15" customFormat="false" ht="15" hidden="false" customHeight="false" outlineLevel="0" collapsed="false">
      <c r="A15" s="11" t="n">
        <v>8</v>
      </c>
      <c r="B15" s="22" t="n">
        <v>0.16928</v>
      </c>
      <c r="C15" s="2" t="str">
        <f aca="false">IF(B15&lt;=Appetite,"yes","no")</f>
        <v>no</v>
      </c>
    </row>
    <row r="16" customFormat="false" ht="15" hidden="false" customHeight="false" outlineLevel="0" collapsed="false">
      <c r="A16" s="11" t="n">
        <v>9</v>
      </c>
      <c r="B16" s="22" t="n">
        <v>0.19364</v>
      </c>
      <c r="C16" s="2" t="str">
        <f aca="false">IF(B16&lt;=Appetite,"yes","no")</f>
        <v>no</v>
      </c>
    </row>
    <row r="17" customFormat="false" ht="15" hidden="false" customHeight="false" outlineLevel="0" collapsed="false">
      <c r="A17" s="11" t="n">
        <v>10</v>
      </c>
      <c r="B17" s="22" t="n">
        <v>0.21387</v>
      </c>
      <c r="C17" s="2" t="str">
        <f aca="false">IF(B17&lt;=Appetite,"yes","no")</f>
        <v>no</v>
      </c>
    </row>
    <row r="18" customFormat="false" ht="15" hidden="false" customHeight="false" outlineLevel="0" collapsed="false">
      <c r="A18" s="11" t="n">
        <v>11</v>
      </c>
      <c r="B18" s="22" t="n">
        <v>0.2317</v>
      </c>
      <c r="C18" s="2" t="str">
        <f aca="false">IF(B18&lt;=Appetite,"yes","no")</f>
        <v>no</v>
      </c>
    </row>
    <row r="19" customFormat="false" ht="15" hidden="false" customHeight="false" outlineLevel="0" collapsed="false">
      <c r="A19" s="11" t="n">
        <v>12</v>
      </c>
      <c r="B19" s="22" t="n">
        <v>0.24622</v>
      </c>
      <c r="C19" s="2" t="str">
        <f aca="false">IF(B19&lt;=Appetite,"yes","no")</f>
        <v>no</v>
      </c>
    </row>
    <row r="20" customFormat="false" ht="15" hidden="false" customHeight="false" outlineLevel="0" collapsed="false">
      <c r="A20" s="4" t="s">
        <v>481</v>
      </c>
      <c r="B20" s="11" t="n">
        <f aca="false">COUNTIF(B8:B19,"&lt;="&amp;Appetite)</f>
        <v>3</v>
      </c>
    </row>
    <row r="22" customFormat="false" ht="15" hidden="false" customHeight="false" outlineLevel="0" collapsed="false">
      <c r="A22" s="8" t="s">
        <v>482</v>
      </c>
      <c r="B22" s="8" t="s">
        <v>19</v>
      </c>
      <c r="C22" s="8" t="s">
        <v>135</v>
      </c>
    </row>
    <row r="23" customFormat="false" ht="15" hidden="false" customHeight="false" outlineLevel="0" collapsed="false">
      <c r="A23" s="2" t="s">
        <v>483</v>
      </c>
      <c r="B23" s="27" t="n">
        <v>0.05</v>
      </c>
      <c r="C23" s="10" t="s">
        <v>484</v>
      </c>
    </row>
    <row r="24" customFormat="false" ht="15" hidden="false" customHeight="false" outlineLevel="0" collapsed="false">
      <c r="A24" s="2" t="s">
        <v>485</v>
      </c>
      <c r="B24" s="21" t="n">
        <f aca="false">100*SQRT(B23*(1-B23)/N_paths)</f>
        <v>0.0689202437604511</v>
      </c>
      <c r="C24" s="10" t="s">
        <v>486</v>
      </c>
    </row>
    <row r="25" customFormat="false" ht="15" hidden="false" customHeight="false" outlineLevel="0" collapsed="false">
      <c r="A25" s="2" t="s">
        <v>487</v>
      </c>
      <c r="B25" s="23" t="n">
        <f aca="false">Quantiles!B101</f>
        <v>1.80701478466484</v>
      </c>
      <c r="C25" s="10" t="s">
        <v>488</v>
      </c>
    </row>
    <row r="26" customFormat="false" ht="15" hidden="false" customHeight="false" outlineLevel="0" collapsed="false">
      <c r="A26" s="2" t="s">
        <v>489</v>
      </c>
      <c r="B26" s="21" t="n">
        <f aca="false">(Net_debt+Quantiles!B93)/Ebitda</f>
        <v>3.74301856335755</v>
      </c>
      <c r="C26" s="10" t="s">
        <v>490</v>
      </c>
    </row>
    <row r="27" customFormat="false" ht="15" hidden="false" customHeight="false" outlineLevel="0" collapsed="false">
      <c r="A27" s="2" t="s">
        <v>491</v>
      </c>
      <c r="B27" s="21" t="n">
        <f aca="false">Covenant-B26</f>
        <v>0.756981436642454</v>
      </c>
      <c r="C27" s="10" t="s">
        <v>492</v>
      </c>
    </row>
    <row r="28" customFormat="false" ht="15" hidden="false" customHeight="false" outlineLevel="0" collapsed="false">
      <c r="A28" s="2" t="s">
        <v>493</v>
      </c>
      <c r="B28" s="21" t="n">
        <f aca="false">Band_lev*B26</f>
        <v>0.0748603712671509</v>
      </c>
      <c r="C28" s="10" t="s">
        <v>494</v>
      </c>
    </row>
    <row r="29" customFormat="false" ht="15" hidden="false" customHeight="false" outlineLevel="0" collapsed="false">
      <c r="A29" s="2" t="s">
        <v>495</v>
      </c>
      <c r="B29" s="17" t="n">
        <f aca="false">B27/B28</f>
        <v>10.1119113334483</v>
      </c>
      <c r="C29" s="10" t="s">
        <v>496</v>
      </c>
    </row>
    <row r="30" customFormat="false" ht="15" hidden="false" customHeight="false" outlineLevel="0" collapsed="false">
      <c r="A30" s="2" t="s">
        <v>497</v>
      </c>
      <c r="B30" s="11" t="n">
        <f aca="false">Capability-Cap_floor</f>
        <v>3</v>
      </c>
      <c r="C30" s="10" t="s">
        <v>498</v>
      </c>
    </row>
    <row r="31" customFormat="false" ht="15" hidden="false" customHeight="false" outlineLevel="0" collapsed="false">
      <c r="A31" s="2" t="s">
        <v>499</v>
      </c>
      <c r="B31" s="21" t="n">
        <f aca="false">MAX(B46:B646)</f>
        <v>73.5525461861163</v>
      </c>
      <c r="C31" s="10" t="s">
        <v>500</v>
      </c>
    </row>
    <row r="32" customFormat="false" ht="15" hidden="false" customHeight="false" outlineLevel="0" collapsed="false">
      <c r="A32" s="2" t="s">
        <v>501</v>
      </c>
      <c r="B32" s="17" t="n">
        <f aca="false">12*INDEX(A46:A646,MATCH(B31,B46:B646,0))</f>
        <v>10.9</v>
      </c>
      <c r="C32" s="10" t="s">
        <v>502</v>
      </c>
    </row>
    <row r="33" customFormat="false" ht="15" hidden="false" customHeight="false" outlineLevel="0" collapsed="false">
      <c r="A33" s="2" t="s">
        <v>503</v>
      </c>
      <c r="B33" s="21" t="n">
        <f aca="false">Risk_ceil-B31</f>
        <v>1.44745381388366</v>
      </c>
      <c r="C33" s="10" t="s">
        <v>504</v>
      </c>
    </row>
    <row r="35" customFormat="false" ht="15" hidden="false" customHeight="false" outlineLevel="0" collapsed="false">
      <c r="A35" s="2" t="s">
        <v>505</v>
      </c>
      <c r="B35" s="27" t="n">
        <v>0.04907</v>
      </c>
      <c r="C35" s="10" t="s">
        <v>506</v>
      </c>
    </row>
    <row r="36" customFormat="false" ht="15" hidden="false" customHeight="false" outlineLevel="0" collapsed="false">
      <c r="A36" s="2" t="s">
        <v>507</v>
      </c>
      <c r="B36" s="29" t="n">
        <v>10.2761119927039</v>
      </c>
      <c r="C36" s="10" t="s">
        <v>508</v>
      </c>
    </row>
    <row r="38" customFormat="false" ht="15" hidden="false" customHeight="false" outlineLevel="0" collapsed="false">
      <c r="A38" s="8" t="s">
        <v>509</v>
      </c>
      <c r="B38" s="8" t="s">
        <v>65</v>
      </c>
      <c r="C38" s="8" t="s">
        <v>510</v>
      </c>
      <c r="D38" s="8" t="s">
        <v>511</v>
      </c>
    </row>
    <row r="39" customFormat="false" ht="15" hidden="false" customHeight="false" outlineLevel="0" collapsed="false">
      <c r="A39" s="2" t="s">
        <v>512</v>
      </c>
      <c r="B39" s="23" t="n">
        <f aca="false">B27</f>
        <v>0.756981436642454</v>
      </c>
      <c r="C39" s="23" t="n">
        <f aca="false">B28</f>
        <v>0.0748603712671509</v>
      </c>
      <c r="D39" s="2" t="str">
        <f aca="false">IF(ABS(B39)&lt;0.000000001,"statistical: binds",IF(B39&gt;=C39,"strong","weaker than the reading"))</f>
        <v>strong</v>
      </c>
    </row>
    <row r="40" customFormat="false" ht="15" hidden="false" customHeight="false" outlineLevel="0" collapsed="false">
      <c r="A40" s="2" t="s">
        <v>513</v>
      </c>
      <c r="B40" s="23" t="n">
        <f aca="false">100*(Appetite-B23)</f>
        <v>0</v>
      </c>
      <c r="C40" s="23" t="n">
        <f aca="false">B24</f>
        <v>0.0689202437604511</v>
      </c>
      <c r="D40" s="2" t="str">
        <f aca="false">IF(ABS(B40)&lt;0.000000001,"statistical: binds",IF(B40&gt;=C40,"strong","weaker than the reading"))</f>
        <v>statistical: binds</v>
      </c>
    </row>
    <row r="41" customFormat="false" ht="15" hidden="false" customHeight="false" outlineLevel="0" collapsed="false">
      <c r="A41" s="2" t="s">
        <v>514</v>
      </c>
      <c r="B41" s="23" t="n">
        <f aca="false">B30</f>
        <v>3</v>
      </c>
      <c r="C41" s="23" t="n">
        <f aca="false">Band_cap</f>
        <v>5</v>
      </c>
      <c r="D41" s="2" t="str">
        <f aca="false">IF(ABS(B41)&lt;0.000000001,"statistical: binds",IF(B41&gt;=C41,"strong","weaker than the reading"))</f>
        <v>weaker than the reading</v>
      </c>
    </row>
    <row r="42" customFormat="false" ht="15" hidden="false" customHeight="false" outlineLevel="0" collapsed="false">
      <c r="A42" s="2" t="s">
        <v>515</v>
      </c>
      <c r="B42" s="23" t="n">
        <f aca="false">B33</f>
        <v>1.44745381388366</v>
      </c>
      <c r="C42" s="23" t="n">
        <f aca="false">Band_risk</f>
        <v>6</v>
      </c>
      <c r="D42" s="2" t="str">
        <f aca="false">IF(ABS(B42)&lt;0.000000001,"statistical: binds",IF(B42&gt;=C42,"strong","weaker than the reading"))</f>
        <v>weaker than the reading</v>
      </c>
    </row>
    <row r="45" customFormat="false" ht="23.85" hidden="false" customHeight="false" outlineLevel="0" collapsed="false">
      <c r="A45" s="8" t="s">
        <v>516</v>
      </c>
      <c r="B45" s="8" t="s">
        <v>517</v>
      </c>
    </row>
    <row r="46" customFormat="false" ht="15" hidden="false" customHeight="false" outlineLevel="0" collapsed="false">
      <c r="A46" s="21" t="n">
        <f aca="false">0/120</f>
        <v>0</v>
      </c>
      <c r="B46" s="21" t="n">
        <f aca="false">Risk_target+(Risk0-Risk_target)*EXP(-Risk_rate*A46)+Risk_hump*(A46/Risk_peak_t)*EXP(1-A46/Risk_peak_t)</f>
        <v>64</v>
      </c>
    </row>
    <row r="47" customFormat="false" ht="15" hidden="false" customHeight="false" outlineLevel="0" collapsed="false">
      <c r="A47" s="21" t="n">
        <f aca="false">1/120</f>
        <v>0.00833333333333333</v>
      </c>
      <c r="B47" s="21" t="n">
        <f aca="false">Risk_target+(Risk0-Risk_target)*EXP(-Risk_rate*A47)+Risk_hump*(A47/Risk_peak_t)*EXP(1-A47/Risk_peak_t)</f>
        <v>64.2191873066799</v>
      </c>
    </row>
    <row r="48" customFormat="false" ht="15" hidden="false" customHeight="false" outlineLevel="0" collapsed="false">
      <c r="A48" s="21" t="n">
        <f aca="false">2/120</f>
        <v>0.0166666666666667</v>
      </c>
      <c r="B48" s="21" t="n">
        <f aca="false">Risk_target+(Risk0-Risk_target)*EXP(-Risk_rate*A48)+Risk_hump*(A48/Risk_peak_t)*EXP(1-A48/Risk_peak_t)</f>
        <v>64.4348860866431</v>
      </c>
    </row>
    <row r="49" customFormat="false" ht="15" hidden="false" customHeight="false" outlineLevel="0" collapsed="false">
      <c r="A49" s="21" t="n">
        <f aca="false">3/120</f>
        <v>0.025</v>
      </c>
      <c r="B49" s="21" t="n">
        <f aca="false">Risk_target+(Risk0-Risk_target)*EXP(-Risk_rate*A49)+Risk_hump*(A49/Risk_peak_t)*EXP(1-A49/Risk_peak_t)</f>
        <v>64.6471335681727</v>
      </c>
    </row>
    <row r="50" customFormat="false" ht="15" hidden="false" customHeight="false" outlineLevel="0" collapsed="false">
      <c r="A50" s="21" t="n">
        <f aca="false">4/120</f>
        <v>0.0333333333333333</v>
      </c>
      <c r="B50" s="21" t="n">
        <f aca="false">Risk_target+(Risk0-Risk_target)*EXP(-Risk_rate*A50)+Risk_hump*(A50/Risk_peak_t)*EXP(1-A50/Risk_peak_t)</f>
        <v>64.8559666332137</v>
      </c>
    </row>
    <row r="51" customFormat="false" ht="15" hidden="false" customHeight="false" outlineLevel="0" collapsed="false">
      <c r="A51" s="21" t="n">
        <f aca="false">5/120</f>
        <v>0.0416666666666667</v>
      </c>
      <c r="B51" s="21" t="n">
        <f aca="false">Risk_target+(Risk0-Risk_target)*EXP(-Risk_rate*A51)+Risk_hump*(A51/Risk_peak_t)*EXP(1-A51/Risk_peak_t)</f>
        <v>65.0614218203768</v>
      </c>
    </row>
    <row r="52" customFormat="false" ht="15" hidden="false" customHeight="false" outlineLevel="0" collapsed="false">
      <c r="A52" s="21" t="n">
        <f aca="false">6/120</f>
        <v>0.05</v>
      </c>
      <c r="B52" s="21" t="n">
        <f aca="false">Risk_target+(Risk0-Risk_target)*EXP(-Risk_rate*A52)+Risk_hump*(A52/Risk_peak_t)*EXP(1-A52/Risk_peak_t)</f>
        <v>65.2635353279182</v>
      </c>
    </row>
    <row r="53" customFormat="false" ht="15" hidden="false" customHeight="false" outlineLevel="0" collapsed="false">
      <c r="A53" s="21" t="n">
        <f aca="false">7/120</f>
        <v>0.0583333333333333</v>
      </c>
      <c r="B53" s="21" t="n">
        <f aca="false">Risk_target+(Risk0-Risk_target)*EXP(-Risk_rate*A53)+Risk_hump*(A53/Risk_peak_t)*EXP(1-A53/Risk_peak_t)</f>
        <v>65.4623430166946</v>
      </c>
    </row>
    <row r="54" customFormat="false" ht="15" hidden="false" customHeight="false" outlineLevel="0" collapsed="false">
      <c r="A54" s="21" t="n">
        <f aca="false">8/120</f>
        <v>0.0666666666666667</v>
      </c>
      <c r="B54" s="21" t="n">
        <f aca="false">Risk_target+(Risk0-Risk_target)*EXP(-Risk_rate*A54)+Risk_hump*(A54/Risk_peak_t)*EXP(1-A54/Risk_peak_t)</f>
        <v>65.6578804130927</v>
      </c>
    </row>
    <row r="55" customFormat="false" ht="15" hidden="false" customHeight="false" outlineLevel="0" collapsed="false">
      <c r="A55" s="21" t="n">
        <f aca="false">9/120</f>
        <v>0.075</v>
      </c>
      <c r="B55" s="21" t="n">
        <f aca="false">Risk_target+(Risk0-Risk_target)*EXP(-Risk_rate*A55)+Risk_hump*(A55/Risk_peak_t)*EXP(1-A55/Risk_peak_t)</f>
        <v>65.8501827119357</v>
      </c>
    </row>
    <row r="56" customFormat="false" ht="15" hidden="false" customHeight="false" outlineLevel="0" collapsed="false">
      <c r="A56" s="21" t="n">
        <f aca="false">10/120</f>
        <v>0.0833333333333333</v>
      </c>
      <c r="B56" s="21" t="n">
        <f aca="false">Risk_target+(Risk0-Risk_target)*EXP(-Risk_rate*A56)+Risk_hump*(A56/Risk_peak_t)*EXP(1-A56/Risk_peak_t)</f>
        <v>66.0392847793643</v>
      </c>
    </row>
    <row r="57" customFormat="false" ht="15" hidden="false" customHeight="false" outlineLevel="0" collapsed="false">
      <c r="A57" s="21" t="n">
        <f aca="false">11/120</f>
        <v>0.0916666666666667</v>
      </c>
      <c r="B57" s="21" t="n">
        <f aca="false">Risk_target+(Risk0-Risk_target)*EXP(-Risk_rate*A57)+Risk_hump*(A57/Risk_peak_t)*EXP(1-A57/Risk_peak_t)</f>
        <v>66.2252211556949</v>
      </c>
    </row>
    <row r="58" customFormat="false" ht="15" hidden="false" customHeight="false" outlineLevel="0" collapsed="false">
      <c r="A58" s="21" t="n">
        <f aca="false">12/120</f>
        <v>0.1</v>
      </c>
      <c r="B58" s="21" t="n">
        <f aca="false">Risk_target+(Risk0-Risk_target)*EXP(-Risk_rate*A58)+Risk_hump*(A58/Risk_peak_t)*EXP(1-A58/Risk_peak_t)</f>
        <v>66.4080260582527</v>
      </c>
    </row>
    <row r="59" customFormat="false" ht="15" hidden="false" customHeight="false" outlineLevel="0" collapsed="false">
      <c r="A59" s="21" t="n">
        <f aca="false">13/120</f>
        <v>0.108333333333333</v>
      </c>
      <c r="B59" s="21" t="n">
        <f aca="false">Risk_target+(Risk0-Risk_target)*EXP(-Risk_rate*A59)+Risk_hump*(A59/Risk_peak_t)*EXP(1-A59/Risk_peak_t)</f>
        <v>66.5877333841826</v>
      </c>
    </row>
    <row r="60" customFormat="false" ht="15" hidden="false" customHeight="false" outlineLevel="0" collapsed="false">
      <c r="A60" s="21" t="n">
        <f aca="false">14/120</f>
        <v>0.116666666666667</v>
      </c>
      <c r="B60" s="21" t="n">
        <f aca="false">Risk_target+(Risk0-Risk_target)*EXP(-Risk_rate*A60)+Risk_hump*(A60/Risk_peak_t)*EXP(1-A60/Risk_peak_t)</f>
        <v>66.7643767132357</v>
      </c>
    </row>
    <row r="61" customFormat="false" ht="15" hidden="false" customHeight="false" outlineLevel="0" collapsed="false">
      <c r="A61" s="21" t="n">
        <f aca="false">15/120</f>
        <v>0.125</v>
      </c>
      <c r="B61" s="21" t="n">
        <f aca="false">Risk_target+(Risk0-Risk_target)*EXP(-Risk_rate*A61)+Risk_hump*(A61/Risk_peak_t)*EXP(1-A61/Risk_peak_t)</f>
        <v>66.9379893105328</v>
      </c>
    </row>
    <row r="62" customFormat="false" ht="15" hidden="false" customHeight="false" outlineLevel="0" collapsed="false">
      <c r="A62" s="21" t="n">
        <f aca="false">16/120</f>
        <v>0.133333333333333</v>
      </c>
      <c r="B62" s="21" t="n">
        <f aca="false">Risk_target+(Risk0-Risk_target)*EXP(-Risk_rate*A62)+Risk_hump*(A62/Risk_peak_t)*EXP(1-A62/Risk_peak_t)</f>
        <v>67.1086041293054</v>
      </c>
    </row>
    <row r="63" customFormat="false" ht="15" hidden="false" customHeight="false" outlineLevel="0" collapsed="false">
      <c r="A63" s="21" t="n">
        <f aca="false">17/120</f>
        <v>0.141666666666667</v>
      </c>
      <c r="B63" s="21" t="n">
        <f aca="false">Risk_target+(Risk0-Risk_target)*EXP(-Risk_rate*A63)+Risk_hump*(A63/Risk_peak_t)*EXP(1-A63/Risk_peak_t)</f>
        <v>67.2762538136127</v>
      </c>
    </row>
    <row r="64" customFormat="false" ht="15" hidden="false" customHeight="false" outlineLevel="0" collapsed="false">
      <c r="A64" s="21" t="n">
        <f aca="false">18/120</f>
        <v>0.15</v>
      </c>
      <c r="B64" s="21" t="n">
        <f aca="false">Risk_target+(Risk0-Risk_target)*EXP(-Risk_rate*A64)+Risk_hump*(A64/Risk_peak_t)*EXP(1-A64/Risk_peak_t)</f>
        <v>67.4409707010377</v>
      </c>
    </row>
    <row r="65" customFormat="false" ht="15" hidden="false" customHeight="false" outlineLevel="0" collapsed="false">
      <c r="A65" s="21" t="n">
        <f aca="false">19/120</f>
        <v>0.158333333333333</v>
      </c>
      <c r="B65" s="21" t="n">
        <f aca="false">Risk_target+(Risk0-Risk_target)*EXP(-Risk_rate*A65)+Risk_hump*(A65/Risk_peak_t)*EXP(1-A65/Risk_peak_t)</f>
        <v>67.6027868253586</v>
      </c>
    </row>
    <row r="66" customFormat="false" ht="15" hidden="false" customHeight="false" outlineLevel="0" collapsed="false">
      <c r="A66" s="21" t="n">
        <f aca="false">20/120</f>
        <v>0.166666666666667</v>
      </c>
      <c r="B66" s="21" t="n">
        <f aca="false">Risk_target+(Risk0-Risk_target)*EXP(-Risk_rate*A66)+Risk_hump*(A66/Risk_peak_t)*EXP(1-A66/Risk_peak_t)</f>
        <v>67.7617339192001</v>
      </c>
    </row>
    <row r="67" customFormat="false" ht="15" hidden="false" customHeight="false" outlineLevel="0" collapsed="false">
      <c r="A67" s="21" t="n">
        <f aca="false">21/120</f>
        <v>0.175</v>
      </c>
      <c r="B67" s="21" t="n">
        <f aca="false">Risk_target+(Risk0-Risk_target)*EXP(-Risk_rate*A67)+Risk_hump*(A67/Risk_peak_t)*EXP(1-A67/Risk_peak_t)</f>
        <v>67.917843416661</v>
      </c>
    </row>
    <row r="68" customFormat="false" ht="15" hidden="false" customHeight="false" outlineLevel="0" collapsed="false">
      <c r="A68" s="21" t="n">
        <f aca="false">22/120</f>
        <v>0.183333333333333</v>
      </c>
      <c r="B68" s="21" t="n">
        <f aca="false">Risk_target+(Risk0-Risk_target)*EXP(-Risk_rate*A68)+Risk_hump*(A68/Risk_peak_t)*EXP(1-A68/Risk_peak_t)</f>
        <v>68.0711464559208</v>
      </c>
    </row>
    <row r="69" customFormat="false" ht="15" hidden="false" customHeight="false" outlineLevel="0" collapsed="false">
      <c r="A69" s="21" t="n">
        <f aca="false">23/120</f>
        <v>0.191666666666667</v>
      </c>
      <c r="B69" s="21" t="n">
        <f aca="false">Risk_target+(Risk0-Risk_target)*EXP(-Risk_rate*A69)+Risk_hump*(A69/Risk_peak_t)*EXP(1-A69/Risk_peak_t)</f>
        <v>68.221673881824</v>
      </c>
    </row>
    <row r="70" customFormat="false" ht="15" hidden="false" customHeight="false" outlineLevel="0" collapsed="false">
      <c r="A70" s="21" t="n">
        <f aca="false">24/120</f>
        <v>0.2</v>
      </c>
      <c r="B70" s="21" t="n">
        <f aca="false">Risk_target+(Risk0-Risk_target)*EXP(-Risk_rate*A70)+Risk_hump*(A70/Risk_peak_t)*EXP(1-A70/Risk_peak_t)</f>
        <v>68.3694562484429</v>
      </c>
    </row>
    <row r="71" customFormat="false" ht="15" hidden="false" customHeight="false" outlineLevel="0" collapsed="false">
      <c r="A71" s="21" t="n">
        <f aca="false">25/120</f>
        <v>0.208333333333333</v>
      </c>
      <c r="B71" s="21" t="n">
        <f aca="false">Risk_target+(Risk0-Risk_target)*EXP(-Risk_rate*A71)+Risk_hump*(A71/Risk_peak_t)*EXP(1-A71/Risk_peak_t)</f>
        <v>68.5145238216193</v>
      </c>
    </row>
    <row r="72" customFormat="false" ht="15" hidden="false" customHeight="false" outlineLevel="0" collapsed="false">
      <c r="A72" s="21" t="n">
        <f aca="false">26/120</f>
        <v>0.216666666666667</v>
      </c>
      <c r="B72" s="21" t="n">
        <f aca="false">Risk_target+(Risk0-Risk_target)*EXP(-Risk_rate*A72)+Risk_hump*(A72/Risk_peak_t)*EXP(1-A72/Risk_peak_t)</f>
        <v>68.6569065814851</v>
      </c>
    </row>
    <row r="73" customFormat="false" ht="15" hidden="false" customHeight="false" outlineLevel="0" collapsed="false">
      <c r="A73" s="21" t="n">
        <f aca="false">27/120</f>
        <v>0.225</v>
      </c>
      <c r="B73" s="21" t="n">
        <f aca="false">Risk_target+(Risk0-Risk_target)*EXP(-Risk_rate*A73)+Risk_hump*(A73/Risk_peak_t)*EXP(1-A73/Risk_peak_t)</f>
        <v>68.7966342249606</v>
      </c>
    </row>
    <row r="74" customFormat="false" ht="15" hidden="false" customHeight="false" outlineLevel="0" collapsed="false">
      <c r="A74" s="21" t="n">
        <f aca="false">28/120</f>
        <v>0.233333333333333</v>
      </c>
      <c r="B74" s="21" t="n">
        <f aca="false">Risk_target+(Risk0-Risk_target)*EXP(-Risk_rate*A74)+Risk_hump*(A74/Risk_peak_t)*EXP(1-A74/Risk_peak_t)</f>
        <v>68.933736168234</v>
      </c>
    </row>
    <row r="75" customFormat="false" ht="15" hidden="false" customHeight="false" outlineLevel="0" collapsed="false">
      <c r="A75" s="21" t="n">
        <f aca="false">29/120</f>
        <v>0.241666666666667</v>
      </c>
      <c r="B75" s="21" t="n">
        <f aca="false">Risk_target+(Risk0-Risk_target)*EXP(-Risk_rate*A75)+Risk_hump*(A75/Risk_peak_t)*EXP(1-A75/Risk_peak_t)</f>
        <v>69.0682415492178</v>
      </c>
    </row>
    <row r="76" customFormat="false" ht="15" hidden="false" customHeight="false" outlineLevel="0" collapsed="false">
      <c r="A76" s="21" t="n">
        <f aca="false">30/120</f>
        <v>0.25</v>
      </c>
      <c r="B76" s="21" t="n">
        <f aca="false">Risk_target+(Risk0-Risk_target)*EXP(-Risk_rate*A76)+Risk_hump*(A76/Risk_peak_t)*EXP(1-A76/Risk_peak_t)</f>
        <v>69.200179229987</v>
      </c>
    </row>
    <row r="77" customFormat="false" ht="15" hidden="false" customHeight="false" outlineLevel="0" collapsed="false">
      <c r="A77" s="21" t="n">
        <f aca="false">31/120</f>
        <v>0.258333333333333</v>
      </c>
      <c r="B77" s="21" t="n">
        <f aca="false">Risk_target+(Risk0-Risk_target)*EXP(-Risk_rate*A77)+Risk_hump*(A77/Risk_peak_t)*EXP(1-A77/Risk_peak_t)</f>
        <v>69.329577799195</v>
      </c>
    </row>
    <row r="78" customFormat="false" ht="15" hidden="false" customHeight="false" outlineLevel="0" collapsed="false">
      <c r="A78" s="21" t="n">
        <f aca="false">32/120</f>
        <v>0.266666666666667</v>
      </c>
      <c r="B78" s="21" t="n">
        <f aca="false">Risk_target+(Risk0-Risk_target)*EXP(-Risk_rate*A78)+Risk_hump*(A78/Risk_peak_t)*EXP(1-A78/Risk_peak_t)</f>
        <v>69.4564655744704</v>
      </c>
    </row>
    <row r="79" customFormat="false" ht="15" hidden="false" customHeight="false" outlineLevel="0" collapsed="false">
      <c r="A79" s="21" t="n">
        <f aca="false">33/120</f>
        <v>0.275</v>
      </c>
      <c r="B79" s="21" t="n">
        <f aca="false">Risk_target+(Risk0-Risk_target)*EXP(-Risk_rate*A79)+Risk_hump*(A79/Risk_peak_t)*EXP(1-A79/Risk_peak_t)</f>
        <v>69.5808706047931</v>
      </c>
    </row>
    <row r="80" customFormat="false" ht="15" hidden="false" customHeight="false" outlineLevel="0" collapsed="false">
      <c r="A80" s="21" t="n">
        <f aca="false">34/120</f>
        <v>0.283333333333333</v>
      </c>
      <c r="B80" s="21" t="n">
        <f aca="false">Risk_target+(Risk0-Risk_target)*EXP(-Risk_rate*A80)+Risk_hump*(A80/Risk_peak_t)*EXP(1-A80/Risk_peak_t)</f>
        <v>69.7028206728512</v>
      </c>
    </row>
    <row r="81" customFormat="false" ht="15" hidden="false" customHeight="false" outlineLevel="0" collapsed="false">
      <c r="A81" s="21" t="n">
        <f aca="false">35/120</f>
        <v>0.291666666666667</v>
      </c>
      <c r="B81" s="21" t="n">
        <f aca="false">Risk_target+(Risk0-Risk_target)*EXP(-Risk_rate*A81)+Risk_hump*(A81/Risk_peak_t)*EXP(1-A81/Risk_peak_t)</f>
        <v>69.8223432973777</v>
      </c>
    </row>
    <row r="82" customFormat="false" ht="15" hidden="false" customHeight="false" outlineLevel="0" collapsed="false">
      <c r="A82" s="21" t="n">
        <f aca="false">36/120</f>
        <v>0.3</v>
      </c>
      <c r="B82" s="21" t="n">
        <f aca="false">Risk_target+(Risk0-Risk_target)*EXP(-Risk_rate*A82)+Risk_hump*(A82/Risk_peak_t)*EXP(1-A82/Risk_peak_t)</f>
        <v>69.9394657354674</v>
      </c>
    </row>
    <row r="83" customFormat="false" ht="15" hidden="false" customHeight="false" outlineLevel="0" collapsed="false">
      <c r="A83" s="21" t="n">
        <f aca="false">37/120</f>
        <v>0.308333333333333</v>
      </c>
      <c r="B83" s="21" t="n">
        <f aca="false">Risk_target+(Risk0-Risk_target)*EXP(-Risk_rate*A83)+Risk_hump*(A83/Risk_peak_t)*EXP(1-A83/Risk_peak_t)</f>
        <v>70.0542149848749</v>
      </c>
    </row>
    <row r="84" customFormat="false" ht="15" hidden="false" customHeight="false" outlineLevel="0" collapsed="false">
      <c r="A84" s="21" t="n">
        <f aca="false">38/120</f>
        <v>0.316666666666667</v>
      </c>
      <c r="B84" s="21" t="n">
        <f aca="false">Risk_target+(Risk0-Risk_target)*EXP(-Risk_rate*A84)+Risk_hump*(A84/Risk_peak_t)*EXP(1-A84/Risk_peak_t)</f>
        <v>70.1666177862933</v>
      </c>
    </row>
    <row r="85" customFormat="false" ht="15" hidden="false" customHeight="false" outlineLevel="0" collapsed="false">
      <c r="A85" s="21" t="n">
        <f aca="false">39/120</f>
        <v>0.325</v>
      </c>
      <c r="B85" s="21" t="n">
        <f aca="false">Risk_target+(Risk0-Risk_target)*EXP(-Risk_rate*A85)+Risk_hump*(A85/Risk_peak_t)*EXP(1-A85/Risk_peak_t)</f>
        <v>70.2767006256133</v>
      </c>
    </row>
    <row r="86" customFormat="false" ht="15" hidden="false" customHeight="false" outlineLevel="0" collapsed="false">
      <c r="A86" s="21" t="n">
        <f aca="false">40/120</f>
        <v>0.333333333333333</v>
      </c>
      <c r="B86" s="21" t="n">
        <f aca="false">Risk_target+(Risk0-Risk_target)*EXP(-Risk_rate*A86)+Risk_hump*(A86/Risk_peak_t)*EXP(1-A86/Risk_peak_t)</f>
        <v>70.3844897361639</v>
      </c>
    </row>
    <row r="87" customFormat="false" ht="15" hidden="false" customHeight="false" outlineLevel="0" collapsed="false">
      <c r="A87" s="21" t="n">
        <f aca="false">41/120</f>
        <v>0.341666666666667</v>
      </c>
      <c r="B87" s="21" t="n">
        <f aca="false">Risk_target+(Risk0-Risk_target)*EXP(-Risk_rate*A87)+Risk_hump*(A87/Risk_peak_t)*EXP(1-A87/Risk_peak_t)</f>
        <v>70.4900111009343</v>
      </c>
    </row>
    <row r="88" customFormat="false" ht="15" hidden="false" customHeight="false" outlineLevel="0" collapsed="false">
      <c r="A88" s="21" t="n">
        <f aca="false">42/120</f>
        <v>0.35</v>
      </c>
      <c r="B88" s="21" t="n">
        <f aca="false">Risk_target+(Risk0-Risk_target)*EXP(-Risk_rate*A88)+Risk_hump*(A88/Risk_peak_t)*EXP(1-A88/Risk_peak_t)</f>
        <v>70.5932904547764</v>
      </c>
    </row>
    <row r="89" customFormat="false" ht="15" hidden="false" customHeight="false" outlineLevel="0" collapsed="false">
      <c r="A89" s="21" t="n">
        <f aca="false">43/120</f>
        <v>0.358333333333333</v>
      </c>
      <c r="B89" s="21" t="n">
        <f aca="false">Risk_target+(Risk0-Risk_target)*EXP(-Risk_rate*A89)+Risk_hump*(A89/Risk_peak_t)*EXP(1-A89/Risk_peak_t)</f>
        <v>70.69435328659</v>
      </c>
    </row>
    <row r="90" customFormat="false" ht="15" hidden="false" customHeight="false" outlineLevel="0" collapsed="false">
      <c r="A90" s="21" t="n">
        <f aca="false">44/120</f>
        <v>0.366666666666667</v>
      </c>
      <c r="B90" s="21" t="n">
        <f aca="false">Risk_target+(Risk0-Risk_target)*EXP(-Risk_rate*A90)+Risk_hump*(A90/Risk_peak_t)*EXP(1-A90/Risk_peak_t)</f>
        <v>70.7932248414888</v>
      </c>
    </row>
    <row r="91" customFormat="false" ht="15" hidden="false" customHeight="false" outlineLevel="0" collapsed="false">
      <c r="A91" s="21" t="n">
        <f aca="false">45/120</f>
        <v>0.375</v>
      </c>
      <c r="B91" s="21" t="n">
        <f aca="false">Risk_target+(Risk0-Risk_target)*EXP(-Risk_rate*A91)+Risk_hump*(A91/Risk_peak_t)*EXP(1-A91/Risk_peak_t)</f>
        <v>70.8899301229483</v>
      </c>
    </row>
    <row r="92" customFormat="false" ht="15" hidden="false" customHeight="false" outlineLevel="0" collapsed="false">
      <c r="A92" s="21" t="n">
        <f aca="false">46/120</f>
        <v>0.383333333333333</v>
      </c>
      <c r="B92" s="21" t="n">
        <f aca="false">Risk_target+(Risk0-Risk_target)*EXP(-Risk_rate*A92)+Risk_hump*(A92/Risk_peak_t)*EXP(1-A92/Risk_peak_t)</f>
        <v>70.9844938949362</v>
      </c>
    </row>
    <row r="93" customFormat="false" ht="15" hidden="false" customHeight="false" outlineLevel="0" collapsed="false">
      <c r="A93" s="21" t="n">
        <f aca="false">47/120</f>
        <v>0.391666666666667</v>
      </c>
      <c r="B93" s="21" t="n">
        <f aca="false">Risk_target+(Risk0-Risk_target)*EXP(-Risk_rate*A93)+Risk_hump*(A93/Risk_peak_t)*EXP(1-A93/Risk_peak_t)</f>
        <v>71.0769406840242</v>
      </c>
    </row>
    <row r="94" customFormat="false" ht="15" hidden="false" customHeight="false" outlineLevel="0" collapsed="false">
      <c r="A94" s="21" t="n">
        <f aca="false">48/120</f>
        <v>0.4</v>
      </c>
      <c r="B94" s="21" t="n">
        <f aca="false">Risk_target+(Risk0-Risk_target)*EXP(-Risk_rate*A94)+Risk_hump*(A94/Risk_peak_t)*EXP(1-A94/Risk_peak_t)</f>
        <v>71.1672947814826</v>
      </c>
    </row>
    <row r="95" customFormat="false" ht="15" hidden="false" customHeight="false" outlineLevel="0" collapsed="false">
      <c r="A95" s="21" t="n">
        <f aca="false">49/120</f>
        <v>0.408333333333333</v>
      </c>
      <c r="B95" s="21" t="n">
        <f aca="false">Risk_target+(Risk0-Risk_target)*EXP(-Risk_rate*A95)+Risk_hump*(A95/Risk_peak_t)*EXP(1-A95/Risk_peak_t)</f>
        <v>71.255580245357</v>
      </c>
    </row>
    <row r="96" customFormat="false" ht="15" hidden="false" customHeight="false" outlineLevel="0" collapsed="false">
      <c r="A96" s="21" t="n">
        <f aca="false">50/120</f>
        <v>0.416666666666667</v>
      </c>
      <c r="B96" s="21" t="n">
        <f aca="false">Risk_target+(Risk0-Risk_target)*EXP(-Risk_rate*A96)+Risk_hump*(A96/Risk_peak_t)*EXP(1-A96/Risk_peak_t)</f>
        <v>71.3418209025277</v>
      </c>
    </row>
    <row r="97" customFormat="false" ht="15" hidden="false" customHeight="false" outlineLevel="0" collapsed="false">
      <c r="A97" s="21" t="n">
        <f aca="false">51/120</f>
        <v>0.425</v>
      </c>
      <c r="B97" s="21" t="n">
        <f aca="false">Risk_target+(Risk0-Risk_target)*EXP(-Risk_rate*A97)+Risk_hump*(A97/Risk_peak_t)*EXP(1-A97/Risk_peak_t)</f>
        <v>71.4260403507516</v>
      </c>
    </row>
    <row r="98" customFormat="false" ht="15" hidden="false" customHeight="false" outlineLevel="0" collapsed="false">
      <c r="A98" s="21" t="n">
        <f aca="false">52/120</f>
        <v>0.433333333333333</v>
      </c>
      <c r="B98" s="21" t="n">
        <f aca="false">Risk_target+(Risk0-Risk_target)*EXP(-Risk_rate*A98)+Risk_hump*(A98/Risk_peak_t)*EXP(1-A98/Risk_peak_t)</f>
        <v>71.5082619606874</v>
      </c>
    </row>
    <row r="99" customFormat="false" ht="15" hidden="false" customHeight="false" outlineLevel="0" collapsed="false">
      <c r="A99" s="21" t="n">
        <f aca="false">53/120</f>
        <v>0.441666666666667</v>
      </c>
      <c r="B99" s="21" t="n">
        <f aca="false">Risk_target+(Risk0-Risk_target)*EXP(-Risk_rate*A99)+Risk_hump*(A99/Risk_peak_t)*EXP(1-A99/Risk_peak_t)</f>
        <v>71.5885088779027</v>
      </c>
    </row>
    <row r="100" customFormat="false" ht="15" hidden="false" customHeight="false" outlineLevel="0" collapsed="false">
      <c r="A100" s="21" t="n">
        <f aca="false">54/120</f>
        <v>0.45</v>
      </c>
      <c r="B100" s="21" t="n">
        <f aca="false">Risk_target+(Risk0-Risk_target)*EXP(-Risk_rate*A100)+Risk_hump*(A100/Risk_peak_t)*EXP(1-A100/Risk_peak_t)</f>
        <v>71.6668040248657</v>
      </c>
    </row>
    <row r="101" customFormat="false" ht="15" hidden="false" customHeight="false" outlineLevel="0" collapsed="false">
      <c r="A101" s="21" t="n">
        <f aca="false">55/120</f>
        <v>0.458333333333333</v>
      </c>
      <c r="B101" s="21" t="n">
        <f aca="false">Risk_target+(Risk0-Risk_target)*EXP(-Risk_rate*A101)+Risk_hump*(A101/Risk_peak_t)*EXP(1-A101/Risk_peak_t)</f>
        <v>71.743170102919</v>
      </c>
    </row>
    <row r="102" customFormat="false" ht="15" hidden="false" customHeight="false" outlineLevel="0" collapsed="false">
      <c r="A102" s="21" t="n">
        <f aca="false">56/120</f>
        <v>0.466666666666667</v>
      </c>
      <c r="B102" s="21" t="n">
        <f aca="false">Risk_target+(Risk0-Risk_target)*EXP(-Risk_rate*A102)+Risk_hump*(A102/Risk_peak_t)*EXP(1-A102/Risk_peak_t)</f>
        <v>71.8176295942369</v>
      </c>
    </row>
    <row r="103" customFormat="false" ht="15" hidden="false" customHeight="false" outlineLevel="0" collapsed="false">
      <c r="A103" s="21" t="n">
        <f aca="false">57/120</f>
        <v>0.475</v>
      </c>
      <c r="B103" s="21" t="n">
        <f aca="false">Risk_target+(Risk0-Risk_target)*EXP(-Risk_rate*A103)+Risk_hump*(A103/Risk_peak_t)*EXP(1-A103/Risk_peak_t)</f>
        <v>71.8902047637671</v>
      </c>
    </row>
    <row r="104" customFormat="false" ht="15" hidden="false" customHeight="false" outlineLevel="0" collapsed="false">
      <c r="A104" s="21" t="n">
        <f aca="false">58/120</f>
        <v>0.483333333333333</v>
      </c>
      <c r="B104" s="21" t="n">
        <f aca="false">Risk_target+(Risk0-Risk_target)*EXP(-Risk_rate*A104)+Risk_hump*(A104/Risk_peak_t)*EXP(1-A104/Risk_peak_t)</f>
        <v>71.9609176611546</v>
      </c>
    </row>
    <row r="105" customFormat="false" ht="15" hidden="false" customHeight="false" outlineLevel="0" collapsed="false">
      <c r="A105" s="21" t="n">
        <f aca="false">59/120</f>
        <v>0.491666666666667</v>
      </c>
      <c r="B105" s="21" t="n">
        <f aca="false">Risk_target+(Risk0-Risk_target)*EXP(-Risk_rate*A105)+Risk_hump*(A105/Risk_peak_t)*EXP(1-A105/Risk_peak_t)</f>
        <v>72.0297901226508</v>
      </c>
    </row>
    <row r="106" customFormat="false" ht="15" hidden="false" customHeight="false" outlineLevel="0" collapsed="false">
      <c r="A106" s="21" t="n">
        <f aca="false">60/120</f>
        <v>0.5</v>
      </c>
      <c r="B106" s="21" t="n">
        <f aca="false">Risk_target+(Risk0-Risk_target)*EXP(-Risk_rate*A106)+Risk_hump*(A106/Risk_peak_t)*EXP(1-A106/Risk_peak_t)</f>
        <v>72.0968437730057</v>
      </c>
    </row>
    <row r="107" customFormat="false" ht="15" hidden="false" customHeight="false" outlineLevel="0" collapsed="false">
      <c r="A107" s="21" t="n">
        <f aca="false">61/120</f>
        <v>0.508333333333333</v>
      </c>
      <c r="B107" s="21" t="n">
        <f aca="false">Risk_target+(Risk0-Risk_target)*EXP(-Risk_rate*A107)+Risk_hump*(A107/Risk_peak_t)*EXP(1-A107/Risk_peak_t)</f>
        <v>72.1621000273441</v>
      </c>
    </row>
    <row r="108" customFormat="false" ht="15" hidden="false" customHeight="false" outlineLevel="0" collapsed="false">
      <c r="A108" s="21" t="n">
        <f aca="false">62/120</f>
        <v>0.516666666666667</v>
      </c>
      <c r="B108" s="21" t="n">
        <f aca="false">Risk_target+(Risk0-Risk_target)*EXP(-Risk_rate*A108)+Risk_hump*(A108/Risk_peak_t)*EXP(1-A108/Risk_peak_t)</f>
        <v>72.2255800930266</v>
      </c>
    </row>
    <row r="109" customFormat="false" ht="15" hidden="false" customHeight="false" outlineLevel="0" collapsed="false">
      <c r="A109" s="21" t="n">
        <f aca="false">63/120</f>
        <v>0.525</v>
      </c>
      <c r="B109" s="21" t="n">
        <f aca="false">Risk_target+(Risk0-Risk_target)*EXP(-Risk_rate*A109)+Risk_hump*(A109/Risk_peak_t)*EXP(1-A109/Risk_peak_t)</f>
        <v>72.2873049714943</v>
      </c>
    </row>
    <row r="110" customFormat="false" ht="15" hidden="false" customHeight="false" outlineLevel="0" collapsed="false">
      <c r="A110" s="21" t="n">
        <f aca="false">64/120</f>
        <v>0.533333333333333</v>
      </c>
      <c r="B110" s="21" t="n">
        <f aca="false">Risk_target+(Risk0-Risk_target)*EXP(-Risk_rate*A110)+Risk_hump*(A110/Risk_peak_t)*EXP(1-A110/Risk_peak_t)</f>
        <v>72.3472954600981</v>
      </c>
    </row>
    <row r="111" customFormat="false" ht="15" hidden="false" customHeight="false" outlineLevel="0" collapsed="false">
      <c r="A111" s="21" t="n">
        <f aca="false">65/120</f>
        <v>0.541666666666667</v>
      </c>
      <c r="B111" s="21" t="n">
        <f aca="false">Risk_target+(Risk0-Risk_target)*EXP(-Risk_rate*A111)+Risk_hump*(A111/Risk_peak_t)*EXP(1-A111/Risk_peak_t)</f>
        <v>72.4055721539127</v>
      </c>
    </row>
    <row r="112" customFormat="false" ht="15" hidden="false" customHeight="false" outlineLevel="0" collapsed="false">
      <c r="A112" s="21" t="n">
        <f aca="false">66/120</f>
        <v>0.55</v>
      </c>
      <c r="B112" s="21" t="n">
        <f aca="false">Risk_target+(Risk0-Risk_target)*EXP(-Risk_rate*A112)+Risk_hump*(A112/Risk_peak_t)*EXP(1-A112/Risk_peak_t)</f>
        <v>72.4621554475354</v>
      </c>
    </row>
    <row r="113" customFormat="false" ht="15" hidden="false" customHeight="false" outlineLevel="0" collapsed="false">
      <c r="A113" s="21" t="n">
        <f aca="false">67/120</f>
        <v>0.558333333333333</v>
      </c>
      <c r="B113" s="21" t="n">
        <f aca="false">Risk_target+(Risk0-Risk_target)*EXP(-Risk_rate*A113)+Risk_hump*(A113/Risk_peak_t)*EXP(1-A113/Risk_peak_t)</f>
        <v>72.517065536869</v>
      </c>
    </row>
    <row r="114" customFormat="false" ht="15" hidden="false" customHeight="false" outlineLevel="0" collapsed="false">
      <c r="A114" s="21" t="n">
        <f aca="false">68/120</f>
        <v>0.566666666666667</v>
      </c>
      <c r="B114" s="21" t="n">
        <f aca="false">Risk_target+(Risk0-Risk_target)*EXP(-Risk_rate*A114)+Risk_hump*(A114/Risk_peak_t)*EXP(1-A114/Risk_peak_t)</f>
        <v>72.5703224208905</v>
      </c>
    </row>
    <row r="115" customFormat="false" ht="15" hidden="false" customHeight="false" outlineLevel="0" collapsed="false">
      <c r="A115" s="21" t="n">
        <f aca="false">69/120</f>
        <v>0.575</v>
      </c>
      <c r="B115" s="21" t="n">
        <f aca="false">Risk_target+(Risk0-Risk_target)*EXP(-Risk_rate*A115)+Risk_hump*(A115/Risk_peak_t)*EXP(1-A115/Risk_peak_t)</f>
        <v>72.6219459034044</v>
      </c>
    </row>
    <row r="116" customFormat="false" ht="15" hidden="false" customHeight="false" outlineLevel="0" collapsed="false">
      <c r="A116" s="21" t="n">
        <f aca="false">70/120</f>
        <v>0.583333333333333</v>
      </c>
      <c r="B116" s="21" t="n">
        <f aca="false">Risk_target+(Risk0-Risk_target)*EXP(-Risk_rate*A116)+Risk_hump*(A116/Risk_peak_t)*EXP(1-A116/Risk_peak_t)</f>
        <v>72.6719555947814</v>
      </c>
    </row>
    <row r="117" customFormat="false" ht="15" hidden="false" customHeight="false" outlineLevel="0" collapsed="false">
      <c r="A117" s="21" t="n">
        <f aca="false">71/120</f>
        <v>0.591666666666667</v>
      </c>
      <c r="B117" s="21" t="n">
        <f aca="false">Risk_target+(Risk0-Risk_target)*EXP(-Risk_rate*A117)+Risk_hump*(A117/Risk_peak_t)*EXP(1-A117/Risk_peak_t)</f>
        <v>72.720370913682</v>
      </c>
    </row>
    <row r="118" customFormat="false" ht="15" hidden="false" customHeight="false" outlineLevel="0" collapsed="false">
      <c r="A118" s="21" t="n">
        <f aca="false">72/120</f>
        <v>0.6</v>
      </c>
      <c r="B118" s="21" t="n">
        <f aca="false">Risk_target+(Risk0-Risk_target)*EXP(-Risk_rate*A118)+Risk_hump*(A118/Risk_peak_t)*EXP(1-A118/Risk_peak_t)</f>
        <v>72.7672110887661</v>
      </c>
    </row>
    <row r="119" customFormat="false" ht="15" hidden="false" customHeight="false" outlineLevel="0" collapsed="false">
      <c r="A119" s="21" t="n">
        <f aca="false">73/120</f>
        <v>0.608333333333333</v>
      </c>
      <c r="B119" s="21" t="n">
        <f aca="false">Risk_target+(Risk0-Risk_target)*EXP(-Risk_rate*A119)+Risk_hump*(A119/Risk_peak_t)*EXP(1-A119/Risk_peak_t)</f>
        <v>72.8124951603876</v>
      </c>
    </row>
    <row r="120" customFormat="false" ht="15" hidden="false" customHeight="false" outlineLevel="0" collapsed="false">
      <c r="A120" s="21" t="n">
        <f aca="false">74/120</f>
        <v>0.616666666666667</v>
      </c>
      <c r="B120" s="21" t="n">
        <f aca="false">Risk_target+(Risk0-Risk_target)*EXP(-Risk_rate*A120)+Risk_hump*(A120/Risk_peak_t)*EXP(1-A120/Risk_peak_t)</f>
        <v>72.856241982275</v>
      </c>
    </row>
    <row r="121" customFormat="false" ht="15" hidden="false" customHeight="false" outlineLevel="0" collapsed="false">
      <c r="A121" s="21" t="n">
        <f aca="false">75/120</f>
        <v>0.625</v>
      </c>
      <c r="B121" s="21" t="n">
        <f aca="false">Risk_target+(Risk0-Risk_target)*EXP(-Risk_rate*A121)+Risk_hump*(A121/Risk_peak_t)*EXP(1-A121/Risk_peak_t)</f>
        <v>72.8984702231976</v>
      </c>
    </row>
    <row r="122" customFormat="false" ht="15" hidden="false" customHeight="false" outlineLevel="0" collapsed="false">
      <c r="A122" s="21" t="n">
        <f aca="false">76/120</f>
        <v>0.633333333333333</v>
      </c>
      <c r="B122" s="21" t="n">
        <f aca="false">Risk_target+(Risk0-Risk_target)*EXP(-Risk_rate*A122)+Risk_hump*(A122/Risk_peak_t)*EXP(1-A122/Risk_peak_t)</f>
        <v>72.9391983686178</v>
      </c>
    </row>
    <row r="123" customFormat="false" ht="15" hidden="false" customHeight="false" outlineLevel="0" collapsed="false">
      <c r="A123" s="21" t="n">
        <f aca="false">77/120</f>
        <v>0.641666666666667</v>
      </c>
      <c r="B123" s="21" t="n">
        <f aca="false">Risk_target+(Risk0-Risk_target)*EXP(-Risk_rate*A123)+Risk_hump*(A123/Risk_peak_t)*EXP(1-A123/Risk_peak_t)</f>
        <v>72.9784447223291</v>
      </c>
    </row>
    <row r="124" customFormat="false" ht="15" hidden="false" customHeight="false" outlineLevel="0" collapsed="false">
      <c r="A124" s="21" t="n">
        <f aca="false">78/120</f>
        <v>0.65</v>
      </c>
      <c r="B124" s="21" t="n">
        <f aca="false">Risk_target+(Risk0-Risk_target)*EXP(-Risk_rate*A124)+Risk_hump*(A124/Risk_peak_t)*EXP(1-A124/Risk_peak_t)</f>
        <v>73.0162274080805</v>
      </c>
    </row>
    <row r="125" customFormat="false" ht="15" hidden="false" customHeight="false" outlineLevel="0" collapsed="false">
      <c r="A125" s="21" t="n">
        <f aca="false">79/120</f>
        <v>0.658333333333333</v>
      </c>
      <c r="B125" s="21" t="n">
        <f aca="false">Risk_target+(Risk0-Risk_target)*EXP(-Risk_rate*A125)+Risk_hump*(A125/Risk_peak_t)*EXP(1-A125/Risk_peak_t)</f>
        <v>73.0525643711871</v>
      </c>
    </row>
    <row r="126" customFormat="false" ht="15" hidden="false" customHeight="false" outlineLevel="0" collapsed="false">
      <c r="A126" s="21" t="n">
        <f aca="false">80/120</f>
        <v>0.666666666666667</v>
      </c>
      <c r="B126" s="21" t="n">
        <f aca="false">Risk_target+(Risk0-Risk_target)*EXP(-Risk_rate*A126)+Risk_hump*(A126/Risk_peak_t)*EXP(1-A126/Risk_peak_t)</f>
        <v>73.0874733801265</v>
      </c>
    </row>
    <row r="127" customFormat="false" ht="15" hidden="false" customHeight="false" outlineLevel="0" collapsed="false">
      <c r="A127" s="21" t="n">
        <f aca="false">81/120</f>
        <v>0.675</v>
      </c>
      <c r="B127" s="21" t="n">
        <f aca="false">Risk_target+(Risk0-Risk_target)*EXP(-Risk_rate*A127)+Risk_hump*(A127/Risk_peak_t)*EXP(1-A127/Risk_peak_t)</f>
        <v>73.1209720281229</v>
      </c>
    </row>
    <row r="128" customFormat="false" ht="15" hidden="false" customHeight="false" outlineLevel="0" collapsed="false">
      <c r="A128" s="21" t="n">
        <f aca="false">82/120</f>
        <v>0.683333333333333</v>
      </c>
      <c r="B128" s="21" t="n">
        <f aca="false">Risk_target+(Risk0-Risk_target)*EXP(-Risk_rate*A128)+Risk_hump*(A128/Risk_peak_t)*EXP(1-A128/Risk_peak_t)</f>
        <v>73.1530777347163</v>
      </c>
    </row>
    <row r="129" customFormat="false" ht="15" hidden="false" customHeight="false" outlineLevel="0" collapsed="false">
      <c r="A129" s="21" t="n">
        <f aca="false">83/120</f>
        <v>0.691666666666667</v>
      </c>
      <c r="B129" s="21" t="n">
        <f aca="false">Risk_target+(Risk0-Risk_target)*EXP(-Risk_rate*A129)+Risk_hump*(A129/Risk_peak_t)*EXP(1-A129/Risk_peak_t)</f>
        <v>73.1838077473196</v>
      </c>
    </row>
    <row r="130" customFormat="false" ht="15" hidden="false" customHeight="false" outlineLevel="0" collapsed="false">
      <c r="A130" s="21" t="n">
        <f aca="false">84/120</f>
        <v>0.7</v>
      </c>
      <c r="B130" s="21" t="n">
        <f aca="false">Risk_target+(Risk0-Risk_target)*EXP(-Risk_rate*A130)+Risk_hump*(A130/Risk_peak_t)*EXP(1-A130/Risk_peak_t)</f>
        <v>73.2131791427615</v>
      </c>
    </row>
    <row r="131" customFormat="false" ht="15" hidden="false" customHeight="false" outlineLevel="0" collapsed="false">
      <c r="A131" s="21" t="n">
        <f aca="false">85/120</f>
        <v>0.708333333333333</v>
      </c>
      <c r="B131" s="21" t="n">
        <f aca="false">Risk_target+(Risk0-Risk_target)*EXP(-Risk_rate*A131)+Risk_hump*(A131/Risk_peak_t)*EXP(1-A131/Risk_peak_t)</f>
        <v>73.2412088288172</v>
      </c>
    </row>
    <row r="132" customFormat="false" ht="15" hidden="false" customHeight="false" outlineLevel="0" collapsed="false">
      <c r="A132" s="21" t="n">
        <f aca="false">86/120</f>
        <v>0.716666666666667</v>
      </c>
      <c r="B132" s="21" t="n">
        <f aca="false">Risk_target+(Risk0-Risk_target)*EXP(-Risk_rate*A132)+Risk_hump*(A132/Risk_peak_t)*EXP(1-A132/Risk_peak_t)</f>
        <v>73.2679135457254</v>
      </c>
    </row>
    <row r="133" customFormat="false" ht="15" hidden="false" customHeight="false" outlineLevel="0" collapsed="false">
      <c r="A133" s="21" t="n">
        <f aca="false">87/120</f>
        <v>0.725</v>
      </c>
      <c r="B133" s="21" t="n">
        <f aca="false">Risk_target+(Risk0-Risk_target)*EXP(-Risk_rate*A133)+Risk_hump*(A133/Risk_peak_t)*EXP(1-A133/Risk_peak_t)</f>
        <v>73.2933098676928</v>
      </c>
    </row>
    <row r="134" customFormat="false" ht="15" hidden="false" customHeight="false" outlineLevel="0" collapsed="false">
      <c r="A134" s="21" t="n">
        <f aca="false">88/120</f>
        <v>0.733333333333333</v>
      </c>
      <c r="B134" s="21" t="n">
        <f aca="false">Risk_target+(Risk0-Risk_target)*EXP(-Risk_rate*A134)+Risk_hump*(A134/Risk_peak_t)*EXP(1-A134/Risk_peak_t)</f>
        <v>73.3174142043856</v>
      </c>
    </row>
    <row r="135" customFormat="false" ht="15" hidden="false" customHeight="false" outlineLevel="0" collapsed="false">
      <c r="A135" s="21" t="n">
        <f aca="false">89/120</f>
        <v>0.741666666666667</v>
      </c>
      <c r="B135" s="21" t="n">
        <f aca="false">Risk_target+(Risk0-Risk_target)*EXP(-Risk_rate*A135)+Risk_hump*(A135/Risk_peak_t)*EXP(1-A135/Risk_peak_t)</f>
        <v>73.3402428024087</v>
      </c>
    </row>
    <row r="136" customFormat="false" ht="15" hidden="false" customHeight="false" outlineLevel="0" collapsed="false">
      <c r="A136" s="21" t="n">
        <f aca="false">90/120</f>
        <v>0.75</v>
      </c>
      <c r="B136" s="21" t="n">
        <f aca="false">Risk_target+(Risk0-Risk_target)*EXP(-Risk_rate*A136)+Risk_hump*(A136/Risk_peak_t)*EXP(1-A136/Risk_peak_t)</f>
        <v>73.3618117467716</v>
      </c>
    </row>
    <row r="137" customFormat="false" ht="15" hidden="false" customHeight="false" outlineLevel="0" collapsed="false">
      <c r="A137" s="21" t="n">
        <f aca="false">91/120</f>
        <v>0.758333333333333</v>
      </c>
      <c r="B137" s="21" t="n">
        <f aca="false">Risk_target+(Risk0-Risk_target)*EXP(-Risk_rate*A137)+Risk_hump*(A137/Risk_peak_t)*EXP(1-A137/Risk_peak_t)</f>
        <v>73.3821369623427</v>
      </c>
    </row>
    <row r="138" customFormat="false" ht="15" hidden="false" customHeight="false" outlineLevel="0" collapsed="false">
      <c r="A138" s="21" t="n">
        <f aca="false">92/120</f>
        <v>0.766666666666667</v>
      </c>
      <c r="B138" s="21" t="n">
        <f aca="false">Risk_target+(Risk0-Risk_target)*EXP(-Risk_rate*A138)+Risk_hump*(A138/Risk_peak_t)*EXP(1-A138/Risk_peak_t)</f>
        <v>73.4012342152905</v>
      </c>
    </row>
    <row r="139" customFormat="false" ht="15" hidden="false" customHeight="false" outlineLevel="0" collapsed="false">
      <c r="A139" s="21" t="n">
        <f aca="false">93/120</f>
        <v>0.775</v>
      </c>
      <c r="B139" s="21" t="n">
        <f aca="false">Risk_target+(Risk0-Risk_target)*EXP(-Risk_rate*A139)+Risk_hump*(A139/Risk_peak_t)*EXP(1-A139/Risk_peak_t)</f>
        <v>73.4191191145132</v>
      </c>
    </row>
    <row r="140" customFormat="false" ht="15" hidden="false" customHeight="false" outlineLevel="0" collapsed="false">
      <c r="A140" s="21" t="n">
        <f aca="false">94/120</f>
        <v>0.783333333333333</v>
      </c>
      <c r="B140" s="21" t="n">
        <f aca="false">Risk_target+(Risk0-Risk_target)*EXP(-Risk_rate*A140)+Risk_hump*(A140/Risk_peak_t)*EXP(1-A140/Risk_peak_t)</f>
        <v>73.4358071130555</v>
      </c>
    </row>
    <row r="141" customFormat="false" ht="15" hidden="false" customHeight="false" outlineLevel="0" collapsed="false">
      <c r="A141" s="21" t="n">
        <f aca="false">95/120</f>
        <v>0.791666666666667</v>
      </c>
      <c r="B141" s="21" t="n">
        <f aca="false">Risk_target+(Risk0-Risk_target)*EXP(-Risk_rate*A141)+Risk_hump*(A141/Risk_peak_t)*EXP(1-A141/Risk_peak_t)</f>
        <v>73.4513135095135</v>
      </c>
    </row>
    <row r="142" customFormat="false" ht="15" hidden="false" customHeight="false" outlineLevel="0" collapsed="false">
      <c r="A142" s="21" t="n">
        <f aca="false">96/120</f>
        <v>0.8</v>
      </c>
      <c r="B142" s="21" t="n">
        <f aca="false">Risk_target+(Risk0-Risk_target)*EXP(-Risk_rate*A142)+Risk_hump*(A142/Risk_peak_t)*EXP(1-A142/Risk_peak_t)</f>
        <v>73.4656534494282</v>
      </c>
    </row>
    <row r="143" customFormat="false" ht="15" hidden="false" customHeight="false" outlineLevel="0" collapsed="false">
      <c r="A143" s="21" t="n">
        <f aca="false">97/120</f>
        <v>0.808333333333333</v>
      </c>
      <c r="B143" s="21" t="n">
        <f aca="false">Risk_target+(Risk0-Risk_target)*EXP(-Risk_rate*A143)+Risk_hump*(A143/Risk_peak_t)*EXP(1-A143/Risk_peak_t)</f>
        <v>73.4788419266662</v>
      </c>
    </row>
    <row r="144" customFormat="false" ht="15" hidden="false" customHeight="false" outlineLevel="0" collapsed="false">
      <c r="A144" s="21" t="n">
        <f aca="false">98/120</f>
        <v>0.816666666666667</v>
      </c>
      <c r="B144" s="21" t="n">
        <f aca="false">Risk_target+(Risk0-Risk_target)*EXP(-Risk_rate*A144)+Risk_hump*(A144/Risk_peak_t)*EXP(1-A144/Risk_peak_t)</f>
        <v>73.4908937847894</v>
      </c>
    </row>
    <row r="145" customFormat="false" ht="15" hidden="false" customHeight="false" outlineLevel="0" collapsed="false">
      <c r="A145" s="21" t="n">
        <f aca="false">99/120</f>
        <v>0.825</v>
      </c>
      <c r="B145" s="21" t="n">
        <f aca="false">Risk_target+(Risk0-Risk_target)*EXP(-Risk_rate*A145)+Risk_hump*(A145/Risk_peak_t)*EXP(1-A145/Risk_peak_t)</f>
        <v>73.5018237184128</v>
      </c>
    </row>
    <row r="146" customFormat="false" ht="15" hidden="false" customHeight="false" outlineLevel="0" collapsed="false">
      <c r="A146" s="21" t="n">
        <f aca="false">100/120</f>
        <v>0.833333333333333</v>
      </c>
      <c r="B146" s="21" t="n">
        <f aca="false">Risk_target+(Risk0-Risk_target)*EXP(-Risk_rate*A146)+Risk_hump*(A146/Risk_peak_t)*EXP(1-A146/Risk_peak_t)</f>
        <v>73.5116462745503</v>
      </c>
    </row>
    <row r="147" customFormat="false" ht="15" hidden="false" customHeight="false" outlineLevel="0" collapsed="false">
      <c r="A147" s="21" t="n">
        <f aca="false">101/120</f>
        <v>0.841666666666667</v>
      </c>
      <c r="B147" s="21" t="n">
        <f aca="false">Risk_target+(Risk0-Risk_target)*EXP(-Risk_rate*A147)+Risk_hump*(A147/Risk_peak_t)*EXP(1-A147/Risk_peak_t)</f>
        <v>73.5203758539496</v>
      </c>
    </row>
    <row r="148" customFormat="false" ht="15" hidden="false" customHeight="false" outlineLevel="0" collapsed="false">
      <c r="A148" s="21" t="n">
        <f aca="false">102/120</f>
        <v>0.85</v>
      </c>
      <c r="B148" s="21" t="n">
        <f aca="false">Risk_target+(Risk0-Risk_target)*EXP(-Risk_rate*A148)+Risk_hump*(A148/Risk_peak_t)*EXP(1-A148/Risk_peak_t)</f>
        <v>73.5280267124154</v>
      </c>
    </row>
    <row r="149" customFormat="false" ht="15" hidden="false" customHeight="false" outlineLevel="0" collapsed="false">
      <c r="A149" s="21" t="n">
        <f aca="false">103/120</f>
        <v>0.858333333333333</v>
      </c>
      <c r="B149" s="21" t="n">
        <f aca="false">Risk_target+(Risk0-Risk_target)*EXP(-Risk_rate*A149)+Risk_hump*(A149/Risk_peak_t)*EXP(1-A149/Risk_peak_t)</f>
        <v>73.5346129621217</v>
      </c>
    </row>
    <row r="150" customFormat="false" ht="15" hidden="false" customHeight="false" outlineLevel="0" collapsed="false">
      <c r="A150" s="21" t="n">
        <f aca="false">104/120</f>
        <v>0.866666666666667</v>
      </c>
      <c r="B150" s="21" t="n">
        <f aca="false">Risk_target+(Risk0-Risk_target)*EXP(-Risk_rate*A150)+Risk_hump*(A150/Risk_peak_t)*EXP(1-A150/Risk_peak_t)</f>
        <v>73.5401485729121</v>
      </c>
    </row>
    <row r="151" customFormat="false" ht="15" hidden="false" customHeight="false" outlineLevel="0" collapsed="false">
      <c r="A151" s="21" t="n">
        <f aca="false">105/120</f>
        <v>0.875</v>
      </c>
      <c r="B151" s="21" t="n">
        <f aca="false">Risk_target+(Risk0-Risk_target)*EXP(-Risk_rate*A151)+Risk_hump*(A151/Risk_peak_t)*EXP(1-A151/Risk_peak_t)</f>
        <v>73.5446473735897</v>
      </c>
    </row>
    <row r="152" customFormat="false" ht="15" hidden="false" customHeight="false" outlineLevel="0" collapsed="false">
      <c r="A152" s="21" t="n">
        <f aca="false">106/120</f>
        <v>0.883333333333333</v>
      </c>
      <c r="B152" s="21" t="n">
        <f aca="false">Risk_target+(Risk0-Risk_target)*EXP(-Risk_rate*A152)+Risk_hump*(A152/Risk_peak_t)*EXP(1-A152/Risk_peak_t)</f>
        <v>73.5481230531957</v>
      </c>
    </row>
    <row r="153" customFormat="false" ht="15" hidden="false" customHeight="false" outlineLevel="0" collapsed="false">
      <c r="A153" s="21" t="n">
        <f aca="false">107/120</f>
        <v>0.891666666666667</v>
      </c>
      <c r="B153" s="21" t="n">
        <f aca="false">Risk_target+(Risk0-Risk_target)*EXP(-Risk_rate*A153)+Risk_hump*(A153/Risk_peak_t)*EXP(1-A153/Risk_peak_t)</f>
        <v>73.5505891622774</v>
      </c>
    </row>
    <row r="154" customFormat="false" ht="15" hidden="false" customHeight="false" outlineLevel="0" collapsed="false">
      <c r="A154" s="21" t="n">
        <f aca="false">108/120</f>
        <v>0.9</v>
      </c>
      <c r="B154" s="21" t="n">
        <f aca="false">Risk_target+(Risk0-Risk_target)*EXP(-Risk_rate*A154)+Risk_hump*(A154/Risk_peak_t)*EXP(1-A154/Risk_peak_t)</f>
        <v>73.5520591141447</v>
      </c>
    </row>
    <row r="155" customFormat="false" ht="15" hidden="false" customHeight="false" outlineLevel="0" collapsed="false">
      <c r="A155" s="21" t="n">
        <f aca="false">109/120</f>
        <v>0.908333333333333</v>
      </c>
      <c r="B155" s="21" t="n">
        <f aca="false">Risk_target+(Risk0-Risk_target)*EXP(-Risk_rate*A155)+Risk_hump*(A155/Risk_peak_t)*EXP(1-A155/Risk_peak_t)</f>
        <v>73.5525461861163</v>
      </c>
    </row>
    <row r="156" customFormat="false" ht="15" hidden="false" customHeight="false" outlineLevel="0" collapsed="false">
      <c r="A156" s="21" t="n">
        <f aca="false">110/120</f>
        <v>0.916666666666667</v>
      </c>
      <c r="B156" s="21" t="n">
        <f aca="false">Risk_target+(Risk0-Risk_target)*EXP(-Risk_rate*A156)+Risk_hump*(A156/Risk_peak_t)*EXP(1-A156/Risk_peak_t)</f>
        <v>73.5520635207556</v>
      </c>
    </row>
    <row r="157" customFormat="false" ht="15" hidden="false" customHeight="false" outlineLevel="0" collapsed="false">
      <c r="A157" s="21" t="n">
        <f aca="false">111/120</f>
        <v>0.925</v>
      </c>
      <c r="B157" s="21" t="n">
        <f aca="false">Risk_target+(Risk0-Risk_target)*EXP(-Risk_rate*A157)+Risk_hump*(A157/Risk_peak_t)*EXP(1-A157/Risk_peak_t)</f>
        <v>73.5506241270949</v>
      </c>
    </row>
    <row r="158" customFormat="false" ht="15" hidden="false" customHeight="false" outlineLevel="0" collapsed="false">
      <c r="A158" s="21" t="n">
        <f aca="false">112/120</f>
        <v>0.933333333333333</v>
      </c>
      <c r="B158" s="21" t="n">
        <f aca="false">Risk_target+(Risk0-Risk_target)*EXP(-Risk_rate*A158)+Risk_hump*(A158/Risk_peak_t)*EXP(1-A158/Risk_peak_t)</f>
        <v>73.5482408818504</v>
      </c>
    </row>
    <row r="159" customFormat="false" ht="15" hidden="false" customHeight="false" outlineLevel="0" collapsed="false">
      <c r="A159" s="21" t="n">
        <f aca="false">113/120</f>
        <v>0.941666666666667</v>
      </c>
      <c r="B159" s="21" t="n">
        <f aca="false">Risk_target+(Risk0-Risk_target)*EXP(-Risk_rate*A159)+Risk_hump*(A159/Risk_peak_t)*EXP(1-A159/Risk_peak_t)</f>
        <v>73.544926530626</v>
      </c>
    </row>
    <row r="160" customFormat="false" ht="15" hidden="false" customHeight="false" outlineLevel="0" collapsed="false">
      <c r="A160" s="21" t="n">
        <f aca="false">114/120</f>
        <v>0.95</v>
      </c>
      <c r="B160" s="21" t="n">
        <f aca="false">Risk_target+(Risk0-Risk_target)*EXP(-Risk_rate*A160)+Risk_hump*(A160/Risk_peak_t)*EXP(1-A160/Risk_peak_t)</f>
        <v>73.5406936891071</v>
      </c>
    </row>
    <row r="161" customFormat="false" ht="15" hidden="false" customHeight="false" outlineLevel="0" collapsed="false">
      <c r="A161" s="21" t="n">
        <f aca="false">115/120</f>
        <v>0.958333333333333</v>
      </c>
      <c r="B161" s="21" t="n">
        <f aca="false">Risk_target+(Risk0-Risk_target)*EXP(-Risk_rate*A161)+Risk_hump*(A161/Risk_peak_t)*EXP(1-A161/Risk_peak_t)</f>
        <v>73.5355548442439</v>
      </c>
    </row>
    <row r="162" customFormat="false" ht="15" hidden="false" customHeight="false" outlineLevel="0" collapsed="false">
      <c r="A162" s="21" t="n">
        <f aca="false">116/120</f>
        <v>0.966666666666667</v>
      </c>
      <c r="B162" s="21" t="n">
        <f aca="false">Risk_target+(Risk0-Risk_target)*EXP(-Risk_rate*A162)+Risk_hump*(A162/Risk_peak_t)*EXP(1-A162/Risk_peak_t)</f>
        <v>73.5295223554248</v>
      </c>
    </row>
    <row r="163" customFormat="false" ht="15" hidden="false" customHeight="false" outlineLevel="0" collapsed="false">
      <c r="A163" s="21" t="n">
        <f aca="false">117/120</f>
        <v>0.975</v>
      </c>
      <c r="B163" s="21" t="n">
        <f aca="false">Risk_target+(Risk0-Risk_target)*EXP(-Risk_rate*A163)+Risk_hump*(A163/Risk_peak_t)*EXP(1-A163/Risk_peak_t)</f>
        <v>73.5226084556398</v>
      </c>
    </row>
    <row r="164" customFormat="false" ht="15" hidden="false" customHeight="false" outlineLevel="0" collapsed="false">
      <c r="A164" s="21" t="n">
        <f aca="false">118/120</f>
        <v>0.983333333333333</v>
      </c>
      <c r="B164" s="21" t="n">
        <f aca="false">Risk_target+(Risk0-Risk_target)*EXP(-Risk_rate*A164)+Risk_hump*(A164/Risk_peak_t)*EXP(1-A164/Risk_peak_t)</f>
        <v>73.5148252526338</v>
      </c>
    </row>
    <row r="165" customFormat="false" ht="15" hidden="false" customHeight="false" outlineLevel="0" collapsed="false">
      <c r="A165" s="21" t="n">
        <f aca="false">119/120</f>
        <v>0.991666666666667</v>
      </c>
      <c r="B165" s="21" t="n">
        <f aca="false">Risk_target+(Risk0-Risk_target)*EXP(-Risk_rate*A165)+Risk_hump*(A165/Risk_peak_t)*EXP(1-A165/Risk_peak_t)</f>
        <v>73.5061847300498</v>
      </c>
    </row>
    <row r="166" customFormat="false" ht="15" hidden="false" customHeight="false" outlineLevel="0" collapsed="false">
      <c r="A166" s="21" t="n">
        <f aca="false">120/120</f>
        <v>1</v>
      </c>
      <c r="B166" s="21" t="n">
        <f aca="false">Risk_target+(Risk0-Risk_target)*EXP(-Risk_rate*A166)+Risk_hump*(A166/Risk_peak_t)*EXP(1-A166/Risk_peak_t)</f>
        <v>73.4966987485625</v>
      </c>
    </row>
    <row r="167" customFormat="false" ht="15" hidden="false" customHeight="false" outlineLevel="0" collapsed="false">
      <c r="A167" s="21" t="n">
        <f aca="false">121/120</f>
        <v>1.00833333333333</v>
      </c>
      <c r="B167" s="21" t="n">
        <f aca="false">Risk_target+(Risk0-Risk_target)*EXP(-Risk_rate*A167)+Risk_hump*(A167/Risk_peak_t)*EXP(1-A167/Risk_peak_t)</f>
        <v>73.4863790470026</v>
      </c>
    </row>
    <row r="168" customFormat="false" ht="15" hidden="false" customHeight="false" outlineLevel="0" collapsed="false">
      <c r="A168" s="21" t="n">
        <f aca="false">122/120</f>
        <v>1.01666666666667</v>
      </c>
      <c r="B168" s="21" t="n">
        <f aca="false">Risk_target+(Risk0-Risk_target)*EXP(-Risk_rate*A168)+Risk_hump*(A168/Risk_peak_t)*EXP(1-A168/Risk_peak_t)</f>
        <v>73.4752372434703</v>
      </c>
    </row>
    <row r="169" customFormat="false" ht="15" hidden="false" customHeight="false" outlineLevel="0" collapsed="false">
      <c r="A169" s="21" t="n">
        <f aca="false">123/120</f>
        <v>1.025</v>
      </c>
      <c r="B169" s="21" t="n">
        <f aca="false">Risk_target+(Risk0-Risk_target)*EXP(-Risk_rate*A169)+Risk_hump*(A169/Risk_peak_t)*EXP(1-A169/Risk_peak_t)</f>
        <v>73.4632848364405</v>
      </c>
    </row>
    <row r="170" customFormat="false" ht="15" hidden="false" customHeight="false" outlineLevel="0" collapsed="false">
      <c r="A170" s="21" t="n">
        <f aca="false">124/120</f>
        <v>1.03333333333333</v>
      </c>
      <c r="B170" s="21" t="n">
        <f aca="false">Risk_target+(Risk0-Risk_target)*EXP(-Risk_rate*A170)+Risk_hump*(A170/Risk_peak_t)*EXP(1-A170/Risk_peak_t)</f>
        <v>73.4505332058577</v>
      </c>
    </row>
    <row r="171" customFormat="false" ht="15" hidden="false" customHeight="false" outlineLevel="0" collapsed="false">
      <c r="A171" s="21" t="n">
        <f aca="false">125/120</f>
        <v>1.04166666666667</v>
      </c>
      <c r="B171" s="21" t="n">
        <f aca="false">Risk_target+(Risk0-Risk_target)*EXP(-Risk_rate*A171)+Risk_hump*(A171/Risk_peak_t)*EXP(1-A171/Risk_peak_t)</f>
        <v>73.4369936142218</v>
      </c>
    </row>
    <row r="172" customFormat="false" ht="15" hidden="false" customHeight="false" outlineLevel="0" collapsed="false">
      <c r="A172" s="21" t="n">
        <f aca="false">126/120</f>
        <v>1.05</v>
      </c>
      <c r="B172" s="21" t="n">
        <f aca="false">Risk_target+(Risk0-Risk_target)*EXP(-Risk_rate*A172)+Risk_hump*(A172/Risk_peak_t)*EXP(1-A172/Risk_peak_t)</f>
        <v>73.4226772076644</v>
      </c>
    </row>
    <row r="173" customFormat="false" ht="15" hidden="false" customHeight="false" outlineLevel="0" collapsed="false">
      <c r="A173" s="21" t="n">
        <f aca="false">127/120</f>
        <v>1.05833333333333</v>
      </c>
      <c r="B173" s="21" t="n">
        <f aca="false">Risk_target+(Risk0-Risk_target)*EXP(-Risk_rate*A173)+Risk_hump*(A173/Risk_peak_t)*EXP(1-A173/Risk_peak_t)</f>
        <v>73.4075950170159</v>
      </c>
    </row>
    <row r="174" customFormat="false" ht="15" hidden="false" customHeight="false" outlineLevel="0" collapsed="false">
      <c r="A174" s="21" t="n">
        <f aca="false">128/120</f>
        <v>1.06666666666667</v>
      </c>
      <c r="B174" s="21" t="n">
        <f aca="false">Risk_target+(Risk0-Risk_target)*EXP(-Risk_rate*A174)+Risk_hump*(A174/Risk_peak_t)*EXP(1-A174/Risk_peak_t)</f>
        <v>73.3917579588638</v>
      </c>
    </row>
    <row r="175" customFormat="false" ht="15" hidden="false" customHeight="false" outlineLevel="0" collapsed="false">
      <c r="A175" s="21" t="n">
        <f aca="false">129/120</f>
        <v>1.075</v>
      </c>
      <c r="B175" s="21" t="n">
        <f aca="false">Risk_target+(Risk0-Risk_target)*EXP(-Risk_rate*A175)+Risk_hump*(A175/Risk_peak_t)*EXP(1-A175/Risk_peak_t)</f>
        <v>73.375176836601</v>
      </c>
    </row>
    <row r="176" customFormat="false" ht="15" hidden="false" customHeight="false" outlineLevel="0" collapsed="false">
      <c r="A176" s="21" t="n">
        <f aca="false">130/120</f>
        <v>1.08333333333333</v>
      </c>
      <c r="B176" s="21" t="n">
        <f aca="false">Risk_target+(Risk0-Risk_target)*EXP(-Risk_rate*A176)+Risk_hump*(A176/Risk_peak_t)*EXP(1-A176/Risk_peak_t)</f>
        <v>73.357862341466</v>
      </c>
    </row>
    <row r="177" customFormat="false" ht="15" hidden="false" customHeight="false" outlineLevel="0" collapsed="false">
      <c r="A177" s="21" t="n">
        <f aca="false">131/120</f>
        <v>1.09166666666667</v>
      </c>
      <c r="B177" s="21" t="n">
        <f aca="false">Risk_target+(Risk0-Risk_target)*EXP(-Risk_rate*A177)+Risk_hump*(A177/Risk_peak_t)*EXP(1-A177/Risk_peak_t)</f>
        <v>73.3398250535735</v>
      </c>
    </row>
    <row r="178" customFormat="false" ht="15" hidden="false" customHeight="false" outlineLevel="0" collapsed="false">
      <c r="A178" s="21" t="n">
        <f aca="false">132/120</f>
        <v>1.1</v>
      </c>
      <c r="B178" s="21" t="n">
        <f aca="false">Risk_target+(Risk0-Risk_target)*EXP(-Risk_rate*A178)+Risk_hump*(A178/Risk_peak_t)*EXP(1-A178/Risk_peak_t)</f>
        <v>73.3210754429366</v>
      </c>
    </row>
    <row r="179" customFormat="false" ht="15" hidden="false" customHeight="false" outlineLevel="0" collapsed="false">
      <c r="A179" s="21" t="n">
        <f aca="false">133/120</f>
        <v>1.10833333333333</v>
      </c>
      <c r="B179" s="21" t="n">
        <f aca="false">Risk_target+(Risk0-Risk_target)*EXP(-Risk_rate*A179)+Risk_hump*(A179/Risk_peak_t)*EXP(1-A179/Risk_peak_t)</f>
        <v>73.3016238704799</v>
      </c>
    </row>
    <row r="180" customFormat="false" ht="15" hidden="false" customHeight="false" outlineLevel="0" collapsed="false">
      <c r="A180" s="21" t="n">
        <f aca="false">134/120</f>
        <v>1.11666666666667</v>
      </c>
      <c r="B180" s="21" t="n">
        <f aca="false">Risk_target+(Risk0-Risk_target)*EXP(-Risk_rate*A180)+Risk_hump*(A180/Risk_peak_t)*EXP(1-A180/Risk_peak_t)</f>
        <v>73.2814805890437</v>
      </c>
    </row>
    <row r="181" customFormat="false" ht="15" hidden="false" customHeight="false" outlineLevel="0" collapsed="false">
      <c r="A181" s="21" t="n">
        <f aca="false">135/120</f>
        <v>1.125</v>
      </c>
      <c r="B181" s="21" t="n">
        <f aca="false">Risk_target+(Risk0-Risk_target)*EXP(-Risk_rate*A181)+Risk_hump*(A181/Risk_peak_t)*EXP(1-A181/Risk_peak_t)</f>
        <v>73.26065574438</v>
      </c>
    </row>
    <row r="182" customFormat="false" ht="15" hidden="false" customHeight="false" outlineLevel="0" collapsed="false">
      <c r="A182" s="21" t="n">
        <f aca="false">136/120</f>
        <v>1.13333333333333</v>
      </c>
      <c r="B182" s="21" t="n">
        <f aca="false">Risk_target+(Risk0-Risk_target)*EXP(-Risk_rate*A182)+Risk_hump*(A182/Risk_peak_t)*EXP(1-A182/Risk_peak_t)</f>
        <v>73.2391593761396</v>
      </c>
    </row>
    <row r="183" customFormat="false" ht="15" hidden="false" customHeight="false" outlineLevel="0" collapsed="false">
      <c r="A183" s="21" t="n">
        <f aca="false">137/120</f>
        <v>1.14166666666667</v>
      </c>
      <c r="B183" s="21" t="n">
        <f aca="false">Risk_target+(Risk0-Risk_target)*EXP(-Risk_rate*A183)+Risk_hump*(A183/Risk_peak_t)*EXP(1-A183/Risk_peak_t)</f>
        <v>73.2170014188507</v>
      </c>
    </row>
    <row r="184" customFormat="false" ht="15" hidden="false" customHeight="false" outlineLevel="0" collapsed="false">
      <c r="A184" s="21" t="n">
        <f aca="false">138/120</f>
        <v>1.15</v>
      </c>
      <c r="B184" s="21" t="n">
        <f aca="false">Risk_target+(Risk0-Risk_target)*EXP(-Risk_rate*A184)+Risk_hump*(A184/Risk_peak_t)*EXP(1-A184/Risk_peak_t)</f>
        <v>73.1941917028891</v>
      </c>
    </row>
    <row r="185" customFormat="false" ht="15" hidden="false" customHeight="false" outlineLevel="0" collapsed="false">
      <c r="A185" s="21" t="n">
        <f aca="false">139/120</f>
        <v>1.15833333333333</v>
      </c>
      <c r="B185" s="21" t="n">
        <f aca="false">Risk_target+(Risk0-Risk_target)*EXP(-Risk_rate*A185)+Risk_hump*(A185/Risk_peak_t)*EXP(1-A185/Risk_peak_t)</f>
        <v>73.1707399554401</v>
      </c>
    </row>
    <row r="186" customFormat="false" ht="15" hidden="false" customHeight="false" outlineLevel="0" collapsed="false">
      <c r="A186" s="21" t="n">
        <f aca="false">140/120</f>
        <v>1.16666666666667</v>
      </c>
      <c r="B186" s="21" t="n">
        <f aca="false">Risk_target+(Risk0-Risk_target)*EXP(-Risk_rate*A186)+Risk_hump*(A186/Risk_peak_t)*EXP(1-A186/Risk_peak_t)</f>
        <v>73.146655801452</v>
      </c>
    </row>
    <row r="187" customFormat="false" ht="15" hidden="false" customHeight="false" outlineLevel="0" collapsed="false">
      <c r="A187" s="21" t="n">
        <f aca="false">141/120</f>
        <v>1.175</v>
      </c>
      <c r="B187" s="21" t="n">
        <f aca="false">Risk_target+(Risk0-Risk_target)*EXP(-Risk_rate*A187)+Risk_hump*(A187/Risk_peak_t)*EXP(1-A187/Risk_peak_t)</f>
        <v>73.121948764581</v>
      </c>
    </row>
    <row r="188" customFormat="false" ht="15" hidden="false" customHeight="false" outlineLevel="0" collapsed="false">
      <c r="A188" s="21" t="n">
        <f aca="false">142/120</f>
        <v>1.18333333333333</v>
      </c>
      <c r="B188" s="21" t="n">
        <f aca="false">Risk_target+(Risk0-Risk_target)*EXP(-Risk_rate*A188)+Risk_hump*(A188/Risk_peak_t)*EXP(1-A188/Risk_peak_t)</f>
        <v>73.0966282681288</v>
      </c>
    </row>
    <row r="189" customFormat="false" ht="15" hidden="false" customHeight="false" outlineLevel="0" collapsed="false">
      <c r="A189" s="21" t="n">
        <f aca="false">143/120</f>
        <v>1.19166666666667</v>
      </c>
      <c r="B189" s="21" t="n">
        <f aca="false">Risk_target+(Risk0-Risk_target)*EXP(-Risk_rate*A189)+Risk_hump*(A189/Risk_peak_t)*EXP(1-A189/Risk_peak_t)</f>
        <v>73.0707036359714</v>
      </c>
    </row>
    <row r="190" customFormat="false" ht="15" hidden="false" customHeight="false" outlineLevel="0" collapsed="false">
      <c r="A190" s="21" t="n">
        <f aca="false">144/120</f>
        <v>1.2</v>
      </c>
      <c r="B190" s="21" t="n">
        <f aca="false">Risk_target+(Risk0-Risk_target)*EXP(-Risk_rate*A190)+Risk_hump*(A190/Risk_peak_t)*EXP(1-A190/Risk_peak_t)</f>
        <v>73.0441840934798</v>
      </c>
    </row>
    <row r="191" customFormat="false" ht="15" hidden="false" customHeight="false" outlineLevel="0" collapsed="false">
      <c r="A191" s="21" t="n">
        <f aca="false">145/120</f>
        <v>1.20833333333333</v>
      </c>
      <c r="B191" s="21" t="n">
        <f aca="false">Risk_target+(Risk0-Risk_target)*EXP(-Risk_rate*A191)+Risk_hump*(A191/Risk_peak_t)*EXP(1-A191/Risk_peak_t)</f>
        <v>73.0170787684334</v>
      </c>
    </row>
    <row r="192" customFormat="false" ht="15" hidden="false" customHeight="false" outlineLevel="0" collapsed="false">
      <c r="A192" s="21" t="n">
        <f aca="false">146/120</f>
        <v>1.21666666666667</v>
      </c>
      <c r="B192" s="21" t="n">
        <f aca="false">Risk_target+(Risk0-Risk_target)*EXP(-Risk_rate*A192)+Risk_hump*(A192/Risk_peak_t)*EXP(1-A192/Risk_peak_t)</f>
        <v>72.9893966919246</v>
      </c>
    </row>
    <row r="193" customFormat="false" ht="15" hidden="false" customHeight="false" outlineLevel="0" collapsed="false">
      <c r="A193" s="21" t="n">
        <f aca="false">147/120</f>
        <v>1.225</v>
      </c>
      <c r="B193" s="21" t="n">
        <f aca="false">Risk_target+(Risk0-Risk_target)*EXP(-Risk_rate*A193)+Risk_hump*(A193/Risk_peak_t)*EXP(1-A193/Risk_peak_t)</f>
        <v>72.9611467992564</v>
      </c>
    </row>
    <row r="194" customFormat="false" ht="15" hidden="false" customHeight="false" outlineLevel="0" collapsed="false">
      <c r="A194" s="21" t="n">
        <f aca="false">148/120</f>
        <v>1.23333333333333</v>
      </c>
      <c r="B194" s="21" t="n">
        <f aca="false">Risk_target+(Risk0-Risk_target)*EXP(-Risk_rate*A194)+Risk_hump*(A194/Risk_peak_t)*EXP(1-A194/Risk_peak_t)</f>
        <v>72.9323379308316</v>
      </c>
    </row>
    <row r="195" customFormat="false" ht="15" hidden="false" customHeight="false" outlineLevel="0" collapsed="false">
      <c r="A195" s="21" t="n">
        <f aca="false">149/120</f>
        <v>1.24166666666667</v>
      </c>
      <c r="B195" s="21" t="n">
        <f aca="false">Risk_target+(Risk0-Risk_target)*EXP(-Risk_rate*A195)+Risk_hump*(A195/Risk_peak_t)*EXP(1-A195/Risk_peak_t)</f>
        <v>72.9029788330347</v>
      </c>
    </row>
    <row r="196" customFormat="false" ht="15" hidden="false" customHeight="false" outlineLevel="0" collapsed="false">
      <c r="A196" s="21" t="n">
        <f aca="false">150/120</f>
        <v>1.25</v>
      </c>
      <c r="B196" s="21" t="n">
        <f aca="false">Risk_target+(Risk0-Risk_target)*EXP(-Risk_rate*A196)+Risk_hump*(A196/Risk_peak_t)*EXP(1-A196/Risk_peak_t)</f>
        <v>72.8730781591058</v>
      </c>
    </row>
    <row r="197" customFormat="false" ht="15" hidden="false" customHeight="false" outlineLevel="0" collapsed="false">
      <c r="A197" s="21" t="n">
        <f aca="false">151/120</f>
        <v>1.25833333333333</v>
      </c>
      <c r="B197" s="21" t="n">
        <f aca="false">Risk_target+(Risk0-Risk_target)*EXP(-Risk_rate*A197)+Risk_hump*(A197/Risk_peak_t)*EXP(1-A197/Risk_peak_t)</f>
        <v>72.8426444700075</v>
      </c>
    </row>
    <row r="198" customFormat="false" ht="15" hidden="false" customHeight="false" outlineLevel="0" collapsed="false">
      <c r="A198" s="21" t="n">
        <f aca="false">152/120</f>
        <v>1.26666666666667</v>
      </c>
      <c r="B198" s="21" t="n">
        <f aca="false">Risk_target+(Risk0-Risk_target)*EXP(-Risk_rate*A198)+Risk_hump*(A198/Risk_peak_t)*EXP(1-A198/Risk_peak_t)</f>
        <v>72.8116862352834</v>
      </c>
    </row>
    <row r="199" customFormat="false" ht="15" hidden="false" customHeight="false" outlineLevel="0" collapsed="false">
      <c r="A199" s="21" t="n">
        <f aca="false">153/120</f>
        <v>1.275</v>
      </c>
      <c r="B199" s="21" t="n">
        <f aca="false">Risk_target+(Risk0-Risk_target)*EXP(-Risk_rate*A199)+Risk_hump*(A199/Risk_peak_t)*EXP(1-A199/Risk_peak_t)</f>
        <v>72.7802118339099</v>
      </c>
    </row>
    <row r="200" customFormat="false" ht="15" hidden="false" customHeight="false" outlineLevel="0" collapsed="false">
      <c r="A200" s="21" t="n">
        <f aca="false">154/120</f>
        <v>1.28333333333333</v>
      </c>
      <c r="B200" s="21" t="n">
        <f aca="false">Risk_target+(Risk0-Risk_target)*EXP(-Risk_rate*A200)+Risk_hump*(A200/Risk_peak_t)*EXP(1-A200/Risk_peak_t)</f>
        <v>72.7482295551403</v>
      </c>
    </row>
    <row r="201" customFormat="false" ht="15" hidden="false" customHeight="false" outlineLevel="0" collapsed="false">
      <c r="A201" s="21" t="n">
        <f aca="false">155/120</f>
        <v>1.29166666666667</v>
      </c>
      <c r="B201" s="21" t="n">
        <f aca="false">Risk_target+(Risk0-Risk_target)*EXP(-Risk_rate*A201)+Risk_hump*(A201/Risk_peak_t)*EXP(1-A201/Risk_peak_t)</f>
        <v>72.7157475993416</v>
      </c>
    </row>
    <row r="202" customFormat="false" ht="15" hidden="false" customHeight="false" outlineLevel="0" collapsed="false">
      <c r="A202" s="21" t="n">
        <f aca="false">156/120</f>
        <v>1.3</v>
      </c>
      <c r="B202" s="21" t="n">
        <f aca="false">Risk_target+(Risk0-Risk_target)*EXP(-Risk_rate*A202)+Risk_hump*(A202/Risk_peak_t)*EXP(1-A202/Risk_peak_t)</f>
        <v>72.6827740788239</v>
      </c>
    </row>
    <row r="203" customFormat="false" ht="15" hidden="false" customHeight="false" outlineLevel="0" collapsed="false">
      <c r="A203" s="21" t="n">
        <f aca="false">157/120</f>
        <v>1.30833333333333</v>
      </c>
      <c r="B203" s="21" t="n">
        <f aca="false">Risk_target+(Risk0-Risk_target)*EXP(-Risk_rate*A203)+Risk_hump*(A203/Risk_peak_t)*EXP(1-A203/Risk_peak_t)</f>
        <v>72.6493170186632</v>
      </c>
    </row>
    <row r="204" customFormat="false" ht="15" hidden="false" customHeight="false" outlineLevel="0" collapsed="false">
      <c r="A204" s="21" t="n">
        <f aca="false">158/120</f>
        <v>1.31666666666667</v>
      </c>
      <c r="B204" s="21" t="n">
        <f aca="false">Risk_target+(Risk0-Risk_target)*EXP(-Risk_rate*A204)+Risk_hump*(A204/Risk_peak_t)*EXP(1-A204/Risk_peak_t)</f>
        <v>72.6153843575157</v>
      </c>
    </row>
    <row r="205" customFormat="false" ht="15" hidden="false" customHeight="false" outlineLevel="0" collapsed="false">
      <c r="A205" s="21" t="n">
        <f aca="false">159/120</f>
        <v>1.325</v>
      </c>
      <c r="B205" s="21" t="n">
        <f aca="false">Risk_target+(Risk0-Risk_target)*EXP(-Risk_rate*A205)+Risk_hump*(A205/Risk_peak_t)*EXP(1-A205/Risk_peak_t)</f>
        <v>72.5809839484269</v>
      </c>
    </row>
    <row r="206" customFormat="false" ht="15" hidden="false" customHeight="false" outlineLevel="0" collapsed="false">
      <c r="A206" s="21" t="n">
        <f aca="false">160/120</f>
        <v>1.33333333333333</v>
      </c>
      <c r="B206" s="21" t="n">
        <f aca="false">Risk_target+(Risk0-Risk_target)*EXP(-Risk_rate*A206)+Risk_hump*(A206/Risk_peak_t)*EXP(1-A206/Risk_peak_t)</f>
        <v>72.5461235596317</v>
      </c>
    </row>
    <row r="207" customFormat="false" ht="15" hidden="false" customHeight="false" outlineLevel="0" collapsed="false">
      <c r="A207" s="21" t="n">
        <f aca="false">161/120</f>
        <v>1.34166666666667</v>
      </c>
      <c r="B207" s="21" t="n">
        <f aca="false">Risk_target+(Risk0-Risk_target)*EXP(-Risk_rate*A207)+Risk_hump*(A207/Risk_peak_t)*EXP(1-A207/Risk_peak_t)</f>
        <v>72.5108108753492</v>
      </c>
    </row>
    <row r="208" customFormat="false" ht="15" hidden="false" customHeight="false" outlineLevel="0" collapsed="false">
      <c r="A208" s="21" t="n">
        <f aca="false">162/120</f>
        <v>1.35</v>
      </c>
      <c r="B208" s="21" t="n">
        <f aca="false">Risk_target+(Risk0-Risk_target)*EXP(-Risk_rate*A208)+Risk_hump*(A208/Risk_peak_t)*EXP(1-A208/Risk_peak_t)</f>
        <v>72.4750534965693</v>
      </c>
    </row>
    <row r="209" customFormat="false" ht="15" hidden="false" customHeight="false" outlineLevel="0" collapsed="false">
      <c r="A209" s="21" t="n">
        <f aca="false">163/120</f>
        <v>1.35833333333333</v>
      </c>
      <c r="B209" s="21" t="n">
        <f aca="false">Risk_target+(Risk0-Risk_target)*EXP(-Risk_rate*A209)+Risk_hump*(A209/Risk_peak_t)*EXP(1-A209/Risk_peak_t)</f>
        <v>72.4388589418333</v>
      </c>
    </row>
    <row r="210" customFormat="false" ht="15" hidden="false" customHeight="false" outlineLevel="0" collapsed="false">
      <c r="A210" s="21" t="n">
        <f aca="false">164/120</f>
        <v>1.36666666666667</v>
      </c>
      <c r="B210" s="21" t="n">
        <f aca="false">Risk_target+(Risk0-Risk_target)*EXP(-Risk_rate*A210)+Risk_hump*(A210/Risk_peak_t)*EXP(1-A210/Risk_peak_t)</f>
        <v>72.4022346480075</v>
      </c>
    </row>
    <row r="211" customFormat="false" ht="15" hidden="false" customHeight="false" outlineLevel="0" collapsed="false">
      <c r="A211" s="21" t="n">
        <f aca="false">165/120</f>
        <v>1.375</v>
      </c>
      <c r="B211" s="21" t="n">
        <f aca="false">Risk_target+(Risk0-Risk_target)*EXP(-Risk_rate*A211)+Risk_hump*(A211/Risk_peak_t)*EXP(1-A211/Risk_peak_t)</f>
        <v>72.3651879710495</v>
      </c>
    </row>
    <row r="212" customFormat="false" ht="15" hidden="false" customHeight="false" outlineLevel="0" collapsed="false">
      <c r="A212" s="21" t="n">
        <f aca="false">166/120</f>
        <v>1.38333333333333</v>
      </c>
      <c r="B212" s="21" t="n">
        <f aca="false">Risk_target+(Risk0-Risk_target)*EXP(-Risk_rate*A212)+Risk_hump*(A212/Risk_peak_t)*EXP(1-A212/Risk_peak_t)</f>
        <v>72.3277261867686</v>
      </c>
    </row>
    <row r="213" customFormat="false" ht="15" hidden="false" customHeight="false" outlineLevel="0" collapsed="false">
      <c r="A213" s="21" t="n">
        <f aca="false">167/120</f>
        <v>1.39166666666667</v>
      </c>
      <c r="B213" s="21" t="n">
        <f aca="false">Risk_target+(Risk0-Risk_target)*EXP(-Risk_rate*A213)+Risk_hump*(A213/Risk_peak_t)*EXP(1-A213/Risk_peak_t)</f>
        <v>72.2898564915794</v>
      </c>
    </row>
    <row r="214" customFormat="false" ht="15" hidden="false" customHeight="false" outlineLevel="0" collapsed="false">
      <c r="A214" s="21" t="n">
        <f aca="false">168/120</f>
        <v>1.4</v>
      </c>
      <c r="B214" s="21" t="n">
        <f aca="false">Risk_target+(Risk0-Risk_target)*EXP(-Risk_rate*A214)+Risk_hump*(A214/Risk_peak_t)*EXP(1-A214/Risk_peak_t)</f>
        <v>72.251586003248</v>
      </c>
    </row>
    <row r="215" customFormat="false" ht="15" hidden="false" customHeight="false" outlineLevel="0" collapsed="false">
      <c r="A215" s="21" t="n">
        <f aca="false">169/120</f>
        <v>1.40833333333333</v>
      </c>
      <c r="B215" s="21" t="n">
        <f aca="false">Risk_target+(Risk0-Risk_target)*EXP(-Risk_rate*A215)+Risk_hump*(A215/Risk_peak_t)*EXP(1-A215/Risk_peak_t)</f>
        <v>72.2129217616328</v>
      </c>
    </row>
    <row r="216" customFormat="false" ht="15" hidden="false" customHeight="false" outlineLevel="0" collapsed="false">
      <c r="A216" s="21" t="n">
        <f aca="false">170/120</f>
        <v>1.41666666666667</v>
      </c>
      <c r="B216" s="21" t="n">
        <f aca="false">Risk_target+(Risk0-Risk_target)*EXP(-Risk_rate*A216)+Risk_hump*(A216/Risk_peak_t)*EXP(1-A216/Risk_peak_t)</f>
        <v>72.1738707294185</v>
      </c>
    </row>
    <row r="217" customFormat="false" ht="15" hidden="false" customHeight="false" outlineLevel="0" collapsed="false">
      <c r="A217" s="21" t="n">
        <f aca="false">171/120</f>
        <v>1.425</v>
      </c>
      <c r="B217" s="21" t="n">
        <f aca="false">Risk_target+(Risk0-Risk_target)*EXP(-Risk_rate*A217)+Risk_hump*(A217/Risk_peak_t)*EXP(1-A217/Risk_peak_t)</f>
        <v>72.1344397928431</v>
      </c>
    </row>
    <row r="218" customFormat="false" ht="15" hidden="false" customHeight="false" outlineLevel="0" collapsed="false">
      <c r="A218" s="21" t="n">
        <f aca="false">172/120</f>
        <v>1.43333333333333</v>
      </c>
      <c r="B218" s="21" t="n">
        <f aca="false">Risk_target+(Risk0-Risk_target)*EXP(-Risk_rate*A218)+Risk_hump*(A218/Risk_peak_t)*EXP(1-A218/Risk_peak_t)</f>
        <v>72.0946357624192</v>
      </c>
    </row>
    <row r="219" customFormat="false" ht="15" hidden="false" customHeight="false" outlineLevel="0" collapsed="false">
      <c r="A219" s="21" t="n">
        <f aca="false">173/120</f>
        <v>1.44166666666667</v>
      </c>
      <c r="B219" s="21" t="n">
        <f aca="false">Risk_target+(Risk0-Risk_target)*EXP(-Risk_rate*A219)+Risk_hump*(A219/Risk_peak_t)*EXP(1-A219/Risk_peak_t)</f>
        <v>72.0544653736489</v>
      </c>
    </row>
    <row r="220" customFormat="false" ht="15" hidden="false" customHeight="false" outlineLevel="0" collapsed="false">
      <c r="A220" s="21" t="n">
        <f aca="false">174/120</f>
        <v>1.45</v>
      </c>
      <c r="B220" s="21" t="n">
        <f aca="false">Risk_target+(Risk0-Risk_target)*EXP(-Risk_rate*A220)+Risk_hump*(A220/Risk_peak_t)*EXP(1-A220/Risk_peak_t)</f>
        <v>72.0139352877318</v>
      </c>
    </row>
    <row r="221" customFormat="false" ht="15" hidden="false" customHeight="false" outlineLevel="0" collapsed="false">
      <c r="A221" s="21" t="n">
        <f aca="false">175/120</f>
        <v>1.45833333333333</v>
      </c>
      <c r="B221" s="21" t="n">
        <f aca="false">Risk_target+(Risk0-Risk_target)*EXP(-Risk_rate*A221)+Risk_hump*(A221/Risk_peak_t)*EXP(1-A221/Risk_peak_t)</f>
        <v>71.9730520922682</v>
      </c>
    </row>
    <row r="222" customFormat="false" ht="15" hidden="false" customHeight="false" outlineLevel="0" collapsed="false">
      <c r="A222" s="21" t="n">
        <f aca="false">176/120</f>
        <v>1.46666666666667</v>
      </c>
      <c r="B222" s="21" t="n">
        <f aca="false">Risk_target+(Risk0-Risk_target)*EXP(-Risk_rate*A222)+Risk_hump*(A222/Risk_peak_t)*EXP(1-A222/Risk_peak_t)</f>
        <v>71.9318223019543</v>
      </c>
    </row>
    <row r="223" customFormat="false" ht="15" hidden="false" customHeight="false" outlineLevel="0" collapsed="false">
      <c r="A223" s="21" t="n">
        <f aca="false">177/120</f>
        <v>1.475</v>
      </c>
      <c r="B223" s="21" t="n">
        <f aca="false">Risk_target+(Risk0-Risk_target)*EXP(-Risk_rate*A223)+Risk_hump*(A223/Risk_peak_t)*EXP(1-A223/Risk_peak_t)</f>
        <v>71.8902523592731</v>
      </c>
    </row>
    <row r="224" customFormat="false" ht="15" hidden="false" customHeight="false" outlineLevel="0" collapsed="false">
      <c r="A224" s="21" t="n">
        <f aca="false">178/120</f>
        <v>1.48333333333333</v>
      </c>
      <c r="B224" s="21" t="n">
        <f aca="false">Risk_target+(Risk0-Risk_target)*EXP(-Risk_rate*A224)+Risk_hump*(A224/Risk_peak_t)*EXP(1-A224/Risk_peak_t)</f>
        <v>71.8483486351777</v>
      </c>
    </row>
    <row r="225" customFormat="false" ht="15" hidden="false" customHeight="false" outlineLevel="0" collapsed="false">
      <c r="A225" s="21" t="n">
        <f aca="false">179/120</f>
        <v>1.49166666666667</v>
      </c>
      <c r="B225" s="21" t="n">
        <f aca="false">Risk_target+(Risk0-Risk_target)*EXP(-Risk_rate*A225)+Risk_hump*(A225/Risk_peak_t)*EXP(1-A225/Risk_peak_t)</f>
        <v>71.8061174297699</v>
      </c>
    </row>
    <row r="226" customFormat="false" ht="15" hidden="false" customHeight="false" outlineLevel="0" collapsed="false">
      <c r="A226" s="21" t="n">
        <f aca="false">180/120</f>
        <v>1.5</v>
      </c>
      <c r="B226" s="21" t="n">
        <f aca="false">Risk_target+(Risk0-Risk_target)*EXP(-Risk_rate*A226)+Risk_hump*(A226/Risk_peak_t)*EXP(1-A226/Risk_peak_t)</f>
        <v>71.7635649729719</v>
      </c>
    </row>
    <row r="227" customFormat="false" ht="15" hidden="false" customHeight="false" outlineLevel="0" collapsed="false">
      <c r="A227" s="21" t="n">
        <f aca="false">181/120</f>
        <v>1.50833333333333</v>
      </c>
      <c r="B227" s="21" t="n">
        <f aca="false">Risk_target+(Risk0-Risk_target)*EXP(-Risk_rate*A227)+Risk_hump*(A227/Risk_peak_t)*EXP(1-A227/Risk_peak_t)</f>
        <v>71.7206974251928</v>
      </c>
    </row>
    <row r="228" customFormat="false" ht="15" hidden="false" customHeight="false" outlineLevel="0" collapsed="false">
      <c r="A228" s="21" t="n">
        <f aca="false">182/120</f>
        <v>1.51666666666667</v>
      </c>
      <c r="B228" s="21" t="n">
        <f aca="false">Risk_target+(Risk0-Risk_target)*EXP(-Risk_rate*A228)+Risk_hump*(A228/Risk_peak_t)*EXP(1-A228/Risk_peak_t)</f>
        <v>71.6775208779884</v>
      </c>
    </row>
    <row r="229" customFormat="false" ht="15" hidden="false" customHeight="false" outlineLevel="0" collapsed="false">
      <c r="A229" s="21" t="n">
        <f aca="false">183/120</f>
        <v>1.525</v>
      </c>
      <c r="B229" s="21" t="n">
        <f aca="false">Risk_target+(Risk0-Risk_target)*EXP(-Risk_rate*A229)+Risk_hump*(A229/Risk_peak_t)*EXP(1-A229/Risk_peak_t)</f>
        <v>71.6340413547163</v>
      </c>
    </row>
    <row r="230" customFormat="false" ht="15" hidden="false" customHeight="false" outlineLevel="0" collapsed="false">
      <c r="A230" s="21" t="n">
        <f aca="false">184/120</f>
        <v>1.53333333333333</v>
      </c>
      <c r="B230" s="21" t="n">
        <f aca="false">Risk_target+(Risk0-Risk_target)*EXP(-Risk_rate*A230)+Risk_hump*(A230/Risk_peak_t)*EXP(1-A230/Risk_peak_t)</f>
        <v>71.5902648111845</v>
      </c>
    </row>
    <row r="231" customFormat="false" ht="15" hidden="false" customHeight="false" outlineLevel="0" collapsed="false">
      <c r="A231" s="21" t="n">
        <f aca="false">185/120</f>
        <v>1.54166666666667</v>
      </c>
      <c r="B231" s="21" t="n">
        <f aca="false">Risk_target+(Risk0-Risk_target)*EXP(-Risk_rate*A231)+Risk_hump*(A231/Risk_peak_t)*EXP(1-A231/Risk_peak_t)</f>
        <v>71.5461971362943</v>
      </c>
    </row>
    <row r="232" customFormat="false" ht="15" hidden="false" customHeight="false" outlineLevel="0" collapsed="false">
      <c r="A232" s="21" t="n">
        <f aca="false">186/120</f>
        <v>1.55</v>
      </c>
      <c r="B232" s="21" t="n">
        <f aca="false">Risk_target+(Risk0-Risk_target)*EXP(-Risk_rate*A232)+Risk_hump*(A232/Risk_peak_t)*EXP(1-A232/Risk_peak_t)</f>
        <v>71.5018441526778</v>
      </c>
    </row>
    <row r="233" customFormat="false" ht="15" hidden="false" customHeight="false" outlineLevel="0" collapsed="false">
      <c r="A233" s="21" t="n">
        <f aca="false">187/120</f>
        <v>1.55833333333333</v>
      </c>
      <c r="B233" s="21" t="n">
        <f aca="false">Risk_target+(Risk0-Risk_target)*EXP(-Risk_rate*A233)+Risk_hump*(A233/Risk_peak_t)*EXP(1-A233/Risk_peak_t)</f>
        <v>71.4572116173298</v>
      </c>
    </row>
    <row r="234" customFormat="false" ht="15" hidden="false" customHeight="false" outlineLevel="0" collapsed="false">
      <c r="A234" s="21" t="n">
        <f aca="false">188/120</f>
        <v>1.56666666666667</v>
      </c>
      <c r="B234" s="21" t="n">
        <f aca="false">Risk_target+(Risk0-Risk_target)*EXP(-Risk_rate*A234)+Risk_hump*(A234/Risk_peak_t)*EXP(1-A234/Risk_peak_t)</f>
        <v>71.4123052222342</v>
      </c>
    </row>
    <row r="235" customFormat="false" ht="15" hidden="false" customHeight="false" outlineLevel="0" collapsed="false">
      <c r="A235" s="21" t="n">
        <f aca="false">189/120</f>
        <v>1.575</v>
      </c>
      <c r="B235" s="21" t="n">
        <f aca="false">Risk_target+(Risk0-Risk_target)*EXP(-Risk_rate*A235)+Risk_hump*(A235/Risk_peak_t)*EXP(1-A235/Risk_peak_t)</f>
        <v>71.3671305949842</v>
      </c>
    </row>
    <row r="236" customFormat="false" ht="15" hidden="false" customHeight="false" outlineLevel="0" collapsed="false">
      <c r="A236" s="21" t="n">
        <f aca="false">190/120</f>
        <v>1.58333333333333</v>
      </c>
      <c r="B236" s="21" t="n">
        <f aca="false">Risk_target+(Risk0-Risk_target)*EXP(-Risk_rate*A236)+Risk_hump*(A236/Risk_peak_t)*EXP(1-A236/Risk_peak_t)</f>
        <v>71.3216932993983</v>
      </c>
    </row>
    <row r="237" customFormat="false" ht="15" hidden="false" customHeight="false" outlineLevel="0" collapsed="false">
      <c r="A237" s="21" t="n">
        <f aca="false">191/120</f>
        <v>1.59166666666667</v>
      </c>
      <c r="B237" s="21" t="n">
        <f aca="false">Risk_target+(Risk0-Risk_target)*EXP(-Risk_rate*A237)+Risk_hump*(A237/Risk_peak_t)*EXP(1-A237/Risk_peak_t)</f>
        <v>71.2759988361296</v>
      </c>
    </row>
    <row r="238" customFormat="false" ht="15" hidden="false" customHeight="false" outlineLevel="0" collapsed="false">
      <c r="A238" s="21" t="n">
        <f aca="false">192/120</f>
        <v>1.6</v>
      </c>
      <c r="B238" s="21" t="n">
        <f aca="false">Risk_target+(Risk0-Risk_target)*EXP(-Risk_rate*A238)+Risk_hump*(A238/Risk_peak_t)*EXP(1-A238/Risk_peak_t)</f>
        <v>71.2300526432704</v>
      </c>
    </row>
    <row r="239" customFormat="false" ht="15" hidden="false" customHeight="false" outlineLevel="0" collapsed="false">
      <c r="A239" s="21" t="n">
        <f aca="false">193/120</f>
        <v>1.60833333333333</v>
      </c>
      <c r="B239" s="21" t="n">
        <f aca="false">Risk_target+(Risk0-Risk_target)*EXP(-Risk_rate*A239)+Risk_hump*(A239/Risk_peak_t)*EXP(1-A239/Risk_peak_t)</f>
        <v>71.1838600969515</v>
      </c>
    </row>
    <row r="240" customFormat="false" ht="15" hidden="false" customHeight="false" outlineLevel="0" collapsed="false">
      <c r="A240" s="21" t="n">
        <f aca="false">194/120</f>
        <v>1.61666666666667</v>
      </c>
      <c r="B240" s="21" t="n">
        <f aca="false">Risk_target+(Risk0-Risk_target)*EXP(-Risk_rate*A240)+Risk_hump*(A240/Risk_peak_t)*EXP(1-A240/Risk_peak_t)</f>
        <v>71.1374265119362</v>
      </c>
    </row>
    <row r="241" customFormat="false" ht="15" hidden="false" customHeight="false" outlineLevel="0" collapsed="false">
      <c r="A241" s="21" t="n">
        <f aca="false">195/120</f>
        <v>1.625</v>
      </c>
      <c r="B241" s="21" t="n">
        <f aca="false">Risk_target+(Risk0-Risk_target)*EXP(-Risk_rate*A241)+Risk_hump*(A241/Risk_peak_t)*EXP(1-A241/Risk_peak_t)</f>
        <v>71.0907571422082</v>
      </c>
    </row>
    <row r="242" customFormat="false" ht="15" hidden="false" customHeight="false" outlineLevel="0" collapsed="false">
      <c r="A242" s="21" t="n">
        <f aca="false">196/120</f>
        <v>1.63333333333333</v>
      </c>
      <c r="B242" s="21" t="n">
        <f aca="false">Risk_target+(Risk0-Risk_target)*EXP(-Risk_rate*A242)+Risk_hump*(A242/Risk_peak_t)*EXP(1-A242/Risk_peak_t)</f>
        <v>71.043857181556</v>
      </c>
    </row>
    <row r="243" customFormat="false" ht="15" hidden="false" customHeight="false" outlineLevel="0" collapsed="false">
      <c r="A243" s="21" t="n">
        <f aca="false">197/120</f>
        <v>1.64166666666667</v>
      </c>
      <c r="B243" s="21" t="n">
        <f aca="false">Risk_target+(Risk0-Risk_target)*EXP(-Risk_rate*A243)+Risk_hump*(A243/Risk_peak_t)*EXP(1-A243/Risk_peak_t)</f>
        <v>70.9967317641505</v>
      </c>
    </row>
    <row r="244" customFormat="false" ht="15" hidden="false" customHeight="false" outlineLevel="0" collapsed="false">
      <c r="A244" s="21" t="n">
        <f aca="false">198/120</f>
        <v>1.65</v>
      </c>
      <c r="B244" s="21" t="n">
        <f aca="false">Risk_target+(Risk0-Risk_target)*EXP(-Risk_rate*A244)+Risk_hump*(A244/Risk_peak_t)*EXP(1-A244/Risk_peak_t)</f>
        <v>70.9493859651183</v>
      </c>
    </row>
    <row r="245" customFormat="false" ht="15" hidden="false" customHeight="false" outlineLevel="0" collapsed="false">
      <c r="A245" s="21" t="n">
        <f aca="false">199/120</f>
        <v>1.65833333333333</v>
      </c>
      <c r="B245" s="21" t="n">
        <f aca="false">Risk_target+(Risk0-Risk_target)*EXP(-Risk_rate*A245)+Risk_hump*(A245/Risk_peak_t)*EXP(1-A245/Risk_peak_t)</f>
        <v>70.90182480111</v>
      </c>
    </row>
    <row r="246" customFormat="false" ht="15" hidden="false" customHeight="false" outlineLevel="0" collapsed="false">
      <c r="A246" s="21" t="n">
        <f aca="false">200/120</f>
        <v>1.66666666666667</v>
      </c>
      <c r="B246" s="21" t="n">
        <f aca="false">Risk_target+(Risk0-Risk_target)*EXP(-Risk_rate*A246)+Risk_hump*(A246/Risk_peak_t)*EXP(1-A246/Risk_peak_t)</f>
        <v>70.854053230863</v>
      </c>
    </row>
    <row r="247" customFormat="false" ht="15" hidden="false" customHeight="false" outlineLevel="0" collapsed="false">
      <c r="A247" s="21" t="n">
        <f aca="false">201/120</f>
        <v>1.675</v>
      </c>
      <c r="B247" s="21" t="n">
        <f aca="false">Risk_target+(Risk0-Risk_target)*EXP(-Risk_rate*A247)+Risk_hump*(A247/Risk_peak_t)*EXP(1-A247/Risk_peak_t)</f>
        <v>70.8060761557598</v>
      </c>
    </row>
    <row r="248" customFormat="false" ht="15" hidden="false" customHeight="false" outlineLevel="0" collapsed="false">
      <c r="A248" s="21" t="n">
        <f aca="false">202/120</f>
        <v>1.68333333333333</v>
      </c>
      <c r="B248" s="21" t="n">
        <f aca="false">Risk_target+(Risk0-Risk_target)*EXP(-Risk_rate*A248)+Risk_hump*(A248/Risk_peak_t)*EXP(1-A248/Risk_peak_t)</f>
        <v>70.7578984203811</v>
      </c>
    </row>
    <row r="249" customFormat="false" ht="15" hidden="false" customHeight="false" outlineLevel="0" collapsed="false">
      <c r="A249" s="21" t="n">
        <f aca="false">203/120</f>
        <v>1.69166666666667</v>
      </c>
      <c r="B249" s="21" t="n">
        <f aca="false">Risk_target+(Risk0-Risk_target)*EXP(-Risk_rate*A249)+Risk_hump*(A249/Risk_peak_t)*EXP(1-A249/Risk_peak_t)</f>
        <v>70.7095248130538</v>
      </c>
    </row>
    <row r="250" customFormat="false" ht="15" hidden="false" customHeight="false" outlineLevel="0" collapsed="false">
      <c r="A250" s="21" t="n">
        <f aca="false">204/120</f>
        <v>1.7</v>
      </c>
      <c r="B250" s="21" t="n">
        <f aca="false">Risk_target+(Risk0-Risk_target)*EXP(-Risk_rate*A250)+Risk_hump*(A250/Risk_peak_t)*EXP(1-A250/Risk_peak_t)</f>
        <v>70.6609600663948</v>
      </c>
    </row>
    <row r="251" customFormat="false" ht="15" hidden="false" customHeight="false" outlineLevel="0" collapsed="false">
      <c r="A251" s="21" t="n">
        <f aca="false">205/120</f>
        <v>1.70833333333333</v>
      </c>
      <c r="B251" s="21" t="n">
        <f aca="false">Risk_target+(Risk0-Risk_target)*EXP(-Risk_rate*A251)+Risk_hump*(A251/Risk_peak_t)*EXP(1-A251/Risk_peak_t)</f>
        <v>70.6122088578494</v>
      </c>
    </row>
    <row r="252" customFormat="false" ht="15" hidden="false" customHeight="false" outlineLevel="0" collapsed="false">
      <c r="A252" s="21" t="n">
        <f aca="false">206/120</f>
        <v>1.71666666666667</v>
      </c>
      <c r="B252" s="21" t="n">
        <f aca="false">Risk_target+(Risk0-Risk_target)*EXP(-Risk_rate*A252)+Risk_hump*(A252/Risk_peak_t)*EXP(1-A252/Risk_peak_t)</f>
        <v>70.5632758102249</v>
      </c>
    </row>
    <row r="253" customFormat="false" ht="15" hidden="false" customHeight="false" outlineLevel="0" collapsed="false">
      <c r="A253" s="21" t="n">
        <f aca="false">207/120</f>
        <v>1.725</v>
      </c>
      <c r="B253" s="21" t="n">
        <f aca="false">Risk_target+(Risk0-Risk_target)*EXP(-Risk_rate*A253)+Risk_hump*(A253/Risk_peak_t)*EXP(1-A253/Risk_peak_t)</f>
        <v>70.51416549222</v>
      </c>
    </row>
    <row r="254" customFormat="false" ht="15" hidden="false" customHeight="false" outlineLevel="0" collapsed="false">
      <c r="A254" s="21" t="n">
        <f aca="false">208/120</f>
        <v>1.73333333333333</v>
      </c>
      <c r="B254" s="21" t="n">
        <f aca="false">Risk_target+(Risk0-Risk_target)*EXP(-Risk_rate*A254)+Risk_hump*(A254/Risk_peak_t)*EXP(1-A254/Risk_peak_t)</f>
        <v>70.4648824189491</v>
      </c>
    </row>
    <row r="255" customFormat="false" ht="15" hidden="false" customHeight="false" outlineLevel="0" collapsed="false">
      <c r="A255" s="21" t="n">
        <f aca="false">209/120</f>
        <v>1.74166666666667</v>
      </c>
      <c r="B255" s="21" t="n">
        <f aca="false">Risk_target+(Risk0-Risk_target)*EXP(-Risk_rate*A255)+Risk_hump*(A255/Risk_peak_t)*EXP(1-A255/Risk_peak_t)</f>
        <v>70.4154310524616</v>
      </c>
    </row>
    <row r="256" customFormat="false" ht="15" hidden="false" customHeight="false" outlineLevel="0" collapsed="false">
      <c r="A256" s="21" t="n">
        <f aca="false">210/120</f>
        <v>1.75</v>
      </c>
      <c r="B256" s="21" t="n">
        <f aca="false">Risk_target+(Risk0-Risk_target)*EXP(-Risk_rate*A256)+Risk_hump*(A256/Risk_peak_t)*EXP(1-A256/Risk_peak_t)</f>
        <v>70.3658158022576</v>
      </c>
    </row>
    <row r="257" customFormat="false" ht="15" hidden="false" customHeight="false" outlineLevel="0" collapsed="false">
      <c r="A257" s="21" t="n">
        <f aca="false">211/120</f>
        <v>1.75833333333333</v>
      </c>
      <c r="B257" s="21" t="n">
        <f aca="false">Risk_target+(Risk0-Risk_target)*EXP(-Risk_rate*A257)+Risk_hump*(A257/Risk_peak_t)*EXP(1-A257/Risk_peak_t)</f>
        <v>70.3160410257981</v>
      </c>
    </row>
    <row r="258" customFormat="false" ht="15" hidden="false" customHeight="false" outlineLevel="0" collapsed="false">
      <c r="A258" s="21" t="n">
        <f aca="false">212/120</f>
        <v>1.76666666666667</v>
      </c>
      <c r="B258" s="21" t="n">
        <f aca="false">Risk_target+(Risk0-Risk_target)*EXP(-Risk_rate*A258)+Risk_hump*(A258/Risk_peak_t)*EXP(1-A258/Risk_peak_t)</f>
        <v>70.266111029011</v>
      </c>
    </row>
    <row r="259" customFormat="false" ht="15" hidden="false" customHeight="false" outlineLevel="0" collapsed="false">
      <c r="A259" s="21" t="n">
        <f aca="false">213/120</f>
        <v>1.775</v>
      </c>
      <c r="B259" s="21" t="n">
        <f aca="false">Risk_target+(Risk0-Risk_target)*EXP(-Risk_rate*A259)+Risk_hump*(A259/Risk_peak_t)*EXP(1-A259/Risk_peak_t)</f>
        <v>70.2160300667925</v>
      </c>
    </row>
    <row r="260" customFormat="false" ht="15" hidden="false" customHeight="false" outlineLevel="0" collapsed="false">
      <c r="A260" s="21" t="n">
        <f aca="false">214/120</f>
        <v>1.78333333333333</v>
      </c>
      <c r="B260" s="21" t="n">
        <f aca="false">Risk_target+(Risk0-Risk_target)*EXP(-Risk_rate*A260)+Risk_hump*(A260/Risk_peak_t)*EXP(1-A260/Risk_peak_t)</f>
        <v>70.1658023435045</v>
      </c>
    </row>
    <row r="261" customFormat="false" ht="15" hidden="false" customHeight="false" outlineLevel="0" collapsed="false">
      <c r="A261" s="21" t="n">
        <f aca="false">215/120</f>
        <v>1.79166666666667</v>
      </c>
      <c r="B261" s="21" t="n">
        <f aca="false">Risk_target+(Risk0-Risk_target)*EXP(-Risk_rate*A261)+Risk_hump*(A261/Risk_peak_t)*EXP(1-A261/Risk_peak_t)</f>
        <v>70.1154320134666</v>
      </c>
    </row>
    <row r="262" customFormat="false" ht="15" hidden="false" customHeight="false" outlineLevel="0" collapsed="false">
      <c r="A262" s="21" t="n">
        <f aca="false">216/120</f>
        <v>1.8</v>
      </c>
      <c r="B262" s="21" t="n">
        <f aca="false">Risk_target+(Risk0-Risk_target)*EXP(-Risk_rate*A262)+Risk_hump*(A262/Risk_peak_t)*EXP(1-A262/Risk_peak_t)</f>
        <v>70.0649231814449</v>
      </c>
    </row>
    <row r="263" customFormat="false" ht="15" hidden="false" customHeight="false" outlineLevel="0" collapsed="false">
      <c r="A263" s="21" t="n">
        <f aca="false">217/120</f>
        <v>1.80833333333333</v>
      </c>
      <c r="B263" s="21" t="n">
        <f aca="false">Risk_target+(Risk0-Risk_target)*EXP(-Risk_rate*A263)+Risk_hump*(A263/Risk_peak_t)*EXP(1-A263/Risk_peak_t)</f>
        <v>70.0142799031354</v>
      </c>
    </row>
    <row r="264" customFormat="false" ht="15" hidden="false" customHeight="false" outlineLevel="0" collapsed="false">
      <c r="A264" s="21" t="n">
        <f aca="false">218/120</f>
        <v>1.81666666666667</v>
      </c>
      <c r="B264" s="21" t="n">
        <f aca="false">Risk_target+(Risk0-Risk_target)*EXP(-Risk_rate*A264)+Risk_hump*(A264/Risk_peak_t)*EXP(1-A264/Risk_peak_t)</f>
        <v>69.9635061856437</v>
      </c>
    </row>
    <row r="265" customFormat="false" ht="15" hidden="false" customHeight="false" outlineLevel="0" collapsed="false">
      <c r="A265" s="21" t="n">
        <f aca="false">219/120</f>
        <v>1.825</v>
      </c>
      <c r="B265" s="21" t="n">
        <f aca="false">Risk_target+(Risk0-Risk_target)*EXP(-Risk_rate*A265)+Risk_hump*(A265/Risk_peak_t)*EXP(1-A265/Risk_peak_t)</f>
        <v>69.9126059879605</v>
      </c>
    </row>
    <row r="266" customFormat="false" ht="15" hidden="false" customHeight="false" outlineLevel="0" collapsed="false">
      <c r="A266" s="21" t="n">
        <f aca="false">220/120</f>
        <v>1.83333333333333</v>
      </c>
      <c r="B266" s="21" t="n">
        <f aca="false">Risk_target+(Risk0-Risk_target)*EXP(-Risk_rate*A266)+Risk_hump*(A266/Risk_peak_t)*EXP(1-A266/Risk_peak_t)</f>
        <v>69.861583221432</v>
      </c>
    </row>
    <row r="267" customFormat="false" ht="15" hidden="false" customHeight="false" outlineLevel="0" collapsed="false">
      <c r="A267" s="21" t="n">
        <f aca="false">221/120</f>
        <v>1.84166666666667</v>
      </c>
      <c r="B267" s="21" t="n">
        <f aca="false">Risk_target+(Risk0-Risk_target)*EXP(-Risk_rate*A267)+Risk_hump*(A267/Risk_peak_t)*EXP(1-A267/Risk_peak_t)</f>
        <v>69.8104417502276</v>
      </c>
    </row>
    <row r="268" customFormat="false" ht="15" hidden="false" customHeight="false" outlineLevel="0" collapsed="false">
      <c r="A268" s="21" t="n">
        <f aca="false">222/120</f>
        <v>1.85</v>
      </c>
      <c r="B268" s="21" t="n">
        <f aca="false">Risk_target+(Risk0-Risk_target)*EXP(-Risk_rate*A268)+Risk_hump*(A268/Risk_peak_t)*EXP(1-A268/Risk_peak_t)</f>
        <v>69.7591853918018</v>
      </c>
    </row>
    <row r="269" customFormat="false" ht="15" hidden="false" customHeight="false" outlineLevel="0" collapsed="false">
      <c r="A269" s="21" t="n">
        <f aca="false">223/120</f>
        <v>1.85833333333333</v>
      </c>
      <c r="B269" s="21" t="n">
        <f aca="false">Risk_target+(Risk0-Risk_target)*EXP(-Risk_rate*A269)+Risk_hump*(A269/Risk_peak_t)*EXP(1-A269/Risk_peak_t)</f>
        <v>69.707817917353</v>
      </c>
    </row>
    <row r="270" customFormat="false" ht="15" hidden="false" customHeight="false" outlineLevel="0" collapsed="false">
      <c r="A270" s="21" t="n">
        <f aca="false">224/120</f>
        <v>1.86666666666667</v>
      </c>
      <c r="B270" s="21" t="n">
        <f aca="false">Risk_target+(Risk0-Risk_target)*EXP(-Risk_rate*A270)+Risk_hump*(A270/Risk_peak_t)*EXP(1-A270/Risk_peak_t)</f>
        <v>69.656343052278</v>
      </c>
    </row>
    <row r="271" customFormat="false" ht="15" hidden="false" customHeight="false" outlineLevel="0" collapsed="false">
      <c r="A271" s="21" t="n">
        <f aca="false">225/120</f>
        <v>1.875</v>
      </c>
      <c r="B271" s="21" t="n">
        <f aca="false">Risk_target+(Risk0-Risk_target)*EXP(-Risk_rate*A271)+Risk_hump*(A271/Risk_peak_t)*EXP(1-A271/Risk_peak_t)</f>
        <v>69.6047644766221</v>
      </c>
    </row>
    <row r="272" customFormat="false" ht="15" hidden="false" customHeight="false" outlineLevel="0" collapsed="false">
      <c r="A272" s="21" t="n">
        <f aca="false">226/120</f>
        <v>1.88333333333333</v>
      </c>
      <c r="B272" s="21" t="n">
        <f aca="false">Risk_target+(Risk0-Risk_target)*EXP(-Risk_rate*A272)+Risk_hump*(A272/Risk_peak_t)*EXP(1-A272/Risk_peak_t)</f>
        <v>69.5530858255258</v>
      </c>
    </row>
    <row r="273" customFormat="false" ht="15" hidden="false" customHeight="false" outlineLevel="0" collapsed="false">
      <c r="A273" s="21" t="n">
        <f aca="false">227/120</f>
        <v>1.89166666666667</v>
      </c>
      <c r="B273" s="21" t="n">
        <f aca="false">Risk_target+(Risk0-Risk_target)*EXP(-Risk_rate*A273)+Risk_hump*(A273/Risk_peak_t)*EXP(1-A273/Risk_peak_t)</f>
        <v>69.5013106896667</v>
      </c>
    </row>
    <row r="274" customFormat="false" ht="15" hidden="false" customHeight="false" outlineLevel="0" collapsed="false">
      <c r="A274" s="21" t="n">
        <f aca="false">228/120</f>
        <v>1.9</v>
      </c>
      <c r="B274" s="21" t="n">
        <f aca="false">Risk_target+(Risk0-Risk_target)*EXP(-Risk_rate*A274)+Risk_hump*(A274/Risk_peak_t)*EXP(1-A274/Risk_peak_t)</f>
        <v>69.4494426156982</v>
      </c>
    </row>
    <row r="275" customFormat="false" ht="15" hidden="false" customHeight="false" outlineLevel="0" collapsed="false">
      <c r="A275" s="21" t="n">
        <f aca="false">229/120</f>
        <v>1.90833333333333</v>
      </c>
      <c r="B275" s="21" t="n">
        <f aca="false">Risk_target+(Risk0-Risk_target)*EXP(-Risk_rate*A275)+Risk_hump*(A275/Risk_peak_t)*EXP(1-A275/Risk_peak_t)</f>
        <v>69.3974851066837</v>
      </c>
    </row>
    <row r="276" customFormat="false" ht="15" hidden="false" customHeight="false" outlineLevel="0" collapsed="false">
      <c r="A276" s="21" t="n">
        <f aca="false">230/120</f>
        <v>1.91666666666667</v>
      </c>
      <c r="B276" s="21" t="n">
        <f aca="false">Risk_target+(Risk0-Risk_target)*EXP(-Risk_rate*A276)+Risk_hump*(A276/Risk_peak_t)*EXP(1-A276/Risk_peak_t)</f>
        <v>69.3454416225273</v>
      </c>
    </row>
    <row r="277" customFormat="false" ht="15" hidden="false" customHeight="false" outlineLevel="0" collapsed="false">
      <c r="A277" s="21" t="n">
        <f aca="false">231/120</f>
        <v>1.925</v>
      </c>
      <c r="B277" s="21" t="n">
        <f aca="false">Risk_target+(Risk0-Risk_target)*EXP(-Risk_rate*A277)+Risk_hump*(A277/Risk_peak_t)*EXP(1-A277/Risk_peak_t)</f>
        <v>69.2933155804005</v>
      </c>
    </row>
    <row r="278" customFormat="false" ht="15" hidden="false" customHeight="false" outlineLevel="0" collapsed="false">
      <c r="A278" s="21" t="n">
        <f aca="false">232/120</f>
        <v>1.93333333333333</v>
      </c>
      <c r="B278" s="21" t="n">
        <f aca="false">Risk_target+(Risk0-Risk_target)*EXP(-Risk_rate*A278)+Risk_hump*(A278/Risk_peak_t)*EXP(1-A278/Risk_peak_t)</f>
        <v>69.2411103551649</v>
      </c>
    </row>
    <row r="279" customFormat="false" ht="15" hidden="false" customHeight="false" outlineLevel="0" collapsed="false">
      <c r="A279" s="21" t="n">
        <f aca="false">233/120</f>
        <v>1.94166666666667</v>
      </c>
      <c r="B279" s="21" t="n">
        <f aca="false">Risk_target+(Risk0-Risk_target)*EXP(-Risk_rate*A279)+Risk_hump*(A279/Risk_peak_t)*EXP(1-A279/Risk_peak_t)</f>
        <v>69.1888292797912</v>
      </c>
    </row>
    <row r="280" customFormat="false" ht="15" hidden="false" customHeight="false" outlineLevel="0" collapsed="false">
      <c r="A280" s="21" t="n">
        <f aca="false">234/120</f>
        <v>1.95</v>
      </c>
      <c r="B280" s="21" t="n">
        <f aca="false">Risk_target+(Risk0-Risk_target)*EXP(-Risk_rate*A280)+Risk_hump*(A280/Risk_peak_t)*EXP(1-A280/Risk_peak_t)</f>
        <v>69.1364756457749</v>
      </c>
    </row>
    <row r="281" customFormat="false" ht="15" hidden="false" customHeight="false" outlineLevel="0" collapsed="false">
      <c r="A281" s="21" t="n">
        <f aca="false">235/120</f>
        <v>1.95833333333333</v>
      </c>
      <c r="B281" s="21" t="n">
        <f aca="false">Risk_target+(Risk0-Risk_target)*EXP(-Risk_rate*A281)+Risk_hump*(A281/Risk_peak_t)*EXP(1-A281/Risk_peak_t)</f>
        <v>69.0840527035474</v>
      </c>
    </row>
    <row r="282" customFormat="false" ht="15" hidden="false" customHeight="false" outlineLevel="0" collapsed="false">
      <c r="A282" s="21" t="n">
        <f aca="false">236/120</f>
        <v>1.96666666666667</v>
      </c>
      <c r="B282" s="21" t="n">
        <f aca="false">Risk_target+(Risk0-Risk_target)*EXP(-Risk_rate*A282)+Risk_hump*(A282/Risk_peak_t)*EXP(1-A282/Risk_peak_t)</f>
        <v>69.0315636628841</v>
      </c>
    </row>
    <row r="283" customFormat="false" ht="15" hidden="false" customHeight="false" outlineLevel="0" collapsed="false">
      <c r="A283" s="21" t="n">
        <f aca="false">237/120</f>
        <v>1.975</v>
      </c>
      <c r="B283" s="21" t="n">
        <f aca="false">Risk_target+(Risk0-Risk_target)*EXP(-Risk_rate*A283)+Risk_hump*(A283/Risk_peak_t)*EXP(1-A283/Risk_peak_t)</f>
        <v>68.9790116933085</v>
      </c>
    </row>
    <row r="284" customFormat="false" ht="15" hidden="false" customHeight="false" outlineLevel="0" collapsed="false">
      <c r="A284" s="21" t="n">
        <f aca="false">238/120</f>
        <v>1.98333333333333</v>
      </c>
      <c r="B284" s="21" t="n">
        <f aca="false">Risk_target+(Risk0-Risk_target)*EXP(-Risk_rate*A284)+Risk_hump*(A284/Risk_peak_t)*EXP(1-A284/Risk_peak_t)</f>
        <v>68.9263999244927</v>
      </c>
    </row>
    <row r="285" customFormat="false" ht="15" hidden="false" customHeight="false" outlineLevel="0" collapsed="false">
      <c r="A285" s="21" t="n">
        <f aca="false">239/120</f>
        <v>1.99166666666667</v>
      </c>
      <c r="B285" s="21" t="n">
        <f aca="false">Risk_target+(Risk0-Risk_target)*EXP(-Risk_rate*A285)+Risk_hump*(A285/Risk_peak_t)*EXP(1-A285/Risk_peak_t)</f>
        <v>68.8737314466546</v>
      </c>
    </row>
    <row r="286" customFormat="false" ht="15" hidden="false" customHeight="false" outlineLevel="0" collapsed="false">
      <c r="A286" s="21" t="n">
        <f aca="false">240/120</f>
        <v>2</v>
      </c>
      <c r="B286" s="21" t="n">
        <f aca="false">Risk_target+(Risk0-Risk_target)*EXP(-Risk_rate*A286)+Risk_hump*(A286/Risk_peak_t)*EXP(1-A286/Risk_peak_t)</f>
        <v>68.821009310951</v>
      </c>
    </row>
    <row r="287" customFormat="false" ht="15" hidden="false" customHeight="false" outlineLevel="0" collapsed="false">
      <c r="A287" s="21" t="n">
        <f aca="false">241/120</f>
        <v>2.00833333333333</v>
      </c>
      <c r="B287" s="21" t="n">
        <f aca="false">Risk_target+(Risk0-Risk_target)*EXP(-Risk_rate*A287)+Risk_hump*(A287/Risk_peak_t)*EXP(1-A287/Risk_peak_t)</f>
        <v>68.7682365298675</v>
      </c>
    </row>
    <row r="288" customFormat="false" ht="15" hidden="false" customHeight="false" outlineLevel="0" collapsed="false">
      <c r="A288" s="21" t="n">
        <f aca="false">242/120</f>
        <v>2.01666666666667</v>
      </c>
      <c r="B288" s="21" t="n">
        <f aca="false">Risk_target+(Risk0-Risk_target)*EXP(-Risk_rate*A288)+Risk_hump*(A288/Risk_peak_t)*EXP(1-A288/Risk_peak_t)</f>
        <v>68.7154160776049</v>
      </c>
    </row>
    <row r="289" customFormat="false" ht="15" hidden="false" customHeight="false" outlineLevel="0" collapsed="false">
      <c r="A289" s="21" t="n">
        <f aca="false">243/120</f>
        <v>2.025</v>
      </c>
      <c r="B289" s="21" t="n">
        <f aca="false">Risk_target+(Risk0-Risk_target)*EXP(-Risk_rate*A289)+Risk_hump*(A289/Risk_peak_t)*EXP(1-A289/Risk_peak_t)</f>
        <v>68.6625508904617</v>
      </c>
    </row>
    <row r="290" customFormat="false" ht="15" hidden="false" customHeight="false" outlineLevel="0" collapsed="false">
      <c r="A290" s="21" t="n">
        <f aca="false">244/120</f>
        <v>2.03333333333333</v>
      </c>
      <c r="B290" s="21" t="n">
        <f aca="false">Risk_target+(Risk0-Risk_target)*EXP(-Risk_rate*A290)+Risk_hump*(A290/Risk_peak_t)*EXP(1-A290/Risk_peak_t)</f>
        <v>68.6096438672141</v>
      </c>
    </row>
    <row r="291" customFormat="false" ht="15" hidden="false" customHeight="false" outlineLevel="0" collapsed="false">
      <c r="A291" s="21" t="n">
        <f aca="false">245/120</f>
        <v>2.04166666666667</v>
      </c>
      <c r="B291" s="21" t="n">
        <f aca="false">Risk_target+(Risk0-Risk_target)*EXP(-Risk_rate*A291)+Risk_hump*(A291/Risk_peak_t)*EXP(1-A291/Risk_peak_t)</f>
        <v>68.5566978694913</v>
      </c>
    </row>
    <row r="292" customFormat="false" ht="15" hidden="false" customHeight="false" outlineLevel="0" collapsed="false">
      <c r="A292" s="21" t="n">
        <f aca="false">246/120</f>
        <v>2.05</v>
      </c>
      <c r="B292" s="21" t="n">
        <f aca="false">Risk_target+(Risk0-Risk_target)*EXP(-Risk_rate*A292)+Risk_hump*(A292/Risk_peak_t)*EXP(1-A292/Risk_peak_t)</f>
        <v>68.5037157221482</v>
      </c>
    </row>
    <row r="293" customFormat="false" ht="15" hidden="false" customHeight="false" outlineLevel="0" collapsed="false">
      <c r="A293" s="21" t="n">
        <f aca="false">247/120</f>
        <v>2.05833333333333</v>
      </c>
      <c r="B293" s="21" t="n">
        <f aca="false">Risk_target+(Risk0-Risk_target)*EXP(-Risk_rate*A293)+Risk_hump*(A293/Risk_peak_t)*EXP(1-A293/Risk_peak_t)</f>
        <v>68.450700213635</v>
      </c>
    </row>
    <row r="294" customFormat="false" ht="15" hidden="false" customHeight="false" outlineLevel="0" collapsed="false">
      <c r="A294" s="21" t="n">
        <f aca="false">248/120</f>
        <v>2.06666666666667</v>
      </c>
      <c r="B294" s="21" t="n">
        <f aca="false">Risk_target+(Risk0-Risk_target)*EXP(-Risk_rate*A294)+Risk_hump*(A294/Risk_peak_t)*EXP(1-A294/Risk_peak_t)</f>
        <v>68.3976540963624</v>
      </c>
    </row>
    <row r="295" customFormat="false" ht="15" hidden="false" customHeight="false" outlineLevel="0" collapsed="false">
      <c r="A295" s="21" t="n">
        <f aca="false">249/120</f>
        <v>2.075</v>
      </c>
      <c r="B295" s="21" t="n">
        <f aca="false">Risk_target+(Risk0-Risk_target)*EXP(-Risk_rate*A295)+Risk_hump*(A295/Risk_peak_t)*EXP(1-A295/Risk_peak_t)</f>
        <v>68.3445800870646</v>
      </c>
    </row>
    <row r="296" customFormat="false" ht="15" hidden="false" customHeight="false" outlineLevel="0" collapsed="false">
      <c r="A296" s="21" t="n">
        <f aca="false">250/120</f>
        <v>2.08333333333333</v>
      </c>
      <c r="B296" s="21" t="n">
        <f aca="false">Risk_target+(Risk0-Risk_target)*EXP(-Risk_rate*A296)+Risk_hump*(A296/Risk_peak_t)*EXP(1-A296/Risk_peak_t)</f>
        <v>68.2914808671584</v>
      </c>
    </row>
    <row r="297" customFormat="false" ht="15" hidden="false" customHeight="false" outlineLevel="0" collapsed="false">
      <c r="A297" s="21" t="n">
        <f aca="false">251/120</f>
        <v>2.09166666666667</v>
      </c>
      <c r="B297" s="21" t="n">
        <f aca="false">Risk_target+(Risk0-Risk_target)*EXP(-Risk_rate*A297)+Risk_hump*(A297/Risk_peak_t)*EXP(1-A297/Risk_peak_t)</f>
        <v>68.2383590830989</v>
      </c>
    </row>
    <row r="298" customFormat="false" ht="15" hidden="false" customHeight="false" outlineLevel="0" collapsed="false">
      <c r="A298" s="21" t="n">
        <f aca="false">252/120</f>
        <v>2.1</v>
      </c>
      <c r="B298" s="21" t="n">
        <f aca="false">Risk_target+(Risk0-Risk_target)*EXP(-Risk_rate*A298)+Risk_hump*(A298/Risk_peak_t)*EXP(1-A298/Risk_peak_t)</f>
        <v>68.1852173467329</v>
      </c>
    </row>
    <row r="299" customFormat="false" ht="15" hidden="false" customHeight="false" outlineLevel="0" collapsed="false">
      <c r="A299" s="21" t="n">
        <f aca="false">253/120</f>
        <v>2.10833333333333</v>
      </c>
      <c r="B299" s="21" t="n">
        <f aca="false">Risk_target+(Risk0-Risk_target)*EXP(-Risk_rate*A299)+Risk_hump*(A299/Risk_peak_t)*EXP(1-A299/Risk_peak_t)</f>
        <v>68.1320582356478</v>
      </c>
    </row>
    <row r="300" customFormat="false" ht="15" hidden="false" customHeight="false" outlineLevel="0" collapsed="false">
      <c r="A300" s="21" t="n">
        <f aca="false">254/120</f>
        <v>2.11666666666667</v>
      </c>
      <c r="B300" s="21" t="n">
        <f aca="false">Risk_target+(Risk0-Risk_target)*EXP(-Risk_rate*A300)+Risk_hump*(A300/Risk_peak_t)*EXP(1-A300/Risk_peak_t)</f>
        <v>68.0788842935183</v>
      </c>
    </row>
    <row r="301" customFormat="false" ht="15" hidden="false" customHeight="false" outlineLevel="0" collapsed="false">
      <c r="A301" s="21" t="n">
        <f aca="false">255/120</f>
        <v>2.125</v>
      </c>
      <c r="B301" s="21" t="n">
        <f aca="false">Risk_target+(Risk0-Risk_target)*EXP(-Risk_rate*A301)+Risk_hump*(A301/Risk_peak_t)*EXP(1-A301/Risk_peak_t)</f>
        <v>68.0256980304497</v>
      </c>
    </row>
    <row r="302" customFormat="false" ht="15" hidden="false" customHeight="false" outlineLevel="0" collapsed="false">
      <c r="A302" s="21" t="n">
        <f aca="false">256/120</f>
        <v>2.13333333333333</v>
      </c>
      <c r="B302" s="21" t="n">
        <f aca="false">Risk_target+(Risk0-Risk_target)*EXP(-Risk_rate*A302)+Risk_hump*(A302/Risk_peak_t)*EXP(1-A302/Risk_peak_t)</f>
        <v>67.9725019233181</v>
      </c>
    </row>
    <row r="303" customFormat="false" ht="15" hidden="false" customHeight="false" outlineLevel="0" collapsed="false">
      <c r="A303" s="21" t="n">
        <f aca="false">257/120</f>
        <v>2.14166666666667</v>
      </c>
      <c r="B303" s="21" t="n">
        <f aca="false">Risk_target+(Risk0-Risk_target)*EXP(-Risk_rate*A303)+Risk_hump*(A303/Risk_peak_t)*EXP(1-A303/Risk_peak_t)</f>
        <v>67.919298416107</v>
      </c>
    </row>
    <row r="304" customFormat="false" ht="15" hidden="false" customHeight="false" outlineLevel="0" collapsed="false">
      <c r="A304" s="21" t="n">
        <f aca="false">258/120</f>
        <v>2.15</v>
      </c>
      <c r="B304" s="21" t="n">
        <f aca="false">Risk_target+(Risk0-Risk_target)*EXP(-Risk_rate*A304)+Risk_hump*(A304/Risk_peak_t)*EXP(1-A304/Risk_peak_t)</f>
        <v>67.8660899202417</v>
      </c>
    </row>
    <row r="305" customFormat="false" ht="15" hidden="false" customHeight="false" outlineLevel="0" collapsed="false">
      <c r="A305" s="21" t="n">
        <f aca="false">259/120</f>
        <v>2.15833333333333</v>
      </c>
      <c r="B305" s="21" t="n">
        <f aca="false">Risk_target+(Risk0-Risk_target)*EXP(-Risk_rate*A305)+Risk_hump*(A305/Risk_peak_t)*EXP(1-A305/Risk_peak_t)</f>
        <v>67.81287881492</v>
      </c>
    </row>
    <row r="306" customFormat="false" ht="15" hidden="false" customHeight="false" outlineLevel="0" collapsed="false">
      <c r="A306" s="21" t="n">
        <f aca="false">260/120</f>
        <v>2.16666666666667</v>
      </c>
      <c r="B306" s="21" t="n">
        <f aca="false">Risk_target+(Risk0-Risk_target)*EXP(-Risk_rate*A306)+Risk_hump*(A306/Risk_peak_t)*EXP(1-A306/Risk_peak_t)</f>
        <v>67.7596674474404</v>
      </c>
    </row>
    <row r="307" customFormat="false" ht="15" hidden="false" customHeight="false" outlineLevel="0" collapsed="false">
      <c r="A307" s="21" t="n">
        <f aca="false">261/120</f>
        <v>2.175</v>
      </c>
      <c r="B307" s="21" t="n">
        <f aca="false">Risk_target+(Risk0-Risk_target)*EXP(-Risk_rate*A307)+Risk_hump*(A307/Risk_peak_t)*EXP(1-A307/Risk_peak_t)</f>
        <v>67.7064581335267</v>
      </c>
    </row>
    <row r="308" customFormat="false" ht="15" hidden="false" customHeight="false" outlineLevel="0" collapsed="false">
      <c r="A308" s="21" t="n">
        <f aca="false">262/120</f>
        <v>2.18333333333333</v>
      </c>
      <c r="B308" s="21" t="n">
        <f aca="false">Risk_target+(Risk0-Risk_target)*EXP(-Risk_rate*A308)+Risk_hump*(A308/Risk_peak_t)*EXP(1-A308/Risk_peak_t)</f>
        <v>67.6532531576502</v>
      </c>
    </row>
    <row r="309" customFormat="false" ht="15" hidden="false" customHeight="false" outlineLevel="0" collapsed="false">
      <c r="A309" s="21" t="n">
        <f aca="false">263/120</f>
        <v>2.19166666666667</v>
      </c>
      <c r="B309" s="21" t="n">
        <f aca="false">Risk_target+(Risk0-Risk_target)*EXP(-Risk_rate*A309)+Risk_hump*(A309/Risk_peak_t)*EXP(1-A309/Risk_peak_t)</f>
        <v>67.6000547733486</v>
      </c>
    </row>
    <row r="310" customFormat="false" ht="15" hidden="false" customHeight="false" outlineLevel="0" collapsed="false">
      <c r="A310" s="21" t="n">
        <f aca="false">264/120</f>
        <v>2.2</v>
      </c>
      <c r="B310" s="21" t="n">
        <f aca="false">Risk_target+(Risk0-Risk_target)*EXP(-Risk_rate*A310)+Risk_hump*(A310/Risk_peak_t)*EXP(1-A310/Risk_peak_t)</f>
        <v>67.5468652035422</v>
      </c>
    </row>
    <row r="311" customFormat="false" ht="15" hidden="false" customHeight="false" outlineLevel="0" collapsed="false">
      <c r="A311" s="21" t="n">
        <f aca="false">265/120</f>
        <v>2.20833333333333</v>
      </c>
      <c r="B311" s="21" t="n">
        <f aca="false">Risk_target+(Risk0-Risk_target)*EXP(-Risk_rate*A311)+Risk_hump*(A311/Risk_peak_t)*EXP(1-A311/Risk_peak_t)</f>
        <v>67.4936866408473</v>
      </c>
    </row>
    <row r="312" customFormat="false" ht="15" hidden="false" customHeight="false" outlineLevel="0" collapsed="false">
      <c r="A312" s="21" t="n">
        <f aca="false">266/120</f>
        <v>2.21666666666667</v>
      </c>
      <c r="B312" s="21" t="n">
        <f aca="false">Risk_target+(Risk0-Risk_target)*EXP(-Risk_rate*A312)+Risk_hump*(A312/Risk_peak_t)*EXP(1-A312/Risk_peak_t)</f>
        <v>67.4405212478861</v>
      </c>
    </row>
    <row r="313" customFormat="false" ht="15" hidden="false" customHeight="false" outlineLevel="0" collapsed="false">
      <c r="A313" s="21" t="n">
        <f aca="false">267/120</f>
        <v>2.225</v>
      </c>
      <c r="B313" s="21" t="n">
        <f aca="false">Risk_target+(Risk0-Risk_target)*EXP(-Risk_rate*A313)+Risk_hump*(A313/Risk_peak_t)*EXP(1-A313/Risk_peak_t)</f>
        <v>67.3873711575948</v>
      </c>
    </row>
    <row r="314" customFormat="false" ht="15" hidden="false" customHeight="false" outlineLevel="0" collapsed="false">
      <c r="A314" s="21" t="n">
        <f aca="false">268/120</f>
        <v>2.23333333333333</v>
      </c>
      <c r="B314" s="21" t="n">
        <f aca="false">Risk_target+(Risk0-Risk_target)*EXP(-Risk_rate*A314)+Risk_hump*(A314/Risk_peak_t)*EXP(1-A314/Risk_peak_t)</f>
        <v>67.3342384735282</v>
      </c>
    </row>
    <row r="315" customFormat="false" ht="15" hidden="false" customHeight="false" outlineLevel="0" collapsed="false">
      <c r="A315" s="21" t="n">
        <f aca="false">269/120</f>
        <v>2.24166666666667</v>
      </c>
      <c r="B315" s="21" t="n">
        <f aca="false">Risk_target+(Risk0-Risk_target)*EXP(-Risk_rate*A315)+Risk_hump*(A315/Risk_peak_t)*EXP(1-A315/Risk_peak_t)</f>
        <v>67.2811252701612</v>
      </c>
    </row>
    <row r="316" customFormat="false" ht="15" hidden="false" customHeight="false" outlineLevel="0" collapsed="false">
      <c r="A316" s="21" t="n">
        <f aca="false">270/120</f>
        <v>2.25</v>
      </c>
      <c r="B316" s="21" t="n">
        <f aca="false">Risk_target+(Risk0-Risk_target)*EXP(-Risk_rate*A316)+Risk_hump*(A316/Risk_peak_t)*EXP(1-A316/Risk_peak_t)</f>
        <v>67.2280335931886</v>
      </c>
    </row>
    <row r="317" customFormat="false" ht="15" hidden="false" customHeight="false" outlineLevel="0" collapsed="false">
      <c r="A317" s="21" t="n">
        <f aca="false">271/120</f>
        <v>2.25833333333333</v>
      </c>
      <c r="B317" s="21" t="n">
        <f aca="false">Risk_target+(Risk0-Risk_target)*EXP(-Risk_rate*A317)+Risk_hump*(A317/Risk_peak_t)*EXP(1-A317/Risk_peak_t)</f>
        <v>67.1749654598213</v>
      </c>
    </row>
    <row r="318" customFormat="false" ht="15" hidden="false" customHeight="false" outlineLevel="0" collapsed="false">
      <c r="A318" s="21" t="n">
        <f aca="false">272/120</f>
        <v>2.26666666666667</v>
      </c>
      <c r="B318" s="21" t="n">
        <f aca="false">Risk_target+(Risk0-Risk_target)*EXP(-Risk_rate*A318)+Risk_hump*(A318/Risk_peak_t)*EXP(1-A318/Risk_peak_t)</f>
        <v>67.1219228590799</v>
      </c>
    </row>
    <row r="319" customFormat="false" ht="15" hidden="false" customHeight="false" outlineLevel="0" collapsed="false">
      <c r="A319" s="21" t="n">
        <f aca="false">273/120</f>
        <v>2.275</v>
      </c>
      <c r="B319" s="21" t="n">
        <f aca="false">Risk_target+(Risk0-Risk_target)*EXP(-Risk_rate*A319)+Risk_hump*(A319/Risk_peak_t)*EXP(1-A319/Risk_peak_t)</f>
        <v>67.0689077520858</v>
      </c>
    </row>
    <row r="320" customFormat="false" ht="15" hidden="false" customHeight="false" outlineLevel="0" collapsed="false">
      <c r="A320" s="21" t="n">
        <f aca="false">274/120</f>
        <v>2.28333333333333</v>
      </c>
      <c r="B320" s="21" t="n">
        <f aca="false">Risk_target+(Risk0-Risk_target)*EXP(-Risk_rate*A320)+Risk_hump*(A320/Risk_peak_t)*EXP(1-A320/Risk_peak_t)</f>
        <v>67.0159220723497</v>
      </c>
    </row>
    <row r="321" customFormat="false" ht="15" hidden="false" customHeight="false" outlineLevel="0" collapsed="false">
      <c r="A321" s="21" t="n">
        <f aca="false">275/120</f>
        <v>2.29166666666667</v>
      </c>
      <c r="B321" s="21" t="n">
        <f aca="false">Risk_target+(Risk0-Risk_target)*EXP(-Risk_rate*A321)+Risk_hump*(A321/Risk_peak_t)*EXP(1-A321/Risk_peak_t)</f>
        <v>66.9629677260573</v>
      </c>
    </row>
    <row r="322" customFormat="false" ht="15" hidden="false" customHeight="false" outlineLevel="0" collapsed="false">
      <c r="A322" s="21" t="n">
        <f aca="false">276/120</f>
        <v>2.3</v>
      </c>
      <c r="B322" s="21" t="n">
        <f aca="false">Risk_target+(Risk0-Risk_target)*EXP(-Risk_rate*A322)+Risk_hump*(A322/Risk_peak_t)*EXP(1-A322/Risk_peak_t)</f>
        <v>66.9100465923521</v>
      </c>
    </row>
    <row r="323" customFormat="false" ht="15" hidden="false" customHeight="false" outlineLevel="0" collapsed="false">
      <c r="A323" s="21" t="n">
        <f aca="false">277/120</f>
        <v>2.30833333333333</v>
      </c>
      <c r="B323" s="21" t="n">
        <f aca="false">Risk_target+(Risk0-Risk_target)*EXP(-Risk_rate*A323)+Risk_hump*(A323/Risk_peak_t)*EXP(1-A323/Risk_peak_t)</f>
        <v>66.8571605236163</v>
      </c>
    </row>
    <row r="324" customFormat="false" ht="15" hidden="false" customHeight="false" outlineLevel="0" collapsed="false">
      <c r="A324" s="21" t="n">
        <f aca="false">278/120</f>
        <v>2.31666666666667</v>
      </c>
      <c r="B324" s="21" t="n">
        <f aca="false">Risk_target+(Risk0-Risk_target)*EXP(-Risk_rate*A324)+Risk_hump*(A324/Risk_peak_t)*EXP(1-A324/Risk_peak_t)</f>
        <v>66.8043113457485</v>
      </c>
    </row>
    <row r="325" customFormat="false" ht="15" hidden="false" customHeight="false" outlineLevel="0" collapsed="false">
      <c r="A325" s="21" t="n">
        <f aca="false">279/120</f>
        <v>2.325</v>
      </c>
      <c r="B325" s="21" t="n">
        <f aca="false">Risk_target+(Risk0-Risk_target)*EXP(-Risk_rate*A325)+Risk_hump*(A325/Risk_peak_t)*EXP(1-A325/Risk_peak_t)</f>
        <v>66.751500858439</v>
      </c>
    </row>
    <row r="326" customFormat="false" ht="15" hidden="false" customHeight="false" outlineLevel="0" collapsed="false">
      <c r="A326" s="21" t="n">
        <f aca="false">280/120</f>
        <v>2.33333333333333</v>
      </c>
      <c r="B326" s="21" t="n">
        <f aca="false">Risk_target+(Risk0-Risk_target)*EXP(-Risk_rate*A326)+Risk_hump*(A326/Risk_peak_t)*EXP(1-A326/Risk_peak_t)</f>
        <v>66.6987308354428</v>
      </c>
    </row>
    <row r="327" customFormat="false" ht="15" hidden="false" customHeight="false" outlineLevel="0" collapsed="false">
      <c r="A327" s="21" t="n">
        <f aca="false">281/120</f>
        <v>2.34166666666667</v>
      </c>
      <c r="B327" s="21" t="n">
        <f aca="false">Risk_target+(Risk0-Risk_target)*EXP(-Risk_rate*A327)+Risk_hump*(A327/Risk_peak_t)*EXP(1-A327/Risk_peak_t)</f>
        <v>66.64600302485</v>
      </c>
    </row>
    <row r="328" customFormat="false" ht="15" hidden="false" customHeight="false" outlineLevel="0" collapsed="false">
      <c r="A328" s="21" t="n">
        <f aca="false">282/120</f>
        <v>2.35</v>
      </c>
      <c r="B328" s="21" t="n">
        <f aca="false">Risk_target+(Risk0-Risk_target)*EXP(-Risk_rate*A328)+Risk_hump*(A328/Risk_peak_t)*EXP(1-A328/Risk_peak_t)</f>
        <v>66.593319149353</v>
      </c>
    </row>
    <row r="329" customFormat="false" ht="15" hidden="false" customHeight="false" outlineLevel="0" collapsed="false">
      <c r="A329" s="21" t="n">
        <f aca="false">283/120</f>
        <v>2.35833333333333</v>
      </c>
      <c r="B329" s="21" t="n">
        <f aca="false">Risk_target+(Risk0-Risk_target)*EXP(-Risk_rate*A329)+Risk_hump*(A329/Risk_peak_t)*EXP(1-A329/Risk_peak_t)</f>
        <v>66.5406809065126</v>
      </c>
    </row>
    <row r="330" customFormat="false" ht="15" hidden="false" customHeight="false" outlineLevel="0" collapsed="false">
      <c r="A330" s="21" t="n">
        <f aca="false">284/120</f>
        <v>2.36666666666667</v>
      </c>
      <c r="B330" s="21" t="n">
        <f aca="false">Risk_target+(Risk0-Risk_target)*EXP(-Risk_rate*A330)+Risk_hump*(A330/Risk_peak_t)*EXP(1-A330/Risk_peak_t)</f>
        <v>66.4880899690207</v>
      </c>
    </row>
    <row r="331" customFormat="false" ht="15" hidden="false" customHeight="false" outlineLevel="0" collapsed="false">
      <c r="A331" s="21" t="n">
        <f aca="false">285/120</f>
        <v>2.375</v>
      </c>
      <c r="B331" s="21" t="n">
        <f aca="false">Risk_target+(Risk0-Risk_target)*EXP(-Risk_rate*A331)+Risk_hump*(A331/Risk_peak_t)*EXP(1-A331/Risk_peak_t)</f>
        <v>66.4355479849605</v>
      </c>
    </row>
    <row r="332" customFormat="false" ht="15" hidden="false" customHeight="false" outlineLevel="0" collapsed="false">
      <c r="A332" s="21" t="n">
        <f aca="false">286/120</f>
        <v>2.38333333333333</v>
      </c>
      <c r="B332" s="21" t="n">
        <f aca="false">Risk_target+(Risk0-Risk_target)*EXP(-Risk_rate*A332)+Risk_hump*(A332/Risk_peak_t)*EXP(1-A332/Risk_peak_t)</f>
        <v>66.3830565780646</v>
      </c>
    </row>
    <row r="333" customFormat="false" ht="15" hidden="false" customHeight="false" outlineLevel="0" collapsed="false">
      <c r="A333" s="21" t="n">
        <f aca="false">287/120</f>
        <v>2.39166666666667</v>
      </c>
      <c r="B333" s="21" t="n">
        <f aca="false">Risk_target+(Risk0-Risk_target)*EXP(-Risk_rate*A333)+Risk_hump*(A333/Risk_peak_t)*EXP(1-A333/Risk_peak_t)</f>
        <v>66.3306173479712</v>
      </c>
    </row>
    <row r="334" customFormat="false" ht="15" hidden="false" customHeight="false" outlineLevel="0" collapsed="false">
      <c r="A334" s="21" t="n">
        <f aca="false">288/120</f>
        <v>2.4</v>
      </c>
      <c r="B334" s="21" t="n">
        <f aca="false">Risk_target+(Risk0-Risk_target)*EXP(-Risk_rate*A334)+Risk_hump*(A334/Risk_peak_t)*EXP(1-A334/Risk_peak_t)</f>
        <v>66.2782318704768</v>
      </c>
    </row>
    <row r="335" customFormat="false" ht="15" hidden="false" customHeight="false" outlineLevel="0" collapsed="false">
      <c r="A335" s="21" t="n">
        <f aca="false">289/120</f>
        <v>2.40833333333333</v>
      </c>
      <c r="B335" s="21" t="n">
        <f aca="false">Risk_target+(Risk0-Risk_target)*EXP(-Risk_rate*A335)+Risk_hump*(A335/Risk_peak_t)*EXP(1-A335/Risk_peak_t)</f>
        <v>66.2259016977875</v>
      </c>
    </row>
    <row r="336" customFormat="false" ht="15" hidden="false" customHeight="false" outlineLevel="0" collapsed="false">
      <c r="A336" s="21" t="n">
        <f aca="false">290/120</f>
        <v>2.41666666666667</v>
      </c>
      <c r="B336" s="21" t="n">
        <f aca="false">Risk_target+(Risk0-Risk_target)*EXP(-Risk_rate*A336)+Risk_hump*(A336/Risk_peak_t)*EXP(1-A336/Risk_peak_t)</f>
        <v>66.1736283587675</v>
      </c>
    </row>
    <row r="337" customFormat="false" ht="15" hidden="false" customHeight="false" outlineLevel="0" collapsed="false">
      <c r="A337" s="21" t="n">
        <f aca="false">291/120</f>
        <v>2.425</v>
      </c>
      <c r="B337" s="21" t="n">
        <f aca="false">Risk_target+(Risk0-Risk_target)*EXP(-Risk_rate*A337)+Risk_hump*(A337/Risk_peak_t)*EXP(1-A337/Risk_peak_t)</f>
        <v>66.1214133591856</v>
      </c>
    </row>
    <row r="338" customFormat="false" ht="15" hidden="false" customHeight="false" outlineLevel="0" collapsed="false">
      <c r="A338" s="21" t="n">
        <f aca="false">292/120</f>
        <v>2.43333333333333</v>
      </c>
      <c r="B338" s="21" t="n">
        <f aca="false">Risk_target+(Risk0-Risk_target)*EXP(-Risk_rate*A338)+Risk_hump*(A338/Risk_peak_t)*EXP(1-A338/Risk_peak_t)</f>
        <v>66.0692581819592</v>
      </c>
    </row>
    <row r="339" customFormat="false" ht="15" hidden="false" customHeight="false" outlineLevel="0" collapsed="false">
      <c r="A339" s="21" t="n">
        <f aca="false">293/120</f>
        <v>2.44166666666667</v>
      </c>
      <c r="B339" s="21" t="n">
        <f aca="false">Risk_target+(Risk0-Risk_target)*EXP(-Risk_rate*A339)+Risk_hump*(A339/Risk_peak_t)*EXP(1-A339/Risk_peak_t)</f>
        <v>66.0171642873959</v>
      </c>
    </row>
    <row r="340" customFormat="false" ht="15" hidden="false" customHeight="false" outlineLevel="0" collapsed="false">
      <c r="A340" s="21" t="n">
        <f aca="false">294/120</f>
        <v>2.45</v>
      </c>
      <c r="B340" s="21" t="n">
        <f aca="false">Risk_target+(Risk0-Risk_target)*EXP(-Risk_rate*A340)+Risk_hump*(A340/Risk_peak_t)*EXP(1-A340/Risk_peak_t)</f>
        <v>65.9651331134336</v>
      </c>
    </row>
    <row r="341" customFormat="false" ht="15" hidden="false" customHeight="false" outlineLevel="0" collapsed="false">
      <c r="A341" s="21" t="n">
        <f aca="false">295/120</f>
        <v>2.45833333333333</v>
      </c>
      <c r="B341" s="21" t="n">
        <f aca="false">Risk_target+(Risk0-Risk_target)*EXP(-Risk_rate*A341)+Risk_hump*(A341/Risk_peak_t)*EXP(1-A341/Risk_peak_t)</f>
        <v>65.9131660758772</v>
      </c>
    </row>
    <row r="342" customFormat="false" ht="15" hidden="false" customHeight="false" outlineLevel="0" collapsed="false">
      <c r="A342" s="21" t="n">
        <f aca="false">296/120</f>
        <v>2.46666666666667</v>
      </c>
      <c r="B342" s="21" t="n">
        <f aca="false">Risk_target+(Risk0-Risk_target)*EXP(-Risk_rate*A342)+Risk_hump*(A342/Risk_peak_t)*EXP(1-A342/Risk_peak_t)</f>
        <v>65.861264568634</v>
      </c>
    </row>
    <row r="343" customFormat="false" ht="15" hidden="false" customHeight="false" outlineLevel="0" collapsed="false">
      <c r="A343" s="21" t="n">
        <f aca="false">297/120</f>
        <v>2.475</v>
      </c>
      <c r="B343" s="21" t="n">
        <f aca="false">Risk_target+(Risk0-Risk_target)*EXP(-Risk_rate*A343)+Risk_hump*(A343/Risk_peak_t)*EXP(1-A343/Risk_peak_t)</f>
        <v>65.8094299639467</v>
      </c>
    </row>
    <row r="344" customFormat="false" ht="15" hidden="false" customHeight="false" outlineLevel="0" collapsed="false">
      <c r="A344" s="21" t="n">
        <f aca="false">298/120</f>
        <v>2.48333333333333</v>
      </c>
      <c r="B344" s="21" t="n">
        <f aca="false">Risk_target+(Risk0-Risk_target)*EXP(-Risk_rate*A344)+Risk_hump*(A344/Risk_peak_t)*EXP(1-A344/Risk_peak_t)</f>
        <v>65.7576636126242</v>
      </c>
    </row>
    <row r="345" customFormat="false" ht="15" hidden="false" customHeight="false" outlineLevel="0" collapsed="false">
      <c r="A345" s="21" t="n">
        <f aca="false">299/120</f>
        <v>2.49166666666667</v>
      </c>
      <c r="B345" s="21" t="n">
        <f aca="false">Risk_target+(Risk0-Risk_target)*EXP(-Risk_rate*A345)+Risk_hump*(A345/Risk_peak_t)*EXP(1-A345/Risk_peak_t)</f>
        <v>65.70596684427</v>
      </c>
    </row>
    <row r="346" customFormat="false" ht="15" hidden="false" customHeight="false" outlineLevel="0" collapsed="false">
      <c r="A346" s="21" t="n">
        <f aca="false">300/120</f>
        <v>2.5</v>
      </c>
      <c r="B346" s="21" t="n">
        <f aca="false">Risk_target+(Risk0-Risk_target)*EXP(-Risk_rate*A346)+Risk_hump*(A346/Risk_peak_t)*EXP(1-A346/Risk_peak_t)</f>
        <v>65.6543409675087</v>
      </c>
    </row>
    <row r="347" customFormat="false" ht="15" hidden="false" customHeight="false" outlineLevel="0" collapsed="false">
      <c r="A347" s="21" t="n">
        <f aca="false">301/120</f>
        <v>2.50833333333333</v>
      </c>
      <c r="B347" s="21" t="n">
        <f aca="false">Risk_target+(Risk0-Risk_target)*EXP(-Risk_rate*A347)+Risk_hump*(A347/Risk_peak_t)*EXP(1-A347/Risk_peak_t)</f>
        <v>65.6027872702109</v>
      </c>
    </row>
    <row r="348" customFormat="false" ht="15" hidden="false" customHeight="false" outlineLevel="0" collapsed="false">
      <c r="A348" s="21" t="n">
        <f aca="false">302/120</f>
        <v>2.51666666666667</v>
      </c>
      <c r="B348" s="21" t="n">
        <f aca="false">Risk_target+(Risk0-Risk_target)*EXP(-Risk_rate*A348)+Risk_hump*(A348/Risk_peak_t)*EXP(1-A348/Risk_peak_t)</f>
        <v>65.5513070197146</v>
      </c>
    </row>
    <row r="349" customFormat="false" ht="15" hidden="false" customHeight="false" outlineLevel="0" collapsed="false">
      <c r="A349" s="21" t="n">
        <f aca="false">303/120</f>
        <v>2.525</v>
      </c>
      <c r="B349" s="21" t="n">
        <f aca="false">Risk_target+(Risk0-Risk_target)*EXP(-Risk_rate*A349)+Risk_hump*(A349/Risk_peak_t)*EXP(1-A349/Risk_peak_t)</f>
        <v>65.4999014630463</v>
      </c>
    </row>
    <row r="350" customFormat="false" ht="15" hidden="false" customHeight="false" outlineLevel="0" collapsed="false">
      <c r="A350" s="21" t="n">
        <f aca="false">304/120</f>
        <v>2.53333333333333</v>
      </c>
      <c r="B350" s="21" t="n">
        <f aca="false">Risk_target+(Risk0-Risk_target)*EXP(-Risk_rate*A350)+Risk_hump*(A350/Risk_peak_t)*EXP(1-A350/Risk_peak_t)</f>
        <v>65.4485718271386</v>
      </c>
    </row>
    <row r="351" customFormat="false" ht="15" hidden="false" customHeight="false" outlineLevel="0" collapsed="false">
      <c r="A351" s="21" t="n">
        <f aca="false">305/120</f>
        <v>2.54166666666667</v>
      </c>
      <c r="B351" s="21" t="n">
        <f aca="false">Risk_target+(Risk0-Risk_target)*EXP(-Risk_rate*A351)+Risk_hump*(A351/Risk_peak_t)*EXP(1-A351/Risk_peak_t)</f>
        <v>65.3973193190463</v>
      </c>
    </row>
    <row r="352" customFormat="false" ht="15" hidden="false" customHeight="false" outlineLevel="0" collapsed="false">
      <c r="A352" s="21" t="n">
        <f aca="false">306/120</f>
        <v>2.55</v>
      </c>
      <c r="B352" s="21" t="n">
        <f aca="false">Risk_target+(Risk0-Risk_target)*EXP(-Risk_rate*A352)+Risk_hump*(A352/Risk_peak_t)*EXP(1-A352/Risk_peak_t)</f>
        <v>65.3461451261609</v>
      </c>
    </row>
    <row r="353" customFormat="false" ht="15" hidden="false" customHeight="false" outlineLevel="0" collapsed="false">
      <c r="A353" s="21" t="n">
        <f aca="false">307/120</f>
        <v>2.55833333333333</v>
      </c>
      <c r="B353" s="21" t="n">
        <f aca="false">Risk_target+(Risk0-Risk_target)*EXP(-Risk_rate*A353)+Risk_hump*(A353/Risk_peak_t)*EXP(1-A353/Risk_peak_t)</f>
        <v>65.2950504164225</v>
      </c>
    </row>
    <row r="354" customFormat="false" ht="15" hidden="false" customHeight="false" outlineLevel="0" collapsed="false">
      <c r="A354" s="21" t="n">
        <f aca="false">308/120</f>
        <v>2.56666666666667</v>
      </c>
      <c r="B354" s="21" t="n">
        <f aca="false">Risk_target+(Risk0-Risk_target)*EXP(-Risk_rate*A354)+Risk_hump*(A354/Risk_peak_t)*EXP(1-A354/Risk_peak_t)</f>
        <v>65.2440363385296</v>
      </c>
    </row>
    <row r="355" customFormat="false" ht="15" hidden="false" customHeight="false" outlineLevel="0" collapsed="false">
      <c r="A355" s="21" t="n">
        <f aca="false">309/120</f>
        <v>2.575</v>
      </c>
      <c r="B355" s="21" t="n">
        <f aca="false">Risk_target+(Risk0-Risk_target)*EXP(-Risk_rate*A355)+Risk_hump*(A355/Risk_peak_t)*EXP(1-A355/Risk_peak_t)</f>
        <v>65.1931040221476</v>
      </c>
    </row>
    <row r="356" customFormat="false" ht="15" hidden="false" customHeight="false" outlineLevel="0" collapsed="false">
      <c r="A356" s="21" t="n">
        <f aca="false">310/120</f>
        <v>2.58333333333333</v>
      </c>
      <c r="B356" s="21" t="n">
        <f aca="false">Risk_target+(Risk0-Risk_target)*EXP(-Risk_rate*A356)+Risk_hump*(A356/Risk_peak_t)*EXP(1-A356/Risk_peak_t)</f>
        <v>65.1422545781151</v>
      </c>
    </row>
    <row r="357" customFormat="false" ht="15" hidden="false" customHeight="false" outlineLevel="0" collapsed="false">
      <c r="A357" s="21" t="n">
        <f aca="false">311/120</f>
        <v>2.59166666666667</v>
      </c>
      <c r="B357" s="21" t="n">
        <f aca="false">Risk_target+(Risk0-Risk_target)*EXP(-Risk_rate*A357)+Risk_hump*(A357/Risk_peak_t)*EXP(1-A357/Risk_peak_t)</f>
        <v>65.0914890986475</v>
      </c>
    </row>
    <row r="358" customFormat="false" ht="15" hidden="false" customHeight="false" outlineLevel="0" collapsed="false">
      <c r="A358" s="21" t="n">
        <f aca="false">312/120</f>
        <v>2.6</v>
      </c>
      <c r="B358" s="21" t="n">
        <f aca="false">Risk_target+(Risk0-Risk_target)*EXP(-Risk_rate*A358)+Risk_hump*(A358/Risk_peak_t)*EXP(1-A358/Risk_peak_t)</f>
        <v>65.0408086575403</v>
      </c>
    </row>
    <row r="359" customFormat="false" ht="15" hidden="false" customHeight="false" outlineLevel="0" collapsed="false">
      <c r="A359" s="21" t="n">
        <f aca="false">313/120</f>
        <v>2.60833333333333</v>
      </c>
      <c r="B359" s="21" t="n">
        <f aca="false">Risk_target+(Risk0-Risk_target)*EXP(-Risk_rate*A359)+Risk_hump*(A359/Risk_peak_t)*EXP(1-A359/Risk_peak_t)</f>
        <v>64.9902143103684</v>
      </c>
    </row>
    <row r="360" customFormat="false" ht="15" hidden="false" customHeight="false" outlineLevel="0" collapsed="false">
      <c r="A360" s="21" t="n">
        <f aca="false">314/120</f>
        <v>2.61666666666667</v>
      </c>
      <c r="B360" s="21" t="n">
        <f aca="false">Risk_target+(Risk0-Risk_target)*EXP(-Risk_rate*A360)+Risk_hump*(A360/Risk_peak_t)*EXP(1-A360/Risk_peak_t)</f>
        <v>64.9397070946858</v>
      </c>
    </row>
    <row r="361" customFormat="false" ht="15" hidden="false" customHeight="false" outlineLevel="0" collapsed="false">
      <c r="A361" s="21" t="n">
        <f aca="false">315/120</f>
        <v>2.625</v>
      </c>
      <c r="B361" s="21" t="n">
        <f aca="false">Risk_target+(Risk0-Risk_target)*EXP(-Risk_rate*A361)+Risk_hump*(A361/Risk_peak_t)*EXP(1-A361/Risk_peak_t)</f>
        <v>64.8892880302212</v>
      </c>
    </row>
    <row r="362" customFormat="false" ht="15" hidden="false" customHeight="false" outlineLevel="0" collapsed="false">
      <c r="A362" s="21" t="n">
        <f aca="false">316/120</f>
        <v>2.63333333333333</v>
      </c>
      <c r="B362" s="21" t="n">
        <f aca="false">Risk_target+(Risk0-Risk_target)*EXP(-Risk_rate*A362)+Risk_hump*(A362/Risk_peak_t)*EXP(1-A362/Risk_peak_t)</f>
        <v>64.8389581190738</v>
      </c>
    </row>
    <row r="363" customFormat="false" ht="15" hidden="false" customHeight="false" outlineLevel="0" collapsed="false">
      <c r="A363" s="21" t="n">
        <f aca="false">317/120</f>
        <v>2.64166666666667</v>
      </c>
      <c r="B363" s="21" t="n">
        <f aca="false">Risk_target+(Risk0-Risk_target)*EXP(-Risk_rate*A363)+Risk_hump*(A363/Risk_peak_t)*EXP(1-A363/Risk_peak_t)</f>
        <v>64.7887183459054</v>
      </c>
    </row>
    <row r="364" customFormat="false" ht="15" hidden="false" customHeight="false" outlineLevel="0" collapsed="false">
      <c r="A364" s="21" t="n">
        <f aca="false">318/120</f>
        <v>2.65</v>
      </c>
      <c r="B364" s="21" t="n">
        <f aca="false">Risk_target+(Risk0-Risk_target)*EXP(-Risk_rate*A364)+Risk_hump*(A364/Risk_peak_t)*EXP(1-A364/Risk_peak_t)</f>
        <v>64.7385696781324</v>
      </c>
    </row>
    <row r="365" customFormat="false" ht="15" hidden="false" customHeight="false" outlineLevel="0" collapsed="false">
      <c r="A365" s="21" t="n">
        <f aca="false">319/120</f>
        <v>2.65833333333333</v>
      </c>
      <c r="B365" s="21" t="n">
        <f aca="false">Risk_target+(Risk0-Risk_target)*EXP(-Risk_rate*A365)+Risk_hump*(A365/Risk_peak_t)*EXP(1-A365/Risk_peak_t)</f>
        <v>64.6885130661145</v>
      </c>
    </row>
    <row r="366" customFormat="false" ht="15" hidden="false" customHeight="false" outlineLevel="0" collapsed="false">
      <c r="A366" s="21" t="n">
        <f aca="false">320/120</f>
        <v>2.66666666666667</v>
      </c>
      <c r="B366" s="21" t="n">
        <f aca="false">Risk_target+(Risk0-Risk_target)*EXP(-Risk_rate*A366)+Risk_hump*(A366/Risk_peak_t)*EXP(1-A366/Risk_peak_t)</f>
        <v>64.6385494433426</v>
      </c>
    </row>
    <row r="367" customFormat="false" ht="15" hidden="false" customHeight="false" outlineLevel="0" collapsed="false">
      <c r="A367" s="21" t="n">
        <f aca="false">321/120</f>
        <v>2.675</v>
      </c>
      <c r="B367" s="21" t="n">
        <f aca="false">Risk_target+(Risk0-Risk_target)*EXP(-Risk_rate*A367)+Risk_hump*(A367/Risk_peak_t)*EXP(1-A367/Risk_peak_t)</f>
        <v>64.5886797266246</v>
      </c>
    </row>
    <row r="368" customFormat="false" ht="15" hidden="false" customHeight="false" outlineLevel="0" collapsed="false">
      <c r="A368" s="21" t="n">
        <f aca="false">322/120</f>
        <v>2.68333333333333</v>
      </c>
      <c r="B368" s="21" t="n">
        <f aca="false">Risk_target+(Risk0-Risk_target)*EXP(-Risk_rate*A368)+Risk_hump*(A368/Risk_peak_t)*EXP(1-A368/Risk_peak_t)</f>
        <v>64.5389048162695</v>
      </c>
    </row>
    <row r="369" customFormat="false" ht="15" hidden="false" customHeight="false" outlineLevel="0" collapsed="false">
      <c r="A369" s="21" t="n">
        <f aca="false">323/120</f>
        <v>2.69166666666667</v>
      </c>
      <c r="B369" s="21" t="n">
        <f aca="false">Risk_target+(Risk0-Risk_target)*EXP(-Risk_rate*A369)+Risk_hump*(A369/Risk_peak_t)*EXP(1-A369/Risk_peak_t)</f>
        <v>64.4892255962693</v>
      </c>
    </row>
    <row r="370" customFormat="false" ht="15" hidden="false" customHeight="false" outlineLevel="0" collapsed="false">
      <c r="A370" s="21" t="n">
        <f aca="false">324/120</f>
        <v>2.7</v>
      </c>
      <c r="B370" s="21" t="n">
        <f aca="false">Risk_target+(Risk0-Risk_target)*EXP(-Risk_rate*A370)+Risk_hump*(A370/Risk_peak_t)*EXP(1-A370/Risk_peak_t)</f>
        <v>64.4396429344802</v>
      </c>
    </row>
    <row r="371" customFormat="false" ht="15" hidden="false" customHeight="false" outlineLevel="0" collapsed="false">
      <c r="A371" s="21" t="n">
        <f aca="false">325/120</f>
        <v>2.70833333333333</v>
      </c>
      <c r="B371" s="21" t="n">
        <f aca="false">Risk_target+(Risk0-Risk_target)*EXP(-Risk_rate*A371)+Risk_hump*(A371/Risk_peak_t)*EXP(1-A371/Risk_peak_t)</f>
        <v>64.3901576828011</v>
      </c>
    </row>
    <row r="372" customFormat="false" ht="15" hidden="false" customHeight="false" outlineLevel="0" collapsed="false">
      <c r="A372" s="21" t="n">
        <f aca="false">326/120</f>
        <v>2.71666666666667</v>
      </c>
      <c r="B372" s="21" t="n">
        <f aca="false">Risk_target+(Risk0-Risk_target)*EXP(-Risk_rate*A372)+Risk_hump*(A372/Risk_peak_t)*EXP(1-A372/Risk_peak_t)</f>
        <v>64.3407706773507</v>
      </c>
    </row>
    <row r="373" customFormat="false" ht="15" hidden="false" customHeight="false" outlineLevel="0" collapsed="false">
      <c r="A373" s="21" t="n">
        <f aca="false">327/120</f>
        <v>2.725</v>
      </c>
      <c r="B373" s="21" t="n">
        <f aca="false">Risk_target+(Risk0-Risk_target)*EXP(-Risk_rate*A373)+Risk_hump*(A373/Risk_peak_t)*EXP(1-A373/Risk_peak_t)</f>
        <v>64.2914827386433</v>
      </c>
    </row>
    <row r="374" customFormat="false" ht="15" hidden="false" customHeight="false" outlineLevel="0" collapsed="false">
      <c r="A374" s="21" t="n">
        <f aca="false">328/120</f>
        <v>2.73333333333333</v>
      </c>
      <c r="B374" s="21" t="n">
        <f aca="false">Risk_target+(Risk0-Risk_target)*EXP(-Risk_rate*A374)+Risk_hump*(A374/Risk_peak_t)*EXP(1-A374/Risk_peak_t)</f>
        <v>64.2422946717624</v>
      </c>
    </row>
    <row r="375" customFormat="false" ht="15" hidden="false" customHeight="false" outlineLevel="0" collapsed="false">
      <c r="A375" s="21" t="n">
        <f aca="false">329/120</f>
        <v>2.74166666666667</v>
      </c>
      <c r="B375" s="21" t="n">
        <f aca="false">Risk_target+(Risk0-Risk_target)*EXP(-Risk_rate*A375)+Risk_hump*(A375/Risk_peak_t)*EXP(1-A375/Risk_peak_t)</f>
        <v>64.193207266533</v>
      </c>
    </row>
    <row r="376" customFormat="false" ht="15" hidden="false" customHeight="false" outlineLevel="0" collapsed="false">
      <c r="A376" s="21" t="n">
        <f aca="false">330/120</f>
        <v>2.75</v>
      </c>
      <c r="B376" s="21" t="n">
        <f aca="false">Risk_target+(Risk0-Risk_target)*EXP(-Risk_rate*A376)+Risk_hump*(A376/Risk_peak_t)*EXP(1-A376/Risk_peak_t)</f>
        <v>64.144221297692</v>
      </c>
    </row>
    <row r="377" customFormat="false" ht="15" hidden="false" customHeight="false" outlineLevel="0" collapsed="false">
      <c r="A377" s="21" t="n">
        <f aca="false">331/120</f>
        <v>2.75833333333333</v>
      </c>
      <c r="B377" s="21" t="n">
        <f aca="false">Risk_target+(Risk0-Risk_target)*EXP(-Risk_rate*A377)+Risk_hump*(A377/Risk_peak_t)*EXP(1-A377/Risk_peak_t)</f>
        <v>64.0953375250573</v>
      </c>
    </row>
    <row r="378" customFormat="false" ht="15" hidden="false" customHeight="false" outlineLevel="0" collapsed="false">
      <c r="A378" s="21" t="n">
        <f aca="false">332/120</f>
        <v>2.76666666666667</v>
      </c>
      <c r="B378" s="21" t="n">
        <f aca="false">Risk_target+(Risk0-Risk_target)*EXP(-Risk_rate*A378)+Risk_hump*(A378/Risk_peak_t)*EXP(1-A378/Risk_peak_t)</f>
        <v>64.0465566936949</v>
      </c>
    </row>
    <row r="379" customFormat="false" ht="15" hidden="false" customHeight="false" outlineLevel="0" collapsed="false">
      <c r="A379" s="21" t="n">
        <f aca="false">333/120</f>
        <v>2.775</v>
      </c>
      <c r="B379" s="21" t="n">
        <f aca="false">Risk_target+(Risk0-Risk_target)*EXP(-Risk_rate*A379)+Risk_hump*(A379/Risk_peak_t)*EXP(1-A379/Risk_peak_t)</f>
        <v>63.9978795340848</v>
      </c>
    </row>
    <row r="380" customFormat="false" ht="15" hidden="false" customHeight="false" outlineLevel="0" collapsed="false">
      <c r="A380" s="21" t="n">
        <f aca="false">334/120</f>
        <v>2.78333333333333</v>
      </c>
      <c r="B380" s="21" t="n">
        <f aca="false">Risk_target+(Risk0-Risk_target)*EXP(-Risk_rate*A380)+Risk_hump*(A380/Risk_peak_t)*EXP(1-A380/Risk_peak_t)</f>
        <v>63.9493067622851</v>
      </c>
    </row>
    <row r="381" customFormat="false" ht="15" hidden="false" customHeight="false" outlineLevel="0" collapsed="false">
      <c r="A381" s="21" t="n">
        <f aca="false">335/120</f>
        <v>2.79166666666667</v>
      </c>
      <c r="B381" s="21" t="n">
        <f aca="false">Risk_target+(Risk0-Risk_target)*EXP(-Risk_rate*A381)+Risk_hump*(A381/Risk_peak_t)*EXP(1-A381/Risk_peak_t)</f>
        <v>63.9008390800945</v>
      </c>
    </row>
    <row r="382" customFormat="false" ht="15" hidden="false" customHeight="false" outlineLevel="0" collapsed="false">
      <c r="A382" s="21" t="n">
        <f aca="false">336/120</f>
        <v>2.8</v>
      </c>
      <c r="B382" s="21" t="n">
        <f aca="false">Risk_target+(Risk0-Risk_target)*EXP(-Risk_rate*A382)+Risk_hump*(A382/Risk_peak_t)*EXP(1-A382/Risk_peak_t)</f>
        <v>63.8524771752133</v>
      </c>
    </row>
    <row r="383" customFormat="false" ht="15" hidden="false" customHeight="false" outlineLevel="0" collapsed="false">
      <c r="A383" s="21" t="n">
        <f aca="false">337/120</f>
        <v>2.80833333333333</v>
      </c>
      <c r="B383" s="21" t="n">
        <f aca="false">Risk_target+(Risk0-Risk_target)*EXP(-Risk_rate*A383)+Risk_hump*(A383/Risk_peak_t)*EXP(1-A383/Risk_peak_t)</f>
        <v>63.8042217214029</v>
      </c>
    </row>
    <row r="384" customFormat="false" ht="15" hidden="false" customHeight="false" outlineLevel="0" collapsed="false">
      <c r="A384" s="21" t="n">
        <f aca="false">338/120</f>
        <v>2.81666666666667</v>
      </c>
      <c r="B384" s="21" t="n">
        <f aca="false">Risk_target+(Risk0-Risk_target)*EXP(-Risk_rate*A384)+Risk_hump*(A384/Risk_peak_t)*EXP(1-A384/Risk_peak_t)</f>
        <v>63.756073378644</v>
      </c>
    </row>
    <row r="385" customFormat="false" ht="15" hidden="false" customHeight="false" outlineLevel="0" collapsed="false">
      <c r="A385" s="21" t="n">
        <f aca="false">339/120</f>
        <v>2.825</v>
      </c>
      <c r="B385" s="21" t="n">
        <f aca="false">Risk_target+(Risk0-Risk_target)*EXP(-Risk_rate*A385)+Risk_hump*(A385/Risk_peak_t)*EXP(1-A385/Risk_peak_t)</f>
        <v>63.7080327932925</v>
      </c>
    </row>
    <row r="386" customFormat="false" ht="15" hidden="false" customHeight="false" outlineLevel="0" collapsed="false">
      <c r="A386" s="21" t="n">
        <f aca="false">340/120</f>
        <v>2.83333333333333</v>
      </c>
      <c r="B386" s="21" t="n">
        <f aca="false">Risk_target+(Risk0-Risk_target)*EXP(-Risk_rate*A386)+Risk_hump*(A386/Risk_peak_t)*EXP(1-A386/Risk_peak_t)</f>
        <v>63.6601005982351</v>
      </c>
    </row>
    <row r="387" customFormat="false" ht="15" hidden="false" customHeight="false" outlineLevel="0" collapsed="false">
      <c r="A387" s="21" t="n">
        <f aca="false">341/120</f>
        <v>2.84166666666667</v>
      </c>
      <c r="B387" s="21" t="n">
        <f aca="false">Risk_target+(Risk0-Risk_target)*EXP(-Risk_rate*A387)+Risk_hump*(A387/Risk_peak_t)*EXP(1-A387/Risk_peak_t)</f>
        <v>63.6122774130421</v>
      </c>
    </row>
    <row r="388" customFormat="false" ht="15" hidden="false" customHeight="false" outlineLevel="0" collapsed="false">
      <c r="A388" s="21" t="n">
        <f aca="false">342/120</f>
        <v>2.85</v>
      </c>
      <c r="B388" s="21" t="n">
        <f aca="false">Risk_target+(Risk0-Risk_target)*EXP(-Risk_rate*A388)+Risk_hump*(A388/Risk_peak_t)*EXP(1-A388/Risk_peak_t)</f>
        <v>63.5645638441198</v>
      </c>
    </row>
    <row r="389" customFormat="false" ht="15" hidden="false" customHeight="false" outlineLevel="0" collapsed="false">
      <c r="A389" s="21" t="n">
        <f aca="false">343/120</f>
        <v>2.85833333333333</v>
      </c>
      <c r="B389" s="21" t="n">
        <f aca="false">Risk_target+(Risk0-Risk_target)*EXP(-Risk_rate*A389)+Risk_hump*(A389/Risk_peak_t)*EXP(1-A389/Risk_peak_t)</f>
        <v>63.516960484861</v>
      </c>
    </row>
    <row r="390" customFormat="false" ht="15" hidden="false" customHeight="false" outlineLevel="0" collapsed="false">
      <c r="A390" s="21" t="n">
        <f aca="false">344/120</f>
        <v>2.86666666666667</v>
      </c>
      <c r="B390" s="21" t="n">
        <f aca="false">Risk_target+(Risk0-Risk_target)*EXP(-Risk_rate*A390)+Risk_hump*(A390/Risk_peak_t)*EXP(1-A390/Risk_peak_t)</f>
        <v>63.469467915794</v>
      </c>
    </row>
    <row r="391" customFormat="false" ht="15" hidden="false" customHeight="false" outlineLevel="0" collapsed="false">
      <c r="A391" s="21" t="n">
        <f aca="false">345/120</f>
        <v>2.875</v>
      </c>
      <c r="B391" s="21" t="n">
        <f aca="false">Risk_target+(Risk0-Risk_target)*EXP(-Risk_rate*A391)+Risk_hump*(A391/Risk_peak_t)*EXP(1-A391/Risk_peak_t)</f>
        <v>63.4220867047302</v>
      </c>
    </row>
    <row r="392" customFormat="false" ht="15" hidden="false" customHeight="false" outlineLevel="0" collapsed="false">
      <c r="A392" s="21" t="n">
        <f aca="false">346/120</f>
        <v>2.88333333333333</v>
      </c>
      <c r="B392" s="21" t="n">
        <f aca="false">Risk_target+(Risk0-Risk_target)*EXP(-Risk_rate*A392)+Risk_hump*(A392/Risk_peak_t)*EXP(1-A392/Risk_peak_t)</f>
        <v>63.3748174069103</v>
      </c>
    </row>
    <row r="393" customFormat="false" ht="15" hidden="false" customHeight="false" outlineLevel="0" collapsed="false">
      <c r="A393" s="21" t="n">
        <f aca="false">347/120</f>
        <v>2.89166666666667</v>
      </c>
      <c r="B393" s="21" t="n">
        <f aca="false">Risk_target+(Risk0-Risk_target)*EXP(-Risk_rate*A393)+Risk_hump*(A393/Risk_peak_t)*EXP(1-A393/Risk_peak_t)</f>
        <v>63.3276605651494</v>
      </c>
    </row>
    <row r="394" customFormat="false" ht="15" hidden="false" customHeight="false" outlineLevel="0" collapsed="false">
      <c r="A394" s="21" t="n">
        <f aca="false">348/120</f>
        <v>2.9</v>
      </c>
      <c r="B394" s="21" t="n">
        <f aca="false">Risk_target+(Risk0-Risk_target)*EXP(-Risk_rate*A394)+Risk_hump*(A394/Risk_peak_t)*EXP(1-A394/Risk_peak_t)</f>
        <v>63.28061670998</v>
      </c>
    </row>
    <row r="395" customFormat="false" ht="15" hidden="false" customHeight="false" outlineLevel="0" collapsed="false">
      <c r="A395" s="21" t="n">
        <f aca="false">349/120</f>
        <v>2.90833333333333</v>
      </c>
      <c r="B395" s="21" t="n">
        <f aca="false">Risk_target+(Risk0-Risk_target)*EXP(-Risk_rate*A395)+Risk_hump*(A395/Risk_peak_t)*EXP(1-A395/Risk_peak_t)</f>
        <v>63.2336863597943</v>
      </c>
    </row>
    <row r="396" customFormat="false" ht="15" hidden="false" customHeight="false" outlineLevel="0" collapsed="false">
      <c r="A396" s="21" t="n">
        <f aca="false">350/120</f>
        <v>2.91666666666667</v>
      </c>
      <c r="B396" s="21" t="n">
        <f aca="false">Risk_target+(Risk0-Risk_target)*EXP(-Risk_rate*A396)+Risk_hump*(A396/Risk_peak_t)*EXP(1-A396/Risk_peak_t)</f>
        <v>63.1868700209848</v>
      </c>
    </row>
    <row r="397" customFormat="false" ht="15" hidden="false" customHeight="false" outlineLevel="0" collapsed="false">
      <c r="A397" s="21" t="n">
        <f aca="false">351/120</f>
        <v>2.925</v>
      </c>
      <c r="B397" s="21" t="n">
        <f aca="false">Risk_target+(Risk0-Risk_target)*EXP(-Risk_rate*A397)+Risk_hump*(A397/Risk_peak_t)*EXP(1-A397/Risk_peak_t)</f>
        <v>63.1401681880838</v>
      </c>
    </row>
    <row r="398" customFormat="false" ht="15" hidden="false" customHeight="false" outlineLevel="0" collapsed="false">
      <c r="A398" s="21" t="n">
        <f aca="false">352/120</f>
        <v>2.93333333333333</v>
      </c>
      <c r="B398" s="21" t="n">
        <f aca="false">Risk_target+(Risk0-Risk_target)*EXP(-Risk_rate*A398)+Risk_hump*(A398/Risk_peak_t)*EXP(1-A398/Risk_peak_t)</f>
        <v>63.0935813439009</v>
      </c>
    </row>
    <row r="399" customFormat="false" ht="15" hidden="false" customHeight="false" outlineLevel="0" collapsed="false">
      <c r="A399" s="21" t="n">
        <f aca="false">353/120</f>
        <v>2.94166666666667</v>
      </c>
      <c r="B399" s="21" t="n">
        <f aca="false">Risk_target+(Risk0-Risk_target)*EXP(-Risk_rate*A399)+Risk_hump*(A399/Risk_peak_t)*EXP(1-A399/Risk_peak_t)</f>
        <v>63.0471099596601</v>
      </c>
    </row>
    <row r="400" customFormat="false" ht="15" hidden="false" customHeight="false" outlineLevel="0" collapsed="false">
      <c r="A400" s="21" t="n">
        <f aca="false">354/120</f>
        <v>2.95</v>
      </c>
      <c r="B400" s="21" t="n">
        <f aca="false">Risk_target+(Risk0-Risk_target)*EXP(-Risk_rate*A400)+Risk_hump*(A400/Risk_peak_t)*EXP(1-A400/Risk_peak_t)</f>
        <v>63.0007544951349</v>
      </c>
    </row>
    <row r="401" customFormat="false" ht="15" hidden="false" customHeight="false" outlineLevel="0" collapsed="false">
      <c r="A401" s="21" t="n">
        <f aca="false">355/120</f>
        <v>2.95833333333333</v>
      </c>
      <c r="B401" s="21" t="n">
        <f aca="false">Risk_target+(Risk0-Risk_target)*EXP(-Risk_rate*A401)+Risk_hump*(A401/Risk_peak_t)*EXP(1-A401/Risk_peak_t)</f>
        <v>62.9545153987821</v>
      </c>
    </row>
    <row r="402" customFormat="false" ht="15" hidden="false" customHeight="false" outlineLevel="0" collapsed="false">
      <c r="A402" s="21" t="n">
        <f aca="false">356/120</f>
        <v>2.96666666666667</v>
      </c>
      <c r="B402" s="21" t="n">
        <f aca="false">Risk_target+(Risk0-Risk_target)*EXP(-Risk_rate*A402)+Risk_hump*(A402/Risk_peak_t)*EXP(1-A402/Risk_peak_t)</f>
        <v>62.9083931078748</v>
      </c>
    </row>
    <row r="403" customFormat="false" ht="15" hidden="false" customHeight="false" outlineLevel="0" collapsed="false">
      <c r="A403" s="21" t="n">
        <f aca="false">357/120</f>
        <v>2.975</v>
      </c>
      <c r="B403" s="21" t="n">
        <f aca="false">Risk_target+(Risk0-Risk_target)*EXP(-Risk_rate*A403)+Risk_hump*(A403/Risk_peak_t)*EXP(1-A403/Risk_peak_t)</f>
        <v>62.8623880486339</v>
      </c>
    </row>
    <row r="404" customFormat="false" ht="15" hidden="false" customHeight="false" outlineLevel="0" collapsed="false">
      <c r="A404" s="21" t="n">
        <f aca="false">358/120</f>
        <v>2.98333333333333</v>
      </c>
      <c r="B404" s="21" t="n">
        <f aca="false">Risk_target+(Risk0-Risk_target)*EXP(-Risk_rate*A404)+Risk_hump*(A404/Risk_peak_t)*EXP(1-A404/Risk_peak_t)</f>
        <v>62.8165006363577</v>
      </c>
    </row>
    <row r="405" customFormat="false" ht="15" hidden="false" customHeight="false" outlineLevel="0" collapsed="false">
      <c r="A405" s="21" t="n">
        <f aca="false">359/120</f>
        <v>2.99166666666667</v>
      </c>
      <c r="B405" s="21" t="n">
        <f aca="false">Risk_target+(Risk0-Risk_target)*EXP(-Risk_rate*A405)+Risk_hump*(A405/Risk_peak_t)*EXP(1-A405/Risk_peak_t)</f>
        <v>62.7707312755512</v>
      </c>
    </row>
    <row r="406" customFormat="false" ht="15" hidden="false" customHeight="false" outlineLevel="0" collapsed="false">
      <c r="A406" s="21" t="n">
        <f aca="false">360/120</f>
        <v>3</v>
      </c>
      <c r="B406" s="21" t="n">
        <f aca="false">Risk_target+(Risk0-Risk_target)*EXP(-Risk_rate*A406)+Risk_hump*(A406/Risk_peak_t)*EXP(1-A406/Risk_peak_t)</f>
        <v>62.7250803600537</v>
      </c>
    </row>
    <row r="407" customFormat="false" ht="15" hidden="false" customHeight="false" outlineLevel="0" collapsed="false">
      <c r="A407" s="21" t="n">
        <f aca="false">361/120</f>
        <v>3.00833333333333</v>
      </c>
      <c r="B407" s="21" t="n">
        <f aca="false">Risk_target+(Risk0-Risk_target)*EXP(-Risk_rate*A407)+Risk_hump*(A407/Risk_peak_t)*EXP(1-A407/Risk_peak_t)</f>
        <v>62.6795482731648</v>
      </c>
    </row>
    <row r="408" customFormat="false" ht="15" hidden="false" customHeight="false" outlineLevel="0" collapsed="false">
      <c r="A408" s="21" t="n">
        <f aca="false">362/120</f>
        <v>3.01666666666667</v>
      </c>
      <c r="B408" s="21" t="n">
        <f aca="false">Risk_target+(Risk0-Risk_target)*EXP(-Risk_rate*A408)+Risk_hump*(A408/Risk_peak_t)*EXP(1-A408/Risk_peak_t)</f>
        <v>62.6341353877699</v>
      </c>
    </row>
    <row r="409" customFormat="false" ht="15" hidden="false" customHeight="false" outlineLevel="0" collapsed="false">
      <c r="A409" s="21" t="n">
        <f aca="false">363/120</f>
        <v>3.025</v>
      </c>
      <c r="B409" s="21" t="n">
        <f aca="false">Risk_target+(Risk0-Risk_target)*EXP(-Risk_rate*A409)+Risk_hump*(A409/Risk_peak_t)*EXP(1-A409/Risk_peak_t)</f>
        <v>62.5888420664641</v>
      </c>
    </row>
    <row r="410" customFormat="false" ht="15" hidden="false" customHeight="false" outlineLevel="0" collapsed="false">
      <c r="A410" s="21" t="n">
        <f aca="false">364/120</f>
        <v>3.03333333333333</v>
      </c>
      <c r="B410" s="21" t="n">
        <f aca="false">Risk_target+(Risk0-Risk_target)*EXP(-Risk_rate*A410)+Risk_hump*(A410/Risk_peak_t)*EXP(1-A410/Risk_peak_t)</f>
        <v>62.5436686616746</v>
      </c>
    </row>
    <row r="411" customFormat="false" ht="15" hidden="false" customHeight="false" outlineLevel="0" collapsed="false">
      <c r="A411" s="21" t="n">
        <f aca="false">365/120</f>
        <v>3.04166666666667</v>
      </c>
      <c r="B411" s="21" t="n">
        <f aca="false">Risk_target+(Risk0-Risk_target)*EXP(-Risk_rate*A411)+Risk_hump*(A411/Risk_peak_t)*EXP(1-A411/Risk_peak_t)</f>
        <v>62.4986155157825</v>
      </c>
    </row>
    <row r="412" customFormat="false" ht="15" hidden="false" customHeight="false" outlineLevel="0" collapsed="false">
      <c r="A412" s="21" t="n">
        <f aca="false">366/120</f>
        <v>3.05</v>
      </c>
      <c r="B412" s="21" t="n">
        <f aca="false">Risk_target+(Risk0-Risk_target)*EXP(-Risk_rate*A412)+Risk_hump*(A412/Risk_peak_t)*EXP(1-A412/Risk_peak_t)</f>
        <v>62.453682961243</v>
      </c>
    </row>
    <row r="413" customFormat="false" ht="15" hidden="false" customHeight="false" outlineLevel="0" collapsed="false">
      <c r="A413" s="21" t="n">
        <f aca="false">367/120</f>
        <v>3.05833333333333</v>
      </c>
      <c r="B413" s="21" t="n">
        <f aca="false">Risk_target+(Risk0-Risk_target)*EXP(-Risk_rate*A413)+Risk_hump*(A413/Risk_peak_t)*EXP(1-A413/Risk_peak_t)</f>
        <v>62.4088713207045</v>
      </c>
    </row>
    <row r="414" customFormat="false" ht="15" hidden="false" customHeight="false" outlineLevel="0" collapsed="false">
      <c r="A414" s="21" t="n">
        <f aca="false">368/120</f>
        <v>3.06666666666667</v>
      </c>
      <c r="B414" s="21" t="n">
        <f aca="false">Risk_target+(Risk0-Risk_target)*EXP(-Risk_rate*A414)+Risk_hump*(A414/Risk_peak_t)*EXP(1-A414/Risk_peak_t)</f>
        <v>62.3641809071265</v>
      </c>
    </row>
    <row r="415" customFormat="false" ht="15" hidden="false" customHeight="false" outlineLevel="0" collapsed="false">
      <c r="A415" s="21" t="n">
        <f aca="false">369/120</f>
        <v>3.075</v>
      </c>
      <c r="B415" s="21" t="n">
        <f aca="false">Risk_target+(Risk0-Risk_target)*EXP(-Risk_rate*A415)+Risk_hump*(A415/Risk_peak_t)*EXP(1-A415/Risk_peak_t)</f>
        <v>62.3196120238968</v>
      </c>
    </row>
    <row r="416" customFormat="false" ht="15" hidden="false" customHeight="false" outlineLevel="0" collapsed="false">
      <c r="A416" s="21" t="n">
        <f aca="false">370/120</f>
        <v>3.08333333333333</v>
      </c>
      <c r="B416" s="21" t="n">
        <f aca="false">Risk_target+(Risk0-Risk_target)*EXP(-Risk_rate*A416)+Risk_hump*(A416/Risk_peak_t)*EXP(1-A416/Risk_peak_t)</f>
        <v>62.2751649649466</v>
      </c>
    </row>
    <row r="417" customFormat="false" ht="15" hidden="false" customHeight="false" outlineLevel="0" collapsed="false">
      <c r="A417" s="21" t="n">
        <f aca="false">371/120</f>
        <v>3.09166666666667</v>
      </c>
      <c r="B417" s="21" t="n">
        <f aca="false">Risk_target+(Risk0-Risk_target)*EXP(-Risk_rate*A417)+Risk_hump*(A417/Risk_peak_t)*EXP(1-A417/Risk_peak_t)</f>
        <v>62.2308400148654</v>
      </c>
    </row>
    <row r="418" customFormat="false" ht="15" hidden="false" customHeight="false" outlineLevel="0" collapsed="false">
      <c r="A418" s="21" t="n">
        <f aca="false">372/120</f>
        <v>3.1</v>
      </c>
      <c r="B418" s="21" t="n">
        <f aca="false">Risk_target+(Risk0-Risk_target)*EXP(-Risk_rate*A418)+Risk_hump*(A418/Risk_peak_t)*EXP(1-A418/Risk_peak_t)</f>
        <v>62.1866374490144</v>
      </c>
    </row>
    <row r="419" customFormat="false" ht="15" hidden="false" customHeight="false" outlineLevel="0" collapsed="false">
      <c r="A419" s="21" t="n">
        <f aca="false">373/120</f>
        <v>3.10833333333333</v>
      </c>
      <c r="B419" s="21" t="n">
        <f aca="false">Risk_target+(Risk0-Risk_target)*EXP(-Risk_rate*A419)+Risk_hump*(A419/Risk_peak_t)*EXP(1-A419/Risk_peak_t)</f>
        <v>62.1425575336385</v>
      </c>
    </row>
    <row r="420" customFormat="false" ht="15" hidden="false" customHeight="false" outlineLevel="0" collapsed="false">
      <c r="A420" s="21" t="n">
        <f aca="false">374/120</f>
        <v>3.11666666666667</v>
      </c>
      <c r="B420" s="21" t="n">
        <f aca="false">Risk_target+(Risk0-Risk_target)*EXP(-Risk_rate*A420)+Risk_hump*(A420/Risk_peak_t)*EXP(1-A420/Risk_peak_t)</f>
        <v>62.0986005259779</v>
      </c>
    </row>
    <row r="421" customFormat="false" ht="15" hidden="false" customHeight="false" outlineLevel="0" collapsed="false">
      <c r="A421" s="21" t="n">
        <f aca="false">375/120</f>
        <v>3.125</v>
      </c>
      <c r="B421" s="21" t="n">
        <f aca="false">Risk_target+(Risk0-Risk_target)*EXP(-Risk_rate*A421)+Risk_hump*(A421/Risk_peak_t)*EXP(1-A421/Risk_peak_t)</f>
        <v>62.0547666743777</v>
      </c>
    </row>
    <row r="422" customFormat="false" ht="15" hidden="false" customHeight="false" outlineLevel="0" collapsed="false">
      <c r="A422" s="21" t="n">
        <f aca="false">376/120</f>
        <v>3.13333333333333</v>
      </c>
      <c r="B422" s="21" t="n">
        <f aca="false">Risk_target+(Risk0-Risk_target)*EXP(-Risk_rate*A422)+Risk_hump*(A422/Risk_peak_t)*EXP(1-A422/Risk_peak_t)</f>
        <v>62.0110562183974</v>
      </c>
    </row>
    <row r="423" customFormat="false" ht="15" hidden="false" customHeight="false" outlineLevel="0" collapsed="false">
      <c r="A423" s="21" t="n">
        <f aca="false">377/120</f>
        <v>3.14166666666667</v>
      </c>
      <c r="B423" s="21" t="n">
        <f aca="false">Risk_target+(Risk0-Risk_target)*EXP(-Risk_rate*A423)+Risk_hump*(A423/Risk_peak_t)*EXP(1-A423/Risk_peak_t)</f>
        <v>61.9674693889184</v>
      </c>
    </row>
    <row r="424" customFormat="false" ht="15" hidden="false" customHeight="false" outlineLevel="0" collapsed="false">
      <c r="A424" s="21" t="n">
        <f aca="false">378/120</f>
        <v>3.15</v>
      </c>
      <c r="B424" s="21" t="n">
        <f aca="false">Risk_target+(Risk0-Risk_target)*EXP(-Risk_rate*A424)+Risk_hump*(A424/Risk_peak_t)*EXP(1-A424/Risk_peak_t)</f>
        <v>61.9240064082511</v>
      </c>
    </row>
    <row r="425" customFormat="false" ht="15" hidden="false" customHeight="false" outlineLevel="0" collapsed="false">
      <c r="A425" s="21" t="n">
        <f aca="false">379/120</f>
        <v>3.15833333333333</v>
      </c>
      <c r="B425" s="21" t="n">
        <f aca="false">Risk_target+(Risk0-Risk_target)*EXP(-Risk_rate*A425)+Risk_hump*(A425/Risk_peak_t)*EXP(1-A425/Risk_peak_t)</f>
        <v>61.8806674902407</v>
      </c>
    </row>
    <row r="426" customFormat="false" ht="15" hidden="false" customHeight="false" outlineLevel="0" collapsed="false">
      <c r="A426" s="21" t="n">
        <f aca="false">380/120</f>
        <v>3.16666666666667</v>
      </c>
      <c r="B426" s="21" t="n">
        <f aca="false">Risk_target+(Risk0-Risk_target)*EXP(-Risk_rate*A426)+Risk_hump*(A426/Risk_peak_t)*EXP(1-A426/Risk_peak_t)</f>
        <v>61.8374528403716</v>
      </c>
    </row>
    <row r="427" customFormat="false" ht="15" hidden="false" customHeight="false" outlineLevel="0" collapsed="false">
      <c r="A427" s="21" t="n">
        <f aca="false">381/120</f>
        <v>3.175</v>
      </c>
      <c r="B427" s="21" t="n">
        <f aca="false">Risk_target+(Risk0-Risk_target)*EXP(-Risk_rate*A427)+Risk_hump*(A427/Risk_peak_t)*EXP(1-A427/Risk_peak_t)</f>
        <v>61.7943626558716</v>
      </c>
    </row>
    <row r="428" customFormat="false" ht="15" hidden="false" customHeight="false" outlineLevel="0" collapsed="false">
      <c r="A428" s="21" t="n">
        <f aca="false">382/120</f>
        <v>3.18333333333333</v>
      </c>
      <c r="B428" s="21" t="n">
        <f aca="false">Risk_target+(Risk0-Risk_target)*EXP(-Risk_rate*A428)+Risk_hump*(A428/Risk_peak_t)*EXP(1-A428/Risk_peak_t)</f>
        <v>61.7513971258143</v>
      </c>
    </row>
    <row r="429" customFormat="false" ht="15" hidden="false" customHeight="false" outlineLevel="0" collapsed="false">
      <c r="A429" s="21" t="n">
        <f aca="false">383/120</f>
        <v>3.19166666666667</v>
      </c>
      <c r="B429" s="21" t="n">
        <f aca="false">Risk_target+(Risk0-Risk_target)*EXP(-Risk_rate*A429)+Risk_hump*(A429/Risk_peak_t)*EXP(1-A429/Risk_peak_t)</f>
        <v>61.7085564312208</v>
      </c>
    </row>
    <row r="430" customFormat="false" ht="15" hidden="false" customHeight="false" outlineLevel="0" collapsed="false">
      <c r="A430" s="21" t="n">
        <f aca="false">384/120</f>
        <v>3.2</v>
      </c>
      <c r="B430" s="21" t="n">
        <f aca="false">Risk_target+(Risk0-Risk_target)*EXP(-Risk_rate*A430)+Risk_hump*(A430/Risk_peak_t)*EXP(1-A430/Risk_peak_t)</f>
        <v>61.6658407451605</v>
      </c>
    </row>
    <row r="431" customFormat="false" ht="15" hidden="false" customHeight="false" outlineLevel="0" collapsed="false">
      <c r="A431" s="21" t="n">
        <f aca="false">385/120</f>
        <v>3.20833333333333</v>
      </c>
      <c r="B431" s="21" t="n">
        <f aca="false">Risk_target+(Risk0-Risk_target)*EXP(-Risk_rate*A431)+Risk_hump*(A431/Risk_peak_t)*EXP(1-A431/Risk_peak_t)</f>
        <v>61.6232502328504</v>
      </c>
    </row>
    <row r="432" customFormat="false" ht="15" hidden="false" customHeight="false" outlineLevel="0" collapsed="false">
      <c r="A432" s="21" t="n">
        <f aca="false">386/120</f>
        <v>3.21666666666667</v>
      </c>
      <c r="B432" s="21" t="n">
        <f aca="false">Risk_target+(Risk0-Risk_target)*EXP(-Risk_rate*A432)+Risk_hump*(A432/Risk_peak_t)*EXP(1-A432/Risk_peak_t)</f>
        <v>61.580785051754</v>
      </c>
    </row>
    <row r="433" customFormat="false" ht="15" hidden="false" customHeight="false" outlineLevel="0" collapsed="false">
      <c r="A433" s="21" t="n">
        <f aca="false">387/120</f>
        <v>3.225</v>
      </c>
      <c r="B433" s="21" t="n">
        <f aca="false">Risk_target+(Risk0-Risk_target)*EXP(-Risk_rate*A433)+Risk_hump*(A433/Risk_peak_t)*EXP(1-A433/Risk_peak_t)</f>
        <v>61.5384453516791</v>
      </c>
    </row>
    <row r="434" customFormat="false" ht="15" hidden="false" customHeight="false" outlineLevel="0" collapsed="false">
      <c r="A434" s="21" t="n">
        <f aca="false">388/120</f>
        <v>3.23333333333333</v>
      </c>
      <c r="B434" s="21" t="n">
        <f aca="false">Risk_target+(Risk0-Risk_target)*EXP(-Risk_rate*A434)+Risk_hump*(A434/Risk_peak_t)*EXP(1-A434/Risk_peak_t)</f>
        <v>61.4962312748742</v>
      </c>
    </row>
    <row r="435" customFormat="false" ht="15" hidden="false" customHeight="false" outlineLevel="0" collapsed="false">
      <c r="A435" s="21" t="n">
        <f aca="false">389/120</f>
        <v>3.24166666666667</v>
      </c>
      <c r="B435" s="21" t="n">
        <f aca="false">Risk_target+(Risk0-Risk_target)*EXP(-Risk_rate*A435)+Risk_hump*(A435/Risk_peak_t)*EXP(1-A435/Risk_peak_t)</f>
        <v>61.4541429561245</v>
      </c>
    </row>
    <row r="436" customFormat="false" ht="15" hidden="false" customHeight="false" outlineLevel="0" collapsed="false">
      <c r="A436" s="21" t="n">
        <f aca="false">390/120</f>
        <v>3.25</v>
      </c>
      <c r="B436" s="21" t="n">
        <f aca="false">Risk_target+(Risk0-Risk_target)*EXP(-Risk_rate*A436)+Risk_hump*(A436/Risk_peak_t)*EXP(1-A436/Risk_peak_t)</f>
        <v>61.4121805228463</v>
      </c>
    </row>
    <row r="437" customFormat="false" ht="15" hidden="false" customHeight="false" outlineLevel="0" collapsed="false">
      <c r="A437" s="21" t="n">
        <f aca="false">391/120</f>
        <v>3.25833333333333</v>
      </c>
      <c r="B437" s="21" t="n">
        <f aca="false">Risk_target+(Risk0-Risk_target)*EXP(-Risk_rate*A437)+Risk_hump*(A437/Risk_peak_t)*EXP(1-A437/Risk_peak_t)</f>
        <v>61.3703440951813</v>
      </c>
    </row>
    <row r="438" customFormat="false" ht="15" hidden="false" customHeight="false" outlineLevel="0" collapsed="false">
      <c r="A438" s="21" t="n">
        <f aca="false">392/120</f>
        <v>3.26666666666667</v>
      </c>
      <c r="B438" s="21" t="n">
        <f aca="false">Risk_target+(Risk0-Risk_target)*EXP(-Risk_rate*A438)+Risk_hump*(A438/Risk_peak_t)*EXP(1-A438/Risk_peak_t)</f>
        <v>61.3286337860892</v>
      </c>
    </row>
    <row r="439" customFormat="false" ht="15" hidden="false" customHeight="false" outlineLevel="0" collapsed="false">
      <c r="A439" s="21" t="n">
        <f aca="false">393/120</f>
        <v>3.275</v>
      </c>
      <c r="B439" s="21" t="n">
        <f aca="false">Risk_target+(Risk0-Risk_target)*EXP(-Risk_rate*A439)+Risk_hump*(A439/Risk_peak_t)*EXP(1-A439/Risk_peak_t)</f>
        <v>61.2870497014396</v>
      </c>
    </row>
    <row r="440" customFormat="false" ht="15" hidden="false" customHeight="false" outlineLevel="0" collapsed="false">
      <c r="A440" s="21" t="n">
        <f aca="false">394/120</f>
        <v>3.28333333333333</v>
      </c>
      <c r="B440" s="21" t="n">
        <f aca="false">Risk_target+(Risk0-Risk_target)*EXP(-Risk_rate*A440)+Risk_hump*(A440/Risk_peak_t)*EXP(1-A440/Risk_peak_t)</f>
        <v>61.2455919401033</v>
      </c>
    </row>
    <row r="441" customFormat="false" ht="15" hidden="false" customHeight="false" outlineLevel="0" collapsed="false">
      <c r="A441" s="21" t="n">
        <f aca="false">395/120</f>
        <v>3.29166666666667</v>
      </c>
      <c r="B441" s="21" t="n">
        <f aca="false">Risk_target+(Risk0-Risk_target)*EXP(-Risk_rate*A441)+Risk_hump*(A441/Risk_peak_t)*EXP(1-A441/Risk_peak_t)</f>
        <v>61.2042605940421</v>
      </c>
    </row>
    <row r="442" customFormat="false" ht="15" hidden="false" customHeight="false" outlineLevel="0" collapsed="false">
      <c r="A442" s="21" t="n">
        <f aca="false">396/120</f>
        <v>3.3</v>
      </c>
      <c r="B442" s="21" t="n">
        <f aca="false">Risk_target+(Risk0-Risk_target)*EXP(-Risk_rate*A442)+Risk_hump*(A442/Risk_peak_t)*EXP(1-A442/Risk_peak_t)</f>
        <v>61.1630557483982</v>
      </c>
    </row>
    <row r="443" customFormat="false" ht="15" hidden="false" customHeight="false" outlineLevel="0" collapsed="false">
      <c r="A443" s="21" t="n">
        <f aca="false">397/120</f>
        <v>3.30833333333333</v>
      </c>
      <c r="B443" s="21" t="n">
        <f aca="false">Risk_target+(Risk0-Risk_target)*EXP(-Risk_rate*A443)+Risk_hump*(A443/Risk_peak_t)*EXP(1-A443/Risk_peak_t)</f>
        <v>61.1219774815826</v>
      </c>
    </row>
    <row r="444" customFormat="false" ht="15" hidden="false" customHeight="false" outlineLevel="0" collapsed="false">
      <c r="A444" s="21" t="n">
        <f aca="false">398/120</f>
        <v>3.31666666666667</v>
      </c>
      <c r="B444" s="21" t="n">
        <f aca="false">Risk_target+(Risk0-Risk_target)*EXP(-Risk_rate*A444)+Risk_hump*(A444/Risk_peak_t)*EXP(1-A444/Risk_peak_t)</f>
        <v>61.0810258653621</v>
      </c>
    </row>
    <row r="445" customFormat="false" ht="15" hidden="false" customHeight="false" outlineLevel="0" collapsed="false">
      <c r="A445" s="21" t="n">
        <f aca="false">399/120</f>
        <v>3.325</v>
      </c>
      <c r="B445" s="21" t="n">
        <f aca="false">Risk_target+(Risk0-Risk_target)*EXP(-Risk_rate*A445)+Risk_hump*(A445/Risk_peak_t)*EXP(1-A445/Risk_peak_t)</f>
        <v>61.0402009649465</v>
      </c>
    </row>
    <row r="446" customFormat="false" ht="15" hidden="false" customHeight="false" outlineLevel="0" collapsed="false">
      <c r="A446" s="21" t="n">
        <f aca="false">400/120</f>
        <v>3.33333333333333</v>
      </c>
      <c r="B446" s="21" t="n">
        <f aca="false">Risk_target+(Risk0-Risk_target)*EXP(-Risk_rate*A446)+Risk_hump*(A446/Risk_peak_t)*EXP(1-A446/Risk_peak_t)</f>
        <v>60.9995028390737</v>
      </c>
    </row>
    <row r="447" customFormat="false" ht="15" hidden="false" customHeight="false" outlineLevel="0" collapsed="false">
      <c r="A447" s="21" t="n">
        <f aca="false">401/120</f>
        <v>3.34166666666667</v>
      </c>
      <c r="B447" s="21" t="n">
        <f aca="false">Risk_target+(Risk0-Risk_target)*EXP(-Risk_rate*A447)+Risk_hump*(A447/Risk_peak_t)*EXP(1-A447/Risk_peak_t)</f>
        <v>60.9589315400946</v>
      </c>
    </row>
    <row r="448" customFormat="false" ht="15" hidden="false" customHeight="false" outlineLevel="0" collapsed="false">
      <c r="A448" s="21" t="n">
        <f aca="false">402/120</f>
        <v>3.35</v>
      </c>
      <c r="B448" s="21" t="n">
        <f aca="false">Risk_target+(Risk0-Risk_target)*EXP(-Risk_rate*A448)+Risk_hump*(A448/Risk_peak_t)*EXP(1-A448/Risk_peak_t)</f>
        <v>60.9184871140573</v>
      </c>
    </row>
    <row r="449" customFormat="false" ht="15" hidden="false" customHeight="false" outlineLevel="0" collapsed="false">
      <c r="A449" s="21" t="n">
        <f aca="false">403/120</f>
        <v>3.35833333333333</v>
      </c>
      <c r="B449" s="21" t="n">
        <f aca="false">Risk_target+(Risk0-Risk_target)*EXP(-Risk_rate*A449)+Risk_hump*(A449/Risk_peak_t)*EXP(1-A449/Risk_peak_t)</f>
        <v>60.87816960079</v>
      </c>
    </row>
    <row r="450" customFormat="false" ht="15" hidden="false" customHeight="false" outlineLevel="0" collapsed="false">
      <c r="A450" s="21" t="n">
        <f aca="false">404/120</f>
        <v>3.36666666666667</v>
      </c>
      <c r="B450" s="21" t="n">
        <f aca="false">Risk_target+(Risk0-Risk_target)*EXP(-Risk_rate*A450)+Risk_hump*(A450/Risk_peak_t)*EXP(1-A450/Risk_peak_t)</f>
        <v>60.8379790339832</v>
      </c>
    </row>
    <row r="451" customFormat="false" ht="15" hidden="false" customHeight="false" outlineLevel="0" collapsed="false">
      <c r="A451" s="21" t="n">
        <f aca="false">405/120</f>
        <v>3.375</v>
      </c>
      <c r="B451" s="21" t="n">
        <f aca="false">Risk_target+(Risk0-Risk_target)*EXP(-Risk_rate*A451)+Risk_hump*(A451/Risk_peak_t)*EXP(1-A451/Risk_peak_t)</f>
        <v>60.7979154412712</v>
      </c>
    </row>
    <row r="452" customFormat="false" ht="15" hidden="false" customHeight="false" outlineLevel="0" collapsed="false">
      <c r="A452" s="21" t="n">
        <f aca="false">406/120</f>
        <v>3.38333333333333</v>
      </c>
      <c r="B452" s="21" t="n">
        <f aca="false">Risk_target+(Risk0-Risk_target)*EXP(-Risk_rate*A452)+Risk_hump*(A452/Risk_peak_t)*EXP(1-A452/Risk_peak_t)</f>
        <v>60.7579788443127</v>
      </c>
    </row>
    <row r="453" customFormat="false" ht="15" hidden="false" customHeight="false" outlineLevel="0" collapsed="false">
      <c r="A453" s="21" t="n">
        <f aca="false">407/120</f>
        <v>3.39166666666667</v>
      </c>
      <c r="B453" s="21" t="n">
        <f aca="false">Risk_target+(Risk0-Risk_target)*EXP(-Risk_rate*A453)+Risk_hump*(A453/Risk_peak_t)*EXP(1-A453/Risk_peak_t)</f>
        <v>60.7181692588706</v>
      </c>
    </row>
    <row r="454" customFormat="false" ht="15" hidden="false" customHeight="false" outlineLevel="0" collapsed="false">
      <c r="A454" s="21" t="n">
        <f aca="false">408/120</f>
        <v>3.4</v>
      </c>
      <c r="B454" s="21" t="n">
        <f aca="false">Risk_target+(Risk0-Risk_target)*EXP(-Risk_rate*A454)+Risk_hump*(A454/Risk_peak_t)*EXP(1-A454/Risk_peak_t)</f>
        <v>60.6784866948908</v>
      </c>
    </row>
    <row r="455" customFormat="false" ht="15" hidden="false" customHeight="false" outlineLevel="0" collapsed="false">
      <c r="A455" s="21" t="n">
        <f aca="false">409/120</f>
        <v>3.40833333333333</v>
      </c>
      <c r="B455" s="21" t="n">
        <f aca="false">Risk_target+(Risk0-Risk_target)*EXP(-Risk_rate*A455)+Risk_hump*(A455/Risk_peak_t)*EXP(1-A455/Risk_peak_t)</f>
        <v>60.6389311565803</v>
      </c>
    </row>
    <row r="456" customFormat="false" ht="15" hidden="false" customHeight="false" outlineLevel="0" collapsed="false">
      <c r="A456" s="21" t="n">
        <f aca="false">410/120</f>
        <v>3.41666666666667</v>
      </c>
      <c r="B456" s="21" t="n">
        <f aca="false">Risk_target+(Risk0-Risk_target)*EXP(-Risk_rate*A456)+Risk_hump*(A456/Risk_peak_t)*EXP(1-A456/Risk_peak_t)</f>
        <v>60.5995026424849</v>
      </c>
    </row>
    <row r="457" customFormat="false" ht="15" hidden="false" customHeight="false" outlineLevel="0" collapsed="false">
      <c r="A457" s="21" t="n">
        <f aca="false">411/120</f>
        <v>3.425</v>
      </c>
      <c r="B457" s="21" t="n">
        <f aca="false">Risk_target+(Risk0-Risk_target)*EXP(-Risk_rate*A457)+Risk_hump*(A457/Risk_peak_t)*EXP(1-A457/Risk_peak_t)</f>
        <v>60.5602011455656</v>
      </c>
    </row>
    <row r="458" customFormat="false" ht="15" hidden="false" customHeight="false" outlineLevel="0" collapsed="false">
      <c r="A458" s="21" t="n">
        <f aca="false">412/120</f>
        <v>3.43333333333333</v>
      </c>
      <c r="B458" s="21" t="n">
        <f aca="false">Risk_target+(Risk0-Risk_target)*EXP(-Risk_rate*A458)+Risk_hump*(A458/Risk_peak_t)*EXP(1-A458/Risk_peak_t)</f>
        <v>60.521026653274</v>
      </c>
    </row>
    <row r="459" customFormat="false" ht="15" hidden="false" customHeight="false" outlineLevel="0" collapsed="false">
      <c r="A459" s="21" t="n">
        <f aca="false">413/120</f>
        <v>3.44166666666667</v>
      </c>
      <c r="B459" s="21" t="n">
        <f aca="false">Risk_target+(Risk0-Risk_target)*EXP(-Risk_rate*A459)+Risk_hump*(A459/Risk_peak_t)*EXP(1-A459/Risk_peak_t)</f>
        <v>60.4819791476279</v>
      </c>
    </row>
    <row r="460" customFormat="false" ht="15" hidden="false" customHeight="false" outlineLevel="0" collapsed="false">
      <c r="A460" s="21" t="n">
        <f aca="false">414/120</f>
        <v>3.45</v>
      </c>
      <c r="B460" s="21" t="n">
        <f aca="false">Risk_target+(Risk0-Risk_target)*EXP(-Risk_rate*A460)+Risk_hump*(A460/Risk_peak_t)*EXP(1-A460/Risk_peak_t)</f>
        <v>60.4430586052852</v>
      </c>
    </row>
    <row r="461" customFormat="false" ht="15" hidden="false" customHeight="false" outlineLevel="0" collapsed="false">
      <c r="A461" s="21" t="n">
        <f aca="false">415/120</f>
        <v>3.45833333333333</v>
      </c>
      <c r="B461" s="21" t="n">
        <f aca="false">Risk_target+(Risk0-Risk_target)*EXP(-Risk_rate*A461)+Risk_hump*(A461/Risk_peak_t)*EXP(1-A461/Risk_peak_t)</f>
        <v>60.4042649976173</v>
      </c>
    </row>
    <row r="462" customFormat="false" ht="15" hidden="false" customHeight="false" outlineLevel="0" collapsed="false">
      <c r="A462" s="21" t="n">
        <f aca="false">416/120</f>
        <v>3.46666666666667</v>
      </c>
      <c r="B462" s="21" t="n">
        <f aca="false">Risk_target+(Risk0-Risk_target)*EXP(-Risk_rate*A462)+Risk_hump*(A462/Risk_peak_t)*EXP(1-A462/Risk_peak_t)</f>
        <v>60.365598290782</v>
      </c>
    </row>
    <row r="463" customFormat="false" ht="15" hidden="false" customHeight="false" outlineLevel="0" collapsed="false">
      <c r="A463" s="21" t="n">
        <f aca="false">417/120</f>
        <v>3.475</v>
      </c>
      <c r="B463" s="21" t="n">
        <f aca="false">Risk_target+(Risk0-Risk_target)*EXP(-Risk_rate*A463)+Risk_hump*(A463/Risk_peak_t)*EXP(1-A463/Risk_peak_t)</f>
        <v>60.3270584457954</v>
      </c>
    </row>
    <row r="464" customFormat="false" ht="15" hidden="false" customHeight="false" outlineLevel="0" collapsed="false">
      <c r="A464" s="21" t="n">
        <f aca="false">418/120</f>
        <v>3.48333333333333</v>
      </c>
      <c r="B464" s="21" t="n">
        <f aca="false">Risk_target+(Risk0-Risk_target)*EXP(-Risk_rate*A464)+Risk_hump*(A464/Risk_peak_t)*EXP(1-A464/Risk_peak_t)</f>
        <v>60.2886454186032</v>
      </c>
    </row>
    <row r="465" customFormat="false" ht="15" hidden="false" customHeight="false" outlineLevel="0" collapsed="false">
      <c r="A465" s="21" t="n">
        <f aca="false">419/120</f>
        <v>3.49166666666667</v>
      </c>
      <c r="B465" s="21" t="n">
        <f aca="false">Risk_target+(Risk0-Risk_target)*EXP(-Risk_rate*A465)+Risk_hump*(A465/Risk_peak_t)*EXP(1-A465/Risk_peak_t)</f>
        <v>60.2503591601509</v>
      </c>
    </row>
    <row r="466" customFormat="false" ht="15" hidden="false" customHeight="false" outlineLevel="0" collapsed="false">
      <c r="A466" s="21" t="n">
        <f aca="false">420/120</f>
        <v>3.5</v>
      </c>
      <c r="B466" s="21" t="n">
        <f aca="false">Risk_target+(Risk0-Risk_target)*EXP(-Risk_rate*A466)+Risk_hump*(A466/Risk_peak_t)*EXP(1-A466/Risk_peak_t)</f>
        <v>60.2121996164541</v>
      </c>
    </row>
    <row r="467" customFormat="false" ht="15" hidden="false" customHeight="false" outlineLevel="0" collapsed="false">
      <c r="A467" s="21" t="n">
        <f aca="false">421/120</f>
        <v>3.50833333333333</v>
      </c>
      <c r="B467" s="21" t="n">
        <f aca="false">Risk_target+(Risk0-Risk_target)*EXP(-Risk_rate*A467)+Risk_hump*(A467/Risk_peak_t)*EXP(1-A467/Risk_peak_t)</f>
        <v>60.174166728667</v>
      </c>
    </row>
    <row r="468" customFormat="false" ht="15" hidden="false" customHeight="false" outlineLevel="0" collapsed="false">
      <c r="A468" s="21" t="n">
        <f aca="false">422/120</f>
        <v>3.51666666666667</v>
      </c>
      <c r="B468" s="21" t="n">
        <f aca="false">Risk_target+(Risk0-Risk_target)*EXP(-Risk_rate*A468)+Risk_hump*(A468/Risk_peak_t)*EXP(1-A468/Risk_peak_t)</f>
        <v>60.1362604331508</v>
      </c>
    </row>
    <row r="469" customFormat="false" ht="15" hidden="false" customHeight="false" outlineLevel="0" collapsed="false">
      <c r="A469" s="21" t="n">
        <f aca="false">423/120</f>
        <v>3.525</v>
      </c>
      <c r="B469" s="21" t="n">
        <f aca="false">Risk_target+(Risk0-Risk_target)*EXP(-Risk_rate*A469)+Risk_hump*(A469/Risk_peak_t)*EXP(1-A469/Risk_peak_t)</f>
        <v>60.098480661542</v>
      </c>
    </row>
    <row r="470" customFormat="false" ht="15" hidden="false" customHeight="false" outlineLevel="0" collapsed="false">
      <c r="A470" s="21" t="n">
        <f aca="false">424/120</f>
        <v>3.53333333333333</v>
      </c>
      <c r="B470" s="21" t="n">
        <f aca="false">Risk_target+(Risk0-Risk_target)*EXP(-Risk_rate*A470)+Risk_hump*(A470/Risk_peak_t)*EXP(1-A470/Risk_peak_t)</f>
        <v>60.0608273408181</v>
      </c>
    </row>
    <row r="471" customFormat="false" ht="15" hidden="false" customHeight="false" outlineLevel="0" collapsed="false">
      <c r="A471" s="21" t="n">
        <f aca="false">425/120</f>
        <v>3.54166666666667</v>
      </c>
      <c r="B471" s="21" t="n">
        <f aca="false">Risk_target+(Risk0-Risk_target)*EXP(-Risk_rate*A471)+Risk_hump*(A471/Risk_peak_t)*EXP(1-A471/Risk_peak_t)</f>
        <v>60.0233003933651</v>
      </c>
    </row>
    <row r="472" customFormat="false" ht="15" hidden="false" customHeight="false" outlineLevel="0" collapsed="false">
      <c r="A472" s="21" t="n">
        <f aca="false">426/120</f>
        <v>3.55</v>
      </c>
      <c r="B472" s="21" t="n">
        <f aca="false">Risk_target+(Risk0-Risk_target)*EXP(-Risk_rate*A472)+Risk_hump*(A472/Risk_peak_t)*EXP(1-A472/Risk_peak_t)</f>
        <v>59.985899737042</v>
      </c>
    </row>
    <row r="473" customFormat="false" ht="15" hidden="false" customHeight="false" outlineLevel="0" collapsed="false">
      <c r="A473" s="21" t="n">
        <f aca="false">427/120</f>
        <v>3.55833333333333</v>
      </c>
      <c r="B473" s="21" t="n">
        <f aca="false">Risk_target+(Risk0-Risk_target)*EXP(-Risk_rate*A473)+Risk_hump*(A473/Risk_peak_t)*EXP(1-A473/Risk_peak_t)</f>
        <v>59.9486252852465</v>
      </c>
    </row>
    <row r="474" customFormat="false" ht="15" hidden="false" customHeight="false" outlineLevel="0" collapsed="false">
      <c r="A474" s="21" t="n">
        <f aca="false">428/120</f>
        <v>3.56666666666667</v>
      </c>
      <c r="B474" s="21" t="n">
        <f aca="false">Risk_target+(Risk0-Risk_target)*EXP(-Risk_rate*A474)+Risk_hump*(A474/Risk_peak_t)*EXP(1-A474/Risk_peak_t)</f>
        <v>59.9114769469785</v>
      </c>
    </row>
    <row r="475" customFormat="false" ht="15" hidden="false" customHeight="false" outlineLevel="0" collapsed="false">
      <c r="A475" s="21" t="n">
        <f aca="false">429/120</f>
        <v>3.575</v>
      </c>
      <c r="B475" s="21" t="n">
        <f aca="false">Risk_target+(Risk0-Risk_target)*EXP(-Risk_rate*A475)+Risk_hump*(A475/Risk_peak_t)*EXP(1-A475/Risk_peak_t)</f>
        <v>59.8744546269039</v>
      </c>
    </row>
    <row r="476" customFormat="false" ht="15" hidden="false" customHeight="false" outlineLevel="0" collapsed="false">
      <c r="A476" s="21" t="n">
        <f aca="false">430/120</f>
        <v>3.58333333333333</v>
      </c>
      <c r="B476" s="21" t="n">
        <f aca="false">Risk_target+(Risk0-Risk_target)*EXP(-Risk_rate*A476)+Risk_hump*(A476/Risk_peak_t)*EXP(1-A476/Risk_peak_t)</f>
        <v>59.8375582254175</v>
      </c>
    </row>
    <row r="477" customFormat="false" ht="15" hidden="false" customHeight="false" outlineLevel="0" collapsed="false">
      <c r="A477" s="21" t="n">
        <f aca="false">431/120</f>
        <v>3.59166666666667</v>
      </c>
      <c r="B477" s="21" t="n">
        <f aca="false">Risk_target+(Risk0-Risk_target)*EXP(-Risk_rate*A477)+Risk_hump*(A477/Risk_peak_t)*EXP(1-A477/Risk_peak_t)</f>
        <v>59.8007876387052</v>
      </c>
    </row>
    <row r="478" customFormat="false" ht="15" hidden="false" customHeight="false" outlineLevel="0" collapsed="false">
      <c r="A478" s="21" t="n">
        <f aca="false">432/120</f>
        <v>3.6</v>
      </c>
      <c r="B478" s="21" t="n">
        <f aca="false">Risk_target+(Risk0-Risk_target)*EXP(-Risk_rate*A478)+Risk_hump*(A478/Risk_peak_t)*EXP(1-A478/Risk_peak_t)</f>
        <v>59.7641427588053</v>
      </c>
    </row>
    <row r="479" customFormat="false" ht="15" hidden="false" customHeight="false" outlineLevel="0" collapsed="false">
      <c r="A479" s="21" t="n">
        <f aca="false">433/120</f>
        <v>3.60833333333333</v>
      </c>
      <c r="B479" s="21" t="n">
        <f aca="false">Risk_target+(Risk0-Risk_target)*EXP(-Risk_rate*A479)+Risk_hump*(A479/Risk_peak_t)*EXP(1-A479/Risk_peak_t)</f>
        <v>59.7276234736696</v>
      </c>
    </row>
    <row r="480" customFormat="false" ht="15" hidden="false" customHeight="false" outlineLevel="0" collapsed="false">
      <c r="A480" s="21" t="n">
        <f aca="false">434/120</f>
        <v>3.61666666666667</v>
      </c>
      <c r="B480" s="21" t="n">
        <f aca="false">Risk_target+(Risk0-Risk_target)*EXP(-Risk_rate*A480)+Risk_hump*(A480/Risk_peak_t)*EXP(1-A480/Risk_peak_t)</f>
        <v>59.6912296672237</v>
      </c>
    </row>
    <row r="481" customFormat="false" ht="15" hidden="false" customHeight="false" outlineLevel="0" collapsed="false">
      <c r="A481" s="21" t="n">
        <f aca="false">435/120</f>
        <v>3.625</v>
      </c>
      <c r="B481" s="21" t="n">
        <f aca="false">Risk_target+(Risk0-Risk_target)*EXP(-Risk_rate*A481)+Risk_hump*(A481/Risk_peak_t)*EXP(1-A481/Risk_peak_t)</f>
        <v>59.6549612194263</v>
      </c>
    </row>
    <row r="482" customFormat="false" ht="15" hidden="false" customHeight="false" outlineLevel="0" collapsed="false">
      <c r="A482" s="21" t="n">
        <f aca="false">436/120</f>
        <v>3.63333333333333</v>
      </c>
      <c r="B482" s="21" t="n">
        <f aca="false">Risk_target+(Risk0-Risk_target)*EXP(-Risk_rate*A482)+Risk_hump*(A482/Risk_peak_t)*EXP(1-A482/Risk_peak_t)</f>
        <v>59.6188180063285</v>
      </c>
    </row>
    <row r="483" customFormat="false" ht="15" hidden="false" customHeight="false" outlineLevel="0" collapsed="false">
      <c r="A483" s="21" t="n">
        <f aca="false">437/120</f>
        <v>3.64166666666667</v>
      </c>
      <c r="B483" s="21" t="n">
        <f aca="false">Risk_target+(Risk0-Risk_target)*EXP(-Risk_rate*A483)+Risk_hump*(A483/Risk_peak_t)*EXP(1-A483/Risk_peak_t)</f>
        <v>59.5827999001322</v>
      </c>
    </row>
    <row r="484" customFormat="false" ht="15" hidden="false" customHeight="false" outlineLevel="0" collapsed="false">
      <c r="A484" s="21" t="n">
        <f aca="false">438/120</f>
        <v>3.65</v>
      </c>
      <c r="B484" s="21" t="n">
        <f aca="false">Risk_target+(Risk0-Risk_target)*EXP(-Risk_rate*A484)+Risk_hump*(A484/Risk_peak_t)*EXP(1-A484/Risk_peak_t)</f>
        <v>59.5469067692476</v>
      </c>
    </row>
    <row r="485" customFormat="false" ht="15" hidden="false" customHeight="false" outlineLevel="0" collapsed="false">
      <c r="A485" s="21" t="n">
        <f aca="false">439/120</f>
        <v>3.65833333333333</v>
      </c>
      <c r="B485" s="21" t="n">
        <f aca="false">Risk_target+(Risk0-Risk_target)*EXP(-Risk_rate*A485)+Risk_hump*(A485/Risk_peak_t)*EXP(1-A485/Risk_peak_t)</f>
        <v>59.5111384783505</v>
      </c>
    </row>
    <row r="486" customFormat="false" ht="15" hidden="false" customHeight="false" outlineLevel="0" collapsed="false">
      <c r="A486" s="21" t="n">
        <f aca="false">440/120</f>
        <v>3.66666666666667</v>
      </c>
      <c r="B486" s="21" t="n">
        <f aca="false">Risk_target+(Risk0-Risk_target)*EXP(-Risk_rate*A486)+Risk_hump*(A486/Risk_peak_t)*EXP(1-A486/Risk_peak_t)</f>
        <v>59.4754948884388</v>
      </c>
    </row>
    <row r="487" customFormat="false" ht="15" hidden="false" customHeight="false" outlineLevel="0" collapsed="false">
      <c r="A487" s="21" t="n">
        <f aca="false">441/120</f>
        <v>3.675</v>
      </c>
      <c r="B487" s="21" t="n">
        <f aca="false">Risk_target+(Risk0-Risk_target)*EXP(-Risk_rate*A487)+Risk_hump*(A487/Risk_peak_t)*EXP(1-A487/Risk_peak_t)</f>
        <v>59.4399758568884</v>
      </c>
    </row>
    <row r="488" customFormat="false" ht="15" hidden="false" customHeight="false" outlineLevel="0" collapsed="false">
      <c r="A488" s="21" t="n">
        <f aca="false">442/120</f>
        <v>3.68333333333333</v>
      </c>
      <c r="B488" s="21" t="n">
        <f aca="false">Risk_target+(Risk0-Risk_target)*EXP(-Risk_rate*A488)+Risk_hump*(A488/Risk_peak_t)*EXP(1-A488/Risk_peak_t)</f>
        <v>59.4045812375088</v>
      </c>
    </row>
    <row r="489" customFormat="false" ht="15" hidden="false" customHeight="false" outlineLevel="0" collapsed="false">
      <c r="A489" s="21" t="n">
        <f aca="false">443/120</f>
        <v>3.69166666666667</v>
      </c>
      <c r="B489" s="21" t="n">
        <f aca="false">Risk_target+(Risk0-Risk_target)*EXP(-Risk_rate*A489)+Risk_hump*(A489/Risk_peak_t)*EXP(1-A489/Risk_peak_t)</f>
        <v>59.3693108805975</v>
      </c>
    </row>
    <row r="490" customFormat="false" ht="15" hidden="false" customHeight="false" outlineLevel="0" collapsed="false">
      <c r="A490" s="21" t="n">
        <f aca="false">444/120</f>
        <v>3.7</v>
      </c>
      <c r="B490" s="21" t="n">
        <f aca="false">Risk_target+(Risk0-Risk_target)*EXP(-Risk_rate*A490)+Risk_hump*(A490/Risk_peak_t)*EXP(1-A490/Risk_peak_t)</f>
        <v>59.3341646329942</v>
      </c>
    </row>
    <row r="491" customFormat="false" ht="15" hidden="false" customHeight="false" outlineLevel="0" collapsed="false">
      <c r="A491" s="21" t="n">
        <f aca="false">445/120</f>
        <v>3.70833333333333</v>
      </c>
      <c r="B491" s="21" t="n">
        <f aca="false">Risk_target+(Risk0-Risk_target)*EXP(-Risk_rate*A491)+Risk_hump*(A491/Risk_peak_t)*EXP(1-A491/Risk_peak_t)</f>
        <v>59.2991423381348</v>
      </c>
    </row>
    <row r="492" customFormat="false" ht="15" hidden="false" customHeight="false" outlineLevel="0" collapsed="false">
      <c r="A492" s="21" t="n">
        <f aca="false">446/120</f>
        <v>3.71666666666667</v>
      </c>
      <c r="B492" s="21" t="n">
        <f aca="false">Risk_target+(Risk0-Risk_target)*EXP(-Risk_rate*A492)+Risk_hump*(A492/Risk_peak_t)*EXP(1-A492/Risk_peak_t)</f>
        <v>59.2642438361041</v>
      </c>
    </row>
    <row r="493" customFormat="false" ht="15" hidden="false" customHeight="false" outlineLevel="0" collapsed="false">
      <c r="A493" s="21" t="n">
        <f aca="false">447/120</f>
        <v>3.725</v>
      </c>
      <c r="B493" s="21" t="n">
        <f aca="false">Risk_target+(Risk0-Risk_target)*EXP(-Risk_rate*A493)+Risk_hump*(A493/Risk_peak_t)*EXP(1-A493/Risk_peak_t)</f>
        <v>59.2294689636882</v>
      </c>
    </row>
    <row r="494" customFormat="false" ht="15" hidden="false" customHeight="false" outlineLevel="0" collapsed="false">
      <c r="A494" s="21" t="n">
        <f aca="false">448/120</f>
        <v>3.73333333333333</v>
      </c>
      <c r="B494" s="21" t="n">
        <f aca="false">Risk_target+(Risk0-Risk_target)*EXP(-Risk_rate*A494)+Risk_hump*(A494/Risk_peak_t)*EXP(1-A494/Risk_peak_t)</f>
        <v>59.1948175544266</v>
      </c>
    </row>
    <row r="495" customFormat="false" ht="15" hidden="false" customHeight="false" outlineLevel="0" collapsed="false">
      <c r="A495" s="21" t="n">
        <f aca="false">449/120</f>
        <v>3.74166666666667</v>
      </c>
      <c r="B495" s="21" t="n">
        <f aca="false">Risk_target+(Risk0-Risk_target)*EXP(-Risk_rate*A495)+Risk_hump*(A495/Risk_peak_t)*EXP(1-A495/Risk_peak_t)</f>
        <v>59.1602894386635</v>
      </c>
    </row>
    <row r="496" customFormat="false" ht="15" hidden="false" customHeight="false" outlineLevel="0" collapsed="false">
      <c r="A496" s="21" t="n">
        <f aca="false">450/120</f>
        <v>3.75</v>
      </c>
      <c r="B496" s="21" t="n">
        <f aca="false">Risk_target+(Risk0-Risk_target)*EXP(-Risk_rate*A496)+Risk_hump*(A496/Risk_peak_t)*EXP(1-A496/Risk_peak_t)</f>
        <v>59.1258844435986</v>
      </c>
    </row>
    <row r="497" customFormat="false" ht="15" hidden="false" customHeight="false" outlineLevel="0" collapsed="false">
      <c r="A497" s="21" t="n">
        <f aca="false">451/120</f>
        <v>3.75833333333333</v>
      </c>
      <c r="B497" s="21" t="n">
        <f aca="false">Risk_target+(Risk0-Risk_target)*EXP(-Risk_rate*A497)+Risk_hump*(A497/Risk_peak_t)*EXP(1-A497/Risk_peak_t)</f>
        <v>59.0916023933371</v>
      </c>
    </row>
    <row r="498" customFormat="false" ht="15" hidden="false" customHeight="false" outlineLevel="0" collapsed="false">
      <c r="A498" s="21" t="n">
        <f aca="false">452/120</f>
        <v>3.76666666666667</v>
      </c>
      <c r="B498" s="21" t="n">
        <f aca="false">Risk_target+(Risk0-Risk_target)*EXP(-Risk_rate*A498)+Risk_hump*(A498/Risk_peak_t)*EXP(1-A498/Risk_peak_t)</f>
        <v>59.0574431089399</v>
      </c>
    </row>
    <row r="499" customFormat="false" ht="15" hidden="false" customHeight="false" outlineLevel="0" collapsed="false">
      <c r="A499" s="21" t="n">
        <f aca="false">453/120</f>
        <v>3.775</v>
      </c>
      <c r="B499" s="21" t="n">
        <f aca="false">Risk_target+(Risk0-Risk_target)*EXP(-Risk_rate*A499)+Risk_hump*(A499/Risk_peak_t)*EXP(1-A499/Risk_peak_t)</f>
        <v>59.0234064084723</v>
      </c>
    </row>
    <row r="500" customFormat="false" ht="15" hidden="false" customHeight="false" outlineLevel="0" collapsed="false">
      <c r="A500" s="21" t="n">
        <f aca="false">454/120</f>
        <v>3.78333333333333</v>
      </c>
      <c r="B500" s="21" t="n">
        <f aca="false">Risk_target+(Risk0-Risk_target)*EXP(-Risk_rate*A500)+Risk_hump*(A500/Risk_peak_t)*EXP(1-A500/Risk_peak_t)</f>
        <v>58.9894921070529</v>
      </c>
    </row>
    <row r="501" customFormat="false" ht="15" hidden="false" customHeight="false" outlineLevel="0" collapsed="false">
      <c r="A501" s="21" t="n">
        <f aca="false">455/120</f>
        <v>3.79166666666667</v>
      </c>
      <c r="B501" s="21" t="n">
        <f aca="false">Risk_target+(Risk0-Risk_target)*EXP(-Risk_rate*A501)+Risk_hump*(A501/Risk_peak_t)*EXP(1-A501/Risk_peak_t)</f>
        <v>58.9557000169018</v>
      </c>
    </row>
    <row r="502" customFormat="false" ht="15" hidden="false" customHeight="false" outlineLevel="0" collapsed="false">
      <c r="A502" s="21" t="n">
        <f aca="false">456/120</f>
        <v>3.8</v>
      </c>
      <c r="B502" s="21" t="n">
        <f aca="false">Risk_target+(Risk0-Risk_target)*EXP(-Risk_rate*A502)+Risk_hump*(A502/Risk_peak_t)*EXP(1-A502/Risk_peak_t)</f>
        <v>58.922029947388</v>
      </c>
    </row>
    <row r="503" customFormat="false" ht="15" hidden="false" customHeight="false" outlineLevel="0" collapsed="false">
      <c r="A503" s="21" t="n">
        <f aca="false">457/120</f>
        <v>3.80833333333333</v>
      </c>
      <c r="B503" s="21" t="n">
        <f aca="false">Risk_target+(Risk0-Risk_target)*EXP(-Risk_rate*A503)+Risk_hump*(A503/Risk_peak_t)*EXP(1-A503/Risk_peak_t)</f>
        <v>58.8884817050762</v>
      </c>
    </row>
    <row r="504" customFormat="false" ht="15" hidden="false" customHeight="false" outlineLevel="0" collapsed="false">
      <c r="A504" s="21" t="n">
        <f aca="false">458/120</f>
        <v>3.81666666666667</v>
      </c>
      <c r="B504" s="21" t="n">
        <f aca="false">Risk_target+(Risk0-Risk_target)*EXP(-Risk_rate*A504)+Risk_hump*(A504/Risk_peak_t)*EXP(1-A504/Risk_peak_t)</f>
        <v>58.8550550937743</v>
      </c>
    </row>
    <row r="505" customFormat="false" ht="15" hidden="false" customHeight="false" outlineLevel="0" collapsed="false">
      <c r="A505" s="21" t="n">
        <f aca="false">459/120</f>
        <v>3.825</v>
      </c>
      <c r="B505" s="21" t="n">
        <f aca="false">Risk_target+(Risk0-Risk_target)*EXP(-Risk_rate*A505)+Risk_hump*(A505/Risk_peak_t)*EXP(1-A505/Risk_peak_t)</f>
        <v>58.8217499145784</v>
      </c>
    </row>
    <row r="506" customFormat="false" ht="15" hidden="false" customHeight="false" outlineLevel="0" collapsed="false">
      <c r="A506" s="21" t="n">
        <f aca="false">460/120</f>
        <v>3.83333333333333</v>
      </c>
      <c r="B506" s="21" t="n">
        <f aca="false">Risk_target+(Risk0-Risk_target)*EXP(-Risk_rate*A506)+Risk_hump*(A506/Risk_peak_t)*EXP(1-A506/Risk_peak_t)</f>
        <v>58.7885659659192</v>
      </c>
    </row>
    <row r="507" customFormat="false" ht="15" hidden="false" customHeight="false" outlineLevel="0" collapsed="false">
      <c r="A507" s="21" t="n">
        <f aca="false">461/120</f>
        <v>3.84166666666667</v>
      </c>
      <c r="B507" s="21" t="n">
        <f aca="false">Risk_target+(Risk0-Risk_target)*EXP(-Risk_rate*A507)+Risk_hump*(A507/Risk_peak_t)*EXP(1-A507/Risk_peak_t)</f>
        <v>58.7555030436064</v>
      </c>
    </row>
    <row r="508" customFormat="false" ht="15" hidden="false" customHeight="false" outlineLevel="0" collapsed="false">
      <c r="A508" s="21" t="n">
        <f aca="false">462/120</f>
        <v>3.85</v>
      </c>
      <c r="B508" s="21" t="n">
        <f aca="false">Risk_target+(Risk0-Risk_target)*EXP(-Risk_rate*A508)+Risk_hump*(A508/Risk_peak_t)*EXP(1-A508/Risk_peak_t)</f>
        <v>58.7225609408739</v>
      </c>
    </row>
    <row r="509" customFormat="false" ht="15" hidden="false" customHeight="false" outlineLevel="0" collapsed="false">
      <c r="A509" s="21" t="n">
        <f aca="false">463/120</f>
        <v>3.85833333333333</v>
      </c>
      <c r="B509" s="21" t="n">
        <f aca="false">Risk_target+(Risk0-Risk_target)*EXP(-Risk_rate*A509)+Risk_hump*(A509/Risk_peak_t)*EXP(1-A509/Risk_peak_t)</f>
        <v>58.6897394484233</v>
      </c>
    </row>
    <row r="510" customFormat="false" ht="15" hidden="false" customHeight="false" outlineLevel="0" collapsed="false">
      <c r="A510" s="21" t="n">
        <f aca="false">464/120</f>
        <v>3.86666666666667</v>
      </c>
      <c r="B510" s="21" t="n">
        <f aca="false">Risk_target+(Risk0-Risk_target)*EXP(-Risk_rate*A510)+Risk_hump*(A510/Risk_peak_t)*EXP(1-A510/Risk_peak_t)</f>
        <v>58.657038354468</v>
      </c>
    </row>
    <row r="511" customFormat="false" ht="15" hidden="false" customHeight="false" outlineLevel="0" collapsed="false">
      <c r="A511" s="21" t="n">
        <f aca="false">465/120</f>
        <v>3.875</v>
      </c>
      <c r="B511" s="21" t="n">
        <f aca="false">Risk_target+(Risk0-Risk_target)*EXP(-Risk_rate*A511)+Risk_hump*(A511/Risk_peak_t)*EXP(1-A511/Risk_peak_t)</f>
        <v>58.6244574447761</v>
      </c>
    </row>
    <row r="512" customFormat="false" ht="15" hidden="false" customHeight="false" outlineLevel="0" collapsed="false">
      <c r="A512" s="21" t="n">
        <f aca="false">466/120</f>
        <v>3.88333333333333</v>
      </c>
      <c r="B512" s="21" t="n">
        <f aca="false">Risk_target+(Risk0-Risk_target)*EXP(-Risk_rate*A512)+Risk_hump*(A512/Risk_peak_t)*EXP(1-A512/Risk_peak_t)</f>
        <v>58.5919965027131</v>
      </c>
    </row>
    <row r="513" customFormat="false" ht="15" hidden="false" customHeight="false" outlineLevel="0" collapsed="false">
      <c r="A513" s="21" t="n">
        <f aca="false">467/120</f>
        <v>3.89166666666667</v>
      </c>
      <c r="B513" s="21" t="n">
        <f aca="false">Risk_target+(Risk0-Risk_target)*EXP(-Risk_rate*A513)+Risk_hump*(A513/Risk_peak_t)*EXP(1-A513/Risk_peak_t)</f>
        <v>58.5596553092838</v>
      </c>
    </row>
    <row r="514" customFormat="false" ht="15" hidden="false" customHeight="false" outlineLevel="0" collapsed="false">
      <c r="A514" s="21" t="n">
        <f aca="false">468/120</f>
        <v>3.9</v>
      </c>
      <c r="B514" s="21" t="n">
        <f aca="false">Risk_target+(Risk0-Risk_target)*EXP(-Risk_rate*A514)+Risk_hump*(A514/Risk_peak_t)*EXP(1-A514/Risk_peak_t)</f>
        <v>58.5274336431748</v>
      </c>
    </row>
    <row r="515" customFormat="false" ht="15" hidden="false" customHeight="false" outlineLevel="0" collapsed="false">
      <c r="A515" s="21" t="n">
        <f aca="false">469/120</f>
        <v>3.90833333333333</v>
      </c>
      <c r="B515" s="21" t="n">
        <f aca="false">Risk_target+(Risk0-Risk_target)*EXP(-Risk_rate*A515)+Risk_hump*(A515/Risk_peak_t)*EXP(1-A515/Risk_peak_t)</f>
        <v>58.4953312807948</v>
      </c>
    </row>
    <row r="516" customFormat="false" ht="15" hidden="false" customHeight="false" outlineLevel="0" collapsed="false">
      <c r="A516" s="21" t="n">
        <f aca="false">470/120</f>
        <v>3.91666666666667</v>
      </c>
      <c r="B516" s="21" t="n">
        <f aca="false">Risk_target+(Risk0-Risk_target)*EXP(-Risk_rate*A516)+Risk_hump*(A516/Risk_peak_t)*EXP(1-A516/Risk_peak_t)</f>
        <v>58.463347996316</v>
      </c>
    </row>
    <row r="517" customFormat="false" ht="15" hidden="false" customHeight="false" outlineLevel="0" collapsed="false">
      <c r="A517" s="21" t="n">
        <f aca="false">471/120</f>
        <v>3.925</v>
      </c>
      <c r="B517" s="21" t="n">
        <f aca="false">Risk_target+(Risk0-Risk_target)*EXP(-Risk_rate*A517)+Risk_hump*(A517/Risk_peak_t)*EXP(1-A517/Risk_peak_t)</f>
        <v>58.4314835617146</v>
      </c>
    </row>
    <row r="518" customFormat="false" ht="15" hidden="false" customHeight="false" outlineLevel="0" collapsed="false">
      <c r="A518" s="21" t="n">
        <f aca="false">472/120</f>
        <v>3.93333333333333</v>
      </c>
      <c r="B518" s="21" t="n">
        <f aca="false">Risk_target+(Risk0-Risk_target)*EXP(-Risk_rate*A518)+Risk_hump*(A518/Risk_peak_t)*EXP(1-A518/Risk_peak_t)</f>
        <v>58.39973774681</v>
      </c>
    </row>
    <row r="519" customFormat="false" ht="15" hidden="false" customHeight="false" outlineLevel="0" collapsed="false">
      <c r="A519" s="21" t="n">
        <f aca="false">473/120</f>
        <v>3.94166666666667</v>
      </c>
      <c r="B519" s="21" t="n">
        <f aca="false">Risk_target+(Risk0-Risk_target)*EXP(-Risk_rate*A519)+Risk_hump*(A519/Risk_peak_t)*EXP(1-A519/Risk_peak_t)</f>
        <v>58.368110319305</v>
      </c>
    </row>
    <row r="520" customFormat="false" ht="15" hidden="false" customHeight="false" outlineLevel="0" collapsed="false">
      <c r="A520" s="21" t="n">
        <f aca="false">474/120</f>
        <v>3.95</v>
      </c>
      <c r="B520" s="21" t="n">
        <f aca="false">Risk_target+(Risk0-Risk_target)*EXP(-Risk_rate*A520)+Risk_hump*(A520/Risk_peak_t)*EXP(1-A520/Risk_peak_t)</f>
        <v>58.3366010448245</v>
      </c>
    </row>
    <row r="521" customFormat="false" ht="15" hidden="false" customHeight="false" outlineLevel="0" collapsed="false">
      <c r="A521" s="21" t="n">
        <f aca="false">475/120</f>
        <v>3.95833333333333</v>
      </c>
      <c r="B521" s="21" t="n">
        <f aca="false">Risk_target+(Risk0-Risk_target)*EXP(-Risk_rate*A521)+Risk_hump*(A521/Risk_peak_t)*EXP(1-A521/Risk_peak_t)</f>
        <v>58.3052096869539</v>
      </c>
    </row>
    <row r="522" customFormat="false" ht="15" hidden="false" customHeight="false" outlineLevel="0" collapsed="false">
      <c r="A522" s="21" t="n">
        <f aca="false">476/120</f>
        <v>3.96666666666667</v>
      </c>
      <c r="B522" s="21" t="n">
        <f aca="false">Risk_target+(Risk0-Risk_target)*EXP(-Risk_rate*A522)+Risk_hump*(A522/Risk_peak_t)*EXP(1-A522/Risk_peak_t)</f>
        <v>58.2739360072778</v>
      </c>
    </row>
    <row r="523" customFormat="false" ht="15" hidden="false" customHeight="false" outlineLevel="0" collapsed="false">
      <c r="A523" s="21" t="n">
        <f aca="false">477/120</f>
        <v>3.975</v>
      </c>
      <c r="B523" s="21" t="n">
        <f aca="false">Risk_target+(Risk0-Risk_target)*EXP(-Risk_rate*A523)+Risk_hump*(A523/Risk_peak_t)*EXP(1-A523/Risk_peak_t)</f>
        <v>58.2427797654172</v>
      </c>
    </row>
    <row r="524" customFormat="false" ht="15" hidden="false" customHeight="false" outlineLevel="0" collapsed="false">
      <c r="A524" s="21" t="n">
        <f aca="false">478/120</f>
        <v>3.98333333333333</v>
      </c>
      <c r="B524" s="21" t="n">
        <f aca="false">Risk_target+(Risk0-Risk_target)*EXP(-Risk_rate*A524)+Risk_hump*(A524/Risk_peak_t)*EXP(1-A524/Risk_peak_t)</f>
        <v>58.2117407190672</v>
      </c>
    </row>
    <row r="525" customFormat="false" ht="15" hidden="false" customHeight="false" outlineLevel="0" collapsed="false">
      <c r="A525" s="21" t="n">
        <f aca="false">479/120</f>
        <v>3.99166666666667</v>
      </c>
      <c r="B525" s="21" t="n">
        <f aca="false">Risk_target+(Risk0-Risk_target)*EXP(-Risk_rate*A525)+Risk_hump*(A525/Risk_peak_t)*EXP(1-A525/Risk_peak_t)</f>
        <v>58.1808186240335</v>
      </c>
    </row>
    <row r="526" customFormat="false" ht="15" hidden="false" customHeight="false" outlineLevel="0" collapsed="false">
      <c r="A526" s="21" t="n">
        <f aca="false">480/120</f>
        <v>4</v>
      </c>
      <c r="B526" s="21" t="n">
        <f aca="false">Risk_target+(Risk0-Risk_target)*EXP(-Risk_rate*A526)+Risk_hump*(A526/Risk_peak_t)*EXP(1-A526/Risk_peak_t)</f>
        <v>58.1500132342694</v>
      </c>
    </row>
    <row r="527" customFormat="false" ht="15" hidden="false" customHeight="false" outlineLevel="0" collapsed="false">
      <c r="A527" s="21" t="n">
        <f aca="false">481/120</f>
        <v>4.00833333333333</v>
      </c>
      <c r="B527" s="21" t="n">
        <f aca="false">Risk_target+(Risk0-Risk_target)*EXP(-Risk_rate*A527)+Risk_hump*(A527/Risk_peak_t)*EXP(1-A527/Risk_peak_t)</f>
        <v>58.1193243019115</v>
      </c>
    </row>
    <row r="528" customFormat="false" ht="15" hidden="false" customHeight="false" outlineLevel="0" collapsed="false">
      <c r="A528" s="21" t="n">
        <f aca="false">482/120</f>
        <v>4.01666666666667</v>
      </c>
      <c r="B528" s="21" t="n">
        <f aca="false">Risk_target+(Risk0-Risk_target)*EXP(-Risk_rate*A528)+Risk_hump*(A528/Risk_peak_t)*EXP(1-A528/Risk_peak_t)</f>
        <v>58.0887515773152</v>
      </c>
    </row>
    <row r="529" customFormat="false" ht="15" hidden="false" customHeight="false" outlineLevel="0" collapsed="false">
      <c r="A529" s="21" t="n">
        <f aca="false">483/120</f>
        <v>4.025</v>
      </c>
      <c r="B529" s="21" t="n">
        <f aca="false">Risk_target+(Risk0-Risk_target)*EXP(-Risk_rate*A529)+Risk_hump*(A529/Risk_peak_t)*EXP(1-A529/Risk_peak_t)</f>
        <v>58.0582948090907</v>
      </c>
    </row>
    <row r="530" customFormat="false" ht="15" hidden="false" customHeight="false" outlineLevel="0" collapsed="false">
      <c r="A530" s="21" t="n">
        <f aca="false">484/120</f>
        <v>4.03333333333333</v>
      </c>
      <c r="B530" s="21" t="n">
        <f aca="false">Risk_target+(Risk0-Risk_target)*EXP(-Risk_rate*A530)+Risk_hump*(A530/Risk_peak_t)*EXP(1-A530/Risk_peak_t)</f>
        <v>58.027953744137</v>
      </c>
    </row>
    <row r="531" customFormat="false" ht="15" hidden="false" customHeight="false" outlineLevel="0" collapsed="false">
      <c r="A531" s="21" t="n">
        <f aca="false">485/120</f>
        <v>4.04166666666667</v>
      </c>
      <c r="B531" s="21" t="n">
        <f aca="false">Risk_target+(Risk0-Risk_target)*EXP(-Risk_rate*A531)+Risk_hump*(A531/Risk_peak_t)*EXP(1-A531/Risk_peak_t)</f>
        <v>57.9977281276769</v>
      </c>
    </row>
    <row r="532" customFormat="false" ht="15" hidden="false" customHeight="false" outlineLevel="0" collapsed="false">
      <c r="A532" s="21" t="n">
        <f aca="false">486/120</f>
        <v>4.05</v>
      </c>
      <c r="B532" s="21" t="n">
        <f aca="false">Risk_target+(Risk0-Risk_target)*EXP(-Risk_rate*A532)+Risk_hump*(A532/Risk_peak_t)*EXP(1-A532/Risk_peak_t)</f>
        <v>57.9676177032908</v>
      </c>
    </row>
    <row r="533" customFormat="false" ht="15" hidden="false" customHeight="false" outlineLevel="0" collapsed="false">
      <c r="A533" s="21" t="n">
        <f aca="false">487/120</f>
        <v>4.05833333333333</v>
      </c>
      <c r="B533" s="21" t="n">
        <f aca="false">Risk_target+(Risk0-Risk_target)*EXP(-Risk_rate*A533)+Risk_hump*(A533/Risk_peak_t)*EXP(1-A533/Risk_peak_t)</f>
        <v>57.9376222129509</v>
      </c>
    </row>
    <row r="534" customFormat="false" ht="15" hidden="false" customHeight="false" outlineLevel="0" collapsed="false">
      <c r="A534" s="21" t="n">
        <f aca="false">488/120</f>
        <v>4.06666666666667</v>
      </c>
      <c r="B534" s="21" t="n">
        <f aca="false">Risk_target+(Risk0-Risk_target)*EXP(-Risk_rate*A534)+Risk_hump*(A534/Risk_peak_t)*EXP(1-A534/Risk_peak_t)</f>
        <v>57.9077413970536</v>
      </c>
    </row>
    <row r="535" customFormat="false" ht="15" hidden="false" customHeight="false" outlineLevel="0" collapsed="false">
      <c r="A535" s="21" t="n">
        <f aca="false">489/120</f>
        <v>4.075</v>
      </c>
      <c r="B535" s="21" t="n">
        <f aca="false">Risk_target+(Risk0-Risk_target)*EXP(-Risk_rate*A535)+Risk_hump*(A535/Risk_peak_t)*EXP(1-A535/Risk_peak_t)</f>
        <v>57.8779749944534</v>
      </c>
    </row>
    <row r="536" customFormat="false" ht="15" hidden="false" customHeight="false" outlineLevel="0" collapsed="false">
      <c r="A536" s="21" t="n">
        <f aca="false">490/120</f>
        <v>4.08333333333333</v>
      </c>
      <c r="B536" s="21" t="n">
        <f aca="false">Risk_target+(Risk0-Risk_target)*EXP(-Risk_rate*A536)+Risk_hump*(A536/Risk_peak_t)*EXP(1-A536/Risk_peak_t)</f>
        <v>57.8483227424948</v>
      </c>
    </row>
    <row r="537" customFormat="false" ht="15" hidden="false" customHeight="false" outlineLevel="0" collapsed="false">
      <c r="A537" s="21" t="n">
        <f aca="false">491/120</f>
        <v>4.09166666666667</v>
      </c>
      <c r="B537" s="21" t="n">
        <f aca="false">Risk_target+(Risk0-Risk_target)*EXP(-Risk_rate*A537)+Risk_hump*(A537/Risk_peak_t)*EXP(1-A537/Risk_peak_t)</f>
        <v>57.8187843770448</v>
      </c>
    </row>
    <row r="538" customFormat="false" ht="15" hidden="false" customHeight="false" outlineLevel="0" collapsed="false">
      <c r="A538" s="21" t="n">
        <f aca="false">492/120</f>
        <v>4.1</v>
      </c>
      <c r="B538" s="21" t="n">
        <f aca="false">Risk_target+(Risk0-Risk_target)*EXP(-Risk_rate*A538)+Risk_hump*(A538/Risk_peak_t)*EXP(1-A538/Risk_peak_t)</f>
        <v>57.7893596325245</v>
      </c>
    </row>
    <row r="539" customFormat="false" ht="15" hidden="false" customHeight="false" outlineLevel="0" collapsed="false">
      <c r="A539" s="21" t="n">
        <f aca="false">493/120</f>
        <v>4.10833333333333</v>
      </c>
      <c r="B539" s="21" t="n">
        <f aca="false">Risk_target+(Risk0-Risk_target)*EXP(-Risk_rate*A539)+Risk_hump*(A539/Risk_peak_t)*EXP(1-A539/Risk_peak_t)</f>
        <v>57.7600482419408</v>
      </c>
    </row>
    <row r="540" customFormat="false" ht="15" hidden="false" customHeight="false" outlineLevel="0" collapsed="false">
      <c r="A540" s="21" t="n">
        <f aca="false">494/120</f>
        <v>4.11666666666667</v>
      </c>
      <c r="B540" s="21" t="n">
        <f aca="false">Risk_target+(Risk0-Risk_target)*EXP(-Risk_rate*A540)+Risk_hump*(A540/Risk_peak_t)*EXP(1-A540/Risk_peak_t)</f>
        <v>57.7308499369171</v>
      </c>
    </row>
    <row r="541" customFormat="false" ht="15" hidden="false" customHeight="false" outlineLevel="0" collapsed="false">
      <c r="A541" s="21" t="n">
        <f aca="false">495/120</f>
        <v>4.125</v>
      </c>
      <c r="B541" s="21" t="n">
        <f aca="false">Risk_target+(Risk0-Risk_target)*EXP(-Risk_rate*A541)+Risk_hump*(A541/Risk_peak_t)*EXP(1-A541/Risk_peak_t)</f>
        <v>57.7017644477244</v>
      </c>
    </row>
    <row r="542" customFormat="false" ht="15" hidden="false" customHeight="false" outlineLevel="0" collapsed="false">
      <c r="A542" s="21" t="n">
        <f aca="false">496/120</f>
        <v>4.13333333333333</v>
      </c>
      <c r="B542" s="21" t="n">
        <f aca="false">Risk_target+(Risk0-Risk_target)*EXP(-Risk_rate*A542)+Risk_hump*(A542/Risk_peak_t)*EXP(1-A542/Risk_peak_t)</f>
        <v>57.6727915033116</v>
      </c>
    </row>
    <row r="543" customFormat="false" ht="15" hidden="false" customHeight="false" outlineLevel="0" collapsed="false">
      <c r="A543" s="21" t="n">
        <f aca="false">497/120</f>
        <v>4.14166666666667</v>
      </c>
      <c r="B543" s="21" t="n">
        <f aca="false">Risk_target+(Risk0-Risk_target)*EXP(-Risk_rate*A543)+Risk_hump*(A543/Risk_peak_t)*EXP(1-A543/Risk_peak_t)</f>
        <v>57.6439308313354</v>
      </c>
    </row>
    <row r="544" customFormat="false" ht="15" hidden="false" customHeight="false" outlineLevel="0" collapsed="false">
      <c r="A544" s="21" t="n">
        <f aca="false">498/120</f>
        <v>4.15</v>
      </c>
      <c r="B544" s="21" t="n">
        <f aca="false">Risk_target+(Risk0-Risk_target)*EXP(-Risk_rate*A544)+Risk_hump*(A544/Risk_peak_t)*EXP(1-A544/Risk_peak_t)</f>
        <v>57.61518215819</v>
      </c>
    </row>
    <row r="545" customFormat="false" ht="15" hidden="false" customHeight="false" outlineLevel="0" collapsed="false">
      <c r="A545" s="21" t="n">
        <f aca="false">499/120</f>
        <v>4.15833333333333</v>
      </c>
      <c r="B545" s="21" t="n">
        <f aca="false">Risk_target+(Risk0-Risk_target)*EXP(-Risk_rate*A545)+Risk_hump*(A545/Risk_peak_t)*EXP(1-A545/Risk_peak_t)</f>
        <v>57.5865452090363</v>
      </c>
    </row>
    <row r="546" customFormat="false" ht="15" hidden="false" customHeight="false" outlineLevel="0" collapsed="false">
      <c r="A546" s="21" t="n">
        <f aca="false">500/120</f>
        <v>4.16666666666667</v>
      </c>
      <c r="B546" s="21" t="n">
        <f aca="false">Risk_target+(Risk0-Risk_target)*EXP(-Risk_rate*A546)+Risk_hump*(A546/Risk_peak_t)*EXP(1-A546/Risk_peak_t)</f>
        <v>57.5580197078313</v>
      </c>
    </row>
    <row r="547" customFormat="false" ht="15" hidden="false" customHeight="false" outlineLevel="0" collapsed="false">
      <c r="A547" s="21" t="n">
        <f aca="false">501/120</f>
        <v>4.175</v>
      </c>
      <c r="B547" s="21" t="n">
        <f aca="false">Risk_target+(Risk0-Risk_target)*EXP(-Risk_rate*A547)+Risk_hump*(A547/Risk_peak_t)*EXP(1-A547/Risk_peak_t)</f>
        <v>57.5296053773562</v>
      </c>
    </row>
    <row r="548" customFormat="false" ht="15" hidden="false" customHeight="false" outlineLevel="0" collapsed="false">
      <c r="A548" s="21" t="n">
        <f aca="false">502/120</f>
        <v>4.18333333333333</v>
      </c>
      <c r="B548" s="21" t="n">
        <f aca="false">Risk_target+(Risk0-Risk_target)*EXP(-Risk_rate*A548)+Risk_hump*(A548/Risk_peak_t)*EXP(1-A548/Risk_peak_t)</f>
        <v>57.5013019392452</v>
      </c>
    </row>
    <row r="549" customFormat="false" ht="15" hidden="false" customHeight="false" outlineLevel="0" collapsed="false">
      <c r="A549" s="21" t="n">
        <f aca="false">503/120</f>
        <v>4.19166666666667</v>
      </c>
      <c r="B549" s="21" t="n">
        <f aca="false">Risk_target+(Risk0-Risk_target)*EXP(-Risk_rate*A549)+Risk_hump*(A549/Risk_peak_t)*EXP(1-A549/Risk_peak_t)</f>
        <v>57.4731091140132</v>
      </c>
    </row>
    <row r="550" customFormat="false" ht="15" hidden="false" customHeight="false" outlineLevel="0" collapsed="false">
      <c r="A550" s="21" t="n">
        <f aca="false">504/120</f>
        <v>4.2</v>
      </c>
      <c r="B550" s="21" t="n">
        <f aca="false">Risk_target+(Risk0-Risk_target)*EXP(-Risk_rate*A550)+Risk_hump*(A550/Risk_peak_t)*EXP(1-A550/Risk_peak_t)</f>
        <v>57.4450266210834</v>
      </c>
    </row>
    <row r="551" customFormat="false" ht="15" hidden="false" customHeight="false" outlineLevel="0" collapsed="false">
      <c r="A551" s="21" t="n">
        <f aca="false">505/120</f>
        <v>4.20833333333333</v>
      </c>
      <c r="B551" s="21" t="n">
        <f aca="false">Risk_target+(Risk0-Risk_target)*EXP(-Risk_rate*A551)+Risk_hump*(A551/Risk_peak_t)*EXP(1-A551/Risk_peak_t)</f>
        <v>57.4170541788148</v>
      </c>
    </row>
    <row r="552" customFormat="false" ht="15" hidden="false" customHeight="false" outlineLevel="0" collapsed="false">
      <c r="A552" s="21" t="n">
        <f aca="false">506/120</f>
        <v>4.21666666666667</v>
      </c>
      <c r="B552" s="21" t="n">
        <f aca="false">Risk_target+(Risk0-Risk_target)*EXP(-Risk_rate*A552)+Risk_hump*(A552/Risk_peak_t)*EXP(1-A552/Risk_peak_t)</f>
        <v>57.3891915045293</v>
      </c>
    </row>
    <row r="553" customFormat="false" ht="15" hidden="false" customHeight="false" outlineLevel="0" collapsed="false">
      <c r="A553" s="21" t="n">
        <f aca="false">507/120</f>
        <v>4.225</v>
      </c>
      <c r="B553" s="21" t="n">
        <f aca="false">Risk_target+(Risk0-Risk_target)*EXP(-Risk_rate*A553)+Risk_hump*(A553/Risk_peak_t)*EXP(1-A553/Risk_peak_t)</f>
        <v>57.361438314538</v>
      </c>
    </row>
    <row r="554" customFormat="false" ht="15" hidden="false" customHeight="false" outlineLevel="0" collapsed="false">
      <c r="A554" s="21" t="n">
        <f aca="false">508/120</f>
        <v>4.23333333333333</v>
      </c>
      <c r="B554" s="21" t="n">
        <f aca="false">Risk_target+(Risk0-Risk_target)*EXP(-Risk_rate*A554)+Risk_hump*(A554/Risk_peak_t)*EXP(1-A554/Risk_peak_t)</f>
        <v>57.3337943241679</v>
      </c>
    </row>
    <row r="555" customFormat="false" ht="15" hidden="false" customHeight="false" outlineLevel="0" collapsed="false">
      <c r="A555" s="21" t="n">
        <f aca="false">509/120</f>
        <v>4.24166666666667</v>
      </c>
      <c r="B555" s="21" t="n">
        <f aca="false">Risk_target+(Risk0-Risk_target)*EXP(-Risk_rate*A555)+Risk_hump*(A555/Risk_peak_t)*EXP(1-A555/Risk_peak_t)</f>
        <v>57.3062592477878</v>
      </c>
    </row>
    <row r="556" customFormat="false" ht="15" hidden="false" customHeight="false" outlineLevel="0" collapsed="false">
      <c r="A556" s="21" t="n">
        <f aca="false">510/120</f>
        <v>4.25</v>
      </c>
      <c r="B556" s="21" t="n">
        <f aca="false">Risk_target+(Risk0-Risk_target)*EXP(-Risk_rate*A556)+Risk_hump*(A556/Risk_peak_t)*EXP(1-A556/Risk_peak_t)</f>
        <v>57.2788327988341</v>
      </c>
    </row>
    <row r="557" customFormat="false" ht="15" hidden="false" customHeight="false" outlineLevel="0" collapsed="false">
      <c r="A557" s="21" t="n">
        <f aca="false">511/120</f>
        <v>4.25833333333333</v>
      </c>
      <c r="B557" s="21" t="n">
        <f aca="false">Risk_target+(Risk0-Risk_target)*EXP(-Risk_rate*A557)+Risk_hump*(A557/Risk_peak_t)*EXP(1-A557/Risk_peak_t)</f>
        <v>57.2515146898364</v>
      </c>
    </row>
    <row r="558" customFormat="false" ht="15" hidden="false" customHeight="false" outlineLevel="0" collapsed="false">
      <c r="A558" s="21" t="n">
        <f aca="false">512/120</f>
        <v>4.26666666666667</v>
      </c>
      <c r="B558" s="21" t="n">
        <f aca="false">Risk_target+(Risk0-Risk_target)*EXP(-Risk_rate*A558)+Risk_hump*(A558/Risk_peak_t)*EXP(1-A558/Risk_peak_t)</f>
        <v>57.2243046324423</v>
      </c>
    </row>
    <row r="559" customFormat="false" ht="15" hidden="false" customHeight="false" outlineLevel="0" collapsed="false">
      <c r="A559" s="21" t="n">
        <f aca="false">513/120</f>
        <v>4.275</v>
      </c>
      <c r="B559" s="21" t="n">
        <f aca="false">Risk_target+(Risk0-Risk_target)*EXP(-Risk_rate*A559)+Risk_hump*(A559/Risk_peak_t)*EXP(1-A559/Risk_peak_t)</f>
        <v>57.1972023374424</v>
      </c>
    </row>
    <row r="560" customFormat="false" ht="15" hidden="false" customHeight="false" outlineLevel="0" collapsed="false">
      <c r="A560" s="21" t="n">
        <f aca="false">514/120</f>
        <v>4.28333333333333</v>
      </c>
      <c r="B560" s="21" t="n">
        <f aca="false">Risk_target+(Risk0-Risk_target)*EXP(-Risk_rate*A560)+Risk_hump*(A560/Risk_peak_t)*EXP(1-A560/Risk_peak_t)</f>
        <v>57.1702075147949</v>
      </c>
    </row>
    <row r="561" customFormat="false" ht="15" hidden="false" customHeight="false" outlineLevel="0" collapsed="false">
      <c r="A561" s="21" t="n">
        <f aca="false">515/120</f>
        <v>4.29166666666667</v>
      </c>
      <c r="B561" s="21" t="n">
        <f aca="false">Risk_target+(Risk0-Risk_target)*EXP(-Risk_rate*A561)+Risk_hump*(A561/Risk_peak_t)*EXP(1-A561/Risk_peak_t)</f>
        <v>57.1433198736498</v>
      </c>
    </row>
    <row r="562" customFormat="false" ht="15" hidden="false" customHeight="false" outlineLevel="0" collapsed="false">
      <c r="A562" s="21" t="n">
        <f aca="false">516/120</f>
        <v>4.3</v>
      </c>
      <c r="B562" s="21" t="n">
        <f aca="false">Risk_target+(Risk0-Risk_target)*EXP(-Risk_rate*A562)+Risk_hump*(A562/Risk_peak_t)*EXP(1-A562/Risk_peak_t)</f>
        <v>57.1165391223729</v>
      </c>
    </row>
    <row r="563" customFormat="false" ht="15" hidden="false" customHeight="false" outlineLevel="0" collapsed="false">
      <c r="A563" s="21" t="n">
        <f aca="false">517/120</f>
        <v>4.30833333333333</v>
      </c>
      <c r="B563" s="21" t="n">
        <f aca="false">Risk_target+(Risk0-Risk_target)*EXP(-Risk_rate*A563)+Risk_hump*(A563/Risk_peak_t)*EXP(1-A563/Risk_peak_t)</f>
        <v>57.0898649685692</v>
      </c>
    </row>
    <row r="564" customFormat="false" ht="15" hidden="false" customHeight="false" outlineLevel="0" collapsed="false">
      <c r="A564" s="21" t="n">
        <f aca="false">518/120</f>
        <v>4.31666666666667</v>
      </c>
      <c r="B564" s="21" t="n">
        <f aca="false">Risk_target+(Risk0-Risk_target)*EXP(-Risk_rate*A564)+Risk_hump*(A564/Risk_peak_t)*EXP(1-A564/Risk_peak_t)</f>
        <v>57.0632971191067</v>
      </c>
    </row>
    <row r="565" customFormat="false" ht="15" hidden="false" customHeight="false" outlineLevel="0" collapsed="false">
      <c r="A565" s="21" t="n">
        <f aca="false">519/120</f>
        <v>4.325</v>
      </c>
      <c r="B565" s="21" t="n">
        <f aca="false">Risk_target+(Risk0-Risk_target)*EXP(-Risk_rate*A565)+Risk_hump*(A565/Risk_peak_t)*EXP(1-A565/Risk_peak_t)</f>
        <v>57.0368352801392</v>
      </c>
    </row>
    <row r="566" customFormat="false" ht="15" hidden="false" customHeight="false" outlineLevel="0" collapsed="false">
      <c r="A566" s="21" t="n">
        <f aca="false">520/120</f>
        <v>4.33333333333333</v>
      </c>
      <c r="B566" s="21" t="n">
        <f aca="false">Risk_target+(Risk0-Risk_target)*EXP(-Risk_rate*A566)+Risk_hump*(A566/Risk_peak_t)*EXP(1-A566/Risk_peak_t)</f>
        <v>57.0104791571291</v>
      </c>
    </row>
    <row r="567" customFormat="false" ht="15" hidden="false" customHeight="false" outlineLevel="0" collapsed="false">
      <c r="A567" s="21" t="n">
        <f aca="false">521/120</f>
        <v>4.34166666666667</v>
      </c>
      <c r="B567" s="21" t="n">
        <f aca="false">Risk_target+(Risk0-Risk_target)*EXP(-Risk_rate*A567)+Risk_hump*(A567/Risk_peak_t)*EXP(1-A567/Risk_peak_t)</f>
        <v>56.98422845487</v>
      </c>
    </row>
    <row r="568" customFormat="false" ht="15" hidden="false" customHeight="false" outlineLevel="0" collapsed="false">
      <c r="A568" s="21" t="n">
        <f aca="false">522/120</f>
        <v>4.35</v>
      </c>
      <c r="B568" s="21" t="n">
        <f aca="false">Risk_target+(Risk0-Risk_target)*EXP(-Risk_rate*A568)+Risk_hump*(A568/Risk_peak_t)*EXP(1-A568/Risk_peak_t)</f>
        <v>56.9580828775092</v>
      </c>
    </row>
    <row r="569" customFormat="false" ht="15" hidden="false" customHeight="false" outlineLevel="0" collapsed="false">
      <c r="A569" s="21" t="n">
        <f aca="false">523/120</f>
        <v>4.35833333333333</v>
      </c>
      <c r="B569" s="21" t="n">
        <f aca="false">Risk_target+(Risk0-Risk_target)*EXP(-Risk_rate*A569)+Risk_hump*(A569/Risk_peak_t)*EXP(1-A569/Risk_peak_t)</f>
        <v>56.9320421285693</v>
      </c>
    </row>
    <row r="570" customFormat="false" ht="15" hidden="false" customHeight="false" outlineLevel="0" collapsed="false">
      <c r="A570" s="21" t="n">
        <f aca="false">524/120</f>
        <v>4.36666666666667</v>
      </c>
      <c r="B570" s="21" t="n">
        <f aca="false">Risk_target+(Risk0-Risk_target)*EXP(-Risk_rate*A570)+Risk_hump*(A570/Risk_peak_t)*EXP(1-A570/Risk_peak_t)</f>
        <v>56.90610591097</v>
      </c>
    </row>
    <row r="571" customFormat="false" ht="15" hidden="false" customHeight="false" outlineLevel="0" collapsed="false">
      <c r="A571" s="21" t="n">
        <f aca="false">525/120</f>
        <v>4.375</v>
      </c>
      <c r="B571" s="21" t="n">
        <f aca="false">Risk_target+(Risk0-Risk_target)*EXP(-Risk_rate*A571)+Risk_hump*(A571/Risk_peak_t)*EXP(1-A571/Risk_peak_t)</f>
        <v>56.8802739270498</v>
      </c>
    </row>
    <row r="572" customFormat="false" ht="15" hidden="false" customHeight="false" outlineLevel="0" collapsed="false">
      <c r="A572" s="21" t="n">
        <f aca="false">526/120</f>
        <v>4.38333333333333</v>
      </c>
      <c r="B572" s="21" t="n">
        <f aca="false">Risk_target+(Risk0-Risk_target)*EXP(-Risk_rate*A572)+Risk_hump*(A572/Risk_peak_t)*EXP(1-A572/Risk_peak_t)</f>
        <v>56.8545458785868</v>
      </c>
    </row>
    <row r="573" customFormat="false" ht="15" hidden="false" customHeight="false" outlineLevel="0" collapsed="false">
      <c r="A573" s="21" t="n">
        <f aca="false">527/120</f>
        <v>4.39166666666667</v>
      </c>
      <c r="B573" s="21" t="n">
        <f aca="false">Risk_target+(Risk0-Risk_target)*EXP(-Risk_rate*A573)+Risk_hump*(A573/Risk_peak_t)*EXP(1-A573/Risk_peak_t)</f>
        <v>56.8289214668202</v>
      </c>
    </row>
    <row r="574" customFormat="false" ht="15" hidden="false" customHeight="false" outlineLevel="0" collapsed="false">
      <c r="A574" s="21" t="n">
        <f aca="false">528/120</f>
        <v>4.4</v>
      </c>
      <c r="B574" s="21" t="n">
        <f aca="false">Risk_target+(Risk0-Risk_target)*EXP(-Risk_rate*A574)+Risk_hump*(A574/Risk_peak_t)*EXP(1-A574/Risk_peak_t)</f>
        <v>56.8034003924701</v>
      </c>
    </row>
    <row r="575" customFormat="false" ht="15" hidden="false" customHeight="false" outlineLevel="0" collapsed="false">
      <c r="A575" s="21" t="n">
        <f aca="false">529/120</f>
        <v>4.40833333333333</v>
      </c>
      <c r="B575" s="21" t="n">
        <f aca="false">Risk_target+(Risk0-Risk_target)*EXP(-Risk_rate*A575)+Risk_hump*(A575/Risk_peak_t)*EXP(1-A575/Risk_peak_t)</f>
        <v>56.7779823557589</v>
      </c>
    </row>
    <row r="576" customFormat="false" ht="15" hidden="false" customHeight="false" outlineLevel="0" collapsed="false">
      <c r="A576" s="21" t="n">
        <f aca="false">530/120</f>
        <v>4.41666666666667</v>
      </c>
      <c r="B576" s="21" t="n">
        <f aca="false">Risk_target+(Risk0-Risk_target)*EXP(-Risk_rate*A576)+Risk_hump*(A576/Risk_peak_t)*EXP(1-A576/Risk_peak_t)</f>
        <v>56.7526670564307</v>
      </c>
    </row>
    <row r="577" customFormat="false" ht="15" hidden="false" customHeight="false" outlineLevel="0" collapsed="false">
      <c r="A577" s="21" t="n">
        <f aca="false">531/120</f>
        <v>4.425</v>
      </c>
      <c r="B577" s="21" t="n">
        <f aca="false">Risk_target+(Risk0-Risk_target)*EXP(-Risk_rate*A577)+Risk_hump*(A577/Risk_peak_t)*EXP(1-A577/Risk_peak_t)</f>
        <v>56.7274541937715</v>
      </c>
    </row>
    <row r="578" customFormat="false" ht="15" hidden="false" customHeight="false" outlineLevel="0" collapsed="false">
      <c r="A578" s="21" t="n">
        <f aca="false">532/120</f>
        <v>4.43333333333333</v>
      </c>
      <c r="B578" s="21" t="n">
        <f aca="false">Risk_target+(Risk0-Risk_target)*EXP(-Risk_rate*A578)+Risk_hump*(A578/Risk_peak_t)*EXP(1-A578/Risk_peak_t)</f>
        <v>56.7023434666288</v>
      </c>
    </row>
    <row r="579" customFormat="false" ht="15" hidden="false" customHeight="false" outlineLevel="0" collapsed="false">
      <c r="A579" s="21" t="n">
        <f aca="false">533/120</f>
        <v>4.44166666666667</v>
      </c>
      <c r="B579" s="21" t="n">
        <f aca="false">Risk_target+(Risk0-Risk_target)*EXP(-Risk_rate*A579)+Risk_hump*(A579/Risk_peak_t)*EXP(1-A579/Risk_peak_t)</f>
        <v>56.677334573431</v>
      </c>
    </row>
    <row r="580" customFormat="false" ht="15" hidden="false" customHeight="false" outlineLevel="0" collapsed="false">
      <c r="A580" s="21" t="n">
        <f aca="false">534/120</f>
        <v>4.45</v>
      </c>
      <c r="B580" s="21" t="n">
        <f aca="false">Risk_target+(Risk0-Risk_target)*EXP(-Risk_rate*A580)+Risk_hump*(A580/Risk_peak_t)*EXP(1-A580/Risk_peak_t)</f>
        <v>56.6524272122067</v>
      </c>
    </row>
    <row r="581" customFormat="false" ht="15" hidden="false" customHeight="false" outlineLevel="0" collapsed="false">
      <c r="A581" s="21" t="n">
        <f aca="false">535/120</f>
        <v>4.45833333333333</v>
      </c>
      <c r="B581" s="21" t="n">
        <f aca="false">Risk_target+(Risk0-Risk_target)*EXP(-Risk_rate*A581)+Risk_hump*(A581/Risk_peak_t)*EXP(1-A581/Risk_peak_t)</f>
        <v>56.6276210806035</v>
      </c>
    </row>
    <row r="582" customFormat="false" ht="15" hidden="false" customHeight="false" outlineLevel="0" collapsed="false">
      <c r="A582" s="21" t="n">
        <f aca="false">536/120</f>
        <v>4.46666666666667</v>
      </c>
      <c r="B582" s="21" t="n">
        <f aca="false">Risk_target+(Risk0-Risk_target)*EXP(-Risk_rate*A582)+Risk_hump*(A582/Risk_peak_t)*EXP(1-A582/Risk_peak_t)</f>
        <v>56.6029158759067</v>
      </c>
    </row>
    <row r="583" customFormat="false" ht="15" hidden="false" customHeight="false" outlineLevel="0" collapsed="false">
      <c r="A583" s="21" t="n">
        <f aca="false">537/120</f>
        <v>4.475</v>
      </c>
      <c r="B583" s="21" t="n">
        <f aca="false">Risk_target+(Risk0-Risk_target)*EXP(-Risk_rate*A583)+Risk_hump*(A583/Risk_peak_t)*EXP(1-A583/Risk_peak_t)</f>
        <v>56.5783112950575</v>
      </c>
    </row>
    <row r="584" customFormat="false" ht="15" hidden="false" customHeight="false" outlineLevel="0" collapsed="false">
      <c r="A584" s="21" t="n">
        <f aca="false">538/120</f>
        <v>4.48333333333333</v>
      </c>
      <c r="B584" s="21" t="n">
        <f aca="false">Risk_target+(Risk0-Risk_target)*EXP(-Risk_rate*A584)+Risk_hump*(A584/Risk_peak_t)*EXP(1-A584/Risk_peak_t)</f>
        <v>56.5538070346717</v>
      </c>
    </row>
    <row r="585" customFormat="false" ht="15" hidden="false" customHeight="false" outlineLevel="0" collapsed="false">
      <c r="A585" s="21" t="n">
        <f aca="false">539/120</f>
        <v>4.49166666666667</v>
      </c>
      <c r="B585" s="21" t="n">
        <f aca="false">Risk_target+(Risk0-Risk_target)*EXP(-Risk_rate*A585)+Risk_hump*(A585/Risk_peak_t)*EXP(1-A585/Risk_peak_t)</f>
        <v>56.5294027910574</v>
      </c>
    </row>
    <row r="586" customFormat="false" ht="15" hidden="false" customHeight="false" outlineLevel="0" collapsed="false">
      <c r="A586" s="21" t="n">
        <f aca="false">540/120</f>
        <v>4.5</v>
      </c>
      <c r="B586" s="21" t="n">
        <f aca="false">Risk_target+(Risk0-Risk_target)*EXP(-Risk_rate*A586)+Risk_hump*(A586/Risk_peak_t)*EXP(1-A586/Risk_peak_t)</f>
        <v>56.5050982602328</v>
      </c>
    </row>
    <row r="587" customFormat="false" ht="15" hidden="false" customHeight="false" outlineLevel="0" collapsed="false">
      <c r="A587" s="21" t="n">
        <f aca="false">541/120</f>
        <v>4.50833333333333</v>
      </c>
      <c r="B587" s="21" t="n">
        <f aca="false">Risk_target+(Risk0-Risk_target)*EXP(-Risk_rate*A587)+Risk_hump*(A587/Risk_peak_t)*EXP(1-A587/Risk_peak_t)</f>
        <v>56.4808931379435</v>
      </c>
    </row>
    <row r="588" customFormat="false" ht="15" hidden="false" customHeight="false" outlineLevel="0" collapsed="false">
      <c r="A588" s="21" t="n">
        <f aca="false">542/120</f>
        <v>4.51666666666667</v>
      </c>
      <c r="B588" s="21" t="n">
        <f aca="false">Risk_target+(Risk0-Risk_target)*EXP(-Risk_rate*A588)+Risk_hump*(A588/Risk_peak_t)*EXP(1-A588/Risk_peak_t)</f>
        <v>56.4567871196801</v>
      </c>
    </row>
    <row r="589" customFormat="false" ht="15" hidden="false" customHeight="false" outlineLevel="0" collapsed="false">
      <c r="A589" s="21" t="n">
        <f aca="false">543/120</f>
        <v>4.525</v>
      </c>
      <c r="B589" s="21" t="n">
        <f aca="false">Risk_target+(Risk0-Risk_target)*EXP(-Risk_rate*A589)+Risk_hump*(A589/Risk_peak_t)*EXP(1-A589/Risk_peak_t)</f>
        <v>56.4327799006953</v>
      </c>
    </row>
    <row r="590" customFormat="false" ht="15" hidden="false" customHeight="false" outlineLevel="0" collapsed="false">
      <c r="A590" s="21" t="n">
        <f aca="false">544/120</f>
        <v>4.53333333333333</v>
      </c>
      <c r="B590" s="21" t="n">
        <f aca="false">Risk_target+(Risk0-Risk_target)*EXP(-Risk_rate*A590)+Risk_hump*(A590/Risk_peak_t)*EXP(1-A590/Risk_peak_t)</f>
        <v>56.4088711760204</v>
      </c>
    </row>
    <row r="591" customFormat="false" ht="15" hidden="false" customHeight="false" outlineLevel="0" collapsed="false">
      <c r="A591" s="21" t="n">
        <f aca="false">545/120</f>
        <v>4.54166666666667</v>
      </c>
      <c r="B591" s="21" t="n">
        <f aca="false">Risk_target+(Risk0-Risk_target)*EXP(-Risk_rate*A591)+Risk_hump*(A591/Risk_peak_t)*EXP(1-A591/Risk_peak_t)</f>
        <v>56.3850606404823</v>
      </c>
    </row>
    <row r="592" customFormat="false" ht="15" hidden="false" customHeight="false" outlineLevel="0" collapsed="false">
      <c r="A592" s="21" t="n">
        <f aca="false">546/120</f>
        <v>4.55</v>
      </c>
      <c r="B592" s="21" t="n">
        <f aca="false">Risk_target+(Risk0-Risk_target)*EXP(-Risk_rate*A592)+Risk_hump*(A592/Risk_peak_t)*EXP(1-A592/Risk_peak_t)</f>
        <v>56.3613479887197</v>
      </c>
    </row>
    <row r="593" customFormat="false" ht="15" hidden="false" customHeight="false" outlineLevel="0" collapsed="false">
      <c r="A593" s="21" t="n">
        <f aca="false">547/120</f>
        <v>4.55833333333333</v>
      </c>
      <c r="B593" s="21" t="n">
        <f aca="false">Risk_target+(Risk0-Risk_target)*EXP(-Risk_rate*A593)+Risk_hump*(A593/Risk_peak_t)*EXP(1-A593/Risk_peak_t)</f>
        <v>56.3377329151995</v>
      </c>
    </row>
    <row r="594" customFormat="false" ht="15" hidden="false" customHeight="false" outlineLevel="0" collapsed="false">
      <c r="A594" s="21" t="n">
        <f aca="false">548/120</f>
        <v>4.56666666666667</v>
      </c>
      <c r="B594" s="21" t="n">
        <f aca="false">Risk_target+(Risk0-Risk_target)*EXP(-Risk_rate*A594)+Risk_hump*(A594/Risk_peak_t)*EXP(1-A594/Risk_peak_t)</f>
        <v>56.3142151142325</v>
      </c>
    </row>
    <row r="595" customFormat="false" ht="15" hidden="false" customHeight="false" outlineLevel="0" collapsed="false">
      <c r="A595" s="21" t="n">
        <f aca="false">549/120</f>
        <v>4.575</v>
      </c>
      <c r="B595" s="21" t="n">
        <f aca="false">Risk_target+(Risk0-Risk_target)*EXP(-Risk_rate*A595)+Risk_hump*(A595/Risk_peak_t)*EXP(1-A595/Risk_peak_t)</f>
        <v>56.2907942799893</v>
      </c>
    </row>
    <row r="596" customFormat="false" ht="15" hidden="false" customHeight="false" outlineLevel="0" collapsed="false">
      <c r="A596" s="21" t="n">
        <f aca="false">550/120</f>
        <v>4.58333333333333</v>
      </c>
      <c r="B596" s="21" t="n">
        <f aca="false">Risk_target+(Risk0-Risk_target)*EXP(-Risk_rate*A596)+Risk_hump*(A596/Risk_peak_t)*EXP(1-A596/Risk_peak_t)</f>
        <v>56.2674701065162</v>
      </c>
    </row>
    <row r="597" customFormat="false" ht="15" hidden="false" customHeight="false" outlineLevel="0" collapsed="false">
      <c r="A597" s="21" t="n">
        <f aca="false">551/120</f>
        <v>4.59166666666667</v>
      </c>
      <c r="B597" s="21" t="n">
        <f aca="false">Risk_target+(Risk0-Risk_target)*EXP(-Risk_rate*A597)+Risk_hump*(A597/Risk_peak_t)*EXP(1-A597/Risk_peak_t)</f>
        <v>56.24424228775</v>
      </c>
    </row>
    <row r="598" customFormat="false" ht="15" hidden="false" customHeight="false" outlineLevel="0" collapsed="false">
      <c r="A598" s="21" t="n">
        <f aca="false">552/120</f>
        <v>4.6</v>
      </c>
      <c r="B598" s="21" t="n">
        <f aca="false">Risk_target+(Risk0-Risk_target)*EXP(-Risk_rate*A598)+Risk_hump*(A598/Risk_peak_t)*EXP(1-A598/Risk_peak_t)</f>
        <v>56.2211105175337</v>
      </c>
    </row>
    <row r="599" customFormat="false" ht="15" hidden="false" customHeight="false" outlineLevel="0" collapsed="false">
      <c r="A599" s="21" t="n">
        <f aca="false">553/120</f>
        <v>4.60833333333333</v>
      </c>
      <c r="B599" s="21" t="n">
        <f aca="false">Risk_target+(Risk0-Risk_target)*EXP(-Risk_rate*A599)+Risk_hump*(A599/Risk_peak_t)*EXP(1-A599/Risk_peak_t)</f>
        <v>56.198074489631</v>
      </c>
    </row>
    <row r="600" customFormat="false" ht="15" hidden="false" customHeight="false" outlineLevel="0" collapsed="false">
      <c r="A600" s="21" t="n">
        <f aca="false">554/120</f>
        <v>4.61666666666667</v>
      </c>
      <c r="B600" s="21" t="n">
        <f aca="false">Risk_target+(Risk0-Risk_target)*EXP(-Risk_rate*A600)+Risk_hump*(A600/Risk_peak_t)*EXP(1-A600/Risk_peak_t)</f>
        <v>56.1751338977415</v>
      </c>
    </row>
    <row r="601" customFormat="false" ht="15" hidden="false" customHeight="false" outlineLevel="0" collapsed="false">
      <c r="A601" s="21" t="n">
        <f aca="false">555/120</f>
        <v>4.625</v>
      </c>
      <c r="B601" s="21" t="n">
        <f aca="false">Risk_target+(Risk0-Risk_target)*EXP(-Risk_rate*A601)+Risk_hump*(A601/Risk_peak_t)*EXP(1-A601/Risk_peak_t)</f>
        <v>56.1522884355148</v>
      </c>
    </row>
    <row r="602" customFormat="false" ht="15" hidden="false" customHeight="false" outlineLevel="0" collapsed="false">
      <c r="A602" s="21" t="n">
        <f aca="false">556/120</f>
        <v>4.63333333333333</v>
      </c>
      <c r="B602" s="21" t="n">
        <f aca="false">Risk_target+(Risk0-Risk_target)*EXP(-Risk_rate*A602)+Risk_hump*(A602/Risk_peak_t)*EXP(1-A602/Risk_peak_t)</f>
        <v>56.1295377965654</v>
      </c>
    </row>
    <row r="603" customFormat="false" ht="15" hidden="false" customHeight="false" outlineLevel="0" collapsed="false">
      <c r="A603" s="21" t="n">
        <f aca="false">557/120</f>
        <v>4.64166666666667</v>
      </c>
      <c r="B603" s="21" t="n">
        <f aca="false">Risk_target+(Risk0-Risk_target)*EXP(-Risk_rate*A603)+Risk_hump*(A603/Risk_peak_t)*EXP(1-A603/Risk_peak_t)</f>
        <v>56.1068816744865</v>
      </c>
    </row>
    <row r="604" customFormat="false" ht="15" hidden="false" customHeight="false" outlineLevel="0" collapsed="false">
      <c r="A604" s="21" t="n">
        <f aca="false">558/120</f>
        <v>4.65</v>
      </c>
      <c r="B604" s="21" t="n">
        <f aca="false">Risk_target+(Risk0-Risk_target)*EXP(-Risk_rate*A604)+Risk_hump*(A604/Risk_peak_t)*EXP(1-A604/Risk_peak_t)</f>
        <v>56.0843197628639</v>
      </c>
    </row>
    <row r="605" customFormat="false" ht="15" hidden="false" customHeight="false" outlineLevel="0" collapsed="false">
      <c r="A605" s="21" t="n">
        <f aca="false">559/120</f>
        <v>4.65833333333333</v>
      </c>
      <c r="B605" s="21" t="n">
        <f aca="false">Risk_target+(Risk0-Risk_target)*EXP(-Risk_rate*A605)+Risk_hump*(A605/Risk_peak_t)*EXP(1-A605/Risk_peak_t)</f>
        <v>56.0618517552903</v>
      </c>
    </row>
    <row r="606" customFormat="false" ht="15" hidden="false" customHeight="false" outlineLevel="0" collapsed="false">
      <c r="A606" s="21" t="n">
        <f aca="false">560/120</f>
        <v>4.66666666666667</v>
      </c>
      <c r="B606" s="21" t="n">
        <f aca="false">Risk_target+(Risk0-Risk_target)*EXP(-Risk_rate*A606)+Risk_hump*(A606/Risk_peak_t)*EXP(1-A606/Risk_peak_t)</f>
        <v>56.0394773453784</v>
      </c>
    </row>
    <row r="607" customFormat="false" ht="15" hidden="false" customHeight="false" outlineLevel="0" collapsed="false">
      <c r="A607" s="21" t="n">
        <f aca="false">561/120</f>
        <v>4.675</v>
      </c>
      <c r="B607" s="21" t="n">
        <f aca="false">Risk_target+(Risk0-Risk_target)*EXP(-Risk_rate*A607)+Risk_hump*(A607/Risk_peak_t)*EXP(1-A607/Risk_peak_t)</f>
        <v>56.0171962267747</v>
      </c>
    </row>
    <row r="608" customFormat="false" ht="15" hidden="false" customHeight="false" outlineLevel="0" collapsed="false">
      <c r="A608" s="21" t="n">
        <f aca="false">562/120</f>
        <v>4.68333333333333</v>
      </c>
      <c r="B608" s="21" t="n">
        <f aca="false">Risk_target+(Risk0-Risk_target)*EXP(-Risk_rate*A608)+Risk_hump*(A608/Risk_peak_t)*EXP(1-A608/Risk_peak_t)</f>
        <v>55.9950080931724</v>
      </c>
    </row>
    <row r="609" customFormat="false" ht="15" hidden="false" customHeight="false" outlineLevel="0" collapsed="false">
      <c r="A609" s="21" t="n">
        <f aca="false">563/120</f>
        <v>4.69166666666667</v>
      </c>
      <c r="B609" s="21" t="n">
        <f aca="false">Risk_target+(Risk0-Risk_target)*EXP(-Risk_rate*A609)+Risk_hump*(A609/Risk_peak_t)*EXP(1-A609/Risk_peak_t)</f>
        <v>55.9729126383246</v>
      </c>
    </row>
    <row r="610" customFormat="false" ht="15" hidden="false" customHeight="false" outlineLevel="0" collapsed="false">
      <c r="A610" s="21" t="n">
        <f aca="false">564/120</f>
        <v>4.7</v>
      </c>
      <c r="B610" s="21" t="n">
        <f aca="false">Risk_target+(Risk0-Risk_target)*EXP(-Risk_rate*A610)+Risk_hump*(A610/Risk_peak_t)*EXP(1-A610/Risk_peak_t)</f>
        <v>55.9509095560575</v>
      </c>
    </row>
    <row r="611" customFormat="false" ht="15" hidden="false" customHeight="false" outlineLevel="0" collapsed="false">
      <c r="A611" s="21" t="n">
        <f aca="false">565/120</f>
        <v>4.70833333333333</v>
      </c>
      <c r="B611" s="21" t="n">
        <f aca="false">Risk_target+(Risk0-Risk_target)*EXP(-Risk_rate*A611)+Risk_hump*(A611/Risk_peak_t)*EXP(1-A611/Risk_peak_t)</f>
        <v>55.9289985402826</v>
      </c>
    </row>
    <row r="612" customFormat="false" ht="15" hidden="false" customHeight="false" outlineLevel="0" collapsed="false">
      <c r="A612" s="21" t="n">
        <f aca="false">566/120</f>
        <v>4.71666666666667</v>
      </c>
      <c r="B612" s="21" t="n">
        <f aca="false">Risk_target+(Risk0-Risk_target)*EXP(-Risk_rate*A612)+Risk_hump*(A612/Risk_peak_t)*EXP(1-A612/Risk_peak_t)</f>
        <v>55.9071792850094</v>
      </c>
    </row>
    <row r="613" customFormat="false" ht="15" hidden="false" customHeight="false" outlineLevel="0" collapsed="false">
      <c r="A613" s="21" t="n">
        <f aca="false">567/120</f>
        <v>4.725</v>
      </c>
      <c r="B613" s="21" t="n">
        <f aca="false">Risk_target+(Risk0-Risk_target)*EXP(-Risk_rate*A613)+Risk_hump*(A613/Risk_peak_t)*EXP(1-A613/Risk_peak_t)</f>
        <v>55.8854514843578</v>
      </c>
    </row>
    <row r="614" customFormat="false" ht="15" hidden="false" customHeight="false" outlineLevel="0" collapsed="false">
      <c r="A614" s="21" t="n">
        <f aca="false">568/120</f>
        <v>4.73333333333333</v>
      </c>
      <c r="B614" s="21" t="n">
        <f aca="false">Risk_target+(Risk0-Risk_target)*EXP(-Risk_rate*A614)+Risk_hump*(A614/Risk_peak_t)*EXP(1-A614/Risk_peak_t)</f>
        <v>55.8638148325705</v>
      </c>
    </row>
    <row r="615" customFormat="false" ht="15" hidden="false" customHeight="false" outlineLevel="0" collapsed="false">
      <c r="A615" s="21" t="n">
        <f aca="false">569/120</f>
        <v>4.74166666666667</v>
      </c>
      <c r="B615" s="21" t="n">
        <f aca="false">Risk_target+(Risk0-Risk_target)*EXP(-Risk_rate*A615)+Risk_hump*(A615/Risk_peak_t)*EXP(1-A615/Risk_peak_t)</f>
        <v>55.8422690240245</v>
      </c>
    </row>
    <row r="616" customFormat="false" ht="15" hidden="false" customHeight="false" outlineLevel="0" collapsed="false">
      <c r="A616" s="21" t="n">
        <f aca="false">570/120</f>
        <v>4.75</v>
      </c>
      <c r="B616" s="21" t="n">
        <f aca="false">Risk_target+(Risk0-Risk_target)*EXP(-Risk_rate*A616)+Risk_hump*(A616/Risk_peak_t)*EXP(1-A616/Risk_peak_t)</f>
        <v>55.8208137532435</v>
      </c>
    </row>
    <row r="617" customFormat="false" ht="15" hidden="false" customHeight="false" outlineLevel="0" collapsed="false">
      <c r="A617" s="21" t="n">
        <f aca="false">571/120</f>
        <v>4.75833333333333</v>
      </c>
      <c r="B617" s="21" t="n">
        <f aca="false">Risk_target+(Risk0-Risk_target)*EXP(-Risk_rate*A617)+Risk_hump*(A617/Risk_peak_t)*EXP(1-A617/Risk_peak_t)</f>
        <v>55.7994487149089</v>
      </c>
    </row>
    <row r="618" customFormat="false" ht="15" hidden="false" customHeight="false" outlineLevel="0" collapsed="false">
      <c r="A618" s="21" t="n">
        <f aca="false">572/120</f>
        <v>4.76666666666667</v>
      </c>
      <c r="B618" s="21" t="n">
        <f aca="false">Risk_target+(Risk0-Risk_target)*EXP(-Risk_rate*A618)+Risk_hump*(A618/Risk_peak_t)*EXP(1-A618/Risk_peak_t)</f>
        <v>55.7781736038722</v>
      </c>
    </row>
    <row r="619" customFormat="false" ht="15" hidden="false" customHeight="false" outlineLevel="0" collapsed="false">
      <c r="A619" s="21" t="n">
        <f aca="false">573/120</f>
        <v>4.775</v>
      </c>
      <c r="B619" s="21" t="n">
        <f aca="false">Risk_target+(Risk0-Risk_target)*EXP(-Risk_rate*A619)+Risk_hump*(A619/Risk_peak_t)*EXP(1-A619/Risk_peak_t)</f>
        <v>55.7569881151654</v>
      </c>
    </row>
    <row r="620" customFormat="false" ht="15" hidden="false" customHeight="false" outlineLevel="0" collapsed="false">
      <c r="A620" s="21" t="n">
        <f aca="false">574/120</f>
        <v>4.78333333333333</v>
      </c>
      <c r="B620" s="21" t="n">
        <f aca="false">Risk_target+(Risk0-Risk_target)*EXP(-Risk_rate*A620)+Risk_hump*(A620/Risk_peak_t)*EXP(1-A620/Risk_peak_t)</f>
        <v>55.735891944013</v>
      </c>
    </row>
    <row r="621" customFormat="false" ht="15" hidden="false" customHeight="false" outlineLevel="0" collapsed="false">
      <c r="A621" s="21" t="n">
        <f aca="false">575/120</f>
        <v>4.79166666666667</v>
      </c>
      <c r="B621" s="21" t="n">
        <f aca="false">Risk_target+(Risk0-Risk_target)*EXP(-Risk_rate*A621)+Risk_hump*(A621/Risk_peak_t)*EXP(1-A621/Risk_peak_t)</f>
        <v>55.7148847858423</v>
      </c>
    </row>
    <row r="622" customFormat="false" ht="15" hidden="false" customHeight="false" outlineLevel="0" collapsed="false">
      <c r="A622" s="21" t="n">
        <f aca="false">576/120</f>
        <v>4.8</v>
      </c>
      <c r="B622" s="21" t="n">
        <f aca="false">Risk_target+(Risk0-Risk_target)*EXP(-Risk_rate*A622)+Risk_hump*(A622/Risk_peak_t)*EXP(1-A622/Risk_peak_t)</f>
        <v>55.6939663362949</v>
      </c>
    </row>
    <row r="623" customFormat="false" ht="15" hidden="false" customHeight="false" outlineLevel="0" collapsed="false">
      <c r="A623" s="21" t="n">
        <f aca="false">577/120</f>
        <v>4.80833333333333</v>
      </c>
      <c r="B623" s="21" t="n">
        <f aca="false">Risk_target+(Risk0-Risk_target)*EXP(-Risk_rate*A623)+Risk_hump*(A623/Risk_peak_t)*EXP(1-A623/Risk_peak_t)</f>
        <v>55.673136291237</v>
      </c>
    </row>
    <row r="624" customFormat="false" ht="15" hidden="false" customHeight="false" outlineLevel="0" collapsed="false">
      <c r="A624" s="21" t="n">
        <f aca="false">578/120</f>
        <v>4.81666666666667</v>
      </c>
      <c r="B624" s="21" t="n">
        <f aca="false">Risk_target+(Risk0-Risk_target)*EXP(-Risk_rate*A624)+Risk_hump*(A624/Risk_peak_t)*EXP(1-A624/Risk_peak_t)</f>
        <v>55.6523943467701</v>
      </c>
    </row>
    <row r="625" customFormat="false" ht="15" hidden="false" customHeight="false" outlineLevel="0" collapsed="false">
      <c r="A625" s="21" t="n">
        <f aca="false">579/120</f>
        <v>4.825</v>
      </c>
      <c r="B625" s="21" t="n">
        <f aca="false">Risk_target+(Risk0-Risk_target)*EXP(-Risk_rate*A625)+Risk_hump*(A625/Risk_peak_t)*EXP(1-A625/Risk_peak_t)</f>
        <v>55.6317401992412</v>
      </c>
    </row>
    <row r="626" customFormat="false" ht="15" hidden="false" customHeight="false" outlineLevel="0" collapsed="false">
      <c r="A626" s="21" t="n">
        <f aca="false">580/120</f>
        <v>4.83333333333333</v>
      </c>
      <c r="B626" s="21" t="n">
        <f aca="false">Risk_target+(Risk0-Risk_target)*EXP(-Risk_rate*A626)+Risk_hump*(A626/Risk_peak_t)*EXP(1-A626/Risk_peak_t)</f>
        <v>55.6111735452535</v>
      </c>
    </row>
    <row r="627" customFormat="false" ht="15" hidden="false" customHeight="false" outlineLevel="0" collapsed="false">
      <c r="A627" s="21" t="n">
        <f aca="false">581/120</f>
        <v>4.84166666666667</v>
      </c>
      <c r="B627" s="21" t="n">
        <f aca="false">Risk_target+(Risk0-Risk_target)*EXP(-Risk_rate*A627)+Risk_hump*(A627/Risk_peak_t)*EXP(1-A627/Risk_peak_t)</f>
        <v>55.590694081676</v>
      </c>
    </row>
    <row r="628" customFormat="false" ht="15" hidden="false" customHeight="false" outlineLevel="0" collapsed="false">
      <c r="A628" s="21" t="n">
        <f aca="false">582/120</f>
        <v>4.85</v>
      </c>
      <c r="B628" s="21" t="n">
        <f aca="false">Risk_target+(Risk0-Risk_target)*EXP(-Risk_rate*A628)+Risk_hump*(A628/Risk_peak_t)*EXP(1-A628/Risk_peak_t)</f>
        <v>55.5703015056538</v>
      </c>
    </row>
    <row r="629" customFormat="false" ht="15" hidden="false" customHeight="false" outlineLevel="0" collapsed="false">
      <c r="A629" s="21" t="n">
        <f aca="false">583/120</f>
        <v>4.85833333333333</v>
      </c>
      <c r="B629" s="21" t="n">
        <f aca="false">Risk_target+(Risk0-Risk_target)*EXP(-Risk_rate*A629)+Risk_hump*(A629/Risk_peak_t)*EXP(1-A629/Risk_peak_t)</f>
        <v>55.5499955146175</v>
      </c>
    </row>
    <row r="630" customFormat="false" ht="15" hidden="false" customHeight="false" outlineLevel="0" collapsed="false">
      <c r="A630" s="21" t="n">
        <f aca="false">584/120</f>
        <v>4.86666666666667</v>
      </c>
      <c r="B630" s="21" t="n">
        <f aca="false">Risk_target+(Risk0-Risk_target)*EXP(-Risk_rate*A630)+Risk_hump*(A630/Risk_peak_t)*EXP(1-A630/Risk_peak_t)</f>
        <v>55.5297758062933</v>
      </c>
    </row>
    <row r="631" customFormat="false" ht="15" hidden="false" customHeight="false" outlineLevel="0" collapsed="false">
      <c r="A631" s="21" t="n">
        <f aca="false">585/120</f>
        <v>4.875</v>
      </c>
      <c r="B631" s="21" t="n">
        <f aca="false">Risk_target+(Risk0-Risk_target)*EXP(-Risk_rate*A631)+Risk_hump*(A631/Risk_peak_t)*EXP(1-A631/Risk_peak_t)</f>
        <v>55.5096420787123</v>
      </c>
    </row>
    <row r="632" customFormat="false" ht="15" hidden="false" customHeight="false" outlineLevel="0" collapsed="false">
      <c r="A632" s="21" t="n">
        <f aca="false">586/120</f>
        <v>4.88333333333333</v>
      </c>
      <c r="B632" s="21" t="n">
        <f aca="false">Risk_target+(Risk0-Risk_target)*EXP(-Risk_rate*A632)+Risk_hump*(A632/Risk_peak_t)*EXP(1-A632/Risk_peak_t)</f>
        <v>55.4895940302199</v>
      </c>
    </row>
    <row r="633" customFormat="false" ht="15" hidden="false" customHeight="false" outlineLevel="0" collapsed="false">
      <c r="A633" s="21" t="n">
        <f aca="false">587/120</f>
        <v>4.89166666666667</v>
      </c>
      <c r="B633" s="21" t="n">
        <f aca="false">Risk_target+(Risk0-Risk_target)*EXP(-Risk_rate*A633)+Risk_hump*(A633/Risk_peak_t)*EXP(1-A633/Risk_peak_t)</f>
        <v>55.4696313594848</v>
      </c>
    </row>
    <row r="634" customFormat="false" ht="15" hidden="false" customHeight="false" outlineLevel="0" collapsed="false">
      <c r="A634" s="21" t="n">
        <f aca="false">588/120</f>
        <v>4.9</v>
      </c>
      <c r="B634" s="21" t="n">
        <f aca="false">Risk_target+(Risk0-Risk_target)*EXP(-Risk_rate*A634)+Risk_hump*(A634/Risk_peak_t)*EXP(1-A634/Risk_peak_t)</f>
        <v>55.4497537655085</v>
      </c>
    </row>
    <row r="635" customFormat="false" ht="15" hidden="false" customHeight="false" outlineLevel="0" collapsed="false">
      <c r="A635" s="21" t="n">
        <f aca="false">589/120</f>
        <v>4.90833333333333</v>
      </c>
      <c r="B635" s="21" t="n">
        <f aca="false">Risk_target+(Risk0-Risk_target)*EXP(-Risk_rate*A635)+Risk_hump*(A635/Risk_peak_t)*EXP(1-A635/Risk_peak_t)</f>
        <v>55.4299609476338</v>
      </c>
    </row>
    <row r="636" customFormat="false" ht="15" hidden="false" customHeight="false" outlineLevel="0" collapsed="false">
      <c r="A636" s="21" t="n">
        <f aca="false">590/120</f>
        <v>4.91666666666667</v>
      </c>
      <c r="B636" s="21" t="n">
        <f aca="false">Risk_target+(Risk0-Risk_target)*EXP(-Risk_rate*A636)+Risk_hump*(A636/Risk_peak_t)*EXP(1-A636/Risk_peak_t)</f>
        <v>55.4102526055541</v>
      </c>
    </row>
    <row r="637" customFormat="false" ht="15" hidden="false" customHeight="false" outlineLevel="0" collapsed="false">
      <c r="A637" s="21" t="n">
        <f aca="false">591/120</f>
        <v>4.925</v>
      </c>
      <c r="B637" s="21" t="n">
        <f aca="false">Risk_target+(Risk0-Risk_target)*EXP(-Risk_rate*A637)+Risk_hump*(A637/Risk_peak_t)*EXP(1-A637/Risk_peak_t)</f>
        <v>55.3906284393215</v>
      </c>
    </row>
    <row r="638" customFormat="false" ht="15" hidden="false" customHeight="false" outlineLevel="0" collapsed="false">
      <c r="A638" s="21" t="n">
        <f aca="false">592/120</f>
        <v>4.93333333333333</v>
      </c>
      <c r="B638" s="21" t="n">
        <f aca="false">Risk_target+(Risk0-Risk_target)*EXP(-Risk_rate*A638)+Risk_hump*(A638/Risk_peak_t)*EXP(1-A638/Risk_peak_t)</f>
        <v>55.371088149356</v>
      </c>
    </row>
    <row r="639" customFormat="false" ht="15" hidden="false" customHeight="false" outlineLevel="0" collapsed="false">
      <c r="A639" s="21" t="n">
        <f aca="false">593/120</f>
        <v>4.94166666666667</v>
      </c>
      <c r="B639" s="21" t="n">
        <f aca="false">Risk_target+(Risk0-Risk_target)*EXP(-Risk_rate*A639)+Risk_hump*(A639/Risk_peak_t)*EXP(1-A639/Risk_peak_t)</f>
        <v>55.3516314364533</v>
      </c>
    </row>
    <row r="640" customFormat="false" ht="15" hidden="false" customHeight="false" outlineLevel="0" collapsed="false">
      <c r="A640" s="21" t="n">
        <f aca="false">594/120</f>
        <v>4.95</v>
      </c>
      <c r="B640" s="21" t="n">
        <f aca="false">Risk_target+(Risk0-Risk_target)*EXP(-Risk_rate*A640)+Risk_hump*(A640/Risk_peak_t)*EXP(1-A640/Risk_peak_t)</f>
        <v>55.3322580017934</v>
      </c>
    </row>
    <row r="641" customFormat="false" ht="15" hidden="false" customHeight="false" outlineLevel="0" collapsed="false">
      <c r="A641" s="21" t="n">
        <f aca="false">595/120</f>
        <v>4.95833333333333</v>
      </c>
      <c r="B641" s="21" t="n">
        <f aca="false">Risk_target+(Risk0-Risk_target)*EXP(-Risk_rate*A641)+Risk_hump*(A641/Risk_peak_t)*EXP(1-A641/Risk_peak_t)</f>
        <v>55.3129675469486</v>
      </c>
    </row>
    <row r="642" customFormat="false" ht="15" hidden="false" customHeight="false" outlineLevel="0" collapsed="false">
      <c r="A642" s="21" t="n">
        <f aca="false">596/120</f>
        <v>4.96666666666667</v>
      </c>
      <c r="B642" s="21" t="n">
        <f aca="false">Risk_target+(Risk0-Risk_target)*EXP(-Risk_rate*A642)+Risk_hump*(A642/Risk_peak_t)*EXP(1-A642/Risk_peak_t)</f>
        <v>55.2937597738917</v>
      </c>
    </row>
    <row r="643" customFormat="false" ht="15" hidden="false" customHeight="false" outlineLevel="0" collapsed="false">
      <c r="A643" s="21" t="n">
        <f aca="false">597/120</f>
        <v>4.975</v>
      </c>
      <c r="B643" s="21" t="n">
        <f aca="false">Risk_target+(Risk0-Risk_target)*EXP(-Risk_rate*A643)+Risk_hump*(A643/Risk_peak_t)*EXP(1-A643/Risk_peak_t)</f>
        <v>55.2746343850037</v>
      </c>
    </row>
    <row r="644" customFormat="false" ht="15" hidden="false" customHeight="false" outlineLevel="0" collapsed="false">
      <c r="A644" s="21" t="n">
        <f aca="false">598/120</f>
        <v>4.98333333333333</v>
      </c>
      <c r="B644" s="21" t="n">
        <f aca="false">Risk_target+(Risk0-Risk_target)*EXP(-Risk_rate*A644)+Risk_hump*(A644/Risk_peak_t)*EXP(1-A644/Risk_peak_t)</f>
        <v>55.2555910830818</v>
      </c>
    </row>
    <row r="645" customFormat="false" ht="15" hidden="false" customHeight="false" outlineLevel="0" collapsed="false">
      <c r="A645" s="21" t="n">
        <f aca="false">599/120</f>
        <v>4.99166666666667</v>
      </c>
      <c r="B645" s="21" t="n">
        <f aca="false">Risk_target+(Risk0-Risk_target)*EXP(-Risk_rate*A645)+Risk_hump*(A645/Risk_peak_t)*EXP(1-A645/Risk_peak_t)</f>
        <v>55.2366295713467</v>
      </c>
    </row>
    <row r="646" customFormat="false" ht="15" hidden="false" customHeight="false" outlineLevel="0" collapsed="false">
      <c r="A646" s="21" t="n">
        <f aca="false">600/120</f>
        <v>5</v>
      </c>
      <c r="B646" s="21" t="n">
        <f aca="false">Risk_target+(Risk0-Risk_target)*EXP(-Risk_rate*A646)+Risk_hump*(A646/Risk_peak_t)*EXP(1-A646/Risk_peak_t)</f>
        <v>55.2177495534504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6"/>
    <col collapsed="false" customWidth="true" hidden="false" outlineLevel="0" max="3" min="2" style="0" width="52"/>
    <col collapsed="false" customWidth="true" hidden="false" outlineLevel="0" max="4" min="4" style="0" width="14"/>
    <col collapsed="false" customWidth="true" hidden="false" outlineLevel="0" max="5" min="5" style="0" width="40"/>
  </cols>
  <sheetData>
    <row r="1" customFormat="false" ht="15" hidden="false" customHeight="false" outlineLevel="0" collapsed="false">
      <c r="A1" s="1" t="s">
        <v>518</v>
      </c>
    </row>
    <row r="3" customFormat="false" ht="15" hidden="false" customHeight="false" outlineLevel="0" collapsed="false">
      <c r="A3" s="8" t="s">
        <v>519</v>
      </c>
      <c r="B3" s="8" t="s">
        <v>520</v>
      </c>
      <c r="C3" s="8" t="s">
        <v>521</v>
      </c>
      <c r="D3" s="8" t="s">
        <v>522</v>
      </c>
      <c r="E3" s="8" t="s">
        <v>523</v>
      </c>
    </row>
    <row r="4" customFormat="false" ht="15" hidden="false" customHeight="false" outlineLevel="0" collapsed="false">
      <c r="A4" s="2" t="s">
        <v>524</v>
      </c>
      <c r="B4" s="2" t="s">
        <v>525</v>
      </c>
      <c r="C4" s="2" t="s">
        <v>526</v>
      </c>
      <c r="D4" s="4" t="str">
        <f aca="false">R1_Inventory!B62</f>
        <v>pass</v>
      </c>
      <c r="E4" s="2" t="s">
        <v>527</v>
      </c>
    </row>
    <row r="5" customFormat="false" ht="15" hidden="false" customHeight="false" outlineLevel="0" collapsed="false">
      <c r="A5" s="2" t="s">
        <v>528</v>
      </c>
      <c r="B5" s="2" t="s">
        <v>529</v>
      </c>
      <c r="C5" s="2" t="s">
        <v>530</v>
      </c>
      <c r="D5" s="4" t="str">
        <f aca="false">IF(R2_Consistency!B36="yes","pass","fail")</f>
        <v>pass</v>
      </c>
      <c r="E5" s="2" t="s">
        <v>531</v>
      </c>
    </row>
    <row r="6" customFormat="false" ht="15" hidden="false" customHeight="false" outlineLevel="0" collapsed="false">
      <c r="A6" s="2" t="s">
        <v>532</v>
      </c>
      <c r="B6" s="2" t="s">
        <v>533</v>
      </c>
      <c r="C6" s="2" t="s">
        <v>534</v>
      </c>
      <c r="D6" s="4" t="str">
        <f aca="false">IF(AND(D5="pass",R3_Panel!B11="yes"),"pass","fail")</f>
        <v>pass</v>
      </c>
      <c r="E6" s="2" t="s">
        <v>535</v>
      </c>
    </row>
    <row r="7" customFormat="false" ht="15" hidden="false" customHeight="false" outlineLevel="0" collapsed="false">
      <c r="A7" s="2" t="s">
        <v>536</v>
      </c>
      <c r="B7" s="2" t="s">
        <v>537</v>
      </c>
      <c r="C7" s="2" t="s">
        <v>538</v>
      </c>
      <c r="D7" s="4" t="str">
        <f aca="false">IF(AND(D5="pass",R4_Horizon!B23&lt;=Appetite),"pass","fail")</f>
        <v>pass</v>
      </c>
      <c r="E7" s="2" t="s">
        <v>539</v>
      </c>
    </row>
    <row r="9" customFormat="false" ht="15" hidden="false" customHeight="false" outlineLevel="0" collapsed="false">
      <c r="A9" s="2" t="s">
        <v>540</v>
      </c>
      <c r="B9" s="11" t="n">
        <f aca="false">COUNTIF(D4:D7,"pass")</f>
        <v>4</v>
      </c>
      <c r="C9" s="10" t="s">
        <v>541</v>
      </c>
    </row>
    <row r="10" customFormat="false" ht="15" hidden="false" customHeight="false" outlineLevel="0" collapsed="false">
      <c r="A10" s="2" t="s">
        <v>542</v>
      </c>
      <c r="B10" s="2" t="str">
        <f aca="false">IF(B9=4,"yes","no")</f>
        <v>yes</v>
      </c>
      <c r="C10" s="10" t="s">
        <v>543</v>
      </c>
    </row>
    <row r="11" customFormat="false" ht="15" hidden="false" customHeight="false" outlineLevel="0" collapsed="false">
      <c r="A11" s="2" t="s">
        <v>544</v>
      </c>
      <c r="B11" s="11" t="n">
        <f aca="false">COUNTIF(R4_Horizon!D39:D42,"weaker than the reading")</f>
        <v>2</v>
      </c>
      <c r="C11" s="10" t="s">
        <v>545</v>
      </c>
    </row>
    <row r="12" customFormat="false" ht="15" hidden="false" customHeight="false" outlineLevel="0" collapsed="false">
      <c r="A12" s="2" t="s">
        <v>520</v>
      </c>
      <c r="B12" s="2" t="s">
        <v>546</v>
      </c>
    </row>
    <row r="14" customFormat="false" ht="15" hidden="false" customHeight="false" outlineLevel="0" collapsed="false">
      <c r="A14" s="8" t="s">
        <v>547</v>
      </c>
      <c r="B14" s="8" t="s">
        <v>259</v>
      </c>
    </row>
    <row r="15" customFormat="false" ht="15" hidden="false" customHeight="false" outlineLevel="0" collapsed="false">
      <c r="A15" s="2" t="s">
        <v>548</v>
      </c>
      <c r="B15" s="2" t="s">
        <v>549</v>
      </c>
    </row>
    <row r="16" customFormat="false" ht="15" hidden="false" customHeight="false" outlineLevel="0" collapsed="false">
      <c r="A16" s="2" t="s">
        <v>550</v>
      </c>
      <c r="B16" s="2" t="s">
        <v>551</v>
      </c>
    </row>
    <row r="17" customFormat="false" ht="15" hidden="false" customHeight="false" outlineLevel="0" collapsed="false">
      <c r="A17" s="2" t="s">
        <v>552</v>
      </c>
      <c r="B17" s="2" t="s">
        <v>535</v>
      </c>
    </row>
    <row r="19" customFormat="false" ht="15" hidden="false" customHeight="false" outlineLevel="0" collapsed="false">
      <c r="A19" s="8" t="s">
        <v>553</v>
      </c>
      <c r="B19" s="8" t="s">
        <v>19</v>
      </c>
      <c r="C19" s="8" t="s">
        <v>135</v>
      </c>
    </row>
    <row r="20" customFormat="false" ht="15" hidden="false" customHeight="false" outlineLevel="0" collapsed="false">
      <c r="A20" s="2" t="s">
        <v>554</v>
      </c>
      <c r="B20" s="9" t="n">
        <v>350</v>
      </c>
      <c r="C20" s="10" t="s">
        <v>555</v>
      </c>
    </row>
    <row r="21" customFormat="false" ht="15" hidden="false" customHeight="false" outlineLevel="0" collapsed="false">
      <c r="A21" s="2" t="s">
        <v>556</v>
      </c>
      <c r="B21" s="9" t="n">
        <v>300</v>
      </c>
      <c r="C21" s="10" t="s">
        <v>557</v>
      </c>
    </row>
    <row r="22" customFormat="false" ht="15" hidden="false" customHeight="false" outlineLevel="0" collapsed="false">
      <c r="A22" s="2" t="s">
        <v>558</v>
      </c>
      <c r="B22" s="2" t="str">
        <f aca="false">IF(B20&lt;=B21,"yes","no: the region is empty; (R3), (R4) fail too")</f>
        <v>no: the region is empty; (R3), (R4) fail too</v>
      </c>
    </row>
    <row r="23" customFormat="false" ht="15" hidden="false" customHeight="false" outlineLevel="0" collapsed="false">
      <c r="A23" s="2" t="s">
        <v>559</v>
      </c>
      <c r="B23" s="9" t="n">
        <v>120</v>
      </c>
    </row>
    <row r="24" customFormat="false" ht="15" hidden="false" customHeight="false" outlineLevel="0" collapsed="false">
      <c r="A24" s="2" t="s">
        <v>560</v>
      </c>
      <c r="B24" s="9" t="n">
        <v>50</v>
      </c>
    </row>
    <row r="25" customFormat="false" ht="15" hidden="false" customHeight="false" outlineLevel="0" collapsed="false">
      <c r="A25" s="2" t="s">
        <v>561</v>
      </c>
      <c r="B25" s="9" t="n">
        <v>10</v>
      </c>
    </row>
    <row r="27" customFormat="false" ht="15" hidden="false" customHeight="false" outlineLevel="0" collapsed="false">
      <c r="A27" s="8" t="s">
        <v>346</v>
      </c>
      <c r="B27" s="8" t="s">
        <v>28</v>
      </c>
      <c r="C27" s="8" t="s">
        <v>562</v>
      </c>
    </row>
    <row r="28" customFormat="false" ht="15" hidden="false" customHeight="false" outlineLevel="0" collapsed="false">
      <c r="A28" s="11" t="n">
        <v>0</v>
      </c>
      <c r="B28" s="11" t="n">
        <f aca="false">B23</f>
        <v>120</v>
      </c>
      <c r="C28" s="11" t="n">
        <f aca="false">B24</f>
        <v>50</v>
      </c>
    </row>
    <row r="29" customFormat="false" ht="15" hidden="false" customHeight="false" outlineLevel="0" collapsed="false">
      <c r="A29" s="11" t="n">
        <v>1</v>
      </c>
      <c r="B29" s="11" t="n">
        <f aca="false">B28-C28</f>
        <v>70</v>
      </c>
      <c r="C29" s="11" t="n">
        <f aca="false">MAX(C28-$B$25,0)</f>
        <v>40</v>
      </c>
    </row>
    <row r="30" customFormat="false" ht="15" hidden="false" customHeight="false" outlineLevel="0" collapsed="false">
      <c r="A30" s="11" t="n">
        <v>2</v>
      </c>
      <c r="B30" s="11" t="n">
        <f aca="false">B29-C29</f>
        <v>30</v>
      </c>
      <c r="C30" s="11" t="n">
        <f aca="false">MAX(C29-$B$25,0)</f>
        <v>30</v>
      </c>
    </row>
    <row r="31" customFormat="false" ht="15" hidden="false" customHeight="false" outlineLevel="0" collapsed="false">
      <c r="A31" s="11" t="n">
        <v>3</v>
      </c>
      <c r="B31" s="11" t="n">
        <f aca="false">B30-C30</f>
        <v>0</v>
      </c>
      <c r="C31" s="11" t="n">
        <f aca="false">MAX(C30-$B$25,0)</f>
        <v>20</v>
      </c>
    </row>
    <row r="32" customFormat="false" ht="15" hidden="false" customHeight="false" outlineLevel="0" collapsed="false">
      <c r="A32" s="11" t="n">
        <v>4</v>
      </c>
      <c r="B32" s="11" t="n">
        <f aca="false">B31-C31</f>
        <v>-20</v>
      </c>
      <c r="C32" s="11" t="n">
        <f aca="false">MAX(C31-$B$25,0)</f>
        <v>10</v>
      </c>
    </row>
    <row r="34" customFormat="false" ht="15" hidden="false" customHeight="false" outlineLevel="0" collapsed="false">
      <c r="A34" s="2" t="s">
        <v>563</v>
      </c>
      <c r="B34" s="11" t="n">
        <f aca="false">B32</f>
        <v>-20</v>
      </c>
      <c r="C34" s="10" t="s">
        <v>564</v>
      </c>
    </row>
    <row r="35" customFormat="false" ht="15" hidden="false" customHeight="false" outlineLevel="0" collapsed="false">
      <c r="A35" s="2" t="s">
        <v>565</v>
      </c>
      <c r="B35" s="11" t="n">
        <f aca="false">COUNTIF(B29:B32,"&gt;=0")</f>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N2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1" ySplit="5" topLeftCell="L6" activePane="bottomRight" state="frozen"/>
      <selection pane="topLeft" activeCell="A1" activeCellId="0" sqref="A1"/>
      <selection pane="topRight" activeCell="L1" activeCellId="0" sqref="L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6"/>
    <col collapsed="false" customWidth="true" hidden="false" outlineLevel="0" max="3" min="3" style="0" width="8"/>
    <col collapsed="false" customWidth="true" hidden="false" outlineLevel="0" max="4" min="4" style="0" width="7"/>
    <col collapsed="false" customWidth="true" hidden="false" outlineLevel="0" max="5" min="5" style="0" width="8"/>
    <col collapsed="false" customWidth="true" hidden="false" outlineLevel="0" max="6" min="6" style="0" width="10"/>
    <col collapsed="false" customWidth="true" hidden="false" outlineLevel="0" max="7" min="7" style="0" width="9"/>
    <col collapsed="false" customWidth="true" hidden="false" outlineLevel="0" max="8" min="8" style="0" width="11"/>
    <col collapsed="false" customWidth="true" hidden="false" outlineLevel="0" max="11" min="11" style="0" width="18"/>
    <col collapsed="false" customWidth="true" hidden="false" outlineLevel="0" max="222" min="12" style="0" width="3.2"/>
  </cols>
  <sheetData>
    <row r="1" customFormat="false" ht="15" hidden="false" customHeight="false" outlineLevel="0" collapsed="false">
      <c r="A1" s="1" t="s">
        <v>566</v>
      </c>
    </row>
    <row r="2" customFormat="false" ht="15" hidden="false" customHeight="false" outlineLevel="0" collapsed="false">
      <c r="A2" s="10" t="s">
        <v>567</v>
      </c>
    </row>
    <row r="4" customFormat="false" ht="15" hidden="false" customHeight="false" outlineLevel="0" collapsed="false">
      <c r="K4" s="2" t="s">
        <v>568</v>
      </c>
      <c r="L4" s="11" t="n">
        <f aca="false">$H$6</f>
        <v>0</v>
      </c>
      <c r="M4" s="11" t="n">
        <f aca="false">$H$7</f>
        <v>0</v>
      </c>
      <c r="N4" s="11" t="n">
        <f aca="false">$H$8</f>
        <v>0</v>
      </c>
      <c r="O4" s="11" t="n">
        <f aca="false">$H$9</f>
        <v>0</v>
      </c>
      <c r="P4" s="11" t="n">
        <f aca="false">$H$10</f>
        <v>0</v>
      </c>
      <c r="Q4" s="11" t="n">
        <f aca="false">$H$11</f>
        <v>1</v>
      </c>
      <c r="R4" s="11" t="n">
        <f aca="false">$H$12</f>
        <v>1</v>
      </c>
      <c r="S4" s="11" t="n">
        <f aca="false">$H$13</f>
        <v>0</v>
      </c>
      <c r="T4" s="11" t="n">
        <f aca="false">$H$14</f>
        <v>0</v>
      </c>
      <c r="U4" s="11" t="n">
        <f aca="false">$H$15</f>
        <v>0</v>
      </c>
      <c r="V4" s="11" t="n">
        <f aca="false">$H$16</f>
        <v>0</v>
      </c>
      <c r="W4" s="11" t="n">
        <f aca="false">$H$17</f>
        <v>1</v>
      </c>
      <c r="X4" s="11" t="n">
        <f aca="false">$H$18</f>
        <v>1</v>
      </c>
      <c r="Y4" s="11" t="n">
        <f aca="false">$H$19</f>
        <v>0</v>
      </c>
      <c r="Z4" s="11" t="n">
        <f aca="false">$H$20</f>
        <v>1</v>
      </c>
      <c r="AA4" s="11" t="n">
        <f aca="false">$H$21</f>
        <v>0</v>
      </c>
      <c r="AB4" s="11" t="n">
        <f aca="false">$H$22</f>
        <v>1</v>
      </c>
      <c r="AC4" s="11" t="n">
        <f aca="false">$H$23</f>
        <v>0</v>
      </c>
      <c r="AD4" s="11" t="n">
        <f aca="false">$H$24</f>
        <v>1</v>
      </c>
      <c r="AE4" s="11" t="n">
        <f aca="false">$H$25</f>
        <v>0</v>
      </c>
      <c r="AF4" s="11" t="n">
        <f aca="false">$H$26</f>
        <v>0</v>
      </c>
      <c r="AG4" s="11" t="n">
        <f aca="false">$H$27</f>
        <v>1</v>
      </c>
      <c r="AH4" s="11" t="n">
        <f aca="false">$H$28</f>
        <v>0</v>
      </c>
      <c r="AI4" s="11" t="n">
        <f aca="false">$H$29</f>
        <v>0</v>
      </c>
      <c r="AJ4" s="11" t="n">
        <f aca="false">$H$30</f>
        <v>0</v>
      </c>
      <c r="AK4" s="11" t="n">
        <f aca="false">$H$31</f>
        <v>1</v>
      </c>
      <c r="AL4" s="11" t="n">
        <f aca="false">$H$32</f>
        <v>0</v>
      </c>
      <c r="AM4" s="11" t="n">
        <f aca="false">$H$33</f>
        <v>1</v>
      </c>
      <c r="AN4" s="11" t="n">
        <f aca="false">$H$34</f>
        <v>1</v>
      </c>
      <c r="AO4" s="11" t="n">
        <f aca="false">$H$35</f>
        <v>1</v>
      </c>
      <c r="AP4" s="11" t="n">
        <f aca="false">$H$36</f>
        <v>1</v>
      </c>
      <c r="AQ4" s="11" t="n">
        <f aca="false">$H$37</f>
        <v>1</v>
      </c>
      <c r="AR4" s="11" t="n">
        <f aca="false">$H$38</f>
        <v>0</v>
      </c>
      <c r="AS4" s="11" t="n">
        <f aca="false">$H$39</f>
        <v>0</v>
      </c>
      <c r="AT4" s="11" t="n">
        <f aca="false">$H$40</f>
        <v>1</v>
      </c>
      <c r="AU4" s="11" t="n">
        <f aca="false">$H$41</f>
        <v>1</v>
      </c>
      <c r="AV4" s="11" t="n">
        <f aca="false">$H$42</f>
        <v>0</v>
      </c>
      <c r="AW4" s="11" t="n">
        <f aca="false">$H$43</f>
        <v>0</v>
      </c>
      <c r="AX4" s="11" t="n">
        <f aca="false">$H$44</f>
        <v>0</v>
      </c>
      <c r="AY4" s="11" t="n">
        <f aca="false">$H$45</f>
        <v>0</v>
      </c>
      <c r="AZ4" s="11" t="n">
        <f aca="false">$H$46</f>
        <v>0</v>
      </c>
      <c r="BA4" s="11" t="n">
        <f aca="false">$H$47</f>
        <v>0</v>
      </c>
      <c r="BB4" s="11" t="n">
        <f aca="false">$H$48</f>
        <v>0</v>
      </c>
      <c r="BC4" s="11" t="n">
        <f aca="false">$H$49</f>
        <v>1</v>
      </c>
      <c r="BD4" s="11" t="n">
        <f aca="false">$H$50</f>
        <v>1</v>
      </c>
      <c r="BE4" s="11" t="n">
        <f aca="false">$H$51</f>
        <v>1</v>
      </c>
      <c r="BF4" s="11" t="n">
        <f aca="false">$H$52</f>
        <v>1</v>
      </c>
      <c r="BG4" s="11" t="n">
        <f aca="false">$H$53</f>
        <v>1</v>
      </c>
      <c r="BH4" s="11" t="n">
        <f aca="false">$H$54</f>
        <v>1</v>
      </c>
      <c r="BI4" s="11" t="n">
        <f aca="false">$H$55</f>
        <v>1</v>
      </c>
      <c r="BJ4" s="11" t="n">
        <f aca="false">$H$56</f>
        <v>0</v>
      </c>
      <c r="BK4" s="11" t="n">
        <f aca="false">$H$57</f>
        <v>0</v>
      </c>
      <c r="BL4" s="11" t="n">
        <f aca="false">$H$58</f>
        <v>0</v>
      </c>
      <c r="BM4" s="11" t="n">
        <f aca="false">$H$59</f>
        <v>0</v>
      </c>
      <c r="BN4" s="11" t="n">
        <f aca="false">$H$60</f>
        <v>0</v>
      </c>
      <c r="BO4" s="11" t="n">
        <f aca="false">$H$61</f>
        <v>1</v>
      </c>
      <c r="BP4" s="11" t="n">
        <f aca="false">$H$62</f>
        <v>0</v>
      </c>
      <c r="BQ4" s="11" t="n">
        <f aca="false">$H$63</f>
        <v>1</v>
      </c>
      <c r="BR4" s="11" t="n">
        <f aca="false">$H$64</f>
        <v>1</v>
      </c>
      <c r="BS4" s="11" t="n">
        <f aca="false">$H$65</f>
        <v>0</v>
      </c>
      <c r="BT4" s="11" t="n">
        <f aca="false">$H$66</f>
        <v>0</v>
      </c>
      <c r="BU4" s="11" t="n">
        <f aca="false">$H$67</f>
        <v>0</v>
      </c>
      <c r="BV4" s="11" t="n">
        <f aca="false">$H$68</f>
        <v>1</v>
      </c>
      <c r="BW4" s="11" t="n">
        <f aca="false">$H$69</f>
        <v>0</v>
      </c>
      <c r="BX4" s="11" t="n">
        <f aca="false">$H$70</f>
        <v>0</v>
      </c>
      <c r="BY4" s="11" t="n">
        <f aca="false">$H$71</f>
        <v>0</v>
      </c>
      <c r="BZ4" s="11" t="n">
        <f aca="false">$H$72</f>
        <v>0</v>
      </c>
      <c r="CA4" s="11" t="n">
        <f aca="false">$H$73</f>
        <v>0</v>
      </c>
      <c r="CB4" s="11" t="n">
        <f aca="false">$H$74</f>
        <v>0</v>
      </c>
      <c r="CC4" s="11" t="n">
        <f aca="false">$H$75</f>
        <v>0</v>
      </c>
      <c r="CD4" s="11" t="n">
        <f aca="false">$H$76</f>
        <v>0</v>
      </c>
      <c r="CE4" s="11" t="n">
        <f aca="false">$H$77</f>
        <v>0</v>
      </c>
      <c r="CF4" s="11" t="n">
        <f aca="false">$H$78</f>
        <v>0</v>
      </c>
      <c r="CG4" s="11" t="n">
        <f aca="false">$H$79</f>
        <v>1</v>
      </c>
      <c r="CH4" s="11" t="n">
        <f aca="false">$H$80</f>
        <v>0</v>
      </c>
      <c r="CI4" s="11" t="n">
        <f aca="false">$H$81</f>
        <v>1</v>
      </c>
      <c r="CJ4" s="11" t="n">
        <f aca="false">$H$82</f>
        <v>1</v>
      </c>
      <c r="CK4" s="11" t="n">
        <f aca="false">$H$83</f>
        <v>1</v>
      </c>
      <c r="CL4" s="11" t="n">
        <f aca="false">$H$84</f>
        <v>0</v>
      </c>
      <c r="CM4" s="11" t="n">
        <f aca="false">$H$85</f>
        <v>0</v>
      </c>
      <c r="CN4" s="11" t="n">
        <f aca="false">$H$86</f>
        <v>0</v>
      </c>
      <c r="CO4" s="11" t="n">
        <f aca="false">$H$87</f>
        <v>0</v>
      </c>
      <c r="CP4" s="11" t="n">
        <f aca="false">$H$88</f>
        <v>0</v>
      </c>
      <c r="CQ4" s="11" t="n">
        <f aca="false">$H$89</f>
        <v>0</v>
      </c>
      <c r="CR4" s="11" t="n">
        <f aca="false">$H$90</f>
        <v>0</v>
      </c>
      <c r="CS4" s="11" t="n">
        <f aca="false">$H$91</f>
        <v>0</v>
      </c>
      <c r="CT4" s="11" t="n">
        <f aca="false">$H$92</f>
        <v>0</v>
      </c>
      <c r="CU4" s="11" t="n">
        <f aca="false">$H$93</f>
        <v>0</v>
      </c>
      <c r="CV4" s="11" t="n">
        <f aca="false">$H$94</f>
        <v>0</v>
      </c>
      <c r="CW4" s="11" t="n">
        <f aca="false">$H$95</f>
        <v>0</v>
      </c>
      <c r="CX4" s="11" t="n">
        <f aca="false">$H$96</f>
        <v>0</v>
      </c>
      <c r="CY4" s="11" t="n">
        <f aca="false">$H$97</f>
        <v>1</v>
      </c>
      <c r="CZ4" s="11" t="n">
        <f aca="false">$H$98</f>
        <v>0</v>
      </c>
      <c r="DA4" s="11" t="n">
        <f aca="false">$H$99</f>
        <v>0</v>
      </c>
      <c r="DB4" s="11" t="n">
        <f aca="false">$H$100</f>
        <v>1</v>
      </c>
      <c r="DC4" s="11" t="n">
        <f aca="false">$H$101</f>
        <v>0</v>
      </c>
      <c r="DD4" s="11" t="n">
        <f aca="false">$H$102</f>
        <v>1</v>
      </c>
      <c r="DE4" s="11" t="n">
        <f aca="false">$H$103</f>
        <v>0</v>
      </c>
      <c r="DF4" s="11" t="n">
        <f aca="false">$H$104</f>
        <v>1</v>
      </c>
      <c r="DG4" s="11" t="n">
        <f aca="false">$H$105</f>
        <v>1</v>
      </c>
      <c r="DH4" s="11" t="n">
        <f aca="false">$H$106</f>
        <v>1</v>
      </c>
      <c r="DI4" s="11" t="n">
        <f aca="false">$H$107</f>
        <v>0</v>
      </c>
      <c r="DJ4" s="11" t="n">
        <f aca="false">$H$108</f>
        <v>0</v>
      </c>
      <c r="DK4" s="11" t="n">
        <f aca="false">$H$109</f>
        <v>0</v>
      </c>
      <c r="DL4" s="11" t="n">
        <f aca="false">$H$110</f>
        <v>0</v>
      </c>
      <c r="DM4" s="11" t="n">
        <f aca="false">$H$111</f>
        <v>0</v>
      </c>
      <c r="DN4" s="11" t="n">
        <f aca="false">$H$112</f>
        <v>0</v>
      </c>
      <c r="DO4" s="11" t="n">
        <f aca="false">$H$113</f>
        <v>0</v>
      </c>
      <c r="DP4" s="11" t="n">
        <f aca="false">$H$114</f>
        <v>0</v>
      </c>
      <c r="DQ4" s="11" t="n">
        <f aca="false">$H$115</f>
        <v>0</v>
      </c>
      <c r="DR4" s="11" t="n">
        <f aca="false">$H$116</f>
        <v>0</v>
      </c>
      <c r="DS4" s="11" t="n">
        <f aca="false">$H$117</f>
        <v>0</v>
      </c>
      <c r="DT4" s="11" t="n">
        <f aca="false">$H$118</f>
        <v>0</v>
      </c>
      <c r="DU4" s="11" t="n">
        <f aca="false">$H$119</f>
        <v>0</v>
      </c>
      <c r="DV4" s="11" t="n">
        <f aca="false">$H$120</f>
        <v>0</v>
      </c>
      <c r="DW4" s="11" t="n">
        <f aca="false">$H$121</f>
        <v>1</v>
      </c>
      <c r="DX4" s="11" t="n">
        <f aca="false">$H$122</f>
        <v>1</v>
      </c>
      <c r="DY4" s="11" t="n">
        <f aca="false">$H$123</f>
        <v>1</v>
      </c>
      <c r="DZ4" s="11" t="n">
        <f aca="false">$H$124</f>
        <v>0</v>
      </c>
      <c r="EA4" s="11" t="n">
        <f aca="false">$H$125</f>
        <v>0</v>
      </c>
      <c r="EB4" s="11" t="n">
        <f aca="false">$H$126</f>
        <v>0</v>
      </c>
      <c r="EC4" s="11" t="n">
        <f aca="false">$H$127</f>
        <v>0</v>
      </c>
      <c r="ED4" s="11" t="n">
        <f aca="false">$H$128</f>
        <v>0</v>
      </c>
      <c r="EE4" s="11" t="n">
        <f aca="false">$H$129</f>
        <v>0</v>
      </c>
      <c r="EF4" s="11" t="n">
        <f aca="false">$H$130</f>
        <v>0</v>
      </c>
      <c r="EG4" s="11" t="n">
        <f aca="false">$H$131</f>
        <v>1</v>
      </c>
      <c r="EH4" s="11" t="n">
        <f aca="false">$H$132</f>
        <v>1</v>
      </c>
      <c r="EI4" s="11" t="n">
        <f aca="false">$H$133</f>
        <v>1</v>
      </c>
      <c r="EJ4" s="11" t="n">
        <f aca="false">$H$134</f>
        <v>0</v>
      </c>
      <c r="EK4" s="11" t="n">
        <f aca="false">$H$135</f>
        <v>0</v>
      </c>
      <c r="EL4" s="11" t="n">
        <f aca="false">$H$136</f>
        <v>0</v>
      </c>
      <c r="EM4" s="11" t="n">
        <f aca="false">$H$137</f>
        <v>0</v>
      </c>
      <c r="EN4" s="11" t="n">
        <f aca="false">$H$138</f>
        <v>0</v>
      </c>
      <c r="EO4" s="11" t="n">
        <f aca="false">$H$139</f>
        <v>0</v>
      </c>
      <c r="EP4" s="11" t="n">
        <f aca="false">$H$140</f>
        <v>1</v>
      </c>
      <c r="EQ4" s="11" t="n">
        <f aca="false">$H$141</f>
        <v>1</v>
      </c>
      <c r="ER4" s="11" t="n">
        <f aca="false">$H$142</f>
        <v>0</v>
      </c>
      <c r="ES4" s="11" t="n">
        <f aca="false">$H$143</f>
        <v>0</v>
      </c>
      <c r="ET4" s="11" t="n">
        <f aca="false">$H$144</f>
        <v>0</v>
      </c>
      <c r="EU4" s="11" t="n">
        <f aca="false">$H$145</f>
        <v>0</v>
      </c>
      <c r="EV4" s="11" t="n">
        <f aca="false">$H$146</f>
        <v>1</v>
      </c>
      <c r="EW4" s="11" t="n">
        <f aca="false">$H$147</f>
        <v>0</v>
      </c>
      <c r="EX4" s="11" t="n">
        <f aca="false">$H$148</f>
        <v>0</v>
      </c>
      <c r="EY4" s="11" t="n">
        <f aca="false">$H$149</f>
        <v>0</v>
      </c>
      <c r="EZ4" s="11" t="n">
        <f aca="false">$H$150</f>
        <v>0</v>
      </c>
      <c r="FA4" s="11" t="n">
        <f aca="false">$H$151</f>
        <v>1</v>
      </c>
      <c r="FB4" s="11" t="n">
        <f aca="false">$H$152</f>
        <v>0</v>
      </c>
      <c r="FC4" s="11" t="n">
        <f aca="false">$H$153</f>
        <v>0</v>
      </c>
      <c r="FD4" s="11" t="n">
        <f aca="false">$H$154</f>
        <v>0</v>
      </c>
      <c r="FE4" s="11" t="n">
        <f aca="false">$H$155</f>
        <v>0</v>
      </c>
      <c r="FF4" s="11" t="n">
        <f aca="false">$H$156</f>
        <v>0</v>
      </c>
      <c r="FG4" s="11" t="n">
        <f aca="false">$H$157</f>
        <v>0</v>
      </c>
      <c r="FH4" s="11" t="n">
        <f aca="false">$H$158</f>
        <v>0</v>
      </c>
      <c r="FI4" s="11" t="n">
        <f aca="false">$H$159</f>
        <v>1</v>
      </c>
      <c r="FJ4" s="11" t="n">
        <f aca="false">$H$160</f>
        <v>0</v>
      </c>
      <c r="FK4" s="11" t="n">
        <f aca="false">$H$161</f>
        <v>1</v>
      </c>
      <c r="FL4" s="11" t="n">
        <f aca="false">$H$162</f>
        <v>0</v>
      </c>
      <c r="FM4" s="11" t="n">
        <f aca="false">$H$163</f>
        <v>0</v>
      </c>
      <c r="FN4" s="11" t="n">
        <f aca="false">$H$164</f>
        <v>0</v>
      </c>
      <c r="FO4" s="11" t="n">
        <f aca="false">$H$165</f>
        <v>1</v>
      </c>
      <c r="FP4" s="11" t="n">
        <f aca="false">$H$166</f>
        <v>1</v>
      </c>
      <c r="FQ4" s="11" t="n">
        <f aca="false">$H$167</f>
        <v>0</v>
      </c>
      <c r="FR4" s="11" t="n">
        <f aca="false">$H$168</f>
        <v>0</v>
      </c>
      <c r="FS4" s="11" t="n">
        <f aca="false">$H$169</f>
        <v>0</v>
      </c>
      <c r="FT4" s="11" t="n">
        <f aca="false">$H$170</f>
        <v>0</v>
      </c>
      <c r="FU4" s="11" t="n">
        <f aca="false">$H$171</f>
        <v>0</v>
      </c>
      <c r="FV4" s="11" t="n">
        <f aca="false">$H$172</f>
        <v>0</v>
      </c>
      <c r="FW4" s="11" t="n">
        <f aca="false">$H$173</f>
        <v>1</v>
      </c>
      <c r="FX4" s="11" t="n">
        <f aca="false">$H$174</f>
        <v>1</v>
      </c>
      <c r="FY4" s="11" t="n">
        <f aca="false">$H$175</f>
        <v>0</v>
      </c>
      <c r="FZ4" s="11" t="n">
        <f aca="false">$H$176</f>
        <v>1</v>
      </c>
      <c r="GA4" s="11" t="n">
        <f aca="false">$H$177</f>
        <v>1</v>
      </c>
      <c r="GB4" s="11" t="n">
        <f aca="false">$H$178</f>
        <v>0</v>
      </c>
      <c r="GC4" s="11" t="n">
        <f aca="false">$H$179</f>
        <v>1</v>
      </c>
      <c r="GD4" s="11" t="n">
        <f aca="false">$H$180</f>
        <v>0</v>
      </c>
      <c r="GE4" s="11" t="n">
        <f aca="false">$H$181</f>
        <v>0</v>
      </c>
      <c r="GF4" s="11" t="n">
        <f aca="false">$H$182</f>
        <v>0</v>
      </c>
      <c r="GG4" s="11" t="n">
        <f aca="false">$H$183</f>
        <v>1</v>
      </c>
      <c r="GH4" s="11" t="n">
        <f aca="false">$H$184</f>
        <v>0</v>
      </c>
      <c r="GI4" s="11" t="n">
        <f aca="false">$H$185</f>
        <v>1</v>
      </c>
      <c r="GJ4" s="11" t="n">
        <f aca="false">$H$186</f>
        <v>1</v>
      </c>
      <c r="GK4" s="11" t="n">
        <f aca="false">$H$187</f>
        <v>0</v>
      </c>
      <c r="GL4" s="11" t="n">
        <f aca="false">$H$188</f>
        <v>0</v>
      </c>
      <c r="GM4" s="11" t="n">
        <f aca="false">$H$189</f>
        <v>1</v>
      </c>
      <c r="GN4" s="11" t="n">
        <f aca="false">$H$190</f>
        <v>0</v>
      </c>
      <c r="GO4" s="11" t="n">
        <f aca="false">$H$191</f>
        <v>1</v>
      </c>
      <c r="GP4" s="11" t="n">
        <f aca="false">$H$192</f>
        <v>1</v>
      </c>
      <c r="GQ4" s="11" t="n">
        <f aca="false">$H$193</f>
        <v>0</v>
      </c>
      <c r="GR4" s="11" t="n">
        <f aca="false">$H$194</f>
        <v>0</v>
      </c>
      <c r="GS4" s="11" t="n">
        <f aca="false">$H$195</f>
        <v>1</v>
      </c>
      <c r="GT4" s="11" t="n">
        <f aca="false">$H$196</f>
        <v>1</v>
      </c>
      <c r="GU4" s="11" t="n">
        <f aca="false">$H$197</f>
        <v>0</v>
      </c>
      <c r="GV4" s="11" t="n">
        <f aca="false">$H$198</f>
        <v>1</v>
      </c>
      <c r="GW4" s="11" t="n">
        <f aca="false">$H$199</f>
        <v>0</v>
      </c>
      <c r="GX4" s="11" t="n">
        <f aca="false">$H$200</f>
        <v>0</v>
      </c>
      <c r="GY4" s="11" t="n">
        <f aca="false">$H$201</f>
        <v>1</v>
      </c>
      <c r="GZ4" s="11" t="n">
        <f aca="false">$H$202</f>
        <v>1</v>
      </c>
      <c r="HA4" s="11" t="n">
        <f aca="false">$H$203</f>
        <v>0</v>
      </c>
      <c r="HB4" s="11" t="n">
        <f aca="false">$H$204</f>
        <v>1</v>
      </c>
      <c r="HC4" s="11" t="n">
        <f aca="false">$H$205</f>
        <v>1</v>
      </c>
      <c r="HD4" s="11" t="n">
        <f aca="false">$H$206</f>
        <v>1</v>
      </c>
      <c r="HE4" s="11" t="n">
        <f aca="false">$H$207</f>
        <v>0</v>
      </c>
      <c r="HF4" s="11" t="n">
        <f aca="false">$H$208</f>
        <v>0</v>
      </c>
      <c r="HG4" s="11" t="n">
        <f aca="false">$H$209</f>
        <v>0</v>
      </c>
      <c r="HH4" s="11" t="n">
        <f aca="false">$H$210</f>
        <v>0</v>
      </c>
      <c r="HI4" s="11" t="n">
        <f aca="false">$H$211</f>
        <v>1</v>
      </c>
      <c r="HJ4" s="11" t="n">
        <f aca="false">$H$212</f>
        <v>0</v>
      </c>
      <c r="HK4" s="11" t="n">
        <f aca="false">$H$213</f>
        <v>0</v>
      </c>
      <c r="HL4" s="11" t="n">
        <f aca="false">$H$214</f>
        <v>0</v>
      </c>
      <c r="HM4" s="11" t="n">
        <f aca="false">$H$215</f>
        <v>0</v>
      </c>
      <c r="HN4" s="11" t="n">
        <f aca="false">$H$216</f>
        <v>0</v>
      </c>
    </row>
    <row r="5" customFormat="false" ht="35.05" hidden="false" customHeight="false" outlineLevel="0" collapsed="false">
      <c r="A5" s="8" t="s">
        <v>569</v>
      </c>
      <c r="B5" s="8" t="s">
        <v>21</v>
      </c>
      <c r="C5" s="8" t="s">
        <v>570</v>
      </c>
      <c r="D5" s="8" t="s">
        <v>571</v>
      </c>
      <c r="E5" s="8" t="s">
        <v>572</v>
      </c>
      <c r="F5" s="8" t="s">
        <v>573</v>
      </c>
      <c r="G5" s="8" t="s">
        <v>574</v>
      </c>
      <c r="H5" s="8" t="s">
        <v>575</v>
      </c>
      <c r="L5" s="10" t="s">
        <v>576</v>
      </c>
      <c r="M5" s="10" t="s">
        <v>577</v>
      </c>
      <c r="N5" s="10" t="s">
        <v>578</v>
      </c>
      <c r="O5" s="10" t="s">
        <v>579</v>
      </c>
      <c r="P5" s="10" t="s">
        <v>580</v>
      </c>
      <c r="Q5" s="10" t="s">
        <v>581</v>
      </c>
      <c r="R5" s="10" t="s">
        <v>582</v>
      </c>
      <c r="S5" s="10" t="s">
        <v>583</v>
      </c>
      <c r="T5" s="10" t="s">
        <v>584</v>
      </c>
      <c r="U5" s="10" t="s">
        <v>585</v>
      </c>
      <c r="V5" s="10" t="s">
        <v>586</v>
      </c>
      <c r="W5" s="10" t="s">
        <v>587</v>
      </c>
      <c r="X5" s="10" t="s">
        <v>588</v>
      </c>
      <c r="Y5" s="10" t="s">
        <v>589</v>
      </c>
      <c r="Z5" s="10" t="s">
        <v>590</v>
      </c>
      <c r="AA5" s="10" t="s">
        <v>591</v>
      </c>
      <c r="AB5" s="10" t="s">
        <v>592</v>
      </c>
      <c r="AC5" s="10" t="s">
        <v>593</v>
      </c>
      <c r="AD5" s="10" t="s">
        <v>594</v>
      </c>
      <c r="AE5" s="10" t="s">
        <v>595</v>
      </c>
      <c r="AF5" s="10" t="s">
        <v>596</v>
      </c>
      <c r="AG5" s="10" t="s">
        <v>597</v>
      </c>
      <c r="AH5" s="10" t="s">
        <v>598</v>
      </c>
      <c r="AI5" s="10" t="s">
        <v>599</v>
      </c>
      <c r="AJ5" s="10" t="s">
        <v>600</v>
      </c>
      <c r="AK5" s="10" t="s">
        <v>601</v>
      </c>
      <c r="AL5" s="10" t="s">
        <v>602</v>
      </c>
      <c r="AM5" s="10" t="s">
        <v>603</v>
      </c>
      <c r="AN5" s="10" t="s">
        <v>604</v>
      </c>
      <c r="AO5" s="10" t="s">
        <v>605</v>
      </c>
      <c r="AP5" s="10" t="s">
        <v>606</v>
      </c>
      <c r="AQ5" s="10" t="s">
        <v>607</v>
      </c>
      <c r="AR5" s="10" t="s">
        <v>608</v>
      </c>
      <c r="AS5" s="10" t="s">
        <v>609</v>
      </c>
      <c r="AT5" s="10" t="s">
        <v>610</v>
      </c>
      <c r="AU5" s="10" t="s">
        <v>611</v>
      </c>
      <c r="AV5" s="10" t="s">
        <v>612</v>
      </c>
      <c r="AW5" s="10" t="s">
        <v>613</v>
      </c>
      <c r="AX5" s="10" t="s">
        <v>614</v>
      </c>
      <c r="AY5" s="10" t="s">
        <v>615</v>
      </c>
      <c r="AZ5" s="10" t="s">
        <v>616</v>
      </c>
      <c r="BA5" s="10" t="s">
        <v>617</v>
      </c>
      <c r="BB5" s="10" t="s">
        <v>618</v>
      </c>
      <c r="BC5" s="10" t="s">
        <v>619</v>
      </c>
      <c r="BD5" s="10" t="s">
        <v>620</v>
      </c>
      <c r="BE5" s="10" t="s">
        <v>621</v>
      </c>
      <c r="BF5" s="10" t="s">
        <v>622</v>
      </c>
      <c r="BG5" s="10" t="s">
        <v>623</v>
      </c>
      <c r="BH5" s="10" t="s">
        <v>624</v>
      </c>
      <c r="BI5" s="10" t="s">
        <v>625</v>
      </c>
      <c r="BJ5" s="10" t="s">
        <v>626</v>
      </c>
      <c r="BK5" s="10" t="s">
        <v>627</v>
      </c>
      <c r="BL5" s="10" t="s">
        <v>628</v>
      </c>
      <c r="BM5" s="10" t="s">
        <v>629</v>
      </c>
      <c r="BN5" s="10" t="s">
        <v>630</v>
      </c>
      <c r="BO5" s="10" t="s">
        <v>631</v>
      </c>
      <c r="BP5" s="10" t="s">
        <v>632</v>
      </c>
      <c r="BQ5" s="10" t="s">
        <v>633</v>
      </c>
      <c r="BR5" s="10" t="s">
        <v>634</v>
      </c>
      <c r="BS5" s="10" t="s">
        <v>635</v>
      </c>
      <c r="BT5" s="10" t="s">
        <v>636</v>
      </c>
      <c r="BU5" s="10" t="s">
        <v>637</v>
      </c>
      <c r="BV5" s="10" t="s">
        <v>638</v>
      </c>
      <c r="BW5" s="10" t="s">
        <v>639</v>
      </c>
      <c r="BX5" s="10" t="s">
        <v>640</v>
      </c>
      <c r="BY5" s="10" t="s">
        <v>641</v>
      </c>
      <c r="BZ5" s="10" t="s">
        <v>642</v>
      </c>
      <c r="CA5" s="10" t="s">
        <v>643</v>
      </c>
      <c r="CB5" s="10" t="s">
        <v>644</v>
      </c>
      <c r="CC5" s="10" t="s">
        <v>645</v>
      </c>
      <c r="CD5" s="10" t="s">
        <v>646</v>
      </c>
      <c r="CE5" s="10" t="s">
        <v>647</v>
      </c>
      <c r="CF5" s="10" t="s">
        <v>648</v>
      </c>
      <c r="CG5" s="10" t="s">
        <v>649</v>
      </c>
      <c r="CH5" s="10" t="s">
        <v>650</v>
      </c>
      <c r="CI5" s="10" t="s">
        <v>651</v>
      </c>
      <c r="CJ5" s="10" t="s">
        <v>652</v>
      </c>
      <c r="CK5" s="10" t="s">
        <v>653</v>
      </c>
      <c r="CL5" s="10" t="s">
        <v>654</v>
      </c>
      <c r="CM5" s="10" t="s">
        <v>655</v>
      </c>
      <c r="CN5" s="10" t="s">
        <v>656</v>
      </c>
      <c r="CO5" s="10" t="s">
        <v>657</v>
      </c>
      <c r="CP5" s="10" t="s">
        <v>658</v>
      </c>
      <c r="CQ5" s="10" t="s">
        <v>659</v>
      </c>
      <c r="CR5" s="10" t="s">
        <v>660</v>
      </c>
      <c r="CS5" s="10" t="s">
        <v>661</v>
      </c>
      <c r="CT5" s="10" t="s">
        <v>662</v>
      </c>
      <c r="CU5" s="10" t="s">
        <v>663</v>
      </c>
      <c r="CV5" s="10" t="s">
        <v>664</v>
      </c>
      <c r="CW5" s="10" t="s">
        <v>665</v>
      </c>
      <c r="CX5" s="10" t="s">
        <v>666</v>
      </c>
      <c r="CY5" s="10" t="s">
        <v>667</v>
      </c>
      <c r="CZ5" s="10" t="s">
        <v>668</v>
      </c>
      <c r="DA5" s="10" t="s">
        <v>669</v>
      </c>
      <c r="DB5" s="10" t="s">
        <v>670</v>
      </c>
      <c r="DC5" s="10" t="s">
        <v>671</v>
      </c>
      <c r="DD5" s="10" t="s">
        <v>672</v>
      </c>
      <c r="DE5" s="10" t="s">
        <v>673</v>
      </c>
      <c r="DF5" s="10" t="s">
        <v>674</v>
      </c>
      <c r="DG5" s="10" t="s">
        <v>675</v>
      </c>
      <c r="DH5" s="10" t="s">
        <v>676</v>
      </c>
      <c r="DI5" s="10" t="s">
        <v>677</v>
      </c>
      <c r="DJ5" s="10" t="s">
        <v>678</v>
      </c>
      <c r="DK5" s="10" t="s">
        <v>679</v>
      </c>
      <c r="DL5" s="10" t="s">
        <v>680</v>
      </c>
      <c r="DM5" s="10" t="s">
        <v>681</v>
      </c>
      <c r="DN5" s="10" t="s">
        <v>682</v>
      </c>
      <c r="DO5" s="10" t="s">
        <v>683</v>
      </c>
      <c r="DP5" s="10" t="s">
        <v>684</v>
      </c>
      <c r="DQ5" s="10" t="s">
        <v>685</v>
      </c>
      <c r="DR5" s="10" t="s">
        <v>686</v>
      </c>
      <c r="DS5" s="10" t="s">
        <v>687</v>
      </c>
      <c r="DT5" s="10" t="s">
        <v>688</v>
      </c>
      <c r="DU5" s="10" t="s">
        <v>689</v>
      </c>
      <c r="DV5" s="10" t="s">
        <v>690</v>
      </c>
      <c r="DW5" s="10" t="s">
        <v>691</v>
      </c>
      <c r="DX5" s="10" t="s">
        <v>692</v>
      </c>
      <c r="DY5" s="10" t="s">
        <v>693</v>
      </c>
      <c r="DZ5" s="10" t="s">
        <v>694</v>
      </c>
      <c r="EA5" s="10" t="s">
        <v>695</v>
      </c>
      <c r="EB5" s="10" t="s">
        <v>696</v>
      </c>
      <c r="EC5" s="10" t="s">
        <v>697</v>
      </c>
      <c r="ED5" s="10" t="s">
        <v>698</v>
      </c>
      <c r="EE5" s="10" t="s">
        <v>699</v>
      </c>
      <c r="EF5" s="10" t="s">
        <v>700</v>
      </c>
      <c r="EG5" s="10" t="s">
        <v>701</v>
      </c>
      <c r="EH5" s="10" t="s">
        <v>702</v>
      </c>
      <c r="EI5" s="10" t="s">
        <v>703</v>
      </c>
      <c r="EJ5" s="10" t="s">
        <v>704</v>
      </c>
      <c r="EK5" s="10" t="s">
        <v>705</v>
      </c>
      <c r="EL5" s="10" t="s">
        <v>706</v>
      </c>
      <c r="EM5" s="10" t="s">
        <v>707</v>
      </c>
      <c r="EN5" s="10" t="s">
        <v>708</v>
      </c>
      <c r="EO5" s="10" t="s">
        <v>709</v>
      </c>
      <c r="EP5" s="10" t="s">
        <v>710</v>
      </c>
      <c r="EQ5" s="10" t="s">
        <v>711</v>
      </c>
      <c r="ER5" s="10" t="s">
        <v>712</v>
      </c>
      <c r="ES5" s="10" t="s">
        <v>713</v>
      </c>
      <c r="ET5" s="10" t="s">
        <v>714</v>
      </c>
      <c r="EU5" s="10" t="s">
        <v>715</v>
      </c>
      <c r="EV5" s="10" t="s">
        <v>716</v>
      </c>
      <c r="EW5" s="10" t="s">
        <v>717</v>
      </c>
      <c r="EX5" s="10" t="s">
        <v>718</v>
      </c>
      <c r="EY5" s="10" t="s">
        <v>719</v>
      </c>
      <c r="EZ5" s="10" t="s">
        <v>720</v>
      </c>
      <c r="FA5" s="10" t="s">
        <v>721</v>
      </c>
      <c r="FB5" s="10" t="s">
        <v>722</v>
      </c>
      <c r="FC5" s="10" t="s">
        <v>723</v>
      </c>
      <c r="FD5" s="10" t="s">
        <v>724</v>
      </c>
      <c r="FE5" s="10" t="s">
        <v>725</v>
      </c>
      <c r="FF5" s="10" t="s">
        <v>726</v>
      </c>
      <c r="FG5" s="10" t="s">
        <v>727</v>
      </c>
      <c r="FH5" s="10" t="s">
        <v>728</v>
      </c>
      <c r="FI5" s="10" t="s">
        <v>729</v>
      </c>
      <c r="FJ5" s="10" t="s">
        <v>730</v>
      </c>
      <c r="FK5" s="10" t="s">
        <v>731</v>
      </c>
      <c r="FL5" s="10" t="s">
        <v>732</v>
      </c>
      <c r="FM5" s="10" t="s">
        <v>733</v>
      </c>
      <c r="FN5" s="10" t="s">
        <v>734</v>
      </c>
      <c r="FO5" s="10" t="s">
        <v>735</v>
      </c>
      <c r="FP5" s="10" t="s">
        <v>736</v>
      </c>
      <c r="FQ5" s="10" t="s">
        <v>737</v>
      </c>
      <c r="FR5" s="10" t="s">
        <v>738</v>
      </c>
      <c r="FS5" s="10" t="s">
        <v>739</v>
      </c>
      <c r="FT5" s="10" t="s">
        <v>740</v>
      </c>
      <c r="FU5" s="10" t="s">
        <v>741</v>
      </c>
      <c r="FV5" s="10" t="s">
        <v>742</v>
      </c>
      <c r="FW5" s="10" t="s">
        <v>743</v>
      </c>
      <c r="FX5" s="10" t="s">
        <v>744</v>
      </c>
      <c r="FY5" s="10" t="s">
        <v>745</v>
      </c>
      <c r="FZ5" s="10" t="s">
        <v>746</v>
      </c>
      <c r="GA5" s="10" t="s">
        <v>747</v>
      </c>
      <c r="GB5" s="10" t="s">
        <v>748</v>
      </c>
      <c r="GC5" s="10" t="s">
        <v>749</v>
      </c>
      <c r="GD5" s="10" t="s">
        <v>750</v>
      </c>
      <c r="GE5" s="10" t="s">
        <v>751</v>
      </c>
      <c r="GF5" s="10" t="s">
        <v>752</v>
      </c>
      <c r="GG5" s="10" t="s">
        <v>753</v>
      </c>
      <c r="GH5" s="10" t="s">
        <v>754</v>
      </c>
      <c r="GI5" s="10" t="s">
        <v>755</v>
      </c>
      <c r="GJ5" s="10" t="s">
        <v>756</v>
      </c>
      <c r="GK5" s="10" t="s">
        <v>757</v>
      </c>
      <c r="GL5" s="10" t="s">
        <v>758</v>
      </c>
      <c r="GM5" s="10" t="s">
        <v>759</v>
      </c>
      <c r="GN5" s="10" t="s">
        <v>760</v>
      </c>
      <c r="GO5" s="10" t="s">
        <v>761</v>
      </c>
      <c r="GP5" s="10" t="s">
        <v>762</v>
      </c>
      <c r="GQ5" s="10" t="s">
        <v>763</v>
      </c>
      <c r="GR5" s="10" t="s">
        <v>764</v>
      </c>
      <c r="GS5" s="10" t="s">
        <v>765</v>
      </c>
      <c r="GT5" s="10" t="s">
        <v>766</v>
      </c>
      <c r="GU5" s="10" t="s">
        <v>767</v>
      </c>
      <c r="GV5" s="10" t="s">
        <v>768</v>
      </c>
      <c r="GW5" s="10" t="s">
        <v>769</v>
      </c>
      <c r="GX5" s="10" t="s">
        <v>770</v>
      </c>
      <c r="GY5" s="10" t="s">
        <v>771</v>
      </c>
      <c r="GZ5" s="10" t="s">
        <v>772</v>
      </c>
      <c r="HA5" s="10" t="s">
        <v>773</v>
      </c>
      <c r="HB5" s="10" t="s">
        <v>774</v>
      </c>
      <c r="HC5" s="10" t="s">
        <v>775</v>
      </c>
      <c r="HD5" s="10" t="s">
        <v>776</v>
      </c>
      <c r="HE5" s="10" t="s">
        <v>777</v>
      </c>
      <c r="HF5" s="10" t="s">
        <v>778</v>
      </c>
      <c r="HG5" s="10" t="s">
        <v>779</v>
      </c>
      <c r="HH5" s="10" t="s">
        <v>780</v>
      </c>
      <c r="HI5" s="10" t="s">
        <v>781</v>
      </c>
      <c r="HJ5" s="10" t="s">
        <v>782</v>
      </c>
      <c r="HK5" s="10" t="s">
        <v>783</v>
      </c>
      <c r="HL5" s="10" t="s">
        <v>784</v>
      </c>
      <c r="HM5" s="10" t="s">
        <v>785</v>
      </c>
      <c r="HN5" s="10" t="s">
        <v>786</v>
      </c>
    </row>
    <row r="6" customFormat="false" ht="15" hidden="false" customHeight="false" outlineLevel="0" collapsed="false">
      <c r="A6" s="6" t="s">
        <v>576</v>
      </c>
      <c r="B6" s="2" t="s">
        <v>787</v>
      </c>
      <c r="C6" s="11" t="n">
        <f aca="false">VALUE(MID(A6,2,FIND(".",A6)-2))</f>
        <v>1</v>
      </c>
      <c r="D6" s="11" t="n">
        <f aca="false">COUNTIF(L$6:L$216,1)</f>
        <v>0</v>
      </c>
      <c r="E6" s="11" t="n">
        <f aca="false">COUNTIF($L6:$HN6,1)</f>
        <v>0</v>
      </c>
      <c r="F6" s="11" t="n">
        <v>0</v>
      </c>
      <c r="G6" s="11" t="n">
        <v>1</v>
      </c>
      <c r="H6" s="11" t="n">
        <f aca="false">IF($A6="T16.4",1,IF(COUNTIFS(M6:HN6,1,M$4:HN$4,1)&gt;0,1,0))</f>
        <v>0</v>
      </c>
    </row>
    <row r="7" customFormat="false" ht="15" hidden="false" customHeight="false" outlineLevel="0" collapsed="false">
      <c r="A7" s="6" t="s">
        <v>577</v>
      </c>
      <c r="B7" s="2" t="s">
        <v>788</v>
      </c>
      <c r="C7" s="11" t="n">
        <f aca="false">VALUE(MID(A7,2,FIND(".",A7)-2))</f>
        <v>1</v>
      </c>
      <c r="D7" s="11" t="n">
        <f aca="false">COUNTIF(M$6:M$216,1)</f>
        <v>0</v>
      </c>
      <c r="E7" s="11" t="n">
        <f aca="false">COUNTIF($L7:$HN7,1)</f>
        <v>0</v>
      </c>
      <c r="F7" s="11" t="n">
        <f aca="false">IF(COUNTIF(M$6:M6,1)=0,0,1+_xlfn.MAXIFS($F$6:$F6,M$6:M6,1))</f>
        <v>0</v>
      </c>
      <c r="G7" s="11" t="n">
        <f aca="false">IF(F7=0,1,SUMIFS($G$6:$G6,M$6:M6,1,$F$6:$F6,F7-1))</f>
        <v>1</v>
      </c>
      <c r="H7" s="11" t="n">
        <f aca="false">IF($A7="T16.4",1,IF(COUNTIFS(N7:HN7,1,N$4:HN$4,1)&gt;0,1,0))</f>
        <v>0</v>
      </c>
    </row>
    <row r="8" customFormat="false" ht="15" hidden="false" customHeight="false" outlineLevel="0" collapsed="false">
      <c r="A8" s="6" t="s">
        <v>578</v>
      </c>
      <c r="B8" s="2" t="s">
        <v>789</v>
      </c>
      <c r="C8" s="11" t="n">
        <f aca="false">VALUE(MID(A8,2,FIND(".",A8)-2))</f>
        <v>1</v>
      </c>
      <c r="D8" s="11" t="n">
        <f aca="false">COUNTIF(N$6:N$216,1)</f>
        <v>0</v>
      </c>
      <c r="E8" s="11" t="n">
        <f aca="false">COUNTIF($L8:$HN8,1)</f>
        <v>0</v>
      </c>
      <c r="F8" s="11" t="n">
        <f aca="false">IF(COUNTIF(N$6:N7,1)=0,0,1+_xlfn.MAXIFS($F$6:$F7,N$6:N7,1))</f>
        <v>0</v>
      </c>
      <c r="G8" s="11" t="n">
        <f aca="false">IF(F8=0,1,SUMIFS($G$6:$G7,N$6:N7,1,$F$6:$F7,F8-1))</f>
        <v>1</v>
      </c>
      <c r="H8" s="11" t="n">
        <f aca="false">IF($A8="T16.4",1,IF(COUNTIFS(O8:HN8,1,O$4:HN$4,1)&gt;0,1,0))</f>
        <v>0</v>
      </c>
    </row>
    <row r="9" customFormat="false" ht="15" hidden="false" customHeight="false" outlineLevel="0" collapsed="false">
      <c r="A9" s="6" t="s">
        <v>579</v>
      </c>
      <c r="B9" s="2" t="s">
        <v>790</v>
      </c>
      <c r="C9" s="11" t="n">
        <f aca="false">VALUE(MID(A9,2,FIND(".",A9)-2))</f>
        <v>1</v>
      </c>
      <c r="D9" s="11" t="n">
        <f aca="false">COUNTIF(O$6:O$216,1)</f>
        <v>0</v>
      </c>
      <c r="E9" s="11" t="n">
        <f aca="false">COUNTIF($L9:$HN9,1)</f>
        <v>0</v>
      </c>
      <c r="F9" s="11" t="n">
        <f aca="false">IF(COUNTIF(O$6:O8,1)=0,0,1+_xlfn.MAXIFS($F$6:$F8,O$6:O8,1))</f>
        <v>0</v>
      </c>
      <c r="G9" s="11" t="n">
        <f aca="false">IF(F9=0,1,SUMIFS($G$6:$G8,O$6:O8,1,$F$6:$F8,F9-1))</f>
        <v>1</v>
      </c>
      <c r="H9" s="11" t="n">
        <f aca="false">IF($A9="T16.4",1,IF(COUNTIFS(P9:HN9,1,P$4:HN$4,1)&gt;0,1,0))</f>
        <v>0</v>
      </c>
    </row>
    <row r="10" customFormat="false" ht="15" hidden="false" customHeight="false" outlineLevel="0" collapsed="false">
      <c r="A10" s="6" t="s">
        <v>580</v>
      </c>
      <c r="B10" s="2" t="s">
        <v>791</v>
      </c>
      <c r="C10" s="11" t="n">
        <f aca="false">VALUE(MID(A10,2,FIND(".",A10)-2))</f>
        <v>2</v>
      </c>
      <c r="D10" s="11" t="n">
        <f aca="false">COUNTIF(P$6:P$216,1)</f>
        <v>0</v>
      </c>
      <c r="E10" s="11" t="n">
        <f aca="false">COUNTIF($L10:$HN10,1)</f>
        <v>0</v>
      </c>
      <c r="F10" s="11" t="n">
        <f aca="false">IF(COUNTIF(P$6:P9,1)=0,0,1+_xlfn.MAXIFS($F$6:$F9,P$6:P9,1))</f>
        <v>0</v>
      </c>
      <c r="G10" s="11" t="n">
        <f aca="false">IF(F10=0,1,SUMIFS($G$6:$G9,P$6:P9,1,$F$6:$F9,F10-1))</f>
        <v>1</v>
      </c>
      <c r="H10" s="11" t="n">
        <f aca="false">IF($A10="T16.4",1,IF(COUNTIFS(Q10:HN10,1,Q$4:HN$4,1)&gt;0,1,0))</f>
        <v>0</v>
      </c>
    </row>
    <row r="11" customFormat="false" ht="15" hidden="false" customHeight="false" outlineLevel="0" collapsed="false">
      <c r="A11" s="6" t="s">
        <v>581</v>
      </c>
      <c r="B11" s="2" t="s">
        <v>792</v>
      </c>
      <c r="C11" s="11" t="n">
        <f aca="false">VALUE(MID(A11,2,FIND(".",A11)-2))</f>
        <v>2</v>
      </c>
      <c r="D11" s="11" t="n">
        <f aca="false">COUNTIF(Q$6:Q$216,1)</f>
        <v>0</v>
      </c>
      <c r="E11" s="11" t="n">
        <f aca="false">COUNTIF($L11:$HN11,1)</f>
        <v>8</v>
      </c>
      <c r="F11" s="11" t="n">
        <f aca="false">IF(COUNTIF(Q$6:Q10,1)=0,0,1+_xlfn.MAXIFS($F$6:$F10,Q$6:Q10,1))</f>
        <v>0</v>
      </c>
      <c r="G11" s="11" t="n">
        <f aca="false">IF(F11=0,1,SUMIFS($G$6:$G10,Q$6:Q10,1,$F$6:$F10,F11-1))</f>
        <v>1</v>
      </c>
      <c r="H11" s="11" t="n">
        <f aca="false">IF($A11="T16.4",1,IF(COUNTIFS(R11:HN11,1,R$4:HN$4,1)&gt;0,1,0))</f>
        <v>1</v>
      </c>
      <c r="R11" s="25" t="n">
        <v>1</v>
      </c>
      <c r="T11" s="25" t="n">
        <v>1</v>
      </c>
      <c r="AI11" s="25" t="n">
        <v>1</v>
      </c>
      <c r="AL11" s="25" t="n">
        <v>1</v>
      </c>
      <c r="AQ11" s="25" t="n">
        <v>1</v>
      </c>
      <c r="BO11" s="25" t="n">
        <v>1</v>
      </c>
      <c r="CI11" s="25" t="n">
        <v>1</v>
      </c>
      <c r="CY11" s="25" t="n">
        <v>1</v>
      </c>
    </row>
    <row r="12" customFormat="false" ht="15" hidden="false" customHeight="false" outlineLevel="0" collapsed="false">
      <c r="A12" s="6" t="s">
        <v>582</v>
      </c>
      <c r="B12" s="2" t="s">
        <v>793</v>
      </c>
      <c r="C12" s="11" t="n">
        <f aca="false">VALUE(MID(A12,2,FIND(".",A12)-2))</f>
        <v>2</v>
      </c>
      <c r="D12" s="11" t="n">
        <f aca="false">COUNTIF(R$6:R$216,1)</f>
        <v>1</v>
      </c>
      <c r="E12" s="11" t="n">
        <f aca="false">COUNTIF($L12:$HN12,1)</f>
        <v>4</v>
      </c>
      <c r="F12" s="11" t="n">
        <f aca="false">IF(COUNTIF(R$6:R11,1)=0,0,1+_xlfn.MAXIFS($F$6:$F11,R$6:R11,1))</f>
        <v>1</v>
      </c>
      <c r="G12" s="11" t="n">
        <f aca="false">IF(F12=0,1,SUMIFS($G$6:$G11,R$6:R11,1,$F$6:$F11,F12-1))</f>
        <v>1</v>
      </c>
      <c r="H12" s="11" t="n">
        <f aca="false">IF($A12="T16.4",1,IF(COUNTIFS(S12:HN12,1,S$4:HN$4,1)&gt;0,1,0))</f>
        <v>1</v>
      </c>
      <c r="U12" s="25" t="n">
        <v>1</v>
      </c>
      <c r="BC12" s="25" t="n">
        <v>1</v>
      </c>
      <c r="BW12" s="25" t="n">
        <v>1</v>
      </c>
      <c r="CI12" s="25" t="n">
        <v>1</v>
      </c>
    </row>
    <row r="13" customFormat="false" ht="15" hidden="false" customHeight="false" outlineLevel="0" collapsed="false">
      <c r="A13" s="6" t="s">
        <v>583</v>
      </c>
      <c r="B13" s="2" t="s">
        <v>794</v>
      </c>
      <c r="C13" s="11" t="n">
        <f aca="false">VALUE(MID(A13,2,FIND(".",A13)-2))</f>
        <v>2</v>
      </c>
      <c r="D13" s="11" t="n">
        <f aca="false">COUNTIF(S$6:S$216,1)</f>
        <v>0</v>
      </c>
      <c r="E13" s="11" t="n">
        <f aca="false">COUNTIF($L13:$HN13,1)</f>
        <v>1</v>
      </c>
      <c r="F13" s="11" t="n">
        <f aca="false">IF(COUNTIF(S$6:S12,1)=0,0,1+_xlfn.MAXIFS($F$6:$F12,S$6:S12,1))</f>
        <v>0</v>
      </c>
      <c r="G13" s="11" t="n">
        <f aca="false">IF(F13=0,1,SUMIFS($G$6:$G12,S$6:S12,1,$F$6:$F12,F13-1))</f>
        <v>1</v>
      </c>
      <c r="H13" s="11" t="n">
        <f aca="false">IF($A13="T16.4",1,IF(COUNTIFS(T13:HN13,1,T$4:HN$4,1)&gt;0,1,0))</f>
        <v>0</v>
      </c>
      <c r="V13" s="25" t="n">
        <v>1</v>
      </c>
    </row>
    <row r="14" customFormat="false" ht="15" hidden="false" customHeight="false" outlineLevel="0" collapsed="false">
      <c r="A14" s="6" t="s">
        <v>584</v>
      </c>
      <c r="B14" s="2" t="s">
        <v>795</v>
      </c>
      <c r="C14" s="11" t="n">
        <f aca="false">VALUE(MID(A14,2,FIND(".",A14)-2))</f>
        <v>2</v>
      </c>
      <c r="D14" s="11" t="n">
        <f aca="false">COUNTIF(T$6:T$216,1)</f>
        <v>1</v>
      </c>
      <c r="E14" s="11" t="n">
        <f aca="false">COUNTIF($L14:$HN14,1)</f>
        <v>1</v>
      </c>
      <c r="F14" s="11" t="n">
        <f aca="false">IF(COUNTIF(T$6:T13,1)=0,0,1+_xlfn.MAXIFS($F$6:$F13,T$6:T13,1))</f>
        <v>1</v>
      </c>
      <c r="G14" s="11" t="n">
        <f aca="false">IF(F14=0,1,SUMIFS($G$6:$G13,T$6:T13,1,$F$6:$F13,F14-1))</f>
        <v>1</v>
      </c>
      <c r="H14" s="11" t="n">
        <f aca="false">IF($A14="T16.4",1,IF(COUNTIFS(U14:HN14,1,U$4:HN$4,1)&gt;0,1,0))</f>
        <v>0</v>
      </c>
      <c r="CF14" s="25" t="n">
        <v>1</v>
      </c>
    </row>
    <row r="15" customFormat="false" ht="15" hidden="false" customHeight="false" outlineLevel="0" collapsed="false">
      <c r="A15" s="6" t="s">
        <v>585</v>
      </c>
      <c r="B15" s="2" t="s">
        <v>796</v>
      </c>
      <c r="C15" s="11" t="n">
        <f aca="false">VALUE(MID(A15,2,FIND(".",A15)-2))</f>
        <v>2</v>
      </c>
      <c r="D15" s="11" t="n">
        <f aca="false">COUNTIF(U$6:U$216,1)</f>
        <v>1</v>
      </c>
      <c r="E15" s="11" t="n">
        <f aca="false">COUNTIF($L15:$HN15,1)</f>
        <v>0</v>
      </c>
      <c r="F15" s="11" t="n">
        <f aca="false">IF(COUNTIF(U$6:U14,1)=0,0,1+_xlfn.MAXIFS($F$6:$F14,U$6:U14,1))</f>
        <v>2</v>
      </c>
      <c r="G15" s="11" t="n">
        <f aca="false">IF(F15=0,1,SUMIFS($G$6:$G14,U$6:U14,1,$F$6:$F14,F15-1))</f>
        <v>1</v>
      </c>
      <c r="H15" s="11" t="n">
        <f aca="false">IF($A15="T16.4",1,IF(COUNTIFS(V15:HN15,1,V$4:HN$4,1)&gt;0,1,0))</f>
        <v>0</v>
      </c>
    </row>
    <row r="16" customFormat="false" ht="15" hidden="false" customHeight="false" outlineLevel="0" collapsed="false">
      <c r="A16" s="6" t="s">
        <v>586</v>
      </c>
      <c r="B16" s="2" t="s">
        <v>797</v>
      </c>
      <c r="C16" s="11" t="n">
        <f aca="false">VALUE(MID(A16,2,FIND(".",A16)-2))</f>
        <v>2</v>
      </c>
      <c r="D16" s="11" t="n">
        <f aca="false">COUNTIF(V$6:V$216,1)</f>
        <v>1</v>
      </c>
      <c r="E16" s="11" t="n">
        <f aca="false">COUNTIF($L16:$HN16,1)</f>
        <v>0</v>
      </c>
      <c r="F16" s="11" t="n">
        <f aca="false">IF(COUNTIF(V$6:V15,1)=0,0,1+_xlfn.MAXIFS($F$6:$F15,V$6:V15,1))</f>
        <v>1</v>
      </c>
      <c r="G16" s="11" t="n">
        <f aca="false">IF(F16=0,1,SUMIFS($G$6:$G15,V$6:V15,1,$F$6:$F15,F16-1))</f>
        <v>1</v>
      </c>
      <c r="H16" s="11" t="n">
        <f aca="false">IF($A16="T16.4",1,IF(COUNTIFS(W16:HN16,1,W$4:HN$4,1)&gt;0,1,0))</f>
        <v>0</v>
      </c>
    </row>
    <row r="17" customFormat="false" ht="15" hidden="false" customHeight="false" outlineLevel="0" collapsed="false">
      <c r="A17" s="6" t="s">
        <v>587</v>
      </c>
      <c r="B17" s="2" t="s">
        <v>798</v>
      </c>
      <c r="C17" s="11" t="n">
        <f aca="false">VALUE(MID(A17,2,FIND(".",A17)-2))</f>
        <v>3</v>
      </c>
      <c r="D17" s="11" t="n">
        <f aca="false">COUNTIF(W$6:W$216,1)</f>
        <v>0</v>
      </c>
      <c r="E17" s="11" t="n">
        <f aca="false">COUNTIF($L17:$HN17,1)</f>
        <v>6</v>
      </c>
      <c r="F17" s="11" t="n">
        <f aca="false">IF(COUNTIF(W$6:W16,1)=0,0,1+_xlfn.MAXIFS($F$6:$F16,W$6:W16,1))</f>
        <v>0</v>
      </c>
      <c r="G17" s="11" t="n">
        <f aca="false">IF(F17=0,1,SUMIFS($G$6:$G16,W$6:W16,1,$F$6:$F16,F17-1))</f>
        <v>1</v>
      </c>
      <c r="H17" s="11" t="n">
        <f aca="false">IF($A17="T16.4",1,IF(COUNTIFS(X17:HN17,1,X$4:HN$4,1)&gt;0,1,0))</f>
        <v>1</v>
      </c>
      <c r="Z17" s="25" t="n">
        <v>1</v>
      </c>
      <c r="AH17" s="25" t="n">
        <v>1</v>
      </c>
      <c r="AO17" s="25" t="n">
        <v>1</v>
      </c>
      <c r="BD17" s="25" t="n">
        <v>1</v>
      </c>
      <c r="BG17" s="25" t="n">
        <v>1</v>
      </c>
      <c r="BH17" s="25" t="n">
        <v>1</v>
      </c>
    </row>
    <row r="18" customFormat="false" ht="15" hidden="false" customHeight="false" outlineLevel="0" collapsed="false">
      <c r="A18" s="6" t="s">
        <v>588</v>
      </c>
      <c r="B18" s="2" t="s">
        <v>799</v>
      </c>
      <c r="C18" s="11" t="n">
        <f aca="false">VALUE(MID(A18,2,FIND(".",A18)-2))</f>
        <v>3</v>
      </c>
      <c r="D18" s="11" t="n">
        <f aca="false">COUNTIF(X$6:X$216,1)</f>
        <v>0</v>
      </c>
      <c r="E18" s="11" t="n">
        <f aca="false">COUNTIF($L18:$HN18,1)</f>
        <v>2</v>
      </c>
      <c r="F18" s="11" t="n">
        <f aca="false">IF(COUNTIF(X$6:X17,1)=0,0,1+_xlfn.MAXIFS($F$6:$F17,X$6:X17,1))</f>
        <v>0</v>
      </c>
      <c r="G18" s="11" t="n">
        <f aca="false">IF(F18=0,1,SUMIFS($G$6:$G17,X$6:X17,1,$F$6:$F17,F18-1))</f>
        <v>1</v>
      </c>
      <c r="H18" s="11" t="n">
        <f aca="false">IF($A18="T16.4",1,IF(COUNTIFS(Y18:HN18,1,Y$4:HN$4,1)&gt;0,1,0))</f>
        <v>1</v>
      </c>
      <c r="FX18" s="25" t="n">
        <v>1</v>
      </c>
      <c r="GJ18" s="25" t="n">
        <v>1</v>
      </c>
    </row>
    <row r="19" customFormat="false" ht="15" hidden="false" customHeight="false" outlineLevel="0" collapsed="false">
      <c r="A19" s="6" t="s">
        <v>589</v>
      </c>
      <c r="B19" s="2" t="s">
        <v>800</v>
      </c>
      <c r="C19" s="11" t="n">
        <f aca="false">VALUE(MID(A19,2,FIND(".",A19)-2))</f>
        <v>3</v>
      </c>
      <c r="D19" s="11" t="n">
        <f aca="false">COUNTIF(Y$6:Y$216,1)</f>
        <v>0</v>
      </c>
      <c r="E19" s="11" t="n">
        <f aca="false">COUNTIF($L19:$HN19,1)</f>
        <v>0</v>
      </c>
      <c r="F19" s="11" t="n">
        <f aca="false">IF(COUNTIF(Y$6:Y18,1)=0,0,1+_xlfn.MAXIFS($F$6:$F18,Y$6:Y18,1))</f>
        <v>0</v>
      </c>
      <c r="G19" s="11" t="n">
        <f aca="false">IF(F19=0,1,SUMIFS($G$6:$G18,Y$6:Y18,1,$F$6:$F18,F19-1))</f>
        <v>1</v>
      </c>
      <c r="H19" s="11" t="n">
        <f aca="false">IF($A19="T16.4",1,IF(COUNTIFS(Z19:HN19,1,Z$4:HN$4,1)&gt;0,1,0))</f>
        <v>0</v>
      </c>
    </row>
    <row r="20" customFormat="false" ht="15" hidden="false" customHeight="false" outlineLevel="0" collapsed="false">
      <c r="A20" s="6" t="s">
        <v>590</v>
      </c>
      <c r="B20" s="2" t="s">
        <v>801</v>
      </c>
      <c r="C20" s="11" t="n">
        <f aca="false">VALUE(MID(A20,2,FIND(".",A20)-2))</f>
        <v>3</v>
      </c>
      <c r="D20" s="11" t="n">
        <f aca="false">COUNTIF(Z$6:Z$216,1)</f>
        <v>1</v>
      </c>
      <c r="E20" s="11" t="n">
        <f aca="false">COUNTIF($L20:$HN20,1)</f>
        <v>1</v>
      </c>
      <c r="F20" s="11" t="n">
        <f aca="false">IF(COUNTIF(Z$6:Z19,1)=0,0,1+_xlfn.MAXIFS($F$6:$F19,Z$6:Z19,1))</f>
        <v>1</v>
      </c>
      <c r="G20" s="11" t="n">
        <f aca="false">IF(F20=0,1,SUMIFS($G$6:$G19,Z$6:Z19,1,$F$6:$F19,F20-1))</f>
        <v>1</v>
      </c>
      <c r="H20" s="11" t="n">
        <f aca="false">IF($A20="T16.4",1,IF(COUNTIFS(AA20:HN20,1,AA$4:HN$4,1)&gt;0,1,0))</f>
        <v>1</v>
      </c>
      <c r="BH20" s="25" t="n">
        <v>1</v>
      </c>
    </row>
    <row r="21" customFormat="false" ht="15" hidden="false" customHeight="false" outlineLevel="0" collapsed="false">
      <c r="A21" s="6" t="s">
        <v>591</v>
      </c>
      <c r="B21" s="2" t="s">
        <v>802</v>
      </c>
      <c r="C21" s="11" t="n">
        <f aca="false">VALUE(MID(A21,2,FIND(".",A21)-2))</f>
        <v>3</v>
      </c>
      <c r="D21" s="11" t="n">
        <f aca="false">COUNTIF(AA$6:AA$216,1)</f>
        <v>0</v>
      </c>
      <c r="E21" s="11" t="n">
        <f aca="false">COUNTIF($L21:$HN21,1)</f>
        <v>0</v>
      </c>
      <c r="F21" s="11" t="n">
        <f aca="false">IF(COUNTIF(AA$6:AA20,1)=0,0,1+_xlfn.MAXIFS($F$6:$F20,AA$6:AA20,1))</f>
        <v>0</v>
      </c>
      <c r="G21" s="11" t="n">
        <f aca="false">IF(F21=0,1,SUMIFS($G$6:$G20,AA$6:AA20,1,$F$6:$F20,F21-1))</f>
        <v>1</v>
      </c>
      <c r="H21" s="11" t="n">
        <f aca="false">IF($A21="T16.4",1,IF(COUNTIFS(AB21:HN21,1,AB$4:HN$4,1)&gt;0,1,0))</f>
        <v>0</v>
      </c>
    </row>
    <row r="22" customFormat="false" ht="15" hidden="false" customHeight="false" outlineLevel="0" collapsed="false">
      <c r="A22" s="6" t="s">
        <v>592</v>
      </c>
      <c r="B22" s="2" t="s">
        <v>803</v>
      </c>
      <c r="C22" s="11" t="n">
        <f aca="false">VALUE(MID(A22,2,FIND(".",A22)-2))</f>
        <v>3</v>
      </c>
      <c r="D22" s="11" t="n">
        <f aca="false">COUNTIF(AB$6:AB$216,1)</f>
        <v>0</v>
      </c>
      <c r="E22" s="11" t="n">
        <f aca="false">COUNTIF($L22:$HN22,1)</f>
        <v>3</v>
      </c>
      <c r="F22" s="11" t="n">
        <f aca="false">IF(COUNTIF(AB$6:AB21,1)=0,0,1+_xlfn.MAXIFS($F$6:$F21,AB$6:AB21,1))</f>
        <v>0</v>
      </c>
      <c r="G22" s="11" t="n">
        <f aca="false">IF(F22=0,1,SUMIFS($G$6:$G21,AB$6:AB21,1,$F$6:$F21,F22-1))</f>
        <v>1</v>
      </c>
      <c r="H22" s="11" t="n">
        <f aca="false">IF($A22="T16.4",1,IF(COUNTIFS(AC22:HN22,1,AC$4:HN$4,1)&gt;0,1,0))</f>
        <v>1</v>
      </c>
      <c r="AD22" s="25" t="n">
        <v>1</v>
      </c>
      <c r="AM22" s="25" t="n">
        <v>1</v>
      </c>
      <c r="AN22" s="25" t="n">
        <v>1</v>
      </c>
    </row>
    <row r="23" customFormat="false" ht="15" hidden="false" customHeight="false" outlineLevel="0" collapsed="false">
      <c r="A23" s="6" t="s">
        <v>593</v>
      </c>
      <c r="B23" s="2" t="s">
        <v>804</v>
      </c>
      <c r="C23" s="11" t="n">
        <f aca="false">VALUE(MID(A23,2,FIND(".",A23)-2))</f>
        <v>3</v>
      </c>
      <c r="D23" s="11" t="n">
        <f aca="false">COUNTIF(AC$6:AC$216,1)</f>
        <v>0</v>
      </c>
      <c r="E23" s="11" t="n">
        <f aca="false">COUNTIF($L23:$HN23,1)</f>
        <v>0</v>
      </c>
      <c r="F23" s="11" t="n">
        <f aca="false">IF(COUNTIF(AC$6:AC22,1)=0,0,1+_xlfn.MAXIFS($F$6:$F22,AC$6:AC22,1))</f>
        <v>0</v>
      </c>
      <c r="G23" s="11" t="n">
        <f aca="false">IF(F23=0,1,SUMIFS($G$6:$G22,AC$6:AC22,1,$F$6:$F22,F23-1))</f>
        <v>1</v>
      </c>
      <c r="H23" s="11" t="n">
        <f aca="false">IF($A23="T16.4",1,IF(COUNTIFS(AD23:HN23,1,AD$4:HN$4,1)&gt;0,1,0))</f>
        <v>0</v>
      </c>
    </row>
    <row r="24" customFormat="false" ht="15" hidden="false" customHeight="false" outlineLevel="0" collapsed="false">
      <c r="A24" s="6" t="s">
        <v>594</v>
      </c>
      <c r="B24" s="2" t="s">
        <v>805</v>
      </c>
      <c r="C24" s="11" t="n">
        <f aca="false">VALUE(MID(A24,2,FIND(".",A24)-2))</f>
        <v>4</v>
      </c>
      <c r="D24" s="11" t="n">
        <f aca="false">COUNTIF(AD$6:AD$216,1)</f>
        <v>1</v>
      </c>
      <c r="E24" s="11" t="n">
        <f aca="false">COUNTIF($L24:$HN24,1)</f>
        <v>3</v>
      </c>
      <c r="F24" s="11" t="n">
        <f aca="false">IF(COUNTIF(AD$6:AD23,1)=0,0,1+_xlfn.MAXIFS($F$6:$F23,AD$6:AD23,1))</f>
        <v>1</v>
      </c>
      <c r="G24" s="11" t="n">
        <f aca="false">IF(F24=0,1,SUMIFS($G$6:$G23,AD$6:AD23,1,$F$6:$F23,F24-1))</f>
        <v>1</v>
      </c>
      <c r="H24" s="11" t="n">
        <f aca="false">IF($A24="T16.4",1,IF(COUNTIFS(AE24:HN24,1,AE$4:HN$4,1)&gt;0,1,0))</f>
        <v>1</v>
      </c>
      <c r="AE24" s="25" t="n">
        <v>1</v>
      </c>
      <c r="DH24" s="25" t="n">
        <v>1</v>
      </c>
      <c r="HG24" s="25" t="n">
        <v>1</v>
      </c>
    </row>
    <row r="25" customFormat="false" ht="15" hidden="false" customHeight="false" outlineLevel="0" collapsed="false">
      <c r="A25" s="6" t="s">
        <v>595</v>
      </c>
      <c r="B25" s="2" t="s">
        <v>806</v>
      </c>
      <c r="C25" s="11" t="n">
        <f aca="false">VALUE(MID(A25,2,FIND(".",A25)-2))</f>
        <v>4</v>
      </c>
      <c r="D25" s="11" t="n">
        <f aca="false">COUNTIF(AE$6:AE$216,1)</f>
        <v>1</v>
      </c>
      <c r="E25" s="11" t="n">
        <f aca="false">COUNTIF($L25:$HN25,1)</f>
        <v>0</v>
      </c>
      <c r="F25" s="11" t="n">
        <f aca="false">IF(COUNTIF(AE$6:AE24,1)=0,0,1+_xlfn.MAXIFS($F$6:$F24,AE$6:AE24,1))</f>
        <v>2</v>
      </c>
      <c r="G25" s="11" t="n">
        <f aca="false">IF(F25=0,1,SUMIFS($G$6:$G24,AE$6:AE24,1,$F$6:$F24,F25-1))</f>
        <v>1</v>
      </c>
      <c r="H25" s="11" t="n">
        <f aca="false">IF($A25="T16.4",1,IF(COUNTIFS(AF25:HN25,1,AF$4:HN$4,1)&gt;0,1,0))</f>
        <v>0</v>
      </c>
    </row>
    <row r="26" customFormat="false" ht="15" hidden="false" customHeight="false" outlineLevel="0" collapsed="false">
      <c r="A26" s="6" t="s">
        <v>596</v>
      </c>
      <c r="B26" s="2" t="s">
        <v>807</v>
      </c>
      <c r="C26" s="11" t="n">
        <f aca="false">VALUE(MID(A26,2,FIND(".",A26)-2))</f>
        <v>4</v>
      </c>
      <c r="D26" s="11" t="n">
        <f aca="false">COUNTIF(AF$6:AF$216,1)</f>
        <v>0</v>
      </c>
      <c r="E26" s="11" t="n">
        <f aca="false">COUNTIF($L26:$HN26,1)</f>
        <v>0</v>
      </c>
      <c r="F26" s="11" t="n">
        <f aca="false">IF(COUNTIF(AF$6:AF25,1)=0,0,1+_xlfn.MAXIFS($F$6:$F25,AF$6:AF25,1))</f>
        <v>0</v>
      </c>
      <c r="G26" s="11" t="n">
        <f aca="false">IF(F26=0,1,SUMIFS($G$6:$G25,AF$6:AF25,1,$F$6:$F25,F26-1))</f>
        <v>1</v>
      </c>
      <c r="H26" s="11" t="n">
        <f aca="false">IF($A26="T16.4",1,IF(COUNTIFS(AG26:HN26,1,AG$4:HN$4,1)&gt;0,1,0))</f>
        <v>0</v>
      </c>
    </row>
    <row r="27" customFormat="false" ht="15" hidden="false" customHeight="false" outlineLevel="0" collapsed="false">
      <c r="A27" s="6" t="s">
        <v>597</v>
      </c>
      <c r="B27" s="2" t="s">
        <v>808</v>
      </c>
      <c r="C27" s="11" t="n">
        <f aca="false">VALUE(MID(A27,2,FIND(".",A27)-2))</f>
        <v>4</v>
      </c>
      <c r="D27" s="11" t="n">
        <f aca="false">COUNTIF(AG$6:AG$216,1)</f>
        <v>0</v>
      </c>
      <c r="E27" s="11" t="n">
        <f aca="false">COUNTIF($L27:$HN27,1)</f>
        <v>5</v>
      </c>
      <c r="F27" s="11" t="n">
        <f aca="false">IF(COUNTIF(AG$6:AG26,1)=0,0,1+_xlfn.MAXIFS($F$6:$F26,AG$6:AG26,1))</f>
        <v>0</v>
      </c>
      <c r="G27" s="11" t="n">
        <f aca="false">IF(F27=0,1,SUMIFS($G$6:$G26,AG$6:AG26,1,$F$6:$F26,F27-1))</f>
        <v>1</v>
      </c>
      <c r="H27" s="11" t="n">
        <f aca="false">IF($A27="T16.4",1,IF(COUNTIFS(AH27:HN27,1,AH$4:HN$4,1)&gt;0,1,0))</f>
        <v>1</v>
      </c>
      <c r="DG27" s="25" t="n">
        <v>1</v>
      </c>
      <c r="DX27" s="25" t="n">
        <v>1</v>
      </c>
      <c r="EL27" s="25" t="n">
        <v>1</v>
      </c>
      <c r="FO27" s="25" t="n">
        <v>1</v>
      </c>
      <c r="FP27" s="25" t="n">
        <v>1</v>
      </c>
    </row>
    <row r="28" customFormat="false" ht="15" hidden="false" customHeight="false" outlineLevel="0" collapsed="false">
      <c r="A28" s="6" t="s">
        <v>598</v>
      </c>
      <c r="B28" s="2" t="s">
        <v>809</v>
      </c>
      <c r="C28" s="11" t="n">
        <f aca="false">VALUE(MID(A28,2,FIND(".",A28)-2))</f>
        <v>4</v>
      </c>
      <c r="D28" s="11" t="n">
        <f aca="false">COUNTIF(AH$6:AH$216,1)</f>
        <v>1</v>
      </c>
      <c r="E28" s="11" t="n">
        <f aca="false">COUNTIF($L28:$HN28,1)</f>
        <v>0</v>
      </c>
      <c r="F28" s="11" t="n">
        <f aca="false">IF(COUNTIF(AH$6:AH27,1)=0,0,1+_xlfn.MAXIFS($F$6:$F27,AH$6:AH27,1))</f>
        <v>1</v>
      </c>
      <c r="G28" s="11" t="n">
        <f aca="false">IF(F28=0,1,SUMIFS($G$6:$G27,AH$6:AH27,1,$F$6:$F27,F28-1))</f>
        <v>1</v>
      </c>
      <c r="H28" s="11" t="n">
        <f aca="false">IF($A28="T16.4",1,IF(COUNTIFS(AI28:HN28,1,AI$4:HN$4,1)&gt;0,1,0))</f>
        <v>0</v>
      </c>
    </row>
    <row r="29" customFormat="false" ht="15" hidden="false" customHeight="false" outlineLevel="0" collapsed="false">
      <c r="A29" s="6" t="s">
        <v>599</v>
      </c>
      <c r="B29" s="2" t="s">
        <v>810</v>
      </c>
      <c r="C29" s="11" t="n">
        <f aca="false">VALUE(MID(A29,2,FIND(".",A29)-2))</f>
        <v>4</v>
      </c>
      <c r="D29" s="11" t="n">
        <f aca="false">COUNTIF(AI$6:AI$216,1)</f>
        <v>1</v>
      </c>
      <c r="E29" s="11" t="n">
        <f aca="false">COUNTIF($L29:$HN29,1)</f>
        <v>2</v>
      </c>
      <c r="F29" s="11" t="n">
        <f aca="false">IF(COUNTIF(AI$6:AI28,1)=0,0,1+_xlfn.MAXIFS($F$6:$F28,AI$6:AI28,1))</f>
        <v>1</v>
      </c>
      <c r="G29" s="11" t="n">
        <f aca="false">IF(F29=0,1,SUMIFS($G$6:$G28,AI$6:AI28,1,$F$6:$F28,F29-1))</f>
        <v>1</v>
      </c>
      <c r="H29" s="11" t="n">
        <f aca="false">IF($A29="T16.4",1,IF(COUNTIFS(AJ29:HN29,1,AJ$4:HN$4,1)&gt;0,1,0))</f>
        <v>0</v>
      </c>
      <c r="CH29" s="25" t="n">
        <v>1</v>
      </c>
      <c r="HF29" s="25" t="n">
        <v>1</v>
      </c>
    </row>
    <row r="30" customFormat="false" ht="15" hidden="false" customHeight="false" outlineLevel="0" collapsed="false">
      <c r="A30" s="6" t="s">
        <v>600</v>
      </c>
      <c r="B30" s="2" t="s">
        <v>811</v>
      </c>
      <c r="C30" s="11" t="n">
        <f aca="false">VALUE(MID(A30,2,FIND(".",A30)-2))</f>
        <v>4</v>
      </c>
      <c r="D30" s="11" t="n">
        <f aca="false">COUNTIF(AJ$6:AJ$216,1)</f>
        <v>0</v>
      </c>
      <c r="E30" s="11" t="n">
        <f aca="false">COUNTIF($L30:$HN30,1)</f>
        <v>0</v>
      </c>
      <c r="F30" s="11" t="n">
        <f aca="false">IF(COUNTIF(AJ$6:AJ29,1)=0,0,1+_xlfn.MAXIFS($F$6:$F29,AJ$6:AJ29,1))</f>
        <v>0</v>
      </c>
      <c r="G30" s="11" t="n">
        <f aca="false">IF(F30=0,1,SUMIFS($G$6:$G29,AJ$6:AJ29,1,$F$6:$F29,F30-1))</f>
        <v>1</v>
      </c>
      <c r="H30" s="11" t="n">
        <f aca="false">IF($A30="T16.4",1,IF(COUNTIFS(AK30:HN30,1,AK$4:HN$4,1)&gt;0,1,0))</f>
        <v>0</v>
      </c>
    </row>
    <row r="31" customFormat="false" ht="15" hidden="false" customHeight="false" outlineLevel="0" collapsed="false">
      <c r="A31" s="6" t="s">
        <v>601</v>
      </c>
      <c r="B31" s="2" t="s">
        <v>812</v>
      </c>
      <c r="C31" s="11" t="n">
        <f aca="false">VALUE(MID(A31,2,FIND(".",A31)-2))</f>
        <v>5</v>
      </c>
      <c r="D31" s="11" t="n">
        <f aca="false">COUNTIF(AK$6:AK$216,1)</f>
        <v>0</v>
      </c>
      <c r="E31" s="11" t="n">
        <f aca="false">COUNTIF($L31:$HN31,1)</f>
        <v>1</v>
      </c>
      <c r="F31" s="11" t="n">
        <f aca="false">IF(COUNTIF(AK$6:AK30,1)=0,0,1+_xlfn.MAXIFS($F$6:$F30,AK$6:AK30,1))</f>
        <v>0</v>
      </c>
      <c r="G31" s="11" t="n">
        <f aca="false">IF(F31=0,1,SUMIFS($G$6:$G30,AK$6:AK30,1,$F$6:$F30,F31-1))</f>
        <v>1</v>
      </c>
      <c r="H31" s="11" t="n">
        <f aca="false">IF($A31="T16.4",1,IF(COUNTIFS(AL31:HN31,1,AL$4:HN$4,1)&gt;0,1,0))</f>
        <v>1</v>
      </c>
      <c r="AM31" s="25" t="n">
        <v>1</v>
      </c>
    </row>
    <row r="32" customFormat="false" ht="15" hidden="false" customHeight="false" outlineLevel="0" collapsed="false">
      <c r="A32" s="6" t="s">
        <v>602</v>
      </c>
      <c r="B32" s="2" t="s">
        <v>813</v>
      </c>
      <c r="C32" s="11" t="n">
        <f aca="false">VALUE(MID(A32,2,FIND(".",A32)-2))</f>
        <v>5</v>
      </c>
      <c r="D32" s="11" t="n">
        <f aca="false">COUNTIF(AL$6:AL$216,1)</f>
        <v>1</v>
      </c>
      <c r="E32" s="11" t="n">
        <f aca="false">COUNTIF($L32:$HN32,1)</f>
        <v>0</v>
      </c>
      <c r="F32" s="11" t="n">
        <f aca="false">IF(COUNTIF(AL$6:AL31,1)=0,0,1+_xlfn.MAXIFS($F$6:$F31,AL$6:AL31,1))</f>
        <v>1</v>
      </c>
      <c r="G32" s="11" t="n">
        <f aca="false">IF(F32=0,1,SUMIFS($G$6:$G31,AL$6:AL31,1,$F$6:$F31,F32-1))</f>
        <v>1</v>
      </c>
      <c r="H32" s="11" t="n">
        <f aca="false">IF($A32="T16.4",1,IF(COUNTIFS(AM32:HN32,1,AM$4:HN$4,1)&gt;0,1,0))</f>
        <v>0</v>
      </c>
    </row>
    <row r="33" customFormat="false" ht="15" hidden="false" customHeight="false" outlineLevel="0" collapsed="false">
      <c r="A33" s="6" t="s">
        <v>603</v>
      </c>
      <c r="B33" s="2" t="s">
        <v>814</v>
      </c>
      <c r="C33" s="11" t="n">
        <f aca="false">VALUE(MID(A33,2,FIND(".",A33)-2))</f>
        <v>5</v>
      </c>
      <c r="D33" s="11" t="n">
        <f aca="false">COUNTIF(AM$6:AM$216,1)</f>
        <v>2</v>
      </c>
      <c r="E33" s="11" t="n">
        <f aca="false">COUNTIF($L33:$HN33,1)</f>
        <v>1</v>
      </c>
      <c r="F33" s="11" t="n">
        <f aca="false">IF(COUNTIF(AM$6:AM32,1)=0,0,1+_xlfn.MAXIFS($F$6:$F32,AM$6:AM32,1))</f>
        <v>1</v>
      </c>
      <c r="G33" s="11" t="n">
        <f aca="false">IF(F33=0,1,SUMIFS($G$6:$G32,AM$6:AM32,1,$F$6:$F32,F33-1))</f>
        <v>2</v>
      </c>
      <c r="H33" s="11" t="n">
        <f aca="false">IF($A33="T16.4",1,IF(COUNTIFS(AN33:HN33,1,AN$4:HN$4,1)&gt;0,1,0))</f>
        <v>1</v>
      </c>
      <c r="AN33" s="25" t="n">
        <v>1</v>
      </c>
    </row>
    <row r="34" customFormat="false" ht="15" hidden="false" customHeight="false" outlineLevel="0" collapsed="false">
      <c r="A34" s="6" t="s">
        <v>604</v>
      </c>
      <c r="B34" s="2" t="s">
        <v>815</v>
      </c>
      <c r="C34" s="11" t="n">
        <f aca="false">VALUE(MID(A34,2,FIND(".",A34)-2))</f>
        <v>5</v>
      </c>
      <c r="D34" s="11" t="n">
        <f aca="false">COUNTIF(AN$6:AN$216,1)</f>
        <v>2</v>
      </c>
      <c r="E34" s="11" t="n">
        <f aca="false">COUNTIF($L34:$HN34,1)</f>
        <v>1</v>
      </c>
      <c r="F34" s="11" t="n">
        <f aca="false">IF(COUNTIF(AN$6:AN33,1)=0,0,1+_xlfn.MAXIFS($F$6:$F33,AN$6:AN33,1))</f>
        <v>2</v>
      </c>
      <c r="G34" s="11" t="n">
        <f aca="false">IF(F34=0,1,SUMIFS($G$6:$G33,AN$6:AN33,1,$F$6:$F33,F34-1))</f>
        <v>2</v>
      </c>
      <c r="H34" s="11" t="n">
        <f aca="false">IF($A34="T16.4",1,IF(COUNTIFS(AO34:HN34,1,AO$4:HN$4,1)&gt;0,1,0))</f>
        <v>1</v>
      </c>
      <c r="CI34" s="25" t="n">
        <v>1</v>
      </c>
    </row>
    <row r="35" customFormat="false" ht="15" hidden="false" customHeight="false" outlineLevel="0" collapsed="false">
      <c r="A35" s="6" t="s">
        <v>605</v>
      </c>
      <c r="B35" s="2" t="s">
        <v>816</v>
      </c>
      <c r="C35" s="11" t="n">
        <f aca="false">VALUE(MID(A35,2,FIND(".",A35)-2))</f>
        <v>5</v>
      </c>
      <c r="D35" s="11" t="n">
        <f aca="false">COUNTIF(AO$6:AO$216,1)</f>
        <v>1</v>
      </c>
      <c r="E35" s="11" t="n">
        <f aca="false">COUNTIF($L35:$HN35,1)</f>
        <v>3</v>
      </c>
      <c r="F35" s="11" t="n">
        <f aca="false">IF(COUNTIF(AO$6:AO34,1)=0,0,1+_xlfn.MAXIFS($F$6:$F34,AO$6:AO34,1))</f>
        <v>1</v>
      </c>
      <c r="G35" s="11" t="n">
        <f aca="false">IF(F35=0,1,SUMIFS($G$6:$G34,AO$6:AO34,1,$F$6:$F34,F35-1))</f>
        <v>1</v>
      </c>
      <c r="H35" s="11" t="n">
        <f aca="false">IF($A35="T16.4",1,IF(COUNTIFS(AP35:HN35,1,AP$4:HN$4,1)&gt;0,1,0))</f>
        <v>1</v>
      </c>
      <c r="AR35" s="25" t="n">
        <v>1</v>
      </c>
      <c r="BO35" s="25" t="n">
        <v>1</v>
      </c>
      <c r="BU35" s="25" t="n">
        <v>1</v>
      </c>
    </row>
    <row r="36" customFormat="false" ht="15" hidden="false" customHeight="false" outlineLevel="0" collapsed="false">
      <c r="A36" s="6" t="s">
        <v>606</v>
      </c>
      <c r="B36" s="2" t="s">
        <v>817</v>
      </c>
      <c r="C36" s="11" t="n">
        <f aca="false">VALUE(MID(A36,2,FIND(".",A36)-2))</f>
        <v>5</v>
      </c>
      <c r="D36" s="11" t="n">
        <f aca="false">COUNTIF(AP$6:AP$216,1)</f>
        <v>0</v>
      </c>
      <c r="E36" s="11" t="n">
        <f aca="false">COUNTIF($L36:$HN36,1)</f>
        <v>10</v>
      </c>
      <c r="F36" s="11" t="n">
        <f aca="false">IF(COUNTIF(AP$6:AP35,1)=0,0,1+_xlfn.MAXIFS($F$6:$F35,AP$6:AP35,1))</f>
        <v>0</v>
      </c>
      <c r="G36" s="11" t="n">
        <f aca="false">IF(F36=0,1,SUMIFS($G$6:$G35,AP$6:AP35,1,$F$6:$F35,F36-1))</f>
        <v>1</v>
      </c>
      <c r="H36" s="11" t="n">
        <f aca="false">IF($A36="T16.4",1,IF(COUNTIFS(AQ36:HN36,1,AQ$4:HN$4,1)&gt;0,1,0))</f>
        <v>1</v>
      </c>
      <c r="AQ36" s="25" t="n">
        <v>1</v>
      </c>
      <c r="AX36" s="25" t="n">
        <v>1</v>
      </c>
      <c r="AZ36" s="25" t="n">
        <v>1</v>
      </c>
      <c r="BA36" s="25" t="n">
        <v>1</v>
      </c>
      <c r="BK36" s="25" t="n">
        <v>1</v>
      </c>
      <c r="BL36" s="25" t="n">
        <v>1</v>
      </c>
      <c r="BO36" s="25" t="n">
        <v>1</v>
      </c>
      <c r="GE36" s="25" t="n">
        <v>1</v>
      </c>
      <c r="GI36" s="25" t="n">
        <v>1</v>
      </c>
      <c r="GZ36" s="25" t="n">
        <v>1</v>
      </c>
    </row>
    <row r="37" customFormat="false" ht="15" hidden="false" customHeight="false" outlineLevel="0" collapsed="false">
      <c r="A37" s="6" t="s">
        <v>607</v>
      </c>
      <c r="B37" s="2" t="s">
        <v>818</v>
      </c>
      <c r="C37" s="11" t="n">
        <f aca="false">VALUE(MID(A37,2,FIND(".",A37)-2))</f>
        <v>5</v>
      </c>
      <c r="D37" s="11" t="n">
        <f aca="false">COUNTIF(AQ$6:AQ$216,1)</f>
        <v>2</v>
      </c>
      <c r="E37" s="11" t="n">
        <f aca="false">COUNTIF($L37:$HN37,1)</f>
        <v>6</v>
      </c>
      <c r="F37" s="11" t="n">
        <f aca="false">IF(COUNTIF(AQ$6:AQ36,1)=0,0,1+_xlfn.MAXIFS($F$6:$F36,AQ$6:AQ36,1))</f>
        <v>1</v>
      </c>
      <c r="G37" s="11" t="n">
        <f aca="false">IF(F37=0,1,SUMIFS($G$6:$G36,AQ$6:AQ36,1,$F$6:$F36,F37-1))</f>
        <v>2</v>
      </c>
      <c r="H37" s="11" t="n">
        <f aca="false">IF($A37="T16.4",1,IF(COUNTIFS(AR37:HN37,1,AR$4:HN$4,1)&gt;0,1,0))</f>
        <v>1</v>
      </c>
      <c r="AR37" s="25" t="n">
        <v>1</v>
      </c>
      <c r="AU37" s="25" t="n">
        <v>1</v>
      </c>
      <c r="BO37" s="25" t="n">
        <v>1</v>
      </c>
      <c r="BT37" s="25" t="n">
        <v>1</v>
      </c>
      <c r="CI37" s="25" t="n">
        <v>1</v>
      </c>
      <c r="GI37" s="25" t="n">
        <v>1</v>
      </c>
    </row>
    <row r="38" customFormat="false" ht="15" hidden="false" customHeight="false" outlineLevel="0" collapsed="false">
      <c r="A38" s="6" t="s">
        <v>608</v>
      </c>
      <c r="B38" s="2" t="s">
        <v>819</v>
      </c>
      <c r="C38" s="11" t="n">
        <f aca="false">VALUE(MID(A38,2,FIND(".",A38)-2))</f>
        <v>5</v>
      </c>
      <c r="D38" s="11" t="n">
        <f aca="false">COUNTIF(AR$6:AR$216,1)</f>
        <v>2</v>
      </c>
      <c r="E38" s="11" t="n">
        <f aca="false">COUNTIF($L38:$HN38,1)</f>
        <v>0</v>
      </c>
      <c r="F38" s="11" t="n">
        <f aca="false">IF(COUNTIF(AR$6:AR37,1)=0,0,1+_xlfn.MAXIFS($F$6:$F37,AR$6:AR37,1))</f>
        <v>2</v>
      </c>
      <c r="G38" s="11" t="n">
        <f aca="false">IF(F38=0,1,SUMIFS($G$6:$G37,AR$6:AR37,1,$F$6:$F37,F38-1))</f>
        <v>3</v>
      </c>
      <c r="H38" s="11" t="n">
        <f aca="false">IF($A38="T16.4",1,IF(COUNTIFS(AS38:HN38,1,AS$4:HN$4,1)&gt;0,1,0))</f>
        <v>0</v>
      </c>
    </row>
    <row r="39" customFormat="false" ht="15" hidden="false" customHeight="false" outlineLevel="0" collapsed="false">
      <c r="A39" s="6" t="s">
        <v>609</v>
      </c>
      <c r="B39" s="2" t="s">
        <v>820</v>
      </c>
      <c r="C39" s="11" t="n">
        <f aca="false">VALUE(MID(A39,2,FIND(".",A39)-2))</f>
        <v>5</v>
      </c>
      <c r="D39" s="11" t="n">
        <f aca="false">COUNTIF(AS$6:AS$216,1)</f>
        <v>0</v>
      </c>
      <c r="E39" s="11" t="n">
        <f aca="false">COUNTIF($L39:$HN39,1)</f>
        <v>0</v>
      </c>
      <c r="F39" s="11" t="n">
        <f aca="false">IF(COUNTIF(AS$6:AS38,1)=0,0,1+_xlfn.MAXIFS($F$6:$F38,AS$6:AS38,1))</f>
        <v>0</v>
      </c>
      <c r="G39" s="11" t="n">
        <f aca="false">IF(F39=0,1,SUMIFS($G$6:$G38,AS$6:AS38,1,$F$6:$F38,F39-1))</f>
        <v>1</v>
      </c>
      <c r="H39" s="11" t="n">
        <f aca="false">IF($A39="T16.4",1,IF(COUNTIFS(AT39:HN39,1,AT$4:HN$4,1)&gt;0,1,0))</f>
        <v>0</v>
      </c>
    </row>
    <row r="40" customFormat="false" ht="15" hidden="false" customHeight="false" outlineLevel="0" collapsed="false">
      <c r="A40" s="6" t="s">
        <v>610</v>
      </c>
      <c r="B40" s="2" t="s">
        <v>821</v>
      </c>
      <c r="C40" s="11" t="n">
        <f aca="false">VALUE(MID(A40,2,FIND(".",A40)-2))</f>
        <v>5</v>
      </c>
      <c r="D40" s="11" t="n">
        <f aca="false">COUNTIF(AT$6:AT$216,1)</f>
        <v>0</v>
      </c>
      <c r="E40" s="11" t="n">
        <f aca="false">COUNTIF($L40:$HN40,1)</f>
        <v>3</v>
      </c>
      <c r="F40" s="11" t="n">
        <f aca="false">IF(COUNTIF(AT$6:AT39,1)=0,0,1+_xlfn.MAXIFS($F$6:$F39,AT$6:AT39,1))</f>
        <v>0</v>
      </c>
      <c r="G40" s="11" t="n">
        <f aca="false">IF(F40=0,1,SUMIFS($G$6:$G39,AT$6:AT39,1,$F$6:$F39,F40-1))</f>
        <v>1</v>
      </c>
      <c r="H40" s="11" t="n">
        <f aca="false">IF($A40="T16.4",1,IF(COUNTIFS(AU40:HN40,1,AU$4:HN$4,1)&gt;0,1,0))</f>
        <v>1</v>
      </c>
      <c r="BF40" s="25" t="n">
        <v>1</v>
      </c>
      <c r="GC40" s="25" t="n">
        <v>1</v>
      </c>
      <c r="GH40" s="25" t="n">
        <v>1</v>
      </c>
    </row>
    <row r="41" customFormat="false" ht="15" hidden="false" customHeight="false" outlineLevel="0" collapsed="false">
      <c r="A41" s="6" t="s">
        <v>611</v>
      </c>
      <c r="B41" s="2" t="s">
        <v>822</v>
      </c>
      <c r="C41" s="11" t="n">
        <f aca="false">VALUE(MID(A41,2,FIND(".",A41)-2))</f>
        <v>5</v>
      </c>
      <c r="D41" s="11" t="n">
        <f aca="false">COUNTIF(AU$6:AU$216,1)</f>
        <v>1</v>
      </c>
      <c r="E41" s="11" t="n">
        <f aca="false">COUNTIF($L41:$HN41,1)</f>
        <v>1</v>
      </c>
      <c r="F41" s="11" t="n">
        <f aca="false">IF(COUNTIF(AU$6:AU40,1)=0,0,1+_xlfn.MAXIFS($F$6:$F40,AU$6:AU40,1))</f>
        <v>2</v>
      </c>
      <c r="G41" s="11" t="n">
        <f aca="false">IF(F41=0,1,SUMIFS($G$6:$G40,AU$6:AU40,1,$F$6:$F40,F41-1))</f>
        <v>2</v>
      </c>
      <c r="H41" s="11" t="n">
        <f aca="false">IF($A41="T16.4",1,IF(COUNTIFS(AV41:HN41,1,AV$4:HN$4,1)&gt;0,1,0))</f>
        <v>1</v>
      </c>
      <c r="BO41" s="25" t="n">
        <v>1</v>
      </c>
    </row>
    <row r="42" customFormat="false" ht="15" hidden="false" customHeight="false" outlineLevel="0" collapsed="false">
      <c r="A42" s="6" t="s">
        <v>612</v>
      </c>
      <c r="B42" s="2" t="s">
        <v>823</v>
      </c>
      <c r="C42" s="11" t="n">
        <f aca="false">VALUE(MID(A42,2,FIND(".",A42)-2))</f>
        <v>5</v>
      </c>
      <c r="D42" s="11" t="n">
        <f aca="false">COUNTIF(AV$6:AV$216,1)</f>
        <v>0</v>
      </c>
      <c r="E42" s="11" t="n">
        <f aca="false">COUNTIF($L42:$HN42,1)</f>
        <v>0</v>
      </c>
      <c r="F42" s="11" t="n">
        <f aca="false">IF(COUNTIF(AV$6:AV41,1)=0,0,1+_xlfn.MAXIFS($F$6:$F41,AV$6:AV41,1))</f>
        <v>0</v>
      </c>
      <c r="G42" s="11" t="n">
        <f aca="false">IF(F42=0,1,SUMIFS($G$6:$G41,AV$6:AV41,1,$F$6:$F41,F42-1))</f>
        <v>1</v>
      </c>
      <c r="H42" s="11" t="n">
        <f aca="false">IF($A42="T16.4",1,IF(COUNTIFS(AW42:HN42,1,AW$4:HN$4,1)&gt;0,1,0))</f>
        <v>0</v>
      </c>
    </row>
    <row r="43" customFormat="false" ht="15" hidden="false" customHeight="false" outlineLevel="0" collapsed="false">
      <c r="A43" s="6" t="s">
        <v>613</v>
      </c>
      <c r="B43" s="2" t="s">
        <v>824</v>
      </c>
      <c r="C43" s="11" t="n">
        <f aca="false">VALUE(MID(A43,2,FIND(".",A43)-2))</f>
        <v>5</v>
      </c>
      <c r="D43" s="11" t="n">
        <f aca="false">COUNTIF(AW$6:AW$216,1)</f>
        <v>0</v>
      </c>
      <c r="E43" s="11" t="n">
        <f aca="false">COUNTIF($L43:$HN43,1)</f>
        <v>0</v>
      </c>
      <c r="F43" s="11" t="n">
        <f aca="false">IF(COUNTIF(AW$6:AW42,1)=0,0,1+_xlfn.MAXIFS($F$6:$F42,AW$6:AW42,1))</f>
        <v>0</v>
      </c>
      <c r="G43" s="11" t="n">
        <f aca="false">IF(F43=0,1,SUMIFS($G$6:$G42,AW$6:AW42,1,$F$6:$F42,F43-1))</f>
        <v>1</v>
      </c>
      <c r="H43" s="11" t="n">
        <f aca="false">IF($A43="T16.4",1,IF(COUNTIFS(AX43:HN43,1,AX$4:HN$4,1)&gt;0,1,0))</f>
        <v>0</v>
      </c>
    </row>
    <row r="44" customFormat="false" ht="15" hidden="false" customHeight="false" outlineLevel="0" collapsed="false">
      <c r="A44" s="6" t="s">
        <v>614</v>
      </c>
      <c r="B44" s="2" t="s">
        <v>825</v>
      </c>
      <c r="C44" s="11" t="n">
        <f aca="false">VALUE(MID(A44,2,FIND(".",A44)-2))</f>
        <v>5</v>
      </c>
      <c r="D44" s="11" t="n">
        <f aca="false">COUNTIF(AX$6:AX$216,1)</f>
        <v>1</v>
      </c>
      <c r="E44" s="11" t="n">
        <f aca="false">COUNTIF($L44:$HN44,1)</f>
        <v>1</v>
      </c>
      <c r="F44" s="11" t="n">
        <f aca="false">IF(COUNTIF(AX$6:AX43,1)=0,0,1+_xlfn.MAXIFS($F$6:$F43,AX$6:AX43,1))</f>
        <v>1</v>
      </c>
      <c r="G44" s="11" t="n">
        <f aca="false">IF(F44=0,1,SUMIFS($G$6:$G43,AX$6:AX43,1,$F$6:$F43,F44-1))</f>
        <v>1</v>
      </c>
      <c r="H44" s="11" t="n">
        <f aca="false">IF($A44="T16.4",1,IF(COUNTIFS(AY44:HN44,1,AY$4:HN$4,1)&gt;0,1,0))</f>
        <v>0</v>
      </c>
      <c r="AY44" s="25" t="n">
        <v>1</v>
      </c>
    </row>
    <row r="45" customFormat="false" ht="15" hidden="false" customHeight="false" outlineLevel="0" collapsed="false">
      <c r="A45" s="6" t="s">
        <v>615</v>
      </c>
      <c r="B45" s="2" t="s">
        <v>826</v>
      </c>
      <c r="C45" s="11" t="n">
        <f aca="false">VALUE(MID(A45,2,FIND(".",A45)-2))</f>
        <v>5</v>
      </c>
      <c r="D45" s="11" t="n">
        <f aca="false">COUNTIF(AY$6:AY$216,1)</f>
        <v>1</v>
      </c>
      <c r="E45" s="11" t="n">
        <f aca="false">COUNTIF($L45:$HN45,1)</f>
        <v>0</v>
      </c>
      <c r="F45" s="11" t="n">
        <f aca="false">IF(COUNTIF(AY$6:AY44,1)=0,0,1+_xlfn.MAXIFS($F$6:$F44,AY$6:AY44,1))</f>
        <v>2</v>
      </c>
      <c r="G45" s="11" t="n">
        <f aca="false">IF(F45=0,1,SUMIFS($G$6:$G44,AY$6:AY44,1,$F$6:$F44,F45-1))</f>
        <v>1</v>
      </c>
      <c r="H45" s="11" t="n">
        <f aca="false">IF($A45="T16.4",1,IF(COUNTIFS(AZ45:HN45,1,AZ$4:HN$4,1)&gt;0,1,0))</f>
        <v>0</v>
      </c>
    </row>
    <row r="46" customFormat="false" ht="15" hidden="false" customHeight="false" outlineLevel="0" collapsed="false">
      <c r="A46" s="6" t="s">
        <v>616</v>
      </c>
      <c r="B46" s="2" t="s">
        <v>827</v>
      </c>
      <c r="C46" s="11" t="n">
        <f aca="false">VALUE(MID(A46,2,FIND(".",A46)-2))</f>
        <v>5</v>
      </c>
      <c r="D46" s="11" t="n">
        <f aca="false">COUNTIF(AZ$6:AZ$216,1)</f>
        <v>1</v>
      </c>
      <c r="E46" s="11" t="n">
        <f aca="false">COUNTIF($L46:$HN46,1)</f>
        <v>0</v>
      </c>
      <c r="F46" s="11" t="n">
        <f aca="false">IF(COUNTIF(AZ$6:AZ45,1)=0,0,1+_xlfn.MAXIFS($F$6:$F45,AZ$6:AZ45,1))</f>
        <v>1</v>
      </c>
      <c r="G46" s="11" t="n">
        <f aca="false">IF(F46=0,1,SUMIFS($G$6:$G45,AZ$6:AZ45,1,$F$6:$F45,F46-1))</f>
        <v>1</v>
      </c>
      <c r="H46" s="11" t="n">
        <f aca="false">IF($A46="T16.4",1,IF(COUNTIFS(BA46:HN46,1,BA$4:HN$4,1)&gt;0,1,0))</f>
        <v>0</v>
      </c>
    </row>
    <row r="47" customFormat="false" ht="15" hidden="false" customHeight="false" outlineLevel="0" collapsed="false">
      <c r="A47" s="6" t="s">
        <v>617</v>
      </c>
      <c r="B47" s="2" t="s">
        <v>828</v>
      </c>
      <c r="C47" s="11" t="n">
        <f aca="false">VALUE(MID(A47,2,FIND(".",A47)-2))</f>
        <v>5</v>
      </c>
      <c r="D47" s="11" t="n">
        <f aca="false">COUNTIF(BA$6:BA$216,1)</f>
        <v>1</v>
      </c>
      <c r="E47" s="11" t="n">
        <f aca="false">COUNTIF($L47:$HN47,1)</f>
        <v>0</v>
      </c>
      <c r="F47" s="11" t="n">
        <f aca="false">IF(COUNTIF(BA$6:BA46,1)=0,0,1+_xlfn.MAXIFS($F$6:$F46,BA$6:BA46,1))</f>
        <v>1</v>
      </c>
      <c r="G47" s="11" t="n">
        <f aca="false">IF(F47=0,1,SUMIFS($G$6:$G46,BA$6:BA46,1,$F$6:$F46,F47-1))</f>
        <v>1</v>
      </c>
      <c r="H47" s="11" t="n">
        <f aca="false">IF($A47="T16.4",1,IF(COUNTIFS(BB47:HN47,1,BB$4:HN$4,1)&gt;0,1,0))</f>
        <v>0</v>
      </c>
    </row>
    <row r="48" customFormat="false" ht="15" hidden="false" customHeight="false" outlineLevel="0" collapsed="false">
      <c r="A48" s="6" t="s">
        <v>618</v>
      </c>
      <c r="B48" s="2" t="s">
        <v>829</v>
      </c>
      <c r="C48" s="11" t="n">
        <f aca="false">VALUE(MID(A48,2,FIND(".",A48)-2))</f>
        <v>6</v>
      </c>
      <c r="D48" s="11" t="n">
        <f aca="false">COUNTIF(BB$6:BB$216,1)</f>
        <v>0</v>
      </c>
      <c r="E48" s="11" t="n">
        <f aca="false">COUNTIF($L48:$HN48,1)</f>
        <v>0</v>
      </c>
      <c r="F48" s="11" t="n">
        <f aca="false">IF(COUNTIF(BB$6:BB47,1)=0,0,1+_xlfn.MAXIFS($F$6:$F47,BB$6:BB47,1))</f>
        <v>0</v>
      </c>
      <c r="G48" s="11" t="n">
        <f aca="false">IF(F48=0,1,SUMIFS($G$6:$G47,BB$6:BB47,1,$F$6:$F47,F48-1))</f>
        <v>1</v>
      </c>
      <c r="H48" s="11" t="n">
        <f aca="false">IF($A48="T16.4",1,IF(COUNTIFS(BC48:HN48,1,BC$4:HN$4,1)&gt;0,1,0))</f>
        <v>0</v>
      </c>
    </row>
    <row r="49" customFormat="false" ht="15" hidden="false" customHeight="false" outlineLevel="0" collapsed="false">
      <c r="A49" s="6" t="s">
        <v>619</v>
      </c>
      <c r="B49" s="2" t="s">
        <v>830</v>
      </c>
      <c r="C49" s="11" t="n">
        <f aca="false">VALUE(MID(A49,2,FIND(".",A49)-2))</f>
        <v>6</v>
      </c>
      <c r="D49" s="11" t="n">
        <f aca="false">COUNTIF(BC$6:BC$216,1)</f>
        <v>1</v>
      </c>
      <c r="E49" s="11" t="n">
        <f aca="false">COUNTIF($L49:$HN49,1)</f>
        <v>2</v>
      </c>
      <c r="F49" s="11" t="n">
        <f aca="false">IF(COUNTIF(BC$6:BC48,1)=0,0,1+_xlfn.MAXIFS($F$6:$F48,BC$6:BC48,1))</f>
        <v>2</v>
      </c>
      <c r="G49" s="11" t="n">
        <f aca="false">IF(F49=0,1,SUMIFS($G$6:$G48,BC$6:BC48,1,$F$6:$F48,F49-1))</f>
        <v>1</v>
      </c>
      <c r="H49" s="11" t="n">
        <f aca="false">IF($A49="T16.4",1,IF(COUNTIFS(BD49:HN49,1,BD$4:HN$4,1)&gt;0,1,0))</f>
        <v>1</v>
      </c>
      <c r="BL49" s="25" t="n">
        <v>1</v>
      </c>
      <c r="FI49" s="25" t="n">
        <v>1</v>
      </c>
    </row>
    <row r="50" customFormat="false" ht="15" hidden="false" customHeight="false" outlineLevel="0" collapsed="false">
      <c r="A50" s="6" t="s">
        <v>620</v>
      </c>
      <c r="B50" s="2" t="s">
        <v>831</v>
      </c>
      <c r="C50" s="11" t="n">
        <f aca="false">VALUE(MID(A50,2,FIND(".",A50)-2))</f>
        <v>6</v>
      </c>
      <c r="D50" s="11" t="n">
        <f aca="false">COUNTIF(BD$6:BD$216,1)</f>
        <v>1</v>
      </c>
      <c r="E50" s="11" t="n">
        <f aca="false">COUNTIF($L50:$HN50,1)</f>
        <v>4</v>
      </c>
      <c r="F50" s="11" t="n">
        <f aca="false">IF(COUNTIF(BD$6:BD49,1)=0,0,1+_xlfn.MAXIFS($F$6:$F49,BD$6:BD49,1))</f>
        <v>1</v>
      </c>
      <c r="G50" s="11" t="n">
        <f aca="false">IF(F50=0,1,SUMIFS($G$6:$G49,BD$6:BD49,1,$F$6:$F49,F50-1))</f>
        <v>1</v>
      </c>
      <c r="H50" s="11" t="n">
        <f aca="false">IF($A50="T16.4",1,IF(COUNTIFS(BE50:HN50,1,BE$4:HN$4,1)&gt;0,1,0))</f>
        <v>1</v>
      </c>
      <c r="BF50" s="25" t="n">
        <v>1</v>
      </c>
      <c r="BH50" s="25" t="n">
        <v>1</v>
      </c>
      <c r="BJ50" s="25" t="n">
        <v>1</v>
      </c>
      <c r="GI50" s="25" t="n">
        <v>1</v>
      </c>
    </row>
    <row r="51" customFormat="false" ht="15" hidden="false" customHeight="false" outlineLevel="0" collapsed="false">
      <c r="A51" s="6" t="s">
        <v>621</v>
      </c>
      <c r="B51" s="2" t="s">
        <v>832</v>
      </c>
      <c r="C51" s="11" t="n">
        <f aca="false">VALUE(MID(A51,2,FIND(".",A51)-2))</f>
        <v>6</v>
      </c>
      <c r="D51" s="11" t="n">
        <f aca="false">COUNTIF(BE$6:BE$216,1)</f>
        <v>0</v>
      </c>
      <c r="E51" s="11" t="n">
        <f aca="false">COUNTIF($L51:$HN51,1)</f>
        <v>1</v>
      </c>
      <c r="F51" s="11" t="n">
        <f aca="false">IF(COUNTIF(BE$6:BE50,1)=0,0,1+_xlfn.MAXIFS($F$6:$F50,BE$6:BE50,1))</f>
        <v>0</v>
      </c>
      <c r="G51" s="11" t="n">
        <f aca="false">IF(F51=0,1,SUMIFS($G$6:$G50,BE$6:BE50,1,$F$6:$F50,F51-1))</f>
        <v>1</v>
      </c>
      <c r="H51" s="11" t="n">
        <f aca="false">IF($A51="T16.4",1,IF(COUNTIFS(BF51:HN51,1,BF$4:HN$4,1)&gt;0,1,0))</f>
        <v>1</v>
      </c>
      <c r="BH51" s="25" t="n">
        <v>1</v>
      </c>
    </row>
    <row r="52" customFormat="false" ht="15" hidden="false" customHeight="false" outlineLevel="0" collapsed="false">
      <c r="A52" s="6" t="s">
        <v>622</v>
      </c>
      <c r="B52" s="2" t="s">
        <v>833</v>
      </c>
      <c r="C52" s="11" t="n">
        <f aca="false">VALUE(MID(A52,2,FIND(".",A52)-2))</f>
        <v>6</v>
      </c>
      <c r="D52" s="11" t="n">
        <f aca="false">COUNTIF(BF$6:BF$216,1)</f>
        <v>2</v>
      </c>
      <c r="E52" s="11" t="n">
        <f aca="false">COUNTIF($L52:$HN52,1)</f>
        <v>1</v>
      </c>
      <c r="F52" s="11" t="n">
        <f aca="false">IF(COUNTIF(BF$6:BF51,1)=0,0,1+_xlfn.MAXIFS($F$6:$F51,BF$6:BF51,1))</f>
        <v>2</v>
      </c>
      <c r="G52" s="11" t="n">
        <f aca="false">IF(F52=0,1,SUMIFS($G$6:$G51,BF$6:BF51,1,$F$6:$F51,F52-1))</f>
        <v>1</v>
      </c>
      <c r="H52" s="11" t="n">
        <f aca="false">IF($A52="T16.4",1,IF(COUNTIFS(BG52:HN52,1,BG$4:HN$4,1)&gt;0,1,0))</f>
        <v>1</v>
      </c>
      <c r="GC52" s="25" t="n">
        <v>1</v>
      </c>
    </row>
    <row r="53" customFormat="false" ht="15" hidden="false" customHeight="false" outlineLevel="0" collapsed="false">
      <c r="A53" s="6" t="s">
        <v>623</v>
      </c>
      <c r="B53" s="2" t="s">
        <v>834</v>
      </c>
      <c r="C53" s="11" t="n">
        <f aca="false">VALUE(MID(A53,2,FIND(".",A53)-2))</f>
        <v>6</v>
      </c>
      <c r="D53" s="11" t="n">
        <f aca="false">COUNTIF(BG$6:BG$216,1)</f>
        <v>1</v>
      </c>
      <c r="E53" s="11" t="n">
        <f aca="false">COUNTIF($L53:$HN53,1)</f>
        <v>1</v>
      </c>
      <c r="F53" s="11" t="n">
        <f aca="false">IF(COUNTIF(BG$6:BG52,1)=0,0,1+_xlfn.MAXIFS($F$6:$F52,BG$6:BG52,1))</f>
        <v>1</v>
      </c>
      <c r="G53" s="11" t="n">
        <f aca="false">IF(F53=0,1,SUMIFS($G$6:$G52,BG$6:BG52,1,$F$6:$F52,F53-1))</f>
        <v>1</v>
      </c>
      <c r="H53" s="11" t="n">
        <f aca="false">IF($A53="T16.4",1,IF(COUNTIFS(BH53:HN53,1,BH$4:HN$4,1)&gt;0,1,0))</f>
        <v>1</v>
      </c>
      <c r="BH53" s="25" t="n">
        <v>1</v>
      </c>
    </row>
    <row r="54" customFormat="false" ht="15" hidden="false" customHeight="false" outlineLevel="0" collapsed="false">
      <c r="A54" s="6" t="s">
        <v>624</v>
      </c>
      <c r="B54" s="2" t="s">
        <v>835</v>
      </c>
      <c r="C54" s="11" t="n">
        <f aca="false">VALUE(MID(A54,2,FIND(".",A54)-2))</f>
        <v>6</v>
      </c>
      <c r="D54" s="11" t="n">
        <f aca="false">COUNTIF(BH$6:BH$216,1)</f>
        <v>5</v>
      </c>
      <c r="E54" s="11" t="n">
        <f aca="false">COUNTIF($L54:$HN54,1)</f>
        <v>4</v>
      </c>
      <c r="F54" s="11" t="n">
        <f aca="false">IF(COUNTIF(BH$6:BH53,1)=0,0,1+_xlfn.MAXIFS($F$6:$F53,BH$6:BH53,1))</f>
        <v>2</v>
      </c>
      <c r="G54" s="11" t="n">
        <f aca="false">IF(F54=0,1,SUMIFS($G$6:$G53,BH$6:BH53,1,$F$6:$F53,F54-1))</f>
        <v>3</v>
      </c>
      <c r="H54" s="11" t="n">
        <f aca="false">IF($A54="T16.4",1,IF(COUNTIFS(BI54:HN54,1,BI$4:HN$4,1)&gt;0,1,0))</f>
        <v>1</v>
      </c>
      <c r="CO54" s="25" t="n">
        <v>1</v>
      </c>
      <c r="GH54" s="25" t="n">
        <v>1</v>
      </c>
      <c r="GJ54" s="25" t="n">
        <v>1</v>
      </c>
      <c r="GU54" s="25" t="n">
        <v>1</v>
      </c>
    </row>
    <row r="55" customFormat="false" ht="15" hidden="false" customHeight="false" outlineLevel="0" collapsed="false">
      <c r="A55" s="6" t="s">
        <v>625</v>
      </c>
      <c r="B55" s="2" t="s">
        <v>836</v>
      </c>
      <c r="C55" s="11" t="n">
        <f aca="false">VALUE(MID(A55,2,FIND(".",A55)-2))</f>
        <v>6</v>
      </c>
      <c r="D55" s="11" t="n">
        <f aca="false">COUNTIF(BI$6:BI$216,1)</f>
        <v>0</v>
      </c>
      <c r="E55" s="11" t="n">
        <f aca="false">COUNTIF($L55:$HN55,1)</f>
        <v>3</v>
      </c>
      <c r="F55" s="11" t="n">
        <f aca="false">IF(COUNTIF(BI$6:BI54,1)=0,0,1+_xlfn.MAXIFS($F$6:$F54,BI$6:BI54,1))</f>
        <v>0</v>
      </c>
      <c r="G55" s="11" t="n">
        <f aca="false">IF(F55=0,1,SUMIFS($G$6:$G54,BI$6:BI54,1,$F$6:$F54,F55-1))</f>
        <v>1</v>
      </c>
      <c r="H55" s="11" t="n">
        <f aca="false">IF($A55="T16.4",1,IF(COUNTIFS(BJ55:HN55,1,BJ$4:HN$4,1)&gt;0,1,0))</f>
        <v>1</v>
      </c>
      <c r="BN55" s="25" t="n">
        <v>1</v>
      </c>
      <c r="DT55" s="25" t="n">
        <v>1</v>
      </c>
      <c r="FI55" s="25" t="n">
        <v>1</v>
      </c>
    </row>
    <row r="56" customFormat="false" ht="15" hidden="false" customHeight="false" outlineLevel="0" collapsed="false">
      <c r="A56" s="6" t="s">
        <v>626</v>
      </c>
      <c r="B56" s="2" t="s">
        <v>837</v>
      </c>
      <c r="C56" s="11" t="n">
        <f aca="false">VALUE(MID(A56,2,FIND(".",A56)-2))</f>
        <v>6</v>
      </c>
      <c r="D56" s="11" t="n">
        <f aca="false">COUNTIF(BJ$6:BJ$216,1)</f>
        <v>1</v>
      </c>
      <c r="E56" s="11" t="n">
        <f aca="false">COUNTIF($L56:$HN56,1)</f>
        <v>0</v>
      </c>
      <c r="F56" s="11" t="n">
        <f aca="false">IF(COUNTIF(BJ$6:BJ55,1)=0,0,1+_xlfn.MAXIFS($F$6:$F55,BJ$6:BJ55,1))</f>
        <v>2</v>
      </c>
      <c r="G56" s="11" t="n">
        <f aca="false">IF(F56=0,1,SUMIFS($G$6:$G55,BJ$6:BJ55,1,$F$6:$F55,F56-1))</f>
        <v>1</v>
      </c>
      <c r="H56" s="11" t="n">
        <f aca="false">IF($A56="T16.4",1,IF(COUNTIFS(BK56:HN56,1,BK$4:HN$4,1)&gt;0,1,0))</f>
        <v>0</v>
      </c>
    </row>
    <row r="57" customFormat="false" ht="15" hidden="false" customHeight="false" outlineLevel="0" collapsed="false">
      <c r="A57" s="6" t="s">
        <v>627</v>
      </c>
      <c r="B57" s="2" t="s">
        <v>838</v>
      </c>
      <c r="C57" s="11" t="n">
        <f aca="false">VALUE(MID(A57,2,FIND(".",A57)-2))</f>
        <v>6</v>
      </c>
      <c r="D57" s="11" t="n">
        <f aca="false">COUNTIF(BK$6:BK$216,1)</f>
        <v>1</v>
      </c>
      <c r="E57" s="11" t="n">
        <f aca="false">COUNTIF($L57:$HN57,1)</f>
        <v>0</v>
      </c>
      <c r="F57" s="11" t="n">
        <f aca="false">IF(COUNTIF(BK$6:BK56,1)=0,0,1+_xlfn.MAXIFS($F$6:$F56,BK$6:BK56,1))</f>
        <v>1</v>
      </c>
      <c r="G57" s="11" t="n">
        <f aca="false">IF(F57=0,1,SUMIFS($G$6:$G56,BK$6:BK56,1,$F$6:$F56,F57-1))</f>
        <v>1</v>
      </c>
      <c r="H57" s="11" t="n">
        <f aca="false">IF($A57="T16.4",1,IF(COUNTIFS(BL57:HN57,1,BL$4:HN$4,1)&gt;0,1,0))</f>
        <v>0</v>
      </c>
    </row>
    <row r="58" customFormat="false" ht="15" hidden="false" customHeight="false" outlineLevel="0" collapsed="false">
      <c r="A58" s="6" t="s">
        <v>628</v>
      </c>
      <c r="B58" s="2" t="s">
        <v>839</v>
      </c>
      <c r="C58" s="11" t="n">
        <f aca="false">VALUE(MID(A58,2,FIND(".",A58)-2))</f>
        <v>6</v>
      </c>
      <c r="D58" s="11" t="n">
        <f aca="false">COUNTIF(BL$6:BL$216,1)</f>
        <v>2</v>
      </c>
      <c r="E58" s="11" t="n">
        <f aca="false">COUNTIF($L58:$HN58,1)</f>
        <v>0</v>
      </c>
      <c r="F58" s="11" t="n">
        <f aca="false">IF(COUNTIF(BL$6:BL57,1)=0,0,1+_xlfn.MAXIFS($F$6:$F57,BL$6:BL57,1))</f>
        <v>3</v>
      </c>
      <c r="G58" s="11" t="n">
        <f aca="false">IF(F58=0,1,SUMIFS($G$6:$G57,BL$6:BL57,1,$F$6:$F57,F58-1))</f>
        <v>1</v>
      </c>
      <c r="H58" s="11" t="n">
        <f aca="false">IF($A58="T16.4",1,IF(COUNTIFS(BM58:HN58,1,BM$4:HN$4,1)&gt;0,1,0))</f>
        <v>0</v>
      </c>
    </row>
    <row r="59" customFormat="false" ht="15" hidden="false" customHeight="false" outlineLevel="0" collapsed="false">
      <c r="A59" s="6" t="s">
        <v>629</v>
      </c>
      <c r="B59" s="2" t="s">
        <v>840</v>
      </c>
      <c r="C59" s="11" t="n">
        <f aca="false">VALUE(MID(A59,2,FIND(".",A59)-2))</f>
        <v>6</v>
      </c>
      <c r="D59" s="11" t="n">
        <f aca="false">COUNTIF(BM$6:BM$216,1)</f>
        <v>0</v>
      </c>
      <c r="E59" s="11" t="n">
        <f aca="false">COUNTIF($L59:$HN59,1)</f>
        <v>0</v>
      </c>
      <c r="F59" s="11" t="n">
        <f aca="false">IF(COUNTIF(BM$6:BM58,1)=0,0,1+_xlfn.MAXIFS($F$6:$F58,BM$6:BM58,1))</f>
        <v>0</v>
      </c>
      <c r="G59" s="11" t="n">
        <f aca="false">IF(F59=0,1,SUMIFS($G$6:$G58,BM$6:BM58,1,$F$6:$F58,F59-1))</f>
        <v>1</v>
      </c>
      <c r="H59" s="11" t="n">
        <f aca="false">IF($A59="T16.4",1,IF(COUNTIFS(BN59:HN59,1,BN$4:HN$4,1)&gt;0,1,0))</f>
        <v>0</v>
      </c>
    </row>
    <row r="60" customFormat="false" ht="15" hidden="false" customHeight="false" outlineLevel="0" collapsed="false">
      <c r="A60" s="6" t="s">
        <v>630</v>
      </c>
      <c r="B60" s="2" t="s">
        <v>841</v>
      </c>
      <c r="C60" s="11" t="n">
        <f aca="false">VALUE(MID(A60,2,FIND(".",A60)-2))</f>
        <v>6</v>
      </c>
      <c r="D60" s="11" t="n">
        <f aca="false">COUNTIF(BN$6:BN$216,1)</f>
        <v>1</v>
      </c>
      <c r="E60" s="11" t="n">
        <f aca="false">COUNTIF($L60:$HN60,1)</f>
        <v>0</v>
      </c>
      <c r="F60" s="11" t="n">
        <f aca="false">IF(COUNTIF(BN$6:BN59,1)=0,0,1+_xlfn.MAXIFS($F$6:$F59,BN$6:BN59,1))</f>
        <v>1</v>
      </c>
      <c r="G60" s="11" t="n">
        <f aca="false">IF(F60=0,1,SUMIFS($G$6:$G59,BN$6:BN59,1,$F$6:$F59,F60-1))</f>
        <v>1</v>
      </c>
      <c r="H60" s="11" t="n">
        <f aca="false">IF($A60="T16.4",1,IF(COUNTIFS(BO60:HN60,1,BO$4:HN$4,1)&gt;0,1,0))</f>
        <v>0</v>
      </c>
    </row>
    <row r="61" customFormat="false" ht="15" hidden="false" customHeight="false" outlineLevel="0" collapsed="false">
      <c r="A61" s="6" t="s">
        <v>631</v>
      </c>
      <c r="B61" s="2" t="s">
        <v>842</v>
      </c>
      <c r="C61" s="11" t="n">
        <f aca="false">VALUE(MID(A61,2,FIND(".",A61)-2))</f>
        <v>7</v>
      </c>
      <c r="D61" s="11" t="n">
        <f aca="false">COUNTIF(BO$6:BO$216,1)</f>
        <v>5</v>
      </c>
      <c r="E61" s="11" t="n">
        <f aca="false">COUNTIF($L61:$HN61,1)</f>
        <v>7</v>
      </c>
      <c r="F61" s="11" t="n">
        <f aca="false">IF(COUNTIF(BO$6:BO60,1)=0,0,1+_xlfn.MAXIFS($F$6:$F60,BO$6:BO60,1))</f>
        <v>3</v>
      </c>
      <c r="G61" s="11" t="n">
        <f aca="false">IF(F61=0,1,SUMIFS($G$6:$G60,BO$6:BO60,1,$F$6:$F60,F61-1))</f>
        <v>2</v>
      </c>
      <c r="H61" s="11" t="n">
        <f aca="false">IF($A61="T16.4",1,IF(COUNTIFS(BP61:HN61,1,BP$4:HN$4,1)&gt;0,1,0))</f>
        <v>1</v>
      </c>
      <c r="BP61" s="25" t="n">
        <v>1</v>
      </c>
      <c r="BQ61" s="25" t="n">
        <v>1</v>
      </c>
      <c r="BR61" s="25" t="n">
        <v>1</v>
      </c>
      <c r="BS61" s="25" t="n">
        <v>1</v>
      </c>
      <c r="BU61" s="25" t="n">
        <v>1</v>
      </c>
      <c r="EH61" s="25" t="n">
        <v>1</v>
      </c>
      <c r="FQ61" s="25" t="n">
        <v>1</v>
      </c>
    </row>
    <row r="62" customFormat="false" ht="15" hidden="false" customHeight="false" outlineLevel="0" collapsed="false">
      <c r="A62" s="6" t="s">
        <v>632</v>
      </c>
      <c r="B62" s="2" t="s">
        <v>843</v>
      </c>
      <c r="C62" s="11" t="n">
        <f aca="false">VALUE(MID(A62,2,FIND(".",A62)-2))</f>
        <v>7</v>
      </c>
      <c r="D62" s="11" t="n">
        <f aca="false">COUNTIF(BP$6:BP$216,1)</f>
        <v>1</v>
      </c>
      <c r="E62" s="11" t="n">
        <f aca="false">COUNTIF($L62:$HN62,1)</f>
        <v>1</v>
      </c>
      <c r="F62" s="11" t="n">
        <f aca="false">IF(COUNTIF(BP$6:BP61,1)=0,0,1+_xlfn.MAXIFS($F$6:$F61,BP$6:BP61,1))</f>
        <v>4</v>
      </c>
      <c r="G62" s="11" t="n">
        <f aca="false">IF(F62=0,1,SUMIFS($G$6:$G61,BP$6:BP61,1,$F$6:$F61,F62-1))</f>
        <v>2</v>
      </c>
      <c r="H62" s="11" t="n">
        <f aca="false">IF($A62="T16.4",1,IF(COUNTIFS(BQ62:HN62,1,BQ$4:HN$4,1)&gt;0,1,0))</f>
        <v>0</v>
      </c>
      <c r="BS62" s="25" t="n">
        <v>1</v>
      </c>
    </row>
    <row r="63" customFormat="false" ht="15" hidden="false" customHeight="false" outlineLevel="0" collapsed="false">
      <c r="A63" s="6" t="s">
        <v>633</v>
      </c>
      <c r="B63" s="2" t="s">
        <v>844</v>
      </c>
      <c r="C63" s="11" t="n">
        <f aca="false">VALUE(MID(A63,2,FIND(".",A63)-2))</f>
        <v>7</v>
      </c>
      <c r="D63" s="11" t="n">
        <f aca="false">COUNTIF(BQ$6:BQ$216,1)</f>
        <v>1</v>
      </c>
      <c r="E63" s="11" t="n">
        <f aca="false">COUNTIF($L63:$HN63,1)</f>
        <v>3</v>
      </c>
      <c r="F63" s="11" t="n">
        <f aca="false">IF(COUNTIF(BQ$6:BQ62,1)=0,0,1+_xlfn.MAXIFS($F$6:$F62,BQ$6:BQ62,1))</f>
        <v>4</v>
      </c>
      <c r="G63" s="11" t="n">
        <f aca="false">IF(F63=0,1,SUMIFS($G$6:$G62,BQ$6:BQ62,1,$F$6:$F62,F63-1))</f>
        <v>2</v>
      </c>
      <c r="H63" s="11" t="n">
        <f aca="false">IF($A63="T16.4",1,IF(COUNTIFS(BR63:HN63,1,BR$4:HN$4,1)&gt;0,1,0))</f>
        <v>1</v>
      </c>
      <c r="BR63" s="25" t="n">
        <v>1</v>
      </c>
      <c r="BZ63" s="25" t="n">
        <v>1</v>
      </c>
      <c r="DU63" s="25" t="n">
        <v>1</v>
      </c>
    </row>
    <row r="64" customFormat="false" ht="15" hidden="false" customHeight="false" outlineLevel="0" collapsed="false">
      <c r="A64" s="6" t="s">
        <v>634</v>
      </c>
      <c r="B64" s="2" t="s">
        <v>845</v>
      </c>
      <c r="C64" s="11" t="n">
        <f aca="false">VALUE(MID(A64,2,FIND(".",A64)-2))</f>
        <v>7</v>
      </c>
      <c r="D64" s="11" t="n">
        <f aca="false">COUNTIF(BR$6:BR$216,1)</f>
        <v>2</v>
      </c>
      <c r="E64" s="11" t="n">
        <f aca="false">COUNTIF($L64:$HN64,1)</f>
        <v>3</v>
      </c>
      <c r="F64" s="11" t="n">
        <f aca="false">IF(COUNTIF(BR$6:BR63,1)=0,0,1+_xlfn.MAXIFS($F$6:$F63,BR$6:BR63,1))</f>
        <v>5</v>
      </c>
      <c r="G64" s="11" t="n">
        <f aca="false">IF(F64=0,1,SUMIFS($G$6:$G63,BR$6:BR63,1,$F$6:$F63,F64-1))</f>
        <v>2</v>
      </c>
      <c r="H64" s="11" t="n">
        <f aca="false">IF($A64="T16.4",1,IF(COUNTIFS(BS64:HN64,1,BS$4:HN$4,1)&gt;0,1,0))</f>
        <v>1</v>
      </c>
      <c r="BT64" s="25" t="n">
        <v>1</v>
      </c>
      <c r="CB64" s="25" t="n">
        <v>1</v>
      </c>
      <c r="GM64" s="25" t="n">
        <v>1</v>
      </c>
    </row>
    <row r="65" customFormat="false" ht="15" hidden="false" customHeight="false" outlineLevel="0" collapsed="false">
      <c r="A65" s="6" t="s">
        <v>635</v>
      </c>
      <c r="B65" s="2" t="s">
        <v>846</v>
      </c>
      <c r="C65" s="11" t="n">
        <f aca="false">VALUE(MID(A65,2,FIND(".",A65)-2))</f>
        <v>7</v>
      </c>
      <c r="D65" s="11" t="n">
        <f aca="false">COUNTIF(BS$6:BS$216,1)</f>
        <v>2</v>
      </c>
      <c r="E65" s="11" t="n">
        <f aca="false">COUNTIF($L65:$HN65,1)</f>
        <v>1</v>
      </c>
      <c r="F65" s="11" t="n">
        <f aca="false">IF(COUNTIF(BS$6:BS64,1)=0,0,1+_xlfn.MAXIFS($F$6:$F64,BS$6:BS64,1))</f>
        <v>5</v>
      </c>
      <c r="G65" s="11" t="n">
        <f aca="false">IF(F65=0,1,SUMIFS($G$6:$G64,BS$6:BS64,1,$F$6:$F64,F65-1))</f>
        <v>2</v>
      </c>
      <c r="H65" s="11" t="n">
        <f aca="false">IF($A65="T16.4",1,IF(COUNTIFS(BT65:HN65,1,BT$4:HN$4,1)&gt;0,1,0))</f>
        <v>0</v>
      </c>
      <c r="BU65" s="25" t="n">
        <v>1</v>
      </c>
    </row>
    <row r="66" customFormat="false" ht="15" hidden="false" customHeight="false" outlineLevel="0" collapsed="false">
      <c r="A66" s="6" t="s">
        <v>636</v>
      </c>
      <c r="B66" s="2" t="s">
        <v>847</v>
      </c>
      <c r="C66" s="11" t="n">
        <f aca="false">VALUE(MID(A66,2,FIND(".",A66)-2))</f>
        <v>7</v>
      </c>
      <c r="D66" s="11" t="n">
        <f aca="false">COUNTIF(BT$6:BT$216,1)</f>
        <v>2</v>
      </c>
      <c r="E66" s="11" t="n">
        <f aca="false">COUNTIF($L66:$HN66,1)</f>
        <v>1</v>
      </c>
      <c r="F66" s="11" t="n">
        <f aca="false">IF(COUNTIF(BT$6:BT65,1)=0,0,1+_xlfn.MAXIFS($F$6:$F65,BT$6:BT65,1))</f>
        <v>6</v>
      </c>
      <c r="G66" s="11" t="n">
        <f aca="false">IF(F66=0,1,SUMIFS($G$6:$G65,BT$6:BT65,1,$F$6:$F65,F66-1))</f>
        <v>2</v>
      </c>
      <c r="H66" s="11" t="n">
        <f aca="false">IF($A66="T16.4",1,IF(COUNTIFS(BU66:HN66,1,BU$4:HN$4,1)&gt;0,1,0))</f>
        <v>0</v>
      </c>
      <c r="BU66" s="25" t="n">
        <v>1</v>
      </c>
    </row>
    <row r="67" customFormat="false" ht="15" hidden="false" customHeight="false" outlineLevel="0" collapsed="false">
      <c r="A67" s="6" t="s">
        <v>637</v>
      </c>
      <c r="B67" s="2" t="s">
        <v>848</v>
      </c>
      <c r="C67" s="11" t="n">
        <f aca="false">VALUE(MID(A67,2,FIND(".",A67)-2))</f>
        <v>7</v>
      </c>
      <c r="D67" s="11" t="n">
        <f aca="false">COUNTIF(BU$6:BU$216,1)</f>
        <v>4</v>
      </c>
      <c r="E67" s="11" t="n">
        <f aca="false">COUNTIF($L67:$HN67,1)</f>
        <v>1</v>
      </c>
      <c r="F67" s="11" t="n">
        <f aca="false">IF(COUNTIF(BU$6:BU66,1)=0,0,1+_xlfn.MAXIFS($F$6:$F66,BU$6:BU66,1))</f>
        <v>7</v>
      </c>
      <c r="G67" s="11" t="n">
        <f aca="false">IF(F67=0,1,SUMIFS($G$6:$G66,BU$6:BU66,1,$F$6:$F66,F67-1))</f>
        <v>2</v>
      </c>
      <c r="H67" s="11" t="n">
        <f aca="false">IF($A67="T16.4",1,IF(COUNTIFS(BV67:HN67,1,BV$4:HN$4,1)&gt;0,1,0))</f>
        <v>0</v>
      </c>
      <c r="EY67" s="25" t="n">
        <v>1</v>
      </c>
    </row>
    <row r="68" customFormat="false" ht="15" hidden="false" customHeight="false" outlineLevel="0" collapsed="false">
      <c r="A68" s="6" t="s">
        <v>638</v>
      </c>
      <c r="B68" s="2" t="s">
        <v>849</v>
      </c>
      <c r="C68" s="11" t="n">
        <f aca="false">VALUE(MID(A68,2,FIND(".",A68)-2))</f>
        <v>7</v>
      </c>
      <c r="D68" s="11" t="n">
        <f aca="false">COUNTIF(BV$6:BV$216,1)</f>
        <v>0</v>
      </c>
      <c r="E68" s="11" t="n">
        <f aca="false">COUNTIF($L68:$HN68,1)</f>
        <v>6</v>
      </c>
      <c r="F68" s="11" t="n">
        <f aca="false">IF(COUNTIF(BV$6:BV67,1)=0,0,1+_xlfn.MAXIFS($F$6:$F67,BV$6:BV67,1))</f>
        <v>0</v>
      </c>
      <c r="G68" s="11" t="n">
        <f aca="false">IF(F68=0,1,SUMIFS($G$6:$G67,BV$6:BV67,1,$F$6:$F67,F68-1))</f>
        <v>1</v>
      </c>
      <c r="H68" s="11" t="n">
        <f aca="false">IF($A68="T16.4",1,IF(COUNTIFS(BW68:HN68,1,BW$4:HN$4,1)&gt;0,1,0))</f>
        <v>1</v>
      </c>
      <c r="BX68" s="25" t="n">
        <v>1</v>
      </c>
      <c r="CD68" s="25" t="n">
        <v>1</v>
      </c>
      <c r="CM68" s="25" t="n">
        <v>1</v>
      </c>
      <c r="EY68" s="25" t="n">
        <v>1</v>
      </c>
      <c r="FA68" s="25" t="n">
        <v>1</v>
      </c>
      <c r="FX68" s="25" t="n">
        <v>1</v>
      </c>
    </row>
    <row r="69" customFormat="false" ht="15" hidden="false" customHeight="false" outlineLevel="0" collapsed="false">
      <c r="A69" s="6" t="s">
        <v>639</v>
      </c>
      <c r="B69" s="2" t="s">
        <v>850</v>
      </c>
      <c r="C69" s="11" t="n">
        <f aca="false">VALUE(MID(A69,2,FIND(".",A69)-2))</f>
        <v>7</v>
      </c>
      <c r="D69" s="11" t="n">
        <f aca="false">COUNTIF(BW$6:BW$216,1)</f>
        <v>1</v>
      </c>
      <c r="E69" s="11" t="n">
        <f aca="false">COUNTIF($L69:$HN69,1)</f>
        <v>1</v>
      </c>
      <c r="F69" s="11" t="n">
        <f aca="false">IF(COUNTIF(BW$6:BW68,1)=0,0,1+_xlfn.MAXIFS($F$6:$F68,BW$6:BW68,1))</f>
        <v>2</v>
      </c>
      <c r="G69" s="11" t="n">
        <f aca="false">IF(F69=0,1,SUMIFS($G$6:$G68,BW$6:BW68,1,$F$6:$F68,F69-1))</f>
        <v>1</v>
      </c>
      <c r="H69" s="11" t="n">
        <f aca="false">IF($A69="T16.4",1,IF(COUNTIFS(BX69:HN69,1,BX$4:HN$4,1)&gt;0,1,0))</f>
        <v>0</v>
      </c>
      <c r="BX69" s="25" t="n">
        <v>1</v>
      </c>
    </row>
    <row r="70" customFormat="false" ht="15" hidden="false" customHeight="false" outlineLevel="0" collapsed="false">
      <c r="A70" s="6" t="s">
        <v>640</v>
      </c>
      <c r="B70" s="2" t="s">
        <v>851</v>
      </c>
      <c r="C70" s="11" t="n">
        <f aca="false">VALUE(MID(A70,2,FIND(".",A70)-2))</f>
        <v>7</v>
      </c>
      <c r="D70" s="11" t="n">
        <f aca="false">COUNTIF(BX$6:BX$216,1)</f>
        <v>2</v>
      </c>
      <c r="E70" s="11" t="n">
        <f aca="false">COUNTIF($L70:$HN70,1)</f>
        <v>2</v>
      </c>
      <c r="F70" s="11" t="n">
        <f aca="false">IF(COUNTIF(BX$6:BX69,1)=0,0,1+_xlfn.MAXIFS($F$6:$F69,BX$6:BX69,1))</f>
        <v>3</v>
      </c>
      <c r="G70" s="11" t="n">
        <f aca="false">IF(F70=0,1,SUMIFS($G$6:$G69,BX$6:BX69,1,$F$6:$F69,F70-1))</f>
        <v>1</v>
      </c>
      <c r="H70" s="11" t="n">
        <f aca="false">IF($A70="T16.4",1,IF(COUNTIFS(BY70:HN70,1,BY$4:HN$4,1)&gt;0,1,0))</f>
        <v>0</v>
      </c>
      <c r="CD70" s="25" t="n">
        <v>1</v>
      </c>
      <c r="CE70" s="25" t="n">
        <v>1</v>
      </c>
    </row>
    <row r="71" customFormat="false" ht="15" hidden="false" customHeight="false" outlineLevel="0" collapsed="false">
      <c r="A71" s="6" t="s">
        <v>641</v>
      </c>
      <c r="B71" s="2" t="s">
        <v>852</v>
      </c>
      <c r="C71" s="11" t="n">
        <f aca="false">VALUE(MID(A71,2,FIND(".",A71)-2))</f>
        <v>7</v>
      </c>
      <c r="D71" s="11" t="n">
        <f aca="false">COUNTIF(BY$6:BY$216,1)</f>
        <v>0</v>
      </c>
      <c r="E71" s="11" t="n">
        <f aca="false">COUNTIF($L71:$HN71,1)</f>
        <v>0</v>
      </c>
      <c r="F71" s="11" t="n">
        <f aca="false">IF(COUNTIF(BY$6:BY70,1)=0,0,1+_xlfn.MAXIFS($F$6:$F70,BY$6:BY70,1))</f>
        <v>0</v>
      </c>
      <c r="G71" s="11" t="n">
        <f aca="false">IF(F71=0,1,SUMIFS($G$6:$G70,BY$6:BY70,1,$F$6:$F70,F71-1))</f>
        <v>1</v>
      </c>
      <c r="H71" s="11" t="n">
        <f aca="false">IF($A71="T16.4",1,IF(COUNTIFS(BZ71:HN71,1,BZ$4:HN$4,1)&gt;0,1,0))</f>
        <v>0</v>
      </c>
    </row>
    <row r="72" customFormat="false" ht="15" hidden="false" customHeight="false" outlineLevel="0" collapsed="false">
      <c r="A72" s="6" t="s">
        <v>642</v>
      </c>
      <c r="B72" s="2" t="s">
        <v>853</v>
      </c>
      <c r="C72" s="11" t="n">
        <f aca="false">VALUE(MID(A72,2,FIND(".",A72)-2))</f>
        <v>7</v>
      </c>
      <c r="D72" s="11" t="n">
        <f aca="false">COUNTIF(BZ$6:BZ$216,1)</f>
        <v>1</v>
      </c>
      <c r="E72" s="11" t="n">
        <f aca="false">COUNTIF($L72:$HN72,1)</f>
        <v>0</v>
      </c>
      <c r="F72" s="11" t="n">
        <f aca="false">IF(COUNTIF(BZ$6:BZ71,1)=0,0,1+_xlfn.MAXIFS($F$6:$F71,BZ$6:BZ71,1))</f>
        <v>5</v>
      </c>
      <c r="G72" s="11" t="n">
        <f aca="false">IF(F72=0,1,SUMIFS($G$6:$G71,BZ$6:BZ71,1,$F$6:$F71,F72-1))</f>
        <v>2</v>
      </c>
      <c r="H72" s="11" t="n">
        <f aca="false">IF($A72="T16.4",1,IF(COUNTIFS(CA72:HN72,1,CA$4:HN$4,1)&gt;0,1,0))</f>
        <v>0</v>
      </c>
    </row>
    <row r="73" customFormat="false" ht="15" hidden="false" customHeight="false" outlineLevel="0" collapsed="false">
      <c r="A73" s="6" t="s">
        <v>643</v>
      </c>
      <c r="B73" s="2" t="s">
        <v>854</v>
      </c>
      <c r="C73" s="11" t="n">
        <f aca="false">VALUE(MID(A73,2,FIND(".",A73)-2))</f>
        <v>7</v>
      </c>
      <c r="D73" s="11" t="n">
        <f aca="false">COUNTIF(CA$6:CA$216,1)</f>
        <v>0</v>
      </c>
      <c r="E73" s="11" t="n">
        <f aca="false">COUNTIF($L73:$HN73,1)</f>
        <v>0</v>
      </c>
      <c r="F73" s="11" t="n">
        <f aca="false">IF(COUNTIF(CA$6:CA72,1)=0,0,1+_xlfn.MAXIFS($F$6:$F72,CA$6:CA72,1))</f>
        <v>0</v>
      </c>
      <c r="G73" s="11" t="n">
        <f aca="false">IF(F73=0,1,SUMIFS($G$6:$G72,CA$6:CA72,1,$F$6:$F72,F73-1))</f>
        <v>1</v>
      </c>
      <c r="H73" s="11" t="n">
        <f aca="false">IF($A73="T16.4",1,IF(COUNTIFS(CB73:HN73,1,CB$4:HN$4,1)&gt;0,1,0))</f>
        <v>0</v>
      </c>
    </row>
    <row r="74" customFormat="false" ht="15" hidden="false" customHeight="false" outlineLevel="0" collapsed="false">
      <c r="A74" s="6" t="s">
        <v>644</v>
      </c>
      <c r="B74" s="2" t="s">
        <v>855</v>
      </c>
      <c r="C74" s="11" t="n">
        <f aca="false">VALUE(MID(A74,2,FIND(".",A74)-2))</f>
        <v>7</v>
      </c>
      <c r="D74" s="11" t="n">
        <f aca="false">COUNTIF(CB$6:CB$216,1)</f>
        <v>1</v>
      </c>
      <c r="E74" s="11" t="n">
        <f aca="false">COUNTIF($L74:$HN74,1)</f>
        <v>0</v>
      </c>
      <c r="F74" s="11" t="n">
        <f aca="false">IF(COUNTIF(CB$6:CB73,1)=0,0,1+_xlfn.MAXIFS($F$6:$F73,CB$6:CB73,1))</f>
        <v>6</v>
      </c>
      <c r="G74" s="11" t="n">
        <f aca="false">IF(F74=0,1,SUMIFS($G$6:$G73,CB$6:CB73,1,$F$6:$F73,F74-1))</f>
        <v>2</v>
      </c>
      <c r="H74" s="11" t="n">
        <f aca="false">IF($A74="T16.4",1,IF(COUNTIFS(CC74:HN74,1,CC$4:HN$4,1)&gt;0,1,0))</f>
        <v>0</v>
      </c>
    </row>
    <row r="75" customFormat="false" ht="15" hidden="false" customHeight="false" outlineLevel="0" collapsed="false">
      <c r="A75" s="6" t="s">
        <v>645</v>
      </c>
      <c r="B75" s="2" t="s">
        <v>856</v>
      </c>
      <c r="C75" s="11" t="n">
        <f aca="false">VALUE(MID(A75,2,FIND(".",A75)-2))</f>
        <v>7</v>
      </c>
      <c r="D75" s="11" t="n">
        <f aca="false">COUNTIF(CC$6:CC$216,1)</f>
        <v>0</v>
      </c>
      <c r="E75" s="11" t="n">
        <f aca="false">COUNTIF($L75:$HN75,1)</f>
        <v>1</v>
      </c>
      <c r="F75" s="11" t="n">
        <f aca="false">IF(COUNTIF(CC$6:CC74,1)=0,0,1+_xlfn.MAXIFS($F$6:$F74,CC$6:CC74,1))</f>
        <v>0</v>
      </c>
      <c r="G75" s="11" t="n">
        <f aca="false">IF(F75=0,1,SUMIFS($G$6:$G74,CC$6:CC74,1,$F$6:$F74,F75-1))</f>
        <v>1</v>
      </c>
      <c r="H75" s="11" t="n">
        <f aca="false">IF($A75="T16.4",1,IF(COUNTIFS(CD75:HN75,1,CD$4:HN$4,1)&gt;0,1,0))</f>
        <v>0</v>
      </c>
      <c r="CD75" s="25" t="n">
        <v>1</v>
      </c>
    </row>
    <row r="76" customFormat="false" ht="15" hidden="false" customHeight="false" outlineLevel="0" collapsed="false">
      <c r="A76" s="6" t="s">
        <v>646</v>
      </c>
      <c r="B76" s="2" t="s">
        <v>857</v>
      </c>
      <c r="C76" s="11" t="n">
        <f aca="false">VALUE(MID(A76,2,FIND(".",A76)-2))</f>
        <v>7</v>
      </c>
      <c r="D76" s="11" t="n">
        <f aca="false">COUNTIF(CD$6:CD$216,1)</f>
        <v>3</v>
      </c>
      <c r="E76" s="11" t="n">
        <f aca="false">COUNTIF($L76:$HN76,1)</f>
        <v>0</v>
      </c>
      <c r="F76" s="11" t="n">
        <f aca="false">IF(COUNTIF(CD$6:CD75,1)=0,0,1+_xlfn.MAXIFS($F$6:$F75,CD$6:CD75,1))</f>
        <v>4</v>
      </c>
      <c r="G76" s="11" t="n">
        <f aca="false">IF(F76=0,1,SUMIFS($G$6:$G75,CD$6:CD75,1,$F$6:$F75,F76-1))</f>
        <v>1</v>
      </c>
      <c r="H76" s="11" t="n">
        <f aca="false">IF($A76="T16.4",1,IF(COUNTIFS(CE76:HN76,1,CE$4:HN$4,1)&gt;0,1,0))</f>
        <v>0</v>
      </c>
    </row>
    <row r="77" customFormat="false" ht="15" hidden="false" customHeight="false" outlineLevel="0" collapsed="false">
      <c r="A77" s="6" t="s">
        <v>647</v>
      </c>
      <c r="B77" s="2" t="s">
        <v>858</v>
      </c>
      <c r="C77" s="11" t="n">
        <f aca="false">VALUE(MID(A77,2,FIND(".",A77)-2))</f>
        <v>7</v>
      </c>
      <c r="D77" s="11" t="n">
        <f aca="false">COUNTIF(CE$6:CE$216,1)</f>
        <v>1</v>
      </c>
      <c r="E77" s="11" t="n">
        <f aca="false">COUNTIF($L77:$HN77,1)</f>
        <v>1</v>
      </c>
      <c r="F77" s="11" t="n">
        <f aca="false">IF(COUNTIF(CE$6:CE76,1)=0,0,1+_xlfn.MAXIFS($F$6:$F76,CE$6:CE76,1))</f>
        <v>4</v>
      </c>
      <c r="G77" s="11" t="n">
        <f aca="false">IF(F77=0,1,SUMIFS($G$6:$G76,CE$6:CE76,1,$F$6:$F76,F77-1))</f>
        <v>1</v>
      </c>
      <c r="H77" s="11" t="n">
        <f aca="false">IF($A77="T16.4",1,IF(COUNTIFS(CF77:HN77,1,CF$4:HN$4,1)&gt;0,1,0))</f>
        <v>0</v>
      </c>
      <c r="CF77" s="25" t="n">
        <v>1</v>
      </c>
    </row>
    <row r="78" customFormat="false" ht="15" hidden="false" customHeight="false" outlineLevel="0" collapsed="false">
      <c r="A78" s="6" t="s">
        <v>648</v>
      </c>
      <c r="B78" s="2" t="s">
        <v>859</v>
      </c>
      <c r="C78" s="11" t="n">
        <f aca="false">VALUE(MID(A78,2,FIND(".",A78)-2))</f>
        <v>7</v>
      </c>
      <c r="D78" s="11" t="n">
        <f aca="false">COUNTIF(CF$6:CF$216,1)</f>
        <v>2</v>
      </c>
      <c r="E78" s="11" t="n">
        <f aca="false">COUNTIF($L78:$HN78,1)</f>
        <v>0</v>
      </c>
      <c r="F78" s="11" t="n">
        <f aca="false">IF(COUNTIF(CF$6:CF77,1)=0,0,1+_xlfn.MAXIFS($F$6:$F77,CF$6:CF77,1))</f>
        <v>5</v>
      </c>
      <c r="G78" s="11" t="n">
        <f aca="false">IF(F78=0,1,SUMIFS($G$6:$G77,CF$6:CF77,1,$F$6:$F77,F78-1))</f>
        <v>1</v>
      </c>
      <c r="H78" s="11" t="n">
        <f aca="false">IF($A78="T16.4",1,IF(COUNTIFS(CG78:HN78,1,CG$4:HN$4,1)&gt;0,1,0))</f>
        <v>0</v>
      </c>
    </row>
    <row r="79" customFormat="false" ht="15" hidden="false" customHeight="false" outlineLevel="0" collapsed="false">
      <c r="A79" s="6" t="s">
        <v>649</v>
      </c>
      <c r="B79" s="2" t="s">
        <v>860</v>
      </c>
      <c r="C79" s="11" t="n">
        <f aca="false">VALUE(MID(A79,2,FIND(".",A79)-2))</f>
        <v>8</v>
      </c>
      <c r="D79" s="11" t="n">
        <f aca="false">COUNTIF(CG$6:CG$216,1)</f>
        <v>0</v>
      </c>
      <c r="E79" s="11" t="n">
        <f aca="false">COUNTIF($L79:$HN79,1)</f>
        <v>1</v>
      </c>
      <c r="F79" s="11" t="n">
        <f aca="false">IF(COUNTIF(CG$6:CG78,1)=0,0,1+_xlfn.MAXIFS($F$6:$F78,CG$6:CG78,1))</f>
        <v>0</v>
      </c>
      <c r="G79" s="11" t="n">
        <f aca="false">IF(F79=0,1,SUMIFS($G$6:$G78,CG$6:CG78,1,$F$6:$F78,F79-1))</f>
        <v>1</v>
      </c>
      <c r="H79" s="11" t="n">
        <f aca="false">IF($A79="T16.4",1,IF(COUNTIFS(CH79:HN79,1,CH$4:HN$4,1)&gt;0,1,0))</f>
        <v>1</v>
      </c>
      <c r="CI79" s="25" t="n">
        <v>1</v>
      </c>
    </row>
    <row r="80" customFormat="false" ht="15" hidden="false" customHeight="false" outlineLevel="0" collapsed="false">
      <c r="A80" s="6" t="s">
        <v>650</v>
      </c>
      <c r="B80" s="2" t="s">
        <v>861</v>
      </c>
      <c r="C80" s="11" t="n">
        <f aca="false">VALUE(MID(A80,2,FIND(".",A80)-2))</f>
        <v>8</v>
      </c>
      <c r="D80" s="11" t="n">
        <f aca="false">COUNTIF(CH$6:CH$216,1)</f>
        <v>1</v>
      </c>
      <c r="E80" s="11" t="n">
        <f aca="false">COUNTIF($L80:$HN80,1)</f>
        <v>0</v>
      </c>
      <c r="F80" s="11" t="n">
        <f aca="false">IF(COUNTIF(CH$6:CH79,1)=0,0,1+_xlfn.MAXIFS($F$6:$F79,CH$6:CH79,1))</f>
        <v>2</v>
      </c>
      <c r="G80" s="11" t="n">
        <f aca="false">IF(F80=0,1,SUMIFS($G$6:$G79,CH$6:CH79,1,$F$6:$F79,F80-1))</f>
        <v>1</v>
      </c>
      <c r="H80" s="11" t="n">
        <f aca="false">IF($A80="T16.4",1,IF(COUNTIFS(CI80:HN80,1,CI$4:HN$4,1)&gt;0,1,0))</f>
        <v>0</v>
      </c>
    </row>
    <row r="81" customFormat="false" ht="15" hidden="false" customHeight="false" outlineLevel="0" collapsed="false">
      <c r="A81" s="6" t="s">
        <v>651</v>
      </c>
      <c r="B81" s="2" t="s">
        <v>862</v>
      </c>
      <c r="C81" s="11" t="n">
        <f aca="false">VALUE(MID(A81,2,FIND(".",A81)-2))</f>
        <v>8</v>
      </c>
      <c r="D81" s="11" t="n">
        <f aca="false">COUNTIF(CI$6:CI$216,1)</f>
        <v>5</v>
      </c>
      <c r="E81" s="11" t="n">
        <f aca="false">COUNTIF($L81:$HN81,1)</f>
        <v>7</v>
      </c>
      <c r="F81" s="11" t="n">
        <f aca="false">IF(COUNTIF(CI$6:CI80,1)=0,0,1+_xlfn.MAXIFS($F$6:$F80,CI$6:CI80,1))</f>
        <v>3</v>
      </c>
      <c r="G81" s="11" t="n">
        <f aca="false">IF(F81=0,1,SUMIFS($G$6:$G80,CI$6:CI80,1,$F$6:$F80,F81-1))</f>
        <v>2</v>
      </c>
      <c r="H81" s="11" t="n">
        <f aca="false">IF($A81="T16.4",1,IF(COUNTIFS(CJ81:HN81,1,CJ$4:HN$4,1)&gt;0,1,0))</f>
        <v>1</v>
      </c>
      <c r="CJ81" s="25" t="n">
        <v>1</v>
      </c>
      <c r="CK81" s="25" t="n">
        <v>1</v>
      </c>
      <c r="CN81" s="25" t="n">
        <v>1</v>
      </c>
      <c r="EH81" s="25" t="n">
        <v>1</v>
      </c>
      <c r="FQ81" s="25" t="n">
        <v>1</v>
      </c>
      <c r="GI81" s="25" t="n">
        <v>1</v>
      </c>
      <c r="GN81" s="25" t="n">
        <v>1</v>
      </c>
    </row>
    <row r="82" customFormat="false" ht="15" hidden="false" customHeight="false" outlineLevel="0" collapsed="false">
      <c r="A82" s="6" t="s">
        <v>652</v>
      </c>
      <c r="B82" s="2" t="s">
        <v>863</v>
      </c>
      <c r="C82" s="11" t="n">
        <f aca="false">VALUE(MID(A82,2,FIND(".",A82)-2))</f>
        <v>8</v>
      </c>
      <c r="D82" s="11" t="n">
        <f aca="false">COUNTIF(CJ$6:CJ$216,1)</f>
        <v>1</v>
      </c>
      <c r="E82" s="11" t="n">
        <f aca="false">COUNTIF($L82:$HN82,1)</f>
        <v>2</v>
      </c>
      <c r="F82" s="11" t="n">
        <f aca="false">IF(COUNTIF(CJ$6:CJ81,1)=0,0,1+_xlfn.MAXIFS($F$6:$F81,CJ$6:CJ81,1))</f>
        <v>4</v>
      </c>
      <c r="G82" s="11" t="n">
        <f aca="false">IF(F82=0,1,SUMIFS($G$6:$G81,CJ$6:CJ81,1,$F$6:$F81,F82-1))</f>
        <v>2</v>
      </c>
      <c r="H82" s="11" t="n">
        <f aca="false">IF($A82="T16.4",1,IF(COUNTIFS(CK82:HN82,1,CK$4:HN$4,1)&gt;0,1,0))</f>
        <v>1</v>
      </c>
      <c r="EH82" s="25" t="n">
        <v>1</v>
      </c>
      <c r="EV82" s="25" t="n">
        <v>1</v>
      </c>
    </row>
    <row r="83" customFormat="false" ht="15" hidden="false" customHeight="false" outlineLevel="0" collapsed="false">
      <c r="A83" s="6" t="s">
        <v>653</v>
      </c>
      <c r="B83" s="2" t="s">
        <v>864</v>
      </c>
      <c r="C83" s="11" t="n">
        <f aca="false">VALUE(MID(A83,2,FIND(".",A83)-2))</f>
        <v>8</v>
      </c>
      <c r="D83" s="11" t="n">
        <f aca="false">COUNTIF(CK$6:CK$216,1)</f>
        <v>1</v>
      </c>
      <c r="E83" s="11" t="n">
        <f aca="false">COUNTIF($L83:$HN83,1)</f>
        <v>6</v>
      </c>
      <c r="F83" s="11" t="n">
        <f aca="false">IF(COUNTIF(CK$6:CK82,1)=0,0,1+_xlfn.MAXIFS($F$6:$F82,CK$6:CK82,1))</f>
        <v>4</v>
      </c>
      <c r="G83" s="11" t="n">
        <f aca="false">IF(F83=0,1,SUMIFS($G$6:$G82,CK$6:CK82,1,$F$6:$F82,F83-1))</f>
        <v>2</v>
      </c>
      <c r="H83" s="11" t="n">
        <f aca="false">IF($A83="T16.4",1,IF(COUNTIFS(CL83:HN83,1,CL$4:HN$4,1)&gt;0,1,0))</f>
        <v>1</v>
      </c>
      <c r="CS83" s="25" t="n">
        <v>1</v>
      </c>
      <c r="EJ83" s="25" t="n">
        <v>1</v>
      </c>
      <c r="FI83" s="25" t="n">
        <v>1</v>
      </c>
      <c r="FQ83" s="25" t="n">
        <v>1</v>
      </c>
      <c r="GI83" s="25" t="n">
        <v>1</v>
      </c>
      <c r="GN83" s="25" t="n">
        <v>1</v>
      </c>
    </row>
    <row r="84" customFormat="false" ht="15" hidden="false" customHeight="false" outlineLevel="0" collapsed="false">
      <c r="A84" s="6" t="s">
        <v>654</v>
      </c>
      <c r="B84" s="2" t="s">
        <v>865</v>
      </c>
      <c r="C84" s="11" t="n">
        <f aca="false">VALUE(MID(A84,2,FIND(".",A84)-2))</f>
        <v>8</v>
      </c>
      <c r="D84" s="11" t="n">
        <f aca="false">COUNTIF(CL$6:CL$216,1)</f>
        <v>0</v>
      </c>
      <c r="E84" s="11" t="n">
        <f aca="false">COUNTIF($L84:$HN84,1)</f>
        <v>0</v>
      </c>
      <c r="F84" s="11" t="n">
        <f aca="false">IF(COUNTIF(CL$6:CL83,1)=0,0,1+_xlfn.MAXIFS($F$6:$F83,CL$6:CL83,1))</f>
        <v>0</v>
      </c>
      <c r="G84" s="11" t="n">
        <f aca="false">IF(F84=0,1,SUMIFS($G$6:$G83,CL$6:CL83,1,$F$6:$F83,F84-1))</f>
        <v>1</v>
      </c>
      <c r="H84" s="11" t="n">
        <f aca="false">IF($A84="T16.4",1,IF(COUNTIFS(CM84:HN84,1,CM$4:HN$4,1)&gt;0,1,0))</f>
        <v>0</v>
      </c>
    </row>
    <row r="85" customFormat="false" ht="15" hidden="false" customHeight="false" outlineLevel="0" collapsed="false">
      <c r="A85" s="6" t="s">
        <v>655</v>
      </c>
      <c r="B85" s="2" t="s">
        <v>866</v>
      </c>
      <c r="C85" s="11" t="n">
        <f aca="false">VALUE(MID(A85,2,FIND(".",A85)-2))</f>
        <v>8</v>
      </c>
      <c r="D85" s="11" t="n">
        <f aca="false">COUNTIF(CM$6:CM$216,1)</f>
        <v>1</v>
      </c>
      <c r="E85" s="11" t="n">
        <f aca="false">COUNTIF($L85:$HN85,1)</f>
        <v>5</v>
      </c>
      <c r="F85" s="11" t="n">
        <f aca="false">IF(COUNTIF(CM$6:CM84,1)=0,0,1+_xlfn.MAXIFS($F$6:$F84,CM$6:CM84,1))</f>
        <v>1</v>
      </c>
      <c r="G85" s="11" t="n">
        <f aca="false">IF(F85=0,1,SUMIFS($G$6:$G84,CM$6:CM84,1,$F$6:$F84,F85-1))</f>
        <v>1</v>
      </c>
      <c r="H85" s="11" t="n">
        <f aca="false">IF($A85="T16.4",1,IF(COUNTIFS(CN85:HN85,1,CN$4:HN$4,1)&gt;0,1,0))</f>
        <v>0</v>
      </c>
      <c r="CR85" s="25" t="n">
        <v>1</v>
      </c>
      <c r="CT85" s="25" t="n">
        <v>1</v>
      </c>
      <c r="EY85" s="25" t="n">
        <v>1</v>
      </c>
      <c r="GD85" s="25" t="n">
        <v>1</v>
      </c>
      <c r="GE85" s="25" t="n">
        <v>1</v>
      </c>
    </row>
    <row r="86" customFormat="false" ht="15" hidden="false" customHeight="false" outlineLevel="0" collapsed="false">
      <c r="A86" s="6" t="s">
        <v>656</v>
      </c>
      <c r="B86" s="2" t="s">
        <v>867</v>
      </c>
      <c r="C86" s="11" t="n">
        <f aca="false">VALUE(MID(A86,2,FIND(".",A86)-2))</f>
        <v>8</v>
      </c>
      <c r="D86" s="11" t="n">
        <f aca="false">COUNTIF(CN$6:CN$216,1)</f>
        <v>1</v>
      </c>
      <c r="E86" s="11" t="n">
        <f aca="false">COUNTIF($L86:$HN86,1)</f>
        <v>0</v>
      </c>
      <c r="F86" s="11" t="n">
        <f aca="false">IF(COUNTIF(CN$6:CN85,1)=0,0,1+_xlfn.MAXIFS($F$6:$F85,CN$6:CN85,1))</f>
        <v>4</v>
      </c>
      <c r="G86" s="11" t="n">
        <f aca="false">IF(F86=0,1,SUMIFS($G$6:$G85,CN$6:CN85,1,$F$6:$F85,F86-1))</f>
        <v>2</v>
      </c>
      <c r="H86" s="11" t="n">
        <f aca="false">IF($A86="T16.4",1,IF(COUNTIFS(CO86:HN86,1,CO$4:HN$4,1)&gt;0,1,0))</f>
        <v>0</v>
      </c>
    </row>
    <row r="87" customFormat="false" ht="15" hidden="false" customHeight="false" outlineLevel="0" collapsed="false">
      <c r="A87" s="6" t="s">
        <v>657</v>
      </c>
      <c r="B87" s="2" t="s">
        <v>868</v>
      </c>
      <c r="C87" s="11" t="n">
        <f aca="false">VALUE(MID(A87,2,FIND(".",A87)-2))</f>
        <v>8</v>
      </c>
      <c r="D87" s="11" t="n">
        <f aca="false">COUNTIF(CO$6:CO$216,1)</f>
        <v>1</v>
      </c>
      <c r="E87" s="11" t="n">
        <f aca="false">COUNTIF($L87:$HN87,1)</f>
        <v>0</v>
      </c>
      <c r="F87" s="11" t="n">
        <f aca="false">IF(COUNTIF(CO$6:CO86,1)=0,0,1+_xlfn.MAXIFS($F$6:$F86,CO$6:CO86,1))</f>
        <v>3</v>
      </c>
      <c r="G87" s="11" t="n">
        <f aca="false">IF(F87=0,1,SUMIFS($G$6:$G86,CO$6:CO86,1,$F$6:$F86,F87-1))</f>
        <v>3</v>
      </c>
      <c r="H87" s="11" t="n">
        <f aca="false">IF($A87="T16.4",1,IF(COUNTIFS(CP87:HN87,1,CP$4:HN$4,1)&gt;0,1,0))</f>
        <v>0</v>
      </c>
    </row>
    <row r="88" customFormat="false" ht="15" hidden="false" customHeight="false" outlineLevel="0" collapsed="false">
      <c r="A88" s="6" t="s">
        <v>658</v>
      </c>
      <c r="B88" s="2" t="s">
        <v>869</v>
      </c>
      <c r="C88" s="11" t="n">
        <f aca="false">VALUE(MID(A88,2,FIND(".",A88)-2))</f>
        <v>8</v>
      </c>
      <c r="D88" s="11" t="n">
        <f aca="false">COUNTIF(CP$6:CP$216,1)</f>
        <v>0</v>
      </c>
      <c r="E88" s="11" t="n">
        <f aca="false">COUNTIF($L88:$HN88,1)</f>
        <v>6</v>
      </c>
      <c r="F88" s="11" t="n">
        <f aca="false">IF(COUNTIF(CP$6:CP87,1)=0,0,1+_xlfn.MAXIFS($F$6:$F87,CP$6:CP87,1))</f>
        <v>0</v>
      </c>
      <c r="G88" s="11" t="n">
        <f aca="false">IF(F88=0,1,SUMIFS($G$6:$G87,CP$6:CP87,1,$F$6:$F87,F88-1))</f>
        <v>1</v>
      </c>
      <c r="H88" s="11" t="n">
        <f aca="false">IF($A88="T16.4",1,IF(COUNTIFS(CQ88:HN88,1,CQ$4:HN$4,1)&gt;0,1,0))</f>
        <v>0</v>
      </c>
      <c r="CQ88" s="25" t="n">
        <v>1</v>
      </c>
      <c r="CW88" s="25" t="n">
        <v>1</v>
      </c>
      <c r="CX88" s="25" t="n">
        <v>1</v>
      </c>
      <c r="EJ88" s="25" t="n">
        <v>1</v>
      </c>
      <c r="FQ88" s="25" t="n">
        <v>1</v>
      </c>
      <c r="GE88" s="25" t="n">
        <v>1</v>
      </c>
    </row>
    <row r="89" customFormat="false" ht="15" hidden="false" customHeight="false" outlineLevel="0" collapsed="false">
      <c r="A89" s="6" t="s">
        <v>659</v>
      </c>
      <c r="B89" s="2" t="s">
        <v>870</v>
      </c>
      <c r="C89" s="11" t="n">
        <f aca="false">VALUE(MID(A89,2,FIND(".",A89)-2))</f>
        <v>8</v>
      </c>
      <c r="D89" s="11" t="n">
        <f aca="false">COUNTIF(CQ$6:CQ$216,1)</f>
        <v>1</v>
      </c>
      <c r="E89" s="11" t="n">
        <f aca="false">COUNTIF($L89:$HN89,1)</f>
        <v>1</v>
      </c>
      <c r="F89" s="11" t="n">
        <f aca="false">IF(COUNTIF(CQ$6:CQ88,1)=0,0,1+_xlfn.MAXIFS($F$6:$F88,CQ$6:CQ88,1))</f>
        <v>1</v>
      </c>
      <c r="G89" s="11" t="n">
        <f aca="false">IF(F89=0,1,SUMIFS($G$6:$G88,CQ$6:CQ88,1,$F$6:$F88,F89-1))</f>
        <v>1</v>
      </c>
      <c r="H89" s="11" t="n">
        <f aca="false">IF($A89="T16.4",1,IF(COUNTIFS(CR89:HN89,1,CR$4:HN$4,1)&gt;0,1,0))</f>
        <v>0</v>
      </c>
      <c r="EZ89" s="25" t="n">
        <v>1</v>
      </c>
    </row>
    <row r="90" customFormat="false" ht="15" hidden="false" customHeight="false" outlineLevel="0" collapsed="false">
      <c r="A90" s="6" t="s">
        <v>660</v>
      </c>
      <c r="B90" s="2" t="s">
        <v>871</v>
      </c>
      <c r="C90" s="11" t="n">
        <f aca="false">VALUE(MID(A90,2,FIND(".",A90)-2))</f>
        <v>8</v>
      </c>
      <c r="D90" s="11" t="n">
        <f aca="false">COUNTIF(CR$6:CR$216,1)</f>
        <v>1</v>
      </c>
      <c r="E90" s="11" t="n">
        <f aca="false">COUNTIF($L90:$HN90,1)</f>
        <v>0</v>
      </c>
      <c r="F90" s="11" t="n">
        <f aca="false">IF(COUNTIF(CR$6:CR89,1)=0,0,1+_xlfn.MAXIFS($F$6:$F89,CR$6:CR89,1))</f>
        <v>2</v>
      </c>
      <c r="G90" s="11" t="n">
        <f aca="false">IF(F90=0,1,SUMIFS($G$6:$G89,CR$6:CR89,1,$F$6:$F89,F90-1))</f>
        <v>1</v>
      </c>
      <c r="H90" s="11" t="n">
        <f aca="false">IF($A90="T16.4",1,IF(COUNTIFS(CS90:HN90,1,CS$4:HN$4,1)&gt;0,1,0))</f>
        <v>0</v>
      </c>
    </row>
    <row r="91" customFormat="false" ht="15" hidden="false" customHeight="false" outlineLevel="0" collapsed="false">
      <c r="A91" s="6" t="s">
        <v>661</v>
      </c>
      <c r="B91" s="2" t="s">
        <v>872</v>
      </c>
      <c r="C91" s="11" t="n">
        <f aca="false">VALUE(MID(A91,2,FIND(".",A91)-2))</f>
        <v>8</v>
      </c>
      <c r="D91" s="11" t="n">
        <f aca="false">COUNTIF(CS$6:CS$216,1)</f>
        <v>1</v>
      </c>
      <c r="E91" s="11" t="n">
        <f aca="false">COUNTIF($L91:$HN91,1)</f>
        <v>0</v>
      </c>
      <c r="F91" s="11" t="n">
        <f aca="false">IF(COUNTIF(CS$6:CS90,1)=0,0,1+_xlfn.MAXIFS($F$6:$F90,CS$6:CS90,1))</f>
        <v>5</v>
      </c>
      <c r="G91" s="11" t="n">
        <f aca="false">IF(F91=0,1,SUMIFS($G$6:$G90,CS$6:CS90,1,$F$6:$F90,F91-1))</f>
        <v>2</v>
      </c>
      <c r="H91" s="11" t="n">
        <f aca="false">IF($A91="T16.4",1,IF(COUNTIFS(CT91:HN91,1,CT$4:HN$4,1)&gt;0,1,0))</f>
        <v>0</v>
      </c>
    </row>
    <row r="92" customFormat="false" ht="15" hidden="false" customHeight="false" outlineLevel="0" collapsed="false">
      <c r="A92" s="6" t="s">
        <v>662</v>
      </c>
      <c r="B92" s="2" t="s">
        <v>873</v>
      </c>
      <c r="C92" s="11" t="n">
        <f aca="false">VALUE(MID(A92,2,FIND(".",A92)-2))</f>
        <v>8</v>
      </c>
      <c r="D92" s="11" t="n">
        <f aca="false">COUNTIF(CT$6:CT$216,1)</f>
        <v>1</v>
      </c>
      <c r="E92" s="11" t="n">
        <f aca="false">COUNTIF($L92:$HN92,1)</f>
        <v>0</v>
      </c>
      <c r="F92" s="11" t="n">
        <f aca="false">IF(COUNTIF(CT$6:CT91,1)=0,0,1+_xlfn.MAXIFS($F$6:$F91,CT$6:CT91,1))</f>
        <v>2</v>
      </c>
      <c r="G92" s="11" t="n">
        <f aca="false">IF(F92=0,1,SUMIFS($G$6:$G91,CT$6:CT91,1,$F$6:$F91,F92-1))</f>
        <v>1</v>
      </c>
      <c r="H92" s="11" t="n">
        <f aca="false">IF($A92="T16.4",1,IF(COUNTIFS(CU92:HN92,1,CU$4:HN$4,1)&gt;0,1,0))</f>
        <v>0</v>
      </c>
    </row>
    <row r="93" customFormat="false" ht="15" hidden="false" customHeight="false" outlineLevel="0" collapsed="false">
      <c r="A93" s="6" t="s">
        <v>663</v>
      </c>
      <c r="B93" s="2" t="s">
        <v>874</v>
      </c>
      <c r="C93" s="11" t="n">
        <f aca="false">VALUE(MID(A93,2,FIND(".",A93)-2))</f>
        <v>8</v>
      </c>
      <c r="D93" s="11" t="n">
        <f aca="false">COUNTIF(CU$6:CU$216,1)</f>
        <v>0</v>
      </c>
      <c r="E93" s="11" t="n">
        <f aca="false">COUNTIF($L93:$HN93,1)</f>
        <v>0</v>
      </c>
      <c r="F93" s="11" t="n">
        <f aca="false">IF(COUNTIF(CU$6:CU92,1)=0,0,1+_xlfn.MAXIFS($F$6:$F92,CU$6:CU92,1))</f>
        <v>0</v>
      </c>
      <c r="G93" s="11" t="n">
        <f aca="false">IF(F93=0,1,SUMIFS($G$6:$G92,CU$6:CU92,1,$F$6:$F92,F93-1))</f>
        <v>1</v>
      </c>
      <c r="H93" s="11" t="n">
        <f aca="false">IF($A93="T16.4",1,IF(COUNTIFS(CV93:HN93,1,CV$4:HN$4,1)&gt;0,1,0))</f>
        <v>0</v>
      </c>
    </row>
    <row r="94" customFormat="false" ht="15" hidden="false" customHeight="false" outlineLevel="0" collapsed="false">
      <c r="A94" s="6" t="s">
        <v>664</v>
      </c>
      <c r="B94" s="2" t="s">
        <v>875</v>
      </c>
      <c r="C94" s="11" t="n">
        <f aca="false">VALUE(MID(A94,2,FIND(".",A94)-2))</f>
        <v>8</v>
      </c>
      <c r="D94" s="11" t="n">
        <f aca="false">COUNTIF(CV$6:CV$216,1)</f>
        <v>0</v>
      </c>
      <c r="E94" s="11" t="n">
        <f aca="false">COUNTIF($L94:$HN94,1)</f>
        <v>0</v>
      </c>
      <c r="F94" s="11" t="n">
        <f aca="false">IF(COUNTIF(CV$6:CV93,1)=0,0,1+_xlfn.MAXIFS($F$6:$F93,CV$6:CV93,1))</f>
        <v>0</v>
      </c>
      <c r="G94" s="11" t="n">
        <f aca="false">IF(F94=0,1,SUMIFS($G$6:$G93,CV$6:CV93,1,$F$6:$F93,F94-1))</f>
        <v>1</v>
      </c>
      <c r="H94" s="11" t="n">
        <f aca="false">IF($A94="T16.4",1,IF(COUNTIFS(CW94:HN94,1,CW$4:HN$4,1)&gt;0,1,0))</f>
        <v>0</v>
      </c>
    </row>
    <row r="95" customFormat="false" ht="15" hidden="false" customHeight="false" outlineLevel="0" collapsed="false">
      <c r="A95" s="6" t="s">
        <v>665</v>
      </c>
      <c r="B95" s="2" t="s">
        <v>876</v>
      </c>
      <c r="C95" s="11" t="n">
        <f aca="false">VALUE(MID(A95,2,FIND(".",A95)-2))</f>
        <v>8</v>
      </c>
      <c r="D95" s="11" t="n">
        <f aca="false">COUNTIF(CW$6:CW$216,1)</f>
        <v>1</v>
      </c>
      <c r="E95" s="11" t="n">
        <f aca="false">COUNTIF($L95:$HN95,1)</f>
        <v>0</v>
      </c>
      <c r="F95" s="11" t="n">
        <f aca="false">IF(COUNTIF(CW$6:CW94,1)=0,0,1+_xlfn.MAXIFS($F$6:$F94,CW$6:CW94,1))</f>
        <v>1</v>
      </c>
      <c r="G95" s="11" t="n">
        <f aca="false">IF(F95=0,1,SUMIFS($G$6:$G94,CW$6:CW94,1,$F$6:$F94,F95-1))</f>
        <v>1</v>
      </c>
      <c r="H95" s="11" t="n">
        <f aca="false">IF($A95="T16.4",1,IF(COUNTIFS(CX95:HN95,1,CX$4:HN$4,1)&gt;0,1,0))</f>
        <v>0</v>
      </c>
    </row>
    <row r="96" customFormat="false" ht="15" hidden="false" customHeight="false" outlineLevel="0" collapsed="false">
      <c r="A96" s="6" t="s">
        <v>666</v>
      </c>
      <c r="B96" s="2" t="s">
        <v>877</v>
      </c>
      <c r="C96" s="11" t="n">
        <f aca="false">VALUE(MID(A96,2,FIND(".",A96)-2))</f>
        <v>8</v>
      </c>
      <c r="D96" s="11" t="n">
        <f aca="false">COUNTIF(CX$6:CX$216,1)</f>
        <v>1</v>
      </c>
      <c r="E96" s="11" t="n">
        <f aca="false">COUNTIF($L96:$HN96,1)</f>
        <v>0</v>
      </c>
      <c r="F96" s="11" t="n">
        <f aca="false">IF(COUNTIF(CX$6:CX95,1)=0,0,1+_xlfn.MAXIFS($F$6:$F95,CX$6:CX95,1))</f>
        <v>1</v>
      </c>
      <c r="G96" s="11" t="n">
        <f aca="false">IF(F96=0,1,SUMIFS($G$6:$G95,CX$6:CX95,1,$F$6:$F95,F96-1))</f>
        <v>1</v>
      </c>
      <c r="H96" s="11" t="n">
        <f aca="false">IF($A96="T16.4",1,IF(COUNTIFS(CY96:HN96,1,CY$4:HN$4,1)&gt;0,1,0))</f>
        <v>0</v>
      </c>
    </row>
    <row r="97" customFormat="false" ht="15" hidden="false" customHeight="false" outlineLevel="0" collapsed="false">
      <c r="A97" s="6" t="s">
        <v>667</v>
      </c>
      <c r="B97" s="2" t="s">
        <v>878</v>
      </c>
      <c r="C97" s="11" t="n">
        <f aca="false">VALUE(MID(A97,2,FIND(".",A97)-2))</f>
        <v>9</v>
      </c>
      <c r="D97" s="11" t="n">
        <f aca="false">COUNTIF(CY$6:CY$216,1)</f>
        <v>1</v>
      </c>
      <c r="E97" s="11" t="n">
        <f aca="false">COUNTIF($L97:$HN97,1)</f>
        <v>6</v>
      </c>
      <c r="F97" s="11" t="n">
        <f aca="false">IF(COUNTIF(CY$6:CY96,1)=0,0,1+_xlfn.MAXIFS($F$6:$F96,CY$6:CY96,1))</f>
        <v>1</v>
      </c>
      <c r="G97" s="11" t="n">
        <f aca="false">IF(F97=0,1,SUMIFS($G$6:$G96,CY$6:CY96,1,$F$6:$F96,F97-1))</f>
        <v>1</v>
      </c>
      <c r="H97" s="11" t="n">
        <f aca="false">IF($A97="T16.4",1,IF(COUNTIFS(CZ97:HN97,1,CZ$4:HN$4,1)&gt;0,1,0))</f>
        <v>1</v>
      </c>
      <c r="CZ97" s="25" t="n">
        <v>1</v>
      </c>
      <c r="DA97" s="25" t="n">
        <v>1</v>
      </c>
      <c r="DG97" s="25" t="n">
        <v>1</v>
      </c>
      <c r="DS97" s="25" t="n">
        <v>1</v>
      </c>
      <c r="FI97" s="25" t="n">
        <v>1</v>
      </c>
      <c r="FP97" s="25" t="n">
        <v>1</v>
      </c>
    </row>
    <row r="98" customFormat="false" ht="15" hidden="false" customHeight="false" outlineLevel="0" collapsed="false">
      <c r="A98" s="6" t="s">
        <v>668</v>
      </c>
      <c r="B98" s="2" t="s">
        <v>879</v>
      </c>
      <c r="C98" s="11" t="n">
        <f aca="false">VALUE(MID(A98,2,FIND(".",A98)-2))</f>
        <v>9</v>
      </c>
      <c r="D98" s="11" t="n">
        <f aca="false">COUNTIF(CZ$6:CZ$216,1)</f>
        <v>1</v>
      </c>
      <c r="E98" s="11" t="n">
        <f aca="false">COUNTIF($L98:$HN98,1)</f>
        <v>1</v>
      </c>
      <c r="F98" s="11" t="n">
        <f aca="false">IF(COUNTIF(CZ$6:CZ97,1)=0,0,1+_xlfn.MAXIFS($F$6:$F97,CZ$6:CZ97,1))</f>
        <v>2</v>
      </c>
      <c r="G98" s="11" t="n">
        <f aca="false">IF(F98=0,1,SUMIFS($G$6:$G97,CZ$6:CZ97,1,$F$6:$F97,F98-1))</f>
        <v>1</v>
      </c>
      <c r="H98" s="11" t="n">
        <f aca="false">IF($A98="T16.4",1,IF(COUNTIFS(DA98:HN98,1,DA$4:HN$4,1)&gt;0,1,0))</f>
        <v>0</v>
      </c>
      <c r="FH98" s="25" t="n">
        <v>1</v>
      </c>
    </row>
    <row r="99" customFormat="false" ht="15" hidden="false" customHeight="false" outlineLevel="0" collapsed="false">
      <c r="A99" s="6" t="s">
        <v>669</v>
      </c>
      <c r="B99" s="2" t="s">
        <v>880</v>
      </c>
      <c r="C99" s="11" t="n">
        <f aca="false">VALUE(MID(A99,2,FIND(".",A99)-2))</f>
        <v>9</v>
      </c>
      <c r="D99" s="11" t="n">
        <f aca="false">COUNTIF(DA$6:DA$216,1)</f>
        <v>1</v>
      </c>
      <c r="E99" s="11" t="n">
        <f aca="false">COUNTIF($L99:$HN99,1)</f>
        <v>0</v>
      </c>
      <c r="F99" s="11" t="n">
        <f aca="false">IF(COUNTIF(DA$6:DA98,1)=0,0,1+_xlfn.MAXIFS($F$6:$F98,DA$6:DA98,1))</f>
        <v>2</v>
      </c>
      <c r="G99" s="11" t="n">
        <f aca="false">IF(F99=0,1,SUMIFS($G$6:$G98,DA$6:DA98,1,$F$6:$F98,F99-1))</f>
        <v>1</v>
      </c>
      <c r="H99" s="11" t="n">
        <f aca="false">IF($A99="T16.4",1,IF(COUNTIFS(DB99:HN99,1,DB$4:HN$4,1)&gt;0,1,0))</f>
        <v>0</v>
      </c>
    </row>
    <row r="100" customFormat="false" ht="15" hidden="false" customHeight="false" outlineLevel="0" collapsed="false">
      <c r="A100" s="6" t="s">
        <v>670</v>
      </c>
      <c r="B100" s="2" t="s">
        <v>881</v>
      </c>
      <c r="C100" s="11" t="n">
        <f aca="false">VALUE(MID(A100,2,FIND(".",A100)-2))</f>
        <v>9</v>
      </c>
      <c r="D100" s="11" t="n">
        <f aca="false">COUNTIF(DB$6:DB$216,1)</f>
        <v>0</v>
      </c>
      <c r="E100" s="11" t="n">
        <f aca="false">COUNTIF($L100:$HN100,1)</f>
        <v>9</v>
      </c>
      <c r="F100" s="11" t="n">
        <f aca="false">IF(COUNTIF(DB$6:DB99,1)=0,0,1+_xlfn.MAXIFS($F$6:$F99,DB$6:DB99,1))</f>
        <v>0</v>
      </c>
      <c r="G100" s="11" t="n">
        <f aca="false">IF(F100=0,1,SUMIFS($G$6:$G99,DB$6:DB99,1,$F$6:$F99,F100-1))</f>
        <v>1</v>
      </c>
      <c r="H100" s="11" t="n">
        <f aca="false">IF($A100="T16.4",1,IF(COUNTIFS(DC100:HN100,1,DC$4:HN$4,1)&gt;0,1,0))</f>
        <v>1</v>
      </c>
      <c r="DD100" s="25" t="n">
        <v>1</v>
      </c>
      <c r="DJ100" s="25" t="n">
        <v>1</v>
      </c>
      <c r="DK100" s="25" t="n">
        <v>1</v>
      </c>
      <c r="DS100" s="25" t="n">
        <v>1</v>
      </c>
      <c r="EK100" s="25" t="n">
        <v>1</v>
      </c>
      <c r="FA100" s="25" t="n">
        <v>1</v>
      </c>
      <c r="FI100" s="25" t="n">
        <v>1</v>
      </c>
      <c r="FJ100" s="25" t="n">
        <v>1</v>
      </c>
      <c r="GA100" s="25" t="n">
        <v>1</v>
      </c>
    </row>
    <row r="101" customFormat="false" ht="15" hidden="false" customHeight="false" outlineLevel="0" collapsed="false">
      <c r="A101" s="6" t="s">
        <v>671</v>
      </c>
      <c r="B101" s="2" t="s">
        <v>882</v>
      </c>
      <c r="C101" s="11" t="n">
        <f aca="false">VALUE(MID(A101,2,FIND(".",A101)-2))</f>
        <v>9</v>
      </c>
      <c r="D101" s="11" t="n">
        <f aca="false">COUNTIF(DC$6:DC$216,1)</f>
        <v>0</v>
      </c>
      <c r="E101" s="11" t="n">
        <f aca="false">COUNTIF($L101:$HN101,1)</f>
        <v>1</v>
      </c>
      <c r="F101" s="11" t="n">
        <f aca="false">IF(COUNTIF(DC$6:DC100,1)=0,0,1+_xlfn.MAXIFS($F$6:$F100,DC$6:DC100,1))</f>
        <v>0</v>
      </c>
      <c r="G101" s="11" t="n">
        <f aca="false">IF(F101=0,1,SUMIFS($G$6:$G100,DC$6:DC100,1,$F$6:$F100,F101-1))</f>
        <v>1</v>
      </c>
      <c r="H101" s="11" t="n">
        <f aca="false">IF($A101="T16.4",1,IF(COUNTIFS(DD101:HN101,1,DD$4:HN$4,1)&gt;0,1,0))</f>
        <v>0</v>
      </c>
      <c r="DE101" s="25" t="n">
        <v>1</v>
      </c>
    </row>
    <row r="102" customFormat="false" ht="15" hidden="false" customHeight="false" outlineLevel="0" collapsed="false">
      <c r="A102" s="6" t="s">
        <v>672</v>
      </c>
      <c r="B102" s="2" t="s">
        <v>883</v>
      </c>
      <c r="C102" s="11" t="n">
        <f aca="false">VALUE(MID(A102,2,FIND(".",A102)-2))</f>
        <v>9</v>
      </c>
      <c r="D102" s="11" t="n">
        <f aca="false">COUNTIF(DD$6:DD$216,1)</f>
        <v>1</v>
      </c>
      <c r="E102" s="11" t="n">
        <f aca="false">COUNTIF($L102:$HN102,1)</f>
        <v>1</v>
      </c>
      <c r="F102" s="11" t="n">
        <f aca="false">IF(COUNTIF(DD$6:DD101,1)=0,0,1+_xlfn.MAXIFS($F$6:$F101,DD$6:DD101,1))</f>
        <v>1</v>
      </c>
      <c r="G102" s="11" t="n">
        <f aca="false">IF(F102=0,1,SUMIFS($G$6:$G101,DD$6:DD101,1,$F$6:$F101,F102-1))</f>
        <v>1</v>
      </c>
      <c r="H102" s="11" t="n">
        <f aca="false">IF($A102="T16.4",1,IF(COUNTIFS(DE102:HN102,1,DE$4:HN$4,1)&gt;0,1,0))</f>
        <v>1</v>
      </c>
      <c r="FP102" s="25" t="n">
        <v>1</v>
      </c>
    </row>
    <row r="103" customFormat="false" ht="15" hidden="false" customHeight="false" outlineLevel="0" collapsed="false">
      <c r="A103" s="6" t="s">
        <v>673</v>
      </c>
      <c r="B103" s="2" t="s">
        <v>884</v>
      </c>
      <c r="C103" s="11" t="n">
        <f aca="false">VALUE(MID(A103,2,FIND(".",A103)-2))</f>
        <v>9</v>
      </c>
      <c r="D103" s="11" t="n">
        <f aca="false">COUNTIF(DE$6:DE$216,1)</f>
        <v>1</v>
      </c>
      <c r="E103" s="11" t="n">
        <f aca="false">COUNTIF($L103:$HN103,1)</f>
        <v>0</v>
      </c>
      <c r="F103" s="11" t="n">
        <f aca="false">IF(COUNTIF(DE$6:DE102,1)=0,0,1+_xlfn.MAXIFS($F$6:$F102,DE$6:DE102,1))</f>
        <v>1</v>
      </c>
      <c r="G103" s="11" t="n">
        <f aca="false">IF(F103=0,1,SUMIFS($G$6:$G102,DE$6:DE102,1,$F$6:$F102,F103-1))</f>
        <v>1</v>
      </c>
      <c r="H103" s="11" t="n">
        <f aca="false">IF($A103="T16.4",1,IF(COUNTIFS(DF103:HN103,1,DF$4:HN$4,1)&gt;0,1,0))</f>
        <v>0</v>
      </c>
    </row>
    <row r="104" customFormat="false" ht="15" hidden="false" customHeight="false" outlineLevel="0" collapsed="false">
      <c r="A104" s="6" t="s">
        <v>674</v>
      </c>
      <c r="B104" s="2" t="s">
        <v>885</v>
      </c>
      <c r="C104" s="11" t="n">
        <f aca="false">VALUE(MID(A104,2,FIND(".",A104)-2))</f>
        <v>9</v>
      </c>
      <c r="D104" s="11" t="n">
        <f aca="false">COUNTIF(DF$6:DF$216,1)</f>
        <v>0</v>
      </c>
      <c r="E104" s="11" t="n">
        <f aca="false">COUNTIF($L104:$HN104,1)</f>
        <v>5</v>
      </c>
      <c r="F104" s="11" t="n">
        <f aca="false">IF(COUNTIF(DF$6:DF103,1)=0,0,1+_xlfn.MAXIFS($F$6:$F103,DF$6:DF103,1))</f>
        <v>0</v>
      </c>
      <c r="G104" s="11" t="n">
        <f aca="false">IF(F104=0,1,SUMIFS($G$6:$G103,DF$6:DF103,1,$F$6:$F103,F104-1))</f>
        <v>1</v>
      </c>
      <c r="H104" s="11" t="n">
        <f aca="false">IF($A104="T16.4",1,IF(COUNTIFS(DG104:HN104,1,DG$4:HN$4,1)&gt;0,1,0))</f>
        <v>1</v>
      </c>
      <c r="DN104" s="25" t="n">
        <v>1</v>
      </c>
      <c r="DO104" s="25" t="n">
        <v>1</v>
      </c>
      <c r="DX104" s="25" t="n">
        <v>1</v>
      </c>
      <c r="EL104" s="25" t="n">
        <v>1</v>
      </c>
      <c r="FO104" s="25" t="n">
        <v>1</v>
      </c>
    </row>
    <row r="105" customFormat="false" ht="15" hidden="false" customHeight="false" outlineLevel="0" collapsed="false">
      <c r="A105" s="6" t="s">
        <v>675</v>
      </c>
      <c r="B105" s="2" t="s">
        <v>886</v>
      </c>
      <c r="C105" s="11" t="n">
        <f aca="false">VALUE(MID(A105,2,FIND(".",A105)-2))</f>
        <v>9</v>
      </c>
      <c r="D105" s="11" t="n">
        <f aca="false">COUNTIF(DG$6:DG$216,1)</f>
        <v>2</v>
      </c>
      <c r="E105" s="11" t="n">
        <f aca="false">COUNTIF($L105:$HN105,1)</f>
        <v>1</v>
      </c>
      <c r="F105" s="11" t="n">
        <f aca="false">IF(COUNTIF(DG$6:DG104,1)=0,0,1+_xlfn.MAXIFS($F$6:$F104,DG$6:DG104,1))</f>
        <v>2</v>
      </c>
      <c r="G105" s="11" t="n">
        <f aca="false">IF(F105=0,1,SUMIFS($G$6:$G104,DG$6:DG104,1,$F$6:$F104,F105-1))</f>
        <v>1</v>
      </c>
      <c r="H105" s="11" t="n">
        <f aca="false">IF($A105="T16.4",1,IF(COUNTIFS(DH105:HN105,1,DH$4:HN$4,1)&gt;0,1,0))</f>
        <v>1</v>
      </c>
      <c r="FO105" s="25" t="n">
        <v>1</v>
      </c>
    </row>
    <row r="106" customFormat="false" ht="15" hidden="false" customHeight="false" outlineLevel="0" collapsed="false">
      <c r="A106" s="6" t="s">
        <v>676</v>
      </c>
      <c r="B106" s="2" t="s">
        <v>887</v>
      </c>
      <c r="C106" s="11" t="n">
        <f aca="false">VALUE(MID(A106,2,FIND(".",A106)-2))</f>
        <v>9</v>
      </c>
      <c r="D106" s="11" t="n">
        <f aca="false">COUNTIF(DH$6:DH$216,1)</f>
        <v>1</v>
      </c>
      <c r="E106" s="11" t="n">
        <f aca="false">COUNTIF($L106:$HN106,1)</f>
        <v>2</v>
      </c>
      <c r="F106" s="11" t="n">
        <f aca="false">IF(COUNTIF(DH$6:DH105,1)=0,0,1+_xlfn.MAXIFS($F$6:$F105,DH$6:DH105,1))</f>
        <v>2</v>
      </c>
      <c r="G106" s="11" t="n">
        <f aca="false">IF(F106=0,1,SUMIFS($G$6:$G105,DH$6:DH105,1,$F$6:$F105,F106-1))</f>
        <v>1</v>
      </c>
      <c r="H106" s="11" t="n">
        <f aca="false">IF($A106="T16.4",1,IF(COUNTIFS(DI106:HN106,1,DI$4:HN$4,1)&gt;0,1,0))</f>
        <v>1</v>
      </c>
      <c r="EG106" s="25" t="n">
        <v>1</v>
      </c>
      <c r="EU106" s="25" t="n">
        <v>1</v>
      </c>
    </row>
    <row r="107" customFormat="false" ht="15" hidden="false" customHeight="false" outlineLevel="0" collapsed="false">
      <c r="A107" s="6" t="s">
        <v>677</v>
      </c>
      <c r="B107" s="2" t="s">
        <v>888</v>
      </c>
      <c r="C107" s="11" t="n">
        <f aca="false">VALUE(MID(A107,2,FIND(".",A107)-2))</f>
        <v>9</v>
      </c>
      <c r="D107" s="11" t="n">
        <f aca="false">COUNTIF(DI$6:DI$216,1)</f>
        <v>0</v>
      </c>
      <c r="E107" s="11" t="n">
        <f aca="false">COUNTIF($L107:$HN107,1)</f>
        <v>0</v>
      </c>
      <c r="F107" s="11" t="n">
        <f aca="false">IF(COUNTIF(DI$6:DI106,1)=0,0,1+_xlfn.MAXIFS($F$6:$F106,DI$6:DI106,1))</f>
        <v>0</v>
      </c>
      <c r="G107" s="11" t="n">
        <f aca="false">IF(F107=0,1,SUMIFS($G$6:$G106,DI$6:DI106,1,$F$6:$F106,F107-1))</f>
        <v>1</v>
      </c>
      <c r="H107" s="11" t="n">
        <f aca="false">IF($A107="T16.4",1,IF(COUNTIFS(DJ107:HN107,1,DJ$4:HN$4,1)&gt;0,1,0))</f>
        <v>0</v>
      </c>
    </row>
    <row r="108" customFormat="false" ht="15" hidden="false" customHeight="false" outlineLevel="0" collapsed="false">
      <c r="A108" s="6" t="s">
        <v>678</v>
      </c>
      <c r="B108" s="2" t="s">
        <v>889</v>
      </c>
      <c r="C108" s="11" t="n">
        <f aca="false">VALUE(MID(A108,2,FIND(".",A108)-2))</f>
        <v>9</v>
      </c>
      <c r="D108" s="11" t="n">
        <f aca="false">COUNTIF(DJ$6:DJ$216,1)</f>
        <v>1</v>
      </c>
      <c r="E108" s="11" t="n">
        <f aca="false">COUNTIF($L108:$HN108,1)</f>
        <v>0</v>
      </c>
      <c r="F108" s="11" t="n">
        <f aca="false">IF(COUNTIF(DJ$6:DJ107,1)=0,0,1+_xlfn.MAXIFS($F$6:$F107,DJ$6:DJ107,1))</f>
        <v>1</v>
      </c>
      <c r="G108" s="11" t="n">
        <f aca="false">IF(F108=0,1,SUMIFS($G$6:$G107,DJ$6:DJ107,1,$F$6:$F107,F108-1))</f>
        <v>1</v>
      </c>
      <c r="H108" s="11" t="n">
        <f aca="false">IF($A108="T16.4",1,IF(COUNTIFS(DK108:HN108,1,DK$4:HN$4,1)&gt;0,1,0))</f>
        <v>0</v>
      </c>
    </row>
    <row r="109" customFormat="false" ht="15" hidden="false" customHeight="false" outlineLevel="0" collapsed="false">
      <c r="A109" s="6" t="s">
        <v>679</v>
      </c>
      <c r="B109" s="2" t="s">
        <v>890</v>
      </c>
      <c r="C109" s="11" t="n">
        <f aca="false">VALUE(MID(A109,2,FIND(".",A109)-2))</f>
        <v>9</v>
      </c>
      <c r="D109" s="11" t="n">
        <f aca="false">COUNTIF(DK$6:DK$216,1)</f>
        <v>1</v>
      </c>
      <c r="E109" s="11" t="n">
        <f aca="false">COUNTIF($L109:$HN109,1)</f>
        <v>0</v>
      </c>
      <c r="F109" s="11" t="n">
        <f aca="false">IF(COUNTIF(DK$6:DK108,1)=0,0,1+_xlfn.MAXIFS($F$6:$F108,DK$6:DK108,1))</f>
        <v>1</v>
      </c>
      <c r="G109" s="11" t="n">
        <f aca="false">IF(F109=0,1,SUMIFS($G$6:$G108,DK$6:DK108,1,$F$6:$F108,F109-1))</f>
        <v>1</v>
      </c>
      <c r="H109" s="11" t="n">
        <f aca="false">IF($A109="T16.4",1,IF(COUNTIFS(DL109:HN109,1,DL$4:HN$4,1)&gt;0,1,0))</f>
        <v>0</v>
      </c>
    </row>
    <row r="110" customFormat="false" ht="15" hidden="false" customHeight="false" outlineLevel="0" collapsed="false">
      <c r="A110" s="6" t="s">
        <v>680</v>
      </c>
      <c r="B110" s="2" t="s">
        <v>891</v>
      </c>
      <c r="C110" s="11" t="n">
        <f aca="false">VALUE(MID(A110,2,FIND(".",A110)-2))</f>
        <v>9</v>
      </c>
      <c r="D110" s="11" t="n">
        <f aca="false">COUNTIF(DL$6:DL$216,1)</f>
        <v>0</v>
      </c>
      <c r="E110" s="11" t="n">
        <f aca="false">COUNTIF($L110:$HN110,1)</f>
        <v>0</v>
      </c>
      <c r="F110" s="11" t="n">
        <f aca="false">IF(COUNTIF(DL$6:DL109,1)=0,0,1+_xlfn.MAXIFS($F$6:$F109,DL$6:DL109,1))</f>
        <v>0</v>
      </c>
      <c r="G110" s="11" t="n">
        <f aca="false">IF(F110=0,1,SUMIFS($G$6:$G109,DL$6:DL109,1,$F$6:$F109,F110-1))</f>
        <v>1</v>
      </c>
      <c r="H110" s="11" t="n">
        <f aca="false">IF($A110="T16.4",1,IF(COUNTIFS(DM110:HN110,1,DM$4:HN$4,1)&gt;0,1,0))</f>
        <v>0</v>
      </c>
    </row>
    <row r="111" customFormat="false" ht="15" hidden="false" customHeight="false" outlineLevel="0" collapsed="false">
      <c r="A111" s="6" t="s">
        <v>681</v>
      </c>
      <c r="B111" s="2" t="s">
        <v>892</v>
      </c>
      <c r="C111" s="11" t="n">
        <f aca="false">VALUE(MID(A111,2,FIND(".",A111)-2))</f>
        <v>9</v>
      </c>
      <c r="D111" s="11" t="n">
        <f aca="false">COUNTIF(DM$6:DM$216,1)</f>
        <v>0</v>
      </c>
      <c r="E111" s="11" t="n">
        <f aca="false">COUNTIF($L111:$HN111,1)</f>
        <v>1</v>
      </c>
      <c r="F111" s="11" t="n">
        <f aca="false">IF(COUNTIF(DM$6:DM110,1)=0,0,1+_xlfn.MAXIFS($F$6:$F110,DM$6:DM110,1))</f>
        <v>0</v>
      </c>
      <c r="G111" s="11" t="n">
        <f aca="false">IF(F111=0,1,SUMIFS($G$6:$G110,DM$6:DM110,1,$F$6:$F110,F111-1))</f>
        <v>1</v>
      </c>
      <c r="H111" s="11" t="n">
        <f aca="false">IF($A111="T16.4",1,IF(COUNTIFS(DN111:HN111,1,DN$4:HN$4,1)&gt;0,1,0))</f>
        <v>0</v>
      </c>
      <c r="DN111" s="25" t="n">
        <v>1</v>
      </c>
    </row>
    <row r="112" customFormat="false" ht="15" hidden="false" customHeight="false" outlineLevel="0" collapsed="false">
      <c r="A112" s="6" t="s">
        <v>682</v>
      </c>
      <c r="B112" s="2" t="s">
        <v>893</v>
      </c>
      <c r="C112" s="11" t="n">
        <f aca="false">VALUE(MID(A112,2,FIND(".",A112)-2))</f>
        <v>9</v>
      </c>
      <c r="D112" s="11" t="n">
        <f aca="false">COUNTIF(DN$6:DN$216,1)</f>
        <v>2</v>
      </c>
      <c r="E112" s="11" t="n">
        <f aca="false">COUNTIF($L112:$HN112,1)</f>
        <v>0</v>
      </c>
      <c r="F112" s="11" t="n">
        <f aca="false">IF(COUNTIF(DN$6:DN111,1)=0,0,1+_xlfn.MAXIFS($F$6:$F111,DN$6:DN111,1))</f>
        <v>1</v>
      </c>
      <c r="G112" s="11" t="n">
        <f aca="false">IF(F112=0,1,SUMIFS($G$6:$G111,DN$6:DN111,1,$F$6:$F111,F112-1))</f>
        <v>2</v>
      </c>
      <c r="H112" s="11" t="n">
        <f aca="false">IF($A112="T16.4",1,IF(COUNTIFS(DO112:HN112,1,DO$4:HN$4,1)&gt;0,1,0))</f>
        <v>0</v>
      </c>
    </row>
    <row r="113" customFormat="false" ht="15" hidden="false" customHeight="false" outlineLevel="0" collapsed="false">
      <c r="A113" s="6" t="s">
        <v>683</v>
      </c>
      <c r="B113" s="2" t="s">
        <v>894</v>
      </c>
      <c r="C113" s="11" t="n">
        <f aca="false">VALUE(MID(A113,2,FIND(".",A113)-2))</f>
        <v>9</v>
      </c>
      <c r="D113" s="11" t="n">
        <f aca="false">COUNTIF(DO$6:DO$216,1)</f>
        <v>1</v>
      </c>
      <c r="E113" s="11" t="n">
        <f aca="false">COUNTIF($L113:$HN113,1)</f>
        <v>0</v>
      </c>
      <c r="F113" s="11" t="n">
        <f aca="false">IF(COUNTIF(DO$6:DO112,1)=0,0,1+_xlfn.MAXIFS($F$6:$F112,DO$6:DO112,1))</f>
        <v>1</v>
      </c>
      <c r="G113" s="11" t="n">
        <f aca="false">IF(F113=0,1,SUMIFS($G$6:$G112,DO$6:DO112,1,$F$6:$F112,F113-1))</f>
        <v>1</v>
      </c>
      <c r="H113" s="11" t="n">
        <f aca="false">IF($A113="T16.4",1,IF(COUNTIFS(DP113:HN113,1,DP$4:HN$4,1)&gt;0,1,0))</f>
        <v>0</v>
      </c>
    </row>
    <row r="114" customFormat="false" ht="15" hidden="false" customHeight="false" outlineLevel="0" collapsed="false">
      <c r="A114" s="6" t="s">
        <v>684</v>
      </c>
      <c r="B114" s="2" t="s">
        <v>895</v>
      </c>
      <c r="C114" s="11" t="n">
        <f aca="false">VALUE(MID(A114,2,FIND(".",A114)-2))</f>
        <v>9</v>
      </c>
      <c r="D114" s="11" t="n">
        <f aca="false">COUNTIF(DP$6:DP$216,1)</f>
        <v>0</v>
      </c>
      <c r="E114" s="11" t="n">
        <f aca="false">COUNTIF($L114:$HN114,1)</f>
        <v>0</v>
      </c>
      <c r="F114" s="11" t="n">
        <f aca="false">IF(COUNTIF(DP$6:DP113,1)=0,0,1+_xlfn.MAXIFS($F$6:$F113,DP$6:DP113,1))</f>
        <v>0</v>
      </c>
      <c r="G114" s="11" t="n">
        <f aca="false">IF(F114=0,1,SUMIFS($G$6:$G113,DP$6:DP113,1,$F$6:$F113,F114-1))</f>
        <v>1</v>
      </c>
      <c r="H114" s="11" t="n">
        <f aca="false">IF($A114="T16.4",1,IF(COUNTIFS(DQ114:HN114,1,DQ$4:HN$4,1)&gt;0,1,0))</f>
        <v>0</v>
      </c>
    </row>
    <row r="115" customFormat="false" ht="15" hidden="false" customHeight="false" outlineLevel="0" collapsed="false">
      <c r="A115" s="6" t="s">
        <v>685</v>
      </c>
      <c r="B115" s="2" t="s">
        <v>896</v>
      </c>
      <c r="C115" s="11" t="n">
        <f aca="false">VALUE(MID(A115,2,FIND(".",A115)-2))</f>
        <v>10</v>
      </c>
      <c r="D115" s="11" t="n">
        <f aca="false">COUNTIF(DQ$6:DQ$216,1)</f>
        <v>0</v>
      </c>
      <c r="E115" s="11" t="n">
        <f aca="false">COUNTIF($L115:$HN115,1)</f>
        <v>1</v>
      </c>
      <c r="F115" s="11" t="n">
        <f aca="false">IF(COUNTIF(DQ$6:DQ114,1)=0,0,1+_xlfn.MAXIFS($F$6:$F114,DQ$6:DQ114,1))</f>
        <v>0</v>
      </c>
      <c r="G115" s="11" t="n">
        <f aca="false">IF(F115=0,1,SUMIFS($G$6:$G114,DQ$6:DQ114,1,$F$6:$F114,F115-1))</f>
        <v>1</v>
      </c>
      <c r="H115" s="11" t="n">
        <f aca="false">IF($A115="T16.4",1,IF(COUNTIFS(DR115:HN115,1,DR$4:HN$4,1)&gt;0,1,0))</f>
        <v>0</v>
      </c>
      <c r="EU115" s="25" t="n">
        <v>1</v>
      </c>
    </row>
    <row r="116" customFormat="false" ht="15" hidden="false" customHeight="false" outlineLevel="0" collapsed="false">
      <c r="A116" s="6" t="s">
        <v>686</v>
      </c>
      <c r="B116" s="2" t="s">
        <v>897</v>
      </c>
      <c r="C116" s="11" t="n">
        <f aca="false">VALUE(MID(A116,2,FIND(".",A116)-2))</f>
        <v>10</v>
      </c>
      <c r="D116" s="11" t="n">
        <f aca="false">COUNTIF(DR$6:DR$216,1)</f>
        <v>0</v>
      </c>
      <c r="E116" s="11" t="n">
        <f aca="false">COUNTIF($L116:$HN116,1)</f>
        <v>0</v>
      </c>
      <c r="F116" s="11" t="n">
        <f aca="false">IF(COUNTIF(DR$6:DR115,1)=0,0,1+_xlfn.MAXIFS($F$6:$F115,DR$6:DR115,1))</f>
        <v>0</v>
      </c>
      <c r="G116" s="11" t="n">
        <f aca="false">IF(F116=0,1,SUMIFS($G$6:$G115,DR$6:DR115,1,$F$6:$F115,F116-1))</f>
        <v>1</v>
      </c>
      <c r="H116" s="11" t="n">
        <f aca="false">IF($A116="T16.4",1,IF(COUNTIFS(DS116:HN116,1,DS$4:HN$4,1)&gt;0,1,0))</f>
        <v>0</v>
      </c>
    </row>
    <row r="117" customFormat="false" ht="15" hidden="false" customHeight="false" outlineLevel="0" collapsed="false">
      <c r="A117" s="6" t="s">
        <v>687</v>
      </c>
      <c r="B117" s="2" t="s">
        <v>898</v>
      </c>
      <c r="C117" s="11" t="n">
        <f aca="false">VALUE(MID(A117,2,FIND(".",A117)-2))</f>
        <v>10</v>
      </c>
      <c r="D117" s="11" t="n">
        <f aca="false">COUNTIF(DS$6:DS$216,1)</f>
        <v>2</v>
      </c>
      <c r="E117" s="11" t="n">
        <f aca="false">COUNTIF($L117:$HN117,1)</f>
        <v>0</v>
      </c>
      <c r="F117" s="11" t="n">
        <f aca="false">IF(COUNTIF(DS$6:DS116,1)=0,0,1+_xlfn.MAXIFS($F$6:$F116,DS$6:DS116,1))</f>
        <v>2</v>
      </c>
      <c r="G117" s="11" t="n">
        <f aca="false">IF(F117=0,1,SUMIFS($G$6:$G116,DS$6:DS116,1,$F$6:$F116,F117-1))</f>
        <v>1</v>
      </c>
      <c r="H117" s="11" t="n">
        <f aca="false">IF($A117="T16.4",1,IF(COUNTIFS(DT117:HN117,1,DT$4:HN$4,1)&gt;0,1,0))</f>
        <v>0</v>
      </c>
    </row>
    <row r="118" customFormat="false" ht="15" hidden="false" customHeight="false" outlineLevel="0" collapsed="false">
      <c r="A118" s="6" t="s">
        <v>688</v>
      </c>
      <c r="B118" s="2" t="s">
        <v>899</v>
      </c>
      <c r="C118" s="11" t="n">
        <f aca="false">VALUE(MID(A118,2,FIND(".",A118)-2))</f>
        <v>10</v>
      </c>
      <c r="D118" s="11" t="n">
        <f aca="false">COUNTIF(DT$6:DT$216,1)</f>
        <v>1</v>
      </c>
      <c r="E118" s="11" t="n">
        <f aca="false">COUNTIF($L118:$HN118,1)</f>
        <v>1</v>
      </c>
      <c r="F118" s="11" t="n">
        <f aca="false">IF(COUNTIF(DT$6:DT117,1)=0,0,1+_xlfn.MAXIFS($F$6:$F117,DT$6:DT117,1))</f>
        <v>1</v>
      </c>
      <c r="G118" s="11" t="n">
        <f aca="false">IF(F118=0,1,SUMIFS($G$6:$G117,DT$6:DT117,1,$F$6:$F117,F118-1))</f>
        <v>1</v>
      </c>
      <c r="H118" s="11" t="n">
        <f aca="false">IF($A118="T16.4",1,IF(COUNTIFS(DU118:HN118,1,DU$4:HN$4,1)&gt;0,1,0))</f>
        <v>0</v>
      </c>
      <c r="DV118" s="25" t="n">
        <v>1</v>
      </c>
    </row>
    <row r="119" customFormat="false" ht="15" hidden="false" customHeight="false" outlineLevel="0" collapsed="false">
      <c r="A119" s="6" t="s">
        <v>689</v>
      </c>
      <c r="B119" s="2" t="s">
        <v>900</v>
      </c>
      <c r="C119" s="11" t="n">
        <f aca="false">VALUE(MID(A119,2,FIND(".",A119)-2))</f>
        <v>10</v>
      </c>
      <c r="D119" s="11" t="n">
        <f aca="false">COUNTIF(DU$6:DU$216,1)</f>
        <v>1</v>
      </c>
      <c r="E119" s="11" t="n">
        <f aca="false">COUNTIF($L119:$HN119,1)</f>
        <v>2</v>
      </c>
      <c r="F119" s="11" t="n">
        <f aca="false">IF(COUNTIF(DU$6:DU118,1)=0,0,1+_xlfn.MAXIFS($F$6:$F118,DU$6:DU118,1))</f>
        <v>5</v>
      </c>
      <c r="G119" s="11" t="n">
        <f aca="false">IF(F119=0,1,SUMIFS($G$6:$G118,DU$6:DU118,1,$F$6:$F118,F119-1))</f>
        <v>2</v>
      </c>
      <c r="H119" s="11" t="n">
        <f aca="false">IF($A119="T16.4",1,IF(COUNTIFS(DV119:HN119,1,DV$4:HN$4,1)&gt;0,1,0))</f>
        <v>0</v>
      </c>
      <c r="DV119" s="25" t="n">
        <v>1</v>
      </c>
      <c r="EB119" s="25" t="n">
        <v>1</v>
      </c>
    </row>
    <row r="120" customFormat="false" ht="15" hidden="false" customHeight="false" outlineLevel="0" collapsed="false">
      <c r="A120" s="6" t="s">
        <v>690</v>
      </c>
      <c r="B120" s="2" t="s">
        <v>901</v>
      </c>
      <c r="C120" s="11" t="n">
        <f aca="false">VALUE(MID(A120,2,FIND(".",A120)-2))</f>
        <v>10</v>
      </c>
      <c r="D120" s="11" t="n">
        <f aca="false">COUNTIF(DV$6:DV$216,1)</f>
        <v>2</v>
      </c>
      <c r="E120" s="11" t="n">
        <f aca="false">COUNTIF($L120:$HN120,1)</f>
        <v>0</v>
      </c>
      <c r="F120" s="11" t="n">
        <f aca="false">IF(COUNTIF(DV$6:DV119,1)=0,0,1+_xlfn.MAXIFS($F$6:$F119,DV$6:DV119,1))</f>
        <v>6</v>
      </c>
      <c r="G120" s="11" t="n">
        <f aca="false">IF(F120=0,1,SUMIFS($G$6:$G119,DV$6:DV119,1,$F$6:$F119,F120-1))</f>
        <v>2</v>
      </c>
      <c r="H120" s="11" t="n">
        <f aca="false">IF($A120="T16.4",1,IF(COUNTIFS(DW120:HN120,1,DW$4:HN$4,1)&gt;0,1,0))</f>
        <v>0</v>
      </c>
    </row>
    <row r="121" customFormat="false" ht="15" hidden="false" customHeight="false" outlineLevel="0" collapsed="false">
      <c r="A121" s="6" t="s">
        <v>691</v>
      </c>
      <c r="B121" s="2" t="s">
        <v>902</v>
      </c>
      <c r="C121" s="11" t="n">
        <f aca="false">VALUE(MID(A121,2,FIND(".",A121)-2))</f>
        <v>10</v>
      </c>
      <c r="D121" s="11" t="n">
        <f aca="false">COUNTIF(DW$6:DW$216,1)</f>
        <v>0</v>
      </c>
      <c r="E121" s="11" t="n">
        <f aca="false">COUNTIF($L121:$HN121,1)</f>
        <v>3</v>
      </c>
      <c r="F121" s="11" t="n">
        <f aca="false">IF(COUNTIF(DW$6:DW120,1)=0,0,1+_xlfn.MAXIFS($F$6:$F120,DW$6:DW120,1))</f>
        <v>0</v>
      </c>
      <c r="G121" s="11" t="n">
        <f aca="false">IF(F121=0,1,SUMIFS($G$6:$G120,DW$6:DW120,1,$F$6:$F120,F121-1))</f>
        <v>1</v>
      </c>
      <c r="H121" s="11" t="n">
        <f aca="false">IF($A121="T16.4",1,IF(COUNTIFS(DX121:HN121,1,DX$4:HN$4,1)&gt;0,1,0))</f>
        <v>1</v>
      </c>
      <c r="EC121" s="25" t="n">
        <v>1</v>
      </c>
      <c r="ED121" s="25" t="n">
        <v>1</v>
      </c>
      <c r="GS121" s="25" t="n">
        <v>1</v>
      </c>
    </row>
    <row r="122" customFormat="false" ht="15" hidden="false" customHeight="false" outlineLevel="0" collapsed="false">
      <c r="A122" s="6" t="s">
        <v>692</v>
      </c>
      <c r="B122" s="2" t="s">
        <v>903</v>
      </c>
      <c r="C122" s="11" t="n">
        <f aca="false">VALUE(MID(A122,2,FIND(".",A122)-2))</f>
        <v>10</v>
      </c>
      <c r="D122" s="11" t="n">
        <f aca="false">COUNTIF(DX$6:DX$216,1)</f>
        <v>2</v>
      </c>
      <c r="E122" s="11" t="n">
        <f aca="false">COUNTIF($L122:$HN122,1)</f>
        <v>3</v>
      </c>
      <c r="F122" s="11" t="n">
        <f aca="false">IF(COUNTIF(DX$6:DX121,1)=0,0,1+_xlfn.MAXIFS($F$6:$F121,DX$6:DX121,1))</f>
        <v>1</v>
      </c>
      <c r="G122" s="11" t="n">
        <f aca="false">IF(F122=0,1,SUMIFS($G$6:$G121,DX$6:DX121,1,$F$6:$F121,F122-1))</f>
        <v>2</v>
      </c>
      <c r="H122" s="11" t="n">
        <f aca="false">IF($A122="T16.4",1,IF(COUNTIFS(DY122:HN122,1,DY$4:HN$4,1)&gt;0,1,0))</f>
        <v>1</v>
      </c>
      <c r="DY122" s="25" t="n">
        <v>1</v>
      </c>
      <c r="DZ122" s="25" t="n">
        <v>1</v>
      </c>
      <c r="EE122" s="25" t="n">
        <v>1</v>
      </c>
    </row>
    <row r="123" customFormat="false" ht="15" hidden="false" customHeight="false" outlineLevel="0" collapsed="false">
      <c r="A123" s="6" t="s">
        <v>693</v>
      </c>
      <c r="B123" s="2" t="s">
        <v>904</v>
      </c>
      <c r="C123" s="11" t="n">
        <f aca="false">VALUE(MID(A123,2,FIND(".",A123)-2))</f>
        <v>10</v>
      </c>
      <c r="D123" s="11" t="n">
        <f aca="false">COUNTIF(DY$6:DY$216,1)</f>
        <v>1</v>
      </c>
      <c r="E123" s="11" t="n">
        <f aca="false">COUNTIF($L123:$HN123,1)</f>
        <v>2</v>
      </c>
      <c r="F123" s="11" t="n">
        <f aca="false">IF(COUNTIF(DY$6:DY122,1)=0,0,1+_xlfn.MAXIFS($F$6:$F122,DY$6:DY122,1))</f>
        <v>2</v>
      </c>
      <c r="G123" s="11" t="n">
        <f aca="false">IF(F123=0,1,SUMIFS($G$6:$G122,DY$6:DY122,1,$F$6:$F122,F123-1))</f>
        <v>2</v>
      </c>
      <c r="H123" s="11" t="n">
        <f aca="false">IF($A123="T16.4",1,IF(COUNTIFS(DZ123:HN123,1,DZ$4:HN$4,1)&gt;0,1,0))</f>
        <v>1</v>
      </c>
      <c r="FQ123" s="25" t="n">
        <v>1</v>
      </c>
      <c r="GM123" s="25" t="n">
        <v>1</v>
      </c>
    </row>
    <row r="124" customFormat="false" ht="15" hidden="false" customHeight="false" outlineLevel="0" collapsed="false">
      <c r="A124" s="6" t="s">
        <v>694</v>
      </c>
      <c r="B124" s="2" t="s">
        <v>905</v>
      </c>
      <c r="C124" s="11" t="n">
        <f aca="false">VALUE(MID(A124,2,FIND(".",A124)-2))</f>
        <v>10</v>
      </c>
      <c r="D124" s="11" t="n">
        <f aca="false">COUNTIF(DZ$6:DZ$216,1)</f>
        <v>1</v>
      </c>
      <c r="E124" s="11" t="n">
        <f aca="false">COUNTIF($L124:$HN124,1)</f>
        <v>0</v>
      </c>
      <c r="F124" s="11" t="n">
        <f aca="false">IF(COUNTIF(DZ$6:DZ123,1)=0,0,1+_xlfn.MAXIFS($F$6:$F123,DZ$6:DZ123,1))</f>
        <v>2</v>
      </c>
      <c r="G124" s="11" t="n">
        <f aca="false">IF(F124=0,1,SUMIFS($G$6:$G123,DZ$6:DZ123,1,$F$6:$F123,F124-1))</f>
        <v>2</v>
      </c>
      <c r="H124" s="11" t="n">
        <f aca="false">IF($A124="T16.4",1,IF(COUNTIFS(EA124:HN124,1,EA$4:HN$4,1)&gt;0,1,0))</f>
        <v>0</v>
      </c>
    </row>
    <row r="125" customFormat="false" ht="15" hidden="false" customHeight="false" outlineLevel="0" collapsed="false">
      <c r="A125" s="6" t="s">
        <v>695</v>
      </c>
      <c r="B125" s="2" t="s">
        <v>906</v>
      </c>
      <c r="C125" s="11" t="n">
        <f aca="false">VALUE(MID(A125,2,FIND(".",A125)-2))</f>
        <v>10</v>
      </c>
      <c r="D125" s="11" t="n">
        <f aca="false">COUNTIF(EA$6:EA$216,1)</f>
        <v>0</v>
      </c>
      <c r="E125" s="11" t="n">
        <f aca="false">COUNTIF($L125:$HN125,1)</f>
        <v>0</v>
      </c>
      <c r="F125" s="11" t="n">
        <f aca="false">IF(COUNTIF(EA$6:EA124,1)=0,0,1+_xlfn.MAXIFS($F$6:$F124,EA$6:EA124,1))</f>
        <v>0</v>
      </c>
      <c r="G125" s="11" t="n">
        <f aca="false">IF(F125=0,1,SUMIFS($G$6:$G124,EA$6:EA124,1,$F$6:$F124,F125-1))</f>
        <v>1</v>
      </c>
      <c r="H125" s="11" t="n">
        <f aca="false">IF($A125="T16.4",1,IF(COUNTIFS(EB125:HN125,1,EB$4:HN$4,1)&gt;0,1,0))</f>
        <v>0</v>
      </c>
    </row>
    <row r="126" customFormat="false" ht="15" hidden="false" customHeight="false" outlineLevel="0" collapsed="false">
      <c r="A126" s="6" t="s">
        <v>696</v>
      </c>
      <c r="B126" s="2" t="s">
        <v>907</v>
      </c>
      <c r="C126" s="11" t="n">
        <f aca="false">VALUE(MID(A126,2,FIND(".",A126)-2))</f>
        <v>10</v>
      </c>
      <c r="D126" s="11" t="n">
        <f aca="false">COUNTIF(EB$6:EB$216,1)</f>
        <v>1</v>
      </c>
      <c r="E126" s="11" t="n">
        <f aca="false">COUNTIF($L126:$HN126,1)</f>
        <v>0</v>
      </c>
      <c r="F126" s="11" t="n">
        <f aca="false">IF(COUNTIF(EB$6:EB125,1)=0,0,1+_xlfn.MAXIFS($F$6:$F125,EB$6:EB125,1))</f>
        <v>6</v>
      </c>
      <c r="G126" s="11" t="n">
        <f aca="false">IF(F126=0,1,SUMIFS($G$6:$G125,EB$6:EB125,1,$F$6:$F125,F126-1))</f>
        <v>2</v>
      </c>
      <c r="H126" s="11" t="n">
        <f aca="false">IF($A126="T16.4",1,IF(COUNTIFS(EC126:HN126,1,EC$4:HN$4,1)&gt;0,1,0))</f>
        <v>0</v>
      </c>
    </row>
    <row r="127" customFormat="false" ht="15" hidden="false" customHeight="false" outlineLevel="0" collapsed="false">
      <c r="A127" s="6" t="s">
        <v>697</v>
      </c>
      <c r="B127" s="2" t="s">
        <v>908</v>
      </c>
      <c r="C127" s="11" t="n">
        <f aca="false">VALUE(MID(A127,2,FIND(".",A127)-2))</f>
        <v>10</v>
      </c>
      <c r="D127" s="11" t="n">
        <f aca="false">COUNTIF(EC$6:EC$216,1)</f>
        <v>1</v>
      </c>
      <c r="E127" s="11" t="n">
        <f aca="false">COUNTIF($L127:$HN127,1)</f>
        <v>0</v>
      </c>
      <c r="F127" s="11" t="n">
        <f aca="false">IF(COUNTIF(EC$6:EC126,1)=0,0,1+_xlfn.MAXIFS($F$6:$F126,EC$6:EC126,1))</f>
        <v>1</v>
      </c>
      <c r="G127" s="11" t="n">
        <f aca="false">IF(F127=0,1,SUMIFS($G$6:$G126,EC$6:EC126,1,$F$6:$F126,F127-1))</f>
        <v>1</v>
      </c>
      <c r="H127" s="11" t="n">
        <f aca="false">IF($A127="T16.4",1,IF(COUNTIFS(ED127:HN127,1,ED$4:HN$4,1)&gt;0,1,0))</f>
        <v>0</v>
      </c>
    </row>
    <row r="128" customFormat="false" ht="15" hidden="false" customHeight="false" outlineLevel="0" collapsed="false">
      <c r="A128" s="6" t="s">
        <v>698</v>
      </c>
      <c r="B128" s="2" t="s">
        <v>909</v>
      </c>
      <c r="C128" s="11" t="n">
        <f aca="false">VALUE(MID(A128,2,FIND(".",A128)-2))</f>
        <v>10</v>
      </c>
      <c r="D128" s="11" t="n">
        <f aca="false">COUNTIF(ED$6:ED$216,1)</f>
        <v>1</v>
      </c>
      <c r="E128" s="11" t="n">
        <f aca="false">COUNTIF($L128:$HN128,1)</f>
        <v>0</v>
      </c>
      <c r="F128" s="11" t="n">
        <f aca="false">IF(COUNTIF(ED$6:ED127,1)=0,0,1+_xlfn.MAXIFS($F$6:$F127,ED$6:ED127,1))</f>
        <v>1</v>
      </c>
      <c r="G128" s="11" t="n">
        <f aca="false">IF(F128=0,1,SUMIFS($G$6:$G127,ED$6:ED127,1,$F$6:$F127,F128-1))</f>
        <v>1</v>
      </c>
      <c r="H128" s="11" t="n">
        <f aca="false">IF($A128="T16.4",1,IF(COUNTIFS(EE128:HN128,1,EE$4:HN$4,1)&gt;0,1,0))</f>
        <v>0</v>
      </c>
    </row>
    <row r="129" customFormat="false" ht="15" hidden="false" customHeight="false" outlineLevel="0" collapsed="false">
      <c r="A129" s="6" t="s">
        <v>699</v>
      </c>
      <c r="B129" s="2" t="s">
        <v>910</v>
      </c>
      <c r="C129" s="11" t="n">
        <f aca="false">VALUE(MID(A129,2,FIND(".",A129)-2))</f>
        <v>10</v>
      </c>
      <c r="D129" s="11" t="n">
        <f aca="false">COUNTIF(EE$6:EE$216,1)</f>
        <v>1</v>
      </c>
      <c r="E129" s="11" t="n">
        <f aca="false">COUNTIF($L129:$HN129,1)</f>
        <v>0</v>
      </c>
      <c r="F129" s="11" t="n">
        <f aca="false">IF(COUNTIF(EE$6:EE128,1)=0,0,1+_xlfn.MAXIFS($F$6:$F128,EE$6:EE128,1))</f>
        <v>2</v>
      </c>
      <c r="G129" s="11" t="n">
        <f aca="false">IF(F129=0,1,SUMIFS($G$6:$G128,EE$6:EE128,1,$F$6:$F128,F129-1))</f>
        <v>2</v>
      </c>
      <c r="H129" s="11" t="n">
        <f aca="false">IF($A129="T16.4",1,IF(COUNTIFS(EF129:HN129,1,EF$4:HN$4,1)&gt;0,1,0))</f>
        <v>0</v>
      </c>
    </row>
    <row r="130" customFormat="false" ht="15" hidden="false" customHeight="false" outlineLevel="0" collapsed="false">
      <c r="A130" s="6" t="s">
        <v>700</v>
      </c>
      <c r="B130" s="2" t="s">
        <v>911</v>
      </c>
      <c r="C130" s="11" t="n">
        <f aca="false">VALUE(MID(A130,2,FIND(".",A130)-2))</f>
        <v>10</v>
      </c>
      <c r="D130" s="11" t="n">
        <f aca="false">COUNTIF(EF$6:EF$216,1)</f>
        <v>0</v>
      </c>
      <c r="E130" s="11" t="n">
        <f aca="false">COUNTIF($L130:$HN130,1)</f>
        <v>0</v>
      </c>
      <c r="F130" s="11" t="n">
        <f aca="false">IF(COUNTIF(EF$6:EF129,1)=0,0,1+_xlfn.MAXIFS($F$6:$F129,EF$6:EF129,1))</f>
        <v>0</v>
      </c>
      <c r="G130" s="11" t="n">
        <f aca="false">IF(F130=0,1,SUMIFS($G$6:$G129,EF$6:EF129,1,$F$6:$F129,F130-1))</f>
        <v>1</v>
      </c>
      <c r="H130" s="11" t="n">
        <f aca="false">IF($A130="T16.4",1,IF(COUNTIFS(EG130:HN130,1,EG$4:HN$4,1)&gt;0,1,0))</f>
        <v>0</v>
      </c>
    </row>
    <row r="131" customFormat="false" ht="15" hidden="false" customHeight="false" outlineLevel="0" collapsed="false">
      <c r="A131" s="6" t="s">
        <v>701</v>
      </c>
      <c r="B131" s="2" t="s">
        <v>912</v>
      </c>
      <c r="C131" s="11" t="n">
        <f aca="false">VALUE(MID(A131,2,FIND(".",A131)-2))</f>
        <v>11</v>
      </c>
      <c r="D131" s="11" t="n">
        <f aca="false">COUNTIF(EG$6:EG$216,1)</f>
        <v>1</v>
      </c>
      <c r="E131" s="11" t="n">
        <f aca="false">COUNTIF($L131:$HN131,1)</f>
        <v>2</v>
      </c>
      <c r="F131" s="11" t="n">
        <f aca="false">IF(COUNTIF(EG$6:EG130,1)=0,0,1+_xlfn.MAXIFS($F$6:$F130,EG$6:EG130,1))</f>
        <v>3</v>
      </c>
      <c r="G131" s="11" t="n">
        <f aca="false">IF(F131=0,1,SUMIFS($G$6:$G130,EG$6:EG130,1,$F$6:$F130,F131-1))</f>
        <v>1</v>
      </c>
      <c r="H131" s="11" t="n">
        <f aca="false">IF($A131="T16.4",1,IF(COUNTIFS(EH131:HN131,1,EH$4:HN$4,1)&gt;0,1,0))</f>
        <v>1</v>
      </c>
      <c r="EH131" s="25" t="n">
        <v>1</v>
      </c>
      <c r="EU131" s="25" t="n">
        <v>1</v>
      </c>
    </row>
    <row r="132" customFormat="false" ht="15" hidden="false" customHeight="false" outlineLevel="0" collapsed="false">
      <c r="A132" s="6" t="s">
        <v>702</v>
      </c>
      <c r="B132" s="2" t="s">
        <v>913</v>
      </c>
      <c r="C132" s="11" t="n">
        <f aca="false">VALUE(MID(A132,2,FIND(".",A132)-2))</f>
        <v>11</v>
      </c>
      <c r="D132" s="11" t="n">
        <f aca="false">COUNTIF(EH$6:EH$216,1)</f>
        <v>4</v>
      </c>
      <c r="E132" s="11" t="n">
        <f aca="false">COUNTIF($L132:$HN132,1)</f>
        <v>2</v>
      </c>
      <c r="F132" s="11" t="n">
        <f aca="false">IF(COUNTIF(EH$6:EH131,1)=0,0,1+_xlfn.MAXIFS($F$6:$F131,EH$6:EH131,1))</f>
        <v>5</v>
      </c>
      <c r="G132" s="11" t="n">
        <f aca="false">IF(F132=0,1,SUMIFS($G$6:$G131,EH$6:EH131,1,$F$6:$F131,F132-1))</f>
        <v>2</v>
      </c>
      <c r="H132" s="11" t="n">
        <f aca="false">IF($A132="T16.4",1,IF(COUNTIFS(EI132:HN132,1,EI$4:HN$4,1)&gt;0,1,0))</f>
        <v>1</v>
      </c>
      <c r="EJ132" s="25" t="n">
        <v>1</v>
      </c>
      <c r="FX132" s="25" t="n">
        <v>1</v>
      </c>
    </row>
    <row r="133" customFormat="false" ht="15" hidden="false" customHeight="false" outlineLevel="0" collapsed="false">
      <c r="A133" s="6" t="s">
        <v>703</v>
      </c>
      <c r="B133" s="2" t="s">
        <v>914</v>
      </c>
      <c r="C133" s="11" t="n">
        <f aca="false">VALUE(MID(A133,2,FIND(".",A133)-2))</f>
        <v>11</v>
      </c>
      <c r="D133" s="11" t="n">
        <f aca="false">COUNTIF(EI$6:EI$216,1)</f>
        <v>0</v>
      </c>
      <c r="E133" s="11" t="n">
        <f aca="false">COUNTIF($L133:$HN133,1)</f>
        <v>3</v>
      </c>
      <c r="F133" s="11" t="n">
        <f aca="false">IF(COUNTIF(EI$6:EI132,1)=0,0,1+_xlfn.MAXIFS($F$6:$F132,EI$6:EI132,1))</f>
        <v>0</v>
      </c>
      <c r="G133" s="11" t="n">
        <f aca="false">IF(F133=0,1,SUMIFS($G$6:$G132,EI$6:EI132,1,$F$6:$F132,F133-1))</f>
        <v>1</v>
      </c>
      <c r="H133" s="11" t="n">
        <f aca="false">IF($A133="T16.4",1,IF(COUNTIFS(EJ133:HN133,1,EJ$4:HN$4,1)&gt;0,1,0))</f>
        <v>1</v>
      </c>
      <c r="EO133" s="25" t="n">
        <v>1</v>
      </c>
      <c r="EY133" s="25" t="n">
        <v>1</v>
      </c>
      <c r="FI133" s="25" t="n">
        <v>1</v>
      </c>
    </row>
    <row r="134" customFormat="false" ht="15" hidden="false" customHeight="false" outlineLevel="0" collapsed="false">
      <c r="A134" s="6" t="s">
        <v>704</v>
      </c>
      <c r="B134" s="2" t="s">
        <v>915</v>
      </c>
      <c r="C134" s="11" t="n">
        <f aca="false">VALUE(MID(A134,2,FIND(".",A134)-2))</f>
        <v>11</v>
      </c>
      <c r="D134" s="11" t="n">
        <f aca="false">COUNTIF(EJ$6:EJ$216,1)</f>
        <v>3</v>
      </c>
      <c r="E134" s="11" t="n">
        <f aca="false">COUNTIF($L134:$HN134,1)</f>
        <v>0</v>
      </c>
      <c r="F134" s="11" t="n">
        <f aca="false">IF(COUNTIF(EJ$6:EJ133,1)=0,0,1+_xlfn.MAXIFS($F$6:$F133,EJ$6:EJ133,1))</f>
        <v>6</v>
      </c>
      <c r="G134" s="11" t="n">
        <f aca="false">IF(F134=0,1,SUMIFS($G$6:$G133,EJ$6:EJ133,1,$F$6:$F133,F134-1))</f>
        <v>2</v>
      </c>
      <c r="H134" s="11" t="n">
        <f aca="false">IF($A134="T16.4",1,IF(COUNTIFS(EK134:HN134,1,EK$4:HN$4,1)&gt;0,1,0))</f>
        <v>0</v>
      </c>
    </row>
    <row r="135" customFormat="false" ht="15" hidden="false" customHeight="false" outlineLevel="0" collapsed="false">
      <c r="A135" s="6" t="s">
        <v>705</v>
      </c>
      <c r="B135" s="2" t="s">
        <v>916</v>
      </c>
      <c r="C135" s="11" t="n">
        <f aca="false">VALUE(MID(A135,2,FIND(".",A135)-2))</f>
        <v>11</v>
      </c>
      <c r="D135" s="11" t="n">
        <f aca="false">COUNTIF(EK$6:EK$216,1)</f>
        <v>1</v>
      </c>
      <c r="E135" s="11" t="n">
        <f aca="false">COUNTIF($L135:$HN135,1)</f>
        <v>1</v>
      </c>
      <c r="F135" s="11" t="n">
        <f aca="false">IF(COUNTIF(EK$6:EK134,1)=0,0,1+_xlfn.MAXIFS($F$6:$F134,EK$6:EK134,1))</f>
        <v>1</v>
      </c>
      <c r="G135" s="11" t="n">
        <f aca="false">IF(F135=0,1,SUMIFS($G$6:$G134,EK$6:EK134,1,$F$6:$F134,F135-1))</f>
        <v>1</v>
      </c>
      <c r="H135" s="11" t="n">
        <f aca="false">IF($A135="T16.4",1,IF(COUNTIFS(EL135:HN135,1,EL$4:HN$4,1)&gt;0,1,0))</f>
        <v>0</v>
      </c>
      <c r="EM135" s="25" t="n">
        <v>1</v>
      </c>
    </row>
    <row r="136" customFormat="false" ht="15" hidden="false" customHeight="false" outlineLevel="0" collapsed="false">
      <c r="A136" s="6" t="s">
        <v>706</v>
      </c>
      <c r="B136" s="2" t="s">
        <v>917</v>
      </c>
      <c r="C136" s="11" t="n">
        <f aca="false">VALUE(MID(A136,2,FIND(".",A136)-2))</f>
        <v>11</v>
      </c>
      <c r="D136" s="11" t="n">
        <f aca="false">COUNTIF(EL$6:EL$216,1)</f>
        <v>2</v>
      </c>
      <c r="E136" s="11" t="n">
        <f aca="false">COUNTIF($L136:$HN136,1)</f>
        <v>1</v>
      </c>
      <c r="F136" s="11" t="n">
        <f aca="false">IF(COUNTIF(EL$6:EL135,1)=0,0,1+_xlfn.MAXIFS($F$6:$F135,EL$6:EL135,1))</f>
        <v>1</v>
      </c>
      <c r="G136" s="11" t="n">
        <f aca="false">IF(F136=0,1,SUMIFS($G$6:$G135,EL$6:EL135,1,$F$6:$F135,F136-1))</f>
        <v>2</v>
      </c>
      <c r="H136" s="11" t="n">
        <f aca="false">IF($A136="T16.4",1,IF(COUNTIFS(EM136:HN136,1,EM$4:HN$4,1)&gt;0,1,0))</f>
        <v>0</v>
      </c>
      <c r="ES136" s="25" t="n">
        <v>1</v>
      </c>
    </row>
    <row r="137" customFormat="false" ht="15" hidden="false" customHeight="false" outlineLevel="0" collapsed="false">
      <c r="A137" s="6" t="s">
        <v>707</v>
      </c>
      <c r="B137" s="2" t="s">
        <v>918</v>
      </c>
      <c r="C137" s="11" t="n">
        <f aca="false">VALUE(MID(A137,2,FIND(".",A137)-2))</f>
        <v>11</v>
      </c>
      <c r="D137" s="11" t="n">
        <f aca="false">COUNTIF(EM$6:EM$216,1)</f>
        <v>1</v>
      </c>
      <c r="E137" s="11" t="n">
        <f aca="false">COUNTIF($L137:$HN137,1)</f>
        <v>0</v>
      </c>
      <c r="F137" s="11" t="n">
        <f aca="false">IF(COUNTIF(EM$6:EM136,1)=0,0,1+_xlfn.MAXIFS($F$6:$F136,EM$6:EM136,1))</f>
        <v>2</v>
      </c>
      <c r="G137" s="11" t="n">
        <f aca="false">IF(F137=0,1,SUMIFS($G$6:$G136,EM$6:EM136,1,$F$6:$F136,F137-1))</f>
        <v>1</v>
      </c>
      <c r="H137" s="11" t="n">
        <f aca="false">IF($A137="T16.4",1,IF(COUNTIFS(EN137:HN137,1,EN$4:HN$4,1)&gt;0,1,0))</f>
        <v>0</v>
      </c>
    </row>
    <row r="138" customFormat="false" ht="15" hidden="false" customHeight="false" outlineLevel="0" collapsed="false">
      <c r="A138" s="6" t="s">
        <v>708</v>
      </c>
      <c r="B138" s="2" t="s">
        <v>919</v>
      </c>
      <c r="C138" s="11" t="n">
        <f aca="false">VALUE(MID(A138,2,FIND(".",A138)-2))</f>
        <v>11</v>
      </c>
      <c r="D138" s="11" t="n">
        <f aca="false">COUNTIF(EN$6:EN$216,1)</f>
        <v>0</v>
      </c>
      <c r="E138" s="11" t="n">
        <f aca="false">COUNTIF($L138:$HN138,1)</f>
        <v>0</v>
      </c>
      <c r="F138" s="11" t="n">
        <f aca="false">IF(COUNTIF(EN$6:EN137,1)=0,0,1+_xlfn.MAXIFS($F$6:$F137,EN$6:EN137,1))</f>
        <v>0</v>
      </c>
      <c r="G138" s="11" t="n">
        <f aca="false">IF(F138=0,1,SUMIFS($G$6:$G137,EN$6:EN137,1,$F$6:$F137,F138-1))</f>
        <v>1</v>
      </c>
      <c r="H138" s="11" t="n">
        <f aca="false">IF($A138="T16.4",1,IF(COUNTIFS(EO138:HN138,1,EO$4:HN$4,1)&gt;0,1,0))</f>
        <v>0</v>
      </c>
    </row>
    <row r="139" customFormat="false" ht="15" hidden="false" customHeight="false" outlineLevel="0" collapsed="false">
      <c r="A139" s="6" t="s">
        <v>709</v>
      </c>
      <c r="B139" s="2" t="s">
        <v>920</v>
      </c>
      <c r="C139" s="11" t="n">
        <f aca="false">VALUE(MID(A139,2,FIND(".",A139)-2))</f>
        <v>11</v>
      </c>
      <c r="D139" s="11" t="n">
        <f aca="false">COUNTIF(EO$6:EO$216,1)</f>
        <v>1</v>
      </c>
      <c r="E139" s="11" t="n">
        <f aca="false">COUNTIF($L139:$HN139,1)</f>
        <v>0</v>
      </c>
      <c r="F139" s="11" t="n">
        <f aca="false">IF(COUNTIF(EO$6:EO138,1)=0,0,1+_xlfn.MAXIFS($F$6:$F138,EO$6:EO138,1))</f>
        <v>1</v>
      </c>
      <c r="G139" s="11" t="n">
        <f aca="false">IF(F139=0,1,SUMIFS($G$6:$G138,EO$6:EO138,1,$F$6:$F138,F139-1))</f>
        <v>1</v>
      </c>
      <c r="H139" s="11" t="n">
        <f aca="false">IF($A139="T16.4",1,IF(COUNTIFS(EP139:HN139,1,EP$4:HN$4,1)&gt;0,1,0))</f>
        <v>0</v>
      </c>
    </row>
    <row r="140" customFormat="false" ht="15" hidden="false" customHeight="false" outlineLevel="0" collapsed="false">
      <c r="A140" s="6" t="s">
        <v>710</v>
      </c>
      <c r="B140" s="2" t="s">
        <v>921</v>
      </c>
      <c r="C140" s="11" t="n">
        <f aca="false">VALUE(MID(A140,2,FIND(".",A140)-2))</f>
        <v>11</v>
      </c>
      <c r="D140" s="11" t="n">
        <f aca="false">COUNTIF(EP$6:EP$216,1)</f>
        <v>0</v>
      </c>
      <c r="E140" s="11" t="n">
        <f aca="false">COUNTIF($L140:$HN140,1)</f>
        <v>1</v>
      </c>
      <c r="F140" s="11" t="n">
        <f aca="false">IF(COUNTIF(EP$6:EP139,1)=0,0,1+_xlfn.MAXIFS($F$6:$F139,EP$6:EP139,1))</f>
        <v>0</v>
      </c>
      <c r="G140" s="11" t="n">
        <f aca="false">IF(F140=0,1,SUMIFS($G$6:$G139,EP$6:EP139,1,$F$6:$F139,F140-1))</f>
        <v>1</v>
      </c>
      <c r="H140" s="11" t="n">
        <f aca="false">IF($A140="T16.4",1,IF(COUNTIFS(EQ140:HN140,1,EQ$4:HN$4,1)&gt;0,1,0))</f>
        <v>1</v>
      </c>
      <c r="EQ140" s="25" t="n">
        <v>1</v>
      </c>
    </row>
    <row r="141" customFormat="false" ht="15" hidden="false" customHeight="false" outlineLevel="0" collapsed="false">
      <c r="A141" s="6" t="s">
        <v>711</v>
      </c>
      <c r="B141" s="2" t="s">
        <v>922</v>
      </c>
      <c r="C141" s="11" t="n">
        <f aca="false">VALUE(MID(A141,2,FIND(".",A141)-2))</f>
        <v>11</v>
      </c>
      <c r="D141" s="11" t="n">
        <f aca="false">COUNTIF(EQ$6:EQ$216,1)</f>
        <v>1</v>
      </c>
      <c r="E141" s="11" t="n">
        <f aca="false">COUNTIF($L141:$HN141,1)</f>
        <v>2</v>
      </c>
      <c r="F141" s="11" t="n">
        <f aca="false">IF(COUNTIF(EQ$6:EQ140,1)=0,0,1+_xlfn.MAXIFS($F$6:$F140,EQ$6:EQ140,1))</f>
        <v>1</v>
      </c>
      <c r="G141" s="11" t="n">
        <f aca="false">IF(F141=0,1,SUMIFS($G$6:$G140,EQ$6:EQ140,1,$F$6:$F140,F141-1))</f>
        <v>1</v>
      </c>
      <c r="H141" s="11" t="n">
        <f aca="false">IF($A141="T16.4",1,IF(COUNTIFS(ER141:HN141,1,ER$4:HN$4,1)&gt;0,1,0))</f>
        <v>1</v>
      </c>
      <c r="ER141" s="25" t="n">
        <v>1</v>
      </c>
      <c r="GT141" s="25" t="n">
        <v>1</v>
      </c>
    </row>
    <row r="142" customFormat="false" ht="15" hidden="false" customHeight="false" outlineLevel="0" collapsed="false">
      <c r="A142" s="6" t="s">
        <v>712</v>
      </c>
      <c r="B142" s="2" t="s">
        <v>923</v>
      </c>
      <c r="C142" s="11" t="n">
        <f aca="false">VALUE(MID(A142,2,FIND(".",A142)-2))</f>
        <v>11</v>
      </c>
      <c r="D142" s="11" t="n">
        <f aca="false">COUNTIF(ER$6:ER$216,1)</f>
        <v>1</v>
      </c>
      <c r="E142" s="11" t="n">
        <f aca="false">COUNTIF($L142:$HN142,1)</f>
        <v>0</v>
      </c>
      <c r="F142" s="11" t="n">
        <f aca="false">IF(COUNTIF(ER$6:ER141,1)=0,0,1+_xlfn.MAXIFS($F$6:$F141,ER$6:ER141,1))</f>
        <v>2</v>
      </c>
      <c r="G142" s="11" t="n">
        <f aca="false">IF(F142=0,1,SUMIFS($G$6:$G141,ER$6:ER141,1,$F$6:$F141,F142-1))</f>
        <v>1</v>
      </c>
      <c r="H142" s="11" t="n">
        <f aca="false">IF($A142="T16.4",1,IF(COUNTIFS(ES142:HN142,1,ES$4:HN$4,1)&gt;0,1,0))</f>
        <v>0</v>
      </c>
    </row>
    <row r="143" customFormat="false" ht="15" hidden="false" customHeight="false" outlineLevel="0" collapsed="false">
      <c r="A143" s="6" t="s">
        <v>713</v>
      </c>
      <c r="B143" s="2" t="s">
        <v>924</v>
      </c>
      <c r="C143" s="11" t="n">
        <f aca="false">VALUE(MID(A143,2,FIND(".",A143)-2))</f>
        <v>11</v>
      </c>
      <c r="D143" s="11" t="n">
        <f aca="false">COUNTIF(ES$6:ES$216,1)</f>
        <v>1</v>
      </c>
      <c r="E143" s="11" t="n">
        <f aca="false">COUNTIF($L143:$HN143,1)</f>
        <v>0</v>
      </c>
      <c r="F143" s="11" t="n">
        <f aca="false">IF(COUNTIF(ES$6:ES142,1)=0,0,1+_xlfn.MAXIFS($F$6:$F142,ES$6:ES142,1))</f>
        <v>2</v>
      </c>
      <c r="G143" s="11" t="n">
        <f aca="false">IF(F143=0,1,SUMIFS($G$6:$G142,ES$6:ES142,1,$F$6:$F142,F143-1))</f>
        <v>2</v>
      </c>
      <c r="H143" s="11" t="n">
        <f aca="false">IF($A143="T16.4",1,IF(COUNTIFS(ET143:HN143,1,ET$4:HN$4,1)&gt;0,1,0))</f>
        <v>0</v>
      </c>
    </row>
    <row r="144" customFormat="false" ht="15" hidden="false" customHeight="false" outlineLevel="0" collapsed="false">
      <c r="A144" s="6" t="s">
        <v>714</v>
      </c>
      <c r="B144" s="2" t="s">
        <v>925</v>
      </c>
      <c r="C144" s="11" t="n">
        <f aca="false">VALUE(MID(A144,2,FIND(".",A144)-2))</f>
        <v>11</v>
      </c>
      <c r="D144" s="11" t="n">
        <f aca="false">COUNTIF(ET$6:ET$216,1)</f>
        <v>0</v>
      </c>
      <c r="E144" s="11" t="n">
        <f aca="false">COUNTIF($L144:$HN144,1)</f>
        <v>0</v>
      </c>
      <c r="F144" s="11" t="n">
        <f aca="false">IF(COUNTIF(ET$6:ET143,1)=0,0,1+_xlfn.MAXIFS($F$6:$F143,ET$6:ET143,1))</f>
        <v>0</v>
      </c>
      <c r="G144" s="11" t="n">
        <f aca="false">IF(F144=0,1,SUMIFS($G$6:$G143,ET$6:ET143,1,$F$6:$F143,F144-1))</f>
        <v>1</v>
      </c>
      <c r="H144" s="11" t="n">
        <f aca="false">IF($A144="T16.4",1,IF(COUNTIFS(EU144:HN144,1,EU$4:HN$4,1)&gt;0,1,0))</f>
        <v>0</v>
      </c>
    </row>
    <row r="145" customFormat="false" ht="15" hidden="false" customHeight="false" outlineLevel="0" collapsed="false">
      <c r="A145" s="6" t="s">
        <v>715</v>
      </c>
      <c r="B145" s="2" t="s">
        <v>926</v>
      </c>
      <c r="C145" s="11" t="n">
        <f aca="false">VALUE(MID(A145,2,FIND(".",A145)-2))</f>
        <v>12</v>
      </c>
      <c r="D145" s="11" t="n">
        <f aca="false">COUNTIF(EU$6:EU$216,1)</f>
        <v>3</v>
      </c>
      <c r="E145" s="11" t="n">
        <f aca="false">COUNTIF($L145:$HN145,1)</f>
        <v>0</v>
      </c>
      <c r="F145" s="11" t="n">
        <f aca="false">IF(COUNTIF(EU$6:EU144,1)=0,0,1+_xlfn.MAXIFS($F$6:$F144,EU$6:EU144,1))</f>
        <v>4</v>
      </c>
      <c r="G145" s="11" t="n">
        <f aca="false">IF(F145=0,1,SUMIFS($G$6:$G144,EU$6:EU144,1,$F$6:$F144,F145-1))</f>
        <v>1</v>
      </c>
      <c r="H145" s="11" t="n">
        <f aca="false">IF($A145="T16.4",1,IF(COUNTIFS(EV145:HN145,1,EV$4:HN$4,1)&gt;0,1,0))</f>
        <v>0</v>
      </c>
    </row>
    <row r="146" customFormat="false" ht="15" hidden="false" customHeight="false" outlineLevel="0" collapsed="false">
      <c r="A146" s="6" t="s">
        <v>716</v>
      </c>
      <c r="B146" s="2" t="s">
        <v>927</v>
      </c>
      <c r="C146" s="11" t="n">
        <f aca="false">VALUE(MID(A146,2,FIND(".",A146)-2))</f>
        <v>12</v>
      </c>
      <c r="D146" s="11" t="n">
        <f aca="false">COUNTIF(EV$6:EV$216,1)</f>
        <v>1</v>
      </c>
      <c r="E146" s="11" t="n">
        <f aca="false">COUNTIF($L146:$HN146,1)</f>
        <v>3</v>
      </c>
      <c r="F146" s="11" t="n">
        <f aca="false">IF(COUNTIF(EV$6:EV145,1)=0,0,1+_xlfn.MAXIFS($F$6:$F145,EV$6:EV145,1))</f>
        <v>5</v>
      </c>
      <c r="G146" s="11" t="n">
        <f aca="false">IF(F146=0,1,SUMIFS($G$6:$G145,EV$6:EV145,1,$F$6:$F145,F146-1))</f>
        <v>2</v>
      </c>
      <c r="H146" s="11" t="n">
        <f aca="false">IF($A146="T16.4",1,IF(COUNTIFS(EW146:HN146,1,EW$4:HN$4,1)&gt;0,1,0))</f>
        <v>1</v>
      </c>
      <c r="FB146" s="25" t="n">
        <v>1</v>
      </c>
      <c r="FI146" s="25" t="n">
        <v>1</v>
      </c>
      <c r="GM146" s="25" t="n">
        <v>1</v>
      </c>
    </row>
    <row r="147" customFormat="false" ht="15" hidden="false" customHeight="false" outlineLevel="0" collapsed="false">
      <c r="A147" s="6" t="s">
        <v>717</v>
      </c>
      <c r="B147" s="2" t="s">
        <v>928</v>
      </c>
      <c r="C147" s="11" t="n">
        <f aca="false">VALUE(MID(A147,2,FIND(".",A147)-2))</f>
        <v>12</v>
      </c>
      <c r="D147" s="11" t="n">
        <f aca="false">COUNTIF(EW$6:EW$216,1)</f>
        <v>0</v>
      </c>
      <c r="E147" s="11" t="n">
        <f aca="false">COUNTIF($L147:$HN147,1)</f>
        <v>0</v>
      </c>
      <c r="F147" s="11" t="n">
        <f aca="false">IF(COUNTIF(EW$6:EW146,1)=0,0,1+_xlfn.MAXIFS($F$6:$F146,EW$6:EW146,1))</f>
        <v>0</v>
      </c>
      <c r="G147" s="11" t="n">
        <f aca="false">IF(F147=0,1,SUMIFS($G$6:$G146,EW$6:EW146,1,$F$6:$F146,F147-1))</f>
        <v>1</v>
      </c>
      <c r="H147" s="11" t="n">
        <f aca="false">IF($A147="T16.4",1,IF(COUNTIFS(EX147:HN147,1,EX$4:HN$4,1)&gt;0,1,0))</f>
        <v>0</v>
      </c>
    </row>
    <row r="148" customFormat="false" ht="15" hidden="false" customHeight="false" outlineLevel="0" collapsed="false">
      <c r="A148" s="6" t="s">
        <v>718</v>
      </c>
      <c r="B148" s="2" t="s">
        <v>929</v>
      </c>
      <c r="C148" s="11" t="n">
        <f aca="false">VALUE(MID(A148,2,FIND(".",A148)-2))</f>
        <v>12</v>
      </c>
      <c r="D148" s="11" t="n">
        <f aca="false">COUNTIF(EX$6:EX$216,1)</f>
        <v>0</v>
      </c>
      <c r="E148" s="11" t="n">
        <f aca="false">COUNTIF($L148:$HN148,1)</f>
        <v>2</v>
      </c>
      <c r="F148" s="11" t="n">
        <f aca="false">IF(COUNTIF(EX$6:EX147,1)=0,0,1+_xlfn.MAXIFS($F$6:$F147,EX$6:EX147,1))</f>
        <v>0</v>
      </c>
      <c r="G148" s="11" t="n">
        <f aca="false">IF(F148=0,1,SUMIFS($G$6:$G147,EX$6:EX147,1,$F$6:$F147,F148-1))</f>
        <v>1</v>
      </c>
      <c r="H148" s="11" t="n">
        <f aca="false">IF($A148="T16.4",1,IF(COUNTIFS(EY148:HN148,1,EY$4:HN$4,1)&gt;0,1,0))</f>
        <v>0</v>
      </c>
      <c r="EZ148" s="25" t="n">
        <v>1</v>
      </c>
      <c r="FC148" s="25" t="n">
        <v>1</v>
      </c>
    </row>
    <row r="149" customFormat="false" ht="15" hidden="false" customHeight="false" outlineLevel="0" collapsed="false">
      <c r="A149" s="6" t="s">
        <v>719</v>
      </c>
      <c r="B149" s="2" t="s">
        <v>930</v>
      </c>
      <c r="C149" s="11" t="n">
        <f aca="false">VALUE(MID(A149,2,FIND(".",A149)-2))</f>
        <v>12</v>
      </c>
      <c r="D149" s="11" t="n">
        <f aca="false">COUNTIF(EY$6:EY$216,1)</f>
        <v>4</v>
      </c>
      <c r="E149" s="11" t="n">
        <f aca="false">COUNTIF($L149:$HN149,1)</f>
        <v>1</v>
      </c>
      <c r="F149" s="11" t="n">
        <f aca="false">IF(COUNTIF(EY$6:EY148,1)=0,0,1+_xlfn.MAXIFS($F$6:$F148,EY$6:EY148,1))</f>
        <v>8</v>
      </c>
      <c r="G149" s="11" t="n">
        <f aca="false">IF(F149=0,1,SUMIFS($G$6:$G148,EY$6:EY148,1,$F$6:$F148,F149-1))</f>
        <v>2</v>
      </c>
      <c r="H149" s="11" t="n">
        <f aca="false">IF($A149="T16.4",1,IF(COUNTIFS(EZ149:HN149,1,EZ$4:HN$4,1)&gt;0,1,0))</f>
        <v>0</v>
      </c>
      <c r="GD149" s="25" t="n">
        <v>1</v>
      </c>
    </row>
    <row r="150" customFormat="false" ht="15" hidden="false" customHeight="false" outlineLevel="0" collapsed="false">
      <c r="A150" s="6" t="s">
        <v>720</v>
      </c>
      <c r="B150" s="2" t="s">
        <v>931</v>
      </c>
      <c r="C150" s="11" t="n">
        <f aca="false">VALUE(MID(A150,2,FIND(".",A150)-2))</f>
        <v>12</v>
      </c>
      <c r="D150" s="11" t="n">
        <f aca="false">COUNTIF(EZ$6:EZ$216,1)</f>
        <v>2</v>
      </c>
      <c r="E150" s="11" t="n">
        <f aca="false">COUNTIF($L150:$HN150,1)</f>
        <v>1</v>
      </c>
      <c r="F150" s="11" t="n">
        <f aca="false">IF(COUNTIF(EZ$6:EZ149,1)=0,0,1+_xlfn.MAXIFS($F$6:$F149,EZ$6:EZ149,1))</f>
        <v>2</v>
      </c>
      <c r="G150" s="11" t="n">
        <f aca="false">IF(F150=0,1,SUMIFS($G$6:$G149,EZ$6:EZ149,1,$F$6:$F149,F150-1))</f>
        <v>1</v>
      </c>
      <c r="H150" s="11" t="n">
        <f aca="false">IF($A150="T16.4",1,IF(COUNTIFS(FA150:HN150,1,FA$4:HN$4,1)&gt;0,1,0))</f>
        <v>0</v>
      </c>
      <c r="FF150" s="25" t="n">
        <v>1</v>
      </c>
    </row>
    <row r="151" customFormat="false" ht="15" hidden="false" customHeight="false" outlineLevel="0" collapsed="false">
      <c r="A151" s="6" t="s">
        <v>721</v>
      </c>
      <c r="B151" s="2" t="s">
        <v>932</v>
      </c>
      <c r="C151" s="11" t="n">
        <f aca="false">VALUE(MID(A151,2,FIND(".",A151)-2))</f>
        <v>12</v>
      </c>
      <c r="D151" s="11" t="n">
        <f aca="false">COUNTIF(FA$6:FA$216,1)</f>
        <v>2</v>
      </c>
      <c r="E151" s="11" t="n">
        <f aca="false">COUNTIF($L151:$HN151,1)</f>
        <v>6</v>
      </c>
      <c r="F151" s="11" t="n">
        <f aca="false">IF(COUNTIF(FA$6:FA150,1)=0,0,1+_xlfn.MAXIFS($F$6:$F150,FA$6:FA150,1))</f>
        <v>1</v>
      </c>
      <c r="G151" s="11" t="n">
        <f aca="false">IF(F151=0,1,SUMIFS($G$6:$G150,FA$6:FA150,1,$F$6:$F150,F151-1))</f>
        <v>2</v>
      </c>
      <c r="H151" s="11" t="n">
        <f aca="false">IF($A151="T16.4",1,IF(COUNTIFS(FB151:HN151,1,FB$4:HN$4,1)&gt;0,1,0))</f>
        <v>1</v>
      </c>
      <c r="FD151" s="25" t="n">
        <v>1</v>
      </c>
      <c r="FE151" s="25" t="n">
        <v>1</v>
      </c>
      <c r="FK151" s="25" t="n">
        <v>1</v>
      </c>
      <c r="FL151" s="25" t="n">
        <v>1</v>
      </c>
      <c r="FM151" s="25" t="n">
        <v>1</v>
      </c>
      <c r="FZ151" s="25" t="n">
        <v>1</v>
      </c>
    </row>
    <row r="152" customFormat="false" ht="15" hidden="false" customHeight="false" outlineLevel="0" collapsed="false">
      <c r="A152" s="6" t="s">
        <v>722</v>
      </c>
      <c r="B152" s="2" t="s">
        <v>933</v>
      </c>
      <c r="C152" s="11" t="n">
        <f aca="false">VALUE(MID(A152,2,FIND(".",A152)-2))</f>
        <v>12</v>
      </c>
      <c r="D152" s="11" t="n">
        <f aca="false">COUNTIF(FB$6:FB$216,1)</f>
        <v>1</v>
      </c>
      <c r="E152" s="11" t="n">
        <f aca="false">COUNTIF($L152:$HN152,1)</f>
        <v>0</v>
      </c>
      <c r="F152" s="11" t="n">
        <f aca="false">IF(COUNTIF(FB$6:FB151,1)=0,0,1+_xlfn.MAXIFS($F$6:$F151,FB$6:FB151,1))</f>
        <v>6</v>
      </c>
      <c r="G152" s="11" t="n">
        <f aca="false">IF(F152=0,1,SUMIFS($G$6:$G151,FB$6:FB151,1,$F$6:$F151,F152-1))</f>
        <v>2</v>
      </c>
      <c r="H152" s="11" t="n">
        <f aca="false">IF($A152="T16.4",1,IF(COUNTIFS(FC152:HN152,1,FC$4:HN$4,1)&gt;0,1,0))</f>
        <v>0</v>
      </c>
    </row>
    <row r="153" customFormat="false" ht="15" hidden="false" customHeight="false" outlineLevel="0" collapsed="false">
      <c r="A153" s="6" t="s">
        <v>723</v>
      </c>
      <c r="B153" s="2" t="s">
        <v>934</v>
      </c>
      <c r="C153" s="11" t="n">
        <f aca="false">VALUE(MID(A153,2,FIND(".",A153)-2))</f>
        <v>12</v>
      </c>
      <c r="D153" s="11" t="n">
        <f aca="false">COUNTIF(FC$6:FC$216,1)</f>
        <v>1</v>
      </c>
      <c r="E153" s="11" t="n">
        <f aca="false">COUNTIF($L153:$HN153,1)</f>
        <v>0</v>
      </c>
      <c r="F153" s="11" t="n">
        <f aca="false">IF(COUNTIF(FC$6:FC152,1)=0,0,1+_xlfn.MAXIFS($F$6:$F152,FC$6:FC152,1))</f>
        <v>1</v>
      </c>
      <c r="G153" s="11" t="n">
        <f aca="false">IF(F153=0,1,SUMIFS($G$6:$G152,FC$6:FC152,1,$F$6:$F152,F153-1))</f>
        <v>1</v>
      </c>
      <c r="H153" s="11" t="n">
        <f aca="false">IF($A153="T16.4",1,IF(COUNTIFS(FD153:HN153,1,FD$4:HN$4,1)&gt;0,1,0))</f>
        <v>0</v>
      </c>
    </row>
    <row r="154" customFormat="false" ht="15" hidden="false" customHeight="false" outlineLevel="0" collapsed="false">
      <c r="A154" s="6" t="s">
        <v>724</v>
      </c>
      <c r="B154" s="2" t="s">
        <v>935</v>
      </c>
      <c r="C154" s="11" t="n">
        <f aca="false">VALUE(MID(A154,2,FIND(".",A154)-2))</f>
        <v>12</v>
      </c>
      <c r="D154" s="11" t="n">
        <f aca="false">COUNTIF(FD$6:FD$216,1)</f>
        <v>1</v>
      </c>
      <c r="E154" s="11" t="n">
        <f aca="false">COUNTIF($L154:$HN154,1)</f>
        <v>0</v>
      </c>
      <c r="F154" s="11" t="n">
        <f aca="false">IF(COUNTIF(FD$6:FD153,1)=0,0,1+_xlfn.MAXIFS($F$6:$F153,FD$6:FD153,1))</f>
        <v>2</v>
      </c>
      <c r="G154" s="11" t="n">
        <f aca="false">IF(F154=0,1,SUMIFS($G$6:$G153,FD$6:FD153,1,$F$6:$F153,F154-1))</f>
        <v>2</v>
      </c>
      <c r="H154" s="11" t="n">
        <f aca="false">IF($A154="T16.4",1,IF(COUNTIFS(FE154:HN154,1,FE$4:HN$4,1)&gt;0,1,0))</f>
        <v>0</v>
      </c>
    </row>
    <row r="155" customFormat="false" ht="15" hidden="false" customHeight="false" outlineLevel="0" collapsed="false">
      <c r="A155" s="6" t="s">
        <v>725</v>
      </c>
      <c r="B155" s="2" t="s">
        <v>936</v>
      </c>
      <c r="C155" s="11" t="n">
        <f aca="false">VALUE(MID(A155,2,FIND(".",A155)-2))</f>
        <v>12</v>
      </c>
      <c r="D155" s="11" t="n">
        <f aca="false">COUNTIF(FE$6:FE$216,1)</f>
        <v>1</v>
      </c>
      <c r="E155" s="11" t="n">
        <f aca="false">COUNTIF($L155:$HN155,1)</f>
        <v>1</v>
      </c>
      <c r="F155" s="11" t="n">
        <f aca="false">IF(COUNTIF(FE$6:FE154,1)=0,0,1+_xlfn.MAXIFS($F$6:$F154,FE$6:FE154,1))</f>
        <v>2</v>
      </c>
      <c r="G155" s="11" t="n">
        <f aca="false">IF(F155=0,1,SUMIFS($G$6:$G154,FE$6:FE154,1,$F$6:$F154,F155-1))</f>
        <v>2</v>
      </c>
      <c r="H155" s="11" t="n">
        <f aca="false">IF($A155="T16.4",1,IF(COUNTIFS(FF155:HN155,1,FF$4:HN$4,1)&gt;0,1,0))</f>
        <v>0</v>
      </c>
      <c r="GK155" s="25" t="n">
        <v>1</v>
      </c>
    </row>
    <row r="156" customFormat="false" ht="15" hidden="false" customHeight="false" outlineLevel="0" collapsed="false">
      <c r="A156" s="6" t="s">
        <v>726</v>
      </c>
      <c r="B156" s="2" t="s">
        <v>937</v>
      </c>
      <c r="C156" s="11" t="n">
        <f aca="false">VALUE(MID(A156,2,FIND(".",A156)-2))</f>
        <v>12</v>
      </c>
      <c r="D156" s="11" t="n">
        <f aca="false">COUNTIF(FF$6:FF$216,1)</f>
        <v>1</v>
      </c>
      <c r="E156" s="11" t="n">
        <f aca="false">COUNTIF($L156:$HN156,1)</f>
        <v>0</v>
      </c>
      <c r="F156" s="11" t="n">
        <f aca="false">IF(COUNTIF(FF$6:FF155,1)=0,0,1+_xlfn.MAXIFS($F$6:$F155,FF$6:FF155,1))</f>
        <v>3</v>
      </c>
      <c r="G156" s="11" t="n">
        <f aca="false">IF(F156=0,1,SUMIFS($G$6:$G155,FF$6:FF155,1,$F$6:$F155,F156-1))</f>
        <v>1</v>
      </c>
      <c r="H156" s="11" t="n">
        <f aca="false">IF($A156="T16.4",1,IF(COUNTIFS(FG156:HN156,1,FG$4:HN$4,1)&gt;0,1,0))</f>
        <v>0</v>
      </c>
    </row>
    <row r="157" customFormat="false" ht="15" hidden="false" customHeight="false" outlineLevel="0" collapsed="false">
      <c r="A157" s="6" t="s">
        <v>727</v>
      </c>
      <c r="B157" s="2" t="s">
        <v>938</v>
      </c>
      <c r="C157" s="11" t="n">
        <f aca="false">VALUE(MID(A157,2,FIND(".",A157)-2))</f>
        <v>12</v>
      </c>
      <c r="D157" s="11" t="n">
        <f aca="false">COUNTIF(FG$6:FG$216,1)</f>
        <v>0</v>
      </c>
      <c r="E157" s="11" t="n">
        <f aca="false">COUNTIF($L157:$HN157,1)</f>
        <v>0</v>
      </c>
      <c r="F157" s="11" t="n">
        <f aca="false">IF(COUNTIF(FG$6:FG156,1)=0,0,1+_xlfn.MAXIFS($F$6:$F156,FG$6:FG156,1))</f>
        <v>0</v>
      </c>
      <c r="G157" s="11" t="n">
        <f aca="false">IF(F157=0,1,SUMIFS($G$6:$G156,FG$6:FG156,1,$F$6:$F156,F157-1))</f>
        <v>1</v>
      </c>
      <c r="H157" s="11" t="n">
        <f aca="false">IF($A157="T16.4",1,IF(COUNTIFS(FH157:HN157,1,FH$4:HN$4,1)&gt;0,1,0))</f>
        <v>0</v>
      </c>
    </row>
    <row r="158" customFormat="false" ht="15" hidden="false" customHeight="false" outlineLevel="0" collapsed="false">
      <c r="A158" s="6" t="s">
        <v>728</v>
      </c>
      <c r="B158" s="2" t="s">
        <v>939</v>
      </c>
      <c r="C158" s="11" t="n">
        <f aca="false">VALUE(MID(A158,2,FIND(".",A158)-2))</f>
        <v>13</v>
      </c>
      <c r="D158" s="11" t="n">
        <f aca="false">COUNTIF(FH$6:FH$216,1)</f>
        <v>1</v>
      </c>
      <c r="E158" s="11" t="n">
        <f aca="false">COUNTIF($L158:$HN158,1)</f>
        <v>0</v>
      </c>
      <c r="F158" s="11" t="n">
        <f aca="false">IF(COUNTIF(FH$6:FH157,1)=0,0,1+_xlfn.MAXIFS($F$6:$F157,FH$6:FH157,1))</f>
        <v>3</v>
      </c>
      <c r="G158" s="11" t="n">
        <f aca="false">IF(F158=0,1,SUMIFS($G$6:$G157,FH$6:FH157,1,$F$6:$F157,F158-1))</f>
        <v>1</v>
      </c>
      <c r="H158" s="11" t="n">
        <f aca="false">IF($A158="T16.4",1,IF(COUNTIFS(FI158:HN158,1,FI$4:HN$4,1)&gt;0,1,0))</f>
        <v>0</v>
      </c>
    </row>
    <row r="159" customFormat="false" ht="15" hidden="false" customHeight="false" outlineLevel="0" collapsed="false">
      <c r="A159" s="6" t="s">
        <v>729</v>
      </c>
      <c r="B159" s="2" t="s">
        <v>940</v>
      </c>
      <c r="C159" s="11" t="n">
        <f aca="false">VALUE(MID(A159,2,FIND(".",A159)-2))</f>
        <v>13</v>
      </c>
      <c r="D159" s="11" t="n">
        <f aca="false">COUNTIF(FI$6:FI$216,1)</f>
        <v>7</v>
      </c>
      <c r="E159" s="11" t="n">
        <f aca="false">COUNTIF($L159:$HN159,1)</f>
        <v>8</v>
      </c>
      <c r="F159" s="11" t="n">
        <f aca="false">IF(COUNTIF(FI$6:FI158,1)=0,0,1+_xlfn.MAXIFS($F$6:$F158,FI$6:FI158,1))</f>
        <v>6</v>
      </c>
      <c r="G159" s="11" t="n">
        <f aca="false">IF(F159=0,1,SUMIFS($G$6:$G158,FI$6:FI158,1,$F$6:$F158,F159-1))</f>
        <v>2</v>
      </c>
      <c r="H159" s="11" t="n">
        <f aca="false">IF($A159="T16.4",1,IF(COUNTIFS(FJ159:HN159,1,FJ$4:HN$4,1)&gt;0,1,0))</f>
        <v>1</v>
      </c>
      <c r="FJ159" s="25" t="n">
        <v>1</v>
      </c>
      <c r="FO159" s="25" t="n">
        <v>1</v>
      </c>
      <c r="FQ159" s="25" t="n">
        <v>1</v>
      </c>
      <c r="GH159" s="25" t="n">
        <v>1</v>
      </c>
      <c r="GI159" s="25" t="n">
        <v>1</v>
      </c>
      <c r="HG159" s="25" t="n">
        <v>1</v>
      </c>
      <c r="HK159" s="25" t="n">
        <v>1</v>
      </c>
      <c r="HN159" s="25" t="n">
        <v>1</v>
      </c>
    </row>
    <row r="160" customFormat="false" ht="15" hidden="false" customHeight="false" outlineLevel="0" collapsed="false">
      <c r="A160" s="6" t="s">
        <v>730</v>
      </c>
      <c r="B160" s="2" t="s">
        <v>941</v>
      </c>
      <c r="C160" s="11" t="n">
        <f aca="false">VALUE(MID(A160,2,FIND(".",A160)-2))</f>
        <v>13</v>
      </c>
      <c r="D160" s="11" t="n">
        <f aca="false">COUNTIF(FJ$6:FJ$216,1)</f>
        <v>2</v>
      </c>
      <c r="E160" s="11" t="n">
        <f aca="false">COUNTIF($L160:$HN160,1)</f>
        <v>2</v>
      </c>
      <c r="F160" s="11" t="n">
        <f aca="false">IF(COUNTIF(FJ$6:FJ159,1)=0,0,1+_xlfn.MAXIFS($F$6:$F159,FJ$6:FJ159,1))</f>
        <v>7</v>
      </c>
      <c r="G160" s="11" t="n">
        <f aca="false">IF(F160=0,1,SUMIFS($G$6:$G159,FJ$6:FJ159,1,$F$6:$F159,F160-1))</f>
        <v>2</v>
      </c>
      <c r="H160" s="11" t="n">
        <f aca="false">IF($A160="T16.4",1,IF(COUNTIFS(FK160:HN160,1,FK$4:HN$4,1)&gt;0,1,0))</f>
        <v>0</v>
      </c>
      <c r="FQ160" s="25" t="n">
        <v>1</v>
      </c>
      <c r="FT160" s="25" t="n">
        <v>1</v>
      </c>
    </row>
    <row r="161" customFormat="false" ht="15" hidden="false" customHeight="false" outlineLevel="0" collapsed="false">
      <c r="A161" s="6" t="s">
        <v>731</v>
      </c>
      <c r="B161" s="2" t="s">
        <v>942</v>
      </c>
      <c r="C161" s="11" t="n">
        <f aca="false">VALUE(MID(A161,2,FIND(".",A161)-2))</f>
        <v>13</v>
      </c>
      <c r="D161" s="11" t="n">
        <f aca="false">COUNTIF(FK$6:FK$216,1)</f>
        <v>1</v>
      </c>
      <c r="E161" s="11" t="n">
        <f aca="false">COUNTIF($L161:$HN161,1)</f>
        <v>6</v>
      </c>
      <c r="F161" s="11" t="n">
        <f aca="false">IF(COUNTIF(FK$6:FK160,1)=0,0,1+_xlfn.MAXIFS($F$6:$F160,FK$6:FK160,1))</f>
        <v>2</v>
      </c>
      <c r="G161" s="11" t="n">
        <f aca="false">IF(F161=0,1,SUMIFS($G$6:$G160,FK$6:FK160,1,$F$6:$F160,F161-1))</f>
        <v>2</v>
      </c>
      <c r="H161" s="11" t="n">
        <f aca="false">IF($A161="T16.4",1,IF(COUNTIFS(FL161:HN161,1,FL$4:HN$4,1)&gt;0,1,0))</f>
        <v>1</v>
      </c>
      <c r="FL161" s="25" t="n">
        <v>1</v>
      </c>
      <c r="FO161" s="25" t="n">
        <v>1</v>
      </c>
      <c r="FY161" s="25" t="n">
        <v>1</v>
      </c>
      <c r="FZ161" s="25" t="n">
        <v>1</v>
      </c>
      <c r="GA161" s="25" t="n">
        <v>1</v>
      </c>
      <c r="GV161" s="25" t="n">
        <v>1</v>
      </c>
    </row>
    <row r="162" customFormat="false" ht="15" hidden="false" customHeight="false" outlineLevel="0" collapsed="false">
      <c r="A162" s="6" t="s">
        <v>732</v>
      </c>
      <c r="B162" s="2" t="s">
        <v>943</v>
      </c>
      <c r="C162" s="11" t="n">
        <f aca="false">VALUE(MID(A162,2,FIND(".",A162)-2))</f>
        <v>13</v>
      </c>
      <c r="D162" s="11" t="n">
        <f aca="false">COUNTIF(FL$6:FL$216,1)</f>
        <v>2</v>
      </c>
      <c r="E162" s="11" t="n">
        <f aca="false">COUNTIF($L162:$HN162,1)</f>
        <v>1</v>
      </c>
      <c r="F162" s="11" t="n">
        <f aca="false">IF(COUNTIF(FL$6:FL161,1)=0,0,1+_xlfn.MAXIFS($F$6:$F161,FL$6:FL161,1))</f>
        <v>3</v>
      </c>
      <c r="G162" s="11" t="n">
        <f aca="false">IF(F162=0,1,SUMIFS($G$6:$G161,FL$6:FL161,1,$F$6:$F161,F162-1))</f>
        <v>2</v>
      </c>
      <c r="H162" s="11" t="n">
        <f aca="false">IF($A162="T16.4",1,IF(COUNTIFS(FM162:HN162,1,FM$4:HN$4,1)&gt;0,1,0))</f>
        <v>0</v>
      </c>
      <c r="FM162" s="25" t="n">
        <v>1</v>
      </c>
    </row>
    <row r="163" customFormat="false" ht="15" hidden="false" customHeight="false" outlineLevel="0" collapsed="false">
      <c r="A163" s="6" t="s">
        <v>733</v>
      </c>
      <c r="B163" s="2" t="s">
        <v>944</v>
      </c>
      <c r="C163" s="11" t="n">
        <f aca="false">VALUE(MID(A163,2,FIND(".",A163)-2))</f>
        <v>13</v>
      </c>
      <c r="D163" s="11" t="n">
        <f aca="false">COUNTIF(FM$6:FM$216,1)</f>
        <v>2</v>
      </c>
      <c r="E163" s="11" t="n">
        <f aca="false">COUNTIF($L163:$HN163,1)</f>
        <v>0</v>
      </c>
      <c r="F163" s="11" t="n">
        <f aca="false">IF(COUNTIF(FM$6:FM162,1)=0,0,1+_xlfn.MAXIFS($F$6:$F162,FM$6:FM162,1))</f>
        <v>4</v>
      </c>
      <c r="G163" s="11" t="n">
        <f aca="false">IF(F163=0,1,SUMIFS($G$6:$G162,FM$6:FM162,1,$F$6:$F162,F163-1))</f>
        <v>2</v>
      </c>
      <c r="H163" s="11" t="n">
        <f aca="false">IF($A163="T16.4",1,IF(COUNTIFS(FN163:HN163,1,FN$4:HN$4,1)&gt;0,1,0))</f>
        <v>0</v>
      </c>
    </row>
    <row r="164" customFormat="false" ht="15" hidden="false" customHeight="false" outlineLevel="0" collapsed="false">
      <c r="A164" s="6" t="s">
        <v>734</v>
      </c>
      <c r="B164" s="2" t="s">
        <v>945</v>
      </c>
      <c r="C164" s="11" t="n">
        <f aca="false">VALUE(MID(A164,2,FIND(".",A164)-2))</f>
        <v>13</v>
      </c>
      <c r="D164" s="11" t="n">
        <f aca="false">COUNTIF(FN$6:FN$216,1)</f>
        <v>0</v>
      </c>
      <c r="E164" s="11" t="n">
        <f aca="false">COUNTIF($L164:$HN164,1)</f>
        <v>1</v>
      </c>
      <c r="F164" s="11" t="n">
        <f aca="false">IF(COUNTIF(FN$6:FN163,1)=0,0,1+_xlfn.MAXIFS($F$6:$F163,FN$6:FN163,1))</f>
        <v>0</v>
      </c>
      <c r="G164" s="11" t="n">
        <f aca="false">IF(F164=0,1,SUMIFS($G$6:$G163,FN$6:FN163,1,$F$6:$F163,F164-1))</f>
        <v>1</v>
      </c>
      <c r="H164" s="11" t="n">
        <f aca="false">IF($A164="T16.4",1,IF(COUNTIFS(FO164:HN164,1,FO$4:HN$4,1)&gt;0,1,0))</f>
        <v>0</v>
      </c>
      <c r="GL164" s="25" t="n">
        <v>1</v>
      </c>
    </row>
    <row r="165" customFormat="false" ht="15" hidden="false" customHeight="false" outlineLevel="0" collapsed="false">
      <c r="A165" s="6" t="s">
        <v>735</v>
      </c>
      <c r="B165" s="2" t="s">
        <v>946</v>
      </c>
      <c r="C165" s="11" t="n">
        <f aca="false">VALUE(MID(A165,2,FIND(".",A165)-2))</f>
        <v>13</v>
      </c>
      <c r="D165" s="11" t="n">
        <f aca="false">COUNTIF(FO$6:FO$216,1)</f>
        <v>5</v>
      </c>
      <c r="E165" s="11" t="n">
        <f aca="false">COUNTIF($L165:$HN165,1)</f>
        <v>9</v>
      </c>
      <c r="F165" s="11" t="n">
        <f aca="false">IF(COUNTIF(FO$6:FO164,1)=0,0,1+_xlfn.MAXIFS($F$6:$F164,FO$6:FO164,1))</f>
        <v>7</v>
      </c>
      <c r="G165" s="11" t="n">
        <f aca="false">IF(F165=0,1,SUMIFS($G$6:$G164,FO$6:FO164,1,$F$6:$F164,F165-1))</f>
        <v>2</v>
      </c>
      <c r="H165" s="11" t="n">
        <f aca="false">IF($A165="T16.4",1,IF(COUNTIFS(FP165:HN165,1,FP$4:HN$4,1)&gt;0,1,0))</f>
        <v>1</v>
      </c>
      <c r="FP165" s="25" t="n">
        <v>1</v>
      </c>
      <c r="FQ165" s="25" t="n">
        <v>1</v>
      </c>
      <c r="FS165" s="25" t="n">
        <v>1</v>
      </c>
      <c r="GC165" s="25" t="n">
        <v>1</v>
      </c>
      <c r="GD165" s="25" t="n">
        <v>1</v>
      </c>
      <c r="GH165" s="25" t="n">
        <v>1</v>
      </c>
      <c r="GR165" s="25" t="n">
        <v>1</v>
      </c>
      <c r="HD165" s="25" t="n">
        <v>1</v>
      </c>
      <c r="HN165" s="25" t="n">
        <v>1</v>
      </c>
    </row>
    <row r="166" customFormat="false" ht="15" hidden="false" customHeight="false" outlineLevel="0" collapsed="false">
      <c r="A166" s="6" t="s">
        <v>736</v>
      </c>
      <c r="B166" s="2" t="s">
        <v>947</v>
      </c>
      <c r="C166" s="11" t="n">
        <f aca="false">VALUE(MID(A166,2,FIND(".",A166)-2))</f>
        <v>13</v>
      </c>
      <c r="D166" s="11" t="n">
        <f aca="false">COUNTIF(FP$6:FP$216,1)</f>
        <v>4</v>
      </c>
      <c r="E166" s="11" t="n">
        <f aca="false">COUNTIF($L166:$HN166,1)</f>
        <v>2</v>
      </c>
      <c r="F166" s="11" t="n">
        <f aca="false">IF(COUNTIF(FP$6:FP165,1)=0,0,1+_xlfn.MAXIFS($F$6:$F165,FP$6:FP165,1))</f>
        <v>8</v>
      </c>
      <c r="G166" s="11" t="n">
        <f aca="false">IF(F166=0,1,SUMIFS($G$6:$G165,FP$6:FP165,1,$F$6:$F165,F166-1))</f>
        <v>2</v>
      </c>
      <c r="H166" s="11" t="n">
        <f aca="false">IF($A166="T16.4",1,IF(COUNTIFS(FQ166:HN166,1,FQ$4:HN$4,1)&gt;0,1,0))</f>
        <v>1</v>
      </c>
      <c r="GJ166" s="25" t="n">
        <v>1</v>
      </c>
      <c r="HK166" s="25" t="n">
        <v>1</v>
      </c>
    </row>
    <row r="167" customFormat="false" ht="15" hidden="false" customHeight="false" outlineLevel="0" collapsed="false">
      <c r="A167" s="6" t="s">
        <v>737</v>
      </c>
      <c r="B167" s="2" t="s">
        <v>948</v>
      </c>
      <c r="C167" s="11" t="n">
        <f aca="false">VALUE(MID(A167,2,FIND(".",A167)-2))</f>
        <v>13</v>
      </c>
      <c r="D167" s="11" t="n">
        <f aca="false">COUNTIF(FQ$6:FQ$216,1)</f>
        <v>8</v>
      </c>
      <c r="E167" s="11" t="n">
        <f aca="false">COUNTIF($L167:$HN167,1)</f>
        <v>2</v>
      </c>
      <c r="F167" s="11" t="n">
        <f aca="false">IF(COUNTIF(FQ$6:FQ166,1)=0,0,1+_xlfn.MAXIFS($F$6:$F166,FQ$6:FQ166,1))</f>
        <v>8</v>
      </c>
      <c r="G167" s="11" t="n">
        <f aca="false">IF(F167=0,1,SUMIFS($G$6:$G166,FQ$6:FQ166,1,$F$6:$F166,F167-1))</f>
        <v>4</v>
      </c>
      <c r="H167" s="11" t="n">
        <f aca="false">IF($A167="T16.4",1,IF(COUNTIFS(FR167:HN167,1,FR$4:HN$4,1)&gt;0,1,0))</f>
        <v>0</v>
      </c>
      <c r="FT167" s="25" t="n">
        <v>1</v>
      </c>
      <c r="GD167" s="25" t="n">
        <v>1</v>
      </c>
    </row>
    <row r="168" customFormat="false" ht="15" hidden="false" customHeight="false" outlineLevel="0" collapsed="false">
      <c r="A168" s="6" t="s">
        <v>738</v>
      </c>
      <c r="B168" s="2" t="s">
        <v>949</v>
      </c>
      <c r="C168" s="11" t="n">
        <f aca="false">VALUE(MID(A168,2,FIND(".",A168)-2))</f>
        <v>13</v>
      </c>
      <c r="D168" s="11" t="n">
        <f aca="false">COUNTIF(FR$6:FR$216,1)</f>
        <v>0</v>
      </c>
      <c r="E168" s="11" t="n">
        <f aca="false">COUNTIF($L168:$HN168,1)</f>
        <v>0</v>
      </c>
      <c r="F168" s="11" t="n">
        <f aca="false">IF(COUNTIF(FR$6:FR167,1)=0,0,1+_xlfn.MAXIFS($F$6:$F167,FR$6:FR167,1))</f>
        <v>0</v>
      </c>
      <c r="G168" s="11" t="n">
        <f aca="false">IF(F168=0,1,SUMIFS($G$6:$G167,FR$6:FR167,1,$F$6:$F167,F168-1))</f>
        <v>1</v>
      </c>
      <c r="H168" s="11" t="n">
        <f aca="false">IF($A168="T16.4",1,IF(COUNTIFS(FS168:HN168,1,FS$4:HN$4,1)&gt;0,1,0))</f>
        <v>0</v>
      </c>
    </row>
    <row r="169" customFormat="false" ht="15" hidden="false" customHeight="false" outlineLevel="0" collapsed="false">
      <c r="A169" s="6" t="s">
        <v>739</v>
      </c>
      <c r="B169" s="2" t="s">
        <v>950</v>
      </c>
      <c r="C169" s="11" t="n">
        <f aca="false">VALUE(MID(A169,2,FIND(".",A169)-2))</f>
        <v>13</v>
      </c>
      <c r="D169" s="11" t="n">
        <f aca="false">COUNTIF(FS$6:FS$216,1)</f>
        <v>1</v>
      </c>
      <c r="E169" s="11" t="n">
        <f aca="false">COUNTIF($L169:$HN169,1)</f>
        <v>0</v>
      </c>
      <c r="F169" s="11" t="n">
        <f aca="false">IF(COUNTIF(FS$6:FS168,1)=0,0,1+_xlfn.MAXIFS($F$6:$F168,FS$6:FS168,1))</f>
        <v>8</v>
      </c>
      <c r="G169" s="11" t="n">
        <f aca="false">IF(F169=0,1,SUMIFS($G$6:$G168,FS$6:FS168,1,$F$6:$F168,F169-1))</f>
        <v>2</v>
      </c>
      <c r="H169" s="11" t="n">
        <f aca="false">IF($A169="T16.4",1,IF(COUNTIFS(FT169:HN169,1,FT$4:HN$4,1)&gt;0,1,0))</f>
        <v>0</v>
      </c>
    </row>
    <row r="170" customFormat="false" ht="15" hidden="false" customHeight="false" outlineLevel="0" collapsed="false">
      <c r="A170" s="6" t="s">
        <v>740</v>
      </c>
      <c r="B170" s="2" t="s">
        <v>951</v>
      </c>
      <c r="C170" s="11" t="n">
        <f aca="false">VALUE(MID(A170,2,FIND(".",A170)-2))</f>
        <v>13</v>
      </c>
      <c r="D170" s="11" t="n">
        <f aca="false">COUNTIF(FT$6:FT$216,1)</f>
        <v>2</v>
      </c>
      <c r="E170" s="11" t="n">
        <f aca="false">COUNTIF($L170:$HN170,1)</f>
        <v>0</v>
      </c>
      <c r="F170" s="11" t="n">
        <f aca="false">IF(COUNTIF(FT$6:FT169,1)=0,0,1+_xlfn.MAXIFS($F$6:$F169,FT$6:FT169,1))</f>
        <v>9</v>
      </c>
      <c r="G170" s="11" t="n">
        <f aca="false">IF(F170=0,1,SUMIFS($G$6:$G169,FT$6:FT169,1,$F$6:$F169,F170-1))</f>
        <v>4</v>
      </c>
      <c r="H170" s="11" t="n">
        <f aca="false">IF($A170="T16.4",1,IF(COUNTIFS(FU170:HN170,1,FU$4:HN$4,1)&gt;0,1,0))</f>
        <v>0</v>
      </c>
    </row>
    <row r="171" customFormat="false" ht="15" hidden="false" customHeight="false" outlineLevel="0" collapsed="false">
      <c r="A171" s="6" t="s">
        <v>741</v>
      </c>
      <c r="B171" s="2" t="s">
        <v>952</v>
      </c>
      <c r="C171" s="11" t="n">
        <f aca="false">VALUE(MID(A171,2,FIND(".",A171)-2))</f>
        <v>13</v>
      </c>
      <c r="D171" s="11" t="n">
        <f aca="false">COUNTIF(FU$6:FU$216,1)</f>
        <v>0</v>
      </c>
      <c r="E171" s="11" t="n">
        <f aca="false">COUNTIF($L171:$HN171,1)</f>
        <v>0</v>
      </c>
      <c r="F171" s="11" t="n">
        <f aca="false">IF(COUNTIF(FU$6:FU170,1)=0,0,1+_xlfn.MAXIFS($F$6:$F170,FU$6:FU170,1))</f>
        <v>0</v>
      </c>
      <c r="G171" s="11" t="n">
        <f aca="false">IF(F171=0,1,SUMIFS($G$6:$G170,FU$6:FU170,1,$F$6:$F170,F171-1))</f>
        <v>1</v>
      </c>
      <c r="H171" s="11" t="n">
        <f aca="false">IF($A171="T16.4",1,IF(COUNTIFS(FV171:HN171,1,FV$4:HN$4,1)&gt;0,1,0))</f>
        <v>0</v>
      </c>
    </row>
    <row r="172" customFormat="false" ht="15" hidden="false" customHeight="false" outlineLevel="0" collapsed="false">
      <c r="A172" s="6" t="s">
        <v>742</v>
      </c>
      <c r="B172" s="2" t="s">
        <v>953</v>
      </c>
      <c r="C172" s="11" t="n">
        <f aca="false">VALUE(MID(A172,2,FIND(".",A172)-2))</f>
        <v>14</v>
      </c>
      <c r="D172" s="11" t="n">
        <f aca="false">COUNTIF(FV$6:FV$216,1)</f>
        <v>0</v>
      </c>
      <c r="E172" s="11" t="n">
        <f aca="false">COUNTIF($L172:$HN172,1)</f>
        <v>0</v>
      </c>
      <c r="F172" s="11" t="n">
        <f aca="false">IF(COUNTIF(FV$6:FV171,1)=0,0,1+_xlfn.MAXIFS($F$6:$F171,FV$6:FV171,1))</f>
        <v>0</v>
      </c>
      <c r="G172" s="11" t="n">
        <f aca="false">IF(F172=0,1,SUMIFS($G$6:$G171,FV$6:FV171,1,$F$6:$F171,F172-1))</f>
        <v>1</v>
      </c>
      <c r="H172" s="11" t="n">
        <f aca="false">IF($A172="T16.4",1,IF(COUNTIFS(FW172:HN172,1,FW$4:HN$4,1)&gt;0,1,0))</f>
        <v>0</v>
      </c>
    </row>
    <row r="173" customFormat="false" ht="15" hidden="false" customHeight="false" outlineLevel="0" collapsed="false">
      <c r="A173" s="6" t="s">
        <v>743</v>
      </c>
      <c r="B173" s="2" t="s">
        <v>954</v>
      </c>
      <c r="C173" s="11" t="n">
        <f aca="false">VALUE(MID(A173,2,FIND(".",A173)-2))</f>
        <v>14</v>
      </c>
      <c r="D173" s="11" t="n">
        <f aca="false">COUNTIF(FW$6:FW$216,1)</f>
        <v>0</v>
      </c>
      <c r="E173" s="11" t="n">
        <f aca="false">COUNTIF($L173:$HN173,1)</f>
        <v>2</v>
      </c>
      <c r="F173" s="11" t="n">
        <f aca="false">IF(COUNTIF(FW$6:FW172,1)=0,0,1+_xlfn.MAXIFS($F$6:$F172,FW$6:FW172,1))</f>
        <v>0</v>
      </c>
      <c r="G173" s="11" t="n">
        <f aca="false">IF(F173=0,1,SUMIFS($G$6:$G172,FW$6:FW172,1,$F$6:$F172,F173-1))</f>
        <v>1</v>
      </c>
      <c r="H173" s="11" t="n">
        <f aca="false">IF($A173="T16.4",1,IF(COUNTIFS(FX173:HN173,1,FX$4:HN$4,1)&gt;0,1,0))</f>
        <v>1</v>
      </c>
      <c r="GJ173" s="25" t="n">
        <v>1</v>
      </c>
      <c r="HH173" s="25" t="n">
        <v>1</v>
      </c>
    </row>
    <row r="174" customFormat="false" ht="15" hidden="false" customHeight="false" outlineLevel="0" collapsed="false">
      <c r="A174" s="6" t="s">
        <v>744</v>
      </c>
      <c r="B174" s="2" t="s">
        <v>955</v>
      </c>
      <c r="C174" s="11" t="n">
        <f aca="false">VALUE(MID(A174,2,FIND(".",A174)-2))</f>
        <v>14</v>
      </c>
      <c r="D174" s="11" t="n">
        <f aca="false">COUNTIF(FX$6:FX$216,1)</f>
        <v>3</v>
      </c>
      <c r="E174" s="11" t="n">
        <f aca="false">COUNTIF($L174:$HN174,1)</f>
        <v>3</v>
      </c>
      <c r="F174" s="11" t="n">
        <f aca="false">IF(COUNTIF(FX$6:FX173,1)=0,0,1+_xlfn.MAXIFS($F$6:$F173,FX$6:FX173,1))</f>
        <v>6</v>
      </c>
      <c r="G174" s="11" t="n">
        <f aca="false">IF(F174=0,1,SUMIFS($G$6:$G173,FX$6:FX173,1,$F$6:$F173,F174-1))</f>
        <v>2</v>
      </c>
      <c r="H174" s="11" t="n">
        <f aca="false">IF($A174="T16.4",1,IF(COUNTIFS(FY174:HN174,1,FY$4:HN$4,1)&gt;0,1,0))</f>
        <v>1</v>
      </c>
      <c r="FZ174" s="25" t="n">
        <v>1</v>
      </c>
      <c r="GJ174" s="25" t="n">
        <v>1</v>
      </c>
      <c r="GV174" s="25" t="n">
        <v>1</v>
      </c>
    </row>
    <row r="175" customFormat="false" ht="15" hidden="false" customHeight="false" outlineLevel="0" collapsed="false">
      <c r="A175" s="6" t="s">
        <v>745</v>
      </c>
      <c r="B175" s="2" t="s">
        <v>956</v>
      </c>
      <c r="C175" s="11" t="n">
        <f aca="false">VALUE(MID(A175,2,FIND(".",A175)-2))</f>
        <v>14</v>
      </c>
      <c r="D175" s="11" t="n">
        <f aca="false">COUNTIF(FY$6:FY$216,1)</f>
        <v>1</v>
      </c>
      <c r="E175" s="11" t="n">
        <f aca="false">COUNTIF($L175:$HN175,1)</f>
        <v>0</v>
      </c>
      <c r="F175" s="11" t="n">
        <f aca="false">IF(COUNTIF(FY$6:FY174,1)=0,0,1+_xlfn.MAXIFS($F$6:$F174,FY$6:FY174,1))</f>
        <v>3</v>
      </c>
      <c r="G175" s="11" t="n">
        <f aca="false">IF(F175=0,1,SUMIFS($G$6:$G174,FY$6:FY174,1,$F$6:$F174,F175-1))</f>
        <v>2</v>
      </c>
      <c r="H175" s="11" t="n">
        <f aca="false">IF($A175="T16.4",1,IF(COUNTIFS(FZ175:HN175,1,FZ$4:HN$4,1)&gt;0,1,0))</f>
        <v>0</v>
      </c>
    </row>
    <row r="176" customFormat="false" ht="15" hidden="false" customHeight="false" outlineLevel="0" collapsed="false">
      <c r="A176" s="6" t="s">
        <v>746</v>
      </c>
      <c r="B176" s="2" t="s">
        <v>957</v>
      </c>
      <c r="C176" s="11" t="n">
        <f aca="false">VALUE(MID(A176,2,FIND(".",A176)-2))</f>
        <v>14</v>
      </c>
      <c r="D176" s="11" t="n">
        <f aca="false">COUNTIF(FZ$6:FZ$216,1)</f>
        <v>3</v>
      </c>
      <c r="E176" s="11" t="n">
        <f aca="false">COUNTIF($L176:$HN176,1)</f>
        <v>5</v>
      </c>
      <c r="F176" s="11" t="n">
        <f aca="false">IF(COUNTIF(FZ$6:FZ175,1)=0,0,1+_xlfn.MAXIFS($F$6:$F175,FZ$6:FZ175,1))</f>
        <v>7</v>
      </c>
      <c r="G176" s="11" t="n">
        <f aca="false">IF(F176=0,1,SUMIFS($G$6:$G175,FZ$6:FZ175,1,$F$6:$F175,F176-1))</f>
        <v>2</v>
      </c>
      <c r="H176" s="11" t="n">
        <f aca="false">IF($A176="T16.4",1,IF(COUNTIFS(GA176:HN176,1,GA$4:HN$4,1)&gt;0,1,0))</f>
        <v>1</v>
      </c>
      <c r="GA176" s="25" t="n">
        <v>1</v>
      </c>
      <c r="GJ176" s="25" t="n">
        <v>1</v>
      </c>
      <c r="GO176" s="25" t="n">
        <v>1</v>
      </c>
      <c r="GS176" s="25" t="n">
        <v>1</v>
      </c>
      <c r="GX176" s="25" t="n">
        <v>1</v>
      </c>
    </row>
    <row r="177" customFormat="false" ht="15" hidden="false" customHeight="false" outlineLevel="0" collapsed="false">
      <c r="A177" s="6" t="s">
        <v>747</v>
      </c>
      <c r="B177" s="2" t="s">
        <v>958</v>
      </c>
      <c r="C177" s="11" t="n">
        <f aca="false">VALUE(MID(A177,2,FIND(".",A177)-2))</f>
        <v>14</v>
      </c>
      <c r="D177" s="11" t="n">
        <f aca="false">COUNTIF(GA$6:GA$216,1)</f>
        <v>3</v>
      </c>
      <c r="E177" s="11" t="n">
        <f aca="false">COUNTIF($L177:$HN177,1)</f>
        <v>1</v>
      </c>
      <c r="F177" s="11" t="n">
        <f aca="false">IF(COUNTIF(GA$6:GA176,1)=0,0,1+_xlfn.MAXIFS($F$6:$F176,GA$6:GA176,1))</f>
        <v>8</v>
      </c>
      <c r="G177" s="11" t="n">
        <f aca="false">IF(F177=0,1,SUMIFS($G$6:$G176,GA$6:GA176,1,$F$6:$F176,F177-1))</f>
        <v>2</v>
      </c>
      <c r="H177" s="11" t="n">
        <f aca="false">IF($A177="T16.4",1,IF(COUNTIFS(GB177:HN177,1,GB$4:HN$4,1)&gt;0,1,0))</f>
        <v>1</v>
      </c>
      <c r="GJ177" s="25" t="n">
        <v>1</v>
      </c>
    </row>
    <row r="178" customFormat="false" ht="15" hidden="false" customHeight="false" outlineLevel="0" collapsed="false">
      <c r="A178" s="6" t="s">
        <v>748</v>
      </c>
      <c r="B178" s="2" t="s">
        <v>959</v>
      </c>
      <c r="C178" s="11" t="n">
        <f aca="false">VALUE(MID(A178,2,FIND(".",A178)-2))</f>
        <v>14</v>
      </c>
      <c r="D178" s="11" t="n">
        <f aca="false">COUNTIF(GB$6:GB$216,1)</f>
        <v>0</v>
      </c>
      <c r="E178" s="11" t="n">
        <f aca="false">COUNTIF($L178:$HN178,1)</f>
        <v>0</v>
      </c>
      <c r="F178" s="11" t="n">
        <f aca="false">IF(COUNTIF(GB$6:GB177,1)=0,0,1+_xlfn.MAXIFS($F$6:$F177,GB$6:GB177,1))</f>
        <v>0</v>
      </c>
      <c r="G178" s="11" t="n">
        <f aca="false">IF(F178=0,1,SUMIFS($G$6:$G177,GB$6:GB177,1,$F$6:$F177,F178-1))</f>
        <v>1</v>
      </c>
      <c r="H178" s="11" t="n">
        <f aca="false">IF($A178="T16.4",1,IF(COUNTIFS(GC178:HN178,1,GC$4:HN$4,1)&gt;0,1,0))</f>
        <v>0</v>
      </c>
    </row>
    <row r="179" customFormat="false" ht="15" hidden="false" customHeight="false" outlineLevel="0" collapsed="false">
      <c r="A179" s="6" t="s">
        <v>749</v>
      </c>
      <c r="B179" s="2" t="s">
        <v>960</v>
      </c>
      <c r="C179" s="11" t="n">
        <f aca="false">VALUE(MID(A179,2,FIND(".",A179)-2))</f>
        <v>14</v>
      </c>
      <c r="D179" s="11" t="n">
        <f aca="false">COUNTIF(GC$6:GC$216,1)</f>
        <v>3</v>
      </c>
      <c r="E179" s="11" t="n">
        <f aca="false">COUNTIF($L179:$HN179,1)</f>
        <v>8</v>
      </c>
      <c r="F179" s="11" t="n">
        <f aca="false">IF(COUNTIF(GC$6:GC178,1)=0,0,1+_xlfn.MAXIFS($F$6:$F178,GC$6:GC178,1))</f>
        <v>8</v>
      </c>
      <c r="G179" s="11" t="n">
        <f aca="false">IF(F179=0,1,SUMIFS($G$6:$G178,GC$6:GC178,1,$F$6:$F178,F179-1))</f>
        <v>2</v>
      </c>
      <c r="H179" s="11" t="n">
        <f aca="false">IF($A179="T16.4",1,IF(COUNTIFS(GD179:HN179,1,GD$4:HN$4,1)&gt;0,1,0))</f>
        <v>1</v>
      </c>
      <c r="GD179" s="25" t="n">
        <v>1</v>
      </c>
      <c r="GG179" s="25" t="n">
        <v>1</v>
      </c>
      <c r="GH179" s="25" t="n">
        <v>1</v>
      </c>
      <c r="GI179" s="25" t="n">
        <v>1</v>
      </c>
      <c r="GP179" s="25" t="n">
        <v>1</v>
      </c>
      <c r="GR179" s="25" t="n">
        <v>1</v>
      </c>
      <c r="GZ179" s="25" t="n">
        <v>1</v>
      </c>
      <c r="HI179" s="25" t="n">
        <v>1</v>
      </c>
    </row>
    <row r="180" customFormat="false" ht="15" hidden="false" customHeight="false" outlineLevel="0" collapsed="false">
      <c r="A180" s="6" t="s">
        <v>750</v>
      </c>
      <c r="B180" s="2" t="s">
        <v>961</v>
      </c>
      <c r="C180" s="11" t="n">
        <f aca="false">VALUE(MID(A180,2,FIND(".",A180)-2))</f>
        <v>14</v>
      </c>
      <c r="D180" s="11" t="n">
        <f aca="false">COUNTIF(GD$6:GD$216,1)</f>
        <v>5</v>
      </c>
      <c r="E180" s="11" t="n">
        <f aca="false">COUNTIF($L180:$HN180,1)</f>
        <v>0</v>
      </c>
      <c r="F180" s="11" t="n">
        <f aca="false">IF(COUNTIF(GD$6:GD179,1)=0,0,1+_xlfn.MAXIFS($F$6:$F179,GD$6:GD179,1))</f>
        <v>9</v>
      </c>
      <c r="G180" s="11" t="n">
        <f aca="false">IF(F180=0,1,SUMIFS($G$6:$G179,GD$6:GD179,1,$F$6:$F179,F180-1))</f>
        <v>8</v>
      </c>
      <c r="H180" s="11" t="n">
        <f aca="false">IF($A180="T16.4",1,IF(COUNTIFS(GE180:HN180,1,GE$4:HN$4,1)&gt;0,1,0))</f>
        <v>0</v>
      </c>
    </row>
    <row r="181" customFormat="false" ht="15" hidden="false" customHeight="false" outlineLevel="0" collapsed="false">
      <c r="A181" s="6" t="s">
        <v>751</v>
      </c>
      <c r="B181" s="2" t="s">
        <v>962</v>
      </c>
      <c r="C181" s="11" t="n">
        <f aca="false">VALUE(MID(A181,2,FIND(".",A181)-2))</f>
        <v>14</v>
      </c>
      <c r="D181" s="11" t="n">
        <f aca="false">COUNTIF(GE$6:GE$216,1)</f>
        <v>3</v>
      </c>
      <c r="E181" s="11" t="n">
        <f aca="false">COUNTIF($L181:$HN181,1)</f>
        <v>0</v>
      </c>
      <c r="F181" s="11" t="n">
        <f aca="false">IF(COUNTIF(GE$6:GE180,1)=0,0,1+_xlfn.MAXIFS($F$6:$F180,GE$6:GE180,1))</f>
        <v>2</v>
      </c>
      <c r="G181" s="11" t="n">
        <f aca="false">IF(F181=0,1,SUMIFS($G$6:$G180,GE$6:GE180,1,$F$6:$F180,F181-1))</f>
        <v>1</v>
      </c>
      <c r="H181" s="11" t="n">
        <f aca="false">IF($A181="T16.4",1,IF(COUNTIFS(GF181:HN181,1,GF$4:HN$4,1)&gt;0,1,0))</f>
        <v>0</v>
      </c>
    </row>
    <row r="182" customFormat="false" ht="15" hidden="false" customHeight="false" outlineLevel="0" collapsed="false">
      <c r="A182" s="6" t="s">
        <v>752</v>
      </c>
      <c r="B182" s="2" t="s">
        <v>963</v>
      </c>
      <c r="C182" s="11" t="n">
        <f aca="false">VALUE(MID(A182,2,FIND(".",A182)-2))</f>
        <v>14</v>
      </c>
      <c r="D182" s="11" t="n">
        <f aca="false">COUNTIF(GF$6:GF$216,1)</f>
        <v>0</v>
      </c>
      <c r="E182" s="11" t="n">
        <f aca="false">COUNTIF($L182:$HN182,1)</f>
        <v>2</v>
      </c>
      <c r="F182" s="11" t="n">
        <f aca="false">IF(COUNTIF(GF$6:GF181,1)=0,0,1+_xlfn.MAXIFS($F$6:$F181,GF$6:GF181,1))</f>
        <v>0</v>
      </c>
      <c r="G182" s="11" t="n">
        <f aca="false">IF(F182=0,1,SUMIFS($G$6:$G181,GF$6:GF181,1,$F$6:$F181,F182-1))</f>
        <v>1</v>
      </c>
      <c r="H182" s="11" t="n">
        <f aca="false">IF($A182="T16.4",1,IF(COUNTIFS(GG182:HN182,1,GG$4:HN$4,1)&gt;0,1,0))</f>
        <v>0</v>
      </c>
      <c r="GK182" s="25" t="n">
        <v>1</v>
      </c>
      <c r="GW182" s="25" t="n">
        <v>1</v>
      </c>
    </row>
    <row r="183" customFormat="false" ht="15" hidden="false" customHeight="false" outlineLevel="0" collapsed="false">
      <c r="A183" s="6" t="s">
        <v>753</v>
      </c>
      <c r="B183" s="2" t="s">
        <v>964</v>
      </c>
      <c r="C183" s="11" t="n">
        <f aca="false">VALUE(MID(A183,2,FIND(".",A183)-2))</f>
        <v>14</v>
      </c>
      <c r="D183" s="11" t="n">
        <f aca="false">COUNTIF(GG$6:GG$216,1)</f>
        <v>1</v>
      </c>
      <c r="E183" s="11" t="n">
        <f aca="false">COUNTIF($L183:$HN183,1)</f>
        <v>3</v>
      </c>
      <c r="F183" s="11" t="n">
        <f aca="false">IF(COUNTIF(GG$6:GG182,1)=0,0,1+_xlfn.MAXIFS($F$6:$F182,GG$6:GG182,1))</f>
        <v>9</v>
      </c>
      <c r="G183" s="11" t="n">
        <f aca="false">IF(F183=0,1,SUMIFS($G$6:$G182,GG$6:GG182,1,$F$6:$F182,F183-1))</f>
        <v>2</v>
      </c>
      <c r="H183" s="11" t="n">
        <f aca="false">IF($A183="T16.4",1,IF(COUNTIFS(GH183:HN183,1,GH$4:HN$4,1)&gt;0,1,0))</f>
        <v>1</v>
      </c>
      <c r="GH183" s="25" t="n">
        <v>1</v>
      </c>
      <c r="GI183" s="25" t="n">
        <v>1</v>
      </c>
      <c r="GY183" s="25" t="n">
        <v>1</v>
      </c>
    </row>
    <row r="184" customFormat="false" ht="15" hidden="false" customHeight="false" outlineLevel="0" collapsed="false">
      <c r="A184" s="6" t="s">
        <v>754</v>
      </c>
      <c r="B184" s="2" t="s">
        <v>965</v>
      </c>
      <c r="C184" s="11" t="n">
        <f aca="false">VALUE(MID(A184,2,FIND(".",A184)-2))</f>
        <v>14</v>
      </c>
      <c r="D184" s="11" t="n">
        <f aca="false">COUNTIF(GH$6:GH$216,1)</f>
        <v>6</v>
      </c>
      <c r="E184" s="11" t="n">
        <f aca="false">COUNTIF($L184:$HN184,1)</f>
        <v>1</v>
      </c>
      <c r="F184" s="11" t="n">
        <f aca="false">IF(COUNTIF(GH$6:GH183,1)=0,0,1+_xlfn.MAXIFS($F$6:$F183,GH$6:GH183,1))</f>
        <v>10</v>
      </c>
      <c r="G184" s="11" t="n">
        <f aca="false">IF(F184=0,1,SUMIFS($G$6:$G183,GH$6:GH183,1,$F$6:$F183,F184-1))</f>
        <v>2</v>
      </c>
      <c r="H184" s="11" t="n">
        <f aca="false">IF($A184="T16.4",1,IF(COUNTIFS(GI184:HN184,1,GI$4:HN$4,1)&gt;0,1,0))</f>
        <v>0</v>
      </c>
      <c r="HN184" s="25" t="n">
        <v>1</v>
      </c>
    </row>
    <row r="185" customFormat="false" ht="15" hidden="false" customHeight="false" outlineLevel="0" collapsed="false">
      <c r="A185" s="6" t="s">
        <v>755</v>
      </c>
      <c r="B185" s="2" t="s">
        <v>966</v>
      </c>
      <c r="C185" s="11" t="n">
        <f aca="false">VALUE(MID(A185,2,FIND(".",A185)-2))</f>
        <v>14</v>
      </c>
      <c r="D185" s="11" t="n">
        <f aca="false">COUNTIF(GI$6:GI$216,1)</f>
        <v>8</v>
      </c>
      <c r="E185" s="11" t="n">
        <f aca="false">COUNTIF($L185:$HN185,1)</f>
        <v>2</v>
      </c>
      <c r="F185" s="11" t="n">
        <f aca="false">IF(COUNTIF(GI$6:GI184,1)=0,0,1+_xlfn.MAXIFS($F$6:$F184,GI$6:GI184,1))</f>
        <v>10</v>
      </c>
      <c r="G185" s="11" t="n">
        <f aca="false">IF(F185=0,1,SUMIFS($G$6:$G184,GI$6:GI184,1,$F$6:$F184,F185-1))</f>
        <v>2</v>
      </c>
      <c r="H185" s="11" t="n">
        <f aca="false">IF($A185="T16.4",1,IF(COUNTIFS(GJ185:HN185,1,GJ$4:HN$4,1)&gt;0,1,0))</f>
        <v>1</v>
      </c>
      <c r="GJ185" s="25" t="n">
        <v>1</v>
      </c>
      <c r="HH185" s="25" t="n">
        <v>1</v>
      </c>
    </row>
    <row r="186" customFormat="false" ht="15" hidden="false" customHeight="false" outlineLevel="0" collapsed="false">
      <c r="A186" s="6" t="s">
        <v>756</v>
      </c>
      <c r="B186" s="2" t="s">
        <v>967</v>
      </c>
      <c r="C186" s="11" t="n">
        <f aca="false">VALUE(MID(A186,2,FIND(".",A186)-2))</f>
        <v>14</v>
      </c>
      <c r="D186" s="11" t="n">
        <f aca="false">COUNTIF(GJ$6:GJ$216,1)</f>
        <v>8</v>
      </c>
      <c r="E186" s="11" t="n">
        <f aca="false">COUNTIF($L186:$HN186,1)</f>
        <v>2</v>
      </c>
      <c r="F186" s="11" t="n">
        <f aca="false">IF(COUNTIF(GJ$6:GJ185,1)=0,0,1+_xlfn.MAXIFS($F$6:$F185,GJ$6:GJ185,1))</f>
        <v>11</v>
      </c>
      <c r="G186" s="11" t="n">
        <f aca="false">IF(F186=0,1,SUMIFS($G$6:$G185,GJ$6:GJ185,1,$F$6:$F185,F186-1))</f>
        <v>2</v>
      </c>
      <c r="H186" s="11" t="n">
        <f aca="false">IF($A186="T16.4",1,IF(COUNTIFS(GK186:HN186,1,GK$4:HN$4,1)&gt;0,1,0))</f>
        <v>1</v>
      </c>
      <c r="HI186" s="25" t="n">
        <v>1</v>
      </c>
      <c r="HN186" s="25" t="n">
        <v>1</v>
      </c>
    </row>
    <row r="187" customFormat="false" ht="15" hidden="false" customHeight="false" outlineLevel="0" collapsed="false">
      <c r="A187" s="6" t="s">
        <v>757</v>
      </c>
      <c r="B187" s="2" t="s">
        <v>968</v>
      </c>
      <c r="C187" s="11" t="n">
        <f aca="false">VALUE(MID(A187,2,FIND(".",A187)-2))</f>
        <v>14</v>
      </c>
      <c r="D187" s="11" t="n">
        <f aca="false">COUNTIF(GK$6:GK$216,1)</f>
        <v>2</v>
      </c>
      <c r="E187" s="11" t="n">
        <f aca="false">COUNTIF($L187:$HN187,1)</f>
        <v>1</v>
      </c>
      <c r="F187" s="11" t="n">
        <f aca="false">IF(COUNTIF(GK$6:GK186,1)=0,0,1+_xlfn.MAXIFS($F$6:$F186,GK$6:GK186,1))</f>
        <v>3</v>
      </c>
      <c r="G187" s="11" t="n">
        <f aca="false">IF(F187=0,1,SUMIFS($G$6:$G186,GK$6:GK186,1,$F$6:$F186,F187-1))</f>
        <v>2</v>
      </c>
      <c r="H187" s="11" t="n">
        <f aca="false">IF($A187="T16.4",1,IF(COUNTIFS(GL187:HN187,1,GL$4:HN$4,1)&gt;0,1,0))</f>
        <v>0</v>
      </c>
      <c r="HM187" s="25" t="n">
        <v>1</v>
      </c>
    </row>
    <row r="188" customFormat="false" ht="15" hidden="false" customHeight="false" outlineLevel="0" collapsed="false">
      <c r="A188" s="6" t="s">
        <v>758</v>
      </c>
      <c r="B188" s="2" t="s">
        <v>969</v>
      </c>
      <c r="C188" s="11" t="n">
        <f aca="false">VALUE(MID(A188,2,FIND(".",A188)-2))</f>
        <v>15</v>
      </c>
      <c r="D188" s="11" t="n">
        <f aca="false">COUNTIF(GL$6:GL$216,1)</f>
        <v>1</v>
      </c>
      <c r="E188" s="11" t="n">
        <f aca="false">COUNTIF($L188:$HN188,1)</f>
        <v>0</v>
      </c>
      <c r="F188" s="11" t="n">
        <f aca="false">IF(COUNTIF(GL$6:GL187,1)=0,0,1+_xlfn.MAXIFS($F$6:$F187,GL$6:GL187,1))</f>
        <v>1</v>
      </c>
      <c r="G188" s="11" t="n">
        <f aca="false">IF(F188=0,1,SUMIFS($G$6:$G187,GL$6:GL187,1,$F$6:$F187,F188-1))</f>
        <v>1</v>
      </c>
      <c r="H188" s="11" t="n">
        <f aca="false">IF($A188="T16.4",1,IF(COUNTIFS(GM188:HN188,1,GM$4:HN$4,1)&gt;0,1,0))</f>
        <v>0</v>
      </c>
    </row>
    <row r="189" customFormat="false" ht="15" hidden="false" customHeight="false" outlineLevel="0" collapsed="false">
      <c r="A189" s="6" t="s">
        <v>759</v>
      </c>
      <c r="B189" s="2" t="s">
        <v>970</v>
      </c>
      <c r="C189" s="11" t="n">
        <f aca="false">VALUE(MID(A189,2,FIND(".",A189)-2))</f>
        <v>15</v>
      </c>
      <c r="D189" s="11" t="n">
        <f aca="false">COUNTIF(GM$6:GM$216,1)</f>
        <v>3</v>
      </c>
      <c r="E189" s="11" t="n">
        <f aca="false">COUNTIF($L189:$HN189,1)</f>
        <v>4</v>
      </c>
      <c r="F189" s="11" t="n">
        <f aca="false">IF(COUNTIF(GM$6:GM188,1)=0,0,1+_xlfn.MAXIFS($F$6:$F188,GM$6:GM188,1))</f>
        <v>6</v>
      </c>
      <c r="G189" s="11" t="n">
        <f aca="false">IF(F189=0,1,SUMIFS($G$6:$G188,GM$6:GM188,1,$F$6:$F188,F189-1))</f>
        <v>4</v>
      </c>
      <c r="H189" s="11" t="n">
        <f aca="false">IF($A189="T16.4",1,IF(COUNTIFS(GN189:HN189,1,GN$4:HN$4,1)&gt;0,1,0))</f>
        <v>1</v>
      </c>
      <c r="HD189" s="25" t="n">
        <v>1</v>
      </c>
      <c r="HG189" s="25" t="n">
        <v>1</v>
      </c>
      <c r="HH189" s="25" t="n">
        <v>1</v>
      </c>
      <c r="HN189" s="25" t="n">
        <v>1</v>
      </c>
    </row>
    <row r="190" customFormat="false" ht="15" hidden="false" customHeight="false" outlineLevel="0" collapsed="false">
      <c r="A190" s="6" t="s">
        <v>760</v>
      </c>
      <c r="B190" s="2" t="s">
        <v>971</v>
      </c>
      <c r="C190" s="11" t="n">
        <f aca="false">VALUE(MID(A190,2,FIND(".",A190)-2))</f>
        <v>15</v>
      </c>
      <c r="D190" s="11" t="n">
        <f aca="false">COUNTIF(GN$6:GN$216,1)</f>
        <v>2</v>
      </c>
      <c r="E190" s="11" t="n">
        <f aca="false">COUNTIF($L190:$HN190,1)</f>
        <v>0</v>
      </c>
      <c r="F190" s="11" t="n">
        <f aca="false">IF(COUNTIF(GN$6:GN189,1)=0,0,1+_xlfn.MAXIFS($F$6:$F189,GN$6:GN189,1))</f>
        <v>5</v>
      </c>
      <c r="G190" s="11" t="n">
        <f aca="false">IF(F190=0,1,SUMIFS($G$6:$G189,GN$6:GN189,1,$F$6:$F189,F190-1))</f>
        <v>2</v>
      </c>
      <c r="H190" s="11" t="n">
        <f aca="false">IF($A190="T16.4",1,IF(COUNTIFS(GO190:HN190,1,GO$4:HN$4,1)&gt;0,1,0))</f>
        <v>0</v>
      </c>
    </row>
    <row r="191" customFormat="false" ht="15" hidden="false" customHeight="false" outlineLevel="0" collapsed="false">
      <c r="A191" s="6" t="s">
        <v>761</v>
      </c>
      <c r="B191" s="2" t="s">
        <v>972</v>
      </c>
      <c r="C191" s="11" t="n">
        <f aca="false">VALUE(MID(A191,2,FIND(".",A191)-2))</f>
        <v>15</v>
      </c>
      <c r="D191" s="11" t="n">
        <f aca="false">COUNTIF(GO$6:GO$216,1)</f>
        <v>1</v>
      </c>
      <c r="E191" s="11" t="n">
        <f aca="false">COUNTIF($L191:$HN191,1)</f>
        <v>8</v>
      </c>
      <c r="F191" s="11" t="n">
        <f aca="false">IF(COUNTIF(GO$6:GO190,1)=0,0,1+_xlfn.MAXIFS($F$6:$F190,GO$6:GO190,1))</f>
        <v>8</v>
      </c>
      <c r="G191" s="11" t="n">
        <f aca="false">IF(F191=0,1,SUMIFS($G$6:$G190,GO$6:GO190,1,$F$6:$F190,F191-1))</f>
        <v>2</v>
      </c>
      <c r="H191" s="11" t="n">
        <f aca="false">IF($A191="T16.4",1,IF(COUNTIFS(GP191:HN191,1,GP$4:HN$4,1)&gt;0,1,0))</f>
        <v>1</v>
      </c>
      <c r="GP191" s="25" t="n">
        <v>1</v>
      </c>
      <c r="GQ191" s="25" t="n">
        <v>1</v>
      </c>
      <c r="GS191" s="25" t="n">
        <v>1</v>
      </c>
      <c r="GT191" s="25" t="n">
        <v>1</v>
      </c>
      <c r="GZ191" s="25" t="n">
        <v>1</v>
      </c>
      <c r="HA191" s="25" t="n">
        <v>1</v>
      </c>
      <c r="HB191" s="25" t="n">
        <v>1</v>
      </c>
      <c r="HD191" s="25" t="n">
        <v>1</v>
      </c>
    </row>
    <row r="192" customFormat="false" ht="15" hidden="false" customHeight="false" outlineLevel="0" collapsed="false">
      <c r="A192" s="6" t="s">
        <v>762</v>
      </c>
      <c r="B192" s="2" t="s">
        <v>973</v>
      </c>
      <c r="C192" s="11" t="n">
        <f aca="false">VALUE(MID(A192,2,FIND(".",A192)-2))</f>
        <v>15</v>
      </c>
      <c r="D192" s="11" t="n">
        <f aca="false">COUNTIF(GP$6:GP$216,1)</f>
        <v>2</v>
      </c>
      <c r="E192" s="11" t="n">
        <f aca="false">COUNTIF($L192:$HN192,1)</f>
        <v>6</v>
      </c>
      <c r="F192" s="11" t="n">
        <f aca="false">IF(COUNTIF(GP$6:GP191,1)=0,0,1+_xlfn.MAXIFS($F$6:$F191,GP$6:GP191,1))</f>
        <v>9</v>
      </c>
      <c r="G192" s="11" t="n">
        <f aca="false">IF(F192=0,1,SUMIFS($G$6:$G191,GP$6:GP191,1,$F$6:$F191,F192-1))</f>
        <v>4</v>
      </c>
      <c r="H192" s="11" t="n">
        <f aca="false">IF($A192="T16.4",1,IF(COUNTIFS(GQ192:HN192,1,GQ$4:HN$4,1)&gt;0,1,0))</f>
        <v>1</v>
      </c>
      <c r="GR192" s="25" t="n">
        <v>1</v>
      </c>
      <c r="GT192" s="25" t="n">
        <v>1</v>
      </c>
      <c r="GZ192" s="25" t="n">
        <v>1</v>
      </c>
      <c r="HD192" s="25" t="n">
        <v>1</v>
      </c>
      <c r="HI192" s="25" t="n">
        <v>1</v>
      </c>
      <c r="HN192" s="25" t="n">
        <v>1</v>
      </c>
    </row>
    <row r="193" customFormat="false" ht="15" hidden="false" customHeight="false" outlineLevel="0" collapsed="false">
      <c r="A193" s="6" t="s">
        <v>763</v>
      </c>
      <c r="B193" s="2" t="s">
        <v>974</v>
      </c>
      <c r="C193" s="11" t="n">
        <f aca="false">VALUE(MID(A193,2,FIND(".",A193)-2))</f>
        <v>15</v>
      </c>
      <c r="D193" s="11" t="n">
        <f aca="false">COUNTIF(GQ$6:GQ$216,1)</f>
        <v>1</v>
      </c>
      <c r="E193" s="11" t="n">
        <f aca="false">COUNTIF($L193:$HN193,1)</f>
        <v>0</v>
      </c>
      <c r="F193" s="11" t="n">
        <f aca="false">IF(COUNTIF(GQ$6:GQ192,1)=0,0,1+_xlfn.MAXIFS($F$6:$F192,GQ$6:GQ192,1))</f>
        <v>9</v>
      </c>
      <c r="G193" s="11" t="n">
        <f aca="false">IF(F193=0,1,SUMIFS($G$6:$G192,GQ$6:GQ192,1,$F$6:$F192,F193-1))</f>
        <v>2</v>
      </c>
      <c r="H193" s="11" t="n">
        <f aca="false">IF($A193="T16.4",1,IF(COUNTIFS(GR193:HN193,1,GR$4:HN$4,1)&gt;0,1,0))</f>
        <v>0</v>
      </c>
    </row>
    <row r="194" customFormat="false" ht="15" hidden="false" customHeight="false" outlineLevel="0" collapsed="false">
      <c r="A194" s="6" t="s">
        <v>764</v>
      </c>
      <c r="B194" s="2" t="s">
        <v>975</v>
      </c>
      <c r="C194" s="11" t="n">
        <f aca="false">VALUE(MID(A194,2,FIND(".",A194)-2))</f>
        <v>15</v>
      </c>
      <c r="D194" s="11" t="n">
        <f aca="false">COUNTIF(GR$6:GR$216,1)</f>
        <v>3</v>
      </c>
      <c r="E194" s="11" t="n">
        <f aca="false">COUNTIF($L194:$HN194,1)</f>
        <v>0</v>
      </c>
      <c r="F194" s="11" t="n">
        <f aca="false">IF(COUNTIF(GR$6:GR193,1)=0,0,1+_xlfn.MAXIFS($F$6:$F193,GR$6:GR193,1))</f>
        <v>10</v>
      </c>
      <c r="G194" s="11" t="n">
        <f aca="false">IF(F194=0,1,SUMIFS($G$6:$G193,GR$6:GR193,1,$F$6:$F193,F194-1))</f>
        <v>4</v>
      </c>
      <c r="H194" s="11" t="n">
        <f aca="false">IF($A194="T16.4",1,IF(COUNTIFS(GS194:HN194,1,GS$4:HN$4,1)&gt;0,1,0))</f>
        <v>0</v>
      </c>
    </row>
    <row r="195" customFormat="false" ht="15" hidden="false" customHeight="false" outlineLevel="0" collapsed="false">
      <c r="A195" s="6" t="s">
        <v>765</v>
      </c>
      <c r="B195" s="2" t="s">
        <v>976</v>
      </c>
      <c r="C195" s="11" t="n">
        <f aca="false">VALUE(MID(A195,2,FIND(".",A195)-2))</f>
        <v>15</v>
      </c>
      <c r="D195" s="11" t="n">
        <f aca="false">COUNTIF(GS$6:GS$216,1)</f>
        <v>3</v>
      </c>
      <c r="E195" s="11" t="n">
        <f aca="false">COUNTIF($L195:$HN195,1)</f>
        <v>2</v>
      </c>
      <c r="F195" s="11" t="n">
        <f aca="false">IF(COUNTIF(GS$6:GS194,1)=0,0,1+_xlfn.MAXIFS($F$6:$F194,GS$6:GS194,1))</f>
        <v>9</v>
      </c>
      <c r="G195" s="11" t="n">
        <f aca="false">IF(F195=0,1,SUMIFS($G$6:$G194,GS$6:GS194,1,$F$6:$F194,F195-1))</f>
        <v>2</v>
      </c>
      <c r="H195" s="11" t="n">
        <f aca="false">IF($A195="T16.4",1,IF(COUNTIFS(GT195:HN195,1,GT$4:HN$4,1)&gt;0,1,0))</f>
        <v>1</v>
      </c>
      <c r="GX195" s="25" t="n">
        <v>1</v>
      </c>
      <c r="HD195" s="25" t="n">
        <v>1</v>
      </c>
    </row>
    <row r="196" customFormat="false" ht="15" hidden="false" customHeight="false" outlineLevel="0" collapsed="false">
      <c r="A196" s="6" t="s">
        <v>766</v>
      </c>
      <c r="B196" s="2" t="s">
        <v>977</v>
      </c>
      <c r="C196" s="11" t="n">
        <f aca="false">VALUE(MID(A196,2,FIND(".",A196)-2))</f>
        <v>15</v>
      </c>
      <c r="D196" s="11" t="n">
        <f aca="false">COUNTIF(GT$6:GT$216,1)</f>
        <v>3</v>
      </c>
      <c r="E196" s="11" t="n">
        <f aca="false">COUNTIF($L196:$HN196,1)</f>
        <v>3</v>
      </c>
      <c r="F196" s="11" t="n">
        <f aca="false">IF(COUNTIF(GT$6:GT195,1)=0,0,1+_xlfn.MAXIFS($F$6:$F195,GT$6:GT195,1))</f>
        <v>10</v>
      </c>
      <c r="G196" s="11" t="n">
        <f aca="false">IF(F196=0,1,SUMIFS($G$6:$G195,GT$6:GT195,1,$F$6:$F195,F196-1))</f>
        <v>4</v>
      </c>
      <c r="H196" s="11" t="n">
        <f aca="false">IF($A196="T16.4",1,IF(COUNTIFS(GU196:HN196,1,GU$4:HN$4,1)&gt;0,1,0))</f>
        <v>1</v>
      </c>
      <c r="HB196" s="25" t="n">
        <v>1</v>
      </c>
      <c r="HD196" s="25" t="n">
        <v>1</v>
      </c>
      <c r="HH196" s="25" t="n">
        <v>1</v>
      </c>
    </row>
    <row r="197" customFormat="false" ht="15" hidden="false" customHeight="false" outlineLevel="0" collapsed="false">
      <c r="A197" s="6" t="s">
        <v>767</v>
      </c>
      <c r="B197" s="2" t="s">
        <v>978</v>
      </c>
      <c r="C197" s="11" t="n">
        <f aca="false">VALUE(MID(A197,2,FIND(".",A197)-2))</f>
        <v>15</v>
      </c>
      <c r="D197" s="11" t="n">
        <f aca="false">COUNTIF(GU$6:GU$216,1)</f>
        <v>1</v>
      </c>
      <c r="E197" s="11" t="n">
        <f aca="false">COUNTIF($L197:$HN197,1)</f>
        <v>0</v>
      </c>
      <c r="F197" s="11" t="n">
        <f aca="false">IF(COUNTIF(GU$6:GU196,1)=0,0,1+_xlfn.MAXIFS($F$6:$F196,GU$6:GU196,1))</f>
        <v>3</v>
      </c>
      <c r="G197" s="11" t="n">
        <f aca="false">IF(F197=0,1,SUMIFS($G$6:$G196,GU$6:GU196,1,$F$6:$F196,F197-1))</f>
        <v>3</v>
      </c>
      <c r="H197" s="11" t="n">
        <f aca="false">IF($A197="T16.4",1,IF(COUNTIFS(GV197:HN197,1,GV$4:HN$4,1)&gt;0,1,0))</f>
        <v>0</v>
      </c>
    </row>
    <row r="198" customFormat="false" ht="15" hidden="false" customHeight="false" outlineLevel="0" collapsed="false">
      <c r="A198" s="6" t="s">
        <v>768</v>
      </c>
      <c r="B198" s="2" t="s">
        <v>979</v>
      </c>
      <c r="C198" s="11" t="n">
        <f aca="false">VALUE(MID(A198,2,FIND(".",A198)-2))</f>
        <v>15</v>
      </c>
      <c r="D198" s="11" t="n">
        <f aca="false">COUNTIF(GV$6:GV$216,1)</f>
        <v>2</v>
      </c>
      <c r="E198" s="11" t="n">
        <f aca="false">COUNTIF($L198:$HN198,1)</f>
        <v>2</v>
      </c>
      <c r="F198" s="11" t="n">
        <f aca="false">IF(COUNTIF(GV$6:GV197,1)=0,0,1+_xlfn.MAXIFS($F$6:$F197,GV$6:GV197,1))</f>
        <v>7</v>
      </c>
      <c r="G198" s="11" t="n">
        <f aca="false">IF(F198=0,1,SUMIFS($G$6:$G197,GV$6:GV197,1,$F$6:$F197,F198-1))</f>
        <v>2</v>
      </c>
      <c r="H198" s="11" t="n">
        <f aca="false">IF($A198="T16.4",1,IF(COUNTIFS(GW198:HN198,1,GW$4:HN$4,1)&gt;0,1,0))</f>
        <v>1</v>
      </c>
      <c r="HA198" s="25" t="n">
        <v>1</v>
      </c>
      <c r="HD198" s="25" t="n">
        <v>1</v>
      </c>
    </row>
    <row r="199" customFormat="false" ht="15" hidden="false" customHeight="false" outlineLevel="0" collapsed="false">
      <c r="A199" s="6" t="s">
        <v>769</v>
      </c>
      <c r="B199" s="2" t="s">
        <v>980</v>
      </c>
      <c r="C199" s="11" t="n">
        <f aca="false">VALUE(MID(A199,2,FIND(".",A199)-2))</f>
        <v>15</v>
      </c>
      <c r="D199" s="11" t="n">
        <f aca="false">COUNTIF(GW$6:GW$216,1)</f>
        <v>1</v>
      </c>
      <c r="E199" s="11" t="n">
        <f aca="false">COUNTIF($L199:$HN199,1)</f>
        <v>1</v>
      </c>
      <c r="F199" s="11" t="n">
        <f aca="false">IF(COUNTIF(GW$6:GW198,1)=0,0,1+_xlfn.MAXIFS($F$6:$F198,GW$6:GW198,1))</f>
        <v>1</v>
      </c>
      <c r="G199" s="11" t="n">
        <f aca="false">IF(F199=0,1,SUMIFS($G$6:$G198,GW$6:GW198,1,$F$6:$F198,F199-1))</f>
        <v>1</v>
      </c>
      <c r="H199" s="11" t="n">
        <f aca="false">IF($A199="T16.4",1,IF(COUNTIFS(GX199:HN199,1,GX$4:HN$4,1)&gt;0,1,0))</f>
        <v>0</v>
      </c>
      <c r="HA199" s="25" t="n">
        <v>1</v>
      </c>
    </row>
    <row r="200" customFormat="false" ht="15" hidden="false" customHeight="false" outlineLevel="0" collapsed="false">
      <c r="A200" s="6" t="s">
        <v>770</v>
      </c>
      <c r="B200" s="2" t="s">
        <v>981</v>
      </c>
      <c r="C200" s="11" t="n">
        <f aca="false">VALUE(MID(A200,2,FIND(".",A200)-2))</f>
        <v>15</v>
      </c>
      <c r="D200" s="11" t="n">
        <f aca="false">COUNTIF(GX$6:GX$216,1)</f>
        <v>2</v>
      </c>
      <c r="E200" s="11" t="n">
        <f aca="false">COUNTIF($L200:$HN200,1)</f>
        <v>0</v>
      </c>
      <c r="F200" s="11" t="n">
        <f aca="false">IF(COUNTIF(GX$6:GX199,1)=0,0,1+_xlfn.MAXIFS($F$6:$F199,GX$6:GX199,1))</f>
        <v>10</v>
      </c>
      <c r="G200" s="11" t="n">
        <f aca="false">IF(F200=0,1,SUMIFS($G$6:$G199,GX$6:GX199,1,$F$6:$F199,F200-1))</f>
        <v>2</v>
      </c>
      <c r="H200" s="11" t="n">
        <f aca="false">IF($A200="T16.4",1,IF(COUNTIFS(GY200:HN200,1,GY$4:HN$4,1)&gt;0,1,0))</f>
        <v>0</v>
      </c>
    </row>
    <row r="201" customFormat="false" ht="15" hidden="false" customHeight="false" outlineLevel="0" collapsed="false">
      <c r="A201" s="6" t="s">
        <v>771</v>
      </c>
      <c r="B201" s="2" t="s">
        <v>982</v>
      </c>
      <c r="C201" s="11" t="n">
        <f aca="false">VALUE(MID(A201,2,FIND(".",A201)-2))</f>
        <v>15</v>
      </c>
      <c r="D201" s="11" t="n">
        <f aca="false">COUNTIF(GY$6:GY$216,1)</f>
        <v>1</v>
      </c>
      <c r="E201" s="11" t="n">
        <f aca="false">COUNTIF($L201:$HN201,1)</f>
        <v>1</v>
      </c>
      <c r="F201" s="11" t="n">
        <f aca="false">IF(COUNTIF(GY$6:GY200,1)=0,0,1+_xlfn.MAXIFS($F$6:$F200,GY$6:GY200,1))</f>
        <v>10</v>
      </c>
      <c r="G201" s="11" t="n">
        <f aca="false">IF(F201=0,1,SUMIFS($G$6:$G200,GY$6:GY200,1,$F$6:$F200,F201-1))</f>
        <v>2</v>
      </c>
      <c r="H201" s="11" t="n">
        <f aca="false">IF($A201="T16.4",1,IF(COUNTIFS(GZ201:HN201,1,GZ$4:HN$4,1)&gt;0,1,0))</f>
        <v>1</v>
      </c>
      <c r="GZ201" s="25" t="n">
        <v>1</v>
      </c>
    </row>
    <row r="202" customFormat="false" ht="15" hidden="false" customHeight="false" outlineLevel="0" collapsed="false">
      <c r="A202" s="6" t="s">
        <v>772</v>
      </c>
      <c r="B202" s="2" t="s">
        <v>983</v>
      </c>
      <c r="C202" s="11" t="n">
        <f aca="false">VALUE(MID(A202,2,FIND(".",A202)-2))</f>
        <v>15</v>
      </c>
      <c r="D202" s="11" t="n">
        <f aca="false">COUNTIF(GZ$6:GZ$216,1)</f>
        <v>5</v>
      </c>
      <c r="E202" s="11" t="n">
        <f aca="false">COUNTIF($L202:$HN202,1)</f>
        <v>2</v>
      </c>
      <c r="F202" s="11" t="n">
        <f aca="false">IF(COUNTIF(GZ$6:GZ201,1)=0,0,1+_xlfn.MAXIFS($F$6:$F201,GZ$6:GZ201,1))</f>
        <v>11</v>
      </c>
      <c r="G202" s="11" t="n">
        <f aca="false">IF(F202=0,1,SUMIFS($G$6:$G201,GZ$6:GZ201,1,$F$6:$F201,F202-1))</f>
        <v>2</v>
      </c>
      <c r="H202" s="11" t="n">
        <f aca="false">IF($A202="T16.4",1,IF(COUNTIFS(HA202:HN202,1,HA$4:HN$4,1)&gt;0,1,0))</f>
        <v>1</v>
      </c>
      <c r="HD202" s="25" t="n">
        <v>1</v>
      </c>
      <c r="HF202" s="25" t="n">
        <v>1</v>
      </c>
    </row>
    <row r="203" customFormat="false" ht="15" hidden="false" customHeight="false" outlineLevel="0" collapsed="false">
      <c r="A203" s="6" t="s">
        <v>773</v>
      </c>
      <c r="B203" s="2" t="s">
        <v>984</v>
      </c>
      <c r="C203" s="11" t="n">
        <f aca="false">VALUE(MID(A203,2,FIND(".",A203)-2))</f>
        <v>15</v>
      </c>
      <c r="D203" s="11" t="n">
        <f aca="false">COUNTIF(HA$6:HA$216,1)</f>
        <v>3</v>
      </c>
      <c r="E203" s="11" t="n">
        <f aca="false">COUNTIF($L203:$HN203,1)</f>
        <v>0</v>
      </c>
      <c r="F203" s="11" t="n">
        <f aca="false">IF(COUNTIF(HA$6:HA202,1)=0,0,1+_xlfn.MAXIFS($F$6:$F202,HA$6:HA202,1))</f>
        <v>9</v>
      </c>
      <c r="G203" s="11" t="n">
        <f aca="false">IF(F203=0,1,SUMIFS($G$6:$G202,HA$6:HA202,1,$F$6:$F202,F203-1))</f>
        <v>2</v>
      </c>
      <c r="H203" s="11" t="n">
        <f aca="false">IF($A203="T16.4",1,IF(COUNTIFS(HB203:HN203,1,HB$4:HN$4,1)&gt;0,1,0))</f>
        <v>0</v>
      </c>
    </row>
    <row r="204" customFormat="false" ht="15" hidden="false" customHeight="false" outlineLevel="0" collapsed="false">
      <c r="A204" s="6" t="s">
        <v>774</v>
      </c>
      <c r="B204" s="2" t="s">
        <v>985</v>
      </c>
      <c r="C204" s="11" t="n">
        <f aca="false">VALUE(MID(A204,2,FIND(".",A204)-2))</f>
        <v>15</v>
      </c>
      <c r="D204" s="11" t="n">
        <f aca="false">COUNTIF(HB$6:HB$216,1)</f>
        <v>2</v>
      </c>
      <c r="E204" s="11" t="n">
        <f aca="false">COUNTIF($L204:$HN204,1)</f>
        <v>3</v>
      </c>
      <c r="F204" s="11" t="n">
        <f aca="false">IF(COUNTIF(HB$6:HB203,1)=0,0,1+_xlfn.MAXIFS($F$6:$F203,HB$6:HB203,1))</f>
        <v>11</v>
      </c>
      <c r="G204" s="11" t="n">
        <f aca="false">IF(F204=0,1,SUMIFS($G$6:$G203,HB$6:HB203,1,$F$6:$F203,F204-1))</f>
        <v>4</v>
      </c>
      <c r="H204" s="11" t="n">
        <f aca="false">IF($A204="T16.4",1,IF(COUNTIFS(HC204:HN204,1,HC$4:HN$4,1)&gt;0,1,0))</f>
        <v>1</v>
      </c>
      <c r="HC204" s="25" t="n">
        <v>1</v>
      </c>
      <c r="HE204" s="25" t="n">
        <v>1</v>
      </c>
      <c r="HM204" s="25" t="n">
        <v>1</v>
      </c>
    </row>
    <row r="205" customFormat="false" ht="15" hidden="false" customHeight="false" outlineLevel="0" collapsed="false">
      <c r="A205" s="6" t="s">
        <v>775</v>
      </c>
      <c r="B205" s="2" t="s">
        <v>986</v>
      </c>
      <c r="C205" s="11" t="n">
        <f aca="false">VALUE(MID(A205,2,FIND(".",A205)-2))</f>
        <v>15</v>
      </c>
      <c r="D205" s="11" t="n">
        <f aca="false">COUNTIF(HC$6:HC$216,1)</f>
        <v>1</v>
      </c>
      <c r="E205" s="11" t="n">
        <f aca="false">COUNTIF($L205:$HN205,1)</f>
        <v>1</v>
      </c>
      <c r="F205" s="11" t="n">
        <f aca="false">IF(COUNTIF(HC$6:HC204,1)=0,0,1+_xlfn.MAXIFS($F$6:$F204,HC$6:HC204,1))</f>
        <v>12</v>
      </c>
      <c r="G205" s="11" t="n">
        <f aca="false">IF(F205=0,1,SUMIFS($G$6:$G204,HC$6:HC204,1,$F$6:$F204,F205-1))</f>
        <v>4</v>
      </c>
      <c r="H205" s="11" t="n">
        <f aca="false">IF($A205="T16.4",1,IF(COUNTIFS(HD205:HN205,1,HD$4:HN$4,1)&gt;0,1,0))</f>
        <v>1</v>
      </c>
      <c r="HD205" s="25" t="n">
        <v>1</v>
      </c>
    </row>
    <row r="206" customFormat="false" ht="15" hidden="false" customHeight="false" outlineLevel="0" collapsed="false">
      <c r="A206" s="6" t="s">
        <v>776</v>
      </c>
      <c r="B206" s="2" t="s">
        <v>987</v>
      </c>
      <c r="C206" s="11" t="n">
        <f aca="false">VALUE(MID(A206,2,FIND(".",A206)-2))</f>
        <v>15</v>
      </c>
      <c r="D206" s="11" t="n">
        <f aca="false">COUNTIF(HD$6:HD$216,1)</f>
        <v>9</v>
      </c>
      <c r="E206" s="11" t="n">
        <f aca="false">COUNTIF($L206:$HN206,1)</f>
        <v>4</v>
      </c>
      <c r="F206" s="11" t="n">
        <f aca="false">IF(COUNTIF(HD$6:HD205,1)=0,0,1+_xlfn.MAXIFS($F$6:$F205,HD$6:HD205,1))</f>
        <v>13</v>
      </c>
      <c r="G206" s="11" t="n">
        <f aca="false">IF(F206=0,1,SUMIFS($G$6:$G205,HD$6:HD205,1,$F$6:$F205,F206-1))</f>
        <v>4</v>
      </c>
      <c r="H206" s="11" t="n">
        <f aca="false">IF($A206="T16.4",1,IF(COUNTIFS(HE206:HN206,1,HE$4:HN$4,1)&gt;0,1,0))</f>
        <v>1</v>
      </c>
      <c r="HH206" s="25" t="n">
        <v>1</v>
      </c>
      <c r="HI206" s="25" t="n">
        <v>1</v>
      </c>
      <c r="HK206" s="25" t="n">
        <v>1</v>
      </c>
      <c r="HN206" s="25" t="n">
        <v>1</v>
      </c>
    </row>
    <row r="207" customFormat="false" ht="15" hidden="false" customHeight="false" outlineLevel="0" collapsed="false">
      <c r="A207" s="6" t="s">
        <v>777</v>
      </c>
      <c r="B207" s="2" t="s">
        <v>988</v>
      </c>
      <c r="C207" s="11" t="n">
        <f aca="false">VALUE(MID(A207,2,FIND(".",A207)-2))</f>
        <v>15</v>
      </c>
      <c r="D207" s="11" t="n">
        <f aca="false">COUNTIF(HE$6:HE$216,1)</f>
        <v>1</v>
      </c>
      <c r="E207" s="11" t="n">
        <f aca="false">COUNTIF($L207:$HN207,1)</f>
        <v>0</v>
      </c>
      <c r="F207" s="11" t="n">
        <f aca="false">IF(COUNTIF(HE$6:HE206,1)=0,0,1+_xlfn.MAXIFS($F$6:$F206,HE$6:HE206,1))</f>
        <v>12</v>
      </c>
      <c r="G207" s="11" t="n">
        <f aca="false">IF(F207=0,1,SUMIFS($G$6:$G206,HE$6:HE206,1,$F$6:$F206,F207-1))</f>
        <v>4</v>
      </c>
      <c r="H207" s="11" t="n">
        <f aca="false">IF($A207="T16.4",1,IF(COUNTIFS(HF207:HN207,1,HF$4:HN$4,1)&gt;0,1,0))</f>
        <v>0</v>
      </c>
    </row>
    <row r="208" customFormat="false" ht="15" hidden="false" customHeight="false" outlineLevel="0" collapsed="false">
      <c r="A208" s="6" t="s">
        <v>778</v>
      </c>
      <c r="B208" s="2" t="s">
        <v>989</v>
      </c>
      <c r="C208" s="11" t="n">
        <f aca="false">VALUE(MID(A208,2,FIND(".",A208)-2))</f>
        <v>16</v>
      </c>
      <c r="D208" s="11" t="n">
        <f aca="false">COUNTIF(HF$6:HF$216,1)</f>
        <v>2</v>
      </c>
      <c r="E208" s="11" t="n">
        <f aca="false">COUNTIF($L208:$HN208,1)</f>
        <v>0</v>
      </c>
      <c r="F208" s="11" t="n">
        <f aca="false">IF(COUNTIF(HF$6:HF207,1)=0,0,1+_xlfn.MAXIFS($F$6:$F207,HF$6:HF207,1))</f>
        <v>12</v>
      </c>
      <c r="G208" s="11" t="n">
        <f aca="false">IF(F208=0,1,SUMIFS($G$6:$G207,HF$6:HF207,1,$F$6:$F207,F208-1))</f>
        <v>2</v>
      </c>
      <c r="H208" s="11" t="n">
        <f aca="false">IF($A208="T16.4",1,IF(COUNTIFS(HG208:HN208,1,HG$4:HN$4,1)&gt;0,1,0))</f>
        <v>0</v>
      </c>
    </row>
    <row r="209" customFormat="false" ht="15" hidden="false" customHeight="false" outlineLevel="0" collapsed="false">
      <c r="A209" s="6" t="s">
        <v>779</v>
      </c>
      <c r="B209" s="2" t="s">
        <v>990</v>
      </c>
      <c r="C209" s="11" t="n">
        <f aca="false">VALUE(MID(A209,2,FIND(".",A209)-2))</f>
        <v>16</v>
      </c>
      <c r="D209" s="11" t="n">
        <f aca="false">COUNTIF(HG$6:HG$216,1)</f>
        <v>3</v>
      </c>
      <c r="E209" s="11" t="n">
        <f aca="false">COUNTIF($L209:$HN209,1)</f>
        <v>0</v>
      </c>
      <c r="F209" s="11" t="n">
        <f aca="false">IF(COUNTIF(HG$6:HG208,1)=0,0,1+_xlfn.MAXIFS($F$6:$F208,HG$6:HG208,1))</f>
        <v>7</v>
      </c>
      <c r="G209" s="11" t="n">
        <f aca="false">IF(F209=0,1,SUMIFS($G$6:$G208,HG$6:HG208,1,$F$6:$F208,F209-1))</f>
        <v>6</v>
      </c>
      <c r="H209" s="11" t="n">
        <f aca="false">IF($A209="T16.4",1,IF(COUNTIFS(HH209:HN209,1,HH$4:HN$4,1)&gt;0,1,0))</f>
        <v>0</v>
      </c>
    </row>
    <row r="210" customFormat="false" ht="15" hidden="false" customHeight="false" outlineLevel="0" collapsed="false">
      <c r="A210" s="6" t="s">
        <v>780</v>
      </c>
      <c r="B210" s="2" t="s">
        <v>991</v>
      </c>
      <c r="C210" s="11" t="n">
        <f aca="false">VALUE(MID(A210,2,FIND(".",A210)-2))</f>
        <v>16</v>
      </c>
      <c r="D210" s="11" t="n">
        <f aca="false">COUNTIF(HH$6:HH$216,1)</f>
        <v>5</v>
      </c>
      <c r="E210" s="11" t="n">
        <f aca="false">COUNTIF($L210:$HN210,1)</f>
        <v>0</v>
      </c>
      <c r="F210" s="11" t="n">
        <f aca="false">IF(COUNTIF(HH$6:HH209,1)=0,0,1+_xlfn.MAXIFS($F$6:$F209,HH$6:HH209,1))</f>
        <v>14</v>
      </c>
      <c r="G210" s="11" t="n">
        <f aca="false">IF(F210=0,1,SUMIFS($G$6:$G209,HH$6:HH209,1,$F$6:$F209,F210-1))</f>
        <v>4</v>
      </c>
      <c r="H210" s="11" t="n">
        <f aca="false">IF($A210="T16.4",1,IF(COUNTIFS(HI210:HN210,1,HI$4:HN$4,1)&gt;0,1,0))</f>
        <v>0</v>
      </c>
    </row>
    <row r="211" customFormat="false" ht="15" hidden="false" customHeight="false" outlineLevel="0" collapsed="false">
      <c r="A211" s="6" t="s">
        <v>781</v>
      </c>
      <c r="B211" s="2" t="s">
        <v>992</v>
      </c>
      <c r="C211" s="11" t="n">
        <f aca="false">VALUE(MID(A211,2,FIND(".",A211)-2))</f>
        <v>16</v>
      </c>
      <c r="D211" s="11" t="n">
        <f aca="false">COUNTIF(HI$6:HI$216,1)</f>
        <v>4</v>
      </c>
      <c r="E211" s="11" t="n">
        <f aca="false">COUNTIF($L211:$HN211,1)</f>
        <v>1</v>
      </c>
      <c r="F211" s="11" t="n">
        <f aca="false">IF(COUNTIF(HI$6:HI210,1)=0,0,1+_xlfn.MAXIFS($F$6:$F210,HI$6:HI210,1))</f>
        <v>14</v>
      </c>
      <c r="G211" s="11" t="n">
        <f aca="false">IF(F211=0,1,SUMIFS($G$6:$G210,HI$6:HI210,1,$F$6:$F210,F211-1))</f>
        <v>4</v>
      </c>
      <c r="H211" s="11" t="n">
        <f aca="false">IF($A211="T16.4",1,IF(COUNTIFS(HJ211:HN211,1,HJ$4:HN$4,1)&gt;0,1,0))</f>
        <v>1</v>
      </c>
      <c r="HN211" s="25" t="n">
        <v>1</v>
      </c>
    </row>
    <row r="212" customFormat="false" ht="15" hidden="false" customHeight="false" outlineLevel="0" collapsed="false">
      <c r="A212" s="6" t="s">
        <v>782</v>
      </c>
      <c r="B212" s="2" t="s">
        <v>993</v>
      </c>
      <c r="C212" s="11" t="n">
        <f aca="false">VALUE(MID(A212,2,FIND(".",A212)-2))</f>
        <v>16</v>
      </c>
      <c r="D212" s="11" t="n">
        <f aca="false">COUNTIF(HJ$6:HJ$216,1)</f>
        <v>0</v>
      </c>
      <c r="E212" s="11" t="n">
        <f aca="false">COUNTIF($L212:$HN212,1)</f>
        <v>1</v>
      </c>
      <c r="F212" s="11" t="n">
        <f aca="false">IF(COUNTIF(HJ$6:HJ211,1)=0,0,1+_xlfn.MAXIFS($F$6:$F211,HJ$6:HJ211,1))</f>
        <v>0</v>
      </c>
      <c r="G212" s="11" t="n">
        <f aca="false">IF(F212=0,1,SUMIFS($G$6:$G211,HJ$6:HJ211,1,$F$6:$F211,F212-1))</f>
        <v>1</v>
      </c>
      <c r="H212" s="11" t="n">
        <f aca="false">IF($A212="T16.4",1,IF(COUNTIFS(HK212:HN212,1,HK$4:HN$4,1)&gt;0,1,0))</f>
        <v>0</v>
      </c>
      <c r="HK212" s="25" t="n">
        <v>1</v>
      </c>
    </row>
    <row r="213" customFormat="false" ht="15" hidden="false" customHeight="false" outlineLevel="0" collapsed="false">
      <c r="A213" s="6" t="s">
        <v>783</v>
      </c>
      <c r="B213" s="2" t="s">
        <v>994</v>
      </c>
      <c r="C213" s="11" t="n">
        <f aca="false">VALUE(MID(A213,2,FIND(".",A213)-2))</f>
        <v>16</v>
      </c>
      <c r="D213" s="11" t="n">
        <f aca="false">COUNTIF(HK$6:HK$216,1)</f>
        <v>4</v>
      </c>
      <c r="E213" s="11" t="n">
        <f aca="false">COUNTIF($L213:$HN213,1)</f>
        <v>1</v>
      </c>
      <c r="F213" s="11" t="n">
        <f aca="false">IF(COUNTIF(HK$6:HK212,1)=0,0,1+_xlfn.MAXIFS($F$6:$F212,HK$6:HK212,1))</f>
        <v>14</v>
      </c>
      <c r="G213" s="11" t="n">
        <f aca="false">IF(F213=0,1,SUMIFS($G$6:$G212,HK$6:HK212,1,$F$6:$F212,F213-1))</f>
        <v>4</v>
      </c>
      <c r="H213" s="11" t="n">
        <f aca="false">IF($A213="T16.4",1,IF(COUNTIFS(HL213:HN213,1,HL$4:HN$4,1)&gt;0,1,0))</f>
        <v>0</v>
      </c>
      <c r="HL213" s="25" t="n">
        <v>1</v>
      </c>
    </row>
    <row r="214" customFormat="false" ht="15" hidden="false" customHeight="false" outlineLevel="0" collapsed="false">
      <c r="A214" s="6" t="s">
        <v>784</v>
      </c>
      <c r="B214" s="2" t="s">
        <v>995</v>
      </c>
      <c r="C214" s="11" t="n">
        <f aca="false">VALUE(MID(A214,2,FIND(".",A214)-2))</f>
        <v>16</v>
      </c>
      <c r="D214" s="11" t="n">
        <f aca="false">COUNTIF(HL$6:HL$216,1)</f>
        <v>1</v>
      </c>
      <c r="E214" s="11" t="n">
        <f aca="false">COUNTIF($L214:$HN214,1)</f>
        <v>0</v>
      </c>
      <c r="F214" s="11" t="n">
        <f aca="false">IF(COUNTIF(HL$6:HL213,1)=0,0,1+_xlfn.MAXIFS($F$6:$F213,HL$6:HL213,1))</f>
        <v>15</v>
      </c>
      <c r="G214" s="11" t="n">
        <f aca="false">IF(F214=0,1,SUMIFS($G$6:$G213,HL$6:HL213,1,$F$6:$F213,F214-1))</f>
        <v>4</v>
      </c>
      <c r="H214" s="11" t="n">
        <f aca="false">IF($A214="T16.4",1,IF(COUNTIFS(HM214:HN214,1,HM$4:HN$4,1)&gt;0,1,0))</f>
        <v>0</v>
      </c>
    </row>
    <row r="215" customFormat="false" ht="15" hidden="false" customHeight="false" outlineLevel="0" collapsed="false">
      <c r="A215" s="6" t="s">
        <v>785</v>
      </c>
      <c r="B215" s="2" t="s">
        <v>996</v>
      </c>
      <c r="C215" s="11" t="n">
        <f aca="false">VALUE(MID(A215,2,FIND(".",A215)-2))</f>
        <v>16</v>
      </c>
      <c r="D215" s="11" t="n">
        <f aca="false">COUNTIF(HM$6:HM$216,1)</f>
        <v>2</v>
      </c>
      <c r="E215" s="11" t="n">
        <f aca="false">COUNTIF($L215:$HN215,1)</f>
        <v>1</v>
      </c>
      <c r="F215" s="11" t="n">
        <f aca="false">IF(COUNTIF(HM$6:HM214,1)=0,0,1+_xlfn.MAXIFS($F$6:$F214,HM$6:HM214,1))</f>
        <v>12</v>
      </c>
      <c r="G215" s="11" t="n">
        <f aca="false">IF(F215=0,1,SUMIFS($G$6:$G214,HM$6:HM214,1,$F$6:$F214,F215-1))</f>
        <v>4</v>
      </c>
      <c r="H215" s="11" t="n">
        <f aca="false">IF($A215="T16.4",1,IF(COUNTIFS(HN215:HN215,1,HN$4:HN$4,1)&gt;0,1,0))</f>
        <v>0</v>
      </c>
      <c r="HN215" s="25" t="n">
        <v>1</v>
      </c>
    </row>
    <row r="216" customFormat="false" ht="15" hidden="false" customHeight="false" outlineLevel="0" collapsed="false">
      <c r="A216" s="6" t="s">
        <v>786</v>
      </c>
      <c r="B216" s="2" t="s">
        <v>997</v>
      </c>
      <c r="C216" s="11" t="n">
        <f aca="false">VALUE(MID(A216,2,FIND(".",A216)-2))</f>
        <v>16</v>
      </c>
      <c r="D216" s="11" t="n">
        <f aca="false">COUNTIF(HN$6:HN$216,1)</f>
        <v>9</v>
      </c>
      <c r="E216" s="11" t="n">
        <f aca="false">COUNTIF($L216:$HN216,1)</f>
        <v>0</v>
      </c>
      <c r="F216" s="11" t="n">
        <f aca="false">IF(COUNTIF(HN$6:HN215,1)=0,0,1+_xlfn.MAXIFS($F$6:$F215,HN$6:HN215,1))</f>
        <v>15</v>
      </c>
      <c r="G216" s="11" t="n">
        <f aca="false">IF(F216=0,1,SUMIFS($G$6:$G215,HN$6:HN215,1,$F$6:$F215,F216-1))</f>
        <v>4</v>
      </c>
      <c r="H216" s="11" t="n">
        <f aca="false">IF($A216="T16.4",1,0)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3"/>
    <col collapsed="false" customWidth="true" hidden="false" outlineLevel="0" max="7" min="3" style="0" width="10"/>
    <col collapsed="false" customWidth="true" hidden="false" outlineLevel="0" max="11" min="11" style="0" width="46"/>
    <col collapsed="false" customWidth="true" hidden="false" outlineLevel="0" max="28" min="12" style="0" width="5"/>
  </cols>
  <sheetData>
    <row r="1" customFormat="false" ht="15" hidden="false" customHeight="false" outlineLevel="0" collapsed="false">
      <c r="A1" s="1" t="s">
        <v>998</v>
      </c>
    </row>
    <row r="2" customFormat="false" ht="15" hidden="false" customHeight="false" outlineLevel="0" collapsed="false">
      <c r="A2" s="10" t="s">
        <v>999</v>
      </c>
    </row>
    <row r="4" customFormat="false" ht="23.85" hidden="false" customHeight="false" outlineLevel="0" collapsed="false">
      <c r="A4" s="8" t="s">
        <v>1000</v>
      </c>
      <c r="B4" s="8" t="s">
        <v>1001</v>
      </c>
      <c r="C4" s="8" t="s">
        <v>1002</v>
      </c>
      <c r="D4" s="8" t="s">
        <v>1003</v>
      </c>
      <c r="E4" s="8" t="s">
        <v>1004</v>
      </c>
      <c r="F4" s="8" t="s">
        <v>1005</v>
      </c>
      <c r="G4" s="8" t="s">
        <v>1006</v>
      </c>
      <c r="K4" s="8" t="s">
        <v>1007</v>
      </c>
    </row>
    <row r="5" customFormat="false" ht="15" hidden="false" customHeight="false" outlineLevel="0" collapsed="false">
      <c r="A5" s="6" t="s">
        <v>582</v>
      </c>
      <c r="B5" s="6" t="s">
        <v>581</v>
      </c>
      <c r="C5" s="11" t="n">
        <f aca="false">VALUE(MID(A5,2,FIND(".",A5)-2))</f>
        <v>2</v>
      </c>
      <c r="D5" s="11" t="n">
        <f aca="false">VALUE(MID(B5,2,FIND(".",B5)-2))</f>
        <v>2</v>
      </c>
      <c r="E5" s="11" t="n">
        <f aca="false">MATCH(A5,Dependencies!$A$6:$A$216,0)</f>
        <v>7</v>
      </c>
      <c r="F5" s="11" t="n">
        <f aca="false">MATCH(B5,Dependencies!$A$6:$A$216,0)</f>
        <v>6</v>
      </c>
      <c r="G5" s="11" t="n">
        <f aca="false">INDEX(Dependencies!$L$6:$HN$216,F5,E5)</f>
        <v>1</v>
      </c>
      <c r="K5" s="6" t="s">
        <v>1008</v>
      </c>
    </row>
    <row r="6" customFormat="false" ht="15" hidden="false" customHeight="false" outlineLevel="0" collapsed="false">
      <c r="A6" s="6" t="s">
        <v>584</v>
      </c>
      <c r="B6" s="6" t="s">
        <v>581</v>
      </c>
      <c r="C6" s="11" t="n">
        <f aca="false">VALUE(MID(A6,2,FIND(".",A6)-2))</f>
        <v>2</v>
      </c>
      <c r="D6" s="11" t="n">
        <f aca="false">VALUE(MID(B6,2,FIND(".",B6)-2))</f>
        <v>2</v>
      </c>
      <c r="E6" s="11" t="n">
        <f aca="false">MATCH(A6,Dependencies!$A$6:$A$216,0)</f>
        <v>9</v>
      </c>
      <c r="F6" s="11" t="n">
        <f aca="false">MATCH(B6,Dependencies!$A$6:$A$216,0)</f>
        <v>6</v>
      </c>
      <c r="G6" s="11" t="n">
        <f aca="false">INDEX(Dependencies!$L$6:$HN$216,F6,E6)</f>
        <v>1</v>
      </c>
      <c r="K6" s="6" t="s">
        <v>1009</v>
      </c>
    </row>
    <row r="7" customFormat="false" ht="15" hidden="false" customHeight="false" outlineLevel="0" collapsed="false">
      <c r="A7" s="6" t="s">
        <v>585</v>
      </c>
      <c r="B7" s="6" t="s">
        <v>582</v>
      </c>
      <c r="C7" s="11" t="n">
        <f aca="false">VALUE(MID(A7,2,FIND(".",A7)-2))</f>
        <v>2</v>
      </c>
      <c r="D7" s="11" t="n">
        <f aca="false">VALUE(MID(B7,2,FIND(".",B7)-2))</f>
        <v>2</v>
      </c>
      <c r="E7" s="11" t="n">
        <f aca="false">MATCH(A7,Dependencies!$A$6:$A$216,0)</f>
        <v>10</v>
      </c>
      <c r="F7" s="11" t="n">
        <f aca="false">MATCH(B7,Dependencies!$A$6:$A$216,0)</f>
        <v>7</v>
      </c>
      <c r="G7" s="11" t="n">
        <f aca="false">INDEX(Dependencies!$L$6:$HN$216,F7,E7)</f>
        <v>1</v>
      </c>
      <c r="K7" s="6" t="s">
        <v>1010</v>
      </c>
    </row>
    <row r="8" customFormat="false" ht="15" hidden="false" customHeight="false" outlineLevel="0" collapsed="false">
      <c r="A8" s="6" t="s">
        <v>586</v>
      </c>
      <c r="B8" s="6" t="s">
        <v>583</v>
      </c>
      <c r="C8" s="11" t="n">
        <f aca="false">VALUE(MID(A8,2,FIND(".",A8)-2))</f>
        <v>2</v>
      </c>
      <c r="D8" s="11" t="n">
        <f aca="false">VALUE(MID(B8,2,FIND(".",B8)-2))</f>
        <v>2</v>
      </c>
      <c r="E8" s="11" t="n">
        <f aca="false">MATCH(A8,Dependencies!$A$6:$A$216,0)</f>
        <v>11</v>
      </c>
      <c r="F8" s="11" t="n">
        <f aca="false">MATCH(B8,Dependencies!$A$6:$A$216,0)</f>
        <v>8</v>
      </c>
      <c r="G8" s="11" t="n">
        <f aca="false">INDEX(Dependencies!$L$6:$HN$216,F8,E8)</f>
        <v>1</v>
      </c>
      <c r="K8" s="6" t="s">
        <v>1011</v>
      </c>
    </row>
    <row r="9" customFormat="false" ht="15" hidden="false" customHeight="false" outlineLevel="0" collapsed="false">
      <c r="A9" s="6" t="s">
        <v>590</v>
      </c>
      <c r="B9" s="6" t="s">
        <v>587</v>
      </c>
      <c r="C9" s="11" t="n">
        <f aca="false">VALUE(MID(A9,2,FIND(".",A9)-2))</f>
        <v>3</v>
      </c>
      <c r="D9" s="11" t="n">
        <f aca="false">VALUE(MID(B9,2,FIND(".",B9)-2))</f>
        <v>3</v>
      </c>
      <c r="E9" s="11" t="n">
        <f aca="false">MATCH(A9,Dependencies!$A$6:$A$216,0)</f>
        <v>15</v>
      </c>
      <c r="F9" s="11" t="n">
        <f aca="false">MATCH(B9,Dependencies!$A$6:$A$216,0)</f>
        <v>12</v>
      </c>
      <c r="G9" s="11" t="n">
        <f aca="false">INDEX(Dependencies!$L$6:$HN$216,F9,E9)</f>
        <v>1</v>
      </c>
      <c r="K9" s="6" t="s">
        <v>1012</v>
      </c>
    </row>
    <row r="10" customFormat="false" ht="15" hidden="false" customHeight="false" outlineLevel="0" collapsed="false">
      <c r="A10" s="6" t="s">
        <v>594</v>
      </c>
      <c r="B10" s="6" t="s">
        <v>592</v>
      </c>
      <c r="C10" s="11" t="n">
        <f aca="false">VALUE(MID(A10,2,FIND(".",A10)-2))</f>
        <v>4</v>
      </c>
      <c r="D10" s="11" t="n">
        <f aca="false">VALUE(MID(B10,2,FIND(".",B10)-2))</f>
        <v>3</v>
      </c>
      <c r="E10" s="11" t="n">
        <f aca="false">MATCH(A10,Dependencies!$A$6:$A$216,0)</f>
        <v>19</v>
      </c>
      <c r="F10" s="11" t="n">
        <f aca="false">MATCH(B10,Dependencies!$A$6:$A$216,0)</f>
        <v>17</v>
      </c>
      <c r="G10" s="11" t="n">
        <f aca="false">INDEX(Dependencies!$L$6:$HN$216,F10,E10)</f>
        <v>1</v>
      </c>
      <c r="K10" s="6" t="s">
        <v>1013</v>
      </c>
    </row>
    <row r="11" customFormat="false" ht="15" hidden="false" customHeight="false" outlineLevel="0" collapsed="false">
      <c r="A11" s="6" t="s">
        <v>595</v>
      </c>
      <c r="B11" s="6" t="s">
        <v>594</v>
      </c>
      <c r="C11" s="11" t="n">
        <f aca="false">VALUE(MID(A11,2,FIND(".",A11)-2))</f>
        <v>4</v>
      </c>
      <c r="D11" s="11" t="n">
        <f aca="false">VALUE(MID(B11,2,FIND(".",B11)-2))</f>
        <v>4</v>
      </c>
      <c r="E11" s="11" t="n">
        <f aca="false">MATCH(A11,Dependencies!$A$6:$A$216,0)</f>
        <v>20</v>
      </c>
      <c r="F11" s="11" t="n">
        <f aca="false">MATCH(B11,Dependencies!$A$6:$A$216,0)</f>
        <v>19</v>
      </c>
      <c r="G11" s="11" t="n">
        <f aca="false">INDEX(Dependencies!$L$6:$HN$216,F11,E11)</f>
        <v>1</v>
      </c>
      <c r="K11" s="6" t="s">
        <v>1014</v>
      </c>
    </row>
    <row r="12" customFormat="false" ht="15" hidden="false" customHeight="false" outlineLevel="0" collapsed="false">
      <c r="A12" s="6" t="s">
        <v>598</v>
      </c>
      <c r="B12" s="6" t="s">
        <v>587</v>
      </c>
      <c r="C12" s="11" t="n">
        <f aca="false">VALUE(MID(A12,2,FIND(".",A12)-2))</f>
        <v>4</v>
      </c>
      <c r="D12" s="11" t="n">
        <f aca="false">VALUE(MID(B12,2,FIND(".",B12)-2))</f>
        <v>3</v>
      </c>
      <c r="E12" s="11" t="n">
        <f aca="false">MATCH(A12,Dependencies!$A$6:$A$216,0)</f>
        <v>23</v>
      </c>
      <c r="F12" s="11" t="n">
        <f aca="false">MATCH(B12,Dependencies!$A$6:$A$216,0)</f>
        <v>12</v>
      </c>
      <c r="G12" s="11" t="n">
        <f aca="false">INDEX(Dependencies!$L$6:$HN$216,F12,E12)</f>
        <v>1</v>
      </c>
      <c r="K12" s="6" t="s">
        <v>1015</v>
      </c>
    </row>
    <row r="13" customFormat="false" ht="15" hidden="false" customHeight="false" outlineLevel="0" collapsed="false">
      <c r="A13" s="6" t="s">
        <v>599</v>
      </c>
      <c r="B13" s="6" t="s">
        <v>581</v>
      </c>
      <c r="C13" s="11" t="n">
        <f aca="false">VALUE(MID(A13,2,FIND(".",A13)-2))</f>
        <v>4</v>
      </c>
      <c r="D13" s="11" t="n">
        <f aca="false">VALUE(MID(B13,2,FIND(".",B13)-2))</f>
        <v>2</v>
      </c>
      <c r="E13" s="11" t="n">
        <f aca="false">MATCH(A13,Dependencies!$A$6:$A$216,0)</f>
        <v>24</v>
      </c>
      <c r="F13" s="11" t="n">
        <f aca="false">MATCH(B13,Dependencies!$A$6:$A$216,0)</f>
        <v>6</v>
      </c>
      <c r="G13" s="11" t="n">
        <f aca="false">INDEX(Dependencies!$L$6:$HN$216,F13,E13)</f>
        <v>1</v>
      </c>
      <c r="K13" s="6" t="s">
        <v>1016</v>
      </c>
    </row>
    <row r="14" customFormat="false" ht="15" hidden="false" customHeight="false" outlineLevel="0" collapsed="false">
      <c r="A14" s="6" t="s">
        <v>602</v>
      </c>
      <c r="B14" s="6" t="s">
        <v>581</v>
      </c>
      <c r="C14" s="11" t="n">
        <f aca="false">VALUE(MID(A14,2,FIND(".",A14)-2))</f>
        <v>5</v>
      </c>
      <c r="D14" s="11" t="n">
        <f aca="false">VALUE(MID(B14,2,FIND(".",B14)-2))</f>
        <v>2</v>
      </c>
      <c r="E14" s="11" t="n">
        <f aca="false">MATCH(A14,Dependencies!$A$6:$A$216,0)</f>
        <v>27</v>
      </c>
      <c r="F14" s="11" t="n">
        <f aca="false">MATCH(B14,Dependencies!$A$6:$A$216,0)</f>
        <v>6</v>
      </c>
      <c r="G14" s="11" t="n">
        <f aca="false">INDEX(Dependencies!$L$6:$HN$216,F14,E14)</f>
        <v>1</v>
      </c>
    </row>
    <row r="15" customFormat="false" ht="15" hidden="false" customHeight="false" outlineLevel="0" collapsed="false">
      <c r="A15" s="6" t="s">
        <v>603</v>
      </c>
      <c r="B15" s="6" t="s">
        <v>592</v>
      </c>
      <c r="C15" s="11" t="n">
        <f aca="false">VALUE(MID(A15,2,FIND(".",A15)-2))</f>
        <v>5</v>
      </c>
      <c r="D15" s="11" t="n">
        <f aca="false">VALUE(MID(B15,2,FIND(".",B15)-2))</f>
        <v>3</v>
      </c>
      <c r="E15" s="11" t="n">
        <f aca="false">MATCH(A15,Dependencies!$A$6:$A$216,0)</f>
        <v>28</v>
      </c>
      <c r="F15" s="11" t="n">
        <f aca="false">MATCH(B15,Dependencies!$A$6:$A$216,0)</f>
        <v>17</v>
      </c>
      <c r="G15" s="11" t="n">
        <f aca="false">INDEX(Dependencies!$L$6:$HN$216,F15,E15)</f>
        <v>1</v>
      </c>
    </row>
    <row r="16" customFormat="false" ht="23.85" hidden="false" customHeight="false" outlineLevel="0" collapsed="false">
      <c r="A16" s="6" t="s">
        <v>603</v>
      </c>
      <c r="B16" s="6" t="s">
        <v>601</v>
      </c>
      <c r="C16" s="11" t="n">
        <f aca="false">VALUE(MID(A16,2,FIND(".",A16)-2))</f>
        <v>5</v>
      </c>
      <c r="D16" s="11" t="n">
        <f aca="false">VALUE(MID(B16,2,FIND(".",B16)-2))</f>
        <v>5</v>
      </c>
      <c r="E16" s="11" t="n">
        <f aca="false">MATCH(A16,Dependencies!$A$6:$A$216,0)</f>
        <v>28</v>
      </c>
      <c r="F16" s="11" t="n">
        <f aca="false">MATCH(B16,Dependencies!$A$6:$A$216,0)</f>
        <v>26</v>
      </c>
      <c r="G16" s="11" t="n">
        <f aca="false">INDEX(Dependencies!$L$6:$HN$216,F16,E16)</f>
        <v>1</v>
      </c>
      <c r="K16" s="8" t="s">
        <v>1017</v>
      </c>
      <c r="L16" s="8" t="s">
        <v>1018</v>
      </c>
      <c r="M16" s="8" t="s">
        <v>1019</v>
      </c>
      <c r="N16" s="8" t="s">
        <v>1020</v>
      </c>
      <c r="O16" s="8" t="s">
        <v>1021</v>
      </c>
      <c r="P16" s="8" t="s">
        <v>397</v>
      </c>
      <c r="Q16" s="8" t="s">
        <v>1022</v>
      </c>
      <c r="R16" s="8" t="s">
        <v>1023</v>
      </c>
      <c r="S16" s="8" t="s">
        <v>1024</v>
      </c>
      <c r="T16" s="8" t="s">
        <v>1025</v>
      </c>
      <c r="U16" s="8" t="s">
        <v>1026</v>
      </c>
      <c r="V16" s="8" t="s">
        <v>1027</v>
      </c>
      <c r="W16" s="8" t="s">
        <v>1028</v>
      </c>
      <c r="X16" s="8" t="s">
        <v>1029</v>
      </c>
      <c r="Y16" s="8" t="s">
        <v>1030</v>
      </c>
      <c r="Z16" s="8" t="s">
        <v>1031</v>
      </c>
      <c r="AA16" s="8" t="s">
        <v>1032</v>
      </c>
      <c r="AB16" s="8" t="s">
        <v>1033</v>
      </c>
    </row>
    <row r="17" customFormat="false" ht="15" hidden="false" customHeight="false" outlineLevel="0" collapsed="false">
      <c r="A17" s="6" t="s">
        <v>604</v>
      </c>
      <c r="B17" s="6" t="s">
        <v>592</v>
      </c>
      <c r="C17" s="11" t="n">
        <f aca="false">VALUE(MID(A17,2,FIND(".",A17)-2))</f>
        <v>5</v>
      </c>
      <c r="D17" s="11" t="n">
        <f aca="false">VALUE(MID(B17,2,FIND(".",B17)-2))</f>
        <v>3</v>
      </c>
      <c r="E17" s="11" t="n">
        <f aca="false">MATCH(A17,Dependencies!$A$6:$A$216,0)</f>
        <v>29</v>
      </c>
      <c r="F17" s="11" t="n">
        <f aca="false">MATCH(B17,Dependencies!$A$6:$A$216,0)</f>
        <v>17</v>
      </c>
      <c r="G17" s="11" t="n">
        <f aca="false">INDEX(Dependencies!$L$6:$HN$216,F17,E17)</f>
        <v>1</v>
      </c>
      <c r="K17" s="11" t="n">
        <v>1</v>
      </c>
      <c r="L17" s="11" t="n">
        <f aca="false">COUNTIFS($C$5:$C$306,$K17,$D$5:$D$306,1)</f>
        <v>0</v>
      </c>
      <c r="M17" s="11" t="n">
        <f aca="false">COUNTIFS($C$5:$C$306,$K17,$D$5:$D$306,2)</f>
        <v>0</v>
      </c>
      <c r="N17" s="11" t="n">
        <f aca="false">COUNTIFS($C$5:$C$306,$K17,$D$5:$D$306,3)</f>
        <v>0</v>
      </c>
      <c r="O17" s="11" t="n">
        <f aca="false">COUNTIFS($C$5:$C$306,$K17,$D$5:$D$306,4)</f>
        <v>0</v>
      </c>
      <c r="P17" s="11" t="n">
        <f aca="false">COUNTIFS($C$5:$C$306,$K17,$D$5:$D$306,5)</f>
        <v>0</v>
      </c>
      <c r="Q17" s="11" t="n">
        <f aca="false">COUNTIFS($C$5:$C$306,$K17,$D$5:$D$306,6)</f>
        <v>0</v>
      </c>
      <c r="R17" s="11" t="n">
        <f aca="false">COUNTIFS($C$5:$C$306,$K17,$D$5:$D$306,7)</f>
        <v>0</v>
      </c>
      <c r="S17" s="11" t="n">
        <f aca="false">COUNTIFS($C$5:$C$306,$K17,$D$5:$D$306,8)</f>
        <v>0</v>
      </c>
      <c r="T17" s="11" t="n">
        <f aca="false">COUNTIFS($C$5:$C$306,$K17,$D$5:$D$306,9)</f>
        <v>0</v>
      </c>
      <c r="U17" s="11" t="n">
        <f aca="false">COUNTIFS($C$5:$C$306,$K17,$D$5:$D$306,10)</f>
        <v>0</v>
      </c>
      <c r="V17" s="11" t="n">
        <f aca="false">COUNTIFS($C$5:$C$306,$K17,$D$5:$D$306,11)</f>
        <v>0</v>
      </c>
      <c r="W17" s="11" t="n">
        <f aca="false">COUNTIFS($C$5:$C$306,$K17,$D$5:$D$306,12)</f>
        <v>0</v>
      </c>
      <c r="X17" s="11" t="n">
        <f aca="false">COUNTIFS($C$5:$C$306,$K17,$D$5:$D$306,13)</f>
        <v>0</v>
      </c>
      <c r="Y17" s="11" t="n">
        <f aca="false">COUNTIFS($C$5:$C$306,$K17,$D$5:$D$306,14)</f>
        <v>0</v>
      </c>
      <c r="Z17" s="11" t="n">
        <f aca="false">COUNTIFS($C$5:$C$306,$K17,$D$5:$D$306,15)</f>
        <v>0</v>
      </c>
      <c r="AA17" s="11" t="n">
        <f aca="false">COUNTIFS($C$5:$C$306,$K17,$D$5:$D$306,16)</f>
        <v>0</v>
      </c>
      <c r="AB17" s="11" t="n">
        <f aca="false">COUNTIF(Dependencies!$C$6:$C$216,$K17)</f>
        <v>4</v>
      </c>
    </row>
    <row r="18" customFormat="false" ht="15" hidden="false" customHeight="false" outlineLevel="0" collapsed="false">
      <c r="A18" s="6" t="s">
        <v>604</v>
      </c>
      <c r="B18" s="6" t="s">
        <v>603</v>
      </c>
      <c r="C18" s="11" t="n">
        <f aca="false">VALUE(MID(A18,2,FIND(".",A18)-2))</f>
        <v>5</v>
      </c>
      <c r="D18" s="11" t="n">
        <f aca="false">VALUE(MID(B18,2,FIND(".",B18)-2))</f>
        <v>5</v>
      </c>
      <c r="E18" s="11" t="n">
        <f aca="false">MATCH(A18,Dependencies!$A$6:$A$216,0)</f>
        <v>29</v>
      </c>
      <c r="F18" s="11" t="n">
        <f aca="false">MATCH(B18,Dependencies!$A$6:$A$216,0)</f>
        <v>28</v>
      </c>
      <c r="G18" s="11" t="n">
        <f aca="false">INDEX(Dependencies!$L$6:$HN$216,F18,E18)</f>
        <v>1</v>
      </c>
      <c r="K18" s="11" t="n">
        <v>2</v>
      </c>
      <c r="L18" s="11" t="n">
        <f aca="false">COUNTIFS($C$5:$C$306,$K18,$D$5:$D$306,1)</f>
        <v>0</v>
      </c>
      <c r="M18" s="11" t="n">
        <f aca="false">COUNTIFS($C$5:$C$306,$K18,$D$5:$D$306,2)</f>
        <v>4</v>
      </c>
      <c r="N18" s="11" t="n">
        <f aca="false">COUNTIFS($C$5:$C$306,$K18,$D$5:$D$306,3)</f>
        <v>0</v>
      </c>
      <c r="O18" s="11" t="n">
        <f aca="false">COUNTIFS($C$5:$C$306,$K18,$D$5:$D$306,4)</f>
        <v>0</v>
      </c>
      <c r="P18" s="11" t="n">
        <f aca="false">COUNTIFS($C$5:$C$306,$K18,$D$5:$D$306,5)</f>
        <v>0</v>
      </c>
      <c r="Q18" s="11" t="n">
        <f aca="false">COUNTIFS($C$5:$C$306,$K18,$D$5:$D$306,6)</f>
        <v>0</v>
      </c>
      <c r="R18" s="11" t="n">
        <f aca="false">COUNTIFS($C$5:$C$306,$K18,$D$5:$D$306,7)</f>
        <v>0</v>
      </c>
      <c r="S18" s="11" t="n">
        <f aca="false">COUNTIFS($C$5:$C$306,$K18,$D$5:$D$306,8)</f>
        <v>0</v>
      </c>
      <c r="T18" s="11" t="n">
        <f aca="false">COUNTIFS($C$5:$C$306,$K18,$D$5:$D$306,9)</f>
        <v>0</v>
      </c>
      <c r="U18" s="11" t="n">
        <f aca="false">COUNTIFS($C$5:$C$306,$K18,$D$5:$D$306,10)</f>
        <v>0</v>
      </c>
      <c r="V18" s="11" t="n">
        <f aca="false">COUNTIFS($C$5:$C$306,$K18,$D$5:$D$306,11)</f>
        <v>0</v>
      </c>
      <c r="W18" s="11" t="n">
        <f aca="false">COUNTIFS($C$5:$C$306,$K18,$D$5:$D$306,12)</f>
        <v>0</v>
      </c>
      <c r="X18" s="11" t="n">
        <f aca="false">COUNTIFS($C$5:$C$306,$K18,$D$5:$D$306,13)</f>
        <v>0</v>
      </c>
      <c r="Y18" s="11" t="n">
        <f aca="false">COUNTIFS($C$5:$C$306,$K18,$D$5:$D$306,14)</f>
        <v>0</v>
      </c>
      <c r="Z18" s="11" t="n">
        <f aca="false">COUNTIFS($C$5:$C$306,$K18,$D$5:$D$306,15)</f>
        <v>0</v>
      </c>
      <c r="AA18" s="11" t="n">
        <f aca="false">COUNTIFS($C$5:$C$306,$K18,$D$5:$D$306,16)</f>
        <v>0</v>
      </c>
      <c r="AB18" s="11" t="n">
        <f aca="false">COUNTIF(Dependencies!$C$6:$C$216,$K18)</f>
        <v>7</v>
      </c>
    </row>
    <row r="19" customFormat="false" ht="15" hidden="false" customHeight="false" outlineLevel="0" collapsed="false">
      <c r="A19" s="6" t="s">
        <v>605</v>
      </c>
      <c r="B19" s="6" t="s">
        <v>587</v>
      </c>
      <c r="C19" s="11" t="n">
        <f aca="false">VALUE(MID(A19,2,FIND(".",A19)-2))</f>
        <v>5</v>
      </c>
      <c r="D19" s="11" t="n">
        <f aca="false">VALUE(MID(B19,2,FIND(".",B19)-2))</f>
        <v>3</v>
      </c>
      <c r="E19" s="11" t="n">
        <f aca="false">MATCH(A19,Dependencies!$A$6:$A$216,0)</f>
        <v>30</v>
      </c>
      <c r="F19" s="11" t="n">
        <f aca="false">MATCH(B19,Dependencies!$A$6:$A$216,0)</f>
        <v>12</v>
      </c>
      <c r="G19" s="11" t="n">
        <f aca="false">INDEX(Dependencies!$L$6:$HN$216,F19,E19)</f>
        <v>1</v>
      </c>
      <c r="K19" s="11" t="n">
        <v>3</v>
      </c>
      <c r="L19" s="11" t="n">
        <f aca="false">COUNTIFS($C$5:$C$306,$K19,$D$5:$D$306,1)</f>
        <v>0</v>
      </c>
      <c r="M19" s="11" t="n">
        <f aca="false">COUNTIFS($C$5:$C$306,$K19,$D$5:$D$306,2)</f>
        <v>0</v>
      </c>
      <c r="N19" s="11" t="n">
        <f aca="false">COUNTIFS($C$5:$C$306,$K19,$D$5:$D$306,3)</f>
        <v>1</v>
      </c>
      <c r="O19" s="11" t="n">
        <f aca="false">COUNTIFS($C$5:$C$306,$K19,$D$5:$D$306,4)</f>
        <v>0</v>
      </c>
      <c r="P19" s="11" t="n">
        <f aca="false">COUNTIFS($C$5:$C$306,$K19,$D$5:$D$306,5)</f>
        <v>0</v>
      </c>
      <c r="Q19" s="11" t="n">
        <f aca="false">COUNTIFS($C$5:$C$306,$K19,$D$5:$D$306,6)</f>
        <v>0</v>
      </c>
      <c r="R19" s="11" t="n">
        <f aca="false">COUNTIFS($C$5:$C$306,$K19,$D$5:$D$306,7)</f>
        <v>0</v>
      </c>
      <c r="S19" s="11" t="n">
        <f aca="false">COUNTIFS($C$5:$C$306,$K19,$D$5:$D$306,8)</f>
        <v>0</v>
      </c>
      <c r="T19" s="11" t="n">
        <f aca="false">COUNTIFS($C$5:$C$306,$K19,$D$5:$D$306,9)</f>
        <v>0</v>
      </c>
      <c r="U19" s="11" t="n">
        <f aca="false">COUNTIFS($C$5:$C$306,$K19,$D$5:$D$306,10)</f>
        <v>0</v>
      </c>
      <c r="V19" s="11" t="n">
        <f aca="false">COUNTIFS($C$5:$C$306,$K19,$D$5:$D$306,11)</f>
        <v>0</v>
      </c>
      <c r="W19" s="11" t="n">
        <f aca="false">COUNTIFS($C$5:$C$306,$K19,$D$5:$D$306,12)</f>
        <v>0</v>
      </c>
      <c r="X19" s="11" t="n">
        <f aca="false">COUNTIFS($C$5:$C$306,$K19,$D$5:$D$306,13)</f>
        <v>0</v>
      </c>
      <c r="Y19" s="11" t="n">
        <f aca="false">COUNTIFS($C$5:$C$306,$K19,$D$5:$D$306,14)</f>
        <v>0</v>
      </c>
      <c r="Z19" s="11" t="n">
        <f aca="false">COUNTIFS($C$5:$C$306,$K19,$D$5:$D$306,15)</f>
        <v>0</v>
      </c>
      <c r="AA19" s="11" t="n">
        <f aca="false">COUNTIFS($C$5:$C$306,$K19,$D$5:$D$306,16)</f>
        <v>0</v>
      </c>
      <c r="AB19" s="11" t="n">
        <f aca="false">COUNTIF(Dependencies!$C$6:$C$216,$K19)</f>
        <v>7</v>
      </c>
    </row>
    <row r="20" customFormat="false" ht="15" hidden="false" customHeight="false" outlineLevel="0" collapsed="false">
      <c r="A20" s="6" t="s">
        <v>607</v>
      </c>
      <c r="B20" s="6" t="s">
        <v>581</v>
      </c>
      <c r="C20" s="11" t="n">
        <f aca="false">VALUE(MID(A20,2,FIND(".",A20)-2))</f>
        <v>5</v>
      </c>
      <c r="D20" s="11" t="n">
        <f aca="false">VALUE(MID(B20,2,FIND(".",B20)-2))</f>
        <v>2</v>
      </c>
      <c r="E20" s="11" t="n">
        <f aca="false">MATCH(A20,Dependencies!$A$6:$A$216,0)</f>
        <v>32</v>
      </c>
      <c r="F20" s="11" t="n">
        <f aca="false">MATCH(B20,Dependencies!$A$6:$A$216,0)</f>
        <v>6</v>
      </c>
      <c r="G20" s="11" t="n">
        <f aca="false">INDEX(Dependencies!$L$6:$HN$216,F20,E20)</f>
        <v>1</v>
      </c>
      <c r="K20" s="11" t="n">
        <v>4</v>
      </c>
      <c r="L20" s="11" t="n">
        <f aca="false">COUNTIFS($C$5:$C$306,$K20,$D$5:$D$306,1)</f>
        <v>0</v>
      </c>
      <c r="M20" s="11" t="n">
        <f aca="false">COUNTIFS($C$5:$C$306,$K20,$D$5:$D$306,2)</f>
        <v>1</v>
      </c>
      <c r="N20" s="11" t="n">
        <f aca="false">COUNTIFS($C$5:$C$306,$K20,$D$5:$D$306,3)</f>
        <v>2</v>
      </c>
      <c r="O20" s="11" t="n">
        <f aca="false">COUNTIFS($C$5:$C$306,$K20,$D$5:$D$306,4)</f>
        <v>1</v>
      </c>
      <c r="P20" s="11" t="n">
        <f aca="false">COUNTIFS($C$5:$C$306,$K20,$D$5:$D$306,5)</f>
        <v>0</v>
      </c>
      <c r="Q20" s="11" t="n">
        <f aca="false">COUNTIFS($C$5:$C$306,$K20,$D$5:$D$306,6)</f>
        <v>0</v>
      </c>
      <c r="R20" s="11" t="n">
        <f aca="false">COUNTIFS($C$5:$C$306,$K20,$D$5:$D$306,7)</f>
        <v>0</v>
      </c>
      <c r="S20" s="11" t="n">
        <f aca="false">COUNTIFS($C$5:$C$306,$K20,$D$5:$D$306,8)</f>
        <v>0</v>
      </c>
      <c r="T20" s="11" t="n">
        <f aca="false">COUNTIFS($C$5:$C$306,$K20,$D$5:$D$306,9)</f>
        <v>0</v>
      </c>
      <c r="U20" s="11" t="n">
        <f aca="false">COUNTIFS($C$5:$C$306,$K20,$D$5:$D$306,10)</f>
        <v>0</v>
      </c>
      <c r="V20" s="11" t="n">
        <f aca="false">COUNTIFS($C$5:$C$306,$K20,$D$5:$D$306,11)</f>
        <v>0</v>
      </c>
      <c r="W20" s="11" t="n">
        <f aca="false">COUNTIFS($C$5:$C$306,$K20,$D$5:$D$306,12)</f>
        <v>0</v>
      </c>
      <c r="X20" s="11" t="n">
        <f aca="false">COUNTIFS($C$5:$C$306,$K20,$D$5:$D$306,13)</f>
        <v>0</v>
      </c>
      <c r="Y20" s="11" t="n">
        <f aca="false">COUNTIFS($C$5:$C$306,$K20,$D$5:$D$306,14)</f>
        <v>0</v>
      </c>
      <c r="Z20" s="11" t="n">
        <f aca="false">COUNTIFS($C$5:$C$306,$K20,$D$5:$D$306,15)</f>
        <v>0</v>
      </c>
      <c r="AA20" s="11" t="n">
        <f aca="false">COUNTIFS($C$5:$C$306,$K20,$D$5:$D$306,16)</f>
        <v>0</v>
      </c>
      <c r="AB20" s="11" t="n">
        <f aca="false">COUNTIF(Dependencies!$C$6:$C$216,$K20)</f>
        <v>7</v>
      </c>
    </row>
    <row r="21" customFormat="false" ht="15" hidden="false" customHeight="false" outlineLevel="0" collapsed="false">
      <c r="A21" s="6" t="s">
        <v>607</v>
      </c>
      <c r="B21" s="6" t="s">
        <v>606</v>
      </c>
      <c r="C21" s="11" t="n">
        <f aca="false">VALUE(MID(A21,2,FIND(".",A21)-2))</f>
        <v>5</v>
      </c>
      <c r="D21" s="11" t="n">
        <f aca="false">VALUE(MID(B21,2,FIND(".",B21)-2))</f>
        <v>5</v>
      </c>
      <c r="E21" s="11" t="n">
        <f aca="false">MATCH(A21,Dependencies!$A$6:$A$216,0)</f>
        <v>32</v>
      </c>
      <c r="F21" s="11" t="n">
        <f aca="false">MATCH(B21,Dependencies!$A$6:$A$216,0)</f>
        <v>31</v>
      </c>
      <c r="G21" s="11" t="n">
        <f aca="false">INDEX(Dependencies!$L$6:$HN$216,F21,E21)</f>
        <v>1</v>
      </c>
      <c r="K21" s="11" t="n">
        <v>5</v>
      </c>
      <c r="L21" s="11" t="n">
        <f aca="false">COUNTIFS($C$5:$C$306,$K21,$D$5:$D$306,1)</f>
        <v>0</v>
      </c>
      <c r="M21" s="11" t="n">
        <f aca="false">COUNTIFS($C$5:$C$306,$K21,$D$5:$D$306,2)</f>
        <v>2</v>
      </c>
      <c r="N21" s="11" t="n">
        <f aca="false">COUNTIFS($C$5:$C$306,$K21,$D$5:$D$306,3)</f>
        <v>3</v>
      </c>
      <c r="O21" s="11" t="n">
        <f aca="false">COUNTIFS($C$5:$C$306,$K21,$D$5:$D$306,4)</f>
        <v>0</v>
      </c>
      <c r="P21" s="11" t="n">
        <f aca="false">COUNTIFS($C$5:$C$306,$K21,$D$5:$D$306,5)</f>
        <v>10</v>
      </c>
      <c r="Q21" s="11" t="n">
        <f aca="false">COUNTIFS($C$5:$C$306,$K21,$D$5:$D$306,6)</f>
        <v>0</v>
      </c>
      <c r="R21" s="11" t="n">
        <f aca="false">COUNTIFS($C$5:$C$306,$K21,$D$5:$D$306,7)</f>
        <v>0</v>
      </c>
      <c r="S21" s="11" t="n">
        <f aca="false">COUNTIFS($C$5:$C$306,$K21,$D$5:$D$306,8)</f>
        <v>0</v>
      </c>
      <c r="T21" s="11" t="n">
        <f aca="false">COUNTIFS($C$5:$C$306,$K21,$D$5:$D$306,9)</f>
        <v>0</v>
      </c>
      <c r="U21" s="11" t="n">
        <f aca="false">COUNTIFS($C$5:$C$306,$K21,$D$5:$D$306,10)</f>
        <v>0</v>
      </c>
      <c r="V21" s="11" t="n">
        <f aca="false">COUNTIFS($C$5:$C$306,$K21,$D$5:$D$306,11)</f>
        <v>0</v>
      </c>
      <c r="W21" s="11" t="n">
        <f aca="false">COUNTIFS($C$5:$C$306,$K21,$D$5:$D$306,12)</f>
        <v>0</v>
      </c>
      <c r="X21" s="11" t="n">
        <f aca="false">COUNTIFS($C$5:$C$306,$K21,$D$5:$D$306,13)</f>
        <v>0</v>
      </c>
      <c r="Y21" s="11" t="n">
        <f aca="false">COUNTIFS($C$5:$C$306,$K21,$D$5:$D$306,14)</f>
        <v>0</v>
      </c>
      <c r="Z21" s="11" t="n">
        <f aca="false">COUNTIFS($C$5:$C$306,$K21,$D$5:$D$306,15)</f>
        <v>0</v>
      </c>
      <c r="AA21" s="11" t="n">
        <f aca="false">COUNTIFS($C$5:$C$306,$K21,$D$5:$D$306,16)</f>
        <v>0</v>
      </c>
      <c r="AB21" s="11" t="n">
        <f aca="false">COUNTIF(Dependencies!$C$6:$C$216,$K21)</f>
        <v>17</v>
      </c>
    </row>
    <row r="22" customFormat="false" ht="15" hidden="false" customHeight="false" outlineLevel="0" collapsed="false">
      <c r="A22" s="6" t="s">
        <v>608</v>
      </c>
      <c r="B22" s="6" t="s">
        <v>605</v>
      </c>
      <c r="C22" s="11" t="n">
        <f aca="false">VALUE(MID(A22,2,FIND(".",A22)-2))</f>
        <v>5</v>
      </c>
      <c r="D22" s="11" t="n">
        <f aca="false">VALUE(MID(B22,2,FIND(".",B22)-2))</f>
        <v>5</v>
      </c>
      <c r="E22" s="11" t="n">
        <f aca="false">MATCH(A22,Dependencies!$A$6:$A$216,0)</f>
        <v>33</v>
      </c>
      <c r="F22" s="11" t="n">
        <f aca="false">MATCH(B22,Dependencies!$A$6:$A$216,0)</f>
        <v>30</v>
      </c>
      <c r="G22" s="11" t="n">
        <f aca="false">INDEX(Dependencies!$L$6:$HN$216,F22,E22)</f>
        <v>1</v>
      </c>
      <c r="K22" s="11" t="n">
        <v>6</v>
      </c>
      <c r="L22" s="11" t="n">
        <f aca="false">COUNTIFS($C$5:$C$306,$K22,$D$5:$D$306,1)</f>
        <v>0</v>
      </c>
      <c r="M22" s="11" t="n">
        <f aca="false">COUNTIFS($C$5:$C$306,$K22,$D$5:$D$306,2)</f>
        <v>1</v>
      </c>
      <c r="N22" s="11" t="n">
        <f aca="false">COUNTIFS($C$5:$C$306,$K22,$D$5:$D$306,3)</f>
        <v>4</v>
      </c>
      <c r="O22" s="11" t="n">
        <f aca="false">COUNTIFS($C$5:$C$306,$K22,$D$5:$D$306,4)</f>
        <v>0</v>
      </c>
      <c r="P22" s="11" t="n">
        <f aca="false">COUNTIFS($C$5:$C$306,$K22,$D$5:$D$306,5)</f>
        <v>3</v>
      </c>
      <c r="Q22" s="11" t="n">
        <f aca="false">COUNTIFS($C$5:$C$306,$K22,$D$5:$D$306,6)</f>
        <v>7</v>
      </c>
      <c r="R22" s="11" t="n">
        <f aca="false">COUNTIFS($C$5:$C$306,$K22,$D$5:$D$306,7)</f>
        <v>0</v>
      </c>
      <c r="S22" s="11" t="n">
        <f aca="false">COUNTIFS($C$5:$C$306,$K22,$D$5:$D$306,8)</f>
        <v>0</v>
      </c>
      <c r="T22" s="11" t="n">
        <f aca="false">COUNTIFS($C$5:$C$306,$K22,$D$5:$D$306,9)</f>
        <v>0</v>
      </c>
      <c r="U22" s="11" t="n">
        <f aca="false">COUNTIFS($C$5:$C$306,$K22,$D$5:$D$306,10)</f>
        <v>0</v>
      </c>
      <c r="V22" s="11" t="n">
        <f aca="false">COUNTIFS($C$5:$C$306,$K22,$D$5:$D$306,11)</f>
        <v>0</v>
      </c>
      <c r="W22" s="11" t="n">
        <f aca="false">COUNTIFS($C$5:$C$306,$K22,$D$5:$D$306,12)</f>
        <v>0</v>
      </c>
      <c r="X22" s="11" t="n">
        <f aca="false">COUNTIFS($C$5:$C$306,$K22,$D$5:$D$306,13)</f>
        <v>0</v>
      </c>
      <c r="Y22" s="11" t="n">
        <f aca="false">COUNTIFS($C$5:$C$306,$K22,$D$5:$D$306,14)</f>
        <v>0</v>
      </c>
      <c r="Z22" s="11" t="n">
        <f aca="false">COUNTIFS($C$5:$C$306,$K22,$D$5:$D$306,15)</f>
        <v>0</v>
      </c>
      <c r="AA22" s="11" t="n">
        <f aca="false">COUNTIFS($C$5:$C$306,$K22,$D$5:$D$306,16)</f>
        <v>0</v>
      </c>
      <c r="AB22" s="11" t="n">
        <f aca="false">COUNTIF(Dependencies!$C$6:$C$216,$K22)</f>
        <v>13</v>
      </c>
    </row>
    <row r="23" customFormat="false" ht="15" hidden="false" customHeight="false" outlineLevel="0" collapsed="false">
      <c r="A23" s="6" t="s">
        <v>608</v>
      </c>
      <c r="B23" s="6" t="s">
        <v>607</v>
      </c>
      <c r="C23" s="11" t="n">
        <f aca="false">VALUE(MID(A23,2,FIND(".",A23)-2))</f>
        <v>5</v>
      </c>
      <c r="D23" s="11" t="n">
        <f aca="false">VALUE(MID(B23,2,FIND(".",B23)-2))</f>
        <v>5</v>
      </c>
      <c r="E23" s="11" t="n">
        <f aca="false">MATCH(A23,Dependencies!$A$6:$A$216,0)</f>
        <v>33</v>
      </c>
      <c r="F23" s="11" t="n">
        <f aca="false">MATCH(B23,Dependencies!$A$6:$A$216,0)</f>
        <v>32</v>
      </c>
      <c r="G23" s="11" t="n">
        <f aca="false">INDEX(Dependencies!$L$6:$HN$216,F23,E23)</f>
        <v>1</v>
      </c>
      <c r="K23" s="11" t="n">
        <v>7</v>
      </c>
      <c r="L23" s="11" t="n">
        <f aca="false">COUNTIFS($C$5:$C$306,$K23,$D$5:$D$306,1)</f>
        <v>0</v>
      </c>
      <c r="M23" s="11" t="n">
        <f aca="false">COUNTIFS($C$5:$C$306,$K23,$D$5:$D$306,2)</f>
        <v>3</v>
      </c>
      <c r="N23" s="11" t="n">
        <f aca="false">COUNTIFS($C$5:$C$306,$K23,$D$5:$D$306,3)</f>
        <v>0</v>
      </c>
      <c r="O23" s="11" t="n">
        <f aca="false">COUNTIFS($C$5:$C$306,$K23,$D$5:$D$306,4)</f>
        <v>0</v>
      </c>
      <c r="P23" s="11" t="n">
        <f aca="false">COUNTIFS($C$5:$C$306,$K23,$D$5:$D$306,5)</f>
        <v>6</v>
      </c>
      <c r="Q23" s="11" t="n">
        <f aca="false">COUNTIFS($C$5:$C$306,$K23,$D$5:$D$306,6)</f>
        <v>0</v>
      </c>
      <c r="R23" s="11" t="n">
        <f aca="false">COUNTIFS($C$5:$C$306,$K23,$D$5:$D$306,7)</f>
        <v>19</v>
      </c>
      <c r="S23" s="11" t="n">
        <f aca="false">COUNTIFS($C$5:$C$306,$K23,$D$5:$D$306,8)</f>
        <v>0</v>
      </c>
      <c r="T23" s="11" t="n">
        <f aca="false">COUNTIFS($C$5:$C$306,$K23,$D$5:$D$306,9)</f>
        <v>0</v>
      </c>
      <c r="U23" s="11" t="n">
        <f aca="false">COUNTIFS($C$5:$C$306,$K23,$D$5:$D$306,10)</f>
        <v>0</v>
      </c>
      <c r="V23" s="11" t="n">
        <f aca="false">COUNTIFS($C$5:$C$306,$K23,$D$5:$D$306,11)</f>
        <v>0</v>
      </c>
      <c r="W23" s="11" t="n">
        <f aca="false">COUNTIFS($C$5:$C$306,$K23,$D$5:$D$306,12)</f>
        <v>0</v>
      </c>
      <c r="X23" s="11" t="n">
        <f aca="false">COUNTIFS($C$5:$C$306,$K23,$D$5:$D$306,13)</f>
        <v>0</v>
      </c>
      <c r="Y23" s="11" t="n">
        <f aca="false">COUNTIFS($C$5:$C$306,$K23,$D$5:$D$306,14)</f>
        <v>0</v>
      </c>
      <c r="Z23" s="11" t="n">
        <f aca="false">COUNTIFS($C$5:$C$306,$K23,$D$5:$D$306,15)</f>
        <v>0</v>
      </c>
      <c r="AA23" s="11" t="n">
        <f aca="false">COUNTIFS($C$5:$C$306,$K23,$D$5:$D$306,16)</f>
        <v>0</v>
      </c>
      <c r="AB23" s="11" t="n">
        <f aca="false">COUNTIF(Dependencies!$C$6:$C$216,$K23)</f>
        <v>18</v>
      </c>
    </row>
    <row r="24" customFormat="false" ht="15" hidden="false" customHeight="false" outlineLevel="0" collapsed="false">
      <c r="A24" s="6" t="s">
        <v>611</v>
      </c>
      <c r="B24" s="6" t="s">
        <v>607</v>
      </c>
      <c r="C24" s="11" t="n">
        <f aca="false">VALUE(MID(A24,2,FIND(".",A24)-2))</f>
        <v>5</v>
      </c>
      <c r="D24" s="11" t="n">
        <f aca="false">VALUE(MID(B24,2,FIND(".",B24)-2))</f>
        <v>5</v>
      </c>
      <c r="E24" s="11" t="n">
        <f aca="false">MATCH(A24,Dependencies!$A$6:$A$216,0)</f>
        <v>36</v>
      </c>
      <c r="F24" s="11" t="n">
        <f aca="false">MATCH(B24,Dependencies!$A$6:$A$216,0)</f>
        <v>32</v>
      </c>
      <c r="G24" s="11" t="n">
        <f aca="false">INDEX(Dependencies!$L$6:$HN$216,F24,E24)</f>
        <v>1</v>
      </c>
      <c r="K24" s="11" t="n">
        <v>8</v>
      </c>
      <c r="L24" s="11" t="n">
        <f aca="false">COUNTIFS($C$5:$C$306,$K24,$D$5:$D$306,1)</f>
        <v>0</v>
      </c>
      <c r="M24" s="11" t="n">
        <f aca="false">COUNTIFS($C$5:$C$306,$K24,$D$5:$D$306,2)</f>
        <v>2</v>
      </c>
      <c r="N24" s="11" t="n">
        <f aca="false">COUNTIFS($C$5:$C$306,$K24,$D$5:$D$306,3)</f>
        <v>0</v>
      </c>
      <c r="O24" s="11" t="n">
        <f aca="false">COUNTIFS($C$5:$C$306,$K24,$D$5:$D$306,4)</f>
        <v>1</v>
      </c>
      <c r="P24" s="11" t="n">
        <f aca="false">COUNTIFS($C$5:$C$306,$K24,$D$5:$D$306,5)</f>
        <v>2</v>
      </c>
      <c r="Q24" s="11" t="n">
        <f aca="false">COUNTIFS($C$5:$C$306,$K24,$D$5:$D$306,6)</f>
        <v>1</v>
      </c>
      <c r="R24" s="11" t="n">
        <f aca="false">COUNTIFS($C$5:$C$306,$K24,$D$5:$D$306,7)</f>
        <v>1</v>
      </c>
      <c r="S24" s="11" t="n">
        <f aca="false">COUNTIFS($C$5:$C$306,$K24,$D$5:$D$306,8)</f>
        <v>10</v>
      </c>
      <c r="T24" s="11" t="n">
        <f aca="false">COUNTIFS($C$5:$C$306,$K24,$D$5:$D$306,9)</f>
        <v>0</v>
      </c>
      <c r="U24" s="11" t="n">
        <f aca="false">COUNTIFS($C$5:$C$306,$K24,$D$5:$D$306,10)</f>
        <v>0</v>
      </c>
      <c r="V24" s="11" t="n">
        <f aca="false">COUNTIFS($C$5:$C$306,$K24,$D$5:$D$306,11)</f>
        <v>0</v>
      </c>
      <c r="W24" s="11" t="n">
        <f aca="false">COUNTIFS($C$5:$C$306,$K24,$D$5:$D$306,12)</f>
        <v>0</v>
      </c>
      <c r="X24" s="11" t="n">
        <f aca="false">COUNTIFS($C$5:$C$306,$K24,$D$5:$D$306,13)</f>
        <v>0</v>
      </c>
      <c r="Y24" s="11" t="n">
        <f aca="false">COUNTIFS($C$5:$C$306,$K24,$D$5:$D$306,14)</f>
        <v>0</v>
      </c>
      <c r="Z24" s="11" t="n">
        <f aca="false">COUNTIFS($C$5:$C$306,$K24,$D$5:$D$306,15)</f>
        <v>0</v>
      </c>
      <c r="AA24" s="11" t="n">
        <f aca="false">COUNTIFS($C$5:$C$306,$K24,$D$5:$D$306,16)</f>
        <v>0</v>
      </c>
      <c r="AB24" s="11" t="n">
        <f aca="false">COUNTIF(Dependencies!$C$6:$C$216,$K24)</f>
        <v>18</v>
      </c>
    </row>
    <row r="25" customFormat="false" ht="15" hidden="false" customHeight="false" outlineLevel="0" collapsed="false">
      <c r="A25" s="6" t="s">
        <v>614</v>
      </c>
      <c r="B25" s="6" t="s">
        <v>606</v>
      </c>
      <c r="C25" s="11" t="n">
        <f aca="false">VALUE(MID(A25,2,FIND(".",A25)-2))</f>
        <v>5</v>
      </c>
      <c r="D25" s="11" t="n">
        <f aca="false">VALUE(MID(B25,2,FIND(".",B25)-2))</f>
        <v>5</v>
      </c>
      <c r="E25" s="11" t="n">
        <f aca="false">MATCH(A25,Dependencies!$A$6:$A$216,0)</f>
        <v>39</v>
      </c>
      <c r="F25" s="11" t="n">
        <f aca="false">MATCH(B25,Dependencies!$A$6:$A$216,0)</f>
        <v>31</v>
      </c>
      <c r="G25" s="11" t="n">
        <f aca="false">INDEX(Dependencies!$L$6:$HN$216,F25,E25)</f>
        <v>1</v>
      </c>
      <c r="K25" s="11" t="n">
        <v>9</v>
      </c>
      <c r="L25" s="11" t="n">
        <f aca="false">COUNTIFS($C$5:$C$306,$K25,$D$5:$D$306,1)</f>
        <v>0</v>
      </c>
      <c r="M25" s="11" t="n">
        <f aca="false">COUNTIFS($C$5:$C$306,$K25,$D$5:$D$306,2)</f>
        <v>1</v>
      </c>
      <c r="N25" s="11" t="n">
        <f aca="false">COUNTIFS($C$5:$C$306,$K25,$D$5:$D$306,3)</f>
        <v>0</v>
      </c>
      <c r="O25" s="11" t="n">
        <f aca="false">COUNTIFS($C$5:$C$306,$K25,$D$5:$D$306,4)</f>
        <v>2</v>
      </c>
      <c r="P25" s="11" t="n">
        <f aca="false">COUNTIFS($C$5:$C$306,$K25,$D$5:$D$306,5)</f>
        <v>0</v>
      </c>
      <c r="Q25" s="11" t="n">
        <f aca="false">COUNTIFS($C$5:$C$306,$K25,$D$5:$D$306,6)</f>
        <v>0</v>
      </c>
      <c r="R25" s="11" t="n">
        <f aca="false">COUNTIFS($C$5:$C$306,$K25,$D$5:$D$306,7)</f>
        <v>0</v>
      </c>
      <c r="S25" s="11" t="n">
        <f aca="false">COUNTIFS($C$5:$C$306,$K25,$D$5:$D$306,8)</f>
        <v>0</v>
      </c>
      <c r="T25" s="11" t="n">
        <f aca="false">COUNTIFS($C$5:$C$306,$K25,$D$5:$D$306,9)</f>
        <v>10</v>
      </c>
      <c r="U25" s="11" t="n">
        <f aca="false">COUNTIFS($C$5:$C$306,$K25,$D$5:$D$306,10)</f>
        <v>0</v>
      </c>
      <c r="V25" s="11" t="n">
        <f aca="false">COUNTIFS($C$5:$C$306,$K25,$D$5:$D$306,11)</f>
        <v>0</v>
      </c>
      <c r="W25" s="11" t="n">
        <f aca="false">COUNTIFS($C$5:$C$306,$K25,$D$5:$D$306,12)</f>
        <v>0</v>
      </c>
      <c r="X25" s="11" t="n">
        <f aca="false">COUNTIFS($C$5:$C$306,$K25,$D$5:$D$306,13)</f>
        <v>0</v>
      </c>
      <c r="Y25" s="11" t="n">
        <f aca="false">COUNTIFS($C$5:$C$306,$K25,$D$5:$D$306,14)</f>
        <v>0</v>
      </c>
      <c r="Z25" s="11" t="n">
        <f aca="false">COUNTIFS($C$5:$C$306,$K25,$D$5:$D$306,15)</f>
        <v>0</v>
      </c>
      <c r="AA25" s="11" t="n">
        <f aca="false">COUNTIFS($C$5:$C$306,$K25,$D$5:$D$306,16)</f>
        <v>0</v>
      </c>
      <c r="AB25" s="11" t="n">
        <f aca="false">COUNTIF(Dependencies!$C$6:$C$216,$K25)</f>
        <v>18</v>
      </c>
    </row>
    <row r="26" customFormat="false" ht="15" hidden="false" customHeight="false" outlineLevel="0" collapsed="false">
      <c r="A26" s="6" t="s">
        <v>615</v>
      </c>
      <c r="B26" s="6" t="s">
        <v>614</v>
      </c>
      <c r="C26" s="11" t="n">
        <f aca="false">VALUE(MID(A26,2,FIND(".",A26)-2))</f>
        <v>5</v>
      </c>
      <c r="D26" s="11" t="n">
        <f aca="false">VALUE(MID(B26,2,FIND(".",B26)-2))</f>
        <v>5</v>
      </c>
      <c r="E26" s="11" t="n">
        <f aca="false">MATCH(A26,Dependencies!$A$6:$A$216,0)</f>
        <v>40</v>
      </c>
      <c r="F26" s="11" t="n">
        <f aca="false">MATCH(B26,Dependencies!$A$6:$A$216,0)</f>
        <v>39</v>
      </c>
      <c r="G26" s="11" t="n">
        <f aca="false">INDEX(Dependencies!$L$6:$HN$216,F26,E26)</f>
        <v>1</v>
      </c>
      <c r="K26" s="11" t="n">
        <v>10</v>
      </c>
      <c r="L26" s="11" t="n">
        <f aca="false">COUNTIFS($C$5:$C$306,$K26,$D$5:$D$306,1)</f>
        <v>0</v>
      </c>
      <c r="M26" s="11" t="n">
        <f aca="false">COUNTIFS($C$5:$C$306,$K26,$D$5:$D$306,2)</f>
        <v>0</v>
      </c>
      <c r="N26" s="11" t="n">
        <f aca="false">COUNTIFS($C$5:$C$306,$K26,$D$5:$D$306,3)</f>
        <v>0</v>
      </c>
      <c r="O26" s="11" t="n">
        <f aca="false">COUNTIFS($C$5:$C$306,$K26,$D$5:$D$306,4)</f>
        <v>1</v>
      </c>
      <c r="P26" s="11" t="n">
        <f aca="false">COUNTIFS($C$5:$C$306,$K26,$D$5:$D$306,5)</f>
        <v>0</v>
      </c>
      <c r="Q26" s="11" t="n">
        <f aca="false">COUNTIFS($C$5:$C$306,$K26,$D$5:$D$306,6)</f>
        <v>1</v>
      </c>
      <c r="R26" s="11" t="n">
        <f aca="false">COUNTIFS($C$5:$C$306,$K26,$D$5:$D$306,7)</f>
        <v>1</v>
      </c>
      <c r="S26" s="11" t="n">
        <f aca="false">COUNTIFS($C$5:$C$306,$K26,$D$5:$D$306,8)</f>
        <v>0</v>
      </c>
      <c r="T26" s="11" t="n">
        <f aca="false">COUNTIFS($C$5:$C$306,$K26,$D$5:$D$306,9)</f>
        <v>3</v>
      </c>
      <c r="U26" s="11" t="n">
        <f aca="false">COUNTIFS($C$5:$C$306,$K26,$D$5:$D$306,10)</f>
        <v>8</v>
      </c>
      <c r="V26" s="11" t="n">
        <f aca="false">COUNTIFS($C$5:$C$306,$K26,$D$5:$D$306,11)</f>
        <v>0</v>
      </c>
      <c r="W26" s="11" t="n">
        <f aca="false">COUNTIFS($C$5:$C$306,$K26,$D$5:$D$306,12)</f>
        <v>0</v>
      </c>
      <c r="X26" s="11" t="n">
        <f aca="false">COUNTIFS($C$5:$C$306,$K26,$D$5:$D$306,13)</f>
        <v>0</v>
      </c>
      <c r="Y26" s="11" t="n">
        <f aca="false">COUNTIFS($C$5:$C$306,$K26,$D$5:$D$306,14)</f>
        <v>0</v>
      </c>
      <c r="Z26" s="11" t="n">
        <f aca="false">COUNTIFS($C$5:$C$306,$K26,$D$5:$D$306,15)</f>
        <v>0</v>
      </c>
      <c r="AA26" s="11" t="n">
        <f aca="false">COUNTIFS($C$5:$C$306,$K26,$D$5:$D$306,16)</f>
        <v>0</v>
      </c>
      <c r="AB26" s="11" t="n">
        <f aca="false">COUNTIF(Dependencies!$C$6:$C$216,$K26)</f>
        <v>16</v>
      </c>
    </row>
    <row r="27" customFormat="false" ht="15" hidden="false" customHeight="false" outlineLevel="0" collapsed="false">
      <c r="A27" s="6" t="s">
        <v>616</v>
      </c>
      <c r="B27" s="6" t="s">
        <v>606</v>
      </c>
      <c r="C27" s="11" t="n">
        <f aca="false">VALUE(MID(A27,2,FIND(".",A27)-2))</f>
        <v>5</v>
      </c>
      <c r="D27" s="11" t="n">
        <f aca="false">VALUE(MID(B27,2,FIND(".",B27)-2))</f>
        <v>5</v>
      </c>
      <c r="E27" s="11" t="n">
        <f aca="false">MATCH(A27,Dependencies!$A$6:$A$216,0)</f>
        <v>41</v>
      </c>
      <c r="F27" s="11" t="n">
        <f aca="false">MATCH(B27,Dependencies!$A$6:$A$216,0)</f>
        <v>31</v>
      </c>
      <c r="G27" s="11" t="n">
        <f aca="false">INDEX(Dependencies!$L$6:$HN$216,F27,E27)</f>
        <v>1</v>
      </c>
      <c r="K27" s="11" t="n">
        <v>11</v>
      </c>
      <c r="L27" s="11" t="n">
        <f aca="false">COUNTIFS($C$5:$C$306,$K27,$D$5:$D$306,1)</f>
        <v>0</v>
      </c>
      <c r="M27" s="11" t="n">
        <f aca="false">COUNTIFS($C$5:$C$306,$K27,$D$5:$D$306,2)</f>
        <v>0</v>
      </c>
      <c r="N27" s="11" t="n">
        <f aca="false">COUNTIFS($C$5:$C$306,$K27,$D$5:$D$306,3)</f>
        <v>0</v>
      </c>
      <c r="O27" s="11" t="n">
        <f aca="false">COUNTIFS($C$5:$C$306,$K27,$D$5:$D$306,4)</f>
        <v>1</v>
      </c>
      <c r="P27" s="11" t="n">
        <f aca="false">COUNTIFS($C$5:$C$306,$K27,$D$5:$D$306,5)</f>
        <v>0</v>
      </c>
      <c r="Q27" s="11" t="n">
        <f aca="false">COUNTIFS($C$5:$C$306,$K27,$D$5:$D$306,6)</f>
        <v>0</v>
      </c>
      <c r="R27" s="11" t="n">
        <f aca="false">COUNTIFS($C$5:$C$306,$K27,$D$5:$D$306,7)</f>
        <v>1</v>
      </c>
      <c r="S27" s="11" t="n">
        <f aca="false">COUNTIFS($C$5:$C$306,$K27,$D$5:$D$306,8)</f>
        <v>4</v>
      </c>
      <c r="T27" s="11" t="n">
        <f aca="false">COUNTIFS($C$5:$C$306,$K27,$D$5:$D$306,9)</f>
        <v>3</v>
      </c>
      <c r="U27" s="11" t="n">
        <f aca="false">COUNTIFS($C$5:$C$306,$K27,$D$5:$D$306,10)</f>
        <v>0</v>
      </c>
      <c r="V27" s="11" t="n">
        <f aca="false">COUNTIFS($C$5:$C$306,$K27,$D$5:$D$306,11)</f>
        <v>7</v>
      </c>
      <c r="W27" s="11" t="n">
        <f aca="false">COUNTIFS($C$5:$C$306,$K27,$D$5:$D$306,12)</f>
        <v>0</v>
      </c>
      <c r="X27" s="11" t="n">
        <f aca="false">COUNTIFS($C$5:$C$306,$K27,$D$5:$D$306,13)</f>
        <v>0</v>
      </c>
      <c r="Y27" s="11" t="n">
        <f aca="false">COUNTIFS($C$5:$C$306,$K27,$D$5:$D$306,14)</f>
        <v>0</v>
      </c>
      <c r="Z27" s="11" t="n">
        <f aca="false">COUNTIFS($C$5:$C$306,$K27,$D$5:$D$306,15)</f>
        <v>0</v>
      </c>
      <c r="AA27" s="11" t="n">
        <f aca="false">COUNTIFS($C$5:$C$306,$K27,$D$5:$D$306,16)</f>
        <v>0</v>
      </c>
      <c r="AB27" s="11" t="n">
        <f aca="false">COUNTIF(Dependencies!$C$6:$C$216,$K27)</f>
        <v>14</v>
      </c>
    </row>
    <row r="28" customFormat="false" ht="15" hidden="false" customHeight="false" outlineLevel="0" collapsed="false">
      <c r="A28" s="6" t="s">
        <v>617</v>
      </c>
      <c r="B28" s="6" t="s">
        <v>606</v>
      </c>
      <c r="C28" s="11" t="n">
        <f aca="false">VALUE(MID(A28,2,FIND(".",A28)-2))</f>
        <v>5</v>
      </c>
      <c r="D28" s="11" t="n">
        <f aca="false">VALUE(MID(B28,2,FIND(".",B28)-2))</f>
        <v>5</v>
      </c>
      <c r="E28" s="11" t="n">
        <f aca="false">MATCH(A28,Dependencies!$A$6:$A$216,0)</f>
        <v>42</v>
      </c>
      <c r="F28" s="11" t="n">
        <f aca="false">MATCH(B28,Dependencies!$A$6:$A$216,0)</f>
        <v>31</v>
      </c>
      <c r="G28" s="11" t="n">
        <f aca="false">INDEX(Dependencies!$L$6:$HN$216,F28,E28)</f>
        <v>1</v>
      </c>
      <c r="K28" s="11" t="n">
        <v>12</v>
      </c>
      <c r="L28" s="11" t="n">
        <f aca="false">COUNTIFS($C$5:$C$306,$K28,$D$5:$D$306,1)</f>
        <v>0</v>
      </c>
      <c r="M28" s="11" t="n">
        <f aca="false">COUNTIFS($C$5:$C$306,$K28,$D$5:$D$306,2)</f>
        <v>0</v>
      </c>
      <c r="N28" s="11" t="n">
        <f aca="false">COUNTIFS($C$5:$C$306,$K28,$D$5:$D$306,3)</f>
        <v>0</v>
      </c>
      <c r="O28" s="11" t="n">
        <f aca="false">COUNTIFS($C$5:$C$306,$K28,$D$5:$D$306,4)</f>
        <v>0</v>
      </c>
      <c r="P28" s="11" t="n">
        <f aca="false">COUNTIFS($C$5:$C$306,$K28,$D$5:$D$306,5)</f>
        <v>0</v>
      </c>
      <c r="Q28" s="11" t="n">
        <f aca="false">COUNTIFS($C$5:$C$306,$K28,$D$5:$D$306,6)</f>
        <v>0</v>
      </c>
      <c r="R28" s="11" t="n">
        <f aca="false">COUNTIFS($C$5:$C$306,$K28,$D$5:$D$306,7)</f>
        <v>3</v>
      </c>
      <c r="S28" s="11" t="n">
        <f aca="false">COUNTIFS($C$5:$C$306,$K28,$D$5:$D$306,8)</f>
        <v>3</v>
      </c>
      <c r="T28" s="11" t="n">
        <f aca="false">COUNTIFS($C$5:$C$306,$K28,$D$5:$D$306,9)</f>
        <v>2</v>
      </c>
      <c r="U28" s="11" t="n">
        <f aca="false">COUNTIFS($C$5:$C$306,$K28,$D$5:$D$306,10)</f>
        <v>1</v>
      </c>
      <c r="V28" s="11" t="n">
        <f aca="false">COUNTIFS($C$5:$C$306,$K28,$D$5:$D$306,11)</f>
        <v>2</v>
      </c>
      <c r="W28" s="11" t="n">
        <f aca="false">COUNTIFS($C$5:$C$306,$K28,$D$5:$D$306,12)</f>
        <v>6</v>
      </c>
      <c r="X28" s="11" t="n">
        <f aca="false">COUNTIFS($C$5:$C$306,$K28,$D$5:$D$306,13)</f>
        <v>0</v>
      </c>
      <c r="Y28" s="11" t="n">
        <f aca="false">COUNTIFS($C$5:$C$306,$K28,$D$5:$D$306,14)</f>
        <v>0</v>
      </c>
      <c r="Z28" s="11" t="n">
        <f aca="false">COUNTIFS($C$5:$C$306,$K28,$D$5:$D$306,15)</f>
        <v>0</v>
      </c>
      <c r="AA28" s="11" t="n">
        <f aca="false">COUNTIFS($C$5:$C$306,$K28,$D$5:$D$306,16)</f>
        <v>0</v>
      </c>
      <c r="AB28" s="11" t="n">
        <f aca="false">COUNTIF(Dependencies!$C$6:$C$216,$K28)</f>
        <v>13</v>
      </c>
    </row>
    <row r="29" customFormat="false" ht="15" hidden="false" customHeight="false" outlineLevel="0" collapsed="false">
      <c r="A29" s="6" t="s">
        <v>619</v>
      </c>
      <c r="B29" s="6" t="s">
        <v>582</v>
      </c>
      <c r="C29" s="11" t="n">
        <f aca="false">VALUE(MID(A29,2,FIND(".",A29)-2))</f>
        <v>6</v>
      </c>
      <c r="D29" s="11" t="n">
        <f aca="false">VALUE(MID(B29,2,FIND(".",B29)-2))</f>
        <v>2</v>
      </c>
      <c r="E29" s="11" t="n">
        <f aca="false">MATCH(A29,Dependencies!$A$6:$A$216,0)</f>
        <v>44</v>
      </c>
      <c r="F29" s="11" t="n">
        <f aca="false">MATCH(B29,Dependencies!$A$6:$A$216,0)</f>
        <v>7</v>
      </c>
      <c r="G29" s="11" t="n">
        <f aca="false">INDEX(Dependencies!$L$6:$HN$216,F29,E29)</f>
        <v>1</v>
      </c>
      <c r="K29" s="11" t="n">
        <v>13</v>
      </c>
      <c r="L29" s="11" t="n">
        <f aca="false">COUNTIFS($C$5:$C$306,$K29,$D$5:$D$306,1)</f>
        <v>0</v>
      </c>
      <c r="M29" s="11" t="n">
        <f aca="false">COUNTIFS($C$5:$C$306,$K29,$D$5:$D$306,2)</f>
        <v>0</v>
      </c>
      <c r="N29" s="11" t="n">
        <f aca="false">COUNTIFS($C$5:$C$306,$K29,$D$5:$D$306,3)</f>
        <v>0</v>
      </c>
      <c r="O29" s="11" t="n">
        <f aca="false">COUNTIFS($C$5:$C$306,$K29,$D$5:$D$306,4)</f>
        <v>2</v>
      </c>
      <c r="P29" s="11" t="n">
        <f aca="false">COUNTIFS($C$5:$C$306,$K29,$D$5:$D$306,5)</f>
        <v>0</v>
      </c>
      <c r="Q29" s="11" t="n">
        <f aca="false">COUNTIFS($C$5:$C$306,$K29,$D$5:$D$306,6)</f>
        <v>2</v>
      </c>
      <c r="R29" s="11" t="n">
        <f aca="false">COUNTIFS($C$5:$C$306,$K29,$D$5:$D$306,7)</f>
        <v>1</v>
      </c>
      <c r="S29" s="11" t="n">
        <f aca="false">COUNTIFS($C$5:$C$306,$K29,$D$5:$D$306,8)</f>
        <v>4</v>
      </c>
      <c r="T29" s="11" t="n">
        <f aca="false">COUNTIFS($C$5:$C$306,$K29,$D$5:$D$306,9)</f>
        <v>8</v>
      </c>
      <c r="U29" s="11" t="n">
        <f aca="false">COUNTIFS($C$5:$C$306,$K29,$D$5:$D$306,10)</f>
        <v>1</v>
      </c>
      <c r="V29" s="11" t="n">
        <f aca="false">COUNTIFS($C$5:$C$306,$K29,$D$5:$D$306,11)</f>
        <v>1</v>
      </c>
      <c r="W29" s="11" t="n">
        <f aca="false">COUNTIFS($C$5:$C$306,$K29,$D$5:$D$306,12)</f>
        <v>4</v>
      </c>
      <c r="X29" s="11" t="n">
        <f aca="false">COUNTIFS($C$5:$C$306,$K29,$D$5:$D$306,13)</f>
        <v>12</v>
      </c>
      <c r="Y29" s="11" t="n">
        <f aca="false">COUNTIFS($C$5:$C$306,$K29,$D$5:$D$306,14)</f>
        <v>0</v>
      </c>
      <c r="Z29" s="11" t="n">
        <f aca="false">COUNTIFS($C$5:$C$306,$K29,$D$5:$D$306,15)</f>
        <v>0</v>
      </c>
      <c r="AA29" s="11" t="n">
        <f aca="false">COUNTIFS($C$5:$C$306,$K29,$D$5:$D$306,16)</f>
        <v>0</v>
      </c>
      <c r="AB29" s="11" t="n">
        <f aca="false">COUNTIF(Dependencies!$C$6:$C$216,$K29)</f>
        <v>14</v>
      </c>
    </row>
    <row r="30" customFormat="false" ht="15" hidden="false" customHeight="false" outlineLevel="0" collapsed="false">
      <c r="A30" s="6" t="s">
        <v>620</v>
      </c>
      <c r="B30" s="6" t="s">
        <v>587</v>
      </c>
      <c r="C30" s="11" t="n">
        <f aca="false">VALUE(MID(A30,2,FIND(".",A30)-2))</f>
        <v>6</v>
      </c>
      <c r="D30" s="11" t="n">
        <f aca="false">VALUE(MID(B30,2,FIND(".",B30)-2))</f>
        <v>3</v>
      </c>
      <c r="E30" s="11" t="n">
        <f aca="false">MATCH(A30,Dependencies!$A$6:$A$216,0)</f>
        <v>45</v>
      </c>
      <c r="F30" s="11" t="n">
        <f aca="false">MATCH(B30,Dependencies!$A$6:$A$216,0)</f>
        <v>12</v>
      </c>
      <c r="G30" s="11" t="n">
        <f aca="false">INDEX(Dependencies!$L$6:$HN$216,F30,E30)</f>
        <v>1</v>
      </c>
      <c r="K30" s="11" t="n">
        <v>14</v>
      </c>
      <c r="L30" s="11" t="n">
        <f aca="false">COUNTIFS($C$5:$C$306,$K30,$D$5:$D$306,1)</f>
        <v>0</v>
      </c>
      <c r="M30" s="11" t="n">
        <f aca="false">COUNTIFS($C$5:$C$306,$K30,$D$5:$D$306,2)</f>
        <v>0</v>
      </c>
      <c r="N30" s="11" t="n">
        <f aca="false">COUNTIFS($C$5:$C$306,$K30,$D$5:$D$306,3)</f>
        <v>2</v>
      </c>
      <c r="O30" s="11" t="n">
        <f aca="false">COUNTIFS($C$5:$C$306,$K30,$D$5:$D$306,4)</f>
        <v>0</v>
      </c>
      <c r="P30" s="11" t="n">
        <f aca="false">COUNTIFS($C$5:$C$306,$K30,$D$5:$D$306,5)</f>
        <v>5</v>
      </c>
      <c r="Q30" s="11" t="n">
        <f aca="false">COUNTIFS($C$5:$C$306,$K30,$D$5:$D$306,6)</f>
        <v>4</v>
      </c>
      <c r="R30" s="11" t="n">
        <f aca="false">COUNTIFS($C$5:$C$306,$K30,$D$5:$D$306,7)</f>
        <v>1</v>
      </c>
      <c r="S30" s="11" t="n">
        <f aca="false">COUNTIFS($C$5:$C$306,$K30,$D$5:$D$306,8)</f>
        <v>5</v>
      </c>
      <c r="T30" s="11" t="n">
        <f aca="false">COUNTIFS($C$5:$C$306,$K30,$D$5:$D$306,9)</f>
        <v>1</v>
      </c>
      <c r="U30" s="11" t="n">
        <f aca="false">COUNTIFS($C$5:$C$306,$K30,$D$5:$D$306,10)</f>
        <v>0</v>
      </c>
      <c r="V30" s="11" t="n">
        <f aca="false">COUNTIFS($C$5:$C$306,$K30,$D$5:$D$306,11)</f>
        <v>1</v>
      </c>
      <c r="W30" s="11" t="n">
        <f aca="false">COUNTIFS($C$5:$C$306,$K30,$D$5:$D$306,12)</f>
        <v>3</v>
      </c>
      <c r="X30" s="11" t="n">
        <f aca="false">COUNTIFS($C$5:$C$306,$K30,$D$5:$D$306,13)</f>
        <v>10</v>
      </c>
      <c r="Y30" s="11" t="n">
        <f aca="false">COUNTIFS($C$5:$C$306,$K30,$D$5:$D$306,14)</f>
        <v>14</v>
      </c>
      <c r="Z30" s="11" t="n">
        <f aca="false">COUNTIFS($C$5:$C$306,$K30,$D$5:$D$306,15)</f>
        <v>0</v>
      </c>
      <c r="AA30" s="11" t="n">
        <f aca="false">COUNTIFS($C$5:$C$306,$K30,$D$5:$D$306,16)</f>
        <v>0</v>
      </c>
      <c r="AB30" s="11" t="n">
        <f aca="false">COUNTIF(Dependencies!$C$6:$C$216,$K30)</f>
        <v>16</v>
      </c>
    </row>
    <row r="31" customFormat="false" ht="15" hidden="false" customHeight="false" outlineLevel="0" collapsed="false">
      <c r="A31" s="6" t="s">
        <v>622</v>
      </c>
      <c r="B31" s="6" t="s">
        <v>610</v>
      </c>
      <c r="C31" s="11" t="n">
        <f aca="false">VALUE(MID(A31,2,FIND(".",A31)-2))</f>
        <v>6</v>
      </c>
      <c r="D31" s="11" t="n">
        <f aca="false">VALUE(MID(B31,2,FIND(".",B31)-2))</f>
        <v>5</v>
      </c>
      <c r="E31" s="11" t="n">
        <f aca="false">MATCH(A31,Dependencies!$A$6:$A$216,0)</f>
        <v>47</v>
      </c>
      <c r="F31" s="11" t="n">
        <f aca="false">MATCH(B31,Dependencies!$A$6:$A$216,0)</f>
        <v>35</v>
      </c>
      <c r="G31" s="11" t="n">
        <f aca="false">INDEX(Dependencies!$L$6:$HN$216,F31,E31)</f>
        <v>1</v>
      </c>
      <c r="K31" s="11" t="n">
        <v>15</v>
      </c>
      <c r="L31" s="11" t="n">
        <f aca="false">COUNTIFS($C$5:$C$306,$K31,$D$5:$D$306,1)</f>
        <v>0</v>
      </c>
      <c r="M31" s="11" t="n">
        <f aca="false">COUNTIFS($C$5:$C$306,$K31,$D$5:$D$306,2)</f>
        <v>0</v>
      </c>
      <c r="N31" s="11" t="n">
        <f aca="false">COUNTIFS($C$5:$C$306,$K31,$D$5:$D$306,3)</f>
        <v>0</v>
      </c>
      <c r="O31" s="11" t="n">
        <f aca="false">COUNTIFS($C$5:$C$306,$K31,$D$5:$D$306,4)</f>
        <v>0</v>
      </c>
      <c r="P31" s="11" t="n">
        <f aca="false">COUNTIFS($C$5:$C$306,$K31,$D$5:$D$306,5)</f>
        <v>1</v>
      </c>
      <c r="Q31" s="11" t="n">
        <f aca="false">COUNTIFS($C$5:$C$306,$K31,$D$5:$D$306,6)</f>
        <v>1</v>
      </c>
      <c r="R31" s="11" t="n">
        <f aca="false">COUNTIFS($C$5:$C$306,$K31,$D$5:$D$306,7)</f>
        <v>1</v>
      </c>
      <c r="S31" s="11" t="n">
        <f aca="false">COUNTIFS($C$5:$C$306,$K31,$D$5:$D$306,8)</f>
        <v>2</v>
      </c>
      <c r="T31" s="11" t="n">
        <f aca="false">COUNTIFS($C$5:$C$306,$K31,$D$5:$D$306,9)</f>
        <v>0</v>
      </c>
      <c r="U31" s="11" t="n">
        <f aca="false">COUNTIFS($C$5:$C$306,$K31,$D$5:$D$306,10)</f>
        <v>2</v>
      </c>
      <c r="V31" s="11" t="n">
        <f aca="false">COUNTIFS($C$5:$C$306,$K31,$D$5:$D$306,11)</f>
        <v>1</v>
      </c>
      <c r="W31" s="11" t="n">
        <f aca="false">COUNTIFS($C$5:$C$306,$K31,$D$5:$D$306,12)</f>
        <v>1</v>
      </c>
      <c r="X31" s="11" t="n">
        <f aca="false">COUNTIFS($C$5:$C$306,$K31,$D$5:$D$306,13)</f>
        <v>4</v>
      </c>
      <c r="Y31" s="11" t="n">
        <f aca="false">COUNTIFS($C$5:$C$306,$K31,$D$5:$D$306,14)</f>
        <v>9</v>
      </c>
      <c r="Z31" s="11" t="n">
        <f aca="false">COUNTIFS($C$5:$C$306,$K31,$D$5:$D$306,15)</f>
        <v>25</v>
      </c>
      <c r="AA31" s="11" t="n">
        <f aca="false">COUNTIFS($C$5:$C$306,$K31,$D$5:$D$306,16)</f>
        <v>0</v>
      </c>
      <c r="AB31" s="11" t="n">
        <f aca="false">COUNTIF(Dependencies!$C$6:$C$216,$K31)</f>
        <v>20</v>
      </c>
    </row>
    <row r="32" customFormat="false" ht="15" hidden="false" customHeight="false" outlineLevel="0" collapsed="false">
      <c r="A32" s="6" t="s">
        <v>622</v>
      </c>
      <c r="B32" s="6" t="s">
        <v>620</v>
      </c>
      <c r="C32" s="11" t="n">
        <f aca="false">VALUE(MID(A32,2,FIND(".",A32)-2))</f>
        <v>6</v>
      </c>
      <c r="D32" s="11" t="n">
        <f aca="false">VALUE(MID(B32,2,FIND(".",B32)-2))</f>
        <v>6</v>
      </c>
      <c r="E32" s="11" t="n">
        <f aca="false">MATCH(A32,Dependencies!$A$6:$A$216,0)</f>
        <v>47</v>
      </c>
      <c r="F32" s="11" t="n">
        <f aca="false">MATCH(B32,Dependencies!$A$6:$A$216,0)</f>
        <v>45</v>
      </c>
      <c r="G32" s="11" t="n">
        <f aca="false">INDEX(Dependencies!$L$6:$HN$216,F32,E32)</f>
        <v>1</v>
      </c>
      <c r="K32" s="11" t="n">
        <v>16</v>
      </c>
      <c r="L32" s="11" t="n">
        <f aca="false">COUNTIFS($C$5:$C$306,$K32,$D$5:$D$306,1)</f>
        <v>0</v>
      </c>
      <c r="M32" s="11" t="n">
        <f aca="false">COUNTIFS($C$5:$C$306,$K32,$D$5:$D$306,2)</f>
        <v>0</v>
      </c>
      <c r="N32" s="11" t="n">
        <f aca="false">COUNTIFS($C$5:$C$306,$K32,$D$5:$D$306,3)</f>
        <v>0</v>
      </c>
      <c r="O32" s="11" t="n">
        <f aca="false">COUNTIFS($C$5:$C$306,$K32,$D$5:$D$306,4)</f>
        <v>2</v>
      </c>
      <c r="P32" s="11" t="n">
        <f aca="false">COUNTIFS($C$5:$C$306,$K32,$D$5:$D$306,5)</f>
        <v>0</v>
      </c>
      <c r="Q32" s="11" t="n">
        <f aca="false">COUNTIFS($C$5:$C$306,$K32,$D$5:$D$306,6)</f>
        <v>0</v>
      </c>
      <c r="R32" s="11" t="n">
        <f aca="false">COUNTIFS($C$5:$C$306,$K32,$D$5:$D$306,7)</f>
        <v>0</v>
      </c>
      <c r="S32" s="11" t="n">
        <f aca="false">COUNTIFS($C$5:$C$306,$K32,$D$5:$D$306,8)</f>
        <v>0</v>
      </c>
      <c r="T32" s="11" t="n">
        <f aca="false">COUNTIFS($C$5:$C$306,$K32,$D$5:$D$306,9)</f>
        <v>0</v>
      </c>
      <c r="U32" s="11" t="n">
        <f aca="false">COUNTIFS($C$5:$C$306,$K32,$D$5:$D$306,10)</f>
        <v>0</v>
      </c>
      <c r="V32" s="11" t="n">
        <f aca="false">COUNTIFS($C$5:$C$306,$K32,$D$5:$D$306,11)</f>
        <v>0</v>
      </c>
      <c r="W32" s="11" t="n">
        <f aca="false">COUNTIFS($C$5:$C$306,$K32,$D$5:$D$306,12)</f>
        <v>0</v>
      </c>
      <c r="X32" s="11" t="n">
        <f aca="false">COUNTIFS($C$5:$C$306,$K32,$D$5:$D$306,13)</f>
        <v>5</v>
      </c>
      <c r="Y32" s="11" t="n">
        <f aca="false">COUNTIFS($C$5:$C$306,$K32,$D$5:$D$306,14)</f>
        <v>7</v>
      </c>
      <c r="Z32" s="11" t="n">
        <f aca="false">COUNTIFS($C$5:$C$306,$K32,$D$5:$D$306,15)</f>
        <v>12</v>
      </c>
      <c r="AA32" s="11" t="n">
        <f aca="false">COUNTIFS($C$5:$C$306,$K32,$D$5:$D$306,16)</f>
        <v>4</v>
      </c>
      <c r="AB32" s="11" t="n">
        <f aca="false">COUNTIF(Dependencies!$C$6:$C$216,$K32)</f>
        <v>9</v>
      </c>
    </row>
    <row r="33" customFormat="false" ht="15" hidden="false" customHeight="false" outlineLevel="0" collapsed="false">
      <c r="A33" s="6" t="s">
        <v>623</v>
      </c>
      <c r="B33" s="6" t="s">
        <v>587</v>
      </c>
      <c r="C33" s="11" t="n">
        <f aca="false">VALUE(MID(A33,2,FIND(".",A33)-2))</f>
        <v>6</v>
      </c>
      <c r="D33" s="11" t="n">
        <f aca="false">VALUE(MID(B33,2,FIND(".",B33)-2))</f>
        <v>3</v>
      </c>
      <c r="E33" s="11" t="n">
        <f aca="false">MATCH(A33,Dependencies!$A$6:$A$216,0)</f>
        <v>48</v>
      </c>
      <c r="F33" s="11" t="n">
        <f aca="false">MATCH(B33,Dependencies!$A$6:$A$216,0)</f>
        <v>12</v>
      </c>
      <c r="G33" s="11" t="n">
        <f aca="false">INDEX(Dependencies!$L$6:$HN$216,F33,E33)</f>
        <v>1</v>
      </c>
    </row>
    <row r="34" customFormat="false" ht="15" hidden="false" customHeight="false" outlineLevel="0" collapsed="false">
      <c r="A34" s="6" t="s">
        <v>624</v>
      </c>
      <c r="B34" s="6" t="s">
        <v>587</v>
      </c>
      <c r="C34" s="11" t="n">
        <f aca="false">VALUE(MID(A34,2,FIND(".",A34)-2))</f>
        <v>6</v>
      </c>
      <c r="D34" s="11" t="n">
        <f aca="false">VALUE(MID(B34,2,FIND(".",B34)-2))</f>
        <v>3</v>
      </c>
      <c r="E34" s="11" t="n">
        <f aca="false">MATCH(A34,Dependencies!$A$6:$A$216,0)</f>
        <v>49</v>
      </c>
      <c r="F34" s="11" t="n">
        <f aca="false">MATCH(B34,Dependencies!$A$6:$A$216,0)</f>
        <v>12</v>
      </c>
      <c r="G34" s="11" t="n">
        <f aca="false">INDEX(Dependencies!$L$6:$HN$216,F34,E34)</f>
        <v>1</v>
      </c>
    </row>
    <row r="35" customFormat="false" ht="15" hidden="false" customHeight="false" outlineLevel="0" collapsed="false">
      <c r="A35" s="6" t="s">
        <v>624</v>
      </c>
      <c r="B35" s="6" t="s">
        <v>590</v>
      </c>
      <c r="C35" s="11" t="n">
        <f aca="false">VALUE(MID(A35,2,FIND(".",A35)-2))</f>
        <v>6</v>
      </c>
      <c r="D35" s="11" t="n">
        <f aca="false">VALUE(MID(B35,2,FIND(".",B35)-2))</f>
        <v>3</v>
      </c>
      <c r="E35" s="11" t="n">
        <f aca="false">MATCH(A35,Dependencies!$A$6:$A$216,0)</f>
        <v>49</v>
      </c>
      <c r="F35" s="11" t="n">
        <f aca="false">MATCH(B35,Dependencies!$A$6:$A$216,0)</f>
        <v>15</v>
      </c>
      <c r="G35" s="11" t="n">
        <f aca="false">INDEX(Dependencies!$L$6:$HN$216,F35,E35)</f>
        <v>1</v>
      </c>
      <c r="K35" s="2" t="s">
        <v>1034</v>
      </c>
      <c r="L35" s="11" t="n">
        <f aca="false">COUNTA(Dependencies!A6:A216)</f>
        <v>211</v>
      </c>
      <c r="M35" s="10" t="s">
        <v>1035</v>
      </c>
    </row>
    <row r="36" customFormat="false" ht="15" hidden="false" customHeight="false" outlineLevel="0" collapsed="false">
      <c r="A36" s="6" t="s">
        <v>624</v>
      </c>
      <c r="B36" s="6" t="s">
        <v>620</v>
      </c>
      <c r="C36" s="11" t="n">
        <f aca="false">VALUE(MID(A36,2,FIND(".",A36)-2))</f>
        <v>6</v>
      </c>
      <c r="D36" s="11" t="n">
        <f aca="false">VALUE(MID(B36,2,FIND(".",B36)-2))</f>
        <v>6</v>
      </c>
      <c r="E36" s="11" t="n">
        <f aca="false">MATCH(A36,Dependencies!$A$6:$A$216,0)</f>
        <v>49</v>
      </c>
      <c r="F36" s="11" t="n">
        <f aca="false">MATCH(B36,Dependencies!$A$6:$A$216,0)</f>
        <v>45</v>
      </c>
      <c r="G36" s="11" t="n">
        <f aca="false">INDEX(Dependencies!$L$6:$HN$216,F36,E36)</f>
        <v>1</v>
      </c>
      <c r="K36" s="2" t="s">
        <v>1036</v>
      </c>
      <c r="L36" s="11" t="n">
        <f aca="false">COUNTA(A5:A306)</f>
        <v>302</v>
      </c>
      <c r="M36" s="10" t="s">
        <v>1037</v>
      </c>
    </row>
    <row r="37" customFormat="false" ht="15" hidden="false" customHeight="false" outlineLevel="0" collapsed="false">
      <c r="A37" s="6" t="s">
        <v>624</v>
      </c>
      <c r="B37" s="6" t="s">
        <v>621</v>
      </c>
      <c r="C37" s="11" t="n">
        <f aca="false">VALUE(MID(A37,2,FIND(".",A37)-2))</f>
        <v>6</v>
      </c>
      <c r="D37" s="11" t="n">
        <f aca="false">VALUE(MID(B37,2,FIND(".",B37)-2))</f>
        <v>6</v>
      </c>
      <c r="E37" s="11" t="n">
        <f aca="false">MATCH(A37,Dependencies!$A$6:$A$216,0)</f>
        <v>49</v>
      </c>
      <c r="F37" s="11" t="n">
        <f aca="false">MATCH(B37,Dependencies!$A$6:$A$216,0)</f>
        <v>46</v>
      </c>
      <c r="G37" s="11" t="n">
        <f aca="false">INDEX(Dependencies!$L$6:$HN$216,F37,E37)</f>
        <v>1</v>
      </c>
      <c r="K37" s="2" t="s">
        <v>1038</v>
      </c>
      <c r="L37" s="11" t="n">
        <f aca="false">COUNTA(K5:K13)</f>
        <v>9</v>
      </c>
      <c r="M37" s="10" t="s">
        <v>1039</v>
      </c>
    </row>
    <row r="38" customFormat="false" ht="15" hidden="false" customHeight="false" outlineLevel="0" collapsed="false">
      <c r="A38" s="6" t="s">
        <v>624</v>
      </c>
      <c r="B38" s="6" t="s">
        <v>623</v>
      </c>
      <c r="C38" s="11" t="n">
        <f aca="false">VALUE(MID(A38,2,FIND(".",A38)-2))</f>
        <v>6</v>
      </c>
      <c r="D38" s="11" t="n">
        <f aca="false">VALUE(MID(B38,2,FIND(".",B38)-2))</f>
        <v>6</v>
      </c>
      <c r="E38" s="11" t="n">
        <f aca="false">MATCH(A38,Dependencies!$A$6:$A$216,0)</f>
        <v>49</v>
      </c>
      <c r="F38" s="11" t="n">
        <f aca="false">MATCH(B38,Dependencies!$A$6:$A$216,0)</f>
        <v>48</v>
      </c>
      <c r="G38" s="11" t="n">
        <f aca="false">INDEX(Dependencies!$L$6:$HN$216,F38,E38)</f>
        <v>1</v>
      </c>
      <c r="K38" s="2" t="s">
        <v>1040</v>
      </c>
      <c r="L38" s="11" t="n">
        <f aca="false">L17+M18+N19+O20+P21+Q22+R23+S24+T25+U26+V27+W28+X29+Y30+Z31+AA32</f>
        <v>138</v>
      </c>
      <c r="M38" s="10" t="s">
        <v>1041</v>
      </c>
    </row>
    <row r="39" customFormat="false" ht="15" hidden="false" customHeight="false" outlineLevel="0" collapsed="false">
      <c r="A39" s="6" t="s">
        <v>626</v>
      </c>
      <c r="B39" s="6" t="s">
        <v>620</v>
      </c>
      <c r="C39" s="11" t="n">
        <f aca="false">VALUE(MID(A39,2,FIND(".",A39)-2))</f>
        <v>6</v>
      </c>
      <c r="D39" s="11" t="n">
        <f aca="false">VALUE(MID(B39,2,FIND(".",B39)-2))</f>
        <v>6</v>
      </c>
      <c r="E39" s="11" t="n">
        <f aca="false">MATCH(A39,Dependencies!$A$6:$A$216,0)</f>
        <v>51</v>
      </c>
      <c r="F39" s="11" t="n">
        <f aca="false">MATCH(B39,Dependencies!$A$6:$A$216,0)</f>
        <v>45</v>
      </c>
      <c r="G39" s="11" t="n">
        <f aca="false">INDEX(Dependencies!$L$6:$HN$216,F39,E39)</f>
        <v>1</v>
      </c>
      <c r="K39" s="2" t="s">
        <v>1042</v>
      </c>
      <c r="L39" s="11" t="n">
        <f aca="false">SUMPRODUCT(--(D5:D306&lt;C5:C306))</f>
        <v>164</v>
      </c>
      <c r="M39" s="10" t="s">
        <v>1043</v>
      </c>
    </row>
    <row r="40" customFormat="false" ht="15" hidden="false" customHeight="false" outlineLevel="0" collapsed="false">
      <c r="A40" s="6" t="s">
        <v>627</v>
      </c>
      <c r="B40" s="6" t="s">
        <v>606</v>
      </c>
      <c r="C40" s="11" t="n">
        <f aca="false">VALUE(MID(A40,2,FIND(".",A40)-2))</f>
        <v>6</v>
      </c>
      <c r="D40" s="11" t="n">
        <f aca="false">VALUE(MID(B40,2,FIND(".",B40)-2))</f>
        <v>5</v>
      </c>
      <c r="E40" s="11" t="n">
        <f aca="false">MATCH(A40,Dependencies!$A$6:$A$216,0)</f>
        <v>52</v>
      </c>
      <c r="F40" s="11" t="n">
        <f aca="false">MATCH(B40,Dependencies!$A$6:$A$216,0)</f>
        <v>31</v>
      </c>
      <c r="G40" s="11" t="n">
        <f aca="false">INDEX(Dependencies!$L$6:$HN$216,F40,E40)</f>
        <v>1</v>
      </c>
      <c r="K40" s="2" t="s">
        <v>1044</v>
      </c>
      <c r="L40" s="11" t="n">
        <f aca="false">SUM(M17:AA17)+SUM(N18:AA18)+SUM(O19:AA19)+SUM(P20:AA20)+SUM(Q21:AA21)+SUM(R22:AA22)+SUM(S23:AA23)+SUM(T24:AA24)+SUM(U25:AA25)+SUM(V26:AA26)+SUM(W27:AA27)+SUM(X28:AA28)+SUM(Y29:AA29)+SUM(Z30:AA30)+SUM(AA31:AA31)</f>
        <v>0</v>
      </c>
      <c r="M40" s="10" t="s">
        <v>1045</v>
      </c>
    </row>
    <row r="41" customFormat="false" ht="15" hidden="false" customHeight="false" outlineLevel="0" collapsed="false">
      <c r="A41" s="6" t="s">
        <v>628</v>
      </c>
      <c r="B41" s="6" t="s">
        <v>606</v>
      </c>
      <c r="C41" s="11" t="n">
        <f aca="false">VALUE(MID(A41,2,FIND(".",A41)-2))</f>
        <v>6</v>
      </c>
      <c r="D41" s="11" t="n">
        <f aca="false">VALUE(MID(B41,2,FIND(".",B41)-2))</f>
        <v>5</v>
      </c>
      <c r="E41" s="11" t="n">
        <f aca="false">MATCH(A41,Dependencies!$A$6:$A$216,0)</f>
        <v>53</v>
      </c>
      <c r="F41" s="11" t="n">
        <f aca="false">MATCH(B41,Dependencies!$A$6:$A$216,0)</f>
        <v>31</v>
      </c>
      <c r="G41" s="11" t="n">
        <f aca="false">INDEX(Dependencies!$L$6:$HN$216,F41,E41)</f>
        <v>1</v>
      </c>
      <c r="K41" s="2" t="s">
        <v>1046</v>
      </c>
      <c r="L41" s="11" t="n">
        <f aca="false">SUMPRODUCT(--(F5:F306&gt;=E5:E306))</f>
        <v>0</v>
      </c>
      <c r="M41" s="10" t="s">
        <v>1047</v>
      </c>
    </row>
    <row r="42" customFormat="false" ht="15" hidden="false" customHeight="false" outlineLevel="0" collapsed="false">
      <c r="A42" s="6" t="s">
        <v>628</v>
      </c>
      <c r="B42" s="6" t="s">
        <v>619</v>
      </c>
      <c r="C42" s="11" t="n">
        <f aca="false">VALUE(MID(A42,2,FIND(".",A42)-2))</f>
        <v>6</v>
      </c>
      <c r="D42" s="11" t="n">
        <f aca="false">VALUE(MID(B42,2,FIND(".",B42)-2))</f>
        <v>6</v>
      </c>
      <c r="E42" s="11" t="n">
        <f aca="false">MATCH(A42,Dependencies!$A$6:$A$216,0)</f>
        <v>53</v>
      </c>
      <c r="F42" s="11" t="n">
        <f aca="false">MATCH(B42,Dependencies!$A$6:$A$216,0)</f>
        <v>44</v>
      </c>
      <c r="G42" s="11" t="n">
        <f aca="false">INDEX(Dependencies!$L$6:$HN$216,F42,E42)</f>
        <v>1</v>
      </c>
      <c r="K42" s="2" t="s">
        <v>1048</v>
      </c>
      <c r="L42" s="11" t="n">
        <f aca="false">SUM(G5:G306)</f>
        <v>302</v>
      </c>
      <c r="M42" s="10" t="s">
        <v>1049</v>
      </c>
    </row>
    <row r="43" customFormat="false" ht="15" hidden="false" customHeight="false" outlineLevel="0" collapsed="false">
      <c r="A43" s="6" t="s">
        <v>630</v>
      </c>
      <c r="B43" s="6" t="s">
        <v>625</v>
      </c>
      <c r="C43" s="11" t="n">
        <f aca="false">VALUE(MID(A43,2,FIND(".",A43)-2))</f>
        <v>6</v>
      </c>
      <c r="D43" s="11" t="n">
        <f aca="false">VALUE(MID(B43,2,FIND(".",B43)-2))</f>
        <v>6</v>
      </c>
      <c r="E43" s="11" t="n">
        <f aca="false">MATCH(A43,Dependencies!$A$6:$A$216,0)</f>
        <v>55</v>
      </c>
      <c r="F43" s="11" t="n">
        <f aca="false">MATCH(B43,Dependencies!$A$6:$A$216,0)</f>
        <v>50</v>
      </c>
      <c r="G43" s="11" t="n">
        <f aca="false">INDEX(Dependencies!$L$6:$HN$216,F43,E43)</f>
        <v>1</v>
      </c>
      <c r="K43" s="2" t="s">
        <v>1050</v>
      </c>
      <c r="L43" s="11" t="n">
        <f aca="false">SUM(AB17:AB32)</f>
        <v>211</v>
      </c>
      <c r="M43" s="10" t="s">
        <v>1035</v>
      </c>
    </row>
    <row r="44" customFormat="false" ht="23.85" hidden="false" customHeight="false" outlineLevel="0" collapsed="false">
      <c r="A44" s="6" t="s">
        <v>631</v>
      </c>
      <c r="B44" s="6" t="s">
        <v>581</v>
      </c>
      <c r="C44" s="11" t="n">
        <f aca="false">VALUE(MID(A44,2,FIND(".",A44)-2))</f>
        <v>7</v>
      </c>
      <c r="D44" s="11" t="n">
        <f aca="false">VALUE(MID(B44,2,FIND(".",B44)-2))</f>
        <v>2</v>
      </c>
      <c r="E44" s="11" t="n">
        <f aca="false">MATCH(A44,Dependencies!$A$6:$A$216,0)</f>
        <v>56</v>
      </c>
      <c r="F44" s="11" t="n">
        <f aca="false">MATCH(B44,Dependencies!$A$6:$A$216,0)</f>
        <v>6</v>
      </c>
      <c r="G44" s="11" t="n">
        <f aca="false">INDEX(Dependencies!$L$6:$HN$216,F44,E44)</f>
        <v>1</v>
      </c>
      <c r="K44" s="8" t="s">
        <v>1051</v>
      </c>
      <c r="L44" s="8" t="s">
        <v>19</v>
      </c>
      <c r="M44" s="8" t="s">
        <v>135</v>
      </c>
    </row>
    <row r="45" customFormat="false" ht="15" hidden="false" customHeight="false" outlineLevel="0" collapsed="false">
      <c r="A45" s="6" t="s">
        <v>631</v>
      </c>
      <c r="B45" s="6" t="s">
        <v>605</v>
      </c>
      <c r="C45" s="11" t="n">
        <f aca="false">VALUE(MID(A45,2,FIND(".",A45)-2))</f>
        <v>7</v>
      </c>
      <c r="D45" s="11" t="n">
        <f aca="false">VALUE(MID(B45,2,FIND(".",B45)-2))</f>
        <v>5</v>
      </c>
      <c r="E45" s="11" t="n">
        <f aca="false">MATCH(A45,Dependencies!$A$6:$A$216,0)</f>
        <v>56</v>
      </c>
      <c r="F45" s="11" t="n">
        <f aca="false">MATCH(B45,Dependencies!$A$6:$A$216,0)</f>
        <v>30</v>
      </c>
      <c r="G45" s="11" t="n">
        <f aca="false">INDEX(Dependencies!$L$6:$HN$216,F45,E45)</f>
        <v>1</v>
      </c>
      <c r="K45" s="2" t="s">
        <v>1052</v>
      </c>
      <c r="L45" s="11" t="n">
        <f aca="false">COUNTIF(Dependencies!D6:D216,0)</f>
        <v>62</v>
      </c>
      <c r="M45" s="10" t="s">
        <v>1053</v>
      </c>
    </row>
    <row r="46" customFormat="false" ht="15" hidden="false" customHeight="false" outlineLevel="0" collapsed="false">
      <c r="A46" s="6" t="s">
        <v>631</v>
      </c>
      <c r="B46" s="6" t="s">
        <v>607</v>
      </c>
      <c r="C46" s="11" t="n">
        <f aca="false">VALUE(MID(A46,2,FIND(".",A46)-2))</f>
        <v>7</v>
      </c>
      <c r="D46" s="11" t="n">
        <f aca="false">VALUE(MID(B46,2,FIND(".",B46)-2))</f>
        <v>5</v>
      </c>
      <c r="E46" s="11" t="n">
        <f aca="false">MATCH(A46,Dependencies!$A$6:$A$216,0)</f>
        <v>56</v>
      </c>
      <c r="F46" s="11" t="n">
        <f aca="false">MATCH(B46,Dependencies!$A$6:$A$216,0)</f>
        <v>32</v>
      </c>
      <c r="G46" s="11" t="n">
        <f aca="false">INDEX(Dependencies!$L$6:$HN$216,F46,E46)</f>
        <v>1</v>
      </c>
      <c r="K46" s="2" t="s">
        <v>1054</v>
      </c>
      <c r="L46" s="11" t="n">
        <f aca="false">MAX(Dependencies!F6:F216)</f>
        <v>15</v>
      </c>
      <c r="M46" s="10" t="s">
        <v>1031</v>
      </c>
    </row>
    <row r="47" customFormat="false" ht="15" hidden="false" customHeight="false" outlineLevel="0" collapsed="false">
      <c r="A47" s="6" t="s">
        <v>631</v>
      </c>
      <c r="B47" s="6" t="s">
        <v>606</v>
      </c>
      <c r="C47" s="11" t="n">
        <f aca="false">VALUE(MID(A47,2,FIND(".",A47)-2))</f>
        <v>7</v>
      </c>
      <c r="D47" s="11" t="n">
        <f aca="false">VALUE(MID(B47,2,FIND(".",B47)-2))</f>
        <v>5</v>
      </c>
      <c r="E47" s="11" t="n">
        <f aca="false">MATCH(A47,Dependencies!$A$6:$A$216,0)</f>
        <v>56</v>
      </c>
      <c r="F47" s="11" t="n">
        <f aca="false">MATCH(B47,Dependencies!$A$6:$A$216,0)</f>
        <v>31</v>
      </c>
      <c r="G47" s="11" t="n">
        <f aca="false">INDEX(Dependencies!$L$6:$HN$216,F47,E47)</f>
        <v>1</v>
      </c>
      <c r="K47" s="2" t="s">
        <v>1055</v>
      </c>
      <c r="L47" s="11" t="n">
        <f aca="false">SUMIF(Dependencies!F6:F216,L46,Dependencies!G6:G216)</f>
        <v>8</v>
      </c>
      <c r="M47" s="10" t="s">
        <v>285</v>
      </c>
    </row>
    <row r="48" customFormat="false" ht="15" hidden="false" customHeight="false" outlineLevel="0" collapsed="false">
      <c r="A48" s="6" t="s">
        <v>631</v>
      </c>
      <c r="B48" s="6" t="s">
        <v>611</v>
      </c>
      <c r="C48" s="11" t="n">
        <f aca="false">VALUE(MID(A48,2,FIND(".",A48)-2))</f>
        <v>7</v>
      </c>
      <c r="D48" s="11" t="n">
        <f aca="false">VALUE(MID(B48,2,FIND(".",B48)-2))</f>
        <v>5</v>
      </c>
      <c r="E48" s="11" t="n">
        <f aca="false">MATCH(A48,Dependencies!$A$6:$A$216,0)</f>
        <v>56</v>
      </c>
      <c r="F48" s="11" t="n">
        <f aca="false">MATCH(B48,Dependencies!$A$6:$A$216,0)</f>
        <v>36</v>
      </c>
      <c r="G48" s="11" t="n">
        <f aca="false">INDEX(Dependencies!$L$6:$HN$216,F48,E48)</f>
        <v>1</v>
      </c>
      <c r="K48" s="2" t="s">
        <v>1056</v>
      </c>
      <c r="L48" s="11" t="n">
        <f aca="false">COUNTIF(Dependencies!F6:F216,L46)</f>
        <v>2</v>
      </c>
      <c r="M48" s="10" t="s">
        <v>1057</v>
      </c>
    </row>
    <row r="49" customFormat="false" ht="15" hidden="false" customHeight="false" outlineLevel="0" collapsed="false">
      <c r="A49" s="6" t="s">
        <v>632</v>
      </c>
      <c r="B49" s="6" t="s">
        <v>631</v>
      </c>
      <c r="C49" s="11" t="n">
        <f aca="false">VALUE(MID(A49,2,FIND(".",A49)-2))</f>
        <v>7</v>
      </c>
      <c r="D49" s="11" t="n">
        <f aca="false">VALUE(MID(B49,2,FIND(".",B49)-2))</f>
        <v>7</v>
      </c>
      <c r="E49" s="11" t="n">
        <f aca="false">MATCH(A49,Dependencies!$A$6:$A$216,0)</f>
        <v>57</v>
      </c>
      <c r="F49" s="11" t="n">
        <f aca="false">MATCH(B49,Dependencies!$A$6:$A$216,0)</f>
        <v>56</v>
      </c>
      <c r="G49" s="11" t="n">
        <f aca="false">INDEX(Dependencies!$L$6:$HN$216,F49,E49)</f>
        <v>1</v>
      </c>
      <c r="K49" s="2" t="s">
        <v>1058</v>
      </c>
      <c r="L49" s="11" t="n">
        <f aca="false">INDEX(Dependencies!D6:D216,MATCH("T16.4",Dependencies!A6:A216,0))</f>
        <v>4</v>
      </c>
      <c r="M49" s="10" t="s">
        <v>1059</v>
      </c>
    </row>
    <row r="50" customFormat="false" ht="15" hidden="false" customHeight="false" outlineLevel="0" collapsed="false">
      <c r="A50" s="6" t="s">
        <v>633</v>
      </c>
      <c r="B50" s="6" t="s">
        <v>631</v>
      </c>
      <c r="C50" s="11" t="n">
        <f aca="false">VALUE(MID(A50,2,FIND(".",A50)-2))</f>
        <v>7</v>
      </c>
      <c r="D50" s="11" t="n">
        <f aca="false">VALUE(MID(B50,2,FIND(".",B50)-2))</f>
        <v>7</v>
      </c>
      <c r="E50" s="11" t="n">
        <f aca="false">MATCH(A50,Dependencies!$A$6:$A$216,0)</f>
        <v>58</v>
      </c>
      <c r="F50" s="11" t="n">
        <f aca="false">MATCH(B50,Dependencies!$A$6:$A$216,0)</f>
        <v>56</v>
      </c>
      <c r="G50" s="11" t="n">
        <f aca="false">INDEX(Dependencies!$L$6:$HN$216,F50,E50)</f>
        <v>1</v>
      </c>
      <c r="K50" s="2" t="s">
        <v>1060</v>
      </c>
      <c r="L50" s="11" t="n">
        <f aca="false">SUM(Dependencies!H6:H216)-1</f>
        <v>70</v>
      </c>
      <c r="M50" s="10" t="s">
        <v>1061</v>
      </c>
    </row>
    <row r="51" customFormat="false" ht="15" hidden="false" customHeight="false" outlineLevel="0" collapsed="false">
      <c r="A51" s="6" t="s">
        <v>634</v>
      </c>
      <c r="B51" s="6" t="s">
        <v>631</v>
      </c>
      <c r="C51" s="11" t="n">
        <f aca="false">VALUE(MID(A51,2,FIND(".",A51)-2))</f>
        <v>7</v>
      </c>
      <c r="D51" s="11" t="n">
        <f aca="false">VALUE(MID(B51,2,FIND(".",B51)-2))</f>
        <v>7</v>
      </c>
      <c r="E51" s="11" t="n">
        <f aca="false">MATCH(A51,Dependencies!$A$6:$A$216,0)</f>
        <v>59</v>
      </c>
      <c r="F51" s="11" t="n">
        <f aca="false">MATCH(B51,Dependencies!$A$6:$A$216,0)</f>
        <v>56</v>
      </c>
      <c r="G51" s="11" t="n">
        <f aca="false">INDEX(Dependencies!$L$6:$HN$216,F51,E51)</f>
        <v>1</v>
      </c>
      <c r="K51" s="2" t="s">
        <v>1062</v>
      </c>
      <c r="L51" s="11" t="n">
        <f aca="false">INDEX(Dependencies!F6:F216,MATCH("T16.4",Dependencies!A6:A216,0))</f>
        <v>14</v>
      </c>
      <c r="M51" s="10" t="s">
        <v>1063</v>
      </c>
    </row>
    <row r="52" customFormat="false" ht="15" hidden="false" customHeight="false" outlineLevel="0" collapsed="false">
      <c r="A52" s="6" t="s">
        <v>634</v>
      </c>
      <c r="B52" s="6" t="s">
        <v>633</v>
      </c>
      <c r="C52" s="11" t="n">
        <f aca="false">VALUE(MID(A52,2,FIND(".",A52)-2))</f>
        <v>7</v>
      </c>
      <c r="D52" s="11" t="n">
        <f aca="false">VALUE(MID(B52,2,FIND(".",B52)-2))</f>
        <v>7</v>
      </c>
      <c r="E52" s="11" t="n">
        <f aca="false">MATCH(A52,Dependencies!$A$6:$A$216,0)</f>
        <v>59</v>
      </c>
      <c r="F52" s="11" t="n">
        <f aca="false">MATCH(B52,Dependencies!$A$6:$A$216,0)</f>
        <v>58</v>
      </c>
      <c r="G52" s="11" t="n">
        <f aca="false">INDEX(Dependencies!$L$6:$HN$216,F52,E52)</f>
        <v>1</v>
      </c>
    </row>
    <row r="53" customFormat="false" ht="15" hidden="false" customHeight="false" outlineLevel="0" collapsed="false">
      <c r="A53" s="6" t="s">
        <v>635</v>
      </c>
      <c r="B53" s="6" t="s">
        <v>632</v>
      </c>
      <c r="C53" s="11" t="n">
        <f aca="false">VALUE(MID(A53,2,FIND(".",A53)-2))</f>
        <v>7</v>
      </c>
      <c r="D53" s="11" t="n">
        <f aca="false">VALUE(MID(B53,2,FIND(".",B53)-2))</f>
        <v>7</v>
      </c>
      <c r="E53" s="11" t="n">
        <f aca="false">MATCH(A53,Dependencies!$A$6:$A$216,0)</f>
        <v>60</v>
      </c>
      <c r="F53" s="11" t="n">
        <f aca="false">MATCH(B53,Dependencies!$A$6:$A$216,0)</f>
        <v>57</v>
      </c>
      <c r="G53" s="11" t="n">
        <f aca="false">INDEX(Dependencies!$L$6:$HN$216,F53,E53)</f>
        <v>1</v>
      </c>
    </row>
    <row r="54" customFormat="false" ht="15" hidden="false" customHeight="false" outlineLevel="0" collapsed="false">
      <c r="A54" s="6" t="s">
        <v>635</v>
      </c>
      <c r="B54" s="6" t="s">
        <v>631</v>
      </c>
      <c r="C54" s="11" t="n">
        <f aca="false">VALUE(MID(A54,2,FIND(".",A54)-2))</f>
        <v>7</v>
      </c>
      <c r="D54" s="11" t="n">
        <f aca="false">VALUE(MID(B54,2,FIND(".",B54)-2))</f>
        <v>7</v>
      </c>
      <c r="E54" s="11" t="n">
        <f aca="false">MATCH(A54,Dependencies!$A$6:$A$216,0)</f>
        <v>60</v>
      </c>
      <c r="F54" s="11" t="n">
        <f aca="false">MATCH(B54,Dependencies!$A$6:$A$216,0)</f>
        <v>56</v>
      </c>
      <c r="G54" s="11" t="n">
        <f aca="false">INDEX(Dependencies!$L$6:$HN$216,F54,E54)</f>
        <v>1</v>
      </c>
    </row>
    <row r="55" customFormat="false" ht="15" hidden="false" customHeight="false" outlineLevel="0" collapsed="false">
      <c r="A55" s="6" t="s">
        <v>636</v>
      </c>
      <c r="B55" s="6" t="s">
        <v>607</v>
      </c>
      <c r="C55" s="11" t="n">
        <f aca="false">VALUE(MID(A55,2,FIND(".",A55)-2))</f>
        <v>7</v>
      </c>
      <c r="D55" s="11" t="n">
        <f aca="false">VALUE(MID(B55,2,FIND(".",B55)-2))</f>
        <v>5</v>
      </c>
      <c r="E55" s="11" t="n">
        <f aca="false">MATCH(A55,Dependencies!$A$6:$A$216,0)</f>
        <v>61</v>
      </c>
      <c r="F55" s="11" t="n">
        <f aca="false">MATCH(B55,Dependencies!$A$6:$A$216,0)</f>
        <v>32</v>
      </c>
      <c r="G55" s="11" t="n">
        <f aca="false">INDEX(Dependencies!$L$6:$HN$216,F55,E55)</f>
        <v>1</v>
      </c>
    </row>
    <row r="56" customFormat="false" ht="15" hidden="false" customHeight="false" outlineLevel="0" collapsed="false">
      <c r="A56" s="6" t="s">
        <v>636</v>
      </c>
      <c r="B56" s="6" t="s">
        <v>634</v>
      </c>
      <c r="C56" s="11" t="n">
        <f aca="false">VALUE(MID(A56,2,FIND(".",A56)-2))</f>
        <v>7</v>
      </c>
      <c r="D56" s="11" t="n">
        <f aca="false">VALUE(MID(B56,2,FIND(".",B56)-2))</f>
        <v>7</v>
      </c>
      <c r="E56" s="11" t="n">
        <f aca="false">MATCH(A56,Dependencies!$A$6:$A$216,0)</f>
        <v>61</v>
      </c>
      <c r="F56" s="11" t="n">
        <f aca="false">MATCH(B56,Dependencies!$A$6:$A$216,0)</f>
        <v>59</v>
      </c>
      <c r="G56" s="11" t="n">
        <f aca="false">INDEX(Dependencies!$L$6:$HN$216,F56,E56)</f>
        <v>1</v>
      </c>
    </row>
    <row r="57" customFormat="false" ht="15" hidden="false" customHeight="false" outlineLevel="0" collapsed="false">
      <c r="A57" s="6" t="s">
        <v>637</v>
      </c>
      <c r="B57" s="6" t="s">
        <v>605</v>
      </c>
      <c r="C57" s="11" t="n">
        <f aca="false">VALUE(MID(A57,2,FIND(".",A57)-2))</f>
        <v>7</v>
      </c>
      <c r="D57" s="11" t="n">
        <f aca="false">VALUE(MID(B57,2,FIND(".",B57)-2))</f>
        <v>5</v>
      </c>
      <c r="E57" s="11" t="n">
        <f aca="false">MATCH(A57,Dependencies!$A$6:$A$216,0)</f>
        <v>62</v>
      </c>
      <c r="F57" s="11" t="n">
        <f aca="false">MATCH(B57,Dependencies!$A$6:$A$216,0)</f>
        <v>30</v>
      </c>
      <c r="G57" s="11" t="n">
        <f aca="false">INDEX(Dependencies!$L$6:$HN$216,F57,E57)</f>
        <v>1</v>
      </c>
    </row>
    <row r="58" customFormat="false" ht="15" hidden="false" customHeight="false" outlineLevel="0" collapsed="false">
      <c r="A58" s="6" t="s">
        <v>637</v>
      </c>
      <c r="B58" s="6" t="s">
        <v>631</v>
      </c>
      <c r="C58" s="11" t="n">
        <f aca="false">VALUE(MID(A58,2,FIND(".",A58)-2))</f>
        <v>7</v>
      </c>
      <c r="D58" s="11" t="n">
        <f aca="false">VALUE(MID(B58,2,FIND(".",B58)-2))</f>
        <v>7</v>
      </c>
      <c r="E58" s="11" t="n">
        <f aca="false">MATCH(A58,Dependencies!$A$6:$A$216,0)</f>
        <v>62</v>
      </c>
      <c r="F58" s="11" t="n">
        <f aca="false">MATCH(B58,Dependencies!$A$6:$A$216,0)</f>
        <v>56</v>
      </c>
      <c r="G58" s="11" t="n">
        <f aca="false">INDEX(Dependencies!$L$6:$HN$216,F58,E58)</f>
        <v>1</v>
      </c>
    </row>
    <row r="59" customFormat="false" ht="15" hidden="false" customHeight="false" outlineLevel="0" collapsed="false">
      <c r="A59" s="6" t="s">
        <v>637</v>
      </c>
      <c r="B59" s="6" t="s">
        <v>635</v>
      </c>
      <c r="C59" s="11" t="n">
        <f aca="false">VALUE(MID(A59,2,FIND(".",A59)-2))</f>
        <v>7</v>
      </c>
      <c r="D59" s="11" t="n">
        <f aca="false">VALUE(MID(B59,2,FIND(".",B59)-2))</f>
        <v>7</v>
      </c>
      <c r="E59" s="11" t="n">
        <f aca="false">MATCH(A59,Dependencies!$A$6:$A$216,0)</f>
        <v>62</v>
      </c>
      <c r="F59" s="11" t="n">
        <f aca="false">MATCH(B59,Dependencies!$A$6:$A$216,0)</f>
        <v>60</v>
      </c>
      <c r="G59" s="11" t="n">
        <f aca="false">INDEX(Dependencies!$L$6:$HN$216,F59,E59)</f>
        <v>1</v>
      </c>
    </row>
    <row r="60" customFormat="false" ht="15" hidden="false" customHeight="false" outlineLevel="0" collapsed="false">
      <c r="A60" s="6" t="s">
        <v>637</v>
      </c>
      <c r="B60" s="6" t="s">
        <v>636</v>
      </c>
      <c r="C60" s="11" t="n">
        <f aca="false">VALUE(MID(A60,2,FIND(".",A60)-2))</f>
        <v>7</v>
      </c>
      <c r="D60" s="11" t="n">
        <f aca="false">VALUE(MID(B60,2,FIND(".",B60)-2))</f>
        <v>7</v>
      </c>
      <c r="E60" s="11" t="n">
        <f aca="false">MATCH(A60,Dependencies!$A$6:$A$216,0)</f>
        <v>62</v>
      </c>
      <c r="F60" s="11" t="n">
        <f aca="false">MATCH(B60,Dependencies!$A$6:$A$216,0)</f>
        <v>61</v>
      </c>
      <c r="G60" s="11" t="n">
        <f aca="false">INDEX(Dependencies!$L$6:$HN$216,F60,E60)</f>
        <v>1</v>
      </c>
    </row>
    <row r="61" customFormat="false" ht="15" hidden="false" customHeight="false" outlineLevel="0" collapsed="false">
      <c r="A61" s="6" t="s">
        <v>639</v>
      </c>
      <c r="B61" s="6" t="s">
        <v>582</v>
      </c>
      <c r="C61" s="11" t="n">
        <f aca="false">VALUE(MID(A61,2,FIND(".",A61)-2))</f>
        <v>7</v>
      </c>
      <c r="D61" s="11" t="n">
        <f aca="false">VALUE(MID(B61,2,FIND(".",B61)-2))</f>
        <v>2</v>
      </c>
      <c r="E61" s="11" t="n">
        <f aca="false">MATCH(A61,Dependencies!$A$6:$A$216,0)</f>
        <v>64</v>
      </c>
      <c r="F61" s="11" t="n">
        <f aca="false">MATCH(B61,Dependencies!$A$6:$A$216,0)</f>
        <v>7</v>
      </c>
      <c r="G61" s="11" t="n">
        <f aca="false">INDEX(Dependencies!$L$6:$HN$216,F61,E61)</f>
        <v>1</v>
      </c>
    </row>
    <row r="62" customFormat="false" ht="15" hidden="false" customHeight="false" outlineLevel="0" collapsed="false">
      <c r="A62" s="6" t="s">
        <v>640</v>
      </c>
      <c r="B62" s="6" t="s">
        <v>638</v>
      </c>
      <c r="C62" s="11" t="n">
        <f aca="false">VALUE(MID(A62,2,FIND(".",A62)-2))</f>
        <v>7</v>
      </c>
      <c r="D62" s="11" t="n">
        <f aca="false">VALUE(MID(B62,2,FIND(".",B62)-2))</f>
        <v>7</v>
      </c>
      <c r="E62" s="11" t="n">
        <f aca="false">MATCH(A62,Dependencies!$A$6:$A$216,0)</f>
        <v>65</v>
      </c>
      <c r="F62" s="11" t="n">
        <f aca="false">MATCH(B62,Dependencies!$A$6:$A$216,0)</f>
        <v>63</v>
      </c>
      <c r="G62" s="11" t="n">
        <f aca="false">INDEX(Dependencies!$L$6:$HN$216,F62,E62)</f>
        <v>1</v>
      </c>
    </row>
    <row r="63" customFormat="false" ht="15" hidden="false" customHeight="false" outlineLevel="0" collapsed="false">
      <c r="A63" s="6" t="s">
        <v>640</v>
      </c>
      <c r="B63" s="6" t="s">
        <v>639</v>
      </c>
      <c r="C63" s="11" t="n">
        <f aca="false">VALUE(MID(A63,2,FIND(".",A63)-2))</f>
        <v>7</v>
      </c>
      <c r="D63" s="11" t="n">
        <f aca="false">VALUE(MID(B63,2,FIND(".",B63)-2))</f>
        <v>7</v>
      </c>
      <c r="E63" s="11" t="n">
        <f aca="false">MATCH(A63,Dependencies!$A$6:$A$216,0)</f>
        <v>65</v>
      </c>
      <c r="F63" s="11" t="n">
        <f aca="false">MATCH(B63,Dependencies!$A$6:$A$216,0)</f>
        <v>64</v>
      </c>
      <c r="G63" s="11" t="n">
        <f aca="false">INDEX(Dependencies!$L$6:$HN$216,F63,E63)</f>
        <v>1</v>
      </c>
    </row>
    <row r="64" customFormat="false" ht="15" hidden="false" customHeight="false" outlineLevel="0" collapsed="false">
      <c r="A64" s="6" t="s">
        <v>642</v>
      </c>
      <c r="B64" s="6" t="s">
        <v>633</v>
      </c>
      <c r="C64" s="11" t="n">
        <f aca="false">VALUE(MID(A64,2,FIND(".",A64)-2))</f>
        <v>7</v>
      </c>
      <c r="D64" s="11" t="n">
        <f aca="false">VALUE(MID(B64,2,FIND(".",B64)-2))</f>
        <v>7</v>
      </c>
      <c r="E64" s="11" t="n">
        <f aca="false">MATCH(A64,Dependencies!$A$6:$A$216,0)</f>
        <v>67</v>
      </c>
      <c r="F64" s="11" t="n">
        <f aca="false">MATCH(B64,Dependencies!$A$6:$A$216,0)</f>
        <v>58</v>
      </c>
      <c r="G64" s="11" t="n">
        <f aca="false">INDEX(Dependencies!$L$6:$HN$216,F64,E64)</f>
        <v>1</v>
      </c>
    </row>
    <row r="65" customFormat="false" ht="15" hidden="false" customHeight="false" outlineLevel="0" collapsed="false">
      <c r="A65" s="6" t="s">
        <v>644</v>
      </c>
      <c r="B65" s="6" t="s">
        <v>634</v>
      </c>
      <c r="C65" s="11" t="n">
        <f aca="false">VALUE(MID(A65,2,FIND(".",A65)-2))</f>
        <v>7</v>
      </c>
      <c r="D65" s="11" t="n">
        <f aca="false">VALUE(MID(B65,2,FIND(".",B65)-2))</f>
        <v>7</v>
      </c>
      <c r="E65" s="11" t="n">
        <f aca="false">MATCH(A65,Dependencies!$A$6:$A$216,0)</f>
        <v>69</v>
      </c>
      <c r="F65" s="11" t="n">
        <f aca="false">MATCH(B65,Dependencies!$A$6:$A$216,0)</f>
        <v>59</v>
      </c>
      <c r="G65" s="11" t="n">
        <f aca="false">INDEX(Dependencies!$L$6:$HN$216,F65,E65)</f>
        <v>1</v>
      </c>
    </row>
    <row r="66" customFormat="false" ht="15" hidden="false" customHeight="false" outlineLevel="0" collapsed="false">
      <c r="A66" s="6" t="s">
        <v>646</v>
      </c>
      <c r="B66" s="6" t="s">
        <v>638</v>
      </c>
      <c r="C66" s="11" t="n">
        <f aca="false">VALUE(MID(A66,2,FIND(".",A66)-2))</f>
        <v>7</v>
      </c>
      <c r="D66" s="11" t="n">
        <f aca="false">VALUE(MID(B66,2,FIND(".",B66)-2))</f>
        <v>7</v>
      </c>
      <c r="E66" s="11" t="n">
        <f aca="false">MATCH(A66,Dependencies!$A$6:$A$216,0)</f>
        <v>71</v>
      </c>
      <c r="F66" s="11" t="n">
        <f aca="false">MATCH(B66,Dependencies!$A$6:$A$216,0)</f>
        <v>63</v>
      </c>
      <c r="G66" s="11" t="n">
        <f aca="false">INDEX(Dependencies!$L$6:$HN$216,F66,E66)</f>
        <v>1</v>
      </c>
    </row>
    <row r="67" customFormat="false" ht="15" hidden="false" customHeight="false" outlineLevel="0" collapsed="false">
      <c r="A67" s="6" t="s">
        <v>646</v>
      </c>
      <c r="B67" s="6" t="s">
        <v>640</v>
      </c>
      <c r="C67" s="11" t="n">
        <f aca="false">VALUE(MID(A67,2,FIND(".",A67)-2))</f>
        <v>7</v>
      </c>
      <c r="D67" s="11" t="n">
        <f aca="false">VALUE(MID(B67,2,FIND(".",B67)-2))</f>
        <v>7</v>
      </c>
      <c r="E67" s="11" t="n">
        <f aca="false">MATCH(A67,Dependencies!$A$6:$A$216,0)</f>
        <v>71</v>
      </c>
      <c r="F67" s="11" t="n">
        <f aca="false">MATCH(B67,Dependencies!$A$6:$A$216,0)</f>
        <v>65</v>
      </c>
      <c r="G67" s="11" t="n">
        <f aca="false">INDEX(Dependencies!$L$6:$HN$216,F67,E67)</f>
        <v>1</v>
      </c>
    </row>
    <row r="68" customFormat="false" ht="15" hidden="false" customHeight="false" outlineLevel="0" collapsed="false">
      <c r="A68" s="6" t="s">
        <v>646</v>
      </c>
      <c r="B68" s="6" t="s">
        <v>645</v>
      </c>
      <c r="C68" s="11" t="n">
        <f aca="false">VALUE(MID(A68,2,FIND(".",A68)-2))</f>
        <v>7</v>
      </c>
      <c r="D68" s="11" t="n">
        <f aca="false">VALUE(MID(B68,2,FIND(".",B68)-2))</f>
        <v>7</v>
      </c>
      <c r="E68" s="11" t="n">
        <f aca="false">MATCH(A68,Dependencies!$A$6:$A$216,0)</f>
        <v>71</v>
      </c>
      <c r="F68" s="11" t="n">
        <f aca="false">MATCH(B68,Dependencies!$A$6:$A$216,0)</f>
        <v>70</v>
      </c>
      <c r="G68" s="11" t="n">
        <f aca="false">INDEX(Dependencies!$L$6:$HN$216,F68,E68)</f>
        <v>1</v>
      </c>
    </row>
    <row r="69" customFormat="false" ht="15" hidden="false" customHeight="false" outlineLevel="0" collapsed="false">
      <c r="A69" s="6" t="s">
        <v>647</v>
      </c>
      <c r="B69" s="6" t="s">
        <v>640</v>
      </c>
      <c r="C69" s="11" t="n">
        <f aca="false">VALUE(MID(A69,2,FIND(".",A69)-2))</f>
        <v>7</v>
      </c>
      <c r="D69" s="11" t="n">
        <f aca="false">VALUE(MID(B69,2,FIND(".",B69)-2))</f>
        <v>7</v>
      </c>
      <c r="E69" s="11" t="n">
        <f aca="false">MATCH(A69,Dependencies!$A$6:$A$216,0)</f>
        <v>72</v>
      </c>
      <c r="F69" s="11" t="n">
        <f aca="false">MATCH(B69,Dependencies!$A$6:$A$216,0)</f>
        <v>65</v>
      </c>
      <c r="G69" s="11" t="n">
        <f aca="false">INDEX(Dependencies!$L$6:$HN$216,F69,E69)</f>
        <v>1</v>
      </c>
    </row>
    <row r="70" customFormat="false" ht="15" hidden="false" customHeight="false" outlineLevel="0" collapsed="false">
      <c r="A70" s="6" t="s">
        <v>648</v>
      </c>
      <c r="B70" s="6" t="s">
        <v>584</v>
      </c>
      <c r="C70" s="11" t="n">
        <f aca="false">VALUE(MID(A70,2,FIND(".",A70)-2))</f>
        <v>7</v>
      </c>
      <c r="D70" s="11" t="n">
        <f aca="false">VALUE(MID(B70,2,FIND(".",B70)-2))</f>
        <v>2</v>
      </c>
      <c r="E70" s="11" t="n">
        <f aca="false">MATCH(A70,Dependencies!$A$6:$A$216,0)</f>
        <v>73</v>
      </c>
      <c r="F70" s="11" t="n">
        <f aca="false">MATCH(B70,Dependencies!$A$6:$A$216,0)</f>
        <v>9</v>
      </c>
      <c r="G70" s="11" t="n">
        <f aca="false">INDEX(Dependencies!$L$6:$HN$216,F70,E70)</f>
        <v>1</v>
      </c>
    </row>
    <row r="71" customFormat="false" ht="15" hidden="false" customHeight="false" outlineLevel="0" collapsed="false">
      <c r="A71" s="6" t="s">
        <v>648</v>
      </c>
      <c r="B71" s="6" t="s">
        <v>647</v>
      </c>
      <c r="C71" s="11" t="n">
        <f aca="false">VALUE(MID(A71,2,FIND(".",A71)-2))</f>
        <v>7</v>
      </c>
      <c r="D71" s="11" t="n">
        <f aca="false">VALUE(MID(B71,2,FIND(".",B71)-2))</f>
        <v>7</v>
      </c>
      <c r="E71" s="11" t="n">
        <f aca="false">MATCH(A71,Dependencies!$A$6:$A$216,0)</f>
        <v>73</v>
      </c>
      <c r="F71" s="11" t="n">
        <f aca="false">MATCH(B71,Dependencies!$A$6:$A$216,0)</f>
        <v>72</v>
      </c>
      <c r="G71" s="11" t="n">
        <f aca="false">INDEX(Dependencies!$L$6:$HN$216,F71,E71)</f>
        <v>1</v>
      </c>
    </row>
    <row r="72" customFormat="false" ht="15" hidden="false" customHeight="false" outlineLevel="0" collapsed="false">
      <c r="A72" s="6" t="s">
        <v>650</v>
      </c>
      <c r="B72" s="6" t="s">
        <v>599</v>
      </c>
      <c r="C72" s="11" t="n">
        <f aca="false">VALUE(MID(A72,2,FIND(".",A72)-2))</f>
        <v>8</v>
      </c>
      <c r="D72" s="11" t="n">
        <f aca="false">VALUE(MID(B72,2,FIND(".",B72)-2))</f>
        <v>4</v>
      </c>
      <c r="E72" s="11" t="n">
        <f aca="false">MATCH(A72,Dependencies!$A$6:$A$216,0)</f>
        <v>75</v>
      </c>
      <c r="F72" s="11" t="n">
        <f aca="false">MATCH(B72,Dependencies!$A$6:$A$216,0)</f>
        <v>24</v>
      </c>
      <c r="G72" s="11" t="n">
        <f aca="false">INDEX(Dependencies!$L$6:$HN$216,F72,E72)</f>
        <v>1</v>
      </c>
    </row>
    <row r="73" customFormat="false" ht="15" hidden="false" customHeight="false" outlineLevel="0" collapsed="false">
      <c r="A73" s="6" t="s">
        <v>651</v>
      </c>
      <c r="B73" s="6" t="s">
        <v>581</v>
      </c>
      <c r="C73" s="11" t="n">
        <f aca="false">VALUE(MID(A73,2,FIND(".",A73)-2))</f>
        <v>8</v>
      </c>
      <c r="D73" s="11" t="n">
        <f aca="false">VALUE(MID(B73,2,FIND(".",B73)-2))</f>
        <v>2</v>
      </c>
      <c r="E73" s="11" t="n">
        <f aca="false">MATCH(A73,Dependencies!$A$6:$A$216,0)</f>
        <v>76</v>
      </c>
      <c r="F73" s="11" t="n">
        <f aca="false">MATCH(B73,Dependencies!$A$6:$A$216,0)</f>
        <v>6</v>
      </c>
      <c r="G73" s="11" t="n">
        <f aca="false">INDEX(Dependencies!$L$6:$HN$216,F73,E73)</f>
        <v>1</v>
      </c>
    </row>
    <row r="74" customFormat="false" ht="15" hidden="false" customHeight="false" outlineLevel="0" collapsed="false">
      <c r="A74" s="6" t="s">
        <v>651</v>
      </c>
      <c r="B74" s="6" t="s">
        <v>582</v>
      </c>
      <c r="C74" s="11" t="n">
        <f aca="false">VALUE(MID(A74,2,FIND(".",A74)-2))</f>
        <v>8</v>
      </c>
      <c r="D74" s="11" t="n">
        <f aca="false">VALUE(MID(B74,2,FIND(".",B74)-2))</f>
        <v>2</v>
      </c>
      <c r="E74" s="11" t="n">
        <f aca="false">MATCH(A74,Dependencies!$A$6:$A$216,0)</f>
        <v>76</v>
      </c>
      <c r="F74" s="11" t="n">
        <f aca="false">MATCH(B74,Dependencies!$A$6:$A$216,0)</f>
        <v>7</v>
      </c>
      <c r="G74" s="11" t="n">
        <f aca="false">INDEX(Dependencies!$L$6:$HN$216,F74,E74)</f>
        <v>1</v>
      </c>
    </row>
    <row r="75" customFormat="false" ht="15" hidden="false" customHeight="false" outlineLevel="0" collapsed="false">
      <c r="A75" s="6" t="s">
        <v>651</v>
      </c>
      <c r="B75" s="6" t="s">
        <v>604</v>
      </c>
      <c r="C75" s="11" t="n">
        <f aca="false">VALUE(MID(A75,2,FIND(".",A75)-2))</f>
        <v>8</v>
      </c>
      <c r="D75" s="11" t="n">
        <f aca="false">VALUE(MID(B75,2,FIND(".",B75)-2))</f>
        <v>5</v>
      </c>
      <c r="E75" s="11" t="n">
        <f aca="false">MATCH(A75,Dependencies!$A$6:$A$216,0)</f>
        <v>76</v>
      </c>
      <c r="F75" s="11" t="n">
        <f aca="false">MATCH(B75,Dependencies!$A$6:$A$216,0)</f>
        <v>29</v>
      </c>
      <c r="G75" s="11" t="n">
        <f aca="false">INDEX(Dependencies!$L$6:$HN$216,F75,E75)</f>
        <v>1</v>
      </c>
    </row>
    <row r="76" customFormat="false" ht="15" hidden="false" customHeight="false" outlineLevel="0" collapsed="false">
      <c r="A76" s="6" t="s">
        <v>651</v>
      </c>
      <c r="B76" s="6" t="s">
        <v>607</v>
      </c>
      <c r="C76" s="11" t="n">
        <f aca="false">VALUE(MID(A76,2,FIND(".",A76)-2))</f>
        <v>8</v>
      </c>
      <c r="D76" s="11" t="n">
        <f aca="false">VALUE(MID(B76,2,FIND(".",B76)-2))</f>
        <v>5</v>
      </c>
      <c r="E76" s="11" t="n">
        <f aca="false">MATCH(A76,Dependencies!$A$6:$A$216,0)</f>
        <v>76</v>
      </c>
      <c r="F76" s="11" t="n">
        <f aca="false">MATCH(B76,Dependencies!$A$6:$A$216,0)</f>
        <v>32</v>
      </c>
      <c r="G76" s="11" t="n">
        <f aca="false">INDEX(Dependencies!$L$6:$HN$216,F76,E76)</f>
        <v>1</v>
      </c>
    </row>
    <row r="77" customFormat="false" ht="15" hidden="false" customHeight="false" outlineLevel="0" collapsed="false">
      <c r="A77" s="6" t="s">
        <v>651</v>
      </c>
      <c r="B77" s="6" t="s">
        <v>649</v>
      </c>
      <c r="C77" s="11" t="n">
        <f aca="false">VALUE(MID(A77,2,FIND(".",A77)-2))</f>
        <v>8</v>
      </c>
      <c r="D77" s="11" t="n">
        <f aca="false">VALUE(MID(B77,2,FIND(".",B77)-2))</f>
        <v>8</v>
      </c>
      <c r="E77" s="11" t="n">
        <f aca="false">MATCH(A77,Dependencies!$A$6:$A$216,0)</f>
        <v>76</v>
      </c>
      <c r="F77" s="11" t="n">
        <f aca="false">MATCH(B77,Dependencies!$A$6:$A$216,0)</f>
        <v>74</v>
      </c>
      <c r="G77" s="11" t="n">
        <f aca="false">INDEX(Dependencies!$L$6:$HN$216,F77,E77)</f>
        <v>1</v>
      </c>
    </row>
    <row r="78" customFormat="false" ht="15" hidden="false" customHeight="false" outlineLevel="0" collapsed="false">
      <c r="A78" s="6" t="s">
        <v>652</v>
      </c>
      <c r="B78" s="6" t="s">
        <v>651</v>
      </c>
      <c r="C78" s="11" t="n">
        <f aca="false">VALUE(MID(A78,2,FIND(".",A78)-2))</f>
        <v>8</v>
      </c>
      <c r="D78" s="11" t="n">
        <f aca="false">VALUE(MID(B78,2,FIND(".",B78)-2))</f>
        <v>8</v>
      </c>
      <c r="E78" s="11" t="n">
        <f aca="false">MATCH(A78,Dependencies!$A$6:$A$216,0)</f>
        <v>77</v>
      </c>
      <c r="F78" s="11" t="n">
        <f aca="false">MATCH(B78,Dependencies!$A$6:$A$216,0)</f>
        <v>76</v>
      </c>
      <c r="G78" s="11" t="n">
        <f aca="false">INDEX(Dependencies!$L$6:$HN$216,F78,E78)</f>
        <v>1</v>
      </c>
    </row>
    <row r="79" customFormat="false" ht="15" hidden="false" customHeight="false" outlineLevel="0" collapsed="false">
      <c r="A79" s="6" t="s">
        <v>653</v>
      </c>
      <c r="B79" s="6" t="s">
        <v>651</v>
      </c>
      <c r="C79" s="11" t="n">
        <f aca="false">VALUE(MID(A79,2,FIND(".",A79)-2))</f>
        <v>8</v>
      </c>
      <c r="D79" s="11" t="n">
        <f aca="false">VALUE(MID(B79,2,FIND(".",B79)-2))</f>
        <v>8</v>
      </c>
      <c r="E79" s="11" t="n">
        <f aca="false">MATCH(A79,Dependencies!$A$6:$A$216,0)</f>
        <v>78</v>
      </c>
      <c r="F79" s="11" t="n">
        <f aca="false">MATCH(B79,Dependencies!$A$6:$A$216,0)</f>
        <v>76</v>
      </c>
      <c r="G79" s="11" t="n">
        <f aca="false">INDEX(Dependencies!$L$6:$HN$216,F79,E79)</f>
        <v>1</v>
      </c>
    </row>
    <row r="80" customFormat="false" ht="15" hidden="false" customHeight="false" outlineLevel="0" collapsed="false">
      <c r="A80" s="6" t="s">
        <v>655</v>
      </c>
      <c r="B80" s="6" t="s">
        <v>638</v>
      </c>
      <c r="C80" s="11" t="n">
        <f aca="false">VALUE(MID(A80,2,FIND(".",A80)-2))</f>
        <v>8</v>
      </c>
      <c r="D80" s="11" t="n">
        <f aca="false">VALUE(MID(B80,2,FIND(".",B80)-2))</f>
        <v>7</v>
      </c>
      <c r="E80" s="11" t="n">
        <f aca="false">MATCH(A80,Dependencies!$A$6:$A$216,0)</f>
        <v>80</v>
      </c>
      <c r="F80" s="11" t="n">
        <f aca="false">MATCH(B80,Dependencies!$A$6:$A$216,0)</f>
        <v>63</v>
      </c>
      <c r="G80" s="11" t="n">
        <f aca="false">INDEX(Dependencies!$L$6:$HN$216,F80,E80)</f>
        <v>1</v>
      </c>
    </row>
    <row r="81" customFormat="false" ht="15" hidden="false" customHeight="false" outlineLevel="0" collapsed="false">
      <c r="A81" s="6" t="s">
        <v>656</v>
      </c>
      <c r="B81" s="6" t="s">
        <v>651</v>
      </c>
      <c r="C81" s="11" t="n">
        <f aca="false">VALUE(MID(A81,2,FIND(".",A81)-2))</f>
        <v>8</v>
      </c>
      <c r="D81" s="11" t="n">
        <f aca="false">VALUE(MID(B81,2,FIND(".",B81)-2))</f>
        <v>8</v>
      </c>
      <c r="E81" s="11" t="n">
        <f aca="false">MATCH(A81,Dependencies!$A$6:$A$216,0)</f>
        <v>81</v>
      </c>
      <c r="F81" s="11" t="n">
        <f aca="false">MATCH(B81,Dependencies!$A$6:$A$216,0)</f>
        <v>76</v>
      </c>
      <c r="G81" s="11" t="n">
        <f aca="false">INDEX(Dependencies!$L$6:$HN$216,F81,E81)</f>
        <v>1</v>
      </c>
    </row>
    <row r="82" customFormat="false" ht="15" hidden="false" customHeight="false" outlineLevel="0" collapsed="false">
      <c r="A82" s="6" t="s">
        <v>657</v>
      </c>
      <c r="B82" s="6" t="s">
        <v>624</v>
      </c>
      <c r="C82" s="11" t="n">
        <f aca="false">VALUE(MID(A82,2,FIND(".",A82)-2))</f>
        <v>8</v>
      </c>
      <c r="D82" s="11" t="n">
        <f aca="false">VALUE(MID(B82,2,FIND(".",B82)-2))</f>
        <v>6</v>
      </c>
      <c r="E82" s="11" t="n">
        <f aca="false">MATCH(A82,Dependencies!$A$6:$A$216,0)</f>
        <v>82</v>
      </c>
      <c r="F82" s="11" t="n">
        <f aca="false">MATCH(B82,Dependencies!$A$6:$A$216,0)</f>
        <v>49</v>
      </c>
      <c r="G82" s="11" t="n">
        <f aca="false">INDEX(Dependencies!$L$6:$HN$216,F82,E82)</f>
        <v>1</v>
      </c>
    </row>
    <row r="83" customFormat="false" ht="15" hidden="false" customHeight="false" outlineLevel="0" collapsed="false">
      <c r="A83" s="6" t="s">
        <v>659</v>
      </c>
      <c r="B83" s="6" t="s">
        <v>658</v>
      </c>
      <c r="C83" s="11" t="n">
        <f aca="false">VALUE(MID(A83,2,FIND(".",A83)-2))</f>
        <v>8</v>
      </c>
      <c r="D83" s="11" t="n">
        <f aca="false">VALUE(MID(B83,2,FIND(".",B83)-2))</f>
        <v>8</v>
      </c>
      <c r="E83" s="11" t="n">
        <f aca="false">MATCH(A83,Dependencies!$A$6:$A$216,0)</f>
        <v>84</v>
      </c>
      <c r="F83" s="11" t="n">
        <f aca="false">MATCH(B83,Dependencies!$A$6:$A$216,0)</f>
        <v>83</v>
      </c>
      <c r="G83" s="11" t="n">
        <f aca="false">INDEX(Dependencies!$L$6:$HN$216,F83,E83)</f>
        <v>1</v>
      </c>
    </row>
    <row r="84" customFormat="false" ht="15" hidden="false" customHeight="false" outlineLevel="0" collapsed="false">
      <c r="A84" s="6" t="s">
        <v>660</v>
      </c>
      <c r="B84" s="6" t="s">
        <v>655</v>
      </c>
      <c r="C84" s="11" t="n">
        <f aca="false">VALUE(MID(A84,2,FIND(".",A84)-2))</f>
        <v>8</v>
      </c>
      <c r="D84" s="11" t="n">
        <f aca="false">VALUE(MID(B84,2,FIND(".",B84)-2))</f>
        <v>8</v>
      </c>
      <c r="E84" s="11" t="n">
        <f aca="false">MATCH(A84,Dependencies!$A$6:$A$216,0)</f>
        <v>85</v>
      </c>
      <c r="F84" s="11" t="n">
        <f aca="false">MATCH(B84,Dependencies!$A$6:$A$216,0)</f>
        <v>80</v>
      </c>
      <c r="G84" s="11" t="n">
        <f aca="false">INDEX(Dependencies!$L$6:$HN$216,F84,E84)</f>
        <v>1</v>
      </c>
    </row>
    <row r="85" customFormat="false" ht="15" hidden="false" customHeight="false" outlineLevel="0" collapsed="false">
      <c r="A85" s="6" t="s">
        <v>661</v>
      </c>
      <c r="B85" s="6" t="s">
        <v>653</v>
      </c>
      <c r="C85" s="11" t="n">
        <f aca="false">VALUE(MID(A85,2,FIND(".",A85)-2))</f>
        <v>8</v>
      </c>
      <c r="D85" s="11" t="n">
        <f aca="false">VALUE(MID(B85,2,FIND(".",B85)-2))</f>
        <v>8</v>
      </c>
      <c r="E85" s="11" t="n">
        <f aca="false">MATCH(A85,Dependencies!$A$6:$A$216,0)</f>
        <v>86</v>
      </c>
      <c r="F85" s="11" t="n">
        <f aca="false">MATCH(B85,Dependencies!$A$6:$A$216,0)</f>
        <v>78</v>
      </c>
      <c r="G85" s="11" t="n">
        <f aca="false">INDEX(Dependencies!$L$6:$HN$216,F85,E85)</f>
        <v>1</v>
      </c>
    </row>
    <row r="86" customFormat="false" ht="15" hidden="false" customHeight="false" outlineLevel="0" collapsed="false">
      <c r="A86" s="6" t="s">
        <v>662</v>
      </c>
      <c r="B86" s="6" t="s">
        <v>655</v>
      </c>
      <c r="C86" s="11" t="n">
        <f aca="false">VALUE(MID(A86,2,FIND(".",A86)-2))</f>
        <v>8</v>
      </c>
      <c r="D86" s="11" t="n">
        <f aca="false">VALUE(MID(B86,2,FIND(".",B86)-2))</f>
        <v>8</v>
      </c>
      <c r="E86" s="11" t="n">
        <f aca="false">MATCH(A86,Dependencies!$A$6:$A$216,0)</f>
        <v>87</v>
      </c>
      <c r="F86" s="11" t="n">
        <f aca="false">MATCH(B86,Dependencies!$A$6:$A$216,0)</f>
        <v>80</v>
      </c>
      <c r="G86" s="11" t="n">
        <f aca="false">INDEX(Dependencies!$L$6:$HN$216,F86,E86)</f>
        <v>1</v>
      </c>
    </row>
    <row r="87" customFormat="false" ht="15" hidden="false" customHeight="false" outlineLevel="0" collapsed="false">
      <c r="A87" s="6" t="s">
        <v>665</v>
      </c>
      <c r="B87" s="6" t="s">
        <v>658</v>
      </c>
      <c r="C87" s="11" t="n">
        <f aca="false">VALUE(MID(A87,2,FIND(".",A87)-2))</f>
        <v>8</v>
      </c>
      <c r="D87" s="11" t="n">
        <f aca="false">VALUE(MID(B87,2,FIND(".",B87)-2))</f>
        <v>8</v>
      </c>
      <c r="E87" s="11" t="n">
        <f aca="false">MATCH(A87,Dependencies!$A$6:$A$216,0)</f>
        <v>90</v>
      </c>
      <c r="F87" s="11" t="n">
        <f aca="false">MATCH(B87,Dependencies!$A$6:$A$216,0)</f>
        <v>83</v>
      </c>
      <c r="G87" s="11" t="n">
        <f aca="false">INDEX(Dependencies!$L$6:$HN$216,F87,E87)</f>
        <v>1</v>
      </c>
    </row>
    <row r="88" customFormat="false" ht="15" hidden="false" customHeight="false" outlineLevel="0" collapsed="false">
      <c r="A88" s="6" t="s">
        <v>666</v>
      </c>
      <c r="B88" s="6" t="s">
        <v>658</v>
      </c>
      <c r="C88" s="11" t="n">
        <f aca="false">VALUE(MID(A88,2,FIND(".",A88)-2))</f>
        <v>8</v>
      </c>
      <c r="D88" s="11" t="n">
        <f aca="false">VALUE(MID(B88,2,FIND(".",B88)-2))</f>
        <v>8</v>
      </c>
      <c r="E88" s="11" t="n">
        <f aca="false">MATCH(A88,Dependencies!$A$6:$A$216,0)</f>
        <v>91</v>
      </c>
      <c r="F88" s="11" t="n">
        <f aca="false">MATCH(B88,Dependencies!$A$6:$A$216,0)</f>
        <v>83</v>
      </c>
      <c r="G88" s="11" t="n">
        <f aca="false">INDEX(Dependencies!$L$6:$HN$216,F88,E88)</f>
        <v>1</v>
      </c>
    </row>
    <row r="89" customFormat="false" ht="15" hidden="false" customHeight="false" outlineLevel="0" collapsed="false">
      <c r="A89" s="6" t="s">
        <v>667</v>
      </c>
      <c r="B89" s="6" t="s">
        <v>581</v>
      </c>
      <c r="C89" s="11" t="n">
        <f aca="false">VALUE(MID(A89,2,FIND(".",A89)-2))</f>
        <v>9</v>
      </c>
      <c r="D89" s="11" t="n">
        <f aca="false">VALUE(MID(B89,2,FIND(".",B89)-2))</f>
        <v>2</v>
      </c>
      <c r="E89" s="11" t="n">
        <f aca="false">MATCH(A89,Dependencies!$A$6:$A$216,0)</f>
        <v>92</v>
      </c>
      <c r="F89" s="11" t="n">
        <f aca="false">MATCH(B89,Dependencies!$A$6:$A$216,0)</f>
        <v>6</v>
      </c>
      <c r="G89" s="11" t="n">
        <f aca="false">INDEX(Dependencies!$L$6:$HN$216,F89,E89)</f>
        <v>1</v>
      </c>
    </row>
    <row r="90" customFormat="false" ht="15" hidden="false" customHeight="false" outlineLevel="0" collapsed="false">
      <c r="A90" s="6" t="s">
        <v>668</v>
      </c>
      <c r="B90" s="6" t="s">
        <v>667</v>
      </c>
      <c r="C90" s="11" t="n">
        <f aca="false">VALUE(MID(A90,2,FIND(".",A90)-2))</f>
        <v>9</v>
      </c>
      <c r="D90" s="11" t="n">
        <f aca="false">VALUE(MID(B90,2,FIND(".",B90)-2))</f>
        <v>9</v>
      </c>
      <c r="E90" s="11" t="n">
        <f aca="false">MATCH(A90,Dependencies!$A$6:$A$216,0)</f>
        <v>93</v>
      </c>
      <c r="F90" s="11" t="n">
        <f aca="false">MATCH(B90,Dependencies!$A$6:$A$216,0)</f>
        <v>92</v>
      </c>
      <c r="G90" s="11" t="n">
        <f aca="false">INDEX(Dependencies!$L$6:$HN$216,F90,E90)</f>
        <v>1</v>
      </c>
    </row>
    <row r="91" customFormat="false" ht="15" hidden="false" customHeight="false" outlineLevel="0" collapsed="false">
      <c r="A91" s="6" t="s">
        <v>669</v>
      </c>
      <c r="B91" s="6" t="s">
        <v>667</v>
      </c>
      <c r="C91" s="11" t="n">
        <f aca="false">VALUE(MID(A91,2,FIND(".",A91)-2))</f>
        <v>9</v>
      </c>
      <c r="D91" s="11" t="n">
        <f aca="false">VALUE(MID(B91,2,FIND(".",B91)-2))</f>
        <v>9</v>
      </c>
      <c r="E91" s="11" t="n">
        <f aca="false">MATCH(A91,Dependencies!$A$6:$A$216,0)</f>
        <v>94</v>
      </c>
      <c r="F91" s="11" t="n">
        <f aca="false">MATCH(B91,Dependencies!$A$6:$A$216,0)</f>
        <v>92</v>
      </c>
      <c r="G91" s="11" t="n">
        <f aca="false">INDEX(Dependencies!$L$6:$HN$216,F91,E91)</f>
        <v>1</v>
      </c>
    </row>
    <row r="92" customFormat="false" ht="15" hidden="false" customHeight="false" outlineLevel="0" collapsed="false">
      <c r="A92" s="6" t="s">
        <v>672</v>
      </c>
      <c r="B92" s="6" t="s">
        <v>670</v>
      </c>
      <c r="C92" s="11" t="n">
        <f aca="false">VALUE(MID(A92,2,FIND(".",A92)-2))</f>
        <v>9</v>
      </c>
      <c r="D92" s="11" t="n">
        <f aca="false">VALUE(MID(B92,2,FIND(".",B92)-2))</f>
        <v>9</v>
      </c>
      <c r="E92" s="11" t="n">
        <f aca="false">MATCH(A92,Dependencies!$A$6:$A$216,0)</f>
        <v>97</v>
      </c>
      <c r="F92" s="11" t="n">
        <f aca="false">MATCH(B92,Dependencies!$A$6:$A$216,0)</f>
        <v>95</v>
      </c>
      <c r="G92" s="11" t="n">
        <f aca="false">INDEX(Dependencies!$L$6:$HN$216,F92,E92)</f>
        <v>1</v>
      </c>
    </row>
    <row r="93" customFormat="false" ht="15" hidden="false" customHeight="false" outlineLevel="0" collapsed="false">
      <c r="A93" s="6" t="s">
        <v>673</v>
      </c>
      <c r="B93" s="6" t="s">
        <v>671</v>
      </c>
      <c r="C93" s="11" t="n">
        <f aca="false">VALUE(MID(A93,2,FIND(".",A93)-2))</f>
        <v>9</v>
      </c>
      <c r="D93" s="11" t="n">
        <f aca="false">VALUE(MID(B93,2,FIND(".",B93)-2))</f>
        <v>9</v>
      </c>
      <c r="E93" s="11" t="n">
        <f aca="false">MATCH(A93,Dependencies!$A$6:$A$216,0)</f>
        <v>98</v>
      </c>
      <c r="F93" s="11" t="n">
        <f aca="false">MATCH(B93,Dependencies!$A$6:$A$216,0)</f>
        <v>96</v>
      </c>
      <c r="G93" s="11" t="n">
        <f aca="false">INDEX(Dependencies!$L$6:$HN$216,F93,E93)</f>
        <v>1</v>
      </c>
    </row>
    <row r="94" customFormat="false" ht="15" hidden="false" customHeight="false" outlineLevel="0" collapsed="false">
      <c r="A94" s="6" t="s">
        <v>675</v>
      </c>
      <c r="B94" s="6" t="s">
        <v>597</v>
      </c>
      <c r="C94" s="11" t="n">
        <f aca="false">VALUE(MID(A94,2,FIND(".",A94)-2))</f>
        <v>9</v>
      </c>
      <c r="D94" s="11" t="n">
        <f aca="false">VALUE(MID(B94,2,FIND(".",B94)-2))</f>
        <v>4</v>
      </c>
      <c r="E94" s="11" t="n">
        <f aca="false">MATCH(A94,Dependencies!$A$6:$A$216,0)</f>
        <v>100</v>
      </c>
      <c r="F94" s="11" t="n">
        <f aca="false">MATCH(B94,Dependencies!$A$6:$A$216,0)</f>
        <v>22</v>
      </c>
      <c r="G94" s="11" t="n">
        <f aca="false">INDEX(Dependencies!$L$6:$HN$216,F94,E94)</f>
        <v>1</v>
      </c>
    </row>
    <row r="95" customFormat="false" ht="15" hidden="false" customHeight="false" outlineLevel="0" collapsed="false">
      <c r="A95" s="6" t="s">
        <v>675</v>
      </c>
      <c r="B95" s="6" t="s">
        <v>667</v>
      </c>
      <c r="C95" s="11" t="n">
        <f aca="false">VALUE(MID(A95,2,FIND(".",A95)-2))</f>
        <v>9</v>
      </c>
      <c r="D95" s="11" t="n">
        <f aca="false">VALUE(MID(B95,2,FIND(".",B95)-2))</f>
        <v>9</v>
      </c>
      <c r="E95" s="11" t="n">
        <f aca="false">MATCH(A95,Dependencies!$A$6:$A$216,0)</f>
        <v>100</v>
      </c>
      <c r="F95" s="11" t="n">
        <f aca="false">MATCH(B95,Dependencies!$A$6:$A$216,0)</f>
        <v>92</v>
      </c>
      <c r="G95" s="11" t="n">
        <f aca="false">INDEX(Dependencies!$L$6:$HN$216,F95,E95)</f>
        <v>1</v>
      </c>
    </row>
    <row r="96" customFormat="false" ht="15" hidden="false" customHeight="false" outlineLevel="0" collapsed="false">
      <c r="A96" s="6" t="s">
        <v>676</v>
      </c>
      <c r="B96" s="6" t="s">
        <v>594</v>
      </c>
      <c r="C96" s="11" t="n">
        <f aca="false">VALUE(MID(A96,2,FIND(".",A96)-2))</f>
        <v>9</v>
      </c>
      <c r="D96" s="11" t="n">
        <f aca="false">VALUE(MID(B96,2,FIND(".",B96)-2))</f>
        <v>4</v>
      </c>
      <c r="E96" s="11" t="n">
        <f aca="false">MATCH(A96,Dependencies!$A$6:$A$216,0)</f>
        <v>101</v>
      </c>
      <c r="F96" s="11" t="n">
        <f aca="false">MATCH(B96,Dependencies!$A$6:$A$216,0)</f>
        <v>19</v>
      </c>
      <c r="G96" s="11" t="n">
        <f aca="false">INDEX(Dependencies!$L$6:$HN$216,F96,E96)</f>
        <v>1</v>
      </c>
    </row>
    <row r="97" customFormat="false" ht="15" hidden="false" customHeight="false" outlineLevel="0" collapsed="false">
      <c r="A97" s="6" t="s">
        <v>678</v>
      </c>
      <c r="B97" s="6" t="s">
        <v>670</v>
      </c>
      <c r="C97" s="11" t="n">
        <f aca="false">VALUE(MID(A97,2,FIND(".",A97)-2))</f>
        <v>9</v>
      </c>
      <c r="D97" s="11" t="n">
        <f aca="false">VALUE(MID(B97,2,FIND(".",B97)-2))</f>
        <v>9</v>
      </c>
      <c r="E97" s="11" t="n">
        <f aca="false">MATCH(A97,Dependencies!$A$6:$A$216,0)</f>
        <v>103</v>
      </c>
      <c r="F97" s="11" t="n">
        <f aca="false">MATCH(B97,Dependencies!$A$6:$A$216,0)</f>
        <v>95</v>
      </c>
      <c r="G97" s="11" t="n">
        <f aca="false">INDEX(Dependencies!$L$6:$HN$216,F97,E97)</f>
        <v>1</v>
      </c>
    </row>
    <row r="98" customFormat="false" ht="15" hidden="false" customHeight="false" outlineLevel="0" collapsed="false">
      <c r="A98" s="6" t="s">
        <v>679</v>
      </c>
      <c r="B98" s="6" t="s">
        <v>670</v>
      </c>
      <c r="C98" s="11" t="n">
        <f aca="false">VALUE(MID(A98,2,FIND(".",A98)-2))</f>
        <v>9</v>
      </c>
      <c r="D98" s="11" t="n">
        <f aca="false">VALUE(MID(B98,2,FIND(".",B98)-2))</f>
        <v>9</v>
      </c>
      <c r="E98" s="11" t="n">
        <f aca="false">MATCH(A98,Dependencies!$A$6:$A$216,0)</f>
        <v>104</v>
      </c>
      <c r="F98" s="11" t="n">
        <f aca="false">MATCH(B98,Dependencies!$A$6:$A$216,0)</f>
        <v>95</v>
      </c>
      <c r="G98" s="11" t="n">
        <f aca="false">INDEX(Dependencies!$L$6:$HN$216,F98,E98)</f>
        <v>1</v>
      </c>
    </row>
    <row r="99" customFormat="false" ht="15" hidden="false" customHeight="false" outlineLevel="0" collapsed="false">
      <c r="A99" s="6" t="s">
        <v>682</v>
      </c>
      <c r="B99" s="6" t="s">
        <v>674</v>
      </c>
      <c r="C99" s="11" t="n">
        <f aca="false">VALUE(MID(A99,2,FIND(".",A99)-2))</f>
        <v>9</v>
      </c>
      <c r="D99" s="11" t="n">
        <f aca="false">VALUE(MID(B99,2,FIND(".",B99)-2))</f>
        <v>9</v>
      </c>
      <c r="E99" s="11" t="n">
        <f aca="false">MATCH(A99,Dependencies!$A$6:$A$216,0)</f>
        <v>107</v>
      </c>
      <c r="F99" s="11" t="n">
        <f aca="false">MATCH(B99,Dependencies!$A$6:$A$216,0)</f>
        <v>99</v>
      </c>
      <c r="G99" s="11" t="n">
        <f aca="false">INDEX(Dependencies!$L$6:$HN$216,F99,E99)</f>
        <v>1</v>
      </c>
    </row>
    <row r="100" customFormat="false" ht="15" hidden="false" customHeight="false" outlineLevel="0" collapsed="false">
      <c r="A100" s="6" t="s">
        <v>682</v>
      </c>
      <c r="B100" s="6" t="s">
        <v>681</v>
      </c>
      <c r="C100" s="11" t="n">
        <f aca="false">VALUE(MID(A100,2,FIND(".",A100)-2))</f>
        <v>9</v>
      </c>
      <c r="D100" s="11" t="n">
        <f aca="false">VALUE(MID(B100,2,FIND(".",B100)-2))</f>
        <v>9</v>
      </c>
      <c r="E100" s="11" t="n">
        <f aca="false">MATCH(A100,Dependencies!$A$6:$A$216,0)</f>
        <v>107</v>
      </c>
      <c r="F100" s="11" t="n">
        <f aca="false">MATCH(B100,Dependencies!$A$6:$A$216,0)</f>
        <v>106</v>
      </c>
      <c r="G100" s="11" t="n">
        <f aca="false">INDEX(Dependencies!$L$6:$HN$216,F100,E100)</f>
        <v>1</v>
      </c>
    </row>
    <row r="101" customFormat="false" ht="15" hidden="false" customHeight="false" outlineLevel="0" collapsed="false">
      <c r="A101" s="6" t="s">
        <v>683</v>
      </c>
      <c r="B101" s="6" t="s">
        <v>674</v>
      </c>
      <c r="C101" s="11" t="n">
        <f aca="false">VALUE(MID(A101,2,FIND(".",A101)-2))</f>
        <v>9</v>
      </c>
      <c r="D101" s="11" t="n">
        <f aca="false">VALUE(MID(B101,2,FIND(".",B101)-2))</f>
        <v>9</v>
      </c>
      <c r="E101" s="11" t="n">
        <f aca="false">MATCH(A101,Dependencies!$A$6:$A$216,0)</f>
        <v>108</v>
      </c>
      <c r="F101" s="11" t="n">
        <f aca="false">MATCH(B101,Dependencies!$A$6:$A$216,0)</f>
        <v>99</v>
      </c>
      <c r="G101" s="11" t="n">
        <f aca="false">INDEX(Dependencies!$L$6:$HN$216,F101,E101)</f>
        <v>1</v>
      </c>
    </row>
    <row r="102" customFormat="false" ht="15" hidden="false" customHeight="false" outlineLevel="0" collapsed="false">
      <c r="A102" s="6" t="s">
        <v>687</v>
      </c>
      <c r="B102" s="6" t="s">
        <v>667</v>
      </c>
      <c r="C102" s="11" t="n">
        <f aca="false">VALUE(MID(A102,2,FIND(".",A102)-2))</f>
        <v>10</v>
      </c>
      <c r="D102" s="11" t="n">
        <f aca="false">VALUE(MID(B102,2,FIND(".",B102)-2))</f>
        <v>9</v>
      </c>
      <c r="E102" s="11" t="n">
        <f aca="false">MATCH(A102,Dependencies!$A$6:$A$216,0)</f>
        <v>112</v>
      </c>
      <c r="F102" s="11" t="n">
        <f aca="false">MATCH(B102,Dependencies!$A$6:$A$216,0)</f>
        <v>92</v>
      </c>
      <c r="G102" s="11" t="n">
        <f aca="false">INDEX(Dependencies!$L$6:$HN$216,F102,E102)</f>
        <v>1</v>
      </c>
    </row>
    <row r="103" customFormat="false" ht="15" hidden="false" customHeight="false" outlineLevel="0" collapsed="false">
      <c r="A103" s="6" t="s">
        <v>687</v>
      </c>
      <c r="B103" s="6" t="s">
        <v>670</v>
      </c>
      <c r="C103" s="11" t="n">
        <f aca="false">VALUE(MID(A103,2,FIND(".",A103)-2))</f>
        <v>10</v>
      </c>
      <c r="D103" s="11" t="n">
        <f aca="false">VALUE(MID(B103,2,FIND(".",B103)-2))</f>
        <v>9</v>
      </c>
      <c r="E103" s="11" t="n">
        <f aca="false">MATCH(A103,Dependencies!$A$6:$A$216,0)</f>
        <v>112</v>
      </c>
      <c r="F103" s="11" t="n">
        <f aca="false">MATCH(B103,Dependencies!$A$6:$A$216,0)</f>
        <v>95</v>
      </c>
      <c r="G103" s="11" t="n">
        <f aca="false">INDEX(Dependencies!$L$6:$HN$216,F103,E103)</f>
        <v>1</v>
      </c>
    </row>
    <row r="104" customFormat="false" ht="15" hidden="false" customHeight="false" outlineLevel="0" collapsed="false">
      <c r="A104" s="6" t="s">
        <v>688</v>
      </c>
      <c r="B104" s="6" t="s">
        <v>625</v>
      </c>
      <c r="C104" s="11" t="n">
        <f aca="false">VALUE(MID(A104,2,FIND(".",A104)-2))</f>
        <v>10</v>
      </c>
      <c r="D104" s="11" t="n">
        <f aca="false">VALUE(MID(B104,2,FIND(".",B104)-2))</f>
        <v>6</v>
      </c>
      <c r="E104" s="11" t="n">
        <f aca="false">MATCH(A104,Dependencies!$A$6:$A$216,0)</f>
        <v>113</v>
      </c>
      <c r="F104" s="11" t="n">
        <f aca="false">MATCH(B104,Dependencies!$A$6:$A$216,0)</f>
        <v>50</v>
      </c>
      <c r="G104" s="11" t="n">
        <f aca="false">INDEX(Dependencies!$L$6:$HN$216,F104,E104)</f>
        <v>1</v>
      </c>
    </row>
    <row r="105" customFormat="false" ht="15" hidden="false" customHeight="false" outlineLevel="0" collapsed="false">
      <c r="A105" s="6" t="s">
        <v>689</v>
      </c>
      <c r="B105" s="6" t="s">
        <v>633</v>
      </c>
      <c r="C105" s="11" t="n">
        <f aca="false">VALUE(MID(A105,2,FIND(".",A105)-2))</f>
        <v>10</v>
      </c>
      <c r="D105" s="11" t="n">
        <f aca="false">VALUE(MID(B105,2,FIND(".",B105)-2))</f>
        <v>7</v>
      </c>
      <c r="E105" s="11" t="n">
        <f aca="false">MATCH(A105,Dependencies!$A$6:$A$216,0)</f>
        <v>114</v>
      </c>
      <c r="F105" s="11" t="n">
        <f aca="false">MATCH(B105,Dependencies!$A$6:$A$216,0)</f>
        <v>58</v>
      </c>
      <c r="G105" s="11" t="n">
        <f aca="false">INDEX(Dependencies!$L$6:$HN$216,F105,E105)</f>
        <v>1</v>
      </c>
    </row>
    <row r="106" customFormat="false" ht="15" hidden="false" customHeight="false" outlineLevel="0" collapsed="false">
      <c r="A106" s="6" t="s">
        <v>690</v>
      </c>
      <c r="B106" s="6" t="s">
        <v>688</v>
      </c>
      <c r="C106" s="11" t="n">
        <f aca="false">VALUE(MID(A106,2,FIND(".",A106)-2))</f>
        <v>10</v>
      </c>
      <c r="D106" s="11" t="n">
        <f aca="false">VALUE(MID(B106,2,FIND(".",B106)-2))</f>
        <v>10</v>
      </c>
      <c r="E106" s="11" t="n">
        <f aca="false">MATCH(A106,Dependencies!$A$6:$A$216,0)</f>
        <v>115</v>
      </c>
      <c r="F106" s="11" t="n">
        <f aca="false">MATCH(B106,Dependencies!$A$6:$A$216,0)</f>
        <v>113</v>
      </c>
      <c r="G106" s="11" t="n">
        <f aca="false">INDEX(Dependencies!$L$6:$HN$216,F106,E106)</f>
        <v>1</v>
      </c>
    </row>
    <row r="107" customFormat="false" ht="15" hidden="false" customHeight="false" outlineLevel="0" collapsed="false">
      <c r="A107" s="6" t="s">
        <v>690</v>
      </c>
      <c r="B107" s="6" t="s">
        <v>689</v>
      </c>
      <c r="C107" s="11" t="n">
        <f aca="false">VALUE(MID(A107,2,FIND(".",A107)-2))</f>
        <v>10</v>
      </c>
      <c r="D107" s="11" t="n">
        <f aca="false">VALUE(MID(B107,2,FIND(".",B107)-2))</f>
        <v>10</v>
      </c>
      <c r="E107" s="11" t="n">
        <f aca="false">MATCH(A107,Dependencies!$A$6:$A$216,0)</f>
        <v>115</v>
      </c>
      <c r="F107" s="11" t="n">
        <f aca="false">MATCH(B107,Dependencies!$A$6:$A$216,0)</f>
        <v>114</v>
      </c>
      <c r="G107" s="11" t="n">
        <f aca="false">INDEX(Dependencies!$L$6:$HN$216,F107,E107)</f>
        <v>1</v>
      </c>
    </row>
    <row r="108" customFormat="false" ht="15" hidden="false" customHeight="false" outlineLevel="0" collapsed="false">
      <c r="A108" s="6" t="s">
        <v>692</v>
      </c>
      <c r="B108" s="6" t="s">
        <v>597</v>
      </c>
      <c r="C108" s="11" t="n">
        <f aca="false">VALUE(MID(A108,2,FIND(".",A108)-2))</f>
        <v>10</v>
      </c>
      <c r="D108" s="11" t="n">
        <f aca="false">VALUE(MID(B108,2,FIND(".",B108)-2))</f>
        <v>4</v>
      </c>
      <c r="E108" s="11" t="n">
        <f aca="false">MATCH(A108,Dependencies!$A$6:$A$216,0)</f>
        <v>117</v>
      </c>
      <c r="F108" s="11" t="n">
        <f aca="false">MATCH(B108,Dependencies!$A$6:$A$216,0)</f>
        <v>22</v>
      </c>
      <c r="G108" s="11" t="n">
        <f aca="false">INDEX(Dependencies!$L$6:$HN$216,F108,E108)</f>
        <v>1</v>
      </c>
    </row>
    <row r="109" customFormat="false" ht="15" hidden="false" customHeight="false" outlineLevel="0" collapsed="false">
      <c r="A109" s="6" t="s">
        <v>692</v>
      </c>
      <c r="B109" s="6" t="s">
        <v>674</v>
      </c>
      <c r="C109" s="11" t="n">
        <f aca="false">VALUE(MID(A109,2,FIND(".",A109)-2))</f>
        <v>10</v>
      </c>
      <c r="D109" s="11" t="n">
        <f aca="false">VALUE(MID(B109,2,FIND(".",B109)-2))</f>
        <v>9</v>
      </c>
      <c r="E109" s="11" t="n">
        <f aca="false">MATCH(A109,Dependencies!$A$6:$A$216,0)</f>
        <v>117</v>
      </c>
      <c r="F109" s="11" t="n">
        <f aca="false">MATCH(B109,Dependencies!$A$6:$A$216,0)</f>
        <v>99</v>
      </c>
      <c r="G109" s="11" t="n">
        <f aca="false">INDEX(Dependencies!$L$6:$HN$216,F109,E109)</f>
        <v>1</v>
      </c>
    </row>
    <row r="110" customFormat="false" ht="15" hidden="false" customHeight="false" outlineLevel="0" collapsed="false">
      <c r="A110" s="6" t="s">
        <v>693</v>
      </c>
      <c r="B110" s="6" t="s">
        <v>692</v>
      </c>
      <c r="C110" s="11" t="n">
        <f aca="false">VALUE(MID(A110,2,FIND(".",A110)-2))</f>
        <v>10</v>
      </c>
      <c r="D110" s="11" t="n">
        <f aca="false">VALUE(MID(B110,2,FIND(".",B110)-2))</f>
        <v>10</v>
      </c>
      <c r="E110" s="11" t="n">
        <f aca="false">MATCH(A110,Dependencies!$A$6:$A$216,0)</f>
        <v>118</v>
      </c>
      <c r="F110" s="11" t="n">
        <f aca="false">MATCH(B110,Dependencies!$A$6:$A$216,0)</f>
        <v>117</v>
      </c>
      <c r="G110" s="11" t="n">
        <f aca="false">INDEX(Dependencies!$L$6:$HN$216,F110,E110)</f>
        <v>1</v>
      </c>
    </row>
    <row r="111" customFormat="false" ht="15" hidden="false" customHeight="false" outlineLevel="0" collapsed="false">
      <c r="A111" s="6" t="s">
        <v>694</v>
      </c>
      <c r="B111" s="6" t="s">
        <v>692</v>
      </c>
      <c r="C111" s="11" t="n">
        <f aca="false">VALUE(MID(A111,2,FIND(".",A111)-2))</f>
        <v>10</v>
      </c>
      <c r="D111" s="11" t="n">
        <f aca="false">VALUE(MID(B111,2,FIND(".",B111)-2))</f>
        <v>10</v>
      </c>
      <c r="E111" s="11" t="n">
        <f aca="false">MATCH(A111,Dependencies!$A$6:$A$216,0)</f>
        <v>119</v>
      </c>
      <c r="F111" s="11" t="n">
        <f aca="false">MATCH(B111,Dependencies!$A$6:$A$216,0)</f>
        <v>117</v>
      </c>
      <c r="G111" s="11" t="n">
        <f aca="false">INDEX(Dependencies!$L$6:$HN$216,F111,E111)</f>
        <v>1</v>
      </c>
    </row>
    <row r="112" customFormat="false" ht="15" hidden="false" customHeight="false" outlineLevel="0" collapsed="false">
      <c r="A112" s="6" t="s">
        <v>696</v>
      </c>
      <c r="B112" s="6" t="s">
        <v>689</v>
      </c>
      <c r="C112" s="11" t="n">
        <f aca="false">VALUE(MID(A112,2,FIND(".",A112)-2))</f>
        <v>10</v>
      </c>
      <c r="D112" s="11" t="n">
        <f aca="false">VALUE(MID(B112,2,FIND(".",B112)-2))</f>
        <v>10</v>
      </c>
      <c r="E112" s="11" t="n">
        <f aca="false">MATCH(A112,Dependencies!$A$6:$A$216,0)</f>
        <v>121</v>
      </c>
      <c r="F112" s="11" t="n">
        <f aca="false">MATCH(B112,Dependencies!$A$6:$A$216,0)</f>
        <v>114</v>
      </c>
      <c r="G112" s="11" t="n">
        <f aca="false">INDEX(Dependencies!$L$6:$HN$216,F112,E112)</f>
        <v>1</v>
      </c>
    </row>
    <row r="113" customFormat="false" ht="15" hidden="false" customHeight="false" outlineLevel="0" collapsed="false">
      <c r="A113" s="6" t="s">
        <v>697</v>
      </c>
      <c r="B113" s="6" t="s">
        <v>691</v>
      </c>
      <c r="C113" s="11" t="n">
        <f aca="false">VALUE(MID(A113,2,FIND(".",A113)-2))</f>
        <v>10</v>
      </c>
      <c r="D113" s="11" t="n">
        <f aca="false">VALUE(MID(B113,2,FIND(".",B113)-2))</f>
        <v>10</v>
      </c>
      <c r="E113" s="11" t="n">
        <f aca="false">MATCH(A113,Dependencies!$A$6:$A$216,0)</f>
        <v>122</v>
      </c>
      <c r="F113" s="11" t="n">
        <f aca="false">MATCH(B113,Dependencies!$A$6:$A$216,0)</f>
        <v>116</v>
      </c>
      <c r="G113" s="11" t="n">
        <f aca="false">INDEX(Dependencies!$L$6:$HN$216,F113,E113)</f>
        <v>1</v>
      </c>
    </row>
    <row r="114" customFormat="false" ht="15" hidden="false" customHeight="false" outlineLevel="0" collapsed="false">
      <c r="A114" s="6" t="s">
        <v>698</v>
      </c>
      <c r="B114" s="6" t="s">
        <v>691</v>
      </c>
      <c r="C114" s="11" t="n">
        <f aca="false">VALUE(MID(A114,2,FIND(".",A114)-2))</f>
        <v>10</v>
      </c>
      <c r="D114" s="11" t="n">
        <f aca="false">VALUE(MID(B114,2,FIND(".",B114)-2))</f>
        <v>10</v>
      </c>
      <c r="E114" s="11" t="n">
        <f aca="false">MATCH(A114,Dependencies!$A$6:$A$216,0)</f>
        <v>123</v>
      </c>
      <c r="F114" s="11" t="n">
        <f aca="false">MATCH(B114,Dependencies!$A$6:$A$216,0)</f>
        <v>116</v>
      </c>
      <c r="G114" s="11" t="n">
        <f aca="false">INDEX(Dependencies!$L$6:$HN$216,F114,E114)</f>
        <v>1</v>
      </c>
    </row>
    <row r="115" customFormat="false" ht="15" hidden="false" customHeight="false" outlineLevel="0" collapsed="false">
      <c r="A115" s="6" t="s">
        <v>699</v>
      </c>
      <c r="B115" s="6" t="s">
        <v>692</v>
      </c>
      <c r="C115" s="11" t="n">
        <f aca="false">VALUE(MID(A115,2,FIND(".",A115)-2))</f>
        <v>10</v>
      </c>
      <c r="D115" s="11" t="n">
        <f aca="false">VALUE(MID(B115,2,FIND(".",B115)-2))</f>
        <v>10</v>
      </c>
      <c r="E115" s="11" t="n">
        <f aca="false">MATCH(A115,Dependencies!$A$6:$A$216,0)</f>
        <v>124</v>
      </c>
      <c r="F115" s="11" t="n">
        <f aca="false">MATCH(B115,Dependencies!$A$6:$A$216,0)</f>
        <v>117</v>
      </c>
      <c r="G115" s="11" t="n">
        <f aca="false">INDEX(Dependencies!$L$6:$HN$216,F115,E115)</f>
        <v>1</v>
      </c>
    </row>
    <row r="116" customFormat="false" ht="15" hidden="false" customHeight="false" outlineLevel="0" collapsed="false">
      <c r="A116" s="6" t="s">
        <v>701</v>
      </c>
      <c r="B116" s="6" t="s">
        <v>676</v>
      </c>
      <c r="C116" s="11" t="n">
        <f aca="false">VALUE(MID(A116,2,FIND(".",A116)-2))</f>
        <v>11</v>
      </c>
      <c r="D116" s="11" t="n">
        <f aca="false">VALUE(MID(B116,2,FIND(".",B116)-2))</f>
        <v>9</v>
      </c>
      <c r="E116" s="11" t="n">
        <f aca="false">MATCH(A116,Dependencies!$A$6:$A$216,0)</f>
        <v>126</v>
      </c>
      <c r="F116" s="11" t="n">
        <f aca="false">MATCH(B116,Dependencies!$A$6:$A$216,0)</f>
        <v>101</v>
      </c>
      <c r="G116" s="11" t="n">
        <f aca="false">INDEX(Dependencies!$L$6:$HN$216,F116,E116)</f>
        <v>1</v>
      </c>
    </row>
    <row r="117" customFormat="false" ht="15" hidden="false" customHeight="false" outlineLevel="0" collapsed="false">
      <c r="A117" s="6" t="s">
        <v>702</v>
      </c>
      <c r="B117" s="6" t="s">
        <v>631</v>
      </c>
      <c r="C117" s="11" t="n">
        <f aca="false">VALUE(MID(A117,2,FIND(".",A117)-2))</f>
        <v>11</v>
      </c>
      <c r="D117" s="11" t="n">
        <f aca="false">VALUE(MID(B117,2,FIND(".",B117)-2))</f>
        <v>7</v>
      </c>
      <c r="E117" s="11" t="n">
        <f aca="false">MATCH(A117,Dependencies!$A$6:$A$216,0)</f>
        <v>127</v>
      </c>
      <c r="F117" s="11" t="n">
        <f aca="false">MATCH(B117,Dependencies!$A$6:$A$216,0)</f>
        <v>56</v>
      </c>
      <c r="G117" s="11" t="n">
        <f aca="false">INDEX(Dependencies!$L$6:$HN$216,F117,E117)</f>
        <v>1</v>
      </c>
    </row>
    <row r="118" customFormat="false" ht="15" hidden="false" customHeight="false" outlineLevel="0" collapsed="false">
      <c r="A118" s="6" t="s">
        <v>702</v>
      </c>
      <c r="B118" s="6" t="s">
        <v>651</v>
      </c>
      <c r="C118" s="11" t="n">
        <f aca="false">VALUE(MID(A118,2,FIND(".",A118)-2))</f>
        <v>11</v>
      </c>
      <c r="D118" s="11" t="n">
        <f aca="false">VALUE(MID(B118,2,FIND(".",B118)-2))</f>
        <v>8</v>
      </c>
      <c r="E118" s="11" t="n">
        <f aca="false">MATCH(A118,Dependencies!$A$6:$A$216,0)</f>
        <v>127</v>
      </c>
      <c r="F118" s="11" t="n">
        <f aca="false">MATCH(B118,Dependencies!$A$6:$A$216,0)</f>
        <v>76</v>
      </c>
      <c r="G118" s="11" t="n">
        <f aca="false">INDEX(Dependencies!$L$6:$HN$216,F118,E118)</f>
        <v>1</v>
      </c>
    </row>
    <row r="119" customFormat="false" ht="15" hidden="false" customHeight="false" outlineLevel="0" collapsed="false">
      <c r="A119" s="6" t="s">
        <v>702</v>
      </c>
      <c r="B119" s="6" t="s">
        <v>652</v>
      </c>
      <c r="C119" s="11" t="n">
        <f aca="false">VALUE(MID(A119,2,FIND(".",A119)-2))</f>
        <v>11</v>
      </c>
      <c r="D119" s="11" t="n">
        <f aca="false">VALUE(MID(B119,2,FIND(".",B119)-2))</f>
        <v>8</v>
      </c>
      <c r="E119" s="11" t="n">
        <f aca="false">MATCH(A119,Dependencies!$A$6:$A$216,0)</f>
        <v>127</v>
      </c>
      <c r="F119" s="11" t="n">
        <f aca="false">MATCH(B119,Dependencies!$A$6:$A$216,0)</f>
        <v>77</v>
      </c>
      <c r="G119" s="11" t="n">
        <f aca="false">INDEX(Dependencies!$L$6:$HN$216,F119,E119)</f>
        <v>1</v>
      </c>
    </row>
    <row r="120" customFormat="false" ht="15" hidden="false" customHeight="false" outlineLevel="0" collapsed="false">
      <c r="A120" s="6" t="s">
        <v>702</v>
      </c>
      <c r="B120" s="6" t="s">
        <v>701</v>
      </c>
      <c r="C120" s="11" t="n">
        <f aca="false">VALUE(MID(A120,2,FIND(".",A120)-2))</f>
        <v>11</v>
      </c>
      <c r="D120" s="11" t="n">
        <f aca="false">VALUE(MID(B120,2,FIND(".",B120)-2))</f>
        <v>11</v>
      </c>
      <c r="E120" s="11" t="n">
        <f aca="false">MATCH(A120,Dependencies!$A$6:$A$216,0)</f>
        <v>127</v>
      </c>
      <c r="F120" s="11" t="n">
        <f aca="false">MATCH(B120,Dependencies!$A$6:$A$216,0)</f>
        <v>126</v>
      </c>
      <c r="G120" s="11" t="n">
        <f aca="false">INDEX(Dependencies!$L$6:$HN$216,F120,E120)</f>
        <v>1</v>
      </c>
    </row>
    <row r="121" customFormat="false" ht="15" hidden="false" customHeight="false" outlineLevel="0" collapsed="false">
      <c r="A121" s="6" t="s">
        <v>704</v>
      </c>
      <c r="B121" s="6" t="s">
        <v>653</v>
      </c>
      <c r="C121" s="11" t="n">
        <f aca="false">VALUE(MID(A121,2,FIND(".",A121)-2))</f>
        <v>11</v>
      </c>
      <c r="D121" s="11" t="n">
        <f aca="false">VALUE(MID(B121,2,FIND(".",B121)-2))</f>
        <v>8</v>
      </c>
      <c r="E121" s="11" t="n">
        <f aca="false">MATCH(A121,Dependencies!$A$6:$A$216,0)</f>
        <v>129</v>
      </c>
      <c r="F121" s="11" t="n">
        <f aca="false">MATCH(B121,Dependencies!$A$6:$A$216,0)</f>
        <v>78</v>
      </c>
      <c r="G121" s="11" t="n">
        <f aca="false">INDEX(Dependencies!$L$6:$HN$216,F121,E121)</f>
        <v>1</v>
      </c>
    </row>
    <row r="122" customFormat="false" ht="15" hidden="false" customHeight="false" outlineLevel="0" collapsed="false">
      <c r="A122" s="6" t="s">
        <v>704</v>
      </c>
      <c r="B122" s="6" t="s">
        <v>658</v>
      </c>
      <c r="C122" s="11" t="n">
        <f aca="false">VALUE(MID(A122,2,FIND(".",A122)-2))</f>
        <v>11</v>
      </c>
      <c r="D122" s="11" t="n">
        <f aca="false">VALUE(MID(B122,2,FIND(".",B122)-2))</f>
        <v>8</v>
      </c>
      <c r="E122" s="11" t="n">
        <f aca="false">MATCH(A122,Dependencies!$A$6:$A$216,0)</f>
        <v>129</v>
      </c>
      <c r="F122" s="11" t="n">
        <f aca="false">MATCH(B122,Dependencies!$A$6:$A$216,0)</f>
        <v>83</v>
      </c>
      <c r="G122" s="11" t="n">
        <f aca="false">INDEX(Dependencies!$L$6:$HN$216,F122,E122)</f>
        <v>1</v>
      </c>
    </row>
    <row r="123" customFormat="false" ht="15" hidden="false" customHeight="false" outlineLevel="0" collapsed="false">
      <c r="A123" s="6" t="s">
        <v>704</v>
      </c>
      <c r="B123" s="6" t="s">
        <v>702</v>
      </c>
      <c r="C123" s="11" t="n">
        <f aca="false">VALUE(MID(A123,2,FIND(".",A123)-2))</f>
        <v>11</v>
      </c>
      <c r="D123" s="11" t="n">
        <f aca="false">VALUE(MID(B123,2,FIND(".",B123)-2))</f>
        <v>11</v>
      </c>
      <c r="E123" s="11" t="n">
        <f aca="false">MATCH(A123,Dependencies!$A$6:$A$216,0)</f>
        <v>129</v>
      </c>
      <c r="F123" s="11" t="n">
        <f aca="false">MATCH(B123,Dependencies!$A$6:$A$216,0)</f>
        <v>127</v>
      </c>
      <c r="G123" s="11" t="n">
        <f aca="false">INDEX(Dependencies!$L$6:$HN$216,F123,E123)</f>
        <v>1</v>
      </c>
    </row>
    <row r="124" customFormat="false" ht="15" hidden="false" customHeight="false" outlineLevel="0" collapsed="false">
      <c r="A124" s="6" t="s">
        <v>705</v>
      </c>
      <c r="B124" s="6" t="s">
        <v>670</v>
      </c>
      <c r="C124" s="11" t="n">
        <f aca="false">VALUE(MID(A124,2,FIND(".",A124)-2))</f>
        <v>11</v>
      </c>
      <c r="D124" s="11" t="n">
        <f aca="false">VALUE(MID(B124,2,FIND(".",B124)-2))</f>
        <v>9</v>
      </c>
      <c r="E124" s="11" t="n">
        <f aca="false">MATCH(A124,Dependencies!$A$6:$A$216,0)</f>
        <v>130</v>
      </c>
      <c r="F124" s="11" t="n">
        <f aca="false">MATCH(B124,Dependencies!$A$6:$A$216,0)</f>
        <v>95</v>
      </c>
      <c r="G124" s="11" t="n">
        <f aca="false">INDEX(Dependencies!$L$6:$HN$216,F124,E124)</f>
        <v>1</v>
      </c>
    </row>
    <row r="125" customFormat="false" ht="15" hidden="false" customHeight="false" outlineLevel="0" collapsed="false">
      <c r="A125" s="6" t="s">
        <v>706</v>
      </c>
      <c r="B125" s="6" t="s">
        <v>597</v>
      </c>
      <c r="C125" s="11" t="n">
        <f aca="false">VALUE(MID(A125,2,FIND(".",A125)-2))</f>
        <v>11</v>
      </c>
      <c r="D125" s="11" t="n">
        <f aca="false">VALUE(MID(B125,2,FIND(".",B125)-2))</f>
        <v>4</v>
      </c>
      <c r="E125" s="11" t="n">
        <f aca="false">MATCH(A125,Dependencies!$A$6:$A$216,0)</f>
        <v>131</v>
      </c>
      <c r="F125" s="11" t="n">
        <f aca="false">MATCH(B125,Dependencies!$A$6:$A$216,0)</f>
        <v>22</v>
      </c>
      <c r="G125" s="11" t="n">
        <f aca="false">INDEX(Dependencies!$L$6:$HN$216,F125,E125)</f>
        <v>1</v>
      </c>
    </row>
    <row r="126" customFormat="false" ht="15" hidden="false" customHeight="false" outlineLevel="0" collapsed="false">
      <c r="A126" s="6" t="s">
        <v>706</v>
      </c>
      <c r="B126" s="6" t="s">
        <v>674</v>
      </c>
      <c r="C126" s="11" t="n">
        <f aca="false">VALUE(MID(A126,2,FIND(".",A126)-2))</f>
        <v>11</v>
      </c>
      <c r="D126" s="11" t="n">
        <f aca="false">VALUE(MID(B126,2,FIND(".",B126)-2))</f>
        <v>9</v>
      </c>
      <c r="E126" s="11" t="n">
        <f aca="false">MATCH(A126,Dependencies!$A$6:$A$216,0)</f>
        <v>131</v>
      </c>
      <c r="F126" s="11" t="n">
        <f aca="false">MATCH(B126,Dependencies!$A$6:$A$216,0)</f>
        <v>99</v>
      </c>
      <c r="G126" s="11" t="n">
        <f aca="false">INDEX(Dependencies!$L$6:$HN$216,F126,E126)</f>
        <v>1</v>
      </c>
    </row>
    <row r="127" customFormat="false" ht="15" hidden="false" customHeight="false" outlineLevel="0" collapsed="false">
      <c r="A127" s="6" t="s">
        <v>707</v>
      </c>
      <c r="B127" s="6" t="s">
        <v>705</v>
      </c>
      <c r="C127" s="11" t="n">
        <f aca="false">VALUE(MID(A127,2,FIND(".",A127)-2))</f>
        <v>11</v>
      </c>
      <c r="D127" s="11" t="n">
        <f aca="false">VALUE(MID(B127,2,FIND(".",B127)-2))</f>
        <v>11</v>
      </c>
      <c r="E127" s="11" t="n">
        <f aca="false">MATCH(A127,Dependencies!$A$6:$A$216,0)</f>
        <v>132</v>
      </c>
      <c r="F127" s="11" t="n">
        <f aca="false">MATCH(B127,Dependencies!$A$6:$A$216,0)</f>
        <v>130</v>
      </c>
      <c r="G127" s="11" t="n">
        <f aca="false">INDEX(Dependencies!$L$6:$HN$216,F127,E127)</f>
        <v>1</v>
      </c>
    </row>
    <row r="128" customFormat="false" ht="15" hidden="false" customHeight="false" outlineLevel="0" collapsed="false">
      <c r="A128" s="6" t="s">
        <v>709</v>
      </c>
      <c r="B128" s="6" t="s">
        <v>703</v>
      </c>
      <c r="C128" s="11" t="n">
        <f aca="false">VALUE(MID(A128,2,FIND(".",A128)-2))</f>
        <v>11</v>
      </c>
      <c r="D128" s="11" t="n">
        <f aca="false">VALUE(MID(B128,2,FIND(".",B128)-2))</f>
        <v>11</v>
      </c>
      <c r="E128" s="11" t="n">
        <f aca="false">MATCH(A128,Dependencies!$A$6:$A$216,0)</f>
        <v>134</v>
      </c>
      <c r="F128" s="11" t="n">
        <f aca="false">MATCH(B128,Dependencies!$A$6:$A$216,0)</f>
        <v>128</v>
      </c>
      <c r="G128" s="11" t="n">
        <f aca="false">INDEX(Dependencies!$L$6:$HN$216,F128,E128)</f>
        <v>1</v>
      </c>
    </row>
    <row r="129" customFormat="false" ht="15" hidden="false" customHeight="false" outlineLevel="0" collapsed="false">
      <c r="A129" s="6" t="s">
        <v>711</v>
      </c>
      <c r="B129" s="6" t="s">
        <v>710</v>
      </c>
      <c r="C129" s="11" t="n">
        <f aca="false">VALUE(MID(A129,2,FIND(".",A129)-2))</f>
        <v>11</v>
      </c>
      <c r="D129" s="11" t="n">
        <f aca="false">VALUE(MID(B129,2,FIND(".",B129)-2))</f>
        <v>11</v>
      </c>
      <c r="E129" s="11" t="n">
        <f aca="false">MATCH(A129,Dependencies!$A$6:$A$216,0)</f>
        <v>136</v>
      </c>
      <c r="F129" s="11" t="n">
        <f aca="false">MATCH(B129,Dependencies!$A$6:$A$216,0)</f>
        <v>135</v>
      </c>
      <c r="G129" s="11" t="n">
        <f aca="false">INDEX(Dependencies!$L$6:$HN$216,F129,E129)</f>
        <v>1</v>
      </c>
    </row>
    <row r="130" customFormat="false" ht="15" hidden="false" customHeight="false" outlineLevel="0" collapsed="false">
      <c r="A130" s="6" t="s">
        <v>712</v>
      </c>
      <c r="B130" s="6" t="s">
        <v>711</v>
      </c>
      <c r="C130" s="11" t="n">
        <f aca="false">VALUE(MID(A130,2,FIND(".",A130)-2))</f>
        <v>11</v>
      </c>
      <c r="D130" s="11" t="n">
        <f aca="false">VALUE(MID(B130,2,FIND(".",B130)-2))</f>
        <v>11</v>
      </c>
      <c r="E130" s="11" t="n">
        <f aca="false">MATCH(A130,Dependencies!$A$6:$A$216,0)</f>
        <v>137</v>
      </c>
      <c r="F130" s="11" t="n">
        <f aca="false">MATCH(B130,Dependencies!$A$6:$A$216,0)</f>
        <v>136</v>
      </c>
      <c r="G130" s="11" t="n">
        <f aca="false">INDEX(Dependencies!$L$6:$HN$216,F130,E130)</f>
        <v>1</v>
      </c>
    </row>
    <row r="131" customFormat="false" ht="15" hidden="false" customHeight="false" outlineLevel="0" collapsed="false">
      <c r="A131" s="6" t="s">
        <v>713</v>
      </c>
      <c r="B131" s="6" t="s">
        <v>706</v>
      </c>
      <c r="C131" s="11" t="n">
        <f aca="false">VALUE(MID(A131,2,FIND(".",A131)-2))</f>
        <v>11</v>
      </c>
      <c r="D131" s="11" t="n">
        <f aca="false">VALUE(MID(B131,2,FIND(".",B131)-2))</f>
        <v>11</v>
      </c>
      <c r="E131" s="11" t="n">
        <f aca="false">MATCH(A131,Dependencies!$A$6:$A$216,0)</f>
        <v>138</v>
      </c>
      <c r="F131" s="11" t="n">
        <f aca="false">MATCH(B131,Dependencies!$A$6:$A$216,0)</f>
        <v>131</v>
      </c>
      <c r="G131" s="11" t="n">
        <f aca="false">INDEX(Dependencies!$L$6:$HN$216,F131,E131)</f>
        <v>1</v>
      </c>
    </row>
    <row r="132" customFormat="false" ht="15" hidden="false" customHeight="false" outlineLevel="0" collapsed="false">
      <c r="A132" s="6" t="s">
        <v>715</v>
      </c>
      <c r="B132" s="6" t="s">
        <v>676</v>
      </c>
      <c r="C132" s="11" t="n">
        <f aca="false">VALUE(MID(A132,2,FIND(".",A132)-2))</f>
        <v>12</v>
      </c>
      <c r="D132" s="11" t="n">
        <f aca="false">VALUE(MID(B132,2,FIND(".",B132)-2))</f>
        <v>9</v>
      </c>
      <c r="E132" s="11" t="n">
        <f aca="false">MATCH(A132,Dependencies!$A$6:$A$216,0)</f>
        <v>140</v>
      </c>
      <c r="F132" s="11" t="n">
        <f aca="false">MATCH(B132,Dependencies!$A$6:$A$216,0)</f>
        <v>101</v>
      </c>
      <c r="G132" s="11" t="n">
        <f aca="false">INDEX(Dependencies!$L$6:$HN$216,F132,E132)</f>
        <v>1</v>
      </c>
    </row>
    <row r="133" customFormat="false" ht="15" hidden="false" customHeight="false" outlineLevel="0" collapsed="false">
      <c r="A133" s="6" t="s">
        <v>715</v>
      </c>
      <c r="B133" s="6" t="s">
        <v>685</v>
      </c>
      <c r="C133" s="11" t="n">
        <f aca="false">VALUE(MID(A133,2,FIND(".",A133)-2))</f>
        <v>12</v>
      </c>
      <c r="D133" s="11" t="n">
        <f aca="false">VALUE(MID(B133,2,FIND(".",B133)-2))</f>
        <v>10</v>
      </c>
      <c r="E133" s="11" t="n">
        <f aca="false">MATCH(A133,Dependencies!$A$6:$A$216,0)</f>
        <v>140</v>
      </c>
      <c r="F133" s="11" t="n">
        <f aca="false">MATCH(B133,Dependencies!$A$6:$A$216,0)</f>
        <v>110</v>
      </c>
      <c r="G133" s="11" t="n">
        <f aca="false">INDEX(Dependencies!$L$6:$HN$216,F133,E133)</f>
        <v>1</v>
      </c>
    </row>
    <row r="134" customFormat="false" ht="15" hidden="false" customHeight="false" outlineLevel="0" collapsed="false">
      <c r="A134" s="6" t="s">
        <v>715</v>
      </c>
      <c r="B134" s="6" t="s">
        <v>701</v>
      </c>
      <c r="C134" s="11" t="n">
        <f aca="false">VALUE(MID(A134,2,FIND(".",A134)-2))</f>
        <v>12</v>
      </c>
      <c r="D134" s="11" t="n">
        <f aca="false">VALUE(MID(B134,2,FIND(".",B134)-2))</f>
        <v>11</v>
      </c>
      <c r="E134" s="11" t="n">
        <f aca="false">MATCH(A134,Dependencies!$A$6:$A$216,0)</f>
        <v>140</v>
      </c>
      <c r="F134" s="11" t="n">
        <f aca="false">MATCH(B134,Dependencies!$A$6:$A$216,0)</f>
        <v>126</v>
      </c>
      <c r="G134" s="11" t="n">
        <f aca="false">INDEX(Dependencies!$L$6:$HN$216,F134,E134)</f>
        <v>1</v>
      </c>
    </row>
    <row r="135" customFormat="false" ht="15" hidden="false" customHeight="false" outlineLevel="0" collapsed="false">
      <c r="A135" s="6" t="s">
        <v>716</v>
      </c>
      <c r="B135" s="6" t="s">
        <v>652</v>
      </c>
      <c r="C135" s="11" t="n">
        <f aca="false">VALUE(MID(A135,2,FIND(".",A135)-2))</f>
        <v>12</v>
      </c>
      <c r="D135" s="11" t="n">
        <f aca="false">VALUE(MID(B135,2,FIND(".",B135)-2))</f>
        <v>8</v>
      </c>
      <c r="E135" s="11" t="n">
        <f aca="false">MATCH(A135,Dependencies!$A$6:$A$216,0)</f>
        <v>141</v>
      </c>
      <c r="F135" s="11" t="n">
        <f aca="false">MATCH(B135,Dependencies!$A$6:$A$216,0)</f>
        <v>77</v>
      </c>
      <c r="G135" s="11" t="n">
        <f aca="false">INDEX(Dependencies!$L$6:$HN$216,F135,E135)</f>
        <v>1</v>
      </c>
    </row>
    <row r="136" customFormat="false" ht="15" hidden="false" customHeight="false" outlineLevel="0" collapsed="false">
      <c r="A136" s="6" t="s">
        <v>719</v>
      </c>
      <c r="B136" s="6" t="s">
        <v>637</v>
      </c>
      <c r="C136" s="11" t="n">
        <f aca="false">VALUE(MID(A136,2,FIND(".",A136)-2))</f>
        <v>12</v>
      </c>
      <c r="D136" s="11" t="n">
        <f aca="false">VALUE(MID(B136,2,FIND(".",B136)-2))</f>
        <v>7</v>
      </c>
      <c r="E136" s="11" t="n">
        <f aca="false">MATCH(A136,Dependencies!$A$6:$A$216,0)</f>
        <v>144</v>
      </c>
      <c r="F136" s="11" t="n">
        <f aca="false">MATCH(B136,Dependencies!$A$6:$A$216,0)</f>
        <v>62</v>
      </c>
      <c r="G136" s="11" t="n">
        <f aca="false">INDEX(Dependencies!$L$6:$HN$216,F136,E136)</f>
        <v>1</v>
      </c>
    </row>
    <row r="137" customFormat="false" ht="15" hidden="false" customHeight="false" outlineLevel="0" collapsed="false">
      <c r="A137" s="6" t="s">
        <v>719</v>
      </c>
      <c r="B137" s="6" t="s">
        <v>638</v>
      </c>
      <c r="C137" s="11" t="n">
        <f aca="false">VALUE(MID(A137,2,FIND(".",A137)-2))</f>
        <v>12</v>
      </c>
      <c r="D137" s="11" t="n">
        <f aca="false">VALUE(MID(B137,2,FIND(".",B137)-2))</f>
        <v>7</v>
      </c>
      <c r="E137" s="11" t="n">
        <f aca="false">MATCH(A137,Dependencies!$A$6:$A$216,0)</f>
        <v>144</v>
      </c>
      <c r="F137" s="11" t="n">
        <f aca="false">MATCH(B137,Dependencies!$A$6:$A$216,0)</f>
        <v>63</v>
      </c>
      <c r="G137" s="11" t="n">
        <f aca="false">INDEX(Dependencies!$L$6:$HN$216,F137,E137)</f>
        <v>1</v>
      </c>
    </row>
    <row r="138" customFormat="false" ht="15" hidden="false" customHeight="false" outlineLevel="0" collapsed="false">
      <c r="A138" s="6" t="s">
        <v>719</v>
      </c>
      <c r="B138" s="6" t="s">
        <v>655</v>
      </c>
      <c r="C138" s="11" t="n">
        <f aca="false">VALUE(MID(A138,2,FIND(".",A138)-2))</f>
        <v>12</v>
      </c>
      <c r="D138" s="11" t="n">
        <f aca="false">VALUE(MID(B138,2,FIND(".",B138)-2))</f>
        <v>8</v>
      </c>
      <c r="E138" s="11" t="n">
        <f aca="false">MATCH(A138,Dependencies!$A$6:$A$216,0)</f>
        <v>144</v>
      </c>
      <c r="F138" s="11" t="n">
        <f aca="false">MATCH(B138,Dependencies!$A$6:$A$216,0)</f>
        <v>80</v>
      </c>
      <c r="G138" s="11" t="n">
        <f aca="false">INDEX(Dependencies!$L$6:$HN$216,F138,E138)</f>
        <v>1</v>
      </c>
    </row>
    <row r="139" customFormat="false" ht="15" hidden="false" customHeight="false" outlineLevel="0" collapsed="false">
      <c r="A139" s="6" t="s">
        <v>719</v>
      </c>
      <c r="B139" s="6" t="s">
        <v>703</v>
      </c>
      <c r="C139" s="11" t="n">
        <f aca="false">VALUE(MID(A139,2,FIND(".",A139)-2))</f>
        <v>12</v>
      </c>
      <c r="D139" s="11" t="n">
        <f aca="false">VALUE(MID(B139,2,FIND(".",B139)-2))</f>
        <v>11</v>
      </c>
      <c r="E139" s="11" t="n">
        <f aca="false">MATCH(A139,Dependencies!$A$6:$A$216,0)</f>
        <v>144</v>
      </c>
      <c r="F139" s="11" t="n">
        <f aca="false">MATCH(B139,Dependencies!$A$6:$A$216,0)</f>
        <v>128</v>
      </c>
      <c r="G139" s="11" t="n">
        <f aca="false">INDEX(Dependencies!$L$6:$HN$216,F139,E139)</f>
        <v>1</v>
      </c>
    </row>
    <row r="140" customFormat="false" ht="15" hidden="false" customHeight="false" outlineLevel="0" collapsed="false">
      <c r="A140" s="6" t="s">
        <v>720</v>
      </c>
      <c r="B140" s="6" t="s">
        <v>659</v>
      </c>
      <c r="C140" s="11" t="n">
        <f aca="false">VALUE(MID(A140,2,FIND(".",A140)-2))</f>
        <v>12</v>
      </c>
      <c r="D140" s="11" t="n">
        <f aca="false">VALUE(MID(B140,2,FIND(".",B140)-2))</f>
        <v>8</v>
      </c>
      <c r="E140" s="11" t="n">
        <f aca="false">MATCH(A140,Dependencies!$A$6:$A$216,0)</f>
        <v>145</v>
      </c>
      <c r="F140" s="11" t="n">
        <f aca="false">MATCH(B140,Dependencies!$A$6:$A$216,0)</f>
        <v>84</v>
      </c>
      <c r="G140" s="11" t="n">
        <f aca="false">INDEX(Dependencies!$L$6:$HN$216,F140,E140)</f>
        <v>1</v>
      </c>
    </row>
    <row r="141" customFormat="false" ht="15" hidden="false" customHeight="false" outlineLevel="0" collapsed="false">
      <c r="A141" s="6" t="s">
        <v>720</v>
      </c>
      <c r="B141" s="6" t="s">
        <v>718</v>
      </c>
      <c r="C141" s="11" t="n">
        <f aca="false">VALUE(MID(A141,2,FIND(".",A141)-2))</f>
        <v>12</v>
      </c>
      <c r="D141" s="11" t="n">
        <f aca="false">VALUE(MID(B141,2,FIND(".",B141)-2))</f>
        <v>12</v>
      </c>
      <c r="E141" s="11" t="n">
        <f aca="false">MATCH(A141,Dependencies!$A$6:$A$216,0)</f>
        <v>145</v>
      </c>
      <c r="F141" s="11" t="n">
        <f aca="false">MATCH(B141,Dependencies!$A$6:$A$216,0)</f>
        <v>143</v>
      </c>
      <c r="G141" s="11" t="n">
        <f aca="false">INDEX(Dependencies!$L$6:$HN$216,F141,E141)</f>
        <v>1</v>
      </c>
    </row>
    <row r="142" customFormat="false" ht="15" hidden="false" customHeight="false" outlineLevel="0" collapsed="false">
      <c r="A142" s="6" t="s">
        <v>721</v>
      </c>
      <c r="B142" s="6" t="s">
        <v>638</v>
      </c>
      <c r="C142" s="11" t="n">
        <f aca="false">VALUE(MID(A142,2,FIND(".",A142)-2))</f>
        <v>12</v>
      </c>
      <c r="D142" s="11" t="n">
        <f aca="false">VALUE(MID(B142,2,FIND(".",B142)-2))</f>
        <v>7</v>
      </c>
      <c r="E142" s="11" t="n">
        <f aca="false">MATCH(A142,Dependencies!$A$6:$A$216,0)</f>
        <v>146</v>
      </c>
      <c r="F142" s="11" t="n">
        <f aca="false">MATCH(B142,Dependencies!$A$6:$A$216,0)</f>
        <v>63</v>
      </c>
      <c r="G142" s="11" t="n">
        <f aca="false">INDEX(Dependencies!$L$6:$HN$216,F142,E142)</f>
        <v>1</v>
      </c>
    </row>
    <row r="143" customFormat="false" ht="15" hidden="false" customHeight="false" outlineLevel="0" collapsed="false">
      <c r="A143" s="6" t="s">
        <v>721</v>
      </c>
      <c r="B143" s="6" t="s">
        <v>670</v>
      </c>
      <c r="C143" s="11" t="n">
        <f aca="false">VALUE(MID(A143,2,FIND(".",A143)-2))</f>
        <v>12</v>
      </c>
      <c r="D143" s="11" t="n">
        <f aca="false">VALUE(MID(B143,2,FIND(".",B143)-2))</f>
        <v>9</v>
      </c>
      <c r="E143" s="11" t="n">
        <f aca="false">MATCH(A143,Dependencies!$A$6:$A$216,0)</f>
        <v>146</v>
      </c>
      <c r="F143" s="11" t="n">
        <f aca="false">MATCH(B143,Dependencies!$A$6:$A$216,0)</f>
        <v>95</v>
      </c>
      <c r="G143" s="11" t="n">
        <f aca="false">INDEX(Dependencies!$L$6:$HN$216,F143,E143)</f>
        <v>1</v>
      </c>
    </row>
    <row r="144" customFormat="false" ht="15" hidden="false" customHeight="false" outlineLevel="0" collapsed="false">
      <c r="A144" s="6" t="s">
        <v>722</v>
      </c>
      <c r="B144" s="6" t="s">
        <v>716</v>
      </c>
      <c r="C144" s="11" t="n">
        <f aca="false">VALUE(MID(A144,2,FIND(".",A144)-2))</f>
        <v>12</v>
      </c>
      <c r="D144" s="11" t="n">
        <f aca="false">VALUE(MID(B144,2,FIND(".",B144)-2))</f>
        <v>12</v>
      </c>
      <c r="E144" s="11" t="n">
        <f aca="false">MATCH(A144,Dependencies!$A$6:$A$216,0)</f>
        <v>147</v>
      </c>
      <c r="F144" s="11" t="n">
        <f aca="false">MATCH(B144,Dependencies!$A$6:$A$216,0)</f>
        <v>141</v>
      </c>
      <c r="G144" s="11" t="n">
        <f aca="false">INDEX(Dependencies!$L$6:$HN$216,F144,E144)</f>
        <v>1</v>
      </c>
    </row>
    <row r="145" customFormat="false" ht="15" hidden="false" customHeight="false" outlineLevel="0" collapsed="false">
      <c r="A145" s="6" t="s">
        <v>723</v>
      </c>
      <c r="B145" s="6" t="s">
        <v>718</v>
      </c>
      <c r="C145" s="11" t="n">
        <f aca="false">VALUE(MID(A145,2,FIND(".",A145)-2))</f>
        <v>12</v>
      </c>
      <c r="D145" s="11" t="n">
        <f aca="false">VALUE(MID(B145,2,FIND(".",B145)-2))</f>
        <v>12</v>
      </c>
      <c r="E145" s="11" t="n">
        <f aca="false">MATCH(A145,Dependencies!$A$6:$A$216,0)</f>
        <v>148</v>
      </c>
      <c r="F145" s="11" t="n">
        <f aca="false">MATCH(B145,Dependencies!$A$6:$A$216,0)</f>
        <v>143</v>
      </c>
      <c r="G145" s="11" t="n">
        <f aca="false">INDEX(Dependencies!$L$6:$HN$216,F145,E145)</f>
        <v>1</v>
      </c>
    </row>
    <row r="146" customFormat="false" ht="15" hidden="false" customHeight="false" outlineLevel="0" collapsed="false">
      <c r="A146" s="6" t="s">
        <v>724</v>
      </c>
      <c r="B146" s="6" t="s">
        <v>721</v>
      </c>
      <c r="C146" s="11" t="n">
        <f aca="false">VALUE(MID(A146,2,FIND(".",A146)-2))</f>
        <v>12</v>
      </c>
      <c r="D146" s="11" t="n">
        <f aca="false">VALUE(MID(B146,2,FIND(".",B146)-2))</f>
        <v>12</v>
      </c>
      <c r="E146" s="11" t="n">
        <f aca="false">MATCH(A146,Dependencies!$A$6:$A$216,0)</f>
        <v>149</v>
      </c>
      <c r="F146" s="11" t="n">
        <f aca="false">MATCH(B146,Dependencies!$A$6:$A$216,0)</f>
        <v>146</v>
      </c>
      <c r="G146" s="11" t="n">
        <f aca="false">INDEX(Dependencies!$L$6:$HN$216,F146,E146)</f>
        <v>1</v>
      </c>
    </row>
    <row r="147" customFormat="false" ht="15" hidden="false" customHeight="false" outlineLevel="0" collapsed="false">
      <c r="A147" s="6" t="s">
        <v>725</v>
      </c>
      <c r="B147" s="6" t="s">
        <v>721</v>
      </c>
      <c r="C147" s="11" t="n">
        <f aca="false">VALUE(MID(A147,2,FIND(".",A147)-2))</f>
        <v>12</v>
      </c>
      <c r="D147" s="11" t="n">
        <f aca="false">VALUE(MID(B147,2,FIND(".",B147)-2))</f>
        <v>12</v>
      </c>
      <c r="E147" s="11" t="n">
        <f aca="false">MATCH(A147,Dependencies!$A$6:$A$216,0)</f>
        <v>150</v>
      </c>
      <c r="F147" s="11" t="n">
        <f aca="false">MATCH(B147,Dependencies!$A$6:$A$216,0)</f>
        <v>146</v>
      </c>
      <c r="G147" s="11" t="n">
        <f aca="false">INDEX(Dependencies!$L$6:$HN$216,F147,E147)</f>
        <v>1</v>
      </c>
    </row>
    <row r="148" customFormat="false" ht="15" hidden="false" customHeight="false" outlineLevel="0" collapsed="false">
      <c r="A148" s="6" t="s">
        <v>726</v>
      </c>
      <c r="B148" s="6" t="s">
        <v>720</v>
      </c>
      <c r="C148" s="11" t="n">
        <f aca="false">VALUE(MID(A148,2,FIND(".",A148)-2))</f>
        <v>12</v>
      </c>
      <c r="D148" s="11" t="n">
        <f aca="false">VALUE(MID(B148,2,FIND(".",B148)-2))</f>
        <v>12</v>
      </c>
      <c r="E148" s="11" t="n">
        <f aca="false">MATCH(A148,Dependencies!$A$6:$A$216,0)</f>
        <v>151</v>
      </c>
      <c r="F148" s="11" t="n">
        <f aca="false">MATCH(B148,Dependencies!$A$6:$A$216,0)</f>
        <v>145</v>
      </c>
      <c r="G148" s="11" t="n">
        <f aca="false">INDEX(Dependencies!$L$6:$HN$216,F148,E148)</f>
        <v>1</v>
      </c>
    </row>
    <row r="149" customFormat="false" ht="15" hidden="false" customHeight="false" outlineLevel="0" collapsed="false">
      <c r="A149" s="6" t="s">
        <v>728</v>
      </c>
      <c r="B149" s="6" t="s">
        <v>668</v>
      </c>
      <c r="C149" s="11" t="n">
        <f aca="false">VALUE(MID(A149,2,FIND(".",A149)-2))</f>
        <v>13</v>
      </c>
      <c r="D149" s="11" t="n">
        <f aca="false">VALUE(MID(B149,2,FIND(".",B149)-2))</f>
        <v>9</v>
      </c>
      <c r="E149" s="11" t="n">
        <f aca="false">MATCH(A149,Dependencies!$A$6:$A$216,0)</f>
        <v>153</v>
      </c>
      <c r="F149" s="11" t="n">
        <f aca="false">MATCH(B149,Dependencies!$A$6:$A$216,0)</f>
        <v>93</v>
      </c>
      <c r="G149" s="11" t="n">
        <f aca="false">INDEX(Dependencies!$L$6:$HN$216,F149,E149)</f>
        <v>1</v>
      </c>
    </row>
    <row r="150" customFormat="false" ht="15" hidden="false" customHeight="false" outlineLevel="0" collapsed="false">
      <c r="A150" s="6" t="s">
        <v>729</v>
      </c>
      <c r="B150" s="6" t="s">
        <v>619</v>
      </c>
      <c r="C150" s="11" t="n">
        <f aca="false">VALUE(MID(A150,2,FIND(".",A150)-2))</f>
        <v>13</v>
      </c>
      <c r="D150" s="11" t="n">
        <f aca="false">VALUE(MID(B150,2,FIND(".",B150)-2))</f>
        <v>6</v>
      </c>
      <c r="E150" s="11" t="n">
        <f aca="false">MATCH(A150,Dependencies!$A$6:$A$216,0)</f>
        <v>154</v>
      </c>
      <c r="F150" s="11" t="n">
        <f aca="false">MATCH(B150,Dependencies!$A$6:$A$216,0)</f>
        <v>44</v>
      </c>
      <c r="G150" s="11" t="n">
        <f aca="false">INDEX(Dependencies!$L$6:$HN$216,F150,E150)</f>
        <v>1</v>
      </c>
    </row>
    <row r="151" customFormat="false" ht="15" hidden="false" customHeight="false" outlineLevel="0" collapsed="false">
      <c r="A151" s="6" t="s">
        <v>729</v>
      </c>
      <c r="B151" s="6" t="s">
        <v>625</v>
      </c>
      <c r="C151" s="11" t="n">
        <f aca="false">VALUE(MID(A151,2,FIND(".",A151)-2))</f>
        <v>13</v>
      </c>
      <c r="D151" s="11" t="n">
        <f aca="false">VALUE(MID(B151,2,FIND(".",B151)-2))</f>
        <v>6</v>
      </c>
      <c r="E151" s="11" t="n">
        <f aca="false">MATCH(A151,Dependencies!$A$6:$A$216,0)</f>
        <v>154</v>
      </c>
      <c r="F151" s="11" t="n">
        <f aca="false">MATCH(B151,Dependencies!$A$6:$A$216,0)</f>
        <v>50</v>
      </c>
      <c r="G151" s="11" t="n">
        <f aca="false">INDEX(Dependencies!$L$6:$HN$216,F151,E151)</f>
        <v>1</v>
      </c>
    </row>
    <row r="152" customFormat="false" ht="15" hidden="false" customHeight="false" outlineLevel="0" collapsed="false">
      <c r="A152" s="6" t="s">
        <v>729</v>
      </c>
      <c r="B152" s="6" t="s">
        <v>653</v>
      </c>
      <c r="C152" s="11" t="n">
        <f aca="false">VALUE(MID(A152,2,FIND(".",A152)-2))</f>
        <v>13</v>
      </c>
      <c r="D152" s="11" t="n">
        <f aca="false">VALUE(MID(B152,2,FIND(".",B152)-2))</f>
        <v>8</v>
      </c>
      <c r="E152" s="11" t="n">
        <f aca="false">MATCH(A152,Dependencies!$A$6:$A$216,0)</f>
        <v>154</v>
      </c>
      <c r="F152" s="11" t="n">
        <f aca="false">MATCH(B152,Dependencies!$A$6:$A$216,0)</f>
        <v>78</v>
      </c>
      <c r="G152" s="11" t="n">
        <f aca="false">INDEX(Dependencies!$L$6:$HN$216,F152,E152)</f>
        <v>1</v>
      </c>
    </row>
    <row r="153" customFormat="false" ht="15" hidden="false" customHeight="false" outlineLevel="0" collapsed="false">
      <c r="A153" s="6" t="s">
        <v>729</v>
      </c>
      <c r="B153" s="6" t="s">
        <v>667</v>
      </c>
      <c r="C153" s="11" t="n">
        <f aca="false">VALUE(MID(A153,2,FIND(".",A153)-2))</f>
        <v>13</v>
      </c>
      <c r="D153" s="11" t="n">
        <f aca="false">VALUE(MID(B153,2,FIND(".",B153)-2))</f>
        <v>9</v>
      </c>
      <c r="E153" s="11" t="n">
        <f aca="false">MATCH(A153,Dependencies!$A$6:$A$216,0)</f>
        <v>154</v>
      </c>
      <c r="F153" s="11" t="n">
        <f aca="false">MATCH(B153,Dependencies!$A$6:$A$216,0)</f>
        <v>92</v>
      </c>
      <c r="G153" s="11" t="n">
        <f aca="false">INDEX(Dependencies!$L$6:$HN$216,F153,E153)</f>
        <v>1</v>
      </c>
    </row>
    <row r="154" customFormat="false" ht="15" hidden="false" customHeight="false" outlineLevel="0" collapsed="false">
      <c r="A154" s="6" t="s">
        <v>729</v>
      </c>
      <c r="B154" s="6" t="s">
        <v>670</v>
      </c>
      <c r="C154" s="11" t="n">
        <f aca="false">VALUE(MID(A154,2,FIND(".",A154)-2))</f>
        <v>13</v>
      </c>
      <c r="D154" s="11" t="n">
        <f aca="false">VALUE(MID(B154,2,FIND(".",B154)-2))</f>
        <v>9</v>
      </c>
      <c r="E154" s="11" t="n">
        <f aca="false">MATCH(A154,Dependencies!$A$6:$A$216,0)</f>
        <v>154</v>
      </c>
      <c r="F154" s="11" t="n">
        <f aca="false">MATCH(B154,Dependencies!$A$6:$A$216,0)</f>
        <v>95</v>
      </c>
      <c r="G154" s="11" t="n">
        <f aca="false">INDEX(Dependencies!$L$6:$HN$216,F154,E154)</f>
        <v>1</v>
      </c>
    </row>
    <row r="155" customFormat="false" ht="15" hidden="false" customHeight="false" outlineLevel="0" collapsed="false">
      <c r="A155" s="6" t="s">
        <v>729</v>
      </c>
      <c r="B155" s="6" t="s">
        <v>703</v>
      </c>
      <c r="C155" s="11" t="n">
        <f aca="false">VALUE(MID(A155,2,FIND(".",A155)-2))</f>
        <v>13</v>
      </c>
      <c r="D155" s="11" t="n">
        <f aca="false">VALUE(MID(B155,2,FIND(".",B155)-2))</f>
        <v>11</v>
      </c>
      <c r="E155" s="11" t="n">
        <f aca="false">MATCH(A155,Dependencies!$A$6:$A$216,0)</f>
        <v>154</v>
      </c>
      <c r="F155" s="11" t="n">
        <f aca="false">MATCH(B155,Dependencies!$A$6:$A$216,0)</f>
        <v>128</v>
      </c>
      <c r="G155" s="11" t="n">
        <f aca="false">INDEX(Dependencies!$L$6:$HN$216,F155,E155)</f>
        <v>1</v>
      </c>
    </row>
    <row r="156" customFormat="false" ht="15" hidden="false" customHeight="false" outlineLevel="0" collapsed="false">
      <c r="A156" s="6" t="s">
        <v>729</v>
      </c>
      <c r="B156" s="6" t="s">
        <v>716</v>
      </c>
      <c r="C156" s="11" t="n">
        <f aca="false">VALUE(MID(A156,2,FIND(".",A156)-2))</f>
        <v>13</v>
      </c>
      <c r="D156" s="11" t="n">
        <f aca="false">VALUE(MID(B156,2,FIND(".",B156)-2))</f>
        <v>12</v>
      </c>
      <c r="E156" s="11" t="n">
        <f aca="false">MATCH(A156,Dependencies!$A$6:$A$216,0)</f>
        <v>154</v>
      </c>
      <c r="F156" s="11" t="n">
        <f aca="false">MATCH(B156,Dependencies!$A$6:$A$216,0)</f>
        <v>141</v>
      </c>
      <c r="G156" s="11" t="n">
        <f aca="false">INDEX(Dependencies!$L$6:$HN$216,F156,E156)</f>
        <v>1</v>
      </c>
    </row>
    <row r="157" customFormat="false" ht="15" hidden="false" customHeight="false" outlineLevel="0" collapsed="false">
      <c r="A157" s="6" t="s">
        <v>730</v>
      </c>
      <c r="B157" s="6" t="s">
        <v>670</v>
      </c>
      <c r="C157" s="11" t="n">
        <f aca="false">VALUE(MID(A157,2,FIND(".",A157)-2))</f>
        <v>13</v>
      </c>
      <c r="D157" s="11" t="n">
        <f aca="false">VALUE(MID(B157,2,FIND(".",B157)-2))</f>
        <v>9</v>
      </c>
      <c r="E157" s="11" t="n">
        <f aca="false">MATCH(A157,Dependencies!$A$6:$A$216,0)</f>
        <v>155</v>
      </c>
      <c r="F157" s="11" t="n">
        <f aca="false">MATCH(B157,Dependencies!$A$6:$A$216,0)</f>
        <v>95</v>
      </c>
      <c r="G157" s="11" t="n">
        <f aca="false">INDEX(Dependencies!$L$6:$HN$216,F157,E157)</f>
        <v>1</v>
      </c>
    </row>
    <row r="158" customFormat="false" ht="15" hidden="false" customHeight="false" outlineLevel="0" collapsed="false">
      <c r="A158" s="6" t="s">
        <v>730</v>
      </c>
      <c r="B158" s="6" t="s">
        <v>729</v>
      </c>
      <c r="C158" s="11" t="n">
        <f aca="false">VALUE(MID(A158,2,FIND(".",A158)-2))</f>
        <v>13</v>
      </c>
      <c r="D158" s="11" t="n">
        <f aca="false">VALUE(MID(B158,2,FIND(".",B158)-2))</f>
        <v>13</v>
      </c>
      <c r="E158" s="11" t="n">
        <f aca="false">MATCH(A158,Dependencies!$A$6:$A$216,0)</f>
        <v>155</v>
      </c>
      <c r="F158" s="11" t="n">
        <f aca="false">MATCH(B158,Dependencies!$A$6:$A$216,0)</f>
        <v>154</v>
      </c>
      <c r="G158" s="11" t="n">
        <f aca="false">INDEX(Dependencies!$L$6:$HN$216,F158,E158)</f>
        <v>1</v>
      </c>
    </row>
    <row r="159" customFormat="false" ht="15" hidden="false" customHeight="false" outlineLevel="0" collapsed="false">
      <c r="A159" s="6" t="s">
        <v>731</v>
      </c>
      <c r="B159" s="6" t="s">
        <v>721</v>
      </c>
      <c r="C159" s="11" t="n">
        <f aca="false">VALUE(MID(A159,2,FIND(".",A159)-2))</f>
        <v>13</v>
      </c>
      <c r="D159" s="11" t="n">
        <f aca="false">VALUE(MID(B159,2,FIND(".",B159)-2))</f>
        <v>12</v>
      </c>
      <c r="E159" s="11" t="n">
        <f aca="false">MATCH(A159,Dependencies!$A$6:$A$216,0)</f>
        <v>156</v>
      </c>
      <c r="F159" s="11" t="n">
        <f aca="false">MATCH(B159,Dependencies!$A$6:$A$216,0)</f>
        <v>146</v>
      </c>
      <c r="G159" s="11" t="n">
        <f aca="false">INDEX(Dependencies!$L$6:$HN$216,F159,E159)</f>
        <v>1</v>
      </c>
    </row>
    <row r="160" customFormat="false" ht="15" hidden="false" customHeight="false" outlineLevel="0" collapsed="false">
      <c r="A160" s="6" t="s">
        <v>732</v>
      </c>
      <c r="B160" s="6" t="s">
        <v>721</v>
      </c>
      <c r="C160" s="11" t="n">
        <f aca="false">VALUE(MID(A160,2,FIND(".",A160)-2))</f>
        <v>13</v>
      </c>
      <c r="D160" s="11" t="n">
        <f aca="false">VALUE(MID(B160,2,FIND(".",B160)-2))</f>
        <v>12</v>
      </c>
      <c r="E160" s="11" t="n">
        <f aca="false">MATCH(A160,Dependencies!$A$6:$A$216,0)</f>
        <v>157</v>
      </c>
      <c r="F160" s="11" t="n">
        <f aca="false">MATCH(B160,Dependencies!$A$6:$A$216,0)</f>
        <v>146</v>
      </c>
      <c r="G160" s="11" t="n">
        <f aca="false">INDEX(Dependencies!$L$6:$HN$216,F160,E160)</f>
        <v>1</v>
      </c>
    </row>
    <row r="161" customFormat="false" ht="15" hidden="false" customHeight="false" outlineLevel="0" collapsed="false">
      <c r="A161" s="6" t="s">
        <v>732</v>
      </c>
      <c r="B161" s="6" t="s">
        <v>731</v>
      </c>
      <c r="C161" s="11" t="n">
        <f aca="false">VALUE(MID(A161,2,FIND(".",A161)-2))</f>
        <v>13</v>
      </c>
      <c r="D161" s="11" t="n">
        <f aca="false">VALUE(MID(B161,2,FIND(".",B161)-2))</f>
        <v>13</v>
      </c>
      <c r="E161" s="11" t="n">
        <f aca="false">MATCH(A161,Dependencies!$A$6:$A$216,0)</f>
        <v>157</v>
      </c>
      <c r="F161" s="11" t="n">
        <f aca="false">MATCH(B161,Dependencies!$A$6:$A$216,0)</f>
        <v>156</v>
      </c>
      <c r="G161" s="11" t="n">
        <f aca="false">INDEX(Dependencies!$L$6:$HN$216,F161,E161)</f>
        <v>1</v>
      </c>
    </row>
    <row r="162" customFormat="false" ht="15" hidden="false" customHeight="false" outlineLevel="0" collapsed="false">
      <c r="A162" s="6" t="s">
        <v>733</v>
      </c>
      <c r="B162" s="6" t="s">
        <v>721</v>
      </c>
      <c r="C162" s="11" t="n">
        <f aca="false">VALUE(MID(A162,2,FIND(".",A162)-2))</f>
        <v>13</v>
      </c>
      <c r="D162" s="11" t="n">
        <f aca="false">VALUE(MID(B162,2,FIND(".",B162)-2))</f>
        <v>12</v>
      </c>
      <c r="E162" s="11" t="n">
        <f aca="false">MATCH(A162,Dependencies!$A$6:$A$216,0)</f>
        <v>158</v>
      </c>
      <c r="F162" s="11" t="n">
        <f aca="false">MATCH(B162,Dependencies!$A$6:$A$216,0)</f>
        <v>146</v>
      </c>
      <c r="G162" s="11" t="n">
        <f aca="false">INDEX(Dependencies!$L$6:$HN$216,F162,E162)</f>
        <v>1</v>
      </c>
    </row>
    <row r="163" customFormat="false" ht="15" hidden="false" customHeight="false" outlineLevel="0" collapsed="false">
      <c r="A163" s="6" t="s">
        <v>733</v>
      </c>
      <c r="B163" s="6" t="s">
        <v>732</v>
      </c>
      <c r="C163" s="11" t="n">
        <f aca="false">VALUE(MID(A163,2,FIND(".",A163)-2))</f>
        <v>13</v>
      </c>
      <c r="D163" s="11" t="n">
        <f aca="false">VALUE(MID(B163,2,FIND(".",B163)-2))</f>
        <v>13</v>
      </c>
      <c r="E163" s="11" t="n">
        <f aca="false">MATCH(A163,Dependencies!$A$6:$A$216,0)</f>
        <v>158</v>
      </c>
      <c r="F163" s="11" t="n">
        <f aca="false">MATCH(B163,Dependencies!$A$6:$A$216,0)</f>
        <v>157</v>
      </c>
      <c r="G163" s="11" t="n">
        <f aca="false">INDEX(Dependencies!$L$6:$HN$216,F163,E163)</f>
        <v>1</v>
      </c>
    </row>
    <row r="164" customFormat="false" ht="15" hidden="false" customHeight="false" outlineLevel="0" collapsed="false">
      <c r="A164" s="6" t="s">
        <v>735</v>
      </c>
      <c r="B164" s="6" t="s">
        <v>597</v>
      </c>
      <c r="C164" s="11" t="n">
        <f aca="false">VALUE(MID(A164,2,FIND(".",A164)-2))</f>
        <v>13</v>
      </c>
      <c r="D164" s="11" t="n">
        <f aca="false">VALUE(MID(B164,2,FIND(".",B164)-2))</f>
        <v>4</v>
      </c>
      <c r="E164" s="11" t="n">
        <f aca="false">MATCH(A164,Dependencies!$A$6:$A$216,0)</f>
        <v>160</v>
      </c>
      <c r="F164" s="11" t="n">
        <f aca="false">MATCH(B164,Dependencies!$A$6:$A$216,0)</f>
        <v>22</v>
      </c>
      <c r="G164" s="11" t="n">
        <f aca="false">INDEX(Dependencies!$L$6:$HN$216,F164,E164)</f>
        <v>1</v>
      </c>
    </row>
    <row r="165" customFormat="false" ht="15" hidden="false" customHeight="false" outlineLevel="0" collapsed="false">
      <c r="A165" s="6" t="s">
        <v>735</v>
      </c>
      <c r="B165" s="6" t="s">
        <v>674</v>
      </c>
      <c r="C165" s="11" t="n">
        <f aca="false">VALUE(MID(A165,2,FIND(".",A165)-2))</f>
        <v>13</v>
      </c>
      <c r="D165" s="11" t="n">
        <f aca="false">VALUE(MID(B165,2,FIND(".",B165)-2))</f>
        <v>9</v>
      </c>
      <c r="E165" s="11" t="n">
        <f aca="false">MATCH(A165,Dependencies!$A$6:$A$216,0)</f>
        <v>160</v>
      </c>
      <c r="F165" s="11" t="n">
        <f aca="false">MATCH(B165,Dependencies!$A$6:$A$216,0)</f>
        <v>99</v>
      </c>
      <c r="G165" s="11" t="n">
        <f aca="false">INDEX(Dependencies!$L$6:$HN$216,F165,E165)</f>
        <v>1</v>
      </c>
    </row>
    <row r="166" customFormat="false" ht="15" hidden="false" customHeight="false" outlineLevel="0" collapsed="false">
      <c r="A166" s="6" t="s">
        <v>735</v>
      </c>
      <c r="B166" s="6" t="s">
        <v>675</v>
      </c>
      <c r="C166" s="11" t="n">
        <f aca="false">VALUE(MID(A166,2,FIND(".",A166)-2))</f>
        <v>13</v>
      </c>
      <c r="D166" s="11" t="n">
        <f aca="false">VALUE(MID(B166,2,FIND(".",B166)-2))</f>
        <v>9</v>
      </c>
      <c r="E166" s="11" t="n">
        <f aca="false">MATCH(A166,Dependencies!$A$6:$A$216,0)</f>
        <v>160</v>
      </c>
      <c r="F166" s="11" t="n">
        <f aca="false">MATCH(B166,Dependencies!$A$6:$A$216,0)</f>
        <v>100</v>
      </c>
      <c r="G166" s="11" t="n">
        <f aca="false">INDEX(Dependencies!$L$6:$HN$216,F166,E166)</f>
        <v>1</v>
      </c>
    </row>
    <row r="167" customFormat="false" ht="15" hidden="false" customHeight="false" outlineLevel="0" collapsed="false">
      <c r="A167" s="6" t="s">
        <v>735</v>
      </c>
      <c r="B167" s="6" t="s">
        <v>729</v>
      </c>
      <c r="C167" s="11" t="n">
        <f aca="false">VALUE(MID(A167,2,FIND(".",A167)-2))</f>
        <v>13</v>
      </c>
      <c r="D167" s="11" t="n">
        <f aca="false">VALUE(MID(B167,2,FIND(".",B167)-2))</f>
        <v>13</v>
      </c>
      <c r="E167" s="11" t="n">
        <f aca="false">MATCH(A167,Dependencies!$A$6:$A$216,0)</f>
        <v>160</v>
      </c>
      <c r="F167" s="11" t="n">
        <f aca="false">MATCH(B167,Dependencies!$A$6:$A$216,0)</f>
        <v>154</v>
      </c>
      <c r="G167" s="11" t="n">
        <f aca="false">INDEX(Dependencies!$L$6:$HN$216,F167,E167)</f>
        <v>1</v>
      </c>
    </row>
    <row r="168" customFormat="false" ht="15" hidden="false" customHeight="false" outlineLevel="0" collapsed="false">
      <c r="A168" s="6" t="s">
        <v>735</v>
      </c>
      <c r="B168" s="6" t="s">
        <v>731</v>
      </c>
      <c r="C168" s="11" t="n">
        <f aca="false">VALUE(MID(A168,2,FIND(".",A168)-2))</f>
        <v>13</v>
      </c>
      <c r="D168" s="11" t="n">
        <f aca="false">VALUE(MID(B168,2,FIND(".",B168)-2))</f>
        <v>13</v>
      </c>
      <c r="E168" s="11" t="n">
        <f aca="false">MATCH(A168,Dependencies!$A$6:$A$216,0)</f>
        <v>160</v>
      </c>
      <c r="F168" s="11" t="n">
        <f aca="false">MATCH(B168,Dependencies!$A$6:$A$216,0)</f>
        <v>156</v>
      </c>
      <c r="G168" s="11" t="n">
        <f aca="false">INDEX(Dependencies!$L$6:$HN$216,F168,E168)</f>
        <v>1</v>
      </c>
    </row>
    <row r="169" customFormat="false" ht="15" hidden="false" customHeight="false" outlineLevel="0" collapsed="false">
      <c r="A169" s="6" t="s">
        <v>736</v>
      </c>
      <c r="B169" s="6" t="s">
        <v>597</v>
      </c>
      <c r="C169" s="11" t="n">
        <f aca="false">VALUE(MID(A169,2,FIND(".",A169)-2))</f>
        <v>13</v>
      </c>
      <c r="D169" s="11" t="n">
        <f aca="false">VALUE(MID(B169,2,FIND(".",B169)-2))</f>
        <v>4</v>
      </c>
      <c r="E169" s="11" t="n">
        <f aca="false">MATCH(A169,Dependencies!$A$6:$A$216,0)</f>
        <v>161</v>
      </c>
      <c r="F169" s="11" t="n">
        <f aca="false">MATCH(B169,Dependencies!$A$6:$A$216,0)</f>
        <v>22</v>
      </c>
      <c r="G169" s="11" t="n">
        <f aca="false">INDEX(Dependencies!$L$6:$HN$216,F169,E169)</f>
        <v>1</v>
      </c>
    </row>
    <row r="170" customFormat="false" ht="15" hidden="false" customHeight="false" outlineLevel="0" collapsed="false">
      <c r="A170" s="6" t="s">
        <v>736</v>
      </c>
      <c r="B170" s="6" t="s">
        <v>667</v>
      </c>
      <c r="C170" s="11" t="n">
        <f aca="false">VALUE(MID(A170,2,FIND(".",A170)-2))</f>
        <v>13</v>
      </c>
      <c r="D170" s="11" t="n">
        <f aca="false">VALUE(MID(B170,2,FIND(".",B170)-2))</f>
        <v>9</v>
      </c>
      <c r="E170" s="11" t="n">
        <f aca="false">MATCH(A170,Dependencies!$A$6:$A$216,0)</f>
        <v>161</v>
      </c>
      <c r="F170" s="11" t="n">
        <f aca="false">MATCH(B170,Dependencies!$A$6:$A$216,0)</f>
        <v>92</v>
      </c>
      <c r="G170" s="11" t="n">
        <f aca="false">INDEX(Dependencies!$L$6:$HN$216,F170,E170)</f>
        <v>1</v>
      </c>
    </row>
    <row r="171" customFormat="false" ht="15" hidden="false" customHeight="false" outlineLevel="0" collapsed="false">
      <c r="A171" s="6" t="s">
        <v>736</v>
      </c>
      <c r="B171" s="6" t="s">
        <v>672</v>
      </c>
      <c r="C171" s="11" t="n">
        <f aca="false">VALUE(MID(A171,2,FIND(".",A171)-2))</f>
        <v>13</v>
      </c>
      <c r="D171" s="11" t="n">
        <f aca="false">VALUE(MID(B171,2,FIND(".",B171)-2))</f>
        <v>9</v>
      </c>
      <c r="E171" s="11" t="n">
        <f aca="false">MATCH(A171,Dependencies!$A$6:$A$216,0)</f>
        <v>161</v>
      </c>
      <c r="F171" s="11" t="n">
        <f aca="false">MATCH(B171,Dependencies!$A$6:$A$216,0)</f>
        <v>97</v>
      </c>
      <c r="G171" s="11" t="n">
        <f aca="false">INDEX(Dependencies!$L$6:$HN$216,F171,E171)</f>
        <v>1</v>
      </c>
    </row>
    <row r="172" customFormat="false" ht="15" hidden="false" customHeight="false" outlineLevel="0" collapsed="false">
      <c r="A172" s="6" t="s">
        <v>736</v>
      </c>
      <c r="B172" s="6" t="s">
        <v>735</v>
      </c>
      <c r="C172" s="11" t="n">
        <f aca="false">VALUE(MID(A172,2,FIND(".",A172)-2))</f>
        <v>13</v>
      </c>
      <c r="D172" s="11" t="n">
        <f aca="false">VALUE(MID(B172,2,FIND(".",B172)-2))</f>
        <v>13</v>
      </c>
      <c r="E172" s="11" t="n">
        <f aca="false">MATCH(A172,Dependencies!$A$6:$A$216,0)</f>
        <v>161</v>
      </c>
      <c r="F172" s="11" t="n">
        <f aca="false">MATCH(B172,Dependencies!$A$6:$A$216,0)</f>
        <v>160</v>
      </c>
      <c r="G172" s="11" t="n">
        <f aca="false">INDEX(Dependencies!$L$6:$HN$216,F172,E172)</f>
        <v>1</v>
      </c>
    </row>
    <row r="173" customFormat="false" ht="15" hidden="false" customHeight="false" outlineLevel="0" collapsed="false">
      <c r="A173" s="6" t="s">
        <v>737</v>
      </c>
      <c r="B173" s="6" t="s">
        <v>631</v>
      </c>
      <c r="C173" s="11" t="n">
        <f aca="false">VALUE(MID(A173,2,FIND(".",A173)-2))</f>
        <v>13</v>
      </c>
      <c r="D173" s="11" t="n">
        <f aca="false">VALUE(MID(B173,2,FIND(".",B173)-2))</f>
        <v>7</v>
      </c>
      <c r="E173" s="11" t="n">
        <f aca="false">MATCH(A173,Dependencies!$A$6:$A$216,0)</f>
        <v>162</v>
      </c>
      <c r="F173" s="11" t="n">
        <f aca="false">MATCH(B173,Dependencies!$A$6:$A$216,0)</f>
        <v>56</v>
      </c>
      <c r="G173" s="11" t="n">
        <f aca="false">INDEX(Dependencies!$L$6:$HN$216,F173,E173)</f>
        <v>1</v>
      </c>
    </row>
    <row r="174" customFormat="false" ht="15" hidden="false" customHeight="false" outlineLevel="0" collapsed="false">
      <c r="A174" s="6" t="s">
        <v>737</v>
      </c>
      <c r="B174" s="6" t="s">
        <v>651</v>
      </c>
      <c r="C174" s="11" t="n">
        <f aca="false">VALUE(MID(A174,2,FIND(".",A174)-2))</f>
        <v>13</v>
      </c>
      <c r="D174" s="11" t="n">
        <f aca="false">VALUE(MID(B174,2,FIND(".",B174)-2))</f>
        <v>8</v>
      </c>
      <c r="E174" s="11" t="n">
        <f aca="false">MATCH(A174,Dependencies!$A$6:$A$216,0)</f>
        <v>162</v>
      </c>
      <c r="F174" s="11" t="n">
        <f aca="false">MATCH(B174,Dependencies!$A$6:$A$216,0)</f>
        <v>76</v>
      </c>
      <c r="G174" s="11" t="n">
        <f aca="false">INDEX(Dependencies!$L$6:$HN$216,F174,E174)</f>
        <v>1</v>
      </c>
    </row>
    <row r="175" customFormat="false" ht="15" hidden="false" customHeight="false" outlineLevel="0" collapsed="false">
      <c r="A175" s="6" t="s">
        <v>737</v>
      </c>
      <c r="B175" s="6" t="s">
        <v>653</v>
      </c>
      <c r="C175" s="11" t="n">
        <f aca="false">VALUE(MID(A175,2,FIND(".",A175)-2))</f>
        <v>13</v>
      </c>
      <c r="D175" s="11" t="n">
        <f aca="false">VALUE(MID(B175,2,FIND(".",B175)-2))</f>
        <v>8</v>
      </c>
      <c r="E175" s="11" t="n">
        <f aca="false">MATCH(A175,Dependencies!$A$6:$A$216,0)</f>
        <v>162</v>
      </c>
      <c r="F175" s="11" t="n">
        <f aca="false">MATCH(B175,Dependencies!$A$6:$A$216,0)</f>
        <v>78</v>
      </c>
      <c r="G175" s="11" t="n">
        <f aca="false">INDEX(Dependencies!$L$6:$HN$216,F175,E175)</f>
        <v>1</v>
      </c>
    </row>
    <row r="176" customFormat="false" ht="15" hidden="false" customHeight="false" outlineLevel="0" collapsed="false">
      <c r="A176" s="6" t="s">
        <v>737</v>
      </c>
      <c r="B176" s="6" t="s">
        <v>658</v>
      </c>
      <c r="C176" s="11" t="n">
        <f aca="false">VALUE(MID(A176,2,FIND(".",A176)-2))</f>
        <v>13</v>
      </c>
      <c r="D176" s="11" t="n">
        <f aca="false">VALUE(MID(B176,2,FIND(".",B176)-2))</f>
        <v>8</v>
      </c>
      <c r="E176" s="11" t="n">
        <f aca="false">MATCH(A176,Dependencies!$A$6:$A$216,0)</f>
        <v>162</v>
      </c>
      <c r="F176" s="11" t="n">
        <f aca="false">MATCH(B176,Dependencies!$A$6:$A$216,0)</f>
        <v>83</v>
      </c>
      <c r="G176" s="11" t="n">
        <f aca="false">INDEX(Dependencies!$L$6:$HN$216,F176,E176)</f>
        <v>1</v>
      </c>
    </row>
    <row r="177" customFormat="false" ht="15" hidden="false" customHeight="false" outlineLevel="0" collapsed="false">
      <c r="A177" s="6" t="s">
        <v>737</v>
      </c>
      <c r="B177" s="6" t="s">
        <v>693</v>
      </c>
      <c r="C177" s="11" t="n">
        <f aca="false">VALUE(MID(A177,2,FIND(".",A177)-2))</f>
        <v>13</v>
      </c>
      <c r="D177" s="11" t="n">
        <f aca="false">VALUE(MID(B177,2,FIND(".",B177)-2))</f>
        <v>10</v>
      </c>
      <c r="E177" s="11" t="n">
        <f aca="false">MATCH(A177,Dependencies!$A$6:$A$216,0)</f>
        <v>162</v>
      </c>
      <c r="F177" s="11" t="n">
        <f aca="false">MATCH(B177,Dependencies!$A$6:$A$216,0)</f>
        <v>118</v>
      </c>
      <c r="G177" s="11" t="n">
        <f aca="false">INDEX(Dependencies!$L$6:$HN$216,F177,E177)</f>
        <v>1</v>
      </c>
    </row>
    <row r="178" customFormat="false" ht="15" hidden="false" customHeight="false" outlineLevel="0" collapsed="false">
      <c r="A178" s="6" t="s">
        <v>737</v>
      </c>
      <c r="B178" s="6" t="s">
        <v>729</v>
      </c>
      <c r="C178" s="11" t="n">
        <f aca="false">VALUE(MID(A178,2,FIND(".",A178)-2))</f>
        <v>13</v>
      </c>
      <c r="D178" s="11" t="n">
        <f aca="false">VALUE(MID(B178,2,FIND(".",B178)-2))</f>
        <v>13</v>
      </c>
      <c r="E178" s="11" t="n">
        <f aca="false">MATCH(A178,Dependencies!$A$6:$A$216,0)</f>
        <v>162</v>
      </c>
      <c r="F178" s="11" t="n">
        <f aca="false">MATCH(B178,Dependencies!$A$6:$A$216,0)</f>
        <v>154</v>
      </c>
      <c r="G178" s="11" t="n">
        <f aca="false">INDEX(Dependencies!$L$6:$HN$216,F178,E178)</f>
        <v>1</v>
      </c>
    </row>
    <row r="179" customFormat="false" ht="15" hidden="false" customHeight="false" outlineLevel="0" collapsed="false">
      <c r="A179" s="6" t="s">
        <v>737</v>
      </c>
      <c r="B179" s="6" t="s">
        <v>730</v>
      </c>
      <c r="C179" s="11" t="n">
        <f aca="false">VALUE(MID(A179,2,FIND(".",A179)-2))</f>
        <v>13</v>
      </c>
      <c r="D179" s="11" t="n">
        <f aca="false">VALUE(MID(B179,2,FIND(".",B179)-2))</f>
        <v>13</v>
      </c>
      <c r="E179" s="11" t="n">
        <f aca="false">MATCH(A179,Dependencies!$A$6:$A$216,0)</f>
        <v>162</v>
      </c>
      <c r="F179" s="11" t="n">
        <f aca="false">MATCH(B179,Dependencies!$A$6:$A$216,0)</f>
        <v>155</v>
      </c>
      <c r="G179" s="11" t="n">
        <f aca="false">INDEX(Dependencies!$L$6:$HN$216,F179,E179)</f>
        <v>1</v>
      </c>
    </row>
    <row r="180" customFormat="false" ht="15" hidden="false" customHeight="false" outlineLevel="0" collapsed="false">
      <c r="A180" s="6" t="s">
        <v>737</v>
      </c>
      <c r="B180" s="6" t="s">
        <v>735</v>
      </c>
      <c r="C180" s="11" t="n">
        <f aca="false">VALUE(MID(A180,2,FIND(".",A180)-2))</f>
        <v>13</v>
      </c>
      <c r="D180" s="11" t="n">
        <f aca="false">VALUE(MID(B180,2,FIND(".",B180)-2))</f>
        <v>13</v>
      </c>
      <c r="E180" s="11" t="n">
        <f aca="false">MATCH(A180,Dependencies!$A$6:$A$216,0)</f>
        <v>162</v>
      </c>
      <c r="F180" s="11" t="n">
        <f aca="false">MATCH(B180,Dependencies!$A$6:$A$216,0)</f>
        <v>160</v>
      </c>
      <c r="G180" s="11" t="n">
        <f aca="false">INDEX(Dependencies!$L$6:$HN$216,F180,E180)</f>
        <v>1</v>
      </c>
    </row>
    <row r="181" customFormat="false" ht="15" hidden="false" customHeight="false" outlineLevel="0" collapsed="false">
      <c r="A181" s="6" t="s">
        <v>739</v>
      </c>
      <c r="B181" s="6" t="s">
        <v>735</v>
      </c>
      <c r="C181" s="11" t="n">
        <f aca="false">VALUE(MID(A181,2,FIND(".",A181)-2))</f>
        <v>13</v>
      </c>
      <c r="D181" s="11" t="n">
        <f aca="false">VALUE(MID(B181,2,FIND(".",B181)-2))</f>
        <v>13</v>
      </c>
      <c r="E181" s="11" t="n">
        <f aca="false">MATCH(A181,Dependencies!$A$6:$A$216,0)</f>
        <v>164</v>
      </c>
      <c r="F181" s="11" t="n">
        <f aca="false">MATCH(B181,Dependencies!$A$6:$A$216,0)</f>
        <v>160</v>
      </c>
      <c r="G181" s="11" t="n">
        <f aca="false">INDEX(Dependencies!$L$6:$HN$216,F181,E181)</f>
        <v>1</v>
      </c>
    </row>
    <row r="182" customFormat="false" ht="15" hidden="false" customHeight="false" outlineLevel="0" collapsed="false">
      <c r="A182" s="6" t="s">
        <v>740</v>
      </c>
      <c r="B182" s="6" t="s">
        <v>730</v>
      </c>
      <c r="C182" s="11" t="n">
        <f aca="false">VALUE(MID(A182,2,FIND(".",A182)-2))</f>
        <v>13</v>
      </c>
      <c r="D182" s="11" t="n">
        <f aca="false">VALUE(MID(B182,2,FIND(".",B182)-2))</f>
        <v>13</v>
      </c>
      <c r="E182" s="11" t="n">
        <f aca="false">MATCH(A182,Dependencies!$A$6:$A$216,0)</f>
        <v>165</v>
      </c>
      <c r="F182" s="11" t="n">
        <f aca="false">MATCH(B182,Dependencies!$A$6:$A$216,0)</f>
        <v>155</v>
      </c>
      <c r="G182" s="11" t="n">
        <f aca="false">INDEX(Dependencies!$L$6:$HN$216,F182,E182)</f>
        <v>1</v>
      </c>
    </row>
    <row r="183" customFormat="false" ht="15" hidden="false" customHeight="false" outlineLevel="0" collapsed="false">
      <c r="A183" s="6" t="s">
        <v>740</v>
      </c>
      <c r="B183" s="6" t="s">
        <v>737</v>
      </c>
      <c r="C183" s="11" t="n">
        <f aca="false">VALUE(MID(A183,2,FIND(".",A183)-2))</f>
        <v>13</v>
      </c>
      <c r="D183" s="11" t="n">
        <f aca="false">VALUE(MID(B183,2,FIND(".",B183)-2))</f>
        <v>13</v>
      </c>
      <c r="E183" s="11" t="n">
        <f aca="false">MATCH(A183,Dependencies!$A$6:$A$216,0)</f>
        <v>165</v>
      </c>
      <c r="F183" s="11" t="n">
        <f aca="false">MATCH(B183,Dependencies!$A$6:$A$216,0)</f>
        <v>162</v>
      </c>
      <c r="G183" s="11" t="n">
        <f aca="false">INDEX(Dependencies!$L$6:$HN$216,F183,E183)</f>
        <v>1</v>
      </c>
    </row>
    <row r="184" customFormat="false" ht="15" hidden="false" customHeight="false" outlineLevel="0" collapsed="false">
      <c r="A184" s="6" t="s">
        <v>744</v>
      </c>
      <c r="B184" s="6" t="s">
        <v>588</v>
      </c>
      <c r="C184" s="11" t="n">
        <f aca="false">VALUE(MID(A184,2,FIND(".",A184)-2))</f>
        <v>14</v>
      </c>
      <c r="D184" s="11" t="n">
        <f aca="false">VALUE(MID(B184,2,FIND(".",B184)-2))</f>
        <v>3</v>
      </c>
      <c r="E184" s="11" t="n">
        <f aca="false">MATCH(A184,Dependencies!$A$6:$A$216,0)</f>
        <v>169</v>
      </c>
      <c r="F184" s="11" t="n">
        <f aca="false">MATCH(B184,Dependencies!$A$6:$A$216,0)</f>
        <v>13</v>
      </c>
      <c r="G184" s="11" t="n">
        <f aca="false">INDEX(Dependencies!$L$6:$HN$216,F184,E184)</f>
        <v>1</v>
      </c>
    </row>
    <row r="185" customFormat="false" ht="15" hidden="false" customHeight="false" outlineLevel="0" collapsed="false">
      <c r="A185" s="6" t="s">
        <v>744</v>
      </c>
      <c r="B185" s="6" t="s">
        <v>638</v>
      </c>
      <c r="C185" s="11" t="n">
        <f aca="false">VALUE(MID(A185,2,FIND(".",A185)-2))</f>
        <v>14</v>
      </c>
      <c r="D185" s="11" t="n">
        <f aca="false">VALUE(MID(B185,2,FIND(".",B185)-2))</f>
        <v>7</v>
      </c>
      <c r="E185" s="11" t="n">
        <f aca="false">MATCH(A185,Dependencies!$A$6:$A$216,0)</f>
        <v>169</v>
      </c>
      <c r="F185" s="11" t="n">
        <f aca="false">MATCH(B185,Dependencies!$A$6:$A$216,0)</f>
        <v>63</v>
      </c>
      <c r="G185" s="11" t="n">
        <f aca="false">INDEX(Dependencies!$L$6:$HN$216,F185,E185)</f>
        <v>1</v>
      </c>
    </row>
    <row r="186" customFormat="false" ht="15" hidden="false" customHeight="false" outlineLevel="0" collapsed="false">
      <c r="A186" s="6" t="s">
        <v>744</v>
      </c>
      <c r="B186" s="6" t="s">
        <v>702</v>
      </c>
      <c r="C186" s="11" t="n">
        <f aca="false">VALUE(MID(A186,2,FIND(".",A186)-2))</f>
        <v>14</v>
      </c>
      <c r="D186" s="11" t="n">
        <f aca="false">VALUE(MID(B186,2,FIND(".",B186)-2))</f>
        <v>11</v>
      </c>
      <c r="E186" s="11" t="n">
        <f aca="false">MATCH(A186,Dependencies!$A$6:$A$216,0)</f>
        <v>169</v>
      </c>
      <c r="F186" s="11" t="n">
        <f aca="false">MATCH(B186,Dependencies!$A$6:$A$216,0)</f>
        <v>127</v>
      </c>
      <c r="G186" s="11" t="n">
        <f aca="false">INDEX(Dependencies!$L$6:$HN$216,F186,E186)</f>
        <v>1</v>
      </c>
    </row>
    <row r="187" customFormat="false" ht="15" hidden="false" customHeight="false" outlineLevel="0" collapsed="false">
      <c r="A187" s="6" t="s">
        <v>745</v>
      </c>
      <c r="B187" s="6" t="s">
        <v>731</v>
      </c>
      <c r="C187" s="11" t="n">
        <f aca="false">VALUE(MID(A187,2,FIND(".",A187)-2))</f>
        <v>14</v>
      </c>
      <c r="D187" s="11" t="n">
        <f aca="false">VALUE(MID(B187,2,FIND(".",B187)-2))</f>
        <v>13</v>
      </c>
      <c r="E187" s="11" t="n">
        <f aca="false">MATCH(A187,Dependencies!$A$6:$A$216,0)</f>
        <v>170</v>
      </c>
      <c r="F187" s="11" t="n">
        <f aca="false">MATCH(B187,Dependencies!$A$6:$A$216,0)</f>
        <v>156</v>
      </c>
      <c r="G187" s="11" t="n">
        <f aca="false">INDEX(Dependencies!$L$6:$HN$216,F187,E187)</f>
        <v>1</v>
      </c>
    </row>
    <row r="188" customFormat="false" ht="15" hidden="false" customHeight="false" outlineLevel="0" collapsed="false">
      <c r="A188" s="6" t="s">
        <v>746</v>
      </c>
      <c r="B188" s="6" t="s">
        <v>721</v>
      </c>
      <c r="C188" s="11" t="n">
        <f aca="false">VALUE(MID(A188,2,FIND(".",A188)-2))</f>
        <v>14</v>
      </c>
      <c r="D188" s="11" t="n">
        <f aca="false">VALUE(MID(B188,2,FIND(".",B188)-2))</f>
        <v>12</v>
      </c>
      <c r="E188" s="11" t="n">
        <f aca="false">MATCH(A188,Dependencies!$A$6:$A$216,0)</f>
        <v>171</v>
      </c>
      <c r="F188" s="11" t="n">
        <f aca="false">MATCH(B188,Dependencies!$A$6:$A$216,0)</f>
        <v>146</v>
      </c>
      <c r="G188" s="11" t="n">
        <f aca="false">INDEX(Dependencies!$L$6:$HN$216,F188,E188)</f>
        <v>1</v>
      </c>
    </row>
    <row r="189" customFormat="false" ht="15" hidden="false" customHeight="false" outlineLevel="0" collapsed="false">
      <c r="A189" s="6" t="s">
        <v>746</v>
      </c>
      <c r="B189" s="6" t="s">
        <v>731</v>
      </c>
      <c r="C189" s="11" t="n">
        <f aca="false">VALUE(MID(A189,2,FIND(".",A189)-2))</f>
        <v>14</v>
      </c>
      <c r="D189" s="11" t="n">
        <f aca="false">VALUE(MID(B189,2,FIND(".",B189)-2))</f>
        <v>13</v>
      </c>
      <c r="E189" s="11" t="n">
        <f aca="false">MATCH(A189,Dependencies!$A$6:$A$216,0)</f>
        <v>171</v>
      </c>
      <c r="F189" s="11" t="n">
        <f aca="false">MATCH(B189,Dependencies!$A$6:$A$216,0)</f>
        <v>156</v>
      </c>
      <c r="G189" s="11" t="n">
        <f aca="false">INDEX(Dependencies!$L$6:$HN$216,F189,E189)</f>
        <v>1</v>
      </c>
    </row>
    <row r="190" customFormat="false" ht="15" hidden="false" customHeight="false" outlineLevel="0" collapsed="false">
      <c r="A190" s="6" t="s">
        <v>746</v>
      </c>
      <c r="B190" s="6" t="s">
        <v>744</v>
      </c>
      <c r="C190" s="11" t="n">
        <f aca="false">VALUE(MID(A190,2,FIND(".",A190)-2))</f>
        <v>14</v>
      </c>
      <c r="D190" s="11" t="n">
        <f aca="false">VALUE(MID(B190,2,FIND(".",B190)-2))</f>
        <v>14</v>
      </c>
      <c r="E190" s="11" t="n">
        <f aca="false">MATCH(A190,Dependencies!$A$6:$A$216,0)</f>
        <v>171</v>
      </c>
      <c r="F190" s="11" t="n">
        <f aca="false">MATCH(B190,Dependencies!$A$6:$A$216,0)</f>
        <v>169</v>
      </c>
      <c r="G190" s="11" t="n">
        <f aca="false">INDEX(Dependencies!$L$6:$HN$216,F190,E190)</f>
        <v>1</v>
      </c>
    </row>
    <row r="191" customFormat="false" ht="15" hidden="false" customHeight="false" outlineLevel="0" collapsed="false">
      <c r="A191" s="6" t="s">
        <v>747</v>
      </c>
      <c r="B191" s="6" t="s">
        <v>670</v>
      </c>
      <c r="C191" s="11" t="n">
        <f aca="false">VALUE(MID(A191,2,FIND(".",A191)-2))</f>
        <v>14</v>
      </c>
      <c r="D191" s="11" t="n">
        <f aca="false">VALUE(MID(B191,2,FIND(".",B191)-2))</f>
        <v>9</v>
      </c>
      <c r="E191" s="11" t="n">
        <f aca="false">MATCH(A191,Dependencies!$A$6:$A$216,0)</f>
        <v>172</v>
      </c>
      <c r="F191" s="11" t="n">
        <f aca="false">MATCH(B191,Dependencies!$A$6:$A$216,0)</f>
        <v>95</v>
      </c>
      <c r="G191" s="11" t="n">
        <f aca="false">INDEX(Dependencies!$L$6:$HN$216,F191,E191)</f>
        <v>1</v>
      </c>
    </row>
    <row r="192" customFormat="false" ht="15" hidden="false" customHeight="false" outlineLevel="0" collapsed="false">
      <c r="A192" s="6" t="s">
        <v>747</v>
      </c>
      <c r="B192" s="6" t="s">
        <v>731</v>
      </c>
      <c r="C192" s="11" t="n">
        <f aca="false">VALUE(MID(A192,2,FIND(".",A192)-2))</f>
        <v>14</v>
      </c>
      <c r="D192" s="11" t="n">
        <f aca="false">VALUE(MID(B192,2,FIND(".",B192)-2))</f>
        <v>13</v>
      </c>
      <c r="E192" s="11" t="n">
        <f aca="false">MATCH(A192,Dependencies!$A$6:$A$216,0)</f>
        <v>172</v>
      </c>
      <c r="F192" s="11" t="n">
        <f aca="false">MATCH(B192,Dependencies!$A$6:$A$216,0)</f>
        <v>156</v>
      </c>
      <c r="G192" s="11" t="n">
        <f aca="false">INDEX(Dependencies!$L$6:$HN$216,F192,E192)</f>
        <v>1</v>
      </c>
    </row>
    <row r="193" customFormat="false" ht="15" hidden="false" customHeight="false" outlineLevel="0" collapsed="false">
      <c r="A193" s="6" t="s">
        <v>747</v>
      </c>
      <c r="B193" s="6" t="s">
        <v>746</v>
      </c>
      <c r="C193" s="11" t="n">
        <f aca="false">VALUE(MID(A193,2,FIND(".",A193)-2))</f>
        <v>14</v>
      </c>
      <c r="D193" s="11" t="n">
        <f aca="false">VALUE(MID(B193,2,FIND(".",B193)-2))</f>
        <v>14</v>
      </c>
      <c r="E193" s="11" t="n">
        <f aca="false">MATCH(A193,Dependencies!$A$6:$A$216,0)</f>
        <v>172</v>
      </c>
      <c r="F193" s="11" t="n">
        <f aca="false">MATCH(B193,Dependencies!$A$6:$A$216,0)</f>
        <v>171</v>
      </c>
      <c r="G193" s="11" t="n">
        <f aca="false">INDEX(Dependencies!$L$6:$HN$216,F193,E193)</f>
        <v>1</v>
      </c>
    </row>
    <row r="194" customFormat="false" ht="15" hidden="false" customHeight="false" outlineLevel="0" collapsed="false">
      <c r="A194" s="6" t="s">
        <v>749</v>
      </c>
      <c r="B194" s="6" t="s">
        <v>610</v>
      </c>
      <c r="C194" s="11" t="n">
        <f aca="false">VALUE(MID(A194,2,FIND(".",A194)-2))</f>
        <v>14</v>
      </c>
      <c r="D194" s="11" t="n">
        <f aca="false">VALUE(MID(B194,2,FIND(".",B194)-2))</f>
        <v>5</v>
      </c>
      <c r="E194" s="11" t="n">
        <f aca="false">MATCH(A194,Dependencies!$A$6:$A$216,0)</f>
        <v>174</v>
      </c>
      <c r="F194" s="11" t="n">
        <f aca="false">MATCH(B194,Dependencies!$A$6:$A$216,0)</f>
        <v>35</v>
      </c>
      <c r="G194" s="11" t="n">
        <f aca="false">INDEX(Dependencies!$L$6:$HN$216,F194,E194)</f>
        <v>1</v>
      </c>
    </row>
    <row r="195" customFormat="false" ht="15" hidden="false" customHeight="false" outlineLevel="0" collapsed="false">
      <c r="A195" s="6" t="s">
        <v>749</v>
      </c>
      <c r="B195" s="6" t="s">
        <v>622</v>
      </c>
      <c r="C195" s="11" t="n">
        <f aca="false">VALUE(MID(A195,2,FIND(".",A195)-2))</f>
        <v>14</v>
      </c>
      <c r="D195" s="11" t="n">
        <f aca="false">VALUE(MID(B195,2,FIND(".",B195)-2))</f>
        <v>6</v>
      </c>
      <c r="E195" s="11" t="n">
        <f aca="false">MATCH(A195,Dependencies!$A$6:$A$216,0)</f>
        <v>174</v>
      </c>
      <c r="F195" s="11" t="n">
        <f aca="false">MATCH(B195,Dependencies!$A$6:$A$216,0)</f>
        <v>47</v>
      </c>
      <c r="G195" s="11" t="n">
        <f aca="false">INDEX(Dependencies!$L$6:$HN$216,F195,E195)</f>
        <v>1</v>
      </c>
    </row>
    <row r="196" customFormat="false" ht="15" hidden="false" customHeight="false" outlineLevel="0" collapsed="false">
      <c r="A196" s="6" t="s">
        <v>749</v>
      </c>
      <c r="B196" s="6" t="s">
        <v>735</v>
      </c>
      <c r="C196" s="11" t="n">
        <f aca="false">VALUE(MID(A196,2,FIND(".",A196)-2))</f>
        <v>14</v>
      </c>
      <c r="D196" s="11" t="n">
        <f aca="false">VALUE(MID(B196,2,FIND(".",B196)-2))</f>
        <v>13</v>
      </c>
      <c r="E196" s="11" t="n">
        <f aca="false">MATCH(A196,Dependencies!$A$6:$A$216,0)</f>
        <v>174</v>
      </c>
      <c r="F196" s="11" t="n">
        <f aca="false">MATCH(B196,Dependencies!$A$6:$A$216,0)</f>
        <v>160</v>
      </c>
      <c r="G196" s="11" t="n">
        <f aca="false">INDEX(Dependencies!$L$6:$HN$216,F196,E196)</f>
        <v>1</v>
      </c>
    </row>
    <row r="197" customFormat="false" ht="15" hidden="false" customHeight="false" outlineLevel="0" collapsed="false">
      <c r="A197" s="6" t="s">
        <v>750</v>
      </c>
      <c r="B197" s="6" t="s">
        <v>655</v>
      </c>
      <c r="C197" s="11" t="n">
        <f aca="false">VALUE(MID(A197,2,FIND(".",A197)-2))</f>
        <v>14</v>
      </c>
      <c r="D197" s="11" t="n">
        <f aca="false">VALUE(MID(B197,2,FIND(".",B197)-2))</f>
        <v>8</v>
      </c>
      <c r="E197" s="11" t="n">
        <f aca="false">MATCH(A197,Dependencies!$A$6:$A$216,0)</f>
        <v>175</v>
      </c>
      <c r="F197" s="11" t="n">
        <f aca="false">MATCH(B197,Dependencies!$A$6:$A$216,0)</f>
        <v>80</v>
      </c>
      <c r="G197" s="11" t="n">
        <f aca="false">INDEX(Dependencies!$L$6:$HN$216,F197,E197)</f>
        <v>1</v>
      </c>
    </row>
    <row r="198" customFormat="false" ht="15" hidden="false" customHeight="false" outlineLevel="0" collapsed="false">
      <c r="A198" s="6" t="s">
        <v>750</v>
      </c>
      <c r="B198" s="6" t="s">
        <v>719</v>
      </c>
      <c r="C198" s="11" t="n">
        <f aca="false">VALUE(MID(A198,2,FIND(".",A198)-2))</f>
        <v>14</v>
      </c>
      <c r="D198" s="11" t="n">
        <f aca="false">VALUE(MID(B198,2,FIND(".",B198)-2))</f>
        <v>12</v>
      </c>
      <c r="E198" s="11" t="n">
        <f aca="false">MATCH(A198,Dependencies!$A$6:$A$216,0)</f>
        <v>175</v>
      </c>
      <c r="F198" s="11" t="n">
        <f aca="false">MATCH(B198,Dependencies!$A$6:$A$216,0)</f>
        <v>144</v>
      </c>
      <c r="G198" s="11" t="n">
        <f aca="false">INDEX(Dependencies!$L$6:$HN$216,F198,E198)</f>
        <v>1</v>
      </c>
    </row>
    <row r="199" customFormat="false" ht="15" hidden="false" customHeight="false" outlineLevel="0" collapsed="false">
      <c r="A199" s="6" t="s">
        <v>750</v>
      </c>
      <c r="B199" s="6" t="s">
        <v>737</v>
      </c>
      <c r="C199" s="11" t="n">
        <f aca="false">VALUE(MID(A199,2,FIND(".",A199)-2))</f>
        <v>14</v>
      </c>
      <c r="D199" s="11" t="n">
        <f aca="false">VALUE(MID(B199,2,FIND(".",B199)-2))</f>
        <v>13</v>
      </c>
      <c r="E199" s="11" t="n">
        <f aca="false">MATCH(A199,Dependencies!$A$6:$A$216,0)</f>
        <v>175</v>
      </c>
      <c r="F199" s="11" t="n">
        <f aca="false">MATCH(B199,Dependencies!$A$6:$A$216,0)</f>
        <v>162</v>
      </c>
      <c r="G199" s="11" t="n">
        <f aca="false">INDEX(Dependencies!$L$6:$HN$216,F199,E199)</f>
        <v>1</v>
      </c>
    </row>
    <row r="200" customFormat="false" ht="15" hidden="false" customHeight="false" outlineLevel="0" collapsed="false">
      <c r="A200" s="6" t="s">
        <v>750</v>
      </c>
      <c r="B200" s="6" t="s">
        <v>735</v>
      </c>
      <c r="C200" s="11" t="n">
        <f aca="false">VALUE(MID(A200,2,FIND(".",A200)-2))</f>
        <v>14</v>
      </c>
      <c r="D200" s="11" t="n">
        <f aca="false">VALUE(MID(B200,2,FIND(".",B200)-2))</f>
        <v>13</v>
      </c>
      <c r="E200" s="11" t="n">
        <f aca="false">MATCH(A200,Dependencies!$A$6:$A$216,0)</f>
        <v>175</v>
      </c>
      <c r="F200" s="11" t="n">
        <f aca="false">MATCH(B200,Dependencies!$A$6:$A$216,0)</f>
        <v>160</v>
      </c>
      <c r="G200" s="11" t="n">
        <f aca="false">INDEX(Dependencies!$L$6:$HN$216,F200,E200)</f>
        <v>1</v>
      </c>
    </row>
    <row r="201" customFormat="false" ht="15" hidden="false" customHeight="false" outlineLevel="0" collapsed="false">
      <c r="A201" s="6" t="s">
        <v>750</v>
      </c>
      <c r="B201" s="6" t="s">
        <v>749</v>
      </c>
      <c r="C201" s="11" t="n">
        <f aca="false">VALUE(MID(A201,2,FIND(".",A201)-2))</f>
        <v>14</v>
      </c>
      <c r="D201" s="11" t="n">
        <f aca="false">VALUE(MID(B201,2,FIND(".",B201)-2))</f>
        <v>14</v>
      </c>
      <c r="E201" s="11" t="n">
        <f aca="false">MATCH(A201,Dependencies!$A$6:$A$216,0)</f>
        <v>175</v>
      </c>
      <c r="F201" s="11" t="n">
        <f aca="false">MATCH(B201,Dependencies!$A$6:$A$216,0)</f>
        <v>174</v>
      </c>
      <c r="G201" s="11" t="n">
        <f aca="false">INDEX(Dependencies!$L$6:$HN$216,F201,E201)</f>
        <v>1</v>
      </c>
    </row>
    <row r="202" customFormat="false" ht="15" hidden="false" customHeight="false" outlineLevel="0" collapsed="false">
      <c r="A202" s="6" t="s">
        <v>751</v>
      </c>
      <c r="B202" s="6" t="s">
        <v>606</v>
      </c>
      <c r="C202" s="11" t="n">
        <f aca="false">VALUE(MID(A202,2,FIND(".",A202)-2))</f>
        <v>14</v>
      </c>
      <c r="D202" s="11" t="n">
        <f aca="false">VALUE(MID(B202,2,FIND(".",B202)-2))</f>
        <v>5</v>
      </c>
      <c r="E202" s="11" t="n">
        <f aca="false">MATCH(A202,Dependencies!$A$6:$A$216,0)</f>
        <v>176</v>
      </c>
      <c r="F202" s="11" t="n">
        <f aca="false">MATCH(B202,Dependencies!$A$6:$A$216,0)</f>
        <v>31</v>
      </c>
      <c r="G202" s="11" t="n">
        <f aca="false">INDEX(Dependencies!$L$6:$HN$216,F202,E202)</f>
        <v>1</v>
      </c>
    </row>
    <row r="203" customFormat="false" ht="15" hidden="false" customHeight="false" outlineLevel="0" collapsed="false">
      <c r="A203" s="6" t="s">
        <v>751</v>
      </c>
      <c r="B203" s="6" t="s">
        <v>655</v>
      </c>
      <c r="C203" s="11" t="n">
        <f aca="false">VALUE(MID(A203,2,FIND(".",A203)-2))</f>
        <v>14</v>
      </c>
      <c r="D203" s="11" t="n">
        <f aca="false">VALUE(MID(B203,2,FIND(".",B203)-2))</f>
        <v>8</v>
      </c>
      <c r="E203" s="11" t="n">
        <f aca="false">MATCH(A203,Dependencies!$A$6:$A$216,0)</f>
        <v>176</v>
      </c>
      <c r="F203" s="11" t="n">
        <f aca="false">MATCH(B203,Dependencies!$A$6:$A$216,0)</f>
        <v>80</v>
      </c>
      <c r="G203" s="11" t="n">
        <f aca="false">INDEX(Dependencies!$L$6:$HN$216,F203,E203)</f>
        <v>1</v>
      </c>
    </row>
    <row r="204" customFormat="false" ht="15" hidden="false" customHeight="false" outlineLevel="0" collapsed="false">
      <c r="A204" s="6" t="s">
        <v>751</v>
      </c>
      <c r="B204" s="6" t="s">
        <v>658</v>
      </c>
      <c r="C204" s="11" t="n">
        <f aca="false">VALUE(MID(A204,2,FIND(".",A204)-2))</f>
        <v>14</v>
      </c>
      <c r="D204" s="11" t="n">
        <f aca="false">VALUE(MID(B204,2,FIND(".",B204)-2))</f>
        <v>8</v>
      </c>
      <c r="E204" s="11" t="n">
        <f aca="false">MATCH(A204,Dependencies!$A$6:$A$216,0)</f>
        <v>176</v>
      </c>
      <c r="F204" s="11" t="n">
        <f aca="false">MATCH(B204,Dependencies!$A$6:$A$216,0)</f>
        <v>83</v>
      </c>
      <c r="G204" s="11" t="n">
        <f aca="false">INDEX(Dependencies!$L$6:$HN$216,F204,E204)</f>
        <v>1</v>
      </c>
    </row>
    <row r="205" customFormat="false" ht="15" hidden="false" customHeight="false" outlineLevel="0" collapsed="false">
      <c r="A205" s="6" t="s">
        <v>753</v>
      </c>
      <c r="B205" s="6" t="s">
        <v>749</v>
      </c>
      <c r="C205" s="11" t="n">
        <f aca="false">VALUE(MID(A205,2,FIND(".",A205)-2))</f>
        <v>14</v>
      </c>
      <c r="D205" s="11" t="n">
        <f aca="false">VALUE(MID(B205,2,FIND(".",B205)-2))</f>
        <v>14</v>
      </c>
      <c r="E205" s="11" t="n">
        <f aca="false">MATCH(A205,Dependencies!$A$6:$A$216,0)</f>
        <v>178</v>
      </c>
      <c r="F205" s="11" t="n">
        <f aca="false">MATCH(B205,Dependencies!$A$6:$A$216,0)</f>
        <v>174</v>
      </c>
      <c r="G205" s="11" t="n">
        <f aca="false">INDEX(Dependencies!$L$6:$HN$216,F205,E205)</f>
        <v>1</v>
      </c>
    </row>
    <row r="206" customFormat="false" ht="15" hidden="false" customHeight="false" outlineLevel="0" collapsed="false">
      <c r="A206" s="6" t="s">
        <v>754</v>
      </c>
      <c r="B206" s="6" t="s">
        <v>610</v>
      </c>
      <c r="C206" s="11" t="n">
        <f aca="false">VALUE(MID(A206,2,FIND(".",A206)-2))</f>
        <v>14</v>
      </c>
      <c r="D206" s="11" t="n">
        <f aca="false">VALUE(MID(B206,2,FIND(".",B206)-2))</f>
        <v>5</v>
      </c>
      <c r="E206" s="11" t="n">
        <f aca="false">MATCH(A206,Dependencies!$A$6:$A$216,0)</f>
        <v>179</v>
      </c>
      <c r="F206" s="11" t="n">
        <f aca="false">MATCH(B206,Dependencies!$A$6:$A$216,0)</f>
        <v>35</v>
      </c>
      <c r="G206" s="11" t="n">
        <f aca="false">INDEX(Dependencies!$L$6:$HN$216,F206,E206)</f>
        <v>1</v>
      </c>
    </row>
    <row r="207" customFormat="false" ht="15" hidden="false" customHeight="false" outlineLevel="0" collapsed="false">
      <c r="A207" s="6" t="s">
        <v>754</v>
      </c>
      <c r="B207" s="6" t="s">
        <v>624</v>
      </c>
      <c r="C207" s="11" t="n">
        <f aca="false">VALUE(MID(A207,2,FIND(".",A207)-2))</f>
        <v>14</v>
      </c>
      <c r="D207" s="11" t="n">
        <f aca="false">VALUE(MID(B207,2,FIND(".",B207)-2))</f>
        <v>6</v>
      </c>
      <c r="E207" s="11" t="n">
        <f aca="false">MATCH(A207,Dependencies!$A$6:$A$216,0)</f>
        <v>179</v>
      </c>
      <c r="F207" s="11" t="n">
        <f aca="false">MATCH(B207,Dependencies!$A$6:$A$216,0)</f>
        <v>49</v>
      </c>
      <c r="G207" s="11" t="n">
        <f aca="false">INDEX(Dependencies!$L$6:$HN$216,F207,E207)</f>
        <v>1</v>
      </c>
    </row>
    <row r="208" customFormat="false" ht="15" hidden="false" customHeight="false" outlineLevel="0" collapsed="false">
      <c r="A208" s="6" t="s">
        <v>754</v>
      </c>
      <c r="B208" s="6" t="s">
        <v>729</v>
      </c>
      <c r="C208" s="11" t="n">
        <f aca="false">VALUE(MID(A208,2,FIND(".",A208)-2))</f>
        <v>14</v>
      </c>
      <c r="D208" s="11" t="n">
        <f aca="false">VALUE(MID(B208,2,FIND(".",B208)-2))</f>
        <v>13</v>
      </c>
      <c r="E208" s="11" t="n">
        <f aca="false">MATCH(A208,Dependencies!$A$6:$A$216,0)</f>
        <v>179</v>
      </c>
      <c r="F208" s="11" t="n">
        <f aca="false">MATCH(B208,Dependencies!$A$6:$A$216,0)</f>
        <v>154</v>
      </c>
      <c r="G208" s="11" t="n">
        <f aca="false">INDEX(Dependencies!$L$6:$HN$216,F208,E208)</f>
        <v>1</v>
      </c>
    </row>
    <row r="209" customFormat="false" ht="15" hidden="false" customHeight="false" outlineLevel="0" collapsed="false">
      <c r="A209" s="6" t="s">
        <v>754</v>
      </c>
      <c r="B209" s="6" t="s">
        <v>735</v>
      </c>
      <c r="C209" s="11" t="n">
        <f aca="false">VALUE(MID(A209,2,FIND(".",A209)-2))</f>
        <v>14</v>
      </c>
      <c r="D209" s="11" t="n">
        <f aca="false">VALUE(MID(B209,2,FIND(".",B209)-2))</f>
        <v>13</v>
      </c>
      <c r="E209" s="11" t="n">
        <f aca="false">MATCH(A209,Dependencies!$A$6:$A$216,0)</f>
        <v>179</v>
      </c>
      <c r="F209" s="11" t="n">
        <f aca="false">MATCH(B209,Dependencies!$A$6:$A$216,0)</f>
        <v>160</v>
      </c>
      <c r="G209" s="11" t="n">
        <f aca="false">INDEX(Dependencies!$L$6:$HN$216,F209,E209)</f>
        <v>1</v>
      </c>
    </row>
    <row r="210" customFormat="false" ht="15" hidden="false" customHeight="false" outlineLevel="0" collapsed="false">
      <c r="A210" s="6" t="s">
        <v>754</v>
      </c>
      <c r="B210" s="6" t="s">
        <v>749</v>
      </c>
      <c r="C210" s="11" t="n">
        <f aca="false">VALUE(MID(A210,2,FIND(".",A210)-2))</f>
        <v>14</v>
      </c>
      <c r="D210" s="11" t="n">
        <f aca="false">VALUE(MID(B210,2,FIND(".",B210)-2))</f>
        <v>14</v>
      </c>
      <c r="E210" s="11" t="n">
        <f aca="false">MATCH(A210,Dependencies!$A$6:$A$216,0)</f>
        <v>179</v>
      </c>
      <c r="F210" s="11" t="n">
        <f aca="false">MATCH(B210,Dependencies!$A$6:$A$216,0)</f>
        <v>174</v>
      </c>
      <c r="G210" s="11" t="n">
        <f aca="false">INDEX(Dependencies!$L$6:$HN$216,F210,E210)</f>
        <v>1</v>
      </c>
    </row>
    <row r="211" customFormat="false" ht="15" hidden="false" customHeight="false" outlineLevel="0" collapsed="false">
      <c r="A211" s="6" t="s">
        <v>754</v>
      </c>
      <c r="B211" s="6" t="s">
        <v>753</v>
      </c>
      <c r="C211" s="11" t="n">
        <f aca="false">VALUE(MID(A211,2,FIND(".",A211)-2))</f>
        <v>14</v>
      </c>
      <c r="D211" s="11" t="n">
        <f aca="false">VALUE(MID(B211,2,FIND(".",B211)-2))</f>
        <v>14</v>
      </c>
      <c r="E211" s="11" t="n">
        <f aca="false">MATCH(A211,Dependencies!$A$6:$A$216,0)</f>
        <v>179</v>
      </c>
      <c r="F211" s="11" t="n">
        <f aca="false">MATCH(B211,Dependencies!$A$6:$A$216,0)</f>
        <v>178</v>
      </c>
      <c r="G211" s="11" t="n">
        <f aca="false">INDEX(Dependencies!$L$6:$HN$216,F211,E211)</f>
        <v>1</v>
      </c>
    </row>
    <row r="212" customFormat="false" ht="15" hidden="false" customHeight="false" outlineLevel="0" collapsed="false">
      <c r="A212" s="6" t="s">
        <v>755</v>
      </c>
      <c r="B212" s="6" t="s">
        <v>607</v>
      </c>
      <c r="C212" s="11" t="n">
        <f aca="false">VALUE(MID(A212,2,FIND(".",A212)-2))</f>
        <v>14</v>
      </c>
      <c r="D212" s="11" t="n">
        <f aca="false">VALUE(MID(B212,2,FIND(".",B212)-2))</f>
        <v>5</v>
      </c>
      <c r="E212" s="11" t="n">
        <f aca="false">MATCH(A212,Dependencies!$A$6:$A$216,0)</f>
        <v>180</v>
      </c>
      <c r="F212" s="11" t="n">
        <f aca="false">MATCH(B212,Dependencies!$A$6:$A$216,0)</f>
        <v>32</v>
      </c>
      <c r="G212" s="11" t="n">
        <f aca="false">INDEX(Dependencies!$L$6:$HN$216,F212,E212)</f>
        <v>1</v>
      </c>
    </row>
    <row r="213" customFormat="false" ht="15" hidden="false" customHeight="false" outlineLevel="0" collapsed="false">
      <c r="A213" s="6" t="s">
        <v>755</v>
      </c>
      <c r="B213" s="6" t="s">
        <v>606</v>
      </c>
      <c r="C213" s="11" t="n">
        <f aca="false">VALUE(MID(A213,2,FIND(".",A213)-2))</f>
        <v>14</v>
      </c>
      <c r="D213" s="11" t="n">
        <f aca="false">VALUE(MID(B213,2,FIND(".",B213)-2))</f>
        <v>5</v>
      </c>
      <c r="E213" s="11" t="n">
        <f aca="false">MATCH(A213,Dependencies!$A$6:$A$216,0)</f>
        <v>180</v>
      </c>
      <c r="F213" s="11" t="n">
        <f aca="false">MATCH(B213,Dependencies!$A$6:$A$216,0)</f>
        <v>31</v>
      </c>
      <c r="G213" s="11" t="n">
        <f aca="false">INDEX(Dependencies!$L$6:$HN$216,F213,E213)</f>
        <v>1</v>
      </c>
    </row>
    <row r="214" customFormat="false" ht="15" hidden="false" customHeight="false" outlineLevel="0" collapsed="false">
      <c r="A214" s="6" t="s">
        <v>755</v>
      </c>
      <c r="B214" s="6" t="s">
        <v>620</v>
      </c>
      <c r="C214" s="11" t="n">
        <f aca="false">VALUE(MID(A214,2,FIND(".",A214)-2))</f>
        <v>14</v>
      </c>
      <c r="D214" s="11" t="n">
        <f aca="false">VALUE(MID(B214,2,FIND(".",B214)-2))</f>
        <v>6</v>
      </c>
      <c r="E214" s="11" t="n">
        <f aca="false">MATCH(A214,Dependencies!$A$6:$A$216,0)</f>
        <v>180</v>
      </c>
      <c r="F214" s="11" t="n">
        <f aca="false">MATCH(B214,Dependencies!$A$6:$A$216,0)</f>
        <v>45</v>
      </c>
      <c r="G214" s="11" t="n">
        <f aca="false">INDEX(Dependencies!$L$6:$HN$216,F214,E214)</f>
        <v>1</v>
      </c>
    </row>
    <row r="215" customFormat="false" ht="15" hidden="false" customHeight="false" outlineLevel="0" collapsed="false">
      <c r="A215" s="6" t="s">
        <v>755</v>
      </c>
      <c r="B215" s="6" t="s">
        <v>651</v>
      </c>
      <c r="C215" s="11" t="n">
        <f aca="false">VALUE(MID(A215,2,FIND(".",A215)-2))</f>
        <v>14</v>
      </c>
      <c r="D215" s="11" t="n">
        <f aca="false">VALUE(MID(B215,2,FIND(".",B215)-2))</f>
        <v>8</v>
      </c>
      <c r="E215" s="11" t="n">
        <f aca="false">MATCH(A215,Dependencies!$A$6:$A$216,0)</f>
        <v>180</v>
      </c>
      <c r="F215" s="11" t="n">
        <f aca="false">MATCH(B215,Dependencies!$A$6:$A$216,0)</f>
        <v>76</v>
      </c>
      <c r="G215" s="11" t="n">
        <f aca="false">INDEX(Dependencies!$L$6:$HN$216,F215,E215)</f>
        <v>1</v>
      </c>
    </row>
    <row r="216" customFormat="false" ht="15" hidden="false" customHeight="false" outlineLevel="0" collapsed="false">
      <c r="A216" s="6" t="s">
        <v>755</v>
      </c>
      <c r="B216" s="6" t="s">
        <v>653</v>
      </c>
      <c r="C216" s="11" t="n">
        <f aca="false">VALUE(MID(A216,2,FIND(".",A216)-2))</f>
        <v>14</v>
      </c>
      <c r="D216" s="11" t="n">
        <f aca="false">VALUE(MID(B216,2,FIND(".",B216)-2))</f>
        <v>8</v>
      </c>
      <c r="E216" s="11" t="n">
        <f aca="false">MATCH(A216,Dependencies!$A$6:$A$216,0)</f>
        <v>180</v>
      </c>
      <c r="F216" s="11" t="n">
        <f aca="false">MATCH(B216,Dependencies!$A$6:$A$216,0)</f>
        <v>78</v>
      </c>
      <c r="G216" s="11" t="n">
        <f aca="false">INDEX(Dependencies!$L$6:$HN$216,F216,E216)</f>
        <v>1</v>
      </c>
    </row>
    <row r="217" customFormat="false" ht="15" hidden="false" customHeight="false" outlineLevel="0" collapsed="false">
      <c r="A217" s="6" t="s">
        <v>755</v>
      </c>
      <c r="B217" s="6" t="s">
        <v>729</v>
      </c>
      <c r="C217" s="11" t="n">
        <f aca="false">VALUE(MID(A217,2,FIND(".",A217)-2))</f>
        <v>14</v>
      </c>
      <c r="D217" s="11" t="n">
        <f aca="false">VALUE(MID(B217,2,FIND(".",B217)-2))</f>
        <v>13</v>
      </c>
      <c r="E217" s="11" t="n">
        <f aca="false">MATCH(A217,Dependencies!$A$6:$A$216,0)</f>
        <v>180</v>
      </c>
      <c r="F217" s="11" t="n">
        <f aca="false">MATCH(B217,Dependencies!$A$6:$A$216,0)</f>
        <v>154</v>
      </c>
      <c r="G217" s="11" t="n">
        <f aca="false">INDEX(Dependencies!$L$6:$HN$216,F217,E217)</f>
        <v>1</v>
      </c>
    </row>
    <row r="218" customFormat="false" ht="15" hidden="false" customHeight="false" outlineLevel="0" collapsed="false">
      <c r="A218" s="6" t="s">
        <v>755</v>
      </c>
      <c r="B218" s="6" t="s">
        <v>749</v>
      </c>
      <c r="C218" s="11" t="n">
        <f aca="false">VALUE(MID(A218,2,FIND(".",A218)-2))</f>
        <v>14</v>
      </c>
      <c r="D218" s="11" t="n">
        <f aca="false">VALUE(MID(B218,2,FIND(".",B218)-2))</f>
        <v>14</v>
      </c>
      <c r="E218" s="11" t="n">
        <f aca="false">MATCH(A218,Dependencies!$A$6:$A$216,0)</f>
        <v>180</v>
      </c>
      <c r="F218" s="11" t="n">
        <f aca="false">MATCH(B218,Dependencies!$A$6:$A$216,0)</f>
        <v>174</v>
      </c>
      <c r="G218" s="11" t="n">
        <f aca="false">INDEX(Dependencies!$L$6:$HN$216,F218,E218)</f>
        <v>1</v>
      </c>
    </row>
    <row r="219" customFormat="false" ht="15" hidden="false" customHeight="false" outlineLevel="0" collapsed="false">
      <c r="A219" s="6" t="s">
        <v>755</v>
      </c>
      <c r="B219" s="6" t="s">
        <v>753</v>
      </c>
      <c r="C219" s="11" t="n">
        <f aca="false">VALUE(MID(A219,2,FIND(".",A219)-2))</f>
        <v>14</v>
      </c>
      <c r="D219" s="11" t="n">
        <f aca="false">VALUE(MID(B219,2,FIND(".",B219)-2))</f>
        <v>14</v>
      </c>
      <c r="E219" s="11" t="n">
        <f aca="false">MATCH(A219,Dependencies!$A$6:$A$216,0)</f>
        <v>180</v>
      </c>
      <c r="F219" s="11" t="n">
        <f aca="false">MATCH(B219,Dependencies!$A$6:$A$216,0)</f>
        <v>178</v>
      </c>
      <c r="G219" s="11" t="n">
        <f aca="false">INDEX(Dependencies!$L$6:$HN$216,F219,E219)</f>
        <v>1</v>
      </c>
    </row>
    <row r="220" customFormat="false" ht="15" hidden="false" customHeight="false" outlineLevel="0" collapsed="false">
      <c r="A220" s="6" t="s">
        <v>756</v>
      </c>
      <c r="B220" s="6" t="s">
        <v>588</v>
      </c>
      <c r="C220" s="11" t="n">
        <f aca="false">VALUE(MID(A220,2,FIND(".",A220)-2))</f>
        <v>14</v>
      </c>
      <c r="D220" s="11" t="n">
        <f aca="false">VALUE(MID(B220,2,FIND(".",B220)-2))</f>
        <v>3</v>
      </c>
      <c r="E220" s="11" t="n">
        <f aca="false">MATCH(A220,Dependencies!$A$6:$A$216,0)</f>
        <v>181</v>
      </c>
      <c r="F220" s="11" t="n">
        <f aca="false">MATCH(B220,Dependencies!$A$6:$A$216,0)</f>
        <v>13</v>
      </c>
      <c r="G220" s="11" t="n">
        <f aca="false">INDEX(Dependencies!$L$6:$HN$216,F220,E220)</f>
        <v>1</v>
      </c>
    </row>
    <row r="221" customFormat="false" ht="15" hidden="false" customHeight="false" outlineLevel="0" collapsed="false">
      <c r="A221" s="6" t="s">
        <v>756</v>
      </c>
      <c r="B221" s="6" t="s">
        <v>624</v>
      </c>
      <c r="C221" s="11" t="n">
        <f aca="false">VALUE(MID(A221,2,FIND(".",A221)-2))</f>
        <v>14</v>
      </c>
      <c r="D221" s="11" t="n">
        <f aca="false">VALUE(MID(B221,2,FIND(".",B221)-2))</f>
        <v>6</v>
      </c>
      <c r="E221" s="11" t="n">
        <f aca="false">MATCH(A221,Dependencies!$A$6:$A$216,0)</f>
        <v>181</v>
      </c>
      <c r="F221" s="11" t="n">
        <f aca="false">MATCH(B221,Dependencies!$A$6:$A$216,0)</f>
        <v>49</v>
      </c>
      <c r="G221" s="11" t="n">
        <f aca="false">INDEX(Dependencies!$L$6:$HN$216,F221,E221)</f>
        <v>1</v>
      </c>
    </row>
    <row r="222" customFormat="false" ht="15" hidden="false" customHeight="false" outlineLevel="0" collapsed="false">
      <c r="A222" s="6" t="s">
        <v>756</v>
      </c>
      <c r="B222" s="6" t="s">
        <v>736</v>
      </c>
      <c r="C222" s="11" t="n">
        <f aca="false">VALUE(MID(A222,2,FIND(".",A222)-2))</f>
        <v>14</v>
      </c>
      <c r="D222" s="11" t="n">
        <f aca="false">VALUE(MID(B222,2,FIND(".",B222)-2))</f>
        <v>13</v>
      </c>
      <c r="E222" s="11" t="n">
        <f aca="false">MATCH(A222,Dependencies!$A$6:$A$216,0)</f>
        <v>181</v>
      </c>
      <c r="F222" s="11" t="n">
        <f aca="false">MATCH(B222,Dependencies!$A$6:$A$216,0)</f>
        <v>161</v>
      </c>
      <c r="G222" s="11" t="n">
        <f aca="false">INDEX(Dependencies!$L$6:$HN$216,F222,E222)</f>
        <v>1</v>
      </c>
    </row>
    <row r="223" customFormat="false" ht="15" hidden="false" customHeight="false" outlineLevel="0" collapsed="false">
      <c r="A223" s="6" t="s">
        <v>756</v>
      </c>
      <c r="B223" s="6" t="s">
        <v>755</v>
      </c>
      <c r="C223" s="11" t="n">
        <f aca="false">VALUE(MID(A223,2,FIND(".",A223)-2))</f>
        <v>14</v>
      </c>
      <c r="D223" s="11" t="n">
        <f aca="false">VALUE(MID(B223,2,FIND(".",B223)-2))</f>
        <v>14</v>
      </c>
      <c r="E223" s="11" t="n">
        <f aca="false">MATCH(A223,Dependencies!$A$6:$A$216,0)</f>
        <v>181</v>
      </c>
      <c r="F223" s="11" t="n">
        <f aca="false">MATCH(B223,Dependencies!$A$6:$A$216,0)</f>
        <v>180</v>
      </c>
      <c r="G223" s="11" t="n">
        <f aca="false">INDEX(Dependencies!$L$6:$HN$216,F223,E223)</f>
        <v>1</v>
      </c>
    </row>
    <row r="224" customFormat="false" ht="15" hidden="false" customHeight="false" outlineLevel="0" collapsed="false">
      <c r="A224" s="6" t="s">
        <v>756</v>
      </c>
      <c r="B224" s="6" t="s">
        <v>743</v>
      </c>
      <c r="C224" s="11" t="n">
        <f aca="false">VALUE(MID(A224,2,FIND(".",A224)-2))</f>
        <v>14</v>
      </c>
      <c r="D224" s="11" t="n">
        <f aca="false">VALUE(MID(B224,2,FIND(".",B224)-2))</f>
        <v>14</v>
      </c>
      <c r="E224" s="11" t="n">
        <f aca="false">MATCH(A224,Dependencies!$A$6:$A$216,0)</f>
        <v>181</v>
      </c>
      <c r="F224" s="11" t="n">
        <f aca="false">MATCH(B224,Dependencies!$A$6:$A$216,0)</f>
        <v>168</v>
      </c>
      <c r="G224" s="11" t="n">
        <f aca="false">INDEX(Dependencies!$L$6:$HN$216,F224,E224)</f>
        <v>1</v>
      </c>
    </row>
    <row r="225" customFormat="false" ht="15" hidden="false" customHeight="false" outlineLevel="0" collapsed="false">
      <c r="A225" s="6" t="s">
        <v>756</v>
      </c>
      <c r="B225" s="6" t="s">
        <v>747</v>
      </c>
      <c r="C225" s="11" t="n">
        <f aca="false">VALUE(MID(A225,2,FIND(".",A225)-2))</f>
        <v>14</v>
      </c>
      <c r="D225" s="11" t="n">
        <f aca="false">VALUE(MID(B225,2,FIND(".",B225)-2))</f>
        <v>14</v>
      </c>
      <c r="E225" s="11" t="n">
        <f aca="false">MATCH(A225,Dependencies!$A$6:$A$216,0)</f>
        <v>181</v>
      </c>
      <c r="F225" s="11" t="n">
        <f aca="false">MATCH(B225,Dependencies!$A$6:$A$216,0)</f>
        <v>172</v>
      </c>
      <c r="G225" s="11" t="n">
        <f aca="false">INDEX(Dependencies!$L$6:$HN$216,F225,E225)</f>
        <v>1</v>
      </c>
    </row>
    <row r="226" customFormat="false" ht="15" hidden="false" customHeight="false" outlineLevel="0" collapsed="false">
      <c r="A226" s="6" t="s">
        <v>756</v>
      </c>
      <c r="B226" s="6" t="s">
        <v>744</v>
      </c>
      <c r="C226" s="11" t="n">
        <f aca="false">VALUE(MID(A226,2,FIND(".",A226)-2))</f>
        <v>14</v>
      </c>
      <c r="D226" s="11" t="n">
        <f aca="false">VALUE(MID(B226,2,FIND(".",B226)-2))</f>
        <v>14</v>
      </c>
      <c r="E226" s="11" t="n">
        <f aca="false">MATCH(A226,Dependencies!$A$6:$A$216,0)</f>
        <v>181</v>
      </c>
      <c r="F226" s="11" t="n">
        <f aca="false">MATCH(B226,Dependencies!$A$6:$A$216,0)</f>
        <v>169</v>
      </c>
      <c r="G226" s="11" t="n">
        <f aca="false">INDEX(Dependencies!$L$6:$HN$216,F226,E226)</f>
        <v>1</v>
      </c>
    </row>
    <row r="227" customFormat="false" ht="15" hidden="false" customHeight="false" outlineLevel="0" collapsed="false">
      <c r="A227" s="6" t="s">
        <v>756</v>
      </c>
      <c r="B227" s="6" t="s">
        <v>746</v>
      </c>
      <c r="C227" s="11" t="n">
        <f aca="false">VALUE(MID(A227,2,FIND(".",A227)-2))</f>
        <v>14</v>
      </c>
      <c r="D227" s="11" t="n">
        <f aca="false">VALUE(MID(B227,2,FIND(".",B227)-2))</f>
        <v>14</v>
      </c>
      <c r="E227" s="11" t="n">
        <f aca="false">MATCH(A227,Dependencies!$A$6:$A$216,0)</f>
        <v>181</v>
      </c>
      <c r="F227" s="11" t="n">
        <f aca="false">MATCH(B227,Dependencies!$A$6:$A$216,0)</f>
        <v>171</v>
      </c>
      <c r="G227" s="11" t="n">
        <f aca="false">INDEX(Dependencies!$L$6:$HN$216,F227,E227)</f>
        <v>1</v>
      </c>
    </row>
    <row r="228" customFormat="false" ht="15" hidden="false" customHeight="false" outlineLevel="0" collapsed="false">
      <c r="A228" s="6" t="s">
        <v>757</v>
      </c>
      <c r="B228" s="6" t="s">
        <v>725</v>
      </c>
      <c r="C228" s="11" t="n">
        <f aca="false">VALUE(MID(A228,2,FIND(".",A228)-2))</f>
        <v>14</v>
      </c>
      <c r="D228" s="11" t="n">
        <f aca="false">VALUE(MID(B228,2,FIND(".",B228)-2))</f>
        <v>12</v>
      </c>
      <c r="E228" s="11" t="n">
        <f aca="false">MATCH(A228,Dependencies!$A$6:$A$216,0)</f>
        <v>182</v>
      </c>
      <c r="F228" s="11" t="n">
        <f aca="false">MATCH(B228,Dependencies!$A$6:$A$216,0)</f>
        <v>150</v>
      </c>
      <c r="G228" s="11" t="n">
        <f aca="false">INDEX(Dependencies!$L$6:$HN$216,F228,E228)</f>
        <v>1</v>
      </c>
    </row>
    <row r="229" customFormat="false" ht="15" hidden="false" customHeight="false" outlineLevel="0" collapsed="false">
      <c r="A229" s="6" t="s">
        <v>757</v>
      </c>
      <c r="B229" s="6" t="s">
        <v>752</v>
      </c>
      <c r="C229" s="11" t="n">
        <f aca="false">VALUE(MID(A229,2,FIND(".",A229)-2))</f>
        <v>14</v>
      </c>
      <c r="D229" s="11" t="n">
        <f aca="false">VALUE(MID(B229,2,FIND(".",B229)-2))</f>
        <v>14</v>
      </c>
      <c r="E229" s="11" t="n">
        <f aca="false">MATCH(A229,Dependencies!$A$6:$A$216,0)</f>
        <v>182</v>
      </c>
      <c r="F229" s="11" t="n">
        <f aca="false">MATCH(B229,Dependencies!$A$6:$A$216,0)</f>
        <v>177</v>
      </c>
      <c r="G229" s="11" t="n">
        <f aca="false">INDEX(Dependencies!$L$6:$HN$216,F229,E229)</f>
        <v>1</v>
      </c>
    </row>
    <row r="230" customFormat="false" ht="15" hidden="false" customHeight="false" outlineLevel="0" collapsed="false">
      <c r="A230" s="6" t="s">
        <v>758</v>
      </c>
      <c r="B230" s="6" t="s">
        <v>734</v>
      </c>
      <c r="C230" s="11" t="n">
        <f aca="false">VALUE(MID(A230,2,FIND(".",A230)-2))</f>
        <v>15</v>
      </c>
      <c r="D230" s="11" t="n">
        <f aca="false">VALUE(MID(B230,2,FIND(".",B230)-2))</f>
        <v>13</v>
      </c>
      <c r="E230" s="11" t="n">
        <f aca="false">MATCH(A230,Dependencies!$A$6:$A$216,0)</f>
        <v>183</v>
      </c>
      <c r="F230" s="11" t="n">
        <f aca="false">MATCH(B230,Dependencies!$A$6:$A$216,0)</f>
        <v>159</v>
      </c>
      <c r="G230" s="11" t="n">
        <f aca="false">INDEX(Dependencies!$L$6:$HN$216,F230,E230)</f>
        <v>1</v>
      </c>
    </row>
    <row r="231" customFormat="false" ht="15" hidden="false" customHeight="false" outlineLevel="0" collapsed="false">
      <c r="A231" s="6" t="s">
        <v>759</v>
      </c>
      <c r="B231" s="6" t="s">
        <v>634</v>
      </c>
      <c r="C231" s="11" t="n">
        <f aca="false">VALUE(MID(A231,2,FIND(".",A231)-2))</f>
        <v>15</v>
      </c>
      <c r="D231" s="11" t="n">
        <f aca="false">VALUE(MID(B231,2,FIND(".",B231)-2))</f>
        <v>7</v>
      </c>
      <c r="E231" s="11" t="n">
        <f aca="false">MATCH(A231,Dependencies!$A$6:$A$216,0)</f>
        <v>184</v>
      </c>
      <c r="F231" s="11" t="n">
        <f aca="false">MATCH(B231,Dependencies!$A$6:$A$216,0)</f>
        <v>59</v>
      </c>
      <c r="G231" s="11" t="n">
        <f aca="false">INDEX(Dependencies!$L$6:$HN$216,F231,E231)</f>
        <v>1</v>
      </c>
    </row>
    <row r="232" customFormat="false" ht="15" hidden="false" customHeight="false" outlineLevel="0" collapsed="false">
      <c r="A232" s="6" t="s">
        <v>759</v>
      </c>
      <c r="B232" s="6" t="s">
        <v>693</v>
      </c>
      <c r="C232" s="11" t="n">
        <f aca="false">VALUE(MID(A232,2,FIND(".",A232)-2))</f>
        <v>15</v>
      </c>
      <c r="D232" s="11" t="n">
        <f aca="false">VALUE(MID(B232,2,FIND(".",B232)-2))</f>
        <v>10</v>
      </c>
      <c r="E232" s="11" t="n">
        <f aca="false">MATCH(A232,Dependencies!$A$6:$A$216,0)</f>
        <v>184</v>
      </c>
      <c r="F232" s="11" t="n">
        <f aca="false">MATCH(B232,Dependencies!$A$6:$A$216,0)</f>
        <v>118</v>
      </c>
      <c r="G232" s="11" t="n">
        <f aca="false">INDEX(Dependencies!$L$6:$HN$216,F232,E232)</f>
        <v>1</v>
      </c>
    </row>
    <row r="233" customFormat="false" ht="15" hidden="false" customHeight="false" outlineLevel="0" collapsed="false">
      <c r="A233" s="6" t="s">
        <v>759</v>
      </c>
      <c r="B233" s="6" t="s">
        <v>716</v>
      </c>
      <c r="C233" s="11" t="n">
        <f aca="false">VALUE(MID(A233,2,FIND(".",A233)-2))</f>
        <v>15</v>
      </c>
      <c r="D233" s="11" t="n">
        <f aca="false">VALUE(MID(B233,2,FIND(".",B233)-2))</f>
        <v>12</v>
      </c>
      <c r="E233" s="11" t="n">
        <f aca="false">MATCH(A233,Dependencies!$A$6:$A$216,0)</f>
        <v>184</v>
      </c>
      <c r="F233" s="11" t="n">
        <f aca="false">MATCH(B233,Dependencies!$A$6:$A$216,0)</f>
        <v>141</v>
      </c>
      <c r="G233" s="11" t="n">
        <f aca="false">INDEX(Dependencies!$L$6:$HN$216,F233,E233)</f>
        <v>1</v>
      </c>
    </row>
    <row r="234" customFormat="false" ht="15" hidden="false" customHeight="false" outlineLevel="0" collapsed="false">
      <c r="A234" s="6" t="s">
        <v>760</v>
      </c>
      <c r="B234" s="6" t="s">
        <v>651</v>
      </c>
      <c r="C234" s="11" t="n">
        <f aca="false">VALUE(MID(A234,2,FIND(".",A234)-2))</f>
        <v>15</v>
      </c>
      <c r="D234" s="11" t="n">
        <f aca="false">VALUE(MID(B234,2,FIND(".",B234)-2))</f>
        <v>8</v>
      </c>
      <c r="E234" s="11" t="n">
        <f aca="false">MATCH(A234,Dependencies!$A$6:$A$216,0)</f>
        <v>185</v>
      </c>
      <c r="F234" s="11" t="n">
        <f aca="false">MATCH(B234,Dependencies!$A$6:$A$216,0)</f>
        <v>76</v>
      </c>
      <c r="G234" s="11" t="n">
        <f aca="false">INDEX(Dependencies!$L$6:$HN$216,F234,E234)</f>
        <v>1</v>
      </c>
    </row>
    <row r="235" customFormat="false" ht="15" hidden="false" customHeight="false" outlineLevel="0" collapsed="false">
      <c r="A235" s="6" t="s">
        <v>760</v>
      </c>
      <c r="B235" s="6" t="s">
        <v>653</v>
      </c>
      <c r="C235" s="11" t="n">
        <f aca="false">VALUE(MID(A235,2,FIND(".",A235)-2))</f>
        <v>15</v>
      </c>
      <c r="D235" s="11" t="n">
        <f aca="false">VALUE(MID(B235,2,FIND(".",B235)-2))</f>
        <v>8</v>
      </c>
      <c r="E235" s="11" t="n">
        <f aca="false">MATCH(A235,Dependencies!$A$6:$A$216,0)</f>
        <v>185</v>
      </c>
      <c r="F235" s="11" t="n">
        <f aca="false">MATCH(B235,Dependencies!$A$6:$A$216,0)</f>
        <v>78</v>
      </c>
      <c r="G235" s="11" t="n">
        <f aca="false">INDEX(Dependencies!$L$6:$HN$216,F235,E235)</f>
        <v>1</v>
      </c>
    </row>
    <row r="236" customFormat="false" ht="15" hidden="false" customHeight="false" outlineLevel="0" collapsed="false">
      <c r="A236" s="6" t="s">
        <v>761</v>
      </c>
      <c r="B236" s="6" t="s">
        <v>746</v>
      </c>
      <c r="C236" s="11" t="n">
        <f aca="false">VALUE(MID(A236,2,FIND(".",A236)-2))</f>
        <v>15</v>
      </c>
      <c r="D236" s="11" t="n">
        <f aca="false">VALUE(MID(B236,2,FIND(".",B236)-2))</f>
        <v>14</v>
      </c>
      <c r="E236" s="11" t="n">
        <f aca="false">MATCH(A236,Dependencies!$A$6:$A$216,0)</f>
        <v>186</v>
      </c>
      <c r="F236" s="11" t="n">
        <f aca="false">MATCH(B236,Dependencies!$A$6:$A$216,0)</f>
        <v>171</v>
      </c>
      <c r="G236" s="11" t="n">
        <f aca="false">INDEX(Dependencies!$L$6:$HN$216,F236,E236)</f>
        <v>1</v>
      </c>
    </row>
    <row r="237" customFormat="false" ht="15" hidden="false" customHeight="false" outlineLevel="0" collapsed="false">
      <c r="A237" s="6" t="s">
        <v>762</v>
      </c>
      <c r="B237" s="6" t="s">
        <v>749</v>
      </c>
      <c r="C237" s="11" t="n">
        <f aca="false">VALUE(MID(A237,2,FIND(".",A237)-2))</f>
        <v>15</v>
      </c>
      <c r="D237" s="11" t="n">
        <f aca="false">VALUE(MID(B237,2,FIND(".",B237)-2))</f>
        <v>14</v>
      </c>
      <c r="E237" s="11" t="n">
        <f aca="false">MATCH(A237,Dependencies!$A$6:$A$216,0)</f>
        <v>187</v>
      </c>
      <c r="F237" s="11" t="n">
        <f aca="false">MATCH(B237,Dependencies!$A$6:$A$216,0)</f>
        <v>174</v>
      </c>
      <c r="G237" s="11" t="n">
        <f aca="false">INDEX(Dependencies!$L$6:$HN$216,F237,E237)</f>
        <v>1</v>
      </c>
    </row>
    <row r="238" customFormat="false" ht="15" hidden="false" customHeight="false" outlineLevel="0" collapsed="false">
      <c r="A238" s="6" t="s">
        <v>762</v>
      </c>
      <c r="B238" s="6" t="s">
        <v>761</v>
      </c>
      <c r="C238" s="11" t="n">
        <f aca="false">VALUE(MID(A238,2,FIND(".",A238)-2))</f>
        <v>15</v>
      </c>
      <c r="D238" s="11" t="n">
        <f aca="false">VALUE(MID(B238,2,FIND(".",B238)-2))</f>
        <v>15</v>
      </c>
      <c r="E238" s="11" t="n">
        <f aca="false">MATCH(A238,Dependencies!$A$6:$A$216,0)</f>
        <v>187</v>
      </c>
      <c r="F238" s="11" t="n">
        <f aca="false">MATCH(B238,Dependencies!$A$6:$A$216,0)</f>
        <v>186</v>
      </c>
      <c r="G238" s="11" t="n">
        <f aca="false">INDEX(Dependencies!$L$6:$HN$216,F238,E238)</f>
        <v>1</v>
      </c>
    </row>
    <row r="239" customFormat="false" ht="15" hidden="false" customHeight="false" outlineLevel="0" collapsed="false">
      <c r="A239" s="6" t="s">
        <v>763</v>
      </c>
      <c r="B239" s="6" t="s">
        <v>761</v>
      </c>
      <c r="C239" s="11" t="n">
        <f aca="false">VALUE(MID(A239,2,FIND(".",A239)-2))</f>
        <v>15</v>
      </c>
      <c r="D239" s="11" t="n">
        <f aca="false">VALUE(MID(B239,2,FIND(".",B239)-2))</f>
        <v>15</v>
      </c>
      <c r="E239" s="11" t="n">
        <f aca="false">MATCH(A239,Dependencies!$A$6:$A$216,0)</f>
        <v>188</v>
      </c>
      <c r="F239" s="11" t="n">
        <f aca="false">MATCH(B239,Dependencies!$A$6:$A$216,0)</f>
        <v>186</v>
      </c>
      <c r="G239" s="11" t="n">
        <f aca="false">INDEX(Dependencies!$L$6:$HN$216,F239,E239)</f>
        <v>1</v>
      </c>
    </row>
    <row r="240" customFormat="false" ht="15" hidden="false" customHeight="false" outlineLevel="0" collapsed="false">
      <c r="A240" s="6" t="s">
        <v>764</v>
      </c>
      <c r="B240" s="6" t="s">
        <v>735</v>
      </c>
      <c r="C240" s="11" t="n">
        <f aca="false">VALUE(MID(A240,2,FIND(".",A240)-2))</f>
        <v>15</v>
      </c>
      <c r="D240" s="11" t="n">
        <f aca="false">VALUE(MID(B240,2,FIND(".",B240)-2))</f>
        <v>13</v>
      </c>
      <c r="E240" s="11" t="n">
        <f aca="false">MATCH(A240,Dependencies!$A$6:$A$216,0)</f>
        <v>189</v>
      </c>
      <c r="F240" s="11" t="n">
        <f aca="false">MATCH(B240,Dependencies!$A$6:$A$216,0)</f>
        <v>160</v>
      </c>
      <c r="G240" s="11" t="n">
        <f aca="false">INDEX(Dependencies!$L$6:$HN$216,F240,E240)</f>
        <v>1</v>
      </c>
    </row>
    <row r="241" customFormat="false" ht="15" hidden="false" customHeight="false" outlineLevel="0" collapsed="false">
      <c r="A241" s="6" t="s">
        <v>764</v>
      </c>
      <c r="B241" s="6" t="s">
        <v>749</v>
      </c>
      <c r="C241" s="11" t="n">
        <f aca="false">VALUE(MID(A241,2,FIND(".",A241)-2))</f>
        <v>15</v>
      </c>
      <c r="D241" s="11" t="n">
        <f aca="false">VALUE(MID(B241,2,FIND(".",B241)-2))</f>
        <v>14</v>
      </c>
      <c r="E241" s="11" t="n">
        <f aca="false">MATCH(A241,Dependencies!$A$6:$A$216,0)</f>
        <v>189</v>
      </c>
      <c r="F241" s="11" t="n">
        <f aca="false">MATCH(B241,Dependencies!$A$6:$A$216,0)</f>
        <v>174</v>
      </c>
      <c r="G241" s="11" t="n">
        <f aca="false">INDEX(Dependencies!$L$6:$HN$216,F241,E241)</f>
        <v>1</v>
      </c>
    </row>
    <row r="242" customFormat="false" ht="15" hidden="false" customHeight="false" outlineLevel="0" collapsed="false">
      <c r="A242" s="6" t="s">
        <v>764</v>
      </c>
      <c r="B242" s="6" t="s">
        <v>762</v>
      </c>
      <c r="C242" s="11" t="n">
        <f aca="false">VALUE(MID(A242,2,FIND(".",A242)-2))</f>
        <v>15</v>
      </c>
      <c r="D242" s="11" t="n">
        <f aca="false">VALUE(MID(B242,2,FIND(".",B242)-2))</f>
        <v>15</v>
      </c>
      <c r="E242" s="11" t="n">
        <f aca="false">MATCH(A242,Dependencies!$A$6:$A$216,0)</f>
        <v>189</v>
      </c>
      <c r="F242" s="11" t="n">
        <f aca="false">MATCH(B242,Dependencies!$A$6:$A$216,0)</f>
        <v>187</v>
      </c>
      <c r="G242" s="11" t="n">
        <f aca="false">INDEX(Dependencies!$L$6:$HN$216,F242,E242)</f>
        <v>1</v>
      </c>
    </row>
    <row r="243" customFormat="false" ht="15" hidden="false" customHeight="false" outlineLevel="0" collapsed="false">
      <c r="A243" s="6" t="s">
        <v>765</v>
      </c>
      <c r="B243" s="6" t="s">
        <v>691</v>
      </c>
      <c r="C243" s="11" t="n">
        <f aca="false">VALUE(MID(A243,2,FIND(".",A243)-2))</f>
        <v>15</v>
      </c>
      <c r="D243" s="11" t="n">
        <f aca="false">VALUE(MID(B243,2,FIND(".",B243)-2))</f>
        <v>10</v>
      </c>
      <c r="E243" s="11" t="n">
        <f aca="false">MATCH(A243,Dependencies!$A$6:$A$216,0)</f>
        <v>190</v>
      </c>
      <c r="F243" s="11" t="n">
        <f aca="false">MATCH(B243,Dependencies!$A$6:$A$216,0)</f>
        <v>116</v>
      </c>
      <c r="G243" s="11" t="n">
        <f aca="false">INDEX(Dependencies!$L$6:$HN$216,F243,E243)</f>
        <v>1</v>
      </c>
    </row>
    <row r="244" customFormat="false" ht="15" hidden="false" customHeight="false" outlineLevel="0" collapsed="false">
      <c r="A244" s="6" t="s">
        <v>765</v>
      </c>
      <c r="B244" s="6" t="s">
        <v>746</v>
      </c>
      <c r="C244" s="11" t="n">
        <f aca="false">VALUE(MID(A244,2,FIND(".",A244)-2))</f>
        <v>15</v>
      </c>
      <c r="D244" s="11" t="n">
        <f aca="false">VALUE(MID(B244,2,FIND(".",B244)-2))</f>
        <v>14</v>
      </c>
      <c r="E244" s="11" t="n">
        <f aca="false">MATCH(A244,Dependencies!$A$6:$A$216,0)</f>
        <v>190</v>
      </c>
      <c r="F244" s="11" t="n">
        <f aca="false">MATCH(B244,Dependencies!$A$6:$A$216,0)</f>
        <v>171</v>
      </c>
      <c r="G244" s="11" t="n">
        <f aca="false">INDEX(Dependencies!$L$6:$HN$216,F244,E244)</f>
        <v>1</v>
      </c>
    </row>
    <row r="245" customFormat="false" ht="15" hidden="false" customHeight="false" outlineLevel="0" collapsed="false">
      <c r="A245" s="6" t="s">
        <v>765</v>
      </c>
      <c r="B245" s="6" t="s">
        <v>761</v>
      </c>
      <c r="C245" s="11" t="n">
        <f aca="false">VALUE(MID(A245,2,FIND(".",A245)-2))</f>
        <v>15</v>
      </c>
      <c r="D245" s="11" t="n">
        <f aca="false">VALUE(MID(B245,2,FIND(".",B245)-2))</f>
        <v>15</v>
      </c>
      <c r="E245" s="11" t="n">
        <f aca="false">MATCH(A245,Dependencies!$A$6:$A$216,0)</f>
        <v>190</v>
      </c>
      <c r="F245" s="11" t="n">
        <f aca="false">MATCH(B245,Dependencies!$A$6:$A$216,0)</f>
        <v>186</v>
      </c>
      <c r="G245" s="11" t="n">
        <f aca="false">INDEX(Dependencies!$L$6:$HN$216,F245,E245)</f>
        <v>1</v>
      </c>
    </row>
    <row r="246" customFormat="false" ht="15" hidden="false" customHeight="false" outlineLevel="0" collapsed="false">
      <c r="A246" s="6" t="s">
        <v>766</v>
      </c>
      <c r="B246" s="6" t="s">
        <v>711</v>
      </c>
      <c r="C246" s="11" t="n">
        <f aca="false">VALUE(MID(A246,2,FIND(".",A246)-2))</f>
        <v>15</v>
      </c>
      <c r="D246" s="11" t="n">
        <f aca="false">VALUE(MID(B246,2,FIND(".",B246)-2))</f>
        <v>11</v>
      </c>
      <c r="E246" s="11" t="n">
        <f aca="false">MATCH(A246,Dependencies!$A$6:$A$216,0)</f>
        <v>191</v>
      </c>
      <c r="F246" s="11" t="n">
        <f aca="false">MATCH(B246,Dependencies!$A$6:$A$216,0)</f>
        <v>136</v>
      </c>
      <c r="G246" s="11" t="n">
        <f aca="false">INDEX(Dependencies!$L$6:$HN$216,F246,E246)</f>
        <v>1</v>
      </c>
    </row>
    <row r="247" customFormat="false" ht="15" hidden="false" customHeight="false" outlineLevel="0" collapsed="false">
      <c r="A247" s="6" t="s">
        <v>766</v>
      </c>
      <c r="B247" s="6" t="s">
        <v>762</v>
      </c>
      <c r="C247" s="11" t="n">
        <f aca="false">VALUE(MID(A247,2,FIND(".",A247)-2))</f>
        <v>15</v>
      </c>
      <c r="D247" s="11" t="n">
        <f aca="false">VALUE(MID(B247,2,FIND(".",B247)-2))</f>
        <v>15</v>
      </c>
      <c r="E247" s="11" t="n">
        <f aca="false">MATCH(A247,Dependencies!$A$6:$A$216,0)</f>
        <v>191</v>
      </c>
      <c r="F247" s="11" t="n">
        <f aca="false">MATCH(B247,Dependencies!$A$6:$A$216,0)</f>
        <v>187</v>
      </c>
      <c r="G247" s="11" t="n">
        <f aca="false">INDEX(Dependencies!$L$6:$HN$216,F247,E247)</f>
        <v>1</v>
      </c>
    </row>
    <row r="248" customFormat="false" ht="15" hidden="false" customHeight="false" outlineLevel="0" collapsed="false">
      <c r="A248" s="6" t="s">
        <v>766</v>
      </c>
      <c r="B248" s="6" t="s">
        <v>761</v>
      </c>
      <c r="C248" s="11" t="n">
        <f aca="false">VALUE(MID(A248,2,FIND(".",A248)-2))</f>
        <v>15</v>
      </c>
      <c r="D248" s="11" t="n">
        <f aca="false">VALUE(MID(B248,2,FIND(".",B248)-2))</f>
        <v>15</v>
      </c>
      <c r="E248" s="11" t="n">
        <f aca="false">MATCH(A248,Dependencies!$A$6:$A$216,0)</f>
        <v>191</v>
      </c>
      <c r="F248" s="11" t="n">
        <f aca="false">MATCH(B248,Dependencies!$A$6:$A$216,0)</f>
        <v>186</v>
      </c>
      <c r="G248" s="11" t="n">
        <f aca="false">INDEX(Dependencies!$L$6:$HN$216,F248,E248)</f>
        <v>1</v>
      </c>
    </row>
    <row r="249" customFormat="false" ht="15" hidden="false" customHeight="false" outlineLevel="0" collapsed="false">
      <c r="A249" s="6" t="s">
        <v>767</v>
      </c>
      <c r="B249" s="6" t="s">
        <v>624</v>
      </c>
      <c r="C249" s="11" t="n">
        <f aca="false">VALUE(MID(A249,2,FIND(".",A249)-2))</f>
        <v>15</v>
      </c>
      <c r="D249" s="11" t="n">
        <f aca="false">VALUE(MID(B249,2,FIND(".",B249)-2))</f>
        <v>6</v>
      </c>
      <c r="E249" s="11" t="n">
        <f aca="false">MATCH(A249,Dependencies!$A$6:$A$216,0)</f>
        <v>192</v>
      </c>
      <c r="F249" s="11" t="n">
        <f aca="false">MATCH(B249,Dependencies!$A$6:$A$216,0)</f>
        <v>49</v>
      </c>
      <c r="G249" s="11" t="n">
        <f aca="false">INDEX(Dependencies!$L$6:$HN$216,F249,E249)</f>
        <v>1</v>
      </c>
    </row>
    <row r="250" customFormat="false" ht="15" hidden="false" customHeight="false" outlineLevel="0" collapsed="false">
      <c r="A250" s="6" t="s">
        <v>768</v>
      </c>
      <c r="B250" s="6" t="s">
        <v>731</v>
      </c>
      <c r="C250" s="11" t="n">
        <f aca="false">VALUE(MID(A250,2,FIND(".",A250)-2))</f>
        <v>15</v>
      </c>
      <c r="D250" s="11" t="n">
        <f aca="false">VALUE(MID(B250,2,FIND(".",B250)-2))</f>
        <v>13</v>
      </c>
      <c r="E250" s="11" t="n">
        <f aca="false">MATCH(A250,Dependencies!$A$6:$A$216,0)</f>
        <v>193</v>
      </c>
      <c r="F250" s="11" t="n">
        <f aca="false">MATCH(B250,Dependencies!$A$6:$A$216,0)</f>
        <v>156</v>
      </c>
      <c r="G250" s="11" t="n">
        <f aca="false">INDEX(Dependencies!$L$6:$HN$216,F250,E250)</f>
        <v>1</v>
      </c>
    </row>
    <row r="251" customFormat="false" ht="15" hidden="false" customHeight="false" outlineLevel="0" collapsed="false">
      <c r="A251" s="6" t="s">
        <v>768</v>
      </c>
      <c r="B251" s="6" t="s">
        <v>744</v>
      </c>
      <c r="C251" s="11" t="n">
        <f aca="false">VALUE(MID(A251,2,FIND(".",A251)-2))</f>
        <v>15</v>
      </c>
      <c r="D251" s="11" t="n">
        <f aca="false">VALUE(MID(B251,2,FIND(".",B251)-2))</f>
        <v>14</v>
      </c>
      <c r="E251" s="11" t="n">
        <f aca="false">MATCH(A251,Dependencies!$A$6:$A$216,0)</f>
        <v>193</v>
      </c>
      <c r="F251" s="11" t="n">
        <f aca="false">MATCH(B251,Dependencies!$A$6:$A$216,0)</f>
        <v>169</v>
      </c>
      <c r="G251" s="11" t="n">
        <f aca="false">INDEX(Dependencies!$L$6:$HN$216,F251,E251)</f>
        <v>1</v>
      </c>
    </row>
    <row r="252" customFormat="false" ht="15" hidden="false" customHeight="false" outlineLevel="0" collapsed="false">
      <c r="A252" s="6" t="s">
        <v>769</v>
      </c>
      <c r="B252" s="6" t="s">
        <v>752</v>
      </c>
      <c r="C252" s="11" t="n">
        <f aca="false">VALUE(MID(A252,2,FIND(".",A252)-2))</f>
        <v>15</v>
      </c>
      <c r="D252" s="11" t="n">
        <f aca="false">VALUE(MID(B252,2,FIND(".",B252)-2))</f>
        <v>14</v>
      </c>
      <c r="E252" s="11" t="n">
        <f aca="false">MATCH(A252,Dependencies!$A$6:$A$216,0)</f>
        <v>194</v>
      </c>
      <c r="F252" s="11" t="n">
        <f aca="false">MATCH(B252,Dependencies!$A$6:$A$216,0)</f>
        <v>177</v>
      </c>
      <c r="G252" s="11" t="n">
        <f aca="false">INDEX(Dependencies!$L$6:$HN$216,F252,E252)</f>
        <v>1</v>
      </c>
    </row>
    <row r="253" customFormat="false" ht="15" hidden="false" customHeight="false" outlineLevel="0" collapsed="false">
      <c r="A253" s="6" t="s">
        <v>770</v>
      </c>
      <c r="B253" s="6" t="s">
        <v>746</v>
      </c>
      <c r="C253" s="11" t="n">
        <f aca="false">VALUE(MID(A253,2,FIND(".",A253)-2))</f>
        <v>15</v>
      </c>
      <c r="D253" s="11" t="n">
        <f aca="false">VALUE(MID(B253,2,FIND(".",B253)-2))</f>
        <v>14</v>
      </c>
      <c r="E253" s="11" t="n">
        <f aca="false">MATCH(A253,Dependencies!$A$6:$A$216,0)</f>
        <v>195</v>
      </c>
      <c r="F253" s="11" t="n">
        <f aca="false">MATCH(B253,Dependencies!$A$6:$A$216,0)</f>
        <v>171</v>
      </c>
      <c r="G253" s="11" t="n">
        <f aca="false">INDEX(Dependencies!$L$6:$HN$216,F253,E253)</f>
        <v>1</v>
      </c>
    </row>
    <row r="254" customFormat="false" ht="15" hidden="false" customHeight="false" outlineLevel="0" collapsed="false">
      <c r="A254" s="6" t="s">
        <v>770</v>
      </c>
      <c r="B254" s="6" t="s">
        <v>765</v>
      </c>
      <c r="C254" s="11" t="n">
        <f aca="false">VALUE(MID(A254,2,FIND(".",A254)-2))</f>
        <v>15</v>
      </c>
      <c r="D254" s="11" t="n">
        <f aca="false">VALUE(MID(B254,2,FIND(".",B254)-2))</f>
        <v>15</v>
      </c>
      <c r="E254" s="11" t="n">
        <f aca="false">MATCH(A254,Dependencies!$A$6:$A$216,0)</f>
        <v>195</v>
      </c>
      <c r="F254" s="11" t="n">
        <f aca="false">MATCH(B254,Dependencies!$A$6:$A$216,0)</f>
        <v>190</v>
      </c>
      <c r="G254" s="11" t="n">
        <f aca="false">INDEX(Dependencies!$L$6:$HN$216,F254,E254)</f>
        <v>1</v>
      </c>
    </row>
    <row r="255" customFormat="false" ht="15" hidden="false" customHeight="false" outlineLevel="0" collapsed="false">
      <c r="A255" s="6" t="s">
        <v>771</v>
      </c>
      <c r="B255" s="6" t="s">
        <v>753</v>
      </c>
      <c r="C255" s="11" t="n">
        <f aca="false">VALUE(MID(A255,2,FIND(".",A255)-2))</f>
        <v>15</v>
      </c>
      <c r="D255" s="11" t="n">
        <f aca="false">VALUE(MID(B255,2,FIND(".",B255)-2))</f>
        <v>14</v>
      </c>
      <c r="E255" s="11" t="n">
        <f aca="false">MATCH(A255,Dependencies!$A$6:$A$216,0)</f>
        <v>196</v>
      </c>
      <c r="F255" s="11" t="n">
        <f aca="false">MATCH(B255,Dependencies!$A$6:$A$216,0)</f>
        <v>178</v>
      </c>
      <c r="G255" s="11" t="n">
        <f aca="false">INDEX(Dependencies!$L$6:$HN$216,F255,E255)</f>
        <v>1</v>
      </c>
    </row>
    <row r="256" customFormat="false" ht="15" hidden="false" customHeight="false" outlineLevel="0" collapsed="false">
      <c r="A256" s="6" t="s">
        <v>772</v>
      </c>
      <c r="B256" s="6" t="s">
        <v>606</v>
      </c>
      <c r="C256" s="11" t="n">
        <f aca="false">VALUE(MID(A256,2,FIND(".",A256)-2))</f>
        <v>15</v>
      </c>
      <c r="D256" s="11" t="n">
        <f aca="false">VALUE(MID(B256,2,FIND(".",B256)-2))</f>
        <v>5</v>
      </c>
      <c r="E256" s="11" t="n">
        <f aca="false">MATCH(A256,Dependencies!$A$6:$A$216,0)</f>
        <v>197</v>
      </c>
      <c r="F256" s="11" t="n">
        <f aca="false">MATCH(B256,Dependencies!$A$6:$A$216,0)</f>
        <v>31</v>
      </c>
      <c r="G256" s="11" t="n">
        <f aca="false">INDEX(Dependencies!$L$6:$HN$216,F256,E256)</f>
        <v>1</v>
      </c>
    </row>
    <row r="257" customFormat="false" ht="15" hidden="false" customHeight="false" outlineLevel="0" collapsed="false">
      <c r="A257" s="6" t="s">
        <v>772</v>
      </c>
      <c r="B257" s="6" t="s">
        <v>749</v>
      </c>
      <c r="C257" s="11" t="n">
        <f aca="false">VALUE(MID(A257,2,FIND(".",A257)-2))</f>
        <v>15</v>
      </c>
      <c r="D257" s="11" t="n">
        <f aca="false">VALUE(MID(B257,2,FIND(".",B257)-2))</f>
        <v>14</v>
      </c>
      <c r="E257" s="11" t="n">
        <f aca="false">MATCH(A257,Dependencies!$A$6:$A$216,0)</f>
        <v>197</v>
      </c>
      <c r="F257" s="11" t="n">
        <f aca="false">MATCH(B257,Dependencies!$A$6:$A$216,0)</f>
        <v>174</v>
      </c>
      <c r="G257" s="11" t="n">
        <f aca="false">INDEX(Dependencies!$L$6:$HN$216,F257,E257)</f>
        <v>1</v>
      </c>
    </row>
    <row r="258" customFormat="false" ht="15" hidden="false" customHeight="false" outlineLevel="0" collapsed="false">
      <c r="A258" s="6" t="s">
        <v>772</v>
      </c>
      <c r="B258" s="6" t="s">
        <v>762</v>
      </c>
      <c r="C258" s="11" t="n">
        <f aca="false">VALUE(MID(A258,2,FIND(".",A258)-2))</f>
        <v>15</v>
      </c>
      <c r="D258" s="11" t="n">
        <f aca="false">VALUE(MID(B258,2,FIND(".",B258)-2))</f>
        <v>15</v>
      </c>
      <c r="E258" s="11" t="n">
        <f aca="false">MATCH(A258,Dependencies!$A$6:$A$216,0)</f>
        <v>197</v>
      </c>
      <c r="F258" s="11" t="n">
        <f aca="false">MATCH(B258,Dependencies!$A$6:$A$216,0)</f>
        <v>187</v>
      </c>
      <c r="G258" s="11" t="n">
        <f aca="false">INDEX(Dependencies!$L$6:$HN$216,F258,E258)</f>
        <v>1</v>
      </c>
    </row>
    <row r="259" customFormat="false" ht="15" hidden="false" customHeight="false" outlineLevel="0" collapsed="false">
      <c r="A259" s="6" t="s">
        <v>772</v>
      </c>
      <c r="B259" s="6" t="s">
        <v>761</v>
      </c>
      <c r="C259" s="11" t="n">
        <f aca="false">VALUE(MID(A259,2,FIND(".",A259)-2))</f>
        <v>15</v>
      </c>
      <c r="D259" s="11" t="n">
        <f aca="false">VALUE(MID(B259,2,FIND(".",B259)-2))</f>
        <v>15</v>
      </c>
      <c r="E259" s="11" t="n">
        <f aca="false">MATCH(A259,Dependencies!$A$6:$A$216,0)</f>
        <v>197</v>
      </c>
      <c r="F259" s="11" t="n">
        <f aca="false">MATCH(B259,Dependencies!$A$6:$A$216,0)</f>
        <v>186</v>
      </c>
      <c r="G259" s="11" t="n">
        <f aca="false">INDEX(Dependencies!$L$6:$HN$216,F259,E259)</f>
        <v>1</v>
      </c>
    </row>
    <row r="260" customFormat="false" ht="15" hidden="false" customHeight="false" outlineLevel="0" collapsed="false">
      <c r="A260" s="6" t="s">
        <v>772</v>
      </c>
      <c r="B260" s="6" t="s">
        <v>771</v>
      </c>
      <c r="C260" s="11" t="n">
        <f aca="false">VALUE(MID(A260,2,FIND(".",A260)-2))</f>
        <v>15</v>
      </c>
      <c r="D260" s="11" t="n">
        <f aca="false">VALUE(MID(B260,2,FIND(".",B260)-2))</f>
        <v>15</v>
      </c>
      <c r="E260" s="11" t="n">
        <f aca="false">MATCH(A260,Dependencies!$A$6:$A$216,0)</f>
        <v>197</v>
      </c>
      <c r="F260" s="11" t="n">
        <f aca="false">MATCH(B260,Dependencies!$A$6:$A$216,0)</f>
        <v>196</v>
      </c>
      <c r="G260" s="11" t="n">
        <f aca="false">INDEX(Dependencies!$L$6:$HN$216,F260,E260)</f>
        <v>1</v>
      </c>
    </row>
    <row r="261" customFormat="false" ht="15" hidden="false" customHeight="false" outlineLevel="0" collapsed="false">
      <c r="A261" s="6" t="s">
        <v>773</v>
      </c>
      <c r="B261" s="6" t="s">
        <v>761</v>
      </c>
      <c r="C261" s="11" t="n">
        <f aca="false">VALUE(MID(A261,2,FIND(".",A261)-2))</f>
        <v>15</v>
      </c>
      <c r="D261" s="11" t="n">
        <f aca="false">VALUE(MID(B261,2,FIND(".",B261)-2))</f>
        <v>15</v>
      </c>
      <c r="E261" s="11" t="n">
        <f aca="false">MATCH(A261,Dependencies!$A$6:$A$216,0)</f>
        <v>198</v>
      </c>
      <c r="F261" s="11" t="n">
        <f aca="false">MATCH(B261,Dependencies!$A$6:$A$216,0)</f>
        <v>186</v>
      </c>
      <c r="G261" s="11" t="n">
        <f aca="false">INDEX(Dependencies!$L$6:$HN$216,F261,E261)</f>
        <v>1</v>
      </c>
    </row>
    <row r="262" customFormat="false" ht="15" hidden="false" customHeight="false" outlineLevel="0" collapsed="false">
      <c r="A262" s="6" t="s">
        <v>773</v>
      </c>
      <c r="B262" s="6" t="s">
        <v>768</v>
      </c>
      <c r="C262" s="11" t="n">
        <f aca="false">VALUE(MID(A262,2,FIND(".",A262)-2))</f>
        <v>15</v>
      </c>
      <c r="D262" s="11" t="n">
        <f aca="false">VALUE(MID(B262,2,FIND(".",B262)-2))</f>
        <v>15</v>
      </c>
      <c r="E262" s="11" t="n">
        <f aca="false">MATCH(A262,Dependencies!$A$6:$A$216,0)</f>
        <v>198</v>
      </c>
      <c r="F262" s="11" t="n">
        <f aca="false">MATCH(B262,Dependencies!$A$6:$A$216,0)</f>
        <v>193</v>
      </c>
      <c r="G262" s="11" t="n">
        <f aca="false">INDEX(Dependencies!$L$6:$HN$216,F262,E262)</f>
        <v>1</v>
      </c>
    </row>
    <row r="263" customFormat="false" ht="15" hidden="false" customHeight="false" outlineLevel="0" collapsed="false">
      <c r="A263" s="6" t="s">
        <v>773</v>
      </c>
      <c r="B263" s="6" t="s">
        <v>769</v>
      </c>
      <c r="C263" s="11" t="n">
        <f aca="false">VALUE(MID(A263,2,FIND(".",A263)-2))</f>
        <v>15</v>
      </c>
      <c r="D263" s="11" t="n">
        <f aca="false">VALUE(MID(B263,2,FIND(".",B263)-2))</f>
        <v>15</v>
      </c>
      <c r="E263" s="11" t="n">
        <f aca="false">MATCH(A263,Dependencies!$A$6:$A$216,0)</f>
        <v>198</v>
      </c>
      <c r="F263" s="11" t="n">
        <f aca="false">MATCH(B263,Dependencies!$A$6:$A$216,0)</f>
        <v>194</v>
      </c>
      <c r="G263" s="11" t="n">
        <f aca="false">INDEX(Dependencies!$L$6:$HN$216,F263,E263)</f>
        <v>1</v>
      </c>
    </row>
    <row r="264" customFormat="false" ht="15" hidden="false" customHeight="false" outlineLevel="0" collapsed="false">
      <c r="A264" s="6" t="s">
        <v>774</v>
      </c>
      <c r="B264" s="6" t="s">
        <v>761</v>
      </c>
      <c r="C264" s="11" t="n">
        <f aca="false">VALUE(MID(A264,2,FIND(".",A264)-2))</f>
        <v>15</v>
      </c>
      <c r="D264" s="11" t="n">
        <f aca="false">VALUE(MID(B264,2,FIND(".",B264)-2))</f>
        <v>15</v>
      </c>
      <c r="E264" s="11" t="n">
        <f aca="false">MATCH(A264,Dependencies!$A$6:$A$216,0)</f>
        <v>199</v>
      </c>
      <c r="F264" s="11" t="n">
        <f aca="false">MATCH(B264,Dependencies!$A$6:$A$216,0)</f>
        <v>186</v>
      </c>
      <c r="G264" s="11" t="n">
        <f aca="false">INDEX(Dependencies!$L$6:$HN$216,F264,E264)</f>
        <v>1</v>
      </c>
    </row>
    <row r="265" customFormat="false" ht="15" hidden="false" customHeight="false" outlineLevel="0" collapsed="false">
      <c r="A265" s="6" t="s">
        <v>774</v>
      </c>
      <c r="B265" s="6" t="s">
        <v>766</v>
      </c>
      <c r="C265" s="11" t="n">
        <f aca="false">VALUE(MID(A265,2,FIND(".",A265)-2))</f>
        <v>15</v>
      </c>
      <c r="D265" s="11" t="n">
        <f aca="false">VALUE(MID(B265,2,FIND(".",B265)-2))</f>
        <v>15</v>
      </c>
      <c r="E265" s="11" t="n">
        <f aca="false">MATCH(A265,Dependencies!$A$6:$A$216,0)</f>
        <v>199</v>
      </c>
      <c r="F265" s="11" t="n">
        <f aca="false">MATCH(B265,Dependencies!$A$6:$A$216,0)</f>
        <v>191</v>
      </c>
      <c r="G265" s="11" t="n">
        <f aca="false">INDEX(Dependencies!$L$6:$HN$216,F265,E265)</f>
        <v>1</v>
      </c>
    </row>
    <row r="266" customFormat="false" ht="15" hidden="false" customHeight="false" outlineLevel="0" collapsed="false">
      <c r="A266" s="6" t="s">
        <v>775</v>
      </c>
      <c r="B266" s="6" t="s">
        <v>774</v>
      </c>
      <c r="C266" s="11" t="n">
        <f aca="false">VALUE(MID(A266,2,FIND(".",A266)-2))</f>
        <v>15</v>
      </c>
      <c r="D266" s="11" t="n">
        <f aca="false">VALUE(MID(B266,2,FIND(".",B266)-2))</f>
        <v>15</v>
      </c>
      <c r="E266" s="11" t="n">
        <f aca="false">MATCH(A266,Dependencies!$A$6:$A$216,0)</f>
        <v>200</v>
      </c>
      <c r="F266" s="11" t="n">
        <f aca="false">MATCH(B266,Dependencies!$A$6:$A$216,0)</f>
        <v>199</v>
      </c>
      <c r="G266" s="11" t="n">
        <f aca="false">INDEX(Dependencies!$L$6:$HN$216,F266,E266)</f>
        <v>1</v>
      </c>
    </row>
    <row r="267" customFormat="false" ht="15" hidden="false" customHeight="false" outlineLevel="0" collapsed="false">
      <c r="A267" s="6" t="s">
        <v>776</v>
      </c>
      <c r="B267" s="6" t="s">
        <v>735</v>
      </c>
      <c r="C267" s="11" t="n">
        <f aca="false">VALUE(MID(A267,2,FIND(".",A267)-2))</f>
        <v>15</v>
      </c>
      <c r="D267" s="11" t="n">
        <f aca="false">VALUE(MID(B267,2,FIND(".",B267)-2))</f>
        <v>13</v>
      </c>
      <c r="E267" s="11" t="n">
        <f aca="false">MATCH(A267,Dependencies!$A$6:$A$216,0)</f>
        <v>201</v>
      </c>
      <c r="F267" s="11" t="n">
        <f aca="false">MATCH(B267,Dependencies!$A$6:$A$216,0)</f>
        <v>160</v>
      </c>
      <c r="G267" s="11" t="n">
        <f aca="false">INDEX(Dependencies!$L$6:$HN$216,F267,E267)</f>
        <v>1</v>
      </c>
    </row>
    <row r="268" customFormat="false" ht="15" hidden="false" customHeight="false" outlineLevel="0" collapsed="false">
      <c r="A268" s="6" t="s">
        <v>776</v>
      </c>
      <c r="B268" s="6" t="s">
        <v>759</v>
      </c>
      <c r="C268" s="11" t="n">
        <f aca="false">VALUE(MID(A268,2,FIND(".",A268)-2))</f>
        <v>15</v>
      </c>
      <c r="D268" s="11" t="n">
        <f aca="false">VALUE(MID(B268,2,FIND(".",B268)-2))</f>
        <v>15</v>
      </c>
      <c r="E268" s="11" t="n">
        <f aca="false">MATCH(A268,Dependencies!$A$6:$A$216,0)</f>
        <v>201</v>
      </c>
      <c r="F268" s="11" t="n">
        <f aca="false">MATCH(B268,Dependencies!$A$6:$A$216,0)</f>
        <v>184</v>
      </c>
      <c r="G268" s="11" t="n">
        <f aca="false">INDEX(Dependencies!$L$6:$HN$216,F268,E268)</f>
        <v>1</v>
      </c>
    </row>
    <row r="269" customFormat="false" ht="15" hidden="false" customHeight="false" outlineLevel="0" collapsed="false">
      <c r="A269" s="6" t="s">
        <v>776</v>
      </c>
      <c r="B269" s="6" t="s">
        <v>762</v>
      </c>
      <c r="C269" s="11" t="n">
        <f aca="false">VALUE(MID(A269,2,FIND(".",A269)-2))</f>
        <v>15</v>
      </c>
      <c r="D269" s="11" t="n">
        <f aca="false">VALUE(MID(B269,2,FIND(".",B269)-2))</f>
        <v>15</v>
      </c>
      <c r="E269" s="11" t="n">
        <f aca="false">MATCH(A269,Dependencies!$A$6:$A$216,0)</f>
        <v>201</v>
      </c>
      <c r="F269" s="11" t="n">
        <f aca="false">MATCH(B269,Dependencies!$A$6:$A$216,0)</f>
        <v>187</v>
      </c>
      <c r="G269" s="11" t="n">
        <f aca="false">INDEX(Dependencies!$L$6:$HN$216,F269,E269)</f>
        <v>1</v>
      </c>
    </row>
    <row r="270" customFormat="false" ht="15" hidden="false" customHeight="false" outlineLevel="0" collapsed="false">
      <c r="A270" s="6" t="s">
        <v>776</v>
      </c>
      <c r="B270" s="6" t="s">
        <v>761</v>
      </c>
      <c r="C270" s="11" t="n">
        <f aca="false">VALUE(MID(A270,2,FIND(".",A270)-2))</f>
        <v>15</v>
      </c>
      <c r="D270" s="11" t="n">
        <f aca="false">VALUE(MID(B270,2,FIND(".",B270)-2))</f>
        <v>15</v>
      </c>
      <c r="E270" s="11" t="n">
        <f aca="false">MATCH(A270,Dependencies!$A$6:$A$216,0)</f>
        <v>201</v>
      </c>
      <c r="F270" s="11" t="n">
        <f aca="false">MATCH(B270,Dependencies!$A$6:$A$216,0)</f>
        <v>186</v>
      </c>
      <c r="G270" s="11" t="n">
        <f aca="false">INDEX(Dependencies!$L$6:$HN$216,F270,E270)</f>
        <v>1</v>
      </c>
    </row>
    <row r="271" customFormat="false" ht="15" hidden="false" customHeight="false" outlineLevel="0" collapsed="false">
      <c r="A271" s="6" t="s">
        <v>776</v>
      </c>
      <c r="B271" s="6" t="s">
        <v>772</v>
      </c>
      <c r="C271" s="11" t="n">
        <f aca="false">VALUE(MID(A271,2,FIND(".",A271)-2))</f>
        <v>15</v>
      </c>
      <c r="D271" s="11" t="n">
        <f aca="false">VALUE(MID(B271,2,FIND(".",B271)-2))</f>
        <v>15</v>
      </c>
      <c r="E271" s="11" t="n">
        <f aca="false">MATCH(A271,Dependencies!$A$6:$A$216,0)</f>
        <v>201</v>
      </c>
      <c r="F271" s="11" t="n">
        <f aca="false">MATCH(B271,Dependencies!$A$6:$A$216,0)</f>
        <v>197</v>
      </c>
      <c r="G271" s="11" t="n">
        <f aca="false">INDEX(Dependencies!$L$6:$HN$216,F271,E271)</f>
        <v>1</v>
      </c>
    </row>
    <row r="272" customFormat="false" ht="15" hidden="false" customHeight="false" outlineLevel="0" collapsed="false">
      <c r="A272" s="6" t="s">
        <v>776</v>
      </c>
      <c r="B272" s="6" t="s">
        <v>765</v>
      </c>
      <c r="C272" s="11" t="n">
        <f aca="false">VALUE(MID(A272,2,FIND(".",A272)-2))</f>
        <v>15</v>
      </c>
      <c r="D272" s="11" t="n">
        <f aca="false">VALUE(MID(B272,2,FIND(".",B272)-2))</f>
        <v>15</v>
      </c>
      <c r="E272" s="11" t="n">
        <f aca="false">MATCH(A272,Dependencies!$A$6:$A$216,0)</f>
        <v>201</v>
      </c>
      <c r="F272" s="11" t="n">
        <f aca="false">MATCH(B272,Dependencies!$A$6:$A$216,0)</f>
        <v>190</v>
      </c>
      <c r="G272" s="11" t="n">
        <f aca="false">INDEX(Dependencies!$L$6:$HN$216,F272,E272)</f>
        <v>1</v>
      </c>
    </row>
    <row r="273" customFormat="false" ht="15" hidden="false" customHeight="false" outlineLevel="0" collapsed="false">
      <c r="A273" s="6" t="s">
        <v>776</v>
      </c>
      <c r="B273" s="6" t="s">
        <v>766</v>
      </c>
      <c r="C273" s="11" t="n">
        <f aca="false">VALUE(MID(A273,2,FIND(".",A273)-2))</f>
        <v>15</v>
      </c>
      <c r="D273" s="11" t="n">
        <f aca="false">VALUE(MID(B273,2,FIND(".",B273)-2))</f>
        <v>15</v>
      </c>
      <c r="E273" s="11" t="n">
        <f aca="false">MATCH(A273,Dependencies!$A$6:$A$216,0)</f>
        <v>201</v>
      </c>
      <c r="F273" s="11" t="n">
        <f aca="false">MATCH(B273,Dependencies!$A$6:$A$216,0)</f>
        <v>191</v>
      </c>
      <c r="G273" s="11" t="n">
        <f aca="false">INDEX(Dependencies!$L$6:$HN$216,F273,E273)</f>
        <v>1</v>
      </c>
    </row>
    <row r="274" customFormat="false" ht="15" hidden="false" customHeight="false" outlineLevel="0" collapsed="false">
      <c r="A274" s="6" t="s">
        <v>776</v>
      </c>
      <c r="B274" s="6" t="s">
        <v>768</v>
      </c>
      <c r="C274" s="11" t="n">
        <f aca="false">VALUE(MID(A274,2,FIND(".",A274)-2))</f>
        <v>15</v>
      </c>
      <c r="D274" s="11" t="n">
        <f aca="false">VALUE(MID(B274,2,FIND(".",B274)-2))</f>
        <v>15</v>
      </c>
      <c r="E274" s="11" t="n">
        <f aca="false">MATCH(A274,Dependencies!$A$6:$A$216,0)</f>
        <v>201</v>
      </c>
      <c r="F274" s="11" t="n">
        <f aca="false">MATCH(B274,Dependencies!$A$6:$A$216,0)</f>
        <v>193</v>
      </c>
      <c r="G274" s="11" t="n">
        <f aca="false">INDEX(Dependencies!$L$6:$HN$216,F274,E274)</f>
        <v>1</v>
      </c>
    </row>
    <row r="275" customFormat="false" ht="15" hidden="false" customHeight="false" outlineLevel="0" collapsed="false">
      <c r="A275" s="6" t="s">
        <v>776</v>
      </c>
      <c r="B275" s="6" t="s">
        <v>775</v>
      </c>
      <c r="C275" s="11" t="n">
        <f aca="false">VALUE(MID(A275,2,FIND(".",A275)-2))</f>
        <v>15</v>
      </c>
      <c r="D275" s="11" t="n">
        <f aca="false">VALUE(MID(B275,2,FIND(".",B275)-2))</f>
        <v>15</v>
      </c>
      <c r="E275" s="11" t="n">
        <f aca="false">MATCH(A275,Dependencies!$A$6:$A$216,0)</f>
        <v>201</v>
      </c>
      <c r="F275" s="11" t="n">
        <f aca="false">MATCH(B275,Dependencies!$A$6:$A$216,0)</f>
        <v>200</v>
      </c>
      <c r="G275" s="11" t="n">
        <f aca="false">INDEX(Dependencies!$L$6:$HN$216,F275,E275)</f>
        <v>1</v>
      </c>
    </row>
    <row r="276" customFormat="false" ht="15" hidden="false" customHeight="false" outlineLevel="0" collapsed="false">
      <c r="A276" s="6" t="s">
        <v>777</v>
      </c>
      <c r="B276" s="6" t="s">
        <v>774</v>
      </c>
      <c r="C276" s="11" t="n">
        <f aca="false">VALUE(MID(A276,2,FIND(".",A276)-2))</f>
        <v>15</v>
      </c>
      <c r="D276" s="11" t="n">
        <f aca="false">VALUE(MID(B276,2,FIND(".",B276)-2))</f>
        <v>15</v>
      </c>
      <c r="E276" s="11" t="n">
        <f aca="false">MATCH(A276,Dependencies!$A$6:$A$216,0)</f>
        <v>202</v>
      </c>
      <c r="F276" s="11" t="n">
        <f aca="false">MATCH(B276,Dependencies!$A$6:$A$216,0)</f>
        <v>199</v>
      </c>
      <c r="G276" s="11" t="n">
        <f aca="false">INDEX(Dependencies!$L$6:$HN$216,F276,E276)</f>
        <v>1</v>
      </c>
    </row>
    <row r="277" customFormat="false" ht="15" hidden="false" customHeight="false" outlineLevel="0" collapsed="false">
      <c r="A277" s="6" t="s">
        <v>778</v>
      </c>
      <c r="B277" s="6" t="s">
        <v>599</v>
      </c>
      <c r="C277" s="11" t="n">
        <f aca="false">VALUE(MID(A277,2,FIND(".",A277)-2))</f>
        <v>16</v>
      </c>
      <c r="D277" s="11" t="n">
        <f aca="false">VALUE(MID(B277,2,FIND(".",B277)-2))</f>
        <v>4</v>
      </c>
      <c r="E277" s="11" t="n">
        <f aca="false">MATCH(A277,Dependencies!$A$6:$A$216,0)</f>
        <v>203</v>
      </c>
      <c r="F277" s="11" t="n">
        <f aca="false">MATCH(B277,Dependencies!$A$6:$A$216,0)</f>
        <v>24</v>
      </c>
      <c r="G277" s="11" t="n">
        <f aca="false">INDEX(Dependencies!$L$6:$HN$216,F277,E277)</f>
        <v>1</v>
      </c>
    </row>
    <row r="278" customFormat="false" ht="15" hidden="false" customHeight="false" outlineLevel="0" collapsed="false">
      <c r="A278" s="6" t="s">
        <v>778</v>
      </c>
      <c r="B278" s="6" t="s">
        <v>772</v>
      </c>
      <c r="C278" s="11" t="n">
        <f aca="false">VALUE(MID(A278,2,FIND(".",A278)-2))</f>
        <v>16</v>
      </c>
      <c r="D278" s="11" t="n">
        <f aca="false">VALUE(MID(B278,2,FIND(".",B278)-2))</f>
        <v>15</v>
      </c>
      <c r="E278" s="11" t="n">
        <f aca="false">MATCH(A278,Dependencies!$A$6:$A$216,0)</f>
        <v>203</v>
      </c>
      <c r="F278" s="11" t="n">
        <f aca="false">MATCH(B278,Dependencies!$A$6:$A$216,0)</f>
        <v>197</v>
      </c>
      <c r="G278" s="11" t="n">
        <f aca="false">INDEX(Dependencies!$L$6:$HN$216,F278,E278)</f>
        <v>1</v>
      </c>
    </row>
    <row r="279" customFormat="false" ht="15" hidden="false" customHeight="false" outlineLevel="0" collapsed="false">
      <c r="A279" s="6" t="s">
        <v>779</v>
      </c>
      <c r="B279" s="6" t="s">
        <v>594</v>
      </c>
      <c r="C279" s="11" t="n">
        <f aca="false">VALUE(MID(A279,2,FIND(".",A279)-2))</f>
        <v>16</v>
      </c>
      <c r="D279" s="11" t="n">
        <f aca="false">VALUE(MID(B279,2,FIND(".",B279)-2))</f>
        <v>4</v>
      </c>
      <c r="E279" s="11" t="n">
        <f aca="false">MATCH(A279,Dependencies!$A$6:$A$216,0)</f>
        <v>204</v>
      </c>
      <c r="F279" s="11" t="n">
        <f aca="false">MATCH(B279,Dependencies!$A$6:$A$216,0)</f>
        <v>19</v>
      </c>
      <c r="G279" s="11" t="n">
        <f aca="false">INDEX(Dependencies!$L$6:$HN$216,F279,E279)</f>
        <v>1</v>
      </c>
    </row>
    <row r="280" customFormat="false" ht="15" hidden="false" customHeight="false" outlineLevel="0" collapsed="false">
      <c r="A280" s="6" t="s">
        <v>779</v>
      </c>
      <c r="B280" s="6" t="s">
        <v>729</v>
      </c>
      <c r="C280" s="11" t="n">
        <f aca="false">VALUE(MID(A280,2,FIND(".",A280)-2))</f>
        <v>16</v>
      </c>
      <c r="D280" s="11" t="n">
        <f aca="false">VALUE(MID(B280,2,FIND(".",B280)-2))</f>
        <v>13</v>
      </c>
      <c r="E280" s="11" t="n">
        <f aca="false">MATCH(A280,Dependencies!$A$6:$A$216,0)</f>
        <v>204</v>
      </c>
      <c r="F280" s="11" t="n">
        <f aca="false">MATCH(B280,Dependencies!$A$6:$A$216,0)</f>
        <v>154</v>
      </c>
      <c r="G280" s="11" t="n">
        <f aca="false">INDEX(Dependencies!$L$6:$HN$216,F280,E280)</f>
        <v>1</v>
      </c>
    </row>
    <row r="281" customFormat="false" ht="15" hidden="false" customHeight="false" outlineLevel="0" collapsed="false">
      <c r="A281" s="6" t="s">
        <v>779</v>
      </c>
      <c r="B281" s="6" t="s">
        <v>759</v>
      </c>
      <c r="C281" s="11" t="n">
        <f aca="false">VALUE(MID(A281,2,FIND(".",A281)-2))</f>
        <v>16</v>
      </c>
      <c r="D281" s="11" t="n">
        <f aca="false">VALUE(MID(B281,2,FIND(".",B281)-2))</f>
        <v>15</v>
      </c>
      <c r="E281" s="11" t="n">
        <f aca="false">MATCH(A281,Dependencies!$A$6:$A$216,0)</f>
        <v>204</v>
      </c>
      <c r="F281" s="11" t="n">
        <f aca="false">MATCH(B281,Dependencies!$A$6:$A$216,0)</f>
        <v>184</v>
      </c>
      <c r="G281" s="11" t="n">
        <f aca="false">INDEX(Dependencies!$L$6:$HN$216,F281,E281)</f>
        <v>1</v>
      </c>
    </row>
    <row r="282" customFormat="false" ht="15" hidden="false" customHeight="false" outlineLevel="0" collapsed="false">
      <c r="A282" s="6" t="s">
        <v>780</v>
      </c>
      <c r="B282" s="6" t="s">
        <v>755</v>
      </c>
      <c r="C282" s="11" t="n">
        <f aca="false">VALUE(MID(A282,2,FIND(".",A282)-2))</f>
        <v>16</v>
      </c>
      <c r="D282" s="11" t="n">
        <f aca="false">VALUE(MID(B282,2,FIND(".",B282)-2))</f>
        <v>14</v>
      </c>
      <c r="E282" s="11" t="n">
        <f aca="false">MATCH(A282,Dependencies!$A$6:$A$216,0)</f>
        <v>205</v>
      </c>
      <c r="F282" s="11" t="n">
        <f aca="false">MATCH(B282,Dependencies!$A$6:$A$216,0)</f>
        <v>180</v>
      </c>
      <c r="G282" s="11" t="n">
        <f aca="false">INDEX(Dependencies!$L$6:$HN$216,F282,E282)</f>
        <v>1</v>
      </c>
    </row>
    <row r="283" customFormat="false" ht="15" hidden="false" customHeight="false" outlineLevel="0" collapsed="false">
      <c r="A283" s="6" t="s">
        <v>780</v>
      </c>
      <c r="B283" s="6" t="s">
        <v>743</v>
      </c>
      <c r="C283" s="11" t="n">
        <f aca="false">VALUE(MID(A283,2,FIND(".",A283)-2))</f>
        <v>16</v>
      </c>
      <c r="D283" s="11" t="n">
        <f aca="false">VALUE(MID(B283,2,FIND(".",B283)-2))</f>
        <v>14</v>
      </c>
      <c r="E283" s="11" t="n">
        <f aca="false">MATCH(A283,Dependencies!$A$6:$A$216,0)</f>
        <v>205</v>
      </c>
      <c r="F283" s="11" t="n">
        <f aca="false">MATCH(B283,Dependencies!$A$6:$A$216,0)</f>
        <v>168</v>
      </c>
      <c r="G283" s="11" t="n">
        <f aca="false">INDEX(Dependencies!$L$6:$HN$216,F283,E283)</f>
        <v>1</v>
      </c>
    </row>
    <row r="284" customFormat="false" ht="15" hidden="false" customHeight="false" outlineLevel="0" collapsed="false">
      <c r="A284" s="6" t="s">
        <v>780</v>
      </c>
      <c r="B284" s="6" t="s">
        <v>759</v>
      </c>
      <c r="C284" s="11" t="n">
        <f aca="false">VALUE(MID(A284,2,FIND(".",A284)-2))</f>
        <v>16</v>
      </c>
      <c r="D284" s="11" t="n">
        <f aca="false">VALUE(MID(B284,2,FIND(".",B284)-2))</f>
        <v>15</v>
      </c>
      <c r="E284" s="11" t="n">
        <f aca="false">MATCH(A284,Dependencies!$A$6:$A$216,0)</f>
        <v>205</v>
      </c>
      <c r="F284" s="11" t="n">
        <f aca="false">MATCH(B284,Dependencies!$A$6:$A$216,0)</f>
        <v>184</v>
      </c>
      <c r="G284" s="11" t="n">
        <f aca="false">INDEX(Dependencies!$L$6:$HN$216,F284,E284)</f>
        <v>1</v>
      </c>
    </row>
    <row r="285" customFormat="false" ht="15" hidden="false" customHeight="false" outlineLevel="0" collapsed="false">
      <c r="A285" s="6" t="s">
        <v>780</v>
      </c>
      <c r="B285" s="6" t="s">
        <v>766</v>
      </c>
      <c r="C285" s="11" t="n">
        <f aca="false">VALUE(MID(A285,2,FIND(".",A285)-2))</f>
        <v>16</v>
      </c>
      <c r="D285" s="11" t="n">
        <f aca="false">VALUE(MID(B285,2,FIND(".",B285)-2))</f>
        <v>15</v>
      </c>
      <c r="E285" s="11" t="n">
        <f aca="false">MATCH(A285,Dependencies!$A$6:$A$216,0)</f>
        <v>205</v>
      </c>
      <c r="F285" s="11" t="n">
        <f aca="false">MATCH(B285,Dependencies!$A$6:$A$216,0)</f>
        <v>191</v>
      </c>
      <c r="G285" s="11" t="n">
        <f aca="false">INDEX(Dependencies!$L$6:$HN$216,F285,E285)</f>
        <v>1</v>
      </c>
    </row>
    <row r="286" customFormat="false" ht="15" hidden="false" customHeight="false" outlineLevel="0" collapsed="false">
      <c r="A286" s="6" t="s">
        <v>780</v>
      </c>
      <c r="B286" s="6" t="s">
        <v>776</v>
      </c>
      <c r="C286" s="11" t="n">
        <f aca="false">VALUE(MID(A286,2,FIND(".",A286)-2))</f>
        <v>16</v>
      </c>
      <c r="D286" s="11" t="n">
        <f aca="false">VALUE(MID(B286,2,FIND(".",B286)-2))</f>
        <v>15</v>
      </c>
      <c r="E286" s="11" t="n">
        <f aca="false">MATCH(A286,Dependencies!$A$6:$A$216,0)</f>
        <v>205</v>
      </c>
      <c r="F286" s="11" t="n">
        <f aca="false">MATCH(B286,Dependencies!$A$6:$A$216,0)</f>
        <v>201</v>
      </c>
      <c r="G286" s="11" t="n">
        <f aca="false">INDEX(Dependencies!$L$6:$HN$216,F286,E286)</f>
        <v>1</v>
      </c>
    </row>
    <row r="287" customFormat="false" ht="15" hidden="false" customHeight="false" outlineLevel="0" collapsed="false">
      <c r="A287" s="6" t="s">
        <v>781</v>
      </c>
      <c r="B287" s="6" t="s">
        <v>749</v>
      </c>
      <c r="C287" s="11" t="n">
        <f aca="false">VALUE(MID(A287,2,FIND(".",A287)-2))</f>
        <v>16</v>
      </c>
      <c r="D287" s="11" t="n">
        <f aca="false">VALUE(MID(B287,2,FIND(".",B287)-2))</f>
        <v>14</v>
      </c>
      <c r="E287" s="11" t="n">
        <f aca="false">MATCH(A287,Dependencies!$A$6:$A$216,0)</f>
        <v>206</v>
      </c>
      <c r="F287" s="11" t="n">
        <f aca="false">MATCH(B287,Dependencies!$A$6:$A$216,0)</f>
        <v>174</v>
      </c>
      <c r="G287" s="11" t="n">
        <f aca="false">INDEX(Dependencies!$L$6:$HN$216,F287,E287)</f>
        <v>1</v>
      </c>
    </row>
    <row r="288" customFormat="false" ht="15" hidden="false" customHeight="false" outlineLevel="0" collapsed="false">
      <c r="A288" s="6" t="s">
        <v>781</v>
      </c>
      <c r="B288" s="6" t="s">
        <v>756</v>
      </c>
      <c r="C288" s="11" t="n">
        <f aca="false">VALUE(MID(A288,2,FIND(".",A288)-2))</f>
        <v>16</v>
      </c>
      <c r="D288" s="11" t="n">
        <f aca="false">VALUE(MID(B288,2,FIND(".",B288)-2))</f>
        <v>14</v>
      </c>
      <c r="E288" s="11" t="n">
        <f aca="false">MATCH(A288,Dependencies!$A$6:$A$216,0)</f>
        <v>206</v>
      </c>
      <c r="F288" s="11" t="n">
        <f aca="false">MATCH(B288,Dependencies!$A$6:$A$216,0)</f>
        <v>181</v>
      </c>
      <c r="G288" s="11" t="n">
        <f aca="false">INDEX(Dependencies!$L$6:$HN$216,F288,E288)</f>
        <v>1</v>
      </c>
    </row>
    <row r="289" customFormat="false" ht="15" hidden="false" customHeight="false" outlineLevel="0" collapsed="false">
      <c r="A289" s="6" t="s">
        <v>781</v>
      </c>
      <c r="B289" s="6" t="s">
        <v>762</v>
      </c>
      <c r="C289" s="11" t="n">
        <f aca="false">VALUE(MID(A289,2,FIND(".",A289)-2))</f>
        <v>16</v>
      </c>
      <c r="D289" s="11" t="n">
        <f aca="false">VALUE(MID(B289,2,FIND(".",B289)-2))</f>
        <v>15</v>
      </c>
      <c r="E289" s="11" t="n">
        <f aca="false">MATCH(A289,Dependencies!$A$6:$A$216,0)</f>
        <v>206</v>
      </c>
      <c r="F289" s="11" t="n">
        <f aca="false">MATCH(B289,Dependencies!$A$6:$A$216,0)</f>
        <v>187</v>
      </c>
      <c r="G289" s="11" t="n">
        <f aca="false">INDEX(Dependencies!$L$6:$HN$216,F289,E289)</f>
        <v>1</v>
      </c>
    </row>
    <row r="290" customFormat="false" ht="15" hidden="false" customHeight="false" outlineLevel="0" collapsed="false">
      <c r="A290" s="6" t="s">
        <v>781</v>
      </c>
      <c r="B290" s="6" t="s">
        <v>776</v>
      </c>
      <c r="C290" s="11" t="n">
        <f aca="false">VALUE(MID(A290,2,FIND(".",A290)-2))</f>
        <v>16</v>
      </c>
      <c r="D290" s="11" t="n">
        <f aca="false">VALUE(MID(B290,2,FIND(".",B290)-2))</f>
        <v>15</v>
      </c>
      <c r="E290" s="11" t="n">
        <f aca="false">MATCH(A290,Dependencies!$A$6:$A$216,0)</f>
        <v>206</v>
      </c>
      <c r="F290" s="11" t="n">
        <f aca="false">MATCH(B290,Dependencies!$A$6:$A$216,0)</f>
        <v>201</v>
      </c>
      <c r="G290" s="11" t="n">
        <f aca="false">INDEX(Dependencies!$L$6:$HN$216,F290,E290)</f>
        <v>1</v>
      </c>
    </row>
    <row r="291" customFormat="false" ht="15" hidden="false" customHeight="false" outlineLevel="0" collapsed="false">
      <c r="A291" s="6" t="s">
        <v>783</v>
      </c>
      <c r="B291" s="6" t="s">
        <v>729</v>
      </c>
      <c r="C291" s="11" t="n">
        <f aca="false">VALUE(MID(A291,2,FIND(".",A291)-2))</f>
        <v>16</v>
      </c>
      <c r="D291" s="11" t="n">
        <f aca="false">VALUE(MID(B291,2,FIND(".",B291)-2))</f>
        <v>13</v>
      </c>
      <c r="E291" s="11" t="n">
        <f aca="false">MATCH(A291,Dependencies!$A$6:$A$216,0)</f>
        <v>208</v>
      </c>
      <c r="F291" s="11" t="n">
        <f aca="false">MATCH(B291,Dependencies!$A$6:$A$216,0)</f>
        <v>154</v>
      </c>
      <c r="G291" s="11" t="n">
        <f aca="false">INDEX(Dependencies!$L$6:$HN$216,F291,E291)</f>
        <v>1</v>
      </c>
    </row>
    <row r="292" customFormat="false" ht="15" hidden="false" customHeight="false" outlineLevel="0" collapsed="false">
      <c r="A292" s="6" t="s">
        <v>783</v>
      </c>
      <c r="B292" s="6" t="s">
        <v>736</v>
      </c>
      <c r="C292" s="11" t="n">
        <f aca="false">VALUE(MID(A292,2,FIND(".",A292)-2))</f>
        <v>16</v>
      </c>
      <c r="D292" s="11" t="n">
        <f aca="false">VALUE(MID(B292,2,FIND(".",B292)-2))</f>
        <v>13</v>
      </c>
      <c r="E292" s="11" t="n">
        <f aca="false">MATCH(A292,Dependencies!$A$6:$A$216,0)</f>
        <v>208</v>
      </c>
      <c r="F292" s="11" t="n">
        <f aca="false">MATCH(B292,Dependencies!$A$6:$A$216,0)</f>
        <v>161</v>
      </c>
      <c r="G292" s="11" t="n">
        <f aca="false">INDEX(Dependencies!$L$6:$HN$216,F292,E292)</f>
        <v>1</v>
      </c>
    </row>
    <row r="293" customFormat="false" ht="15" hidden="false" customHeight="false" outlineLevel="0" collapsed="false">
      <c r="A293" s="6" t="s">
        <v>783</v>
      </c>
      <c r="B293" s="6" t="s">
        <v>776</v>
      </c>
      <c r="C293" s="11" t="n">
        <f aca="false">VALUE(MID(A293,2,FIND(".",A293)-2))</f>
        <v>16</v>
      </c>
      <c r="D293" s="11" t="n">
        <f aca="false">VALUE(MID(B293,2,FIND(".",B293)-2))</f>
        <v>15</v>
      </c>
      <c r="E293" s="11" t="n">
        <f aca="false">MATCH(A293,Dependencies!$A$6:$A$216,0)</f>
        <v>208</v>
      </c>
      <c r="F293" s="11" t="n">
        <f aca="false">MATCH(B293,Dependencies!$A$6:$A$216,0)</f>
        <v>201</v>
      </c>
      <c r="G293" s="11" t="n">
        <f aca="false">INDEX(Dependencies!$L$6:$HN$216,F293,E293)</f>
        <v>1</v>
      </c>
    </row>
    <row r="294" customFormat="false" ht="15" hidden="false" customHeight="false" outlineLevel="0" collapsed="false">
      <c r="A294" s="6" t="s">
        <v>783</v>
      </c>
      <c r="B294" s="6" t="s">
        <v>782</v>
      </c>
      <c r="C294" s="11" t="n">
        <f aca="false">VALUE(MID(A294,2,FIND(".",A294)-2))</f>
        <v>16</v>
      </c>
      <c r="D294" s="11" t="n">
        <f aca="false">VALUE(MID(B294,2,FIND(".",B294)-2))</f>
        <v>16</v>
      </c>
      <c r="E294" s="11" t="n">
        <f aca="false">MATCH(A294,Dependencies!$A$6:$A$216,0)</f>
        <v>208</v>
      </c>
      <c r="F294" s="11" t="n">
        <f aca="false">MATCH(B294,Dependencies!$A$6:$A$216,0)</f>
        <v>207</v>
      </c>
      <c r="G294" s="11" t="n">
        <f aca="false">INDEX(Dependencies!$L$6:$HN$216,F294,E294)</f>
        <v>1</v>
      </c>
    </row>
    <row r="295" customFormat="false" ht="15" hidden="false" customHeight="false" outlineLevel="0" collapsed="false">
      <c r="A295" s="6" t="s">
        <v>784</v>
      </c>
      <c r="B295" s="6" t="s">
        <v>783</v>
      </c>
      <c r="C295" s="11" t="n">
        <f aca="false">VALUE(MID(A295,2,FIND(".",A295)-2))</f>
        <v>16</v>
      </c>
      <c r="D295" s="11" t="n">
        <f aca="false">VALUE(MID(B295,2,FIND(".",B295)-2))</f>
        <v>16</v>
      </c>
      <c r="E295" s="11" t="n">
        <f aca="false">MATCH(A295,Dependencies!$A$6:$A$216,0)</f>
        <v>209</v>
      </c>
      <c r="F295" s="11" t="n">
        <f aca="false">MATCH(B295,Dependencies!$A$6:$A$216,0)</f>
        <v>208</v>
      </c>
      <c r="G295" s="11" t="n">
        <f aca="false">INDEX(Dependencies!$L$6:$HN$216,F295,E295)</f>
        <v>1</v>
      </c>
    </row>
    <row r="296" customFormat="false" ht="15" hidden="false" customHeight="false" outlineLevel="0" collapsed="false">
      <c r="A296" s="6" t="s">
        <v>785</v>
      </c>
      <c r="B296" s="6" t="s">
        <v>757</v>
      </c>
      <c r="C296" s="11" t="n">
        <f aca="false">VALUE(MID(A296,2,FIND(".",A296)-2))</f>
        <v>16</v>
      </c>
      <c r="D296" s="11" t="n">
        <f aca="false">VALUE(MID(B296,2,FIND(".",B296)-2))</f>
        <v>14</v>
      </c>
      <c r="E296" s="11" t="n">
        <f aca="false">MATCH(A296,Dependencies!$A$6:$A$216,0)</f>
        <v>210</v>
      </c>
      <c r="F296" s="11" t="n">
        <f aca="false">MATCH(B296,Dependencies!$A$6:$A$216,0)</f>
        <v>182</v>
      </c>
      <c r="G296" s="11" t="n">
        <f aca="false">INDEX(Dependencies!$L$6:$HN$216,F296,E296)</f>
        <v>1</v>
      </c>
    </row>
    <row r="297" customFormat="false" ht="15" hidden="false" customHeight="false" outlineLevel="0" collapsed="false">
      <c r="A297" s="6" t="s">
        <v>785</v>
      </c>
      <c r="B297" s="6" t="s">
        <v>774</v>
      </c>
      <c r="C297" s="11" t="n">
        <f aca="false">VALUE(MID(A297,2,FIND(".",A297)-2))</f>
        <v>16</v>
      </c>
      <c r="D297" s="11" t="n">
        <f aca="false">VALUE(MID(B297,2,FIND(".",B297)-2))</f>
        <v>15</v>
      </c>
      <c r="E297" s="11" t="n">
        <f aca="false">MATCH(A297,Dependencies!$A$6:$A$216,0)</f>
        <v>210</v>
      </c>
      <c r="F297" s="11" t="n">
        <f aca="false">MATCH(B297,Dependencies!$A$6:$A$216,0)</f>
        <v>199</v>
      </c>
      <c r="G297" s="11" t="n">
        <f aca="false">INDEX(Dependencies!$L$6:$HN$216,F297,E297)</f>
        <v>1</v>
      </c>
    </row>
    <row r="298" customFormat="false" ht="15" hidden="false" customHeight="false" outlineLevel="0" collapsed="false">
      <c r="A298" s="6" t="s">
        <v>786</v>
      </c>
      <c r="B298" s="6" t="s">
        <v>729</v>
      </c>
      <c r="C298" s="11" t="n">
        <f aca="false">VALUE(MID(A298,2,FIND(".",A298)-2))</f>
        <v>16</v>
      </c>
      <c r="D298" s="11" t="n">
        <f aca="false">VALUE(MID(B298,2,FIND(".",B298)-2))</f>
        <v>13</v>
      </c>
      <c r="E298" s="11" t="n">
        <f aca="false">MATCH(A298,Dependencies!$A$6:$A$216,0)</f>
        <v>211</v>
      </c>
      <c r="F298" s="11" t="n">
        <f aca="false">MATCH(B298,Dependencies!$A$6:$A$216,0)</f>
        <v>154</v>
      </c>
      <c r="G298" s="11" t="n">
        <f aca="false">INDEX(Dependencies!$L$6:$HN$216,F298,E298)</f>
        <v>1</v>
      </c>
    </row>
    <row r="299" customFormat="false" ht="15" hidden="false" customHeight="false" outlineLevel="0" collapsed="false">
      <c r="A299" s="6" t="s">
        <v>786</v>
      </c>
      <c r="B299" s="6" t="s">
        <v>735</v>
      </c>
      <c r="C299" s="11" t="n">
        <f aca="false">VALUE(MID(A299,2,FIND(".",A299)-2))</f>
        <v>16</v>
      </c>
      <c r="D299" s="11" t="n">
        <f aca="false">VALUE(MID(B299,2,FIND(".",B299)-2))</f>
        <v>13</v>
      </c>
      <c r="E299" s="11" t="n">
        <f aca="false">MATCH(A299,Dependencies!$A$6:$A$216,0)</f>
        <v>211</v>
      </c>
      <c r="F299" s="11" t="n">
        <f aca="false">MATCH(B299,Dependencies!$A$6:$A$216,0)</f>
        <v>160</v>
      </c>
      <c r="G299" s="11" t="n">
        <f aca="false">INDEX(Dependencies!$L$6:$HN$216,F299,E299)</f>
        <v>1</v>
      </c>
    </row>
    <row r="300" customFormat="false" ht="15" hidden="false" customHeight="false" outlineLevel="0" collapsed="false">
      <c r="A300" s="6" t="s">
        <v>786</v>
      </c>
      <c r="B300" s="6" t="s">
        <v>754</v>
      </c>
      <c r="C300" s="11" t="n">
        <f aca="false">VALUE(MID(A300,2,FIND(".",A300)-2))</f>
        <v>16</v>
      </c>
      <c r="D300" s="11" t="n">
        <f aca="false">VALUE(MID(B300,2,FIND(".",B300)-2))</f>
        <v>14</v>
      </c>
      <c r="E300" s="11" t="n">
        <f aca="false">MATCH(A300,Dependencies!$A$6:$A$216,0)</f>
        <v>211</v>
      </c>
      <c r="F300" s="11" t="n">
        <f aca="false">MATCH(B300,Dependencies!$A$6:$A$216,0)</f>
        <v>179</v>
      </c>
      <c r="G300" s="11" t="n">
        <f aca="false">INDEX(Dependencies!$L$6:$HN$216,F300,E300)</f>
        <v>1</v>
      </c>
    </row>
    <row r="301" customFormat="false" ht="15" hidden="false" customHeight="false" outlineLevel="0" collapsed="false">
      <c r="A301" s="6" t="s">
        <v>786</v>
      </c>
      <c r="B301" s="6" t="s">
        <v>756</v>
      </c>
      <c r="C301" s="11" t="n">
        <f aca="false">VALUE(MID(A301,2,FIND(".",A301)-2))</f>
        <v>16</v>
      </c>
      <c r="D301" s="11" t="n">
        <f aca="false">VALUE(MID(B301,2,FIND(".",B301)-2))</f>
        <v>14</v>
      </c>
      <c r="E301" s="11" t="n">
        <f aca="false">MATCH(A301,Dependencies!$A$6:$A$216,0)</f>
        <v>211</v>
      </c>
      <c r="F301" s="11" t="n">
        <f aca="false">MATCH(B301,Dependencies!$A$6:$A$216,0)</f>
        <v>181</v>
      </c>
      <c r="G301" s="11" t="n">
        <f aca="false">INDEX(Dependencies!$L$6:$HN$216,F301,E301)</f>
        <v>1</v>
      </c>
    </row>
    <row r="302" customFormat="false" ht="15" hidden="false" customHeight="false" outlineLevel="0" collapsed="false">
      <c r="A302" s="6" t="s">
        <v>786</v>
      </c>
      <c r="B302" s="6" t="s">
        <v>759</v>
      </c>
      <c r="C302" s="11" t="n">
        <f aca="false">VALUE(MID(A302,2,FIND(".",A302)-2))</f>
        <v>16</v>
      </c>
      <c r="D302" s="11" t="n">
        <f aca="false">VALUE(MID(B302,2,FIND(".",B302)-2))</f>
        <v>15</v>
      </c>
      <c r="E302" s="11" t="n">
        <f aca="false">MATCH(A302,Dependencies!$A$6:$A$216,0)</f>
        <v>211</v>
      </c>
      <c r="F302" s="11" t="n">
        <f aca="false">MATCH(B302,Dependencies!$A$6:$A$216,0)</f>
        <v>184</v>
      </c>
      <c r="G302" s="11" t="n">
        <f aca="false">INDEX(Dependencies!$L$6:$HN$216,F302,E302)</f>
        <v>1</v>
      </c>
    </row>
    <row r="303" customFormat="false" ht="15" hidden="false" customHeight="false" outlineLevel="0" collapsed="false">
      <c r="A303" s="6" t="s">
        <v>786</v>
      </c>
      <c r="B303" s="6" t="s">
        <v>762</v>
      </c>
      <c r="C303" s="11" t="n">
        <f aca="false">VALUE(MID(A303,2,FIND(".",A303)-2))</f>
        <v>16</v>
      </c>
      <c r="D303" s="11" t="n">
        <f aca="false">VALUE(MID(B303,2,FIND(".",B303)-2))</f>
        <v>15</v>
      </c>
      <c r="E303" s="11" t="n">
        <f aca="false">MATCH(A303,Dependencies!$A$6:$A$216,0)</f>
        <v>211</v>
      </c>
      <c r="F303" s="11" t="n">
        <f aca="false">MATCH(B303,Dependencies!$A$6:$A$216,0)</f>
        <v>187</v>
      </c>
      <c r="G303" s="11" t="n">
        <f aca="false">INDEX(Dependencies!$L$6:$HN$216,F303,E303)</f>
        <v>1</v>
      </c>
    </row>
    <row r="304" customFormat="false" ht="15" hidden="false" customHeight="false" outlineLevel="0" collapsed="false">
      <c r="A304" s="6" t="s">
        <v>786</v>
      </c>
      <c r="B304" s="6" t="s">
        <v>776</v>
      </c>
      <c r="C304" s="11" t="n">
        <f aca="false">VALUE(MID(A304,2,FIND(".",A304)-2))</f>
        <v>16</v>
      </c>
      <c r="D304" s="11" t="n">
        <f aca="false">VALUE(MID(B304,2,FIND(".",B304)-2))</f>
        <v>15</v>
      </c>
      <c r="E304" s="11" t="n">
        <f aca="false">MATCH(A304,Dependencies!$A$6:$A$216,0)</f>
        <v>211</v>
      </c>
      <c r="F304" s="11" t="n">
        <f aca="false">MATCH(B304,Dependencies!$A$6:$A$216,0)</f>
        <v>201</v>
      </c>
      <c r="G304" s="11" t="n">
        <f aca="false">INDEX(Dependencies!$L$6:$HN$216,F304,E304)</f>
        <v>1</v>
      </c>
    </row>
    <row r="305" customFormat="false" ht="15" hidden="false" customHeight="false" outlineLevel="0" collapsed="false">
      <c r="A305" s="6" t="s">
        <v>786</v>
      </c>
      <c r="B305" s="6" t="s">
        <v>781</v>
      </c>
      <c r="C305" s="11" t="n">
        <f aca="false">VALUE(MID(A305,2,FIND(".",A305)-2))</f>
        <v>16</v>
      </c>
      <c r="D305" s="11" t="n">
        <f aca="false">VALUE(MID(B305,2,FIND(".",B305)-2))</f>
        <v>16</v>
      </c>
      <c r="E305" s="11" t="n">
        <f aca="false">MATCH(A305,Dependencies!$A$6:$A$216,0)</f>
        <v>211</v>
      </c>
      <c r="F305" s="11" t="n">
        <f aca="false">MATCH(B305,Dependencies!$A$6:$A$216,0)</f>
        <v>206</v>
      </c>
      <c r="G305" s="11" t="n">
        <f aca="false">INDEX(Dependencies!$L$6:$HN$216,F305,E305)</f>
        <v>1</v>
      </c>
    </row>
    <row r="306" customFormat="false" ht="15" hidden="false" customHeight="false" outlineLevel="0" collapsed="false">
      <c r="A306" s="6" t="s">
        <v>786</v>
      </c>
      <c r="B306" s="6" t="s">
        <v>785</v>
      </c>
      <c r="C306" s="11" t="n">
        <f aca="false">VALUE(MID(A306,2,FIND(".",A306)-2))</f>
        <v>16</v>
      </c>
      <c r="D306" s="11" t="n">
        <f aca="false">VALUE(MID(B306,2,FIND(".",B306)-2))</f>
        <v>16</v>
      </c>
      <c r="E306" s="11" t="n">
        <f aca="false">MATCH(A306,Dependencies!$A$6:$A$216,0)</f>
        <v>211</v>
      </c>
      <c r="F306" s="11" t="n">
        <f aca="false">MATCH(B306,Dependencies!$A$6:$A$216,0)</f>
        <v>210</v>
      </c>
      <c r="G306" s="11" t="n">
        <f aca="false">INDEX(Dependencies!$L$6:$HN$216,F306,E306)</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80"/>
    <col collapsed="false" customWidth="true" hidden="false" outlineLevel="0" max="3" min="3" style="0" width="14"/>
    <col collapsed="false" customWidth="true" hidden="false" outlineLevel="0" max="4" min="4" style="0" width="30"/>
  </cols>
  <sheetData>
    <row r="1" customFormat="false" ht="15" hidden="false" customHeight="false" outlineLevel="0" collapsed="false">
      <c r="A1" s="1" t="s">
        <v>1064</v>
      </c>
    </row>
    <row r="2" customFormat="false" ht="15" hidden="false" customHeight="false" outlineLevel="0" collapsed="false">
      <c r="A2" s="10" t="s">
        <v>1065</v>
      </c>
    </row>
    <row r="4" customFormat="false" ht="15" hidden="false" customHeight="false" outlineLevel="0" collapsed="false">
      <c r="A4" s="8" t="s">
        <v>1066</v>
      </c>
      <c r="B4" s="8" t="s">
        <v>1067</v>
      </c>
      <c r="C4" s="8" t="s">
        <v>19</v>
      </c>
      <c r="D4" s="8" t="s">
        <v>259</v>
      </c>
    </row>
    <row r="5" customFormat="false" ht="15" hidden="false" customHeight="false" outlineLevel="0" collapsed="false">
      <c r="A5" s="2" t="s">
        <v>1068</v>
      </c>
      <c r="B5" s="2" t="s">
        <v>1069</v>
      </c>
      <c r="C5" s="11" t="n">
        <f aca="false">Quantiles!B93</f>
        <v>170</v>
      </c>
      <c r="D5" s="2" t="s">
        <v>261</v>
      </c>
    </row>
    <row r="6" customFormat="false" ht="15" hidden="false" customHeight="false" outlineLevel="0" collapsed="false">
      <c r="A6" s="2" t="s">
        <v>1068</v>
      </c>
      <c r="B6" s="2" t="s">
        <v>1070</v>
      </c>
      <c r="C6" s="23" t="n">
        <f aca="false">Quantiles!B94</f>
        <v>0.667576361426625</v>
      </c>
      <c r="D6" s="2" t="s">
        <v>1071</v>
      </c>
    </row>
    <row r="7" customFormat="false" ht="15" hidden="false" customHeight="false" outlineLevel="0" collapsed="false">
      <c r="A7" s="2" t="s">
        <v>280</v>
      </c>
      <c r="B7" s="2" t="s">
        <v>1072</v>
      </c>
      <c r="C7" s="20" t="n">
        <f aca="false">Quantiles!B95</f>
        <v>10.440610891413</v>
      </c>
      <c r="D7" s="2" t="s">
        <v>1073</v>
      </c>
    </row>
    <row r="8" customFormat="false" ht="15" hidden="false" customHeight="false" outlineLevel="0" collapsed="false">
      <c r="A8" s="2" t="s">
        <v>1074</v>
      </c>
      <c r="B8" s="2" t="s">
        <v>1075</v>
      </c>
      <c r="C8" s="17" t="n">
        <f aca="false">Usd_pt</f>
        <v>6.2</v>
      </c>
      <c r="D8" s="2"/>
    </row>
    <row r="9" customFormat="false" ht="15" hidden="false" customHeight="false" outlineLevel="0" collapsed="false">
      <c r="A9" s="2" t="s">
        <v>278</v>
      </c>
      <c r="B9" s="2" t="s">
        <v>1076</v>
      </c>
      <c r="C9" s="11" t="n">
        <f aca="false">Book_seed</f>
        <v>8</v>
      </c>
      <c r="D9" s="2"/>
    </row>
    <row r="10" customFormat="false" ht="15" hidden="false" customHeight="false" outlineLevel="0" collapsed="false">
      <c r="A10" s="2" t="s">
        <v>276</v>
      </c>
      <c r="B10" s="2" t="s">
        <v>277</v>
      </c>
      <c r="D10" s="2"/>
    </row>
    <row r="11" customFormat="false" ht="15" hidden="false" customHeight="false" outlineLevel="0" collapsed="false">
      <c r="A11" s="2" t="s">
        <v>1077</v>
      </c>
      <c r="B11" s="2" t="s">
        <v>1078</v>
      </c>
      <c r="C11" s="33" t="n">
        <f aca="false">R4_Horizon!B23</f>
        <v>0.05</v>
      </c>
      <c r="D11" s="2" t="s">
        <v>263</v>
      </c>
    </row>
    <row r="12" customFormat="false" ht="15" hidden="false" customHeight="false" outlineLevel="0" collapsed="false">
      <c r="A12" s="2" t="s">
        <v>1077</v>
      </c>
      <c r="B12" s="2" t="s">
        <v>1079</v>
      </c>
      <c r="C12" s="23" t="n">
        <f aca="false">R4_Horizon!B26</f>
        <v>3.74301856335755</v>
      </c>
      <c r="D12" s="2" t="s">
        <v>261</v>
      </c>
    </row>
    <row r="13" customFormat="false" ht="15" hidden="false" customHeight="false" outlineLevel="0" collapsed="false">
      <c r="A13" s="2" t="s">
        <v>1077</v>
      </c>
      <c r="B13" s="2" t="s">
        <v>514</v>
      </c>
      <c r="C13" s="11" t="n">
        <f aca="false">Capability</f>
        <v>58</v>
      </c>
      <c r="D13" s="2" t="s">
        <v>269</v>
      </c>
    </row>
    <row r="14" customFormat="false" ht="15" hidden="false" customHeight="false" outlineLevel="0" collapsed="false">
      <c r="A14" s="2" t="s">
        <v>1077</v>
      </c>
      <c r="B14" s="2" t="s">
        <v>1080</v>
      </c>
      <c r="C14" s="20" t="n">
        <f aca="false">R4_Horizon!B31</f>
        <v>73.5525461861163</v>
      </c>
      <c r="D14" s="2" t="s">
        <v>265</v>
      </c>
    </row>
    <row r="15" customFormat="false" ht="15" hidden="false" customHeight="false" outlineLevel="0" collapsed="false">
      <c r="A15" s="2" t="s">
        <v>1077</v>
      </c>
      <c r="B15" s="2" t="s">
        <v>1081</v>
      </c>
      <c r="C15" s="20" t="n">
        <f aca="false">Ceil_gain</f>
        <v>0.4</v>
      </c>
      <c r="D15" s="2" t="s">
        <v>1082</v>
      </c>
    </row>
    <row r="16" customFormat="false" ht="15" hidden="false" customHeight="false" outlineLevel="0" collapsed="false">
      <c r="A16" s="2" t="s">
        <v>1083</v>
      </c>
      <c r="B16" s="2" t="s">
        <v>1084</v>
      </c>
      <c r="C16" s="11" t="n">
        <f aca="false">Certificate!B9</f>
        <v>4</v>
      </c>
      <c r="D16" s="2"/>
    </row>
    <row r="17" customFormat="false" ht="15" hidden="false" customHeight="false" outlineLevel="0" collapsed="false">
      <c r="A17" s="2" t="s">
        <v>1083</v>
      </c>
      <c r="B17" s="2" t="s">
        <v>1085</v>
      </c>
      <c r="C17" s="2" t="str">
        <f aca="false">Certificate!B10</f>
        <v>yes</v>
      </c>
      <c r="D17" s="2"/>
    </row>
    <row r="18" customFormat="false" ht="15" hidden="false" customHeight="false" outlineLevel="0" collapsed="false">
      <c r="A18" s="2" t="s">
        <v>1086</v>
      </c>
      <c r="B18" s="2" t="s">
        <v>1087</v>
      </c>
      <c r="D18" s="2" t="s">
        <v>1082</v>
      </c>
    </row>
    <row r="19" customFormat="false" ht="15" hidden="false" customHeight="false" outlineLevel="0" collapsed="false">
      <c r="A19" s="2" t="s">
        <v>1086</v>
      </c>
      <c r="B19" s="2" t="s">
        <v>1088</v>
      </c>
      <c r="D19" s="2" t="s">
        <v>1089</v>
      </c>
    </row>
    <row r="20" customFormat="false" ht="15" hidden="false" customHeight="false" outlineLevel="0" collapsed="false">
      <c r="A20" s="2" t="s">
        <v>1086</v>
      </c>
      <c r="B20" s="2" t="s">
        <v>1090</v>
      </c>
      <c r="D20" s="2" t="s">
        <v>1071</v>
      </c>
    </row>
    <row r="22" customFormat="false" ht="15" hidden="false" customHeight="false" outlineLevel="0" collapsed="false">
      <c r="A22" s="4" t="s">
        <v>1091</v>
      </c>
      <c r="C22" s="29" t="n">
        <v>10.440610891413</v>
      </c>
    </row>
    <row r="23" customFormat="false" ht="15" hidden="false" customHeight="false" outlineLevel="0" collapsed="false">
      <c r="A23" s="2" t="s">
        <v>1092</v>
      </c>
      <c r="C23" s="2" t="str">
        <f aca="false">IF(ABS(C22-Quantiles!B95)&lt;0.000000001,"yes","no")</f>
        <v>yes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3" min="3" style="0" width="90"/>
  </cols>
  <sheetData>
    <row r="1" customFormat="false" ht="15" hidden="false" customHeight="false" outlineLevel="0" collapsed="false">
      <c r="A1" s="8" t="s">
        <v>1093</v>
      </c>
      <c r="B1" s="8" t="s">
        <v>1094</v>
      </c>
      <c r="C1" s="8" t="s">
        <v>1095</v>
      </c>
    </row>
    <row r="2" customFormat="false" ht="15" hidden="false" customHeight="false" outlineLevel="0" collapsed="false">
      <c r="A2" s="2" t="s">
        <v>1096</v>
      </c>
      <c r="B2" s="34" t="n">
        <v>138.049617642214</v>
      </c>
      <c r="C2" s="2" t="s">
        <v>137</v>
      </c>
    </row>
    <row r="3" customFormat="false" ht="15" hidden="false" customHeight="false" outlineLevel="0" collapsed="false">
      <c r="A3" s="2" t="s">
        <v>1097</v>
      </c>
      <c r="B3" s="34" t="n">
        <v>186.866976370664</v>
      </c>
      <c r="C3" s="2" t="s">
        <v>1098</v>
      </c>
    </row>
    <row r="4" customFormat="false" ht="15" hidden="false" customHeight="false" outlineLevel="0" collapsed="false">
      <c r="A4" s="2" t="s">
        <v>1099</v>
      </c>
      <c r="B4" s="34" t="n">
        <v>459.854053397919</v>
      </c>
      <c r="C4" s="2" t="s">
        <v>1100</v>
      </c>
    </row>
    <row r="5" customFormat="false" ht="15" hidden="false" customHeight="false" outlineLevel="0" collapsed="false">
      <c r="A5" s="2" t="s">
        <v>1101</v>
      </c>
      <c r="B5" s="34" t="n">
        <v>1.59240309141324</v>
      </c>
      <c r="C5" s="2" t="s">
        <v>1102</v>
      </c>
    </row>
    <row r="6" customFormat="false" ht="15" hidden="false" customHeight="false" outlineLevel="0" collapsed="false">
      <c r="A6" s="2" t="s">
        <v>1103</v>
      </c>
      <c r="B6" s="34" t="n">
        <v>3.10628371950539</v>
      </c>
      <c r="C6" s="2" t="s">
        <v>1104</v>
      </c>
    </row>
    <row r="7" customFormat="false" ht="15" hidden="false" customHeight="false" outlineLevel="0" collapsed="false">
      <c r="A7" s="2" t="s">
        <v>1105</v>
      </c>
      <c r="B7" s="34" t="n">
        <v>10.440610891413</v>
      </c>
      <c r="C7" s="2" t="s">
        <v>151</v>
      </c>
    </row>
    <row r="8" customFormat="false" ht="15" hidden="false" customHeight="false" outlineLevel="0" collapsed="false">
      <c r="A8" s="2" t="s">
        <v>1106</v>
      </c>
      <c r="B8" s="34" t="n">
        <v>180.701478466484</v>
      </c>
      <c r="C8" s="2" t="s">
        <v>153</v>
      </c>
    </row>
    <row r="9" customFormat="false" ht="15" hidden="false" customHeight="false" outlineLevel="0" collapsed="false">
      <c r="A9" s="2" t="s">
        <v>1107</v>
      </c>
      <c r="B9" s="34" t="n">
        <v>392.05723136</v>
      </c>
      <c r="C9" s="2" t="s">
        <v>171</v>
      </c>
    </row>
    <row r="10" customFormat="false" ht="15" hidden="false" customHeight="false" outlineLevel="0" collapsed="false">
      <c r="A10" s="2" t="s">
        <v>1108</v>
      </c>
      <c r="B10" s="34" t="n">
        <v>403.77906944</v>
      </c>
      <c r="C10" s="2" t="s">
        <v>173</v>
      </c>
    </row>
    <row r="11" customFormat="false" ht="15" hidden="false" customHeight="false" outlineLevel="0" collapsed="false">
      <c r="A11" s="2" t="s">
        <v>1109</v>
      </c>
      <c r="B11" s="34" t="n">
        <v>11.7218380799999</v>
      </c>
      <c r="C11" s="2" t="s">
        <v>1028</v>
      </c>
    </row>
    <row r="12" customFormat="false" ht="15" hidden="false" customHeight="false" outlineLevel="0" collapsed="false">
      <c r="A12" s="2" t="s">
        <v>1110</v>
      </c>
      <c r="B12" s="34" t="n">
        <v>390.980183638016</v>
      </c>
      <c r="C12" s="2" t="s">
        <v>177</v>
      </c>
    </row>
    <row r="13" customFormat="false" ht="15" hidden="false" customHeight="false" outlineLevel="0" collapsed="false">
      <c r="A13" s="2" t="s">
        <v>1111</v>
      </c>
      <c r="B13" s="34" t="n">
        <v>7</v>
      </c>
      <c r="C13" s="2" t="s">
        <v>287</v>
      </c>
    </row>
    <row r="14" customFormat="false" ht="15" hidden="false" customHeight="false" outlineLevel="0" collapsed="false">
      <c r="A14" s="2" t="s">
        <v>1112</v>
      </c>
      <c r="B14" s="34" t="n">
        <v>14</v>
      </c>
      <c r="C14" s="2" t="s">
        <v>289</v>
      </c>
    </row>
    <row r="15" customFormat="false" ht="15" hidden="false" customHeight="false" outlineLevel="0" collapsed="false">
      <c r="A15" s="2" t="s">
        <v>1113</v>
      </c>
      <c r="B15" s="34" t="n">
        <v>4</v>
      </c>
      <c r="C15" s="2" t="s">
        <v>1059</v>
      </c>
    </row>
    <row r="16" customFormat="false" ht="15" hidden="false" customHeight="false" outlineLevel="0" collapsed="false">
      <c r="A16" s="2" t="s">
        <v>1114</v>
      </c>
      <c r="B16" s="34" t="n">
        <v>5</v>
      </c>
      <c r="C16" s="2" t="s">
        <v>293</v>
      </c>
    </row>
    <row r="17" customFormat="false" ht="15" hidden="false" customHeight="false" outlineLevel="0" collapsed="false">
      <c r="A17" s="2" t="s">
        <v>1115</v>
      </c>
      <c r="B17" s="34" t="n">
        <v>6</v>
      </c>
      <c r="C17" s="2" t="s">
        <v>295</v>
      </c>
    </row>
    <row r="18" customFormat="false" ht="15" hidden="false" customHeight="false" outlineLevel="0" collapsed="false">
      <c r="A18" s="2" t="s">
        <v>1116</v>
      </c>
      <c r="B18" s="34" t="n">
        <v>19</v>
      </c>
      <c r="C18" s="2" t="s">
        <v>297</v>
      </c>
    </row>
    <row r="19" customFormat="false" ht="15" hidden="false" customHeight="false" outlineLevel="0" collapsed="false">
      <c r="A19" s="2" t="s">
        <v>1117</v>
      </c>
      <c r="B19" s="34" t="n">
        <v>14.668098117088</v>
      </c>
      <c r="C19" s="2" t="s">
        <v>301</v>
      </c>
    </row>
    <row r="20" customFormat="false" ht="15" hidden="false" customHeight="false" outlineLevel="0" collapsed="false">
      <c r="A20" s="2" t="s">
        <v>1118</v>
      </c>
      <c r="B20" s="34" t="n">
        <v>4.33190188291202</v>
      </c>
      <c r="C20" s="2" t="s">
        <v>1119</v>
      </c>
    </row>
    <row r="21" customFormat="false" ht="15" hidden="false" customHeight="false" outlineLevel="0" collapsed="false">
      <c r="A21" s="2" t="s">
        <v>1120</v>
      </c>
      <c r="B21" s="34" t="n">
        <v>52.2640294257717</v>
      </c>
      <c r="C21" s="2" t="s">
        <v>1121</v>
      </c>
    </row>
    <row r="22" customFormat="false" ht="15" hidden="false" customHeight="false" outlineLevel="0" collapsed="false">
      <c r="A22" s="2" t="s">
        <v>1122</v>
      </c>
      <c r="B22" s="34" t="n">
        <v>41.399919979106</v>
      </c>
      <c r="C22" s="2" t="s">
        <v>1123</v>
      </c>
    </row>
    <row r="23" customFormat="false" ht="15" hidden="false" customHeight="false" outlineLevel="0" collapsed="false">
      <c r="A23" s="2" t="s">
        <v>1124</v>
      </c>
      <c r="B23" s="34" t="n">
        <v>35.3237856271693</v>
      </c>
      <c r="C23" s="2" t="s">
        <v>1125</v>
      </c>
    </row>
    <row r="24" customFormat="false" ht="15" hidden="false" customHeight="false" outlineLevel="0" collapsed="false">
      <c r="A24" s="2" t="s">
        <v>1126</v>
      </c>
      <c r="B24" s="34" t="n">
        <v>24.0380729119675</v>
      </c>
      <c r="C24" s="2" t="s">
        <v>1127</v>
      </c>
    </row>
    <row r="25" customFormat="false" ht="15" hidden="false" customHeight="false" outlineLevel="0" collapsed="false">
      <c r="A25" s="2" t="s">
        <v>1128</v>
      </c>
      <c r="B25" s="34" t="n">
        <v>10.6236529336087</v>
      </c>
      <c r="C25" s="2" t="s">
        <v>1129</v>
      </c>
    </row>
    <row r="26" customFormat="false" ht="15" hidden="false" customHeight="false" outlineLevel="0" collapsed="false">
      <c r="A26" s="2" t="s">
        <v>1130</v>
      </c>
      <c r="B26" s="34" t="n">
        <v>0.0246480439088654</v>
      </c>
      <c r="C26" s="2" t="s">
        <v>1131</v>
      </c>
    </row>
    <row r="27" customFormat="false" ht="15" hidden="false" customHeight="false" outlineLevel="0" collapsed="false">
      <c r="A27" s="2" t="s">
        <v>1132</v>
      </c>
      <c r="B27" s="34" t="n">
        <v>324.916594012879</v>
      </c>
      <c r="C27" s="2" t="s">
        <v>1133</v>
      </c>
    </row>
    <row r="28" customFormat="false" ht="15" hidden="false" customHeight="false" outlineLevel="0" collapsed="false">
      <c r="A28" s="2" t="s">
        <v>1134</v>
      </c>
      <c r="B28" s="34" t="n">
        <v>54.9165940128787</v>
      </c>
      <c r="C28" s="2" t="s">
        <v>1135</v>
      </c>
    </row>
    <row r="29" customFormat="false" ht="15" hidden="false" customHeight="false" outlineLevel="0" collapsed="false">
      <c r="A29" s="2" t="s">
        <v>1136</v>
      </c>
      <c r="B29" s="34" t="n">
        <v>170</v>
      </c>
      <c r="C29" s="2" t="s">
        <v>1137</v>
      </c>
    </row>
    <row r="30" customFormat="false" ht="15" hidden="false" customHeight="false" outlineLevel="0" collapsed="false">
      <c r="A30" s="2" t="s">
        <v>1138</v>
      </c>
      <c r="B30" s="34" t="n">
        <v>0.667576361426626</v>
      </c>
      <c r="C30" s="2" t="s">
        <v>1139</v>
      </c>
    </row>
    <row r="31" customFormat="false" ht="15" hidden="false" customHeight="false" outlineLevel="0" collapsed="false">
      <c r="A31" s="2" t="s">
        <v>1140</v>
      </c>
      <c r="B31" s="34" t="n">
        <v>121.63436791099</v>
      </c>
      <c r="C31" s="2" t="s">
        <v>1141</v>
      </c>
    </row>
    <row r="32" customFormat="false" ht="15" hidden="false" customHeight="false" outlineLevel="0" collapsed="false">
      <c r="A32" s="2" t="s">
        <v>1142</v>
      </c>
      <c r="B32" s="34" t="n">
        <v>16.8669763706643</v>
      </c>
      <c r="C32" s="2" t="s">
        <v>1143</v>
      </c>
    </row>
    <row r="33" customFormat="false" ht="15" hidden="false" customHeight="false" outlineLevel="0" collapsed="false">
      <c r="A33" s="2" t="s">
        <v>1144</v>
      </c>
      <c r="B33" s="34" t="n">
        <v>138.501344281655</v>
      </c>
      <c r="C33" s="2" t="s">
        <v>1145</v>
      </c>
    </row>
    <row r="34" customFormat="false" ht="15" hidden="false" customHeight="false" outlineLevel="0" collapsed="false">
      <c r="A34" s="2" t="s">
        <v>1146</v>
      </c>
      <c r="B34" s="34" t="n">
        <v>131.498655718345</v>
      </c>
      <c r="C34" s="2" t="s">
        <v>1147</v>
      </c>
    </row>
    <row r="35" customFormat="false" ht="15" hidden="false" customHeight="false" outlineLevel="0" collapsed="false">
      <c r="A35" s="2" t="s">
        <v>1148</v>
      </c>
      <c r="B35" s="34" t="n">
        <v>0.8</v>
      </c>
      <c r="C35" s="2" t="s">
        <v>1149</v>
      </c>
    </row>
    <row r="36" customFormat="false" ht="15" hidden="false" customHeight="false" outlineLevel="0" collapsed="false">
      <c r="A36" s="2" t="s">
        <v>1150</v>
      </c>
      <c r="B36" s="34" t="n">
        <v>0.840896415253715</v>
      </c>
      <c r="C36" s="2" t="s">
        <v>393</v>
      </c>
    </row>
    <row r="37" customFormat="false" ht="15" hidden="false" customHeight="false" outlineLevel="0" collapsed="false">
      <c r="A37" s="2" t="s">
        <v>1151</v>
      </c>
      <c r="B37" s="34" t="n">
        <v>5</v>
      </c>
      <c r="C37" s="2" t="s">
        <v>397</v>
      </c>
    </row>
    <row r="38" customFormat="false" ht="15" hidden="false" customHeight="false" outlineLevel="0" collapsed="false">
      <c r="A38" s="2" t="s">
        <v>1152</v>
      </c>
      <c r="B38" s="34" t="n">
        <v>8</v>
      </c>
      <c r="C38" s="2" t="s">
        <v>1024</v>
      </c>
    </row>
    <row r="39" customFormat="false" ht="15" hidden="false" customHeight="false" outlineLevel="0" collapsed="false">
      <c r="A39" s="2" t="s">
        <v>1153</v>
      </c>
      <c r="B39" s="34" t="n">
        <v>6.4</v>
      </c>
      <c r="C39" s="2" t="s">
        <v>1154</v>
      </c>
    </row>
    <row r="40" customFormat="false" ht="15" hidden="false" customHeight="false" outlineLevel="0" collapsed="false">
      <c r="A40" s="2" t="s">
        <v>1155</v>
      </c>
      <c r="B40" s="34" t="n">
        <v>49.9999992932612</v>
      </c>
      <c r="C40" s="2" t="s">
        <v>1156</v>
      </c>
    </row>
    <row r="41" customFormat="false" ht="15" hidden="false" customHeight="false" outlineLevel="0" collapsed="false">
      <c r="A41" s="2" t="s">
        <v>1157</v>
      </c>
      <c r="B41" s="34" t="n">
        <v>1.02462112512353</v>
      </c>
      <c r="C41" s="2" t="s">
        <v>1158</v>
      </c>
    </row>
    <row r="42" customFormat="false" ht="15" hidden="false" customHeight="false" outlineLevel="0" collapsed="false">
      <c r="A42" s="2" t="s">
        <v>1159</v>
      </c>
      <c r="B42" s="34" t="n">
        <v>0.0798038616519728</v>
      </c>
      <c r="C42" s="2" t="s">
        <v>1160</v>
      </c>
    </row>
    <row r="43" customFormat="false" ht="15" hidden="false" customHeight="false" outlineLevel="0" collapsed="false">
      <c r="A43" s="2" t="s">
        <v>1161</v>
      </c>
      <c r="B43" s="34" t="n">
        <v>0.159292521929094</v>
      </c>
      <c r="C43" s="2" t="s">
        <v>1162</v>
      </c>
    </row>
    <row r="44" customFormat="false" ht="15" hidden="false" customHeight="false" outlineLevel="0" collapsed="false">
      <c r="A44" s="2" t="s">
        <v>1163</v>
      </c>
      <c r="B44" s="34" t="n">
        <v>0.304445485713396</v>
      </c>
      <c r="C44" s="2" t="s">
        <v>1164</v>
      </c>
    </row>
    <row r="45" customFormat="false" ht="15" hidden="false" customHeight="false" outlineLevel="0" collapsed="false">
      <c r="A45" s="2" t="s">
        <v>1165</v>
      </c>
      <c r="B45" s="34" t="n">
        <v>5.12</v>
      </c>
      <c r="C45" s="2" t="s">
        <v>1166</v>
      </c>
    </row>
    <row r="46" customFormat="false" ht="15" hidden="false" customHeight="false" outlineLevel="0" collapsed="false">
      <c r="A46" s="2" t="s">
        <v>1167</v>
      </c>
      <c r="B46" s="34" t="n">
        <v>4</v>
      </c>
      <c r="C46" s="2" t="s">
        <v>428</v>
      </c>
    </row>
    <row r="47" customFormat="false" ht="15" hidden="false" customHeight="false" outlineLevel="0" collapsed="false">
      <c r="A47" s="2" t="s">
        <v>1168</v>
      </c>
      <c r="B47" s="34" t="n">
        <v>6</v>
      </c>
      <c r="C47" s="2" t="s">
        <v>449</v>
      </c>
    </row>
    <row r="48" customFormat="false" ht="15" hidden="false" customHeight="false" outlineLevel="0" collapsed="false">
      <c r="A48" s="2" t="s">
        <v>1169</v>
      </c>
      <c r="B48" s="34" t="n">
        <v>0.426707972550142</v>
      </c>
      <c r="C48" s="2"/>
    </row>
    <row r="49" customFormat="false" ht="15" hidden="false" customHeight="false" outlineLevel="0" collapsed="false">
      <c r="A49" s="2" t="s">
        <v>1170</v>
      </c>
      <c r="B49" s="34" t="n">
        <v>0.813576835384707</v>
      </c>
      <c r="C49" s="2"/>
    </row>
    <row r="50" customFormat="false" ht="15" hidden="false" customHeight="false" outlineLevel="0" collapsed="false">
      <c r="A50" s="2" t="s">
        <v>1171</v>
      </c>
      <c r="B50" s="34" t="n">
        <v>0.477999384421816</v>
      </c>
      <c r="C50" s="2"/>
    </row>
    <row r="51" customFormat="false" ht="15" hidden="false" customHeight="false" outlineLevel="0" collapsed="false">
      <c r="A51" s="2" t="s">
        <v>1172</v>
      </c>
      <c r="B51" s="34" t="n">
        <v>9</v>
      </c>
      <c r="C51" s="2"/>
    </row>
    <row r="52" customFormat="false" ht="15" hidden="false" customHeight="false" outlineLevel="0" collapsed="false">
      <c r="A52" s="2" t="s">
        <v>1173</v>
      </c>
      <c r="B52" s="34" t="n">
        <v>3</v>
      </c>
      <c r="C52" s="2" t="s">
        <v>1174</v>
      </c>
    </row>
    <row r="53" customFormat="false" ht="15" hidden="false" customHeight="false" outlineLevel="0" collapsed="false">
      <c r="A53" s="2" t="s">
        <v>1175</v>
      </c>
      <c r="B53" s="34" t="n">
        <v>0.0689202437604511</v>
      </c>
      <c r="C53" s="2" t="s">
        <v>1176</v>
      </c>
    </row>
    <row r="54" customFormat="false" ht="15" hidden="false" customHeight="false" outlineLevel="0" collapsed="false">
      <c r="A54" s="2" t="s">
        <v>1177</v>
      </c>
      <c r="B54" s="34" t="n">
        <v>3.74301856335755</v>
      </c>
      <c r="C54" s="2" t="s">
        <v>490</v>
      </c>
    </row>
    <row r="55" customFormat="false" ht="15" hidden="false" customHeight="false" outlineLevel="0" collapsed="false">
      <c r="A55" s="2" t="s">
        <v>1178</v>
      </c>
      <c r="B55" s="34" t="n">
        <v>0.756981436642454</v>
      </c>
      <c r="C55" s="2" t="s">
        <v>1179</v>
      </c>
    </row>
    <row r="56" customFormat="false" ht="15" hidden="false" customHeight="false" outlineLevel="0" collapsed="false">
      <c r="A56" s="2" t="s">
        <v>1180</v>
      </c>
      <c r="B56" s="34" t="n">
        <v>0.0748603712671509</v>
      </c>
      <c r="C56" s="2" t="s">
        <v>1181</v>
      </c>
    </row>
    <row r="57" customFormat="false" ht="15" hidden="false" customHeight="false" outlineLevel="0" collapsed="false">
      <c r="A57" s="2" t="s">
        <v>1182</v>
      </c>
      <c r="B57" s="34" t="n">
        <v>3</v>
      </c>
      <c r="C57" s="2" t="s">
        <v>1020</v>
      </c>
    </row>
    <row r="58" customFormat="false" ht="15" hidden="false" customHeight="false" outlineLevel="0" collapsed="false">
      <c r="A58" s="2" t="s">
        <v>1183</v>
      </c>
      <c r="B58" s="34" t="n">
        <v>73.5525461861163</v>
      </c>
      <c r="C58" s="2" t="s">
        <v>500</v>
      </c>
    </row>
    <row r="59" customFormat="false" ht="15" hidden="false" customHeight="false" outlineLevel="0" collapsed="false">
      <c r="A59" s="2" t="s">
        <v>1184</v>
      </c>
      <c r="B59" s="34" t="n">
        <v>10.9</v>
      </c>
      <c r="C59" s="2" t="s">
        <v>502</v>
      </c>
    </row>
    <row r="60" customFormat="false" ht="15" hidden="false" customHeight="false" outlineLevel="0" collapsed="false">
      <c r="A60" s="2" t="s">
        <v>1185</v>
      </c>
      <c r="B60" s="34" t="n">
        <v>1.44745381388366</v>
      </c>
      <c r="C60" s="2" t="s">
        <v>1186</v>
      </c>
    </row>
    <row r="61" customFormat="false" ht="15" hidden="false" customHeight="false" outlineLevel="0" collapsed="false">
      <c r="A61" s="2" t="s">
        <v>1187</v>
      </c>
      <c r="B61" s="34" t="n">
        <v>1.80701478466484</v>
      </c>
      <c r="C61" s="2" t="s">
        <v>488</v>
      </c>
    </row>
    <row r="62" customFormat="false" ht="15" hidden="false" customHeight="false" outlineLevel="0" collapsed="false">
      <c r="A62" s="2" t="s">
        <v>1188</v>
      </c>
      <c r="B62" s="34" t="n">
        <v>4</v>
      </c>
      <c r="C62" s="2" t="s">
        <v>1059</v>
      </c>
    </row>
    <row r="63" customFormat="false" ht="15" hidden="false" customHeight="false" outlineLevel="0" collapsed="false">
      <c r="A63" s="2" t="s">
        <v>1189</v>
      </c>
      <c r="B63" s="34" t="n">
        <v>2</v>
      </c>
      <c r="C63" s="2" t="s">
        <v>1190</v>
      </c>
    </row>
    <row r="64" customFormat="false" ht="15" hidden="false" customHeight="false" outlineLevel="0" collapsed="false">
      <c r="A64" s="2" t="s">
        <v>1191</v>
      </c>
      <c r="B64" s="34" t="n">
        <v>-20</v>
      </c>
      <c r="C64" s="2" t="s">
        <v>1192</v>
      </c>
    </row>
    <row r="65" customFormat="false" ht="15" hidden="false" customHeight="false" outlineLevel="0" collapsed="false">
      <c r="A65" s="2" t="s">
        <v>1193</v>
      </c>
      <c r="B65" s="34" t="n">
        <v>211</v>
      </c>
      <c r="C65" s="2" t="s">
        <v>1035</v>
      </c>
    </row>
    <row r="66" customFormat="false" ht="15" hidden="false" customHeight="false" outlineLevel="0" collapsed="false">
      <c r="A66" s="2" t="s">
        <v>1194</v>
      </c>
      <c r="B66" s="34" t="n">
        <v>302</v>
      </c>
      <c r="C66" s="2" t="s">
        <v>1037</v>
      </c>
    </row>
    <row r="67" customFormat="false" ht="15" hidden="false" customHeight="false" outlineLevel="0" collapsed="false">
      <c r="A67" s="2" t="s">
        <v>1195</v>
      </c>
      <c r="B67" s="34" t="n">
        <v>138</v>
      </c>
      <c r="C67" s="2" t="s">
        <v>1041</v>
      </c>
    </row>
    <row r="68" customFormat="false" ht="15" hidden="false" customHeight="false" outlineLevel="0" collapsed="false">
      <c r="A68" s="2" t="s">
        <v>1196</v>
      </c>
      <c r="B68" s="34" t="n">
        <v>164</v>
      </c>
      <c r="C68" s="2" t="s">
        <v>1043</v>
      </c>
    </row>
    <row r="69" customFormat="false" ht="15" hidden="false" customHeight="false" outlineLevel="0" collapsed="false">
      <c r="A69" s="2" t="s">
        <v>1197</v>
      </c>
      <c r="B69" s="34" t="n">
        <v>0</v>
      </c>
      <c r="C69" s="2" t="s">
        <v>1045</v>
      </c>
    </row>
    <row r="70" customFormat="false" ht="15" hidden="false" customHeight="false" outlineLevel="0" collapsed="false">
      <c r="A70" s="2" t="s">
        <v>1198</v>
      </c>
      <c r="B70" s="34" t="n">
        <v>0</v>
      </c>
      <c r="C70" s="2" t="s">
        <v>1199</v>
      </c>
    </row>
    <row r="71" customFormat="false" ht="15" hidden="false" customHeight="false" outlineLevel="0" collapsed="false">
      <c r="A71" s="2" t="s">
        <v>1200</v>
      </c>
      <c r="B71" s="34" t="n">
        <v>302</v>
      </c>
      <c r="C71" s="2" t="s">
        <v>1037</v>
      </c>
    </row>
    <row r="72" customFormat="false" ht="15" hidden="false" customHeight="false" outlineLevel="0" collapsed="false">
      <c r="A72" s="2" t="s">
        <v>1201</v>
      </c>
      <c r="B72" s="34" t="n">
        <v>62</v>
      </c>
      <c r="C72" s="2" t="s">
        <v>1053</v>
      </c>
    </row>
    <row r="73" customFormat="false" ht="15" hidden="false" customHeight="false" outlineLevel="0" collapsed="false">
      <c r="A73" s="2" t="s">
        <v>1202</v>
      </c>
      <c r="B73" s="34" t="n">
        <v>15</v>
      </c>
      <c r="C73" s="2" t="s">
        <v>1031</v>
      </c>
    </row>
    <row r="74" customFormat="false" ht="15" hidden="false" customHeight="false" outlineLevel="0" collapsed="false">
      <c r="A74" s="2" t="s">
        <v>1203</v>
      </c>
      <c r="B74" s="34" t="n">
        <v>8</v>
      </c>
      <c r="C74" s="2" t="s">
        <v>285</v>
      </c>
    </row>
    <row r="75" customFormat="false" ht="15" hidden="false" customHeight="false" outlineLevel="0" collapsed="false">
      <c r="A75" s="2" t="s">
        <v>1204</v>
      </c>
      <c r="B75" s="34" t="n">
        <v>2</v>
      </c>
      <c r="C75" s="2" t="s">
        <v>1205</v>
      </c>
    </row>
    <row r="76" customFormat="false" ht="15" hidden="false" customHeight="false" outlineLevel="0" collapsed="false">
      <c r="A76" s="2" t="s">
        <v>1206</v>
      </c>
      <c r="B76" s="34" t="n">
        <v>70</v>
      </c>
      <c r="C76" s="2" t="s">
        <v>1207</v>
      </c>
    </row>
    <row r="77" customFormat="false" ht="15" hidden="false" customHeight="false" outlineLevel="0" collapsed="false">
      <c r="A77" s="2" t="s">
        <v>1208</v>
      </c>
      <c r="B77" s="34" t="n">
        <v>14</v>
      </c>
      <c r="C77" s="2" t="s">
        <v>1063</v>
      </c>
    </row>
    <row r="78" customFormat="false" ht="15" hidden="false" customHeight="false" outlineLevel="0" collapsed="false">
      <c r="A78" s="2" t="s">
        <v>1209</v>
      </c>
      <c r="B78" s="34" t="n">
        <v>10.440610891413</v>
      </c>
      <c r="C78" s="2" t="s">
        <v>1210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2"/>
    <col collapsed="false" customWidth="true" hidden="false" outlineLevel="0" max="3" min="3" style="0" width="16"/>
    <col collapsed="false" customWidth="true" hidden="false" outlineLevel="0" max="5" min="4" style="0" width="11"/>
    <col collapsed="false" customWidth="true" hidden="false" outlineLevel="0" max="6" min="6" style="0" width="10"/>
  </cols>
  <sheetData>
    <row r="1" customFormat="false" ht="15" hidden="false" customHeight="false" outlineLevel="0" collapsed="false">
      <c r="A1" s="8" t="s">
        <v>1093</v>
      </c>
      <c r="B1" s="8" t="s">
        <v>1211</v>
      </c>
      <c r="C1" s="8" t="s">
        <v>1094</v>
      </c>
      <c r="D1" s="8" t="s">
        <v>1212</v>
      </c>
      <c r="E1" s="8" t="s">
        <v>1213</v>
      </c>
      <c r="F1" s="8" t="s">
        <v>1214</v>
      </c>
    </row>
    <row r="2" customFormat="false" ht="15" hidden="false" customHeight="false" outlineLevel="0" collapsed="false">
      <c r="A2" s="2" t="s">
        <v>1096</v>
      </c>
      <c r="B2" s="35" t="n">
        <f aca="false">R2_Consistency!B19</f>
        <v>138.049617642214</v>
      </c>
      <c r="C2" s="36" t="n">
        <f aca="false">Reference_Values!B2</f>
        <v>138.049617642214</v>
      </c>
      <c r="D2" s="37" t="n">
        <f aca="false">ABS(B2-C2)</f>
        <v>0</v>
      </c>
      <c r="E2" s="38" t="n">
        <v>1E-009</v>
      </c>
      <c r="F2" s="4" t="str">
        <f aca="false">IF(D2&lt;=E2,"PASS","FAIL")</f>
        <v>PASS</v>
      </c>
    </row>
    <row r="3" customFormat="false" ht="15" hidden="false" customHeight="false" outlineLevel="0" collapsed="false">
      <c r="A3" s="2" t="s">
        <v>1097</v>
      </c>
      <c r="B3" s="35" t="n">
        <f aca="false">R2_Consistency!B20</f>
        <v>186.866976370664</v>
      </c>
      <c r="C3" s="36" t="n">
        <f aca="false">Reference_Values!B3</f>
        <v>186.866976370664</v>
      </c>
      <c r="D3" s="37" t="n">
        <f aca="false">ABS(B3-C3)</f>
        <v>0</v>
      </c>
      <c r="E3" s="38" t="n">
        <v>1E-006</v>
      </c>
      <c r="F3" s="4" t="str">
        <f aca="false">IF(D3&lt;=E3,"PASS","FAIL")</f>
        <v>PASS</v>
      </c>
    </row>
    <row r="4" customFormat="false" ht="15" hidden="false" customHeight="false" outlineLevel="0" collapsed="false">
      <c r="A4" s="2" t="s">
        <v>1099</v>
      </c>
      <c r="B4" s="35" t="n">
        <f aca="false">R2_Consistency!B24</f>
        <v>459.854053397919</v>
      </c>
      <c r="C4" s="36" t="n">
        <f aca="false">Reference_Values!B4</f>
        <v>459.854053397919</v>
      </c>
      <c r="D4" s="37" t="n">
        <f aca="false">ABS(B4-C4)</f>
        <v>0</v>
      </c>
      <c r="E4" s="38" t="n">
        <v>1E-009</v>
      </c>
      <c r="F4" s="4" t="str">
        <f aca="false">IF(D4&lt;=E4,"PASS","FAIL")</f>
        <v>PASS</v>
      </c>
    </row>
    <row r="5" customFormat="false" ht="15" hidden="false" customHeight="false" outlineLevel="0" collapsed="false">
      <c r="A5" s="2" t="s">
        <v>1101</v>
      </c>
      <c r="B5" s="35" t="n">
        <f aca="false">Scorecard!B43</f>
        <v>1.59240309141324</v>
      </c>
      <c r="C5" s="36" t="n">
        <f aca="false">Reference_Values!B5</f>
        <v>1.59240309141324</v>
      </c>
      <c r="D5" s="37" t="n">
        <f aca="false">ABS(B5-C5)</f>
        <v>0</v>
      </c>
      <c r="E5" s="38" t="n">
        <v>1E-009</v>
      </c>
      <c r="F5" s="4" t="str">
        <f aca="false">IF(D5&lt;=E5,"PASS","FAIL")</f>
        <v>PASS</v>
      </c>
    </row>
    <row r="6" customFormat="false" ht="15" hidden="false" customHeight="false" outlineLevel="0" collapsed="false">
      <c r="A6" s="2" t="s">
        <v>1103</v>
      </c>
      <c r="B6" s="35" t="n">
        <f aca="false">R3_Panel!B9</f>
        <v>3.10628371950539</v>
      </c>
      <c r="C6" s="36" t="n">
        <f aca="false">Reference_Values!B6</f>
        <v>3.10628371950539</v>
      </c>
      <c r="D6" s="37" t="n">
        <f aca="false">ABS(B6-C6)</f>
        <v>0</v>
      </c>
      <c r="E6" s="38" t="n">
        <v>1E-009</v>
      </c>
      <c r="F6" s="4" t="str">
        <f aca="false">IF(D6&lt;=E6,"PASS","FAIL")</f>
        <v>PASS</v>
      </c>
    </row>
    <row r="7" customFormat="false" ht="15" hidden="false" customHeight="false" outlineLevel="0" collapsed="false">
      <c r="A7" s="2" t="s">
        <v>1105</v>
      </c>
      <c r="B7" s="35" t="n">
        <f aca="false">Quantiles!B95</f>
        <v>10.440610891413</v>
      </c>
      <c r="C7" s="36" t="n">
        <f aca="false">Reference_Values!B7</f>
        <v>10.440610891413</v>
      </c>
      <c r="D7" s="37" t="n">
        <f aca="false">ABS(B7-C7)</f>
        <v>0</v>
      </c>
      <c r="E7" s="38" t="n">
        <v>1E-009</v>
      </c>
      <c r="F7" s="4" t="str">
        <f aca="false">IF(D7&lt;=E7,"PASS","FAIL")</f>
        <v>PASS</v>
      </c>
    </row>
    <row r="8" customFormat="false" ht="15" hidden="false" customHeight="false" outlineLevel="0" collapsed="false">
      <c r="A8" s="2" t="s">
        <v>1106</v>
      </c>
      <c r="B8" s="35" t="n">
        <f aca="false">Quantiles!B102</f>
        <v>180.701478466484</v>
      </c>
      <c r="C8" s="36" t="n">
        <f aca="false">Reference_Values!B8</f>
        <v>180.701478466484</v>
      </c>
      <c r="D8" s="37" t="n">
        <f aca="false">ABS(B8-C8)</f>
        <v>7.105427357601E-013</v>
      </c>
      <c r="E8" s="38" t="n">
        <v>1E-006</v>
      </c>
      <c r="F8" s="4" t="str">
        <f aca="false">IF(D8&lt;=E8,"PASS","FAIL")</f>
        <v>PASS</v>
      </c>
    </row>
    <row r="9" customFormat="false" ht="15" hidden="false" customHeight="false" outlineLevel="0" collapsed="false">
      <c r="A9" s="2" t="s">
        <v>1107</v>
      </c>
      <c r="B9" s="35" t="n">
        <f aca="false">Framework!B28</f>
        <v>392.05723136</v>
      </c>
      <c r="C9" s="36" t="n">
        <f aca="false">Reference_Values!B9</f>
        <v>392.05723136</v>
      </c>
      <c r="D9" s="37" t="n">
        <f aca="false">ABS(B9-C9)</f>
        <v>0</v>
      </c>
      <c r="E9" s="38" t="n">
        <v>1E-009</v>
      </c>
      <c r="F9" s="4" t="str">
        <f aca="false">IF(D9&lt;=E9,"PASS","FAIL")</f>
        <v>PASS</v>
      </c>
    </row>
    <row r="10" customFormat="false" ht="15" hidden="false" customHeight="false" outlineLevel="0" collapsed="false">
      <c r="A10" s="2" t="s">
        <v>1108</v>
      </c>
      <c r="B10" s="35" t="n">
        <f aca="false">Framework!B29</f>
        <v>403.77906944</v>
      </c>
      <c r="C10" s="36" t="n">
        <f aca="false">Reference_Values!B10</f>
        <v>403.77906944</v>
      </c>
      <c r="D10" s="37" t="n">
        <f aca="false">ABS(B10-C10)</f>
        <v>0</v>
      </c>
      <c r="E10" s="38" t="n">
        <v>1E-009</v>
      </c>
      <c r="F10" s="4" t="str">
        <f aca="false">IF(D10&lt;=E10,"PASS","FAIL")</f>
        <v>PASS</v>
      </c>
    </row>
    <row r="11" customFormat="false" ht="15" hidden="false" customHeight="false" outlineLevel="0" collapsed="false">
      <c r="A11" s="2" t="s">
        <v>1109</v>
      </c>
      <c r="B11" s="35" t="n">
        <f aca="false">Framework!B30</f>
        <v>11.7218380799999</v>
      </c>
      <c r="C11" s="36" t="n">
        <f aca="false">Reference_Values!B11</f>
        <v>11.7218380799999</v>
      </c>
      <c r="D11" s="37" t="n">
        <f aca="false">ABS(B11-C11)</f>
        <v>0</v>
      </c>
      <c r="E11" s="38" t="n">
        <v>1E-009</v>
      </c>
      <c r="F11" s="4" t="str">
        <f aca="false">IF(D11&lt;=E11,"PASS","FAIL")</f>
        <v>PASS</v>
      </c>
    </row>
    <row r="12" customFormat="false" ht="15" hidden="false" customHeight="false" outlineLevel="0" collapsed="false">
      <c r="A12" s="2" t="s">
        <v>1110</v>
      </c>
      <c r="B12" s="35" t="n">
        <f aca="false">Framework!B31</f>
        <v>390.980183638016</v>
      </c>
      <c r="C12" s="36" t="n">
        <f aca="false">Reference_Values!B12</f>
        <v>390.980183638016</v>
      </c>
      <c r="D12" s="37" t="n">
        <f aca="false">ABS(B12-C12)</f>
        <v>0</v>
      </c>
      <c r="E12" s="38" t="n">
        <v>1E-009</v>
      </c>
      <c r="F12" s="4" t="str">
        <f aca="false">IF(D12&lt;=E12,"PASS","FAIL")</f>
        <v>PASS</v>
      </c>
    </row>
    <row r="13" customFormat="false" ht="15" hidden="false" customHeight="false" outlineLevel="0" collapsed="false">
      <c r="A13" s="2" t="s">
        <v>1111</v>
      </c>
      <c r="B13" s="35" t="n">
        <f aca="false">R1_Inventory!B46</f>
        <v>7</v>
      </c>
      <c r="C13" s="36" t="n">
        <f aca="false">Reference_Values!B13</f>
        <v>7</v>
      </c>
      <c r="D13" s="37" t="n">
        <f aca="false">ABS(B13-C13)</f>
        <v>0</v>
      </c>
      <c r="E13" s="38" t="n">
        <v>1E-009</v>
      </c>
      <c r="F13" s="4" t="str">
        <f aca="false">IF(D13&lt;=E13,"PASS","FAIL")</f>
        <v>PASS</v>
      </c>
    </row>
    <row r="14" customFormat="false" ht="15" hidden="false" customHeight="false" outlineLevel="0" collapsed="false">
      <c r="A14" s="2" t="s">
        <v>1112</v>
      </c>
      <c r="B14" s="35" t="n">
        <f aca="false">R1_Inventory!B47</f>
        <v>14</v>
      </c>
      <c r="C14" s="36" t="n">
        <f aca="false">Reference_Values!B14</f>
        <v>14</v>
      </c>
      <c r="D14" s="37" t="n">
        <f aca="false">ABS(B14-C14)</f>
        <v>0</v>
      </c>
      <c r="E14" s="38" t="n">
        <v>0</v>
      </c>
      <c r="F14" s="4" t="str">
        <f aca="false">IF(D14&lt;=E14,"PASS","FAIL")</f>
        <v>PASS</v>
      </c>
    </row>
    <row r="15" customFormat="false" ht="15" hidden="false" customHeight="false" outlineLevel="0" collapsed="false">
      <c r="A15" s="2" t="s">
        <v>1113</v>
      </c>
      <c r="B15" s="35" t="n">
        <f aca="false">R1_Inventory!B48</f>
        <v>4</v>
      </c>
      <c r="C15" s="36" t="n">
        <f aca="false">Reference_Values!B15</f>
        <v>4</v>
      </c>
      <c r="D15" s="37" t="n">
        <f aca="false">ABS(B15-C15)</f>
        <v>0</v>
      </c>
      <c r="E15" s="38" t="n">
        <v>0</v>
      </c>
      <c r="F15" s="4" t="str">
        <f aca="false">IF(D15&lt;=E15,"PASS","FAIL")</f>
        <v>PASS</v>
      </c>
    </row>
    <row r="16" customFormat="false" ht="15" hidden="false" customHeight="false" outlineLevel="0" collapsed="false">
      <c r="A16" s="2" t="s">
        <v>1114</v>
      </c>
      <c r="B16" s="35" t="n">
        <f aca="false">R1_Inventory!B49</f>
        <v>5</v>
      </c>
      <c r="C16" s="36" t="n">
        <f aca="false">Reference_Values!B16</f>
        <v>5</v>
      </c>
      <c r="D16" s="37" t="n">
        <f aca="false">ABS(B16-C16)</f>
        <v>0</v>
      </c>
      <c r="E16" s="38" t="n">
        <v>0</v>
      </c>
      <c r="F16" s="4" t="str">
        <f aca="false">IF(D16&lt;=E16,"PASS","FAIL")</f>
        <v>PASS</v>
      </c>
    </row>
    <row r="17" customFormat="false" ht="15" hidden="false" customHeight="false" outlineLevel="0" collapsed="false">
      <c r="A17" s="2" t="s">
        <v>1115</v>
      </c>
      <c r="B17" s="35" t="n">
        <f aca="false">R1_Inventory!B50</f>
        <v>6</v>
      </c>
      <c r="C17" s="36" t="n">
        <f aca="false">Reference_Values!B17</f>
        <v>6</v>
      </c>
      <c r="D17" s="37" t="n">
        <f aca="false">ABS(B17-C17)</f>
        <v>0</v>
      </c>
      <c r="E17" s="38" t="n">
        <v>0</v>
      </c>
      <c r="F17" s="4" t="str">
        <f aca="false">IF(D17&lt;=E17,"PASS","FAIL")</f>
        <v>PASS</v>
      </c>
    </row>
    <row r="18" customFormat="false" ht="15" hidden="false" customHeight="false" outlineLevel="0" collapsed="false">
      <c r="A18" s="2" t="s">
        <v>1116</v>
      </c>
      <c r="B18" s="35" t="n">
        <f aca="false">Quantiles!B96</f>
        <v>19</v>
      </c>
      <c r="C18" s="36" t="n">
        <f aca="false">Reference_Values!B18</f>
        <v>19</v>
      </c>
      <c r="D18" s="37" t="n">
        <f aca="false">ABS(B18-C18)</f>
        <v>0</v>
      </c>
      <c r="E18" s="38" t="n">
        <v>1E-009</v>
      </c>
      <c r="F18" s="4" t="str">
        <f aca="false">IF(D18&lt;=E18,"PASS","FAIL")</f>
        <v>PASS</v>
      </c>
    </row>
    <row r="19" customFormat="false" ht="15" hidden="false" customHeight="false" outlineLevel="0" collapsed="false">
      <c r="A19" s="2" t="s">
        <v>1117</v>
      </c>
      <c r="B19" s="35" t="n">
        <f aca="false">Quantiles!B97</f>
        <v>14.668098117088</v>
      </c>
      <c r="C19" s="36" t="n">
        <f aca="false">Reference_Values!B19</f>
        <v>14.668098117088</v>
      </c>
      <c r="D19" s="37" t="n">
        <f aca="false">ABS(B19-C19)</f>
        <v>0</v>
      </c>
      <c r="E19" s="38" t="n">
        <v>1E-009</v>
      </c>
      <c r="F19" s="4" t="str">
        <f aca="false">IF(D19&lt;=E19,"PASS","FAIL")</f>
        <v>PASS</v>
      </c>
    </row>
    <row r="20" customFormat="false" ht="15" hidden="false" customHeight="false" outlineLevel="0" collapsed="false">
      <c r="A20" s="2" t="s">
        <v>1118</v>
      </c>
      <c r="B20" s="35" t="n">
        <f aca="false">Quantiles!B98</f>
        <v>4.33190188291202</v>
      </c>
      <c r="C20" s="36" t="n">
        <f aca="false">Reference_Values!B20</f>
        <v>4.33190188291202</v>
      </c>
      <c r="D20" s="37" t="n">
        <f aca="false">ABS(B20-C20)</f>
        <v>0</v>
      </c>
      <c r="E20" s="38" t="n">
        <v>1E-009</v>
      </c>
      <c r="F20" s="4" t="str">
        <f aca="false">IF(D20&lt;=E20,"PASS","FAIL")</f>
        <v>PASS</v>
      </c>
    </row>
    <row r="21" customFormat="false" ht="15" hidden="false" customHeight="false" outlineLevel="0" collapsed="false">
      <c r="A21" s="2" t="s">
        <v>1120</v>
      </c>
      <c r="B21" s="35" t="n">
        <f aca="false">Scorecard!F28</f>
        <v>52.2640294257717</v>
      </c>
      <c r="C21" s="36" t="n">
        <f aca="false">Reference_Values!B21</f>
        <v>52.2640294257717</v>
      </c>
      <c r="D21" s="37" t="n">
        <f aca="false">ABS(B21-C21)</f>
        <v>0</v>
      </c>
      <c r="E21" s="38" t="n">
        <v>1E-009</v>
      </c>
      <c r="F21" s="4" t="str">
        <f aca="false">IF(D21&lt;=E21,"PASS","FAIL")</f>
        <v>PASS</v>
      </c>
    </row>
    <row r="22" customFormat="false" ht="15" hidden="false" customHeight="false" outlineLevel="0" collapsed="false">
      <c r="A22" s="2" t="s">
        <v>1122</v>
      </c>
      <c r="B22" s="35" t="n">
        <f aca="false">Scorecard!F27</f>
        <v>41.399919979106</v>
      </c>
      <c r="C22" s="36" t="n">
        <f aca="false">Reference_Values!B22</f>
        <v>41.399919979106</v>
      </c>
      <c r="D22" s="37" t="n">
        <f aca="false">ABS(B22-C22)</f>
        <v>0</v>
      </c>
      <c r="E22" s="38" t="n">
        <v>1E-009</v>
      </c>
      <c r="F22" s="4" t="str">
        <f aca="false">IF(D22&lt;=E22,"PASS","FAIL")</f>
        <v>PASS</v>
      </c>
    </row>
    <row r="23" customFormat="false" ht="15" hidden="false" customHeight="false" outlineLevel="0" collapsed="false">
      <c r="A23" s="2" t="s">
        <v>1124</v>
      </c>
      <c r="B23" s="35" t="n">
        <f aca="false">Scorecard!F29</f>
        <v>35.3237856271693</v>
      </c>
      <c r="C23" s="36" t="n">
        <f aca="false">Reference_Values!B23</f>
        <v>35.3237856271693</v>
      </c>
      <c r="D23" s="37" t="n">
        <f aca="false">ABS(B23-C23)</f>
        <v>0</v>
      </c>
      <c r="E23" s="38" t="n">
        <v>1E-009</v>
      </c>
      <c r="F23" s="4" t="str">
        <f aca="false">IF(D23&lt;=E23,"PASS","FAIL")</f>
        <v>PASS</v>
      </c>
    </row>
    <row r="24" customFormat="false" ht="15" hidden="false" customHeight="false" outlineLevel="0" collapsed="false">
      <c r="A24" s="2" t="s">
        <v>1126</v>
      </c>
      <c r="B24" s="35" t="n">
        <f aca="false">Scorecard!F32</f>
        <v>24.0380729119675</v>
      </c>
      <c r="C24" s="36" t="n">
        <f aca="false">Reference_Values!B24</f>
        <v>24.0380729119675</v>
      </c>
      <c r="D24" s="37" t="n">
        <f aca="false">ABS(B24-C24)</f>
        <v>0</v>
      </c>
      <c r="E24" s="38" t="n">
        <v>1E-009</v>
      </c>
      <c r="F24" s="4" t="str">
        <f aca="false">IF(D24&lt;=E24,"PASS","FAIL")</f>
        <v>PASS</v>
      </c>
    </row>
    <row r="25" customFormat="false" ht="15" hidden="false" customHeight="false" outlineLevel="0" collapsed="false">
      <c r="A25" s="2" t="s">
        <v>1128</v>
      </c>
      <c r="B25" s="35" t="n">
        <f aca="false">Scorecard!F33</f>
        <v>10.6236529336087</v>
      </c>
      <c r="C25" s="36" t="n">
        <f aca="false">Reference_Values!B25</f>
        <v>10.6236529336087</v>
      </c>
      <c r="D25" s="37" t="n">
        <f aca="false">ABS(B25-C25)</f>
        <v>0</v>
      </c>
      <c r="E25" s="38" t="n">
        <v>1E-009</v>
      </c>
      <c r="F25" s="4" t="str">
        <f aca="false">IF(D25&lt;=E25,"PASS","FAIL")</f>
        <v>PASS</v>
      </c>
    </row>
    <row r="26" customFormat="false" ht="15" hidden="false" customHeight="false" outlineLevel="0" collapsed="false">
      <c r="A26" s="2" t="s">
        <v>1130</v>
      </c>
      <c r="B26" s="35" t="n">
        <f aca="false">Scorecard!F34</f>
        <v>0.0246480439088654</v>
      </c>
      <c r="C26" s="36" t="n">
        <f aca="false">Reference_Values!B26</f>
        <v>0.0246480439088654</v>
      </c>
      <c r="D26" s="37" t="n">
        <f aca="false">ABS(B26-C26)</f>
        <v>0</v>
      </c>
      <c r="E26" s="38" t="n">
        <v>1E-009</v>
      </c>
      <c r="F26" s="4" t="str">
        <f aca="false">IF(D26&lt;=E26,"PASS","FAIL")</f>
        <v>PASS</v>
      </c>
    </row>
    <row r="27" customFormat="false" ht="15" hidden="false" customHeight="false" outlineLevel="0" collapsed="false">
      <c r="A27" s="2" t="s">
        <v>1132</v>
      </c>
      <c r="B27" s="35" t="n">
        <f aca="false">R2_Consistency!B22</f>
        <v>324.916594012879</v>
      </c>
      <c r="C27" s="36" t="n">
        <f aca="false">Reference_Values!B27</f>
        <v>324.916594012879</v>
      </c>
      <c r="D27" s="37" t="n">
        <f aca="false">ABS(B27-C27)</f>
        <v>0</v>
      </c>
      <c r="E27" s="38" t="n">
        <v>1E-006</v>
      </c>
      <c r="F27" s="4" t="str">
        <f aca="false">IF(D27&lt;=E27,"PASS","FAIL")</f>
        <v>PASS</v>
      </c>
    </row>
    <row r="28" customFormat="false" ht="15" hidden="false" customHeight="false" outlineLevel="0" collapsed="false">
      <c r="A28" s="2" t="s">
        <v>1134</v>
      </c>
      <c r="B28" s="35" t="n">
        <f aca="false">R2_Consistency!B23</f>
        <v>54.9165940128788</v>
      </c>
      <c r="C28" s="36" t="n">
        <f aca="false">Reference_Values!B28</f>
        <v>54.9165940128787</v>
      </c>
      <c r="D28" s="37" t="n">
        <f aca="false">ABS(B28-C28)</f>
        <v>0</v>
      </c>
      <c r="E28" s="38" t="n">
        <v>1E-006</v>
      </c>
      <c r="F28" s="4" t="str">
        <f aca="false">IF(D28&lt;=E28,"PASS","FAIL")</f>
        <v>PASS</v>
      </c>
    </row>
    <row r="29" customFormat="false" ht="15" hidden="false" customHeight="false" outlineLevel="0" collapsed="false">
      <c r="A29" s="2" t="s">
        <v>1136</v>
      </c>
      <c r="B29" s="35" t="n">
        <f aca="false">Quantiles!B93</f>
        <v>170</v>
      </c>
      <c r="C29" s="36" t="n">
        <f aca="false">Reference_Values!B29</f>
        <v>170</v>
      </c>
      <c r="D29" s="37" t="n">
        <f aca="false">ABS(B29-C29)</f>
        <v>0</v>
      </c>
      <c r="E29" s="38" t="n">
        <v>0</v>
      </c>
      <c r="F29" s="4" t="str">
        <f aca="false">IF(D29&lt;=E29,"PASS","FAIL")</f>
        <v>PASS</v>
      </c>
    </row>
    <row r="30" customFormat="false" ht="15" hidden="false" customHeight="false" outlineLevel="0" collapsed="false">
      <c r="A30" s="2" t="s">
        <v>1138</v>
      </c>
      <c r="B30" s="35" t="n">
        <f aca="false">Quantiles!B94</f>
        <v>0.667576361426625</v>
      </c>
      <c r="C30" s="36" t="n">
        <f aca="false">Reference_Values!B30</f>
        <v>0.667576361426626</v>
      </c>
      <c r="D30" s="37" t="n">
        <f aca="false">ABS(B30-C30)</f>
        <v>0</v>
      </c>
      <c r="E30" s="38" t="n">
        <v>1E-009</v>
      </c>
      <c r="F30" s="4" t="str">
        <f aca="false">IF(D30&lt;=E30,"PASS","FAIL")</f>
        <v>PASS</v>
      </c>
    </row>
    <row r="31" customFormat="false" ht="15" hidden="false" customHeight="false" outlineLevel="0" collapsed="false">
      <c r="A31" s="2" t="s">
        <v>1140</v>
      </c>
      <c r="B31" s="35" t="n">
        <f aca="false">R2_Consistency!B32</f>
        <v>121.63436791099</v>
      </c>
      <c r="C31" s="36" t="n">
        <f aca="false">Reference_Values!B31</f>
        <v>121.63436791099</v>
      </c>
      <c r="D31" s="37" t="n">
        <f aca="false">ABS(B31-C31)</f>
        <v>0</v>
      </c>
      <c r="E31" s="38" t="n">
        <v>1E-009</v>
      </c>
      <c r="F31" s="4" t="str">
        <f aca="false">IF(D31&lt;=E31,"PASS","FAIL")</f>
        <v>PASS</v>
      </c>
    </row>
    <row r="32" customFormat="false" ht="15" hidden="false" customHeight="false" outlineLevel="0" collapsed="false">
      <c r="A32" s="2" t="s">
        <v>1142</v>
      </c>
      <c r="B32" s="35" t="n">
        <f aca="false">R2_Consistency!B33</f>
        <v>16.8669763706644</v>
      </c>
      <c r="C32" s="36" t="n">
        <f aca="false">Reference_Values!B32</f>
        <v>16.8669763706643</v>
      </c>
      <c r="D32" s="37" t="n">
        <f aca="false">ABS(B32-C32)</f>
        <v>8.17124146124115E-014</v>
      </c>
      <c r="E32" s="38" t="n">
        <v>1E-006</v>
      </c>
      <c r="F32" s="4" t="str">
        <f aca="false">IF(D32&lt;=E32,"PASS","FAIL")</f>
        <v>PASS</v>
      </c>
    </row>
    <row r="33" customFormat="false" ht="15" hidden="false" customHeight="false" outlineLevel="0" collapsed="false">
      <c r="A33" s="2" t="s">
        <v>1144</v>
      </c>
      <c r="B33" s="35" t="n">
        <f aca="false">R2_Consistency!B34</f>
        <v>138.501344281655</v>
      </c>
      <c r="C33" s="36" t="n">
        <f aca="false">Reference_Values!B33</f>
        <v>138.501344281655</v>
      </c>
      <c r="D33" s="37" t="n">
        <f aca="false">ABS(B33-C33)</f>
        <v>0</v>
      </c>
      <c r="E33" s="38" t="n">
        <v>1E-006</v>
      </c>
      <c r="F33" s="4" t="str">
        <f aca="false">IF(D33&lt;=E33,"PASS","FAIL")</f>
        <v>PASS</v>
      </c>
    </row>
    <row r="34" customFormat="false" ht="15" hidden="false" customHeight="false" outlineLevel="0" collapsed="false">
      <c r="A34" s="2" t="s">
        <v>1146</v>
      </c>
      <c r="B34" s="35" t="n">
        <f aca="false">R2_Consistency!B35</f>
        <v>131.498655718345</v>
      </c>
      <c r="C34" s="36" t="n">
        <f aca="false">Reference_Values!B34</f>
        <v>131.498655718345</v>
      </c>
      <c r="D34" s="37" t="n">
        <f aca="false">ABS(B34-C34)</f>
        <v>0</v>
      </c>
      <c r="E34" s="38" t="n">
        <v>1E-006</v>
      </c>
      <c r="F34" s="4" t="str">
        <f aca="false">IF(D34&lt;=E34,"PASS","FAIL")</f>
        <v>PASS</v>
      </c>
    </row>
    <row r="35" customFormat="false" ht="15" hidden="false" customHeight="false" outlineLevel="0" collapsed="false">
      <c r="A35" s="2" t="s">
        <v>1148</v>
      </c>
      <c r="B35" s="35" t="n">
        <f aca="false">R3_Panel!B7</f>
        <v>0.8</v>
      </c>
      <c r="C35" s="36" t="n">
        <f aca="false">Reference_Values!B35</f>
        <v>0.8</v>
      </c>
      <c r="D35" s="37" t="n">
        <f aca="false">ABS(B35-C35)</f>
        <v>0</v>
      </c>
      <c r="E35" s="38" t="n">
        <v>1E-009</v>
      </c>
      <c r="F35" s="4" t="str">
        <f aca="false">IF(D35&lt;=E35,"PASS","FAIL")</f>
        <v>PASS</v>
      </c>
    </row>
    <row r="36" customFormat="false" ht="15" hidden="false" customHeight="false" outlineLevel="0" collapsed="false">
      <c r="A36" s="2" t="s">
        <v>1150</v>
      </c>
      <c r="B36" s="35" t="n">
        <f aca="false">R3_Panel!B8</f>
        <v>0.840896415253715</v>
      </c>
      <c r="C36" s="36" t="n">
        <f aca="false">Reference_Values!B36</f>
        <v>0.840896415253715</v>
      </c>
      <c r="D36" s="37" t="n">
        <f aca="false">ABS(B36-C36)</f>
        <v>0</v>
      </c>
      <c r="E36" s="38" t="n">
        <v>1E-009</v>
      </c>
      <c r="F36" s="4" t="str">
        <f aca="false">IF(D36&lt;=E36,"PASS","FAIL")</f>
        <v>PASS</v>
      </c>
    </row>
    <row r="37" customFormat="false" ht="15" hidden="false" customHeight="false" outlineLevel="0" collapsed="false">
      <c r="A37" s="2" t="s">
        <v>1151</v>
      </c>
      <c r="B37" s="35" t="n">
        <f aca="false">R3_Panel!B10</f>
        <v>5</v>
      </c>
      <c r="C37" s="36" t="n">
        <f aca="false">Reference_Values!B37</f>
        <v>5</v>
      </c>
      <c r="D37" s="37" t="n">
        <f aca="false">ABS(B37-C37)</f>
        <v>0</v>
      </c>
      <c r="E37" s="38" t="n">
        <v>1E-009</v>
      </c>
      <c r="F37" s="4" t="str">
        <f aca="false">IF(D37&lt;=E37,"PASS","FAIL")</f>
        <v>PASS</v>
      </c>
    </row>
    <row r="38" customFormat="false" ht="15" hidden="false" customHeight="false" outlineLevel="0" collapsed="false">
      <c r="A38" s="2" t="s">
        <v>1152</v>
      </c>
      <c r="B38" s="35" t="n">
        <f aca="false">R3_Panel!B19</f>
        <v>8</v>
      </c>
      <c r="C38" s="36" t="n">
        <f aca="false">Reference_Values!B38</f>
        <v>8</v>
      </c>
      <c r="D38" s="37" t="n">
        <f aca="false">ABS(B38-C38)</f>
        <v>0</v>
      </c>
      <c r="E38" s="38" t="n">
        <v>1E-009</v>
      </c>
      <c r="F38" s="4" t="str">
        <f aca="false">IF(D38&lt;=E38,"PASS","FAIL")</f>
        <v>PASS</v>
      </c>
    </row>
    <row r="39" customFormat="false" ht="15" hidden="false" customHeight="false" outlineLevel="0" collapsed="false">
      <c r="A39" s="2" t="s">
        <v>1153</v>
      </c>
      <c r="B39" s="35" t="n">
        <f aca="false">R3_Panel!B20</f>
        <v>6.4</v>
      </c>
      <c r="C39" s="36" t="n">
        <f aca="false">Reference_Values!B39</f>
        <v>6.4</v>
      </c>
      <c r="D39" s="37" t="n">
        <f aca="false">ABS(B39-C39)</f>
        <v>0</v>
      </c>
      <c r="E39" s="38" t="n">
        <v>1E-009</v>
      </c>
      <c r="F39" s="4" t="str">
        <f aca="false">IF(D39&lt;=E39,"PASS","FAIL")</f>
        <v>PASS</v>
      </c>
    </row>
    <row r="40" customFormat="false" ht="15" hidden="false" customHeight="false" outlineLevel="0" collapsed="false">
      <c r="A40" s="2" t="s">
        <v>1155</v>
      </c>
      <c r="B40" s="35" t="n">
        <f aca="false">R3_Panel!B22</f>
        <v>49.9999992932612</v>
      </c>
      <c r="C40" s="36" t="n">
        <f aca="false">Reference_Values!B40</f>
        <v>49.9999992932612</v>
      </c>
      <c r="D40" s="37" t="n">
        <f aca="false">ABS(B40-C40)</f>
        <v>0</v>
      </c>
      <c r="E40" s="38" t="n">
        <v>1E-006</v>
      </c>
      <c r="F40" s="4" t="str">
        <f aca="false">IF(D40&lt;=E40,"PASS","FAIL")</f>
        <v>PASS</v>
      </c>
    </row>
    <row r="41" customFormat="false" ht="15" hidden="false" customHeight="false" outlineLevel="0" collapsed="false">
      <c r="A41" s="2" t="s">
        <v>1157</v>
      </c>
      <c r="B41" s="35" t="n">
        <f aca="false">R3_Panel!B26</f>
        <v>1.02462112512353</v>
      </c>
      <c r="C41" s="36" t="n">
        <f aca="false">Reference_Values!B41</f>
        <v>1.02462112512353</v>
      </c>
      <c r="D41" s="37" t="n">
        <f aca="false">ABS(B41-C41)</f>
        <v>0</v>
      </c>
      <c r="E41" s="38" t="n">
        <v>1E-009</v>
      </c>
      <c r="F41" s="4" t="str">
        <f aca="false">IF(D41&lt;=E41,"PASS","FAIL")</f>
        <v>PASS</v>
      </c>
    </row>
    <row r="42" customFormat="false" ht="15" hidden="false" customHeight="false" outlineLevel="0" collapsed="false">
      <c r="A42" s="2" t="s">
        <v>1159</v>
      </c>
      <c r="B42" s="35" t="n">
        <f aca="false">R3_Panel!B29</f>
        <v>0.0798038616519728</v>
      </c>
      <c r="C42" s="36" t="n">
        <f aca="false">Reference_Values!B42</f>
        <v>0.0798038616519728</v>
      </c>
      <c r="D42" s="37" t="n">
        <f aca="false">ABS(B42-C42)</f>
        <v>0</v>
      </c>
      <c r="E42" s="38" t="n">
        <v>1E-009</v>
      </c>
      <c r="F42" s="4" t="str">
        <f aca="false">IF(D42&lt;=E42,"PASS","FAIL")</f>
        <v>PASS</v>
      </c>
    </row>
    <row r="43" customFormat="false" ht="15" hidden="false" customHeight="false" outlineLevel="0" collapsed="false">
      <c r="A43" s="2" t="s">
        <v>1161</v>
      </c>
      <c r="B43" s="35" t="n">
        <f aca="false">R3_Panel!B31</f>
        <v>0.159292521929094</v>
      </c>
      <c r="C43" s="36" t="n">
        <f aca="false">Reference_Values!B43</f>
        <v>0.159292521929094</v>
      </c>
      <c r="D43" s="37" t="n">
        <f aca="false">ABS(B43-C43)</f>
        <v>0</v>
      </c>
      <c r="E43" s="38" t="n">
        <v>1E-009</v>
      </c>
      <c r="F43" s="4" t="str">
        <f aca="false">IF(D43&lt;=E43,"PASS","FAIL")</f>
        <v>PASS</v>
      </c>
    </row>
    <row r="44" customFormat="false" ht="15" hidden="false" customHeight="false" outlineLevel="0" collapsed="false">
      <c r="A44" s="2" t="s">
        <v>1163</v>
      </c>
      <c r="B44" s="35" t="n">
        <f aca="false">R3_Panel!B33</f>
        <v>0.304445485713396</v>
      </c>
      <c r="C44" s="36" t="n">
        <f aca="false">Reference_Values!B44</f>
        <v>0.304445485713396</v>
      </c>
      <c r="D44" s="37" t="n">
        <f aca="false">ABS(B44-C44)</f>
        <v>0</v>
      </c>
      <c r="E44" s="38" t="n">
        <v>1E-009</v>
      </c>
      <c r="F44" s="4" t="str">
        <f aca="false">IF(D44&lt;=E44,"PASS","FAIL")</f>
        <v>PASS</v>
      </c>
    </row>
    <row r="45" customFormat="false" ht="15" hidden="false" customHeight="false" outlineLevel="0" collapsed="false">
      <c r="A45" s="2" t="s">
        <v>1165</v>
      </c>
      <c r="B45" s="35" t="n">
        <f aca="false">DigitalTwin!E50</f>
        <v>5.12</v>
      </c>
      <c r="C45" s="36" t="n">
        <f aca="false">Reference_Values!B45</f>
        <v>5.12</v>
      </c>
      <c r="D45" s="37" t="n">
        <f aca="false">ABS(B45-C45)</f>
        <v>0</v>
      </c>
      <c r="E45" s="38" t="n">
        <v>1E-009</v>
      </c>
      <c r="F45" s="4" t="str">
        <f aca="false">IF(D45&lt;=E45,"PASS","FAIL")</f>
        <v>PASS</v>
      </c>
    </row>
    <row r="46" customFormat="false" ht="15" hidden="false" customHeight="false" outlineLevel="0" collapsed="false">
      <c r="A46" s="2" t="s">
        <v>1167</v>
      </c>
      <c r="B46" s="35" t="n">
        <f aca="false">DigitalTwin!B25</f>
        <v>4</v>
      </c>
      <c r="C46" s="36" t="n">
        <f aca="false">Reference_Values!B46</f>
        <v>4</v>
      </c>
      <c r="D46" s="37" t="n">
        <f aca="false">ABS(B46-C46)</f>
        <v>0</v>
      </c>
      <c r="E46" s="38" t="n">
        <v>0</v>
      </c>
      <c r="F46" s="4" t="str">
        <f aca="false">IF(D46&lt;=E46,"PASS","FAIL")</f>
        <v>PASS</v>
      </c>
    </row>
    <row r="47" customFormat="false" ht="15" hidden="false" customHeight="false" outlineLevel="0" collapsed="false">
      <c r="A47" s="2" t="s">
        <v>1168</v>
      </c>
      <c r="B47" s="35" t="n">
        <f aca="false">DigitalTwin!B26</f>
        <v>6</v>
      </c>
      <c r="C47" s="36" t="n">
        <f aca="false">Reference_Values!B47</f>
        <v>6</v>
      </c>
      <c r="D47" s="37" t="n">
        <f aca="false">ABS(B47-C47)</f>
        <v>0</v>
      </c>
      <c r="E47" s="38" t="n">
        <v>0</v>
      </c>
      <c r="F47" s="4" t="str">
        <f aca="false">IF(D47&lt;=E47,"PASS","FAIL")</f>
        <v>PASS</v>
      </c>
    </row>
    <row r="48" customFormat="false" ht="15" hidden="false" customHeight="false" outlineLevel="0" collapsed="false">
      <c r="A48" s="2" t="s">
        <v>1169</v>
      </c>
      <c r="B48" s="35" t="n">
        <f aca="false">DigitalTwin!B28</f>
        <v>0.426707972550142</v>
      </c>
      <c r="C48" s="36" t="n">
        <f aca="false">Reference_Values!B48</f>
        <v>0.426707972550142</v>
      </c>
      <c r="D48" s="37" t="n">
        <f aca="false">ABS(B48-C48)</f>
        <v>0</v>
      </c>
      <c r="E48" s="38" t="n">
        <v>1E-012</v>
      </c>
      <c r="F48" s="4" t="str">
        <f aca="false">IF(D48&lt;=E48,"PASS","FAIL")</f>
        <v>PASS</v>
      </c>
    </row>
    <row r="49" customFormat="false" ht="15" hidden="false" customHeight="false" outlineLevel="0" collapsed="false">
      <c r="A49" s="2" t="s">
        <v>1170</v>
      </c>
      <c r="B49" s="35" t="n">
        <f aca="false">DigitalTwin!B33</f>
        <v>0.813576835384707</v>
      </c>
      <c r="C49" s="36" t="n">
        <f aca="false">Reference_Values!B49</f>
        <v>0.813576835384707</v>
      </c>
      <c r="D49" s="37" t="n">
        <f aca="false">ABS(B49-C49)</f>
        <v>0</v>
      </c>
      <c r="E49" s="38" t="n">
        <v>1E-009</v>
      </c>
      <c r="F49" s="4" t="str">
        <f aca="false">IF(D49&lt;=E49,"PASS","FAIL")</f>
        <v>PASS</v>
      </c>
    </row>
    <row r="50" customFormat="false" ht="15" hidden="false" customHeight="false" outlineLevel="0" collapsed="false">
      <c r="A50" s="2" t="s">
        <v>1171</v>
      </c>
      <c r="B50" s="35" t="n">
        <f aca="false">DigitalTwin!B41</f>
        <v>0.477999384421818</v>
      </c>
      <c r="C50" s="36" t="n">
        <f aca="false">Reference_Values!B50</f>
        <v>0.477999384421816</v>
      </c>
      <c r="D50" s="37" t="n">
        <f aca="false">ABS(B50-C50)</f>
        <v>0</v>
      </c>
      <c r="E50" s="38" t="n">
        <v>1E-009</v>
      </c>
      <c r="F50" s="4" t="str">
        <f aca="false">IF(D50&lt;=E50,"PASS","FAIL")</f>
        <v>PASS</v>
      </c>
    </row>
    <row r="51" customFormat="false" ht="15" hidden="false" customHeight="false" outlineLevel="0" collapsed="false">
      <c r="A51" s="2" t="s">
        <v>1172</v>
      </c>
      <c r="B51" s="35" t="n">
        <f aca="false">DigitalTwin!B42</f>
        <v>9</v>
      </c>
      <c r="C51" s="36" t="n">
        <f aca="false">Reference_Values!B51</f>
        <v>9</v>
      </c>
      <c r="D51" s="37" t="n">
        <f aca="false">ABS(B51-C51)</f>
        <v>0</v>
      </c>
      <c r="E51" s="38" t="n">
        <v>0</v>
      </c>
      <c r="F51" s="4" t="str">
        <f aca="false">IF(D51&lt;=E51,"PASS","FAIL")</f>
        <v>PASS</v>
      </c>
    </row>
    <row r="52" customFormat="false" ht="15" hidden="false" customHeight="false" outlineLevel="0" collapsed="false">
      <c r="A52" s="2" t="s">
        <v>1173</v>
      </c>
      <c r="B52" s="35" t="n">
        <f aca="false">R4_Horizon!B20</f>
        <v>3</v>
      </c>
      <c r="C52" s="36" t="n">
        <f aca="false">Reference_Values!B52</f>
        <v>3</v>
      </c>
      <c r="D52" s="37" t="n">
        <f aca="false">ABS(B52-C52)</f>
        <v>0</v>
      </c>
      <c r="E52" s="38" t="n">
        <v>0</v>
      </c>
      <c r="F52" s="4" t="str">
        <f aca="false">IF(D52&lt;=E52,"PASS","FAIL")</f>
        <v>PASS</v>
      </c>
    </row>
    <row r="53" customFormat="false" ht="15" hidden="false" customHeight="false" outlineLevel="0" collapsed="false">
      <c r="A53" s="2" t="s">
        <v>1175</v>
      </c>
      <c r="B53" s="35" t="n">
        <f aca="false">R4_Horizon!B24</f>
        <v>0.0689202437604511</v>
      </c>
      <c r="C53" s="36" t="n">
        <f aca="false">Reference_Values!B53</f>
        <v>0.0689202437604511</v>
      </c>
      <c r="D53" s="37" t="n">
        <f aca="false">ABS(B53-C53)</f>
        <v>0</v>
      </c>
      <c r="E53" s="38" t="n">
        <v>1E-009</v>
      </c>
      <c r="F53" s="4" t="str">
        <f aca="false">IF(D53&lt;=E53,"PASS","FAIL")</f>
        <v>PASS</v>
      </c>
    </row>
    <row r="54" customFormat="false" ht="15" hidden="false" customHeight="false" outlineLevel="0" collapsed="false">
      <c r="A54" s="2" t="s">
        <v>1177</v>
      </c>
      <c r="B54" s="35" t="n">
        <f aca="false">R4_Horizon!B26</f>
        <v>3.74301856335755</v>
      </c>
      <c r="C54" s="36" t="n">
        <f aca="false">Reference_Values!B54</f>
        <v>3.74301856335755</v>
      </c>
      <c r="D54" s="37" t="n">
        <f aca="false">ABS(B54-C54)</f>
        <v>0</v>
      </c>
      <c r="E54" s="38" t="n">
        <v>1E-009</v>
      </c>
      <c r="F54" s="4" t="str">
        <f aca="false">IF(D54&lt;=E54,"PASS","FAIL")</f>
        <v>PASS</v>
      </c>
    </row>
    <row r="55" customFormat="false" ht="15" hidden="false" customHeight="false" outlineLevel="0" collapsed="false">
      <c r="A55" s="2" t="s">
        <v>1178</v>
      </c>
      <c r="B55" s="35" t="n">
        <f aca="false">R4_Horizon!B27</f>
        <v>0.756981436642454</v>
      </c>
      <c r="C55" s="36" t="n">
        <f aca="false">Reference_Values!B55</f>
        <v>0.756981436642454</v>
      </c>
      <c r="D55" s="37" t="n">
        <f aca="false">ABS(B55-C55)</f>
        <v>0</v>
      </c>
      <c r="E55" s="38" t="n">
        <v>1E-009</v>
      </c>
      <c r="F55" s="4" t="str">
        <f aca="false">IF(D55&lt;=E55,"PASS","FAIL")</f>
        <v>PASS</v>
      </c>
    </row>
    <row r="56" customFormat="false" ht="15" hidden="false" customHeight="false" outlineLevel="0" collapsed="false">
      <c r="A56" s="2" t="s">
        <v>1180</v>
      </c>
      <c r="B56" s="35" t="n">
        <f aca="false">R4_Horizon!B28</f>
        <v>0.0748603712671509</v>
      </c>
      <c r="C56" s="36" t="n">
        <f aca="false">Reference_Values!B56</f>
        <v>0.0748603712671509</v>
      </c>
      <c r="D56" s="37" t="n">
        <f aca="false">ABS(B56-C56)</f>
        <v>0</v>
      </c>
      <c r="E56" s="38" t="n">
        <v>1E-009</v>
      </c>
      <c r="F56" s="4" t="str">
        <f aca="false">IF(D56&lt;=E56,"PASS","FAIL")</f>
        <v>PASS</v>
      </c>
    </row>
    <row r="57" customFormat="false" ht="15" hidden="false" customHeight="false" outlineLevel="0" collapsed="false">
      <c r="A57" s="2" t="s">
        <v>1182</v>
      </c>
      <c r="B57" s="35" t="n">
        <f aca="false">R4_Horizon!B30</f>
        <v>3</v>
      </c>
      <c r="C57" s="36" t="n">
        <f aca="false">Reference_Values!B57</f>
        <v>3</v>
      </c>
      <c r="D57" s="37" t="n">
        <f aca="false">ABS(B57-C57)</f>
        <v>0</v>
      </c>
      <c r="E57" s="38" t="n">
        <v>0</v>
      </c>
      <c r="F57" s="4" t="str">
        <f aca="false">IF(D57&lt;=E57,"PASS","FAIL")</f>
        <v>PASS</v>
      </c>
    </row>
    <row r="58" customFormat="false" ht="15" hidden="false" customHeight="false" outlineLevel="0" collapsed="false">
      <c r="A58" s="2" t="s">
        <v>1183</v>
      </c>
      <c r="B58" s="35" t="n">
        <f aca="false">R4_Horizon!B31</f>
        <v>73.5525461861163</v>
      </c>
      <c r="C58" s="36" t="n">
        <f aca="false">Reference_Values!B58</f>
        <v>73.5525461861163</v>
      </c>
      <c r="D58" s="37" t="n">
        <f aca="false">ABS(B58-C58)</f>
        <v>0</v>
      </c>
      <c r="E58" s="38" t="n">
        <v>1E-009</v>
      </c>
      <c r="F58" s="4" t="str">
        <f aca="false">IF(D58&lt;=E58,"PASS","FAIL")</f>
        <v>PASS</v>
      </c>
    </row>
    <row r="59" customFormat="false" ht="15" hidden="false" customHeight="false" outlineLevel="0" collapsed="false">
      <c r="A59" s="2" t="s">
        <v>1184</v>
      </c>
      <c r="B59" s="35" t="n">
        <f aca="false">R4_Horizon!B32</f>
        <v>10.9</v>
      </c>
      <c r="C59" s="36" t="n">
        <f aca="false">Reference_Values!B59</f>
        <v>10.9</v>
      </c>
      <c r="D59" s="37" t="n">
        <f aca="false">ABS(B59-C59)</f>
        <v>0</v>
      </c>
      <c r="E59" s="38" t="n">
        <v>1E-009</v>
      </c>
      <c r="F59" s="4" t="str">
        <f aca="false">IF(D59&lt;=E59,"PASS","FAIL")</f>
        <v>PASS</v>
      </c>
    </row>
    <row r="60" customFormat="false" ht="15" hidden="false" customHeight="false" outlineLevel="0" collapsed="false">
      <c r="A60" s="2" t="s">
        <v>1185</v>
      </c>
      <c r="B60" s="35" t="n">
        <f aca="false">R4_Horizon!B33</f>
        <v>1.44745381388366</v>
      </c>
      <c r="C60" s="36" t="n">
        <f aca="false">Reference_Values!B60</f>
        <v>1.44745381388366</v>
      </c>
      <c r="D60" s="37" t="n">
        <f aca="false">ABS(B60-C60)</f>
        <v>0</v>
      </c>
      <c r="E60" s="38" t="n">
        <v>1E-009</v>
      </c>
      <c r="F60" s="4" t="str">
        <f aca="false">IF(D60&lt;=E60,"PASS","FAIL")</f>
        <v>PASS</v>
      </c>
    </row>
    <row r="61" customFormat="false" ht="15" hidden="false" customHeight="false" outlineLevel="0" collapsed="false">
      <c r="A61" s="2" t="s">
        <v>1187</v>
      </c>
      <c r="B61" s="35" t="n">
        <f aca="false">Quantiles!B101</f>
        <v>1.80701478466484</v>
      </c>
      <c r="C61" s="36" t="n">
        <f aca="false">Reference_Values!B61</f>
        <v>1.80701478466484</v>
      </c>
      <c r="D61" s="37" t="n">
        <f aca="false">ABS(B61-C61)</f>
        <v>7.32747196252603E-015</v>
      </c>
      <c r="E61" s="38" t="n">
        <v>1E-009</v>
      </c>
      <c r="F61" s="4" t="str">
        <f aca="false">IF(D61&lt;=E61,"PASS","FAIL")</f>
        <v>PASS</v>
      </c>
    </row>
    <row r="62" customFormat="false" ht="15" hidden="false" customHeight="false" outlineLevel="0" collapsed="false">
      <c r="A62" s="2" t="s">
        <v>1188</v>
      </c>
      <c r="B62" s="35" t="n">
        <f aca="false">Certificate!B9</f>
        <v>4</v>
      </c>
      <c r="C62" s="36" t="n">
        <f aca="false">Reference_Values!B62</f>
        <v>4</v>
      </c>
      <c r="D62" s="37" t="n">
        <f aca="false">ABS(B62-C62)</f>
        <v>0</v>
      </c>
      <c r="E62" s="38" t="n">
        <v>0</v>
      </c>
      <c r="F62" s="4" t="str">
        <f aca="false">IF(D62&lt;=E62,"PASS","FAIL")</f>
        <v>PASS</v>
      </c>
    </row>
    <row r="63" customFormat="false" ht="15" hidden="false" customHeight="false" outlineLevel="0" collapsed="false">
      <c r="A63" s="2" t="s">
        <v>1189</v>
      </c>
      <c r="B63" s="35" t="n">
        <f aca="false">Certificate!B11</f>
        <v>2</v>
      </c>
      <c r="C63" s="36" t="n">
        <f aca="false">Reference_Values!B63</f>
        <v>2</v>
      </c>
      <c r="D63" s="37" t="n">
        <f aca="false">ABS(B63-C63)</f>
        <v>0</v>
      </c>
      <c r="E63" s="38" t="n">
        <v>0</v>
      </c>
      <c r="F63" s="4" t="str">
        <f aca="false">IF(D63&lt;=E63,"PASS","FAIL")</f>
        <v>PASS</v>
      </c>
    </row>
    <row r="64" customFormat="false" ht="15" hidden="false" customHeight="false" outlineLevel="0" collapsed="false">
      <c r="A64" s="2" t="s">
        <v>1191</v>
      </c>
      <c r="B64" s="35" t="n">
        <f aca="false">Certificate!B34</f>
        <v>-20</v>
      </c>
      <c r="C64" s="36" t="n">
        <f aca="false">Reference_Values!B64</f>
        <v>-20</v>
      </c>
      <c r="D64" s="37" t="n">
        <f aca="false">ABS(B64-C64)</f>
        <v>0</v>
      </c>
      <c r="E64" s="38" t="n">
        <v>0</v>
      </c>
      <c r="F64" s="4" t="str">
        <f aca="false">IF(D64&lt;=E64,"PASS","FAIL")</f>
        <v>PASS</v>
      </c>
    </row>
    <row r="65" customFormat="false" ht="15" hidden="false" customHeight="false" outlineLevel="0" collapsed="false">
      <c r="A65" s="2" t="s">
        <v>1193</v>
      </c>
      <c r="B65" s="35" t="n">
        <f aca="false">Citations!L35</f>
        <v>211</v>
      </c>
      <c r="C65" s="36" t="n">
        <f aca="false">Reference_Values!B65</f>
        <v>211</v>
      </c>
      <c r="D65" s="37" t="n">
        <f aca="false">ABS(B65-C65)</f>
        <v>0</v>
      </c>
      <c r="E65" s="38" t="n">
        <v>0</v>
      </c>
      <c r="F65" s="4" t="str">
        <f aca="false">IF(D65&lt;=E65,"PASS","FAIL")</f>
        <v>PASS</v>
      </c>
    </row>
    <row r="66" customFormat="false" ht="15" hidden="false" customHeight="false" outlineLevel="0" collapsed="false">
      <c r="A66" s="2" t="s">
        <v>1194</v>
      </c>
      <c r="B66" s="35" t="n">
        <f aca="false">Citations!L36</f>
        <v>302</v>
      </c>
      <c r="C66" s="36" t="n">
        <f aca="false">Reference_Values!B66</f>
        <v>302</v>
      </c>
      <c r="D66" s="37" t="n">
        <f aca="false">ABS(B66-C66)</f>
        <v>0</v>
      </c>
      <c r="E66" s="38" t="n">
        <v>0</v>
      </c>
      <c r="F66" s="4" t="str">
        <f aca="false">IF(D66&lt;=E66,"PASS","FAIL")</f>
        <v>PASS</v>
      </c>
    </row>
    <row r="67" customFormat="false" ht="15" hidden="false" customHeight="false" outlineLevel="0" collapsed="false">
      <c r="A67" s="2" t="s">
        <v>1195</v>
      </c>
      <c r="B67" s="35" t="n">
        <f aca="false">Citations!L38</f>
        <v>138</v>
      </c>
      <c r="C67" s="36" t="n">
        <f aca="false">Reference_Values!B67</f>
        <v>138</v>
      </c>
      <c r="D67" s="37" t="n">
        <f aca="false">ABS(B67-C67)</f>
        <v>0</v>
      </c>
      <c r="E67" s="38" t="n">
        <v>0</v>
      </c>
      <c r="F67" s="4" t="str">
        <f aca="false">IF(D67&lt;=E67,"PASS","FAIL")</f>
        <v>PASS</v>
      </c>
    </row>
    <row r="68" customFormat="false" ht="15" hidden="false" customHeight="false" outlineLevel="0" collapsed="false">
      <c r="A68" s="2" t="s">
        <v>1196</v>
      </c>
      <c r="B68" s="35" t="n">
        <f aca="false">Citations!L39</f>
        <v>164</v>
      </c>
      <c r="C68" s="36" t="n">
        <f aca="false">Reference_Values!B68</f>
        <v>164</v>
      </c>
      <c r="D68" s="37" t="n">
        <f aca="false">ABS(B68-C68)</f>
        <v>0</v>
      </c>
      <c r="E68" s="38" t="n">
        <v>0</v>
      </c>
      <c r="F68" s="4" t="str">
        <f aca="false">IF(D68&lt;=E68,"PASS","FAIL")</f>
        <v>PASS</v>
      </c>
    </row>
    <row r="69" customFormat="false" ht="15" hidden="false" customHeight="false" outlineLevel="0" collapsed="false">
      <c r="A69" s="2" t="s">
        <v>1197</v>
      </c>
      <c r="B69" s="35" t="n">
        <f aca="false">Citations!L40</f>
        <v>0</v>
      </c>
      <c r="C69" s="36" t="n">
        <f aca="false">Reference_Values!B69</f>
        <v>0</v>
      </c>
      <c r="D69" s="37" t="n">
        <f aca="false">ABS(B69-C69)</f>
        <v>0</v>
      </c>
      <c r="E69" s="38" t="n">
        <v>0</v>
      </c>
      <c r="F69" s="4" t="str">
        <f aca="false">IF(D69&lt;=E69,"PASS","FAIL")</f>
        <v>PASS</v>
      </c>
    </row>
    <row r="70" customFormat="false" ht="15" hidden="false" customHeight="false" outlineLevel="0" collapsed="false">
      <c r="A70" s="2" t="s">
        <v>1198</v>
      </c>
      <c r="B70" s="35" t="n">
        <f aca="false">Citations!L41</f>
        <v>0</v>
      </c>
      <c r="C70" s="36" t="n">
        <f aca="false">Reference_Values!B70</f>
        <v>0</v>
      </c>
      <c r="D70" s="37" t="n">
        <f aca="false">ABS(B70-C70)</f>
        <v>0</v>
      </c>
      <c r="E70" s="38" t="n">
        <v>0</v>
      </c>
      <c r="F70" s="4" t="str">
        <f aca="false">IF(D70&lt;=E70,"PASS","FAIL")</f>
        <v>PASS</v>
      </c>
    </row>
    <row r="71" customFormat="false" ht="15" hidden="false" customHeight="false" outlineLevel="0" collapsed="false">
      <c r="A71" s="2" t="s">
        <v>1200</v>
      </c>
      <c r="B71" s="35" t="n">
        <f aca="false">Citations!L42</f>
        <v>302</v>
      </c>
      <c r="C71" s="36" t="n">
        <f aca="false">Reference_Values!B71</f>
        <v>302</v>
      </c>
      <c r="D71" s="37" t="n">
        <f aca="false">ABS(B71-C71)</f>
        <v>0</v>
      </c>
      <c r="E71" s="38" t="n">
        <v>0</v>
      </c>
      <c r="F71" s="4" t="str">
        <f aca="false">IF(D71&lt;=E71,"PASS","FAIL")</f>
        <v>PASS</v>
      </c>
    </row>
    <row r="72" customFormat="false" ht="15" hidden="false" customHeight="false" outlineLevel="0" collapsed="false">
      <c r="A72" s="2" t="s">
        <v>1201</v>
      </c>
      <c r="B72" s="35" t="n">
        <f aca="false">Citations!L45</f>
        <v>62</v>
      </c>
      <c r="C72" s="36" t="n">
        <f aca="false">Reference_Values!B72</f>
        <v>62</v>
      </c>
      <c r="D72" s="37" t="n">
        <f aca="false">ABS(B72-C72)</f>
        <v>0</v>
      </c>
      <c r="E72" s="38" t="n">
        <v>0</v>
      </c>
      <c r="F72" s="4" t="str">
        <f aca="false">IF(D72&lt;=E72,"PASS","FAIL")</f>
        <v>PASS</v>
      </c>
    </row>
    <row r="73" customFormat="false" ht="15" hidden="false" customHeight="false" outlineLevel="0" collapsed="false">
      <c r="A73" s="2" t="s">
        <v>1202</v>
      </c>
      <c r="B73" s="35" t="n">
        <f aca="false">Citations!L46</f>
        <v>15</v>
      </c>
      <c r="C73" s="36" t="n">
        <f aca="false">Reference_Values!B73</f>
        <v>15</v>
      </c>
      <c r="D73" s="37" t="n">
        <f aca="false">ABS(B73-C73)</f>
        <v>0</v>
      </c>
      <c r="E73" s="38" t="n">
        <v>0</v>
      </c>
      <c r="F73" s="4" t="str">
        <f aca="false">IF(D73&lt;=E73,"PASS","FAIL")</f>
        <v>PASS</v>
      </c>
    </row>
    <row r="74" customFormat="false" ht="15" hidden="false" customHeight="false" outlineLevel="0" collapsed="false">
      <c r="A74" s="2" t="s">
        <v>1203</v>
      </c>
      <c r="B74" s="35" t="n">
        <f aca="false">Citations!L47</f>
        <v>8</v>
      </c>
      <c r="C74" s="36" t="n">
        <f aca="false">Reference_Values!B74</f>
        <v>8</v>
      </c>
      <c r="D74" s="37" t="n">
        <f aca="false">ABS(B74-C74)</f>
        <v>0</v>
      </c>
      <c r="E74" s="38" t="n">
        <v>0</v>
      </c>
      <c r="F74" s="4" t="str">
        <f aca="false">IF(D74&lt;=E74,"PASS","FAIL")</f>
        <v>PASS</v>
      </c>
    </row>
    <row r="75" customFormat="false" ht="15" hidden="false" customHeight="false" outlineLevel="0" collapsed="false">
      <c r="A75" s="2" t="s">
        <v>1204</v>
      </c>
      <c r="B75" s="35" t="n">
        <f aca="false">Citations!L48</f>
        <v>2</v>
      </c>
      <c r="C75" s="36" t="n">
        <f aca="false">Reference_Values!B75</f>
        <v>2</v>
      </c>
      <c r="D75" s="37" t="n">
        <f aca="false">ABS(B75-C75)</f>
        <v>0</v>
      </c>
      <c r="E75" s="38" t="n">
        <v>0</v>
      </c>
      <c r="F75" s="4" t="str">
        <f aca="false">IF(D75&lt;=E75,"PASS","FAIL")</f>
        <v>PASS</v>
      </c>
    </row>
    <row r="76" customFormat="false" ht="15" hidden="false" customHeight="false" outlineLevel="0" collapsed="false">
      <c r="A76" s="2" t="s">
        <v>1206</v>
      </c>
      <c r="B76" s="35" t="n">
        <f aca="false">Citations!L50</f>
        <v>70</v>
      </c>
      <c r="C76" s="36" t="n">
        <f aca="false">Reference_Values!B76</f>
        <v>70</v>
      </c>
      <c r="D76" s="37" t="n">
        <f aca="false">ABS(B76-C76)</f>
        <v>0</v>
      </c>
      <c r="E76" s="38" t="n">
        <v>0</v>
      </c>
      <c r="F76" s="4" t="str">
        <f aca="false">IF(D76&lt;=E76,"PASS","FAIL")</f>
        <v>PASS</v>
      </c>
    </row>
    <row r="77" customFormat="false" ht="15" hidden="false" customHeight="false" outlineLevel="0" collapsed="false">
      <c r="A77" s="2" t="s">
        <v>1208</v>
      </c>
      <c r="B77" s="35" t="n">
        <f aca="false">Citations!L51</f>
        <v>14</v>
      </c>
      <c r="C77" s="36" t="n">
        <f aca="false">Reference_Values!B77</f>
        <v>14</v>
      </c>
      <c r="D77" s="37" t="n">
        <f aca="false">ABS(B77-C77)</f>
        <v>0</v>
      </c>
      <c r="E77" s="38" t="n">
        <v>0</v>
      </c>
      <c r="F77" s="4" t="str">
        <f aca="false">IF(D77&lt;=E77,"PASS","FAIL")</f>
        <v>PASS</v>
      </c>
    </row>
    <row r="78" customFormat="false" ht="15" hidden="false" customHeight="false" outlineLevel="0" collapsed="false">
      <c r="A78" s="2" t="s">
        <v>1209</v>
      </c>
      <c r="B78" s="35" t="n">
        <f aca="false">Export!C22</f>
        <v>10.440610891413</v>
      </c>
      <c r="C78" s="36" t="n">
        <f aca="false">Reference_Values!B78</f>
        <v>10.440610891413</v>
      </c>
      <c r="D78" s="37" t="n">
        <f aca="false">ABS(B78-C78)</f>
        <v>0</v>
      </c>
      <c r="E78" s="38" t="n">
        <v>1E-009</v>
      </c>
      <c r="F78" s="4" t="str">
        <f aca="false">IF(D78&lt;=E78,"PASS","FAIL")</f>
        <v>PASS</v>
      </c>
    </row>
    <row r="80" customFormat="false" ht="15" hidden="false" customHeight="false" outlineLevel="0" collapsed="false">
      <c r="A80" s="4" t="s">
        <v>1215</v>
      </c>
      <c r="F80" s="4" t="str">
        <f aca="false">IF(COUNTIF(F2:F78,"PASS")=77,"ALL PASS","CHECK")</f>
        <v>ALL PASS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2026-10-05T08:39:26Z</dcterms:created>
  <dc:creator>openpyxl</dc:creator>
  <dc:description/>
  <dc:language>en-US</dc:language>
  <cp:lastModifiedBy/>
  <dcterms:modified xsi:type="dcterms:W3CDTF">2026-10-05T08:39:26Z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