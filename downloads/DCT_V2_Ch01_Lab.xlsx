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eclarations" sheetId="2" state="visible" r:id="rId4"/>
    <sheet name="CanonicalForm" sheetId="3" state="visible" r:id="rId5"/>
    <sheet name="Gates" sheetId="4" state="visible" r:id="rId6"/>
    <sheet name="Continuous" sheetId="5" state="visible" r:id="rId7"/>
    <sheet name="LumpyGrid" sheetId="6" state="visible" r:id="rId8"/>
    <sheet name="FinerLines" sheetId="7" state="visible" r:id="rId9"/>
    <sheet name="Reweight" sheetId="8" state="visible" r:id="rId10"/>
    <sheet name="Commitments" sheetId="9" state="visible" r:id="rId11"/>
    <sheet name="ErrorBars" sheetId="10" state="visible" r:id="rId12"/>
    <sheet name="TwoChannelBudget" sheetId="11" state="visible" r:id="rId13"/>
    <sheet name="Reference_Values" sheetId="12" state="visible" r:id="rId14"/>
    <sheet name="Checks" sheetId="13" state="visible" r:id="rId15"/>
  </sheets>
  <definedNames>
    <definedName function="false" hidden="false" name="Appetite" vbProcedure="false">Declarations!$B$8</definedName>
    <definedName function="false" hidden="false" name="Capability" vbProcedure="false">Declarations!$B$32</definedName>
    <definedName function="false" hidden="false" name="Cap_floor" vbProcedure="false">Declarations!$B$33</definedName>
    <definedName function="false" hidden="false" name="Covenant" vbProcedure="false">Declarations!$B$31</definedName>
    <definedName function="false" hidden="false" name="Delay_max" vbProcedure="false">Declarations!$B$11</definedName>
    <definedName function="false" hidden="false" name="Depth0" vbProcedure="false">Declarations!$B$20</definedName>
    <definedName function="false" hidden="false" name="Depth_q" vbProcedure="false">Declarations!$B$22</definedName>
    <definedName function="false" hidden="false" name="Ebitda" vbProcedure="false">Declarations!$B$28</definedName>
    <definedName function="false" hidden="false" name="Fee" vbProcedure="false">Declarations!$B$6</definedName>
    <definedName function="false" hidden="false" name="Floor_liq" vbProcedure="false">Declarations!$B$16</definedName>
    <definedName function="false" hidden="false" name="Index0" vbProcedure="false">Declarations!$B$14</definedName>
    <definedName function="false" hidden="false" name="J_mean" vbProcedure="false">Declarations!$B$23</definedName>
    <definedName function="false" hidden="false" name="J_sd" vbProcedure="false">Declarations!$B$24</definedName>
    <definedName function="false" hidden="false" name="Line_max" vbProcedure="false">Declarations!$B$10</definedName>
    <definedName function="false" hidden="false" name="Link" vbProcedure="false">Declarations!$B$34</definedName>
    <definedName function="false" hidden="false" name="Liq0" vbProcedure="false">Declarations!$B$13</definedName>
    <definedName function="false" hidden="false" name="Net_debt" vbProcedure="false">Declarations!$B$30</definedName>
    <definedName function="false" hidden="false" name="P90" vbProcedure="false">Declarations!$B$25</definedName>
    <definedName function="false" hidden="false" name="Paths_N" vbProcedure="false">Declarations!$B$12</definedName>
    <definedName function="false" hidden="false" name="Per_point" vbProcedure="false">Declarations!$B$15</definedName>
    <definedName function="false" hidden="false" name="Plan_rate" vbProcedure="false">Declarations!$B$19</definedName>
    <definedName function="false" hidden="false" name="Plan_target" vbProcedure="false">Declarations!$B$18</definedName>
    <definedName function="false" hidden="false" name="Pool" vbProcedure="false">Declarations!$B$17</definedName>
    <definedName function="false" hidden="false" name="Tax" vbProcedure="false">Declarations!$B$35</definedName>
    <definedName function="false" hidden="false" name="Tranche" vbProcedure="false">Declarations!$B$9</definedName>
    <definedName function="false" hidden="false" name="Trough_tau" vbProcedure="false">Declarations!$B$21</definedName>
    <definedName function="false" hidden="false" name="Vq" vbProcedure="false">Declarations!$B$7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<sst xmlns="http://schemas.openxmlformats.org/spreadsheetml/2006/main" count="540" uniqueCount="434">
  <si>
    <t xml:space="preserve">DCT Laboratory — Vol II, Ch 1: Introduction to Enterprise Optimization</t>
  </si>
  <si>
    <t xml:space="preserve">Seed 26201 · Companion to DCT_V2_Ch01_Lab.ipynb and AXIOM Lab 2.1 (module AXIOM-01). Money in $ million.</t>
  </si>
  <si>
    <t xml:space="preserve">Worked Example 1.1, Can Meridian Sign Volume I's Answer?, with the book's declarations.</t>
  </si>
  <si>
    <t xml:space="preserve">Declarations: the inputs of Step 1 and Meridian's state. CanonicalForm: the formulation assistant, which refuses when a term has no declared price or owner.</t>
  </si>
  <si>
    <t xml:space="preserve">Gates: the four readiness gates of Theorem 1.5, Volume I's joint check from the plan's path, and the minimal infeasible set when the standby line is removed.</t>
  </si>
  <si>
    <t xml:space="preserve">Continuous: the cheapest package along the 5 percent curve, at $8m, $4m and $16m a quarter of delay.</t>
  </si>
  <si>
    <t xml:space="preserve">LumpyGrid: the 63 packages of $50 million tranches and whole quarters, the cheapest feasible one and the two roundings. FinerLines: Table 1.3 and the least line for each number of quarters.</t>
  </si>
  <si>
    <t xml:space="preserve">Reweight: rescaling changes no rank; reweighting moves the continuous answer, not the lumpy one.</t>
  </si>
  <si>
    <t xml:space="preserve">Commitments: the covenant, the capability floor and the joint check added to the appetite. ErrorBars: the sampling error of every breach odds, and fresh paths drawn with the lab's seed.</t>
  </si>
  <si>
    <t xml:space="preserve">TwoChannelBudget: Online Appendix Example 1.B.2, a budget of 100 between two channels, and its price.</t>
  </si>
  <si>
    <t xml:space="preserve">Breach odds come from the notebook's engine (Volume I's Chapter 8 model on the book's 100,000 paths); everything else is a formula.</t>
  </si>
  <si>
    <t xml:space="preserve">Reference_Values and Checks: the engine's numbers and a PASS/FAIL comparison with this workbook's formulas.</t>
  </si>
  <si>
    <t xml:space="preserve">LEGEND</t>
  </si>
  <si>
    <t xml:space="preserve">Input: blue on pale gold. A declaration from the book; change it to explore.</t>
  </si>
  <si>
    <t xml:space="preserve">Formula: black. Recalculates from the inputs.</t>
  </si>
  <si>
    <t xml:space="preserve">Engine value: green on pale green. Computed by the notebook's engine (the book's numbers); the Checks sheet compares the workbook's formulas with them.</t>
  </si>
  <si>
    <t xml:space="preserve">Cross-sheet link: green.</t>
  </si>
  <si>
    <t xml:space="preserve">Declarations (Worked Example 1.1, Step 1). Money in $ million.</t>
  </si>
  <si>
    <t xml:space="preserve">Quantity</t>
  </si>
  <si>
    <t xml:space="preserve">Value</t>
  </si>
  <si>
    <t xml:space="preserve">Source</t>
  </si>
  <si>
    <t xml:space="preserve">Standby line fees a year, share of the line</t>
  </si>
  <si>
    <t xml:space="preserve">About 1 percent a year (treasury)</t>
  </si>
  <si>
    <t xml:space="preserve">Length of the digital program (years)</t>
  </si>
  <si>
    <t xml:space="preserve">Three years, twelve quarters</t>
  </si>
  <si>
    <t xml:space="preserve">Line fees over the program, per $ of line</t>
  </si>
  <si>
    <t xml:space="preserve">A line of l costs 0.03 l</t>
  </si>
  <si>
    <t xml:space="preserve">Value of a quarter of delay</t>
  </si>
  <si>
    <t xml:space="preserve">Digital Solutions' contribution (the transformation office)</t>
  </si>
  <si>
    <t xml:space="preserve">The board's appetite: largest breach odds</t>
  </si>
  <si>
    <t xml:space="preserve">At most a 5 percent chance of breaching the floor</t>
  </si>
  <si>
    <t xml:space="preserve">Line tranche</t>
  </si>
  <si>
    <t xml:space="preserve">The bank writes committed lines in tranches of $50 million</t>
  </si>
  <si>
    <t xml:space="preserve">Largest line</t>
  </si>
  <si>
    <t xml:space="preserve">The box: 0 &lt;= l &lt;= 400</t>
  </si>
  <si>
    <t xml:space="preserve">Longest delay (quarters)</t>
  </si>
  <si>
    <t xml:space="preserve">The box: 0 &lt;= phi &lt;= 6; the program office plans whole quarters</t>
  </si>
  <si>
    <t xml:space="preserve">Simulated paths</t>
  </si>
  <si>
    <t xml:space="preserve">Volume I's Chapter 8 model (seed 8): the engine's breach odds</t>
  </si>
  <si>
    <t xml:space="preserve">Liquidity today</t>
  </si>
  <si>
    <t xml:space="preserve">Meridian's liquidity, $620 million</t>
  </si>
  <si>
    <t xml:space="preserve">Liquidity index today</t>
  </si>
  <si>
    <t xml:space="preserve">Volume I's plan is written as an index, today = 100</t>
  </si>
  <si>
    <t xml:space="preserve">Liquidity per index point</t>
  </si>
  <si>
    <t xml:space="preserve">$6.2 million</t>
  </si>
  <si>
    <t xml:space="preserve">The board's floor</t>
  </si>
  <si>
    <t xml:space="preserve">Liquidity must stay above $350 million</t>
  </si>
  <si>
    <t xml:space="preserve">Cash above the floor</t>
  </si>
  <si>
    <t xml:space="preserve">$270 million</t>
  </si>
  <si>
    <t xml:space="preserve">Index the plan relaxes to</t>
  </si>
  <si>
    <t xml:space="preserve">Volume I's digital-program plan</t>
  </si>
  <si>
    <t xml:space="preserve">Relaxation rate of the plan, a year</t>
  </si>
  <si>
    <t xml:space="preserve">Depth of the plan's trough (index points)</t>
  </si>
  <si>
    <t xml:space="preserve">Low point in quarter 7</t>
  </si>
  <si>
    <t xml:space="preserve">Years to the trough's deepest point</t>
  </si>
  <si>
    <t xml:space="preserve">Depth cut by a quarter of delay</t>
  </si>
  <si>
    <t xml:space="preserve">Phasing: depth 28 - 4 phi</t>
  </si>
  <si>
    <t xml:space="preserve">Funding-window closure: mean size</t>
  </si>
  <si>
    <t xml:space="preserve">Closures 0.10 a year, never recovered</t>
  </si>
  <si>
    <t xml:space="preserve">Funding-window closure: standard deviation</t>
  </si>
  <si>
    <t xml:space="preserve">Gamma-distributed sizes</t>
  </si>
  <si>
    <t xml:space="preserve">A 90th-percentile closure</t>
  </si>
  <si>
    <t xml:space="preserve">The cash buffer of Volume I's joint check</t>
  </si>
  <si>
    <t xml:space="preserve">Revenue</t>
  </si>
  <si>
    <t xml:space="preserve">EBITDA margin</t>
  </si>
  <si>
    <t xml:space="preserve">EBITDA</t>
  </si>
  <si>
    <t xml:space="preserve">Net leverage today (net debt / EBITDA)</t>
  </si>
  <si>
    <t xml:space="preserve">Net debt</t>
  </si>
  <si>
    <t xml:space="preserve">Covenant: net leverage at most</t>
  </si>
  <si>
    <t xml:space="preserve">The loan covenant</t>
  </si>
  <si>
    <t xml:space="preserve">Workforce capability</t>
  </si>
  <si>
    <t xml:space="preserve">Stays at 58 through the digital program</t>
  </si>
  <si>
    <t xml:space="preserve">Capability floor of the digital build</t>
  </si>
  <si>
    <t xml:space="preserve">Strength of each of the core's four two-way links</t>
  </si>
  <si>
    <t xml:space="preserve">The feedback core (Volume I)</t>
  </si>
  <si>
    <t xml:space="preserve">Tax rate (any rate leaves every package in place)</t>
  </si>
  <si>
    <t xml:space="preserve">For the after-tax view</t>
  </si>
  <si>
    <t xml:space="preserve">Meridian's state (Volume I, Chapter 3)</t>
  </si>
  <si>
    <t xml:space="preserve">Reading</t>
  </si>
  <si>
    <t xml:space="preserve">Liquidity ($ million)</t>
  </si>
  <si>
    <t xml:space="preserve">Net leverage (net debt / EBITDA)</t>
  </si>
  <si>
    <t xml:space="preserve">Technology platform</t>
  </si>
  <si>
    <t xml:space="preserve">Operational efficiency</t>
  </si>
  <si>
    <t xml:space="preserve">ROIC</t>
  </si>
  <si>
    <t xml:space="preserve">Strategic risk</t>
  </si>
  <si>
    <t xml:space="preserve">Market share</t>
  </si>
  <si>
    <t xml:space="preserve">The breach odds on the other sheets come from the notebook's engine: Volume I's Chapter 8 model on the book's 100,000 paths. Everything else is a formula of these declarations.</t>
  </si>
  <si>
    <t xml:space="preserve">Formulate: the canonical form (Equation 1.1; Worked Example 1.1, Step 1; AXIOM Lab 2.1, step 1)</t>
  </si>
  <si>
    <t xml:space="preserve">The formulation assistant emits the canonical form only when every term has a declared price or limit and an owner (Proposition 1.1). Delete the delay's owner (E6) or price (F6) and watch it refuse.</t>
  </si>
  <si>
    <t xml:space="preserve">Term</t>
  </si>
  <si>
    <t xml:space="preserve">Symbol</t>
  </si>
  <si>
    <t xml:space="preserve">Unit</t>
  </si>
  <si>
    <t xml:space="preserve">Range</t>
  </si>
  <si>
    <t xml:space="preserve">Owner</t>
  </si>
  <si>
    <t xml:space="preserve">Price or limit</t>
  </si>
  <si>
    <t xml:space="preserve">Declared?</t>
  </si>
  <si>
    <t xml:space="preserve">Standby line</t>
  </si>
  <si>
    <t xml:space="preserve">l</t>
  </si>
  <si>
    <t xml:space="preserve">$ million</t>
  </si>
  <si>
    <t xml:space="preserve">treasury</t>
  </si>
  <si>
    <t xml:space="preserve">Delay of the build</t>
  </si>
  <si>
    <t xml:space="preserve">phi</t>
  </si>
  <si>
    <t xml:space="preserve">quarters</t>
  </si>
  <si>
    <t xml:space="preserve">transformation office</t>
  </si>
  <si>
    <t xml:space="preserve">The board's appetite</t>
  </si>
  <si>
    <t xml:space="preserve">P</t>
  </si>
  <si>
    <t xml:space="preserve">breach odds</t>
  </si>
  <si>
    <t xml:space="preserve">the board</t>
  </si>
  <si>
    <t xml:space="preserve">State map</t>
  </si>
  <si>
    <t xml:space="preserve">x = f(l, phi)</t>
  </si>
  <si>
    <t xml:space="preserve">Volume I, Chapter 8</t>
  </si>
  <si>
    <t xml:space="preserve">100,000 paths</t>
  </si>
  <si>
    <t xml:space="preserve">yes</t>
  </si>
  <si>
    <t xml:space="preserve">The assistant's verdict</t>
  </si>
  <si>
    <t xml:space="preserve">Run the gates (Theorem 1.5; Worked Example 1.1, Step 2; AXIOM Lab 2.1, step 2)</t>
  </si>
  <si>
    <t xml:space="preserve">Volume I's package: line ($ million)</t>
  </si>
  <si>
    <t xml:space="preserve">Delay (quarters): the least that meets the appetite with that line</t>
  </si>
  <si>
    <t xml:space="preserve">Depth of the trough with that delay</t>
  </si>
  <si>
    <t xml:space="preserve">Gate</t>
  </si>
  <si>
    <t xml:space="preserve">Test</t>
  </si>
  <si>
    <t xml:space="preserve">Limit</t>
  </si>
  <si>
    <t xml:space="preserve">Verdict</t>
  </si>
  <si>
    <t xml:space="preserve">(R1) declaration completeness</t>
  </si>
  <si>
    <t xml:space="preserve">Every term declared, with a price and an owner (CanonicalForm)</t>
  </si>
  <si>
    <t xml:space="preserve">(R2) unified consistency</t>
  </si>
  <si>
    <t xml:space="preserve">Draw + closure buffer within the cash above the floor ($ million)</t>
  </si>
  <si>
    <t xml:space="preserve">(R3) analytical panel</t>
  </si>
  <si>
    <t xml:space="preserve">Feedback core's spectral radius within the board's rule: halve within a year</t>
  </si>
  <si>
    <t xml:space="preserve">(R4) feasibility over the horizon</t>
  </si>
  <si>
    <t xml:space="preserve">Breach odds within the appetite (engine)</t>
  </si>
  <si>
    <t xml:space="preserve">Leverage with the line fully drawn, within the covenant</t>
  </si>
  <si>
    <t xml:space="preserve">Four two-way links of strength e, and no Digital-Industrial link, give a spectral radius of sqrt(8(e^2 + e^2))/2 = 2e = 0.80 (Section 1.1).</t>
  </si>
  <si>
    <t xml:space="preserve">(R2) Volume I's joint check with the package</t>
  </si>
  <si>
    <t xml:space="preserve">Claims: deepest draw + closure buffer</t>
  </si>
  <si>
    <t xml:space="preserve">Deepest draw on the cash above the floor</t>
  </si>
  <si>
    <t xml:space="preserve">Cash buffer for a 90th-percentile closure, net of the line</t>
  </si>
  <si>
    <t xml:space="preserve">The line removed from the decision inventory</t>
  </si>
  <si>
    <t xml:space="preserve">Claims: the draw and a full closure buffer</t>
  </si>
  <si>
    <t xml:space="preserve">Minimal infeasible set: drop one commitment</t>
  </si>
  <si>
    <t xml:space="preserve">Claims left</t>
  </si>
  <si>
    <t xml:space="preserve">Room</t>
  </si>
  <si>
    <t xml:space="preserve">The rest can hold?</t>
  </si>
  <si>
    <t xml:space="preserve">Program draw</t>
  </si>
  <si>
    <t xml:space="preserve">the transformation office</t>
  </si>
  <si>
    <t xml:space="preserve">Closure buffer</t>
  </si>
  <si>
    <t xml:space="preserve">Floor</t>
  </si>
  <si>
    <t xml:space="preserve">no limit</t>
  </si>
  <si>
    <t xml:space="preserve">Named: every commitment whose removal lets the rest hold</t>
  </si>
  <si>
    <t xml:space="preserve">Volume I's declaration before its levers: claims</t>
  </si>
  <si>
    <t xml:space="preserve">Short of the room by</t>
  </si>
  <si>
    <t xml:space="preserve">Quarter</t>
  </si>
  <si>
    <t xml:space="preserve">Years</t>
  </si>
  <si>
    <t xml:space="preserve">Plan without the trough</t>
  </si>
  <si>
    <t xml:space="preserve">Trough per point of depth</t>
  </si>
  <si>
    <t xml:space="preserve">Plan with the package's delay</t>
  </si>
  <si>
    <t xml:space="preserve">Plan as first declared (depth 28)</t>
  </si>
  <si>
    <t xml:space="preserve">Solve with continuous levers (Theorem 1.2; Worked Example 1.1, Step 3)</t>
  </si>
  <si>
    <t xml:space="preserve">Column B is the engine's least delay that meets the appetite with each line on Volume I's $5 million grid: the 5 percent curve of Figure 1.4. The formulas price every point of the curve and find the cheapest.</t>
  </si>
  <si>
    <t xml:space="preserve">value of a quarter:</t>
  </si>
  <si>
    <t xml:space="preserve">Line ($ million)</t>
  </si>
  <si>
    <t xml:space="preserve">Least delay meeting the appetite (engine)</t>
  </si>
  <si>
    <t xml:space="preserve">Cost</t>
  </si>
  <si>
    <t xml:space="preserve">Best package</t>
  </si>
  <si>
    <t xml:space="preserve">At the declared value</t>
  </si>
  <si>
    <t xml:space="preserve">At $4m a quarter</t>
  </si>
  <si>
    <t xml:space="preserve">At $16m a quarter</t>
  </si>
  <si>
    <t xml:space="preserve">Cheapest cost on the curve</t>
  </si>
  <si>
    <t xml:space="preserve">Its line ($ million)</t>
  </si>
  <si>
    <t xml:space="preserve">Its delay (quarters)</t>
  </si>
  <si>
    <t xml:space="preserve">Its delay in months</t>
  </si>
  <si>
    <t xml:space="preserve">Line fees</t>
  </si>
  <si>
    <t xml:space="preserve">Cost of the delay</t>
  </si>
  <si>
    <t xml:space="preserve">Lines within $0.5 million of the best: from</t>
  </si>
  <si>
    <t xml:space="preserve">to</t>
  </si>
  <si>
    <t xml:space="preserve">Delay alone: quarters (no line)</t>
  </si>
  <si>
    <t xml:space="preserve">Delay alone: cost</t>
  </si>
  <si>
    <t xml:space="preserve">The line alone: lowest breach odds (engine, a $400m line)</t>
  </si>
  <si>
    <t xml:space="preserve">Breach odds of the best package (engine)</t>
  </si>
  <si>
    <t xml:space="preserve">Reweighting moves the line by ($ million, $4m to $16m a quarter)</t>
  </si>
  <si>
    <t xml:space="preserve">Make the levers lumpy: 63 packages (Theorem 1.3; Worked Example 1.1, Step 4; AXIOM Lab 2.1, step 3)</t>
  </si>
  <si>
    <t xml:space="preserve">Every package of $50 million tranches (0 to 400) and whole quarters (0 to 6), with the engine's breach odds on the book's paths. Cost, feasibility, the cheapest feasible package and the roundings are formulas.</t>
  </si>
  <si>
    <t xml:space="preserve">Package</t>
  </si>
  <si>
    <t xml:space="preserve">Delay (quarters)</t>
  </si>
  <si>
    <t xml:space="preserve">Breach odds (engine)</t>
  </si>
  <si>
    <t xml:space="preserve">Cost ($ million)</t>
  </si>
  <si>
    <t xml:space="preserve">Meets the appetite (1 = yes)</t>
  </si>
  <si>
    <t xml:space="preserve">Cheapest feasible (1 = yes)</t>
  </si>
  <si>
    <t xml:space="preserve">Summary</t>
  </si>
  <si>
    <t xml:space="preserve">Packages</t>
  </si>
  <si>
    <t xml:space="preserve">Packages that meet the appetite</t>
  </si>
  <si>
    <t xml:space="preserve">Cheapest that meets it: cost</t>
  </si>
  <si>
    <t xml:space="preserve">its line ($ million)</t>
  </si>
  <si>
    <t xml:space="preserve">its delay (quarters)</t>
  </si>
  <si>
    <t xml:space="preserve">its breach odds</t>
  </si>
  <si>
    <t xml:space="preserve">Continuous best: line</t>
  </si>
  <si>
    <t xml:space="preserve">Continuous best: delay</t>
  </si>
  <si>
    <t xml:space="preserve">Continuous best: cost</t>
  </si>
  <si>
    <t xml:space="preserve">Rounded down: line</t>
  </si>
  <si>
    <t xml:space="preserve">Rounded down: delay</t>
  </si>
  <si>
    <t xml:space="preserve">Rounded down: breach odds</t>
  </si>
  <si>
    <t xml:space="preserve">Rounded down: cost</t>
  </si>
  <si>
    <t xml:space="preserve">Rounded down: meets the appetite?</t>
  </si>
  <si>
    <t xml:space="preserve">Rounded up: line</t>
  </si>
  <si>
    <t xml:space="preserve">Rounded up: delay</t>
  </si>
  <si>
    <t xml:space="preserve">Rounded up: breach odds</t>
  </si>
  <si>
    <t xml:space="preserve">Rounded up: cost</t>
  </si>
  <si>
    <t xml:space="preserve">Rounded up: meets the appetite?</t>
  </si>
  <si>
    <t xml:space="preserve">The lumps cost (cheapest lumpy less the continuous floor)</t>
  </si>
  <si>
    <t xml:space="preserve">as a share of the continuous cost</t>
  </si>
  <si>
    <t xml:space="preserve">Convexity: is the midpoint of the best and the rounded-up package a package?</t>
  </si>
  <si>
    <t xml:space="preserve">Forty yes-or-no choices: combinations</t>
  </si>
  <si>
    <t xml:space="preserve">Breach odds by line (down) and quarters of delay (across); shaded where the package meets the appetite</t>
  </si>
  <si>
    <t xml:space="preserve">Line</t>
  </si>
  <si>
    <t xml:space="preserve">The least line for each whole number of quarters (Online Appendix 1.B.4) and Table 1.3</t>
  </si>
  <si>
    <t xml:space="preserve">Lines in $1 million steps and in $10 million tranches: the engine's least line meeting the appetite (and its odds). $50 million tranches: formulas on LumpyGrid. Costs at the declared prices.</t>
  </si>
  <si>
    <t xml:space="preserve">Line, $1m steps (engine)</t>
  </si>
  <si>
    <t xml:space="preserve">Odds (engine)</t>
  </si>
  <si>
    <t xml:space="preserve">Line, $10m tranches (engine)</t>
  </si>
  <si>
    <t xml:space="preserve">Line, $50m tranches</t>
  </si>
  <si>
    <t xml:space="preserve">Odds</t>
  </si>
  <si>
    <t xml:space="preserve">none</t>
  </si>
  <si>
    <t xml:space="preserve">Table 1.3: package</t>
  </si>
  <si>
    <t xml:space="preserve">Breach odds</t>
  </si>
  <si>
    <t xml:space="preserve">Continuous levers (Volume I)</t>
  </si>
  <si>
    <t xml:space="preserve">Whole quarters, line to the $1 million</t>
  </si>
  <si>
    <t xml:space="preserve">Whole quarters, $10 million tranches</t>
  </si>
  <si>
    <t xml:space="preserve">Whole quarters, $50 million tranches</t>
  </si>
  <si>
    <t xml:space="preserve">Rounded down (fails the appetite)</t>
  </si>
  <si>
    <t xml:space="preserve">Rounded up</t>
  </si>
  <si>
    <t xml:space="preserve">The lumps cost: $50m tranches and whole quarters against the continuous floor</t>
  </si>
  <si>
    <t xml:space="preserve">of which whole quarters</t>
  </si>
  <si>
    <t xml:space="preserve">and then $50 million tranches</t>
  </si>
  <si>
    <t xml:space="preserve">$10 million tranches would save</t>
  </si>
  <si>
    <t xml:space="preserve">Rescale, then reweight (Theorem 1.4; Worked Example 1.1, Step 5; AXIOM Lab 2.1, step 4)</t>
  </si>
  <si>
    <t xml:space="preserve">Rescaling (after tax, or in thousands of dollars) is a strictly increasing transformation: no package changes rank. Reweighting the value of a quarter of delay is a new objective.</t>
  </si>
  <si>
    <t xml:space="preserve">a quarter of delay worth:</t>
  </si>
  <si>
    <t xml:space="preserve">Delay</t>
  </si>
  <si>
    <t xml:space="preserve">After tax</t>
  </si>
  <si>
    <t xml:space="preserve">In $ thousands</t>
  </si>
  <si>
    <t xml:space="preserve">Rank</t>
  </si>
  <si>
    <t xml:space="preserve">Rank after tax</t>
  </si>
  <si>
    <t xml:space="preserve">Rank in thousands</t>
  </si>
  <si>
    <t xml:space="preserve">Reweighting</t>
  </si>
  <si>
    <t xml:space="preserve">Quarters</t>
  </si>
  <si>
    <t xml:space="preserve">Line fees of the cheapest lumpy package</t>
  </si>
  <si>
    <t xml:space="preserve">Cost at the declared value</t>
  </si>
  <si>
    <t xml:space="preserve">Cost at $4m</t>
  </si>
  <si>
    <t xml:space="preserve">Cost at $16m</t>
  </si>
  <si>
    <t xml:space="preserve">Fees saved per extra quarter</t>
  </si>
  <si>
    <t xml:space="preserve">Packages whose rank changes after tax or in thousands</t>
  </si>
  <si>
    <t xml:space="preserve">Continuous best at $4m a quarter: line</t>
  </si>
  <si>
    <t xml:space="preserve">delay (quarters)</t>
  </si>
  <si>
    <t xml:space="preserve">cost</t>
  </si>
  <si>
    <t xml:space="preserve">Continuous best at $16m a quarter: line</t>
  </si>
  <si>
    <t xml:space="preserve">The board's number moves the line by</t>
  </si>
  <si>
    <t xml:space="preserve">Cheapest</t>
  </si>
  <si>
    <t xml:space="preserve">At $4m</t>
  </si>
  <si>
    <t xml:space="preserve">At $16m</t>
  </si>
  <si>
    <t xml:space="preserve">One quarter is the cheapest lumpy delay when v exceeds</t>
  </si>
  <si>
    <t xml:space="preserve">At $16m: nearest package to the continuous best, line</t>
  </si>
  <si>
    <t xml:space="preserve">its delay</t>
  </si>
  <si>
    <t xml:space="preserve">its cost at $16m</t>
  </si>
  <si>
    <t xml:space="preserve">The signed package at $16m</t>
  </si>
  <si>
    <t xml:space="preserve">The signed package at $4m</t>
  </si>
  <si>
    <t xml:space="preserve">Add a commitment: feasibility is conjunction (Proposition 1.2; AXIOM Lab 2.1, step 5)</t>
  </si>
  <si>
    <t xml:space="preserve">Each package against each commitment (1 = met). Adding commitments can only shrink the feasible packages; the order in which they are listed changes nothing.</t>
  </si>
  <si>
    <t xml:space="preserve">Plan, 0 q of delay</t>
  </si>
  <si>
    <t xml:space="preserve">Plan, 1 q of delay</t>
  </si>
  <si>
    <t xml:space="preserve">Plan, 2 q of delay</t>
  </si>
  <si>
    <t xml:space="preserve">Plan, 3 q of delay</t>
  </si>
  <si>
    <t xml:space="preserve">Plan, 4 q of delay</t>
  </si>
  <si>
    <t xml:space="preserve">Plan, 5 q of delay</t>
  </si>
  <si>
    <t xml:space="preserve">Plan, 6 q of delay</t>
  </si>
  <si>
    <t xml:space="preserve">Commitments in force</t>
  </si>
  <si>
    <t xml:space="preserve">Feasible packages</t>
  </si>
  <si>
    <t xml:space="preserve">+ the covenant with the line fully drawn</t>
  </si>
  <si>
    <t xml:space="preserve">+ the capability floor of 55</t>
  </si>
  <si>
    <t xml:space="preserve">+ Volume I's joint check</t>
  </si>
  <si>
    <t xml:space="preserve">The same four, listed in the opposite order</t>
  </si>
  <si>
    <t xml:space="preserve">The covenant would bind only above a line of ($ million)</t>
  </si>
  <si>
    <t xml:space="preserve">The signed package, commitment by commitment</t>
  </si>
  <si>
    <t xml:space="preserve">Margin to the appetite (points)</t>
  </si>
  <si>
    <t xml:space="preserve">Deepest draw</t>
  </si>
  <si>
    <t xml:space="preserve">Leverage with the line fully drawn</t>
  </si>
  <si>
    <t xml:space="preserve">Capability above its floor</t>
  </si>
  <si>
    <t xml:space="preserve">Joint check: deepest draw</t>
  </si>
  <si>
    <t xml:space="preserve">Appetite (the board)</t>
  </si>
  <si>
    <t xml:space="preserve">Covenant, line fully drawn</t>
  </si>
  <si>
    <t xml:space="preserve">Capability floor</t>
  </si>
  <si>
    <t xml:space="preserve">Joint check</t>
  </si>
  <si>
    <t xml:space="preserve">All four</t>
  </si>
  <si>
    <t xml:space="preserve">Joint check: closure buffer net of the line</t>
  </si>
  <si>
    <t xml:space="preserve">Joint check: claims</t>
  </si>
  <si>
    <t xml:space="preserve">Cash above the floor unclaimed</t>
  </si>
  <si>
    <t xml:space="preserve">Certify the answer: the sample's error (Definition 1.7; Online Appendix 1.B.4)</t>
  </si>
  <si>
    <t xml:space="preserve">Each breach odds estimated on N paths has standard error sqrt(p(1 - p)/N). The fresh paths are the same model drawn with the lab's seed, 26201.</t>
  </si>
  <si>
    <t xml:space="preserve">Paths</t>
  </si>
  <si>
    <t xml:space="preserve">Standard error at 5 percent (points)</t>
  </si>
  <si>
    <t xml:space="preserve">The signed package's breach odds (engine)</t>
  </si>
  <si>
    <t xml:space="preserve">Standard error at those odds (points)</t>
  </si>
  <si>
    <t xml:space="preserve">It clears the appetite by (points)</t>
  </si>
  <si>
    <t xml:space="preserve">... in standard errors</t>
  </si>
  <si>
    <t xml:space="preserve">Rounded down: breach odds (engine)</t>
  </si>
  <si>
    <t xml:space="preserve">Rounded down misses the appetite by (points)</t>
  </si>
  <si>
    <t xml:space="preserve">Odds, the book's paths (engine)</t>
  </si>
  <si>
    <t xml:space="preserve">Odds, fresh paths (engine)</t>
  </si>
  <si>
    <t xml:space="preserve">Standard error, fresh</t>
  </si>
  <si>
    <t xml:space="preserve">Fresh against 5%, in standard errors</t>
  </si>
  <si>
    <t xml:space="preserve">continuous best</t>
  </si>
  <si>
    <t xml:space="preserve">$121m, 1 quarter</t>
  </si>
  <si>
    <t xml:space="preserve">$130m, 1 quarter</t>
  </si>
  <si>
    <t xml:space="preserve">$150m, 1 quarter</t>
  </si>
  <si>
    <t xml:space="preserve">$200m, 1 quarter</t>
  </si>
  <si>
    <t xml:space="preserve">$150m, no delay</t>
  </si>
  <si>
    <t xml:space="preserve">A two-channel budget and its price (Online Appendix Example 1.B.2)</t>
  </si>
  <si>
    <t xml:space="preserve">Not about Meridian. Maximize a1 sqrt(x1) + a2 sqrt(x2) subject to x1 + x2 &lt;= B: equal marginal returns at the optimum, and the multiplier is the price of the budget.</t>
  </si>
  <si>
    <t xml:space="preserve">Return on channel 1, a1</t>
  </si>
  <si>
    <t xml:space="preserve">x1</t>
  </si>
  <si>
    <t xml:space="preserve">Return on channel 2, a2</t>
  </si>
  <si>
    <t xml:space="preserve">Budget, B</t>
  </si>
  <si>
    <t xml:space="preserve">x1* = B a1^2 / (a1^2 + a2^2)</t>
  </si>
  <si>
    <t xml:space="preserve">x2* = B - x1*</t>
  </si>
  <si>
    <t xml:space="preserve">Marginal return on channel 1</t>
  </si>
  <si>
    <t xml:space="preserve">Marginal return on channel 2</t>
  </si>
  <si>
    <t xml:space="preserve">The multiplier, lambda</t>
  </si>
  <si>
    <t xml:space="preserve">Value of a budget B: sqrt(a1^2 + a2^2) sqrt(B)</t>
  </si>
  <si>
    <t xml:space="preserve">Its slope at B</t>
  </si>
  <si>
    <t xml:space="preserve">One more unit of budget is worth</t>
  </si>
  <si>
    <t xml:space="preserve">A search along the budget line: best x1</t>
  </si>
  <si>
    <t xml:space="preserve">its value</t>
  </si>
  <si>
    <t xml:space="preserve">Checkpoint</t>
  </si>
  <si>
    <t xml:space="preserve">Engine value</t>
  </si>
  <si>
    <t xml:space="preserve">Meaning (where in the book)</t>
  </si>
  <si>
    <t xml:space="preserve">Worked Example 1.1, Step 3: $170 million</t>
  </si>
  <si>
    <t xml:space="preserve">Continuous best: delay (quarters)</t>
  </si>
  <si>
    <t xml:space="preserve">0.67 quarters, two months</t>
  </si>
  <si>
    <t xml:space="preserve">$10.44 million</t>
  </si>
  <si>
    <t xml:space="preserve">Flat optimum: lines within $0.5m from</t>
  </si>
  <si>
    <t xml:space="preserve">Volume I: $140m</t>
  </si>
  <si>
    <t xml:space="preserve">Flat optimum: to</t>
  </si>
  <si>
    <t xml:space="preserve">Volume I: $205m</t>
  </si>
  <si>
    <t xml:space="preserve">Delay alone (quarters)</t>
  </si>
  <si>
    <t xml:space="preserve">More than five quarters (5.09)</t>
  </si>
  <si>
    <t xml:space="preserve">$4m a quarter: continuous line</t>
  </si>
  <si>
    <t xml:space="preserve">Worked Example 1.1, Step 5: $140 million</t>
  </si>
  <si>
    <t xml:space="preserve">$4m a quarter: continuous cost</t>
  </si>
  <si>
    <t xml:space="preserve">$7.52 million</t>
  </si>
  <si>
    <t xml:space="preserve">$16m a quarter: continuous line</t>
  </si>
  <si>
    <t xml:space="preserve">$195 million</t>
  </si>
  <si>
    <t xml:space="preserve">$16m a quarter: continuous delay</t>
  </si>
  <si>
    <t xml:space="preserve">0.60 quarters</t>
  </si>
  <si>
    <t xml:space="preserve">$16m a quarter: continuous cost</t>
  </si>
  <si>
    <t xml:space="preserve">$15.51 million</t>
  </si>
  <si>
    <t xml:space="preserve">What the board should take away: $55 million of line</t>
  </si>
  <si>
    <t xml:space="preserve">Volume I's closure buffer, 186.9</t>
  </si>
  <si>
    <t xml:space="preserve">(R2) joint check with the package</t>
  </si>
  <si>
    <t xml:space="preserve">Step 2: $138.5 million of $270 million</t>
  </si>
  <si>
    <t xml:space="preserve">(R2) with the line removed</t>
  </si>
  <si>
    <t xml:space="preserve">Fails: more than $270 million</t>
  </si>
  <si>
    <t xml:space="preserve">Volume I's declaration before its levers</t>
  </si>
  <si>
    <t xml:space="preserve">324.9 on 270 (Volume I, Worked Example 16.1)</t>
  </si>
  <si>
    <t xml:space="preserve">(R3) spectral radius of the feedback core</t>
  </si>
  <si>
    <t xml:space="preserve">Section 1.1: 0.80</t>
  </si>
  <si>
    <t xml:space="preserve">(R4) leverage with Volume I's line fully drawn</t>
  </si>
  <si>
    <t xml:space="preserve">Within the 4.5x covenant</t>
  </si>
  <si>
    <t xml:space="preserve">Lumpy packages</t>
  </si>
  <si>
    <t xml:space="preserve">Step 4: 9 x 7 = 63</t>
  </si>
  <si>
    <t xml:space="preserve">Lumpy packages meeting the appetite</t>
  </si>
  <si>
    <t xml:space="preserve">Step 4: 46</t>
  </si>
  <si>
    <t xml:space="preserve">Best lumpy package: line</t>
  </si>
  <si>
    <t xml:space="preserve">$150 million</t>
  </si>
  <si>
    <t xml:space="preserve">Best lumpy package: delay</t>
  </si>
  <si>
    <t xml:space="preserve">One quarter</t>
  </si>
  <si>
    <t xml:space="preserve">Best lumpy package: cost</t>
  </si>
  <si>
    <t xml:space="preserve">$12.50 million</t>
  </si>
  <si>
    <t xml:space="preserve">(150, 0)</t>
  </si>
  <si>
    <t xml:space="preserve">9.6 percent: fails the appetite</t>
  </si>
  <si>
    <t xml:space="preserve">(200, 1)</t>
  </si>
  <si>
    <t xml:space="preserve">$14.00 million</t>
  </si>
  <si>
    <t xml:space="preserve">Whole quarters, $1m steps: cost</t>
  </si>
  <si>
    <t xml:space="preserve">Table 1.3: $11.63 million (121, 1)</t>
  </si>
  <si>
    <t xml:space="preserve">$10m tranches: cost</t>
  </si>
  <si>
    <t xml:space="preserve">Table 1.3: $11.90 million (130, 1)</t>
  </si>
  <si>
    <t xml:space="preserve">The lumps cost</t>
  </si>
  <si>
    <t xml:space="preserve">$2.06 million, about 20 percent</t>
  </si>
  <si>
    <t xml:space="preserve">$1.19 million</t>
  </si>
  <si>
    <t xml:space="preserve">then $50m tranches</t>
  </si>
  <si>
    <t xml:space="preserve">$0.87 million</t>
  </si>
  <si>
    <t xml:space="preserve">$10m tranches would save</t>
  </si>
  <si>
    <t xml:space="preserve">$0.60 million</t>
  </si>
  <si>
    <t xml:space="preserve">Two quarters: least line in $1m steps</t>
  </si>
  <si>
    <t xml:space="preserve">Online Appendix 1.B.4: 70</t>
  </si>
  <si>
    <t xml:space="preserve">Two quarters: $50m package cost</t>
  </si>
  <si>
    <t xml:space="preserve">Online Appendix 1.B.4: $19.00 million</t>
  </si>
  <si>
    <t xml:space="preserve">Packages whose rank changes when rescaled</t>
  </si>
  <si>
    <t xml:space="preserve">Theorem 1.4(iii): none</t>
  </si>
  <si>
    <t xml:space="preserve">The lumpy answer holds above (a quarter)</t>
  </si>
  <si>
    <t xml:space="preserve">$1.5 million</t>
  </si>
  <si>
    <t xml:space="preserve">$16m: the nearest package (200, 1)</t>
  </si>
  <si>
    <t xml:space="preserve">Appendix 1.A: $22.00 million</t>
  </si>
  <si>
    <t xml:space="preserve">$16m: the signed package (150, 1)</t>
  </si>
  <si>
    <t xml:space="preserve">$20.50 million</t>
  </si>
  <si>
    <t xml:space="preserve">Feasible with all four commitments</t>
  </si>
  <si>
    <t xml:space="preserve">Proposition 1.2: none drops out</t>
  </si>
  <si>
    <t xml:space="preserve">The covenant binds above a line of</t>
  </si>
  <si>
    <t xml:space="preserve">$545 million</t>
  </si>
  <si>
    <t xml:space="preserve">Signed package: leverage, line fully drawn</t>
  </si>
  <si>
    <t xml:space="preserve">3.70x</t>
  </si>
  <si>
    <t xml:space="preserve">Signed package: joint-check claims</t>
  </si>
  <si>
    <t xml:space="preserve">Draw 113.5 + buffer 36.9</t>
  </si>
  <si>
    <t xml:space="preserve">About $120 million</t>
  </si>
  <si>
    <t xml:space="preserve">Standard error near 5% (points)</t>
  </si>
  <si>
    <t xml:space="preserve">Online Appendix 1.B.4: 0.07</t>
  </si>
  <si>
    <t xml:space="preserve">Standard error near 4% (points)</t>
  </si>
  <si>
    <t xml:space="preserve">0.06</t>
  </si>
  <si>
    <t xml:space="preserve">Lumpy margin in standard errors</t>
  </si>
  <si>
    <t xml:space="preserve">About 16</t>
  </si>
  <si>
    <t xml:space="preserve">Rounding down misses by (points)</t>
  </si>
  <si>
    <t xml:space="preserve">4.6</t>
  </si>
  <si>
    <t xml:space="preserve">Two-channel budget: x1*</t>
  </si>
  <si>
    <t xml:space="preserve">Online Appendix 1.B.2: 36</t>
  </si>
  <si>
    <t xml:space="preserve">Two-channel budget: value</t>
  </si>
  <si>
    <t xml:space="preserve">50</t>
  </si>
  <si>
    <t xml:space="preserve">Two-channel budget: multiplier</t>
  </si>
  <si>
    <t xml:space="preserve">0.25</t>
  </si>
  <si>
    <t xml:space="preserve">Two-channel budget: slope of 5 sqrt(B) at 100</t>
  </si>
  <si>
    <t xml:space="preserve">The multiplier is a price</t>
  </si>
  <si>
    <t xml:space="preserve">Two-channel budget: search along the line</t>
  </si>
  <si>
    <t xml:space="preserve">36</t>
  </si>
  <si>
    <t xml:space="preserve">Workbook formula value</t>
  </si>
  <si>
    <t xml:space="preserve">|diff|</t>
  </si>
  <si>
    <t xml:space="preserve">Tolerance</t>
  </si>
  <si>
    <t xml:space="preserve">Status</t>
  </si>
  <si>
    <t xml:space="preserve">All checkpoints</t>
  </si>
</sst>
</file>

<file path=xl/styles.xml><?xml version="1.0" encoding="utf-8"?>
<styleSheet xmlns="http://schemas.openxmlformats.org/spreadsheetml/2006/main">
  <numFmts count="16">
    <numFmt numFmtId="164" formatCode="General"/>
    <numFmt numFmtId="165" formatCode="0.00"/>
    <numFmt numFmtId="166" formatCode="0"/>
    <numFmt numFmtId="167" formatCode="0%"/>
    <numFmt numFmtId="168" formatCode="#,##0"/>
    <numFmt numFmtId="169" formatCode="0.0"/>
    <numFmt numFmtId="170" formatCode="0.0%"/>
    <numFmt numFmtId="171" formatCode="#,##0.0"/>
    <numFmt numFmtId="172" formatCode="0.000"/>
    <numFmt numFmtId="173" formatCode="0.00%"/>
    <numFmt numFmtId="174" formatCode="0.0000"/>
    <numFmt numFmtId="175" formatCode="0.00E+00"/>
    <numFmt numFmtId="176" formatCode="0&quot; q&quot;"/>
    <numFmt numFmtId="177" formatCode="0.000%"/>
    <numFmt numFmtId="178" formatCode="0.000000"/>
    <numFmt numFmtId="179" formatCode="0.0E+00"/>
  </numFmts>
  <fonts count="13">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008000"/>
      <name val="Arial"/>
      <family val="0"/>
      <charset val="1"/>
    </font>
    <font>
      <sz val="10"/>
      <color rgb="FF008000"/>
      <name val="Arial"/>
      <family val="0"/>
      <charset val="1"/>
    </font>
    <font>
      <b val="true"/>
      <sz val="10"/>
      <color rgb="FFFFFFFF"/>
      <name val="Arial"/>
      <family val="0"/>
      <charset val="1"/>
    </font>
    <font>
      <i val="true"/>
      <sz val="9"/>
      <color rgb="FF555555"/>
      <name val="Arial"/>
      <family val="0"/>
      <charset val="1"/>
    </font>
    <font>
      <sz val="10"/>
      <name val="Courier New"/>
      <family val="0"/>
      <charset val="1"/>
    </font>
  </fonts>
  <fills count="5">
    <fill>
      <patternFill patternType="none"/>
    </fill>
    <fill>
      <patternFill patternType="gray125"/>
    </fill>
    <fill>
      <patternFill patternType="solid">
        <fgColor rgb="FFFFF3D6"/>
        <bgColor rgb="FFEAF1E8"/>
      </patternFill>
    </fill>
    <fill>
      <patternFill patternType="solid">
        <fgColor rgb="FFE8F0EC"/>
        <bgColor rgb="FFEAF1E8"/>
      </patternFill>
    </fill>
    <fill>
      <patternFill patternType="solid">
        <fgColor rgb="FF0B3D2E"/>
        <bgColor rgb="FF003366"/>
      </patternFill>
    </fill>
  </fills>
  <borders count="2">
    <border diagonalUp="false" diagonalDown="false">
      <left/>
      <right/>
      <top/>
      <bottom/>
      <diagonal/>
    </border>
    <border diagonalUp="false" diagonalDown="false">
      <left/>
      <right/>
      <top/>
      <bottom style="thin">
        <color rgb="FFB4BE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7" fontId="7" fillId="2" borderId="0" xfId="0" applyFont="true" applyBorder="false" applyAlignment="false" applyProtection="false">
      <alignment horizontal="general" vertical="bottom" textRotation="0" wrapText="false" indent="0" shrinkToFit="false"/>
      <protection locked="true" hidden="false"/>
    </xf>
    <xf numFmtId="168" fontId="7" fillId="2"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9" fontId="7" fillId="2"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74" fontId="8" fillId="3" borderId="0" xfId="0" applyFont="true" applyBorder="false" applyAlignment="false" applyProtection="false">
      <alignment horizontal="general" vertical="bottom" textRotation="0" wrapText="false" indent="0" shrinkToFit="false"/>
      <protection locked="true" hidden="false"/>
    </xf>
    <xf numFmtId="173" fontId="8" fillId="3"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75" fontId="5" fillId="0" borderId="0" xfId="0" applyFont="true" applyBorder="false" applyAlignment="false" applyProtection="false">
      <alignment horizontal="general" vertical="bottom" textRotation="0" wrapText="false" indent="0" shrinkToFit="false"/>
      <protection locked="true" hidden="false"/>
    </xf>
    <xf numFmtId="176" fontId="10" fillId="4" borderId="1" xfId="0" applyFont="true" applyBorder="true" applyAlignment="true" applyProtection="false">
      <alignment horizontal="general" vertical="center" textRotation="0" wrapText="tru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78" fontId="8" fillId="3" borderId="0" xfId="0" applyFont="true" applyBorder="false" applyAlignment="false" applyProtection="false">
      <alignment horizontal="general" vertical="bottom" textRotation="0" wrapText="false" indent="0" shrinkToFit="false"/>
      <protection locked="true" hidden="false"/>
    </xf>
    <xf numFmtId="178" fontId="5" fillId="0" borderId="0" xfId="0" applyFont="true" applyBorder="false" applyAlignment="false" applyProtection="false">
      <alignment horizontal="general" vertical="bottom" textRotation="0" wrapText="false" indent="0" shrinkToFit="false"/>
      <protection locked="true" hidden="false"/>
    </xf>
    <xf numFmtId="178" fontId="9" fillId="0" borderId="0" xfId="0" applyFont="true" applyBorder="fals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79" fontId="7"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EAF1E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ECE"/>
      <rgbColor rgb="FF808080"/>
      <rgbColor rgb="FF9999FF"/>
      <rgbColor rgb="FF993366"/>
      <rgbColor rgb="FFFFF3D6"/>
      <rgbColor rgb="FFE8F0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AF1E8"/>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B3D2E"/>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0"/>
  </cols>
  <sheetData>
    <row r="1" customFormat="false" ht="15"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row>
    <row r="5" customFormat="false" ht="23.85" hidden="false" customHeight="false" outlineLevel="0" collapsed="false">
      <c r="B5" s="3" t="s">
        <v>3</v>
      </c>
    </row>
    <row r="6" customFormat="false" ht="23.85" hidden="false" customHeight="false" outlineLevel="0" collapsed="false">
      <c r="B6" s="3" t="s">
        <v>4</v>
      </c>
    </row>
    <row r="7" customFormat="false" ht="15" hidden="false" customHeight="false" outlineLevel="0" collapsed="false">
      <c r="B7" s="3" t="s">
        <v>5</v>
      </c>
    </row>
    <row r="8" customFormat="false" ht="23.85" hidden="false" customHeight="false" outlineLevel="0" collapsed="false">
      <c r="B8" s="3" t="s">
        <v>6</v>
      </c>
    </row>
    <row r="9" customFormat="false" ht="15" hidden="false" customHeight="false" outlineLevel="0" collapsed="false">
      <c r="B9" s="3" t="s">
        <v>7</v>
      </c>
    </row>
    <row r="10" customFormat="false" ht="23.85" hidden="false" customHeight="false" outlineLevel="0" collapsed="false">
      <c r="B10" s="3" t="s">
        <v>8</v>
      </c>
    </row>
    <row r="11" customFormat="false" ht="15" hidden="false" customHeight="false" outlineLevel="0" collapsed="false">
      <c r="B11" s="3" t="s">
        <v>9</v>
      </c>
    </row>
    <row r="12" customFormat="false" ht="15" hidden="false" customHeight="false" outlineLevel="0" collapsed="false">
      <c r="B12" s="3" t="s">
        <v>10</v>
      </c>
    </row>
    <row r="13" customFormat="false" ht="15" hidden="false" customHeight="false" outlineLevel="0" collapsed="false">
      <c r="B13" s="3" t="s">
        <v>11</v>
      </c>
    </row>
    <row r="15" customFormat="false" ht="15" hidden="false" customHeight="false" outlineLevel="0" collapsed="false">
      <c r="B15" s="4" t="s">
        <v>12</v>
      </c>
    </row>
    <row r="16" customFormat="false" ht="15" hidden="false" customHeight="false" outlineLevel="0" collapsed="false">
      <c r="B16" s="5" t="s">
        <v>13</v>
      </c>
    </row>
    <row r="17" customFormat="false" ht="15" hidden="false" customHeight="false" outlineLevel="0" collapsed="false">
      <c r="B17" s="2" t="s">
        <v>14</v>
      </c>
    </row>
    <row r="18" customFormat="false" ht="15" hidden="false" customHeight="false" outlineLevel="0" collapsed="false">
      <c r="B18" s="6" t="s">
        <v>15</v>
      </c>
    </row>
    <row r="19" customFormat="false" ht="15" hidden="false" customHeight="false" outlineLevel="0" collapsed="false">
      <c r="B19" s="7"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4"/>
    <col collapsed="false" customWidth="true" hidden="false" outlineLevel="0" max="3" min="3" style="0" width="62"/>
  </cols>
  <sheetData>
    <row r="1" customFormat="false" ht="15" hidden="false" customHeight="false" outlineLevel="0" collapsed="false">
      <c r="A1" s="1" t="s">
        <v>17</v>
      </c>
    </row>
    <row r="3" customFormat="false" ht="15" hidden="false" customHeight="false" outlineLevel="0" collapsed="false">
      <c r="A3" s="8" t="s">
        <v>18</v>
      </c>
      <c r="B3" s="8" t="s">
        <v>19</v>
      </c>
      <c r="C3" s="8" t="s">
        <v>20</v>
      </c>
    </row>
    <row r="4" customFormat="false" ht="15" hidden="false" customHeight="false" outlineLevel="0" collapsed="false">
      <c r="A4" s="2" t="s">
        <v>21</v>
      </c>
      <c r="B4" s="9" t="n">
        <v>0.01</v>
      </c>
      <c r="C4" s="10" t="s">
        <v>22</v>
      </c>
    </row>
    <row r="5" customFormat="false" ht="15" hidden="false" customHeight="false" outlineLevel="0" collapsed="false">
      <c r="A5" s="2" t="s">
        <v>23</v>
      </c>
      <c r="B5" s="11" t="n">
        <v>3</v>
      </c>
      <c r="C5" s="10" t="s">
        <v>24</v>
      </c>
    </row>
    <row r="6" customFormat="false" ht="15" hidden="false" customHeight="false" outlineLevel="0" collapsed="false">
      <c r="A6" s="2" t="s">
        <v>25</v>
      </c>
      <c r="B6" s="12" t="n">
        <f aca="false">B4*B5</f>
        <v>0.03</v>
      </c>
      <c r="C6" s="10" t="s">
        <v>26</v>
      </c>
    </row>
    <row r="7" customFormat="false" ht="15" hidden="false" customHeight="false" outlineLevel="0" collapsed="false">
      <c r="A7" s="2" t="s">
        <v>27</v>
      </c>
      <c r="B7" s="9" t="n">
        <v>8</v>
      </c>
      <c r="C7" s="10" t="s">
        <v>28</v>
      </c>
    </row>
    <row r="8" customFormat="false" ht="15" hidden="false" customHeight="false" outlineLevel="0" collapsed="false">
      <c r="A8" s="2" t="s">
        <v>29</v>
      </c>
      <c r="B8" s="13" t="n">
        <v>0.05</v>
      </c>
      <c r="C8" s="10" t="s">
        <v>30</v>
      </c>
    </row>
    <row r="9" customFormat="false" ht="15" hidden="false" customHeight="false" outlineLevel="0" collapsed="false">
      <c r="A9" s="2" t="s">
        <v>31</v>
      </c>
      <c r="B9" s="11" t="n">
        <v>50</v>
      </c>
      <c r="C9" s="10" t="s">
        <v>32</v>
      </c>
    </row>
    <row r="10" customFormat="false" ht="15" hidden="false" customHeight="false" outlineLevel="0" collapsed="false">
      <c r="A10" s="2" t="s">
        <v>33</v>
      </c>
      <c r="B10" s="11" t="n">
        <v>400</v>
      </c>
      <c r="C10" s="10" t="s">
        <v>34</v>
      </c>
    </row>
    <row r="11" customFormat="false" ht="15" hidden="false" customHeight="false" outlineLevel="0" collapsed="false">
      <c r="A11" s="2" t="s">
        <v>35</v>
      </c>
      <c r="B11" s="11" t="n">
        <v>6</v>
      </c>
      <c r="C11" s="10" t="s">
        <v>36</v>
      </c>
    </row>
    <row r="12" customFormat="false" ht="15" hidden="false" customHeight="false" outlineLevel="0" collapsed="false">
      <c r="A12" s="2" t="s">
        <v>37</v>
      </c>
      <c r="B12" s="14" t="n">
        <v>100000</v>
      </c>
      <c r="C12" s="10" t="s">
        <v>38</v>
      </c>
    </row>
    <row r="13" customFormat="false" ht="15" hidden="false" customHeight="false" outlineLevel="0" collapsed="false">
      <c r="A13" s="2" t="s">
        <v>39</v>
      </c>
      <c r="B13" s="11" t="n">
        <v>620</v>
      </c>
      <c r="C13" s="10" t="s">
        <v>40</v>
      </c>
    </row>
    <row r="14" customFormat="false" ht="15" hidden="false" customHeight="false" outlineLevel="0" collapsed="false">
      <c r="A14" s="2" t="s">
        <v>41</v>
      </c>
      <c r="B14" s="11" t="n">
        <v>100</v>
      </c>
      <c r="C14" s="10" t="s">
        <v>42</v>
      </c>
    </row>
    <row r="15" customFormat="false" ht="15" hidden="false" customHeight="false" outlineLevel="0" collapsed="false">
      <c r="A15" s="2" t="s">
        <v>43</v>
      </c>
      <c r="B15" s="12" t="n">
        <f aca="false">B13/B14</f>
        <v>6.2</v>
      </c>
      <c r="C15" s="10" t="s">
        <v>44</v>
      </c>
    </row>
    <row r="16" customFormat="false" ht="15" hidden="false" customHeight="false" outlineLevel="0" collapsed="false">
      <c r="A16" s="2" t="s">
        <v>45</v>
      </c>
      <c r="B16" s="11" t="n">
        <v>350</v>
      </c>
      <c r="C16" s="10" t="s">
        <v>46</v>
      </c>
    </row>
    <row r="17" customFormat="false" ht="15" hidden="false" customHeight="false" outlineLevel="0" collapsed="false">
      <c r="A17" s="2" t="s">
        <v>47</v>
      </c>
      <c r="B17" s="15" t="n">
        <f aca="false">B13-B16</f>
        <v>270</v>
      </c>
      <c r="C17" s="10" t="s">
        <v>48</v>
      </c>
    </row>
    <row r="18" customFormat="false" ht="15" hidden="false" customHeight="false" outlineLevel="0" collapsed="false">
      <c r="A18" s="2" t="s">
        <v>49</v>
      </c>
      <c r="B18" s="11" t="n">
        <v>112</v>
      </c>
      <c r="C18" s="10" t="s">
        <v>50</v>
      </c>
    </row>
    <row r="19" customFormat="false" ht="15" hidden="false" customHeight="false" outlineLevel="0" collapsed="false">
      <c r="A19" s="2" t="s">
        <v>51</v>
      </c>
      <c r="B19" s="9" t="n">
        <v>0.35</v>
      </c>
      <c r="C19" s="10"/>
    </row>
    <row r="20" customFormat="false" ht="15" hidden="false" customHeight="false" outlineLevel="0" collapsed="false">
      <c r="A20" s="2" t="s">
        <v>52</v>
      </c>
      <c r="B20" s="11" t="n">
        <v>28</v>
      </c>
      <c r="C20" s="10" t="s">
        <v>53</v>
      </c>
    </row>
    <row r="21" customFormat="false" ht="15" hidden="false" customHeight="false" outlineLevel="0" collapsed="false">
      <c r="A21" s="2" t="s">
        <v>54</v>
      </c>
      <c r="B21" s="16" t="n">
        <v>2</v>
      </c>
      <c r="C21" s="10"/>
    </row>
    <row r="22" customFormat="false" ht="15" hidden="false" customHeight="false" outlineLevel="0" collapsed="false">
      <c r="A22" s="2" t="s">
        <v>55</v>
      </c>
      <c r="B22" s="11" t="n">
        <v>4</v>
      </c>
      <c r="C22" s="10" t="s">
        <v>56</v>
      </c>
    </row>
    <row r="23" customFormat="false" ht="15" hidden="false" customHeight="false" outlineLevel="0" collapsed="false">
      <c r="A23" s="2" t="s">
        <v>57</v>
      </c>
      <c r="B23" s="11" t="n">
        <v>120</v>
      </c>
      <c r="C23" s="10" t="s">
        <v>58</v>
      </c>
    </row>
    <row r="24" customFormat="false" ht="15" hidden="false" customHeight="false" outlineLevel="0" collapsed="false">
      <c r="A24" s="2" t="s">
        <v>59</v>
      </c>
      <c r="B24" s="11" t="n">
        <v>50</v>
      </c>
      <c r="C24" s="10" t="s">
        <v>60</v>
      </c>
    </row>
    <row r="25" customFormat="false" ht="15" hidden="false" customHeight="false" outlineLevel="0" collapsed="false">
      <c r="A25" s="2" t="s">
        <v>61</v>
      </c>
      <c r="B25" s="17" t="n">
        <f aca="false">GAMMAINV(0.9,(B23/B24)^2,B24^2/B23)</f>
        <v>186.866976370664</v>
      </c>
      <c r="C25" s="10" t="s">
        <v>62</v>
      </c>
    </row>
    <row r="26" customFormat="false" ht="15" hidden="false" customHeight="false" outlineLevel="0" collapsed="false">
      <c r="A26" s="2" t="s">
        <v>63</v>
      </c>
      <c r="B26" s="14" t="n">
        <v>4200</v>
      </c>
      <c r="C26" s="10"/>
    </row>
    <row r="27" customFormat="false" ht="15" hidden="false" customHeight="false" outlineLevel="0" collapsed="false">
      <c r="A27" s="2" t="s">
        <v>64</v>
      </c>
      <c r="B27" s="18" t="n">
        <v>0.118</v>
      </c>
      <c r="C27" s="10"/>
    </row>
    <row r="28" customFormat="false" ht="15" hidden="false" customHeight="false" outlineLevel="0" collapsed="false">
      <c r="A28" s="2" t="s">
        <v>65</v>
      </c>
      <c r="B28" s="17" t="n">
        <f aca="false">B26*B27</f>
        <v>495.6</v>
      </c>
      <c r="C28" s="10"/>
    </row>
    <row r="29" customFormat="false" ht="15" hidden="false" customHeight="false" outlineLevel="0" collapsed="false">
      <c r="A29" s="2" t="s">
        <v>66</v>
      </c>
      <c r="B29" s="16" t="n">
        <v>3.4</v>
      </c>
      <c r="C29" s="10"/>
    </row>
    <row r="30" customFormat="false" ht="15" hidden="false" customHeight="false" outlineLevel="0" collapsed="false">
      <c r="A30" s="2" t="s">
        <v>67</v>
      </c>
      <c r="B30" s="19" t="n">
        <f aca="false">B29*B28</f>
        <v>1685.04</v>
      </c>
      <c r="C30" s="10"/>
    </row>
    <row r="31" customFormat="false" ht="15" hidden="false" customHeight="false" outlineLevel="0" collapsed="false">
      <c r="A31" s="2" t="s">
        <v>68</v>
      </c>
      <c r="B31" s="16" t="n">
        <v>4.5</v>
      </c>
      <c r="C31" s="10" t="s">
        <v>69</v>
      </c>
    </row>
    <row r="32" customFormat="false" ht="15" hidden="false" customHeight="false" outlineLevel="0" collapsed="false">
      <c r="A32" s="2" t="s">
        <v>70</v>
      </c>
      <c r="B32" s="11" t="n">
        <v>58</v>
      </c>
      <c r="C32" s="10" t="s">
        <v>71</v>
      </c>
    </row>
    <row r="33" customFormat="false" ht="15" hidden="false" customHeight="false" outlineLevel="0" collapsed="false">
      <c r="A33" s="2" t="s">
        <v>72</v>
      </c>
      <c r="B33" s="11" t="n">
        <v>55</v>
      </c>
      <c r="C33" s="10"/>
    </row>
    <row r="34" customFormat="false" ht="15" hidden="false" customHeight="false" outlineLevel="0" collapsed="false">
      <c r="A34" s="2" t="s">
        <v>73</v>
      </c>
      <c r="B34" s="9" t="n">
        <v>0.4</v>
      </c>
      <c r="C34" s="10" t="s">
        <v>74</v>
      </c>
    </row>
    <row r="35" customFormat="false" ht="15" hidden="false" customHeight="false" outlineLevel="0" collapsed="false">
      <c r="A35" s="2" t="s">
        <v>75</v>
      </c>
      <c r="B35" s="13" t="n">
        <v>0.25</v>
      </c>
      <c r="C35" s="10" t="s">
        <v>76</v>
      </c>
    </row>
    <row r="37" customFormat="false" ht="15" hidden="false" customHeight="false" outlineLevel="0" collapsed="false">
      <c r="A37" s="8" t="s">
        <v>77</v>
      </c>
      <c r="B37" s="8" t="s">
        <v>78</v>
      </c>
      <c r="C37" s="8"/>
    </row>
    <row r="38" customFormat="false" ht="15" hidden="false" customHeight="false" outlineLevel="0" collapsed="false">
      <c r="A38" s="2" t="s">
        <v>79</v>
      </c>
      <c r="B38" s="11" t="n">
        <v>620</v>
      </c>
    </row>
    <row r="39" customFormat="false" ht="15" hidden="false" customHeight="false" outlineLevel="0" collapsed="false">
      <c r="A39" s="2" t="s">
        <v>80</v>
      </c>
      <c r="B39" s="16" t="n">
        <v>3.4</v>
      </c>
    </row>
    <row r="40" customFormat="false" ht="15" hidden="false" customHeight="false" outlineLevel="0" collapsed="false">
      <c r="A40" s="2" t="s">
        <v>70</v>
      </c>
      <c r="B40" s="11" t="n">
        <v>58</v>
      </c>
    </row>
    <row r="41" customFormat="false" ht="15" hidden="false" customHeight="false" outlineLevel="0" collapsed="false">
      <c r="A41" s="2" t="s">
        <v>81</v>
      </c>
      <c r="B41" s="11" t="n">
        <v>41</v>
      </c>
    </row>
    <row r="42" customFormat="false" ht="15" hidden="false" customHeight="false" outlineLevel="0" collapsed="false">
      <c r="A42" s="2" t="s">
        <v>82</v>
      </c>
      <c r="B42" s="11" t="n">
        <v>71</v>
      </c>
    </row>
    <row r="43" customFormat="false" ht="15" hidden="false" customHeight="false" outlineLevel="0" collapsed="false">
      <c r="A43" s="2" t="s">
        <v>83</v>
      </c>
      <c r="B43" s="18" t="n">
        <v>0.083</v>
      </c>
    </row>
    <row r="44" customFormat="false" ht="15" hidden="false" customHeight="false" outlineLevel="0" collapsed="false">
      <c r="A44" s="2" t="s">
        <v>84</v>
      </c>
      <c r="B44" s="11" t="n">
        <v>64</v>
      </c>
    </row>
    <row r="45" customFormat="false" ht="15" hidden="false" customHeight="false" outlineLevel="0" collapsed="false">
      <c r="A45" s="2" t="s">
        <v>85</v>
      </c>
      <c r="B45" s="13" t="n">
        <v>0.19</v>
      </c>
    </row>
    <row r="47" customFormat="false" ht="15" hidden="false" customHeight="false" outlineLevel="0" collapsed="false">
      <c r="A47" s="10" t="s">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22"/>
    <col collapsed="false" customWidth="true" hidden="false" outlineLevel="0" max="6" min="6" style="0" width="16"/>
    <col collapsed="false" customWidth="true" hidden="false" outlineLevel="0" max="7" min="7" style="0" width="11"/>
  </cols>
  <sheetData>
    <row r="1" customFormat="false" ht="15" hidden="false" customHeight="false" outlineLevel="0" collapsed="false">
      <c r="A1" s="1" t="s">
        <v>87</v>
      </c>
    </row>
    <row r="2" customFormat="false" ht="15" hidden="false" customHeight="false" outlineLevel="0" collapsed="false">
      <c r="A2" s="10" t="s">
        <v>88</v>
      </c>
    </row>
    <row r="4" customFormat="false" ht="15" hidden="false" customHeight="false" outlineLevel="0" collapsed="false">
      <c r="A4" s="8" t="s">
        <v>89</v>
      </c>
      <c r="B4" s="8" t="s">
        <v>90</v>
      </c>
      <c r="C4" s="8" t="s">
        <v>91</v>
      </c>
      <c r="D4" s="8" t="s">
        <v>92</v>
      </c>
      <c r="E4" s="8" t="s">
        <v>93</v>
      </c>
      <c r="F4" s="8" t="s">
        <v>94</v>
      </c>
      <c r="G4" s="8" t="s">
        <v>95</v>
      </c>
    </row>
    <row r="5" customFormat="false" ht="15" hidden="false" customHeight="false" outlineLevel="0" collapsed="false">
      <c r="A5" s="2" t="s">
        <v>96</v>
      </c>
      <c r="B5" s="2" t="s">
        <v>97</v>
      </c>
      <c r="C5" s="2" t="s">
        <v>98</v>
      </c>
      <c r="D5" s="2" t="str">
        <f aca="false">"0 to "&amp;Line_max</f>
        <v>0 to 400</v>
      </c>
      <c r="E5" s="5" t="s">
        <v>99</v>
      </c>
      <c r="F5" s="20" t="n">
        <f aca="false">Fee</f>
        <v>0.03</v>
      </c>
      <c r="G5" s="2" t="str">
        <f aca="false">IF(AND(LEN(E5)&gt;0,LEN(F5)&gt;0),"yes","no")</f>
        <v>yes</v>
      </c>
    </row>
    <row r="6" customFormat="false" ht="15" hidden="false" customHeight="false" outlineLevel="0" collapsed="false">
      <c r="A6" s="2" t="s">
        <v>100</v>
      </c>
      <c r="B6" s="2" t="s">
        <v>101</v>
      </c>
      <c r="C6" s="2" t="s">
        <v>102</v>
      </c>
      <c r="D6" s="2" t="str">
        <f aca="false">"0 to "&amp;Delay_max</f>
        <v>0 to 6</v>
      </c>
      <c r="E6" s="5" t="s">
        <v>103</v>
      </c>
      <c r="F6" s="20" t="n">
        <f aca="false">Vq</f>
        <v>8</v>
      </c>
      <c r="G6" s="2" t="str">
        <f aca="false">IF(AND(LEN(E6)&gt;0,LEN(F6)&gt;0),"yes","no")</f>
        <v>yes</v>
      </c>
    </row>
    <row r="7" customFormat="false" ht="15" hidden="false" customHeight="false" outlineLevel="0" collapsed="false">
      <c r="A7" s="2" t="s">
        <v>104</v>
      </c>
      <c r="B7" s="2" t="s">
        <v>105</v>
      </c>
      <c r="C7" s="2" t="s">
        <v>106</v>
      </c>
      <c r="D7" s="2" t="str">
        <f aca="false">"at most "&amp;TEXT(Appetite,"0%")</f>
        <v>at most 5%</v>
      </c>
      <c r="E7" s="5" t="s">
        <v>107</v>
      </c>
      <c r="F7" s="20" t="n">
        <f aca="false">Appetite</f>
        <v>0.05</v>
      </c>
      <c r="G7" s="2" t="str">
        <f aca="false">IF(AND(LEN(E7)&gt;0,LEN(F7)&gt;0),"yes","no")</f>
        <v>yes</v>
      </c>
    </row>
    <row r="8" customFormat="false" ht="15" hidden="false" customHeight="false" outlineLevel="0" collapsed="false">
      <c r="A8" s="2" t="s">
        <v>108</v>
      </c>
      <c r="B8" s="2" t="s">
        <v>109</v>
      </c>
      <c r="E8" s="2" t="s">
        <v>110</v>
      </c>
      <c r="F8" s="2" t="s">
        <v>111</v>
      </c>
      <c r="G8" s="2" t="s">
        <v>112</v>
      </c>
    </row>
    <row r="10" customFormat="false" ht="15" hidden="false" customHeight="false" outlineLevel="0" collapsed="false">
      <c r="A10" s="4" t="s">
        <v>113</v>
      </c>
      <c r="B10" s="4" t="str">
        <f aca="false">IF(COUNTIF(G5:G7,"no")&gt;0,"Refuses: a term has no declared price or owner (Proposition 1.1)","Emits the canonical form below")</f>
        <v>Emits the canonical form below</v>
      </c>
    </row>
    <row r="12" customFormat="false" ht="15" hidden="false" customHeight="false" outlineLevel="0" collapsed="false">
      <c r="B12" s="21" t="str">
        <f aca="false">IF(LEFT($B$10,5)="Emits","maximize    -("&amp;F5&amp;" l + "&amp;F6&amp;" phi)    the package's cost in $ million, with its sign reversed","")</f>
        <v>maximize    -(0.03 l + 8 phi)    the package's cost in $ million, with its sign reversed</v>
      </c>
    </row>
    <row r="13" customFormat="false" ht="15" hidden="false" customHeight="false" outlineLevel="0" collapsed="false">
      <c r="B13" s="21" t="str">
        <f aca="false">IF(LEFT($B$10,5)="Emits","over        0 &lt;= l &lt;= "&amp;Line_max&amp;" ($ million, "&amp;E5&amp;"),   0 &lt;= phi &lt;= "&amp;Delay_max&amp;" (quarters, "&amp;E6&amp;")","")</f>
        <v>over        0 &lt;= l &lt;= 400 ($ million, treasury),   0 &lt;= phi &lt;= 6 (quarters, transformation office)</v>
      </c>
    </row>
    <row r="14" customFormat="false" ht="15" hidden="false" customHeight="false" outlineLevel="0" collapsed="false">
      <c r="B14" s="21" t="str">
        <f aca="false">IF(LEFT($B$10,5)="Emits","subject to  x = f(l, phi): Volume I's Chapter 8 liquidity model, "&amp;TEXT(Paths_N,"#,##0")&amp;" paths","")</f>
        <v>subject to  x = f(l, phi): Volume I's Chapter 8 liquidity model, 100,000 paths</v>
      </c>
    </row>
    <row r="15" customFormat="false" ht="15" hidden="false" customHeight="false" outlineLevel="0" collapsed="false">
      <c r="B15" s="21" t="str">
        <f aca="false">IF(LEFT($B$10,5)="Emits","            P(liquidity below "&amp;Floor_liq&amp;" in some quarter) - "&amp;F7&amp;" &lt;= 0   ("&amp;E7&amp;")","")</f>
        <v>            P(liquidity below 350 in some quarter) - 0.05 &lt;= 0   (the board)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66"/>
    <col collapsed="false" customWidth="true" hidden="false" outlineLevel="0" max="3" min="3" style="0" width="14"/>
    <col collapsed="false" customWidth="true" hidden="false" outlineLevel="0" max="4" min="4" style="0" width="12"/>
    <col collapsed="false" customWidth="true" hidden="false" outlineLevel="0" max="5" min="5" style="0" width="18"/>
    <col collapsed="false" customWidth="true" hidden="false" outlineLevel="0" max="6" min="6" style="0" width="22"/>
  </cols>
  <sheetData>
    <row r="1" customFormat="false" ht="15" hidden="false" customHeight="false" outlineLevel="0" collapsed="false">
      <c r="A1" s="1" t="s">
        <v>114</v>
      </c>
    </row>
    <row r="3" customFormat="false" ht="15" hidden="false" customHeight="false" outlineLevel="0" collapsed="false">
      <c r="A3" s="2" t="s">
        <v>115</v>
      </c>
      <c r="B3" s="22" t="n">
        <f aca="false">Continuous!H6</f>
        <v>170</v>
      </c>
    </row>
    <row r="4" customFormat="false" ht="15" hidden="false" customHeight="false" outlineLevel="0" collapsed="false">
      <c r="A4" s="2" t="s">
        <v>116</v>
      </c>
      <c r="B4" s="23" t="n">
        <f aca="false">Continuous!H7</f>
        <v>0.667576361426626</v>
      </c>
    </row>
    <row r="5" customFormat="false" ht="15" hidden="false" customHeight="false" outlineLevel="0" collapsed="false">
      <c r="A5" s="2" t="s">
        <v>117</v>
      </c>
      <c r="B5" s="12" t="n">
        <f aca="false">Depth0-Depth_q*B4</f>
        <v>25.3296945542935</v>
      </c>
    </row>
    <row r="7" customFormat="false" ht="15" hidden="false" customHeight="false" outlineLevel="0" collapsed="false">
      <c r="A7" s="8" t="s">
        <v>118</v>
      </c>
      <c r="B7" s="8" t="s">
        <v>119</v>
      </c>
      <c r="C7" s="8" t="s">
        <v>19</v>
      </c>
      <c r="D7" s="8" t="s">
        <v>120</v>
      </c>
      <c r="E7" s="8" t="s">
        <v>121</v>
      </c>
    </row>
    <row r="8" customFormat="false" ht="15" hidden="false" customHeight="false" outlineLevel="0" collapsed="false">
      <c r="A8" s="4" t="s">
        <v>122</v>
      </c>
      <c r="B8" s="2" t="s">
        <v>123</v>
      </c>
      <c r="E8" s="4" t="str">
        <f aca="false">IF(LEFT(CanonicalForm!B10,5)="Emits","pass","FAIL")</f>
        <v>pass</v>
      </c>
    </row>
    <row r="9" customFormat="false" ht="15" hidden="false" customHeight="false" outlineLevel="0" collapsed="false">
      <c r="A9" s="4" t="s">
        <v>124</v>
      </c>
      <c r="B9" s="2" t="s">
        <v>125</v>
      </c>
      <c r="C9" s="17" t="n">
        <f aca="false">B16</f>
        <v>138.501344281655</v>
      </c>
      <c r="D9" s="17" t="n">
        <f aca="false">Pool</f>
        <v>270</v>
      </c>
      <c r="E9" s="4" t="str">
        <f aca="false">IF(C9&lt;=D9,"pass","FAIL")</f>
        <v>pass</v>
      </c>
    </row>
    <row r="10" customFormat="false" ht="15" hidden="false" customHeight="false" outlineLevel="0" collapsed="false">
      <c r="A10" s="4" t="s">
        <v>126</v>
      </c>
      <c r="B10" s="2" t="s">
        <v>127</v>
      </c>
      <c r="C10" s="24" t="n">
        <f aca="false">SQRT(8*(Link^2+Link^2))/2</f>
        <v>0.8</v>
      </c>
      <c r="D10" s="24" t="n">
        <f aca="false">0.5^(1/4)</f>
        <v>0.840896415253715</v>
      </c>
      <c r="E10" s="4" t="str">
        <f aca="false">IF(C10&lt;=D10,"pass","FAIL")</f>
        <v>pass</v>
      </c>
    </row>
    <row r="11" customFormat="false" ht="15" hidden="false" customHeight="false" outlineLevel="0" collapsed="false">
      <c r="A11" s="4" t="s">
        <v>128</v>
      </c>
      <c r="B11" s="2" t="s">
        <v>129</v>
      </c>
      <c r="C11" s="25" t="n">
        <f aca="false">Continuous!H17</f>
        <v>0.05</v>
      </c>
      <c r="D11" s="25" t="n">
        <f aca="false">Appetite</f>
        <v>0.05</v>
      </c>
      <c r="E11" s="4" t="str">
        <f aca="false">IF(AND(C11&lt;=D11,C12&lt;=D12),"pass","FAIL")</f>
        <v>pass</v>
      </c>
    </row>
    <row r="12" customFormat="false" ht="15" hidden="false" customHeight="false" outlineLevel="0" collapsed="false">
      <c r="A12" s="4"/>
      <c r="B12" s="2" t="s">
        <v>130</v>
      </c>
      <c r="C12" s="12" t="n">
        <f aca="false">(Net_debt+B3)/Ebitda</f>
        <v>3.74301856335755</v>
      </c>
      <c r="D12" s="12" t="n">
        <f aca="false">Covenant</f>
        <v>4.5</v>
      </c>
    </row>
    <row r="13" customFormat="false" ht="15" hidden="false" customHeight="false" outlineLevel="0" collapsed="false">
      <c r="A13" s="10" t="s">
        <v>131</v>
      </c>
    </row>
    <row r="15" customFormat="false" ht="15" hidden="false" customHeight="false" outlineLevel="0" collapsed="false">
      <c r="A15" s="4" t="s">
        <v>132</v>
      </c>
    </row>
    <row r="16" customFormat="false" ht="15" hidden="false" customHeight="false" outlineLevel="0" collapsed="false">
      <c r="A16" s="2" t="s">
        <v>133</v>
      </c>
      <c r="B16" s="17" t="n">
        <f aca="false">B17+B18</f>
        <v>138.501344281655</v>
      </c>
    </row>
    <row r="17" customFormat="false" ht="15" hidden="false" customHeight="false" outlineLevel="0" collapsed="false">
      <c r="A17" s="2" t="s">
        <v>134</v>
      </c>
      <c r="B17" s="17" t="n">
        <f aca="false">Liq0-MIN(E32:E44)</f>
        <v>121.63436791099</v>
      </c>
    </row>
    <row r="18" customFormat="false" ht="15" hidden="false" customHeight="false" outlineLevel="0" collapsed="false">
      <c r="A18" s="2" t="s">
        <v>135</v>
      </c>
      <c r="B18" s="17" t="n">
        <f aca="false">MAX(P90-B3,0)</f>
        <v>16.8669763706644</v>
      </c>
    </row>
    <row r="20" customFormat="false" ht="15" hidden="false" customHeight="false" outlineLevel="0" collapsed="false">
      <c r="A20" s="4" t="s">
        <v>136</v>
      </c>
    </row>
    <row r="21" customFormat="false" ht="15" hidden="false" customHeight="false" outlineLevel="0" collapsed="false">
      <c r="A21" s="2" t="s">
        <v>137</v>
      </c>
      <c r="B21" s="17" t="n">
        <f aca="false">B17+P90</f>
        <v>308.501344281655</v>
      </c>
    </row>
    <row r="22" customFormat="false" ht="15" hidden="false" customHeight="false" outlineLevel="0" collapsed="false">
      <c r="A22" s="2" t="s">
        <v>121</v>
      </c>
      <c r="B22" s="2" t="str">
        <f aca="false">IF(B21&lt;=Pool,"(R2) passes","(R2) fails")</f>
        <v>(R2) fails</v>
      </c>
    </row>
    <row r="23" customFormat="false" ht="15" hidden="false" customHeight="false" outlineLevel="0" collapsed="false">
      <c r="A23" s="8" t="s">
        <v>138</v>
      </c>
      <c r="B23" s="8" t="s">
        <v>93</v>
      </c>
      <c r="C23" s="8" t="s">
        <v>139</v>
      </c>
      <c r="D23" s="8" t="s">
        <v>140</v>
      </c>
      <c r="E23" s="8" t="s">
        <v>141</v>
      </c>
    </row>
    <row r="24" customFormat="false" ht="15" hidden="false" customHeight="false" outlineLevel="0" collapsed="false">
      <c r="A24" s="2" t="s">
        <v>142</v>
      </c>
      <c r="B24" s="2" t="s">
        <v>143</v>
      </c>
      <c r="C24" s="17" t="n">
        <f aca="false">P90</f>
        <v>186.866976370664</v>
      </c>
      <c r="D24" s="17" t="n">
        <f aca="false">Pool</f>
        <v>270</v>
      </c>
      <c r="E24" s="2" t="str">
        <f aca="false">IF(ISNUMBER(D24),IF(C24&lt;=D24,"yes","no"),"yes")</f>
        <v>yes</v>
      </c>
    </row>
    <row r="25" customFormat="false" ht="15" hidden="false" customHeight="false" outlineLevel="0" collapsed="false">
      <c r="A25" s="2" t="s">
        <v>144</v>
      </c>
      <c r="B25" s="2" t="s">
        <v>99</v>
      </c>
      <c r="C25" s="17" t="n">
        <f aca="false">B17</f>
        <v>121.63436791099</v>
      </c>
      <c r="D25" s="17" t="n">
        <f aca="false">Pool</f>
        <v>270</v>
      </c>
      <c r="E25" s="2" t="str">
        <f aca="false">IF(ISNUMBER(D25),IF(C25&lt;=D25,"yes","no"),"yes")</f>
        <v>yes</v>
      </c>
    </row>
    <row r="26" customFormat="false" ht="15" hidden="false" customHeight="false" outlineLevel="0" collapsed="false">
      <c r="A26" s="2" t="s">
        <v>145</v>
      </c>
      <c r="B26" s="2" t="s">
        <v>107</v>
      </c>
      <c r="C26" s="17" t="n">
        <f aca="false">B21</f>
        <v>308.501344281655</v>
      </c>
      <c r="D26" s="17" t="s">
        <v>146</v>
      </c>
      <c r="E26" s="2" t="str">
        <f aca="false">IF(ISNUMBER(D26),IF(C26&lt;=D26,"yes","no"),"yes")</f>
        <v>yes</v>
      </c>
    </row>
    <row r="27" customFormat="false" ht="15" hidden="false" customHeight="false" outlineLevel="0" collapsed="false">
      <c r="A27" s="2" t="s">
        <v>147</v>
      </c>
      <c r="C27" s="4" t="str">
        <f aca="false">IF(COUNTIF(E24:E26,"yes")=3,"program draw, closure buffer, floor","check")</f>
        <v>program draw, closure buffer, floor</v>
      </c>
    </row>
    <row r="28" customFormat="false" ht="15" hidden="false" customHeight="false" outlineLevel="0" collapsed="false">
      <c r="A28" s="2" t="s">
        <v>148</v>
      </c>
      <c r="B28" s="17" t="n">
        <f aca="false">Liq0-MIN(F32:F44)+P90</f>
        <v>324.916594012879</v>
      </c>
    </row>
    <row r="29" customFormat="false" ht="15" hidden="false" customHeight="false" outlineLevel="0" collapsed="false">
      <c r="A29" s="2" t="s">
        <v>149</v>
      </c>
      <c r="B29" s="17" t="n">
        <f aca="false">B28-Pool</f>
        <v>54.9165940128788</v>
      </c>
    </row>
    <row r="31" customFormat="false" ht="35.05" hidden="false" customHeight="false" outlineLevel="0" collapsed="false">
      <c r="A31" s="8" t="s">
        <v>150</v>
      </c>
      <c r="B31" s="8" t="s">
        <v>151</v>
      </c>
      <c r="C31" s="8" t="s">
        <v>152</v>
      </c>
      <c r="D31" s="8" t="s">
        <v>153</v>
      </c>
      <c r="E31" s="8" t="s">
        <v>154</v>
      </c>
      <c r="F31" s="8" t="s">
        <v>155</v>
      </c>
    </row>
    <row r="32" customFormat="false" ht="15" hidden="false" customHeight="false" outlineLevel="0" collapsed="false">
      <c r="A32" s="15" t="n">
        <v>0</v>
      </c>
      <c r="B32" s="12" t="n">
        <f aca="false">A32/4</f>
        <v>0</v>
      </c>
      <c r="C32" s="17" t="n">
        <f aca="false">Per_point*(Plan_target-(Plan_target-Index0)*EXP(-Plan_rate*B32))</f>
        <v>620</v>
      </c>
      <c r="D32" s="24" t="n">
        <f aca="false">Per_point*(B32/Trough_tau)*EXP(1-B32/Trough_tau)</f>
        <v>0</v>
      </c>
      <c r="E32" s="17" t="n">
        <f aca="false">C32-$B$5*D32</f>
        <v>620</v>
      </c>
      <c r="F32" s="17" t="n">
        <f aca="false">C32-Depth0*D32</f>
        <v>620</v>
      </c>
    </row>
    <row r="33" customFormat="false" ht="15" hidden="false" customHeight="false" outlineLevel="0" collapsed="false">
      <c r="A33" s="15" t="n">
        <v>1</v>
      </c>
      <c r="B33" s="12" t="n">
        <f aca="false">A33/4</f>
        <v>0.25</v>
      </c>
      <c r="C33" s="17" t="n">
        <f aca="false">Per_point*(Plan_target-(Plan_target-Index0)*EXP(-Plan_rate*B33))</f>
        <v>626.233315949175</v>
      </c>
      <c r="D33" s="24" t="n">
        <f aca="false">Per_point*(B33/Trough_tau)*EXP(1-B33/Trough_tau)</f>
        <v>1.8591283528245</v>
      </c>
      <c r="E33" s="17" t="n">
        <f aca="false">C33-$B$5*D33</f>
        <v>579.142162634903</v>
      </c>
      <c r="F33" s="17" t="n">
        <f aca="false">C33-Depth0*D33</f>
        <v>574.177722070089</v>
      </c>
    </row>
    <row r="34" customFormat="false" ht="15" hidden="false" customHeight="false" outlineLevel="0" collapsed="false">
      <c r="A34" s="15" t="n">
        <v>2</v>
      </c>
      <c r="B34" s="12" t="n">
        <f aca="false">A34/4</f>
        <v>0.5</v>
      </c>
      <c r="C34" s="17" t="n">
        <f aca="false">Per_point*(Plan_target-(Plan_target-Index0)*EXP(-Plan_rate*B34))</f>
        <v>631.944397654771</v>
      </c>
      <c r="D34" s="24" t="n">
        <f aca="false">Per_point*(B34/Trough_tau)*EXP(1-B34/Trough_tau)</f>
        <v>3.28135002574965</v>
      </c>
      <c r="E34" s="17" t="n">
        <f aca="false">C34-$B$5*D34</f>
        <v>548.828803776809</v>
      </c>
      <c r="F34" s="17" t="n">
        <f aca="false">C34-Depth0*D34</f>
        <v>540.066596933781</v>
      </c>
    </row>
    <row r="35" customFormat="false" ht="15" hidden="false" customHeight="false" outlineLevel="0" collapsed="false">
      <c r="A35" s="15" t="n">
        <v>3</v>
      </c>
      <c r="B35" s="12" t="n">
        <f aca="false">A35/4</f>
        <v>0.75</v>
      </c>
      <c r="C35" s="17" t="n">
        <f aca="false">Per_point*(Plan_target-(Plan_target-Index0)*EXP(-Plan_rate*B35))</f>
        <v>637.176998490978</v>
      </c>
      <c r="D35" s="24" t="n">
        <f aca="false">Per_point*(B35/Trough_tau)*EXP(1-B35/Trough_tau)</f>
        <v>4.34367185102992</v>
      </c>
      <c r="E35" s="17" t="n">
        <f aca="false">C35-$B$5*D35</f>
        <v>527.153117260308</v>
      </c>
      <c r="F35" s="17" t="n">
        <f aca="false">C35-Depth0*D35</f>
        <v>515.554186662141</v>
      </c>
    </row>
    <row r="36" customFormat="false" ht="15" hidden="false" customHeight="false" outlineLevel="0" collapsed="false">
      <c r="A36" s="15" t="n">
        <v>4</v>
      </c>
      <c r="B36" s="12" t="n">
        <f aca="false">A36/4</f>
        <v>1</v>
      </c>
      <c r="C36" s="17" t="n">
        <f aca="false">Per_point*(Plan_target-(Plan_target-Index0)*EXP(-Plan_rate*B36))</f>
        <v>641.971206124928</v>
      </c>
      <c r="D36" s="24" t="n">
        <f aca="false">Per_point*(B36/Trough_tau)*EXP(1-B36/Trough_tau)</f>
        <v>5.1110359391704</v>
      </c>
      <c r="E36" s="17" t="n">
        <f aca="false">C36-$B$5*D36</f>
        <v>512.510226929725</v>
      </c>
      <c r="F36" s="17" t="n">
        <f aca="false">C36-Depth0*D36</f>
        <v>498.862199828157</v>
      </c>
    </row>
    <row r="37" customFormat="false" ht="15" hidden="false" customHeight="false" outlineLevel="0" collapsed="false">
      <c r="A37" s="15" t="n">
        <v>5</v>
      </c>
      <c r="B37" s="12" t="n">
        <f aca="false">A37/4</f>
        <v>1.25</v>
      </c>
      <c r="C37" s="17" t="n">
        <f aca="false">Per_point*(Plan_target-(Plan_target-Index0)*EXP(-Plan_rate*B37))</f>
        <v>646.363749633765</v>
      </c>
      <c r="D37" s="24" t="n">
        <f aca="false">Per_point*(B37/Trough_tau)*EXP(1-B37/Trough_tau)</f>
        <v>5.63809173164553</v>
      </c>
      <c r="E37" s="17" t="n">
        <f aca="false">C37-$B$5*D37</f>
        <v>503.552608202096</v>
      </c>
      <c r="F37" s="17" t="n">
        <f aca="false">C37-Depth0*D37</f>
        <v>488.49718114769</v>
      </c>
    </row>
    <row r="38" customFormat="false" ht="15" hidden="false" customHeight="false" outlineLevel="0" collapsed="false">
      <c r="A38" s="15" t="n">
        <v>6</v>
      </c>
      <c r="B38" s="12" t="n">
        <f aca="false">A38/4</f>
        <v>1.5</v>
      </c>
      <c r="C38" s="17" t="n">
        <f aca="false">Per_point*(Plan_target-(Plan_target-Index0)*EXP(-Plan_rate*B38))</f>
        <v>650.388280891109</v>
      </c>
      <c r="D38" s="24" t="n">
        <f aca="false">Per_point*(B38/Trough_tau)*EXP(1-B38/Trough_tau)</f>
        <v>5.970718187598</v>
      </c>
      <c r="E38" s="17" t="n">
        <f aca="false">C38-$B$5*D38</f>
        <v>499.151812929487</v>
      </c>
      <c r="F38" s="17" t="n">
        <f aca="false">C38-Depth0*D38</f>
        <v>483.208171638365</v>
      </c>
    </row>
    <row r="39" customFormat="false" ht="15" hidden="false" customHeight="false" outlineLevel="0" collapsed="false">
      <c r="A39" s="15" t="n">
        <v>7</v>
      </c>
      <c r="B39" s="12" t="n">
        <f aca="false">A39/4</f>
        <v>1.75</v>
      </c>
      <c r="C39" s="17" t="n">
        <f aca="false">Per_point*(Plan_target-(Plan_target-Index0)*EXP(-Plan_rate*B39))</f>
        <v>654.075632378636</v>
      </c>
      <c r="D39" s="24" t="n">
        <f aca="false">Per_point*(B39/Trough_tau)*EXP(1-B39/Trough_tau)</f>
        <v>6.14733035788753</v>
      </c>
      <c r="E39" s="17" t="n">
        <f aca="false">C39-$B$5*D39</f>
        <v>498.36563208901</v>
      </c>
      <c r="F39" s="17" t="n">
        <f aca="false">C39-Depth0*D39</f>
        <v>481.950382357786</v>
      </c>
    </row>
    <row r="40" customFormat="false" ht="15" hidden="false" customHeight="false" outlineLevel="0" collapsed="false">
      <c r="A40" s="15" t="n">
        <v>8</v>
      </c>
      <c r="B40" s="12" t="n">
        <f aca="false">A40/4</f>
        <v>2</v>
      </c>
      <c r="C40" s="17" t="n">
        <f aca="false">Per_point*(Plan_target-(Plan_target-Index0)*EXP(-Plan_rate*B40))</f>
        <v>657.454053397919</v>
      </c>
      <c r="D40" s="24" t="n">
        <f aca="false">Per_point*(B40/Trough_tau)*EXP(1-B40/Trough_tau)</f>
        <v>6.2</v>
      </c>
      <c r="E40" s="17" t="n">
        <f aca="false">C40-$B$5*D40</f>
        <v>500.4099471613</v>
      </c>
      <c r="F40" s="17" t="n">
        <f aca="false">C40-Depth0*D40</f>
        <v>483.854053397919</v>
      </c>
    </row>
    <row r="41" customFormat="false" ht="15" hidden="false" customHeight="false" outlineLevel="0" collapsed="false">
      <c r="A41" s="15" t="n">
        <v>9</v>
      </c>
      <c r="B41" s="12" t="n">
        <f aca="false">A41/4</f>
        <v>2.25</v>
      </c>
      <c r="C41" s="17" t="n">
        <f aca="false">Per_point*(Plan_target-(Plan_target-Index0)*EXP(-Plan_rate*B41))</f>
        <v>660.549426492168</v>
      </c>
      <c r="D41" s="24" t="n">
        <f aca="false">Per_point*(B41/Trough_tau)*EXP(1-B41/Trough_tau)</f>
        <v>6.15541589552755</v>
      </c>
      <c r="E41" s="17" t="n">
        <f aca="false">C41-$B$5*D41</f>
        <v>504.634622003812</v>
      </c>
      <c r="F41" s="17" t="n">
        <f aca="false">C41-Depth0*D41</f>
        <v>488.197781417396</v>
      </c>
    </row>
    <row r="42" customFormat="false" ht="15" hidden="false" customHeight="false" outlineLevel="0" collapsed="false">
      <c r="A42" s="15" t="n">
        <v>10</v>
      </c>
      <c r="B42" s="12" t="n">
        <f aca="false">A42/4</f>
        <v>2.5</v>
      </c>
      <c r="C42" s="17" t="n">
        <f aca="false">Per_point*(Plan_target-(Plan_target-Index0)*EXP(-Plan_rate*B42))</f>
        <v>663.385465735919</v>
      </c>
      <c r="D42" s="24" t="n">
        <f aca="false">Per_point*(B42/Trough_tau)*EXP(1-B42/Trough_tau)</f>
        <v>6.03570606880339</v>
      </c>
      <c r="E42" s="17" t="n">
        <f aca="false">C42-$B$5*D42</f>
        <v>510.502874593634</v>
      </c>
      <c r="F42" s="17" t="n">
        <f aca="false">C42-Depth0*D42</f>
        <v>494.385695809424</v>
      </c>
    </row>
    <row r="43" customFormat="false" ht="15" hidden="false" customHeight="false" outlineLevel="0" collapsed="false">
      <c r="A43" s="15" t="n">
        <v>11</v>
      </c>
      <c r="B43" s="12" t="n">
        <f aca="false">A43/4</f>
        <v>2.75</v>
      </c>
      <c r="C43" s="17" t="n">
        <f aca="false">Per_point*(Plan_target-(Plan_target-Index0)*EXP(-Plan_rate*B43))</f>
        <v>665.983898411786</v>
      </c>
      <c r="D43" s="24" t="n">
        <f aca="false">Per_point*(B43/Trough_tau)*EXP(1-B43/Trough_tau)</f>
        <v>5.85914110169304</v>
      </c>
      <c r="E43" s="17" t="n">
        <f aca="false">C43-$B$5*D43</f>
        <v>517.573643955395</v>
      </c>
      <c r="F43" s="17" t="n">
        <f aca="false">C43-Depth0*D43</f>
        <v>501.927947564381</v>
      </c>
    </row>
    <row r="44" customFormat="false" ht="15" hidden="false" customHeight="false" outlineLevel="0" collapsed="false">
      <c r="A44" s="15" t="n">
        <v>12</v>
      </c>
      <c r="B44" s="12" t="n">
        <f aca="false">A44/4</f>
        <v>3</v>
      </c>
      <c r="C44" s="17" t="n">
        <f aca="false">Per_point*(Plan_target-(Plan_target-Index0)*EXP(-Plan_rate*B44))</f>
        <v>668.36463146613</v>
      </c>
      <c r="D44" s="24" t="n">
        <f aca="false">Per_point*(B44/Trough_tau)*EXP(1-B44/Trough_tau)</f>
        <v>5.64073513532749</v>
      </c>
      <c r="E44" s="17" t="n">
        <f aca="false">C44-$B$5*D44</f>
        <v>525.486533426613</v>
      </c>
      <c r="F44" s="17" t="n">
        <f aca="false">C44-Depth0*D44</f>
        <v>510.42404767696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5" min="3" style="0" width="11"/>
    <col collapsed="false" customWidth="true" hidden="false" outlineLevel="0" max="6" min="6" style="0" width="3"/>
    <col collapsed="false" customWidth="true" hidden="false" outlineLevel="0" max="7" min="7" style="0" width="58"/>
    <col collapsed="false" customWidth="true" hidden="false" outlineLevel="0" max="10" min="8" style="0" width="16"/>
  </cols>
  <sheetData>
    <row r="1" customFormat="false" ht="15" hidden="false" customHeight="false" outlineLevel="0" collapsed="false">
      <c r="A1" s="1" t="s">
        <v>156</v>
      </c>
    </row>
    <row r="2" customFormat="false" ht="15" hidden="false" customHeight="false" outlineLevel="0" collapsed="false">
      <c r="A2" s="10" t="s">
        <v>157</v>
      </c>
    </row>
    <row r="3" customFormat="false" ht="15" hidden="false" customHeight="false" outlineLevel="0" collapsed="false">
      <c r="B3" s="10" t="s">
        <v>158</v>
      </c>
      <c r="C3" s="22" t="n">
        <f aca="false">Vq</f>
        <v>8</v>
      </c>
      <c r="D3" s="11" t="n">
        <v>4</v>
      </c>
      <c r="E3" s="11" t="n">
        <v>16</v>
      </c>
    </row>
    <row r="4" customFormat="false" ht="23.85" hidden="false" customHeight="false" outlineLevel="0" collapsed="false">
      <c r="A4" s="8" t="s">
        <v>159</v>
      </c>
      <c r="B4" s="8" t="s">
        <v>160</v>
      </c>
      <c r="C4" s="8" t="s">
        <v>161</v>
      </c>
      <c r="D4" s="8" t="s">
        <v>161</v>
      </c>
      <c r="E4" s="8" t="s">
        <v>161</v>
      </c>
      <c r="G4" s="8" t="s">
        <v>162</v>
      </c>
      <c r="H4" s="8" t="s">
        <v>163</v>
      </c>
      <c r="I4" s="8" t="s">
        <v>164</v>
      </c>
      <c r="J4" s="8" t="s">
        <v>165</v>
      </c>
    </row>
    <row r="5" customFormat="false" ht="15" hidden="false" customHeight="false" outlineLevel="0" collapsed="false">
      <c r="A5" s="15" t="n">
        <v>0</v>
      </c>
      <c r="B5" s="26" t="n">
        <v>5.09467317243577</v>
      </c>
      <c r="C5" s="24" t="n">
        <f aca="false">Fee*$A5+C$3*$B5</f>
        <v>40.7573853794861</v>
      </c>
      <c r="D5" s="24" t="n">
        <f aca="false">Fee*$A5+D$3*$B5</f>
        <v>20.3786926897431</v>
      </c>
      <c r="E5" s="24" t="n">
        <f aca="false">Fee*$A5+E$3*$B5</f>
        <v>81.5147707589723</v>
      </c>
      <c r="G5" s="2" t="s">
        <v>166</v>
      </c>
      <c r="H5" s="12" t="n">
        <f aca="false">MIN(C5:C85)</f>
        <v>10.440610891413</v>
      </c>
      <c r="I5" s="12" t="n">
        <f aca="false">MIN(D5:D85)</f>
        <v>7.52462480002316</v>
      </c>
      <c r="J5" s="12" t="n">
        <f aca="false">MIN(E5:E85)</f>
        <v>15.5128749346568</v>
      </c>
    </row>
    <row r="6" customFormat="false" ht="15" hidden="false" customHeight="false" outlineLevel="0" collapsed="false">
      <c r="A6" s="15" t="n">
        <f aca="false">A5+5</f>
        <v>5</v>
      </c>
      <c r="B6" s="26" t="n">
        <v>4.83066949279383</v>
      </c>
      <c r="C6" s="24" t="n">
        <f aca="false">Fee*$A6+C$3*$B6</f>
        <v>38.7953559423506</v>
      </c>
      <c r="D6" s="24" t="n">
        <f aca="false">Fee*$A6+D$3*$B6</f>
        <v>19.4726779711753</v>
      </c>
      <c r="E6" s="24" t="n">
        <f aca="false">Fee*$A6+E$3*$B6</f>
        <v>77.4407118847012</v>
      </c>
      <c r="G6" s="2" t="s">
        <v>167</v>
      </c>
      <c r="H6" s="15" t="n">
        <f aca="false">INDEX($A$5:$A$85,MATCH(H5,C5:C85,0))</f>
        <v>170</v>
      </c>
      <c r="I6" s="15" t="n">
        <f aca="false">INDEX($A$5:$A$85,MATCH(I5,D5:D85,0))</f>
        <v>140</v>
      </c>
      <c r="J6" s="15" t="n">
        <f aca="false">INDEX($A$5:$A$85,MATCH(J5,E5:E85,0))</f>
        <v>195</v>
      </c>
    </row>
    <row r="7" customFormat="false" ht="15" hidden="false" customHeight="false" outlineLevel="0" collapsed="false">
      <c r="A7" s="15" t="n">
        <f aca="false">A6+5</f>
        <v>10</v>
      </c>
      <c r="B7" s="26" t="n">
        <v>4.57980904048769</v>
      </c>
      <c r="C7" s="24" t="n">
        <f aca="false">Fee*$A7+C$3*$B7</f>
        <v>36.9384723239015</v>
      </c>
      <c r="D7" s="24" t="n">
        <f aca="false">Fee*$A7+D$3*$B7</f>
        <v>18.6192361619508</v>
      </c>
      <c r="E7" s="24" t="n">
        <f aca="false">Fee*$A7+E$3*$B7</f>
        <v>73.5769446478031</v>
      </c>
      <c r="G7" s="2" t="s">
        <v>168</v>
      </c>
      <c r="H7" s="24" t="n">
        <f aca="false">INDEX($B$5:$B$85,MATCH(H5,C5:C85,0))</f>
        <v>0.667576361426626</v>
      </c>
      <c r="I7" s="24" t="n">
        <f aca="false">INDEX($B$5:$B$85,MATCH(I5,D5:D85,0))</f>
        <v>0.83115620000579</v>
      </c>
      <c r="J7" s="24" t="n">
        <f aca="false">INDEX($B$5:$B$85,MATCH(J5,E5:E85,0))</f>
        <v>0.603929683416053</v>
      </c>
    </row>
    <row r="8" customFormat="false" ht="15" hidden="false" customHeight="false" outlineLevel="0" collapsed="false">
      <c r="A8" s="15" t="n">
        <f aca="false">A7+5</f>
        <v>15</v>
      </c>
      <c r="B8" s="26" t="n">
        <v>4.32865082298215</v>
      </c>
      <c r="C8" s="24" t="n">
        <f aca="false">Fee*$A8+C$3*$B8</f>
        <v>35.0792065838572</v>
      </c>
      <c r="D8" s="24" t="n">
        <f aca="false">Fee*$A8+D$3*$B8</f>
        <v>17.7646032919286</v>
      </c>
      <c r="E8" s="24" t="n">
        <f aca="false">Fee*$A8+E$3*$B8</f>
        <v>69.7084131677144</v>
      </c>
      <c r="G8" s="2" t="s">
        <v>169</v>
      </c>
      <c r="H8" s="17" t="n">
        <f aca="false">3*H7</f>
        <v>2.00272908427988</v>
      </c>
      <c r="I8" s="17" t="n">
        <f aca="false">3*I7</f>
        <v>2.49346860001737</v>
      </c>
      <c r="J8" s="17" t="n">
        <f aca="false">3*J7</f>
        <v>1.81178905024816</v>
      </c>
    </row>
    <row r="9" customFormat="false" ht="15" hidden="false" customHeight="false" outlineLevel="0" collapsed="false">
      <c r="A9" s="15" t="n">
        <f aca="false">A8+5</f>
        <v>20</v>
      </c>
      <c r="B9" s="26" t="n">
        <v>4.068678382969</v>
      </c>
      <c r="C9" s="24" t="n">
        <f aca="false">Fee*$A9+C$3*$B9</f>
        <v>33.149427063752</v>
      </c>
      <c r="D9" s="24" t="n">
        <f aca="false">Fee*$A9+D$3*$B9</f>
        <v>16.874713531876</v>
      </c>
      <c r="E9" s="24" t="n">
        <f aca="false">Fee*$A9+E$3*$B9</f>
        <v>65.698854127504</v>
      </c>
      <c r="G9" s="2" t="s">
        <v>170</v>
      </c>
      <c r="H9" s="12" t="n">
        <f aca="false">Fee*H6</f>
        <v>5.1</v>
      </c>
      <c r="I9" s="12" t="n">
        <f aca="false">Fee*I6</f>
        <v>4.2</v>
      </c>
      <c r="J9" s="12" t="n">
        <f aca="false">Fee*J6</f>
        <v>5.85</v>
      </c>
    </row>
    <row r="10" customFormat="false" ht="15" hidden="false" customHeight="false" outlineLevel="0" collapsed="false">
      <c r="A10" s="15" t="n">
        <f aca="false">A9+5</f>
        <v>25</v>
      </c>
      <c r="B10" s="26" t="n">
        <v>3.81698994797524</v>
      </c>
      <c r="C10" s="24" t="n">
        <f aca="false">Fee*$A10+C$3*$B10</f>
        <v>31.2859195838019</v>
      </c>
      <c r="D10" s="24" t="n">
        <f aca="false">Fee*$A10+D$3*$B10</f>
        <v>16.017959791901</v>
      </c>
      <c r="E10" s="24" t="n">
        <f aca="false">Fee*$A10+E$3*$B10</f>
        <v>61.8218391676038</v>
      </c>
      <c r="G10" s="2" t="s">
        <v>171</v>
      </c>
      <c r="H10" s="12" t="n">
        <f aca="false">C3*H7</f>
        <v>5.34061089141301</v>
      </c>
      <c r="I10" s="12" t="n">
        <f aca="false">D3*I7</f>
        <v>3.32462480002316</v>
      </c>
      <c r="J10" s="12" t="n">
        <f aca="false">E3*J7</f>
        <v>9.66287493465684</v>
      </c>
    </row>
    <row r="11" customFormat="false" ht="15" hidden="false" customHeight="false" outlineLevel="0" collapsed="false">
      <c r="A11" s="15" t="n">
        <f aca="false">A10+5</f>
        <v>30</v>
      </c>
      <c r="B11" s="26" t="n">
        <v>3.57875866137062</v>
      </c>
      <c r="C11" s="24" t="n">
        <f aca="false">Fee*$A11+C$3*$B11</f>
        <v>29.530069290965</v>
      </c>
      <c r="D11" s="24" t="n">
        <f aca="false">Fee*$A11+D$3*$B11</f>
        <v>15.2150346454825</v>
      </c>
      <c r="E11" s="24" t="n">
        <f aca="false">Fee*$A11+E$3*$B11</f>
        <v>58.16013858193</v>
      </c>
    </row>
    <row r="12" customFormat="false" ht="15" hidden="false" customHeight="false" outlineLevel="0" collapsed="false">
      <c r="A12" s="15" t="n">
        <f aca="false">A11+5</f>
        <v>35</v>
      </c>
      <c r="B12" s="26" t="n">
        <v>3.34703761858741</v>
      </c>
      <c r="C12" s="24" t="n">
        <f aca="false">Fee*$A12+C$3*$B12</f>
        <v>27.8263009486993</v>
      </c>
      <c r="D12" s="24" t="n">
        <f aca="false">Fee*$A12+D$3*$B12</f>
        <v>14.4381504743496</v>
      </c>
      <c r="E12" s="24" t="n">
        <f aca="false">Fee*$A12+E$3*$B12</f>
        <v>54.6026018973986</v>
      </c>
      <c r="G12" s="2" t="s">
        <v>172</v>
      </c>
      <c r="H12" s="15" t="n">
        <f aca="false">_xlfn.MINIFS(A5:A85,C5:C85,"&lt;="&amp;(H5+0.5))</f>
        <v>140</v>
      </c>
    </row>
    <row r="13" customFormat="false" ht="15" hidden="false" customHeight="false" outlineLevel="0" collapsed="false">
      <c r="A13" s="15" t="n">
        <f aca="false">A12+5</f>
        <v>40</v>
      </c>
      <c r="B13" s="26" t="n">
        <v>3.10660480132538</v>
      </c>
      <c r="C13" s="24" t="n">
        <f aca="false">Fee*$A13+C$3*$B13</f>
        <v>26.052838410603</v>
      </c>
      <c r="D13" s="24" t="n">
        <f aca="false">Fee*$A13+D$3*$B13</f>
        <v>13.6264192053015</v>
      </c>
      <c r="E13" s="24" t="n">
        <f aca="false">Fee*$A13+E$3*$B13</f>
        <v>50.9056768212061</v>
      </c>
      <c r="G13" s="2" t="s">
        <v>173</v>
      </c>
      <c r="H13" s="15" t="n">
        <f aca="false">_xlfn.MAXIFS(A5:A85,C5:C85,"&lt;="&amp;(H5+0.5))</f>
        <v>205</v>
      </c>
    </row>
    <row r="14" customFormat="false" ht="15" hidden="false" customHeight="false" outlineLevel="0" collapsed="false">
      <c r="A14" s="15" t="n">
        <f aca="false">A13+5</f>
        <v>45</v>
      </c>
      <c r="B14" s="26" t="n">
        <v>2.90250873837426</v>
      </c>
      <c r="C14" s="24" t="n">
        <f aca="false">Fee*$A14+C$3*$B14</f>
        <v>24.5700699069941</v>
      </c>
      <c r="D14" s="24" t="n">
        <f aca="false">Fee*$A14+D$3*$B14</f>
        <v>12.960034953497</v>
      </c>
      <c r="E14" s="24" t="n">
        <f aca="false">Fee*$A14+E$3*$B14</f>
        <v>47.7901398139882</v>
      </c>
      <c r="G14" s="2" t="s">
        <v>174</v>
      </c>
      <c r="H14" s="12" t="n">
        <f aca="false">INDEX(B5:B85,MATCH(0,A5:A85,0))</f>
        <v>5.09467317243577</v>
      </c>
    </row>
    <row r="15" customFormat="false" ht="15" hidden="false" customHeight="false" outlineLevel="0" collapsed="false">
      <c r="A15" s="15" t="n">
        <f aca="false">A14+5</f>
        <v>50</v>
      </c>
      <c r="B15" s="26" t="n">
        <v>2.70097618285267</v>
      </c>
      <c r="C15" s="24" t="n">
        <f aca="false">Fee*$A15+C$3*$B15</f>
        <v>23.1078094628214</v>
      </c>
      <c r="D15" s="24" t="n">
        <f aca="false">Fee*$A15+D$3*$B15</f>
        <v>12.3039047314107</v>
      </c>
      <c r="E15" s="24" t="n">
        <f aca="false">Fee*$A15+E$3*$B15</f>
        <v>44.7156189256428</v>
      </c>
      <c r="G15" s="2" t="s">
        <v>175</v>
      </c>
      <c r="H15" s="12" t="n">
        <f aca="false">Vq*H14</f>
        <v>40.7573853794861</v>
      </c>
    </row>
    <row r="16" customFormat="false" ht="15" hidden="false" customHeight="false" outlineLevel="0" collapsed="false">
      <c r="A16" s="15" t="n">
        <f aca="false">A15+5</f>
        <v>55</v>
      </c>
      <c r="B16" s="26" t="n">
        <v>2.51212123263501</v>
      </c>
      <c r="C16" s="24" t="n">
        <f aca="false">Fee*$A16+C$3*$B16</f>
        <v>21.7469698610801</v>
      </c>
      <c r="D16" s="24" t="n">
        <f aca="false">Fee*$A16+D$3*$B16</f>
        <v>11.6984849305401</v>
      </c>
      <c r="E16" s="24" t="n">
        <f aca="false">Fee*$A16+E$3*$B16</f>
        <v>41.8439397221602</v>
      </c>
      <c r="G16" s="2" t="s">
        <v>176</v>
      </c>
      <c r="H16" s="27" t="n">
        <v>0.08404</v>
      </c>
    </row>
    <row r="17" customFormat="false" ht="15" hidden="false" customHeight="false" outlineLevel="0" collapsed="false">
      <c r="A17" s="15" t="n">
        <f aca="false">A16+5</f>
        <v>60</v>
      </c>
      <c r="B17" s="26" t="n">
        <v>2.33033611791391</v>
      </c>
      <c r="C17" s="24" t="n">
        <f aca="false">Fee*$A17+C$3*$B17</f>
        <v>20.4426889433113</v>
      </c>
      <c r="D17" s="24" t="n">
        <f aca="false">Fee*$A17+D$3*$B17</f>
        <v>11.1213444716557</v>
      </c>
      <c r="E17" s="24" t="n">
        <f aca="false">Fee*$A17+E$3*$B17</f>
        <v>39.0853778866226</v>
      </c>
      <c r="G17" s="2" t="s">
        <v>177</v>
      </c>
      <c r="H17" s="27" t="n">
        <v>0.05</v>
      </c>
    </row>
    <row r="18" customFormat="false" ht="15" hidden="false" customHeight="false" outlineLevel="0" collapsed="false">
      <c r="A18" s="15" t="n">
        <f aca="false">A17+5</f>
        <v>65</v>
      </c>
      <c r="B18" s="26" t="n">
        <v>2.15359691351788</v>
      </c>
      <c r="C18" s="24" t="n">
        <f aca="false">Fee*$A18+C$3*$B18</f>
        <v>19.1787753081431</v>
      </c>
      <c r="D18" s="24" t="n">
        <f aca="false">Fee*$A18+D$3*$B18</f>
        <v>10.5643876540715</v>
      </c>
      <c r="E18" s="24" t="n">
        <f aca="false">Fee*$A18+E$3*$B18</f>
        <v>36.4075506162861</v>
      </c>
      <c r="G18" s="2" t="s">
        <v>178</v>
      </c>
      <c r="H18" s="15" t="n">
        <f aca="false">J6-I6</f>
        <v>55</v>
      </c>
    </row>
    <row r="19" customFormat="false" ht="15" hidden="false" customHeight="false" outlineLevel="0" collapsed="false">
      <c r="A19" s="15" t="n">
        <f aca="false">A18+5</f>
        <v>70</v>
      </c>
      <c r="B19" s="26" t="n">
        <v>1.99732598978911</v>
      </c>
      <c r="C19" s="24" t="n">
        <f aca="false">Fee*$A19+C$3*$B19</f>
        <v>18.0786079183129</v>
      </c>
      <c r="D19" s="24" t="n">
        <f aca="false">Fee*$A19+D$3*$B19</f>
        <v>10.0893039591564</v>
      </c>
      <c r="E19" s="24" t="n">
        <f aca="false">Fee*$A19+E$3*$B19</f>
        <v>34.0572158366258</v>
      </c>
    </row>
    <row r="20" customFormat="false" ht="15" hidden="false" customHeight="false" outlineLevel="0" collapsed="false">
      <c r="A20" s="15" t="n">
        <f aca="false">A19+5</f>
        <v>75</v>
      </c>
      <c r="B20" s="26" t="n">
        <v>1.85112576681248</v>
      </c>
      <c r="C20" s="24" t="n">
        <f aca="false">Fee*$A20+C$3*$B20</f>
        <v>17.0590061344999</v>
      </c>
      <c r="D20" s="24" t="n">
        <f aca="false">Fee*$A20+D$3*$B20</f>
        <v>9.65450306724993</v>
      </c>
      <c r="E20" s="24" t="n">
        <f aca="false">Fee*$A20+E$3*$B20</f>
        <v>31.8680122689997</v>
      </c>
    </row>
    <row r="21" customFormat="false" ht="15" hidden="false" customHeight="false" outlineLevel="0" collapsed="false">
      <c r="A21" s="15" t="n">
        <f aca="false">A20+5</f>
        <v>80</v>
      </c>
      <c r="B21" s="26" t="n">
        <v>1.7187290555899</v>
      </c>
      <c r="C21" s="24" t="n">
        <f aca="false">Fee*$A21+C$3*$B21</f>
        <v>16.1498324447192</v>
      </c>
      <c r="D21" s="24" t="n">
        <f aca="false">Fee*$A21+D$3*$B21</f>
        <v>9.2749162223596</v>
      </c>
      <c r="E21" s="24" t="n">
        <f aca="false">Fee*$A21+E$3*$B21</f>
        <v>29.8996648894384</v>
      </c>
    </row>
    <row r="22" customFormat="false" ht="15" hidden="false" customHeight="false" outlineLevel="0" collapsed="false">
      <c r="A22" s="15" t="n">
        <f aca="false">A21+5</f>
        <v>85</v>
      </c>
      <c r="B22" s="26" t="n">
        <v>1.59735543906326</v>
      </c>
      <c r="C22" s="24" t="n">
        <f aca="false">Fee*$A22+C$3*$B22</f>
        <v>15.328843512506</v>
      </c>
      <c r="D22" s="24" t="n">
        <f aca="false">Fee*$A22+D$3*$B22</f>
        <v>8.93942175625302</v>
      </c>
      <c r="E22" s="24" t="n">
        <f aca="false">Fee*$A22+E$3*$B22</f>
        <v>28.1076870250121</v>
      </c>
    </row>
    <row r="23" customFormat="false" ht="15" hidden="false" customHeight="false" outlineLevel="0" collapsed="false">
      <c r="A23" s="15" t="n">
        <f aca="false">A22+5</f>
        <v>90</v>
      </c>
      <c r="B23" s="26" t="n">
        <v>1.48197331736643</v>
      </c>
      <c r="C23" s="24" t="n">
        <f aca="false">Fee*$A23+C$3*$B23</f>
        <v>14.5557865389315</v>
      </c>
      <c r="D23" s="24" t="n">
        <f aca="false">Fee*$A23+D$3*$B23</f>
        <v>8.62789326946574</v>
      </c>
      <c r="E23" s="24" t="n">
        <f aca="false">Fee*$A23+E$3*$B23</f>
        <v>26.4115730778629</v>
      </c>
    </row>
    <row r="24" customFormat="false" ht="15" hidden="false" customHeight="false" outlineLevel="0" collapsed="false">
      <c r="A24" s="15" t="n">
        <f aca="false">A23+5</f>
        <v>95</v>
      </c>
      <c r="B24" s="26" t="n">
        <v>1.37787208740838</v>
      </c>
      <c r="C24" s="24" t="n">
        <f aca="false">Fee*$A24+C$3*$B24</f>
        <v>13.872976699267</v>
      </c>
      <c r="D24" s="24" t="n">
        <f aca="false">Fee*$A24+D$3*$B24</f>
        <v>8.36148834963352</v>
      </c>
      <c r="E24" s="24" t="n">
        <f aca="false">Fee*$A24+E$3*$B24</f>
        <v>24.8959533985341</v>
      </c>
    </row>
    <row r="25" customFormat="false" ht="15" hidden="false" customHeight="false" outlineLevel="0" collapsed="false">
      <c r="A25" s="15" t="n">
        <f aca="false">A24+5</f>
        <v>100</v>
      </c>
      <c r="B25" s="26" t="n">
        <v>1.28711138254555</v>
      </c>
      <c r="C25" s="24" t="n">
        <f aca="false">Fee*$A25+C$3*$B25</f>
        <v>13.2968910603644</v>
      </c>
      <c r="D25" s="24" t="n">
        <f aca="false">Fee*$A25+D$3*$B25</f>
        <v>8.14844553018221</v>
      </c>
      <c r="E25" s="24" t="n">
        <f aca="false">Fee*$A25+E$3*$B25</f>
        <v>23.5937821207288</v>
      </c>
    </row>
    <row r="26" customFormat="false" ht="15" hidden="false" customHeight="false" outlineLevel="0" collapsed="false">
      <c r="A26" s="15" t="n">
        <f aca="false">A25+5</f>
        <v>105</v>
      </c>
      <c r="B26" s="26" t="n">
        <v>1.21170937234615</v>
      </c>
      <c r="C26" s="24" t="n">
        <f aca="false">Fee*$A26+C$3*$B26</f>
        <v>12.8436749787692</v>
      </c>
      <c r="D26" s="24" t="n">
        <f aca="false">Fee*$A26+D$3*$B26</f>
        <v>7.99683748938458</v>
      </c>
      <c r="E26" s="24" t="n">
        <f aca="false">Fee*$A26+E$3*$B26</f>
        <v>22.5373499575383</v>
      </c>
    </row>
    <row r="27" customFormat="false" ht="15" hidden="false" customHeight="false" outlineLevel="0" collapsed="false">
      <c r="A27" s="15" t="n">
        <f aca="false">A26+5</f>
        <v>110</v>
      </c>
      <c r="B27" s="26" t="n">
        <v>1.12541717597411</v>
      </c>
      <c r="C27" s="24" t="n">
        <f aca="false">Fee*$A27+C$3*$B27</f>
        <v>12.3033374077929</v>
      </c>
      <c r="D27" s="24" t="n">
        <f aca="false">Fee*$A27+D$3*$B27</f>
        <v>7.80166870389644</v>
      </c>
      <c r="E27" s="24" t="n">
        <f aca="false">Fee*$A27+E$3*$B27</f>
        <v>21.3066748155858</v>
      </c>
    </row>
    <row r="28" customFormat="false" ht="15" hidden="false" customHeight="false" outlineLevel="0" collapsed="false">
      <c r="A28" s="15" t="n">
        <f aca="false">A27+5</f>
        <v>115</v>
      </c>
      <c r="B28" s="26" t="n">
        <v>1.06440068618477</v>
      </c>
      <c r="C28" s="24" t="n">
        <f aca="false">Fee*$A28+C$3*$B28</f>
        <v>11.9652054894781</v>
      </c>
      <c r="D28" s="24" t="n">
        <f aca="false">Fee*$A28+D$3*$B28</f>
        <v>7.70760274473907</v>
      </c>
      <c r="E28" s="24" t="n">
        <f aca="false">Fee*$A28+E$3*$B28</f>
        <v>20.4804109789563</v>
      </c>
    </row>
    <row r="29" customFormat="false" ht="15" hidden="false" customHeight="false" outlineLevel="0" collapsed="false">
      <c r="A29" s="15" t="n">
        <f aca="false">A28+5</f>
        <v>120</v>
      </c>
      <c r="B29" s="26" t="n">
        <v>1.00377171592019</v>
      </c>
      <c r="C29" s="24" t="n">
        <f aca="false">Fee*$A29+C$3*$B29</f>
        <v>11.6301737273615</v>
      </c>
      <c r="D29" s="24" t="n">
        <f aca="false">Fee*$A29+D$3*$B29</f>
        <v>7.61508686368074</v>
      </c>
      <c r="E29" s="24" t="n">
        <f aca="false">Fee*$A29+E$3*$B29</f>
        <v>19.660347454723</v>
      </c>
    </row>
    <row r="30" customFormat="false" ht="15" hidden="false" customHeight="false" outlineLevel="0" collapsed="false">
      <c r="A30" s="15" t="n">
        <f aca="false">A29+5</f>
        <v>125</v>
      </c>
      <c r="B30" s="26" t="n">
        <v>0.950088550733666</v>
      </c>
      <c r="C30" s="24" t="n">
        <f aca="false">Fee*$A30+C$3*$B30</f>
        <v>11.3507084058693</v>
      </c>
      <c r="D30" s="24" t="n">
        <f aca="false">Fee*$A30+D$3*$B30</f>
        <v>7.55035420293466</v>
      </c>
      <c r="E30" s="24" t="n">
        <f aca="false">Fee*$A30+E$3*$B30</f>
        <v>18.9514168117387</v>
      </c>
    </row>
    <row r="31" customFormat="false" ht="15" hidden="false" customHeight="false" outlineLevel="0" collapsed="false">
      <c r="A31" s="15" t="n">
        <f aca="false">A30+5</f>
        <v>130</v>
      </c>
      <c r="B31" s="26" t="n">
        <v>0.90665529399733</v>
      </c>
      <c r="C31" s="24" t="n">
        <f aca="false">Fee*$A31+C$3*$B31</f>
        <v>11.1532423519786</v>
      </c>
      <c r="D31" s="24" t="n">
        <f aca="false">Fee*$A31+D$3*$B31</f>
        <v>7.52662117598932</v>
      </c>
      <c r="E31" s="24" t="n">
        <f aca="false">Fee*$A31+E$3*$B31</f>
        <v>18.4064847039573</v>
      </c>
    </row>
    <row r="32" customFormat="false" ht="15" hidden="false" customHeight="false" outlineLevel="0" collapsed="false">
      <c r="A32" s="15" t="n">
        <f aca="false">A31+5</f>
        <v>135</v>
      </c>
      <c r="B32" s="26" t="n">
        <v>0.871432157288034</v>
      </c>
      <c r="C32" s="24" t="n">
        <f aca="false">Fee*$A32+C$3*$B32</f>
        <v>11.0214572583043</v>
      </c>
      <c r="D32" s="24" t="n">
        <f aca="false">Fee*$A32+D$3*$B32</f>
        <v>7.53572862915214</v>
      </c>
      <c r="E32" s="24" t="n">
        <f aca="false">Fee*$A32+E$3*$B32</f>
        <v>17.9929145166085</v>
      </c>
    </row>
    <row r="33" customFormat="false" ht="15" hidden="false" customHeight="false" outlineLevel="0" collapsed="false">
      <c r="A33" s="15" t="n">
        <f aca="false">A32+5</f>
        <v>140</v>
      </c>
      <c r="B33" s="26" t="n">
        <v>0.83115620000579</v>
      </c>
      <c r="C33" s="24" t="n">
        <f aca="false">Fee*$A33+C$3*$B33</f>
        <v>10.8492496000463</v>
      </c>
      <c r="D33" s="24" t="n">
        <f aca="false">Fee*$A33+D$3*$B33</f>
        <v>7.52462480002316</v>
      </c>
      <c r="E33" s="24" t="n">
        <f aca="false">Fee*$A33+E$3*$B33</f>
        <v>17.4984992000926</v>
      </c>
    </row>
    <row r="34" customFormat="false" ht="15" hidden="false" customHeight="false" outlineLevel="0" collapsed="false">
      <c r="A34" s="15" t="n">
        <f aca="false">A33+5</f>
        <v>145</v>
      </c>
      <c r="B34" s="26" t="n">
        <v>0.793948655639245</v>
      </c>
      <c r="C34" s="24" t="n">
        <f aca="false">Fee*$A34+C$3*$B34</f>
        <v>10.701589245114</v>
      </c>
      <c r="D34" s="24" t="n">
        <f aca="false">Fee*$A34+D$3*$B34</f>
        <v>7.52579462255698</v>
      </c>
      <c r="E34" s="24" t="n">
        <f aca="false">Fee*$A34+E$3*$B34</f>
        <v>17.0531784902279</v>
      </c>
    </row>
    <row r="35" customFormat="false" ht="15" hidden="false" customHeight="false" outlineLevel="0" collapsed="false">
      <c r="A35" s="15" t="n">
        <f aca="false">A34+5</f>
        <v>150</v>
      </c>
      <c r="B35" s="26" t="n">
        <v>0.759606323785143</v>
      </c>
      <c r="C35" s="24" t="n">
        <f aca="false">Fee*$A35+C$3*$B35</f>
        <v>10.5768505902811</v>
      </c>
      <c r="D35" s="24" t="n">
        <f aca="false">Fee*$A35+D$3*$B35</f>
        <v>7.53842529514057</v>
      </c>
      <c r="E35" s="24" t="n">
        <f aca="false">Fee*$A35+E$3*$B35</f>
        <v>16.6537011805623</v>
      </c>
    </row>
    <row r="36" customFormat="false" ht="15" hidden="false" customHeight="false" outlineLevel="0" collapsed="false">
      <c r="A36" s="15" t="n">
        <f aca="false">A35+5</f>
        <v>155</v>
      </c>
      <c r="B36" s="26" t="n">
        <v>0.730429009669589</v>
      </c>
      <c r="C36" s="24" t="n">
        <f aca="false">Fee*$A36+C$3*$B36</f>
        <v>10.4934320773567</v>
      </c>
      <c r="D36" s="24" t="n">
        <f aca="false">Fee*$A36+D$3*$B36</f>
        <v>7.57171603867835</v>
      </c>
      <c r="E36" s="24" t="n">
        <f aca="false">Fee*$A36+E$3*$B36</f>
        <v>16.3368641547134</v>
      </c>
    </row>
    <row r="37" customFormat="false" ht="15" hidden="false" customHeight="false" outlineLevel="0" collapsed="false">
      <c r="A37" s="15" t="n">
        <f aca="false">A36+5</f>
        <v>160</v>
      </c>
      <c r="B37" s="26" t="n">
        <v>0.706638539638679</v>
      </c>
      <c r="C37" s="24" t="n">
        <f aca="false">Fee*$A37+C$3*$B37</f>
        <v>10.4531083171094</v>
      </c>
      <c r="D37" s="24" t="n">
        <f aca="false">Fee*$A37+D$3*$B37</f>
        <v>7.62655415855472</v>
      </c>
      <c r="E37" s="24" t="n">
        <f aca="false">Fee*$A37+E$3*$B37</f>
        <v>16.1062166342189</v>
      </c>
    </row>
    <row r="38" customFormat="false" ht="15" hidden="false" customHeight="false" outlineLevel="0" collapsed="false">
      <c r="A38" s="15" t="n">
        <f aca="false">A37+5</f>
        <v>165</v>
      </c>
      <c r="B38" s="26" t="n">
        <v>0.686756276564841</v>
      </c>
      <c r="C38" s="24" t="n">
        <f aca="false">Fee*$A38+C$3*$B38</f>
        <v>10.4440502125187</v>
      </c>
      <c r="D38" s="24" t="n">
        <f aca="false">Fee*$A38+D$3*$B38</f>
        <v>7.69702510625937</v>
      </c>
      <c r="E38" s="24" t="n">
        <f aca="false">Fee*$A38+E$3*$B38</f>
        <v>15.9381004250375</v>
      </c>
    </row>
    <row r="39" customFormat="false" ht="15" hidden="false" customHeight="false" outlineLevel="0" collapsed="false">
      <c r="A39" s="15" t="n">
        <f aca="false">A38+5</f>
        <v>170</v>
      </c>
      <c r="B39" s="26" t="n">
        <v>0.667576361426626</v>
      </c>
      <c r="C39" s="24" t="n">
        <f aca="false">Fee*$A39+C$3*$B39</f>
        <v>10.440610891413</v>
      </c>
      <c r="D39" s="24" t="n">
        <f aca="false">Fee*$A39+D$3*$B39</f>
        <v>7.7703054457065</v>
      </c>
      <c r="E39" s="24" t="n">
        <f aca="false">Fee*$A39+E$3*$B39</f>
        <v>15.781221782826</v>
      </c>
    </row>
    <row r="40" customFormat="false" ht="15" hidden="false" customHeight="false" outlineLevel="0" collapsed="false">
      <c r="A40" s="15" t="n">
        <f aca="false">A39+5</f>
        <v>175</v>
      </c>
      <c r="B40" s="26" t="n">
        <v>0.654815701362609</v>
      </c>
      <c r="C40" s="24" t="n">
        <f aca="false">Fee*$A40+C$3*$B40</f>
        <v>10.4885256109009</v>
      </c>
      <c r="D40" s="24" t="n">
        <f aca="false">Fee*$A40+D$3*$B40</f>
        <v>7.86926280545044</v>
      </c>
      <c r="E40" s="24" t="n">
        <f aca="false">Fee*$A40+E$3*$B40</f>
        <v>15.7270512218017</v>
      </c>
    </row>
    <row r="41" customFormat="false" ht="15" hidden="false" customHeight="false" outlineLevel="0" collapsed="false">
      <c r="A41" s="15" t="n">
        <f aca="false">A40+5</f>
        <v>180</v>
      </c>
      <c r="B41" s="26" t="n">
        <v>0.639338100988616</v>
      </c>
      <c r="C41" s="24" t="n">
        <f aca="false">Fee*$A41+C$3*$B41</f>
        <v>10.5147048079089</v>
      </c>
      <c r="D41" s="24" t="n">
        <f aca="false">Fee*$A41+D$3*$B41</f>
        <v>7.95735240395446</v>
      </c>
      <c r="E41" s="24" t="n">
        <f aca="false">Fee*$A41+E$3*$B41</f>
        <v>15.6294096158179</v>
      </c>
    </row>
    <row r="42" customFormat="false" ht="15" hidden="false" customHeight="false" outlineLevel="0" collapsed="false">
      <c r="A42" s="15" t="n">
        <f aca="false">A41+5</f>
        <v>185</v>
      </c>
      <c r="B42" s="26" t="n">
        <v>0.626771018008982</v>
      </c>
      <c r="C42" s="24" t="n">
        <f aca="false">Fee*$A42+C$3*$B42</f>
        <v>10.5641681440719</v>
      </c>
      <c r="D42" s="24" t="n">
        <f aca="false">Fee*$A42+D$3*$B42</f>
        <v>8.05708407203593</v>
      </c>
      <c r="E42" s="24" t="n">
        <f aca="false">Fee*$A42+E$3*$B42</f>
        <v>15.5783362881437</v>
      </c>
    </row>
    <row r="43" customFormat="false" ht="15" hidden="false" customHeight="false" outlineLevel="0" collapsed="false">
      <c r="A43" s="15" t="n">
        <f aca="false">A42+5</f>
        <v>190</v>
      </c>
      <c r="B43" s="26" t="n">
        <v>0.613333496186769</v>
      </c>
      <c r="C43" s="24" t="n">
        <f aca="false">Fee*$A43+C$3*$B43</f>
        <v>10.6066679694942</v>
      </c>
      <c r="D43" s="24" t="n">
        <f aca="false">Fee*$A43+D$3*$B43</f>
        <v>8.15333398474708</v>
      </c>
      <c r="E43" s="24" t="n">
        <f aca="false">Fee*$A43+E$3*$B43</f>
        <v>15.5133359389883</v>
      </c>
    </row>
    <row r="44" customFormat="false" ht="15" hidden="false" customHeight="false" outlineLevel="0" collapsed="false">
      <c r="A44" s="15" t="n">
        <f aca="false">A43+5</f>
        <v>195</v>
      </c>
      <c r="B44" s="26" t="n">
        <v>0.603929683416053</v>
      </c>
      <c r="C44" s="24" t="n">
        <f aca="false">Fee*$A44+C$3*$B44</f>
        <v>10.6814374673284</v>
      </c>
      <c r="D44" s="24" t="n">
        <f aca="false">Fee*$A44+D$3*$B44</f>
        <v>8.26571873366421</v>
      </c>
      <c r="E44" s="24" t="n">
        <f aca="false">Fee*$A44+E$3*$B44</f>
        <v>15.5128749346568</v>
      </c>
    </row>
    <row r="45" customFormat="false" ht="15" hidden="false" customHeight="false" outlineLevel="0" collapsed="false">
      <c r="A45" s="15" t="n">
        <f aca="false">A44+5</f>
        <v>200</v>
      </c>
      <c r="B45" s="26" t="n">
        <v>0.599256117090067</v>
      </c>
      <c r="C45" s="24" t="n">
        <f aca="false">Fee*$A45+C$3*$B45</f>
        <v>10.7940489367205</v>
      </c>
      <c r="D45" s="24" t="n">
        <f aca="false">Fee*$A45+D$3*$B45</f>
        <v>8.39702446836027</v>
      </c>
      <c r="E45" s="24" t="n">
        <f aca="false">Fee*$A45+E$3*$B45</f>
        <v>15.5880978734411</v>
      </c>
    </row>
    <row r="46" customFormat="false" ht="15" hidden="false" customHeight="false" outlineLevel="0" collapsed="false">
      <c r="A46" s="15" t="n">
        <f aca="false">A45+5</f>
        <v>205</v>
      </c>
      <c r="B46" s="26" t="n">
        <v>0.593123734370423</v>
      </c>
      <c r="C46" s="24" t="n">
        <f aca="false">Fee*$A46+C$3*$B46</f>
        <v>10.8949898749634</v>
      </c>
      <c r="D46" s="24" t="n">
        <f aca="false">Fee*$A46+D$3*$B46</f>
        <v>8.52249493748169</v>
      </c>
      <c r="E46" s="24" t="n">
        <f aca="false">Fee*$A46+E$3*$B46</f>
        <v>15.6399797499268</v>
      </c>
    </row>
    <row r="47" customFormat="false" ht="15" hidden="false" customHeight="false" outlineLevel="0" collapsed="false">
      <c r="A47" s="15" t="n">
        <f aca="false">A46+5</f>
        <v>210</v>
      </c>
      <c r="B47" s="26" t="n">
        <v>0.588393235271282</v>
      </c>
      <c r="C47" s="24" t="n">
        <f aca="false">Fee*$A47+C$3*$B47</f>
        <v>11.0071458821703</v>
      </c>
      <c r="D47" s="24" t="n">
        <f aca="false">Fee*$A47+D$3*$B47</f>
        <v>8.65357294108513</v>
      </c>
      <c r="E47" s="24" t="n">
        <f aca="false">Fee*$A47+E$3*$B47</f>
        <v>15.7142917643405</v>
      </c>
    </row>
    <row r="48" customFormat="false" ht="15" hidden="false" customHeight="false" outlineLevel="0" collapsed="false">
      <c r="A48" s="15" t="n">
        <f aca="false">A47+5</f>
        <v>215</v>
      </c>
      <c r="B48" s="26" t="n">
        <v>0.581831108813628</v>
      </c>
      <c r="C48" s="24" t="n">
        <f aca="false">Fee*$A48+C$3*$B48</f>
        <v>11.104648870509</v>
      </c>
      <c r="D48" s="24" t="n">
        <f aca="false">Fee*$A48+D$3*$B48</f>
        <v>8.77732443525451</v>
      </c>
      <c r="E48" s="24" t="n">
        <f aca="false">Fee*$A48+E$3*$B48</f>
        <v>15.759297741018</v>
      </c>
    </row>
    <row r="49" customFormat="false" ht="15" hidden="false" customHeight="false" outlineLevel="0" collapsed="false">
      <c r="A49" s="15" t="n">
        <f aca="false">A48+5</f>
        <v>220</v>
      </c>
      <c r="B49" s="26" t="n">
        <v>0.578639708927049</v>
      </c>
      <c r="C49" s="24" t="n">
        <f aca="false">Fee*$A49+C$3*$B49</f>
        <v>11.2291176714164</v>
      </c>
      <c r="D49" s="24" t="n">
        <f aca="false">Fee*$A49+D$3*$B49</f>
        <v>8.9145588357082</v>
      </c>
      <c r="E49" s="24" t="n">
        <f aca="false">Fee*$A49+E$3*$B49</f>
        <v>15.8582353428328</v>
      </c>
    </row>
    <row r="50" customFormat="false" ht="15" hidden="false" customHeight="false" outlineLevel="0" collapsed="false">
      <c r="A50" s="15" t="n">
        <f aca="false">A49+5</f>
        <v>225</v>
      </c>
      <c r="B50" s="26" t="n">
        <v>0.576265085222341</v>
      </c>
      <c r="C50" s="24" t="n">
        <f aca="false">Fee*$A50+C$3*$B50</f>
        <v>11.3601206817787</v>
      </c>
      <c r="D50" s="24" t="n">
        <f aca="false">Fee*$A50+D$3*$B50</f>
        <v>9.05506034088936</v>
      </c>
      <c r="E50" s="24" t="n">
        <f aca="false">Fee*$A50+E$3*$B50</f>
        <v>15.9702413635574</v>
      </c>
    </row>
    <row r="51" customFormat="false" ht="15" hidden="false" customHeight="false" outlineLevel="0" collapsed="false">
      <c r="A51" s="15" t="n">
        <f aca="false">A50+5</f>
        <v>230</v>
      </c>
      <c r="B51" s="26" t="n">
        <v>0.573764930353572</v>
      </c>
      <c r="C51" s="24" t="n">
        <f aca="false">Fee*$A51+C$3*$B51</f>
        <v>11.4901194428286</v>
      </c>
      <c r="D51" s="24" t="n">
        <f aca="false">Fee*$A51+D$3*$B51</f>
        <v>9.19505972141429</v>
      </c>
      <c r="E51" s="24" t="n">
        <f aca="false">Fee*$A51+E$3*$B51</f>
        <v>16.0802388856571</v>
      </c>
    </row>
    <row r="52" customFormat="false" ht="15" hidden="false" customHeight="false" outlineLevel="0" collapsed="false">
      <c r="A52" s="15" t="n">
        <f aca="false">A51+5</f>
        <v>235</v>
      </c>
      <c r="B52" s="26" t="n">
        <v>0.573317731357723</v>
      </c>
      <c r="C52" s="24" t="n">
        <f aca="false">Fee*$A52+C$3*$B52</f>
        <v>11.6365418508618</v>
      </c>
      <c r="D52" s="24" t="n">
        <f aca="false">Fee*$A52+D$3*$B52</f>
        <v>9.34327092543089</v>
      </c>
      <c r="E52" s="24" t="n">
        <f aca="false">Fee*$A52+E$3*$B52</f>
        <v>16.2230837017236</v>
      </c>
    </row>
    <row r="53" customFormat="false" ht="15" hidden="false" customHeight="false" outlineLevel="0" collapsed="false">
      <c r="A53" s="15" t="n">
        <f aca="false">A52+5</f>
        <v>240</v>
      </c>
      <c r="B53" s="26" t="n">
        <v>0.571676990339026</v>
      </c>
      <c r="C53" s="24" t="n">
        <f aca="false">Fee*$A53+C$3*$B53</f>
        <v>11.7734159227122</v>
      </c>
      <c r="D53" s="24" t="n">
        <f aca="false">Fee*$A53+D$3*$B53</f>
        <v>9.4867079613561</v>
      </c>
      <c r="E53" s="24" t="n">
        <f aca="false">Fee*$A53+E$3*$B53</f>
        <v>16.3468318454244</v>
      </c>
    </row>
    <row r="54" customFormat="false" ht="15" hidden="false" customHeight="false" outlineLevel="0" collapsed="false">
      <c r="A54" s="15" t="n">
        <f aca="false">A53+5</f>
        <v>245</v>
      </c>
      <c r="B54" s="26" t="n">
        <v>0.568170841346325</v>
      </c>
      <c r="C54" s="24" t="n">
        <f aca="false">Fee*$A54+C$3*$B54</f>
        <v>11.8953667307706</v>
      </c>
      <c r="D54" s="24" t="n">
        <f aca="false">Fee*$A54+D$3*$B54</f>
        <v>9.6226833653853</v>
      </c>
      <c r="E54" s="24" t="n">
        <f aca="false">Fee*$A54+E$3*$B54</f>
        <v>16.4407334615412</v>
      </c>
    </row>
    <row r="55" customFormat="false" ht="15" hidden="false" customHeight="false" outlineLevel="0" collapsed="false">
      <c r="A55" s="15" t="n">
        <f aca="false">A54+5</f>
        <v>250</v>
      </c>
      <c r="B55" s="26" t="n">
        <v>0.566758590696725</v>
      </c>
      <c r="C55" s="24" t="n">
        <f aca="false">Fee*$A55+C$3*$B55</f>
        <v>12.0340687255738</v>
      </c>
      <c r="D55" s="24" t="n">
        <f aca="false">Fee*$A55+D$3*$B55</f>
        <v>9.7670343627869</v>
      </c>
      <c r="E55" s="24" t="n">
        <f aca="false">Fee*$A55+E$3*$B55</f>
        <v>16.5681374511476</v>
      </c>
    </row>
    <row r="56" customFormat="false" ht="15" hidden="false" customHeight="false" outlineLevel="0" collapsed="false">
      <c r="A56" s="15" t="n">
        <f aca="false">A55+5</f>
        <v>255</v>
      </c>
      <c r="B56" s="26" t="n">
        <v>0.564837682853316</v>
      </c>
      <c r="C56" s="24" t="n">
        <f aca="false">Fee*$A56+C$3*$B56</f>
        <v>12.1687014628265</v>
      </c>
      <c r="D56" s="24" t="n">
        <f aca="false">Fee*$A56+D$3*$B56</f>
        <v>9.90935073141326</v>
      </c>
      <c r="E56" s="24" t="n">
        <f aca="false">Fee*$A56+E$3*$B56</f>
        <v>16.6874029256531</v>
      </c>
    </row>
    <row r="57" customFormat="false" ht="15" hidden="false" customHeight="false" outlineLevel="0" collapsed="false">
      <c r="A57" s="15" t="n">
        <f aca="false">A56+5</f>
        <v>260</v>
      </c>
      <c r="B57" s="26" t="n">
        <v>0.562351818122382</v>
      </c>
      <c r="C57" s="24" t="n">
        <f aca="false">Fee*$A57+C$3*$B57</f>
        <v>12.2988145449791</v>
      </c>
      <c r="D57" s="24" t="n">
        <f aca="false">Fee*$A57+D$3*$B57</f>
        <v>10.0494072724895</v>
      </c>
      <c r="E57" s="24" t="n">
        <f aca="false">Fee*$A57+E$3*$B57</f>
        <v>16.7976290899581</v>
      </c>
    </row>
    <row r="58" customFormat="false" ht="15" hidden="false" customHeight="false" outlineLevel="0" collapsed="false">
      <c r="A58" s="15" t="n">
        <f aca="false">A57+5</f>
        <v>265</v>
      </c>
      <c r="B58" s="26" t="n">
        <v>0.561049869991966</v>
      </c>
      <c r="C58" s="24" t="n">
        <f aca="false">Fee*$A58+C$3*$B58</f>
        <v>12.4383989599357</v>
      </c>
      <c r="D58" s="24" t="n">
        <f aca="false">Fee*$A58+D$3*$B58</f>
        <v>10.1941994799679</v>
      </c>
      <c r="E58" s="24" t="n">
        <f aca="false">Fee*$A58+E$3*$B58</f>
        <v>16.9267979198715</v>
      </c>
    </row>
    <row r="59" customFormat="false" ht="15" hidden="false" customHeight="false" outlineLevel="0" collapsed="false">
      <c r="A59" s="15" t="n">
        <f aca="false">A58+5</f>
        <v>270</v>
      </c>
      <c r="B59" s="26" t="n">
        <v>0.560610700555848</v>
      </c>
      <c r="C59" s="24" t="n">
        <f aca="false">Fee*$A59+C$3*$B59</f>
        <v>12.5848856044468</v>
      </c>
      <c r="D59" s="24" t="n">
        <f aca="false">Fee*$A59+D$3*$B59</f>
        <v>10.3424428022234</v>
      </c>
      <c r="E59" s="24" t="n">
        <f aca="false">Fee*$A59+E$3*$B59</f>
        <v>17.0697712088936</v>
      </c>
    </row>
    <row r="60" customFormat="false" ht="15" hidden="false" customHeight="false" outlineLevel="0" collapsed="false">
      <c r="A60" s="15" t="n">
        <f aca="false">A59+5</f>
        <v>275</v>
      </c>
      <c r="B60" s="26" t="n">
        <v>0.55961203103637</v>
      </c>
      <c r="C60" s="24" t="n">
        <f aca="false">Fee*$A60+C$3*$B60</f>
        <v>12.726896248291</v>
      </c>
      <c r="D60" s="24" t="n">
        <f aca="false">Fee*$A60+D$3*$B60</f>
        <v>10.4884481241455</v>
      </c>
      <c r="E60" s="24" t="n">
        <f aca="false">Fee*$A60+E$3*$B60</f>
        <v>17.2037924965819</v>
      </c>
    </row>
    <row r="61" customFormat="false" ht="15" hidden="false" customHeight="false" outlineLevel="0" collapsed="false">
      <c r="A61" s="15" t="n">
        <f aca="false">A60+5</f>
        <v>280</v>
      </c>
      <c r="B61" s="26" t="n">
        <v>0.558626047833029</v>
      </c>
      <c r="C61" s="24" t="n">
        <f aca="false">Fee*$A61+C$3*$B61</f>
        <v>12.8690083826642</v>
      </c>
      <c r="D61" s="24" t="n">
        <f aca="false">Fee*$A61+D$3*$B61</f>
        <v>10.6345041913321</v>
      </c>
      <c r="E61" s="24" t="n">
        <f aca="false">Fee*$A61+E$3*$B61</f>
        <v>17.3380167653285</v>
      </c>
    </row>
    <row r="62" customFormat="false" ht="15" hidden="false" customHeight="false" outlineLevel="0" collapsed="false">
      <c r="A62" s="15" t="n">
        <f aca="false">A61+5</f>
        <v>285</v>
      </c>
      <c r="B62" s="26" t="n">
        <v>0.557744743527478</v>
      </c>
      <c r="C62" s="24" t="n">
        <f aca="false">Fee*$A62+C$3*$B62</f>
        <v>13.0119579482198</v>
      </c>
      <c r="D62" s="24" t="n">
        <f aca="false">Fee*$A62+D$3*$B62</f>
        <v>10.7809789741099</v>
      </c>
      <c r="E62" s="24" t="n">
        <f aca="false">Fee*$A62+E$3*$B62</f>
        <v>17.4739158964397</v>
      </c>
    </row>
    <row r="63" customFormat="false" ht="15" hidden="false" customHeight="false" outlineLevel="0" collapsed="false">
      <c r="A63" s="15" t="n">
        <f aca="false">A62+5</f>
        <v>290</v>
      </c>
      <c r="B63" s="26" t="n">
        <v>0.557167761811425</v>
      </c>
      <c r="C63" s="24" t="n">
        <f aca="false">Fee*$A63+C$3*$B63</f>
        <v>13.1573420944914</v>
      </c>
      <c r="D63" s="24" t="n">
        <f aca="false">Fee*$A63+D$3*$B63</f>
        <v>10.9286710472457</v>
      </c>
      <c r="E63" s="24" t="n">
        <f aca="false">Fee*$A63+E$3*$B63</f>
        <v>17.6146841889828</v>
      </c>
    </row>
    <row r="64" customFormat="false" ht="15" hidden="false" customHeight="false" outlineLevel="0" collapsed="false">
      <c r="A64" s="15" t="n">
        <f aca="false">A63+5</f>
        <v>295</v>
      </c>
      <c r="B64" s="26" t="n">
        <v>0.557167761811425</v>
      </c>
      <c r="C64" s="24" t="n">
        <f aca="false">Fee*$A64+C$3*$B64</f>
        <v>13.3073420944914</v>
      </c>
      <c r="D64" s="24" t="n">
        <f aca="false">Fee*$A64+D$3*$B64</f>
        <v>11.0786710472457</v>
      </c>
      <c r="E64" s="24" t="n">
        <f aca="false">Fee*$A64+E$3*$B64</f>
        <v>17.7646841889828</v>
      </c>
    </row>
    <row r="65" customFormat="false" ht="15" hidden="false" customHeight="false" outlineLevel="0" collapsed="false">
      <c r="A65" s="15" t="n">
        <f aca="false">A64+5</f>
        <v>300</v>
      </c>
      <c r="B65" s="26" t="n">
        <v>0.55676299090365</v>
      </c>
      <c r="C65" s="24" t="n">
        <f aca="false">Fee*$A65+C$3*$B65</f>
        <v>13.4541039272292</v>
      </c>
      <c r="D65" s="24" t="n">
        <f aca="false">Fee*$A65+D$3*$B65</f>
        <v>11.2270519636146</v>
      </c>
      <c r="E65" s="24" t="n">
        <f aca="false">Fee*$A65+E$3*$B65</f>
        <v>17.9082078544584</v>
      </c>
    </row>
    <row r="66" customFormat="false" ht="15" hidden="false" customHeight="false" outlineLevel="0" collapsed="false">
      <c r="A66" s="15" t="n">
        <f aca="false">A65+5</f>
        <v>305</v>
      </c>
      <c r="B66" s="26" t="n">
        <v>0.55676299090365</v>
      </c>
      <c r="C66" s="24" t="n">
        <f aca="false">Fee*$A66+C$3*$B66</f>
        <v>13.6041039272292</v>
      </c>
      <c r="D66" s="24" t="n">
        <f aca="false">Fee*$A66+D$3*$B66</f>
        <v>11.3770519636146</v>
      </c>
      <c r="E66" s="24" t="n">
        <f aca="false">Fee*$A66+E$3*$B66</f>
        <v>18.0582078544584</v>
      </c>
    </row>
    <row r="67" customFormat="false" ht="15" hidden="false" customHeight="false" outlineLevel="0" collapsed="false">
      <c r="A67" s="15" t="n">
        <f aca="false">A66+5</f>
        <v>310</v>
      </c>
      <c r="B67" s="26" t="n">
        <v>0.55645496610976</v>
      </c>
      <c r="C67" s="24" t="n">
        <f aca="false">Fee*$A67+C$3*$B67</f>
        <v>13.7516397288781</v>
      </c>
      <c r="D67" s="24" t="n">
        <f aca="false">Fee*$A67+D$3*$B67</f>
        <v>11.525819864439</v>
      </c>
      <c r="E67" s="24" t="n">
        <f aca="false">Fee*$A67+E$3*$B67</f>
        <v>18.2032794577562</v>
      </c>
    </row>
    <row r="68" customFormat="false" ht="15" hidden="false" customHeight="false" outlineLevel="0" collapsed="false">
      <c r="A68" s="15" t="n">
        <f aca="false">A67+5</f>
        <v>315</v>
      </c>
      <c r="B68" s="26" t="n">
        <v>0.555558076861642</v>
      </c>
      <c r="C68" s="24" t="n">
        <f aca="false">Fee*$A68+C$3*$B68</f>
        <v>13.8944646148931</v>
      </c>
      <c r="D68" s="24" t="n">
        <f aca="false">Fee*$A68+D$3*$B68</f>
        <v>11.6722323074466</v>
      </c>
      <c r="E68" s="24" t="n">
        <f aca="false">Fee*$A68+E$3*$B68</f>
        <v>18.3389292297863</v>
      </c>
    </row>
    <row r="69" customFormat="false" ht="15" hidden="false" customHeight="false" outlineLevel="0" collapsed="false">
      <c r="A69" s="15" t="n">
        <f aca="false">A68+5</f>
        <v>320</v>
      </c>
      <c r="B69" s="26" t="n">
        <v>0.555362521694301</v>
      </c>
      <c r="C69" s="24" t="n">
        <f aca="false">Fee*$A69+C$3*$B69</f>
        <v>14.0429001735544</v>
      </c>
      <c r="D69" s="24" t="n">
        <f aca="false">Fee*$A69+D$3*$B69</f>
        <v>11.8214500867772</v>
      </c>
      <c r="E69" s="24" t="n">
        <f aca="false">Fee*$A69+E$3*$B69</f>
        <v>18.4858003471088</v>
      </c>
    </row>
    <row r="70" customFormat="false" ht="15" hidden="false" customHeight="false" outlineLevel="0" collapsed="false">
      <c r="A70" s="15" t="n">
        <f aca="false">A69+5</f>
        <v>325</v>
      </c>
      <c r="B70" s="26" t="n">
        <v>0.555327999973367</v>
      </c>
      <c r="C70" s="24" t="n">
        <f aca="false">Fee*$A70+C$3*$B70</f>
        <v>14.1926239997869</v>
      </c>
      <c r="D70" s="24" t="n">
        <f aca="false">Fee*$A70+D$3*$B70</f>
        <v>11.9713119998935</v>
      </c>
      <c r="E70" s="24" t="n">
        <f aca="false">Fee*$A70+E$3*$B70</f>
        <v>18.6352479995739</v>
      </c>
    </row>
    <row r="71" customFormat="false" ht="15" hidden="false" customHeight="false" outlineLevel="0" collapsed="false">
      <c r="A71" s="15" t="n">
        <f aca="false">A70+5</f>
        <v>330</v>
      </c>
      <c r="B71" s="26" t="n">
        <v>0.555327999973367</v>
      </c>
      <c r="C71" s="24" t="n">
        <f aca="false">Fee*$A71+C$3*$B71</f>
        <v>14.3426239997869</v>
      </c>
      <c r="D71" s="24" t="n">
        <f aca="false">Fee*$A71+D$3*$B71</f>
        <v>12.1213119998935</v>
      </c>
      <c r="E71" s="24" t="n">
        <f aca="false">Fee*$A71+E$3*$B71</f>
        <v>18.7852479995739</v>
      </c>
    </row>
    <row r="72" customFormat="false" ht="15" hidden="false" customHeight="false" outlineLevel="0" collapsed="false">
      <c r="A72" s="15" t="n">
        <f aca="false">A71+5</f>
        <v>335</v>
      </c>
      <c r="B72" s="26" t="n">
        <v>0.555327999973367</v>
      </c>
      <c r="C72" s="24" t="n">
        <f aca="false">Fee*$A72+C$3*$B72</f>
        <v>14.4926239997869</v>
      </c>
      <c r="D72" s="24" t="n">
        <f aca="false">Fee*$A72+D$3*$B72</f>
        <v>12.2713119998935</v>
      </c>
      <c r="E72" s="24" t="n">
        <f aca="false">Fee*$A72+E$3*$B72</f>
        <v>18.9352479995739</v>
      </c>
    </row>
    <row r="73" customFormat="false" ht="15" hidden="false" customHeight="false" outlineLevel="0" collapsed="false">
      <c r="A73" s="15" t="n">
        <f aca="false">A72+5</f>
        <v>340</v>
      </c>
      <c r="B73" s="26" t="n">
        <v>0.555327999973367</v>
      </c>
      <c r="C73" s="24" t="n">
        <f aca="false">Fee*$A73+C$3*$B73</f>
        <v>14.6426239997869</v>
      </c>
      <c r="D73" s="24" t="n">
        <f aca="false">Fee*$A73+D$3*$B73</f>
        <v>12.4213119998935</v>
      </c>
      <c r="E73" s="24" t="n">
        <f aca="false">Fee*$A73+E$3*$B73</f>
        <v>19.0852479995739</v>
      </c>
    </row>
    <row r="74" customFormat="false" ht="15" hidden="false" customHeight="false" outlineLevel="0" collapsed="false">
      <c r="A74" s="15" t="n">
        <f aca="false">A73+5</f>
        <v>345</v>
      </c>
      <c r="B74" s="26" t="n">
        <v>0.555327999973367</v>
      </c>
      <c r="C74" s="24" t="n">
        <f aca="false">Fee*$A74+C$3*$B74</f>
        <v>14.7926239997869</v>
      </c>
      <c r="D74" s="24" t="n">
        <f aca="false">Fee*$A74+D$3*$B74</f>
        <v>12.5713119998935</v>
      </c>
      <c r="E74" s="24" t="n">
        <f aca="false">Fee*$A74+E$3*$B74</f>
        <v>19.2352479995739</v>
      </c>
    </row>
    <row r="75" customFormat="false" ht="15" hidden="false" customHeight="false" outlineLevel="0" collapsed="false">
      <c r="A75" s="15" t="n">
        <f aca="false">A74+5</f>
        <v>350</v>
      </c>
      <c r="B75" s="26" t="n">
        <v>0.555327999973367</v>
      </c>
      <c r="C75" s="24" t="n">
        <f aca="false">Fee*$A75+C$3*$B75</f>
        <v>14.9426239997869</v>
      </c>
      <c r="D75" s="24" t="n">
        <f aca="false">Fee*$A75+D$3*$B75</f>
        <v>12.7213119998935</v>
      </c>
      <c r="E75" s="24" t="n">
        <f aca="false">Fee*$A75+E$3*$B75</f>
        <v>19.3852479995739</v>
      </c>
    </row>
    <row r="76" customFormat="false" ht="15" hidden="false" customHeight="false" outlineLevel="0" collapsed="false">
      <c r="A76" s="15" t="n">
        <f aca="false">A75+5</f>
        <v>355</v>
      </c>
      <c r="B76" s="26" t="n">
        <v>0.554620408360475</v>
      </c>
      <c r="C76" s="24" t="n">
        <f aca="false">Fee*$A76+C$3*$B76</f>
        <v>15.0869632668838</v>
      </c>
      <c r="D76" s="24" t="n">
        <f aca="false">Fee*$A76+D$3*$B76</f>
        <v>12.8684816334419</v>
      </c>
      <c r="E76" s="24" t="n">
        <f aca="false">Fee*$A76+E$3*$B76</f>
        <v>19.5239265337676</v>
      </c>
    </row>
    <row r="77" customFormat="false" ht="15" hidden="false" customHeight="false" outlineLevel="0" collapsed="false">
      <c r="A77" s="15" t="n">
        <f aca="false">A76+5</f>
        <v>360</v>
      </c>
      <c r="B77" s="26" t="n">
        <v>0.554620408360475</v>
      </c>
      <c r="C77" s="24" t="n">
        <f aca="false">Fee*$A77+C$3*$B77</f>
        <v>15.2369632668838</v>
      </c>
      <c r="D77" s="24" t="n">
        <f aca="false">Fee*$A77+D$3*$B77</f>
        <v>13.0184816334419</v>
      </c>
      <c r="E77" s="24" t="n">
        <f aca="false">Fee*$A77+E$3*$B77</f>
        <v>19.6739265337676</v>
      </c>
    </row>
    <row r="78" customFormat="false" ht="15" hidden="false" customHeight="false" outlineLevel="0" collapsed="false">
      <c r="A78" s="15" t="n">
        <f aca="false">A77+5</f>
        <v>365</v>
      </c>
      <c r="B78" s="26" t="n">
        <v>0.554620408360475</v>
      </c>
      <c r="C78" s="24" t="n">
        <f aca="false">Fee*$A78+C$3*$B78</f>
        <v>15.3869632668838</v>
      </c>
      <c r="D78" s="24" t="n">
        <f aca="false">Fee*$A78+D$3*$B78</f>
        <v>13.1684816334419</v>
      </c>
      <c r="E78" s="24" t="n">
        <f aca="false">Fee*$A78+E$3*$B78</f>
        <v>19.8239265337676</v>
      </c>
    </row>
    <row r="79" customFormat="false" ht="15" hidden="false" customHeight="false" outlineLevel="0" collapsed="false">
      <c r="A79" s="15" t="n">
        <f aca="false">A78+5</f>
        <v>370</v>
      </c>
      <c r="B79" s="26" t="n">
        <v>0.554620408360475</v>
      </c>
      <c r="C79" s="24" t="n">
        <f aca="false">Fee*$A79+C$3*$B79</f>
        <v>15.5369632668838</v>
      </c>
      <c r="D79" s="24" t="n">
        <f aca="false">Fee*$A79+D$3*$B79</f>
        <v>13.3184816334419</v>
      </c>
      <c r="E79" s="24" t="n">
        <f aca="false">Fee*$A79+E$3*$B79</f>
        <v>19.9739265337676</v>
      </c>
    </row>
    <row r="80" customFormat="false" ht="15" hidden="false" customHeight="false" outlineLevel="0" collapsed="false">
      <c r="A80" s="15" t="n">
        <f aca="false">A79+5</f>
        <v>375</v>
      </c>
      <c r="B80" s="26" t="n">
        <v>0.554620408360475</v>
      </c>
      <c r="C80" s="24" t="n">
        <f aca="false">Fee*$A80+C$3*$B80</f>
        <v>15.6869632668838</v>
      </c>
      <c r="D80" s="24" t="n">
        <f aca="false">Fee*$A80+D$3*$B80</f>
        <v>13.4684816334419</v>
      </c>
      <c r="E80" s="24" t="n">
        <f aca="false">Fee*$A80+E$3*$B80</f>
        <v>20.1239265337676</v>
      </c>
    </row>
    <row r="81" customFormat="false" ht="15" hidden="false" customHeight="false" outlineLevel="0" collapsed="false">
      <c r="A81" s="15" t="n">
        <f aca="false">A80+5</f>
        <v>380</v>
      </c>
      <c r="B81" s="26" t="n">
        <v>0.554620408360475</v>
      </c>
      <c r="C81" s="24" t="n">
        <f aca="false">Fee*$A81+C$3*$B81</f>
        <v>15.8369632668838</v>
      </c>
      <c r="D81" s="24" t="n">
        <f aca="false">Fee*$A81+D$3*$B81</f>
        <v>13.6184816334419</v>
      </c>
      <c r="E81" s="24" t="n">
        <f aca="false">Fee*$A81+E$3*$B81</f>
        <v>20.2739265337676</v>
      </c>
    </row>
    <row r="82" customFormat="false" ht="15" hidden="false" customHeight="false" outlineLevel="0" collapsed="false">
      <c r="A82" s="15" t="n">
        <f aca="false">A81+5</f>
        <v>385</v>
      </c>
      <c r="B82" s="26" t="n">
        <v>0.554620408360475</v>
      </c>
      <c r="C82" s="24" t="n">
        <f aca="false">Fee*$A82+C$3*$B82</f>
        <v>15.9869632668838</v>
      </c>
      <c r="D82" s="24" t="n">
        <f aca="false">Fee*$A82+D$3*$B82</f>
        <v>13.7684816334419</v>
      </c>
      <c r="E82" s="24" t="n">
        <f aca="false">Fee*$A82+E$3*$B82</f>
        <v>20.4239265337676</v>
      </c>
    </row>
    <row r="83" customFormat="false" ht="15" hidden="false" customHeight="false" outlineLevel="0" collapsed="false">
      <c r="A83" s="15" t="n">
        <f aca="false">A82+5</f>
        <v>390</v>
      </c>
      <c r="B83" s="26" t="n">
        <v>0.554620408360475</v>
      </c>
      <c r="C83" s="24" t="n">
        <f aca="false">Fee*$A83+C$3*$B83</f>
        <v>16.1369632668838</v>
      </c>
      <c r="D83" s="24" t="n">
        <f aca="false">Fee*$A83+D$3*$B83</f>
        <v>13.9184816334419</v>
      </c>
      <c r="E83" s="24" t="n">
        <f aca="false">Fee*$A83+E$3*$B83</f>
        <v>20.5739265337676</v>
      </c>
    </row>
    <row r="84" customFormat="false" ht="15" hidden="false" customHeight="false" outlineLevel="0" collapsed="false">
      <c r="A84" s="15" t="n">
        <f aca="false">A83+5</f>
        <v>395</v>
      </c>
      <c r="B84" s="26" t="n">
        <v>0.554620408360475</v>
      </c>
      <c r="C84" s="24" t="n">
        <f aca="false">Fee*$A84+C$3*$B84</f>
        <v>16.2869632668838</v>
      </c>
      <c r="D84" s="24" t="n">
        <f aca="false">Fee*$A84+D$3*$B84</f>
        <v>14.0684816334419</v>
      </c>
      <c r="E84" s="24" t="n">
        <f aca="false">Fee*$A84+E$3*$B84</f>
        <v>20.7239265337676</v>
      </c>
    </row>
    <row r="85" customFormat="false" ht="15" hidden="false" customHeight="false" outlineLevel="0" collapsed="false">
      <c r="A85" s="15" t="n">
        <f aca="false">A84+5</f>
        <v>400</v>
      </c>
      <c r="B85" s="26" t="n">
        <v>0.554607710836083</v>
      </c>
      <c r="C85" s="24" t="n">
        <f aca="false">Fee*$A85+C$3*$B85</f>
        <v>16.4368616866887</v>
      </c>
      <c r="D85" s="24" t="n">
        <f aca="false">Fee*$A85+D$3*$B85</f>
        <v>14.2184308433443</v>
      </c>
      <c r="E85" s="24" t="n">
        <f aca="false">Fee*$A85+E$3*$B85</f>
        <v>20.8737233733773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2"/>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0"/>
    <col collapsed="false" customWidth="true" hidden="false" outlineLevel="0" max="9" min="9" style="0" width="62"/>
    <col collapsed="false" customWidth="true" hidden="false" outlineLevel="0" max="10" min="10" style="0" width="18"/>
  </cols>
  <sheetData>
    <row r="1" customFormat="false" ht="15" hidden="false" customHeight="false" outlineLevel="0" collapsed="false">
      <c r="A1" s="1" t="s">
        <v>179</v>
      </c>
    </row>
    <row r="2" customFormat="false" ht="15" hidden="false" customHeight="false" outlineLevel="0" collapsed="false">
      <c r="A2" s="10" t="s">
        <v>180</v>
      </c>
    </row>
    <row r="4" customFormat="false" ht="35.05" hidden="false" customHeight="false" outlineLevel="0" collapsed="false">
      <c r="A4" s="8" t="s">
        <v>181</v>
      </c>
      <c r="B4" s="8" t="s">
        <v>159</v>
      </c>
      <c r="C4" s="8" t="s">
        <v>182</v>
      </c>
      <c r="D4" s="8" t="s">
        <v>183</v>
      </c>
      <c r="E4" s="8" t="s">
        <v>184</v>
      </c>
      <c r="F4" s="8" t="s">
        <v>185</v>
      </c>
      <c r="G4" s="8" t="s">
        <v>186</v>
      </c>
      <c r="I4" s="8" t="s">
        <v>187</v>
      </c>
      <c r="J4" s="8" t="s">
        <v>19</v>
      </c>
    </row>
    <row r="5" customFormat="false" ht="15" hidden="false" customHeight="false" outlineLevel="0" collapsed="false">
      <c r="A5" s="15" t="n">
        <v>1</v>
      </c>
      <c r="B5" s="15" t="n">
        <f aca="false">Tranche*INT((A5-1)/7)</f>
        <v>0</v>
      </c>
      <c r="C5" s="15" t="n">
        <f aca="false">MOD(A5-1,7)</f>
        <v>0</v>
      </c>
      <c r="D5" s="27" t="n">
        <v>0.24622</v>
      </c>
      <c r="E5" s="12" t="n">
        <f aca="false">Fee*B5+Vq*C5</f>
        <v>0</v>
      </c>
      <c r="F5" s="15" t="n">
        <f aca="false">IF(D5&lt;=Appetite,1,0)</f>
        <v>0</v>
      </c>
      <c r="G5" s="15" t="n">
        <f aca="false">IF(AND(F5=1,ABS(E5-$J$7)&lt;0.000000001),1,0)</f>
        <v>0</v>
      </c>
      <c r="I5" s="2" t="s">
        <v>188</v>
      </c>
      <c r="J5" s="15" t="n">
        <f aca="false">COUNT(B5:B67)</f>
        <v>63</v>
      </c>
    </row>
    <row r="6" customFormat="false" ht="15" hidden="false" customHeight="false" outlineLevel="0" collapsed="false">
      <c r="A6" s="15" t="n">
        <v>2</v>
      </c>
      <c r="B6" s="15" t="n">
        <f aca="false">Tranche*INT((A6-1)/7)</f>
        <v>0</v>
      </c>
      <c r="C6" s="15" t="n">
        <f aca="false">MOD(A6-1,7)</f>
        <v>1</v>
      </c>
      <c r="D6" s="27" t="n">
        <v>0.17731</v>
      </c>
      <c r="E6" s="12" t="n">
        <f aca="false">Fee*B6+Vq*C6</f>
        <v>8</v>
      </c>
      <c r="F6" s="15" t="n">
        <f aca="false">IF(D6&lt;=Appetite,1,0)</f>
        <v>0</v>
      </c>
      <c r="G6" s="15" t="n">
        <f aca="false">IF(AND(F6=1,ABS(E6-$J$7)&lt;0.000000001),1,0)</f>
        <v>0</v>
      </c>
      <c r="I6" s="2" t="s">
        <v>189</v>
      </c>
      <c r="J6" s="15" t="n">
        <f aca="false">SUM(F5:F67)</f>
        <v>46</v>
      </c>
    </row>
    <row r="7" customFormat="false" ht="15" hidden="false" customHeight="false" outlineLevel="0" collapsed="false">
      <c r="A7" s="15" t="n">
        <v>3</v>
      </c>
      <c r="B7" s="15" t="n">
        <f aca="false">Tranche*INT((A7-1)/7)</f>
        <v>0</v>
      </c>
      <c r="C7" s="15" t="n">
        <f aca="false">MOD(A7-1,7)</f>
        <v>2</v>
      </c>
      <c r="D7" s="27" t="n">
        <v>0.13068</v>
      </c>
      <c r="E7" s="12" t="n">
        <f aca="false">Fee*B7+Vq*C7</f>
        <v>16</v>
      </c>
      <c r="F7" s="15" t="n">
        <f aca="false">IF(D7&lt;=Appetite,1,0)</f>
        <v>0</v>
      </c>
      <c r="G7" s="15" t="n">
        <f aca="false">IF(AND(F7=1,ABS(E7-$J$7)&lt;0.000000001),1,0)</f>
        <v>0</v>
      </c>
      <c r="I7" s="2" t="s">
        <v>190</v>
      </c>
      <c r="J7" s="12" t="n">
        <f aca="false">_xlfn.MINIFS(E5:E67,F5:F67,1)</f>
        <v>12.5</v>
      </c>
    </row>
    <row r="8" customFormat="false" ht="15" hidden="false" customHeight="false" outlineLevel="0" collapsed="false">
      <c r="A8" s="15" t="n">
        <v>4</v>
      </c>
      <c r="B8" s="15" t="n">
        <f aca="false">Tranche*INT((A8-1)/7)</f>
        <v>0</v>
      </c>
      <c r="C8" s="15" t="n">
        <f aca="false">MOD(A8-1,7)</f>
        <v>3</v>
      </c>
      <c r="D8" s="27" t="n">
        <v>0.09687</v>
      </c>
      <c r="E8" s="12" t="n">
        <f aca="false">Fee*B8+Vq*C8</f>
        <v>24</v>
      </c>
      <c r="F8" s="15" t="n">
        <f aca="false">IF(D8&lt;=Appetite,1,0)</f>
        <v>0</v>
      </c>
      <c r="G8" s="15" t="n">
        <f aca="false">IF(AND(F8=1,ABS(E8-$J$7)&lt;0.000000001),1,0)</f>
        <v>0</v>
      </c>
      <c r="I8" s="2" t="s">
        <v>191</v>
      </c>
      <c r="J8" s="15" t="n">
        <f aca="false">INDEX(B5:B67,MATCH(1,G5:G67,0))</f>
        <v>150</v>
      </c>
    </row>
    <row r="9" customFormat="false" ht="15" hidden="false" customHeight="false" outlineLevel="0" collapsed="false">
      <c r="A9" s="15" t="n">
        <v>5</v>
      </c>
      <c r="B9" s="15" t="n">
        <f aca="false">Tranche*INT((A9-1)/7)</f>
        <v>0</v>
      </c>
      <c r="C9" s="15" t="n">
        <f aca="false">MOD(A9-1,7)</f>
        <v>4</v>
      </c>
      <c r="D9" s="27" t="n">
        <v>0.07118</v>
      </c>
      <c r="E9" s="12" t="n">
        <f aca="false">Fee*B9+Vq*C9</f>
        <v>32</v>
      </c>
      <c r="F9" s="15" t="n">
        <f aca="false">IF(D9&lt;=Appetite,1,0)</f>
        <v>0</v>
      </c>
      <c r="G9" s="15" t="n">
        <f aca="false">IF(AND(F9=1,ABS(E9-$J$7)&lt;0.000000001),1,0)</f>
        <v>0</v>
      </c>
      <c r="I9" s="2" t="s">
        <v>192</v>
      </c>
      <c r="J9" s="15" t="n">
        <f aca="false">INDEX(C5:C67,MATCH(1,G5:G67,0))</f>
        <v>1</v>
      </c>
    </row>
    <row r="10" customFormat="false" ht="15" hidden="false" customHeight="false" outlineLevel="0" collapsed="false">
      <c r="A10" s="15" t="n">
        <v>6</v>
      </c>
      <c r="B10" s="15" t="n">
        <f aca="false">Tranche*INT((A10-1)/7)</f>
        <v>0</v>
      </c>
      <c r="C10" s="15" t="n">
        <f aca="false">MOD(A10-1,7)</f>
        <v>5</v>
      </c>
      <c r="D10" s="27" t="n">
        <v>0.05167</v>
      </c>
      <c r="E10" s="12" t="n">
        <f aca="false">Fee*B10+Vq*C10</f>
        <v>40</v>
      </c>
      <c r="F10" s="15" t="n">
        <f aca="false">IF(D10&lt;=Appetite,1,0)</f>
        <v>0</v>
      </c>
      <c r="G10" s="15" t="n">
        <f aca="false">IF(AND(F10=1,ABS(E10-$J$7)&lt;0.000000001),1,0)</f>
        <v>0</v>
      </c>
      <c r="I10" s="2" t="s">
        <v>193</v>
      </c>
      <c r="J10" s="25" t="n">
        <f aca="false">INDEX(D5:D67,MATCH(1,G5:G67,0))</f>
        <v>0.04003</v>
      </c>
    </row>
    <row r="11" customFormat="false" ht="15" hidden="false" customHeight="false" outlineLevel="0" collapsed="false">
      <c r="A11" s="15" t="n">
        <v>7</v>
      </c>
      <c r="B11" s="15" t="n">
        <f aca="false">Tranche*INT((A11-1)/7)</f>
        <v>0</v>
      </c>
      <c r="C11" s="15" t="n">
        <f aca="false">MOD(A11-1,7)</f>
        <v>6</v>
      </c>
      <c r="D11" s="27" t="n">
        <v>0.03668</v>
      </c>
      <c r="E11" s="12" t="n">
        <f aca="false">Fee*B11+Vq*C11</f>
        <v>48</v>
      </c>
      <c r="F11" s="15" t="n">
        <f aca="false">IF(D11&lt;=Appetite,1,0)</f>
        <v>1</v>
      </c>
      <c r="G11" s="15" t="n">
        <f aca="false">IF(AND(F11=1,ABS(E11-$J$7)&lt;0.000000001),1,0)</f>
        <v>0</v>
      </c>
    </row>
    <row r="12" customFormat="false" ht="15" hidden="false" customHeight="false" outlineLevel="0" collapsed="false">
      <c r="A12" s="15" t="n">
        <v>8</v>
      </c>
      <c r="B12" s="15" t="n">
        <f aca="false">Tranche*INT((A12-1)/7)</f>
        <v>50</v>
      </c>
      <c r="C12" s="15" t="n">
        <f aca="false">MOD(A12-1,7)</f>
        <v>0</v>
      </c>
      <c r="D12" s="27" t="n">
        <v>0.18073</v>
      </c>
      <c r="E12" s="12" t="n">
        <f aca="false">Fee*B12+Vq*C12</f>
        <v>1.5</v>
      </c>
      <c r="F12" s="15" t="n">
        <f aca="false">IF(D12&lt;=Appetite,1,0)</f>
        <v>0</v>
      </c>
      <c r="G12" s="15" t="n">
        <f aca="false">IF(AND(F12=1,ABS(E12-$J$7)&lt;0.000000001),1,0)</f>
        <v>0</v>
      </c>
      <c r="I12" s="2" t="s">
        <v>194</v>
      </c>
      <c r="J12" s="15" t="n">
        <f aca="false">Continuous!H6</f>
        <v>170</v>
      </c>
    </row>
    <row r="13" customFormat="false" ht="15" hidden="false" customHeight="false" outlineLevel="0" collapsed="false">
      <c r="A13" s="15" t="n">
        <v>9</v>
      </c>
      <c r="B13" s="15" t="n">
        <f aca="false">Tranche*INT((A13-1)/7)</f>
        <v>50</v>
      </c>
      <c r="C13" s="15" t="n">
        <f aca="false">MOD(A13-1,7)</f>
        <v>1</v>
      </c>
      <c r="D13" s="27" t="n">
        <v>0.11089</v>
      </c>
      <c r="E13" s="12" t="n">
        <f aca="false">Fee*B13+Vq*C13</f>
        <v>9.5</v>
      </c>
      <c r="F13" s="15" t="n">
        <f aca="false">IF(D13&lt;=Appetite,1,0)</f>
        <v>0</v>
      </c>
      <c r="G13" s="15" t="n">
        <f aca="false">IF(AND(F13=1,ABS(E13-$J$7)&lt;0.000000001),1,0)</f>
        <v>0</v>
      </c>
      <c r="I13" s="2" t="s">
        <v>195</v>
      </c>
      <c r="J13" s="24" t="n">
        <f aca="false">Continuous!H7</f>
        <v>0.667576361426626</v>
      </c>
    </row>
    <row r="14" customFormat="false" ht="15" hidden="false" customHeight="false" outlineLevel="0" collapsed="false">
      <c r="A14" s="15" t="n">
        <v>10</v>
      </c>
      <c r="B14" s="15" t="n">
        <f aca="false">Tranche*INT((A14-1)/7)</f>
        <v>50</v>
      </c>
      <c r="C14" s="15" t="n">
        <f aca="false">MOD(A14-1,7)</f>
        <v>2</v>
      </c>
      <c r="D14" s="27" t="n">
        <v>0.06903</v>
      </c>
      <c r="E14" s="12" t="n">
        <f aca="false">Fee*B14+Vq*C14</f>
        <v>17.5</v>
      </c>
      <c r="F14" s="15" t="n">
        <f aca="false">IF(D14&lt;=Appetite,1,0)</f>
        <v>0</v>
      </c>
      <c r="G14" s="15" t="n">
        <f aca="false">IF(AND(F14=1,ABS(E14-$J$7)&lt;0.000000001),1,0)</f>
        <v>0</v>
      </c>
      <c r="I14" s="2" t="s">
        <v>196</v>
      </c>
      <c r="J14" s="12" t="n">
        <f aca="false">Continuous!H5</f>
        <v>10.440610891413</v>
      </c>
    </row>
    <row r="15" customFormat="false" ht="15" hidden="false" customHeight="false" outlineLevel="0" collapsed="false">
      <c r="A15" s="15" t="n">
        <v>11</v>
      </c>
      <c r="B15" s="15" t="n">
        <f aca="false">Tranche*INT((A15-1)/7)</f>
        <v>50</v>
      </c>
      <c r="C15" s="15" t="n">
        <f aca="false">MOD(A15-1,7)</f>
        <v>3</v>
      </c>
      <c r="D15" s="27" t="n">
        <v>0.04392</v>
      </c>
      <c r="E15" s="12" t="n">
        <f aca="false">Fee*B15+Vq*C15</f>
        <v>25.5</v>
      </c>
      <c r="F15" s="15" t="n">
        <f aca="false">IF(D15&lt;=Appetite,1,0)</f>
        <v>1</v>
      </c>
      <c r="G15" s="15" t="n">
        <f aca="false">IF(AND(F15=1,ABS(E15-$J$7)&lt;0.000000001),1,0)</f>
        <v>0</v>
      </c>
    </row>
    <row r="16" customFormat="false" ht="15" hidden="false" customHeight="false" outlineLevel="0" collapsed="false">
      <c r="A16" s="15" t="n">
        <v>12</v>
      </c>
      <c r="B16" s="15" t="n">
        <f aca="false">Tranche*INT((A16-1)/7)</f>
        <v>50</v>
      </c>
      <c r="C16" s="15" t="n">
        <f aca="false">MOD(A16-1,7)</f>
        <v>4</v>
      </c>
      <c r="D16" s="27" t="n">
        <v>0.02801</v>
      </c>
      <c r="E16" s="12" t="n">
        <f aca="false">Fee*B16+Vq*C16</f>
        <v>33.5</v>
      </c>
      <c r="F16" s="15" t="n">
        <f aca="false">IF(D16&lt;=Appetite,1,0)</f>
        <v>1</v>
      </c>
      <c r="G16" s="15" t="n">
        <f aca="false">IF(AND(F16=1,ABS(E16-$J$7)&lt;0.000000001),1,0)</f>
        <v>0</v>
      </c>
      <c r="I16" s="2" t="s">
        <v>197</v>
      </c>
      <c r="J16" s="15" t="n">
        <f aca="false">INT(J12/Tranche)*Tranche</f>
        <v>150</v>
      </c>
    </row>
    <row r="17" customFormat="false" ht="15" hidden="false" customHeight="false" outlineLevel="0" collapsed="false">
      <c r="A17" s="15" t="n">
        <v>13</v>
      </c>
      <c r="B17" s="15" t="n">
        <f aca="false">Tranche*INT((A17-1)/7)</f>
        <v>50</v>
      </c>
      <c r="C17" s="15" t="n">
        <f aca="false">MOD(A17-1,7)</f>
        <v>5</v>
      </c>
      <c r="D17" s="27" t="n">
        <v>0.01772</v>
      </c>
      <c r="E17" s="12" t="n">
        <f aca="false">Fee*B17+Vq*C17</f>
        <v>41.5</v>
      </c>
      <c r="F17" s="15" t="n">
        <f aca="false">IF(D17&lt;=Appetite,1,0)</f>
        <v>1</v>
      </c>
      <c r="G17" s="15" t="n">
        <f aca="false">IF(AND(F17=1,ABS(E17-$J$7)&lt;0.000000001),1,0)</f>
        <v>0</v>
      </c>
      <c r="I17" s="2" t="s">
        <v>198</v>
      </c>
      <c r="J17" s="15" t="n">
        <f aca="false">INT(J13)</f>
        <v>0</v>
      </c>
    </row>
    <row r="18" customFormat="false" ht="15" hidden="false" customHeight="false" outlineLevel="0" collapsed="false">
      <c r="A18" s="15" t="n">
        <v>14</v>
      </c>
      <c r="B18" s="15" t="n">
        <f aca="false">Tranche*INT((A18-1)/7)</f>
        <v>50</v>
      </c>
      <c r="C18" s="15" t="n">
        <f aca="false">MOD(A18-1,7)</f>
        <v>6</v>
      </c>
      <c r="D18" s="27" t="n">
        <v>0.01098</v>
      </c>
      <c r="E18" s="12" t="n">
        <f aca="false">Fee*B18+Vq*C18</f>
        <v>49.5</v>
      </c>
      <c r="F18" s="15" t="n">
        <f aca="false">IF(D18&lt;=Appetite,1,0)</f>
        <v>1</v>
      </c>
      <c r="G18" s="15" t="n">
        <f aca="false">IF(AND(F18=1,ABS(E18-$J$7)&lt;0.000000001),1,0)</f>
        <v>0</v>
      </c>
      <c r="I18" s="2" t="s">
        <v>199</v>
      </c>
      <c r="J18" s="25" t="n">
        <f aca="false">SUMIFS(D5:D67,B5:B67,J16,C5:C67,J17)</f>
        <v>0.09587</v>
      </c>
    </row>
    <row r="19" customFormat="false" ht="15" hidden="false" customHeight="false" outlineLevel="0" collapsed="false">
      <c r="A19" s="15" t="n">
        <v>15</v>
      </c>
      <c r="B19" s="15" t="n">
        <f aca="false">Tranche*INT((A19-1)/7)</f>
        <v>100</v>
      </c>
      <c r="C19" s="15" t="n">
        <f aca="false">MOD(A19-1,7)</f>
        <v>0</v>
      </c>
      <c r="D19" s="27" t="n">
        <v>0.12374</v>
      </c>
      <c r="E19" s="12" t="n">
        <f aca="false">Fee*B19+Vq*C19</f>
        <v>3</v>
      </c>
      <c r="F19" s="15" t="n">
        <f aca="false">IF(D19&lt;=Appetite,1,0)</f>
        <v>0</v>
      </c>
      <c r="G19" s="15" t="n">
        <f aca="false">IF(AND(F19=1,ABS(E19-$J$7)&lt;0.000000001),1,0)</f>
        <v>0</v>
      </c>
      <c r="I19" s="2" t="s">
        <v>200</v>
      </c>
      <c r="J19" s="12" t="n">
        <f aca="false">Fee*J16+Vq*J17</f>
        <v>4.5</v>
      </c>
    </row>
    <row r="20" customFormat="false" ht="15" hidden="false" customHeight="false" outlineLevel="0" collapsed="false">
      <c r="A20" s="15" t="n">
        <v>16</v>
      </c>
      <c r="B20" s="15" t="n">
        <f aca="false">Tranche*INT((A20-1)/7)</f>
        <v>100</v>
      </c>
      <c r="C20" s="15" t="n">
        <f aca="false">MOD(A20-1,7)</f>
        <v>1</v>
      </c>
      <c r="D20" s="27" t="n">
        <v>0.06165</v>
      </c>
      <c r="E20" s="12" t="n">
        <f aca="false">Fee*B20+Vq*C20</f>
        <v>11</v>
      </c>
      <c r="F20" s="15" t="n">
        <f aca="false">IF(D20&lt;=Appetite,1,0)</f>
        <v>0</v>
      </c>
      <c r="G20" s="15" t="n">
        <f aca="false">IF(AND(F20=1,ABS(E20-$J$7)&lt;0.000000001),1,0)</f>
        <v>0</v>
      </c>
      <c r="I20" s="2" t="s">
        <v>201</v>
      </c>
      <c r="J20" s="2" t="str">
        <f aca="false">IF(J18&lt;=Appetite,"yes","no: it fails")</f>
        <v>no: it fails</v>
      </c>
    </row>
    <row r="21" customFormat="false" ht="15" hidden="false" customHeight="false" outlineLevel="0" collapsed="false">
      <c r="A21" s="15" t="n">
        <v>17</v>
      </c>
      <c r="B21" s="15" t="n">
        <f aca="false">Tranche*INT((A21-1)/7)</f>
        <v>100</v>
      </c>
      <c r="C21" s="15" t="n">
        <f aca="false">MOD(A21-1,7)</f>
        <v>2</v>
      </c>
      <c r="D21" s="27" t="n">
        <v>0.03003</v>
      </c>
      <c r="E21" s="12" t="n">
        <f aca="false">Fee*B21+Vq*C21</f>
        <v>19</v>
      </c>
      <c r="F21" s="15" t="n">
        <f aca="false">IF(D21&lt;=Appetite,1,0)</f>
        <v>1</v>
      </c>
      <c r="G21" s="15" t="n">
        <f aca="false">IF(AND(F21=1,ABS(E21-$J$7)&lt;0.000000001),1,0)</f>
        <v>0</v>
      </c>
    </row>
    <row r="22" customFormat="false" ht="15" hidden="false" customHeight="false" outlineLevel="0" collapsed="false">
      <c r="A22" s="15" t="n">
        <v>18</v>
      </c>
      <c r="B22" s="15" t="n">
        <f aca="false">Tranche*INT((A22-1)/7)</f>
        <v>100</v>
      </c>
      <c r="C22" s="15" t="n">
        <f aca="false">MOD(A22-1,7)</f>
        <v>3</v>
      </c>
      <c r="D22" s="27" t="n">
        <v>0.01517</v>
      </c>
      <c r="E22" s="12" t="n">
        <f aca="false">Fee*B22+Vq*C22</f>
        <v>27</v>
      </c>
      <c r="F22" s="15" t="n">
        <f aca="false">IF(D22&lt;=Appetite,1,0)</f>
        <v>1</v>
      </c>
      <c r="G22" s="15" t="n">
        <f aca="false">IF(AND(F22=1,ABS(E22-$J$7)&lt;0.000000001),1,0)</f>
        <v>0</v>
      </c>
      <c r="I22" s="2" t="s">
        <v>202</v>
      </c>
      <c r="J22" s="15" t="n">
        <f aca="false">-INT(-J12/Tranche)*Tranche</f>
        <v>200</v>
      </c>
    </row>
    <row r="23" customFormat="false" ht="15" hidden="false" customHeight="false" outlineLevel="0" collapsed="false">
      <c r="A23" s="15" t="n">
        <v>19</v>
      </c>
      <c r="B23" s="15" t="n">
        <f aca="false">Tranche*INT((A23-1)/7)</f>
        <v>100</v>
      </c>
      <c r="C23" s="15" t="n">
        <f aca="false">MOD(A23-1,7)</f>
        <v>4</v>
      </c>
      <c r="D23" s="27" t="n">
        <v>0.00778</v>
      </c>
      <c r="E23" s="12" t="n">
        <f aca="false">Fee*B23+Vq*C23</f>
        <v>35</v>
      </c>
      <c r="F23" s="15" t="n">
        <f aca="false">IF(D23&lt;=Appetite,1,0)</f>
        <v>1</v>
      </c>
      <c r="G23" s="15" t="n">
        <f aca="false">IF(AND(F23=1,ABS(E23-$J$7)&lt;0.000000001),1,0)</f>
        <v>0</v>
      </c>
      <c r="I23" s="2" t="s">
        <v>203</v>
      </c>
      <c r="J23" s="15" t="n">
        <f aca="false">-INT(-J13)</f>
        <v>1</v>
      </c>
    </row>
    <row r="24" customFormat="false" ht="15" hidden="false" customHeight="false" outlineLevel="0" collapsed="false">
      <c r="A24" s="15" t="n">
        <v>20</v>
      </c>
      <c r="B24" s="15" t="n">
        <f aca="false">Tranche*INT((A24-1)/7)</f>
        <v>100</v>
      </c>
      <c r="C24" s="15" t="n">
        <f aca="false">MOD(A24-1,7)</f>
        <v>5</v>
      </c>
      <c r="D24" s="27" t="n">
        <v>0.00421</v>
      </c>
      <c r="E24" s="12" t="n">
        <f aca="false">Fee*B24+Vq*C24</f>
        <v>43</v>
      </c>
      <c r="F24" s="15" t="n">
        <f aca="false">IF(D24&lt;=Appetite,1,0)</f>
        <v>1</v>
      </c>
      <c r="G24" s="15" t="n">
        <f aca="false">IF(AND(F24=1,ABS(E24-$J$7)&lt;0.000000001),1,0)</f>
        <v>0</v>
      </c>
      <c r="I24" s="2" t="s">
        <v>204</v>
      </c>
      <c r="J24" s="25" t="n">
        <f aca="false">SUMIFS(D5:D67,B5:B67,J22,C5:C67,J23)</f>
        <v>0.03386</v>
      </c>
    </row>
    <row r="25" customFormat="false" ht="15" hidden="false" customHeight="false" outlineLevel="0" collapsed="false">
      <c r="A25" s="15" t="n">
        <v>21</v>
      </c>
      <c r="B25" s="15" t="n">
        <f aca="false">Tranche*INT((A25-1)/7)</f>
        <v>100</v>
      </c>
      <c r="C25" s="15" t="n">
        <f aca="false">MOD(A25-1,7)</f>
        <v>6</v>
      </c>
      <c r="D25" s="27" t="n">
        <v>0.00233</v>
      </c>
      <c r="E25" s="12" t="n">
        <f aca="false">Fee*B25+Vq*C25</f>
        <v>51</v>
      </c>
      <c r="F25" s="15" t="n">
        <f aca="false">IF(D25&lt;=Appetite,1,0)</f>
        <v>1</v>
      </c>
      <c r="G25" s="15" t="n">
        <f aca="false">IF(AND(F25=1,ABS(E25-$J$7)&lt;0.000000001),1,0)</f>
        <v>0</v>
      </c>
      <c r="I25" s="2" t="s">
        <v>205</v>
      </c>
      <c r="J25" s="12" t="n">
        <f aca="false">Fee*J22+Vq*J23</f>
        <v>14</v>
      </c>
    </row>
    <row r="26" customFormat="false" ht="15" hidden="false" customHeight="false" outlineLevel="0" collapsed="false">
      <c r="A26" s="15" t="n">
        <v>22</v>
      </c>
      <c r="B26" s="15" t="n">
        <f aca="false">Tranche*INT((A26-1)/7)</f>
        <v>150</v>
      </c>
      <c r="C26" s="15" t="n">
        <f aca="false">MOD(A26-1,7)</f>
        <v>0</v>
      </c>
      <c r="D26" s="27" t="n">
        <v>0.09587</v>
      </c>
      <c r="E26" s="12" t="n">
        <f aca="false">Fee*B26+Vq*C26</f>
        <v>4.5</v>
      </c>
      <c r="F26" s="15" t="n">
        <f aca="false">IF(D26&lt;=Appetite,1,0)</f>
        <v>0</v>
      </c>
      <c r="G26" s="15" t="n">
        <f aca="false">IF(AND(F26=1,ABS(E26-$J$7)&lt;0.000000001),1,0)</f>
        <v>0</v>
      </c>
      <c r="I26" s="2" t="s">
        <v>206</v>
      </c>
      <c r="J26" s="2" t="str">
        <f aca="false">IF(J24&lt;=Appetite,"yes","no: it fails")</f>
        <v>yes</v>
      </c>
    </row>
    <row r="27" customFormat="false" ht="15" hidden="false" customHeight="false" outlineLevel="0" collapsed="false">
      <c r="A27" s="15" t="n">
        <v>23</v>
      </c>
      <c r="B27" s="15" t="n">
        <f aca="false">Tranche*INT((A27-1)/7)</f>
        <v>150</v>
      </c>
      <c r="C27" s="15" t="n">
        <f aca="false">MOD(A27-1,7)</f>
        <v>1</v>
      </c>
      <c r="D27" s="27" t="n">
        <v>0.04003</v>
      </c>
      <c r="E27" s="12" t="n">
        <f aca="false">Fee*B27+Vq*C27</f>
        <v>12.5</v>
      </c>
      <c r="F27" s="15" t="n">
        <f aca="false">IF(D27&lt;=Appetite,1,0)</f>
        <v>1</v>
      </c>
      <c r="G27" s="15" t="n">
        <f aca="false">IF(AND(F27=1,ABS(E27-$J$7)&lt;0.000000001),1,0)</f>
        <v>1</v>
      </c>
    </row>
    <row r="28" customFormat="false" ht="15" hidden="false" customHeight="false" outlineLevel="0" collapsed="false">
      <c r="A28" s="15" t="n">
        <v>24</v>
      </c>
      <c r="B28" s="15" t="n">
        <f aca="false">Tranche*INT((A28-1)/7)</f>
        <v>150</v>
      </c>
      <c r="C28" s="15" t="n">
        <f aca="false">MOD(A28-1,7)</f>
        <v>2</v>
      </c>
      <c r="D28" s="27" t="n">
        <v>0.01548</v>
      </c>
      <c r="E28" s="12" t="n">
        <f aca="false">Fee*B28+Vq*C28</f>
        <v>20.5</v>
      </c>
      <c r="F28" s="15" t="n">
        <f aca="false">IF(D28&lt;=Appetite,1,0)</f>
        <v>1</v>
      </c>
      <c r="G28" s="15" t="n">
        <f aca="false">IF(AND(F28=1,ABS(E28-$J$7)&lt;0.000000001),1,0)</f>
        <v>0</v>
      </c>
      <c r="I28" s="2" t="s">
        <v>207</v>
      </c>
      <c r="J28" s="12" t="n">
        <f aca="false">J7-J14</f>
        <v>2.05938910858699</v>
      </c>
    </row>
    <row r="29" customFormat="false" ht="15" hidden="false" customHeight="false" outlineLevel="0" collapsed="false">
      <c r="A29" s="15" t="n">
        <v>25</v>
      </c>
      <c r="B29" s="15" t="n">
        <f aca="false">Tranche*INT((A29-1)/7)</f>
        <v>150</v>
      </c>
      <c r="C29" s="15" t="n">
        <f aca="false">MOD(A29-1,7)</f>
        <v>3</v>
      </c>
      <c r="D29" s="27" t="n">
        <v>0.00574</v>
      </c>
      <c r="E29" s="12" t="n">
        <f aca="false">Fee*B29+Vq*C29</f>
        <v>28.5</v>
      </c>
      <c r="F29" s="15" t="n">
        <f aca="false">IF(D29&lt;=Appetite,1,0)</f>
        <v>1</v>
      </c>
      <c r="G29" s="15" t="n">
        <f aca="false">IF(AND(F29=1,ABS(E29-$J$7)&lt;0.000000001),1,0)</f>
        <v>0</v>
      </c>
      <c r="I29" s="2" t="s">
        <v>208</v>
      </c>
      <c r="J29" s="28" t="n">
        <f aca="false">J28/J14</f>
        <v>0.197247951293804</v>
      </c>
    </row>
    <row r="30" customFormat="false" ht="15" hidden="false" customHeight="false" outlineLevel="0" collapsed="false">
      <c r="A30" s="15" t="n">
        <v>26</v>
      </c>
      <c r="B30" s="15" t="n">
        <f aca="false">Tranche*INT((A30-1)/7)</f>
        <v>150</v>
      </c>
      <c r="C30" s="15" t="n">
        <f aca="false">MOD(A30-1,7)</f>
        <v>4</v>
      </c>
      <c r="D30" s="27" t="n">
        <v>0.00236</v>
      </c>
      <c r="E30" s="12" t="n">
        <f aca="false">Fee*B30+Vq*C30</f>
        <v>36.5</v>
      </c>
      <c r="F30" s="15" t="n">
        <f aca="false">IF(D30&lt;=Appetite,1,0)</f>
        <v>1</v>
      </c>
      <c r="G30" s="15" t="n">
        <f aca="false">IF(AND(F30=1,ABS(E30-$J$7)&lt;0.000000001),1,0)</f>
        <v>0</v>
      </c>
    </row>
    <row r="31" customFormat="false" ht="15" hidden="false" customHeight="false" outlineLevel="0" collapsed="false">
      <c r="A31" s="15" t="n">
        <v>27</v>
      </c>
      <c r="B31" s="15" t="n">
        <f aca="false">Tranche*INT((A31-1)/7)</f>
        <v>150</v>
      </c>
      <c r="C31" s="15" t="n">
        <f aca="false">MOD(A31-1,7)</f>
        <v>5</v>
      </c>
      <c r="D31" s="27" t="n">
        <v>0.00096</v>
      </c>
      <c r="E31" s="12" t="n">
        <f aca="false">Fee*B31+Vq*C31</f>
        <v>44.5</v>
      </c>
      <c r="F31" s="15" t="n">
        <f aca="false">IF(D31&lt;=Appetite,1,0)</f>
        <v>1</v>
      </c>
      <c r="G31" s="15" t="n">
        <f aca="false">IF(AND(F31=1,ABS(E31-$J$7)&lt;0.000000001),1,0)</f>
        <v>0</v>
      </c>
      <c r="I31" s="2" t="s">
        <v>209</v>
      </c>
      <c r="J31" s="2" t="str">
        <f aca="false">IF(MOD((J8+J22)/2,Tranche)=0,"yes","no: the lattice is not convex")</f>
        <v>no: the lattice is not convex</v>
      </c>
    </row>
    <row r="32" customFormat="false" ht="15" hidden="false" customHeight="false" outlineLevel="0" collapsed="false">
      <c r="A32" s="15" t="n">
        <v>28</v>
      </c>
      <c r="B32" s="15" t="n">
        <f aca="false">Tranche*INT((A32-1)/7)</f>
        <v>150</v>
      </c>
      <c r="C32" s="15" t="n">
        <f aca="false">MOD(A32-1,7)</f>
        <v>6</v>
      </c>
      <c r="D32" s="27" t="n">
        <v>0.00038</v>
      </c>
      <c r="E32" s="12" t="n">
        <f aca="false">Fee*B32+Vq*C32</f>
        <v>52.5</v>
      </c>
      <c r="F32" s="15" t="n">
        <f aca="false">IF(D32&lt;=Appetite,1,0)</f>
        <v>1</v>
      </c>
      <c r="G32" s="15" t="n">
        <f aca="false">IF(AND(F32=1,ABS(E32-$J$7)&lt;0.000000001),1,0)</f>
        <v>0</v>
      </c>
      <c r="I32" s="2" t="s">
        <v>210</v>
      </c>
      <c r="J32" s="29" t="n">
        <f aca="false">2^40</f>
        <v>1099511627776</v>
      </c>
    </row>
    <row r="33" customFormat="false" ht="15" hidden="false" customHeight="false" outlineLevel="0" collapsed="false">
      <c r="A33" s="15" t="n">
        <v>29</v>
      </c>
      <c r="B33" s="15" t="n">
        <f aca="false">Tranche*INT((A33-1)/7)</f>
        <v>200</v>
      </c>
      <c r="C33" s="15" t="n">
        <f aca="false">MOD(A33-1,7)</f>
        <v>0</v>
      </c>
      <c r="D33" s="27" t="n">
        <v>0.08674</v>
      </c>
      <c r="E33" s="12" t="n">
        <f aca="false">Fee*B33+Vq*C33</f>
        <v>6</v>
      </c>
      <c r="F33" s="15" t="n">
        <f aca="false">IF(D33&lt;=Appetite,1,0)</f>
        <v>0</v>
      </c>
      <c r="G33" s="15" t="n">
        <f aca="false">IF(AND(F33=1,ABS(E33-$J$7)&lt;0.000000001),1,0)</f>
        <v>0</v>
      </c>
    </row>
    <row r="34" customFormat="false" ht="15" hidden="false" customHeight="false" outlineLevel="0" collapsed="false">
      <c r="A34" s="15" t="n">
        <v>30</v>
      </c>
      <c r="B34" s="15" t="n">
        <f aca="false">Tranche*INT((A34-1)/7)</f>
        <v>200</v>
      </c>
      <c r="C34" s="15" t="n">
        <f aca="false">MOD(A34-1,7)</f>
        <v>1</v>
      </c>
      <c r="D34" s="27" t="n">
        <v>0.03386</v>
      </c>
      <c r="E34" s="12" t="n">
        <f aca="false">Fee*B34+Vq*C34</f>
        <v>14</v>
      </c>
      <c r="F34" s="15" t="n">
        <f aca="false">IF(D34&lt;=Appetite,1,0)</f>
        <v>1</v>
      </c>
      <c r="G34" s="15" t="n">
        <f aca="false">IF(AND(F34=1,ABS(E34-$J$7)&lt;0.000000001),1,0)</f>
        <v>0</v>
      </c>
    </row>
    <row r="35" customFormat="false" ht="15" hidden="false" customHeight="false" outlineLevel="0" collapsed="false">
      <c r="A35" s="15" t="n">
        <v>31</v>
      </c>
      <c r="B35" s="15" t="n">
        <f aca="false">Tranche*INT((A35-1)/7)</f>
        <v>200</v>
      </c>
      <c r="C35" s="15" t="n">
        <f aca="false">MOD(A35-1,7)</f>
        <v>2</v>
      </c>
      <c r="D35" s="27" t="n">
        <v>0.01165</v>
      </c>
      <c r="E35" s="12" t="n">
        <f aca="false">Fee*B35+Vq*C35</f>
        <v>22</v>
      </c>
      <c r="F35" s="15" t="n">
        <f aca="false">IF(D35&lt;=Appetite,1,0)</f>
        <v>1</v>
      </c>
      <c r="G35" s="15" t="n">
        <f aca="false">IF(AND(F35=1,ABS(E35-$J$7)&lt;0.000000001),1,0)</f>
        <v>0</v>
      </c>
    </row>
    <row r="36" customFormat="false" ht="15" hidden="false" customHeight="false" outlineLevel="0" collapsed="false">
      <c r="A36" s="15" t="n">
        <v>32</v>
      </c>
      <c r="B36" s="15" t="n">
        <f aca="false">Tranche*INT((A36-1)/7)</f>
        <v>200</v>
      </c>
      <c r="C36" s="15" t="n">
        <f aca="false">MOD(A36-1,7)</f>
        <v>3</v>
      </c>
      <c r="D36" s="27" t="n">
        <v>0.00348</v>
      </c>
      <c r="E36" s="12" t="n">
        <f aca="false">Fee*B36+Vq*C36</f>
        <v>30</v>
      </c>
      <c r="F36" s="15" t="n">
        <f aca="false">IF(D36&lt;=Appetite,1,0)</f>
        <v>1</v>
      </c>
      <c r="G36" s="15" t="n">
        <f aca="false">IF(AND(F36=1,ABS(E36-$J$7)&lt;0.000000001),1,0)</f>
        <v>0</v>
      </c>
    </row>
    <row r="37" customFormat="false" ht="15" hidden="false" customHeight="false" outlineLevel="0" collapsed="false">
      <c r="A37" s="15" t="n">
        <v>33</v>
      </c>
      <c r="B37" s="15" t="n">
        <f aca="false">Tranche*INT((A37-1)/7)</f>
        <v>200</v>
      </c>
      <c r="C37" s="15" t="n">
        <f aca="false">MOD(A37-1,7)</f>
        <v>4</v>
      </c>
      <c r="D37" s="27" t="n">
        <v>0.00105</v>
      </c>
      <c r="E37" s="12" t="n">
        <f aca="false">Fee*B37+Vq*C37</f>
        <v>38</v>
      </c>
      <c r="F37" s="15" t="n">
        <f aca="false">IF(D37&lt;=Appetite,1,0)</f>
        <v>1</v>
      </c>
      <c r="G37" s="15" t="n">
        <f aca="false">IF(AND(F37=1,ABS(E37-$J$7)&lt;0.000000001),1,0)</f>
        <v>0</v>
      </c>
    </row>
    <row r="38" customFormat="false" ht="15" hidden="false" customHeight="false" outlineLevel="0" collapsed="false">
      <c r="A38" s="15" t="n">
        <v>34</v>
      </c>
      <c r="B38" s="15" t="n">
        <f aca="false">Tranche*INT((A38-1)/7)</f>
        <v>200</v>
      </c>
      <c r="C38" s="15" t="n">
        <f aca="false">MOD(A38-1,7)</f>
        <v>5</v>
      </c>
      <c r="D38" s="27" t="n">
        <v>0.00031</v>
      </c>
      <c r="E38" s="12" t="n">
        <f aca="false">Fee*B38+Vq*C38</f>
        <v>46</v>
      </c>
      <c r="F38" s="15" t="n">
        <f aca="false">IF(D38&lt;=Appetite,1,0)</f>
        <v>1</v>
      </c>
      <c r="G38" s="15" t="n">
        <f aca="false">IF(AND(F38=1,ABS(E38-$J$7)&lt;0.000000001),1,0)</f>
        <v>0</v>
      </c>
    </row>
    <row r="39" customFormat="false" ht="15" hidden="false" customHeight="false" outlineLevel="0" collapsed="false">
      <c r="A39" s="15" t="n">
        <v>35</v>
      </c>
      <c r="B39" s="15" t="n">
        <f aca="false">Tranche*INT((A39-1)/7)</f>
        <v>200</v>
      </c>
      <c r="C39" s="15" t="n">
        <f aca="false">MOD(A39-1,7)</f>
        <v>6</v>
      </c>
      <c r="D39" s="27" t="n">
        <v>7E-005</v>
      </c>
      <c r="E39" s="12" t="n">
        <f aca="false">Fee*B39+Vq*C39</f>
        <v>54</v>
      </c>
      <c r="F39" s="15" t="n">
        <f aca="false">IF(D39&lt;=Appetite,1,0)</f>
        <v>1</v>
      </c>
      <c r="G39" s="15" t="n">
        <f aca="false">IF(AND(F39=1,ABS(E39-$J$7)&lt;0.000000001),1,0)</f>
        <v>0</v>
      </c>
    </row>
    <row r="40" customFormat="false" ht="15" hidden="false" customHeight="false" outlineLevel="0" collapsed="false">
      <c r="A40" s="15" t="n">
        <v>36</v>
      </c>
      <c r="B40" s="15" t="n">
        <f aca="false">Tranche*INT((A40-1)/7)</f>
        <v>250</v>
      </c>
      <c r="C40" s="15" t="n">
        <f aca="false">MOD(A40-1,7)</f>
        <v>0</v>
      </c>
      <c r="D40" s="27" t="n">
        <v>0.08461</v>
      </c>
      <c r="E40" s="12" t="n">
        <f aca="false">Fee*B40+Vq*C40</f>
        <v>7.5</v>
      </c>
      <c r="F40" s="15" t="n">
        <f aca="false">IF(D40&lt;=Appetite,1,0)</f>
        <v>0</v>
      </c>
      <c r="G40" s="15" t="n">
        <f aca="false">IF(AND(F40=1,ABS(E40-$J$7)&lt;0.000000001),1,0)</f>
        <v>0</v>
      </c>
    </row>
    <row r="41" customFormat="false" ht="15" hidden="false" customHeight="false" outlineLevel="0" collapsed="false">
      <c r="A41" s="15" t="n">
        <v>37</v>
      </c>
      <c r="B41" s="15" t="n">
        <f aca="false">Tranche*INT((A41-1)/7)</f>
        <v>250</v>
      </c>
      <c r="C41" s="15" t="n">
        <f aca="false">MOD(A41-1,7)</f>
        <v>1</v>
      </c>
      <c r="D41" s="27" t="n">
        <v>0.03241</v>
      </c>
      <c r="E41" s="12" t="n">
        <f aca="false">Fee*B41+Vq*C41</f>
        <v>15.5</v>
      </c>
      <c r="F41" s="15" t="n">
        <f aca="false">IF(D41&lt;=Appetite,1,0)</f>
        <v>1</v>
      </c>
      <c r="G41" s="15" t="n">
        <f aca="false">IF(AND(F41=1,ABS(E41-$J$7)&lt;0.000000001),1,0)</f>
        <v>0</v>
      </c>
    </row>
    <row r="42" customFormat="false" ht="15" hidden="false" customHeight="false" outlineLevel="0" collapsed="false">
      <c r="A42" s="15" t="n">
        <v>38</v>
      </c>
      <c r="B42" s="15" t="n">
        <f aca="false">Tranche*INT((A42-1)/7)</f>
        <v>250</v>
      </c>
      <c r="C42" s="15" t="n">
        <f aca="false">MOD(A42-1,7)</f>
        <v>2</v>
      </c>
      <c r="D42" s="27" t="n">
        <v>0.01068</v>
      </c>
      <c r="E42" s="12" t="n">
        <f aca="false">Fee*B42+Vq*C42</f>
        <v>23.5</v>
      </c>
      <c r="F42" s="15" t="n">
        <f aca="false">IF(D42&lt;=Appetite,1,0)</f>
        <v>1</v>
      </c>
      <c r="G42" s="15" t="n">
        <f aca="false">IF(AND(F42=1,ABS(E42-$J$7)&lt;0.000000001),1,0)</f>
        <v>0</v>
      </c>
    </row>
    <row r="43" customFormat="false" ht="15" hidden="false" customHeight="false" outlineLevel="0" collapsed="false">
      <c r="A43" s="15" t="n">
        <v>39</v>
      </c>
      <c r="B43" s="15" t="n">
        <f aca="false">Tranche*INT((A43-1)/7)</f>
        <v>250</v>
      </c>
      <c r="C43" s="15" t="n">
        <f aca="false">MOD(A43-1,7)</f>
        <v>3</v>
      </c>
      <c r="D43" s="27" t="n">
        <v>0.00301</v>
      </c>
      <c r="E43" s="12" t="n">
        <f aca="false">Fee*B43+Vq*C43</f>
        <v>31.5</v>
      </c>
      <c r="F43" s="15" t="n">
        <f aca="false">IF(D43&lt;=Appetite,1,0)</f>
        <v>1</v>
      </c>
      <c r="G43" s="15" t="n">
        <f aca="false">IF(AND(F43=1,ABS(E43-$J$7)&lt;0.000000001),1,0)</f>
        <v>0</v>
      </c>
    </row>
    <row r="44" customFormat="false" ht="15" hidden="false" customHeight="false" outlineLevel="0" collapsed="false">
      <c r="A44" s="15" t="n">
        <v>40</v>
      </c>
      <c r="B44" s="15" t="n">
        <f aca="false">Tranche*INT((A44-1)/7)</f>
        <v>250</v>
      </c>
      <c r="C44" s="15" t="n">
        <f aca="false">MOD(A44-1,7)</f>
        <v>4</v>
      </c>
      <c r="D44" s="27" t="n">
        <v>0.0008</v>
      </c>
      <c r="E44" s="12" t="n">
        <f aca="false">Fee*B44+Vq*C44</f>
        <v>39.5</v>
      </c>
      <c r="F44" s="15" t="n">
        <f aca="false">IF(D44&lt;=Appetite,1,0)</f>
        <v>1</v>
      </c>
      <c r="G44" s="15" t="n">
        <f aca="false">IF(AND(F44=1,ABS(E44-$J$7)&lt;0.000000001),1,0)</f>
        <v>0</v>
      </c>
    </row>
    <row r="45" customFormat="false" ht="15" hidden="false" customHeight="false" outlineLevel="0" collapsed="false">
      <c r="A45" s="15" t="n">
        <v>41</v>
      </c>
      <c r="B45" s="15" t="n">
        <f aca="false">Tranche*INT((A45-1)/7)</f>
        <v>250</v>
      </c>
      <c r="C45" s="15" t="n">
        <f aca="false">MOD(A45-1,7)</f>
        <v>5</v>
      </c>
      <c r="D45" s="27" t="n">
        <v>0.00018</v>
      </c>
      <c r="E45" s="12" t="n">
        <f aca="false">Fee*B45+Vq*C45</f>
        <v>47.5</v>
      </c>
      <c r="F45" s="15" t="n">
        <f aca="false">IF(D45&lt;=Appetite,1,0)</f>
        <v>1</v>
      </c>
      <c r="G45" s="15" t="n">
        <f aca="false">IF(AND(F45=1,ABS(E45-$J$7)&lt;0.000000001),1,0)</f>
        <v>0</v>
      </c>
    </row>
    <row r="46" customFormat="false" ht="15" hidden="false" customHeight="false" outlineLevel="0" collapsed="false">
      <c r="A46" s="15" t="n">
        <v>42</v>
      </c>
      <c r="B46" s="15" t="n">
        <f aca="false">Tranche*INT((A46-1)/7)</f>
        <v>250</v>
      </c>
      <c r="C46" s="15" t="n">
        <f aca="false">MOD(A46-1,7)</f>
        <v>6</v>
      </c>
      <c r="D46" s="27" t="n">
        <v>3E-005</v>
      </c>
      <c r="E46" s="12" t="n">
        <f aca="false">Fee*B46+Vq*C46</f>
        <v>55.5</v>
      </c>
      <c r="F46" s="15" t="n">
        <f aca="false">IF(D46&lt;=Appetite,1,0)</f>
        <v>1</v>
      </c>
      <c r="G46" s="15" t="n">
        <f aca="false">IF(AND(F46=1,ABS(E46-$J$7)&lt;0.000000001),1,0)</f>
        <v>0</v>
      </c>
    </row>
    <row r="47" customFormat="false" ht="15" hidden="false" customHeight="false" outlineLevel="0" collapsed="false">
      <c r="A47" s="15" t="n">
        <v>43</v>
      </c>
      <c r="B47" s="15" t="n">
        <f aca="false">Tranche*INT((A47-1)/7)</f>
        <v>300</v>
      </c>
      <c r="C47" s="15" t="n">
        <f aca="false">MOD(A47-1,7)</f>
        <v>0</v>
      </c>
      <c r="D47" s="27" t="n">
        <v>0.08414</v>
      </c>
      <c r="E47" s="12" t="n">
        <f aca="false">Fee*B47+Vq*C47</f>
        <v>9</v>
      </c>
      <c r="F47" s="15" t="n">
        <f aca="false">IF(D47&lt;=Appetite,1,0)</f>
        <v>0</v>
      </c>
      <c r="G47" s="15" t="n">
        <f aca="false">IF(AND(F47=1,ABS(E47-$J$7)&lt;0.000000001),1,0)</f>
        <v>0</v>
      </c>
    </row>
    <row r="48" customFormat="false" ht="15" hidden="false" customHeight="false" outlineLevel="0" collapsed="false">
      <c r="A48" s="15" t="n">
        <v>44</v>
      </c>
      <c r="B48" s="15" t="n">
        <f aca="false">Tranche*INT((A48-1)/7)</f>
        <v>300</v>
      </c>
      <c r="C48" s="15" t="n">
        <f aca="false">MOD(A48-1,7)</f>
        <v>1</v>
      </c>
      <c r="D48" s="27" t="n">
        <v>0.03214</v>
      </c>
      <c r="E48" s="12" t="n">
        <f aca="false">Fee*B48+Vq*C48</f>
        <v>17</v>
      </c>
      <c r="F48" s="15" t="n">
        <f aca="false">IF(D48&lt;=Appetite,1,0)</f>
        <v>1</v>
      </c>
      <c r="G48" s="15" t="n">
        <f aca="false">IF(AND(F48=1,ABS(E48-$J$7)&lt;0.000000001),1,0)</f>
        <v>0</v>
      </c>
    </row>
    <row r="49" customFormat="false" ht="15" hidden="false" customHeight="false" outlineLevel="0" collapsed="false">
      <c r="A49" s="15" t="n">
        <v>45</v>
      </c>
      <c r="B49" s="15" t="n">
        <f aca="false">Tranche*INT((A49-1)/7)</f>
        <v>300</v>
      </c>
      <c r="C49" s="15" t="n">
        <f aca="false">MOD(A49-1,7)</f>
        <v>2</v>
      </c>
      <c r="D49" s="27" t="n">
        <v>0.01049</v>
      </c>
      <c r="E49" s="12" t="n">
        <f aca="false">Fee*B49+Vq*C49</f>
        <v>25</v>
      </c>
      <c r="F49" s="15" t="n">
        <f aca="false">IF(D49&lt;=Appetite,1,0)</f>
        <v>1</v>
      </c>
      <c r="G49" s="15" t="n">
        <f aca="false">IF(AND(F49=1,ABS(E49-$J$7)&lt;0.000000001),1,0)</f>
        <v>0</v>
      </c>
    </row>
    <row r="50" customFormat="false" ht="15" hidden="false" customHeight="false" outlineLevel="0" collapsed="false">
      <c r="A50" s="15" t="n">
        <v>46</v>
      </c>
      <c r="B50" s="15" t="n">
        <f aca="false">Tranche*INT((A50-1)/7)</f>
        <v>300</v>
      </c>
      <c r="C50" s="15" t="n">
        <f aca="false">MOD(A50-1,7)</f>
        <v>3</v>
      </c>
      <c r="D50" s="27" t="n">
        <v>0.0029</v>
      </c>
      <c r="E50" s="12" t="n">
        <f aca="false">Fee*B50+Vq*C50</f>
        <v>33</v>
      </c>
      <c r="F50" s="15" t="n">
        <f aca="false">IF(D50&lt;=Appetite,1,0)</f>
        <v>1</v>
      </c>
      <c r="G50" s="15" t="n">
        <f aca="false">IF(AND(F50=1,ABS(E50-$J$7)&lt;0.000000001),1,0)</f>
        <v>0</v>
      </c>
    </row>
    <row r="51" customFormat="false" ht="15" hidden="false" customHeight="false" outlineLevel="0" collapsed="false">
      <c r="A51" s="15" t="n">
        <v>47</v>
      </c>
      <c r="B51" s="15" t="n">
        <f aca="false">Tranche*INT((A51-1)/7)</f>
        <v>300</v>
      </c>
      <c r="C51" s="15" t="n">
        <f aca="false">MOD(A51-1,7)</f>
        <v>4</v>
      </c>
      <c r="D51" s="27" t="n">
        <v>0.00077</v>
      </c>
      <c r="E51" s="12" t="n">
        <f aca="false">Fee*B51+Vq*C51</f>
        <v>41</v>
      </c>
      <c r="F51" s="15" t="n">
        <f aca="false">IF(D51&lt;=Appetite,1,0)</f>
        <v>1</v>
      </c>
      <c r="G51" s="15" t="n">
        <f aca="false">IF(AND(F51=1,ABS(E51-$J$7)&lt;0.000000001),1,0)</f>
        <v>0</v>
      </c>
    </row>
    <row r="52" customFormat="false" ht="15" hidden="false" customHeight="false" outlineLevel="0" collapsed="false">
      <c r="A52" s="15" t="n">
        <v>48</v>
      </c>
      <c r="B52" s="15" t="n">
        <f aca="false">Tranche*INT((A52-1)/7)</f>
        <v>300</v>
      </c>
      <c r="C52" s="15" t="n">
        <f aca="false">MOD(A52-1,7)</f>
        <v>5</v>
      </c>
      <c r="D52" s="27" t="n">
        <v>0.00017</v>
      </c>
      <c r="E52" s="12" t="n">
        <f aca="false">Fee*B52+Vq*C52</f>
        <v>49</v>
      </c>
      <c r="F52" s="15" t="n">
        <f aca="false">IF(D52&lt;=Appetite,1,0)</f>
        <v>1</v>
      </c>
      <c r="G52" s="15" t="n">
        <f aca="false">IF(AND(F52=1,ABS(E52-$J$7)&lt;0.000000001),1,0)</f>
        <v>0</v>
      </c>
    </row>
    <row r="53" customFormat="false" ht="15" hidden="false" customHeight="false" outlineLevel="0" collapsed="false">
      <c r="A53" s="15" t="n">
        <v>49</v>
      </c>
      <c r="B53" s="15" t="n">
        <f aca="false">Tranche*INT((A53-1)/7)</f>
        <v>300</v>
      </c>
      <c r="C53" s="15" t="n">
        <f aca="false">MOD(A53-1,7)</f>
        <v>6</v>
      </c>
      <c r="D53" s="27" t="n">
        <v>2E-005</v>
      </c>
      <c r="E53" s="12" t="n">
        <f aca="false">Fee*B53+Vq*C53</f>
        <v>57</v>
      </c>
      <c r="F53" s="15" t="n">
        <f aca="false">IF(D53&lt;=Appetite,1,0)</f>
        <v>1</v>
      </c>
      <c r="G53" s="15" t="n">
        <f aca="false">IF(AND(F53=1,ABS(E53-$J$7)&lt;0.000000001),1,0)</f>
        <v>0</v>
      </c>
    </row>
    <row r="54" customFormat="false" ht="15" hidden="false" customHeight="false" outlineLevel="0" collapsed="false">
      <c r="A54" s="15" t="n">
        <v>50</v>
      </c>
      <c r="B54" s="15" t="n">
        <f aca="false">Tranche*INT((A54-1)/7)</f>
        <v>350</v>
      </c>
      <c r="C54" s="15" t="n">
        <f aca="false">MOD(A54-1,7)</f>
        <v>0</v>
      </c>
      <c r="D54" s="27" t="n">
        <v>0.08406</v>
      </c>
      <c r="E54" s="12" t="n">
        <f aca="false">Fee*B54+Vq*C54</f>
        <v>10.5</v>
      </c>
      <c r="F54" s="15" t="n">
        <f aca="false">IF(D54&lt;=Appetite,1,0)</f>
        <v>0</v>
      </c>
      <c r="G54" s="15" t="n">
        <f aca="false">IF(AND(F54=1,ABS(E54-$J$7)&lt;0.000000001),1,0)</f>
        <v>0</v>
      </c>
    </row>
    <row r="55" customFormat="false" ht="15" hidden="false" customHeight="false" outlineLevel="0" collapsed="false">
      <c r="A55" s="15" t="n">
        <v>51</v>
      </c>
      <c r="B55" s="15" t="n">
        <f aca="false">Tranche*INT((A55-1)/7)</f>
        <v>350</v>
      </c>
      <c r="C55" s="15" t="n">
        <f aca="false">MOD(A55-1,7)</f>
        <v>1</v>
      </c>
      <c r="D55" s="27" t="n">
        <v>0.03207</v>
      </c>
      <c r="E55" s="12" t="n">
        <f aca="false">Fee*B55+Vq*C55</f>
        <v>18.5</v>
      </c>
      <c r="F55" s="15" t="n">
        <f aca="false">IF(D55&lt;=Appetite,1,0)</f>
        <v>1</v>
      </c>
      <c r="G55" s="15" t="n">
        <f aca="false">IF(AND(F55=1,ABS(E55-$J$7)&lt;0.000000001),1,0)</f>
        <v>0</v>
      </c>
    </row>
    <row r="56" customFormat="false" ht="15" hidden="false" customHeight="false" outlineLevel="0" collapsed="false">
      <c r="A56" s="15" t="n">
        <v>52</v>
      </c>
      <c r="B56" s="15" t="n">
        <f aca="false">Tranche*INT((A56-1)/7)</f>
        <v>350</v>
      </c>
      <c r="C56" s="15" t="n">
        <f aca="false">MOD(A56-1,7)</f>
        <v>2</v>
      </c>
      <c r="D56" s="27" t="n">
        <v>0.01047</v>
      </c>
      <c r="E56" s="12" t="n">
        <f aca="false">Fee*B56+Vq*C56</f>
        <v>26.5</v>
      </c>
      <c r="F56" s="15" t="n">
        <f aca="false">IF(D56&lt;=Appetite,1,0)</f>
        <v>1</v>
      </c>
      <c r="G56" s="15" t="n">
        <f aca="false">IF(AND(F56=1,ABS(E56-$J$7)&lt;0.000000001),1,0)</f>
        <v>0</v>
      </c>
    </row>
    <row r="57" customFormat="false" ht="15" hidden="false" customHeight="false" outlineLevel="0" collapsed="false">
      <c r="A57" s="15" t="n">
        <v>53</v>
      </c>
      <c r="B57" s="15" t="n">
        <f aca="false">Tranche*INT((A57-1)/7)</f>
        <v>350</v>
      </c>
      <c r="C57" s="15" t="n">
        <f aca="false">MOD(A57-1,7)</f>
        <v>3</v>
      </c>
      <c r="D57" s="27" t="n">
        <v>0.00289</v>
      </c>
      <c r="E57" s="12" t="n">
        <f aca="false">Fee*B57+Vq*C57</f>
        <v>34.5</v>
      </c>
      <c r="F57" s="15" t="n">
        <f aca="false">IF(D57&lt;=Appetite,1,0)</f>
        <v>1</v>
      </c>
      <c r="G57" s="15" t="n">
        <f aca="false">IF(AND(F57=1,ABS(E57-$J$7)&lt;0.000000001),1,0)</f>
        <v>0</v>
      </c>
    </row>
    <row r="58" customFormat="false" ht="15" hidden="false" customHeight="false" outlineLevel="0" collapsed="false">
      <c r="A58" s="15" t="n">
        <v>54</v>
      </c>
      <c r="B58" s="15" t="n">
        <f aca="false">Tranche*INT((A58-1)/7)</f>
        <v>350</v>
      </c>
      <c r="C58" s="15" t="n">
        <f aca="false">MOD(A58-1,7)</f>
        <v>4</v>
      </c>
      <c r="D58" s="27" t="n">
        <v>0.00076</v>
      </c>
      <c r="E58" s="12" t="n">
        <f aca="false">Fee*B58+Vq*C58</f>
        <v>42.5</v>
      </c>
      <c r="F58" s="15" t="n">
        <f aca="false">IF(D58&lt;=Appetite,1,0)</f>
        <v>1</v>
      </c>
      <c r="G58" s="15" t="n">
        <f aca="false">IF(AND(F58=1,ABS(E58-$J$7)&lt;0.000000001),1,0)</f>
        <v>0</v>
      </c>
    </row>
    <row r="59" customFormat="false" ht="15" hidden="false" customHeight="false" outlineLevel="0" collapsed="false">
      <c r="A59" s="15" t="n">
        <v>55</v>
      </c>
      <c r="B59" s="15" t="n">
        <f aca="false">Tranche*INT((A59-1)/7)</f>
        <v>350</v>
      </c>
      <c r="C59" s="15" t="n">
        <f aca="false">MOD(A59-1,7)</f>
        <v>5</v>
      </c>
      <c r="D59" s="27" t="n">
        <v>0.00016</v>
      </c>
      <c r="E59" s="12" t="n">
        <f aca="false">Fee*B59+Vq*C59</f>
        <v>50.5</v>
      </c>
      <c r="F59" s="15" t="n">
        <f aca="false">IF(D59&lt;=Appetite,1,0)</f>
        <v>1</v>
      </c>
      <c r="G59" s="15" t="n">
        <f aca="false">IF(AND(F59=1,ABS(E59-$J$7)&lt;0.000000001),1,0)</f>
        <v>0</v>
      </c>
    </row>
    <row r="60" customFormat="false" ht="15" hidden="false" customHeight="false" outlineLevel="0" collapsed="false">
      <c r="A60" s="15" t="n">
        <v>56</v>
      </c>
      <c r="B60" s="15" t="n">
        <f aca="false">Tranche*INT((A60-1)/7)</f>
        <v>350</v>
      </c>
      <c r="C60" s="15" t="n">
        <f aca="false">MOD(A60-1,7)</f>
        <v>6</v>
      </c>
      <c r="D60" s="27" t="n">
        <v>1E-005</v>
      </c>
      <c r="E60" s="12" t="n">
        <f aca="false">Fee*B60+Vq*C60</f>
        <v>58.5</v>
      </c>
      <c r="F60" s="15" t="n">
        <f aca="false">IF(D60&lt;=Appetite,1,0)</f>
        <v>1</v>
      </c>
      <c r="G60" s="15" t="n">
        <f aca="false">IF(AND(F60=1,ABS(E60-$J$7)&lt;0.000000001),1,0)</f>
        <v>0</v>
      </c>
    </row>
    <row r="61" customFormat="false" ht="15" hidden="false" customHeight="false" outlineLevel="0" collapsed="false">
      <c r="A61" s="15" t="n">
        <v>57</v>
      </c>
      <c r="B61" s="15" t="n">
        <f aca="false">Tranche*INT((A61-1)/7)</f>
        <v>400</v>
      </c>
      <c r="C61" s="15" t="n">
        <f aca="false">MOD(A61-1,7)</f>
        <v>0</v>
      </c>
      <c r="D61" s="27" t="n">
        <v>0.08404</v>
      </c>
      <c r="E61" s="12" t="n">
        <f aca="false">Fee*B61+Vq*C61</f>
        <v>12</v>
      </c>
      <c r="F61" s="15" t="n">
        <f aca="false">IF(D61&lt;=Appetite,1,0)</f>
        <v>0</v>
      </c>
      <c r="G61" s="15" t="n">
        <f aca="false">IF(AND(F61=1,ABS(E61-$J$7)&lt;0.000000001),1,0)</f>
        <v>0</v>
      </c>
    </row>
    <row r="62" customFormat="false" ht="15" hidden="false" customHeight="false" outlineLevel="0" collapsed="false">
      <c r="A62" s="15" t="n">
        <v>58</v>
      </c>
      <c r="B62" s="15" t="n">
        <f aca="false">Tranche*INT((A62-1)/7)</f>
        <v>400</v>
      </c>
      <c r="C62" s="15" t="n">
        <f aca="false">MOD(A62-1,7)</f>
        <v>1</v>
      </c>
      <c r="D62" s="27" t="n">
        <v>0.03206</v>
      </c>
      <c r="E62" s="12" t="n">
        <f aca="false">Fee*B62+Vq*C62</f>
        <v>20</v>
      </c>
      <c r="F62" s="15" t="n">
        <f aca="false">IF(D62&lt;=Appetite,1,0)</f>
        <v>1</v>
      </c>
      <c r="G62" s="15" t="n">
        <f aca="false">IF(AND(F62=1,ABS(E62-$J$7)&lt;0.000000001),1,0)</f>
        <v>0</v>
      </c>
    </row>
    <row r="63" customFormat="false" ht="15" hidden="false" customHeight="false" outlineLevel="0" collapsed="false">
      <c r="A63" s="15" t="n">
        <v>59</v>
      </c>
      <c r="B63" s="15" t="n">
        <f aca="false">Tranche*INT((A63-1)/7)</f>
        <v>400</v>
      </c>
      <c r="C63" s="15" t="n">
        <f aca="false">MOD(A63-1,7)</f>
        <v>2</v>
      </c>
      <c r="D63" s="27" t="n">
        <v>0.01046</v>
      </c>
      <c r="E63" s="12" t="n">
        <f aca="false">Fee*B63+Vq*C63</f>
        <v>28</v>
      </c>
      <c r="F63" s="15" t="n">
        <f aca="false">IF(D63&lt;=Appetite,1,0)</f>
        <v>1</v>
      </c>
      <c r="G63" s="15" t="n">
        <f aca="false">IF(AND(F63=1,ABS(E63-$J$7)&lt;0.000000001),1,0)</f>
        <v>0</v>
      </c>
    </row>
    <row r="64" customFormat="false" ht="15" hidden="false" customHeight="false" outlineLevel="0" collapsed="false">
      <c r="A64" s="15" t="n">
        <v>60</v>
      </c>
      <c r="B64" s="15" t="n">
        <f aca="false">Tranche*INT((A64-1)/7)</f>
        <v>400</v>
      </c>
      <c r="C64" s="15" t="n">
        <f aca="false">MOD(A64-1,7)</f>
        <v>3</v>
      </c>
      <c r="D64" s="27" t="n">
        <v>0.00288</v>
      </c>
      <c r="E64" s="12" t="n">
        <f aca="false">Fee*B64+Vq*C64</f>
        <v>36</v>
      </c>
      <c r="F64" s="15" t="n">
        <f aca="false">IF(D64&lt;=Appetite,1,0)</f>
        <v>1</v>
      </c>
      <c r="G64" s="15" t="n">
        <f aca="false">IF(AND(F64=1,ABS(E64-$J$7)&lt;0.000000001),1,0)</f>
        <v>0</v>
      </c>
    </row>
    <row r="65" customFormat="false" ht="15" hidden="false" customHeight="false" outlineLevel="0" collapsed="false">
      <c r="A65" s="15" t="n">
        <v>61</v>
      </c>
      <c r="B65" s="15" t="n">
        <f aca="false">Tranche*INT((A65-1)/7)</f>
        <v>400</v>
      </c>
      <c r="C65" s="15" t="n">
        <f aca="false">MOD(A65-1,7)</f>
        <v>4</v>
      </c>
      <c r="D65" s="27" t="n">
        <v>0.00075</v>
      </c>
      <c r="E65" s="12" t="n">
        <f aca="false">Fee*B65+Vq*C65</f>
        <v>44</v>
      </c>
      <c r="F65" s="15" t="n">
        <f aca="false">IF(D65&lt;=Appetite,1,0)</f>
        <v>1</v>
      </c>
      <c r="G65" s="15" t="n">
        <f aca="false">IF(AND(F65=1,ABS(E65-$J$7)&lt;0.000000001),1,0)</f>
        <v>0</v>
      </c>
    </row>
    <row r="66" customFormat="false" ht="15" hidden="false" customHeight="false" outlineLevel="0" collapsed="false">
      <c r="A66" s="15" t="n">
        <v>62</v>
      </c>
      <c r="B66" s="15" t="n">
        <f aca="false">Tranche*INT((A66-1)/7)</f>
        <v>400</v>
      </c>
      <c r="C66" s="15" t="n">
        <f aca="false">MOD(A66-1,7)</f>
        <v>5</v>
      </c>
      <c r="D66" s="27" t="n">
        <v>0.00016</v>
      </c>
      <c r="E66" s="12" t="n">
        <f aca="false">Fee*B66+Vq*C66</f>
        <v>52</v>
      </c>
      <c r="F66" s="15" t="n">
        <f aca="false">IF(D66&lt;=Appetite,1,0)</f>
        <v>1</v>
      </c>
      <c r="G66" s="15" t="n">
        <f aca="false">IF(AND(F66=1,ABS(E66-$J$7)&lt;0.000000001),1,0)</f>
        <v>0</v>
      </c>
    </row>
    <row r="67" customFormat="false" ht="15" hidden="false" customHeight="false" outlineLevel="0" collapsed="false">
      <c r="A67" s="15" t="n">
        <v>63</v>
      </c>
      <c r="B67" s="15" t="n">
        <f aca="false">Tranche*INT((A67-1)/7)</f>
        <v>400</v>
      </c>
      <c r="C67" s="15" t="n">
        <f aca="false">MOD(A67-1,7)</f>
        <v>6</v>
      </c>
      <c r="D67" s="27" t="n">
        <v>1E-005</v>
      </c>
      <c r="E67" s="12" t="n">
        <f aca="false">Fee*B67+Vq*C67</f>
        <v>60</v>
      </c>
      <c r="F67" s="15" t="n">
        <f aca="false">IF(D67&lt;=Appetite,1,0)</f>
        <v>1</v>
      </c>
      <c r="G67" s="15" t="n">
        <f aca="false">IF(AND(F67=1,ABS(E67-$J$7)&lt;0.000000001),1,0)</f>
        <v>0</v>
      </c>
    </row>
    <row r="70" customFormat="false" ht="15" hidden="false" customHeight="false" outlineLevel="0" collapsed="false">
      <c r="A70" s="4" t="s">
        <v>211</v>
      </c>
    </row>
    <row r="71" customFormat="false" ht="15" hidden="false" customHeight="false" outlineLevel="0" collapsed="false">
      <c r="A71" s="8" t="s">
        <v>212</v>
      </c>
      <c r="B71" s="30" t="n">
        <v>0</v>
      </c>
      <c r="C71" s="30" t="n">
        <v>1</v>
      </c>
      <c r="D71" s="30" t="n">
        <v>2</v>
      </c>
      <c r="E71" s="30" t="n">
        <v>3</v>
      </c>
      <c r="F71" s="30" t="n">
        <v>4</v>
      </c>
      <c r="G71" s="30" t="n">
        <v>5</v>
      </c>
      <c r="H71" s="30" t="n">
        <v>6</v>
      </c>
    </row>
    <row r="72" customFormat="false" ht="15" hidden="false" customHeight="false" outlineLevel="0" collapsed="false">
      <c r="A72" s="15" t="n">
        <f aca="false">Tranche*0</f>
        <v>0</v>
      </c>
      <c r="B72" s="25" t="n">
        <f aca="false">SUMIFS(D5:D67,B5:B67,$A72,C5:C67,B$71)</f>
        <v>0.24622</v>
      </c>
      <c r="C72" s="25" t="n">
        <f aca="false">SUMIFS(D5:D67,B5:B67,$A72,C5:C67,C$71)</f>
        <v>0.17731</v>
      </c>
      <c r="D72" s="25" t="n">
        <f aca="false">SUMIFS(D5:D67,B5:B67,$A72,C5:C67,D$71)</f>
        <v>0.13068</v>
      </c>
      <c r="E72" s="25" t="n">
        <f aca="false">SUMIFS(D5:D67,B5:B67,$A72,C5:C67,E$71)</f>
        <v>0.09687</v>
      </c>
      <c r="F72" s="25" t="n">
        <f aca="false">SUMIFS(D5:D67,B5:B67,$A72,C5:C67,F$71)</f>
        <v>0.07118</v>
      </c>
      <c r="G72" s="25" t="n">
        <f aca="false">SUMIFS(D5:D67,B5:B67,$A72,C5:C67,G$71)</f>
        <v>0.05167</v>
      </c>
      <c r="H72" s="25" t="n">
        <f aca="false">SUMIFS(D5:D67,B5:B67,$A72,C5:C67,H$71)</f>
        <v>0.03668</v>
      </c>
    </row>
    <row r="73" customFormat="false" ht="15" hidden="false" customHeight="false" outlineLevel="0" collapsed="false">
      <c r="A73" s="15" t="n">
        <f aca="false">Tranche*1</f>
        <v>50</v>
      </c>
      <c r="B73" s="25" t="n">
        <f aca="false">SUMIFS(D5:D67,B5:B67,$A73,C5:C67,B$71)</f>
        <v>0.18073</v>
      </c>
      <c r="C73" s="25" t="n">
        <f aca="false">SUMIFS(D5:D67,B5:B67,$A73,C5:C67,C$71)</f>
        <v>0.11089</v>
      </c>
      <c r="D73" s="25" t="n">
        <f aca="false">SUMIFS(D5:D67,B5:B67,$A73,C5:C67,D$71)</f>
        <v>0.06903</v>
      </c>
      <c r="E73" s="25" t="n">
        <f aca="false">SUMIFS(D5:D67,B5:B67,$A73,C5:C67,E$71)</f>
        <v>0.04392</v>
      </c>
      <c r="F73" s="25" t="n">
        <f aca="false">SUMIFS(D5:D67,B5:B67,$A73,C5:C67,F$71)</f>
        <v>0.02801</v>
      </c>
      <c r="G73" s="25" t="n">
        <f aca="false">SUMIFS(D5:D67,B5:B67,$A73,C5:C67,G$71)</f>
        <v>0.01772</v>
      </c>
      <c r="H73" s="25" t="n">
        <f aca="false">SUMIFS(D5:D67,B5:B67,$A73,C5:C67,H$71)</f>
        <v>0.01098</v>
      </c>
    </row>
    <row r="74" customFormat="false" ht="15" hidden="false" customHeight="false" outlineLevel="0" collapsed="false">
      <c r="A74" s="15" t="n">
        <f aca="false">Tranche*2</f>
        <v>100</v>
      </c>
      <c r="B74" s="25" t="n">
        <f aca="false">SUMIFS(D5:D67,B5:B67,$A74,C5:C67,B$71)</f>
        <v>0.12374</v>
      </c>
      <c r="C74" s="25" t="n">
        <f aca="false">SUMIFS(D5:D67,B5:B67,$A74,C5:C67,C$71)</f>
        <v>0.06165</v>
      </c>
      <c r="D74" s="25" t="n">
        <f aca="false">SUMIFS(D5:D67,B5:B67,$A74,C5:C67,D$71)</f>
        <v>0.03003</v>
      </c>
      <c r="E74" s="25" t="n">
        <f aca="false">SUMIFS(D5:D67,B5:B67,$A74,C5:C67,E$71)</f>
        <v>0.01517</v>
      </c>
      <c r="F74" s="25" t="n">
        <f aca="false">SUMIFS(D5:D67,B5:B67,$A74,C5:C67,F$71)</f>
        <v>0.00778</v>
      </c>
      <c r="G74" s="25" t="n">
        <f aca="false">SUMIFS(D5:D67,B5:B67,$A74,C5:C67,G$71)</f>
        <v>0.00421</v>
      </c>
      <c r="H74" s="25" t="n">
        <f aca="false">SUMIFS(D5:D67,B5:B67,$A74,C5:C67,H$71)</f>
        <v>0.00233</v>
      </c>
    </row>
    <row r="75" customFormat="false" ht="15" hidden="false" customHeight="false" outlineLevel="0" collapsed="false">
      <c r="A75" s="15" t="n">
        <f aca="false">Tranche*3</f>
        <v>150</v>
      </c>
      <c r="B75" s="25" t="n">
        <f aca="false">SUMIFS(D5:D67,B5:B67,$A75,C5:C67,B$71)</f>
        <v>0.09587</v>
      </c>
      <c r="C75" s="25" t="n">
        <f aca="false">SUMIFS(D5:D67,B5:B67,$A75,C5:C67,C$71)</f>
        <v>0.04003</v>
      </c>
      <c r="D75" s="25" t="n">
        <f aca="false">SUMIFS(D5:D67,B5:B67,$A75,C5:C67,D$71)</f>
        <v>0.01548</v>
      </c>
      <c r="E75" s="25" t="n">
        <f aca="false">SUMIFS(D5:D67,B5:B67,$A75,C5:C67,E$71)</f>
        <v>0.00574</v>
      </c>
      <c r="F75" s="25" t="n">
        <f aca="false">SUMIFS(D5:D67,B5:B67,$A75,C5:C67,F$71)</f>
        <v>0.00236</v>
      </c>
      <c r="G75" s="25" t="n">
        <f aca="false">SUMIFS(D5:D67,B5:B67,$A75,C5:C67,G$71)</f>
        <v>0.00096</v>
      </c>
      <c r="H75" s="25" t="n">
        <f aca="false">SUMIFS(D5:D67,B5:B67,$A75,C5:C67,H$71)</f>
        <v>0.00038</v>
      </c>
    </row>
    <row r="76" customFormat="false" ht="15" hidden="false" customHeight="false" outlineLevel="0" collapsed="false">
      <c r="A76" s="15" t="n">
        <f aca="false">Tranche*4</f>
        <v>200</v>
      </c>
      <c r="B76" s="25" t="n">
        <f aca="false">SUMIFS(D5:D67,B5:B67,$A76,C5:C67,B$71)</f>
        <v>0.08674</v>
      </c>
      <c r="C76" s="25" t="n">
        <f aca="false">SUMIFS(D5:D67,B5:B67,$A76,C5:C67,C$71)</f>
        <v>0.03386</v>
      </c>
      <c r="D76" s="25" t="n">
        <f aca="false">SUMIFS(D5:D67,B5:B67,$A76,C5:C67,D$71)</f>
        <v>0.01165</v>
      </c>
      <c r="E76" s="25" t="n">
        <f aca="false">SUMIFS(D5:D67,B5:B67,$A76,C5:C67,E$71)</f>
        <v>0.00348</v>
      </c>
      <c r="F76" s="25" t="n">
        <f aca="false">SUMIFS(D5:D67,B5:B67,$A76,C5:C67,F$71)</f>
        <v>0.00105</v>
      </c>
      <c r="G76" s="25" t="n">
        <f aca="false">SUMIFS(D5:D67,B5:B67,$A76,C5:C67,G$71)</f>
        <v>0.00031</v>
      </c>
      <c r="H76" s="25" t="n">
        <f aca="false">SUMIFS(D5:D67,B5:B67,$A76,C5:C67,H$71)</f>
        <v>7E-005</v>
      </c>
    </row>
    <row r="77" customFormat="false" ht="15" hidden="false" customHeight="false" outlineLevel="0" collapsed="false">
      <c r="A77" s="15" t="n">
        <f aca="false">Tranche*5</f>
        <v>250</v>
      </c>
      <c r="B77" s="25" t="n">
        <f aca="false">SUMIFS(D5:D67,B5:B67,$A77,C5:C67,B$71)</f>
        <v>0.08461</v>
      </c>
      <c r="C77" s="25" t="n">
        <f aca="false">SUMIFS(D5:D67,B5:B67,$A77,C5:C67,C$71)</f>
        <v>0.03241</v>
      </c>
      <c r="D77" s="25" t="n">
        <f aca="false">SUMIFS(D5:D67,B5:B67,$A77,C5:C67,D$71)</f>
        <v>0.01068</v>
      </c>
      <c r="E77" s="25" t="n">
        <f aca="false">SUMIFS(D5:D67,B5:B67,$A77,C5:C67,E$71)</f>
        <v>0.00301</v>
      </c>
      <c r="F77" s="25" t="n">
        <f aca="false">SUMIFS(D5:D67,B5:B67,$A77,C5:C67,F$71)</f>
        <v>0.0008</v>
      </c>
      <c r="G77" s="25" t="n">
        <f aca="false">SUMIFS(D5:D67,B5:B67,$A77,C5:C67,G$71)</f>
        <v>0.00018</v>
      </c>
      <c r="H77" s="25" t="n">
        <f aca="false">SUMIFS(D5:D67,B5:B67,$A77,C5:C67,H$71)</f>
        <v>3E-005</v>
      </c>
    </row>
    <row r="78" customFormat="false" ht="15" hidden="false" customHeight="false" outlineLevel="0" collapsed="false">
      <c r="A78" s="15" t="n">
        <f aca="false">Tranche*6</f>
        <v>300</v>
      </c>
      <c r="B78" s="25" t="n">
        <f aca="false">SUMIFS(D5:D67,B5:B67,$A78,C5:C67,B$71)</f>
        <v>0.08414</v>
      </c>
      <c r="C78" s="25" t="n">
        <f aca="false">SUMIFS(D5:D67,B5:B67,$A78,C5:C67,C$71)</f>
        <v>0.03214</v>
      </c>
      <c r="D78" s="25" t="n">
        <f aca="false">SUMIFS(D5:D67,B5:B67,$A78,C5:C67,D$71)</f>
        <v>0.01049</v>
      </c>
      <c r="E78" s="25" t="n">
        <f aca="false">SUMIFS(D5:D67,B5:B67,$A78,C5:C67,E$71)</f>
        <v>0.0029</v>
      </c>
      <c r="F78" s="25" t="n">
        <f aca="false">SUMIFS(D5:D67,B5:B67,$A78,C5:C67,F$71)</f>
        <v>0.00077</v>
      </c>
      <c r="G78" s="25" t="n">
        <f aca="false">SUMIFS(D5:D67,B5:B67,$A78,C5:C67,G$71)</f>
        <v>0.00017</v>
      </c>
      <c r="H78" s="25" t="n">
        <f aca="false">SUMIFS(D5:D67,B5:B67,$A78,C5:C67,H$71)</f>
        <v>2E-005</v>
      </c>
    </row>
    <row r="79" customFormat="false" ht="15" hidden="false" customHeight="false" outlineLevel="0" collapsed="false">
      <c r="A79" s="15" t="n">
        <f aca="false">Tranche*7</f>
        <v>350</v>
      </c>
      <c r="B79" s="25" t="n">
        <f aca="false">SUMIFS(D5:D67,B5:B67,$A79,C5:C67,B$71)</f>
        <v>0.08406</v>
      </c>
      <c r="C79" s="25" t="n">
        <f aca="false">SUMIFS(D5:D67,B5:B67,$A79,C5:C67,C$71)</f>
        <v>0.03207</v>
      </c>
      <c r="D79" s="25" t="n">
        <f aca="false">SUMIFS(D5:D67,B5:B67,$A79,C5:C67,D$71)</f>
        <v>0.01047</v>
      </c>
      <c r="E79" s="25" t="n">
        <f aca="false">SUMIFS(D5:D67,B5:B67,$A79,C5:C67,E$71)</f>
        <v>0.00289</v>
      </c>
      <c r="F79" s="25" t="n">
        <f aca="false">SUMIFS(D5:D67,B5:B67,$A79,C5:C67,F$71)</f>
        <v>0.00076</v>
      </c>
      <c r="G79" s="25" t="n">
        <f aca="false">SUMIFS(D5:D67,B5:B67,$A79,C5:C67,G$71)</f>
        <v>0.00016</v>
      </c>
      <c r="H79" s="25" t="n">
        <f aca="false">SUMIFS(D5:D67,B5:B67,$A79,C5:C67,H$71)</f>
        <v>1E-005</v>
      </c>
    </row>
    <row r="80" customFormat="false" ht="15" hidden="false" customHeight="false" outlineLevel="0" collapsed="false">
      <c r="A80" s="15" t="n">
        <f aca="false">Tranche*8</f>
        <v>400</v>
      </c>
      <c r="B80" s="25" t="n">
        <f aca="false">SUMIFS(D5:D67,B5:B67,$A80,C5:C67,B$71)</f>
        <v>0.08404</v>
      </c>
      <c r="C80" s="25" t="n">
        <f aca="false">SUMIFS(D5:D67,B5:B67,$A80,C5:C67,C$71)</f>
        <v>0.03206</v>
      </c>
      <c r="D80" s="25" t="n">
        <f aca="false">SUMIFS(D5:D67,B5:B67,$A80,C5:C67,D$71)</f>
        <v>0.01046</v>
      </c>
      <c r="E80" s="25" t="n">
        <f aca="false">SUMIFS(D5:D67,B5:B67,$A80,C5:C67,E$71)</f>
        <v>0.00288</v>
      </c>
      <c r="F80" s="25" t="n">
        <f aca="false">SUMIFS(D5:D67,B5:B67,$A80,C5:C67,F$71)</f>
        <v>0.00075</v>
      </c>
      <c r="G80" s="25" t="n">
        <f aca="false">SUMIFS(D5:D67,B5:B67,$A80,C5:C67,G$71)</f>
        <v>0.00016</v>
      </c>
      <c r="H80" s="25" t="n">
        <f aca="false">SUMIFS(D5:D67,B5:B67,$A80,C5:C67,H$71)</f>
        <v>1E-005</v>
      </c>
    </row>
  </sheetData>
  <conditionalFormatting sqref="B72:H80">
    <cfRule type="cellIs" priority="2" operator="lessThanOrEqual" aboveAverage="0" equalAverage="0" bottom="0" percent="0" rank="0" text="" dxfId="0">
      <formula>Appetite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3"/>
    <col collapsed="false" customWidth="true" hidden="false" outlineLevel="0" max="4" min="4" style="0" width="11"/>
    <col collapsed="false" customWidth="true" hidden="false" outlineLevel="0" max="5" min="5" style="0" width="16"/>
    <col collapsed="false" customWidth="true" hidden="false" outlineLevel="0" max="6" min="6" style="0" width="13"/>
    <col collapsed="false" customWidth="true" hidden="false" outlineLevel="0" max="7" min="7" style="0" width="11"/>
    <col collapsed="false" customWidth="true" hidden="false" outlineLevel="0" max="8" min="8" style="0" width="16"/>
    <col collapsed="false" customWidth="true" hidden="false" outlineLevel="0" max="10" min="9" style="0" width="11"/>
  </cols>
  <sheetData>
    <row r="1" customFormat="false" ht="15" hidden="false" customHeight="false" outlineLevel="0" collapsed="false">
      <c r="A1" s="1" t="s">
        <v>213</v>
      </c>
    </row>
    <row r="2" customFormat="false" ht="15" hidden="false" customHeight="false" outlineLevel="0" collapsed="false">
      <c r="A2" s="10" t="s">
        <v>214</v>
      </c>
    </row>
    <row r="4" customFormat="false" ht="23.85" hidden="false" customHeight="false" outlineLevel="0" collapsed="false">
      <c r="A4" s="8" t="s">
        <v>182</v>
      </c>
      <c r="B4" s="8" t="s">
        <v>215</v>
      </c>
      <c r="C4" s="8" t="s">
        <v>216</v>
      </c>
      <c r="D4" s="8" t="s">
        <v>161</v>
      </c>
      <c r="E4" s="8" t="s">
        <v>217</v>
      </c>
      <c r="F4" s="8" t="s">
        <v>216</v>
      </c>
      <c r="G4" s="8" t="s">
        <v>161</v>
      </c>
      <c r="H4" s="8" t="s">
        <v>218</v>
      </c>
      <c r="I4" s="8" t="s">
        <v>219</v>
      </c>
      <c r="J4" s="8" t="s">
        <v>161</v>
      </c>
    </row>
    <row r="5" customFormat="false" ht="15" hidden="false" customHeight="false" outlineLevel="0" collapsed="false">
      <c r="A5" s="15" t="n">
        <v>0</v>
      </c>
      <c r="B5" s="6" t="s">
        <v>220</v>
      </c>
      <c r="C5" s="6"/>
      <c r="D5" s="12" t="str">
        <f aca="false">IF(ISNUMBER(B5),Fee*B5+Vq*A5,"")</f>
        <v/>
      </c>
      <c r="E5" s="6" t="s">
        <v>220</v>
      </c>
      <c r="F5" s="6"/>
      <c r="G5" s="12" t="str">
        <f aca="false">IF(ISNUMBER(E5),Fee*E5+Vq*A5,"")</f>
        <v/>
      </c>
      <c r="H5" s="15" t="str">
        <f aca="false">IF(COUNTIFS(LumpyGrid!$C$5:$C$67,A5,LumpyGrid!$F$5:$F$67,1)=0,"none",_xlfn.MINIFS(LumpyGrid!$B$5:$B$67,LumpyGrid!$C$5:$C$67,A5,LumpyGrid!$F$5:$F$67,1))</f>
        <v>none</v>
      </c>
      <c r="I5" s="25" t="str">
        <f aca="false">IF(ISNUMBER(H5),SUMIFS(LumpyGrid!$D$5:$D$67,LumpyGrid!$B$5:$B$67,H5,LumpyGrid!$C$5:$C$67,A5),"")</f>
        <v/>
      </c>
      <c r="J5" s="12" t="str">
        <f aca="false">IF(ISNUMBER(H5),Fee*H5+Vq*A5,"")</f>
        <v/>
      </c>
    </row>
    <row r="6" customFormat="false" ht="15" hidden="false" customHeight="false" outlineLevel="0" collapsed="false">
      <c r="A6" s="15" t="n">
        <v>1</v>
      </c>
      <c r="B6" s="31" t="n">
        <v>121</v>
      </c>
      <c r="C6" s="27" t="n">
        <v>0.04968</v>
      </c>
      <c r="D6" s="12" t="n">
        <f aca="false">IF(ISNUMBER(B6),Fee*B6+Vq*A6,"")</f>
        <v>11.63</v>
      </c>
      <c r="E6" s="31" t="n">
        <v>130</v>
      </c>
      <c r="F6" s="27" t="n">
        <v>0.0463</v>
      </c>
      <c r="G6" s="12" t="n">
        <f aca="false">IF(ISNUMBER(E6),Fee*E6+Vq*A6,"")</f>
        <v>11.9</v>
      </c>
      <c r="H6" s="15" t="n">
        <f aca="false">IF(COUNTIFS(LumpyGrid!$C$5:$C$67,A6,LumpyGrid!$F$5:$F$67,1)=0,"none",_xlfn.MINIFS(LumpyGrid!$B$5:$B$67,LumpyGrid!$C$5:$C$67,A6,LumpyGrid!$F$5:$F$67,1))</f>
        <v>150</v>
      </c>
      <c r="I6" s="25" t="n">
        <f aca="false">IF(ISNUMBER(H6),SUMIFS(LumpyGrid!$D$5:$D$67,LumpyGrid!$B$5:$B$67,H6,LumpyGrid!$C$5:$C$67,A6),"")</f>
        <v>0.04003</v>
      </c>
      <c r="J6" s="12" t="n">
        <f aca="false">IF(ISNUMBER(H6),Fee*H6+Vq*A6,"")</f>
        <v>12.5</v>
      </c>
    </row>
    <row r="7" customFormat="false" ht="15" hidden="false" customHeight="false" outlineLevel="0" collapsed="false">
      <c r="A7" s="15" t="n">
        <v>2</v>
      </c>
      <c r="B7" s="31" t="n">
        <v>70</v>
      </c>
      <c r="C7" s="27" t="n">
        <v>0.04989</v>
      </c>
      <c r="D7" s="12" t="n">
        <f aca="false">IF(ISNUMBER(B7),Fee*B7+Vq*A7,"")</f>
        <v>18.1</v>
      </c>
      <c r="E7" s="31" t="n">
        <v>70</v>
      </c>
      <c r="F7" s="27" t="n">
        <v>0.04989</v>
      </c>
      <c r="G7" s="12" t="n">
        <f aca="false">IF(ISNUMBER(E7),Fee*E7+Vq*A7,"")</f>
        <v>18.1</v>
      </c>
      <c r="H7" s="15" t="n">
        <f aca="false">IF(COUNTIFS(LumpyGrid!$C$5:$C$67,A7,LumpyGrid!$F$5:$F$67,1)=0,"none",_xlfn.MINIFS(LumpyGrid!$B$5:$B$67,LumpyGrid!$C$5:$C$67,A7,LumpyGrid!$F$5:$F$67,1))</f>
        <v>100</v>
      </c>
      <c r="I7" s="25" t="n">
        <f aca="false">IF(ISNUMBER(H7),SUMIFS(LumpyGrid!$D$5:$D$67,LumpyGrid!$B$5:$B$67,H7,LumpyGrid!$C$5:$C$67,A7),"")</f>
        <v>0.03003</v>
      </c>
      <c r="J7" s="12" t="n">
        <f aca="false">IF(ISNUMBER(H7),Fee*H7+Vq*A7,"")</f>
        <v>19</v>
      </c>
    </row>
    <row r="8" customFormat="false" ht="15" hidden="false" customHeight="false" outlineLevel="0" collapsed="false">
      <c r="A8" s="15" t="n">
        <v>3</v>
      </c>
      <c r="B8" s="31" t="n">
        <v>43</v>
      </c>
      <c r="C8" s="27" t="n">
        <v>0.04982</v>
      </c>
      <c r="D8" s="12" t="n">
        <f aca="false">IF(ISNUMBER(B8),Fee*B8+Vq*A8,"")</f>
        <v>25.29</v>
      </c>
      <c r="E8" s="31" t="n">
        <v>50</v>
      </c>
      <c r="F8" s="27" t="n">
        <v>0.04392</v>
      </c>
      <c r="G8" s="12" t="n">
        <f aca="false">IF(ISNUMBER(E8),Fee*E8+Vq*A8,"")</f>
        <v>25.5</v>
      </c>
      <c r="H8" s="15" t="n">
        <f aca="false">IF(COUNTIFS(LumpyGrid!$C$5:$C$67,A8,LumpyGrid!$F$5:$F$67,1)=0,"none",_xlfn.MINIFS(LumpyGrid!$B$5:$B$67,LumpyGrid!$C$5:$C$67,A8,LumpyGrid!$F$5:$F$67,1))</f>
        <v>50</v>
      </c>
      <c r="I8" s="25" t="n">
        <f aca="false">IF(ISNUMBER(H8),SUMIFS(LumpyGrid!$D$5:$D$67,LumpyGrid!$B$5:$B$67,H8,LumpyGrid!$C$5:$C$67,A8),"")</f>
        <v>0.04392</v>
      </c>
      <c r="J8" s="12" t="n">
        <f aca="false">IF(ISNUMBER(H8),Fee*H8+Vq*A8,"")</f>
        <v>25.5</v>
      </c>
    </row>
    <row r="9" customFormat="false" ht="15" hidden="false" customHeight="false" outlineLevel="0" collapsed="false">
      <c r="A9" s="15" t="n">
        <v>4</v>
      </c>
      <c r="B9" s="31" t="n">
        <v>22</v>
      </c>
      <c r="C9" s="27" t="n">
        <v>0.04946</v>
      </c>
      <c r="D9" s="12" t="n">
        <f aca="false">IF(ISNUMBER(B9),Fee*B9+Vq*A9,"")</f>
        <v>32.66</v>
      </c>
      <c r="E9" s="31" t="n">
        <v>30</v>
      </c>
      <c r="F9" s="27" t="n">
        <v>0.04262</v>
      </c>
      <c r="G9" s="12" t="n">
        <f aca="false">IF(ISNUMBER(E9),Fee*E9+Vq*A9,"")</f>
        <v>32.9</v>
      </c>
      <c r="H9" s="15" t="n">
        <f aca="false">IF(COUNTIFS(LumpyGrid!$C$5:$C$67,A9,LumpyGrid!$F$5:$F$67,1)=0,"none",_xlfn.MINIFS(LumpyGrid!$B$5:$B$67,LumpyGrid!$C$5:$C$67,A9,LumpyGrid!$F$5:$F$67,1))</f>
        <v>50</v>
      </c>
      <c r="I9" s="25" t="n">
        <f aca="false">IF(ISNUMBER(H9),SUMIFS(LumpyGrid!$D$5:$D$67,LumpyGrid!$B$5:$B$67,H9,LumpyGrid!$C$5:$C$67,A9),"")</f>
        <v>0.02801</v>
      </c>
      <c r="J9" s="12" t="n">
        <f aca="false">IF(ISNUMBER(H9),Fee*H9+Vq*A9,"")</f>
        <v>33.5</v>
      </c>
    </row>
    <row r="10" customFormat="false" ht="15" hidden="false" customHeight="false" outlineLevel="0" collapsed="false">
      <c r="A10" s="15" t="n">
        <v>5</v>
      </c>
      <c r="B10" s="31" t="n">
        <v>2</v>
      </c>
      <c r="C10" s="27" t="n">
        <v>0.04988</v>
      </c>
      <c r="D10" s="12" t="n">
        <f aca="false">IF(ISNUMBER(B10),Fee*B10+Vq*A10,"")</f>
        <v>40.06</v>
      </c>
      <c r="E10" s="31" t="n">
        <v>10</v>
      </c>
      <c r="F10" s="27" t="n">
        <v>0.04311</v>
      </c>
      <c r="G10" s="12" t="n">
        <f aca="false">IF(ISNUMBER(E10),Fee*E10+Vq*A10,"")</f>
        <v>40.3</v>
      </c>
      <c r="H10" s="15" t="n">
        <f aca="false">IF(COUNTIFS(LumpyGrid!$C$5:$C$67,A10,LumpyGrid!$F$5:$F$67,1)=0,"none",_xlfn.MINIFS(LumpyGrid!$B$5:$B$67,LumpyGrid!$C$5:$C$67,A10,LumpyGrid!$F$5:$F$67,1))</f>
        <v>50</v>
      </c>
      <c r="I10" s="25" t="n">
        <f aca="false">IF(ISNUMBER(H10),SUMIFS(LumpyGrid!$D$5:$D$67,LumpyGrid!$B$5:$B$67,H10,LumpyGrid!$C$5:$C$67,A10),"")</f>
        <v>0.01772</v>
      </c>
      <c r="J10" s="12" t="n">
        <f aca="false">IF(ISNUMBER(H10),Fee*H10+Vq*A10,"")</f>
        <v>41.5</v>
      </c>
    </row>
    <row r="11" customFormat="false" ht="15" hidden="false" customHeight="false" outlineLevel="0" collapsed="false">
      <c r="A11" s="15" t="n">
        <v>6</v>
      </c>
      <c r="B11" s="31" t="n">
        <v>0</v>
      </c>
      <c r="C11" s="27" t="n">
        <v>0.03668</v>
      </c>
      <c r="D11" s="12" t="n">
        <f aca="false">IF(ISNUMBER(B11),Fee*B11+Vq*A11,"")</f>
        <v>48</v>
      </c>
      <c r="E11" s="31" t="n">
        <v>0</v>
      </c>
      <c r="F11" s="27" t="n">
        <v>0.03668</v>
      </c>
      <c r="G11" s="12" t="n">
        <f aca="false">IF(ISNUMBER(E11),Fee*E11+Vq*A11,"")</f>
        <v>48</v>
      </c>
      <c r="H11" s="15" t="n">
        <f aca="false">IF(COUNTIFS(LumpyGrid!$C$5:$C$67,A11,LumpyGrid!$F$5:$F$67,1)=0,"none",_xlfn.MINIFS(LumpyGrid!$B$5:$B$67,LumpyGrid!$C$5:$C$67,A11,LumpyGrid!$F$5:$F$67,1))</f>
        <v>0</v>
      </c>
      <c r="I11" s="25" t="n">
        <f aca="false">IF(ISNUMBER(H11),SUMIFS(LumpyGrid!$D$5:$D$67,LumpyGrid!$B$5:$B$67,H11,LumpyGrid!$C$5:$C$67,A11),"")</f>
        <v>0.03668</v>
      </c>
      <c r="J11" s="12" t="n">
        <f aca="false">IF(ISNUMBER(H11),Fee*H11+Vq*A11,"")</f>
        <v>48</v>
      </c>
    </row>
    <row r="13" customFormat="false" ht="23.85" hidden="false" customHeight="false" outlineLevel="0" collapsed="false">
      <c r="A13" s="8" t="s">
        <v>221</v>
      </c>
      <c r="B13" s="8" t="s">
        <v>159</v>
      </c>
      <c r="C13" s="8" t="s">
        <v>182</v>
      </c>
      <c r="D13" s="8" t="s">
        <v>222</v>
      </c>
      <c r="E13" s="8" t="s">
        <v>184</v>
      </c>
    </row>
    <row r="14" customFormat="false" ht="15" hidden="false" customHeight="false" outlineLevel="0" collapsed="false">
      <c r="A14" s="2" t="s">
        <v>223</v>
      </c>
      <c r="B14" s="15" t="n">
        <f aca="false">Continuous!H6</f>
        <v>170</v>
      </c>
      <c r="C14" s="12" t="n">
        <f aca="false">Continuous!H7</f>
        <v>0.667576361426626</v>
      </c>
      <c r="D14" s="32" t="n">
        <f aca="false">Continuous!H17</f>
        <v>0.05</v>
      </c>
      <c r="E14" s="12" t="n">
        <f aca="false">Continuous!H5</f>
        <v>10.440610891413</v>
      </c>
    </row>
    <row r="15" customFormat="false" ht="15" hidden="false" customHeight="false" outlineLevel="0" collapsed="false">
      <c r="A15" s="2" t="s">
        <v>224</v>
      </c>
      <c r="B15" s="15" t="n">
        <f aca="false">INDEX(B5:B11,MATCH(MIN(D5:D11),D5:D11,0))</f>
        <v>121</v>
      </c>
      <c r="C15" s="12" t="n">
        <f aca="false">INDEX(A5:A11,MATCH(MIN(D5:D11),D5:D11,0))</f>
        <v>1</v>
      </c>
      <c r="D15" s="32" t="n">
        <f aca="false">INDEX(C5:C11,MATCH(MIN(D5:D11),D5:D11,0))</f>
        <v>0.04968</v>
      </c>
      <c r="E15" s="12" t="n">
        <f aca="false">MIN(D5:D11)</f>
        <v>11.63</v>
      </c>
    </row>
    <row r="16" customFormat="false" ht="15" hidden="false" customHeight="false" outlineLevel="0" collapsed="false">
      <c r="A16" s="2" t="s">
        <v>225</v>
      </c>
      <c r="B16" s="15" t="n">
        <f aca="false">INDEX(E5:E11,MATCH(MIN(G5:G11),G5:G11,0))</f>
        <v>130</v>
      </c>
      <c r="C16" s="12" t="n">
        <f aca="false">INDEX(A5:A11,MATCH(MIN(G5:G11),G5:G11,0))</f>
        <v>1</v>
      </c>
      <c r="D16" s="32" t="n">
        <f aca="false">INDEX(F5:F11,MATCH(MIN(G5:G11),G5:G11,0))</f>
        <v>0.0463</v>
      </c>
      <c r="E16" s="12" t="n">
        <f aca="false">MIN(G5:G11)</f>
        <v>11.9</v>
      </c>
    </row>
    <row r="17" customFormat="false" ht="15" hidden="false" customHeight="false" outlineLevel="0" collapsed="false">
      <c r="A17" s="2" t="s">
        <v>226</v>
      </c>
      <c r="B17" s="15" t="n">
        <f aca="false">INDEX(H5:H11,MATCH(MIN(J5:J11),J5:J11,0))</f>
        <v>150</v>
      </c>
      <c r="C17" s="12" t="n">
        <f aca="false">INDEX(A5:A11,MATCH(MIN(J5:J11),J5:J11,0))</f>
        <v>1</v>
      </c>
      <c r="D17" s="32" t="n">
        <f aca="false">INDEX(I5:I11,MATCH(MIN(J5:J11),J5:J11,0))</f>
        <v>0.04003</v>
      </c>
      <c r="E17" s="12" t="n">
        <f aca="false">MIN(J5:J11)</f>
        <v>12.5</v>
      </c>
    </row>
    <row r="18" customFormat="false" ht="15" hidden="false" customHeight="false" outlineLevel="0" collapsed="false">
      <c r="A18" s="2" t="s">
        <v>227</v>
      </c>
      <c r="B18" s="15" t="n">
        <f aca="false">LumpyGrid!J16</f>
        <v>150</v>
      </c>
      <c r="C18" s="12" t="n">
        <f aca="false">LumpyGrid!J17</f>
        <v>0</v>
      </c>
      <c r="D18" s="32" t="n">
        <f aca="false">LumpyGrid!J18</f>
        <v>0.09587</v>
      </c>
      <c r="E18" s="12" t="n">
        <f aca="false">LumpyGrid!J19</f>
        <v>4.5</v>
      </c>
    </row>
    <row r="19" customFormat="false" ht="15" hidden="false" customHeight="false" outlineLevel="0" collapsed="false">
      <c r="A19" s="2" t="s">
        <v>228</v>
      </c>
      <c r="B19" s="15" t="n">
        <f aca="false">LumpyGrid!J22</f>
        <v>200</v>
      </c>
      <c r="C19" s="12" t="n">
        <f aca="false">LumpyGrid!J23</f>
        <v>1</v>
      </c>
      <c r="D19" s="32" t="n">
        <f aca="false">LumpyGrid!J24</f>
        <v>0.03386</v>
      </c>
      <c r="E19" s="12" t="n">
        <f aca="false">LumpyGrid!J25</f>
        <v>14</v>
      </c>
    </row>
    <row r="21" customFormat="false" ht="15" hidden="false" customHeight="false" outlineLevel="0" collapsed="false">
      <c r="A21" s="2" t="s">
        <v>229</v>
      </c>
      <c r="E21" s="12" t="n">
        <f aca="false">E17-E14</f>
        <v>2.05938910858699</v>
      </c>
    </row>
    <row r="22" customFormat="false" ht="15" hidden="false" customHeight="false" outlineLevel="0" collapsed="false">
      <c r="A22" s="2" t="s">
        <v>230</v>
      </c>
      <c r="E22" s="12" t="n">
        <f aca="false">E15-E14</f>
        <v>1.18938910858699</v>
      </c>
    </row>
    <row r="23" customFormat="false" ht="15" hidden="false" customHeight="false" outlineLevel="0" collapsed="false">
      <c r="A23" s="2" t="s">
        <v>231</v>
      </c>
      <c r="E23" s="12" t="n">
        <f aca="false">E17-E15</f>
        <v>0.870000000000001</v>
      </c>
    </row>
    <row r="24" customFormat="false" ht="15" hidden="false" customHeight="false" outlineLevel="0" collapsed="false">
      <c r="A24" s="2" t="s">
        <v>232</v>
      </c>
      <c r="E24" s="12" t="n">
        <f aca="false">E17-E16</f>
        <v>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9"/>
    <col collapsed="false" customWidth="true" hidden="false" outlineLevel="0" max="4" min="4" style="0" width="10"/>
    <col collapsed="false" customWidth="true" hidden="false" outlineLevel="0" max="5" min="5" style="0" width="12"/>
    <col collapsed="false" customWidth="true" hidden="false" outlineLevel="0" max="6" min="6" style="0" width="7"/>
    <col collapsed="false" customWidth="true" hidden="false" outlineLevel="0" max="7" min="7" style="0" width="12"/>
    <col collapsed="false" customWidth="true" hidden="false" outlineLevel="0" max="8" min="8" style="0" width="14"/>
    <col collapsed="false" customWidth="true" hidden="false" outlineLevel="0" max="9" min="9" style="0" width="3"/>
    <col collapsed="false" customWidth="true" hidden="false" outlineLevel="0" max="10" min="10" style="0" width="54"/>
    <col collapsed="false" customWidth="true" hidden="false" outlineLevel="0" max="11" min="11" style="0" width="12"/>
    <col collapsed="false" customWidth="true" hidden="false" outlineLevel="0" max="12" min="12" style="0" width="10"/>
    <col collapsed="false" customWidth="true" hidden="false" outlineLevel="0" max="13" min="13" style="0" width="22"/>
    <col collapsed="false" customWidth="true" hidden="false" outlineLevel="0" max="14" min="14" style="0" width="16"/>
    <col collapsed="false" customWidth="true" hidden="false" outlineLevel="0" max="16" min="15" style="0" width="12"/>
    <col collapsed="false" customWidth="true" hidden="false" outlineLevel="0" max="17" min="17" style="0" width="16"/>
  </cols>
  <sheetData>
    <row r="1" customFormat="false" ht="15" hidden="false" customHeight="false" outlineLevel="0" collapsed="false">
      <c r="A1" s="1" t="s">
        <v>233</v>
      </c>
    </row>
    <row r="2" customFormat="false" ht="15" hidden="false" customHeight="false" outlineLevel="0" collapsed="false">
      <c r="A2" s="10" t="s">
        <v>234</v>
      </c>
    </row>
    <row r="3" customFormat="false" ht="15" hidden="false" customHeight="false" outlineLevel="0" collapsed="false">
      <c r="M3" s="10" t="s">
        <v>235</v>
      </c>
      <c r="N3" s="22" t="n">
        <f aca="false">Vq</f>
        <v>8</v>
      </c>
      <c r="O3" s="11" t="n">
        <v>4</v>
      </c>
      <c r="P3" s="11" t="n">
        <v>16</v>
      </c>
    </row>
    <row r="4" customFormat="false" ht="23.85" hidden="false" customHeight="false" outlineLevel="0" collapsed="false">
      <c r="A4" s="8" t="s">
        <v>212</v>
      </c>
      <c r="B4" s="8" t="s">
        <v>236</v>
      </c>
      <c r="C4" s="8" t="s">
        <v>161</v>
      </c>
      <c r="D4" s="8" t="s">
        <v>237</v>
      </c>
      <c r="E4" s="8" t="s">
        <v>238</v>
      </c>
      <c r="F4" s="8" t="s">
        <v>239</v>
      </c>
      <c r="G4" s="8" t="s">
        <v>240</v>
      </c>
      <c r="H4" s="8" t="s">
        <v>241</v>
      </c>
      <c r="J4" s="8" t="s">
        <v>242</v>
      </c>
      <c r="K4" s="8" t="s">
        <v>19</v>
      </c>
      <c r="L4" s="8" t="s">
        <v>243</v>
      </c>
      <c r="M4" s="8" t="s">
        <v>244</v>
      </c>
      <c r="N4" s="8" t="s">
        <v>245</v>
      </c>
      <c r="O4" s="8" t="s">
        <v>246</v>
      </c>
      <c r="P4" s="8" t="s">
        <v>247</v>
      </c>
      <c r="Q4" s="8" t="s">
        <v>248</v>
      </c>
    </row>
    <row r="5" customFormat="false" ht="15" hidden="false" customHeight="false" outlineLevel="0" collapsed="false">
      <c r="A5" s="22" t="n">
        <f aca="false">LumpyGrid!B5</f>
        <v>0</v>
      </c>
      <c r="B5" s="22" t="n">
        <f aca="false">LumpyGrid!C5</f>
        <v>0</v>
      </c>
      <c r="C5" s="20" t="n">
        <f aca="false">LumpyGrid!E5</f>
        <v>0</v>
      </c>
      <c r="D5" s="24" t="n">
        <f aca="false">(1-Tax)*C5</f>
        <v>0</v>
      </c>
      <c r="E5" s="33" t="n">
        <f aca="false">1000*C5</f>
        <v>0</v>
      </c>
      <c r="F5" s="15" t="n">
        <f aca="false">RANK(C5,$C$5:$C$67,1)</f>
        <v>1</v>
      </c>
      <c r="G5" s="15" t="n">
        <f aca="false">RANK(D5,$D$5:$D$67,1)</f>
        <v>1</v>
      </c>
      <c r="H5" s="15" t="n">
        <f aca="false">RANK(E5,$E$5:$E$67,1)</f>
        <v>1</v>
      </c>
      <c r="J5" s="2" t="s">
        <v>249</v>
      </c>
      <c r="K5" s="15" t="n">
        <f aca="false">SUMPRODUCT(--(F5:F67&lt;&gt;G5:G67))+SUMPRODUCT(--(F5:F67&lt;&gt;H5:H67))</f>
        <v>0</v>
      </c>
    </row>
    <row r="6" customFormat="false" ht="15" hidden="false" customHeight="false" outlineLevel="0" collapsed="false">
      <c r="A6" s="22" t="n">
        <f aca="false">LumpyGrid!B6</f>
        <v>0</v>
      </c>
      <c r="B6" s="22" t="n">
        <f aca="false">LumpyGrid!C6</f>
        <v>1</v>
      </c>
      <c r="C6" s="20" t="n">
        <f aca="false">LumpyGrid!E6</f>
        <v>8</v>
      </c>
      <c r="D6" s="24" t="n">
        <f aca="false">(1-Tax)*C6</f>
        <v>6</v>
      </c>
      <c r="E6" s="33" t="n">
        <f aca="false">1000*C6</f>
        <v>8000</v>
      </c>
      <c r="F6" s="15" t="n">
        <f aca="false">RANK(C6,$C$5:$C$67,1)</f>
        <v>7</v>
      </c>
      <c r="G6" s="15" t="n">
        <f aca="false">RANK(D6,$D$5:$D$67,1)</f>
        <v>7</v>
      </c>
      <c r="H6" s="15" t="n">
        <f aca="false">RANK(E6,$E$5:$E$67,1)</f>
        <v>7</v>
      </c>
      <c r="L6" s="15" t="n">
        <v>1</v>
      </c>
      <c r="M6" s="12" t="n">
        <f aca="false">Fee*FinerLines!H6</f>
        <v>4.5</v>
      </c>
      <c r="N6" s="12" t="n">
        <f aca="false">M6+N$3*L6</f>
        <v>12.5</v>
      </c>
      <c r="O6" s="12" t="n">
        <f aca="false">M6+O$3*L6</f>
        <v>8.5</v>
      </c>
      <c r="P6" s="12" t="n">
        <f aca="false">M6+P$3*L6</f>
        <v>20.5</v>
      </c>
    </row>
    <row r="7" customFormat="false" ht="15" hidden="false" customHeight="false" outlineLevel="0" collapsed="false">
      <c r="A7" s="22" t="n">
        <f aca="false">LumpyGrid!B7</f>
        <v>0</v>
      </c>
      <c r="B7" s="22" t="n">
        <f aca="false">LumpyGrid!C7</f>
        <v>2</v>
      </c>
      <c r="C7" s="20" t="n">
        <f aca="false">LumpyGrid!E7</f>
        <v>16</v>
      </c>
      <c r="D7" s="24" t="n">
        <f aca="false">(1-Tax)*C7</f>
        <v>12</v>
      </c>
      <c r="E7" s="33" t="n">
        <f aca="false">1000*C7</f>
        <v>16000</v>
      </c>
      <c r="F7" s="15" t="n">
        <f aca="false">RANK(C7,$C$5:$C$67,1)</f>
        <v>16</v>
      </c>
      <c r="G7" s="15" t="n">
        <f aca="false">RANK(D7,$D$5:$D$67,1)</f>
        <v>16</v>
      </c>
      <c r="H7" s="15" t="n">
        <f aca="false">RANK(E7,$E$5:$E$67,1)</f>
        <v>16</v>
      </c>
      <c r="J7" s="2" t="s">
        <v>250</v>
      </c>
      <c r="K7" s="15" t="n">
        <f aca="false">Continuous!I6</f>
        <v>140</v>
      </c>
      <c r="L7" s="15" t="n">
        <v>2</v>
      </c>
      <c r="M7" s="12" t="n">
        <f aca="false">Fee*FinerLines!H7</f>
        <v>3</v>
      </c>
      <c r="N7" s="12" t="n">
        <f aca="false">M7+N$3*L7</f>
        <v>19</v>
      </c>
      <c r="O7" s="12" t="n">
        <f aca="false">M7+O$3*L7</f>
        <v>11</v>
      </c>
      <c r="P7" s="12" t="n">
        <f aca="false">M7+P$3*L7</f>
        <v>35</v>
      </c>
      <c r="Q7" s="12" t="n">
        <f aca="false">($M$6-M7)/(L7-1)</f>
        <v>1.5</v>
      </c>
    </row>
    <row r="8" customFormat="false" ht="15" hidden="false" customHeight="false" outlineLevel="0" collapsed="false">
      <c r="A8" s="22" t="n">
        <f aca="false">LumpyGrid!B8</f>
        <v>0</v>
      </c>
      <c r="B8" s="22" t="n">
        <f aca="false">LumpyGrid!C8</f>
        <v>3</v>
      </c>
      <c r="C8" s="20" t="n">
        <f aca="false">LumpyGrid!E8</f>
        <v>24</v>
      </c>
      <c r="D8" s="24" t="n">
        <f aca="false">(1-Tax)*C8</f>
        <v>18</v>
      </c>
      <c r="E8" s="33" t="n">
        <f aca="false">1000*C8</f>
        <v>24000</v>
      </c>
      <c r="F8" s="15" t="n">
        <f aca="false">RANK(C8,$C$5:$C$67,1)</f>
        <v>25</v>
      </c>
      <c r="G8" s="15" t="n">
        <f aca="false">RANK(D8,$D$5:$D$67,1)</f>
        <v>25</v>
      </c>
      <c r="H8" s="15" t="n">
        <f aca="false">RANK(E8,$E$5:$E$67,1)</f>
        <v>25</v>
      </c>
      <c r="J8" s="2" t="s">
        <v>251</v>
      </c>
      <c r="K8" s="12" t="n">
        <f aca="false">Continuous!I7</f>
        <v>0.83115620000579</v>
      </c>
      <c r="L8" s="15" t="n">
        <v>3</v>
      </c>
      <c r="M8" s="12" t="n">
        <f aca="false">Fee*FinerLines!H8</f>
        <v>1.5</v>
      </c>
      <c r="N8" s="12" t="n">
        <f aca="false">M8+N$3*L8</f>
        <v>25.5</v>
      </c>
      <c r="O8" s="12" t="n">
        <f aca="false">M8+O$3*L8</f>
        <v>13.5</v>
      </c>
      <c r="P8" s="12" t="n">
        <f aca="false">M8+P$3*L8</f>
        <v>49.5</v>
      </c>
      <c r="Q8" s="12" t="n">
        <f aca="false">($M$6-M8)/(L8-1)</f>
        <v>1.5</v>
      </c>
    </row>
    <row r="9" customFormat="false" ht="15" hidden="false" customHeight="false" outlineLevel="0" collapsed="false">
      <c r="A9" s="22" t="n">
        <f aca="false">LumpyGrid!B9</f>
        <v>0</v>
      </c>
      <c r="B9" s="22" t="n">
        <f aca="false">LumpyGrid!C9</f>
        <v>4</v>
      </c>
      <c r="C9" s="20" t="n">
        <f aca="false">LumpyGrid!E9</f>
        <v>32</v>
      </c>
      <c r="D9" s="24" t="n">
        <f aca="false">(1-Tax)*C9</f>
        <v>24</v>
      </c>
      <c r="E9" s="33" t="n">
        <f aca="false">1000*C9</f>
        <v>32000</v>
      </c>
      <c r="F9" s="15" t="n">
        <f aca="false">RANK(C9,$C$5:$C$67,1)</f>
        <v>34</v>
      </c>
      <c r="G9" s="15" t="n">
        <f aca="false">RANK(D9,$D$5:$D$67,1)</f>
        <v>34</v>
      </c>
      <c r="H9" s="15" t="n">
        <f aca="false">RANK(E9,$E$5:$E$67,1)</f>
        <v>34</v>
      </c>
      <c r="J9" s="2" t="s">
        <v>252</v>
      </c>
      <c r="K9" s="12" t="n">
        <f aca="false">Continuous!I5</f>
        <v>7.52462480002316</v>
      </c>
      <c r="L9" s="15" t="n">
        <v>4</v>
      </c>
      <c r="M9" s="12" t="n">
        <f aca="false">Fee*FinerLines!H9</f>
        <v>1.5</v>
      </c>
      <c r="N9" s="12" t="n">
        <f aca="false">M9+N$3*L9</f>
        <v>33.5</v>
      </c>
      <c r="O9" s="12" t="n">
        <f aca="false">M9+O$3*L9</f>
        <v>17.5</v>
      </c>
      <c r="P9" s="12" t="n">
        <f aca="false">M9+P$3*L9</f>
        <v>65.5</v>
      </c>
      <c r="Q9" s="12" t="n">
        <f aca="false">($M$6-M9)/(L9-1)</f>
        <v>1</v>
      </c>
    </row>
    <row r="10" customFormat="false" ht="15" hidden="false" customHeight="false" outlineLevel="0" collapsed="false">
      <c r="A10" s="22" t="n">
        <f aca="false">LumpyGrid!B10</f>
        <v>0</v>
      </c>
      <c r="B10" s="22" t="n">
        <f aca="false">LumpyGrid!C10</f>
        <v>5</v>
      </c>
      <c r="C10" s="20" t="n">
        <f aca="false">LumpyGrid!E10</f>
        <v>40</v>
      </c>
      <c r="D10" s="24" t="n">
        <f aca="false">(1-Tax)*C10</f>
        <v>30</v>
      </c>
      <c r="E10" s="33" t="n">
        <f aca="false">1000*C10</f>
        <v>40000</v>
      </c>
      <c r="F10" s="15" t="n">
        <f aca="false">RANK(C10,$C$5:$C$67,1)</f>
        <v>43</v>
      </c>
      <c r="G10" s="15" t="n">
        <f aca="false">RANK(D10,$D$5:$D$67,1)</f>
        <v>43</v>
      </c>
      <c r="H10" s="15" t="n">
        <f aca="false">RANK(E10,$E$5:$E$67,1)</f>
        <v>43</v>
      </c>
      <c r="J10" s="2" t="s">
        <v>253</v>
      </c>
      <c r="K10" s="15" t="n">
        <f aca="false">Continuous!J6</f>
        <v>195</v>
      </c>
      <c r="L10" s="15" t="n">
        <v>5</v>
      </c>
      <c r="M10" s="12" t="n">
        <f aca="false">Fee*FinerLines!H10</f>
        <v>1.5</v>
      </c>
      <c r="N10" s="12" t="n">
        <f aca="false">M10+N$3*L10</f>
        <v>41.5</v>
      </c>
      <c r="O10" s="12" t="n">
        <f aca="false">M10+O$3*L10</f>
        <v>21.5</v>
      </c>
      <c r="P10" s="12" t="n">
        <f aca="false">M10+P$3*L10</f>
        <v>81.5</v>
      </c>
      <c r="Q10" s="12" t="n">
        <f aca="false">($M$6-M10)/(L10-1)</f>
        <v>0.75</v>
      </c>
    </row>
    <row r="11" customFormat="false" ht="15" hidden="false" customHeight="false" outlineLevel="0" collapsed="false">
      <c r="A11" s="22" t="n">
        <f aca="false">LumpyGrid!B11</f>
        <v>0</v>
      </c>
      <c r="B11" s="22" t="n">
        <f aca="false">LumpyGrid!C11</f>
        <v>6</v>
      </c>
      <c r="C11" s="20" t="n">
        <f aca="false">LumpyGrid!E11</f>
        <v>48</v>
      </c>
      <c r="D11" s="24" t="n">
        <f aca="false">(1-Tax)*C11</f>
        <v>36</v>
      </c>
      <c r="E11" s="33" t="n">
        <f aca="false">1000*C11</f>
        <v>48000</v>
      </c>
      <c r="F11" s="15" t="n">
        <f aca="false">RANK(C11,$C$5:$C$67,1)</f>
        <v>52</v>
      </c>
      <c r="G11" s="15" t="n">
        <f aca="false">RANK(D11,$D$5:$D$67,1)</f>
        <v>52</v>
      </c>
      <c r="H11" s="15" t="n">
        <f aca="false">RANK(E11,$E$5:$E$67,1)</f>
        <v>52</v>
      </c>
      <c r="J11" s="2" t="s">
        <v>251</v>
      </c>
      <c r="K11" s="12" t="n">
        <f aca="false">Continuous!J7</f>
        <v>0.603929683416053</v>
      </c>
      <c r="L11" s="15" t="n">
        <v>6</v>
      </c>
      <c r="M11" s="12" t="n">
        <f aca="false">Fee*FinerLines!H11</f>
        <v>0</v>
      </c>
      <c r="N11" s="12" t="n">
        <f aca="false">M11+N$3*L11</f>
        <v>48</v>
      </c>
      <c r="O11" s="12" t="n">
        <f aca="false">M11+O$3*L11</f>
        <v>24</v>
      </c>
      <c r="P11" s="12" t="n">
        <f aca="false">M11+P$3*L11</f>
        <v>96</v>
      </c>
      <c r="Q11" s="12" t="n">
        <f aca="false">($M$6-M11)/(L11-1)</f>
        <v>0.9</v>
      </c>
    </row>
    <row r="12" customFormat="false" ht="15" hidden="false" customHeight="false" outlineLevel="0" collapsed="false">
      <c r="A12" s="22" t="n">
        <f aca="false">LumpyGrid!B12</f>
        <v>50</v>
      </c>
      <c r="B12" s="22" t="n">
        <f aca="false">LumpyGrid!C12</f>
        <v>0</v>
      </c>
      <c r="C12" s="20" t="n">
        <f aca="false">LumpyGrid!E12</f>
        <v>1.5</v>
      </c>
      <c r="D12" s="24" t="n">
        <f aca="false">(1-Tax)*C12</f>
        <v>1.125</v>
      </c>
      <c r="E12" s="33" t="n">
        <f aca="false">1000*C12</f>
        <v>1500</v>
      </c>
      <c r="F12" s="15" t="n">
        <f aca="false">RANK(C12,$C$5:$C$67,1)</f>
        <v>2</v>
      </c>
      <c r="G12" s="15" t="n">
        <f aca="false">RANK(D12,$D$5:$D$67,1)</f>
        <v>2</v>
      </c>
      <c r="H12" s="15" t="n">
        <f aca="false">RANK(E12,$E$5:$E$67,1)</f>
        <v>2</v>
      </c>
      <c r="J12" s="2" t="s">
        <v>252</v>
      </c>
      <c r="K12" s="12" t="n">
        <f aca="false">Continuous!J5</f>
        <v>15.5128749346568</v>
      </c>
    </row>
    <row r="13" customFormat="false" ht="23.85" hidden="false" customHeight="false" outlineLevel="0" collapsed="false">
      <c r="A13" s="22" t="n">
        <f aca="false">LumpyGrid!B13</f>
        <v>50</v>
      </c>
      <c r="B13" s="22" t="n">
        <f aca="false">LumpyGrid!C13</f>
        <v>1</v>
      </c>
      <c r="C13" s="20" t="n">
        <f aca="false">LumpyGrid!E13</f>
        <v>9.5</v>
      </c>
      <c r="D13" s="24" t="n">
        <f aca="false">(1-Tax)*C13</f>
        <v>7.125</v>
      </c>
      <c r="E13" s="33" t="n">
        <f aca="false">1000*C13</f>
        <v>9500</v>
      </c>
      <c r="F13" s="15" t="n">
        <f aca="false">RANK(C13,$C$5:$C$67,1)</f>
        <v>9</v>
      </c>
      <c r="G13" s="15" t="n">
        <f aca="false">RANK(D13,$D$5:$D$67,1)</f>
        <v>9</v>
      </c>
      <c r="H13" s="15" t="n">
        <f aca="false">RANK(E13,$E$5:$E$67,1)</f>
        <v>9</v>
      </c>
      <c r="J13" s="2" t="s">
        <v>254</v>
      </c>
      <c r="K13" s="15" t="n">
        <f aca="false">K10-K7</f>
        <v>55</v>
      </c>
      <c r="L13" s="8" t="s">
        <v>255</v>
      </c>
      <c r="M13" s="8"/>
      <c r="N13" s="8" t="s">
        <v>163</v>
      </c>
      <c r="O13" s="8" t="s">
        <v>256</v>
      </c>
      <c r="P13" s="8" t="s">
        <v>257</v>
      </c>
    </row>
    <row r="14" customFormat="false" ht="15" hidden="false" customHeight="false" outlineLevel="0" collapsed="false">
      <c r="A14" s="22" t="n">
        <f aca="false">LumpyGrid!B14</f>
        <v>50</v>
      </c>
      <c r="B14" s="22" t="n">
        <f aca="false">LumpyGrid!C14</f>
        <v>2</v>
      </c>
      <c r="C14" s="20" t="n">
        <f aca="false">LumpyGrid!E14</f>
        <v>17.5</v>
      </c>
      <c r="D14" s="24" t="n">
        <f aca="false">(1-Tax)*C14</f>
        <v>13.125</v>
      </c>
      <c r="E14" s="33" t="n">
        <f aca="false">1000*C14</f>
        <v>17500</v>
      </c>
      <c r="F14" s="15" t="n">
        <f aca="false">RANK(C14,$C$5:$C$67,1)</f>
        <v>18</v>
      </c>
      <c r="G14" s="15" t="n">
        <f aca="false">RANK(D14,$D$5:$D$67,1)</f>
        <v>18</v>
      </c>
      <c r="H14" s="15" t="n">
        <f aca="false">RANK(E14,$E$5:$E$67,1)</f>
        <v>18</v>
      </c>
      <c r="L14" s="2" t="s">
        <v>252</v>
      </c>
      <c r="N14" s="12" t="n">
        <f aca="false">MIN(N6:N11)</f>
        <v>12.5</v>
      </c>
      <c r="O14" s="12" t="n">
        <f aca="false">MIN(O6:O11)</f>
        <v>8.5</v>
      </c>
      <c r="P14" s="12" t="n">
        <f aca="false">MIN(P6:P11)</f>
        <v>20.5</v>
      </c>
    </row>
    <row r="15" customFormat="false" ht="15" hidden="false" customHeight="false" outlineLevel="0" collapsed="false">
      <c r="A15" s="22" t="n">
        <f aca="false">LumpyGrid!B15</f>
        <v>50</v>
      </c>
      <c r="B15" s="22" t="n">
        <f aca="false">LumpyGrid!C15</f>
        <v>3</v>
      </c>
      <c r="C15" s="20" t="n">
        <f aca="false">LumpyGrid!E15</f>
        <v>25.5</v>
      </c>
      <c r="D15" s="24" t="n">
        <f aca="false">(1-Tax)*C15</f>
        <v>19.125</v>
      </c>
      <c r="E15" s="33" t="n">
        <f aca="false">1000*C15</f>
        <v>25500</v>
      </c>
      <c r="F15" s="15" t="n">
        <f aca="false">RANK(C15,$C$5:$C$67,1)</f>
        <v>27</v>
      </c>
      <c r="G15" s="15" t="n">
        <f aca="false">RANK(D15,$D$5:$D$67,1)</f>
        <v>27</v>
      </c>
      <c r="H15" s="15" t="n">
        <f aca="false">RANK(E15,$E$5:$E$67,1)</f>
        <v>27</v>
      </c>
      <c r="J15" s="2" t="s">
        <v>258</v>
      </c>
      <c r="K15" s="12" t="n">
        <f aca="false">MAX(Q7:Q11)</f>
        <v>1.5</v>
      </c>
      <c r="L15" s="2" t="s">
        <v>102</v>
      </c>
      <c r="N15" s="15" t="n">
        <f aca="false">INDEX($L$6:$L$11,MATCH(N14,N6:N11,0))</f>
        <v>1</v>
      </c>
      <c r="O15" s="15" t="n">
        <f aca="false">INDEX($L$6:$L$11,MATCH(O14,O6:O11,0))</f>
        <v>1</v>
      </c>
      <c r="P15" s="15" t="n">
        <f aca="false">INDEX($L$6:$L$11,MATCH(P14,P6:P11,0))</f>
        <v>1</v>
      </c>
    </row>
    <row r="16" customFormat="false" ht="15" hidden="false" customHeight="false" outlineLevel="0" collapsed="false">
      <c r="A16" s="22" t="n">
        <f aca="false">LumpyGrid!B16</f>
        <v>50</v>
      </c>
      <c r="B16" s="22" t="n">
        <f aca="false">LumpyGrid!C16</f>
        <v>4</v>
      </c>
      <c r="C16" s="20" t="n">
        <f aca="false">LumpyGrid!E16</f>
        <v>33.5</v>
      </c>
      <c r="D16" s="24" t="n">
        <f aca="false">(1-Tax)*C16</f>
        <v>25.125</v>
      </c>
      <c r="E16" s="33" t="n">
        <f aca="false">1000*C16</f>
        <v>33500</v>
      </c>
      <c r="F16" s="15" t="n">
        <f aca="false">RANK(C16,$C$5:$C$67,1)</f>
        <v>36</v>
      </c>
      <c r="G16" s="15" t="n">
        <f aca="false">RANK(D16,$D$5:$D$67,1)</f>
        <v>36</v>
      </c>
      <c r="H16" s="15" t="n">
        <f aca="false">RANK(E16,$E$5:$E$67,1)</f>
        <v>36</v>
      </c>
    </row>
    <row r="17" customFormat="false" ht="15" hidden="false" customHeight="false" outlineLevel="0" collapsed="false">
      <c r="A17" s="22" t="n">
        <f aca="false">LumpyGrid!B17</f>
        <v>50</v>
      </c>
      <c r="B17" s="22" t="n">
        <f aca="false">LumpyGrid!C17</f>
        <v>5</v>
      </c>
      <c r="C17" s="20" t="n">
        <f aca="false">LumpyGrid!E17</f>
        <v>41.5</v>
      </c>
      <c r="D17" s="24" t="n">
        <f aca="false">(1-Tax)*C17</f>
        <v>31.125</v>
      </c>
      <c r="E17" s="33" t="n">
        <f aca="false">1000*C17</f>
        <v>41500</v>
      </c>
      <c r="F17" s="15" t="n">
        <f aca="false">RANK(C17,$C$5:$C$67,1)</f>
        <v>45</v>
      </c>
      <c r="G17" s="15" t="n">
        <f aca="false">RANK(D17,$D$5:$D$67,1)</f>
        <v>45</v>
      </c>
      <c r="H17" s="15" t="n">
        <f aca="false">RANK(E17,$E$5:$E$67,1)</f>
        <v>45</v>
      </c>
      <c r="J17" s="2" t="s">
        <v>259</v>
      </c>
      <c r="K17" s="15" t="n">
        <f aca="false">ROUND(K10/Tranche,0)*Tranche</f>
        <v>200</v>
      </c>
    </row>
    <row r="18" customFormat="false" ht="15" hidden="false" customHeight="false" outlineLevel="0" collapsed="false">
      <c r="A18" s="22" t="n">
        <f aca="false">LumpyGrid!B18</f>
        <v>50</v>
      </c>
      <c r="B18" s="22" t="n">
        <f aca="false">LumpyGrid!C18</f>
        <v>6</v>
      </c>
      <c r="C18" s="20" t="n">
        <f aca="false">LumpyGrid!E18</f>
        <v>49.5</v>
      </c>
      <c r="D18" s="24" t="n">
        <f aca="false">(1-Tax)*C18</f>
        <v>37.125</v>
      </c>
      <c r="E18" s="33" t="n">
        <f aca="false">1000*C18</f>
        <v>49500</v>
      </c>
      <c r="F18" s="15" t="n">
        <f aca="false">RANK(C18,$C$5:$C$67,1)</f>
        <v>54</v>
      </c>
      <c r="G18" s="15" t="n">
        <f aca="false">RANK(D18,$D$5:$D$67,1)</f>
        <v>54</v>
      </c>
      <c r="H18" s="15" t="n">
        <f aca="false">RANK(E18,$E$5:$E$67,1)</f>
        <v>54</v>
      </c>
      <c r="J18" s="2" t="s">
        <v>260</v>
      </c>
      <c r="K18" s="15" t="n">
        <f aca="false">ROUND(K11,0)</f>
        <v>1</v>
      </c>
    </row>
    <row r="19" customFormat="false" ht="15" hidden="false" customHeight="false" outlineLevel="0" collapsed="false">
      <c r="A19" s="22" t="n">
        <f aca="false">LumpyGrid!B19</f>
        <v>100</v>
      </c>
      <c r="B19" s="22" t="n">
        <f aca="false">LumpyGrid!C19</f>
        <v>0</v>
      </c>
      <c r="C19" s="20" t="n">
        <f aca="false">LumpyGrid!E19</f>
        <v>3</v>
      </c>
      <c r="D19" s="24" t="n">
        <f aca="false">(1-Tax)*C19</f>
        <v>2.25</v>
      </c>
      <c r="E19" s="33" t="n">
        <f aca="false">1000*C19</f>
        <v>3000</v>
      </c>
      <c r="F19" s="15" t="n">
        <f aca="false">RANK(C19,$C$5:$C$67,1)</f>
        <v>3</v>
      </c>
      <c r="G19" s="15" t="n">
        <f aca="false">RANK(D19,$D$5:$D$67,1)</f>
        <v>3</v>
      </c>
      <c r="H19" s="15" t="n">
        <f aca="false">RANK(E19,$E$5:$E$67,1)</f>
        <v>3</v>
      </c>
      <c r="J19" s="2" t="s">
        <v>261</v>
      </c>
      <c r="K19" s="12" t="n">
        <f aca="false">Fee*K17+P3*K18</f>
        <v>22</v>
      </c>
    </row>
    <row r="20" customFormat="false" ht="15" hidden="false" customHeight="false" outlineLevel="0" collapsed="false">
      <c r="A20" s="22" t="n">
        <f aca="false">LumpyGrid!B20</f>
        <v>100</v>
      </c>
      <c r="B20" s="22" t="n">
        <f aca="false">LumpyGrid!C20</f>
        <v>1</v>
      </c>
      <c r="C20" s="20" t="n">
        <f aca="false">LumpyGrid!E20</f>
        <v>11</v>
      </c>
      <c r="D20" s="24" t="n">
        <f aca="false">(1-Tax)*C20</f>
        <v>8.25</v>
      </c>
      <c r="E20" s="33" t="n">
        <f aca="false">1000*C20</f>
        <v>11000</v>
      </c>
      <c r="F20" s="15" t="n">
        <f aca="false">RANK(C20,$C$5:$C$67,1)</f>
        <v>11</v>
      </c>
      <c r="G20" s="15" t="n">
        <f aca="false">RANK(D20,$D$5:$D$67,1)</f>
        <v>11</v>
      </c>
      <c r="H20" s="15" t="n">
        <f aca="false">RANK(E20,$E$5:$E$67,1)</f>
        <v>11</v>
      </c>
      <c r="J20" s="2" t="s">
        <v>262</v>
      </c>
      <c r="K20" s="12" t="n">
        <f aca="false">Fee*LumpyGrid!J8+P3*LumpyGrid!J9</f>
        <v>20.5</v>
      </c>
    </row>
    <row r="21" customFormat="false" ht="15" hidden="false" customHeight="false" outlineLevel="0" collapsed="false">
      <c r="A21" s="22" t="n">
        <f aca="false">LumpyGrid!B21</f>
        <v>100</v>
      </c>
      <c r="B21" s="22" t="n">
        <f aca="false">LumpyGrid!C21</f>
        <v>2</v>
      </c>
      <c r="C21" s="20" t="n">
        <f aca="false">LumpyGrid!E21</f>
        <v>19</v>
      </c>
      <c r="D21" s="24" t="n">
        <f aca="false">(1-Tax)*C21</f>
        <v>14.25</v>
      </c>
      <c r="E21" s="33" t="n">
        <f aca="false">1000*C21</f>
        <v>19000</v>
      </c>
      <c r="F21" s="15" t="n">
        <f aca="false">RANK(C21,$C$5:$C$67,1)</f>
        <v>20</v>
      </c>
      <c r="G21" s="15" t="n">
        <f aca="false">RANK(D21,$D$5:$D$67,1)</f>
        <v>20</v>
      </c>
      <c r="H21" s="15" t="n">
        <f aca="false">RANK(E21,$E$5:$E$67,1)</f>
        <v>20</v>
      </c>
      <c r="J21" s="2" t="s">
        <v>263</v>
      </c>
      <c r="K21" s="12" t="n">
        <f aca="false">Fee*LumpyGrid!J8+O3*LumpyGrid!J9</f>
        <v>8.5</v>
      </c>
    </row>
    <row r="22" customFormat="false" ht="15" hidden="false" customHeight="false" outlineLevel="0" collapsed="false">
      <c r="A22" s="22" t="n">
        <f aca="false">LumpyGrid!B22</f>
        <v>100</v>
      </c>
      <c r="B22" s="22" t="n">
        <f aca="false">LumpyGrid!C22</f>
        <v>3</v>
      </c>
      <c r="C22" s="20" t="n">
        <f aca="false">LumpyGrid!E22</f>
        <v>27</v>
      </c>
      <c r="D22" s="24" t="n">
        <f aca="false">(1-Tax)*C22</f>
        <v>20.25</v>
      </c>
      <c r="E22" s="33" t="n">
        <f aca="false">1000*C22</f>
        <v>27000</v>
      </c>
      <c r="F22" s="15" t="n">
        <f aca="false">RANK(C22,$C$5:$C$67,1)</f>
        <v>29</v>
      </c>
      <c r="G22" s="15" t="n">
        <f aca="false">RANK(D22,$D$5:$D$67,1)</f>
        <v>29</v>
      </c>
      <c r="H22" s="15" t="n">
        <f aca="false">RANK(E22,$E$5:$E$67,1)</f>
        <v>29</v>
      </c>
    </row>
    <row r="23" customFormat="false" ht="15" hidden="false" customHeight="false" outlineLevel="0" collapsed="false">
      <c r="A23" s="22" t="n">
        <f aca="false">LumpyGrid!B23</f>
        <v>100</v>
      </c>
      <c r="B23" s="22" t="n">
        <f aca="false">LumpyGrid!C23</f>
        <v>4</v>
      </c>
      <c r="C23" s="20" t="n">
        <f aca="false">LumpyGrid!E23</f>
        <v>35</v>
      </c>
      <c r="D23" s="24" t="n">
        <f aca="false">(1-Tax)*C23</f>
        <v>26.25</v>
      </c>
      <c r="E23" s="33" t="n">
        <f aca="false">1000*C23</f>
        <v>35000</v>
      </c>
      <c r="F23" s="15" t="n">
        <f aca="false">RANK(C23,$C$5:$C$67,1)</f>
        <v>38</v>
      </c>
      <c r="G23" s="15" t="n">
        <f aca="false">RANK(D23,$D$5:$D$67,1)</f>
        <v>38</v>
      </c>
      <c r="H23" s="15" t="n">
        <f aca="false">RANK(E23,$E$5:$E$67,1)</f>
        <v>38</v>
      </c>
    </row>
    <row r="24" customFormat="false" ht="15" hidden="false" customHeight="false" outlineLevel="0" collapsed="false">
      <c r="A24" s="22" t="n">
        <f aca="false">LumpyGrid!B24</f>
        <v>100</v>
      </c>
      <c r="B24" s="22" t="n">
        <f aca="false">LumpyGrid!C24</f>
        <v>5</v>
      </c>
      <c r="C24" s="20" t="n">
        <f aca="false">LumpyGrid!E24</f>
        <v>43</v>
      </c>
      <c r="D24" s="24" t="n">
        <f aca="false">(1-Tax)*C24</f>
        <v>32.25</v>
      </c>
      <c r="E24" s="33" t="n">
        <f aca="false">1000*C24</f>
        <v>43000</v>
      </c>
      <c r="F24" s="15" t="n">
        <f aca="false">RANK(C24,$C$5:$C$67,1)</f>
        <v>47</v>
      </c>
      <c r="G24" s="15" t="n">
        <f aca="false">RANK(D24,$D$5:$D$67,1)</f>
        <v>47</v>
      </c>
      <c r="H24" s="15" t="n">
        <f aca="false">RANK(E24,$E$5:$E$67,1)</f>
        <v>47</v>
      </c>
    </row>
    <row r="25" customFormat="false" ht="15" hidden="false" customHeight="false" outlineLevel="0" collapsed="false">
      <c r="A25" s="22" t="n">
        <f aca="false">LumpyGrid!B25</f>
        <v>100</v>
      </c>
      <c r="B25" s="22" t="n">
        <f aca="false">LumpyGrid!C25</f>
        <v>6</v>
      </c>
      <c r="C25" s="20" t="n">
        <f aca="false">LumpyGrid!E25</f>
        <v>51</v>
      </c>
      <c r="D25" s="24" t="n">
        <f aca="false">(1-Tax)*C25</f>
        <v>38.25</v>
      </c>
      <c r="E25" s="33" t="n">
        <f aca="false">1000*C25</f>
        <v>51000</v>
      </c>
      <c r="F25" s="15" t="n">
        <f aca="false">RANK(C25,$C$5:$C$67,1)</f>
        <v>56</v>
      </c>
      <c r="G25" s="15" t="n">
        <f aca="false">RANK(D25,$D$5:$D$67,1)</f>
        <v>56</v>
      </c>
      <c r="H25" s="15" t="n">
        <f aca="false">RANK(E25,$E$5:$E$67,1)</f>
        <v>56</v>
      </c>
    </row>
    <row r="26" customFormat="false" ht="15" hidden="false" customHeight="false" outlineLevel="0" collapsed="false">
      <c r="A26" s="22" t="n">
        <f aca="false">LumpyGrid!B26</f>
        <v>150</v>
      </c>
      <c r="B26" s="22" t="n">
        <f aca="false">LumpyGrid!C26</f>
        <v>0</v>
      </c>
      <c r="C26" s="20" t="n">
        <f aca="false">LumpyGrid!E26</f>
        <v>4.5</v>
      </c>
      <c r="D26" s="24" t="n">
        <f aca="false">(1-Tax)*C26</f>
        <v>3.375</v>
      </c>
      <c r="E26" s="33" t="n">
        <f aca="false">1000*C26</f>
        <v>4500</v>
      </c>
      <c r="F26" s="15" t="n">
        <f aca="false">RANK(C26,$C$5:$C$67,1)</f>
        <v>4</v>
      </c>
      <c r="G26" s="15" t="n">
        <f aca="false">RANK(D26,$D$5:$D$67,1)</f>
        <v>4</v>
      </c>
      <c r="H26" s="15" t="n">
        <f aca="false">RANK(E26,$E$5:$E$67,1)</f>
        <v>4</v>
      </c>
    </row>
    <row r="27" customFormat="false" ht="15" hidden="false" customHeight="false" outlineLevel="0" collapsed="false">
      <c r="A27" s="22" t="n">
        <f aca="false">LumpyGrid!B27</f>
        <v>150</v>
      </c>
      <c r="B27" s="22" t="n">
        <f aca="false">LumpyGrid!C27</f>
        <v>1</v>
      </c>
      <c r="C27" s="20" t="n">
        <f aca="false">LumpyGrid!E27</f>
        <v>12.5</v>
      </c>
      <c r="D27" s="24" t="n">
        <f aca="false">(1-Tax)*C27</f>
        <v>9.375</v>
      </c>
      <c r="E27" s="33" t="n">
        <f aca="false">1000*C27</f>
        <v>12500</v>
      </c>
      <c r="F27" s="15" t="n">
        <f aca="false">RANK(C27,$C$5:$C$67,1)</f>
        <v>13</v>
      </c>
      <c r="G27" s="15" t="n">
        <f aca="false">RANK(D27,$D$5:$D$67,1)</f>
        <v>13</v>
      </c>
      <c r="H27" s="15" t="n">
        <f aca="false">RANK(E27,$E$5:$E$67,1)</f>
        <v>13</v>
      </c>
    </row>
    <row r="28" customFormat="false" ht="15" hidden="false" customHeight="false" outlineLevel="0" collapsed="false">
      <c r="A28" s="22" t="n">
        <f aca="false">LumpyGrid!B28</f>
        <v>150</v>
      </c>
      <c r="B28" s="22" t="n">
        <f aca="false">LumpyGrid!C28</f>
        <v>2</v>
      </c>
      <c r="C28" s="20" t="n">
        <f aca="false">LumpyGrid!E28</f>
        <v>20.5</v>
      </c>
      <c r="D28" s="24" t="n">
        <f aca="false">(1-Tax)*C28</f>
        <v>15.375</v>
      </c>
      <c r="E28" s="33" t="n">
        <f aca="false">1000*C28</f>
        <v>20500</v>
      </c>
      <c r="F28" s="15" t="n">
        <f aca="false">RANK(C28,$C$5:$C$67,1)</f>
        <v>22</v>
      </c>
      <c r="G28" s="15" t="n">
        <f aca="false">RANK(D28,$D$5:$D$67,1)</f>
        <v>22</v>
      </c>
      <c r="H28" s="15" t="n">
        <f aca="false">RANK(E28,$E$5:$E$67,1)</f>
        <v>22</v>
      </c>
    </row>
    <row r="29" customFormat="false" ht="15" hidden="false" customHeight="false" outlineLevel="0" collapsed="false">
      <c r="A29" s="22" t="n">
        <f aca="false">LumpyGrid!B29</f>
        <v>150</v>
      </c>
      <c r="B29" s="22" t="n">
        <f aca="false">LumpyGrid!C29</f>
        <v>3</v>
      </c>
      <c r="C29" s="20" t="n">
        <f aca="false">LumpyGrid!E29</f>
        <v>28.5</v>
      </c>
      <c r="D29" s="24" t="n">
        <f aca="false">(1-Tax)*C29</f>
        <v>21.375</v>
      </c>
      <c r="E29" s="33" t="n">
        <f aca="false">1000*C29</f>
        <v>28500</v>
      </c>
      <c r="F29" s="15" t="n">
        <f aca="false">RANK(C29,$C$5:$C$67,1)</f>
        <v>31</v>
      </c>
      <c r="G29" s="15" t="n">
        <f aca="false">RANK(D29,$D$5:$D$67,1)</f>
        <v>31</v>
      </c>
      <c r="H29" s="15" t="n">
        <f aca="false">RANK(E29,$E$5:$E$67,1)</f>
        <v>31</v>
      </c>
    </row>
    <row r="30" customFormat="false" ht="15" hidden="false" customHeight="false" outlineLevel="0" collapsed="false">
      <c r="A30" s="22" t="n">
        <f aca="false">LumpyGrid!B30</f>
        <v>150</v>
      </c>
      <c r="B30" s="22" t="n">
        <f aca="false">LumpyGrid!C30</f>
        <v>4</v>
      </c>
      <c r="C30" s="20" t="n">
        <f aca="false">LumpyGrid!E30</f>
        <v>36.5</v>
      </c>
      <c r="D30" s="24" t="n">
        <f aca="false">(1-Tax)*C30</f>
        <v>27.375</v>
      </c>
      <c r="E30" s="33" t="n">
        <f aca="false">1000*C30</f>
        <v>36500</v>
      </c>
      <c r="F30" s="15" t="n">
        <f aca="false">RANK(C30,$C$5:$C$67,1)</f>
        <v>40</v>
      </c>
      <c r="G30" s="15" t="n">
        <f aca="false">RANK(D30,$D$5:$D$67,1)</f>
        <v>40</v>
      </c>
      <c r="H30" s="15" t="n">
        <f aca="false">RANK(E30,$E$5:$E$67,1)</f>
        <v>40</v>
      </c>
    </row>
    <row r="31" customFormat="false" ht="15" hidden="false" customHeight="false" outlineLevel="0" collapsed="false">
      <c r="A31" s="22" t="n">
        <f aca="false">LumpyGrid!B31</f>
        <v>150</v>
      </c>
      <c r="B31" s="22" t="n">
        <f aca="false">LumpyGrid!C31</f>
        <v>5</v>
      </c>
      <c r="C31" s="20" t="n">
        <f aca="false">LumpyGrid!E31</f>
        <v>44.5</v>
      </c>
      <c r="D31" s="24" t="n">
        <f aca="false">(1-Tax)*C31</f>
        <v>33.375</v>
      </c>
      <c r="E31" s="33" t="n">
        <f aca="false">1000*C31</f>
        <v>44500</v>
      </c>
      <c r="F31" s="15" t="n">
        <f aca="false">RANK(C31,$C$5:$C$67,1)</f>
        <v>49</v>
      </c>
      <c r="G31" s="15" t="n">
        <f aca="false">RANK(D31,$D$5:$D$67,1)</f>
        <v>49</v>
      </c>
      <c r="H31" s="15" t="n">
        <f aca="false">RANK(E31,$E$5:$E$67,1)</f>
        <v>49</v>
      </c>
    </row>
    <row r="32" customFormat="false" ht="15" hidden="false" customHeight="false" outlineLevel="0" collapsed="false">
      <c r="A32" s="22" t="n">
        <f aca="false">LumpyGrid!B32</f>
        <v>150</v>
      </c>
      <c r="B32" s="22" t="n">
        <f aca="false">LumpyGrid!C32</f>
        <v>6</v>
      </c>
      <c r="C32" s="20" t="n">
        <f aca="false">LumpyGrid!E32</f>
        <v>52.5</v>
      </c>
      <c r="D32" s="24" t="n">
        <f aca="false">(1-Tax)*C32</f>
        <v>39.375</v>
      </c>
      <c r="E32" s="33" t="n">
        <f aca="false">1000*C32</f>
        <v>52500</v>
      </c>
      <c r="F32" s="15" t="n">
        <f aca="false">RANK(C32,$C$5:$C$67,1)</f>
        <v>58</v>
      </c>
      <c r="G32" s="15" t="n">
        <f aca="false">RANK(D32,$D$5:$D$67,1)</f>
        <v>58</v>
      </c>
      <c r="H32" s="15" t="n">
        <f aca="false">RANK(E32,$E$5:$E$67,1)</f>
        <v>58</v>
      </c>
    </row>
    <row r="33" customFormat="false" ht="15" hidden="false" customHeight="false" outlineLevel="0" collapsed="false">
      <c r="A33" s="22" t="n">
        <f aca="false">LumpyGrid!B33</f>
        <v>200</v>
      </c>
      <c r="B33" s="22" t="n">
        <f aca="false">LumpyGrid!C33</f>
        <v>0</v>
      </c>
      <c r="C33" s="20" t="n">
        <f aca="false">LumpyGrid!E33</f>
        <v>6</v>
      </c>
      <c r="D33" s="24" t="n">
        <f aca="false">(1-Tax)*C33</f>
        <v>4.5</v>
      </c>
      <c r="E33" s="33" t="n">
        <f aca="false">1000*C33</f>
        <v>6000</v>
      </c>
      <c r="F33" s="15" t="n">
        <f aca="false">RANK(C33,$C$5:$C$67,1)</f>
        <v>5</v>
      </c>
      <c r="G33" s="15" t="n">
        <f aca="false">RANK(D33,$D$5:$D$67,1)</f>
        <v>5</v>
      </c>
      <c r="H33" s="15" t="n">
        <f aca="false">RANK(E33,$E$5:$E$67,1)</f>
        <v>5</v>
      </c>
    </row>
    <row r="34" customFormat="false" ht="15" hidden="false" customHeight="false" outlineLevel="0" collapsed="false">
      <c r="A34" s="22" t="n">
        <f aca="false">LumpyGrid!B34</f>
        <v>200</v>
      </c>
      <c r="B34" s="22" t="n">
        <f aca="false">LumpyGrid!C34</f>
        <v>1</v>
      </c>
      <c r="C34" s="20" t="n">
        <f aca="false">LumpyGrid!E34</f>
        <v>14</v>
      </c>
      <c r="D34" s="24" t="n">
        <f aca="false">(1-Tax)*C34</f>
        <v>10.5</v>
      </c>
      <c r="E34" s="33" t="n">
        <f aca="false">1000*C34</f>
        <v>14000</v>
      </c>
      <c r="F34" s="15" t="n">
        <f aca="false">RANK(C34,$C$5:$C$67,1)</f>
        <v>14</v>
      </c>
      <c r="G34" s="15" t="n">
        <f aca="false">RANK(D34,$D$5:$D$67,1)</f>
        <v>14</v>
      </c>
      <c r="H34" s="15" t="n">
        <f aca="false">RANK(E34,$E$5:$E$67,1)</f>
        <v>14</v>
      </c>
    </row>
    <row r="35" customFormat="false" ht="15" hidden="false" customHeight="false" outlineLevel="0" collapsed="false">
      <c r="A35" s="22" t="n">
        <f aca="false">LumpyGrid!B35</f>
        <v>200</v>
      </c>
      <c r="B35" s="22" t="n">
        <f aca="false">LumpyGrid!C35</f>
        <v>2</v>
      </c>
      <c r="C35" s="20" t="n">
        <f aca="false">LumpyGrid!E35</f>
        <v>22</v>
      </c>
      <c r="D35" s="24" t="n">
        <f aca="false">(1-Tax)*C35</f>
        <v>16.5</v>
      </c>
      <c r="E35" s="33" t="n">
        <f aca="false">1000*C35</f>
        <v>22000</v>
      </c>
      <c r="F35" s="15" t="n">
        <f aca="false">RANK(C35,$C$5:$C$67,1)</f>
        <v>23</v>
      </c>
      <c r="G35" s="15" t="n">
        <f aca="false">RANK(D35,$D$5:$D$67,1)</f>
        <v>23</v>
      </c>
      <c r="H35" s="15" t="n">
        <f aca="false">RANK(E35,$E$5:$E$67,1)</f>
        <v>23</v>
      </c>
    </row>
    <row r="36" customFormat="false" ht="15" hidden="false" customHeight="false" outlineLevel="0" collapsed="false">
      <c r="A36" s="22" t="n">
        <f aca="false">LumpyGrid!B36</f>
        <v>200</v>
      </c>
      <c r="B36" s="22" t="n">
        <f aca="false">LumpyGrid!C36</f>
        <v>3</v>
      </c>
      <c r="C36" s="20" t="n">
        <f aca="false">LumpyGrid!E36</f>
        <v>30</v>
      </c>
      <c r="D36" s="24" t="n">
        <f aca="false">(1-Tax)*C36</f>
        <v>22.5</v>
      </c>
      <c r="E36" s="33" t="n">
        <f aca="false">1000*C36</f>
        <v>30000</v>
      </c>
      <c r="F36" s="15" t="n">
        <f aca="false">RANK(C36,$C$5:$C$67,1)</f>
        <v>32</v>
      </c>
      <c r="G36" s="15" t="n">
        <f aca="false">RANK(D36,$D$5:$D$67,1)</f>
        <v>32</v>
      </c>
      <c r="H36" s="15" t="n">
        <f aca="false">RANK(E36,$E$5:$E$67,1)</f>
        <v>32</v>
      </c>
    </row>
    <row r="37" customFormat="false" ht="15" hidden="false" customHeight="false" outlineLevel="0" collapsed="false">
      <c r="A37" s="22" t="n">
        <f aca="false">LumpyGrid!B37</f>
        <v>200</v>
      </c>
      <c r="B37" s="22" t="n">
        <f aca="false">LumpyGrid!C37</f>
        <v>4</v>
      </c>
      <c r="C37" s="20" t="n">
        <f aca="false">LumpyGrid!E37</f>
        <v>38</v>
      </c>
      <c r="D37" s="24" t="n">
        <f aca="false">(1-Tax)*C37</f>
        <v>28.5</v>
      </c>
      <c r="E37" s="33" t="n">
        <f aca="false">1000*C37</f>
        <v>38000</v>
      </c>
      <c r="F37" s="15" t="n">
        <f aca="false">RANK(C37,$C$5:$C$67,1)</f>
        <v>41</v>
      </c>
      <c r="G37" s="15" t="n">
        <f aca="false">RANK(D37,$D$5:$D$67,1)</f>
        <v>41</v>
      </c>
      <c r="H37" s="15" t="n">
        <f aca="false">RANK(E37,$E$5:$E$67,1)</f>
        <v>41</v>
      </c>
    </row>
    <row r="38" customFormat="false" ht="15" hidden="false" customHeight="false" outlineLevel="0" collapsed="false">
      <c r="A38" s="22" t="n">
        <f aca="false">LumpyGrid!B38</f>
        <v>200</v>
      </c>
      <c r="B38" s="22" t="n">
        <f aca="false">LumpyGrid!C38</f>
        <v>5</v>
      </c>
      <c r="C38" s="20" t="n">
        <f aca="false">LumpyGrid!E38</f>
        <v>46</v>
      </c>
      <c r="D38" s="24" t="n">
        <f aca="false">(1-Tax)*C38</f>
        <v>34.5</v>
      </c>
      <c r="E38" s="33" t="n">
        <f aca="false">1000*C38</f>
        <v>46000</v>
      </c>
      <c r="F38" s="15" t="n">
        <f aca="false">RANK(C38,$C$5:$C$67,1)</f>
        <v>50</v>
      </c>
      <c r="G38" s="15" t="n">
        <f aca="false">RANK(D38,$D$5:$D$67,1)</f>
        <v>50</v>
      </c>
      <c r="H38" s="15" t="n">
        <f aca="false">RANK(E38,$E$5:$E$67,1)</f>
        <v>50</v>
      </c>
    </row>
    <row r="39" customFormat="false" ht="15" hidden="false" customHeight="false" outlineLevel="0" collapsed="false">
      <c r="A39" s="22" t="n">
        <f aca="false">LumpyGrid!B39</f>
        <v>200</v>
      </c>
      <c r="B39" s="22" t="n">
        <f aca="false">LumpyGrid!C39</f>
        <v>6</v>
      </c>
      <c r="C39" s="20" t="n">
        <f aca="false">LumpyGrid!E39</f>
        <v>54</v>
      </c>
      <c r="D39" s="24" t="n">
        <f aca="false">(1-Tax)*C39</f>
        <v>40.5</v>
      </c>
      <c r="E39" s="33" t="n">
        <f aca="false">1000*C39</f>
        <v>54000</v>
      </c>
      <c r="F39" s="15" t="n">
        <f aca="false">RANK(C39,$C$5:$C$67,1)</f>
        <v>59</v>
      </c>
      <c r="G39" s="15" t="n">
        <f aca="false">RANK(D39,$D$5:$D$67,1)</f>
        <v>59</v>
      </c>
      <c r="H39" s="15" t="n">
        <f aca="false">RANK(E39,$E$5:$E$67,1)</f>
        <v>59</v>
      </c>
    </row>
    <row r="40" customFormat="false" ht="15" hidden="false" customHeight="false" outlineLevel="0" collapsed="false">
      <c r="A40" s="22" t="n">
        <f aca="false">LumpyGrid!B40</f>
        <v>250</v>
      </c>
      <c r="B40" s="22" t="n">
        <f aca="false">LumpyGrid!C40</f>
        <v>0</v>
      </c>
      <c r="C40" s="20" t="n">
        <f aca="false">LumpyGrid!E40</f>
        <v>7.5</v>
      </c>
      <c r="D40" s="24" t="n">
        <f aca="false">(1-Tax)*C40</f>
        <v>5.625</v>
      </c>
      <c r="E40" s="33" t="n">
        <f aca="false">1000*C40</f>
        <v>7500</v>
      </c>
      <c r="F40" s="15" t="n">
        <f aca="false">RANK(C40,$C$5:$C$67,1)</f>
        <v>6</v>
      </c>
      <c r="G40" s="15" t="n">
        <f aca="false">RANK(D40,$D$5:$D$67,1)</f>
        <v>6</v>
      </c>
      <c r="H40" s="15" t="n">
        <f aca="false">RANK(E40,$E$5:$E$67,1)</f>
        <v>6</v>
      </c>
    </row>
    <row r="41" customFormat="false" ht="15" hidden="false" customHeight="false" outlineLevel="0" collapsed="false">
      <c r="A41" s="22" t="n">
        <f aca="false">LumpyGrid!B41</f>
        <v>250</v>
      </c>
      <c r="B41" s="22" t="n">
        <f aca="false">LumpyGrid!C41</f>
        <v>1</v>
      </c>
      <c r="C41" s="20" t="n">
        <f aca="false">LumpyGrid!E41</f>
        <v>15.5</v>
      </c>
      <c r="D41" s="24" t="n">
        <f aca="false">(1-Tax)*C41</f>
        <v>11.625</v>
      </c>
      <c r="E41" s="33" t="n">
        <f aca="false">1000*C41</f>
        <v>15500</v>
      </c>
      <c r="F41" s="15" t="n">
        <f aca="false">RANK(C41,$C$5:$C$67,1)</f>
        <v>15</v>
      </c>
      <c r="G41" s="15" t="n">
        <f aca="false">RANK(D41,$D$5:$D$67,1)</f>
        <v>15</v>
      </c>
      <c r="H41" s="15" t="n">
        <f aca="false">RANK(E41,$E$5:$E$67,1)</f>
        <v>15</v>
      </c>
    </row>
    <row r="42" customFormat="false" ht="15" hidden="false" customHeight="false" outlineLevel="0" collapsed="false">
      <c r="A42" s="22" t="n">
        <f aca="false">LumpyGrid!B42</f>
        <v>250</v>
      </c>
      <c r="B42" s="22" t="n">
        <f aca="false">LumpyGrid!C42</f>
        <v>2</v>
      </c>
      <c r="C42" s="20" t="n">
        <f aca="false">LumpyGrid!E42</f>
        <v>23.5</v>
      </c>
      <c r="D42" s="24" t="n">
        <f aca="false">(1-Tax)*C42</f>
        <v>17.625</v>
      </c>
      <c r="E42" s="33" t="n">
        <f aca="false">1000*C42</f>
        <v>23500</v>
      </c>
      <c r="F42" s="15" t="n">
        <f aca="false">RANK(C42,$C$5:$C$67,1)</f>
        <v>24</v>
      </c>
      <c r="G42" s="15" t="n">
        <f aca="false">RANK(D42,$D$5:$D$67,1)</f>
        <v>24</v>
      </c>
      <c r="H42" s="15" t="n">
        <f aca="false">RANK(E42,$E$5:$E$67,1)</f>
        <v>24</v>
      </c>
    </row>
    <row r="43" customFormat="false" ht="15" hidden="false" customHeight="false" outlineLevel="0" collapsed="false">
      <c r="A43" s="22" t="n">
        <f aca="false">LumpyGrid!B43</f>
        <v>250</v>
      </c>
      <c r="B43" s="22" t="n">
        <f aca="false">LumpyGrid!C43</f>
        <v>3</v>
      </c>
      <c r="C43" s="20" t="n">
        <f aca="false">LumpyGrid!E43</f>
        <v>31.5</v>
      </c>
      <c r="D43" s="24" t="n">
        <f aca="false">(1-Tax)*C43</f>
        <v>23.625</v>
      </c>
      <c r="E43" s="33" t="n">
        <f aca="false">1000*C43</f>
        <v>31500</v>
      </c>
      <c r="F43" s="15" t="n">
        <f aca="false">RANK(C43,$C$5:$C$67,1)</f>
        <v>33</v>
      </c>
      <c r="G43" s="15" t="n">
        <f aca="false">RANK(D43,$D$5:$D$67,1)</f>
        <v>33</v>
      </c>
      <c r="H43" s="15" t="n">
        <f aca="false">RANK(E43,$E$5:$E$67,1)</f>
        <v>33</v>
      </c>
    </row>
    <row r="44" customFormat="false" ht="15" hidden="false" customHeight="false" outlineLevel="0" collapsed="false">
      <c r="A44" s="22" t="n">
        <f aca="false">LumpyGrid!B44</f>
        <v>250</v>
      </c>
      <c r="B44" s="22" t="n">
        <f aca="false">LumpyGrid!C44</f>
        <v>4</v>
      </c>
      <c r="C44" s="20" t="n">
        <f aca="false">LumpyGrid!E44</f>
        <v>39.5</v>
      </c>
      <c r="D44" s="24" t="n">
        <f aca="false">(1-Tax)*C44</f>
        <v>29.625</v>
      </c>
      <c r="E44" s="33" t="n">
        <f aca="false">1000*C44</f>
        <v>39500</v>
      </c>
      <c r="F44" s="15" t="n">
        <f aca="false">RANK(C44,$C$5:$C$67,1)</f>
        <v>42</v>
      </c>
      <c r="G44" s="15" t="n">
        <f aca="false">RANK(D44,$D$5:$D$67,1)</f>
        <v>42</v>
      </c>
      <c r="H44" s="15" t="n">
        <f aca="false">RANK(E44,$E$5:$E$67,1)</f>
        <v>42</v>
      </c>
    </row>
    <row r="45" customFormat="false" ht="15" hidden="false" customHeight="false" outlineLevel="0" collapsed="false">
      <c r="A45" s="22" t="n">
        <f aca="false">LumpyGrid!B45</f>
        <v>250</v>
      </c>
      <c r="B45" s="22" t="n">
        <f aca="false">LumpyGrid!C45</f>
        <v>5</v>
      </c>
      <c r="C45" s="20" t="n">
        <f aca="false">LumpyGrid!E45</f>
        <v>47.5</v>
      </c>
      <c r="D45" s="24" t="n">
        <f aca="false">(1-Tax)*C45</f>
        <v>35.625</v>
      </c>
      <c r="E45" s="33" t="n">
        <f aca="false">1000*C45</f>
        <v>47500</v>
      </c>
      <c r="F45" s="15" t="n">
        <f aca="false">RANK(C45,$C$5:$C$67,1)</f>
        <v>51</v>
      </c>
      <c r="G45" s="15" t="n">
        <f aca="false">RANK(D45,$D$5:$D$67,1)</f>
        <v>51</v>
      </c>
      <c r="H45" s="15" t="n">
        <f aca="false">RANK(E45,$E$5:$E$67,1)</f>
        <v>51</v>
      </c>
    </row>
    <row r="46" customFormat="false" ht="15" hidden="false" customHeight="false" outlineLevel="0" collapsed="false">
      <c r="A46" s="22" t="n">
        <f aca="false">LumpyGrid!B46</f>
        <v>250</v>
      </c>
      <c r="B46" s="22" t="n">
        <f aca="false">LumpyGrid!C46</f>
        <v>6</v>
      </c>
      <c r="C46" s="20" t="n">
        <f aca="false">LumpyGrid!E46</f>
        <v>55.5</v>
      </c>
      <c r="D46" s="24" t="n">
        <f aca="false">(1-Tax)*C46</f>
        <v>41.625</v>
      </c>
      <c r="E46" s="33" t="n">
        <f aca="false">1000*C46</f>
        <v>55500</v>
      </c>
      <c r="F46" s="15" t="n">
        <f aca="false">RANK(C46,$C$5:$C$67,1)</f>
        <v>60</v>
      </c>
      <c r="G46" s="15" t="n">
        <f aca="false">RANK(D46,$D$5:$D$67,1)</f>
        <v>60</v>
      </c>
      <c r="H46" s="15" t="n">
        <f aca="false">RANK(E46,$E$5:$E$67,1)</f>
        <v>60</v>
      </c>
    </row>
    <row r="47" customFormat="false" ht="15" hidden="false" customHeight="false" outlineLevel="0" collapsed="false">
      <c r="A47" s="22" t="n">
        <f aca="false">LumpyGrid!B47</f>
        <v>300</v>
      </c>
      <c r="B47" s="22" t="n">
        <f aca="false">LumpyGrid!C47</f>
        <v>0</v>
      </c>
      <c r="C47" s="20" t="n">
        <f aca="false">LumpyGrid!E47</f>
        <v>9</v>
      </c>
      <c r="D47" s="24" t="n">
        <f aca="false">(1-Tax)*C47</f>
        <v>6.75</v>
      </c>
      <c r="E47" s="33" t="n">
        <f aca="false">1000*C47</f>
        <v>9000</v>
      </c>
      <c r="F47" s="15" t="n">
        <f aca="false">RANK(C47,$C$5:$C$67,1)</f>
        <v>8</v>
      </c>
      <c r="G47" s="15" t="n">
        <f aca="false">RANK(D47,$D$5:$D$67,1)</f>
        <v>8</v>
      </c>
      <c r="H47" s="15" t="n">
        <f aca="false">RANK(E47,$E$5:$E$67,1)</f>
        <v>8</v>
      </c>
    </row>
    <row r="48" customFormat="false" ht="15" hidden="false" customHeight="false" outlineLevel="0" collapsed="false">
      <c r="A48" s="22" t="n">
        <f aca="false">LumpyGrid!B48</f>
        <v>300</v>
      </c>
      <c r="B48" s="22" t="n">
        <f aca="false">LumpyGrid!C48</f>
        <v>1</v>
      </c>
      <c r="C48" s="20" t="n">
        <f aca="false">LumpyGrid!E48</f>
        <v>17</v>
      </c>
      <c r="D48" s="24" t="n">
        <f aca="false">(1-Tax)*C48</f>
        <v>12.75</v>
      </c>
      <c r="E48" s="33" t="n">
        <f aca="false">1000*C48</f>
        <v>17000</v>
      </c>
      <c r="F48" s="15" t="n">
        <f aca="false">RANK(C48,$C$5:$C$67,1)</f>
        <v>17</v>
      </c>
      <c r="G48" s="15" t="n">
        <f aca="false">RANK(D48,$D$5:$D$67,1)</f>
        <v>17</v>
      </c>
      <c r="H48" s="15" t="n">
        <f aca="false">RANK(E48,$E$5:$E$67,1)</f>
        <v>17</v>
      </c>
    </row>
    <row r="49" customFormat="false" ht="15" hidden="false" customHeight="false" outlineLevel="0" collapsed="false">
      <c r="A49" s="22" t="n">
        <f aca="false">LumpyGrid!B49</f>
        <v>300</v>
      </c>
      <c r="B49" s="22" t="n">
        <f aca="false">LumpyGrid!C49</f>
        <v>2</v>
      </c>
      <c r="C49" s="20" t="n">
        <f aca="false">LumpyGrid!E49</f>
        <v>25</v>
      </c>
      <c r="D49" s="24" t="n">
        <f aca="false">(1-Tax)*C49</f>
        <v>18.75</v>
      </c>
      <c r="E49" s="33" t="n">
        <f aca="false">1000*C49</f>
        <v>25000</v>
      </c>
      <c r="F49" s="15" t="n">
        <f aca="false">RANK(C49,$C$5:$C$67,1)</f>
        <v>26</v>
      </c>
      <c r="G49" s="15" t="n">
        <f aca="false">RANK(D49,$D$5:$D$67,1)</f>
        <v>26</v>
      </c>
      <c r="H49" s="15" t="n">
        <f aca="false">RANK(E49,$E$5:$E$67,1)</f>
        <v>26</v>
      </c>
    </row>
    <row r="50" customFormat="false" ht="15" hidden="false" customHeight="false" outlineLevel="0" collapsed="false">
      <c r="A50" s="22" t="n">
        <f aca="false">LumpyGrid!B50</f>
        <v>300</v>
      </c>
      <c r="B50" s="22" t="n">
        <f aca="false">LumpyGrid!C50</f>
        <v>3</v>
      </c>
      <c r="C50" s="20" t="n">
        <f aca="false">LumpyGrid!E50</f>
        <v>33</v>
      </c>
      <c r="D50" s="24" t="n">
        <f aca="false">(1-Tax)*C50</f>
        <v>24.75</v>
      </c>
      <c r="E50" s="33" t="n">
        <f aca="false">1000*C50</f>
        <v>33000</v>
      </c>
      <c r="F50" s="15" t="n">
        <f aca="false">RANK(C50,$C$5:$C$67,1)</f>
        <v>35</v>
      </c>
      <c r="G50" s="15" t="n">
        <f aca="false">RANK(D50,$D$5:$D$67,1)</f>
        <v>35</v>
      </c>
      <c r="H50" s="15" t="n">
        <f aca="false">RANK(E50,$E$5:$E$67,1)</f>
        <v>35</v>
      </c>
    </row>
    <row r="51" customFormat="false" ht="15" hidden="false" customHeight="false" outlineLevel="0" collapsed="false">
      <c r="A51" s="22" t="n">
        <f aca="false">LumpyGrid!B51</f>
        <v>300</v>
      </c>
      <c r="B51" s="22" t="n">
        <f aca="false">LumpyGrid!C51</f>
        <v>4</v>
      </c>
      <c r="C51" s="20" t="n">
        <f aca="false">LumpyGrid!E51</f>
        <v>41</v>
      </c>
      <c r="D51" s="24" t="n">
        <f aca="false">(1-Tax)*C51</f>
        <v>30.75</v>
      </c>
      <c r="E51" s="33" t="n">
        <f aca="false">1000*C51</f>
        <v>41000</v>
      </c>
      <c r="F51" s="15" t="n">
        <f aca="false">RANK(C51,$C$5:$C$67,1)</f>
        <v>44</v>
      </c>
      <c r="G51" s="15" t="n">
        <f aca="false">RANK(D51,$D$5:$D$67,1)</f>
        <v>44</v>
      </c>
      <c r="H51" s="15" t="n">
        <f aca="false">RANK(E51,$E$5:$E$67,1)</f>
        <v>44</v>
      </c>
    </row>
    <row r="52" customFormat="false" ht="15" hidden="false" customHeight="false" outlineLevel="0" collapsed="false">
      <c r="A52" s="22" t="n">
        <f aca="false">LumpyGrid!B52</f>
        <v>300</v>
      </c>
      <c r="B52" s="22" t="n">
        <f aca="false">LumpyGrid!C52</f>
        <v>5</v>
      </c>
      <c r="C52" s="20" t="n">
        <f aca="false">LumpyGrid!E52</f>
        <v>49</v>
      </c>
      <c r="D52" s="24" t="n">
        <f aca="false">(1-Tax)*C52</f>
        <v>36.75</v>
      </c>
      <c r="E52" s="33" t="n">
        <f aca="false">1000*C52</f>
        <v>49000</v>
      </c>
      <c r="F52" s="15" t="n">
        <f aca="false">RANK(C52,$C$5:$C$67,1)</f>
        <v>53</v>
      </c>
      <c r="G52" s="15" t="n">
        <f aca="false">RANK(D52,$D$5:$D$67,1)</f>
        <v>53</v>
      </c>
      <c r="H52" s="15" t="n">
        <f aca="false">RANK(E52,$E$5:$E$67,1)</f>
        <v>53</v>
      </c>
    </row>
    <row r="53" customFormat="false" ht="15" hidden="false" customHeight="false" outlineLevel="0" collapsed="false">
      <c r="A53" s="22" t="n">
        <f aca="false">LumpyGrid!B53</f>
        <v>300</v>
      </c>
      <c r="B53" s="22" t="n">
        <f aca="false">LumpyGrid!C53</f>
        <v>6</v>
      </c>
      <c r="C53" s="20" t="n">
        <f aca="false">LumpyGrid!E53</f>
        <v>57</v>
      </c>
      <c r="D53" s="24" t="n">
        <f aca="false">(1-Tax)*C53</f>
        <v>42.75</v>
      </c>
      <c r="E53" s="33" t="n">
        <f aca="false">1000*C53</f>
        <v>57000</v>
      </c>
      <c r="F53" s="15" t="n">
        <f aca="false">RANK(C53,$C$5:$C$67,1)</f>
        <v>61</v>
      </c>
      <c r="G53" s="15" t="n">
        <f aca="false">RANK(D53,$D$5:$D$67,1)</f>
        <v>61</v>
      </c>
      <c r="H53" s="15" t="n">
        <f aca="false">RANK(E53,$E$5:$E$67,1)</f>
        <v>61</v>
      </c>
    </row>
    <row r="54" customFormat="false" ht="15" hidden="false" customHeight="false" outlineLevel="0" collapsed="false">
      <c r="A54" s="22" t="n">
        <f aca="false">LumpyGrid!B54</f>
        <v>350</v>
      </c>
      <c r="B54" s="22" t="n">
        <f aca="false">LumpyGrid!C54</f>
        <v>0</v>
      </c>
      <c r="C54" s="20" t="n">
        <f aca="false">LumpyGrid!E54</f>
        <v>10.5</v>
      </c>
      <c r="D54" s="24" t="n">
        <f aca="false">(1-Tax)*C54</f>
        <v>7.875</v>
      </c>
      <c r="E54" s="33" t="n">
        <f aca="false">1000*C54</f>
        <v>10500</v>
      </c>
      <c r="F54" s="15" t="n">
        <f aca="false">RANK(C54,$C$5:$C$67,1)</f>
        <v>10</v>
      </c>
      <c r="G54" s="15" t="n">
        <f aca="false">RANK(D54,$D$5:$D$67,1)</f>
        <v>10</v>
      </c>
      <c r="H54" s="15" t="n">
        <f aca="false">RANK(E54,$E$5:$E$67,1)</f>
        <v>10</v>
      </c>
    </row>
    <row r="55" customFormat="false" ht="15" hidden="false" customHeight="false" outlineLevel="0" collapsed="false">
      <c r="A55" s="22" t="n">
        <f aca="false">LumpyGrid!B55</f>
        <v>350</v>
      </c>
      <c r="B55" s="22" t="n">
        <f aca="false">LumpyGrid!C55</f>
        <v>1</v>
      </c>
      <c r="C55" s="20" t="n">
        <f aca="false">LumpyGrid!E55</f>
        <v>18.5</v>
      </c>
      <c r="D55" s="24" t="n">
        <f aca="false">(1-Tax)*C55</f>
        <v>13.875</v>
      </c>
      <c r="E55" s="33" t="n">
        <f aca="false">1000*C55</f>
        <v>18500</v>
      </c>
      <c r="F55" s="15" t="n">
        <f aca="false">RANK(C55,$C$5:$C$67,1)</f>
        <v>19</v>
      </c>
      <c r="G55" s="15" t="n">
        <f aca="false">RANK(D55,$D$5:$D$67,1)</f>
        <v>19</v>
      </c>
      <c r="H55" s="15" t="n">
        <f aca="false">RANK(E55,$E$5:$E$67,1)</f>
        <v>19</v>
      </c>
    </row>
    <row r="56" customFormat="false" ht="15" hidden="false" customHeight="false" outlineLevel="0" collapsed="false">
      <c r="A56" s="22" t="n">
        <f aca="false">LumpyGrid!B56</f>
        <v>350</v>
      </c>
      <c r="B56" s="22" t="n">
        <f aca="false">LumpyGrid!C56</f>
        <v>2</v>
      </c>
      <c r="C56" s="20" t="n">
        <f aca="false">LumpyGrid!E56</f>
        <v>26.5</v>
      </c>
      <c r="D56" s="24" t="n">
        <f aca="false">(1-Tax)*C56</f>
        <v>19.875</v>
      </c>
      <c r="E56" s="33" t="n">
        <f aca="false">1000*C56</f>
        <v>26500</v>
      </c>
      <c r="F56" s="15" t="n">
        <f aca="false">RANK(C56,$C$5:$C$67,1)</f>
        <v>28</v>
      </c>
      <c r="G56" s="15" t="n">
        <f aca="false">RANK(D56,$D$5:$D$67,1)</f>
        <v>28</v>
      </c>
      <c r="H56" s="15" t="n">
        <f aca="false">RANK(E56,$E$5:$E$67,1)</f>
        <v>28</v>
      </c>
    </row>
    <row r="57" customFormat="false" ht="15" hidden="false" customHeight="false" outlineLevel="0" collapsed="false">
      <c r="A57" s="22" t="n">
        <f aca="false">LumpyGrid!B57</f>
        <v>350</v>
      </c>
      <c r="B57" s="22" t="n">
        <f aca="false">LumpyGrid!C57</f>
        <v>3</v>
      </c>
      <c r="C57" s="20" t="n">
        <f aca="false">LumpyGrid!E57</f>
        <v>34.5</v>
      </c>
      <c r="D57" s="24" t="n">
        <f aca="false">(1-Tax)*C57</f>
        <v>25.875</v>
      </c>
      <c r="E57" s="33" t="n">
        <f aca="false">1000*C57</f>
        <v>34500</v>
      </c>
      <c r="F57" s="15" t="n">
        <f aca="false">RANK(C57,$C$5:$C$67,1)</f>
        <v>37</v>
      </c>
      <c r="G57" s="15" t="n">
        <f aca="false">RANK(D57,$D$5:$D$67,1)</f>
        <v>37</v>
      </c>
      <c r="H57" s="15" t="n">
        <f aca="false">RANK(E57,$E$5:$E$67,1)</f>
        <v>37</v>
      </c>
    </row>
    <row r="58" customFormat="false" ht="15" hidden="false" customHeight="false" outlineLevel="0" collapsed="false">
      <c r="A58" s="22" t="n">
        <f aca="false">LumpyGrid!B58</f>
        <v>350</v>
      </c>
      <c r="B58" s="22" t="n">
        <f aca="false">LumpyGrid!C58</f>
        <v>4</v>
      </c>
      <c r="C58" s="20" t="n">
        <f aca="false">LumpyGrid!E58</f>
        <v>42.5</v>
      </c>
      <c r="D58" s="24" t="n">
        <f aca="false">(1-Tax)*C58</f>
        <v>31.875</v>
      </c>
      <c r="E58" s="33" t="n">
        <f aca="false">1000*C58</f>
        <v>42500</v>
      </c>
      <c r="F58" s="15" t="n">
        <f aca="false">RANK(C58,$C$5:$C$67,1)</f>
        <v>46</v>
      </c>
      <c r="G58" s="15" t="n">
        <f aca="false">RANK(D58,$D$5:$D$67,1)</f>
        <v>46</v>
      </c>
      <c r="H58" s="15" t="n">
        <f aca="false">RANK(E58,$E$5:$E$67,1)</f>
        <v>46</v>
      </c>
    </row>
    <row r="59" customFormat="false" ht="15" hidden="false" customHeight="false" outlineLevel="0" collapsed="false">
      <c r="A59" s="22" t="n">
        <f aca="false">LumpyGrid!B59</f>
        <v>350</v>
      </c>
      <c r="B59" s="22" t="n">
        <f aca="false">LumpyGrid!C59</f>
        <v>5</v>
      </c>
      <c r="C59" s="20" t="n">
        <f aca="false">LumpyGrid!E59</f>
        <v>50.5</v>
      </c>
      <c r="D59" s="24" t="n">
        <f aca="false">(1-Tax)*C59</f>
        <v>37.875</v>
      </c>
      <c r="E59" s="33" t="n">
        <f aca="false">1000*C59</f>
        <v>50500</v>
      </c>
      <c r="F59" s="15" t="n">
        <f aca="false">RANK(C59,$C$5:$C$67,1)</f>
        <v>55</v>
      </c>
      <c r="G59" s="15" t="n">
        <f aca="false">RANK(D59,$D$5:$D$67,1)</f>
        <v>55</v>
      </c>
      <c r="H59" s="15" t="n">
        <f aca="false">RANK(E59,$E$5:$E$67,1)</f>
        <v>55</v>
      </c>
    </row>
    <row r="60" customFormat="false" ht="15" hidden="false" customHeight="false" outlineLevel="0" collapsed="false">
      <c r="A60" s="22" t="n">
        <f aca="false">LumpyGrid!B60</f>
        <v>350</v>
      </c>
      <c r="B60" s="22" t="n">
        <f aca="false">LumpyGrid!C60</f>
        <v>6</v>
      </c>
      <c r="C60" s="20" t="n">
        <f aca="false">LumpyGrid!E60</f>
        <v>58.5</v>
      </c>
      <c r="D60" s="24" t="n">
        <f aca="false">(1-Tax)*C60</f>
        <v>43.875</v>
      </c>
      <c r="E60" s="33" t="n">
        <f aca="false">1000*C60</f>
        <v>58500</v>
      </c>
      <c r="F60" s="15" t="n">
        <f aca="false">RANK(C60,$C$5:$C$67,1)</f>
        <v>62</v>
      </c>
      <c r="G60" s="15" t="n">
        <f aca="false">RANK(D60,$D$5:$D$67,1)</f>
        <v>62</v>
      </c>
      <c r="H60" s="15" t="n">
        <f aca="false">RANK(E60,$E$5:$E$67,1)</f>
        <v>62</v>
      </c>
    </row>
    <row r="61" customFormat="false" ht="15" hidden="false" customHeight="false" outlineLevel="0" collapsed="false">
      <c r="A61" s="22" t="n">
        <f aca="false">LumpyGrid!B61</f>
        <v>400</v>
      </c>
      <c r="B61" s="22" t="n">
        <f aca="false">LumpyGrid!C61</f>
        <v>0</v>
      </c>
      <c r="C61" s="20" t="n">
        <f aca="false">LumpyGrid!E61</f>
        <v>12</v>
      </c>
      <c r="D61" s="24" t="n">
        <f aca="false">(1-Tax)*C61</f>
        <v>9</v>
      </c>
      <c r="E61" s="33" t="n">
        <f aca="false">1000*C61</f>
        <v>12000</v>
      </c>
      <c r="F61" s="15" t="n">
        <f aca="false">RANK(C61,$C$5:$C$67,1)</f>
        <v>12</v>
      </c>
      <c r="G61" s="15" t="n">
        <f aca="false">RANK(D61,$D$5:$D$67,1)</f>
        <v>12</v>
      </c>
      <c r="H61" s="15" t="n">
        <f aca="false">RANK(E61,$E$5:$E$67,1)</f>
        <v>12</v>
      </c>
    </row>
    <row r="62" customFormat="false" ht="15" hidden="false" customHeight="false" outlineLevel="0" collapsed="false">
      <c r="A62" s="22" t="n">
        <f aca="false">LumpyGrid!B62</f>
        <v>400</v>
      </c>
      <c r="B62" s="22" t="n">
        <f aca="false">LumpyGrid!C62</f>
        <v>1</v>
      </c>
      <c r="C62" s="20" t="n">
        <f aca="false">LumpyGrid!E62</f>
        <v>20</v>
      </c>
      <c r="D62" s="24" t="n">
        <f aca="false">(1-Tax)*C62</f>
        <v>15</v>
      </c>
      <c r="E62" s="33" t="n">
        <f aca="false">1000*C62</f>
        <v>20000</v>
      </c>
      <c r="F62" s="15" t="n">
        <f aca="false">RANK(C62,$C$5:$C$67,1)</f>
        <v>21</v>
      </c>
      <c r="G62" s="15" t="n">
        <f aca="false">RANK(D62,$D$5:$D$67,1)</f>
        <v>21</v>
      </c>
      <c r="H62" s="15" t="n">
        <f aca="false">RANK(E62,$E$5:$E$67,1)</f>
        <v>21</v>
      </c>
    </row>
    <row r="63" customFormat="false" ht="15" hidden="false" customHeight="false" outlineLevel="0" collapsed="false">
      <c r="A63" s="22" t="n">
        <f aca="false">LumpyGrid!B63</f>
        <v>400</v>
      </c>
      <c r="B63" s="22" t="n">
        <f aca="false">LumpyGrid!C63</f>
        <v>2</v>
      </c>
      <c r="C63" s="20" t="n">
        <f aca="false">LumpyGrid!E63</f>
        <v>28</v>
      </c>
      <c r="D63" s="24" t="n">
        <f aca="false">(1-Tax)*C63</f>
        <v>21</v>
      </c>
      <c r="E63" s="33" t="n">
        <f aca="false">1000*C63</f>
        <v>28000</v>
      </c>
      <c r="F63" s="15" t="n">
        <f aca="false">RANK(C63,$C$5:$C$67,1)</f>
        <v>30</v>
      </c>
      <c r="G63" s="15" t="n">
        <f aca="false">RANK(D63,$D$5:$D$67,1)</f>
        <v>30</v>
      </c>
      <c r="H63" s="15" t="n">
        <f aca="false">RANK(E63,$E$5:$E$67,1)</f>
        <v>30</v>
      </c>
    </row>
    <row r="64" customFormat="false" ht="15" hidden="false" customHeight="false" outlineLevel="0" collapsed="false">
      <c r="A64" s="22" t="n">
        <f aca="false">LumpyGrid!B64</f>
        <v>400</v>
      </c>
      <c r="B64" s="22" t="n">
        <f aca="false">LumpyGrid!C64</f>
        <v>3</v>
      </c>
      <c r="C64" s="20" t="n">
        <f aca="false">LumpyGrid!E64</f>
        <v>36</v>
      </c>
      <c r="D64" s="24" t="n">
        <f aca="false">(1-Tax)*C64</f>
        <v>27</v>
      </c>
      <c r="E64" s="33" t="n">
        <f aca="false">1000*C64</f>
        <v>36000</v>
      </c>
      <c r="F64" s="15" t="n">
        <f aca="false">RANK(C64,$C$5:$C$67,1)</f>
        <v>39</v>
      </c>
      <c r="G64" s="15" t="n">
        <f aca="false">RANK(D64,$D$5:$D$67,1)</f>
        <v>39</v>
      </c>
      <c r="H64" s="15" t="n">
        <f aca="false">RANK(E64,$E$5:$E$67,1)</f>
        <v>39</v>
      </c>
    </row>
    <row r="65" customFormat="false" ht="15" hidden="false" customHeight="false" outlineLevel="0" collapsed="false">
      <c r="A65" s="22" t="n">
        <f aca="false">LumpyGrid!B65</f>
        <v>400</v>
      </c>
      <c r="B65" s="22" t="n">
        <f aca="false">LumpyGrid!C65</f>
        <v>4</v>
      </c>
      <c r="C65" s="20" t="n">
        <f aca="false">LumpyGrid!E65</f>
        <v>44</v>
      </c>
      <c r="D65" s="24" t="n">
        <f aca="false">(1-Tax)*C65</f>
        <v>33</v>
      </c>
      <c r="E65" s="33" t="n">
        <f aca="false">1000*C65</f>
        <v>44000</v>
      </c>
      <c r="F65" s="15" t="n">
        <f aca="false">RANK(C65,$C$5:$C$67,1)</f>
        <v>48</v>
      </c>
      <c r="G65" s="15" t="n">
        <f aca="false">RANK(D65,$D$5:$D$67,1)</f>
        <v>48</v>
      </c>
      <c r="H65" s="15" t="n">
        <f aca="false">RANK(E65,$E$5:$E$67,1)</f>
        <v>48</v>
      </c>
    </row>
    <row r="66" customFormat="false" ht="15" hidden="false" customHeight="false" outlineLevel="0" collapsed="false">
      <c r="A66" s="22" t="n">
        <f aca="false">LumpyGrid!B66</f>
        <v>400</v>
      </c>
      <c r="B66" s="22" t="n">
        <f aca="false">LumpyGrid!C66</f>
        <v>5</v>
      </c>
      <c r="C66" s="20" t="n">
        <f aca="false">LumpyGrid!E66</f>
        <v>52</v>
      </c>
      <c r="D66" s="24" t="n">
        <f aca="false">(1-Tax)*C66</f>
        <v>39</v>
      </c>
      <c r="E66" s="33" t="n">
        <f aca="false">1000*C66</f>
        <v>52000</v>
      </c>
      <c r="F66" s="15" t="n">
        <f aca="false">RANK(C66,$C$5:$C$67,1)</f>
        <v>57</v>
      </c>
      <c r="G66" s="15" t="n">
        <f aca="false">RANK(D66,$D$5:$D$67,1)</f>
        <v>57</v>
      </c>
      <c r="H66" s="15" t="n">
        <f aca="false">RANK(E66,$E$5:$E$67,1)</f>
        <v>57</v>
      </c>
    </row>
    <row r="67" customFormat="false" ht="15" hidden="false" customHeight="false" outlineLevel="0" collapsed="false">
      <c r="A67" s="22" t="n">
        <f aca="false">LumpyGrid!B67</f>
        <v>400</v>
      </c>
      <c r="B67" s="22" t="n">
        <f aca="false">LumpyGrid!C67</f>
        <v>6</v>
      </c>
      <c r="C67" s="20" t="n">
        <f aca="false">LumpyGrid!E67</f>
        <v>60</v>
      </c>
      <c r="D67" s="24" t="n">
        <f aca="false">(1-Tax)*C67</f>
        <v>45</v>
      </c>
      <c r="E67" s="33" t="n">
        <f aca="false">1000*C67</f>
        <v>60000</v>
      </c>
      <c r="F67" s="15" t="n">
        <f aca="false">RANK(C67,$C$5:$C$67,1)</f>
        <v>63</v>
      </c>
      <c r="G67" s="15" t="n">
        <f aca="false">RANK(D67,$D$5:$D$67,1)</f>
        <v>63</v>
      </c>
      <c r="H67" s="15" t="n">
        <f aca="false">RANK(E67,$E$5:$E$67,1)</f>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12"/>
    <col collapsed="false" customWidth="true" hidden="false" outlineLevel="0" max="4" min="4" style="0" width="13"/>
    <col collapsed="false" customWidth="true" hidden="false" outlineLevel="0" max="6" min="5" style="0" width="12"/>
    <col collapsed="false" customWidth="true" hidden="false" outlineLevel="0" max="7" min="7" style="0" width="10"/>
    <col collapsed="false" customWidth="true" hidden="false" outlineLevel="0" max="9" min="8" style="0" width="12"/>
    <col collapsed="false" customWidth="true" hidden="false" outlineLevel="0" max="10" min="10" style="0" width="3"/>
    <col collapsed="false" customWidth="true" hidden="false" outlineLevel="0" max="11" min="11" style="0" width="52"/>
    <col collapsed="false" customWidth="true" hidden="false" outlineLevel="0" max="12" min="12" style="0" width="14"/>
  </cols>
  <sheetData>
    <row r="1" customFormat="false" ht="15" hidden="false" customHeight="false" outlineLevel="0" collapsed="false">
      <c r="A1" s="1" t="s">
        <v>264</v>
      </c>
    </row>
    <row r="2" customFormat="false" ht="15" hidden="false" customHeight="false" outlineLevel="0" collapsed="false">
      <c r="A2" s="10" t="s">
        <v>265</v>
      </c>
    </row>
    <row r="4" customFormat="false" ht="23.85" hidden="false" customHeight="false" outlineLevel="0" collapsed="false">
      <c r="A4" s="8" t="s">
        <v>150</v>
      </c>
      <c r="B4" s="8" t="s">
        <v>151</v>
      </c>
      <c r="C4" s="8" t="s">
        <v>266</v>
      </c>
      <c r="D4" s="8" t="s">
        <v>267</v>
      </c>
      <c r="E4" s="8" t="s">
        <v>268</v>
      </c>
      <c r="F4" s="8" t="s">
        <v>269</v>
      </c>
      <c r="G4" s="8" t="s">
        <v>270</v>
      </c>
      <c r="H4" s="8" t="s">
        <v>271</v>
      </c>
      <c r="I4" s="8" t="s">
        <v>272</v>
      </c>
      <c r="K4" s="8" t="s">
        <v>273</v>
      </c>
      <c r="L4" s="8" t="s">
        <v>274</v>
      </c>
    </row>
    <row r="5" customFormat="false" ht="15" hidden="false" customHeight="false" outlineLevel="0" collapsed="false">
      <c r="A5" s="15" t="n">
        <v>0</v>
      </c>
      <c r="B5" s="12" t="n">
        <f aca="false">A5/4</f>
        <v>0</v>
      </c>
      <c r="C5" s="17" t="n">
        <f aca="false">Per_point*(Plan_target-(Plan_target-Index0)*EXP(-Plan_rate*$B5)-(Depth0-Depth_q*0)*($B5/Trough_tau)*EXP(1-$B5/Trough_tau))</f>
        <v>620</v>
      </c>
      <c r="D5" s="17" t="n">
        <f aca="false">Per_point*(Plan_target-(Plan_target-Index0)*EXP(-Plan_rate*$B5)-(Depth0-Depth_q*1)*($B5/Trough_tau)*EXP(1-$B5/Trough_tau))</f>
        <v>620</v>
      </c>
      <c r="E5" s="17" t="n">
        <f aca="false">Per_point*(Plan_target-(Plan_target-Index0)*EXP(-Plan_rate*$B5)-(Depth0-Depth_q*2)*($B5/Trough_tau)*EXP(1-$B5/Trough_tau))</f>
        <v>620</v>
      </c>
      <c r="F5" s="17" t="n">
        <f aca="false">Per_point*(Plan_target-(Plan_target-Index0)*EXP(-Plan_rate*$B5)-(Depth0-Depth_q*3)*($B5/Trough_tau)*EXP(1-$B5/Trough_tau))</f>
        <v>620</v>
      </c>
      <c r="G5" s="17" t="n">
        <f aca="false">Per_point*(Plan_target-(Plan_target-Index0)*EXP(-Plan_rate*$B5)-(Depth0-Depth_q*4)*($B5/Trough_tau)*EXP(1-$B5/Trough_tau))</f>
        <v>620</v>
      </c>
      <c r="H5" s="17" t="n">
        <f aca="false">Per_point*(Plan_target-(Plan_target-Index0)*EXP(-Plan_rate*$B5)-(Depth0-Depth_q*5)*($B5/Trough_tau)*EXP(1-$B5/Trough_tau))</f>
        <v>620</v>
      </c>
      <c r="I5" s="17" t="n">
        <f aca="false">Per_point*(Plan_target-(Plan_target-Index0)*EXP(-Plan_rate*$B5)-(Depth0-Depth_q*6)*($B5/Trough_tau)*EXP(1-$B5/Trough_tau))</f>
        <v>620</v>
      </c>
      <c r="K5" s="2" t="s">
        <v>104</v>
      </c>
      <c r="L5" s="15" t="n">
        <f aca="false">SUM(C22:C84)</f>
        <v>46</v>
      </c>
    </row>
    <row r="6" customFormat="false" ht="15" hidden="false" customHeight="false" outlineLevel="0" collapsed="false">
      <c r="A6" s="15" t="n">
        <v>1</v>
      </c>
      <c r="B6" s="12" t="n">
        <f aca="false">A6/4</f>
        <v>0.25</v>
      </c>
      <c r="C6" s="17" t="n">
        <f aca="false">Per_point*(Plan_target-(Plan_target-Index0)*EXP(-Plan_rate*$B6)-(Depth0-Depth_q*0)*($B6/Trough_tau)*EXP(1-$B6/Trough_tau))</f>
        <v>574.177722070089</v>
      </c>
      <c r="D6" s="17" t="n">
        <f aca="false">Per_point*(Plan_target-(Plan_target-Index0)*EXP(-Plan_rate*$B6)-(Depth0-Depth_q*1)*($B6/Trough_tau)*EXP(1-$B6/Trough_tau))</f>
        <v>581.614235481387</v>
      </c>
      <c r="E6" s="17" t="n">
        <f aca="false">Per_point*(Plan_target-(Plan_target-Index0)*EXP(-Plan_rate*$B6)-(Depth0-Depth_q*2)*($B6/Trough_tau)*EXP(1-$B6/Trough_tau))</f>
        <v>589.050748892685</v>
      </c>
      <c r="F6" s="17" t="n">
        <f aca="false">Per_point*(Plan_target-(Plan_target-Index0)*EXP(-Plan_rate*$B6)-(Depth0-Depth_q*3)*($B6/Trough_tau)*EXP(1-$B6/Trough_tau))</f>
        <v>596.487262303983</v>
      </c>
      <c r="G6" s="17" t="n">
        <f aca="false">Per_point*(Plan_target-(Plan_target-Index0)*EXP(-Plan_rate*$B6)-(Depth0-Depth_q*4)*($B6/Trough_tau)*EXP(1-$B6/Trough_tau))</f>
        <v>603.923775715281</v>
      </c>
      <c r="H6" s="17" t="n">
        <f aca="false">Per_point*(Plan_target-(Plan_target-Index0)*EXP(-Plan_rate*$B6)-(Depth0-Depth_q*5)*($B6/Trough_tau)*EXP(1-$B6/Trough_tau))</f>
        <v>611.360289126579</v>
      </c>
      <c r="I6" s="17" t="n">
        <f aca="false">Per_point*(Plan_target-(Plan_target-Index0)*EXP(-Plan_rate*$B6)-(Depth0-Depth_q*6)*($B6/Trough_tau)*EXP(1-$B6/Trough_tau))</f>
        <v>618.796802537877</v>
      </c>
      <c r="K6" s="2" t="s">
        <v>275</v>
      </c>
      <c r="L6" s="15" t="n">
        <f aca="false">SUMPRODUCT(C22:C84,D22:D84)</f>
        <v>46</v>
      </c>
    </row>
    <row r="7" customFormat="false" ht="15" hidden="false" customHeight="false" outlineLevel="0" collapsed="false">
      <c r="A7" s="15" t="n">
        <v>2</v>
      </c>
      <c r="B7" s="12" t="n">
        <f aca="false">A7/4</f>
        <v>0.5</v>
      </c>
      <c r="C7" s="17" t="n">
        <f aca="false">Per_point*(Plan_target-(Plan_target-Index0)*EXP(-Plan_rate*$B7)-(Depth0-Depth_q*0)*($B7/Trough_tau)*EXP(1-$B7/Trough_tau))</f>
        <v>540.066596933781</v>
      </c>
      <c r="D7" s="17" t="n">
        <f aca="false">Per_point*(Plan_target-(Plan_target-Index0)*EXP(-Plan_rate*$B7)-(Depth0-Depth_q*1)*($B7/Trough_tau)*EXP(1-$B7/Trough_tau))</f>
        <v>553.19199703678</v>
      </c>
      <c r="E7" s="17" t="n">
        <f aca="false">Per_point*(Plan_target-(Plan_target-Index0)*EXP(-Plan_rate*$B7)-(Depth0-Depth_q*2)*($B7/Trough_tau)*EXP(1-$B7/Trough_tau))</f>
        <v>566.317397139778</v>
      </c>
      <c r="F7" s="17" t="n">
        <f aca="false">Per_point*(Plan_target-(Plan_target-Index0)*EXP(-Plan_rate*$B7)-(Depth0-Depth_q*3)*($B7/Trough_tau)*EXP(1-$B7/Trough_tau))</f>
        <v>579.442797242777</v>
      </c>
      <c r="G7" s="17" t="n">
        <f aca="false">Per_point*(Plan_target-(Plan_target-Index0)*EXP(-Plan_rate*$B7)-(Depth0-Depth_q*4)*($B7/Trough_tau)*EXP(1-$B7/Trough_tau))</f>
        <v>592.568197345775</v>
      </c>
      <c r="H7" s="17" t="n">
        <f aca="false">Per_point*(Plan_target-(Plan_target-Index0)*EXP(-Plan_rate*$B7)-(Depth0-Depth_q*5)*($B7/Trough_tau)*EXP(1-$B7/Trough_tau))</f>
        <v>605.693597448774</v>
      </c>
      <c r="I7" s="17" t="n">
        <f aca="false">Per_point*(Plan_target-(Plan_target-Index0)*EXP(-Plan_rate*$B7)-(Depth0-Depth_q*6)*($B7/Trough_tau)*EXP(1-$B7/Trough_tau))</f>
        <v>618.818997551772</v>
      </c>
      <c r="K7" s="2" t="s">
        <v>276</v>
      </c>
      <c r="L7" s="15" t="n">
        <f aca="false">SUMPRODUCT(C22:C84,D22:D84,E22:E84)</f>
        <v>46</v>
      </c>
    </row>
    <row r="8" customFormat="false" ht="15" hidden="false" customHeight="false" outlineLevel="0" collapsed="false">
      <c r="A8" s="15" t="n">
        <v>3</v>
      </c>
      <c r="B8" s="12" t="n">
        <f aca="false">A8/4</f>
        <v>0.75</v>
      </c>
      <c r="C8" s="17" t="n">
        <f aca="false">Per_point*(Plan_target-(Plan_target-Index0)*EXP(-Plan_rate*$B8)-(Depth0-Depth_q*0)*($B8/Trough_tau)*EXP(1-$B8/Trough_tau))</f>
        <v>515.554186662141</v>
      </c>
      <c r="D8" s="17" t="n">
        <f aca="false">Per_point*(Plan_target-(Plan_target-Index0)*EXP(-Plan_rate*$B8)-(Depth0-Depth_q*1)*($B8/Trough_tau)*EXP(1-$B8/Trough_tau))</f>
        <v>532.92887406626</v>
      </c>
      <c r="E8" s="17" t="n">
        <f aca="false">Per_point*(Plan_target-(Plan_target-Index0)*EXP(-Plan_rate*$B8)-(Depth0-Depth_q*2)*($B8/Trough_tau)*EXP(1-$B8/Trough_tau))</f>
        <v>550.30356147038</v>
      </c>
      <c r="F8" s="17" t="n">
        <f aca="false">Per_point*(Plan_target-(Plan_target-Index0)*EXP(-Plan_rate*$B8)-(Depth0-Depth_q*3)*($B8/Trough_tau)*EXP(1-$B8/Trough_tau))</f>
        <v>567.6782488745</v>
      </c>
      <c r="G8" s="17" t="n">
        <f aca="false">Per_point*(Plan_target-(Plan_target-Index0)*EXP(-Plan_rate*$B8)-(Depth0-Depth_q*4)*($B8/Trough_tau)*EXP(1-$B8/Trough_tau))</f>
        <v>585.052936278619</v>
      </c>
      <c r="H8" s="17" t="n">
        <f aca="false">Per_point*(Plan_target-(Plan_target-Index0)*EXP(-Plan_rate*$B8)-(Depth0-Depth_q*5)*($B8/Trough_tau)*EXP(1-$B8/Trough_tau))</f>
        <v>602.427623682739</v>
      </c>
      <c r="I8" s="17" t="n">
        <f aca="false">Per_point*(Plan_target-(Plan_target-Index0)*EXP(-Plan_rate*$B8)-(Depth0-Depth_q*6)*($B8/Trough_tau)*EXP(1-$B8/Trough_tau))</f>
        <v>619.802311086859</v>
      </c>
      <c r="K8" s="2" t="s">
        <v>277</v>
      </c>
      <c r="L8" s="15" t="n">
        <f aca="false">SUM(G22:G84)</f>
        <v>46</v>
      </c>
    </row>
    <row r="9" customFormat="false" ht="15" hidden="false" customHeight="false" outlineLevel="0" collapsed="false">
      <c r="A9" s="15" t="n">
        <v>4</v>
      </c>
      <c r="B9" s="12" t="n">
        <f aca="false">A9/4</f>
        <v>1</v>
      </c>
      <c r="C9" s="17" t="n">
        <f aca="false">Per_point*(Plan_target-(Plan_target-Index0)*EXP(-Plan_rate*$B9)-(Depth0-Depth_q*0)*($B9/Trough_tau)*EXP(1-$B9/Trough_tau))</f>
        <v>498.862199828157</v>
      </c>
      <c r="D9" s="17" t="n">
        <f aca="false">Per_point*(Plan_target-(Plan_target-Index0)*EXP(-Plan_rate*$B9)-(Depth0-Depth_q*1)*($B9/Trough_tau)*EXP(1-$B9/Trough_tau))</f>
        <v>519.306343584838</v>
      </c>
      <c r="E9" s="17" t="n">
        <f aca="false">Per_point*(Plan_target-(Plan_target-Index0)*EXP(-Plan_rate*$B9)-(Depth0-Depth_q*2)*($B9/Trough_tau)*EXP(1-$B9/Trough_tau))</f>
        <v>539.75048734152</v>
      </c>
      <c r="F9" s="17" t="n">
        <f aca="false">Per_point*(Plan_target-(Plan_target-Index0)*EXP(-Plan_rate*$B9)-(Depth0-Depth_q*3)*($B9/Trough_tau)*EXP(1-$B9/Trough_tau))</f>
        <v>560.194631098201</v>
      </c>
      <c r="G9" s="17" t="n">
        <f aca="false">Per_point*(Plan_target-(Plan_target-Index0)*EXP(-Plan_rate*$B9)-(Depth0-Depth_q*4)*($B9/Trough_tau)*EXP(1-$B9/Trough_tau))</f>
        <v>580.638774854883</v>
      </c>
      <c r="H9" s="17" t="n">
        <f aca="false">Per_point*(Plan_target-(Plan_target-Index0)*EXP(-Plan_rate*$B9)-(Depth0-Depth_q*5)*($B9/Trough_tau)*EXP(1-$B9/Trough_tau))</f>
        <v>601.082918611565</v>
      </c>
      <c r="I9" s="17" t="n">
        <f aca="false">Per_point*(Plan_target-(Plan_target-Index0)*EXP(-Plan_rate*$B9)-(Depth0-Depth_q*6)*($B9/Trough_tau)*EXP(1-$B9/Trough_tau))</f>
        <v>621.527062368246</v>
      </c>
      <c r="K9" s="2" t="s">
        <v>278</v>
      </c>
      <c r="L9" s="15" t="n">
        <f aca="false">SUMPRODUCT(F22:F84,E22:E84,D22:D84,C22:C84)</f>
        <v>46</v>
      </c>
    </row>
    <row r="10" customFormat="false" ht="15" hidden="false" customHeight="false" outlineLevel="0" collapsed="false">
      <c r="A10" s="15" t="n">
        <v>5</v>
      </c>
      <c r="B10" s="12" t="n">
        <f aca="false">A10/4</f>
        <v>1.25</v>
      </c>
      <c r="C10" s="17" t="n">
        <f aca="false">Per_point*(Plan_target-(Plan_target-Index0)*EXP(-Plan_rate*$B10)-(Depth0-Depth_q*0)*($B10/Trough_tau)*EXP(1-$B10/Trough_tau))</f>
        <v>488.49718114769</v>
      </c>
      <c r="D10" s="17" t="n">
        <f aca="false">Per_point*(Plan_target-(Plan_target-Index0)*EXP(-Plan_rate*$B10)-(Depth0-Depth_q*1)*($B10/Trough_tau)*EXP(1-$B10/Trough_tau))</f>
        <v>511.049548074272</v>
      </c>
      <c r="E10" s="17" t="n">
        <f aca="false">Per_point*(Plan_target-(Plan_target-Index0)*EXP(-Plan_rate*$B10)-(Depth0-Depth_q*2)*($B10/Trough_tau)*EXP(1-$B10/Trough_tau))</f>
        <v>533.601915000854</v>
      </c>
      <c r="F10" s="17" t="n">
        <f aca="false">Per_point*(Plan_target-(Plan_target-Index0)*EXP(-Plan_rate*$B10)-(Depth0-Depth_q*3)*($B10/Trough_tau)*EXP(1-$B10/Trough_tau))</f>
        <v>556.154281927436</v>
      </c>
      <c r="G10" s="17" t="n">
        <f aca="false">Per_point*(Plan_target-(Plan_target-Index0)*EXP(-Plan_rate*$B10)-(Depth0-Depth_q*4)*($B10/Trough_tau)*EXP(1-$B10/Trough_tau))</f>
        <v>578.706648854019</v>
      </c>
      <c r="H10" s="17" t="n">
        <f aca="false">Per_point*(Plan_target-(Plan_target-Index0)*EXP(-Plan_rate*$B10)-(Depth0-Depth_q*5)*($B10/Trough_tau)*EXP(1-$B10/Trough_tau))</f>
        <v>601.259015780601</v>
      </c>
      <c r="I10" s="17" t="n">
        <f aca="false">Per_point*(Plan_target-(Plan_target-Index0)*EXP(-Plan_rate*$B10)-(Depth0-Depth_q*6)*($B10/Trough_tau)*EXP(1-$B10/Trough_tau))</f>
        <v>623.811382707183</v>
      </c>
    </row>
    <row r="11" customFormat="false" ht="15" hidden="false" customHeight="false" outlineLevel="0" collapsed="false">
      <c r="A11" s="15" t="n">
        <v>6</v>
      </c>
      <c r="B11" s="12" t="n">
        <f aca="false">A11/4</f>
        <v>1.5</v>
      </c>
      <c r="C11" s="17" t="n">
        <f aca="false">Per_point*(Plan_target-(Plan_target-Index0)*EXP(-Plan_rate*$B11)-(Depth0-Depth_q*0)*($B11/Trough_tau)*EXP(1-$B11/Trough_tau))</f>
        <v>483.208171638365</v>
      </c>
      <c r="D11" s="17" t="n">
        <f aca="false">Per_point*(Plan_target-(Plan_target-Index0)*EXP(-Plan_rate*$B11)-(Depth0-Depth_q*1)*($B11/Trough_tau)*EXP(1-$B11/Trough_tau))</f>
        <v>507.091044388757</v>
      </c>
      <c r="E11" s="17" t="n">
        <f aca="false">Per_point*(Plan_target-(Plan_target-Index0)*EXP(-Plan_rate*$B11)-(Depth0-Depth_q*2)*($B11/Trough_tau)*EXP(1-$B11/Trough_tau))</f>
        <v>530.973917139149</v>
      </c>
      <c r="F11" s="17" t="n">
        <f aca="false">Per_point*(Plan_target-(Plan_target-Index0)*EXP(-Plan_rate*$B11)-(Depth0-Depth_q*3)*($B11/Trough_tau)*EXP(1-$B11/Trough_tau))</f>
        <v>554.856789889541</v>
      </c>
      <c r="G11" s="17" t="n">
        <f aca="false">Per_point*(Plan_target-(Plan_target-Index0)*EXP(-Plan_rate*$B11)-(Depth0-Depth_q*4)*($B11/Trough_tau)*EXP(1-$B11/Trough_tau))</f>
        <v>578.739662639933</v>
      </c>
      <c r="H11" s="17" t="n">
        <f aca="false">Per_point*(Plan_target-(Plan_target-Index0)*EXP(-Plan_rate*$B11)-(Depth0-Depth_q*5)*($B11/Trough_tau)*EXP(1-$B11/Trough_tau))</f>
        <v>602.622535390325</v>
      </c>
      <c r="I11" s="17" t="n">
        <f aca="false">Per_point*(Plan_target-(Plan_target-Index0)*EXP(-Plan_rate*$B11)-(Depth0-Depth_q*6)*($B11/Trough_tau)*EXP(1-$B11/Trough_tau))</f>
        <v>626.505408140717</v>
      </c>
      <c r="K11" s="2" t="s">
        <v>279</v>
      </c>
      <c r="L11" s="17" t="n">
        <f aca="false">Covenant*Ebitda-Net_debt</f>
        <v>545.16</v>
      </c>
    </row>
    <row r="12" customFormat="false" ht="15" hidden="false" customHeight="false" outlineLevel="0" collapsed="false">
      <c r="A12" s="15" t="n">
        <v>7</v>
      </c>
      <c r="B12" s="12" t="n">
        <f aca="false">A12/4</f>
        <v>1.75</v>
      </c>
      <c r="C12" s="17" t="n">
        <f aca="false">Per_point*(Plan_target-(Plan_target-Index0)*EXP(-Plan_rate*$B12)-(Depth0-Depth_q*0)*($B12/Trough_tau)*EXP(1-$B12/Trough_tau))</f>
        <v>481.950382357786</v>
      </c>
      <c r="D12" s="17" t="n">
        <f aca="false">Per_point*(Plan_target-(Plan_target-Index0)*EXP(-Plan_rate*$B12)-(Depth0-Depth_q*1)*($B12/Trough_tau)*EXP(1-$B12/Trough_tau))</f>
        <v>506.539703789336</v>
      </c>
      <c r="E12" s="17" t="n">
        <f aca="false">Per_point*(Plan_target-(Plan_target-Index0)*EXP(-Plan_rate*$B12)-(Depth0-Depth_q*2)*($B12/Trough_tau)*EXP(1-$B12/Trough_tau))</f>
        <v>531.129025220886</v>
      </c>
      <c r="F12" s="17" t="n">
        <f aca="false">Per_point*(Plan_target-(Plan_target-Index0)*EXP(-Plan_rate*$B12)-(Depth0-Depth_q*3)*($B12/Trough_tau)*EXP(1-$B12/Trough_tau))</f>
        <v>555.718346652436</v>
      </c>
      <c r="G12" s="17" t="n">
        <f aca="false">Per_point*(Plan_target-(Plan_target-Index0)*EXP(-Plan_rate*$B12)-(Depth0-Depth_q*4)*($B12/Trough_tau)*EXP(1-$B12/Trough_tau))</f>
        <v>580.307668083986</v>
      </c>
      <c r="H12" s="17" t="n">
        <f aca="false">Per_point*(Plan_target-(Plan_target-Index0)*EXP(-Plan_rate*$B12)-(Depth0-Depth_q*5)*($B12/Trough_tau)*EXP(1-$B12/Trough_tau))</f>
        <v>604.896989515536</v>
      </c>
      <c r="I12" s="17" t="n">
        <f aca="false">Per_point*(Plan_target-(Plan_target-Index0)*EXP(-Plan_rate*$B12)-(Depth0-Depth_q*6)*($B12/Trough_tau)*EXP(1-$B12/Trough_tau))</f>
        <v>629.486310947086</v>
      </c>
    </row>
    <row r="13" customFormat="false" ht="15" hidden="false" customHeight="false" outlineLevel="0" collapsed="false">
      <c r="A13" s="15" t="n">
        <v>8</v>
      </c>
      <c r="B13" s="12" t="n">
        <f aca="false">A13/4</f>
        <v>2</v>
      </c>
      <c r="C13" s="17" t="n">
        <f aca="false">Per_point*(Plan_target-(Plan_target-Index0)*EXP(-Plan_rate*$B13)-(Depth0-Depth_q*0)*($B13/Trough_tau)*EXP(1-$B13/Trough_tau))</f>
        <v>483.854053397919</v>
      </c>
      <c r="D13" s="17" t="n">
        <f aca="false">Per_point*(Plan_target-(Plan_target-Index0)*EXP(-Plan_rate*$B13)-(Depth0-Depth_q*1)*($B13/Trough_tau)*EXP(1-$B13/Trough_tau))</f>
        <v>508.654053397919</v>
      </c>
      <c r="E13" s="17" t="n">
        <f aca="false">Per_point*(Plan_target-(Plan_target-Index0)*EXP(-Plan_rate*$B13)-(Depth0-Depth_q*2)*($B13/Trough_tau)*EXP(1-$B13/Trough_tau))</f>
        <v>533.454053397919</v>
      </c>
      <c r="F13" s="17" t="n">
        <f aca="false">Per_point*(Plan_target-(Plan_target-Index0)*EXP(-Plan_rate*$B13)-(Depth0-Depth_q*3)*($B13/Trough_tau)*EXP(1-$B13/Trough_tau))</f>
        <v>558.254053397919</v>
      </c>
      <c r="G13" s="17" t="n">
        <f aca="false">Per_point*(Plan_target-(Plan_target-Index0)*EXP(-Plan_rate*$B13)-(Depth0-Depth_q*4)*($B13/Trough_tau)*EXP(1-$B13/Trough_tau))</f>
        <v>583.054053397919</v>
      </c>
      <c r="H13" s="17" t="n">
        <f aca="false">Per_point*(Plan_target-(Plan_target-Index0)*EXP(-Plan_rate*$B13)-(Depth0-Depth_q*5)*($B13/Trough_tau)*EXP(1-$B13/Trough_tau))</f>
        <v>607.854053397919</v>
      </c>
      <c r="I13" s="17" t="n">
        <f aca="false">Per_point*(Plan_target-(Plan_target-Index0)*EXP(-Plan_rate*$B13)-(Depth0-Depth_q*6)*($B13/Trough_tau)*EXP(1-$B13/Trough_tau))</f>
        <v>632.654053397919</v>
      </c>
      <c r="K13" s="8" t="s">
        <v>280</v>
      </c>
      <c r="L13" s="8" t="s">
        <v>19</v>
      </c>
    </row>
    <row r="14" customFormat="false" ht="15" hidden="false" customHeight="false" outlineLevel="0" collapsed="false">
      <c r="A14" s="15" t="n">
        <v>9</v>
      </c>
      <c r="B14" s="12" t="n">
        <f aca="false">A14/4</f>
        <v>2.25</v>
      </c>
      <c r="C14" s="17" t="n">
        <f aca="false">Per_point*(Plan_target-(Plan_target-Index0)*EXP(-Plan_rate*$B14)-(Depth0-Depth_q*0)*($B14/Trough_tau)*EXP(1-$B14/Trough_tau))</f>
        <v>488.197781417396</v>
      </c>
      <c r="D14" s="17" t="n">
        <f aca="false">Per_point*(Plan_target-(Plan_target-Index0)*EXP(-Plan_rate*$B14)-(Depth0-Depth_q*1)*($B14/Trough_tau)*EXP(1-$B14/Trough_tau))</f>
        <v>512.819444999507</v>
      </c>
      <c r="E14" s="17" t="n">
        <f aca="false">Per_point*(Plan_target-(Plan_target-Index0)*EXP(-Plan_rate*$B14)-(Depth0-Depth_q*2)*($B14/Trough_tau)*EXP(1-$B14/Trough_tau))</f>
        <v>537.441108581617</v>
      </c>
      <c r="F14" s="17" t="n">
        <f aca="false">Per_point*(Plan_target-(Plan_target-Index0)*EXP(-Plan_rate*$B14)-(Depth0-Depth_q*3)*($B14/Trough_tau)*EXP(1-$B14/Trough_tau))</f>
        <v>562.062772163727</v>
      </c>
      <c r="G14" s="17" t="n">
        <f aca="false">Per_point*(Plan_target-(Plan_target-Index0)*EXP(-Plan_rate*$B14)-(Depth0-Depth_q*4)*($B14/Trough_tau)*EXP(1-$B14/Trough_tau))</f>
        <v>586.684435745837</v>
      </c>
      <c r="H14" s="17" t="n">
        <f aca="false">Per_point*(Plan_target-(Plan_target-Index0)*EXP(-Plan_rate*$B14)-(Depth0-Depth_q*5)*($B14/Trough_tau)*EXP(1-$B14/Trough_tau))</f>
        <v>611.306099327947</v>
      </c>
      <c r="I14" s="17" t="n">
        <f aca="false">Per_point*(Plan_target-(Plan_target-Index0)*EXP(-Plan_rate*$B14)-(Depth0-Depth_q*6)*($B14/Trough_tau)*EXP(1-$B14/Trough_tau))</f>
        <v>635.927762910058</v>
      </c>
      <c r="K14" s="2" t="s">
        <v>159</v>
      </c>
      <c r="L14" s="15" t="n">
        <f aca="false">LumpyGrid!J8</f>
        <v>150</v>
      </c>
    </row>
    <row r="15" customFormat="false" ht="15" hidden="false" customHeight="false" outlineLevel="0" collapsed="false">
      <c r="A15" s="15" t="n">
        <v>10</v>
      </c>
      <c r="B15" s="12" t="n">
        <f aca="false">A15/4</f>
        <v>2.5</v>
      </c>
      <c r="C15" s="17" t="n">
        <f aca="false">Per_point*(Plan_target-(Plan_target-Index0)*EXP(-Plan_rate*$B15)-(Depth0-Depth_q*0)*($B15/Trough_tau)*EXP(1-$B15/Trough_tau))</f>
        <v>494.385695809424</v>
      </c>
      <c r="D15" s="17" t="n">
        <f aca="false">Per_point*(Plan_target-(Plan_target-Index0)*EXP(-Plan_rate*$B15)-(Depth0-Depth_q*1)*($B15/Trough_tau)*EXP(1-$B15/Trough_tau))</f>
        <v>518.528520084638</v>
      </c>
      <c r="E15" s="17" t="n">
        <f aca="false">Per_point*(Plan_target-(Plan_target-Index0)*EXP(-Plan_rate*$B15)-(Depth0-Depth_q*2)*($B15/Trough_tau)*EXP(1-$B15/Trough_tau))</f>
        <v>542.671344359851</v>
      </c>
      <c r="F15" s="17" t="n">
        <f aca="false">Per_point*(Plan_target-(Plan_target-Index0)*EXP(-Plan_rate*$B15)-(Depth0-Depth_q*3)*($B15/Trough_tau)*EXP(1-$B15/Trough_tau))</f>
        <v>566.814168635065</v>
      </c>
      <c r="G15" s="17" t="n">
        <f aca="false">Per_point*(Plan_target-(Plan_target-Index0)*EXP(-Plan_rate*$B15)-(Depth0-Depth_q*4)*($B15/Trough_tau)*EXP(1-$B15/Trough_tau))</f>
        <v>590.956992910278</v>
      </c>
      <c r="H15" s="17" t="n">
        <f aca="false">Per_point*(Plan_target-(Plan_target-Index0)*EXP(-Plan_rate*$B15)-(Depth0-Depth_q*5)*($B15/Trough_tau)*EXP(1-$B15/Trough_tau))</f>
        <v>615.099817185492</v>
      </c>
      <c r="I15" s="17" t="n">
        <f aca="false">Per_point*(Plan_target-(Plan_target-Index0)*EXP(-Plan_rate*$B15)-(Depth0-Depth_q*6)*($B15/Trough_tau)*EXP(1-$B15/Trough_tau))</f>
        <v>639.242641460705</v>
      </c>
      <c r="K15" s="2" t="s">
        <v>182</v>
      </c>
      <c r="L15" s="15" t="n">
        <f aca="false">LumpyGrid!J9</f>
        <v>1</v>
      </c>
    </row>
    <row r="16" customFormat="false" ht="15" hidden="false" customHeight="false" outlineLevel="0" collapsed="false">
      <c r="A16" s="15" t="n">
        <v>11</v>
      </c>
      <c r="B16" s="12" t="n">
        <f aca="false">A16/4</f>
        <v>2.75</v>
      </c>
      <c r="C16" s="17" t="n">
        <f aca="false">Per_point*(Plan_target-(Plan_target-Index0)*EXP(-Plan_rate*$B16)-(Depth0-Depth_q*0)*($B16/Trough_tau)*EXP(1-$B16/Trough_tau))</f>
        <v>501.927947564381</v>
      </c>
      <c r="D16" s="17" t="n">
        <f aca="false">Per_point*(Plan_target-(Plan_target-Index0)*EXP(-Plan_rate*$B16)-(Depth0-Depth_q*1)*($B16/Trough_tau)*EXP(1-$B16/Trough_tau))</f>
        <v>525.364511971153</v>
      </c>
      <c r="E16" s="17" t="n">
        <f aca="false">Per_point*(Plan_target-(Plan_target-Index0)*EXP(-Plan_rate*$B16)-(Depth0-Depth_q*2)*($B16/Trough_tau)*EXP(1-$B16/Trough_tau))</f>
        <v>548.801076377926</v>
      </c>
      <c r="F16" s="17" t="n">
        <f aca="false">Per_point*(Plan_target-(Plan_target-Index0)*EXP(-Plan_rate*$B16)-(Depth0-Depth_q*3)*($B16/Trough_tau)*EXP(1-$B16/Trough_tau))</f>
        <v>572.237640784698</v>
      </c>
      <c r="G16" s="17" t="n">
        <f aca="false">Per_point*(Plan_target-(Plan_target-Index0)*EXP(-Plan_rate*$B16)-(Depth0-Depth_q*4)*($B16/Trough_tau)*EXP(1-$B16/Trough_tau))</f>
        <v>595.67420519147</v>
      </c>
      <c r="H16" s="17" t="n">
        <f aca="false">Per_point*(Plan_target-(Plan_target-Index0)*EXP(-Plan_rate*$B16)-(Depth0-Depth_q*5)*($B16/Trough_tau)*EXP(1-$B16/Trough_tau))</f>
        <v>619.110769598242</v>
      </c>
      <c r="I16" s="17" t="n">
        <f aca="false">Per_point*(Plan_target-(Plan_target-Index0)*EXP(-Plan_rate*$B16)-(Depth0-Depth_q*6)*($B16/Trough_tau)*EXP(1-$B16/Trough_tau))</f>
        <v>642.547334005014</v>
      </c>
      <c r="K16" s="2" t="s">
        <v>183</v>
      </c>
      <c r="L16" s="25" t="n">
        <f aca="false">LumpyGrid!J10</f>
        <v>0.04003</v>
      </c>
    </row>
    <row r="17" customFormat="false" ht="15" hidden="false" customHeight="false" outlineLevel="0" collapsed="false">
      <c r="A17" s="15" t="n">
        <v>12</v>
      </c>
      <c r="B17" s="12" t="n">
        <f aca="false">A17/4</f>
        <v>3</v>
      </c>
      <c r="C17" s="17" t="n">
        <f aca="false">Per_point*(Plan_target-(Plan_target-Index0)*EXP(-Plan_rate*$B17)-(Depth0-Depth_q*0)*($B17/Trough_tau)*EXP(1-$B17/Trough_tau))</f>
        <v>510.42404767696</v>
      </c>
      <c r="D17" s="17" t="n">
        <f aca="false">Per_point*(Plan_target-(Plan_target-Index0)*EXP(-Plan_rate*$B17)-(Depth0-Depth_q*1)*($B17/Trough_tau)*EXP(1-$B17/Trough_tau))</f>
        <v>532.98698821827</v>
      </c>
      <c r="E17" s="17" t="n">
        <f aca="false">Per_point*(Plan_target-(Plan_target-Index0)*EXP(-Plan_rate*$B17)-(Depth0-Depth_q*2)*($B17/Trough_tau)*EXP(1-$B17/Trough_tau))</f>
        <v>555.54992875958</v>
      </c>
      <c r="F17" s="17" t="n">
        <f aca="false">Per_point*(Plan_target-(Plan_target-Index0)*EXP(-Plan_rate*$B17)-(Depth0-Depth_q*3)*($B17/Trough_tau)*EXP(1-$B17/Trough_tau))</f>
        <v>578.11286930089</v>
      </c>
      <c r="G17" s="17" t="n">
        <f aca="false">Per_point*(Plan_target-(Plan_target-Index0)*EXP(-Plan_rate*$B17)-(Depth0-Depth_q*4)*($B17/Trough_tau)*EXP(1-$B17/Trough_tau))</f>
        <v>600.6758098422</v>
      </c>
      <c r="H17" s="17" t="n">
        <f aca="false">Per_point*(Plan_target-(Plan_target-Index0)*EXP(-Plan_rate*$B17)-(Depth0-Depth_q*5)*($B17/Trough_tau)*EXP(1-$B17/Trough_tau))</f>
        <v>623.23875038351</v>
      </c>
      <c r="I17" s="17" t="n">
        <f aca="false">Per_point*(Plan_target-(Plan_target-Index0)*EXP(-Plan_rate*$B17)-(Depth0-Depth_q*6)*($B17/Trough_tau)*EXP(1-$B17/Trough_tau))</f>
        <v>645.80169092482</v>
      </c>
      <c r="K17" s="2" t="s">
        <v>281</v>
      </c>
      <c r="L17" s="12" t="n">
        <f aca="false">100*(Appetite-L16)</f>
        <v>0.997</v>
      </c>
    </row>
    <row r="18" customFormat="false" ht="15" hidden="false" customHeight="false" outlineLevel="0" collapsed="false">
      <c r="A18" s="4" t="s">
        <v>282</v>
      </c>
      <c r="C18" s="17" t="n">
        <f aca="false">Liq0-MIN(C5:C17)</f>
        <v>138.049617642214</v>
      </c>
      <c r="D18" s="17" t="n">
        <f aca="false">Liq0-MIN(D5:D17)</f>
        <v>113.460296210664</v>
      </c>
      <c r="E18" s="17" t="n">
        <f aca="false">Liq0-MIN(E5:E17)</f>
        <v>89.0260828608509</v>
      </c>
      <c r="F18" s="17" t="n">
        <f aca="false">Liq0-MIN(F5:F17)</f>
        <v>65.143210110459</v>
      </c>
      <c r="G18" s="17" t="n">
        <f aca="false">Liq0-MIN(G5:G17)</f>
        <v>41.2933511459814</v>
      </c>
      <c r="H18" s="17" t="n">
        <f aca="false">Liq0-MIN(H5:H17)</f>
        <v>18.9170813884355</v>
      </c>
      <c r="I18" s="17" t="n">
        <f aca="false">Liq0-MIN(I5:I17)</f>
        <v>1.20319746212328</v>
      </c>
      <c r="K18" s="2" t="s">
        <v>283</v>
      </c>
      <c r="L18" s="12" t="n">
        <f aca="false">(Net_debt+L14)/Ebitda</f>
        <v>3.70266343825666</v>
      </c>
    </row>
    <row r="19" customFormat="false" ht="15" hidden="false" customHeight="false" outlineLevel="0" collapsed="false">
      <c r="K19" s="2" t="s">
        <v>284</v>
      </c>
      <c r="L19" s="15" t="n">
        <f aca="false">Capability-Cap_floor</f>
        <v>3</v>
      </c>
    </row>
    <row r="20" customFormat="false" ht="15" hidden="false" customHeight="false" outlineLevel="0" collapsed="false">
      <c r="K20" s="2" t="s">
        <v>285</v>
      </c>
      <c r="L20" s="17" t="n">
        <f aca="false">INDEX($C$18:$I$18,1,L15+1)</f>
        <v>113.460296210664</v>
      </c>
    </row>
    <row r="21" customFormat="false" ht="23.85" hidden="false" customHeight="false" outlineLevel="0" collapsed="false">
      <c r="A21" s="8" t="s">
        <v>212</v>
      </c>
      <c r="B21" s="8" t="s">
        <v>236</v>
      </c>
      <c r="C21" s="8" t="s">
        <v>286</v>
      </c>
      <c r="D21" s="8" t="s">
        <v>287</v>
      </c>
      <c r="E21" s="8" t="s">
        <v>288</v>
      </c>
      <c r="F21" s="8" t="s">
        <v>289</v>
      </c>
      <c r="G21" s="8" t="s">
        <v>290</v>
      </c>
      <c r="K21" s="2" t="s">
        <v>291</v>
      </c>
      <c r="L21" s="17" t="n">
        <f aca="false">MAX(P90-L14,0)</f>
        <v>36.8669763706644</v>
      </c>
    </row>
    <row r="22" customFormat="false" ht="15" hidden="false" customHeight="false" outlineLevel="0" collapsed="false">
      <c r="A22" s="22" t="n">
        <f aca="false">LumpyGrid!B5</f>
        <v>0</v>
      </c>
      <c r="B22" s="22" t="n">
        <f aca="false">LumpyGrid!C5</f>
        <v>0</v>
      </c>
      <c r="C22" s="22" t="n">
        <f aca="false">LumpyGrid!F5</f>
        <v>0</v>
      </c>
      <c r="D22" s="15" t="n">
        <f aca="false">IF((Net_debt+A22)/Ebitda&lt;=Covenant,1,0)</f>
        <v>1</v>
      </c>
      <c r="E22" s="15" t="n">
        <f aca="false">IF(Capability&gt;=Cap_floor,1,0)</f>
        <v>1</v>
      </c>
      <c r="F22" s="15" t="n">
        <f aca="false">IF(INDEX($C$18:$I$18,1,B22+1)+MAX(P90-A22,0)&lt;=Pool,1,0)</f>
        <v>0</v>
      </c>
      <c r="G22" s="15" t="n">
        <f aca="false">C22*D22*E22*F22</f>
        <v>0</v>
      </c>
      <c r="K22" s="2" t="s">
        <v>292</v>
      </c>
      <c r="L22" s="17" t="n">
        <f aca="false">L20+L21</f>
        <v>150.327272581329</v>
      </c>
    </row>
    <row r="23" customFormat="false" ht="15" hidden="false" customHeight="false" outlineLevel="0" collapsed="false">
      <c r="A23" s="22" t="n">
        <f aca="false">LumpyGrid!B6</f>
        <v>0</v>
      </c>
      <c r="B23" s="22" t="n">
        <f aca="false">LumpyGrid!C6</f>
        <v>1</v>
      </c>
      <c r="C23" s="22" t="n">
        <f aca="false">LumpyGrid!F6</f>
        <v>0</v>
      </c>
      <c r="D23" s="15" t="n">
        <f aca="false">IF((Net_debt+A23)/Ebitda&lt;=Covenant,1,0)</f>
        <v>1</v>
      </c>
      <c r="E23" s="15" t="n">
        <f aca="false">IF(Capability&gt;=Cap_floor,1,0)</f>
        <v>1</v>
      </c>
      <c r="F23" s="15" t="n">
        <f aca="false">IF(INDEX($C$18:$I$18,1,B23+1)+MAX(P90-A23,0)&lt;=Pool,1,0)</f>
        <v>0</v>
      </c>
      <c r="G23" s="15" t="n">
        <f aca="false">C23*D23*E23*F23</f>
        <v>0</v>
      </c>
      <c r="K23" s="2" t="s">
        <v>293</v>
      </c>
      <c r="L23" s="17" t="n">
        <f aca="false">Pool-L22</f>
        <v>119.672727418671</v>
      </c>
    </row>
    <row r="24" customFormat="false" ht="15" hidden="false" customHeight="false" outlineLevel="0" collapsed="false">
      <c r="A24" s="22" t="n">
        <f aca="false">LumpyGrid!B7</f>
        <v>0</v>
      </c>
      <c r="B24" s="22" t="n">
        <f aca="false">LumpyGrid!C7</f>
        <v>2</v>
      </c>
      <c r="C24" s="22" t="n">
        <f aca="false">LumpyGrid!F7</f>
        <v>0</v>
      </c>
      <c r="D24" s="15" t="n">
        <f aca="false">IF((Net_debt+A24)/Ebitda&lt;=Covenant,1,0)</f>
        <v>1</v>
      </c>
      <c r="E24" s="15" t="n">
        <f aca="false">IF(Capability&gt;=Cap_floor,1,0)</f>
        <v>1</v>
      </c>
      <c r="F24" s="15" t="n">
        <f aca="false">IF(INDEX($C$18:$I$18,1,B24+1)+MAX(P90-A24,0)&lt;=Pool,1,0)</f>
        <v>0</v>
      </c>
      <c r="G24" s="15" t="n">
        <f aca="false">C24*D24*E24*F24</f>
        <v>0</v>
      </c>
    </row>
    <row r="25" customFormat="false" ht="15" hidden="false" customHeight="false" outlineLevel="0" collapsed="false">
      <c r="A25" s="22" t="n">
        <f aca="false">LumpyGrid!B8</f>
        <v>0</v>
      </c>
      <c r="B25" s="22" t="n">
        <f aca="false">LumpyGrid!C8</f>
        <v>3</v>
      </c>
      <c r="C25" s="22" t="n">
        <f aca="false">LumpyGrid!F8</f>
        <v>0</v>
      </c>
      <c r="D25" s="15" t="n">
        <f aca="false">IF((Net_debt+A25)/Ebitda&lt;=Covenant,1,0)</f>
        <v>1</v>
      </c>
      <c r="E25" s="15" t="n">
        <f aca="false">IF(Capability&gt;=Cap_floor,1,0)</f>
        <v>1</v>
      </c>
      <c r="F25" s="15" t="n">
        <f aca="false">IF(INDEX($C$18:$I$18,1,B25+1)+MAX(P90-A25,0)&lt;=Pool,1,0)</f>
        <v>1</v>
      </c>
      <c r="G25" s="15" t="n">
        <f aca="false">C25*D25*E25*F25</f>
        <v>0</v>
      </c>
    </row>
    <row r="26" customFormat="false" ht="15" hidden="false" customHeight="false" outlineLevel="0" collapsed="false">
      <c r="A26" s="22" t="n">
        <f aca="false">LumpyGrid!B9</f>
        <v>0</v>
      </c>
      <c r="B26" s="22" t="n">
        <f aca="false">LumpyGrid!C9</f>
        <v>4</v>
      </c>
      <c r="C26" s="22" t="n">
        <f aca="false">LumpyGrid!F9</f>
        <v>0</v>
      </c>
      <c r="D26" s="15" t="n">
        <f aca="false">IF((Net_debt+A26)/Ebitda&lt;=Covenant,1,0)</f>
        <v>1</v>
      </c>
      <c r="E26" s="15" t="n">
        <f aca="false">IF(Capability&gt;=Cap_floor,1,0)</f>
        <v>1</v>
      </c>
      <c r="F26" s="15" t="n">
        <f aca="false">IF(INDEX($C$18:$I$18,1,B26+1)+MAX(P90-A26,0)&lt;=Pool,1,0)</f>
        <v>1</v>
      </c>
      <c r="G26" s="15" t="n">
        <f aca="false">C26*D26*E26*F26</f>
        <v>0</v>
      </c>
    </row>
    <row r="27" customFormat="false" ht="15" hidden="false" customHeight="false" outlineLevel="0" collapsed="false">
      <c r="A27" s="22" t="n">
        <f aca="false">LumpyGrid!B10</f>
        <v>0</v>
      </c>
      <c r="B27" s="22" t="n">
        <f aca="false">LumpyGrid!C10</f>
        <v>5</v>
      </c>
      <c r="C27" s="22" t="n">
        <f aca="false">LumpyGrid!F10</f>
        <v>0</v>
      </c>
      <c r="D27" s="15" t="n">
        <f aca="false">IF((Net_debt+A27)/Ebitda&lt;=Covenant,1,0)</f>
        <v>1</v>
      </c>
      <c r="E27" s="15" t="n">
        <f aca="false">IF(Capability&gt;=Cap_floor,1,0)</f>
        <v>1</v>
      </c>
      <c r="F27" s="15" t="n">
        <f aca="false">IF(INDEX($C$18:$I$18,1,B27+1)+MAX(P90-A27,0)&lt;=Pool,1,0)</f>
        <v>1</v>
      </c>
      <c r="G27" s="15" t="n">
        <f aca="false">C27*D27*E27*F27</f>
        <v>0</v>
      </c>
    </row>
    <row r="28" customFormat="false" ht="15" hidden="false" customHeight="false" outlineLevel="0" collapsed="false">
      <c r="A28" s="22" t="n">
        <f aca="false">LumpyGrid!B11</f>
        <v>0</v>
      </c>
      <c r="B28" s="22" t="n">
        <f aca="false">LumpyGrid!C11</f>
        <v>6</v>
      </c>
      <c r="C28" s="22" t="n">
        <f aca="false">LumpyGrid!F11</f>
        <v>1</v>
      </c>
      <c r="D28" s="15" t="n">
        <f aca="false">IF((Net_debt+A28)/Ebitda&lt;=Covenant,1,0)</f>
        <v>1</v>
      </c>
      <c r="E28" s="15" t="n">
        <f aca="false">IF(Capability&gt;=Cap_floor,1,0)</f>
        <v>1</v>
      </c>
      <c r="F28" s="15" t="n">
        <f aca="false">IF(INDEX($C$18:$I$18,1,B28+1)+MAX(P90-A28,0)&lt;=Pool,1,0)</f>
        <v>1</v>
      </c>
      <c r="G28" s="15" t="n">
        <f aca="false">C28*D28*E28*F28</f>
        <v>1</v>
      </c>
    </row>
    <row r="29" customFormat="false" ht="15" hidden="false" customHeight="false" outlineLevel="0" collapsed="false">
      <c r="A29" s="22" t="n">
        <f aca="false">LumpyGrid!B12</f>
        <v>50</v>
      </c>
      <c r="B29" s="22" t="n">
        <f aca="false">LumpyGrid!C12</f>
        <v>0</v>
      </c>
      <c r="C29" s="22" t="n">
        <f aca="false">LumpyGrid!F12</f>
        <v>0</v>
      </c>
      <c r="D29" s="15" t="n">
        <f aca="false">IF((Net_debt+A29)/Ebitda&lt;=Covenant,1,0)</f>
        <v>1</v>
      </c>
      <c r="E29" s="15" t="n">
        <f aca="false">IF(Capability&gt;=Cap_floor,1,0)</f>
        <v>1</v>
      </c>
      <c r="F29" s="15" t="n">
        <f aca="false">IF(INDEX($C$18:$I$18,1,B29+1)+MAX(P90-A29,0)&lt;=Pool,1,0)</f>
        <v>0</v>
      </c>
      <c r="G29" s="15" t="n">
        <f aca="false">C29*D29*E29*F29</f>
        <v>0</v>
      </c>
    </row>
    <row r="30" customFormat="false" ht="15" hidden="false" customHeight="false" outlineLevel="0" collapsed="false">
      <c r="A30" s="22" t="n">
        <f aca="false">LumpyGrid!B13</f>
        <v>50</v>
      </c>
      <c r="B30" s="22" t="n">
        <f aca="false">LumpyGrid!C13</f>
        <v>1</v>
      </c>
      <c r="C30" s="22" t="n">
        <f aca="false">LumpyGrid!F13</f>
        <v>0</v>
      </c>
      <c r="D30" s="15" t="n">
        <f aca="false">IF((Net_debt+A30)/Ebitda&lt;=Covenant,1,0)</f>
        <v>1</v>
      </c>
      <c r="E30" s="15" t="n">
        <f aca="false">IF(Capability&gt;=Cap_floor,1,0)</f>
        <v>1</v>
      </c>
      <c r="F30" s="15" t="n">
        <f aca="false">IF(INDEX($C$18:$I$18,1,B30+1)+MAX(P90-A30,0)&lt;=Pool,1,0)</f>
        <v>1</v>
      </c>
      <c r="G30" s="15" t="n">
        <f aca="false">C30*D30*E30*F30</f>
        <v>0</v>
      </c>
    </row>
    <row r="31" customFormat="false" ht="15" hidden="false" customHeight="false" outlineLevel="0" collapsed="false">
      <c r="A31" s="22" t="n">
        <f aca="false">LumpyGrid!B14</f>
        <v>50</v>
      </c>
      <c r="B31" s="22" t="n">
        <f aca="false">LumpyGrid!C14</f>
        <v>2</v>
      </c>
      <c r="C31" s="22" t="n">
        <f aca="false">LumpyGrid!F14</f>
        <v>0</v>
      </c>
      <c r="D31" s="15" t="n">
        <f aca="false">IF((Net_debt+A31)/Ebitda&lt;=Covenant,1,0)</f>
        <v>1</v>
      </c>
      <c r="E31" s="15" t="n">
        <f aca="false">IF(Capability&gt;=Cap_floor,1,0)</f>
        <v>1</v>
      </c>
      <c r="F31" s="15" t="n">
        <f aca="false">IF(INDEX($C$18:$I$18,1,B31+1)+MAX(P90-A31,0)&lt;=Pool,1,0)</f>
        <v>1</v>
      </c>
      <c r="G31" s="15" t="n">
        <f aca="false">C31*D31*E31*F31</f>
        <v>0</v>
      </c>
    </row>
    <row r="32" customFormat="false" ht="15" hidden="false" customHeight="false" outlineLevel="0" collapsed="false">
      <c r="A32" s="22" t="n">
        <f aca="false">LumpyGrid!B15</f>
        <v>50</v>
      </c>
      <c r="B32" s="22" t="n">
        <f aca="false">LumpyGrid!C15</f>
        <v>3</v>
      </c>
      <c r="C32" s="22" t="n">
        <f aca="false">LumpyGrid!F15</f>
        <v>1</v>
      </c>
      <c r="D32" s="15" t="n">
        <f aca="false">IF((Net_debt+A32)/Ebitda&lt;=Covenant,1,0)</f>
        <v>1</v>
      </c>
      <c r="E32" s="15" t="n">
        <f aca="false">IF(Capability&gt;=Cap_floor,1,0)</f>
        <v>1</v>
      </c>
      <c r="F32" s="15" t="n">
        <f aca="false">IF(INDEX($C$18:$I$18,1,B32+1)+MAX(P90-A32,0)&lt;=Pool,1,0)</f>
        <v>1</v>
      </c>
      <c r="G32" s="15" t="n">
        <f aca="false">C32*D32*E32*F32</f>
        <v>1</v>
      </c>
    </row>
    <row r="33" customFormat="false" ht="15" hidden="false" customHeight="false" outlineLevel="0" collapsed="false">
      <c r="A33" s="22" t="n">
        <f aca="false">LumpyGrid!B16</f>
        <v>50</v>
      </c>
      <c r="B33" s="22" t="n">
        <f aca="false">LumpyGrid!C16</f>
        <v>4</v>
      </c>
      <c r="C33" s="22" t="n">
        <f aca="false">LumpyGrid!F16</f>
        <v>1</v>
      </c>
      <c r="D33" s="15" t="n">
        <f aca="false">IF((Net_debt+A33)/Ebitda&lt;=Covenant,1,0)</f>
        <v>1</v>
      </c>
      <c r="E33" s="15" t="n">
        <f aca="false">IF(Capability&gt;=Cap_floor,1,0)</f>
        <v>1</v>
      </c>
      <c r="F33" s="15" t="n">
        <f aca="false">IF(INDEX($C$18:$I$18,1,B33+1)+MAX(P90-A33,0)&lt;=Pool,1,0)</f>
        <v>1</v>
      </c>
      <c r="G33" s="15" t="n">
        <f aca="false">C33*D33*E33*F33</f>
        <v>1</v>
      </c>
    </row>
    <row r="34" customFormat="false" ht="15" hidden="false" customHeight="false" outlineLevel="0" collapsed="false">
      <c r="A34" s="22" t="n">
        <f aca="false">LumpyGrid!B17</f>
        <v>50</v>
      </c>
      <c r="B34" s="22" t="n">
        <f aca="false">LumpyGrid!C17</f>
        <v>5</v>
      </c>
      <c r="C34" s="22" t="n">
        <f aca="false">LumpyGrid!F17</f>
        <v>1</v>
      </c>
      <c r="D34" s="15" t="n">
        <f aca="false">IF((Net_debt+A34)/Ebitda&lt;=Covenant,1,0)</f>
        <v>1</v>
      </c>
      <c r="E34" s="15" t="n">
        <f aca="false">IF(Capability&gt;=Cap_floor,1,0)</f>
        <v>1</v>
      </c>
      <c r="F34" s="15" t="n">
        <f aca="false">IF(INDEX($C$18:$I$18,1,B34+1)+MAX(P90-A34,0)&lt;=Pool,1,0)</f>
        <v>1</v>
      </c>
      <c r="G34" s="15" t="n">
        <f aca="false">C34*D34*E34*F34</f>
        <v>1</v>
      </c>
    </row>
    <row r="35" customFormat="false" ht="15" hidden="false" customHeight="false" outlineLevel="0" collapsed="false">
      <c r="A35" s="22" t="n">
        <f aca="false">LumpyGrid!B18</f>
        <v>50</v>
      </c>
      <c r="B35" s="22" t="n">
        <f aca="false">LumpyGrid!C18</f>
        <v>6</v>
      </c>
      <c r="C35" s="22" t="n">
        <f aca="false">LumpyGrid!F18</f>
        <v>1</v>
      </c>
      <c r="D35" s="15" t="n">
        <f aca="false">IF((Net_debt+A35)/Ebitda&lt;=Covenant,1,0)</f>
        <v>1</v>
      </c>
      <c r="E35" s="15" t="n">
        <f aca="false">IF(Capability&gt;=Cap_floor,1,0)</f>
        <v>1</v>
      </c>
      <c r="F35" s="15" t="n">
        <f aca="false">IF(INDEX($C$18:$I$18,1,B35+1)+MAX(P90-A35,0)&lt;=Pool,1,0)</f>
        <v>1</v>
      </c>
      <c r="G35" s="15" t="n">
        <f aca="false">C35*D35*E35*F35</f>
        <v>1</v>
      </c>
    </row>
    <row r="36" customFormat="false" ht="15" hidden="false" customHeight="false" outlineLevel="0" collapsed="false">
      <c r="A36" s="22" t="n">
        <f aca="false">LumpyGrid!B19</f>
        <v>100</v>
      </c>
      <c r="B36" s="22" t="n">
        <f aca="false">LumpyGrid!C19</f>
        <v>0</v>
      </c>
      <c r="C36" s="22" t="n">
        <f aca="false">LumpyGrid!F19</f>
        <v>0</v>
      </c>
      <c r="D36" s="15" t="n">
        <f aca="false">IF((Net_debt+A36)/Ebitda&lt;=Covenant,1,0)</f>
        <v>1</v>
      </c>
      <c r="E36" s="15" t="n">
        <f aca="false">IF(Capability&gt;=Cap_floor,1,0)</f>
        <v>1</v>
      </c>
      <c r="F36" s="15" t="n">
        <f aca="false">IF(INDEX($C$18:$I$18,1,B36+1)+MAX(P90-A36,0)&lt;=Pool,1,0)</f>
        <v>1</v>
      </c>
      <c r="G36" s="15" t="n">
        <f aca="false">C36*D36*E36*F36</f>
        <v>0</v>
      </c>
    </row>
    <row r="37" customFormat="false" ht="15" hidden="false" customHeight="false" outlineLevel="0" collapsed="false">
      <c r="A37" s="22" t="n">
        <f aca="false">LumpyGrid!B20</f>
        <v>100</v>
      </c>
      <c r="B37" s="22" t="n">
        <f aca="false">LumpyGrid!C20</f>
        <v>1</v>
      </c>
      <c r="C37" s="22" t="n">
        <f aca="false">LumpyGrid!F20</f>
        <v>0</v>
      </c>
      <c r="D37" s="15" t="n">
        <f aca="false">IF((Net_debt+A37)/Ebitda&lt;=Covenant,1,0)</f>
        <v>1</v>
      </c>
      <c r="E37" s="15" t="n">
        <f aca="false">IF(Capability&gt;=Cap_floor,1,0)</f>
        <v>1</v>
      </c>
      <c r="F37" s="15" t="n">
        <f aca="false">IF(INDEX($C$18:$I$18,1,B37+1)+MAX(P90-A37,0)&lt;=Pool,1,0)</f>
        <v>1</v>
      </c>
      <c r="G37" s="15" t="n">
        <f aca="false">C37*D37*E37*F37</f>
        <v>0</v>
      </c>
    </row>
    <row r="38" customFormat="false" ht="15" hidden="false" customHeight="false" outlineLevel="0" collapsed="false">
      <c r="A38" s="22" t="n">
        <f aca="false">LumpyGrid!B21</f>
        <v>100</v>
      </c>
      <c r="B38" s="22" t="n">
        <f aca="false">LumpyGrid!C21</f>
        <v>2</v>
      </c>
      <c r="C38" s="22" t="n">
        <f aca="false">LumpyGrid!F21</f>
        <v>1</v>
      </c>
      <c r="D38" s="15" t="n">
        <f aca="false">IF((Net_debt+A38)/Ebitda&lt;=Covenant,1,0)</f>
        <v>1</v>
      </c>
      <c r="E38" s="15" t="n">
        <f aca="false">IF(Capability&gt;=Cap_floor,1,0)</f>
        <v>1</v>
      </c>
      <c r="F38" s="15" t="n">
        <f aca="false">IF(INDEX($C$18:$I$18,1,B38+1)+MAX(P90-A38,0)&lt;=Pool,1,0)</f>
        <v>1</v>
      </c>
      <c r="G38" s="15" t="n">
        <f aca="false">C38*D38*E38*F38</f>
        <v>1</v>
      </c>
    </row>
    <row r="39" customFormat="false" ht="15" hidden="false" customHeight="false" outlineLevel="0" collapsed="false">
      <c r="A39" s="22" t="n">
        <f aca="false">LumpyGrid!B22</f>
        <v>100</v>
      </c>
      <c r="B39" s="22" t="n">
        <f aca="false">LumpyGrid!C22</f>
        <v>3</v>
      </c>
      <c r="C39" s="22" t="n">
        <f aca="false">LumpyGrid!F22</f>
        <v>1</v>
      </c>
      <c r="D39" s="15" t="n">
        <f aca="false">IF((Net_debt+A39)/Ebitda&lt;=Covenant,1,0)</f>
        <v>1</v>
      </c>
      <c r="E39" s="15" t="n">
        <f aca="false">IF(Capability&gt;=Cap_floor,1,0)</f>
        <v>1</v>
      </c>
      <c r="F39" s="15" t="n">
        <f aca="false">IF(INDEX($C$18:$I$18,1,B39+1)+MAX(P90-A39,0)&lt;=Pool,1,0)</f>
        <v>1</v>
      </c>
      <c r="G39" s="15" t="n">
        <f aca="false">C39*D39*E39*F39</f>
        <v>1</v>
      </c>
    </row>
    <row r="40" customFormat="false" ht="15" hidden="false" customHeight="false" outlineLevel="0" collapsed="false">
      <c r="A40" s="22" t="n">
        <f aca="false">LumpyGrid!B23</f>
        <v>100</v>
      </c>
      <c r="B40" s="22" t="n">
        <f aca="false">LumpyGrid!C23</f>
        <v>4</v>
      </c>
      <c r="C40" s="22" t="n">
        <f aca="false">LumpyGrid!F23</f>
        <v>1</v>
      </c>
      <c r="D40" s="15" t="n">
        <f aca="false">IF((Net_debt+A40)/Ebitda&lt;=Covenant,1,0)</f>
        <v>1</v>
      </c>
      <c r="E40" s="15" t="n">
        <f aca="false">IF(Capability&gt;=Cap_floor,1,0)</f>
        <v>1</v>
      </c>
      <c r="F40" s="15" t="n">
        <f aca="false">IF(INDEX($C$18:$I$18,1,B40+1)+MAX(P90-A40,0)&lt;=Pool,1,0)</f>
        <v>1</v>
      </c>
      <c r="G40" s="15" t="n">
        <f aca="false">C40*D40*E40*F40</f>
        <v>1</v>
      </c>
    </row>
    <row r="41" customFormat="false" ht="15" hidden="false" customHeight="false" outlineLevel="0" collapsed="false">
      <c r="A41" s="22" t="n">
        <f aca="false">LumpyGrid!B24</f>
        <v>100</v>
      </c>
      <c r="B41" s="22" t="n">
        <f aca="false">LumpyGrid!C24</f>
        <v>5</v>
      </c>
      <c r="C41" s="22" t="n">
        <f aca="false">LumpyGrid!F24</f>
        <v>1</v>
      </c>
      <c r="D41" s="15" t="n">
        <f aca="false">IF((Net_debt+A41)/Ebitda&lt;=Covenant,1,0)</f>
        <v>1</v>
      </c>
      <c r="E41" s="15" t="n">
        <f aca="false">IF(Capability&gt;=Cap_floor,1,0)</f>
        <v>1</v>
      </c>
      <c r="F41" s="15" t="n">
        <f aca="false">IF(INDEX($C$18:$I$18,1,B41+1)+MAX(P90-A41,0)&lt;=Pool,1,0)</f>
        <v>1</v>
      </c>
      <c r="G41" s="15" t="n">
        <f aca="false">C41*D41*E41*F41</f>
        <v>1</v>
      </c>
    </row>
    <row r="42" customFormat="false" ht="15" hidden="false" customHeight="false" outlineLevel="0" collapsed="false">
      <c r="A42" s="22" t="n">
        <f aca="false">LumpyGrid!B25</f>
        <v>100</v>
      </c>
      <c r="B42" s="22" t="n">
        <f aca="false">LumpyGrid!C25</f>
        <v>6</v>
      </c>
      <c r="C42" s="22" t="n">
        <f aca="false">LumpyGrid!F25</f>
        <v>1</v>
      </c>
      <c r="D42" s="15" t="n">
        <f aca="false">IF((Net_debt+A42)/Ebitda&lt;=Covenant,1,0)</f>
        <v>1</v>
      </c>
      <c r="E42" s="15" t="n">
        <f aca="false">IF(Capability&gt;=Cap_floor,1,0)</f>
        <v>1</v>
      </c>
      <c r="F42" s="15" t="n">
        <f aca="false">IF(INDEX($C$18:$I$18,1,B42+1)+MAX(P90-A42,0)&lt;=Pool,1,0)</f>
        <v>1</v>
      </c>
      <c r="G42" s="15" t="n">
        <f aca="false">C42*D42*E42*F42</f>
        <v>1</v>
      </c>
    </row>
    <row r="43" customFormat="false" ht="15" hidden="false" customHeight="false" outlineLevel="0" collapsed="false">
      <c r="A43" s="22" t="n">
        <f aca="false">LumpyGrid!B26</f>
        <v>150</v>
      </c>
      <c r="B43" s="22" t="n">
        <f aca="false">LumpyGrid!C26</f>
        <v>0</v>
      </c>
      <c r="C43" s="22" t="n">
        <f aca="false">LumpyGrid!F26</f>
        <v>0</v>
      </c>
      <c r="D43" s="15" t="n">
        <f aca="false">IF((Net_debt+A43)/Ebitda&lt;=Covenant,1,0)</f>
        <v>1</v>
      </c>
      <c r="E43" s="15" t="n">
        <f aca="false">IF(Capability&gt;=Cap_floor,1,0)</f>
        <v>1</v>
      </c>
      <c r="F43" s="15" t="n">
        <f aca="false">IF(INDEX($C$18:$I$18,1,B43+1)+MAX(P90-A43,0)&lt;=Pool,1,0)</f>
        <v>1</v>
      </c>
      <c r="G43" s="15" t="n">
        <f aca="false">C43*D43*E43*F43</f>
        <v>0</v>
      </c>
    </row>
    <row r="44" customFormat="false" ht="15" hidden="false" customHeight="false" outlineLevel="0" collapsed="false">
      <c r="A44" s="22" t="n">
        <f aca="false">LumpyGrid!B27</f>
        <v>150</v>
      </c>
      <c r="B44" s="22" t="n">
        <f aca="false">LumpyGrid!C27</f>
        <v>1</v>
      </c>
      <c r="C44" s="22" t="n">
        <f aca="false">LumpyGrid!F27</f>
        <v>1</v>
      </c>
      <c r="D44" s="15" t="n">
        <f aca="false">IF((Net_debt+A44)/Ebitda&lt;=Covenant,1,0)</f>
        <v>1</v>
      </c>
      <c r="E44" s="15" t="n">
        <f aca="false">IF(Capability&gt;=Cap_floor,1,0)</f>
        <v>1</v>
      </c>
      <c r="F44" s="15" t="n">
        <f aca="false">IF(INDEX($C$18:$I$18,1,B44+1)+MAX(P90-A44,0)&lt;=Pool,1,0)</f>
        <v>1</v>
      </c>
      <c r="G44" s="15" t="n">
        <f aca="false">C44*D44*E44*F44</f>
        <v>1</v>
      </c>
    </row>
    <row r="45" customFormat="false" ht="15" hidden="false" customHeight="false" outlineLevel="0" collapsed="false">
      <c r="A45" s="22" t="n">
        <f aca="false">LumpyGrid!B28</f>
        <v>150</v>
      </c>
      <c r="B45" s="22" t="n">
        <f aca="false">LumpyGrid!C28</f>
        <v>2</v>
      </c>
      <c r="C45" s="22" t="n">
        <f aca="false">LumpyGrid!F28</f>
        <v>1</v>
      </c>
      <c r="D45" s="15" t="n">
        <f aca="false">IF((Net_debt+A45)/Ebitda&lt;=Covenant,1,0)</f>
        <v>1</v>
      </c>
      <c r="E45" s="15" t="n">
        <f aca="false">IF(Capability&gt;=Cap_floor,1,0)</f>
        <v>1</v>
      </c>
      <c r="F45" s="15" t="n">
        <f aca="false">IF(INDEX($C$18:$I$18,1,B45+1)+MAX(P90-A45,0)&lt;=Pool,1,0)</f>
        <v>1</v>
      </c>
      <c r="G45" s="15" t="n">
        <f aca="false">C45*D45*E45*F45</f>
        <v>1</v>
      </c>
    </row>
    <row r="46" customFormat="false" ht="15" hidden="false" customHeight="false" outlineLevel="0" collapsed="false">
      <c r="A46" s="22" t="n">
        <f aca="false">LumpyGrid!B29</f>
        <v>150</v>
      </c>
      <c r="B46" s="22" t="n">
        <f aca="false">LumpyGrid!C29</f>
        <v>3</v>
      </c>
      <c r="C46" s="22" t="n">
        <f aca="false">LumpyGrid!F29</f>
        <v>1</v>
      </c>
      <c r="D46" s="15" t="n">
        <f aca="false">IF((Net_debt+A46)/Ebitda&lt;=Covenant,1,0)</f>
        <v>1</v>
      </c>
      <c r="E46" s="15" t="n">
        <f aca="false">IF(Capability&gt;=Cap_floor,1,0)</f>
        <v>1</v>
      </c>
      <c r="F46" s="15" t="n">
        <f aca="false">IF(INDEX($C$18:$I$18,1,B46+1)+MAX(P90-A46,0)&lt;=Pool,1,0)</f>
        <v>1</v>
      </c>
      <c r="G46" s="15" t="n">
        <f aca="false">C46*D46*E46*F46</f>
        <v>1</v>
      </c>
    </row>
    <row r="47" customFormat="false" ht="15" hidden="false" customHeight="false" outlineLevel="0" collapsed="false">
      <c r="A47" s="22" t="n">
        <f aca="false">LumpyGrid!B30</f>
        <v>150</v>
      </c>
      <c r="B47" s="22" t="n">
        <f aca="false">LumpyGrid!C30</f>
        <v>4</v>
      </c>
      <c r="C47" s="22" t="n">
        <f aca="false">LumpyGrid!F30</f>
        <v>1</v>
      </c>
      <c r="D47" s="15" t="n">
        <f aca="false">IF((Net_debt+A47)/Ebitda&lt;=Covenant,1,0)</f>
        <v>1</v>
      </c>
      <c r="E47" s="15" t="n">
        <f aca="false">IF(Capability&gt;=Cap_floor,1,0)</f>
        <v>1</v>
      </c>
      <c r="F47" s="15" t="n">
        <f aca="false">IF(INDEX($C$18:$I$18,1,B47+1)+MAX(P90-A47,0)&lt;=Pool,1,0)</f>
        <v>1</v>
      </c>
      <c r="G47" s="15" t="n">
        <f aca="false">C47*D47*E47*F47</f>
        <v>1</v>
      </c>
    </row>
    <row r="48" customFormat="false" ht="15" hidden="false" customHeight="false" outlineLevel="0" collapsed="false">
      <c r="A48" s="22" t="n">
        <f aca="false">LumpyGrid!B31</f>
        <v>150</v>
      </c>
      <c r="B48" s="22" t="n">
        <f aca="false">LumpyGrid!C31</f>
        <v>5</v>
      </c>
      <c r="C48" s="22" t="n">
        <f aca="false">LumpyGrid!F31</f>
        <v>1</v>
      </c>
      <c r="D48" s="15" t="n">
        <f aca="false">IF((Net_debt+A48)/Ebitda&lt;=Covenant,1,0)</f>
        <v>1</v>
      </c>
      <c r="E48" s="15" t="n">
        <f aca="false">IF(Capability&gt;=Cap_floor,1,0)</f>
        <v>1</v>
      </c>
      <c r="F48" s="15" t="n">
        <f aca="false">IF(INDEX($C$18:$I$18,1,B48+1)+MAX(P90-A48,0)&lt;=Pool,1,0)</f>
        <v>1</v>
      </c>
      <c r="G48" s="15" t="n">
        <f aca="false">C48*D48*E48*F48</f>
        <v>1</v>
      </c>
    </row>
    <row r="49" customFormat="false" ht="15" hidden="false" customHeight="false" outlineLevel="0" collapsed="false">
      <c r="A49" s="22" t="n">
        <f aca="false">LumpyGrid!B32</f>
        <v>150</v>
      </c>
      <c r="B49" s="22" t="n">
        <f aca="false">LumpyGrid!C32</f>
        <v>6</v>
      </c>
      <c r="C49" s="22" t="n">
        <f aca="false">LumpyGrid!F32</f>
        <v>1</v>
      </c>
      <c r="D49" s="15" t="n">
        <f aca="false">IF((Net_debt+A49)/Ebitda&lt;=Covenant,1,0)</f>
        <v>1</v>
      </c>
      <c r="E49" s="15" t="n">
        <f aca="false">IF(Capability&gt;=Cap_floor,1,0)</f>
        <v>1</v>
      </c>
      <c r="F49" s="15" t="n">
        <f aca="false">IF(INDEX($C$18:$I$18,1,B49+1)+MAX(P90-A49,0)&lt;=Pool,1,0)</f>
        <v>1</v>
      </c>
      <c r="G49" s="15" t="n">
        <f aca="false">C49*D49*E49*F49</f>
        <v>1</v>
      </c>
    </row>
    <row r="50" customFormat="false" ht="15" hidden="false" customHeight="false" outlineLevel="0" collapsed="false">
      <c r="A50" s="22" t="n">
        <f aca="false">LumpyGrid!B33</f>
        <v>200</v>
      </c>
      <c r="B50" s="22" t="n">
        <f aca="false">LumpyGrid!C33</f>
        <v>0</v>
      </c>
      <c r="C50" s="22" t="n">
        <f aca="false">LumpyGrid!F33</f>
        <v>0</v>
      </c>
      <c r="D50" s="15" t="n">
        <f aca="false">IF((Net_debt+A50)/Ebitda&lt;=Covenant,1,0)</f>
        <v>1</v>
      </c>
      <c r="E50" s="15" t="n">
        <f aca="false">IF(Capability&gt;=Cap_floor,1,0)</f>
        <v>1</v>
      </c>
      <c r="F50" s="15" t="n">
        <f aca="false">IF(INDEX($C$18:$I$18,1,B50+1)+MAX(P90-A50,0)&lt;=Pool,1,0)</f>
        <v>1</v>
      </c>
      <c r="G50" s="15" t="n">
        <f aca="false">C50*D50*E50*F50</f>
        <v>0</v>
      </c>
    </row>
    <row r="51" customFormat="false" ht="15" hidden="false" customHeight="false" outlineLevel="0" collapsed="false">
      <c r="A51" s="22" t="n">
        <f aca="false">LumpyGrid!B34</f>
        <v>200</v>
      </c>
      <c r="B51" s="22" t="n">
        <f aca="false">LumpyGrid!C34</f>
        <v>1</v>
      </c>
      <c r="C51" s="22" t="n">
        <f aca="false">LumpyGrid!F34</f>
        <v>1</v>
      </c>
      <c r="D51" s="15" t="n">
        <f aca="false">IF((Net_debt+A51)/Ebitda&lt;=Covenant,1,0)</f>
        <v>1</v>
      </c>
      <c r="E51" s="15" t="n">
        <f aca="false">IF(Capability&gt;=Cap_floor,1,0)</f>
        <v>1</v>
      </c>
      <c r="F51" s="15" t="n">
        <f aca="false">IF(INDEX($C$18:$I$18,1,B51+1)+MAX(P90-A51,0)&lt;=Pool,1,0)</f>
        <v>1</v>
      </c>
      <c r="G51" s="15" t="n">
        <f aca="false">C51*D51*E51*F51</f>
        <v>1</v>
      </c>
    </row>
    <row r="52" customFormat="false" ht="15" hidden="false" customHeight="false" outlineLevel="0" collapsed="false">
      <c r="A52" s="22" t="n">
        <f aca="false">LumpyGrid!B35</f>
        <v>200</v>
      </c>
      <c r="B52" s="22" t="n">
        <f aca="false">LumpyGrid!C35</f>
        <v>2</v>
      </c>
      <c r="C52" s="22" t="n">
        <f aca="false">LumpyGrid!F35</f>
        <v>1</v>
      </c>
      <c r="D52" s="15" t="n">
        <f aca="false">IF((Net_debt+A52)/Ebitda&lt;=Covenant,1,0)</f>
        <v>1</v>
      </c>
      <c r="E52" s="15" t="n">
        <f aca="false">IF(Capability&gt;=Cap_floor,1,0)</f>
        <v>1</v>
      </c>
      <c r="F52" s="15" t="n">
        <f aca="false">IF(INDEX($C$18:$I$18,1,B52+1)+MAX(P90-A52,0)&lt;=Pool,1,0)</f>
        <v>1</v>
      </c>
      <c r="G52" s="15" t="n">
        <f aca="false">C52*D52*E52*F52</f>
        <v>1</v>
      </c>
    </row>
    <row r="53" customFormat="false" ht="15" hidden="false" customHeight="false" outlineLevel="0" collapsed="false">
      <c r="A53" s="22" t="n">
        <f aca="false">LumpyGrid!B36</f>
        <v>200</v>
      </c>
      <c r="B53" s="22" t="n">
        <f aca="false">LumpyGrid!C36</f>
        <v>3</v>
      </c>
      <c r="C53" s="22" t="n">
        <f aca="false">LumpyGrid!F36</f>
        <v>1</v>
      </c>
      <c r="D53" s="15" t="n">
        <f aca="false">IF((Net_debt+A53)/Ebitda&lt;=Covenant,1,0)</f>
        <v>1</v>
      </c>
      <c r="E53" s="15" t="n">
        <f aca="false">IF(Capability&gt;=Cap_floor,1,0)</f>
        <v>1</v>
      </c>
      <c r="F53" s="15" t="n">
        <f aca="false">IF(INDEX($C$18:$I$18,1,B53+1)+MAX(P90-A53,0)&lt;=Pool,1,0)</f>
        <v>1</v>
      </c>
      <c r="G53" s="15" t="n">
        <f aca="false">C53*D53*E53*F53</f>
        <v>1</v>
      </c>
    </row>
    <row r="54" customFormat="false" ht="15" hidden="false" customHeight="false" outlineLevel="0" collapsed="false">
      <c r="A54" s="22" t="n">
        <f aca="false">LumpyGrid!B37</f>
        <v>200</v>
      </c>
      <c r="B54" s="22" t="n">
        <f aca="false">LumpyGrid!C37</f>
        <v>4</v>
      </c>
      <c r="C54" s="22" t="n">
        <f aca="false">LumpyGrid!F37</f>
        <v>1</v>
      </c>
      <c r="D54" s="15" t="n">
        <f aca="false">IF((Net_debt+A54)/Ebitda&lt;=Covenant,1,0)</f>
        <v>1</v>
      </c>
      <c r="E54" s="15" t="n">
        <f aca="false">IF(Capability&gt;=Cap_floor,1,0)</f>
        <v>1</v>
      </c>
      <c r="F54" s="15" t="n">
        <f aca="false">IF(INDEX($C$18:$I$18,1,B54+1)+MAX(P90-A54,0)&lt;=Pool,1,0)</f>
        <v>1</v>
      </c>
      <c r="G54" s="15" t="n">
        <f aca="false">C54*D54*E54*F54</f>
        <v>1</v>
      </c>
    </row>
    <row r="55" customFormat="false" ht="15" hidden="false" customHeight="false" outlineLevel="0" collapsed="false">
      <c r="A55" s="22" t="n">
        <f aca="false">LumpyGrid!B38</f>
        <v>200</v>
      </c>
      <c r="B55" s="22" t="n">
        <f aca="false">LumpyGrid!C38</f>
        <v>5</v>
      </c>
      <c r="C55" s="22" t="n">
        <f aca="false">LumpyGrid!F38</f>
        <v>1</v>
      </c>
      <c r="D55" s="15" t="n">
        <f aca="false">IF((Net_debt+A55)/Ebitda&lt;=Covenant,1,0)</f>
        <v>1</v>
      </c>
      <c r="E55" s="15" t="n">
        <f aca="false">IF(Capability&gt;=Cap_floor,1,0)</f>
        <v>1</v>
      </c>
      <c r="F55" s="15" t="n">
        <f aca="false">IF(INDEX($C$18:$I$18,1,B55+1)+MAX(P90-A55,0)&lt;=Pool,1,0)</f>
        <v>1</v>
      </c>
      <c r="G55" s="15" t="n">
        <f aca="false">C55*D55*E55*F55</f>
        <v>1</v>
      </c>
    </row>
    <row r="56" customFormat="false" ht="15" hidden="false" customHeight="false" outlineLevel="0" collapsed="false">
      <c r="A56" s="22" t="n">
        <f aca="false">LumpyGrid!B39</f>
        <v>200</v>
      </c>
      <c r="B56" s="22" t="n">
        <f aca="false">LumpyGrid!C39</f>
        <v>6</v>
      </c>
      <c r="C56" s="22" t="n">
        <f aca="false">LumpyGrid!F39</f>
        <v>1</v>
      </c>
      <c r="D56" s="15" t="n">
        <f aca="false">IF((Net_debt+A56)/Ebitda&lt;=Covenant,1,0)</f>
        <v>1</v>
      </c>
      <c r="E56" s="15" t="n">
        <f aca="false">IF(Capability&gt;=Cap_floor,1,0)</f>
        <v>1</v>
      </c>
      <c r="F56" s="15" t="n">
        <f aca="false">IF(INDEX($C$18:$I$18,1,B56+1)+MAX(P90-A56,0)&lt;=Pool,1,0)</f>
        <v>1</v>
      </c>
      <c r="G56" s="15" t="n">
        <f aca="false">C56*D56*E56*F56</f>
        <v>1</v>
      </c>
    </row>
    <row r="57" customFormat="false" ht="15" hidden="false" customHeight="false" outlineLevel="0" collapsed="false">
      <c r="A57" s="22" t="n">
        <f aca="false">LumpyGrid!B40</f>
        <v>250</v>
      </c>
      <c r="B57" s="22" t="n">
        <f aca="false">LumpyGrid!C40</f>
        <v>0</v>
      </c>
      <c r="C57" s="22" t="n">
        <f aca="false">LumpyGrid!F40</f>
        <v>0</v>
      </c>
      <c r="D57" s="15" t="n">
        <f aca="false">IF((Net_debt+A57)/Ebitda&lt;=Covenant,1,0)</f>
        <v>1</v>
      </c>
      <c r="E57" s="15" t="n">
        <f aca="false">IF(Capability&gt;=Cap_floor,1,0)</f>
        <v>1</v>
      </c>
      <c r="F57" s="15" t="n">
        <f aca="false">IF(INDEX($C$18:$I$18,1,B57+1)+MAX(P90-A57,0)&lt;=Pool,1,0)</f>
        <v>1</v>
      </c>
      <c r="G57" s="15" t="n">
        <f aca="false">C57*D57*E57*F57</f>
        <v>0</v>
      </c>
    </row>
    <row r="58" customFormat="false" ht="15" hidden="false" customHeight="false" outlineLevel="0" collapsed="false">
      <c r="A58" s="22" t="n">
        <f aca="false">LumpyGrid!B41</f>
        <v>250</v>
      </c>
      <c r="B58" s="22" t="n">
        <f aca="false">LumpyGrid!C41</f>
        <v>1</v>
      </c>
      <c r="C58" s="22" t="n">
        <f aca="false">LumpyGrid!F41</f>
        <v>1</v>
      </c>
      <c r="D58" s="15" t="n">
        <f aca="false">IF((Net_debt+A58)/Ebitda&lt;=Covenant,1,0)</f>
        <v>1</v>
      </c>
      <c r="E58" s="15" t="n">
        <f aca="false">IF(Capability&gt;=Cap_floor,1,0)</f>
        <v>1</v>
      </c>
      <c r="F58" s="15" t="n">
        <f aca="false">IF(INDEX($C$18:$I$18,1,B58+1)+MAX(P90-A58,0)&lt;=Pool,1,0)</f>
        <v>1</v>
      </c>
      <c r="G58" s="15" t="n">
        <f aca="false">C58*D58*E58*F58</f>
        <v>1</v>
      </c>
    </row>
    <row r="59" customFormat="false" ht="15" hidden="false" customHeight="false" outlineLevel="0" collapsed="false">
      <c r="A59" s="22" t="n">
        <f aca="false">LumpyGrid!B42</f>
        <v>250</v>
      </c>
      <c r="B59" s="22" t="n">
        <f aca="false">LumpyGrid!C42</f>
        <v>2</v>
      </c>
      <c r="C59" s="22" t="n">
        <f aca="false">LumpyGrid!F42</f>
        <v>1</v>
      </c>
      <c r="D59" s="15" t="n">
        <f aca="false">IF((Net_debt+A59)/Ebitda&lt;=Covenant,1,0)</f>
        <v>1</v>
      </c>
      <c r="E59" s="15" t="n">
        <f aca="false">IF(Capability&gt;=Cap_floor,1,0)</f>
        <v>1</v>
      </c>
      <c r="F59" s="15" t="n">
        <f aca="false">IF(INDEX($C$18:$I$18,1,B59+1)+MAX(P90-A59,0)&lt;=Pool,1,0)</f>
        <v>1</v>
      </c>
      <c r="G59" s="15" t="n">
        <f aca="false">C59*D59*E59*F59</f>
        <v>1</v>
      </c>
    </row>
    <row r="60" customFormat="false" ht="15" hidden="false" customHeight="false" outlineLevel="0" collapsed="false">
      <c r="A60" s="22" t="n">
        <f aca="false">LumpyGrid!B43</f>
        <v>250</v>
      </c>
      <c r="B60" s="22" t="n">
        <f aca="false">LumpyGrid!C43</f>
        <v>3</v>
      </c>
      <c r="C60" s="22" t="n">
        <f aca="false">LumpyGrid!F43</f>
        <v>1</v>
      </c>
      <c r="D60" s="15" t="n">
        <f aca="false">IF((Net_debt+A60)/Ebitda&lt;=Covenant,1,0)</f>
        <v>1</v>
      </c>
      <c r="E60" s="15" t="n">
        <f aca="false">IF(Capability&gt;=Cap_floor,1,0)</f>
        <v>1</v>
      </c>
      <c r="F60" s="15" t="n">
        <f aca="false">IF(INDEX($C$18:$I$18,1,B60+1)+MAX(P90-A60,0)&lt;=Pool,1,0)</f>
        <v>1</v>
      </c>
      <c r="G60" s="15" t="n">
        <f aca="false">C60*D60*E60*F60</f>
        <v>1</v>
      </c>
    </row>
    <row r="61" customFormat="false" ht="15" hidden="false" customHeight="false" outlineLevel="0" collapsed="false">
      <c r="A61" s="22" t="n">
        <f aca="false">LumpyGrid!B44</f>
        <v>250</v>
      </c>
      <c r="B61" s="22" t="n">
        <f aca="false">LumpyGrid!C44</f>
        <v>4</v>
      </c>
      <c r="C61" s="22" t="n">
        <f aca="false">LumpyGrid!F44</f>
        <v>1</v>
      </c>
      <c r="D61" s="15" t="n">
        <f aca="false">IF((Net_debt+A61)/Ebitda&lt;=Covenant,1,0)</f>
        <v>1</v>
      </c>
      <c r="E61" s="15" t="n">
        <f aca="false">IF(Capability&gt;=Cap_floor,1,0)</f>
        <v>1</v>
      </c>
      <c r="F61" s="15" t="n">
        <f aca="false">IF(INDEX($C$18:$I$18,1,B61+1)+MAX(P90-A61,0)&lt;=Pool,1,0)</f>
        <v>1</v>
      </c>
      <c r="G61" s="15" t="n">
        <f aca="false">C61*D61*E61*F61</f>
        <v>1</v>
      </c>
    </row>
    <row r="62" customFormat="false" ht="15" hidden="false" customHeight="false" outlineLevel="0" collapsed="false">
      <c r="A62" s="22" t="n">
        <f aca="false">LumpyGrid!B45</f>
        <v>250</v>
      </c>
      <c r="B62" s="22" t="n">
        <f aca="false">LumpyGrid!C45</f>
        <v>5</v>
      </c>
      <c r="C62" s="22" t="n">
        <f aca="false">LumpyGrid!F45</f>
        <v>1</v>
      </c>
      <c r="D62" s="15" t="n">
        <f aca="false">IF((Net_debt+A62)/Ebitda&lt;=Covenant,1,0)</f>
        <v>1</v>
      </c>
      <c r="E62" s="15" t="n">
        <f aca="false">IF(Capability&gt;=Cap_floor,1,0)</f>
        <v>1</v>
      </c>
      <c r="F62" s="15" t="n">
        <f aca="false">IF(INDEX($C$18:$I$18,1,B62+1)+MAX(P90-A62,0)&lt;=Pool,1,0)</f>
        <v>1</v>
      </c>
      <c r="G62" s="15" t="n">
        <f aca="false">C62*D62*E62*F62</f>
        <v>1</v>
      </c>
    </row>
    <row r="63" customFormat="false" ht="15" hidden="false" customHeight="false" outlineLevel="0" collapsed="false">
      <c r="A63" s="22" t="n">
        <f aca="false">LumpyGrid!B46</f>
        <v>250</v>
      </c>
      <c r="B63" s="22" t="n">
        <f aca="false">LumpyGrid!C46</f>
        <v>6</v>
      </c>
      <c r="C63" s="22" t="n">
        <f aca="false">LumpyGrid!F46</f>
        <v>1</v>
      </c>
      <c r="D63" s="15" t="n">
        <f aca="false">IF((Net_debt+A63)/Ebitda&lt;=Covenant,1,0)</f>
        <v>1</v>
      </c>
      <c r="E63" s="15" t="n">
        <f aca="false">IF(Capability&gt;=Cap_floor,1,0)</f>
        <v>1</v>
      </c>
      <c r="F63" s="15" t="n">
        <f aca="false">IF(INDEX($C$18:$I$18,1,B63+1)+MAX(P90-A63,0)&lt;=Pool,1,0)</f>
        <v>1</v>
      </c>
      <c r="G63" s="15" t="n">
        <f aca="false">C63*D63*E63*F63</f>
        <v>1</v>
      </c>
    </row>
    <row r="64" customFormat="false" ht="15" hidden="false" customHeight="false" outlineLevel="0" collapsed="false">
      <c r="A64" s="22" t="n">
        <f aca="false">LumpyGrid!B47</f>
        <v>300</v>
      </c>
      <c r="B64" s="22" t="n">
        <f aca="false">LumpyGrid!C47</f>
        <v>0</v>
      </c>
      <c r="C64" s="22" t="n">
        <f aca="false">LumpyGrid!F47</f>
        <v>0</v>
      </c>
      <c r="D64" s="15" t="n">
        <f aca="false">IF((Net_debt+A64)/Ebitda&lt;=Covenant,1,0)</f>
        <v>1</v>
      </c>
      <c r="E64" s="15" t="n">
        <f aca="false">IF(Capability&gt;=Cap_floor,1,0)</f>
        <v>1</v>
      </c>
      <c r="F64" s="15" t="n">
        <f aca="false">IF(INDEX($C$18:$I$18,1,B64+1)+MAX(P90-A64,0)&lt;=Pool,1,0)</f>
        <v>1</v>
      </c>
      <c r="G64" s="15" t="n">
        <f aca="false">C64*D64*E64*F64</f>
        <v>0</v>
      </c>
    </row>
    <row r="65" customFormat="false" ht="15" hidden="false" customHeight="false" outlineLevel="0" collapsed="false">
      <c r="A65" s="22" t="n">
        <f aca="false">LumpyGrid!B48</f>
        <v>300</v>
      </c>
      <c r="B65" s="22" t="n">
        <f aca="false">LumpyGrid!C48</f>
        <v>1</v>
      </c>
      <c r="C65" s="22" t="n">
        <f aca="false">LumpyGrid!F48</f>
        <v>1</v>
      </c>
      <c r="D65" s="15" t="n">
        <f aca="false">IF((Net_debt+A65)/Ebitda&lt;=Covenant,1,0)</f>
        <v>1</v>
      </c>
      <c r="E65" s="15" t="n">
        <f aca="false">IF(Capability&gt;=Cap_floor,1,0)</f>
        <v>1</v>
      </c>
      <c r="F65" s="15" t="n">
        <f aca="false">IF(INDEX($C$18:$I$18,1,B65+1)+MAX(P90-A65,0)&lt;=Pool,1,0)</f>
        <v>1</v>
      </c>
      <c r="G65" s="15" t="n">
        <f aca="false">C65*D65*E65*F65</f>
        <v>1</v>
      </c>
    </row>
    <row r="66" customFormat="false" ht="15" hidden="false" customHeight="false" outlineLevel="0" collapsed="false">
      <c r="A66" s="22" t="n">
        <f aca="false">LumpyGrid!B49</f>
        <v>300</v>
      </c>
      <c r="B66" s="22" t="n">
        <f aca="false">LumpyGrid!C49</f>
        <v>2</v>
      </c>
      <c r="C66" s="22" t="n">
        <f aca="false">LumpyGrid!F49</f>
        <v>1</v>
      </c>
      <c r="D66" s="15" t="n">
        <f aca="false">IF((Net_debt+A66)/Ebitda&lt;=Covenant,1,0)</f>
        <v>1</v>
      </c>
      <c r="E66" s="15" t="n">
        <f aca="false">IF(Capability&gt;=Cap_floor,1,0)</f>
        <v>1</v>
      </c>
      <c r="F66" s="15" t="n">
        <f aca="false">IF(INDEX($C$18:$I$18,1,B66+1)+MAX(P90-A66,0)&lt;=Pool,1,0)</f>
        <v>1</v>
      </c>
      <c r="G66" s="15" t="n">
        <f aca="false">C66*D66*E66*F66</f>
        <v>1</v>
      </c>
    </row>
    <row r="67" customFormat="false" ht="15" hidden="false" customHeight="false" outlineLevel="0" collapsed="false">
      <c r="A67" s="22" t="n">
        <f aca="false">LumpyGrid!B50</f>
        <v>300</v>
      </c>
      <c r="B67" s="22" t="n">
        <f aca="false">LumpyGrid!C50</f>
        <v>3</v>
      </c>
      <c r="C67" s="22" t="n">
        <f aca="false">LumpyGrid!F50</f>
        <v>1</v>
      </c>
      <c r="D67" s="15" t="n">
        <f aca="false">IF((Net_debt+A67)/Ebitda&lt;=Covenant,1,0)</f>
        <v>1</v>
      </c>
      <c r="E67" s="15" t="n">
        <f aca="false">IF(Capability&gt;=Cap_floor,1,0)</f>
        <v>1</v>
      </c>
      <c r="F67" s="15" t="n">
        <f aca="false">IF(INDEX($C$18:$I$18,1,B67+1)+MAX(P90-A67,0)&lt;=Pool,1,0)</f>
        <v>1</v>
      </c>
      <c r="G67" s="15" t="n">
        <f aca="false">C67*D67*E67*F67</f>
        <v>1</v>
      </c>
    </row>
    <row r="68" customFormat="false" ht="15" hidden="false" customHeight="false" outlineLevel="0" collapsed="false">
      <c r="A68" s="22" t="n">
        <f aca="false">LumpyGrid!B51</f>
        <v>300</v>
      </c>
      <c r="B68" s="22" t="n">
        <f aca="false">LumpyGrid!C51</f>
        <v>4</v>
      </c>
      <c r="C68" s="22" t="n">
        <f aca="false">LumpyGrid!F51</f>
        <v>1</v>
      </c>
      <c r="D68" s="15" t="n">
        <f aca="false">IF((Net_debt+A68)/Ebitda&lt;=Covenant,1,0)</f>
        <v>1</v>
      </c>
      <c r="E68" s="15" t="n">
        <f aca="false">IF(Capability&gt;=Cap_floor,1,0)</f>
        <v>1</v>
      </c>
      <c r="F68" s="15" t="n">
        <f aca="false">IF(INDEX($C$18:$I$18,1,B68+1)+MAX(P90-A68,0)&lt;=Pool,1,0)</f>
        <v>1</v>
      </c>
      <c r="G68" s="15" t="n">
        <f aca="false">C68*D68*E68*F68</f>
        <v>1</v>
      </c>
    </row>
    <row r="69" customFormat="false" ht="15" hidden="false" customHeight="false" outlineLevel="0" collapsed="false">
      <c r="A69" s="22" t="n">
        <f aca="false">LumpyGrid!B52</f>
        <v>300</v>
      </c>
      <c r="B69" s="22" t="n">
        <f aca="false">LumpyGrid!C52</f>
        <v>5</v>
      </c>
      <c r="C69" s="22" t="n">
        <f aca="false">LumpyGrid!F52</f>
        <v>1</v>
      </c>
      <c r="D69" s="15" t="n">
        <f aca="false">IF((Net_debt+A69)/Ebitda&lt;=Covenant,1,0)</f>
        <v>1</v>
      </c>
      <c r="E69" s="15" t="n">
        <f aca="false">IF(Capability&gt;=Cap_floor,1,0)</f>
        <v>1</v>
      </c>
      <c r="F69" s="15" t="n">
        <f aca="false">IF(INDEX($C$18:$I$18,1,B69+1)+MAX(P90-A69,0)&lt;=Pool,1,0)</f>
        <v>1</v>
      </c>
      <c r="G69" s="15" t="n">
        <f aca="false">C69*D69*E69*F69</f>
        <v>1</v>
      </c>
    </row>
    <row r="70" customFormat="false" ht="15" hidden="false" customHeight="false" outlineLevel="0" collapsed="false">
      <c r="A70" s="22" t="n">
        <f aca="false">LumpyGrid!B53</f>
        <v>300</v>
      </c>
      <c r="B70" s="22" t="n">
        <f aca="false">LumpyGrid!C53</f>
        <v>6</v>
      </c>
      <c r="C70" s="22" t="n">
        <f aca="false">LumpyGrid!F53</f>
        <v>1</v>
      </c>
      <c r="D70" s="15" t="n">
        <f aca="false">IF((Net_debt+A70)/Ebitda&lt;=Covenant,1,0)</f>
        <v>1</v>
      </c>
      <c r="E70" s="15" t="n">
        <f aca="false">IF(Capability&gt;=Cap_floor,1,0)</f>
        <v>1</v>
      </c>
      <c r="F70" s="15" t="n">
        <f aca="false">IF(INDEX($C$18:$I$18,1,B70+1)+MAX(P90-A70,0)&lt;=Pool,1,0)</f>
        <v>1</v>
      </c>
      <c r="G70" s="15" t="n">
        <f aca="false">C70*D70*E70*F70</f>
        <v>1</v>
      </c>
    </row>
    <row r="71" customFormat="false" ht="15" hidden="false" customHeight="false" outlineLevel="0" collapsed="false">
      <c r="A71" s="22" t="n">
        <f aca="false">LumpyGrid!B54</f>
        <v>350</v>
      </c>
      <c r="B71" s="22" t="n">
        <f aca="false">LumpyGrid!C54</f>
        <v>0</v>
      </c>
      <c r="C71" s="22" t="n">
        <f aca="false">LumpyGrid!F54</f>
        <v>0</v>
      </c>
      <c r="D71" s="15" t="n">
        <f aca="false">IF((Net_debt+A71)/Ebitda&lt;=Covenant,1,0)</f>
        <v>1</v>
      </c>
      <c r="E71" s="15" t="n">
        <f aca="false">IF(Capability&gt;=Cap_floor,1,0)</f>
        <v>1</v>
      </c>
      <c r="F71" s="15" t="n">
        <f aca="false">IF(INDEX($C$18:$I$18,1,B71+1)+MAX(P90-A71,0)&lt;=Pool,1,0)</f>
        <v>1</v>
      </c>
      <c r="G71" s="15" t="n">
        <f aca="false">C71*D71*E71*F71</f>
        <v>0</v>
      </c>
    </row>
    <row r="72" customFormat="false" ht="15" hidden="false" customHeight="false" outlineLevel="0" collapsed="false">
      <c r="A72" s="22" t="n">
        <f aca="false">LumpyGrid!B55</f>
        <v>350</v>
      </c>
      <c r="B72" s="22" t="n">
        <f aca="false">LumpyGrid!C55</f>
        <v>1</v>
      </c>
      <c r="C72" s="22" t="n">
        <f aca="false">LumpyGrid!F55</f>
        <v>1</v>
      </c>
      <c r="D72" s="15" t="n">
        <f aca="false">IF((Net_debt+A72)/Ebitda&lt;=Covenant,1,0)</f>
        <v>1</v>
      </c>
      <c r="E72" s="15" t="n">
        <f aca="false">IF(Capability&gt;=Cap_floor,1,0)</f>
        <v>1</v>
      </c>
      <c r="F72" s="15" t="n">
        <f aca="false">IF(INDEX($C$18:$I$18,1,B72+1)+MAX(P90-A72,0)&lt;=Pool,1,0)</f>
        <v>1</v>
      </c>
      <c r="G72" s="15" t="n">
        <f aca="false">C72*D72*E72*F72</f>
        <v>1</v>
      </c>
    </row>
    <row r="73" customFormat="false" ht="15" hidden="false" customHeight="false" outlineLevel="0" collapsed="false">
      <c r="A73" s="22" t="n">
        <f aca="false">LumpyGrid!B56</f>
        <v>350</v>
      </c>
      <c r="B73" s="22" t="n">
        <f aca="false">LumpyGrid!C56</f>
        <v>2</v>
      </c>
      <c r="C73" s="22" t="n">
        <f aca="false">LumpyGrid!F56</f>
        <v>1</v>
      </c>
      <c r="D73" s="15" t="n">
        <f aca="false">IF((Net_debt+A73)/Ebitda&lt;=Covenant,1,0)</f>
        <v>1</v>
      </c>
      <c r="E73" s="15" t="n">
        <f aca="false">IF(Capability&gt;=Cap_floor,1,0)</f>
        <v>1</v>
      </c>
      <c r="F73" s="15" t="n">
        <f aca="false">IF(INDEX($C$18:$I$18,1,B73+1)+MAX(P90-A73,0)&lt;=Pool,1,0)</f>
        <v>1</v>
      </c>
      <c r="G73" s="15" t="n">
        <f aca="false">C73*D73*E73*F73</f>
        <v>1</v>
      </c>
    </row>
    <row r="74" customFormat="false" ht="15" hidden="false" customHeight="false" outlineLevel="0" collapsed="false">
      <c r="A74" s="22" t="n">
        <f aca="false">LumpyGrid!B57</f>
        <v>350</v>
      </c>
      <c r="B74" s="22" t="n">
        <f aca="false">LumpyGrid!C57</f>
        <v>3</v>
      </c>
      <c r="C74" s="22" t="n">
        <f aca="false">LumpyGrid!F57</f>
        <v>1</v>
      </c>
      <c r="D74" s="15" t="n">
        <f aca="false">IF((Net_debt+A74)/Ebitda&lt;=Covenant,1,0)</f>
        <v>1</v>
      </c>
      <c r="E74" s="15" t="n">
        <f aca="false">IF(Capability&gt;=Cap_floor,1,0)</f>
        <v>1</v>
      </c>
      <c r="F74" s="15" t="n">
        <f aca="false">IF(INDEX($C$18:$I$18,1,B74+1)+MAX(P90-A74,0)&lt;=Pool,1,0)</f>
        <v>1</v>
      </c>
      <c r="G74" s="15" t="n">
        <f aca="false">C74*D74*E74*F74</f>
        <v>1</v>
      </c>
    </row>
    <row r="75" customFormat="false" ht="15" hidden="false" customHeight="false" outlineLevel="0" collapsed="false">
      <c r="A75" s="22" t="n">
        <f aca="false">LumpyGrid!B58</f>
        <v>350</v>
      </c>
      <c r="B75" s="22" t="n">
        <f aca="false">LumpyGrid!C58</f>
        <v>4</v>
      </c>
      <c r="C75" s="22" t="n">
        <f aca="false">LumpyGrid!F58</f>
        <v>1</v>
      </c>
      <c r="D75" s="15" t="n">
        <f aca="false">IF((Net_debt+A75)/Ebitda&lt;=Covenant,1,0)</f>
        <v>1</v>
      </c>
      <c r="E75" s="15" t="n">
        <f aca="false">IF(Capability&gt;=Cap_floor,1,0)</f>
        <v>1</v>
      </c>
      <c r="F75" s="15" t="n">
        <f aca="false">IF(INDEX($C$18:$I$18,1,B75+1)+MAX(P90-A75,0)&lt;=Pool,1,0)</f>
        <v>1</v>
      </c>
      <c r="G75" s="15" t="n">
        <f aca="false">C75*D75*E75*F75</f>
        <v>1</v>
      </c>
    </row>
    <row r="76" customFormat="false" ht="15" hidden="false" customHeight="false" outlineLevel="0" collapsed="false">
      <c r="A76" s="22" t="n">
        <f aca="false">LumpyGrid!B59</f>
        <v>350</v>
      </c>
      <c r="B76" s="22" t="n">
        <f aca="false">LumpyGrid!C59</f>
        <v>5</v>
      </c>
      <c r="C76" s="22" t="n">
        <f aca="false">LumpyGrid!F59</f>
        <v>1</v>
      </c>
      <c r="D76" s="15" t="n">
        <f aca="false">IF((Net_debt+A76)/Ebitda&lt;=Covenant,1,0)</f>
        <v>1</v>
      </c>
      <c r="E76" s="15" t="n">
        <f aca="false">IF(Capability&gt;=Cap_floor,1,0)</f>
        <v>1</v>
      </c>
      <c r="F76" s="15" t="n">
        <f aca="false">IF(INDEX($C$18:$I$18,1,B76+1)+MAX(P90-A76,0)&lt;=Pool,1,0)</f>
        <v>1</v>
      </c>
      <c r="G76" s="15" t="n">
        <f aca="false">C76*D76*E76*F76</f>
        <v>1</v>
      </c>
    </row>
    <row r="77" customFormat="false" ht="15" hidden="false" customHeight="false" outlineLevel="0" collapsed="false">
      <c r="A77" s="22" t="n">
        <f aca="false">LumpyGrid!B60</f>
        <v>350</v>
      </c>
      <c r="B77" s="22" t="n">
        <f aca="false">LumpyGrid!C60</f>
        <v>6</v>
      </c>
      <c r="C77" s="22" t="n">
        <f aca="false">LumpyGrid!F60</f>
        <v>1</v>
      </c>
      <c r="D77" s="15" t="n">
        <f aca="false">IF((Net_debt+A77)/Ebitda&lt;=Covenant,1,0)</f>
        <v>1</v>
      </c>
      <c r="E77" s="15" t="n">
        <f aca="false">IF(Capability&gt;=Cap_floor,1,0)</f>
        <v>1</v>
      </c>
      <c r="F77" s="15" t="n">
        <f aca="false">IF(INDEX($C$18:$I$18,1,B77+1)+MAX(P90-A77,0)&lt;=Pool,1,0)</f>
        <v>1</v>
      </c>
      <c r="G77" s="15" t="n">
        <f aca="false">C77*D77*E77*F77</f>
        <v>1</v>
      </c>
    </row>
    <row r="78" customFormat="false" ht="15" hidden="false" customHeight="false" outlineLevel="0" collapsed="false">
      <c r="A78" s="22" t="n">
        <f aca="false">LumpyGrid!B61</f>
        <v>400</v>
      </c>
      <c r="B78" s="22" t="n">
        <f aca="false">LumpyGrid!C61</f>
        <v>0</v>
      </c>
      <c r="C78" s="22" t="n">
        <f aca="false">LumpyGrid!F61</f>
        <v>0</v>
      </c>
      <c r="D78" s="15" t="n">
        <f aca="false">IF((Net_debt+A78)/Ebitda&lt;=Covenant,1,0)</f>
        <v>1</v>
      </c>
      <c r="E78" s="15" t="n">
        <f aca="false">IF(Capability&gt;=Cap_floor,1,0)</f>
        <v>1</v>
      </c>
      <c r="F78" s="15" t="n">
        <f aca="false">IF(INDEX($C$18:$I$18,1,B78+1)+MAX(P90-A78,0)&lt;=Pool,1,0)</f>
        <v>1</v>
      </c>
      <c r="G78" s="15" t="n">
        <f aca="false">C78*D78*E78*F78</f>
        <v>0</v>
      </c>
    </row>
    <row r="79" customFormat="false" ht="15" hidden="false" customHeight="false" outlineLevel="0" collapsed="false">
      <c r="A79" s="22" t="n">
        <f aca="false">LumpyGrid!B62</f>
        <v>400</v>
      </c>
      <c r="B79" s="22" t="n">
        <f aca="false">LumpyGrid!C62</f>
        <v>1</v>
      </c>
      <c r="C79" s="22" t="n">
        <f aca="false">LumpyGrid!F62</f>
        <v>1</v>
      </c>
      <c r="D79" s="15" t="n">
        <f aca="false">IF((Net_debt+A79)/Ebitda&lt;=Covenant,1,0)</f>
        <v>1</v>
      </c>
      <c r="E79" s="15" t="n">
        <f aca="false">IF(Capability&gt;=Cap_floor,1,0)</f>
        <v>1</v>
      </c>
      <c r="F79" s="15" t="n">
        <f aca="false">IF(INDEX($C$18:$I$18,1,B79+1)+MAX(P90-A79,0)&lt;=Pool,1,0)</f>
        <v>1</v>
      </c>
      <c r="G79" s="15" t="n">
        <f aca="false">C79*D79*E79*F79</f>
        <v>1</v>
      </c>
    </row>
    <row r="80" customFormat="false" ht="15" hidden="false" customHeight="false" outlineLevel="0" collapsed="false">
      <c r="A80" s="22" t="n">
        <f aca="false">LumpyGrid!B63</f>
        <v>400</v>
      </c>
      <c r="B80" s="22" t="n">
        <f aca="false">LumpyGrid!C63</f>
        <v>2</v>
      </c>
      <c r="C80" s="22" t="n">
        <f aca="false">LumpyGrid!F63</f>
        <v>1</v>
      </c>
      <c r="D80" s="15" t="n">
        <f aca="false">IF((Net_debt+A80)/Ebitda&lt;=Covenant,1,0)</f>
        <v>1</v>
      </c>
      <c r="E80" s="15" t="n">
        <f aca="false">IF(Capability&gt;=Cap_floor,1,0)</f>
        <v>1</v>
      </c>
      <c r="F80" s="15" t="n">
        <f aca="false">IF(INDEX($C$18:$I$18,1,B80+1)+MAX(P90-A80,0)&lt;=Pool,1,0)</f>
        <v>1</v>
      </c>
      <c r="G80" s="15" t="n">
        <f aca="false">C80*D80*E80*F80</f>
        <v>1</v>
      </c>
    </row>
    <row r="81" customFormat="false" ht="15" hidden="false" customHeight="false" outlineLevel="0" collapsed="false">
      <c r="A81" s="22" t="n">
        <f aca="false">LumpyGrid!B64</f>
        <v>400</v>
      </c>
      <c r="B81" s="22" t="n">
        <f aca="false">LumpyGrid!C64</f>
        <v>3</v>
      </c>
      <c r="C81" s="22" t="n">
        <f aca="false">LumpyGrid!F64</f>
        <v>1</v>
      </c>
      <c r="D81" s="15" t="n">
        <f aca="false">IF((Net_debt+A81)/Ebitda&lt;=Covenant,1,0)</f>
        <v>1</v>
      </c>
      <c r="E81" s="15" t="n">
        <f aca="false">IF(Capability&gt;=Cap_floor,1,0)</f>
        <v>1</v>
      </c>
      <c r="F81" s="15" t="n">
        <f aca="false">IF(INDEX($C$18:$I$18,1,B81+1)+MAX(P90-A81,0)&lt;=Pool,1,0)</f>
        <v>1</v>
      </c>
      <c r="G81" s="15" t="n">
        <f aca="false">C81*D81*E81*F81</f>
        <v>1</v>
      </c>
    </row>
    <row r="82" customFormat="false" ht="15" hidden="false" customHeight="false" outlineLevel="0" collapsed="false">
      <c r="A82" s="22" t="n">
        <f aca="false">LumpyGrid!B65</f>
        <v>400</v>
      </c>
      <c r="B82" s="22" t="n">
        <f aca="false">LumpyGrid!C65</f>
        <v>4</v>
      </c>
      <c r="C82" s="22" t="n">
        <f aca="false">LumpyGrid!F65</f>
        <v>1</v>
      </c>
      <c r="D82" s="15" t="n">
        <f aca="false">IF((Net_debt+A82)/Ebitda&lt;=Covenant,1,0)</f>
        <v>1</v>
      </c>
      <c r="E82" s="15" t="n">
        <f aca="false">IF(Capability&gt;=Cap_floor,1,0)</f>
        <v>1</v>
      </c>
      <c r="F82" s="15" t="n">
        <f aca="false">IF(INDEX($C$18:$I$18,1,B82+1)+MAX(P90-A82,0)&lt;=Pool,1,0)</f>
        <v>1</v>
      </c>
      <c r="G82" s="15" t="n">
        <f aca="false">C82*D82*E82*F82</f>
        <v>1</v>
      </c>
    </row>
    <row r="83" customFormat="false" ht="15" hidden="false" customHeight="false" outlineLevel="0" collapsed="false">
      <c r="A83" s="22" t="n">
        <f aca="false">LumpyGrid!B66</f>
        <v>400</v>
      </c>
      <c r="B83" s="22" t="n">
        <f aca="false">LumpyGrid!C66</f>
        <v>5</v>
      </c>
      <c r="C83" s="22" t="n">
        <f aca="false">LumpyGrid!F66</f>
        <v>1</v>
      </c>
      <c r="D83" s="15" t="n">
        <f aca="false">IF((Net_debt+A83)/Ebitda&lt;=Covenant,1,0)</f>
        <v>1</v>
      </c>
      <c r="E83" s="15" t="n">
        <f aca="false">IF(Capability&gt;=Cap_floor,1,0)</f>
        <v>1</v>
      </c>
      <c r="F83" s="15" t="n">
        <f aca="false">IF(INDEX($C$18:$I$18,1,B83+1)+MAX(P90-A83,0)&lt;=Pool,1,0)</f>
        <v>1</v>
      </c>
      <c r="G83" s="15" t="n">
        <f aca="false">C83*D83*E83*F83</f>
        <v>1</v>
      </c>
    </row>
    <row r="84" customFormat="false" ht="15" hidden="false" customHeight="false" outlineLevel="0" collapsed="false">
      <c r="A84" s="22" t="n">
        <f aca="false">LumpyGrid!B67</f>
        <v>400</v>
      </c>
      <c r="B84" s="22" t="n">
        <f aca="false">LumpyGrid!C67</f>
        <v>6</v>
      </c>
      <c r="C84" s="22" t="n">
        <f aca="false">LumpyGrid!F67</f>
        <v>1</v>
      </c>
      <c r="D84" s="15" t="n">
        <f aca="false">IF((Net_debt+A84)/Ebitda&lt;=Covenant,1,0)</f>
        <v>1</v>
      </c>
      <c r="E84" s="15" t="n">
        <f aca="false">IF(Capability&gt;=Cap_floor,1,0)</f>
        <v>1</v>
      </c>
      <c r="F84" s="15" t="n">
        <f aca="false">IF(INDEX($C$18:$I$18,1,B84+1)+MAX(P90-A84,0)&lt;=Pool,1,0)</f>
        <v>1</v>
      </c>
      <c r="G84" s="15" t="n">
        <f aca="false">C84*D84*E84*F84</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3" min="3" style="0" width="10"/>
    <col collapsed="false" customWidth="true" hidden="false" outlineLevel="0" max="5" min="4" style="0" width="18"/>
    <col collapsed="false" customWidth="true" hidden="false" outlineLevel="0" max="6" min="6" style="0" width="16"/>
    <col collapsed="false" customWidth="true" hidden="false" outlineLevel="0" max="7" min="7" style="0" width="20"/>
  </cols>
  <sheetData>
    <row r="1" customFormat="false" ht="15" hidden="false" customHeight="false" outlineLevel="0" collapsed="false">
      <c r="A1" s="1" t="s">
        <v>294</v>
      </c>
    </row>
    <row r="2" customFormat="false" ht="15" hidden="false" customHeight="false" outlineLevel="0" collapsed="false">
      <c r="A2" s="10" t="s">
        <v>295</v>
      </c>
    </row>
    <row r="4" customFormat="false" ht="15" hidden="false" customHeight="false" outlineLevel="0" collapsed="false">
      <c r="A4" s="2" t="s">
        <v>296</v>
      </c>
      <c r="B4" s="33" t="n">
        <f aca="false">Paths_N</f>
        <v>100000</v>
      </c>
    </row>
    <row r="5" customFormat="false" ht="15" hidden="false" customHeight="false" outlineLevel="0" collapsed="false">
      <c r="A5" s="2" t="s">
        <v>297</v>
      </c>
      <c r="B5" s="24" t="n">
        <f aca="false">100*SQRT(Appetite*(1-Appetite)/Paths_N)</f>
        <v>0.0689202437604511</v>
      </c>
    </row>
    <row r="6" customFormat="false" ht="15" hidden="false" customHeight="false" outlineLevel="0" collapsed="false">
      <c r="A6" s="2" t="s">
        <v>298</v>
      </c>
      <c r="B6" s="25" t="n">
        <f aca="false">LumpyGrid!J10</f>
        <v>0.04003</v>
      </c>
    </row>
    <row r="7" customFormat="false" ht="15" hidden="false" customHeight="false" outlineLevel="0" collapsed="false">
      <c r="A7" s="2" t="s">
        <v>299</v>
      </c>
      <c r="B7" s="24" t="n">
        <f aca="false">100*SQRT(B6*(1-B6)/Paths_N)</f>
        <v>0.0619899984674947</v>
      </c>
    </row>
    <row r="8" customFormat="false" ht="15" hidden="false" customHeight="false" outlineLevel="0" collapsed="false">
      <c r="A8" s="2" t="s">
        <v>300</v>
      </c>
      <c r="B8" s="12" t="n">
        <f aca="false">100*(Appetite-B6)</f>
        <v>0.997</v>
      </c>
    </row>
    <row r="9" customFormat="false" ht="15" hidden="false" customHeight="false" outlineLevel="0" collapsed="false">
      <c r="A9" s="2" t="s">
        <v>301</v>
      </c>
      <c r="B9" s="17" t="n">
        <f aca="false">B8/B7</f>
        <v>16.0832396297411</v>
      </c>
    </row>
    <row r="10" customFormat="false" ht="15" hidden="false" customHeight="false" outlineLevel="0" collapsed="false">
      <c r="A10" s="2" t="s">
        <v>302</v>
      </c>
      <c r="B10" s="25" t="n">
        <f aca="false">LumpyGrid!J18</f>
        <v>0.09587</v>
      </c>
    </row>
    <row r="11" customFormat="false" ht="15" hidden="false" customHeight="false" outlineLevel="0" collapsed="false">
      <c r="A11" s="2" t="s">
        <v>303</v>
      </c>
      <c r="B11" s="12" t="n">
        <f aca="false">100*(B10-Appetite)</f>
        <v>4.587</v>
      </c>
    </row>
    <row r="13" customFormat="false" ht="23.85" hidden="false" customHeight="false" outlineLevel="0" collapsed="false">
      <c r="A13" s="8" t="s">
        <v>181</v>
      </c>
      <c r="B13" s="8" t="s">
        <v>212</v>
      </c>
      <c r="C13" s="8" t="s">
        <v>236</v>
      </c>
      <c r="D13" s="8" t="s">
        <v>304</v>
      </c>
      <c r="E13" s="8" t="s">
        <v>305</v>
      </c>
      <c r="F13" s="8" t="s">
        <v>306</v>
      </c>
      <c r="G13" s="8" t="s">
        <v>307</v>
      </c>
    </row>
    <row r="14" customFormat="false" ht="15" hidden="false" customHeight="false" outlineLevel="0" collapsed="false">
      <c r="A14" s="2" t="s">
        <v>308</v>
      </c>
      <c r="B14" s="31" t="n">
        <v>170</v>
      </c>
      <c r="C14" s="34" t="n">
        <v>0.667576361426626</v>
      </c>
      <c r="D14" s="27" t="n">
        <v>0.05</v>
      </c>
      <c r="E14" s="27" t="n">
        <v>0.05139</v>
      </c>
      <c r="F14" s="35" t="n">
        <f aca="false">SQRT(E14*(1-E14)/Paths_N)</f>
        <v>0.0006982053272498</v>
      </c>
      <c r="G14" s="17" t="n">
        <f aca="false">(E14-Appetite)/F14</f>
        <v>1.99081838214433</v>
      </c>
    </row>
    <row r="15" customFormat="false" ht="15" hidden="false" customHeight="false" outlineLevel="0" collapsed="false">
      <c r="A15" s="2" t="s">
        <v>309</v>
      </c>
      <c r="B15" s="31" t="n">
        <v>121</v>
      </c>
      <c r="C15" s="34" t="n">
        <v>1</v>
      </c>
      <c r="D15" s="27" t="n">
        <v>0.04968</v>
      </c>
      <c r="E15" s="27" t="n">
        <v>0.05043</v>
      </c>
      <c r="F15" s="35" t="n">
        <f aca="false">SQRT(E15*(1-E15)/Paths_N)</f>
        <v>0.000692002999270957</v>
      </c>
      <c r="G15" s="17" t="n">
        <f aca="false">(E15-Appetite)/F15</f>
        <v>0.621384590027812</v>
      </c>
    </row>
    <row r="16" customFormat="false" ht="15" hidden="false" customHeight="false" outlineLevel="0" collapsed="false">
      <c r="A16" s="2" t="s">
        <v>310</v>
      </c>
      <c r="B16" s="31" t="n">
        <v>130</v>
      </c>
      <c r="C16" s="34" t="n">
        <v>1</v>
      </c>
      <c r="D16" s="27" t="n">
        <v>0.0463</v>
      </c>
      <c r="E16" s="27" t="n">
        <v>0.04695</v>
      </c>
      <c r="F16" s="35" t="n">
        <f aca="false">SQRT(E16*(1-E16)/Paths_N)</f>
        <v>0.000668922248845111</v>
      </c>
      <c r="G16" s="17" t="n">
        <f aca="false">(E16-Appetite)/F16</f>
        <v>-4.55957326171436</v>
      </c>
    </row>
    <row r="17" customFormat="false" ht="15" hidden="false" customHeight="false" outlineLevel="0" collapsed="false">
      <c r="A17" s="2" t="s">
        <v>311</v>
      </c>
      <c r="B17" s="31" t="n">
        <v>150</v>
      </c>
      <c r="C17" s="34" t="n">
        <v>1</v>
      </c>
      <c r="D17" s="27" t="n">
        <v>0.04003</v>
      </c>
      <c r="E17" s="27" t="n">
        <v>0.04124</v>
      </c>
      <c r="F17" s="35" t="n">
        <f aca="false">SQRT(E17*(1-E17)/Paths_N)</f>
        <v>0.000628802531801519</v>
      </c>
      <c r="G17" s="17" t="n">
        <f aca="false">(E17-Appetite)/F17</f>
        <v>-13.9312416171459</v>
      </c>
    </row>
    <row r="18" customFormat="false" ht="15" hidden="false" customHeight="false" outlineLevel="0" collapsed="false">
      <c r="A18" s="2" t="s">
        <v>312</v>
      </c>
      <c r="B18" s="31" t="n">
        <v>200</v>
      </c>
      <c r="C18" s="34" t="n">
        <v>1</v>
      </c>
      <c r="D18" s="27" t="n">
        <v>0.03386</v>
      </c>
      <c r="E18" s="27" t="n">
        <v>0.03468</v>
      </c>
      <c r="F18" s="35" t="n">
        <f aca="false">SQRT(E18*(1-E18)/Paths_N)</f>
        <v>0.000578595693036165</v>
      </c>
      <c r="G18" s="17" t="n">
        <f aca="false">(E18-Appetite)/F18</f>
        <v>-26.4779019000448</v>
      </c>
    </row>
    <row r="19" customFormat="false" ht="15" hidden="false" customHeight="false" outlineLevel="0" collapsed="false">
      <c r="A19" s="2" t="s">
        <v>313</v>
      </c>
      <c r="B19" s="31" t="n">
        <v>150</v>
      </c>
      <c r="C19" s="34" t="n">
        <v>0</v>
      </c>
      <c r="D19" s="27" t="n">
        <v>0.09587</v>
      </c>
      <c r="E19" s="27" t="n">
        <v>0.09541</v>
      </c>
      <c r="F19" s="35" t="n">
        <f aca="false">SQRT(E19*(1-E19)/Paths_N)</f>
        <v>0.000929015241532667</v>
      </c>
      <c r="G19" s="17" t="n">
        <f aca="false">(E19-Appetite)/F19</f>
        <v>48.8797147451356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2"/>
    <col collapsed="false" customWidth="true" hidden="false" outlineLevel="0" max="3" min="3" style="0" width="3"/>
    <col collapsed="false" customWidth="true" hidden="false" outlineLevel="0" max="4" min="4" style="0" width="8"/>
    <col collapsed="false" customWidth="true" hidden="false" outlineLevel="0" max="5" min="5" style="0" width="10"/>
  </cols>
  <sheetData>
    <row r="1" customFormat="false" ht="15" hidden="false" customHeight="false" outlineLevel="0" collapsed="false">
      <c r="A1" s="1" t="s">
        <v>314</v>
      </c>
    </row>
    <row r="2" customFormat="false" ht="15" hidden="false" customHeight="false" outlineLevel="0" collapsed="false">
      <c r="A2" s="10" t="s">
        <v>315</v>
      </c>
    </row>
    <row r="4" customFormat="false" ht="15" hidden="false" customHeight="false" outlineLevel="0" collapsed="false">
      <c r="A4" s="2" t="s">
        <v>316</v>
      </c>
      <c r="B4" s="11" t="n">
        <v>3</v>
      </c>
      <c r="D4" s="8" t="s">
        <v>317</v>
      </c>
      <c r="E4" s="8" t="s">
        <v>19</v>
      </c>
    </row>
    <row r="5" customFormat="false" ht="15" hidden="false" customHeight="false" outlineLevel="0" collapsed="false">
      <c r="A5" s="2" t="s">
        <v>318</v>
      </c>
      <c r="B5" s="11" t="n">
        <v>4</v>
      </c>
      <c r="D5" s="15" t="n">
        <f aca="false">$B$6*0/100</f>
        <v>0</v>
      </c>
      <c r="E5" s="24" t="n">
        <f aca="false">$B$4*SQRT(D5)+$B$5*SQRT($B$6-D5)</f>
        <v>40</v>
      </c>
    </row>
    <row r="6" customFormat="false" ht="15" hidden="false" customHeight="false" outlineLevel="0" collapsed="false">
      <c r="A6" s="2" t="s">
        <v>319</v>
      </c>
      <c r="B6" s="11" t="n">
        <v>100</v>
      </c>
      <c r="D6" s="15" t="n">
        <f aca="false">$B$6*1/100</f>
        <v>1</v>
      </c>
      <c r="E6" s="24" t="n">
        <f aca="false">$B$4*SQRT(D6)+$B$5*SQRT($B$6-D6)</f>
        <v>42.7994974842648</v>
      </c>
    </row>
    <row r="7" customFormat="false" ht="15" hidden="false" customHeight="false" outlineLevel="0" collapsed="false">
      <c r="D7" s="15" t="n">
        <f aca="false">$B$6*2/100</f>
        <v>2</v>
      </c>
      <c r="E7" s="24" t="n">
        <f aca="false">$B$4*SQRT(D7)+$B$5*SQRT($B$6-D7)</f>
        <v>43.8406204335659</v>
      </c>
    </row>
    <row r="8" customFormat="false" ht="15" hidden="false" customHeight="false" outlineLevel="0" collapsed="false">
      <c r="A8" s="2" t="s">
        <v>320</v>
      </c>
      <c r="B8" s="12" t="n">
        <f aca="false">B6*B4^2/(B4^2+B5^2)</f>
        <v>36</v>
      </c>
      <c r="D8" s="15" t="n">
        <f aca="false">$B$6*3/100</f>
        <v>3</v>
      </c>
      <c r="E8" s="24" t="n">
        <f aca="false">$B$4*SQRT(D8)+$B$5*SQRT($B$6-D8)</f>
        <v>44.5915836298911</v>
      </c>
    </row>
    <row r="9" customFormat="false" ht="15" hidden="false" customHeight="false" outlineLevel="0" collapsed="false">
      <c r="A9" s="2" t="s">
        <v>321</v>
      </c>
      <c r="B9" s="12" t="n">
        <f aca="false">B6-B8</f>
        <v>64</v>
      </c>
      <c r="D9" s="15" t="n">
        <f aca="false">$B$6*4/100</f>
        <v>4</v>
      </c>
      <c r="E9" s="24" t="n">
        <f aca="false">$B$4*SQRT(D9)+$B$5*SQRT($B$6-D9)</f>
        <v>45.1918358845308</v>
      </c>
    </row>
    <row r="10" customFormat="false" ht="15" hidden="false" customHeight="false" outlineLevel="0" collapsed="false">
      <c r="A10" s="2" t="s">
        <v>19</v>
      </c>
      <c r="B10" s="12" t="n">
        <f aca="false">B4*SQRT(B8)+B5*SQRT(B9)</f>
        <v>50</v>
      </c>
      <c r="D10" s="15" t="n">
        <f aca="false">$B$6*5/100</f>
        <v>5</v>
      </c>
      <c r="E10" s="24" t="n">
        <f aca="false">$B$4*SQRT(D10)+$B$5*SQRT($B$6-D10)</f>
        <v>45.6953813117352</v>
      </c>
    </row>
    <row r="11" customFormat="false" ht="15" hidden="false" customHeight="false" outlineLevel="0" collapsed="false">
      <c r="A11" s="2" t="s">
        <v>322</v>
      </c>
      <c r="B11" s="36" t="n">
        <f aca="false">B4/(2*SQRT(B8))</f>
        <v>0.25</v>
      </c>
      <c r="D11" s="15" t="n">
        <f aca="false">$B$6*6/100</f>
        <v>6</v>
      </c>
      <c r="E11" s="24" t="n">
        <f aca="false">$B$4*SQRT(D11)+$B$5*SQRT($B$6-D11)</f>
        <v>46.1299080876802</v>
      </c>
    </row>
    <row r="12" customFormat="false" ht="15" hidden="false" customHeight="false" outlineLevel="0" collapsed="false">
      <c r="A12" s="2" t="s">
        <v>323</v>
      </c>
      <c r="B12" s="36" t="n">
        <f aca="false">B5/(2*SQRT(B9))</f>
        <v>0.25</v>
      </c>
      <c r="D12" s="15" t="n">
        <f aca="false">$B$6*7/100</f>
        <v>7</v>
      </c>
      <c r="E12" s="24" t="n">
        <f aca="false">$B$4*SQRT(D12)+$B$5*SQRT($B$6-D12)</f>
        <v>46.5118569771656</v>
      </c>
    </row>
    <row r="13" customFormat="false" ht="15" hidden="false" customHeight="false" outlineLevel="0" collapsed="false">
      <c r="A13" s="2" t="s">
        <v>324</v>
      </c>
      <c r="B13" s="36" t="n">
        <f aca="false">B11</f>
        <v>0.25</v>
      </c>
      <c r="D13" s="15" t="n">
        <f aca="false">$B$6*8/100</f>
        <v>8</v>
      </c>
      <c r="E13" s="24" t="n">
        <f aca="false">$B$4*SQRT(D13)+$B$5*SQRT($B$6-D13)</f>
        <v>46.8519335607403</v>
      </c>
    </row>
    <row r="14" customFormat="false" ht="15" hidden="false" customHeight="false" outlineLevel="0" collapsed="false">
      <c r="A14" s="2" t="s">
        <v>325</v>
      </c>
      <c r="B14" s="12" t="n">
        <f aca="false">SQRT(B4^2+B5^2)*SQRT(B6)</f>
        <v>50</v>
      </c>
      <c r="D14" s="15" t="n">
        <f aca="false">$B$6*9/100</f>
        <v>9</v>
      </c>
      <c r="E14" s="24" t="n">
        <f aca="false">$B$4*SQRT(D14)+$B$5*SQRT($B$6-D14)</f>
        <v>47.1575680566778</v>
      </c>
    </row>
    <row r="15" customFormat="false" ht="15" hidden="false" customHeight="false" outlineLevel="0" collapsed="false">
      <c r="A15" s="2" t="s">
        <v>326</v>
      </c>
      <c r="B15" s="36" t="n">
        <f aca="false">SQRT(B4^2+B5^2)/(2*SQRT(B6))</f>
        <v>0.25</v>
      </c>
      <c r="D15" s="15" t="n">
        <f aca="false">$B$6*10/100</f>
        <v>10</v>
      </c>
      <c r="E15" s="24" t="n">
        <f aca="false">$B$4*SQRT(D15)+$B$5*SQRT($B$6-D15)</f>
        <v>47.4341649025257</v>
      </c>
    </row>
    <row r="16" customFormat="false" ht="15" hidden="false" customHeight="false" outlineLevel="0" collapsed="false">
      <c r="A16" s="2" t="s">
        <v>327</v>
      </c>
      <c r="B16" s="36" t="n">
        <f aca="false">SQRT(B4^2+B5^2)*(SQRT(B6+1)-SQRT(B6))</f>
        <v>0.24937810560445</v>
      </c>
      <c r="D16" s="15" t="n">
        <f aca="false">$B$6*11/100</f>
        <v>11</v>
      </c>
      <c r="E16" s="24" t="n">
        <f aca="false">$B$4*SQRT(D16)+$B$5*SQRT($B$6-D16)</f>
        <v>47.6857988992926</v>
      </c>
    </row>
    <row r="17" customFormat="false" ht="15" hidden="false" customHeight="false" outlineLevel="0" collapsed="false">
      <c r="D17" s="15" t="n">
        <f aca="false">$B$6*12/100</f>
        <v>12</v>
      </c>
      <c r="E17" s="24" t="n">
        <f aca="false">$B$4*SQRT(D17)+$B$5*SQRT($B$6-D17)</f>
        <v>47.9156309240007</v>
      </c>
    </row>
    <row r="18" customFormat="false" ht="15" hidden="false" customHeight="false" outlineLevel="0" collapsed="false">
      <c r="A18" s="2" t="s">
        <v>328</v>
      </c>
      <c r="B18" s="15" t="n">
        <f aca="false">INDEX(D5:D105,MATCH(MAX(E5:E105),E5:E105,0))</f>
        <v>36</v>
      </c>
      <c r="D18" s="15" t="n">
        <f aca="false">$B$6*13/100</f>
        <v>13</v>
      </c>
      <c r="E18" s="24" t="n">
        <f aca="false">$B$4*SQRT(D18)+$B$5*SQRT($B$6-D18)</f>
        <v>48.1261700387472</v>
      </c>
    </row>
    <row r="19" customFormat="false" ht="15" hidden="false" customHeight="false" outlineLevel="0" collapsed="false">
      <c r="A19" s="2" t="s">
        <v>329</v>
      </c>
      <c r="B19" s="12" t="n">
        <f aca="false">MAX(E5:E105)</f>
        <v>50</v>
      </c>
      <c r="D19" s="15" t="n">
        <f aca="false">$B$6*14/100</f>
        <v>14</v>
      </c>
      <c r="E19" s="24" t="n">
        <f aca="false">$B$4*SQRT(D19)+$B$5*SQRT($B$6-D19)</f>
        <v>48.3194461423046</v>
      </c>
    </row>
    <row r="20" customFormat="false" ht="15" hidden="false" customHeight="false" outlineLevel="0" collapsed="false">
      <c r="D20" s="15" t="n">
        <f aca="false">$B$6*15/100</f>
        <v>15</v>
      </c>
      <c r="E20" s="24" t="n">
        <f aca="false">$B$4*SQRT(D20)+$B$5*SQRT($B$6-D20)</f>
        <v>48.4971278677938</v>
      </c>
    </row>
    <row r="21" customFormat="false" ht="15" hidden="false" customHeight="false" outlineLevel="0" collapsed="false">
      <c r="D21" s="15" t="n">
        <f aca="false">$B$6*16/100</f>
        <v>16</v>
      </c>
      <c r="E21" s="24" t="n">
        <f aca="false">$B$4*SQRT(D21)+$B$5*SQRT($B$6-D21)</f>
        <v>48.6606055596467</v>
      </c>
    </row>
    <row r="22" customFormat="false" ht="15" hidden="false" customHeight="false" outlineLevel="0" collapsed="false">
      <c r="D22" s="15" t="n">
        <f aca="false">$B$6*17/100</f>
        <v>17</v>
      </c>
      <c r="E22" s="24" t="n">
        <f aca="false">$B$4*SQRT(D22)+$B$5*SQRT($B$6-D22)</f>
        <v>48.8110511934302</v>
      </c>
    </row>
    <row r="23" customFormat="false" ht="15" hidden="false" customHeight="false" outlineLevel="0" collapsed="false">
      <c r="D23" s="15" t="n">
        <f aca="false">$B$6*18/100</f>
        <v>18</v>
      </c>
      <c r="E23" s="24" t="n">
        <f aca="false">$B$4*SQRT(D23)+$B$5*SQRT($B$6-D23)</f>
        <v>48.9494626139075</v>
      </c>
    </row>
    <row r="24" customFormat="false" ht="15" hidden="false" customHeight="false" outlineLevel="0" collapsed="false">
      <c r="D24" s="15" t="n">
        <f aca="false">$B$6*19/100</f>
        <v>19</v>
      </c>
      <c r="E24" s="24" t="n">
        <f aca="false">$B$4*SQRT(D24)+$B$5*SQRT($B$6-D24)</f>
        <v>49.076696830622</v>
      </c>
    </row>
    <row r="25" customFormat="false" ht="15" hidden="false" customHeight="false" outlineLevel="0" collapsed="false">
      <c r="D25" s="15" t="n">
        <f aca="false">$B$6*20/100</f>
        <v>20</v>
      </c>
      <c r="E25" s="24" t="n">
        <f aca="false">$B$4*SQRT(D25)+$B$5*SQRT($B$6-D25)</f>
        <v>49.1934955049954</v>
      </c>
    </row>
    <row r="26" customFormat="false" ht="15" hidden="false" customHeight="false" outlineLevel="0" collapsed="false">
      <c r="D26" s="15" t="n">
        <f aca="false">$B$6*21/100</f>
        <v>21</v>
      </c>
      <c r="E26" s="24" t="n">
        <f aca="false">$B$4*SQRT(D26)+$B$5*SQRT($B$6-D26)</f>
        <v>49.3005047541299</v>
      </c>
    </row>
    <row r="27" customFormat="false" ht="15" hidden="false" customHeight="false" outlineLevel="0" collapsed="false">
      <c r="D27" s="15" t="n">
        <f aca="false">$B$6*22/100</f>
        <v>22</v>
      </c>
      <c r="E27" s="24" t="n">
        <f aca="false">$B$4*SQRT(D27)+$B$5*SQRT($B$6-D27)</f>
        <v>49.3982907447817</v>
      </c>
    </row>
    <row r="28" customFormat="false" ht="15" hidden="false" customHeight="false" outlineLevel="0" collapsed="false">
      <c r="D28" s="15" t="n">
        <f aca="false">$B$6*23/100</f>
        <v>23</v>
      </c>
      <c r="E28" s="24" t="n">
        <f aca="false">$B$4*SQRT(D28)+$B$5*SQRT($B$6-D28)</f>
        <v>49.4873521195066</v>
      </c>
    </row>
    <row r="29" customFormat="false" ht="15" hidden="false" customHeight="false" outlineLevel="0" collapsed="false">
      <c r="D29" s="15" t="n">
        <f aca="false">$B$6*24/100</f>
        <v>24</v>
      </c>
      <c r="E29" s="24" t="n">
        <f aca="false">$B$4*SQRT(D29)+$B$5*SQRT($B$6-D29)</f>
        <v>49.5681300050245</v>
      </c>
    </row>
    <row r="30" customFormat="false" ht="15" hidden="false" customHeight="false" outlineLevel="0" collapsed="false">
      <c r="D30" s="15" t="n">
        <f aca="false">$B$6*25/100</f>
        <v>25</v>
      </c>
      <c r="E30" s="24" t="n">
        <f aca="false">$B$4*SQRT(D30)+$B$5*SQRT($B$6-D30)</f>
        <v>49.6410161513776</v>
      </c>
    </row>
    <row r="31" customFormat="false" ht="15" hidden="false" customHeight="false" outlineLevel="0" collapsed="false">
      <c r="D31" s="15" t="n">
        <f aca="false">$B$6*26/100</f>
        <v>26</v>
      </c>
      <c r="E31" s="24" t="n">
        <f aca="false">$B$4*SQRT(D31)+$B$5*SQRT($B$6-D31)</f>
        <v>49.7063596089489</v>
      </c>
    </row>
    <row r="32" customFormat="false" ht="15" hidden="false" customHeight="false" outlineLevel="0" collapsed="false">
      <c r="D32" s="15" t="n">
        <f aca="false">$B$6*27/100</f>
        <v>27</v>
      </c>
      <c r="E32" s="24" t="n">
        <f aca="false">$B$4*SQRT(D32)+$B$5*SQRT($B$6-D32)</f>
        <v>49.76447224939</v>
      </c>
    </row>
    <row r="33" customFormat="false" ht="15" hidden="false" customHeight="false" outlineLevel="0" collapsed="false">
      <c r="D33" s="15" t="n">
        <f aca="false">$B$6*28/100</f>
        <v>28</v>
      </c>
      <c r="E33" s="24" t="n">
        <f aca="false">$B$4*SQRT(D33)+$B$5*SQRT($B$6-D33)</f>
        <v>49.8156333633418</v>
      </c>
    </row>
    <row r="34" customFormat="false" ht="15" hidden="false" customHeight="false" outlineLevel="0" collapsed="false">
      <c r="D34" s="15" t="n">
        <f aca="false">$B$6*29/100</f>
        <v>29</v>
      </c>
      <c r="E34" s="24" t="n">
        <f aca="false">$B$4*SQRT(D34)+$B$5*SQRT($B$6-D34)</f>
        <v>49.860093514109</v>
      </c>
    </row>
    <row r="35" customFormat="false" ht="15" hidden="false" customHeight="false" outlineLevel="0" collapsed="false">
      <c r="D35" s="15" t="n">
        <f aca="false">$B$6*30/100</f>
        <v>30</v>
      </c>
      <c r="E35" s="24" t="n">
        <f aca="false">$B$4*SQRT(D35)+$B$5*SQRT($B$6-D35)</f>
        <v>49.898077786518</v>
      </c>
    </row>
    <row r="36" customFormat="false" ht="15" hidden="false" customHeight="false" outlineLevel="0" collapsed="false">
      <c r="D36" s="15" t="n">
        <f aca="false">$B$6*31/100</f>
        <v>31</v>
      </c>
      <c r="E36" s="24" t="n">
        <f aca="false">$B$4*SQRT(D36)+$B$5*SQRT($B$6-D36)</f>
        <v>49.9297885401624</v>
      </c>
    </row>
    <row r="37" customFormat="false" ht="15" hidden="false" customHeight="false" outlineLevel="0" collapsed="false">
      <c r="D37" s="15" t="n">
        <f aca="false">$B$6*32/100</f>
        <v>32</v>
      </c>
      <c r="E37" s="24" t="n">
        <f aca="false">$B$4*SQRT(D37)+$B$5*SQRT($B$6-D37)</f>
        <v>49.9554077534184</v>
      </c>
    </row>
    <row r="38" customFormat="false" ht="15" hidden="false" customHeight="false" outlineLevel="0" collapsed="false">
      <c r="D38" s="15" t="n">
        <f aca="false">$B$6*33/100</f>
        <v>33</v>
      </c>
      <c r="E38" s="24" t="n">
        <f aca="false">$B$4*SQRT(D38)+$B$5*SQRT($B$6-D38)</f>
        <v>49.9750990271039</v>
      </c>
    </row>
    <row r="39" customFormat="false" ht="15" hidden="false" customHeight="false" outlineLevel="0" collapsed="false">
      <c r="D39" s="15" t="n">
        <f aca="false">$B$6*34/100</f>
        <v>34</v>
      </c>
      <c r="E39" s="24" t="n">
        <f aca="false">$B$4*SQRT(D39)+$B$5*SQRT($B$6-D39)</f>
        <v>49.9890093030798</v>
      </c>
    </row>
    <row r="40" customFormat="false" ht="15" hidden="false" customHeight="false" outlineLevel="0" collapsed="false">
      <c r="D40" s="15" t="n">
        <f aca="false">$B$6*35/100</f>
        <v>35</v>
      </c>
      <c r="E40" s="24" t="n">
        <f aca="false">$B$4*SQRT(D40)+$B$5*SQRT($B$6-D40)</f>
        <v>49.997270342493</v>
      </c>
    </row>
    <row r="41" customFormat="false" ht="15" hidden="false" customHeight="false" outlineLevel="0" collapsed="false">
      <c r="D41" s="15" t="n">
        <f aca="false">$B$6*36/100</f>
        <v>36</v>
      </c>
      <c r="E41" s="24" t="n">
        <f aca="false">$B$4*SQRT(D41)+$B$5*SQRT($B$6-D41)</f>
        <v>50</v>
      </c>
    </row>
    <row r="42" customFormat="false" ht="15" hidden="false" customHeight="false" outlineLevel="0" collapsed="false">
      <c r="D42" s="15" t="n">
        <f aca="false">$B$6*37/100</f>
        <v>37</v>
      </c>
      <c r="E42" s="24" t="n">
        <f aca="false">$B$4*SQRT(D42)+$B$5*SQRT($B$6-D42)</f>
        <v>49.9973033236698</v>
      </c>
    </row>
    <row r="43" customFormat="false" ht="15" hidden="false" customHeight="false" outlineLevel="0" collapsed="false">
      <c r="D43" s="15" t="n">
        <f aca="false">$B$6*38/100</f>
        <v>38</v>
      </c>
      <c r="E43" s="24" t="n">
        <f aca="false">$B$4*SQRT(D43)+$B$5*SQRT($B$6-D43)</f>
        <v>49.9892735049542</v>
      </c>
    </row>
    <row r="44" customFormat="false" ht="15" hidden="false" customHeight="false" outlineLevel="0" collapsed="false">
      <c r="D44" s="15" t="n">
        <f aca="false">$B$6*39/100</f>
        <v>39</v>
      </c>
      <c r="E44" s="24" t="n">
        <f aca="false">$B$4*SQRT(D44)+$B$5*SQRT($B$6-D44)</f>
        <v>49.9759926988218</v>
      </c>
    </row>
    <row r="45" customFormat="false" ht="15" hidden="false" customHeight="false" outlineLevel="0" collapsed="false">
      <c r="D45" s="15" t="n">
        <f aca="false">$B$6*40/100</f>
        <v>40</v>
      </c>
      <c r="E45" s="24" t="n">
        <f aca="false">$B$4*SQRT(D45)+$B$5*SQRT($B$6-D45)</f>
        <v>49.9575327306696</v>
      </c>
    </row>
    <row r="46" customFormat="false" ht="15" hidden="false" customHeight="false" outlineLevel="0" collapsed="false">
      <c r="D46" s="15" t="n">
        <f aca="false">$B$6*41/100</f>
        <v>41</v>
      </c>
      <c r="E46" s="24" t="n">
        <f aca="false">$B$4*SQRT(D46)+$B$5*SQRT($B$6-D46)</f>
        <v>49.933955703773</v>
      </c>
    </row>
    <row r="47" customFormat="false" ht="15" hidden="false" customHeight="false" outlineLevel="0" collapsed="false">
      <c r="D47" s="15" t="n">
        <f aca="false">$B$6*42/100</f>
        <v>42</v>
      </c>
      <c r="E47" s="24" t="n">
        <f aca="false">$B$4*SQRT(D47)+$B$5*SQRT($B$6-D47)</f>
        <v>49.9053145186792</v>
      </c>
    </row>
    <row r="48" customFormat="false" ht="15" hidden="false" customHeight="false" outlineLevel="0" collapsed="false">
      <c r="D48" s="15" t="n">
        <f aca="false">$B$6*43/100</f>
        <v>43</v>
      </c>
      <c r="E48" s="24" t="n">
        <f aca="false">$B$4*SQRT(D48)+$B$5*SQRT($B$6-D48)</f>
        <v>49.871653313989</v>
      </c>
    </row>
    <row r="49" customFormat="false" ht="15" hidden="false" customHeight="false" outlineLevel="0" collapsed="false">
      <c r="D49" s="15" t="n">
        <f aca="false">$B$6*44/100</f>
        <v>44</v>
      </c>
      <c r="E49" s="24" t="n">
        <f aca="false">$B$4*SQRT(D49)+$B$5*SQRT($B$6-D49)</f>
        <v>49.8330078363239</v>
      </c>
    </row>
    <row r="50" customFormat="false" ht="15" hidden="false" customHeight="false" outlineLevel="0" collapsed="false">
      <c r="D50" s="15" t="n">
        <f aca="false">$B$6*45/100</f>
        <v>45</v>
      </c>
      <c r="E50" s="24" t="n">
        <f aca="false">$B$4*SQRT(D50)+$B$5*SQRT($B$6-D50)</f>
        <v>49.7894057458808</v>
      </c>
    </row>
    <row r="51" customFormat="false" ht="15" hidden="false" customHeight="false" outlineLevel="0" collapsed="false">
      <c r="D51" s="15" t="n">
        <f aca="false">$B$6*46/100</f>
        <v>46</v>
      </c>
      <c r="E51" s="24" t="n">
        <f aca="false">$B$4*SQRT(D51)+$B$5*SQRT($B$6-D51)</f>
        <v>49.7408668627739</v>
      </c>
    </row>
    <row r="52" customFormat="false" ht="15" hidden="false" customHeight="false" outlineLevel="0" collapsed="false">
      <c r="D52" s="15" t="n">
        <f aca="false">$B$6*47/100</f>
        <v>47</v>
      </c>
      <c r="E52" s="24" t="n">
        <f aca="false">$B$4*SQRT(D52)+$B$5*SQRT($B$6-D52)</f>
        <v>49.6874033583252</v>
      </c>
    </row>
    <row r="53" customFormat="false" ht="15" hidden="false" customHeight="false" outlineLevel="0" collapsed="false">
      <c r="D53" s="15" t="n">
        <f aca="false">$B$6*48/100</f>
        <v>48</v>
      </c>
      <c r="E53" s="24" t="n">
        <f aca="false">$B$4*SQRT(D53)+$B$5*SQRT($B$6-D53)</f>
        <v>49.6290198945384</v>
      </c>
    </row>
    <row r="54" customFormat="false" ht="15" hidden="false" customHeight="false" outlineLevel="0" collapsed="false">
      <c r="D54" s="15" t="n">
        <f aca="false">$B$6*49/100</f>
        <v>49</v>
      </c>
      <c r="E54" s="24" t="n">
        <f aca="false">$B$4*SQRT(D54)+$B$5*SQRT($B$6-D54)</f>
        <v>49.5657137141714</v>
      </c>
    </row>
    <row r="55" customFormat="false" ht="15" hidden="false" customHeight="false" outlineLevel="0" collapsed="false">
      <c r="D55" s="15" t="n">
        <f aca="false">$B$6*50/100</f>
        <v>50</v>
      </c>
      <c r="E55" s="24" t="n">
        <f aca="false">$B$4*SQRT(D55)+$B$5*SQRT($B$6-D55)</f>
        <v>49.4974746830583</v>
      </c>
    </row>
    <row r="56" customFormat="false" ht="15" hidden="false" customHeight="false" outlineLevel="0" collapsed="false">
      <c r="D56" s="15" t="n">
        <f aca="false">$B$6*51/100</f>
        <v>51</v>
      </c>
      <c r="E56" s="24" t="n">
        <f aca="false">$B$4*SQRT(D56)+$B$5*SQRT($B$6-D56)</f>
        <v>49.4242852856286</v>
      </c>
    </row>
    <row r="57" customFormat="false" ht="15" hidden="false" customHeight="false" outlineLevel="0" collapsed="false">
      <c r="D57" s="15" t="n">
        <f aca="false">$B$6*52/100</f>
        <v>52</v>
      </c>
      <c r="E57" s="24" t="n">
        <f aca="false">$B$4*SQRT(D57)+$B$5*SQRT($B$6-D57)</f>
        <v>49.346120573886</v>
      </c>
    </row>
    <row r="58" customFormat="false" ht="15" hidden="false" customHeight="false" outlineLevel="0" collapsed="false">
      <c r="D58" s="15" t="n">
        <f aca="false">$B$6*53/100</f>
        <v>53</v>
      </c>
      <c r="E58" s="24" t="n">
        <f aca="false">$B$4*SQRT(D58)+$B$5*SQRT($B$6-D58)</f>
        <v>49.2629480694457</v>
      </c>
    </row>
    <row r="59" customFormat="false" ht="15" hidden="false" customHeight="false" outlineLevel="0" collapsed="false">
      <c r="D59" s="15" t="n">
        <f aca="false">$B$6*54/100</f>
        <v>54</v>
      </c>
      <c r="E59" s="24" t="n">
        <f aca="false">$B$4*SQRT(D59)+$B$5*SQRT($B$6-D59)</f>
        <v>49.1747276175497</v>
      </c>
    </row>
    <row r="60" customFormat="false" ht="15" hidden="false" customHeight="false" outlineLevel="0" collapsed="false">
      <c r="D60" s="15" t="n">
        <f aca="false">$B$6*55/100</f>
        <v>55</v>
      </c>
      <c r="E60" s="24" t="n">
        <f aca="false">$B$4*SQRT(D60)+$B$5*SQRT($B$6-D60)</f>
        <v>49.0814111912845</v>
      </c>
    </row>
    <row r="61" customFormat="false" ht="15" hidden="false" customHeight="false" outlineLevel="0" collapsed="false">
      <c r="D61" s="15" t="n">
        <f aca="false">$B$6*56/100</f>
        <v>56</v>
      </c>
      <c r="E61" s="24" t="n">
        <f aca="false">$B$4*SQRT(D61)+$B$5*SQRT($B$6-D61)</f>
        <v>48.9829426434869</v>
      </c>
    </row>
    <row r="62" customFormat="false" ht="15" hidden="false" customHeight="false" outlineLevel="0" collapsed="false">
      <c r="D62" s="15" t="n">
        <f aca="false">$B$6*57/100</f>
        <v>57</v>
      </c>
      <c r="E62" s="24" t="n">
        <f aca="false">$B$4*SQRT(D62)+$B$5*SQRT($B$6-D62)</f>
        <v>48.8792574030203</v>
      </c>
    </row>
    <row r="63" customFormat="false" ht="15" hidden="false" customHeight="false" outlineLevel="0" collapsed="false">
      <c r="D63" s="15" t="n">
        <f aca="false">$B$6*58/100</f>
        <v>58</v>
      </c>
      <c r="E63" s="24" t="n">
        <f aca="false">$B$4*SQRT(D63)+$B$5*SQRT($B$6-D63)</f>
        <v>48.7702821112232</v>
      </c>
    </row>
    <row r="64" customFormat="false" ht="15" hidden="false" customHeight="false" outlineLevel="0" collapsed="false">
      <c r="D64" s="15" t="n">
        <f aca="false">$B$6*59/100</f>
        <v>59</v>
      </c>
      <c r="E64" s="24" t="n">
        <f aca="false">$B$4*SQRT(D64)+$B$5*SQRT($B$6-D64)</f>
        <v>48.6559341933372</v>
      </c>
    </row>
    <row r="65" customFormat="false" ht="15" hidden="false" customHeight="false" outlineLevel="0" collapsed="false">
      <c r="D65" s="15" t="n">
        <f aca="false">$B$6*60/100</f>
        <v>60</v>
      </c>
      <c r="E65" s="24" t="n">
        <f aca="false">$B$4*SQRT(D65)+$B$5*SQRT($B$6-D65)</f>
        <v>48.5361213585915</v>
      </c>
    </row>
    <row r="66" customFormat="false" ht="15" hidden="false" customHeight="false" outlineLevel="0" collapsed="false">
      <c r="D66" s="15" t="n">
        <f aca="false">$B$6*61/100</f>
        <v>61</v>
      </c>
      <c r="E66" s="24" t="n">
        <f aca="false">$B$4*SQRT(D66)+$B$5*SQRT($B$6-D66)</f>
        <v>48.4107410213136</v>
      </c>
    </row>
    <row r="67" customFormat="false" ht="15" hidden="false" customHeight="false" outlineLevel="0" collapsed="false">
      <c r="D67" s="15" t="n">
        <f aca="false">$B$6*62/100</f>
        <v>62</v>
      </c>
      <c r="E67" s="24" t="n">
        <f aca="false">$B$4*SQRT(D67)+$B$5*SQRT($B$6-D67)</f>
        <v>48.2796796339113</v>
      </c>
    </row>
    <row r="68" customFormat="false" ht="15" hidden="false" customHeight="false" outlineLevel="0" collapsed="false">
      <c r="D68" s="15" t="n">
        <f aca="false">$B$6*63/100</f>
        <v>63</v>
      </c>
      <c r="E68" s="24" t="n">
        <f aca="false">$B$4*SQRT(D68)+$B$5*SQRT($B$6-D68)</f>
        <v>48.1428119207742</v>
      </c>
    </row>
    <row r="69" customFormat="false" ht="15" hidden="false" customHeight="false" outlineLevel="0" collapsed="false">
      <c r="D69" s="15" t="n">
        <f aca="false">$B$6*64/100</f>
        <v>64</v>
      </c>
      <c r="E69" s="24" t="n">
        <f aca="false">$B$4*SQRT(D69)+$B$5*SQRT($B$6-D69)</f>
        <v>48</v>
      </c>
    </row>
    <row r="70" customFormat="false" ht="15" hidden="false" customHeight="false" outlineLevel="0" collapsed="false">
      <c r="D70" s="15" t="n">
        <f aca="false">$B$6*65/100</f>
        <v>65</v>
      </c>
      <c r="E70" s="24" t="n">
        <f aca="false">$B$4*SQRT(D70)+$B$5*SQRT($B$6-D70)</f>
        <v>47.8510923772941</v>
      </c>
    </row>
    <row r="71" customFormat="false" ht="15" hidden="false" customHeight="false" outlineLevel="0" collapsed="false">
      <c r="D71" s="15" t="n">
        <f aca="false">$B$6*66/100</f>
        <v>66</v>
      </c>
      <c r="E71" s="24" t="n">
        <f aca="false">$B$4*SQRT(D71)+$B$5*SQRT($B$6-D71)</f>
        <v>47.6959227932891</v>
      </c>
    </row>
    <row r="72" customFormat="false" ht="15" hidden="false" customHeight="false" outlineLevel="0" collapsed="false">
      <c r="D72" s="15" t="n">
        <f aca="false">$B$6*67/100</f>
        <v>67</v>
      </c>
      <c r="E72" s="24" t="n">
        <f aca="false">$B$4*SQRT(D72)+$B$5*SQRT($B$6-D72)</f>
        <v>47.5343089017695</v>
      </c>
    </row>
    <row r="73" customFormat="false" ht="15" hidden="false" customHeight="false" outlineLevel="0" collapsed="false">
      <c r="D73" s="15" t="n">
        <f aca="false">$B$6*68/100</f>
        <v>68</v>
      </c>
      <c r="E73" s="24" t="n">
        <f aca="false">$B$4*SQRT(D73)+$B$5*SQRT($B$6-D73)</f>
        <v>47.3660507516755</v>
      </c>
    </row>
    <row r="74" customFormat="false" ht="15" hidden="false" customHeight="false" outlineLevel="0" collapsed="false">
      <c r="D74" s="15" t="n">
        <f aca="false">$B$6*69/100</f>
        <v>69</v>
      </c>
      <c r="E74" s="24" t="n">
        <f aca="false">$B$4*SQRT(D74)+$B$5*SQRT($B$6-D74)</f>
        <v>47.1909290400743</v>
      </c>
    </row>
    <row r="75" customFormat="false" ht="15" hidden="false" customHeight="false" outlineLevel="0" collapsed="false">
      <c r="D75" s="15" t="n">
        <f aca="false">$B$6*70/100</f>
        <v>70</v>
      </c>
      <c r="E75" s="24" t="n">
        <f aca="false">$B$4*SQRT(D75)+$B$5*SQRT($B$6-D75)</f>
        <v>47.0087030962289</v>
      </c>
    </row>
    <row r="76" customFormat="false" ht="15" hidden="false" customHeight="false" outlineLevel="0" collapsed="false">
      <c r="D76" s="15" t="n">
        <f aca="false">$B$6*71/100</f>
        <v>71</v>
      </c>
      <c r="E76" s="24" t="n">
        <f aca="false">$B$4*SQRT(D76)+$B$5*SQRT($B$6-D76)</f>
        <v>46.8191085480671</v>
      </c>
    </row>
    <row r="77" customFormat="false" ht="15" hidden="false" customHeight="false" outlineLevel="0" collapsed="false">
      <c r="D77" s="15" t="n">
        <f aca="false">$B$6*72/100</f>
        <v>72</v>
      </c>
      <c r="E77" s="24" t="n">
        <f aca="false">$B$4*SQRT(D77)+$B$5*SQRT($B$6-D77)</f>
        <v>46.6218546112324</v>
      </c>
    </row>
    <row r="78" customFormat="false" ht="15" hidden="false" customHeight="false" outlineLevel="0" collapsed="false">
      <c r="D78" s="15" t="n">
        <f aca="false">$B$6*73/100</f>
        <v>73</v>
      </c>
      <c r="E78" s="24" t="n">
        <f aca="false">$B$4*SQRT(D78)+$B$5*SQRT($B$6-D78)</f>
        <v>46.4166209267791</v>
      </c>
    </row>
    <row r="79" customFormat="false" ht="15" hidden="false" customHeight="false" outlineLevel="0" collapsed="false">
      <c r="D79" s="15" t="n">
        <f aca="false">$B$6*74/100</f>
        <v>74</v>
      </c>
      <c r="E79" s="24" t="n">
        <f aca="false">$B$4*SQRT(D79)+$B$5*SQRT($B$6-D79)</f>
        <v>46.203053855499</v>
      </c>
    </row>
    <row r="80" customFormat="false" ht="15" hidden="false" customHeight="false" outlineLevel="0" collapsed="false">
      <c r="D80" s="15" t="n">
        <f aca="false">$B$6*75/100</f>
        <v>75</v>
      </c>
      <c r="E80" s="24" t="n">
        <f aca="false">$B$4*SQRT(D80)+$B$5*SQRT($B$6-D80)</f>
        <v>45.9807621135332</v>
      </c>
    </row>
    <row r="81" customFormat="false" ht="15" hidden="false" customHeight="false" outlineLevel="0" collapsed="false">
      <c r="D81" s="15" t="n">
        <f aca="false">$B$6*76/100</f>
        <v>76</v>
      </c>
      <c r="E81" s="24" t="n">
        <f aca="false">$B$4*SQRT(D81)+$B$5*SQRT($B$6-D81)</f>
        <v>45.7493116035095</v>
      </c>
    </row>
    <row r="82" customFormat="false" ht="15" hidden="false" customHeight="false" outlineLevel="0" collapsed="false">
      <c r="D82" s="15" t="n">
        <f aca="false">$B$6*77/100</f>
        <v>77</v>
      </c>
      <c r="E82" s="24" t="n">
        <f aca="false">$B$4*SQRT(D82)+$B$5*SQRT($B$6-D82)</f>
        <v>45.5082192554272</v>
      </c>
    </row>
    <row r="83" customFormat="false" ht="15" hidden="false" customHeight="false" outlineLevel="0" collapsed="false">
      <c r="D83" s="15" t="n">
        <f aca="false">$B$6*78/100</f>
        <v>78</v>
      </c>
      <c r="E83" s="24" t="n">
        <f aca="false">$B$4*SQRT(D83)+$B$5*SQRT($B$6-D83)</f>
        <v>45.2569456382773</v>
      </c>
    </row>
    <row r="84" customFormat="false" ht="15" hidden="false" customHeight="false" outlineLevel="0" collapsed="false">
      <c r="D84" s="15" t="n">
        <f aca="false">$B$6*79/100</f>
        <v>79</v>
      </c>
      <c r="E84" s="24" t="n">
        <f aca="false">$B$4*SQRT(D84)+$B$5*SQRT($B$6-D84)</f>
        <v>44.9948860317701</v>
      </c>
    </row>
    <row r="85" customFormat="false" ht="15" hidden="false" customHeight="false" outlineLevel="0" collapsed="false">
      <c r="D85" s="15" t="n">
        <f aca="false">$B$6*80/100</f>
        <v>80</v>
      </c>
      <c r="E85" s="24" t="n">
        <f aca="false">$B$4*SQRT(D85)+$B$5*SQRT($B$6-D85)</f>
        <v>44.7213595499958</v>
      </c>
    </row>
    <row r="86" customFormat="false" ht="15" hidden="false" customHeight="false" outlineLevel="0" collapsed="false">
      <c r="D86" s="15" t="n">
        <f aca="false">$B$6*81/100</f>
        <v>81</v>
      </c>
      <c r="E86" s="24" t="n">
        <f aca="false">$B$4*SQRT(D86)+$B$5*SQRT($B$6-D86)</f>
        <v>44.4355957741627</v>
      </c>
    </row>
    <row r="87" customFormat="false" ht="15" hidden="false" customHeight="false" outlineLevel="0" collapsed="false">
      <c r="D87" s="15" t="n">
        <f aca="false">$B$6*82/100</f>
        <v>82</v>
      </c>
      <c r="E87" s="24" t="n">
        <f aca="false">$B$4*SQRT(D87)+$B$5*SQRT($B$6-D87)</f>
        <v>44.1367181628894</v>
      </c>
    </row>
    <row r="88" customFormat="false" ht="15" hidden="false" customHeight="false" outlineLevel="0" collapsed="false">
      <c r="D88" s="15" t="n">
        <f aca="false">$B$6*83/100</f>
        <v>83</v>
      </c>
      <c r="E88" s="24" t="n">
        <f aca="false">$B$4*SQRT(D88)+$B$5*SQRT($B$6-D88)</f>
        <v>43.8237232399035</v>
      </c>
    </row>
    <row r="89" customFormat="false" ht="15" hidden="false" customHeight="false" outlineLevel="0" collapsed="false">
      <c r="D89" s="15" t="n">
        <f aca="false">$B$6*84/100</f>
        <v>84</v>
      </c>
      <c r="E89" s="24" t="n">
        <f aca="false">$B$4*SQRT(D89)+$B$5*SQRT($B$6-D89)</f>
        <v>43.495454169735</v>
      </c>
    </row>
    <row r="90" customFormat="false" ht="15" hidden="false" customHeight="false" outlineLevel="0" collapsed="false">
      <c r="D90" s="15" t="n">
        <f aca="false">$B$6*85/100</f>
        <v>85</v>
      </c>
      <c r="E90" s="24" t="n">
        <f aca="false">$B$4*SQRT(D90)+$B$5*SQRT($B$6-D90)</f>
        <v>43.1505667567083</v>
      </c>
    </row>
    <row r="91" customFormat="false" ht="15" hidden="false" customHeight="false" outlineLevel="0" collapsed="false">
      <c r="D91" s="15" t="n">
        <f aca="false">$B$6*86/100</f>
        <v>86</v>
      </c>
      <c r="E91" s="24" t="n">
        <f aca="false">$B$4*SQRT(D91)+$B$5*SQRT($B$6-D91)</f>
        <v>42.7874850335829</v>
      </c>
    </row>
    <row r="92" customFormat="false" ht="15" hidden="false" customHeight="false" outlineLevel="0" collapsed="false">
      <c r="D92" s="15" t="n">
        <f aca="false">$B$6*87/100</f>
        <v>87</v>
      </c>
      <c r="E92" s="24" t="n">
        <f aca="false">$B$4*SQRT(D92)+$B$5*SQRT($B$6-D92)</f>
        <v>42.4043422611224</v>
      </c>
    </row>
    <row r="93" customFormat="false" ht="15" hidden="false" customHeight="false" outlineLevel="0" collapsed="false">
      <c r="D93" s="15" t="n">
        <f aca="false">$B$6*88/100</f>
        <v>88</v>
      </c>
      <c r="E93" s="24" t="n">
        <f aca="false">$B$4*SQRT(D93)+$B$5*SQRT($B$6-D93)</f>
        <v>41.9989010194916</v>
      </c>
    </row>
    <row r="94" customFormat="false" ht="15" hidden="false" customHeight="false" outlineLevel="0" collapsed="false">
      <c r="D94" s="15" t="n">
        <f aca="false">$B$6*89/100</f>
        <v>89</v>
      </c>
      <c r="E94" s="24" t="n">
        <f aca="false">$B$4*SQRT(D94)+$B$5*SQRT($B$6-D94)</f>
        <v>41.5684425575914</v>
      </c>
    </row>
    <row r="95" customFormat="false" ht="15" hidden="false" customHeight="false" outlineLevel="0" collapsed="false">
      <c r="D95" s="15" t="n">
        <f aca="false">$B$6*90/100</f>
        <v>90</v>
      </c>
      <c r="E95" s="24" t="n">
        <f aca="false">$B$4*SQRT(D95)+$B$5*SQRT($B$6-D95)</f>
        <v>41.1096095821889</v>
      </c>
    </row>
    <row r="96" customFormat="false" ht="15" hidden="false" customHeight="false" outlineLevel="0" collapsed="false">
      <c r="D96" s="15" t="n">
        <f aca="false">$B$6*91/100</f>
        <v>91</v>
      </c>
      <c r="E96" s="24" t="n">
        <f aca="false">$B$4*SQRT(D96)+$B$5*SQRT($B$6-D96)</f>
        <v>40.6181760425084</v>
      </c>
    </row>
    <row r="97" customFormat="false" ht="15" hidden="false" customHeight="false" outlineLevel="0" collapsed="false">
      <c r="D97" s="15" t="n">
        <f aca="false">$B$6*92/100</f>
        <v>92</v>
      </c>
      <c r="E97" s="24" t="n">
        <f aca="false">$B$4*SQRT(D97)+$B$5*SQRT($B$6-D97)</f>
        <v>40.0886976388611</v>
      </c>
    </row>
    <row r="98" customFormat="false" ht="15" hidden="false" customHeight="false" outlineLevel="0" collapsed="false">
      <c r="D98" s="15" t="n">
        <f aca="false">$B$6*93/100</f>
        <v>93</v>
      </c>
      <c r="E98" s="24" t="n">
        <f aca="false">$B$4*SQRT(D98)+$B$5*SQRT($B$6-D98)</f>
        <v>39.5139575272372</v>
      </c>
    </row>
    <row r="99" customFormat="false" ht="15" hidden="false" customHeight="false" outlineLevel="0" collapsed="false">
      <c r="D99" s="15" t="n">
        <f aca="false">$B$6*94/100</f>
        <v>94</v>
      </c>
      <c r="E99" s="24" t="n">
        <f aca="false">$B$4*SQRT(D99)+$B$5*SQRT($B$6-D99)</f>
        <v>38.8840381156307</v>
      </c>
    </row>
    <row r="100" customFormat="false" ht="15" hidden="false" customHeight="false" outlineLevel="0" collapsed="false">
      <c r="D100" s="15" t="n">
        <f aca="false">$B$6*95/100</f>
        <v>95</v>
      </c>
      <c r="E100" s="24" t="n">
        <f aca="false">$B$4*SQRT(D100)+$B$5*SQRT($B$6-D100)</f>
        <v>38.1846549444261</v>
      </c>
    </row>
    <row r="101" customFormat="false" ht="15" hidden="false" customHeight="false" outlineLevel="0" collapsed="false">
      <c r="D101" s="15" t="n">
        <f aca="false">$B$6*96/100</f>
        <v>96</v>
      </c>
      <c r="E101" s="24" t="n">
        <f aca="false">$B$4*SQRT(D101)+$B$5*SQRT($B$6-D101)</f>
        <v>37.3938769133981</v>
      </c>
    </row>
    <row r="102" customFormat="false" ht="15" hidden="false" customHeight="false" outlineLevel="0" collapsed="false">
      <c r="D102" s="15" t="n">
        <f aca="false">$B$6*97/100</f>
        <v>97</v>
      </c>
      <c r="E102" s="24" t="n">
        <f aca="false">$B$4*SQRT(D102)+$B$5*SQRT($B$6-D102)</f>
        <v>36.4747766356638</v>
      </c>
    </row>
    <row r="103" customFormat="false" ht="15" hidden="false" customHeight="false" outlineLevel="0" collapsed="false">
      <c r="D103" s="15" t="n">
        <f aca="false">$B$6*98/100</f>
        <v>98</v>
      </c>
      <c r="E103" s="24" t="n">
        <f aca="false">$B$4*SQRT(D103)+$B$5*SQRT($B$6-D103)</f>
        <v>35.3553390593274</v>
      </c>
    </row>
    <row r="104" customFormat="false" ht="15" hidden="false" customHeight="false" outlineLevel="0" collapsed="false">
      <c r="D104" s="15" t="n">
        <f aca="false">$B$6*99/100</f>
        <v>99</v>
      </c>
      <c r="E104" s="24" t="n">
        <f aca="false">$B$4*SQRT(D104)+$B$5*SQRT($B$6-D104)</f>
        <v>33.8496231131986</v>
      </c>
    </row>
    <row r="105" customFormat="false" ht="15" hidden="false" customHeight="false" outlineLevel="0" collapsed="false">
      <c r="D105" s="15" t="n">
        <f aca="false">$B$6*100/100</f>
        <v>100</v>
      </c>
      <c r="E105" s="24" t="n">
        <f aca="false">$B$4*SQRT(D105)+$B$5*SQRT($B$6-D105)</f>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90"/>
  </cols>
  <sheetData>
    <row r="1" customFormat="false" ht="15" hidden="false" customHeight="false" outlineLevel="0" collapsed="false">
      <c r="A1" s="8" t="s">
        <v>330</v>
      </c>
      <c r="B1" s="8" t="s">
        <v>331</v>
      </c>
      <c r="C1" s="8" t="s">
        <v>332</v>
      </c>
    </row>
    <row r="2" customFormat="false" ht="15" hidden="false" customHeight="false" outlineLevel="0" collapsed="false">
      <c r="A2" s="2" t="s">
        <v>194</v>
      </c>
      <c r="B2" s="37" t="n">
        <v>170</v>
      </c>
      <c r="C2" s="2" t="s">
        <v>333</v>
      </c>
    </row>
    <row r="3" customFormat="false" ht="15" hidden="false" customHeight="false" outlineLevel="0" collapsed="false">
      <c r="A3" s="2" t="s">
        <v>334</v>
      </c>
      <c r="B3" s="37" t="n">
        <v>0.667576361426626</v>
      </c>
      <c r="C3" s="2" t="s">
        <v>335</v>
      </c>
    </row>
    <row r="4" customFormat="false" ht="15" hidden="false" customHeight="false" outlineLevel="0" collapsed="false">
      <c r="A4" s="2" t="s">
        <v>196</v>
      </c>
      <c r="B4" s="37" t="n">
        <v>10.440610891413</v>
      </c>
      <c r="C4" s="2" t="s">
        <v>336</v>
      </c>
    </row>
    <row r="5" customFormat="false" ht="15" hidden="false" customHeight="false" outlineLevel="0" collapsed="false">
      <c r="A5" s="2" t="s">
        <v>337</v>
      </c>
      <c r="B5" s="37" t="n">
        <v>140</v>
      </c>
      <c r="C5" s="2" t="s">
        <v>338</v>
      </c>
    </row>
    <row r="6" customFormat="false" ht="15" hidden="false" customHeight="false" outlineLevel="0" collapsed="false">
      <c r="A6" s="2" t="s">
        <v>339</v>
      </c>
      <c r="B6" s="37" t="n">
        <v>205</v>
      </c>
      <c r="C6" s="2" t="s">
        <v>340</v>
      </c>
    </row>
    <row r="7" customFormat="false" ht="15" hidden="false" customHeight="false" outlineLevel="0" collapsed="false">
      <c r="A7" s="2" t="s">
        <v>341</v>
      </c>
      <c r="B7" s="37" t="n">
        <v>5.09467317243577</v>
      </c>
      <c r="C7" s="2" t="s">
        <v>342</v>
      </c>
    </row>
    <row r="8" customFormat="false" ht="15" hidden="false" customHeight="false" outlineLevel="0" collapsed="false">
      <c r="A8" s="2" t="s">
        <v>343</v>
      </c>
      <c r="B8" s="37" t="n">
        <v>140</v>
      </c>
      <c r="C8" s="2" t="s">
        <v>344</v>
      </c>
    </row>
    <row r="9" customFormat="false" ht="15" hidden="false" customHeight="false" outlineLevel="0" collapsed="false">
      <c r="A9" s="2" t="s">
        <v>345</v>
      </c>
      <c r="B9" s="37" t="n">
        <v>7.52462480002316</v>
      </c>
      <c r="C9" s="2" t="s">
        <v>346</v>
      </c>
    </row>
    <row r="10" customFormat="false" ht="15" hidden="false" customHeight="false" outlineLevel="0" collapsed="false">
      <c r="A10" s="2" t="s">
        <v>347</v>
      </c>
      <c r="B10" s="37" t="n">
        <v>195</v>
      </c>
      <c r="C10" s="2" t="s">
        <v>348</v>
      </c>
    </row>
    <row r="11" customFormat="false" ht="15" hidden="false" customHeight="false" outlineLevel="0" collapsed="false">
      <c r="A11" s="2" t="s">
        <v>349</v>
      </c>
      <c r="B11" s="37" t="n">
        <v>0.603929683416053</v>
      </c>
      <c r="C11" s="2" t="s">
        <v>350</v>
      </c>
    </row>
    <row r="12" customFormat="false" ht="15" hidden="false" customHeight="false" outlineLevel="0" collapsed="false">
      <c r="A12" s="2" t="s">
        <v>351</v>
      </c>
      <c r="B12" s="37" t="n">
        <v>15.5128749346568</v>
      </c>
      <c r="C12" s="2" t="s">
        <v>352</v>
      </c>
    </row>
    <row r="13" customFormat="false" ht="15" hidden="false" customHeight="false" outlineLevel="0" collapsed="false">
      <c r="A13" s="2" t="s">
        <v>254</v>
      </c>
      <c r="B13" s="37" t="n">
        <v>55</v>
      </c>
      <c r="C13" s="2" t="s">
        <v>353</v>
      </c>
    </row>
    <row r="14" customFormat="false" ht="15" hidden="false" customHeight="false" outlineLevel="0" collapsed="false">
      <c r="A14" s="2" t="s">
        <v>61</v>
      </c>
      <c r="B14" s="37" t="n">
        <v>186.866976370664</v>
      </c>
      <c r="C14" s="2" t="s">
        <v>354</v>
      </c>
    </row>
    <row r="15" customFormat="false" ht="15" hidden="false" customHeight="false" outlineLevel="0" collapsed="false">
      <c r="A15" s="2" t="s">
        <v>355</v>
      </c>
      <c r="B15" s="37" t="n">
        <v>138.501344281655</v>
      </c>
      <c r="C15" s="2" t="s">
        <v>356</v>
      </c>
    </row>
    <row r="16" customFormat="false" ht="15" hidden="false" customHeight="false" outlineLevel="0" collapsed="false">
      <c r="A16" s="2" t="s">
        <v>357</v>
      </c>
      <c r="B16" s="37" t="n">
        <v>308.501344281655</v>
      </c>
      <c r="C16" s="2" t="s">
        <v>358</v>
      </c>
    </row>
    <row r="17" customFormat="false" ht="15" hidden="false" customHeight="false" outlineLevel="0" collapsed="false">
      <c r="A17" s="2" t="s">
        <v>359</v>
      </c>
      <c r="B17" s="37" t="n">
        <v>324.916594012879</v>
      </c>
      <c r="C17" s="2" t="s">
        <v>360</v>
      </c>
    </row>
    <row r="18" customFormat="false" ht="15" hidden="false" customHeight="false" outlineLevel="0" collapsed="false">
      <c r="A18" s="2" t="s">
        <v>361</v>
      </c>
      <c r="B18" s="37" t="n">
        <v>0.8</v>
      </c>
      <c r="C18" s="2" t="s">
        <v>362</v>
      </c>
    </row>
    <row r="19" customFormat="false" ht="15" hidden="false" customHeight="false" outlineLevel="0" collapsed="false">
      <c r="A19" s="2" t="s">
        <v>363</v>
      </c>
      <c r="B19" s="37" t="n">
        <v>3.74301856335755</v>
      </c>
      <c r="C19" s="2" t="s">
        <v>364</v>
      </c>
    </row>
    <row r="20" customFormat="false" ht="15" hidden="false" customHeight="false" outlineLevel="0" collapsed="false">
      <c r="A20" s="2" t="s">
        <v>365</v>
      </c>
      <c r="B20" s="37" t="n">
        <v>63</v>
      </c>
      <c r="C20" s="2" t="s">
        <v>366</v>
      </c>
    </row>
    <row r="21" customFormat="false" ht="15" hidden="false" customHeight="false" outlineLevel="0" collapsed="false">
      <c r="A21" s="2" t="s">
        <v>367</v>
      </c>
      <c r="B21" s="37" t="n">
        <v>46</v>
      </c>
      <c r="C21" s="2" t="s">
        <v>368</v>
      </c>
    </row>
    <row r="22" customFormat="false" ht="15" hidden="false" customHeight="false" outlineLevel="0" collapsed="false">
      <c r="A22" s="2" t="s">
        <v>369</v>
      </c>
      <c r="B22" s="37" t="n">
        <v>150</v>
      </c>
      <c r="C22" s="2" t="s">
        <v>370</v>
      </c>
    </row>
    <row r="23" customFormat="false" ht="15" hidden="false" customHeight="false" outlineLevel="0" collapsed="false">
      <c r="A23" s="2" t="s">
        <v>371</v>
      </c>
      <c r="B23" s="37" t="n">
        <v>1</v>
      </c>
      <c r="C23" s="2" t="s">
        <v>372</v>
      </c>
    </row>
    <row r="24" customFormat="false" ht="15" hidden="false" customHeight="false" outlineLevel="0" collapsed="false">
      <c r="A24" s="2" t="s">
        <v>373</v>
      </c>
      <c r="B24" s="37" t="n">
        <v>12.5</v>
      </c>
      <c r="C24" s="2" t="s">
        <v>374</v>
      </c>
    </row>
    <row r="25" customFormat="false" ht="15" hidden="false" customHeight="false" outlineLevel="0" collapsed="false">
      <c r="A25" s="2" t="s">
        <v>197</v>
      </c>
      <c r="B25" s="37" t="n">
        <v>150</v>
      </c>
      <c r="C25" s="2" t="s">
        <v>375</v>
      </c>
    </row>
    <row r="26" customFormat="false" ht="15" hidden="false" customHeight="false" outlineLevel="0" collapsed="false">
      <c r="A26" s="2" t="s">
        <v>199</v>
      </c>
      <c r="B26" s="37" t="n">
        <v>0.09587</v>
      </c>
      <c r="C26" s="2" t="s">
        <v>376</v>
      </c>
    </row>
    <row r="27" customFormat="false" ht="15" hidden="false" customHeight="false" outlineLevel="0" collapsed="false">
      <c r="A27" s="2" t="s">
        <v>203</v>
      </c>
      <c r="B27" s="37" t="n">
        <v>1</v>
      </c>
      <c r="C27" s="2" t="s">
        <v>377</v>
      </c>
    </row>
    <row r="28" customFormat="false" ht="15" hidden="false" customHeight="false" outlineLevel="0" collapsed="false">
      <c r="A28" s="2" t="s">
        <v>205</v>
      </c>
      <c r="B28" s="37" t="n">
        <v>14</v>
      </c>
      <c r="C28" s="2" t="s">
        <v>378</v>
      </c>
    </row>
    <row r="29" customFormat="false" ht="15" hidden="false" customHeight="false" outlineLevel="0" collapsed="false">
      <c r="A29" s="2" t="s">
        <v>379</v>
      </c>
      <c r="B29" s="37" t="n">
        <v>11.63</v>
      </c>
      <c r="C29" s="2" t="s">
        <v>380</v>
      </c>
    </row>
    <row r="30" customFormat="false" ht="15" hidden="false" customHeight="false" outlineLevel="0" collapsed="false">
      <c r="A30" s="2" t="s">
        <v>381</v>
      </c>
      <c r="B30" s="37" t="n">
        <v>11.9</v>
      </c>
      <c r="C30" s="2" t="s">
        <v>382</v>
      </c>
    </row>
    <row r="31" customFormat="false" ht="15" hidden="false" customHeight="false" outlineLevel="0" collapsed="false">
      <c r="A31" s="2" t="s">
        <v>383</v>
      </c>
      <c r="B31" s="37" t="n">
        <v>2.05938910858699</v>
      </c>
      <c r="C31" s="2" t="s">
        <v>384</v>
      </c>
    </row>
    <row r="32" customFormat="false" ht="15" hidden="false" customHeight="false" outlineLevel="0" collapsed="false">
      <c r="A32" s="2" t="s">
        <v>230</v>
      </c>
      <c r="B32" s="37" t="n">
        <v>1.18938910858699</v>
      </c>
      <c r="C32" s="2" t="s">
        <v>385</v>
      </c>
    </row>
    <row r="33" customFormat="false" ht="15" hidden="false" customHeight="false" outlineLevel="0" collapsed="false">
      <c r="A33" s="2" t="s">
        <v>386</v>
      </c>
      <c r="B33" s="37" t="n">
        <v>0.870000000000001</v>
      </c>
      <c r="C33" s="2" t="s">
        <v>387</v>
      </c>
    </row>
    <row r="34" customFormat="false" ht="15" hidden="false" customHeight="false" outlineLevel="0" collapsed="false">
      <c r="A34" s="2" t="s">
        <v>388</v>
      </c>
      <c r="B34" s="37" t="n">
        <v>0.6</v>
      </c>
      <c r="C34" s="2" t="s">
        <v>389</v>
      </c>
    </row>
    <row r="35" customFormat="false" ht="15" hidden="false" customHeight="false" outlineLevel="0" collapsed="false">
      <c r="A35" s="2" t="s">
        <v>390</v>
      </c>
      <c r="B35" s="37" t="n">
        <v>70</v>
      </c>
      <c r="C35" s="2" t="s">
        <v>391</v>
      </c>
    </row>
    <row r="36" customFormat="false" ht="15" hidden="false" customHeight="false" outlineLevel="0" collapsed="false">
      <c r="A36" s="2" t="s">
        <v>392</v>
      </c>
      <c r="B36" s="37" t="n">
        <v>19</v>
      </c>
      <c r="C36" s="2" t="s">
        <v>393</v>
      </c>
    </row>
    <row r="37" customFormat="false" ht="15" hidden="false" customHeight="false" outlineLevel="0" collapsed="false">
      <c r="A37" s="2" t="s">
        <v>394</v>
      </c>
      <c r="B37" s="37" t="n">
        <v>0</v>
      </c>
      <c r="C37" s="2" t="s">
        <v>395</v>
      </c>
    </row>
    <row r="38" customFormat="false" ht="15" hidden="false" customHeight="false" outlineLevel="0" collapsed="false">
      <c r="A38" s="2" t="s">
        <v>396</v>
      </c>
      <c r="B38" s="37" t="n">
        <v>1.5</v>
      </c>
      <c r="C38" s="2" t="s">
        <v>397</v>
      </c>
    </row>
    <row r="39" customFormat="false" ht="15" hidden="false" customHeight="false" outlineLevel="0" collapsed="false">
      <c r="A39" s="2" t="s">
        <v>398</v>
      </c>
      <c r="B39" s="37" t="n">
        <v>22</v>
      </c>
      <c r="C39" s="2" t="s">
        <v>399</v>
      </c>
    </row>
    <row r="40" customFormat="false" ht="15" hidden="false" customHeight="false" outlineLevel="0" collapsed="false">
      <c r="A40" s="2" t="s">
        <v>400</v>
      </c>
      <c r="B40" s="37" t="n">
        <v>20.5</v>
      </c>
      <c r="C40" s="2" t="s">
        <v>401</v>
      </c>
    </row>
    <row r="41" customFormat="false" ht="15" hidden="false" customHeight="false" outlineLevel="0" collapsed="false">
      <c r="A41" s="2" t="s">
        <v>402</v>
      </c>
      <c r="B41" s="37" t="n">
        <v>46</v>
      </c>
      <c r="C41" s="2" t="s">
        <v>403</v>
      </c>
    </row>
    <row r="42" customFormat="false" ht="15" hidden="false" customHeight="false" outlineLevel="0" collapsed="false">
      <c r="A42" s="2" t="s">
        <v>404</v>
      </c>
      <c r="B42" s="37" t="n">
        <v>545.16</v>
      </c>
      <c r="C42" s="2" t="s">
        <v>405</v>
      </c>
    </row>
    <row r="43" customFormat="false" ht="15" hidden="false" customHeight="false" outlineLevel="0" collapsed="false">
      <c r="A43" s="2" t="s">
        <v>406</v>
      </c>
      <c r="B43" s="37" t="n">
        <v>3.70266343825666</v>
      </c>
      <c r="C43" s="2" t="s">
        <v>407</v>
      </c>
    </row>
    <row r="44" customFormat="false" ht="15" hidden="false" customHeight="false" outlineLevel="0" collapsed="false">
      <c r="A44" s="2" t="s">
        <v>408</v>
      </c>
      <c r="B44" s="37" t="n">
        <v>150.327272581329</v>
      </c>
      <c r="C44" s="2" t="s">
        <v>409</v>
      </c>
    </row>
    <row r="45" customFormat="false" ht="15" hidden="false" customHeight="false" outlineLevel="0" collapsed="false">
      <c r="A45" s="2" t="s">
        <v>293</v>
      </c>
      <c r="B45" s="37" t="n">
        <v>119.672727418671</v>
      </c>
      <c r="C45" s="2" t="s">
        <v>410</v>
      </c>
    </row>
    <row r="46" customFormat="false" ht="15" hidden="false" customHeight="false" outlineLevel="0" collapsed="false">
      <c r="A46" s="2" t="s">
        <v>411</v>
      </c>
      <c r="B46" s="37" t="n">
        <v>0.0689202437604511</v>
      </c>
      <c r="C46" s="2" t="s">
        <v>412</v>
      </c>
    </row>
    <row r="47" customFormat="false" ht="15" hidden="false" customHeight="false" outlineLevel="0" collapsed="false">
      <c r="A47" s="2" t="s">
        <v>413</v>
      </c>
      <c r="B47" s="37" t="n">
        <v>0.0619899984674947</v>
      </c>
      <c r="C47" s="2" t="s">
        <v>414</v>
      </c>
    </row>
    <row r="48" customFormat="false" ht="15" hidden="false" customHeight="false" outlineLevel="0" collapsed="false">
      <c r="A48" s="2" t="s">
        <v>415</v>
      </c>
      <c r="B48" s="37" t="n">
        <v>16.0832396297411</v>
      </c>
      <c r="C48" s="2" t="s">
        <v>416</v>
      </c>
    </row>
    <row r="49" customFormat="false" ht="15" hidden="false" customHeight="false" outlineLevel="0" collapsed="false">
      <c r="A49" s="2" t="s">
        <v>417</v>
      </c>
      <c r="B49" s="37" t="n">
        <v>4.587</v>
      </c>
      <c r="C49" s="2" t="s">
        <v>418</v>
      </c>
    </row>
    <row r="50" customFormat="false" ht="15" hidden="false" customHeight="false" outlineLevel="0" collapsed="false">
      <c r="A50" s="2" t="s">
        <v>419</v>
      </c>
      <c r="B50" s="37" t="n">
        <v>36</v>
      </c>
      <c r="C50" s="2" t="s">
        <v>420</v>
      </c>
    </row>
    <row r="51" customFormat="false" ht="15" hidden="false" customHeight="false" outlineLevel="0" collapsed="false">
      <c r="A51" s="2" t="s">
        <v>421</v>
      </c>
      <c r="B51" s="37" t="n">
        <v>50</v>
      </c>
      <c r="C51" s="2" t="s">
        <v>422</v>
      </c>
    </row>
    <row r="52" customFormat="false" ht="15" hidden="false" customHeight="false" outlineLevel="0" collapsed="false">
      <c r="A52" s="2" t="s">
        <v>423</v>
      </c>
      <c r="B52" s="37" t="n">
        <v>0.25</v>
      </c>
      <c r="C52" s="2" t="s">
        <v>424</v>
      </c>
    </row>
    <row r="53" customFormat="false" ht="15" hidden="false" customHeight="false" outlineLevel="0" collapsed="false">
      <c r="A53" s="2" t="s">
        <v>425</v>
      </c>
      <c r="B53" s="37" t="n">
        <v>0.25</v>
      </c>
      <c r="C53" s="2" t="s">
        <v>426</v>
      </c>
    </row>
    <row r="54" customFormat="false" ht="15" hidden="false" customHeight="false" outlineLevel="0" collapsed="false">
      <c r="A54" s="2" t="s">
        <v>427</v>
      </c>
      <c r="B54" s="37" t="n">
        <v>36</v>
      </c>
      <c r="C54" s="2" t="s">
        <v>428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3" min="3" style="0" width="16"/>
    <col collapsed="false" customWidth="true" hidden="false" outlineLevel="0" max="5" min="4" style="0" width="11"/>
    <col collapsed="false" customWidth="true" hidden="false" outlineLevel="0" max="6" min="6" style="0" width="10"/>
  </cols>
  <sheetData>
    <row r="1" customFormat="false" ht="15" hidden="false" customHeight="false" outlineLevel="0" collapsed="false">
      <c r="A1" s="8" t="s">
        <v>330</v>
      </c>
      <c r="B1" s="8" t="s">
        <v>429</v>
      </c>
      <c r="C1" s="8" t="s">
        <v>331</v>
      </c>
      <c r="D1" s="8" t="s">
        <v>430</v>
      </c>
      <c r="E1" s="8" t="s">
        <v>431</v>
      </c>
      <c r="F1" s="8" t="s">
        <v>432</v>
      </c>
    </row>
    <row r="2" customFormat="false" ht="15" hidden="false" customHeight="false" outlineLevel="0" collapsed="false">
      <c r="A2" s="2" t="s">
        <v>194</v>
      </c>
      <c r="B2" s="38" t="n">
        <f aca="false">Continuous!H6</f>
        <v>170</v>
      </c>
      <c r="C2" s="39" t="n">
        <f aca="false">Reference_Values!B2</f>
        <v>170</v>
      </c>
      <c r="D2" s="40" t="n">
        <f aca="false">ABS(B2-C2)</f>
        <v>0</v>
      </c>
      <c r="E2" s="41" t="n">
        <v>0</v>
      </c>
      <c r="F2" s="4" t="str">
        <f aca="false">IF(D2&lt;=E2,"PASS","FAIL")</f>
        <v>PASS</v>
      </c>
    </row>
    <row r="3" customFormat="false" ht="15" hidden="false" customHeight="false" outlineLevel="0" collapsed="false">
      <c r="A3" s="2" t="s">
        <v>334</v>
      </c>
      <c r="B3" s="38" t="n">
        <f aca="false">Continuous!H7</f>
        <v>0.667576361426626</v>
      </c>
      <c r="C3" s="39" t="n">
        <f aca="false">Reference_Values!B3</f>
        <v>0.667576361426626</v>
      </c>
      <c r="D3" s="40" t="n">
        <f aca="false">ABS(B3-C3)</f>
        <v>0</v>
      </c>
      <c r="E3" s="41" t="n">
        <v>1E-009</v>
      </c>
      <c r="F3" s="4" t="str">
        <f aca="false">IF(D3&lt;=E3,"PASS","FAIL")</f>
        <v>PASS</v>
      </c>
    </row>
    <row r="4" customFormat="false" ht="15" hidden="false" customHeight="false" outlineLevel="0" collapsed="false">
      <c r="A4" s="2" t="s">
        <v>196</v>
      </c>
      <c r="B4" s="38" t="n">
        <f aca="false">Continuous!H5</f>
        <v>10.440610891413</v>
      </c>
      <c r="C4" s="39" t="n">
        <f aca="false">Reference_Values!B4</f>
        <v>10.440610891413</v>
      </c>
      <c r="D4" s="40" t="n">
        <f aca="false">ABS(B4-C4)</f>
        <v>0</v>
      </c>
      <c r="E4" s="41" t="n">
        <v>1E-009</v>
      </c>
      <c r="F4" s="4" t="str">
        <f aca="false">IF(D4&lt;=E4,"PASS","FAIL")</f>
        <v>PASS</v>
      </c>
    </row>
    <row r="5" customFormat="false" ht="15" hidden="false" customHeight="false" outlineLevel="0" collapsed="false">
      <c r="A5" s="2" t="s">
        <v>337</v>
      </c>
      <c r="B5" s="38" t="n">
        <f aca="false">Continuous!H12</f>
        <v>140</v>
      </c>
      <c r="C5" s="39" t="n">
        <f aca="false">Reference_Values!B5</f>
        <v>140</v>
      </c>
      <c r="D5" s="40" t="n">
        <f aca="false">ABS(B5-C5)</f>
        <v>0</v>
      </c>
      <c r="E5" s="41" t="n">
        <v>0</v>
      </c>
      <c r="F5" s="4" t="str">
        <f aca="false">IF(D5&lt;=E5,"PASS","FAIL")</f>
        <v>PASS</v>
      </c>
    </row>
    <row r="6" customFormat="false" ht="15" hidden="false" customHeight="false" outlineLevel="0" collapsed="false">
      <c r="A6" s="2" t="s">
        <v>339</v>
      </c>
      <c r="B6" s="38" t="n">
        <f aca="false">Continuous!H13</f>
        <v>205</v>
      </c>
      <c r="C6" s="39" t="n">
        <f aca="false">Reference_Values!B6</f>
        <v>205</v>
      </c>
      <c r="D6" s="40" t="n">
        <f aca="false">ABS(B6-C6)</f>
        <v>0</v>
      </c>
      <c r="E6" s="41" t="n">
        <v>0</v>
      </c>
      <c r="F6" s="4" t="str">
        <f aca="false">IF(D6&lt;=E6,"PASS","FAIL")</f>
        <v>PASS</v>
      </c>
    </row>
    <row r="7" customFormat="false" ht="15" hidden="false" customHeight="false" outlineLevel="0" collapsed="false">
      <c r="A7" s="2" t="s">
        <v>341</v>
      </c>
      <c r="B7" s="38" t="n">
        <f aca="false">Continuous!H14</f>
        <v>5.09467317243577</v>
      </c>
      <c r="C7" s="39" t="n">
        <f aca="false">Reference_Values!B7</f>
        <v>5.09467317243577</v>
      </c>
      <c r="D7" s="40" t="n">
        <f aca="false">ABS(B7-C7)</f>
        <v>0</v>
      </c>
      <c r="E7" s="41" t="n">
        <v>1E-009</v>
      </c>
      <c r="F7" s="4" t="str">
        <f aca="false">IF(D7&lt;=E7,"PASS","FAIL")</f>
        <v>PASS</v>
      </c>
    </row>
    <row r="8" customFormat="false" ht="15" hidden="false" customHeight="false" outlineLevel="0" collapsed="false">
      <c r="A8" s="2" t="s">
        <v>343</v>
      </c>
      <c r="B8" s="38" t="n">
        <f aca="false">Continuous!I6</f>
        <v>140</v>
      </c>
      <c r="C8" s="39" t="n">
        <f aca="false">Reference_Values!B8</f>
        <v>140</v>
      </c>
      <c r="D8" s="40" t="n">
        <f aca="false">ABS(B8-C8)</f>
        <v>0</v>
      </c>
      <c r="E8" s="41" t="n">
        <v>0</v>
      </c>
      <c r="F8" s="4" t="str">
        <f aca="false">IF(D8&lt;=E8,"PASS","FAIL")</f>
        <v>PASS</v>
      </c>
    </row>
    <row r="9" customFormat="false" ht="15" hidden="false" customHeight="false" outlineLevel="0" collapsed="false">
      <c r="A9" s="2" t="s">
        <v>345</v>
      </c>
      <c r="B9" s="38" t="n">
        <f aca="false">Continuous!I5</f>
        <v>7.52462480002316</v>
      </c>
      <c r="C9" s="39" t="n">
        <f aca="false">Reference_Values!B9</f>
        <v>7.52462480002316</v>
      </c>
      <c r="D9" s="40" t="n">
        <f aca="false">ABS(B9-C9)</f>
        <v>0</v>
      </c>
      <c r="E9" s="41" t="n">
        <v>1E-009</v>
      </c>
      <c r="F9" s="4" t="str">
        <f aca="false">IF(D9&lt;=E9,"PASS","FAIL")</f>
        <v>PASS</v>
      </c>
    </row>
    <row r="10" customFormat="false" ht="15" hidden="false" customHeight="false" outlineLevel="0" collapsed="false">
      <c r="A10" s="2" t="s">
        <v>347</v>
      </c>
      <c r="B10" s="38" t="n">
        <f aca="false">Continuous!J6</f>
        <v>195</v>
      </c>
      <c r="C10" s="39" t="n">
        <f aca="false">Reference_Values!B10</f>
        <v>195</v>
      </c>
      <c r="D10" s="40" t="n">
        <f aca="false">ABS(B10-C10)</f>
        <v>0</v>
      </c>
      <c r="E10" s="41" t="n">
        <v>0</v>
      </c>
      <c r="F10" s="4" t="str">
        <f aca="false">IF(D10&lt;=E10,"PASS","FAIL")</f>
        <v>PASS</v>
      </c>
    </row>
    <row r="11" customFormat="false" ht="15" hidden="false" customHeight="false" outlineLevel="0" collapsed="false">
      <c r="A11" s="2" t="s">
        <v>349</v>
      </c>
      <c r="B11" s="38" t="n">
        <f aca="false">Continuous!J7</f>
        <v>0.603929683416053</v>
      </c>
      <c r="C11" s="39" t="n">
        <f aca="false">Reference_Values!B11</f>
        <v>0.603929683416053</v>
      </c>
      <c r="D11" s="40" t="n">
        <f aca="false">ABS(B11-C11)</f>
        <v>0</v>
      </c>
      <c r="E11" s="41" t="n">
        <v>1E-009</v>
      </c>
      <c r="F11" s="4" t="str">
        <f aca="false">IF(D11&lt;=E11,"PASS","FAIL")</f>
        <v>PASS</v>
      </c>
    </row>
    <row r="12" customFormat="false" ht="15" hidden="false" customHeight="false" outlineLevel="0" collapsed="false">
      <c r="A12" s="2" t="s">
        <v>351</v>
      </c>
      <c r="B12" s="38" t="n">
        <f aca="false">Continuous!J5</f>
        <v>15.5128749346568</v>
      </c>
      <c r="C12" s="39" t="n">
        <f aca="false">Reference_Values!B12</f>
        <v>15.5128749346568</v>
      </c>
      <c r="D12" s="40" t="n">
        <f aca="false">ABS(B12-C12)</f>
        <v>0</v>
      </c>
      <c r="E12" s="41" t="n">
        <v>1E-009</v>
      </c>
      <c r="F12" s="4" t="str">
        <f aca="false">IF(D12&lt;=E12,"PASS","FAIL")</f>
        <v>PASS</v>
      </c>
    </row>
    <row r="13" customFormat="false" ht="15" hidden="false" customHeight="false" outlineLevel="0" collapsed="false">
      <c r="A13" s="2" t="s">
        <v>254</v>
      </c>
      <c r="B13" s="38" t="n">
        <f aca="false">Continuous!H18</f>
        <v>55</v>
      </c>
      <c r="C13" s="39" t="n">
        <f aca="false">Reference_Values!B13</f>
        <v>55</v>
      </c>
      <c r="D13" s="40" t="n">
        <f aca="false">ABS(B13-C13)</f>
        <v>0</v>
      </c>
      <c r="E13" s="41" t="n">
        <v>0</v>
      </c>
      <c r="F13" s="4" t="str">
        <f aca="false">IF(D13&lt;=E13,"PASS","FAIL")</f>
        <v>PASS</v>
      </c>
    </row>
    <row r="14" customFormat="false" ht="15" hidden="false" customHeight="false" outlineLevel="0" collapsed="false">
      <c r="A14" s="2" t="s">
        <v>61</v>
      </c>
      <c r="B14" s="38" t="n">
        <f aca="false">P90</f>
        <v>186.866976370664</v>
      </c>
      <c r="C14" s="39" t="n">
        <f aca="false">Reference_Values!B14</f>
        <v>186.866976370664</v>
      </c>
      <c r="D14" s="40" t="n">
        <f aca="false">ABS(B14-C14)</f>
        <v>0</v>
      </c>
      <c r="E14" s="41" t="n">
        <v>1E-006</v>
      </c>
      <c r="F14" s="4" t="str">
        <f aca="false">IF(D14&lt;=E14,"PASS","FAIL")</f>
        <v>PASS</v>
      </c>
    </row>
    <row r="15" customFormat="false" ht="15" hidden="false" customHeight="false" outlineLevel="0" collapsed="false">
      <c r="A15" s="2" t="s">
        <v>355</v>
      </c>
      <c r="B15" s="38" t="n">
        <f aca="false">Gates!B16</f>
        <v>138.501344281655</v>
      </c>
      <c r="C15" s="39" t="n">
        <f aca="false">Reference_Values!B15</f>
        <v>138.501344281655</v>
      </c>
      <c r="D15" s="40" t="n">
        <f aca="false">ABS(B15-C15)</f>
        <v>0</v>
      </c>
      <c r="E15" s="41" t="n">
        <v>1E-006</v>
      </c>
      <c r="F15" s="4" t="str">
        <f aca="false">IF(D15&lt;=E15,"PASS","FAIL")</f>
        <v>PASS</v>
      </c>
    </row>
    <row r="16" customFormat="false" ht="15" hidden="false" customHeight="false" outlineLevel="0" collapsed="false">
      <c r="A16" s="2" t="s">
        <v>357</v>
      </c>
      <c r="B16" s="38" t="n">
        <f aca="false">Gates!B21</f>
        <v>308.501344281655</v>
      </c>
      <c r="C16" s="39" t="n">
        <f aca="false">Reference_Values!B16</f>
        <v>308.501344281655</v>
      </c>
      <c r="D16" s="40" t="n">
        <f aca="false">ABS(B16-C16)</f>
        <v>0</v>
      </c>
      <c r="E16" s="41" t="n">
        <v>1E-006</v>
      </c>
      <c r="F16" s="4" t="str">
        <f aca="false">IF(D16&lt;=E16,"PASS","FAIL")</f>
        <v>PASS</v>
      </c>
    </row>
    <row r="17" customFormat="false" ht="15" hidden="false" customHeight="false" outlineLevel="0" collapsed="false">
      <c r="A17" s="2" t="s">
        <v>359</v>
      </c>
      <c r="B17" s="38" t="n">
        <f aca="false">Gates!B28</f>
        <v>324.916594012879</v>
      </c>
      <c r="C17" s="39" t="n">
        <f aca="false">Reference_Values!B17</f>
        <v>324.916594012879</v>
      </c>
      <c r="D17" s="40" t="n">
        <f aca="false">ABS(B17-C17)</f>
        <v>0</v>
      </c>
      <c r="E17" s="41" t="n">
        <v>1E-006</v>
      </c>
      <c r="F17" s="4" t="str">
        <f aca="false">IF(D17&lt;=E17,"PASS","FAIL")</f>
        <v>PASS</v>
      </c>
    </row>
    <row r="18" customFormat="false" ht="15" hidden="false" customHeight="false" outlineLevel="0" collapsed="false">
      <c r="A18" s="2" t="s">
        <v>361</v>
      </c>
      <c r="B18" s="38" t="n">
        <f aca="false">Gates!C10</f>
        <v>0.8</v>
      </c>
      <c r="C18" s="39" t="n">
        <f aca="false">Reference_Values!B18</f>
        <v>0.8</v>
      </c>
      <c r="D18" s="40" t="n">
        <f aca="false">ABS(B18-C18)</f>
        <v>0</v>
      </c>
      <c r="E18" s="41" t="n">
        <v>1E-009</v>
      </c>
      <c r="F18" s="4" t="str">
        <f aca="false">IF(D18&lt;=E18,"PASS","FAIL")</f>
        <v>PASS</v>
      </c>
    </row>
    <row r="19" customFormat="false" ht="15" hidden="false" customHeight="false" outlineLevel="0" collapsed="false">
      <c r="A19" s="2" t="s">
        <v>363</v>
      </c>
      <c r="B19" s="38" t="n">
        <f aca="false">Gates!C12</f>
        <v>3.74301856335755</v>
      </c>
      <c r="C19" s="39" t="n">
        <f aca="false">Reference_Values!B19</f>
        <v>3.74301856335755</v>
      </c>
      <c r="D19" s="40" t="n">
        <f aca="false">ABS(B19-C19)</f>
        <v>0</v>
      </c>
      <c r="E19" s="41" t="n">
        <v>1E-009</v>
      </c>
      <c r="F19" s="4" t="str">
        <f aca="false">IF(D19&lt;=E19,"PASS","FAIL")</f>
        <v>PASS</v>
      </c>
    </row>
    <row r="20" customFormat="false" ht="15" hidden="false" customHeight="false" outlineLevel="0" collapsed="false">
      <c r="A20" s="2" t="s">
        <v>365</v>
      </c>
      <c r="B20" s="38" t="n">
        <f aca="false">LumpyGrid!J5</f>
        <v>63</v>
      </c>
      <c r="C20" s="39" t="n">
        <f aca="false">Reference_Values!B20</f>
        <v>63</v>
      </c>
      <c r="D20" s="40" t="n">
        <f aca="false">ABS(B20-C20)</f>
        <v>0</v>
      </c>
      <c r="E20" s="41" t="n">
        <v>0</v>
      </c>
      <c r="F20" s="4" t="str">
        <f aca="false">IF(D20&lt;=E20,"PASS","FAIL")</f>
        <v>PASS</v>
      </c>
    </row>
    <row r="21" customFormat="false" ht="15" hidden="false" customHeight="false" outlineLevel="0" collapsed="false">
      <c r="A21" s="2" t="s">
        <v>367</v>
      </c>
      <c r="B21" s="38" t="n">
        <f aca="false">LumpyGrid!J6</f>
        <v>46</v>
      </c>
      <c r="C21" s="39" t="n">
        <f aca="false">Reference_Values!B21</f>
        <v>46</v>
      </c>
      <c r="D21" s="40" t="n">
        <f aca="false">ABS(B21-C21)</f>
        <v>0</v>
      </c>
      <c r="E21" s="41" t="n">
        <v>0</v>
      </c>
      <c r="F21" s="4" t="str">
        <f aca="false">IF(D21&lt;=E21,"PASS","FAIL")</f>
        <v>PASS</v>
      </c>
    </row>
    <row r="22" customFormat="false" ht="15" hidden="false" customHeight="false" outlineLevel="0" collapsed="false">
      <c r="A22" s="2" t="s">
        <v>369</v>
      </c>
      <c r="B22" s="38" t="n">
        <f aca="false">LumpyGrid!J8</f>
        <v>150</v>
      </c>
      <c r="C22" s="39" t="n">
        <f aca="false">Reference_Values!B22</f>
        <v>150</v>
      </c>
      <c r="D22" s="40" t="n">
        <f aca="false">ABS(B22-C22)</f>
        <v>0</v>
      </c>
      <c r="E22" s="41" t="n">
        <v>0</v>
      </c>
      <c r="F22" s="4" t="str">
        <f aca="false">IF(D22&lt;=E22,"PASS","FAIL")</f>
        <v>PASS</v>
      </c>
    </row>
    <row r="23" customFormat="false" ht="15" hidden="false" customHeight="false" outlineLevel="0" collapsed="false">
      <c r="A23" s="2" t="s">
        <v>371</v>
      </c>
      <c r="B23" s="38" t="n">
        <f aca="false">LumpyGrid!J9</f>
        <v>1</v>
      </c>
      <c r="C23" s="39" t="n">
        <f aca="false">Reference_Values!B23</f>
        <v>1</v>
      </c>
      <c r="D23" s="40" t="n">
        <f aca="false">ABS(B23-C23)</f>
        <v>0</v>
      </c>
      <c r="E23" s="41" t="n">
        <v>0</v>
      </c>
      <c r="F23" s="4" t="str">
        <f aca="false">IF(D23&lt;=E23,"PASS","FAIL")</f>
        <v>PASS</v>
      </c>
    </row>
    <row r="24" customFormat="false" ht="15" hidden="false" customHeight="false" outlineLevel="0" collapsed="false">
      <c r="A24" s="2" t="s">
        <v>373</v>
      </c>
      <c r="B24" s="38" t="n">
        <f aca="false">LumpyGrid!J7</f>
        <v>12.5</v>
      </c>
      <c r="C24" s="39" t="n">
        <f aca="false">Reference_Values!B24</f>
        <v>12.5</v>
      </c>
      <c r="D24" s="40" t="n">
        <f aca="false">ABS(B24-C24)</f>
        <v>0</v>
      </c>
      <c r="E24" s="41" t="n">
        <v>1E-009</v>
      </c>
      <c r="F24" s="4" t="str">
        <f aca="false">IF(D24&lt;=E24,"PASS","FAIL")</f>
        <v>PASS</v>
      </c>
    </row>
    <row r="25" customFormat="false" ht="15" hidden="false" customHeight="false" outlineLevel="0" collapsed="false">
      <c r="A25" s="2" t="s">
        <v>197</v>
      </c>
      <c r="B25" s="38" t="n">
        <f aca="false">LumpyGrid!J16</f>
        <v>150</v>
      </c>
      <c r="C25" s="39" t="n">
        <f aca="false">Reference_Values!B25</f>
        <v>150</v>
      </c>
      <c r="D25" s="40" t="n">
        <f aca="false">ABS(B25-C25)</f>
        <v>0</v>
      </c>
      <c r="E25" s="41" t="n">
        <v>0</v>
      </c>
      <c r="F25" s="4" t="str">
        <f aca="false">IF(D25&lt;=E25,"PASS","FAIL")</f>
        <v>PASS</v>
      </c>
    </row>
    <row r="26" customFormat="false" ht="15" hidden="false" customHeight="false" outlineLevel="0" collapsed="false">
      <c r="A26" s="2" t="s">
        <v>199</v>
      </c>
      <c r="B26" s="38" t="n">
        <f aca="false">LumpyGrid!J18</f>
        <v>0.09587</v>
      </c>
      <c r="C26" s="39" t="n">
        <f aca="false">Reference_Values!B26</f>
        <v>0.09587</v>
      </c>
      <c r="D26" s="40" t="n">
        <f aca="false">ABS(B26-C26)</f>
        <v>0</v>
      </c>
      <c r="E26" s="41" t="n">
        <v>1E-012</v>
      </c>
      <c r="F26" s="4" t="str">
        <f aca="false">IF(D26&lt;=E26,"PASS","FAIL")</f>
        <v>PASS</v>
      </c>
    </row>
    <row r="27" customFormat="false" ht="15" hidden="false" customHeight="false" outlineLevel="0" collapsed="false">
      <c r="A27" s="2" t="s">
        <v>203</v>
      </c>
      <c r="B27" s="38" t="n">
        <f aca="false">LumpyGrid!J23</f>
        <v>1</v>
      </c>
      <c r="C27" s="39" t="n">
        <f aca="false">Reference_Values!B27</f>
        <v>1</v>
      </c>
      <c r="D27" s="40" t="n">
        <f aca="false">ABS(B27-C27)</f>
        <v>0</v>
      </c>
      <c r="E27" s="41" t="n">
        <v>0</v>
      </c>
      <c r="F27" s="4" t="str">
        <f aca="false">IF(D27&lt;=E27,"PASS","FAIL")</f>
        <v>PASS</v>
      </c>
    </row>
    <row r="28" customFormat="false" ht="15" hidden="false" customHeight="false" outlineLevel="0" collapsed="false">
      <c r="A28" s="2" t="s">
        <v>205</v>
      </c>
      <c r="B28" s="38" t="n">
        <f aca="false">LumpyGrid!J25</f>
        <v>14</v>
      </c>
      <c r="C28" s="39" t="n">
        <f aca="false">Reference_Values!B28</f>
        <v>14</v>
      </c>
      <c r="D28" s="40" t="n">
        <f aca="false">ABS(B28-C28)</f>
        <v>0</v>
      </c>
      <c r="E28" s="41" t="n">
        <v>1E-009</v>
      </c>
      <c r="F28" s="4" t="str">
        <f aca="false">IF(D28&lt;=E28,"PASS","FAIL")</f>
        <v>PASS</v>
      </c>
    </row>
    <row r="29" customFormat="false" ht="15" hidden="false" customHeight="false" outlineLevel="0" collapsed="false">
      <c r="A29" s="2" t="s">
        <v>379</v>
      </c>
      <c r="B29" s="38" t="n">
        <f aca="false">FinerLines!E15</f>
        <v>11.63</v>
      </c>
      <c r="C29" s="39" t="n">
        <f aca="false">Reference_Values!B29</f>
        <v>11.63</v>
      </c>
      <c r="D29" s="40" t="n">
        <f aca="false">ABS(B29-C29)</f>
        <v>0</v>
      </c>
      <c r="E29" s="41" t="n">
        <v>1E-009</v>
      </c>
      <c r="F29" s="4" t="str">
        <f aca="false">IF(D29&lt;=E29,"PASS","FAIL")</f>
        <v>PASS</v>
      </c>
    </row>
    <row r="30" customFormat="false" ht="15" hidden="false" customHeight="false" outlineLevel="0" collapsed="false">
      <c r="A30" s="2" t="s">
        <v>381</v>
      </c>
      <c r="B30" s="38" t="n">
        <f aca="false">FinerLines!E16</f>
        <v>11.9</v>
      </c>
      <c r="C30" s="39" t="n">
        <f aca="false">Reference_Values!B30</f>
        <v>11.9</v>
      </c>
      <c r="D30" s="40" t="n">
        <f aca="false">ABS(B30-C30)</f>
        <v>0</v>
      </c>
      <c r="E30" s="41" t="n">
        <v>1E-009</v>
      </c>
      <c r="F30" s="4" t="str">
        <f aca="false">IF(D30&lt;=E30,"PASS","FAIL")</f>
        <v>PASS</v>
      </c>
    </row>
    <row r="31" customFormat="false" ht="15" hidden="false" customHeight="false" outlineLevel="0" collapsed="false">
      <c r="A31" s="2" t="s">
        <v>383</v>
      </c>
      <c r="B31" s="38" t="n">
        <f aca="false">FinerLines!E21</f>
        <v>2.05938910858699</v>
      </c>
      <c r="C31" s="39" t="n">
        <f aca="false">Reference_Values!B31</f>
        <v>2.05938910858699</v>
      </c>
      <c r="D31" s="40" t="n">
        <f aca="false">ABS(B31-C31)</f>
        <v>0</v>
      </c>
      <c r="E31" s="41" t="n">
        <v>1E-009</v>
      </c>
      <c r="F31" s="4" t="str">
        <f aca="false">IF(D31&lt;=E31,"PASS","FAIL")</f>
        <v>PASS</v>
      </c>
    </row>
    <row r="32" customFormat="false" ht="15" hidden="false" customHeight="false" outlineLevel="0" collapsed="false">
      <c r="A32" s="2" t="s">
        <v>230</v>
      </c>
      <c r="B32" s="38" t="n">
        <f aca="false">FinerLines!E22</f>
        <v>1.18938910858699</v>
      </c>
      <c r="C32" s="39" t="n">
        <f aca="false">Reference_Values!B32</f>
        <v>1.18938910858699</v>
      </c>
      <c r="D32" s="40" t="n">
        <f aca="false">ABS(B32-C32)</f>
        <v>0</v>
      </c>
      <c r="E32" s="41" t="n">
        <v>1E-009</v>
      </c>
      <c r="F32" s="4" t="str">
        <f aca="false">IF(D32&lt;=E32,"PASS","FAIL")</f>
        <v>PASS</v>
      </c>
    </row>
    <row r="33" customFormat="false" ht="15" hidden="false" customHeight="false" outlineLevel="0" collapsed="false">
      <c r="A33" s="2" t="s">
        <v>386</v>
      </c>
      <c r="B33" s="38" t="n">
        <f aca="false">FinerLines!E23</f>
        <v>0.870000000000001</v>
      </c>
      <c r="C33" s="39" t="n">
        <f aca="false">Reference_Values!B33</f>
        <v>0.870000000000001</v>
      </c>
      <c r="D33" s="40" t="n">
        <f aca="false">ABS(B33-C33)</f>
        <v>0</v>
      </c>
      <c r="E33" s="41" t="n">
        <v>1E-009</v>
      </c>
      <c r="F33" s="4" t="str">
        <f aca="false">IF(D33&lt;=E33,"PASS","FAIL")</f>
        <v>PASS</v>
      </c>
    </row>
    <row r="34" customFormat="false" ht="15" hidden="false" customHeight="false" outlineLevel="0" collapsed="false">
      <c r="A34" s="2" t="s">
        <v>388</v>
      </c>
      <c r="B34" s="38" t="n">
        <f aca="false">FinerLines!E24</f>
        <v>0.6</v>
      </c>
      <c r="C34" s="39" t="n">
        <f aca="false">Reference_Values!B34</f>
        <v>0.6</v>
      </c>
      <c r="D34" s="40" t="n">
        <f aca="false">ABS(B34-C34)</f>
        <v>0</v>
      </c>
      <c r="E34" s="41" t="n">
        <v>1E-009</v>
      </c>
      <c r="F34" s="4" t="str">
        <f aca="false">IF(D34&lt;=E34,"PASS","FAIL")</f>
        <v>PASS</v>
      </c>
    </row>
    <row r="35" customFormat="false" ht="15" hidden="false" customHeight="false" outlineLevel="0" collapsed="false">
      <c r="A35" s="2" t="s">
        <v>390</v>
      </c>
      <c r="B35" s="38" t="n">
        <f aca="false">FinerLines!B7</f>
        <v>70</v>
      </c>
      <c r="C35" s="39" t="n">
        <f aca="false">Reference_Values!B35</f>
        <v>70</v>
      </c>
      <c r="D35" s="40" t="n">
        <f aca="false">ABS(B35-C35)</f>
        <v>0</v>
      </c>
      <c r="E35" s="41" t="n">
        <v>0</v>
      </c>
      <c r="F35" s="4" t="str">
        <f aca="false">IF(D35&lt;=E35,"PASS","FAIL")</f>
        <v>PASS</v>
      </c>
    </row>
    <row r="36" customFormat="false" ht="15" hidden="false" customHeight="false" outlineLevel="0" collapsed="false">
      <c r="A36" s="2" t="s">
        <v>392</v>
      </c>
      <c r="B36" s="38" t="n">
        <f aca="false">FinerLines!J7</f>
        <v>19</v>
      </c>
      <c r="C36" s="39" t="n">
        <f aca="false">Reference_Values!B36</f>
        <v>19</v>
      </c>
      <c r="D36" s="40" t="n">
        <f aca="false">ABS(B36-C36)</f>
        <v>0</v>
      </c>
      <c r="E36" s="41" t="n">
        <v>1E-009</v>
      </c>
      <c r="F36" s="4" t="str">
        <f aca="false">IF(D36&lt;=E36,"PASS","FAIL")</f>
        <v>PASS</v>
      </c>
    </row>
    <row r="37" customFormat="false" ht="15" hidden="false" customHeight="false" outlineLevel="0" collapsed="false">
      <c r="A37" s="2" t="s">
        <v>394</v>
      </c>
      <c r="B37" s="38" t="n">
        <f aca="false">Reweight!K5</f>
        <v>0</v>
      </c>
      <c r="C37" s="39" t="n">
        <f aca="false">Reference_Values!B37</f>
        <v>0</v>
      </c>
      <c r="D37" s="40" t="n">
        <f aca="false">ABS(B37-C37)</f>
        <v>0</v>
      </c>
      <c r="E37" s="41" t="n">
        <v>0</v>
      </c>
      <c r="F37" s="4" t="str">
        <f aca="false">IF(D37&lt;=E37,"PASS","FAIL")</f>
        <v>PASS</v>
      </c>
    </row>
    <row r="38" customFormat="false" ht="15" hidden="false" customHeight="false" outlineLevel="0" collapsed="false">
      <c r="A38" s="2" t="s">
        <v>396</v>
      </c>
      <c r="B38" s="38" t="n">
        <f aca="false">Reweight!K15</f>
        <v>1.5</v>
      </c>
      <c r="C38" s="39" t="n">
        <f aca="false">Reference_Values!B38</f>
        <v>1.5</v>
      </c>
      <c r="D38" s="40" t="n">
        <f aca="false">ABS(B38-C38)</f>
        <v>0</v>
      </c>
      <c r="E38" s="41" t="n">
        <v>1E-009</v>
      </c>
      <c r="F38" s="4" t="str">
        <f aca="false">IF(D38&lt;=E38,"PASS","FAIL")</f>
        <v>PASS</v>
      </c>
    </row>
    <row r="39" customFormat="false" ht="15" hidden="false" customHeight="false" outlineLevel="0" collapsed="false">
      <c r="A39" s="2" t="s">
        <v>398</v>
      </c>
      <c r="B39" s="38" t="n">
        <f aca="false">Reweight!K19</f>
        <v>22</v>
      </c>
      <c r="C39" s="39" t="n">
        <f aca="false">Reference_Values!B39</f>
        <v>22</v>
      </c>
      <c r="D39" s="40" t="n">
        <f aca="false">ABS(B39-C39)</f>
        <v>0</v>
      </c>
      <c r="E39" s="41" t="n">
        <v>1E-009</v>
      </c>
      <c r="F39" s="4" t="str">
        <f aca="false">IF(D39&lt;=E39,"PASS","FAIL")</f>
        <v>PASS</v>
      </c>
    </row>
    <row r="40" customFormat="false" ht="15" hidden="false" customHeight="false" outlineLevel="0" collapsed="false">
      <c r="A40" s="2" t="s">
        <v>400</v>
      </c>
      <c r="B40" s="38" t="n">
        <f aca="false">Reweight!K20</f>
        <v>20.5</v>
      </c>
      <c r="C40" s="39" t="n">
        <f aca="false">Reference_Values!B40</f>
        <v>20.5</v>
      </c>
      <c r="D40" s="40" t="n">
        <f aca="false">ABS(B40-C40)</f>
        <v>0</v>
      </c>
      <c r="E40" s="41" t="n">
        <v>1E-009</v>
      </c>
      <c r="F40" s="4" t="str">
        <f aca="false">IF(D40&lt;=E40,"PASS","FAIL")</f>
        <v>PASS</v>
      </c>
    </row>
    <row r="41" customFormat="false" ht="15" hidden="false" customHeight="false" outlineLevel="0" collapsed="false">
      <c r="A41" s="2" t="s">
        <v>402</v>
      </c>
      <c r="B41" s="38" t="n">
        <f aca="false">Commitments!L8</f>
        <v>46</v>
      </c>
      <c r="C41" s="39" t="n">
        <f aca="false">Reference_Values!B41</f>
        <v>46</v>
      </c>
      <c r="D41" s="40" t="n">
        <f aca="false">ABS(B41-C41)</f>
        <v>0</v>
      </c>
      <c r="E41" s="41" t="n">
        <v>0</v>
      </c>
      <c r="F41" s="4" t="str">
        <f aca="false">IF(D41&lt;=E41,"PASS","FAIL")</f>
        <v>PASS</v>
      </c>
    </row>
    <row r="42" customFormat="false" ht="15" hidden="false" customHeight="false" outlineLevel="0" collapsed="false">
      <c r="A42" s="2" t="s">
        <v>404</v>
      </c>
      <c r="B42" s="38" t="n">
        <f aca="false">Commitments!L11</f>
        <v>545.16</v>
      </c>
      <c r="C42" s="39" t="n">
        <f aca="false">Reference_Values!B42</f>
        <v>545.16</v>
      </c>
      <c r="D42" s="40" t="n">
        <f aca="false">ABS(B42-C42)</f>
        <v>0</v>
      </c>
      <c r="E42" s="41" t="n">
        <v>1E-006</v>
      </c>
      <c r="F42" s="4" t="str">
        <f aca="false">IF(D42&lt;=E42,"PASS","FAIL")</f>
        <v>PASS</v>
      </c>
    </row>
    <row r="43" customFormat="false" ht="15" hidden="false" customHeight="false" outlineLevel="0" collapsed="false">
      <c r="A43" s="2" t="s">
        <v>406</v>
      </c>
      <c r="B43" s="38" t="n">
        <f aca="false">Commitments!L18</f>
        <v>3.70266343825666</v>
      </c>
      <c r="C43" s="39" t="n">
        <f aca="false">Reference_Values!B43</f>
        <v>3.70266343825666</v>
      </c>
      <c r="D43" s="40" t="n">
        <f aca="false">ABS(B43-C43)</f>
        <v>0</v>
      </c>
      <c r="E43" s="41" t="n">
        <v>1E-009</v>
      </c>
      <c r="F43" s="4" t="str">
        <f aca="false">IF(D43&lt;=E43,"PASS","FAIL")</f>
        <v>PASS</v>
      </c>
    </row>
    <row r="44" customFormat="false" ht="15" hidden="false" customHeight="false" outlineLevel="0" collapsed="false">
      <c r="A44" s="2" t="s">
        <v>408</v>
      </c>
      <c r="B44" s="38" t="n">
        <f aca="false">Commitments!L22</f>
        <v>150.327272581329</v>
      </c>
      <c r="C44" s="39" t="n">
        <f aca="false">Reference_Values!B44</f>
        <v>150.327272581329</v>
      </c>
      <c r="D44" s="40" t="n">
        <f aca="false">ABS(B44-C44)</f>
        <v>0</v>
      </c>
      <c r="E44" s="41" t="n">
        <v>1E-006</v>
      </c>
      <c r="F44" s="4" t="str">
        <f aca="false">IF(D44&lt;=E44,"PASS","FAIL")</f>
        <v>PASS</v>
      </c>
    </row>
    <row r="45" customFormat="false" ht="15" hidden="false" customHeight="false" outlineLevel="0" collapsed="false">
      <c r="A45" s="2" t="s">
        <v>293</v>
      </c>
      <c r="B45" s="38" t="n">
        <f aca="false">Commitments!L23</f>
        <v>119.672727418671</v>
      </c>
      <c r="C45" s="39" t="n">
        <f aca="false">Reference_Values!B45</f>
        <v>119.672727418671</v>
      </c>
      <c r="D45" s="40" t="n">
        <f aca="false">ABS(B45-C45)</f>
        <v>0</v>
      </c>
      <c r="E45" s="41" t="n">
        <v>1E-006</v>
      </c>
      <c r="F45" s="4" t="str">
        <f aca="false">IF(D45&lt;=E45,"PASS","FAIL")</f>
        <v>PASS</v>
      </c>
    </row>
    <row r="46" customFormat="false" ht="15" hidden="false" customHeight="false" outlineLevel="0" collapsed="false">
      <c r="A46" s="2" t="s">
        <v>411</v>
      </c>
      <c r="B46" s="38" t="n">
        <f aca="false">ErrorBars!B5</f>
        <v>0.0689202437604511</v>
      </c>
      <c r="C46" s="39" t="n">
        <f aca="false">Reference_Values!B46</f>
        <v>0.0689202437604511</v>
      </c>
      <c r="D46" s="40" t="n">
        <f aca="false">ABS(B46-C46)</f>
        <v>0</v>
      </c>
      <c r="E46" s="41" t="n">
        <v>1E-009</v>
      </c>
      <c r="F46" s="4" t="str">
        <f aca="false">IF(D46&lt;=E46,"PASS","FAIL")</f>
        <v>PASS</v>
      </c>
    </row>
    <row r="47" customFormat="false" ht="15" hidden="false" customHeight="false" outlineLevel="0" collapsed="false">
      <c r="A47" s="2" t="s">
        <v>413</v>
      </c>
      <c r="B47" s="38" t="n">
        <f aca="false">ErrorBars!B7</f>
        <v>0.0619899984674947</v>
      </c>
      <c r="C47" s="39" t="n">
        <f aca="false">Reference_Values!B47</f>
        <v>0.0619899984674947</v>
      </c>
      <c r="D47" s="40" t="n">
        <f aca="false">ABS(B47-C47)</f>
        <v>0</v>
      </c>
      <c r="E47" s="41" t="n">
        <v>1E-009</v>
      </c>
      <c r="F47" s="4" t="str">
        <f aca="false">IF(D47&lt;=E47,"PASS","FAIL")</f>
        <v>PASS</v>
      </c>
    </row>
    <row r="48" customFormat="false" ht="15" hidden="false" customHeight="false" outlineLevel="0" collapsed="false">
      <c r="A48" s="2" t="s">
        <v>415</v>
      </c>
      <c r="B48" s="38" t="n">
        <f aca="false">ErrorBars!B9</f>
        <v>16.0832396297411</v>
      </c>
      <c r="C48" s="39" t="n">
        <f aca="false">Reference_Values!B48</f>
        <v>16.0832396297411</v>
      </c>
      <c r="D48" s="40" t="n">
        <f aca="false">ABS(B48-C48)</f>
        <v>0</v>
      </c>
      <c r="E48" s="41" t="n">
        <v>1E-006</v>
      </c>
      <c r="F48" s="4" t="str">
        <f aca="false">IF(D48&lt;=E48,"PASS","FAIL")</f>
        <v>PASS</v>
      </c>
    </row>
    <row r="49" customFormat="false" ht="15" hidden="false" customHeight="false" outlineLevel="0" collapsed="false">
      <c r="A49" s="2" t="s">
        <v>417</v>
      </c>
      <c r="B49" s="38" t="n">
        <f aca="false">ErrorBars!B11</f>
        <v>4.587</v>
      </c>
      <c r="C49" s="39" t="n">
        <f aca="false">Reference_Values!B49</f>
        <v>4.587</v>
      </c>
      <c r="D49" s="40" t="n">
        <f aca="false">ABS(B49-C49)</f>
        <v>0</v>
      </c>
      <c r="E49" s="41" t="n">
        <v>1E-009</v>
      </c>
      <c r="F49" s="4" t="str">
        <f aca="false">IF(D49&lt;=E49,"PASS","FAIL")</f>
        <v>PASS</v>
      </c>
    </row>
    <row r="50" customFormat="false" ht="15" hidden="false" customHeight="false" outlineLevel="0" collapsed="false">
      <c r="A50" s="2" t="s">
        <v>419</v>
      </c>
      <c r="B50" s="38" t="n">
        <f aca="false">TwoChannelBudget!B8</f>
        <v>36</v>
      </c>
      <c r="C50" s="39" t="n">
        <f aca="false">Reference_Values!B50</f>
        <v>36</v>
      </c>
      <c r="D50" s="40" t="n">
        <f aca="false">ABS(B50-C50)</f>
        <v>0</v>
      </c>
      <c r="E50" s="41" t="n">
        <v>1E-009</v>
      </c>
      <c r="F50" s="4" t="str">
        <f aca="false">IF(D50&lt;=E50,"PASS","FAIL")</f>
        <v>PASS</v>
      </c>
    </row>
    <row r="51" customFormat="false" ht="15" hidden="false" customHeight="false" outlineLevel="0" collapsed="false">
      <c r="A51" s="2" t="s">
        <v>421</v>
      </c>
      <c r="B51" s="38" t="n">
        <f aca="false">TwoChannelBudget!B10</f>
        <v>50</v>
      </c>
      <c r="C51" s="39" t="n">
        <f aca="false">Reference_Values!B51</f>
        <v>50</v>
      </c>
      <c r="D51" s="40" t="n">
        <f aca="false">ABS(B51-C51)</f>
        <v>0</v>
      </c>
      <c r="E51" s="41" t="n">
        <v>1E-009</v>
      </c>
      <c r="F51" s="4" t="str">
        <f aca="false">IF(D51&lt;=E51,"PASS","FAIL")</f>
        <v>PASS</v>
      </c>
    </row>
    <row r="52" customFormat="false" ht="15" hidden="false" customHeight="false" outlineLevel="0" collapsed="false">
      <c r="A52" s="2" t="s">
        <v>423</v>
      </c>
      <c r="B52" s="38" t="n">
        <f aca="false">TwoChannelBudget!B13</f>
        <v>0.25</v>
      </c>
      <c r="C52" s="39" t="n">
        <f aca="false">Reference_Values!B52</f>
        <v>0.25</v>
      </c>
      <c r="D52" s="40" t="n">
        <f aca="false">ABS(B52-C52)</f>
        <v>0</v>
      </c>
      <c r="E52" s="41" t="n">
        <v>1E-009</v>
      </c>
      <c r="F52" s="4" t="str">
        <f aca="false">IF(D52&lt;=E52,"PASS","FAIL")</f>
        <v>PASS</v>
      </c>
    </row>
    <row r="53" customFormat="false" ht="15" hidden="false" customHeight="false" outlineLevel="0" collapsed="false">
      <c r="A53" s="2" t="s">
        <v>425</v>
      </c>
      <c r="B53" s="38" t="n">
        <f aca="false">TwoChannelBudget!B15</f>
        <v>0.25</v>
      </c>
      <c r="C53" s="39" t="n">
        <f aca="false">Reference_Values!B53</f>
        <v>0.25</v>
      </c>
      <c r="D53" s="40" t="n">
        <f aca="false">ABS(B53-C53)</f>
        <v>0</v>
      </c>
      <c r="E53" s="41" t="n">
        <v>1E-009</v>
      </c>
      <c r="F53" s="4" t="str">
        <f aca="false">IF(D53&lt;=E53,"PASS","FAIL")</f>
        <v>PASS</v>
      </c>
    </row>
    <row r="54" customFormat="false" ht="15" hidden="false" customHeight="false" outlineLevel="0" collapsed="false">
      <c r="A54" s="2" t="s">
        <v>427</v>
      </c>
      <c r="B54" s="38" t="n">
        <f aca="false">TwoChannelBudget!B18</f>
        <v>36</v>
      </c>
      <c r="C54" s="39" t="n">
        <f aca="false">Reference_Values!B54</f>
        <v>36</v>
      </c>
      <c r="D54" s="40" t="n">
        <f aca="false">ABS(B54-C54)</f>
        <v>0</v>
      </c>
      <c r="E54" s="41" t="n">
        <v>0</v>
      </c>
      <c r="F54" s="4" t="str">
        <f aca="false">IF(D54&lt;=E54,"PASS","FAIL")</f>
        <v>PASS</v>
      </c>
    </row>
    <row r="56" customFormat="false" ht="15" hidden="false" customHeight="false" outlineLevel="0" collapsed="false">
      <c r="A56" s="4" t="s">
        <v>433</v>
      </c>
      <c r="F56" s="4" t="str">
        <f aca="false">IF(COUNTIF(F2:F54,"PASS")=53,"ALL PASS","CHECK")</f>
        <v>ALL PASS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2026-10-05T08:39:36Z</dcterms:created>
  <dc:creator>openpyxl</dc:creator>
  <dc:description/>
  <dc:language>en-US</dc:language>
  <cp:lastModifiedBy/>
  <dcterms:modified xsi:type="dcterms:W3CDTF">2026-10-05T08:39:36Z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